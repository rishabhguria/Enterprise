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GetDailyCash" sheetId="5" r:id="rId7"/>
    <sheet state="visible" name="UpdateDailyCash" sheetId="6" r:id="rId8"/>
    <sheet state="visible" name="CreateLiveOrder" sheetId="7" r:id="rId9"/>
    <sheet state="visible" name="SelectTrade" sheetId="8" r:id="rId10"/>
    <sheet state="visible" name="AcknowledgeTrade" sheetId="9" r:id="rId11"/>
    <sheet state="visible" name="ExecuteTrade" sheetId="10" r:id="rId12"/>
    <sheet state="visible" name="SelectTrade1" sheetId="11" r:id="rId13"/>
    <sheet state="visible" name="AcknowledgeTrade1" sheetId="12" r:id="rId14"/>
    <sheet state="visible" name="ExecuteTrade1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<sst xmlns="http://schemas.openxmlformats.org/spreadsheetml/2006/main" count="168" uniqueCount="44">
  <si>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</si>
  <si>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</si>
  <si>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</si>
  <si>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</si>
  <si>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</si>
  <si>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</si>
  <si>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</si>
  <si>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</si>
  <si>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</si>
  <si>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</si>
  <si>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</si>
  <si>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</si>
  <si>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</si>
  <si>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</si>
  <si>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</si>
  <si>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</si>
  <si>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DailyValuation</t>
  </si>
  <si>
    <t>GetDailyCash</t>
  </si>
  <si>
    <t>UpdateDailyCash</t>
  </si>
  <si>
    <t>Allocation1</t>
  </si>
  <si>
    <t>USD</t>
  </si>
  <si>
    <t>TradingTicket</t>
  </si>
  <si>
    <t>CreateLiveOrder</t>
  </si>
  <si>
    <t>AAPL</t>
  </si>
  <si>
    <t>Buy</t>
  </si>
  <si>
    <t>MS</t>
  </si>
  <si>
    <t>Simulator</t>
  </si>
  <si>
    <t>SelectTrade</t>
  </si>
  <si>
    <t>AcknowledgeTrade</t>
  </si>
  <si>
    <t>ExecuteTrade</t>
  </si>
  <si>
    <t>Blotter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</si>
  <si>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</si>
  <si>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</si>
  <si>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</si>
  <si>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</si>
  <si>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</si>
  <si>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</si>
  <si>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</si>
  <si>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</si>
  <si>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</si>
  <si>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</si>
  <si>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</si>
  <si>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Equity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</si>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</sst>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2" numFmtId="3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5" numFmtId="3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7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2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IFERROR(__xludf.DUMMYFUNCTION("""COMPUTED_VALUE"""),"1nPYQhQ-Gpxk7lgLy_GqUcKiz5fcJpQhrTV5bJyY03qc")</f>
        <v>1nPYQhQ-Gpxk7lgLy_GqUcKiz5fcJpQhrTV5bJyY03qc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IFERROR(__xludf.DUMMYFUNCTION("""COMPUTED_VALUE"""),"RebalanceViaBloomberg")</f>
        <v>RebalanceViaBloomberg</v>
      </c>
      <c r="C461" t="str">
        <f>IFERROR(__xludf.DUMMYFUNCTION("""COMPUTED_VALUE"""),"1KhWzt5vyNW1kzhPLXipM9CAX2wUBQQLJePUogClbNy0")</f>
        <v>1KhWzt5vyNW1kzhPLXipM9CAX2wUBQQLJePUogClbNy0</v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IFERROR(__xludf.DUMMYFUNCTION("""COMPUTED_VALUE"""),"ImportOnShortLocate")</f>
        <v>ImportOnShortLocate</v>
      </c>
      <c r="C465" t="str">
        <f>IFERROR(__xludf.DUMMYFUNCTION("""COMPUTED_VALUE"""),"1C1ug_xZK2cdCqIYVDKTOxKoGTSIdtZaPgm86m17Er_Y")</f>
        <v>1C1ug_xZK2cdCqIYVDKTOxKoGTSIdtZaPgm86m17Er_Y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IFERROR(__xludf.DUMMYFUNCTION("""COMPUTED_VALUE"""),"ApplyFilterOnShortLocate")</f>
        <v>ApplyFilterOnShortLocate</v>
      </c>
      <c r="C466" t="str">
        <f>IFERROR(__xludf.DUMMYFUNCTION("""COMPUTED_VALUE"""),"1Cn-Bl95PXGhKloQYYlJej7rKVd4ux1kGG_MBit4fk4A")</f>
        <v>1Cn-Bl95PXGhKloQYYlJej7rKVd4ux1kGG_MBit4fk4A</v>
      </c>
    </row>
    <row r="467" ht="15.75" customHeight="1">
      <c r="A467" t="str">
        <f>IFERROR(__xludf.DUMMYFUNCTION("""COMPUTED_VALUE"""),"ShortLocate")</f>
        <v>ShortLocate</v>
      </c>
      <c r="B467" t="str">
        <f>IFERROR(__xludf.DUMMYFUNCTION("""COMPUTED_VALUE"""),"OpenTTFromShortLocate")</f>
        <v>OpenTTFromShortLocate</v>
      </c>
      <c r="C467" t="str">
        <f>IFERROR(__xludf.DUMMYFUNCTION("""COMPUTED_VALUE"""),"1VN5CVtgHNYp2lmtsmJrMDYMXq_8Gh_rSpLpAb6ErM6M")</f>
        <v>1VN5CVtgHNYp2lmtsmJrMDYMXq_8Gh_rSpLpAb6ErM6M</v>
      </c>
    </row>
    <row r="468" ht="15.75" customHeight="1">
      <c r="A468" t="str">
        <f>IFERROR(__xludf.DUMMYFUNCTION("""COMPUTED_VALUE"""),"PortfolioManagement")</f>
        <v>PortfolioManagement</v>
      </c>
      <c r="B468" t="str">
        <f>IFERROR(__xludf.DUMMYFUNCTION("""COMPUTED_VALUE"""),"RemoveGroupingFromPM")</f>
        <v>RemoveGroupingFromPM</v>
      </c>
      <c r="C468" t="str">
        <f>IFERROR(__xludf.DUMMYFUNCTION("""COMPUTED_VALUE"""),"1YKIncD0kWnaqpNFNOsgCVyA1F91XPeAgnyduLhg4NUg")</f>
        <v>1YKIncD0kWnaqpNFNOsgCVyA1F91XPeAgnyduLhg4NUg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IFERROR(__xludf.DUMMYFUNCTION("""COMPUTED_VALUE"""),"AddTabOnWatchlist")</f>
        <v>AddTabOnWatchlist</v>
      </c>
      <c r="C469" t="str">
        <f>IFERROR(__xludf.DUMMYFUNCTION("""COMPUTED_VALUE"""),"1jjhORl_GGC1MaE-TaNLImepF81XAVLTJrRzVfbjFgww")</f>
        <v>1jjhORl_GGC1MaE-TaNLImepF81XAVLTJrRzVfbjFgww</v>
      </c>
    </row>
    <row r="470" ht="15.75" customHeight="1">
      <c r="A470" t="str">
        <f>IFERROR(__xludf.DUMMYFUNCTION("""COMPUTED_VALUE"""),"Watchlist")</f>
        <v>Watchlist</v>
      </c>
      <c r="B470" t="str">
        <f>IFERROR(__xludf.DUMMYFUNCTION("""COMPUTED_VALUE"""),"DeleteTabOnWatchlist")</f>
        <v>DeleteTabOnWatchlist</v>
      </c>
      <c r="C470" t="str">
        <f>IFERROR(__xludf.DUMMYFUNCTION("""COMPUTED_VALUE"""),"1RgygcdRJLzJYHZ0zP3Z6BDlHpdOX2WYr8NDtGPZTM7E")</f>
        <v>1RgygcdRJLzJYHZ0zP3Z6BDlHpdOX2WYr8NDtGPZTM7E</v>
      </c>
    </row>
    <row r="471" ht="15.75" customHeight="1">
      <c r="A471" t="str">
        <f>IFERROR(__xludf.DUMMYFUNCTION("""COMPUTED_VALUE"""),"ShortLocate")</f>
        <v>ShortLocate</v>
      </c>
      <c r="B471" t="str">
        <f>IFERROR(__xludf.DUMMYFUNCTION("""COMPUTED_VALUE"""),"Upload")</f>
        <v>Upload</v>
      </c>
      <c r="C471" t="str">
        <f>IFERROR(__xludf.DUMMYFUNCTION("""COMPUTED_VALUE"""),"1DBkPKMXuOkBiTKkni_QwMf9B-Vs7FbA9VGOGKS51ZT4")</f>
        <v>1DBkPKMXuOkBiTKkni_QwMf9B-Vs7FbA9VGOGKS51ZT4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IFERROR(__xludf.DUMMYFUNCTION("""COMPUTED_VALUE"""),"ViewDataOnRecon")</f>
        <v>ViewDataOnRecon</v>
      </c>
      <c r="C472" t="str">
        <f>IFERROR(__xludf.DUMMYFUNCTION("""COMPUTED_VALUE"""),"1BbKkpqbBk38mGc3pkD1qocCD2l1ul-edULN0zIfJnX0")</f>
        <v>1BbKkpqbBk38mGc3pkD1qocCD2l1ul-edULN0zIfJnX0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IFERROR(__xludf.DUMMYFUNCTION("""COMPUTED_VALUE"""),"RunRecon")</f>
        <v>RunRecon</v>
      </c>
      <c r="C473" t="str">
        <f>IFERROR(__xludf.DUMMYFUNCTION("""COMPUTED_VALUE"""),"1DW645A60flaLELO2P22MpKYws1JG4n6BHBPkmms9cLw")</f>
        <v>1DW645A60flaLELO2P22MpKYws1JG4n6BHBPkmms9cLw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IFERROR(__xludf.DUMMYFUNCTION("""COMPUTED_VALUE"""),"GenerateExceptionReport")</f>
        <v>GenerateExceptionReport</v>
      </c>
      <c r="C474" t="str">
        <f>IFERROR(__xludf.DUMMYFUNCTION("""COMPUTED_VALUE"""),"10mHZ-4hGDgpDcAZFTNOSjWUY0tCOkmljN_PiDLwfInQ")</f>
        <v>10mHZ-4hGDgpDcAZFTNOSjWUY0tCOkmljN_PiDLwfInQ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IFERROR(__xludf.DUMMYFUNCTION("""COMPUTED_VALUE"""),"ImportDataOnRecon")</f>
        <v>ImportDataOnRecon</v>
      </c>
      <c r="C475" t="str">
        <f>IFERROR(__xludf.DUMMYFUNCTION("""COMPUTED_VALUE"""),"1vSoBC5mnlpIAaj42v6OpnHQkGmK8gaC-xL91AFbqpzk")</f>
        <v>1vSoBC5mnlpIAaj42v6OpnHQkGmK8gaC-xL91AFbqpzk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IFERROR(__xludf.DUMMYFUNCTION("""COMPUTED_VALUE"""),"VerifyShortLocateGrid")</f>
        <v>VerifyShortLocateGrid</v>
      </c>
      <c r="C476" t="str">
        <f>IFERROR(__xludf.DUMMYFUNCTION("""COMPUTED_VALUE"""),"1qAzz_4B1zB9C9Vo0fwcHW1n3y4NbkaQdOAUu2-lNpqo")</f>
        <v>1qAzz_4B1zB9C9Vo0fwcHW1n3y4NbkaQdOAUu2-lNpqo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IFERROR(__xludf.DUMMYFUNCTION("""COMPUTED_VALUE"""),"VerifyApplicationData")</f>
        <v>VerifyApplicationData</v>
      </c>
      <c r="C477" t="str">
        <f>IFERROR(__xludf.DUMMYFUNCTION("""COMPUTED_VALUE"""),"1jLU1Bj4VFFNvZ0Wi033TIL8f5pwmJpXs_wwWfZSYsew")</f>
        <v>1jLU1Bj4VFFNvZ0Wi033TIL8f5pwmJpXs_wwWfZSYsew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IFERROR(__xludf.DUMMYFUNCTION("""COMPUTED_VALUE"""),"VerifyExceptionReport")</f>
        <v>VerifyExceptionReport</v>
      </c>
      <c r="C478" t="str">
        <f>IFERROR(__xludf.DUMMYFUNCTION("""COMPUTED_VALUE"""),"14zGa8XglUbfEDxZkT3kMdelOdTfTP2DE6GmuNtG7Wwk")</f>
        <v>14zGa8XglUbfEDxZkT3kMdelOdTfTP2DE6GmuNtG7Wwk</v>
      </c>
    </row>
    <row r="479" ht="15.75" customHeight="1">
      <c r="A479" t="str">
        <f>IFERROR(__xludf.DUMMYFUNCTION("""COMPUTED_VALUE"""),"Recon")</f>
        <v>Recon</v>
      </c>
      <c r="B479" t="str">
        <f>IFERROR(__xludf.DUMMYFUNCTION("""COMPUTED_VALUE"""),"VerifyPrimeBrokerData")</f>
        <v>VerifyPrimeBrokerData</v>
      </c>
      <c r="C479" t="str">
        <f>IFERROR(__xludf.DUMMYFUNCTION("""COMPUTED_VALUE"""),"1wcOx1NW-51uplf8YB8fYA6_SoD4MxIc609lcfAUapK8")</f>
        <v>1wcOx1NW-51uplf8YB8fYA6_SoD4MxIc609lcfAUapK8</v>
      </c>
    </row>
    <row r="480" ht="15.75" customHeight="1">
      <c r="A480" t="str">
        <f>IFERROR(__xludf.DUMMYFUNCTION("""COMPUTED_VALUE"""),"Admin")</f>
        <v>Admin</v>
      </c>
      <c r="B480" t="str">
        <f>IFERROR(__xludf.DUMMYFUNCTION("""COMPUTED_VALUE"""),"SetTradingComplianceRules")</f>
        <v>SetTradingComplianceRules</v>
      </c>
      <c r="C480" t="str">
        <f>IFERROR(__xludf.DUMMYFUNCTION("""COMPUTED_VALUE"""),"17Wu2UvH-BU-Px5WPcyG0Xhz2IxPoaWJqrIt67mvCrAA")</f>
        <v>17Wu2UvH-BU-Px5WPcyG0Xhz2IxPoaWJqrIt67mvCrAA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IFERROR(__xludf.DUMMYFUNCTION("""COMPUTED_VALUE"""),"ImportSymbol")</f>
        <v>ImportSymbol</v>
      </c>
      <c r="C481" t="str">
        <f>IFERROR(__xludf.DUMMYFUNCTION("""COMPUTED_VALUE"""),"1UEKelK1NMdYtsfsyMcdva6Yft_Yr9G8cWbrfel-9MJU")</f>
        <v>1UEKelK1NMdYtsfsyMcdva6Yft_Yr9G8cWbrfel-9MJU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IFERROR(__xludf.DUMMYFUNCTION("""COMPUTED_VALUE"""),"ExportSymbolFromRAList")</f>
        <v>ExportSymbolFromRAList</v>
      </c>
      <c r="C482" t="str">
        <f>IFERROR(__xludf.DUMMYFUNCTION("""COMPUTED_VALUE"""),"1MHwX_PBm9hsA0q8FgudciwiJIAk4mZvCR42Xpxx4sKs")</f>
        <v>1MHwX_PBm9hsA0q8FgudciwiJIAk4mZvCR42Xpxx4sKs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 CheckPendingNewOrderAlert")</f>
        <v> CheckPendingNewOrderAlert</v>
      </c>
      <c r="C483" t="str">
        <f>IFERROR(__xludf.DUMMYFUNCTION("""COMPUTED_VALUE"""),"1t2KWd4MXhp0cc5GddRUoU75jESYZ8rvlBGDofapbzuI")</f>
        <v>1t2KWd4MXhp0cc5GddRUoU75jESYZ8rvlBGDofapbzuI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IFERROR(__xludf.DUMMYFUNCTION("""COMPUTED_VALUE"""),"AddSymbolOnRAList")</f>
        <v>AddSymbolOnRAList</v>
      </c>
      <c r="C484" t="str">
        <f>IFERROR(__xludf.DUMMYFUNCTION("""COMPUTED_VALUE"""),"1mAGV09viuVWEe4eHRdp4TWIABKngOqrICWdKcXQy3uo")</f>
        <v>1mAGV09viuVWEe4eHRdp4TWIABKngOqrICWdKcXQy3uo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IFERROR(__xludf.DUMMYFUNCTION("""COMPUTED_VALUE"""),"DeleteSymbolListFromRA")</f>
        <v>DeleteSymbolListFromRA</v>
      </c>
      <c r="C485" t="str">
        <f>IFERROR(__xludf.DUMMYFUNCTION("""COMPUTED_VALUE"""),"14dSZOTqRtu1tjIclv4ory70p3_NVBD4oZ8-Z0-kfJHo")</f>
        <v>14dSZOTqRtu1tjIclv4ory70p3_NVBD4oZ8-Z0-kfJHo</v>
      </c>
    </row>
    <row r="486" ht="15.75" customHeight="1">
      <c r="A486" t="str">
        <f>IFERROR(__xludf.DUMMYFUNCTION("""COMPUTED_VALUE"""),"TradingTicket")</f>
        <v>TradingTicket</v>
      </c>
      <c r="B486" t="str">
        <f>IFERROR(__xludf.DUMMYFUNCTION("""COMPUTED_VALUE"""),"ToggleBlombergOnRA")</f>
        <v>ToggleBlombergOnRA</v>
      </c>
      <c r="C486" t="str">
        <f>IFERROR(__xludf.DUMMYFUNCTION("""COMPUTED_VALUE"""),"1TKv9C1mMXj8HlEzeLMciT110iLyZ9OhIh0lSuptGP1c")</f>
        <v>1TKv9C1mMXj8HlEzeLMciT110iLyZ9OhIh0lSuptGP1c</v>
      </c>
    </row>
    <row r="487" ht="15.75" customHeight="1">
      <c r="A487" t="str">
        <f>IFERROR(__xludf.DUMMYFUNCTION("""COMPUTED_VALUE"""),"TradingTicket")</f>
        <v>TradingTicket</v>
      </c>
      <c r="B487" t="str">
        <f>IFERROR(__xludf.DUMMYFUNCTION("""COMPUTED_VALUE"""),"RemoveSymbolFromRAList")</f>
        <v>RemoveSymbolFromRAList</v>
      </c>
      <c r="C487" t="str">
        <f>IFERROR(__xludf.DUMMYFUNCTION("""COMPUTED_VALUE"""),"1esriqspMNcbGjPDPy2u7bJyQKd05b0Y9Sin8DcUfSEE")</f>
        <v>1esriqspMNcbGjPDPy2u7bJyQKd05b0Y9Sin8DcUfSEE</v>
      </c>
    </row>
    <row r="488" ht="15.75" customHeight="1">
      <c r="A488" t="str">
        <f>IFERROR(__xludf.DUMMYFUNCTION("""COMPUTED_VALUE"""),"Report")</f>
        <v>Report</v>
      </c>
      <c r="B488" t="str">
        <f>IFERROR(__xludf.DUMMYFUNCTION("""COMPUTED_VALUE"""),"ReportMatching")</f>
        <v>ReportMatching</v>
      </c>
      <c r="C488" t="str">
        <f>IFERROR(__xludf.DUMMYFUNCTION("""COMPUTED_VALUE"""),"1IURT1smTM6q7aOlSfUxXb-piLEDNEFM-Z_rxNUweXqU")</f>
        <v>1IURT1smTM6q7aOlSfUxXb-piLEDNEFM-Z_rxNUweXqU</v>
      </c>
    </row>
    <row r="489" ht="15.75" customHeight="1">
      <c r="A489" t="str">
        <f>IFERROR(__xludf.DUMMYFUNCTION("""COMPUTED_VALUE"""),"Admin")</f>
        <v>Admin</v>
      </c>
      <c r="B489" t="str">
        <f>IFERROR(__xludf.DUMMYFUNCTION("""COMPUTED_VALUE"""),"EnableBreakdownRealizedPNL")</f>
        <v>EnableBreakdownRealizedPNL</v>
      </c>
      <c r="C489" t="str">
        <f>IFERROR(__xludf.DUMMYFUNCTION("""COMPUTED_VALUE"""),"1MsdAMudFZTDN6c4GJMzmiY0zvgautsPJWcDY1jxOGP0")</f>
        <v>1MsdAMudFZTDN6c4GJMzmiY0zvgautsPJWcDY1jxOGP0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IFERROR(__xludf.DUMMYFUNCTION("""COMPUTED_VALUE"""),"SetTTGeneralPreferences")</f>
        <v>SetTTGeneralPreferences</v>
      </c>
      <c r="C490" t="str">
        <f>IFERROR(__xludf.DUMMYFUNCTION("""COMPUTED_VALUE"""),"1VU4CqD-ZRcRyvM1M2otqULbHS-fnUmcO_NcgQMsS9rE")</f>
        <v>1VU4CqD-ZRcRyvM1M2otqULbHS-fnUmcO_NcgQMsS9rE</v>
      </c>
    </row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IFERROR(__xludf.DUMMYFUNCTION("""COMPUTED_VALUE"""),"OverSellTradingRule")</f>
        <v>OverSellTradingRule</v>
      </c>
      <c r="C5" s="27" t="str">
        <f>IFERROR(__xludf.DUMMYFUNCTION("""COMPUTED_VALUE"""),"OverBuyTradingRule")</f>
        <v>OverBuyTradingRule</v>
      </c>
      <c r="D5" s="27" t="str">
        <f>IFERROR(__xludf.DUMMYFUNCTION("""COMPUTED_VALUE"""),"FatFingerTradingRule")</f>
        <v>FatFingerTradingRule</v>
      </c>
      <c r="E5" s="27" t="str">
        <f>IFERROR(__xludf.DUMMYFUNCTION("""COMPUTED_VALUE"""),"UnallocatedTradeAlert")</f>
        <v>UnallocatedTradeAlert</v>
      </c>
      <c r="F5" s="28" t="str">
        <f>IFERROR(__xludf.DUMMYFUNCTION("""COMPUTED_VALUE"""),"DuplicateTradeAlert")</f>
        <v>DuplicateTradeAlert</v>
      </c>
      <c r="G5" s="27" t="str">
        <f>IFERROR(__xludf.DUMMYFUNCTION("""COMPUTED_VALUE"""),"PendingNewOrderAlert")</f>
        <v>PendingNewOrderAlert</v>
      </c>
      <c r="H5" s="27" t="str">
        <f>IFERROR(__xludf.DUMMYFUNCTION("""COMPUTED_VALUE"""),"FatFingerPercent")</f>
        <v>FatFingerPercent</v>
      </c>
      <c r="I5" s="27" t="str">
        <f>IFERROR(__xludf.DUMMYFUNCTION("""COMPUTED_VALUE"""),"DuplicateTradeAlertTime")</f>
        <v>DuplicateTradeAlertTime</v>
      </c>
      <c r="J5" s="27" t="str">
        <f>IFERROR(__xludf.DUMMYFUNCTION("""COMPUTED_VALUE"""),"PendingNewOrderAlertTime")</f>
        <v>PendingNewOrderAlertTime</v>
      </c>
      <c r="K5" s="27" t="str">
        <f>IFERROR(__xludf.DUMMYFUNCTION("""COMPUTED_VALUE"""),"FatFingerAccountOrMasterFund")</f>
        <v>FatFingerAccountOrMasterFund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b">
        <v>1</v>
      </c>
      <c r="E6" s="30"/>
      <c r="F6" s="8"/>
      <c r="G6" s="8"/>
      <c r="H6" s="11">
        <v>10.0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SetTradingComplianceRules!$4:$4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44236</v>
      </c>
      <c r="C6" s="31">
        <f t="shared" si="1"/>
        <v>44236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11" t="s">
        <v>20</v>
      </c>
      <c r="D6" s="11">
        <v>300000.0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21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IFERROR(__xludf.DUMMYFUNCTION("""COMPUTED_VALUE"""),"ImportSymbol")</f>
        <v>ImportSymbol</v>
      </c>
      <c r="V4" s="25" t="str">
        <f>IFERROR(__xludf.DUMMYFUNCTION("""COMPUTED_VALUE"""),"ExportSymbolFromRAList")</f>
        <v>ExportSymbolFromRAList</v>
      </c>
      <c r="W4" s="25" t="str">
        <f>IFERROR(__xludf.DUMMYFUNCTION("""COMPUTED_VALUE"""),"CheckPendingNewOrderAlert")</f>
        <v>CheckPendingNewOrderAlert</v>
      </c>
      <c r="X4" s="25" t="str">
        <f>IFERROR(__xludf.DUMMYFUNCTION("""COMPUTED_VALUE"""),"AddSymbolOnRAList")</f>
        <v>AddSymbolOnRAList</v>
      </c>
      <c r="Y4" s="25" t="str">
        <f>IFERROR(__xludf.DUMMYFUNCTION("""COMPUTED_VALUE"""),"DeleteSymbolListFromRA")</f>
        <v>DeleteSymbolListFromRA</v>
      </c>
      <c r="Z4" s="25" t="str">
        <f>IFERROR(__xludf.DUMMYFUNCTION("""COMPUTED_VALUE"""),"ToggleBlombergOnRA")</f>
        <v>ToggleBlombergOnRA</v>
      </c>
      <c r="AA4" s="25" t="str">
        <f>IFERROR(__xludf.DUMMYFUNCTION("""COMPUTED_VALUE"""),"ToggleBlombergOnRA")</f>
        <v>ToggleBlombergOnRA</v>
      </c>
      <c r="AB4" s="25" t="str">
        <f>IFERROR(__xludf.DUMMYFUNCTION("""COMPUTED_VALUE"""),"RemoveSymbolFromRAList")</f>
        <v>RemoveSymbolFromRAList</v>
      </c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11" t="s">
        <v>24</v>
      </c>
      <c r="D6" s="11">
        <v>100.0</v>
      </c>
      <c r="E6" s="11">
        <v>100.0</v>
      </c>
      <c r="F6" s="11" t="s">
        <v>19</v>
      </c>
      <c r="G6" s="11" t="s">
        <v>25</v>
      </c>
      <c r="H6" s="8"/>
      <c r="I6" s="8"/>
      <c r="J6" s="11">
        <v>210.0</v>
      </c>
      <c r="K6" s="8"/>
      <c r="L6" s="8"/>
      <c r="M6" s="8"/>
      <c r="N6" s="8"/>
      <c r="O6" s="8"/>
    </row>
    <row r="7" ht="15.75" customHeight="1">
      <c r="A7" s="8"/>
      <c r="B7" s="11" t="s">
        <v>23</v>
      </c>
      <c r="C7" s="11" t="s">
        <v>24</v>
      </c>
      <c r="D7" s="11">
        <v>100000.0</v>
      </c>
      <c r="E7" s="11">
        <v>100000.0</v>
      </c>
      <c r="F7" s="11" t="s">
        <v>19</v>
      </c>
      <c r="G7" s="11" t="s">
        <v>25</v>
      </c>
      <c r="H7" s="8"/>
      <c r="I7" s="8"/>
      <c r="J7" s="11">
        <v>210.0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0" t="s">
        <v>23</v>
      </c>
      <c r="D6" s="11"/>
      <c r="E6" s="30"/>
      <c r="F6" s="8"/>
      <c r="G6" s="30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11" t="s">
        <v>23</v>
      </c>
      <c r="D6" s="11"/>
      <c r="E6" s="30"/>
      <c r="F6" s="8"/>
      <c r="G6" s="11">
        <v>100.0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0" t="s">
        <v>23</v>
      </c>
      <c r="D6" s="11"/>
      <c r="E6" s="30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24</v>
      </c>
      <c r="C6" s="30" t="s">
        <v>23</v>
      </c>
      <c r="D6" s="11"/>
      <c r="E6" s="30"/>
      <c r="F6" s="8"/>
      <c r="G6" s="11">
        <v>100000.0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210.0</v>
      </c>
      <c r="C6" s="11">
        <v>100000.0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30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>
        <v>210.0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I6" s="9" t="s">
        <v>23</v>
      </c>
      <c r="AJ6" s="9" t="s">
        <v>24</v>
      </c>
      <c r="AK6" s="9" t="s">
        <v>32</v>
      </c>
      <c r="AL6" s="9">
        <v>100.0</v>
      </c>
      <c r="AM6" s="9">
        <v>100.0</v>
      </c>
      <c r="AN6" s="9">
        <v>100.0</v>
      </c>
      <c r="AO6" s="9">
        <v>100.0</v>
      </c>
      <c r="AQ6" s="9">
        <v>210.0</v>
      </c>
      <c r="AR6" s="9">
        <v>210.0</v>
      </c>
      <c r="AS6" s="9" t="s">
        <v>25</v>
      </c>
      <c r="AT6" s="9" t="s">
        <v>19</v>
      </c>
      <c r="AU6" s="9" t="s">
        <v>33</v>
      </c>
      <c r="AV6" s="9">
        <v>21000.0</v>
      </c>
      <c r="AW6" s="9">
        <v>21000.0</v>
      </c>
      <c r="AY6" s="9">
        <v>100.0</v>
      </c>
    </row>
    <row r="7" ht="15.75" customHeight="1">
      <c r="A7" s="8"/>
      <c r="B7" s="8"/>
      <c r="C7" s="8"/>
      <c r="D7" s="11">
        <v>210.0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I7" s="9" t="s">
        <v>23</v>
      </c>
      <c r="AJ7" s="9" t="s">
        <v>24</v>
      </c>
      <c r="AK7" s="9" t="s">
        <v>32</v>
      </c>
      <c r="AL7" s="9">
        <v>100000.0</v>
      </c>
      <c r="AM7" s="9">
        <v>100000.0</v>
      </c>
      <c r="AN7" s="9">
        <v>100.0</v>
      </c>
      <c r="AO7" s="9">
        <v>100000.0</v>
      </c>
      <c r="AQ7" s="9">
        <v>210.0</v>
      </c>
      <c r="AR7" s="9">
        <v>210.0</v>
      </c>
      <c r="AS7" s="9" t="s">
        <v>25</v>
      </c>
      <c r="AT7" s="9" t="s">
        <v>19</v>
      </c>
      <c r="AU7" s="9" t="s">
        <v>33</v>
      </c>
      <c r="AV7" s="32">
        <v>2.1E7</v>
      </c>
      <c r="AW7" s="32">
        <v>2.1E7</v>
      </c>
      <c r="AY7" s="9">
        <v>100000.0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36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19</v>
      </c>
      <c r="C6" s="8"/>
      <c r="D6" s="11"/>
      <c r="E6" s="11">
        <v>100.0</v>
      </c>
      <c r="F6" s="8"/>
      <c r="G6" s="8"/>
      <c r="H6" s="11">
        <v>4.0</v>
      </c>
      <c r="I6" s="11">
        <v>5.0</v>
      </c>
      <c r="J6" s="8"/>
      <c r="K6" s="11">
        <v>210.0</v>
      </c>
      <c r="L6" s="11">
        <v>210.0</v>
      </c>
      <c r="M6" s="8"/>
      <c r="N6" s="8"/>
      <c r="O6" s="11" t="s">
        <v>25</v>
      </c>
      <c r="R6" s="9">
        <v>0.0</v>
      </c>
      <c r="S6" s="9" t="s">
        <v>38</v>
      </c>
      <c r="T6" s="9">
        <v>0.0</v>
      </c>
      <c r="U6" s="9">
        <v>0.0</v>
      </c>
      <c r="AE6" s="9">
        <v>100.0</v>
      </c>
      <c r="AI6" s="9">
        <v>1.0</v>
      </c>
      <c r="AT6" s="33">
        <v>21014.0118</v>
      </c>
      <c r="AU6" s="33">
        <v>21014.0118</v>
      </c>
      <c r="AW6" s="9">
        <v>0.0</v>
      </c>
      <c r="AZ6" s="9">
        <v>0.0</v>
      </c>
      <c r="BC6" s="9">
        <v>0.0</v>
      </c>
      <c r="BE6" s="32">
        <v>21000.0</v>
      </c>
      <c r="BF6" s="9">
        <v>21000.0</v>
      </c>
      <c r="BJ6" s="9">
        <v>100.0</v>
      </c>
      <c r="BO6" s="9" t="s">
        <v>24</v>
      </c>
      <c r="BP6" s="9">
        <v>0.0</v>
      </c>
      <c r="BT6" s="9" t="s">
        <v>23</v>
      </c>
      <c r="BU6" s="9">
        <v>3.0</v>
      </c>
      <c r="CG6" s="9">
        <v>2.0</v>
      </c>
      <c r="CI6" s="9" t="s">
        <v>24</v>
      </c>
      <c r="CJ6" s="9">
        <v>0.0</v>
      </c>
    </row>
    <row r="7" ht="15.75" customHeight="1">
      <c r="A7" s="8"/>
      <c r="B7" s="11" t="s">
        <v>19</v>
      </c>
      <c r="C7" s="8"/>
      <c r="D7" s="8"/>
      <c r="E7" s="11">
        <v>100000.0</v>
      </c>
      <c r="F7" s="8"/>
      <c r="G7" s="8"/>
      <c r="H7" s="11">
        <v>4.0</v>
      </c>
      <c r="I7" s="11">
        <v>5.0</v>
      </c>
      <c r="J7" s="8"/>
      <c r="K7" s="11">
        <v>210.0</v>
      </c>
      <c r="L7" s="11">
        <v>210.0</v>
      </c>
      <c r="M7" s="8"/>
      <c r="N7" s="8"/>
      <c r="O7" s="11" t="s">
        <v>25</v>
      </c>
      <c r="R7" s="9">
        <v>0.0</v>
      </c>
      <c r="S7" s="9" t="s">
        <v>38</v>
      </c>
      <c r="T7" s="9">
        <v>0.0</v>
      </c>
      <c r="U7" s="9">
        <v>0.0</v>
      </c>
      <c r="AE7" s="9">
        <v>100000.0</v>
      </c>
      <c r="AI7" s="9">
        <v>1.0</v>
      </c>
      <c r="AT7" s="33">
        <v>2.100002576E7</v>
      </c>
      <c r="AU7" s="33">
        <v>2.100002576E7</v>
      </c>
      <c r="AW7" s="9">
        <v>0.0</v>
      </c>
      <c r="AZ7" s="9">
        <v>0.0</v>
      </c>
      <c r="BC7" s="9">
        <v>0.0</v>
      </c>
      <c r="BE7" s="32">
        <v>2.1E7</v>
      </c>
      <c r="BF7" s="32">
        <v>2.1E7</v>
      </c>
      <c r="BJ7" s="9">
        <v>100000.0</v>
      </c>
      <c r="BO7" s="9" t="s">
        <v>24</v>
      </c>
      <c r="BP7" s="9">
        <v>0.0</v>
      </c>
      <c r="BT7" s="9" t="s">
        <v>23</v>
      </c>
      <c r="BU7" s="9">
        <v>3.0</v>
      </c>
      <c r="CG7" s="9">
        <v>2.0</v>
      </c>
      <c r="CI7" s="9" t="s">
        <v>24</v>
      </c>
      <c r="CJ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Outstanding")</f>
        <v>Shares Outstanding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/>
      <c r="FD5" s="29"/>
      <c r="FE5" s="29"/>
      <c r="FF5" s="29"/>
      <c r="FG5" s="29"/>
      <c r="FH5" s="29"/>
      <c r="FI5" s="29"/>
      <c r="FJ5" s="29"/>
      <c r="FK5" s="29"/>
      <c r="FL5" s="29"/>
    </row>
    <row r="6" ht="15.75" customHeight="1">
      <c r="A6" s="11"/>
      <c r="B6" s="11"/>
      <c r="C6" s="11" t="s">
        <v>23</v>
      </c>
      <c r="D6" s="11">
        <v>100.0</v>
      </c>
      <c r="E6" s="11" t="s">
        <v>19</v>
      </c>
      <c r="F6" s="8"/>
      <c r="G6" s="11">
        <v>210.0</v>
      </c>
      <c r="H6" s="11" t="s">
        <v>41</v>
      </c>
      <c r="I6" s="11">
        <v>0.0</v>
      </c>
      <c r="J6" s="8"/>
      <c r="K6" s="8"/>
      <c r="L6" s="8"/>
      <c r="M6" s="8"/>
      <c r="N6" s="34">
        <v>-21000.0</v>
      </c>
      <c r="O6" s="8"/>
      <c r="Q6" s="32">
        <v>-21000.0</v>
      </c>
      <c r="T6" s="9" t="s">
        <v>42</v>
      </c>
      <c r="U6" s="9" t="s">
        <v>43</v>
      </c>
      <c r="AB6" s="9">
        <v>0.0</v>
      </c>
      <c r="AC6" s="9">
        <v>0.0</v>
      </c>
      <c r="AD6" s="9">
        <v>0.0</v>
      </c>
      <c r="AE6" s="9">
        <v>0.0</v>
      </c>
      <c r="AF6" s="9">
        <v>100.0</v>
      </c>
      <c r="AN6" s="9" t="s">
        <v>24</v>
      </c>
      <c r="AP6" s="9" t="s">
        <v>41</v>
      </c>
      <c r="AW6" s="32">
        <v>-21000.0</v>
      </c>
      <c r="AX6" s="9">
        <v>0.0</v>
      </c>
      <c r="AY6" s="9">
        <v>0.0</v>
      </c>
      <c r="AZ6" s="9">
        <v>0.0</v>
      </c>
      <c r="BC6" s="9">
        <v>1.0</v>
      </c>
      <c r="BJ6" s="9">
        <v>0.0</v>
      </c>
      <c r="BK6" s="9">
        <v>0.0</v>
      </c>
      <c r="BL6" s="9">
        <v>0.0</v>
      </c>
      <c r="BM6" s="9">
        <v>0.0</v>
      </c>
      <c r="BO6" s="32">
        <v>-21000.0</v>
      </c>
      <c r="BR6" s="9" t="s">
        <v>25</v>
      </c>
      <c r="BS6" s="9">
        <v>0.0</v>
      </c>
      <c r="BT6" s="9">
        <v>0.0</v>
      </c>
      <c r="BW6" s="9">
        <v>0.0</v>
      </c>
      <c r="BY6" s="9">
        <v>0.0</v>
      </c>
      <c r="BZ6" s="9">
        <v>0.0</v>
      </c>
      <c r="CC6" s="9">
        <v>0.0</v>
      </c>
      <c r="CD6" s="32">
        <v>-21000.0</v>
      </c>
      <c r="DA6" s="9">
        <v>0.0</v>
      </c>
      <c r="DB6" s="9">
        <v>0.0</v>
      </c>
      <c r="DE6" s="9">
        <v>0.0</v>
      </c>
      <c r="DF6" s="9">
        <v>0.0</v>
      </c>
      <c r="DG6" s="9">
        <v>0.0</v>
      </c>
    </row>
    <row r="7" ht="15.75" customHeight="1">
      <c r="A7" s="8"/>
      <c r="B7" s="8"/>
      <c r="C7" s="11" t="s">
        <v>23</v>
      </c>
      <c r="D7" s="34">
        <v>100000.0</v>
      </c>
      <c r="E7" s="11" t="s">
        <v>19</v>
      </c>
      <c r="F7" s="8"/>
      <c r="G7" s="11">
        <v>210.0</v>
      </c>
      <c r="H7" s="11" t="s">
        <v>41</v>
      </c>
      <c r="I7" s="11">
        <v>0.0</v>
      </c>
      <c r="J7" s="8"/>
      <c r="K7" s="8"/>
      <c r="L7" s="8"/>
      <c r="M7" s="8"/>
      <c r="N7" s="34">
        <v>-2.1E7</v>
      </c>
      <c r="O7" s="8"/>
      <c r="Q7" s="32">
        <v>-2.1E7</v>
      </c>
      <c r="T7" s="9" t="s">
        <v>42</v>
      </c>
      <c r="U7" s="9" t="s">
        <v>43</v>
      </c>
      <c r="AB7" s="9">
        <v>0.0</v>
      </c>
      <c r="AC7" s="9">
        <v>0.0</v>
      </c>
      <c r="AD7" s="9">
        <v>0.0</v>
      </c>
      <c r="AE7" s="9">
        <v>0.0</v>
      </c>
      <c r="AF7" s="9">
        <v>100000.0</v>
      </c>
      <c r="AN7" s="9" t="s">
        <v>24</v>
      </c>
      <c r="AP7" s="9" t="s">
        <v>41</v>
      </c>
      <c r="AW7" s="32">
        <v>-2.1E7</v>
      </c>
      <c r="AX7" s="9">
        <v>0.0</v>
      </c>
      <c r="AY7" s="9">
        <v>0.0</v>
      </c>
      <c r="AZ7" s="9">
        <v>0.0</v>
      </c>
      <c r="BC7" s="9">
        <v>1.0</v>
      </c>
      <c r="BJ7" s="9">
        <v>0.0</v>
      </c>
      <c r="BK7" s="9">
        <v>0.0</v>
      </c>
      <c r="BL7" s="9">
        <v>0.0</v>
      </c>
      <c r="BM7" s="9">
        <v>0.0</v>
      </c>
      <c r="BO7" s="32">
        <v>-2.1E7</v>
      </c>
      <c r="BR7" s="9" t="s">
        <v>25</v>
      </c>
      <c r="BS7" s="9">
        <v>0.0</v>
      </c>
      <c r="BT7" s="9">
        <v>0.0</v>
      </c>
      <c r="BW7" s="9">
        <v>0.0</v>
      </c>
      <c r="BY7" s="9">
        <v>0.0</v>
      </c>
      <c r="BZ7" s="9">
        <v>0.0</v>
      </c>
      <c r="CC7" s="9">
        <v>0.0</v>
      </c>
      <c r="CD7" s="32">
        <v>-2.1E7</v>
      </c>
      <c r="DA7" s="9">
        <v>0.0</v>
      </c>
      <c r="DB7" s="9">
        <v>0.0</v>
      </c>
      <c r="DE7" s="9">
        <v>0.0</v>
      </c>
      <c r="DF7" s="9">
        <v>0.0</v>
      </c>
      <c r="DG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