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TradeNewSubOrder" sheetId="13" r:id="rId15"/>
    <sheet state="visible" name="CreateDoneAwayOrder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<sst xmlns="http://schemas.openxmlformats.org/spreadsheetml/2006/main" count="129" uniqueCount="44">
  <si>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</si>
  <si>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</si>
  <si>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</si>
  <si>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</si>
  <si>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</si>
  <si>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</si>
  <si>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</si>
  <si>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</si>
  <si>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</si>
  <si>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</si>
  <si>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</si>
  <si>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</si>
  <si>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</si>
  <si>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</si>
  <si>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</si>
  <si>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</si>
  <si>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</si>
  <si>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</si>
  <si>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</si>
  <si>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</si>
  <si>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</si>
  <si>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</si>
  <si>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BMW-FRA</t>
  </si>
  <si>
    <t>Buy</t>
  </si>
  <si>
    <t>PricingInput</t>
  </si>
  <si>
    <t>GetForexConversion</t>
  </si>
  <si>
    <t>UpdateForexConversion</t>
  </si>
  <si>
    <t>EUR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</si>
  <si>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</si>
  <si>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</si>
  <si>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</si>
  <si>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</si>
  <si>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</si>
  <si>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</si>
  <si>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</si>
  <si>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</si>
  <si>
    <t>CreateOrderPTT</t>
  </si>
  <si>
    <t>Blotter</t>
  </si>
  <si>
    <t>TradeNewSubOrder</t>
  </si>
  <si>
    <t>New</t>
  </si>
  <si>
    <t>Multiple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</si>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</sst>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45204</v>
      </c>
      <c r="C6" s="31">
        <f t="shared" si="1"/>
        <v>45204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50000.0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250.0</v>
      </c>
      <c r="E6" s="11">
        <v>250.0</v>
      </c>
      <c r="F6" s="11" t="s">
        <v>17</v>
      </c>
      <c r="G6" s="8"/>
      <c r="H6" s="8"/>
      <c r="I6" s="8"/>
      <c r="J6" s="11">
        <v>20.0</v>
      </c>
      <c r="K6" s="8"/>
      <c r="L6" s="8"/>
      <c r="M6" s="8"/>
      <c r="N6" s="31">
        <f>TODAY()</f>
        <v>45205</v>
      </c>
      <c r="O6" s="11">
        <v>0.5</v>
      </c>
    </row>
    <row r="7" ht="15.75" customHeight="1">
      <c r="A7" s="8"/>
      <c r="B7" s="11" t="s">
        <v>22</v>
      </c>
      <c r="C7" s="11" t="s">
        <v>23</v>
      </c>
      <c r="D7" s="11">
        <v>250.0</v>
      </c>
      <c r="E7" s="11">
        <v>250.0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31">
        <f>today()</f>
        <v>45205</v>
      </c>
      <c r="O7" s="11">
        <v>0.5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IFERROR(__xludf.DUMMYFUNCTION("""COMPUTED_VALUE"""),"UncheckDividendYield")</f>
        <v>UncheckDividendYield</v>
      </c>
      <c r="E4" s="24" t="str">
        <f>IFERROR(__xludf.DUMMYFUNCTION("""COMPUTED_VALUE"""),"EODTPreferences")</f>
        <v>EODTPreferences</v>
      </c>
      <c r="F4" s="24" t="str">
        <f>IFERROR(__xludf.DUMMYFUNCTION("""COMPUTED_VALUE"""),"LiveData")</f>
        <v>LiveData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</f>
        <v>45205</v>
      </c>
      <c r="C6" s="31">
        <f t="shared" si="1"/>
        <v>45205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18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30</v>
      </c>
      <c r="D6" s="11" t="s">
        <v>31</v>
      </c>
      <c r="E6" s="11">
        <v>30.0</v>
      </c>
      <c r="F6" s="8"/>
      <c r="G6" s="11" t="s">
        <v>32</v>
      </c>
      <c r="H6" s="11" t="s">
        <v>33</v>
      </c>
      <c r="I6" s="11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500.0</v>
      </c>
      <c r="E6" s="32"/>
      <c r="F6" s="11">
        <v>17.39</v>
      </c>
      <c r="G6" s="11">
        <v>29.98</v>
      </c>
      <c r="H6" s="11">
        <v>47.37</v>
      </c>
      <c r="I6" s="11">
        <v>862.0</v>
      </c>
      <c r="J6" s="11">
        <v>1362.0</v>
      </c>
      <c r="K6" s="11">
        <v>54480.0</v>
      </c>
      <c r="L6" s="8"/>
      <c r="M6" s="11">
        <v>2.0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IFERROR(__xludf.DUMMYFUNCTION("IF(C3="""","""",Transpose(IMPORTRANGE('_Settings'!$B$3,C3&amp;""!A4:A1000"")))"),"AutoStageImportFromPTTExport")</f>
        <v>AutoStageImportFromPTTExport</v>
      </c>
      <c r="C4" s="24" t="str">
        <f>IFERROR(__xludf.DUMMYFUNCTION("""COMPUTED_VALUE"""),"EditPTTAccountLevelWPF")</f>
        <v>EditPTTAccountLevelWPF</v>
      </c>
      <c r="D4" s="24" t="str">
        <f>IFERROR(__xludf.DUMMYFUNCTION("""COMPUTED_VALUE"""),"SetDefaultSymbology")</f>
        <v>SetDefaultSymbology</v>
      </c>
      <c r="E4" s="24" t="str">
        <f>IFERROR(__xludf.DUMMYFUNCTION("""COMPUTED_VALUE"""),"EditPTTWPFGrid")</f>
        <v>EditPTTWPFGrid</v>
      </c>
      <c r="F4" s="24" t="str">
        <f>IFERROR(__xludf.DUMMYFUNCTION("""COMPUTED_VALUE"""),"CreateOrderAfterEditPTT")</f>
        <v>CreateOrderAfterEditPTT</v>
      </c>
      <c r="G4" s="24" t="str">
        <f>IFERROR(__xludf.DUMMYFUNCTION("""COMPUTED_VALUE"""),"EditPTTRecord")</f>
        <v>EditPTTRecord</v>
      </c>
      <c r="H4" s="24" t="str">
        <f>IFERROR(__xludf.DUMMYFUNCTION("""COMPUTED_VALUE"""),"SelectPTTRecord")</f>
        <v>SelectPTTRecord</v>
      </c>
      <c r="I4" s="24" t="str">
        <f>IFERROR(__xludf.DUMMYFUNCTION("""COMPUTED_VALUE"""),"CalculatePTT")</f>
        <v>CalculatePTT</v>
      </c>
      <c r="J4" s="24" t="str">
        <f>IFERROR(__xludf.DUMMYFUNCTION("""COMPUTED_VALUE"""),"TradeUsingPTT")</f>
        <v>TradeUsingPTT</v>
      </c>
      <c r="K4" s="24" t="str">
        <f>IFERROR(__xludf.DUMMYFUNCTION("""COMPUTED_VALUE"""),"VerifyPTTCompliance")</f>
        <v>VerifyPTTCompliance</v>
      </c>
      <c r="L4" s="24" t="str">
        <f>IFERROR(__xludf.DUMMYFUNCTION("""COMPUTED_VALUE"""),"StageOrderUsingPTT")</f>
        <v>StageOrderUsingPTT</v>
      </c>
      <c r="M4" s="24" t="str">
        <f>IFERROR(__xludf.DUMMYFUNCTION("""COMPUTED_VALUE"""),"CreateOrderPTT")</f>
        <v>CreateOrderPTT</v>
      </c>
      <c r="N4" s="24" t="str">
        <f>IFERROR(__xludf.DUMMYFUNCTION("""COMPUTED_VALUE"""),"TradePTT")</f>
        <v>TradePTT</v>
      </c>
      <c r="O4" s="24" t="str">
        <f>IFERROR(__xludf.DUMMYFUNCTION("""COMPUTED_VALUE"""),"VerifyPTT")</f>
        <v>VerifyPTT</v>
      </c>
      <c r="P4" s="25" t="str">
        <f>IFERROR(__xludf.DUMMYFUNCTION("""COMPUTED_VALUE"""),"OpenMultiTTFromPTT")</f>
        <v>OpenMultiTTFromPTT</v>
      </c>
      <c r="Q4" s="25" t="str">
        <f>IFERROR(__xludf.DUMMYFUNCTION("""COMPUTED_VALUE"""),"SelectMultiTT")</f>
        <v>SelectMultiTT</v>
      </c>
      <c r="R4" s="25" t="str">
        <f>IFERROR(__xludf.DUMMYFUNCTION("""COMPUTED_VALUE"""),"EditMultiTT")</f>
        <v>EditMultiTT</v>
      </c>
      <c r="S4" s="25" t="str">
        <f>IFERROR(__xludf.DUMMYFUNCTION("""COMPUTED_VALUE"""),"SetLongShortPTTPreference")</f>
        <v>SetLongShortPTTPreference</v>
      </c>
      <c r="T4" s="25" t="str">
        <f>IFERROR(__xludf.DUMMYFUNCTION("""COMPUTED_VALUE"""),"SetPTTPreference")</f>
        <v>SetPTTPreference</v>
      </c>
      <c r="U4" s="25" t="str">
        <f>IFERROR(__xludf.DUMMYFUNCTION("""COMPUTED_VALUE"""),"SetAccountFactor")</f>
        <v>SetAccountFactor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30</v>
      </c>
      <c r="D6" s="11" t="s">
        <v>31</v>
      </c>
      <c r="E6" s="11">
        <v>30.0</v>
      </c>
      <c r="F6" s="8"/>
      <c r="G6" s="11" t="s">
        <v>32</v>
      </c>
      <c r="H6" s="11" t="s">
        <v>33</v>
      </c>
      <c r="I6" s="11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39</v>
      </c>
      <c r="AL6" s="9">
        <v>862.0</v>
      </c>
      <c r="AP6" s="9">
        <v>862.0</v>
      </c>
      <c r="AT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11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42</v>
      </c>
      <c r="AL6" s="9">
        <v>862.0</v>
      </c>
      <c r="AM6" s="9">
        <v>862.0</v>
      </c>
      <c r="AN6" s="9">
        <v>100.0</v>
      </c>
      <c r="A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