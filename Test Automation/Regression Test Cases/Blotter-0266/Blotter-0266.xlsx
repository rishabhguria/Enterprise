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PricingInput" sheetId="5" r:id="rId7"/>
    <sheet state="visible" name="GetDailyCash" sheetId="6" r:id="rId8"/>
    <sheet state="visible" name="UpdateMultipleDailyCash" sheetId="7" r:id="rId9"/>
    <sheet state="visible" name="CreateDoneAwayOrder1" sheetId="8" r:id="rId10"/>
    <sheet state="visible" name="AddSymbolToWatchlist" sheetId="9" r:id="rId11"/>
    <sheet state="visible" name="TradeFromWatchlist" sheetId="10" r:id="rId12"/>
    <sheet state="visible" name="DoneAwayUsingMTT" sheetId="11" r:id="rId13"/>
    <sheet state="visible" name="TradePTT" sheetId="12" r:id="rId14"/>
    <sheet state="visible" name="SelectTradeUsingMTT" sheetId="13" r:id="rId15"/>
    <sheet state="visible" name="EditTradeUsingMTT" sheetId="14" r:id="rId16"/>
    <sheet state="visible" name="SelectTradeUsingMTT1" sheetId="15" r:id="rId17"/>
    <sheet state="visible" name="EditTradeUsingMTT1" sheetId="16" r:id="rId18"/>
    <sheet state="visible" name="SelectCheckBoxOnOrderGrid" sheetId="17" r:id="rId19"/>
    <sheet state="visible" name="VerifyLowerStripBlotterUI" sheetId="18" r:id="rId20"/>
  </sheets>
  <definedNames/>
  <calcPr/>
</workbook>
</file>

<file path=xl/sharedStrings.xml><?xml version="1.0" encoding="utf-8"?>
<sst xmlns="http://schemas.openxmlformats.org/spreadsheetml/2006/main" count="166" uniqueCount="46">
  <si>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</si>
  <si>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</si>
  <si>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</si>
  <si>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</si>
  <si>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</si>
  <si>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</si>
  <si>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</si>
  <si>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</si>
  <si>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</si>
  <si>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</si>
  <si>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</si>
  <si>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</si>
  <si>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</si>
  <si>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</si>
  <si>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</si>
  <si>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</si>
  <si>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</si>
  <si>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</si>
  <si>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Allocation1</t>
  </si>
  <si>
    <t>PricingInput</t>
  </si>
  <si>
    <t>DailyValuation</t>
  </si>
  <si>
    <t>GetDailyCash</t>
  </si>
  <si>
    <t>UpdateMultipleDailyCash</t>
  </si>
  <si>
    <t>USD</t>
  </si>
  <si>
    <t>Allocation3</t>
  </si>
  <si>
    <t>Watchlist</t>
  </si>
  <si>
    <t>AddSymbolToWatchlist</t>
  </si>
  <si>
    <t>SAP</t>
  </si>
  <si>
    <t>TradeFromWatchlist</t>
  </si>
  <si>
    <t>MultiTradingTicket</t>
  </si>
  <si>
    <t>DoneAwayUsingMTT</t>
  </si>
  <si>
    <t>PTT</t>
  </si>
  <si>
    <t>TradePTT</t>
  </si>
  <si>
    <t>Set</t>
  </si>
  <si>
    <t>Percentage</t>
  </si>
  <si>
    <t>No</t>
  </si>
  <si>
    <t>Account</t>
  </si>
  <si>
    <t>Allocation1,Allocation2</t>
  </si>
  <si>
    <t>SelectTradeUsingMTT</t>
  </si>
  <si>
    <t>EditTradeUsingMTT</t>
  </si>
  <si>
    <t>Blotter</t>
  </si>
  <si>
    <t>SelectCheckBoxOnOrderGrid</t>
  </si>
  <si>
    <t>Filled</t>
  </si>
  <si>
    <t>MS</t>
  </si>
  <si>
    <t>VerifyLowerStripBlotterUI</t>
  </si>
  <si>
    <t>Count(Selected Orders) : 3  ;  Sum(Target Qty) : 963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</si>
</sst>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5" numFmtId="164" xfId="0" applyAlignment="1" applyFont="1" applyNumberFormat="1">
      <alignment readingOrder="0" shrinkToFit="0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shrinkToFit="0" vertical="bottom" wrapText="0"/>
    </xf>
    <xf borderId="0" fillId="0" fontId="3" numFmtId="3" xfId="0" applyAlignment="1" applyFont="1" applyNumberForma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>
      <c r="A634" t="str">
        <f>IFERROR(__xludf.DUMMYFUNCTION("""COMPUTED_VALUE"""),"TradingTicket")</f>
        <v>TradingTicket</v>
      </c>
      <c r="B634" t="str">
        <f>IFERROR(__xludf.DUMMYFUNCTION("""COMPUTED_VALUE"""),"VerifyCustomAllocationonTT")</f>
        <v>VerifyCustomAllocationonTT</v>
      </c>
      <c r="C634" t="str">
        <f>IFERROR(__xludf.DUMMYFUNCTION("""COMPUTED_VALUE"""),"10ici7f6_wpSFiwpn22nHeSOFsZ1dU_pzk6nMLQKHIRY")</f>
        <v>10ici7f6_wpSFiwpn22nHeSOFsZ1dU_pzk6nMLQKHIRY</v>
      </c>
    </row>
    <row r="635" ht="15.75" customHeight="1">
      <c r="A635" t="str">
        <f>IFERROR(__xludf.DUMMYFUNCTION("""COMPUTED_VALUE"""),"Blotter")</f>
        <v>Blotter</v>
      </c>
      <c r="B635" t="str">
        <f>IFERROR(__xludf.DUMMYFUNCTION("""COMPUTED_VALUE"""),"ReAllocateFromBlotterByAllocate")</f>
        <v>ReAllocateFromBlotterByAllocate</v>
      </c>
      <c r="C635" t="str">
        <f>IFERROR(__xludf.DUMMYFUNCTION("""COMPUTED_VALUE"""),"1RA-PKK7Kzfl_fgl03zAC8sp1VOE9HjaY5EL7ItkPBK4")</f>
        <v>1RA-PKK7Kzfl_fgl03zAC8sp1VOE9HjaY5EL7ItkPBK4</v>
      </c>
    </row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100.0</v>
      </c>
      <c r="E6" s="31"/>
      <c r="F6" s="13" t="s">
        <v>18</v>
      </c>
      <c r="G6" s="8"/>
      <c r="H6" s="8"/>
      <c r="I6" s="8"/>
      <c r="J6" s="13">
        <v>1.0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153.28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>
        <f t="shared" ref="B6:C6" si="1">today()-1</f>
        <v>44994</v>
      </c>
      <c r="C6" s="32">
        <f t="shared" si="1"/>
        <v>44994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23</v>
      </c>
      <c r="D6" s="13">
        <v>100000.0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24</v>
      </c>
      <c r="C7" s="13" t="s">
        <v>23</v>
      </c>
      <c r="D7" s="13">
        <v>100000.0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UpdateMultipleDailyCash!$4:$4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663.0</v>
      </c>
      <c r="E6" s="31"/>
      <c r="F6" s="8"/>
      <c r="G6" s="8"/>
      <c r="H6" s="8"/>
      <c r="I6" s="8"/>
      <c r="J6" s="13">
        <v>153.28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IFERROR(__xludf.DUMMYFUNCTION("IF(C3="""","""",Transpose(IMPORTRANGE('_Settings'!$B$3,C3&amp;""!A4:A1000"")))"),"VerifySymbolsOnWatchlist")</f>
        <v>VerifySymbolsOnWatchlist</v>
      </c>
      <c r="C4" s="25" t="str">
        <f>IFERROR(__xludf.DUMMYFUNCTION("""COMPUTED_VALUE"""),"DeleteSymbolFromWatchlist")</f>
        <v>DeleteSymbolFromWatchlist</v>
      </c>
      <c r="D4" s="25" t="str">
        <f>IFERROR(__xludf.DUMMYFUNCTION("""COMPUTED_VALUE"""),"MultiTradeFromWatchlist")</f>
        <v>MultiTradeFromWatchlist</v>
      </c>
      <c r="E4" s="25" t="str">
        <f>IFERROR(__xludf.DUMMYFUNCTION("""COMPUTED_VALUE"""),"TradeFromWatchlist")</f>
        <v>TradeFromWatchlist</v>
      </c>
      <c r="F4" s="25" t="str">
        <f>IFERROR(__xludf.DUMMYFUNCTION("""COMPUTED_VALUE"""),"AddSymbolToWatchlist")</f>
        <v>AddSymbolToWatchlist</v>
      </c>
      <c r="G4" s="25" t="str">
        <f>IFERROR(__xludf.DUMMYFUNCTION("""COMPUTED_VALUE"""),"DeleteTabOnWatchlist")</f>
        <v>DeleteTabOnWatchlist</v>
      </c>
      <c r="H4" s="25" t="str">
        <f>IFERROR(__xludf.DUMMYFUNCTION("""COMPUTED_VALUE"""),"AddTabOnWatchlist")</f>
        <v>AddTabOnWatchlist</v>
      </c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3" t="s">
        <v>27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4" t="s">
        <v>16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AddSymbolToWatchlist!$4:$4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IFERROR(__xludf.DUMMYFUNCTION("IF(C3="""","""",Transpose(IMPORTRANGE('_Settings'!$B$3,C3&amp;""!A4:A1000"")))"),"VerifySymbolsOnWatchlist")</f>
        <v>VerifySymbolsOnWatchlist</v>
      </c>
      <c r="C4" s="25" t="str">
        <f>IFERROR(__xludf.DUMMYFUNCTION("""COMPUTED_VALUE"""),"DeleteSymbolFromWatchlist")</f>
        <v>DeleteSymbolFromWatchlist</v>
      </c>
      <c r="D4" s="25" t="str">
        <f>IFERROR(__xludf.DUMMYFUNCTION("""COMPUTED_VALUE"""),"MultiTradeFromWatchlist")</f>
        <v>MultiTradeFromWatchlist</v>
      </c>
      <c r="E4" s="25" t="str">
        <f>IFERROR(__xludf.DUMMYFUNCTION("""COMPUTED_VALUE"""),"TradeFromWatchlist")</f>
        <v>TradeFromWatchlist</v>
      </c>
      <c r="F4" s="25" t="str">
        <f>IFERROR(__xludf.DUMMYFUNCTION("""COMPUTED_VALUE"""),"AddSymbolToWatchlist")</f>
        <v>AddSymbolToWatchlist</v>
      </c>
      <c r="G4" s="25" t="str">
        <f>IFERROR(__xludf.DUMMYFUNCTION("""COMPUTED_VALUE"""),"DeleteTabOnWatchlist")</f>
        <v>DeleteTabOnWatchlist</v>
      </c>
      <c r="H4" s="25" t="str">
        <f>IFERROR(__xludf.DUMMYFUNCTION("""COMPUTED_VALUE"""),"AddTabOnWatchlist")</f>
        <v>AddTabOnWatchlist</v>
      </c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5" t="s">
        <v>27</v>
      </c>
      <c r="C6" s="36" t="s">
        <v>17</v>
      </c>
      <c r="D6" s="35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6" t="s">
        <v>16</v>
      </c>
      <c r="C7" s="36" t="s">
        <v>17</v>
      </c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TradeFromWatchlist!$4:$4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IFERROR(__xludf.DUMMYFUNCTION("""COMPUTED_VALUE"""),"SharesOutstandingPopUp")</f>
        <v>SharesOutstandingPopUp</v>
      </c>
      <c r="AL5" s="30" t="str">
        <f>IFERROR(__xludf.DUMMYFUNCTION("""COMPUTED_VALUE"""),"PopUpQuantity")</f>
        <v>PopUpQuantity</v>
      </c>
      <c r="AM5" s="30" t="str">
        <f>IFERROR(__xludf.DUMMYFUNCTION("""COMPUTED_VALUE"""),"ResAllowedListPopUp")</f>
        <v>ResAllowedListPopUp</v>
      </c>
      <c r="AN5" s="30" t="str">
        <f>IFERROR(__xludf.DUMMYFUNCTION("""COMPUTED_VALUE"""),"INFORMATIONRELATEDPOPUP_YESORNO")</f>
        <v>INFORMATIONRELATEDPOPUP_YESORNO</v>
      </c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5" t="s">
        <v>27</v>
      </c>
      <c r="C6" s="36" t="s">
        <v>17</v>
      </c>
      <c r="D6" s="37">
        <v>100.0</v>
      </c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6" t="s">
        <v>16</v>
      </c>
      <c r="C7" s="36" t="s">
        <v>17</v>
      </c>
      <c r="D7" s="38">
        <v>200.0</v>
      </c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DoneAwayUsingMTT!$4:$4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IFERROR(__xludf.DUMMYFUNCTION("""COMPUTED_VALUE"""),"MTT POP UP?")</f>
        <v>MTT POP UP?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5" t="s">
        <v>16</v>
      </c>
      <c r="C6" s="39" t="s">
        <v>33</v>
      </c>
      <c r="D6" s="35" t="s">
        <v>34</v>
      </c>
      <c r="E6" s="38">
        <v>90.0</v>
      </c>
      <c r="F6" s="40"/>
      <c r="G6" s="36" t="s">
        <v>35</v>
      </c>
      <c r="H6" s="36" t="s">
        <v>36</v>
      </c>
      <c r="I6" s="41" t="s">
        <v>37</v>
      </c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27</v>
      </c>
      <c r="C6" s="13" t="s">
        <v>17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SelectTradeUsingMTT!$4:$4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27</v>
      </c>
      <c r="C6" s="13" t="s">
        <v>17</v>
      </c>
      <c r="D6" s="13">
        <v>100.0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EditTradeUsingMTT!$4:$4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SelectTradeUsingMTT1!$4:$4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200.0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EditTradeUsingMTT1!$4:$4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153.28</v>
      </c>
      <c r="C6" s="8"/>
      <c r="D6" s="13" t="s">
        <v>16</v>
      </c>
      <c r="E6" s="31"/>
      <c r="F6" s="13" t="s">
        <v>17</v>
      </c>
      <c r="G6" s="13" t="s">
        <v>42</v>
      </c>
      <c r="H6" s="13">
        <v>663.0</v>
      </c>
      <c r="I6" s="8"/>
      <c r="J6" s="8"/>
      <c r="K6" s="8"/>
      <c r="L6" s="8"/>
      <c r="M6" s="8"/>
      <c r="N6" s="8"/>
      <c r="O6" s="8"/>
      <c r="Q6" s="9" t="s">
        <v>43</v>
      </c>
      <c r="R6" s="9" t="s">
        <v>18</v>
      </c>
    </row>
    <row r="7" ht="15.75" customHeight="1">
      <c r="A7" s="8"/>
      <c r="B7" s="13">
        <v>0.0</v>
      </c>
      <c r="C7" s="8"/>
      <c r="D7" s="13" t="s">
        <v>16</v>
      </c>
      <c r="E7" s="8"/>
      <c r="F7" s="13" t="s">
        <v>17</v>
      </c>
      <c r="G7" s="13" t="s">
        <v>42</v>
      </c>
      <c r="H7" s="13">
        <v>200.0</v>
      </c>
      <c r="I7" s="8"/>
      <c r="J7" s="8"/>
      <c r="K7" s="8"/>
      <c r="L7" s="8"/>
      <c r="M7" s="8"/>
      <c r="N7" s="8"/>
      <c r="O7" s="8"/>
      <c r="Q7" s="9" t="s">
        <v>43</v>
      </c>
      <c r="R7" s="9" t="s">
        <v>18</v>
      </c>
    </row>
    <row r="8" ht="15.75" customHeight="1">
      <c r="A8" s="8"/>
      <c r="B8" s="13">
        <v>0.0</v>
      </c>
      <c r="C8" s="8"/>
      <c r="D8" s="13" t="s">
        <v>27</v>
      </c>
      <c r="E8" s="8"/>
      <c r="F8" s="13" t="s">
        <v>17</v>
      </c>
      <c r="G8" s="13" t="s">
        <v>42</v>
      </c>
      <c r="H8" s="13">
        <v>100.0</v>
      </c>
      <c r="I8" s="8"/>
      <c r="J8" s="8"/>
      <c r="K8" s="8"/>
      <c r="L8" s="8"/>
      <c r="M8" s="8"/>
      <c r="N8" s="8"/>
      <c r="O8" s="8"/>
      <c r="Q8" s="9" t="s">
        <v>43</v>
      </c>
      <c r="R8" s="9" t="s">
        <v>18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SelectCheckBoxOnOrderGrid!$4:$4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IFERROR(__xludf.DUMMYFUNCTION("""COMPUTED_VALUE"""),"Count(Orders),Sum(TargetQty)")</f>
        <v>Count(Orders),Sum(TargetQty)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</row>
    <row r="6" ht="15.75" customHeight="1">
      <c r="A6" s="35"/>
      <c r="B6" s="42" t="s">
        <v>45</v>
      </c>
      <c r="C6" s="35"/>
      <c r="D6" s="35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  <c r="EY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VerifyLowerStripBlotterUI!$4:$4</formula1>
    </dataValidation>
  </dataValidations>
  <drawing r:id="rId1"/>
</worksheet>
</file>