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SelectTradeUnexpiredUnsettled" sheetId="6" r:id="rId8"/>
    <sheet state="visible" name="ExerciseAssignment" sheetId="7" r:id="rId9"/>
    <sheet state="visible" name="GetDataAllocation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<sst xmlns="http://schemas.openxmlformats.org/spreadsheetml/2006/main" count="161" uniqueCount="49">
  <si>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</si>
  <si>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</si>
  <si>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</si>
  <si>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</si>
  <si>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</si>
  <si>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</si>
  <si>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</si>
  <si>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</si>
  <si>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</si>
  <si>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</si>
  <si>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</si>
  <si>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</si>
  <si>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</si>
  <si>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</si>
  <si>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</si>
  <si>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</si>
  <si>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13A500.00</t>
  </si>
  <si>
    <t>Buy to Open</t>
  </si>
  <si>
    <t>Closing</t>
  </si>
  <si>
    <t>GetDataClosing</t>
  </si>
  <si>
    <t>Current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</si>
  <si>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</si>
  <si>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</si>
  <si>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</si>
  <si>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</si>
  <si>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</si>
  <si>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</si>
  <si>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</si>
  <si>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</si>
  <si>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</si>
  <si>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</si>
  <si>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</si>
  <si>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</si>
  <si>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</si>
  <si>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</si>
  <si>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</si>
  <si>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</si>
  <si>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AAPL</t>
  </si>
  <si>
    <t>NASDAQ</t>
  </si>
  <si>
    <t>M</t>
  </si>
  <si>
    <t>Exercise/Assign</t>
  </si>
  <si>
    <t>InternalOrder</t>
  </si>
  <si>
    <t>Buy</t>
  </si>
  <si>
    <t>Strategy Unallocated</t>
  </si>
  <si>
    <t>GCCAP1</t>
  </si>
  <si>
    <t>Exercise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</si>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</sst>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13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 t="str">
        <f>IFERROR(__xludf.DUMMYFUNCTION("""COMPUTED_VALUE"""),"SelectCreateTransactions")</f>
        <v>SelectCreateTransactions</v>
      </c>
      <c r="AX4" s="26" t="str">
        <f>IFERROR(__xludf.DUMMYFUNCTION("""COMPUTED_VALUE"""),"EditClosingTransactions")</f>
        <v>EditClosingTransactions</v>
      </c>
      <c r="AY4" s="26" t="str">
        <f>IFERROR(__xludf.DUMMYFUNCTION("""COMPUTED_VALUE"""),"AddDuplicateRow")</f>
        <v>AddDuplicateRow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27</v>
      </c>
      <c r="B6" s="32" t="s">
        <v>22</v>
      </c>
      <c r="C6" s="8" t="s">
        <v>28</v>
      </c>
      <c r="D6" s="32"/>
      <c r="E6" s="8">
        <v>10000.0</v>
      </c>
      <c r="F6" s="8" t="s">
        <v>29</v>
      </c>
      <c r="G6" s="8" t="s">
        <v>30</v>
      </c>
      <c r="H6" s="8"/>
      <c r="I6" s="8"/>
      <c r="J6" s="8"/>
      <c r="K6" s="8">
        <v>500.0</v>
      </c>
      <c r="L6" s="8">
        <v>500.0</v>
      </c>
      <c r="M6" s="8" t="s">
        <v>31</v>
      </c>
      <c r="N6" s="8" t="s">
        <v>32</v>
      </c>
      <c r="O6" s="8" t="s">
        <v>33</v>
      </c>
      <c r="S6" t="s">
        <v>34</v>
      </c>
      <c r="V6" t="s">
        <v>35</v>
      </c>
      <c r="Y6" t="s">
        <v>27</v>
      </c>
      <c r="Z6" t="s">
        <v>36</v>
      </c>
      <c r="AA6" t="s">
        <v>37</v>
      </c>
      <c r="AD6" t="s">
        <v>38</v>
      </c>
      <c r="AE6">
        <v>10000.0</v>
      </c>
      <c r="AF6" t="s">
        <v>27</v>
      </c>
      <c r="AH6" t="s">
        <v>39</v>
      </c>
      <c r="AI6">
        <v>1.0</v>
      </c>
      <c r="AJ6" t="s">
        <v>40</v>
      </c>
      <c r="AN6" t="b">
        <v>0</v>
      </c>
      <c r="AP6" t="b">
        <v>1</v>
      </c>
      <c r="AQ6" t="b">
        <v>0</v>
      </c>
      <c r="AR6" t="b">
        <v>1</v>
      </c>
      <c r="AT6">
        <v>5100000.0</v>
      </c>
      <c r="AU6">
        <v>5100000.0</v>
      </c>
      <c r="AX6">
        <v>100000.0</v>
      </c>
      <c r="BD6" t="s">
        <v>41</v>
      </c>
      <c r="BE6">
        <v>5000000.0</v>
      </c>
      <c r="BF6">
        <v>5000000.0</v>
      </c>
      <c r="BJ6">
        <v>10000.0</v>
      </c>
      <c r="BL6" t="s">
        <v>27</v>
      </c>
      <c r="BM6" t="s">
        <v>36</v>
      </c>
      <c r="BO6" t="s">
        <v>42</v>
      </c>
      <c r="BS6" t="s">
        <v>43</v>
      </c>
      <c r="BT6" s="33" t="s">
        <v>37</v>
      </c>
      <c r="BW6">
        <v>100000.0</v>
      </c>
      <c r="CF6" t="s">
        <v>44</v>
      </c>
      <c r="CH6" t="s">
        <v>18</v>
      </c>
      <c r="CI6" t="s">
        <v>45</v>
      </c>
      <c r="CK6" t="s">
        <v>46</v>
      </c>
      <c r="CL6">
        <v>1.0</v>
      </c>
      <c r="CM6" t="s">
        <v>37</v>
      </c>
      <c r="CN6" t="s">
        <v>47</v>
      </c>
      <c r="CP6" t="s">
        <v>48</v>
      </c>
      <c r="CS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