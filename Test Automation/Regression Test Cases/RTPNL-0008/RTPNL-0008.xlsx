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OpenRTPNL" sheetId="10" r:id="rId12"/>
    <sheet state="visible" name="AddWidget" sheetId="11" r:id="rId13"/>
    <sheet state="visible" name="VerifyColour" sheetId="12" r:id="rId14"/>
  </sheets>
  <definedNames/>
  <calcPr/>
</workbook>
</file>

<file path=xl/sharedStrings.xml><?xml version="1.0" encoding="utf-8"?>
<sst xmlns="http://schemas.openxmlformats.org/spreadsheetml/2006/main" count="93" uniqueCount="41">
  <si>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</si>
  <si>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</si>
  <si>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</si>
  <si>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</si>
  <si>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</si>
  <si>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</si>
  <si>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</si>
  <si>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</si>
  <si>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</si>
  <si>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</si>
  <si>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</si>
  <si>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</si>
  <si>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</si>
  <si>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</si>
  <si>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</si>
  <si>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</si>
  <si>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</si>
  <si>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</si>
  <si>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DailyValuation</t>
  </si>
  <si>
    <t>GetDailyCash</t>
  </si>
  <si>
    <t>UpdateMultipleDailyCash</t>
  </si>
  <si>
    <t>Allocation1</t>
  </si>
  <si>
    <t>USD</t>
  </si>
  <si>
    <t>GetMarkPriceData</t>
  </si>
  <si>
    <t>UpdateMarkPrice</t>
  </si>
  <si>
    <t>PricingInput</t>
  </si>
  <si>
    <t>RTPNL</t>
  </si>
  <si>
    <t>OpenRTPNL</t>
  </si>
  <si>
    <t>Nirvana</t>
  </si>
  <si>
    <t>kartik</t>
  </si>
  <si>
    <t>RealTimeVerification</t>
  </si>
  <si>
    <t>AddWidget</t>
  </si>
  <si>
    <t>FundLevel</t>
  </si>
  <si>
    <t>RealTime</t>
  </si>
  <si>
    <t>Symbol Fund</t>
  </si>
  <si>
    <t>OpenFin</t>
  </si>
  <si>
    <t>VerifyColour</t>
  </si>
  <si>
    <t>Nirvana,kartik</t>
  </si>
  <si>
    <t>Position,Px Selected Feed (Local),Px Selected Feed (Base),Market Value (Base),% Net Market Value (Base),Cost Basis P&amp;L (Base),% Gain/Loss Cost,Exposure (Base)</t>
  </si>
  <si>
    <t>green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</si>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</sst>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1000.0</v>
      </c>
      <c r="E6" s="33"/>
      <c r="F6" s="33"/>
      <c r="G6" s="33"/>
      <c r="H6" s="33"/>
      <c r="I6" s="33"/>
      <c r="J6" s="34">
        <v>10.0</v>
      </c>
      <c r="K6" s="33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33"/>
      <c r="J7" s="33"/>
      <c r="K7" s="33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33"/>
      <c r="H8" s="33"/>
      <c r="I8" s="33"/>
      <c r="J8" s="33"/>
      <c r="K8" s="33"/>
      <c r="L8" s="8"/>
      <c r="M8" s="8"/>
      <c r="N8" s="8"/>
      <c r="O8" s="8"/>
    </row>
    <row r="9" ht="15.75" customHeight="1">
      <c r="A9" s="8"/>
      <c r="B9" s="33"/>
      <c r="C9" s="33"/>
      <c r="D9" s="33"/>
      <c r="E9" s="33"/>
      <c r="F9" s="33"/>
      <c r="G9" s="33"/>
      <c r="H9" s="33"/>
      <c r="I9" s="33"/>
      <c r="J9" s="33"/>
      <c r="K9" s="33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45487</v>
      </c>
      <c r="C6" s="35">
        <f>TODAY()</f>
        <v>45488</v>
      </c>
      <c r="D6" s="36"/>
      <c r="E6" s="33"/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32">
        <v>100000.0</v>
      </c>
      <c r="E6" s="33"/>
      <c r="F6" s="33"/>
      <c r="G6" s="33"/>
      <c r="H6" s="33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33"/>
      <c r="H8" s="33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 t="shared" ref="B6:C6" si="1">TODAY()</f>
        <v>45488</v>
      </c>
      <c r="C6" s="35">
        <f t="shared" si="1"/>
        <v>45488</v>
      </c>
      <c r="D6" s="36"/>
      <c r="E6" s="33"/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16</v>
      </c>
      <c r="C6" s="34">
        <v>10.0</v>
      </c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4">
        <v>20.0</v>
      </c>
      <c r="D6" s="36"/>
      <c r="E6" s="33"/>
      <c r="F6" s="33"/>
      <c r="G6" s="33"/>
      <c r="H6" s="33"/>
      <c r="I6" s="33"/>
      <c r="J6" s="33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33"/>
      <c r="H7" s="33"/>
      <c r="I7" s="33"/>
      <c r="J7" s="3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28</v>
      </c>
      <c r="C6" s="31" t="s">
        <v>29</v>
      </c>
      <c r="D6" s="37" t="s">
        <v>30</v>
      </c>
      <c r="E6" s="38" t="b">
        <v>1</v>
      </c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29</v>
      </c>
      <c r="C6" s="31" t="s">
        <v>32</v>
      </c>
      <c r="D6" s="39"/>
      <c r="E6" s="40" t="s">
        <v>33</v>
      </c>
      <c r="F6" s="37" t="s">
        <v>34</v>
      </c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IFERROR(__xludf.DUMMYFUNCTION("""COMPUTED_VALUE"""),"Object")</f>
        <v>Object</v>
      </c>
      <c r="D5" s="27" t="str">
        <f>IFERROR(__xludf.DUMMYFUNCTION("""COMPUTED_VALUE"""),"Colour")</f>
        <v>Colour</v>
      </c>
      <c r="E5" s="27" t="str">
        <f>IFERROR(__xludf.DUMMYFUNCTION("""COMPUTED_VALUE"""),"Attribute")</f>
        <v>Attribute</v>
      </c>
      <c r="F5" s="28" t="str">
        <f>IFERROR(__xludf.DUMMYFUNCTION("""COMPUTED_VALUE"""),"TabName")</f>
        <v>TabName</v>
      </c>
      <c r="G5" s="27" t="str">
        <f>IFERROR(__xludf.DUMMYFUNCTION("""COMPUTED_VALUE"""),"IsSvg?")</f>
        <v>IsSvg?</v>
      </c>
      <c r="H5" s="27" t="str">
        <f>IFERROR(__xludf.DUMMYFUNCTION("""COMPUTED_VALUE"""),"Description")</f>
        <v>Description</v>
      </c>
      <c r="I5" s="27" t="str">
        <f>IFERROR(__xludf.DUMMYFUNCTION("""COMPUTED_VALUE"""),"Save?")</f>
        <v>Save?</v>
      </c>
      <c r="J5" s="27" t="str">
        <f>IFERROR(__xludf.DUMMYFUNCTION("""COMPUTED_VALUE"""),"CreateTableForRTPNL")</f>
        <v>CreateTableForRTPNL</v>
      </c>
      <c r="K5" s="27" t="str">
        <f>IFERROR(__xludf.DUMMYFUNCTION("""COMPUTED_VALUE"""),"Account/MF name")</f>
        <v>Account/MF name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37</v>
      </c>
      <c r="C6" s="39" t="s">
        <v>38</v>
      </c>
      <c r="D6" s="36" t="s">
        <v>39</v>
      </c>
      <c r="E6" s="33" t="s">
        <v>40</v>
      </c>
      <c r="F6" s="31" t="s">
        <v>29</v>
      </c>
      <c r="G6" s="33"/>
      <c r="H6" s="33"/>
      <c r="I6" s="33"/>
      <c r="J6" s="38" t="b">
        <v>1</v>
      </c>
      <c r="K6" s="37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VerifyColour!$4:$4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