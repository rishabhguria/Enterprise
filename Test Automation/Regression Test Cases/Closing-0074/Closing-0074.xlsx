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7" activeTab="11"/>
  </bookViews>
  <sheets>
    <sheet name="_Modules" sheetId="1" r:id="rId1"/>
    <sheet name="_Settings" sheetId="2" r:id="rId2"/>
    <sheet name="_MasterData" sheetId="3" r:id="rId3"/>
    <sheet name="CreateDoneAwayOrder" sheetId="4" r:id="rId4"/>
    <sheet name="GetDataClosing" sheetId="5" r:id="rId5"/>
    <sheet name="VerifyLongPositionsGrid" sheetId="6" r:id="rId6"/>
    <sheet name="VerifyShortPositionsGrid" sheetId="7" r:id="rId7"/>
    <sheet name="ManualClosing" sheetId="8" r:id="rId8"/>
    <sheet name="VerifyClosedTrades" sheetId="9" r:id="rId9"/>
    <sheet name="GetDataAllocation" sheetId="10" r:id="rId10"/>
    <sheet name="CheckAllocatedGroups" sheetId="11" r:id="rId11"/>
    <sheet name="CheckPortfolioManagement" sheetId="12" r:id="rId12"/>
  </sheets>
  <calcPr calcId="145621"/>
</workbook>
</file>

<file path=xl/calcChain.xml><?xml version="1.0" encoding="utf-8"?>
<calcChain xmlns="http://schemas.openxmlformats.org/spreadsheetml/2006/main">
  <c r="J2" i="12" l="1"/>
  <c r="J2" i="11"/>
  <c r="J2" i="10"/>
  <c r="J2" i="9"/>
  <c r="J2" i="8"/>
  <c r="J2" i="7"/>
  <c r="J2" i="6"/>
  <c r="J2" i="5"/>
  <c r="J2" i="4"/>
  <c r="BK5" i="12"/>
  <c r="FB5" i="12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X4" i="12"/>
  <c r="P4" i="12"/>
  <c r="H4" i="12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L5" i="10"/>
  <c r="D5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AD5" i="9"/>
  <c r="V5" i="9"/>
  <c r="N5" i="9"/>
  <c r="F5" i="9"/>
  <c r="AA4" i="9"/>
  <c r="S4" i="9"/>
  <c r="K4" i="9"/>
  <c r="C4" i="9"/>
  <c r="AZ5" i="8"/>
  <c r="AR5" i="8"/>
  <c r="AJ5" i="8"/>
  <c r="AB5" i="8"/>
  <c r="T5" i="8"/>
  <c r="L5" i="8"/>
  <c r="D5" i="8"/>
  <c r="Y4" i="8"/>
  <c r="Q4" i="8"/>
  <c r="I4" i="8"/>
  <c r="S5" i="7"/>
  <c r="K5" i="7"/>
  <c r="C5" i="7"/>
  <c r="FA5" i="12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W4" i="12"/>
  <c r="O4" i="12"/>
  <c r="G4" i="12"/>
  <c r="CR5" i="11"/>
  <c r="CJ5" i="11"/>
  <c r="CB5" i="11"/>
  <c r="BT5" i="11"/>
  <c r="BL5" i="11"/>
  <c r="BD5" i="11"/>
  <c r="AV5" i="11"/>
  <c r="AN5" i="11"/>
  <c r="AF5" i="11"/>
  <c r="X5" i="11"/>
  <c r="P5" i="11"/>
  <c r="H5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K5" i="10"/>
  <c r="C5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AC5" i="9"/>
  <c r="U5" i="9"/>
  <c r="M5" i="9"/>
  <c r="E5" i="9"/>
  <c r="Z4" i="9"/>
  <c r="R4" i="9"/>
  <c r="J4" i="9"/>
  <c r="B4" i="9"/>
  <c r="AY5" i="8"/>
  <c r="AQ5" i="8"/>
  <c r="AI5" i="8"/>
  <c r="AA5" i="8"/>
  <c r="S5" i="8"/>
  <c r="K5" i="8"/>
  <c r="C5" i="8"/>
  <c r="X4" i="8"/>
  <c r="P4" i="8"/>
  <c r="H4" i="8"/>
  <c r="Z5" i="7"/>
  <c r="R5" i="7"/>
  <c r="J5" i="7"/>
  <c r="B5" i="7"/>
  <c r="W4" i="7"/>
  <c r="O4" i="7"/>
  <c r="G4" i="7"/>
  <c r="Y5" i="6"/>
  <c r="Q5" i="6"/>
  <c r="I5" i="6"/>
  <c r="A5" i="6"/>
  <c r="V4" i="6"/>
  <c r="N4" i="6"/>
  <c r="F4" i="6"/>
  <c r="C5" i="5"/>
  <c r="X4" i="5"/>
  <c r="P4" i="5"/>
  <c r="H4" i="5"/>
  <c r="AQ5" i="4"/>
  <c r="AI5" i="4"/>
  <c r="AA5" i="4"/>
  <c r="S5" i="4"/>
  <c r="K5" i="4"/>
  <c r="C5" i="4"/>
  <c r="O4" i="4"/>
  <c r="G4" i="4"/>
  <c r="C480" i="1"/>
  <c r="A478" i="1"/>
  <c r="B475" i="1"/>
  <c r="C472" i="1"/>
  <c r="EZ5" i="12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V4" i="12"/>
  <c r="N4" i="12"/>
  <c r="F4" i="12"/>
  <c r="CQ5" i="11"/>
  <c r="CI5" i="11"/>
  <c r="CA5" i="11"/>
  <c r="BS5" i="11"/>
  <c r="BK5" i="11"/>
  <c r="BC5" i="11"/>
  <c r="AU5" i="11"/>
  <c r="AM5" i="11"/>
  <c r="AE5" i="11"/>
  <c r="W5" i="11"/>
  <c r="O5" i="11"/>
  <c r="G5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R5" i="10"/>
  <c r="J5" i="10"/>
  <c r="B5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AB5" i="9"/>
  <c r="T5" i="9"/>
  <c r="L5" i="9"/>
  <c r="D5" i="9"/>
  <c r="Y4" i="9"/>
  <c r="Q4" i="9"/>
  <c r="I4" i="9"/>
  <c r="AX5" i="8"/>
  <c r="AP5" i="8"/>
  <c r="AH5" i="8"/>
  <c r="Z5" i="8"/>
  <c r="R5" i="8"/>
  <c r="J5" i="8"/>
  <c r="B5" i="8"/>
  <c r="W4" i="8"/>
  <c r="O4" i="8"/>
  <c r="G4" i="8"/>
  <c r="Y5" i="7"/>
  <c r="Q5" i="7"/>
  <c r="I5" i="7"/>
  <c r="A5" i="7"/>
  <c r="V4" i="7"/>
  <c r="N4" i="7"/>
  <c r="F4" i="7"/>
  <c r="X5" i="6"/>
  <c r="P5" i="6"/>
  <c r="H5" i="6"/>
  <c r="AC4" i="6"/>
  <c r="U4" i="6"/>
  <c r="M4" i="6"/>
  <c r="E4" i="6"/>
  <c r="B5" i="5"/>
  <c r="W4" i="5"/>
  <c r="O4" i="5"/>
  <c r="G4" i="5"/>
  <c r="AP5" i="4"/>
  <c r="AH5" i="4"/>
  <c r="Z5" i="4"/>
  <c r="R5" i="4"/>
  <c r="J5" i="4"/>
  <c r="B5" i="4"/>
  <c r="N4" i="4"/>
  <c r="F4" i="4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EY5" i="12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U4" i="12"/>
  <c r="M4" i="12"/>
  <c r="E4" i="12"/>
  <c r="CP5" i="11"/>
  <c r="CH5" i="11"/>
  <c r="BZ5" i="11"/>
  <c r="BR5" i="11"/>
  <c r="BJ5" i="11"/>
  <c r="BB5" i="11"/>
  <c r="AT5" i="11"/>
  <c r="AL5" i="11"/>
  <c r="AD5" i="11"/>
  <c r="V5" i="11"/>
  <c r="N5" i="11"/>
  <c r="F5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Q5" i="10"/>
  <c r="I5" i="10"/>
  <c r="A5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AA5" i="9"/>
  <c r="S5" i="9"/>
  <c r="K5" i="9"/>
  <c r="C5" i="9"/>
  <c r="X4" i="9"/>
  <c r="P4" i="9"/>
  <c r="H4" i="9"/>
  <c r="BE5" i="8"/>
  <c r="AW5" i="8"/>
  <c r="AO5" i="8"/>
  <c r="AG5" i="8"/>
  <c r="Y5" i="8"/>
  <c r="Q5" i="8"/>
  <c r="I5" i="8"/>
  <c r="A5" i="8"/>
  <c r="V4" i="8"/>
  <c r="N4" i="8"/>
  <c r="F4" i="8"/>
  <c r="X5" i="7"/>
  <c r="P5" i="7"/>
  <c r="H5" i="7"/>
  <c r="AC4" i="7"/>
  <c r="U4" i="7"/>
  <c r="M4" i="7"/>
  <c r="E4" i="7"/>
  <c r="W5" i="6"/>
  <c r="O5" i="6"/>
  <c r="G5" i="6"/>
  <c r="AB4" i="6"/>
  <c r="T4" i="6"/>
  <c r="L4" i="6"/>
  <c r="D4" i="6"/>
  <c r="A5" i="5"/>
  <c r="V4" i="5"/>
  <c r="N4" i="5"/>
  <c r="F4" i="5"/>
  <c r="AO5" i="4"/>
  <c r="AG5" i="4"/>
  <c r="Y5" i="4"/>
  <c r="Q5" i="4"/>
  <c r="I5" i="4"/>
  <c r="A5" i="4"/>
  <c r="M4" i="4"/>
  <c r="E4" i="4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T4" i="12"/>
  <c r="L4" i="12"/>
  <c r="D4" i="12"/>
  <c r="CO5" i="11"/>
  <c r="CG5" i="11"/>
  <c r="BY5" i="11"/>
  <c r="BQ5" i="11"/>
  <c r="BI5" i="11"/>
  <c r="BA5" i="11"/>
  <c r="AS5" i="11"/>
  <c r="AK5" i="11"/>
  <c r="AC5" i="11"/>
  <c r="U5" i="11"/>
  <c r="M5" i="11"/>
  <c r="E5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P5" i="10"/>
  <c r="H5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Z5" i="9"/>
  <c r="R5" i="9"/>
  <c r="J5" i="9"/>
  <c r="B5" i="9"/>
  <c r="W4" i="9"/>
  <c r="O4" i="9"/>
  <c r="G4" i="9"/>
  <c r="BD5" i="8"/>
  <c r="AV5" i="8"/>
  <c r="AN5" i="8"/>
  <c r="AF5" i="8"/>
  <c r="X5" i="8"/>
  <c r="P5" i="8"/>
  <c r="H5" i="8"/>
  <c r="AC4" i="8"/>
  <c r="U4" i="8"/>
  <c r="M4" i="8"/>
  <c r="E4" i="8"/>
  <c r="W5" i="7"/>
  <c r="O5" i="7"/>
  <c r="G5" i="7"/>
  <c r="AB4" i="7"/>
  <c r="T4" i="7"/>
  <c r="L4" i="7"/>
  <c r="D4" i="7"/>
  <c r="V5" i="6"/>
  <c r="N5" i="6"/>
  <c r="F5" i="6"/>
  <c r="AA4" i="6"/>
  <c r="S4" i="6"/>
  <c r="K4" i="6"/>
  <c r="C4" i="6"/>
  <c r="AC4" i="5"/>
  <c r="U4" i="5"/>
  <c r="M4" i="5"/>
  <c r="E4" i="5"/>
  <c r="AN5" i="4"/>
  <c r="AF5" i="4"/>
  <c r="X5" i="4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S4" i="12"/>
  <c r="K4" i="12"/>
  <c r="C4" i="12"/>
  <c r="CN5" i="11"/>
  <c r="CF5" i="11"/>
  <c r="BX5" i="11"/>
  <c r="BP5" i="11"/>
  <c r="BH5" i="11"/>
  <c r="AZ5" i="11"/>
  <c r="AR5" i="11"/>
  <c r="AJ5" i="11"/>
  <c r="AB5" i="11"/>
  <c r="T5" i="11"/>
  <c r="L5" i="11"/>
  <c r="D5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O5" i="10"/>
  <c r="G5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AG5" i="9"/>
  <c r="Y5" i="9"/>
  <c r="Q5" i="9"/>
  <c r="I5" i="9"/>
  <c r="A5" i="9"/>
  <c r="V4" i="9"/>
  <c r="N4" i="9"/>
  <c r="F4" i="9"/>
  <c r="BC5" i="8"/>
  <c r="AU5" i="8"/>
  <c r="AM5" i="8"/>
  <c r="AE5" i="8"/>
  <c r="W5" i="8"/>
  <c r="O5" i="8"/>
  <c r="G5" i="8"/>
  <c r="AB4" i="8"/>
  <c r="T4" i="8"/>
  <c r="L4" i="8"/>
  <c r="D4" i="8"/>
  <c r="V5" i="7"/>
  <c r="N5" i="7"/>
  <c r="F5" i="7"/>
  <c r="AA4" i="7"/>
  <c r="S4" i="7"/>
  <c r="K4" i="7"/>
  <c r="C4" i="7"/>
  <c r="U5" i="6"/>
  <c r="M5" i="6"/>
  <c r="E5" i="6"/>
  <c r="Z4" i="6"/>
  <c r="R4" i="6"/>
  <c r="J4" i="6"/>
  <c r="B4" i="6"/>
  <c r="AB4" i="5"/>
  <c r="T4" i="5"/>
  <c r="L4" i="5"/>
  <c r="D4" i="5"/>
  <c r="AM5" i="4"/>
  <c r="AE5" i="4"/>
  <c r="W5" i="4"/>
  <c r="O5" i="4"/>
  <c r="G5" i="4"/>
  <c r="S4" i="4"/>
  <c r="K4" i="4"/>
  <c r="C4" i="4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Z4" i="12"/>
  <c r="R4" i="12"/>
  <c r="J4" i="12"/>
  <c r="B4" i="12"/>
  <c r="CM5" i="11"/>
  <c r="CE5" i="11"/>
  <c r="BW5" i="11"/>
  <c r="BO5" i="11"/>
  <c r="BG5" i="11"/>
  <c r="AY5" i="11"/>
  <c r="AQ5" i="11"/>
  <c r="AI5" i="11"/>
  <c r="AA5" i="11"/>
  <c r="S5" i="11"/>
  <c r="K5" i="11"/>
  <c r="C5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N5" i="10"/>
  <c r="F5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AF5" i="9"/>
  <c r="X5" i="9"/>
  <c r="P5" i="9"/>
  <c r="H5" i="9"/>
  <c r="AC4" i="9"/>
  <c r="U4" i="9"/>
  <c r="M4" i="9"/>
  <c r="E4" i="9"/>
  <c r="BB5" i="8"/>
  <c r="AT5" i="8"/>
  <c r="AL5" i="8"/>
  <c r="AD5" i="8"/>
  <c r="V5" i="8"/>
  <c r="N5" i="8"/>
  <c r="F5" i="8"/>
  <c r="AA4" i="8"/>
  <c r="S4" i="8"/>
  <c r="K4" i="8"/>
  <c r="C4" i="8"/>
  <c r="U5" i="7"/>
  <c r="M5" i="7"/>
  <c r="E5" i="7"/>
  <c r="Z4" i="7"/>
  <c r="R4" i="7"/>
  <c r="J4" i="7"/>
  <c r="B4" i="7"/>
  <c r="T5" i="6"/>
  <c r="L5" i="6"/>
  <c r="D5" i="6"/>
  <c r="Y4" i="6"/>
  <c r="Q4" i="6"/>
  <c r="I4" i="6"/>
  <c r="AA4" i="5"/>
  <c r="S4" i="5"/>
  <c r="K4" i="5"/>
  <c r="C4" i="5"/>
  <c r="AL5" i="4"/>
  <c r="AD5" i="4"/>
  <c r="V5" i="4"/>
  <c r="N5" i="4"/>
  <c r="F5" i="4"/>
  <c r="EU5" i="12"/>
  <c r="EM5" i="12"/>
  <c r="EE5" i="12"/>
  <c r="DW5" i="12"/>
  <c r="DO5" i="12"/>
  <c r="DG5" i="12"/>
  <c r="CY5" i="12"/>
  <c r="CQ5" i="12"/>
  <c r="CI5" i="12"/>
  <c r="CA5" i="12"/>
  <c r="BS5" i="12"/>
  <c r="BC5" i="12"/>
  <c r="AU5" i="12"/>
  <c r="AM5" i="12"/>
  <c r="AE5" i="12"/>
  <c r="W5" i="12"/>
  <c r="O5" i="12"/>
  <c r="G5" i="12"/>
  <c r="Y4" i="12"/>
  <c r="Q4" i="12"/>
  <c r="I4" i="12"/>
  <c r="CL5" i="11"/>
  <c r="CD5" i="11"/>
  <c r="BV5" i="11"/>
  <c r="BN5" i="11"/>
  <c r="BF5" i="11"/>
  <c r="AX5" i="11"/>
  <c r="AP5" i="11"/>
  <c r="AH5" i="11"/>
  <c r="Z5" i="11"/>
  <c r="R5" i="11"/>
  <c r="J5" i="11"/>
  <c r="B5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M5" i="10"/>
  <c r="E5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AE5" i="9"/>
  <c r="W5" i="9"/>
  <c r="O5" i="9"/>
  <c r="G5" i="9"/>
  <c r="AB4" i="9"/>
  <c r="T4" i="9"/>
  <c r="L4" i="9"/>
  <c r="D4" i="9"/>
  <c r="BA5" i="8"/>
  <c r="AS5" i="8"/>
  <c r="AK5" i="8"/>
  <c r="AC5" i="8"/>
  <c r="U5" i="8"/>
  <c r="M5" i="8"/>
  <c r="E5" i="8"/>
  <c r="Z4" i="8"/>
  <c r="R4" i="8"/>
  <c r="J4" i="8"/>
  <c r="B4" i="8"/>
  <c r="T5" i="7"/>
  <c r="L5" i="7"/>
  <c r="D5" i="7"/>
  <c r="Z5" i="6"/>
  <c r="W4" i="6"/>
  <c r="Z4" i="5"/>
  <c r="AK5" i="4"/>
  <c r="L5" i="4"/>
  <c r="L4" i="4"/>
  <c r="C479" i="1"/>
  <c r="B474" i="1"/>
  <c r="A470" i="1"/>
  <c r="B465" i="1"/>
  <c r="A461" i="1"/>
  <c r="A457" i="1"/>
  <c r="B452" i="1"/>
  <c r="C448" i="1"/>
  <c r="A444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Y4" i="7"/>
  <c r="S5" i="6"/>
  <c r="P4" i="6"/>
  <c r="Y4" i="5"/>
  <c r="AJ5" i="4"/>
  <c r="H5" i="4"/>
  <c r="J4" i="4"/>
  <c r="A479" i="1"/>
  <c r="C473" i="1"/>
  <c r="A469" i="1"/>
  <c r="A465" i="1"/>
  <c r="B460" i="1"/>
  <c r="C456" i="1"/>
  <c r="A452" i="1"/>
  <c r="C447" i="1"/>
  <c r="C443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X4" i="7"/>
  <c r="R5" i="6"/>
  <c r="O4" i="6"/>
  <c r="R4" i="5"/>
  <c r="AC5" i="4"/>
  <c r="E5" i="4"/>
  <c r="I4" i="4"/>
  <c r="C478" i="1"/>
  <c r="B473" i="1"/>
  <c r="B468" i="1"/>
  <c r="C464" i="1"/>
  <c r="A460" i="1"/>
  <c r="C455" i="1"/>
  <c r="C451" i="1"/>
  <c r="A447" i="1"/>
  <c r="B443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Q4" i="7"/>
  <c r="K5" i="6"/>
  <c r="H4" i="6"/>
  <c r="Q4" i="5"/>
  <c r="AB5" i="4"/>
  <c r="D5" i="4"/>
  <c r="H4" i="4"/>
  <c r="B478" i="1"/>
  <c r="A473" i="1"/>
  <c r="A468" i="1"/>
  <c r="C463" i="1"/>
  <c r="C459" i="1"/>
  <c r="A455" i="1"/>
  <c r="B451" i="1"/>
  <c r="C446" i="1"/>
  <c r="B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P4" i="7"/>
  <c r="J5" i="6"/>
  <c r="G4" i="6"/>
  <c r="J4" i="5"/>
  <c r="U5" i="4"/>
  <c r="T4" i="4"/>
  <c r="D4" i="4"/>
  <c r="A477" i="1"/>
  <c r="C471" i="1"/>
  <c r="C467" i="1"/>
  <c r="A463" i="1"/>
  <c r="B459" i="1"/>
  <c r="C454" i="1"/>
  <c r="B450" i="1"/>
  <c r="B446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I4" i="7"/>
  <c r="C5" i="6"/>
  <c r="I4" i="5"/>
  <c r="T5" i="4"/>
  <c r="R4" i="4"/>
  <c r="B4" i="4"/>
  <c r="B476" i="1"/>
  <c r="A471" i="1"/>
  <c r="B467" i="1"/>
  <c r="C462" i="1"/>
  <c r="B458" i="1"/>
  <c r="B454" i="1"/>
  <c r="C449" i="1"/>
  <c r="A446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H4" i="7"/>
  <c r="B5" i="6"/>
  <c r="E5" i="5"/>
  <c r="B4" i="5"/>
  <c r="P5" i="4"/>
  <c r="Q4" i="4"/>
  <c r="A476" i="1"/>
  <c r="C470" i="1"/>
  <c r="B466" i="1"/>
  <c r="B462" i="1"/>
  <c r="C457" i="1"/>
  <c r="A454" i="1"/>
  <c r="B449" i="1"/>
  <c r="A445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X4" i="6"/>
  <c r="D5" i="5"/>
  <c r="M5" i="4"/>
  <c r="P4" i="4"/>
  <c r="A4" i="3"/>
  <c r="C475" i="1"/>
  <c r="B470" i="1"/>
  <c r="C465" i="1"/>
  <c r="A462" i="1"/>
  <c r="B457" i="1"/>
  <c r="A453" i="1"/>
  <c r="A449" i="1"/>
  <c r="B444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B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4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</calcChain>
</file>

<file path=xl/sharedStrings.xml><?xml version="1.0" encoding="utf-8"?>
<sst xmlns="http://schemas.openxmlformats.org/spreadsheetml/2006/main" count="127" uniqueCount="37">
  <si>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</si>
  <si>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</si>
  <si>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</si>
  <si>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</si>
  <si>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</si>
  <si>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</si>
  <si>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</si>
  <si>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</si>
  <si>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</si>
  <si>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</si>
  <si>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</si>
  <si>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</si>
  <si>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</si>
  <si>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</si>
  <si>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</si>
  <si>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</si>
  <si>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</si>
  <si>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</si>
  <si>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</si>
  <si>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Sell short</t>
  </si>
  <si>
    <t>Closing</t>
  </si>
  <si>
    <t>GetDataClosing</t>
  </si>
  <si>
    <t>Current</t>
  </si>
  <si>
    <t>VerifyLongPositionsGrid</t>
  </si>
  <si>
    <t>Equity</t>
  </si>
  <si>
    <t>Long</t>
  </si>
  <si>
    <t>MICROSOFT INC</t>
  </si>
  <si>
    <t>VerifyShortPositionsGrid</t>
  </si>
  <si>
    <t>Short</t>
  </si>
  <si>
    <t>ManualClosing</t>
  </si>
  <si>
    <t>VerifyClosedTrades</t>
  </si>
  <si>
    <t>Allocation</t>
  </si>
  <si>
    <t>GetDataAllocation</t>
  </si>
  <si>
    <t>CheckAllocatedGroups</t>
  </si>
  <si>
    <t>Closed</t>
  </si>
  <si>
    <t>PortfolioManagement</t>
  </si>
  <si>
    <t>CheckPortfolioManagement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</si>
</sst>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name val="Arial"/>
    </font>
    <font>
      <sz val="8"/>
      <color rgb="FF000000"/>
      <name val="Calibri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2" t="s">
        <v>0</v>
      </c>
      <c r="B1" s="33"/>
      <c r="C1" s="33"/>
      <c r="D1" s="33"/>
      <c r="E1" s="33"/>
      <c r="F1" s="34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5" t="s">
        <v>2</v>
      </c>
      <c r="B1" s="33"/>
      <c r="C1" s="34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2" t="s">
        <v>7</v>
      </c>
      <c r="B1" s="33"/>
      <c r="C1" s="33"/>
      <c r="D1" s="33"/>
      <c r="E1" s="33"/>
      <c r="F1" s="34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120</v>
      </c>
      <c r="E6" s="7">
        <v>120</v>
      </c>
      <c r="F6" s="7" t="s">
        <v>18</v>
      </c>
      <c r="G6" s="5"/>
      <c r="H6" s="5"/>
      <c r="I6" s="5"/>
      <c r="J6" s="7">
        <v>12</v>
      </c>
      <c r="K6" s="5"/>
      <c r="L6" s="5"/>
      <c r="M6" s="5"/>
      <c r="N6" s="5"/>
      <c r="O6" s="5"/>
    </row>
    <row r="7" spans="1:154" ht="15.75" customHeight="1" x14ac:dyDescent="0.2">
      <c r="A7" s="5"/>
      <c r="B7" s="7" t="s">
        <v>16</v>
      </c>
      <c r="C7" s="7" t="s">
        <v>19</v>
      </c>
      <c r="D7" s="7">
        <v>120</v>
      </c>
      <c r="E7" s="7">
        <v>120</v>
      </c>
      <c r="F7" s="7" t="s">
        <v>18</v>
      </c>
      <c r="G7" s="5"/>
      <c r="H7" s="5"/>
      <c r="I7" s="5"/>
      <c r="J7" s="7">
        <v>12</v>
      </c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24</v>
      </c>
      <c r="D6" s="7"/>
      <c r="E6" s="25"/>
      <c r="F6" s="5"/>
      <c r="G6" s="5"/>
      <c r="H6" s="26">
        <v>1454.0008</v>
      </c>
      <c r="I6" s="26">
        <v>12</v>
      </c>
      <c r="J6" s="5"/>
      <c r="K6" s="27" t="s">
        <v>25</v>
      </c>
      <c r="L6" s="5"/>
      <c r="M6" s="26">
        <v>120</v>
      </c>
      <c r="N6" s="27" t="s">
        <v>26</v>
      </c>
      <c r="O6" s="5"/>
      <c r="P6" s="27" t="s">
        <v>17</v>
      </c>
      <c r="R6" s="27" t="s">
        <v>16</v>
      </c>
      <c r="Y6" s="26">
        <v>12.1166733333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7" t="s">
        <v>18</v>
      </c>
      <c r="C6" s="27" t="s">
        <v>24</v>
      </c>
      <c r="D6" s="7"/>
      <c r="E6" s="25"/>
      <c r="F6" s="5"/>
      <c r="G6" s="5"/>
      <c r="H6" s="26">
        <v>1425.9992</v>
      </c>
      <c r="I6" s="26">
        <v>12</v>
      </c>
      <c r="J6" s="5"/>
      <c r="K6" s="27" t="s">
        <v>28</v>
      </c>
      <c r="L6" s="5"/>
      <c r="M6" s="26">
        <v>120</v>
      </c>
      <c r="N6" s="27" t="s">
        <v>26</v>
      </c>
      <c r="O6" s="5"/>
      <c r="P6" s="27" t="s">
        <v>19</v>
      </c>
      <c r="R6" s="27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" width="14.42578125" customWidth="1"/>
    <col min="17" max="17" width="23.5703125" customWidth="1"/>
    <col min="18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IFERROR(__xludf.DUMMYFUNCTION("""COMPUTED_VALUE"""),"CloseSSw/BuyBTO")</f>
        <v>CloseSSw/BuyBTO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IFERROR(__xludf.DUMMYFUNCTION("""COMPUTED_VALUE"""),"LongAccount")</f>
        <v>LongAccount</v>
      </c>
      <c r="E5" s="22" t="str">
        <f ca="1">IFERROR(__xludf.DUMMYFUNCTION("""COMPUTED_VALUE"""),"LongAsset Class")</f>
        <v>LongAsset Class</v>
      </c>
      <c r="F5" s="23" t="str">
        <f ca="1">IFERROR(__xludf.DUMMYFUNCTION("""COMPUTED_VALUE"""),"LongAUECID")</f>
        <v>LongAUECID</v>
      </c>
      <c r="G5" s="22" t="str">
        <f ca="1">IFERROR(__xludf.DUMMYFUNCTION("""COMPUTED_VALUE"""),"LongExternalTransId")</f>
        <v>LongExternalTransId</v>
      </c>
      <c r="H5" s="22" t="str">
        <f ca="1">IFERROR(__xludf.DUMMYFUNCTION("""COMPUTED_VALUE"""),"LongIsSwapped")</f>
        <v>LongIsSwapped</v>
      </c>
      <c r="I5" s="22" t="str">
        <f ca="1">IFERROR(__xludf.DUMMYFUNCTION("""COMPUTED_VALUE"""),"LongLotId")</f>
        <v>LongLotId</v>
      </c>
      <c r="J5" s="22" t="str">
        <f ca="1">IFERROR(__xludf.DUMMYFUNCTION("""COMPUTED_VALUE"""),"LongNet Notional")</f>
        <v>LongNet Notional</v>
      </c>
      <c r="K5" s="22" t="str">
        <f ca="1">IFERROR(__xludf.DUMMYFUNCTION("""COMPUTED_VALUE"""),"LongOpening Price")</f>
        <v>LongOpening Price</v>
      </c>
      <c r="L5" s="22" t="str">
        <f ca="1">IFERROR(__xludf.DUMMYFUNCTION("""COMPUTED_VALUE"""),"LongOriginal Purchase Date")</f>
        <v>LongOriginal Purchase Date</v>
      </c>
      <c r="M5" s="22" t="str">
        <f ca="1">IFERROR(__xludf.DUMMYFUNCTION("""COMPUTED_VALUE"""),"LongPositionTag")</f>
        <v>LongPositionTag</v>
      </c>
      <c r="N5" s="22" t="str">
        <f ca="1">IFERROR(__xludf.DUMMYFUNCTION("""COMPUTED_VALUE"""),"LongProcess Date")</f>
        <v>LongProcess Date</v>
      </c>
      <c r="O5" s="22" t="str">
        <f ca="1">IFERROR(__xludf.DUMMYFUNCTION("""COMPUTED_VALUE"""),"LongQuantity")</f>
        <v>LongQuantity</v>
      </c>
      <c r="P5" s="22" t="str">
        <f ca="1">IFERROR(__xludf.DUMMYFUNCTION("""COMPUTED_VALUE"""),"LongSecurity Name")</f>
        <v>LongSecurity Name</v>
      </c>
      <c r="Q5" s="22" t="str">
        <f ca="1">IFERROR(__xludf.DUMMYFUNCTION("""COMPUTED_VALUE"""),"LongSettlement Currency")</f>
        <v>LongSettlement Currency</v>
      </c>
      <c r="R5" s="22" t="str">
        <f ca="1">IFERROR(__xludf.DUMMYFUNCTION("""COMPUTED_VALUE"""),"LongSettlement FxRate")</f>
        <v>LongSettlement FxRate</v>
      </c>
      <c r="S5" s="22" t="str">
        <f ca="1">IFERROR(__xludf.DUMMYFUNCTION("""COMPUTED_VALUE"""),"LongSettlement FxRate Operator")</f>
        <v>LongSettlement FxRate Operator</v>
      </c>
      <c r="T5" s="24" t="str">
        <f ca="1">IFERROR(__xludf.DUMMYFUNCTION("""COMPUTED_VALUE"""),"LongSettlement Price")</f>
        <v>LongSettlement Price</v>
      </c>
      <c r="U5" s="24" t="str">
        <f ca="1">IFERROR(__xludf.DUMMYFUNCTION("""COMPUTED_VALUE"""),"LongSettlement Unit Cost")</f>
        <v>LongSettlement Unit Cost</v>
      </c>
      <c r="V5" s="24" t="str">
        <f ca="1">IFERROR(__xludf.DUMMYFUNCTION("""COMPUTED_VALUE"""),"LongSide")</f>
        <v>LongSide</v>
      </c>
      <c r="W5" s="24" t="str">
        <f ca="1">IFERROR(__xludf.DUMMYFUNCTION("""COMPUTED_VALUE"""),"LongStrategy")</f>
        <v>LongStrategy</v>
      </c>
      <c r="X5" s="24" t="str">
        <f ca="1">IFERROR(__xludf.DUMMYFUNCTION("""COMPUTED_VALUE"""),"LongSymbol")</f>
        <v>LongSymbol</v>
      </c>
      <c r="Y5" s="24" t="str">
        <f ca="1">IFERROR(__xludf.DUMMYFUNCTION("""COMPUTED_VALUE"""),"LongTaxlot Id")</f>
        <v>LongTaxlot Id</v>
      </c>
      <c r="Z5" s="24" t="str">
        <f ca="1">IFERROR(__xludf.DUMMYFUNCTION("""COMPUTED_VALUE"""),"LongTotal Fee And Commission")</f>
        <v>LongTotal Fee And Commission</v>
      </c>
      <c r="AA5" s="24" t="str">
        <f ca="1">IFERROR(__xludf.DUMMYFUNCTION("""COMPUTED_VALUE"""),"LongTrade Date")</f>
        <v>LongTrade Date</v>
      </c>
      <c r="AB5" s="24" t="str">
        <f ca="1">IFERROR(__xludf.DUMMYFUNCTION("""COMPUTED_VALUE"""),"LongTransaction Type")</f>
        <v>LongTransaction Type</v>
      </c>
      <c r="AC5" s="24" t="str">
        <f ca="1">IFERROR(__xludf.DUMMYFUNCTION("""COMPUTED_VALUE"""),"LongUnderlyingName")</f>
        <v>LongUnderlyingName</v>
      </c>
      <c r="AD5" s="24" t="str">
        <f ca="1">IFERROR(__xludf.DUMMYFUNCTION("""COMPUTED_VALUE"""),"LongUnitCost")</f>
        <v>LongUnitCost</v>
      </c>
      <c r="AE5" s="24" t="str">
        <f ca="1">IFERROR(__xludf.DUMMYFUNCTION("""COMPUTED_VALUE"""),"ShortAccount")</f>
        <v>ShortAccount</v>
      </c>
      <c r="AF5" s="24" t="str">
        <f ca="1">IFERROR(__xludf.DUMMYFUNCTION("""COMPUTED_VALUE"""),"ShortAsset Class")</f>
        <v>ShortAsset Class</v>
      </c>
      <c r="AG5" s="24" t="str">
        <f ca="1">IFERROR(__xludf.DUMMYFUNCTION("""COMPUTED_VALUE"""),"ShortAUECID")</f>
        <v>ShortAUECID</v>
      </c>
      <c r="AH5" s="24" t="str">
        <f ca="1">IFERROR(__xludf.DUMMYFUNCTION("""COMPUTED_VALUE"""),"ShortExternalTransId")</f>
        <v>ShortExternalTransId</v>
      </c>
      <c r="AI5" s="24" t="str">
        <f ca="1">IFERROR(__xludf.DUMMYFUNCTION("""COMPUTED_VALUE"""),"ShortIsSwapped")</f>
        <v>ShortIsSwapped</v>
      </c>
      <c r="AJ5" s="24" t="str">
        <f ca="1">IFERROR(__xludf.DUMMYFUNCTION("""COMPUTED_VALUE"""),"ShortLotId")</f>
        <v>ShortLotId</v>
      </c>
      <c r="AK5" s="24" t="str">
        <f ca="1">IFERROR(__xludf.DUMMYFUNCTION("""COMPUTED_VALUE"""),"ShortNet Notional")</f>
        <v>ShortNet Notional</v>
      </c>
      <c r="AL5" s="24" t="str">
        <f ca="1">IFERROR(__xludf.DUMMYFUNCTION("""COMPUTED_VALUE"""),"ShortOpening Price")</f>
        <v>ShortOpening Price</v>
      </c>
      <c r="AM5" s="24" t="str">
        <f ca="1">IFERROR(__xludf.DUMMYFUNCTION("""COMPUTED_VALUE"""),"ShortOriginal Purchase Date")</f>
        <v>ShortOriginal Purchase Date</v>
      </c>
      <c r="AN5" s="24" t="str">
        <f ca="1">IFERROR(__xludf.DUMMYFUNCTION("""COMPUTED_VALUE"""),"ShortPositionTag")</f>
        <v>ShortPositionTag</v>
      </c>
      <c r="AO5" s="24" t="str">
        <f ca="1">IFERROR(__xludf.DUMMYFUNCTION("""COMPUTED_VALUE"""),"ShortProcess Date")</f>
        <v>ShortProcess Date</v>
      </c>
      <c r="AP5" s="24" t="str">
        <f ca="1">IFERROR(__xludf.DUMMYFUNCTION("""COMPUTED_VALUE"""),"ShortQuantity")</f>
        <v>ShortQuantity</v>
      </c>
      <c r="AQ5" s="24" t="str">
        <f ca="1">IFERROR(__xludf.DUMMYFUNCTION("""COMPUTED_VALUE"""),"ShortSecurity Name")</f>
        <v>ShortSecurity Name</v>
      </c>
      <c r="AR5" s="24" t="str">
        <f ca="1">IFERROR(__xludf.DUMMYFUNCTION("""COMPUTED_VALUE"""),"ShortSettlement Currency")</f>
        <v>ShortSettlement Currency</v>
      </c>
      <c r="AS5" s="24" t="str">
        <f ca="1">IFERROR(__xludf.DUMMYFUNCTION("""COMPUTED_VALUE"""),"ShortSettlement FxRate")</f>
        <v>ShortSettlement FxRate</v>
      </c>
      <c r="AT5" s="24" t="str">
        <f ca="1">IFERROR(__xludf.DUMMYFUNCTION("""COMPUTED_VALUE"""),"ShortSettlement FxRate Operator")</f>
        <v>ShortSettlement FxRate Operator</v>
      </c>
      <c r="AU5" s="24" t="str">
        <f ca="1">IFERROR(__xludf.DUMMYFUNCTION("""COMPUTED_VALUE"""),"ShortSettlement Price")</f>
        <v>ShortSettlement Price</v>
      </c>
      <c r="AV5" s="24" t="str">
        <f ca="1">IFERROR(__xludf.DUMMYFUNCTION("""COMPUTED_VALUE"""),"ShortSettlement Unit Cost")</f>
        <v>ShortSettlement Unit Cost</v>
      </c>
      <c r="AW5" s="24" t="str">
        <f ca="1">IFERROR(__xludf.DUMMYFUNCTION("""COMPUTED_VALUE"""),"ShortSide")</f>
        <v>ShortSide</v>
      </c>
      <c r="AX5" s="24" t="str">
        <f ca="1">IFERROR(__xludf.DUMMYFUNCTION("""COMPUTED_VALUE"""),"ShortStrategy")</f>
        <v>ShortStrategy</v>
      </c>
      <c r="AY5" s="24" t="str">
        <f ca="1">IFERROR(__xludf.DUMMYFUNCTION("""COMPUTED_VALUE"""),"ShortSymbol")</f>
        <v>ShortSymbol</v>
      </c>
      <c r="AZ5" s="24" t="str">
        <f ca="1">IFERROR(__xludf.DUMMYFUNCTION("""COMPUTED_VALUE"""),"ShortTaxlot Id")</f>
        <v>ShortTaxlot Id</v>
      </c>
      <c r="BA5" s="24" t="str">
        <f ca="1">IFERROR(__xludf.DUMMYFUNCTION("""COMPUTED_VALUE"""),"ShortTotal Fee And Commission")</f>
        <v>ShortTotal Fee And Commission</v>
      </c>
      <c r="BB5" s="24" t="str">
        <f ca="1">IFERROR(__xludf.DUMMYFUNCTION("""COMPUTED_VALUE"""),"ShortTrade Date")</f>
        <v>ShortTrade Date</v>
      </c>
      <c r="BC5" s="24" t="str">
        <f ca="1">IFERROR(__xludf.DUMMYFUNCTION("""COMPUTED_VALUE"""),"ShortTransaction Type")</f>
        <v>ShortTransaction Type</v>
      </c>
      <c r="BD5" s="24" t="str">
        <f ca="1">IFERROR(__xludf.DUMMYFUNCTION("""COMPUTED_VALUE"""),"ShortUnderlyingName")</f>
        <v>ShortUnderlyingName</v>
      </c>
      <c r="BE5" s="24" t="str">
        <f ca="1">IFERROR(__xludf.DUMMYFUNCTION("""COMPUTED_VALUE"""),"ShortUnitCost")</f>
        <v>ShortUnitCost</v>
      </c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1</v>
      </c>
      <c r="C6" s="7" t="b">
        <v>0</v>
      </c>
      <c r="D6" s="7" t="s">
        <v>18</v>
      </c>
      <c r="E6" s="7" t="s">
        <v>24</v>
      </c>
      <c r="F6" s="7"/>
      <c r="G6" s="25"/>
      <c r="H6" s="5"/>
      <c r="I6" s="5"/>
      <c r="J6" s="26">
        <v>1454.0008</v>
      </c>
      <c r="K6" s="26">
        <v>12</v>
      </c>
      <c r="L6" s="5"/>
      <c r="M6" s="27" t="s">
        <v>25</v>
      </c>
      <c r="N6" s="5"/>
      <c r="O6" s="26">
        <v>120</v>
      </c>
      <c r="P6" s="27" t="s">
        <v>26</v>
      </c>
      <c r="Q6" s="5"/>
      <c r="R6" s="27"/>
      <c r="T6" s="27"/>
      <c r="V6" s="27" t="s">
        <v>17</v>
      </c>
      <c r="X6" s="27" t="s">
        <v>16</v>
      </c>
      <c r="AA6" s="26"/>
      <c r="AE6" s="27" t="s">
        <v>18</v>
      </c>
      <c r="AF6" s="27" t="s">
        <v>24</v>
      </c>
      <c r="AG6" s="7"/>
      <c r="AH6" s="25"/>
      <c r="AI6" s="5"/>
      <c r="AJ6" s="5"/>
      <c r="AK6" s="26">
        <v>1425.9992</v>
      </c>
      <c r="AL6" s="26">
        <v>12</v>
      </c>
      <c r="AM6" s="5"/>
      <c r="AN6" s="27" t="s">
        <v>28</v>
      </c>
      <c r="AO6" s="5"/>
      <c r="AP6" s="26">
        <v>120</v>
      </c>
      <c r="AQ6" s="27" t="s">
        <v>26</v>
      </c>
      <c r="AR6" s="5"/>
      <c r="AW6" s="27" t="s">
        <v>19</v>
      </c>
      <c r="AY6" s="27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20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27" t="s">
        <v>18</v>
      </c>
      <c r="E6" s="25"/>
      <c r="F6" s="27" t="s">
        <v>28</v>
      </c>
      <c r="G6" s="5"/>
      <c r="H6" s="7" t="s">
        <v>16</v>
      </c>
      <c r="I6" s="26">
        <v>120</v>
      </c>
      <c r="J6" s="26">
        <v>12</v>
      </c>
      <c r="K6" s="26">
        <v>12</v>
      </c>
      <c r="L6" s="5"/>
      <c r="M6" s="5"/>
      <c r="N6" s="5"/>
      <c r="O6" s="27" t="s">
        <v>28</v>
      </c>
      <c r="P6" s="26">
        <v>14.0008</v>
      </c>
      <c r="Q6" s="27" t="s">
        <v>17</v>
      </c>
      <c r="R6" s="26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31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22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31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5"/>
      <c r="D6" s="7"/>
      <c r="E6" s="28">
        <v>120</v>
      </c>
      <c r="F6" s="5"/>
      <c r="G6" s="5"/>
      <c r="H6" s="5"/>
      <c r="I6" s="5"/>
      <c r="J6" s="5"/>
      <c r="K6" s="28">
        <v>12</v>
      </c>
      <c r="L6" s="28">
        <v>12</v>
      </c>
      <c r="M6" s="5"/>
      <c r="N6" s="5"/>
      <c r="O6" s="5"/>
      <c r="S6" s="29" t="s">
        <v>34</v>
      </c>
      <c r="AE6" s="28">
        <v>120</v>
      </c>
      <c r="BO6" s="29" t="s">
        <v>17</v>
      </c>
      <c r="BT6" s="29" t="s">
        <v>16</v>
      </c>
      <c r="CP6" s="29"/>
    </row>
    <row r="7" spans="1:154" ht="15.75" customHeight="1" x14ac:dyDescent="0.2">
      <c r="A7" s="5"/>
      <c r="B7" s="7" t="s">
        <v>18</v>
      </c>
      <c r="C7" s="5"/>
      <c r="D7" s="5"/>
      <c r="E7" s="28">
        <v>120</v>
      </c>
      <c r="F7" s="5"/>
      <c r="G7" s="5"/>
      <c r="H7" s="5"/>
      <c r="I7" s="5"/>
      <c r="J7" s="5"/>
      <c r="K7" s="28">
        <v>12</v>
      </c>
      <c r="L7" s="28">
        <v>12</v>
      </c>
      <c r="M7" s="5"/>
      <c r="N7" s="5"/>
      <c r="O7" s="5"/>
      <c r="S7" s="29" t="s">
        <v>34</v>
      </c>
      <c r="AE7" s="28">
        <v>120</v>
      </c>
      <c r="BO7" s="29" t="s">
        <v>19</v>
      </c>
      <c r="BT7" s="29" t="s">
        <v>16</v>
      </c>
      <c r="CP7" s="29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E1" workbookViewId="0">
      <selection activeCell="BM8" sqref="BM8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3"/>
      <c r="B1" s="32" t="s">
        <v>11</v>
      </c>
      <c r="C1" s="33"/>
      <c r="D1" s="33"/>
      <c r="E1" s="33"/>
      <c r="F1" s="33"/>
      <c r="G1" s="33"/>
      <c r="H1" s="3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35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 x14ac:dyDescent="0.2">
      <c r="A6" s="7"/>
      <c r="B6" s="7"/>
      <c r="C6" s="30" t="s">
        <v>16</v>
      </c>
      <c r="D6" s="31">
        <v>120</v>
      </c>
      <c r="E6" s="30" t="s">
        <v>18</v>
      </c>
      <c r="F6" s="5"/>
      <c r="G6" s="31">
        <v>12</v>
      </c>
      <c r="H6" s="30" t="s">
        <v>25</v>
      </c>
      <c r="I6" s="5"/>
      <c r="J6" s="5"/>
      <c r="K6" s="5"/>
      <c r="L6" s="5"/>
      <c r="M6" s="5"/>
      <c r="N6" s="5"/>
      <c r="O6" s="5"/>
      <c r="AN6" s="30" t="s">
        <v>17</v>
      </c>
    </row>
    <row r="7" spans="1:167" ht="15.75" customHeight="1" x14ac:dyDescent="0.2">
      <c r="A7" s="5"/>
      <c r="B7" s="5"/>
      <c r="C7" s="30" t="s">
        <v>16</v>
      </c>
      <c r="D7" s="31">
        <v>-120</v>
      </c>
      <c r="E7" s="30" t="s">
        <v>18</v>
      </c>
      <c r="F7" s="5"/>
      <c r="G7" s="31">
        <v>12</v>
      </c>
      <c r="H7" s="30" t="s">
        <v>25</v>
      </c>
      <c r="I7" s="5"/>
      <c r="J7" s="5"/>
      <c r="K7" s="5"/>
      <c r="L7" s="5"/>
      <c r="M7" s="5"/>
      <c r="N7" s="5"/>
      <c r="O7" s="5"/>
      <c r="AN7" s="30" t="s">
        <v>19</v>
      </c>
    </row>
    <row r="8" spans="1:167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CreateDoneAwayOrder</vt:lpstr>
      <vt:lpstr>GetDataClosing</vt:lpstr>
      <vt:lpstr>VerifyLongPositionsGrid</vt:lpstr>
      <vt:lpstr>VerifyShortPositionsGrid</vt:lpstr>
      <vt:lpstr>ManualClosing</vt:lpstr>
      <vt:lpstr>VerifyClosedTrades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2021-08-04T10:19:00Z</dcterms:modified>
</cp:coreProperties>
</file>