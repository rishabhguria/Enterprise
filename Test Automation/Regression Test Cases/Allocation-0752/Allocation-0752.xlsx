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5" activeTab="19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SetAutoGroupingAccount1" sheetId="6" r:id="rId6"/>
    <sheet name="SetGeneralPreferences" sheetId="7" r:id="rId7"/>
    <sheet name="CustomOrderTT" sheetId="8" r:id="rId8"/>
    <sheet name="AcknowledgeTrade" sheetId="9" r:id="rId9"/>
    <sheet name="ExecuteTrade" sheetId="10" r:id="rId10"/>
    <sheet name="AcknowledgeTrade1" sheetId="11" r:id="rId11"/>
    <sheet name="ExecuteTrade1" sheetId="12" r:id="rId12"/>
    <sheet name="AcknowledgeTrade2" sheetId="13" r:id="rId13"/>
    <sheet name="ExecuteTrade2" sheetId="14" r:id="rId14"/>
    <sheet name="SelectUnallocatedGroup" sheetId="15" r:id="rId15"/>
    <sheet name="EnterAccountValuesToAllocate" sheetId="16" r:id="rId16"/>
    <sheet name="SelectAllocatedGroup" sheetId="17" r:id="rId17"/>
    <sheet name="ReviewExistingPositions" sheetId="18" r:id="rId18"/>
    <sheet name="ReviewExistingPositions1" sheetId="20" r:id="rId19"/>
    <sheet name="CheckPortfolioManagement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<sst xmlns="http://schemas.openxmlformats.org/spreadsheetml/2006/main" count="207" uniqueCount="53">
  <si>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</si>
  <si>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</si>
  <si>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</si>
  <si>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</si>
  <si>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</si>
  <si>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</si>
  <si>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</si>
  <si>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</si>
  <si>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</si>
  <si>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</si>
  <si>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</si>
  <si>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</si>
  <si>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</si>
  <si>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</si>
  <si>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</si>
  <si>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</si>
  <si>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</si>
  <si>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</si>
  <si>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Allocation1</t>
  </si>
  <si>
    <t>SetGeneralPreferences</t>
  </si>
  <si>
    <t>TradingTicket</t>
  </si>
  <si>
    <t>CustomOrderTT</t>
  </si>
  <si>
    <t>A</t>
  </si>
  <si>
    <t>Send</t>
  </si>
  <si>
    <t>Sell short</t>
  </si>
  <si>
    <t>Buy to Close</t>
  </si>
  <si>
    <t>Simulator</t>
  </si>
  <si>
    <t>AcknowledgeTrade</t>
  </si>
  <si>
    <t>ExecuteTrade</t>
  </si>
  <si>
    <t>SelectUnallocatedGroup</t>
  </si>
  <si>
    <t>EnterAccountValuesToAllocate</t>
  </si>
  <si>
    <t>SelectAllocatedGroup</t>
  </si>
  <si>
    <t>ReviewExistingPositions</t>
  </si>
  <si>
    <t>PortfolioManagement</t>
  </si>
  <si>
    <t>CheckPortfolioManagement</t>
  </si>
  <si>
    <t/>
  </si>
  <si>
    <t>NewMF</t>
  </si>
  <si>
    <t>Short</t>
  </si>
  <si>
    <t>FIMAT</t>
  </si>
  <si>
    <t>Equity</t>
  </si>
  <si>
    <t>US</t>
  </si>
  <si>
    <t>NYSE</t>
  </si>
  <si>
    <t>USD</t>
  </si>
  <si>
    <t>DefaultNotes</t>
  </si>
  <si>
    <t>New Hedge</t>
  </si>
  <si>
    <t>Industrials</t>
  </si>
  <si>
    <t>Utility E&amp;C</t>
  </si>
  <si>
    <t>KY</t>
  </si>
  <si>
    <t>MS</t>
  </si>
  <si>
    <t>A.N</t>
  </si>
  <si>
    <t>ONE</t>
  </si>
  <si>
    <t>HONG KONG</t>
  </si>
  <si>
    <t>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</si>
</sst>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8" borderId="4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>
      <alignment horizontal="center"/>
    </xf>
    <xf numFmtId="58" fontId="2" fillId="0" borderId="0" xfId="0" applyNumberFormat="1" applyFont="1" applyAlignment="1"/>
    <xf numFmtId="0" fontId="9" fillId="3" borderId="0" xfId="0" applyFont="1" applyFill="1" applyBorder="1" applyAlignment="1"/>
    <xf numFmtId="0" fontId="9" fillId="0" borderId="0" xfId="0" applyFont="1"/>
    <xf numFmtId="0" fontId="10" fillId="2" borderId="0" xfId="0" applyFont="1" applyFill="1" applyBorder="1" applyAlignment="1">
      <alignment horizontal="center"/>
    </xf>
    <xf numFmtId="0" fontId="11" fillId="0" borderId="0" xfId="0" applyFont="1" applyAlignment="1"/>
    <xf numFmtId="0" fontId="2" fillId="3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602345" y="352425"/>
          <a:ext cx="11715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7585710" y="352425"/>
          <a:ext cx="1133475" cy="266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00"/>
  <sheetViews>
    <sheetView workbookViewId="0">
      <selection activeCell="A1" sqref="A1:F1"/>
    </sheetView>
  </sheetViews>
  <sheetFormatPr defaultColWidth="15.1333333333333" defaultRowHeight="15" customHeight="1" outlineLevelCol="5"/>
  <cols>
    <col min="1" max="1" width="16.3809523809524" customWidth="1"/>
    <col min="2" max="2" width="23.5047619047619" customWidth="1"/>
    <col min="3" max="3" width="44.1333333333333" customWidth="1"/>
    <col min="4" max="26" width="12.6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11"/>
      <c r="B2" s="11"/>
      <c r="C2" s="11"/>
      <c r="D2" s="11"/>
      <c r="E2" s="11"/>
      <c r="F2" s="11"/>
    </row>
    <row r="3" ht="15.75" customHeight="1" spans="1:6">
      <c r="A3" s="6" t="s">
        <v>1</v>
      </c>
      <c r="B3" s="24"/>
      <c r="C3" s="24"/>
      <c r="D3" s="24"/>
      <c r="E3" s="24"/>
      <c r="F3" s="24"/>
    </row>
    <row r="4" ht="15.75" customHeight="1" spans="1:6">
      <c r="A4" s="4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IFERROR(__xludf.DUMMYFUNCTION("""COMPUTED_VALUE"""),"Undefined")</f>
        <v>Undefined</v>
      </c>
      <c r="D4" s="11"/>
      <c r="E4" s="11"/>
      <c r="F4" s="11"/>
    </row>
    <row r="5" ht="15.75" customHeight="1" spans="1:6">
      <c r="A5" s="4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IFERROR(__xludf.DUMMYFUNCTION("""COMPUTED_VALUE"""),"1M6ki1zHFPX_J-oYlQHbPkzpU8O-gBETIStHNMXhq2LY")</f>
        <v>1M6ki1zHFPX_J-oYlQHbPkzpU8O-gBETIStHNMXhq2LY</v>
      </c>
      <c r="D5" s="11"/>
      <c r="E5" s="11"/>
      <c r="F5" s="11"/>
    </row>
    <row r="6" ht="15.75" customHeight="1" spans="1:6">
      <c r="A6" s="11" t="str">
        <f>IFERROR(__xludf.DUMMYFUNCTION("""COMPUTED_VALUE"""),"Allocation")</f>
        <v>Allocation</v>
      </c>
      <c r="B6" s="11" t="str">
        <f>IFERROR(__xludf.DUMMYFUNCTION("""COMPUTED_VALUE"""),"GetDataAllocation")</f>
        <v>GetDataAllocation</v>
      </c>
      <c r="C6" s="11" t="str">
        <f>IFERROR(__xludf.DUMMYFUNCTION("""COMPUTED_VALUE"""),"108eHf5dlaU-2uUYuHfGgKKJqgdRILzey4i21uN8VBpc")</f>
        <v>108eHf5dlaU-2uUYuHfGgKKJqgdRILzey4i21uN8VBpc</v>
      </c>
      <c r="D6" s="11"/>
      <c r="E6" s="11"/>
      <c r="F6" s="11"/>
    </row>
    <row r="7" ht="15.75" customHeight="1" spans="1:6">
      <c r="A7" s="11" t="str">
        <f>IFERROR(__xludf.DUMMYFUNCTION("""COMPUTED_VALUE"""),"Allocation")</f>
        <v>Allocation</v>
      </c>
      <c r="B7" s="11" t="str">
        <f>IFERROR(__xludf.DUMMYFUNCTION("""COMPUTED_VALUE"""),"SelectAllocatedGroup")</f>
        <v>SelectAllocatedGroup</v>
      </c>
      <c r="C7" s="11" t="str">
        <f>IFERROR(__xludf.DUMMYFUNCTION("""COMPUTED_VALUE"""),"1xOLrriXpynkiEARWECFOoYcCjgpJ_r_B8l8himR40tc")</f>
        <v>1xOLrriXpynkiEARWECFOoYcCjgpJ_r_B8l8himR40tc</v>
      </c>
      <c r="D7" s="11"/>
      <c r="E7" s="11"/>
      <c r="F7" s="11"/>
    </row>
    <row r="8" ht="15.75" customHeight="1" spans="1:6">
      <c r="A8" s="11" t="str">
        <f>IFERROR(__xludf.DUMMYFUNCTION("""COMPUTED_VALUE"""),"Allocation")</f>
        <v>Allocation</v>
      </c>
      <c r="B8" s="11" t="str">
        <f>IFERROR(__xludf.DUMMYFUNCTION("""COMPUTED_VALUE"""),"EditTradesAllocated")</f>
        <v>EditTradesAllocated</v>
      </c>
      <c r="C8" s="11" t="str">
        <f>IFERROR(__xludf.DUMMYFUNCTION("""COMPUTED_VALUE"""),"1czFgc0rQ9Yr0z5XyYhwS9vTzyyW8C_kbFoZotVQvRGU")</f>
        <v>1czFgc0rQ9Yr0z5XyYhwS9vTzyyW8C_kbFoZotVQvRGU</v>
      </c>
      <c r="D8" s="11"/>
      <c r="E8" s="11"/>
      <c r="F8" s="11"/>
    </row>
    <row r="9" ht="15.75" customHeight="1" spans="1:6">
      <c r="A9" s="11" t="str">
        <f>IFERROR(__xludf.DUMMYFUNCTION("""COMPUTED_VALUE"""),"Allocation")</f>
        <v>Allocation</v>
      </c>
      <c r="B9" s="11" t="str">
        <f>IFERROR(__xludf.DUMMYFUNCTION("""COMPUTED_VALUE"""),"EditTradesUnallocated")</f>
        <v>EditTradesUnallocated</v>
      </c>
      <c r="C9" s="11" t="str">
        <f>IFERROR(__xludf.DUMMYFUNCTION("""COMPUTED_VALUE"""),"1IzyG5_6aGu2OE6b5hRX3Fsz__PyNpFOt5iSq6kKmpgs")</f>
        <v>1IzyG5_6aGu2OE6b5hRX3Fsz__PyNpFOt5iSq6kKmpgs</v>
      </c>
      <c r="D9" s="11"/>
      <c r="E9" s="11"/>
      <c r="F9" s="11"/>
    </row>
    <row r="10" ht="15.75" customHeight="1" spans="1:6">
      <c r="A10" s="11" t="str">
        <f>IFERROR(__xludf.DUMMYFUNCTION("""COMPUTED_VALUE"""),"Allocation")</f>
        <v>Allocation</v>
      </c>
      <c r="B10" s="11" t="str">
        <f>IFERROR(__xludf.DUMMYFUNCTION("""COMPUTED_VALUE"""),"Reallocate")</f>
        <v>Reallocate</v>
      </c>
      <c r="C10" s="11" t="str">
        <f>IFERROR(__xludf.DUMMYFUNCTION("""COMPUTED_VALUE"""),"Undefined")</f>
        <v>Undefined</v>
      </c>
      <c r="D10" s="11"/>
      <c r="E10" s="11"/>
      <c r="F10" s="11"/>
    </row>
    <row r="11" ht="15.75" customHeight="1" spans="1:6">
      <c r="A11" s="11" t="str">
        <f>IFERROR(__xludf.DUMMYFUNCTION("""COMPUTED_VALUE"""),"Blotter")</f>
        <v>Blotter</v>
      </c>
      <c r="B11" s="11" t="str">
        <f>IFERROR(__xludf.DUMMYFUNCTION("""COMPUTED_VALUE"""),"ReplaceFillsOnBlotter")</f>
        <v>ReplaceFillsOnBlotter</v>
      </c>
      <c r="C11" s="11" t="str">
        <f>IFERROR(__xludf.DUMMYFUNCTION("""COMPUTED_VALUE"""),"1Diy-Nhw7lqGk8BUcJ7_tudF9wi_ZJxiWQvXjEtj0fbg")</f>
        <v>1Diy-Nhw7lqGk8BUcJ7_tudF9wi_ZJxiWQvXjEtj0fbg</v>
      </c>
      <c r="D11" s="11"/>
      <c r="E11" s="11"/>
      <c r="F11" s="11"/>
    </row>
    <row r="12" ht="15.75" customHeight="1" spans="1:6">
      <c r="A12" s="11" t="str">
        <f>IFERROR(__xludf.DUMMYFUNCTION("""COMPUTED_VALUE"""),"a")</f>
        <v>a</v>
      </c>
      <c r="B12" s="11" t="str">
        <f>IFERROR(__xludf.DUMMYFUNCTION("""COMPUTED_VALUE"""),"1s")</f>
        <v>1s</v>
      </c>
      <c r="C12" s="11" t="str">
        <f>IFERROR(__xludf.DUMMYFUNCTION("""COMPUTED_VALUE"""),"1enUPqyPREGl3f2eye-2V4zEhW4eTEsQWbHsvbHWKlLQ")</f>
        <v>1enUPqyPREGl3f2eye-2V4zEhW4eTEsQWbHsvbHWKlLQ</v>
      </c>
      <c r="D12" s="11"/>
      <c r="E12" s="11"/>
      <c r="F12" s="11"/>
    </row>
    <row r="13" ht="15.75" customHeight="1" spans="1:6">
      <c r="A13" s="11" t="str">
        <f>IFERROR(__xludf.DUMMYFUNCTION("""COMPUTED_VALUE"""),"GeneralLedger")</f>
        <v>GeneralLedger</v>
      </c>
      <c r="B13" s="11" t="str">
        <f>IFERROR(__xludf.DUMMYFUNCTION("""COMPUTED_VALUE"""),"GetDataCash")</f>
        <v>GetDataCash</v>
      </c>
      <c r="C13" s="11" t="str">
        <f>IFERROR(__xludf.DUMMYFUNCTION("""COMPUTED_VALUE"""),"11pF8hppeASHIBEU4fJBPX4H2s826R1k7KA4JaccEGq0")</f>
        <v>11pF8hppeASHIBEU4fJBPX4H2s826R1k7KA4JaccEGq0</v>
      </c>
      <c r="D13" s="11"/>
      <c r="E13" s="11"/>
      <c r="F13" s="11"/>
    </row>
    <row r="14" ht="15.75" customHeight="1" spans="1:6">
      <c r="A14" s="11" t="str">
        <f>IFERROR(__xludf.DUMMYFUNCTION("""COMPUTED_VALUE"""),"GeneralLedger")</f>
        <v>GeneralLedger</v>
      </c>
      <c r="B14" s="11" t="str">
        <f>IFERROR(__xludf.DUMMYFUNCTION("""COMPUTED_VALUE"""),"EnterCashDividends")</f>
        <v>EnterCashDividends</v>
      </c>
      <c r="C14" s="11" t="str">
        <f>IFERROR(__xludf.DUMMYFUNCTION("""COMPUTED_VALUE"""),"1qI9l0oxajDKeZluTNrlCeeZ28QX8NkbvZl6ujxbGJnI")</f>
        <v>1qI9l0oxajDKeZluTNrlCeeZ28QX8NkbvZl6ujxbGJnI</v>
      </c>
      <c r="D14" s="11"/>
      <c r="E14" s="11"/>
      <c r="F14" s="11"/>
    </row>
    <row r="15" ht="15.75" customHeight="1" spans="1:6">
      <c r="A15" s="11" t="str">
        <f>IFERROR(__xludf.DUMMYFUNCTION("""COMPUTED_VALUE"""),"GeneralLedger")</f>
        <v>GeneralLedger</v>
      </c>
      <c r="B15" s="11" t="str">
        <f>IFERROR(__xludf.DUMMYFUNCTION("""COMPUTED_VALUE"""),"EnterNonTradingTransaction")</f>
        <v>EnterNonTradingTransaction</v>
      </c>
      <c r="C15" s="11" t="str">
        <f>IFERROR(__xludf.DUMMYFUNCTION("""COMPUTED_VALUE"""),"1n0XgxxbStGy3VjvQS309fIpzG_L1vcwVX484ib8d3QU")</f>
        <v>1n0XgxxbStGy3VjvQS309fIpzG_L1vcwVX484ib8d3QU</v>
      </c>
      <c r="D15" s="11"/>
      <c r="E15" s="11"/>
      <c r="F15" s="11"/>
    </row>
    <row r="16" ht="15.75" customHeight="1" spans="1:6">
      <c r="A16" s="11" t="str">
        <f>IFERROR(__xludf.DUMMYFUNCTION("""COMPUTED_VALUE"""),"GeneralLedger")</f>
        <v>GeneralLedger</v>
      </c>
      <c r="B16" s="11" t="str">
        <f>IFERROR(__xludf.DUMMYFUNCTION("""COMPUTED_VALUE"""),"VerifyCash")</f>
        <v>VerifyCash</v>
      </c>
      <c r="C16" s="11" t="str">
        <f>IFERROR(__xludf.DUMMYFUNCTION("""COMPUTED_VALUE"""),"1dm_rO3DsjDpe_rov3TM-pXjFB8WSzw6eN-gEqIFDT2M")</f>
        <v>1dm_rO3DsjDpe_rov3TM-pXjFB8WSzw6eN-gEqIFDT2M</v>
      </c>
      <c r="D16" s="11"/>
      <c r="E16" s="11"/>
      <c r="F16" s="11"/>
    </row>
    <row r="17" ht="15.75" customHeight="1" spans="1:6">
      <c r="A17" s="11" t="str">
        <f>IFERROR(__xludf.DUMMYFUNCTION("""COMPUTED_VALUE"""),"GeneralLedger")</f>
        <v>GeneralLedger</v>
      </c>
      <c r="B17" s="11" t="str">
        <f>IFERROR(__xludf.DUMMYFUNCTION("""COMPUTED_VALUE"""),"VerifyActivity")</f>
        <v>VerifyActivity</v>
      </c>
      <c r="C17" s="11" t="str">
        <f>IFERROR(__xludf.DUMMYFUNCTION("""COMPUTED_VALUE"""),"1n2_KWleIEyqXIdrb2wBU9n9HG3wOCbtLJiXuNliDxbo")</f>
        <v>1n2_KWleIEyqXIdrb2wBU9n9HG3wOCbtLJiXuNliDxbo</v>
      </c>
      <c r="D17" s="11"/>
      <c r="E17" s="11"/>
      <c r="F17" s="11"/>
    </row>
    <row r="18" ht="15.75" customHeight="1" spans="1:6">
      <c r="A18" s="11" t="str">
        <f>IFERROR(__xludf.DUMMYFUNCTION("""COMPUTED_VALUE"""),"GeneralLedger")</f>
        <v>GeneralLedger</v>
      </c>
      <c r="B18" s="11" t="str">
        <f>IFERROR(__xludf.DUMMYFUNCTION("""COMPUTED_VALUE"""),"VerifyTradingTransaction")</f>
        <v>VerifyTradingTransaction</v>
      </c>
      <c r="C18" s="11" t="str">
        <f>IFERROR(__xludf.DUMMYFUNCTION("""COMPUTED_VALUE"""),"1HUrg5HC-uhaySvPqKlbfDJy_tRqbpd3tG5-BRQbvQNE")</f>
        <v>1HUrg5HC-uhaySvPqKlbfDJy_tRqbpd3tG5-BRQbvQNE</v>
      </c>
      <c r="D18" s="11"/>
      <c r="E18" s="11"/>
      <c r="F18" s="11"/>
    </row>
    <row r="19" ht="15.75" customHeight="1" spans="1:6">
      <c r="A19" s="11" t="str">
        <f>IFERROR(__xludf.DUMMYFUNCTION("""COMPUTED_VALUE"""),"GeneralLedger")</f>
        <v>GeneralLedger</v>
      </c>
      <c r="B19" s="11" t="str">
        <f>IFERROR(__xludf.DUMMYFUNCTION("""COMPUTED_VALUE"""),"VerifyRevaluationData")</f>
        <v>VerifyRevaluationData</v>
      </c>
      <c r="C19" s="11" t="str">
        <f>IFERROR(__xludf.DUMMYFUNCTION("""COMPUTED_VALUE"""),"1ogDmXxmcH2S6ctXbFXoGdWmaCJRo_ECxi411UEwWYtk")</f>
        <v>1ogDmXxmcH2S6ctXbFXoGdWmaCJRo_ECxi411UEwWYtk</v>
      </c>
      <c r="D19" s="11"/>
      <c r="E19" s="11"/>
      <c r="F19" s="11"/>
    </row>
    <row r="20" ht="15.75" customHeight="1" spans="1:6">
      <c r="A20" s="11" t="str">
        <f>IFERROR(__xludf.DUMMYFUNCTION("""COMPUTED_VALUE"""),"CorporateAction")</f>
        <v>CorporateAction</v>
      </c>
      <c r="B20" s="11" t="str">
        <f>IFERROR(__xludf.DUMMYFUNCTION("""COMPUTED_VALUE"""),"CorporateAction")</f>
        <v>CorporateAction</v>
      </c>
      <c r="C20" s="11" t="str">
        <f>IFERROR(__xludf.DUMMYFUNCTION("""COMPUTED_VALUE"""),"15KSHSnHyfcV68P-BAz-qSKIAViB6QpZ5pCYmrYItUS4")</f>
        <v>15KSHSnHyfcV68P-BAz-qSKIAViB6QpZ5pCYmrYItUS4</v>
      </c>
      <c r="D20" s="11"/>
      <c r="E20" s="11"/>
      <c r="F20" s="11"/>
    </row>
    <row r="21" ht="15.75" customHeight="1" spans="1:6">
      <c r="A21" s="11" t="str">
        <f>IFERROR(__xludf.DUMMYFUNCTION("""COMPUTED_VALUE"""),"CreateTransaction")</f>
        <v>CreateTransaction</v>
      </c>
      <c r="B21" s="11" t="str">
        <f>IFERROR(__xludf.DUMMYFUNCTION("""COMPUTED_VALUE"""),"CreateTransaction")</f>
        <v>CreateTransaction</v>
      </c>
      <c r="C21" s="11" t="str">
        <f>IFERROR(__xludf.DUMMYFUNCTION("""COMPUTED_VALUE"""),"1JZcaOlNrERZ2pJDJY1f-UuSxW_EJa6FmaMW4Ng69G-Y")</f>
        <v>1JZcaOlNrERZ2pJDJY1f-UuSxW_EJa6FmaMW4Ng69G-Y</v>
      </c>
      <c r="D21" s="11"/>
      <c r="E21" s="11"/>
      <c r="F21" s="11"/>
    </row>
    <row r="22" ht="15.75" customHeight="1" spans="1:6">
      <c r="A22" s="11" t="str">
        <f>IFERROR(__xludf.DUMMYFUNCTION("""COMPUTED_VALUE"""),"DailyValuation")</f>
        <v>DailyValuation</v>
      </c>
      <c r="B22" s="11" t="str">
        <f>IFERROR(__xludf.DUMMYFUNCTION("""COMPUTED_VALUE"""),"UpdateBeta")</f>
        <v>UpdateBeta</v>
      </c>
      <c r="C22" s="11" t="str">
        <f>IFERROR(__xludf.DUMMYFUNCTION("""COMPUTED_VALUE"""),"14bzYQBiZIs2a3lfzwT4TROCDnXpt72UALcJjBTZdEAk")</f>
        <v>14bzYQBiZIs2a3lfzwT4TROCDnXpt72UALcJjBTZdEAk</v>
      </c>
      <c r="D22" s="11"/>
      <c r="E22" s="11"/>
      <c r="F22" s="11"/>
    </row>
    <row r="23" ht="15.75" customHeight="1" spans="1:6">
      <c r="A23" s="11" t="str">
        <f>IFERROR(__xludf.DUMMYFUNCTION("""COMPUTED_VALUE"""),"DailyValuation")</f>
        <v>DailyValuation</v>
      </c>
      <c r="B23" s="11" t="str">
        <f>IFERROR(__xludf.DUMMYFUNCTION("""COMPUTED_VALUE"""),"UpdateDailyCash")</f>
        <v>UpdateDailyCash</v>
      </c>
      <c r="C23" s="11" t="str">
        <f>IFERROR(__xludf.DUMMYFUNCTION("""COMPUTED_VALUE"""),"1qlSfNvUHenegqRyv9ZFeKA5gN-iwbykaaRHcYfx0vR8")</f>
        <v>1qlSfNvUHenegqRyv9ZFeKA5gN-iwbykaaRHcYfx0vR8</v>
      </c>
      <c r="D23" s="11"/>
      <c r="E23" s="11"/>
      <c r="F23" s="11"/>
    </row>
    <row r="24" ht="15.75" customHeight="1" spans="1:6">
      <c r="A24" s="11" t="str">
        <f>IFERROR(__xludf.DUMMYFUNCTION("""COMPUTED_VALUE"""),"DailyValuation")</f>
        <v>DailyValuation</v>
      </c>
      <c r="B24" s="11" t="str">
        <f>IFERROR(__xludf.DUMMYFUNCTION("""COMPUTED_VALUE"""),"UpdateMultipleDailyCash")</f>
        <v>UpdateMultipleDailyCash</v>
      </c>
      <c r="C24" s="11" t="str">
        <f>IFERROR(__xludf.DUMMYFUNCTION("""COMPUTED_VALUE"""),"1f9Url4H77DADigFnhRCLdDJPePHaUcYK-sGJAcDVqAc")</f>
        <v>1f9Url4H77DADigFnhRCLdDJPePHaUcYK-sGJAcDVqAc</v>
      </c>
      <c r="D24" s="11"/>
      <c r="E24" s="11"/>
      <c r="F24" s="11"/>
    </row>
    <row r="25" ht="15.75" customHeight="1" spans="1:6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IFERROR(__xludf.DUMMYFUNCTION("""COMPUTED_VALUE"""),"1ovsWSW4IX_ESJf6L_l_o3LFV2g37EWvXALJwiSoMOOk")</f>
        <v>1ovsWSW4IX_ESJf6L_l_o3LFV2g37EWvXALJwiSoMOOk</v>
      </c>
      <c r="D25" s="11"/>
      <c r="E25" s="11"/>
      <c r="F25" s="11"/>
    </row>
    <row r="26" ht="15.75" customHeight="1" spans="1:6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IFERROR(__xludf.DUMMYFUNCTION("""COMPUTED_VALUE"""),"16KBVroR_j9VfEeynsJjMmeERh-LHCXp_Q3zfX2ptUbk")</f>
        <v>16KBVroR_j9VfEeynsJjMmeERh-LHCXp_Q3zfX2ptUbk</v>
      </c>
      <c r="D26" s="11"/>
      <c r="E26" s="11"/>
      <c r="F26" s="11"/>
    </row>
    <row r="27" ht="15.75" customHeight="1" spans="1:6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IFERROR(__xludf.DUMMYFUNCTION("""COMPUTED_VALUE"""),"1_vNaQNw1K3VUjBqTVyF_y9hpe8G2ewy1wQSeMFKnIsw")</f>
        <v>1_vNaQNw1K3VUjBqTVyF_y9hpe8G2ewy1wQSeMFKnIsw</v>
      </c>
      <c r="D27" s="11"/>
      <c r="E27" s="11"/>
      <c r="F27" s="11"/>
    </row>
    <row r="28" ht="15.75" customHeight="1" spans="1:6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IFERROR(__xludf.DUMMYFUNCTION("""COMPUTED_VALUE"""),"1XML_rKDwoATUqQEdSmAgWZeBq0nRAO-QFlPnVgX1Uac")</f>
        <v>1XML_rKDwoATUqQEdSmAgWZeBq0nRAO-QFlPnVgX1Uac</v>
      </c>
      <c r="D28" s="11"/>
      <c r="E28" s="11"/>
      <c r="F28" s="11"/>
    </row>
    <row r="29" ht="15.75" customHeight="1" spans="1:6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IFERROR(__xludf.DUMMYFUNCTION("""COMPUTED_VALUE"""),"10mJBbfEKw8miuRHDwCV7_-8V_E3ZX1n6jlsC5kfflVY")</f>
        <v>10mJBbfEKw8miuRHDwCV7_-8V_E3ZX1n6jlsC5kfflVY</v>
      </c>
      <c r="D29" s="11"/>
      <c r="E29" s="11"/>
      <c r="F29" s="11"/>
    </row>
    <row r="30" ht="15.75" customHeight="1" spans="1:6">
      <c r="A30" s="11" t="str">
        <f>IFERROR(__xludf.DUMMYFUNCTION("""COMPUTED_VALUE"""),"PortfolioManagement")</f>
        <v>PortfolioManagement</v>
      </c>
      <c r="B30" s="11" t="str">
        <f>IFERROR(__xludf.DUMMYFUNCTION("""COMPUTED_VALUE"""),"CheckPMLiveFeed")</f>
        <v>CheckPMLiveFeed</v>
      </c>
      <c r="C30" s="11" t="str">
        <f>IFERROR(__xludf.DUMMYFUNCTION("""COMPUTED_VALUE"""),"1Q4XgYTYb3ng95eo0AHEW34QHB-UqihXSsfRcQQpkVXw")</f>
        <v>1Q4XgYTYb3ng95eo0AHEW34QHB-UqihXSsfRcQQpkVXw</v>
      </c>
      <c r="D30" s="11"/>
      <c r="E30" s="11"/>
      <c r="F30" s="11"/>
    </row>
    <row r="31" ht="15.75" customHeight="1" spans="1:6">
      <c r="A31" s="11" t="str">
        <f>IFERROR(__xludf.DUMMYFUNCTION("""COMPUTED_VALUE"""),"PricingInput")</f>
        <v>PricingInput</v>
      </c>
      <c r="B31" s="11" t="str">
        <f>IFERROR(__xludf.DUMMYFUNCTION("""COMPUTED_VALUE"""),"PricingInput")</f>
        <v>PricingInput</v>
      </c>
      <c r="C31" s="11" t="str">
        <f>IFERROR(__xludf.DUMMYFUNCTION("""COMPUTED_VALUE"""),"1oej4n4PC8RE49pB4-TiWxTqbDPyninh9e03DcCsTU80")</f>
        <v>1oej4n4PC8RE49pB4-TiWxTqbDPyninh9e03DcCsTU80</v>
      </c>
      <c r="D31" s="11"/>
      <c r="E31" s="11"/>
      <c r="F31" s="11"/>
    </row>
    <row r="32" ht="15.75" customHeight="1" spans="1:6">
      <c r="A32" s="11" t="str">
        <f>IFERROR(__xludf.DUMMYFUNCTION("""COMPUTED_VALUE"""),"PricingInput")</f>
        <v>PricingInput</v>
      </c>
      <c r="B32" s="11" t="str">
        <f>IFERROR(__xludf.DUMMYFUNCTION("""COMPUTED_VALUE"""),"UpdateSharesOutstanding")</f>
        <v>UpdateSharesOutstanding</v>
      </c>
      <c r="C32" s="11" t="str">
        <f>IFERROR(__xludf.DUMMYFUNCTION("""COMPUTED_VALUE"""),"1crnQkc3JZblrRatY8QxWLuk7JnchsXg0e_CyrN38bbE")</f>
        <v>1crnQkc3JZblrRatY8QxWLuk7JnchsXg0e_CyrN38bbE</v>
      </c>
      <c r="D32" s="11"/>
      <c r="E32" s="11"/>
      <c r="F32" s="11"/>
    </row>
    <row r="33" ht="15.75" customHeight="1" spans="1:6">
      <c r="A33" s="11" t="str">
        <f>IFERROR(__xludf.DUMMYFUNCTION("""COMPUTED_VALUE"""),"SymbolLookup")</f>
        <v>SymbolLookup</v>
      </c>
      <c r="B33" s="11" t="str">
        <f>IFERROR(__xludf.DUMMYFUNCTION("""COMPUTED_VALUE"""),"VerifySymbolLookUp")</f>
        <v>VerifySymbolLookUp</v>
      </c>
      <c r="C33" s="11" t="str">
        <f>IFERROR(__xludf.DUMMYFUNCTION("""COMPUTED_VALUE"""),"1YWFFwFn67kSD8UqbzR_g6NbGZ9pjemCMVA9QmSA4_S8")</f>
        <v>1YWFFwFn67kSD8UqbzR_g6NbGZ9pjemCMVA9QmSA4_S8</v>
      </c>
      <c r="D33" s="11"/>
      <c r="E33" s="11"/>
      <c r="F33" s="11"/>
    </row>
    <row r="34" ht="15.75" customHeight="1" spans="1:3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 spans="1:3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 spans="1:3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 spans="1:3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 spans="1:3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 spans="1:3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 spans="1:3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 spans="1:3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 spans="1:3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 spans="1:3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 spans="1:3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 spans="1:3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 spans="1:3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 spans="1:3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 spans="1:3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 spans="1:3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 spans="1:3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 spans="1:3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 spans="1:3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 spans="1:3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 spans="1:3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 spans="1:3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 spans="1:3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 spans="1:3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 spans="1:3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 spans="1:3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 spans="1:3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 spans="1:3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 spans="1:3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 spans="1:3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 spans="1:3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 spans="1:3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 spans="1:3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 spans="1:3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 spans="1:3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 spans="1:3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 spans="1:3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 spans="1:3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 spans="1:3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 spans="1:3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 spans="1:3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 spans="1:3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 spans="1:3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 spans="1:3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 spans="1:3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 spans="1:3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 spans="1:3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 spans="1:3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 spans="1:3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 spans="1:3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 spans="1:3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 spans="1:3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 spans="1:3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 spans="1:3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 spans="1:3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 spans="1:3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 spans="1:3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 spans="1:3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 spans="1:3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 spans="1:3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 spans="1:3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 spans="1:3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 spans="1:3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 spans="1:3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 spans="1:3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 spans="1:3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 spans="1:3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 spans="1:3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 spans="1:3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 spans="1:3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 spans="1:3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 spans="1:3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 spans="1:3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 spans="1:3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 spans="1:3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 spans="1:3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 spans="1:3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 spans="1:3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 spans="1:3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 spans="1:3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 spans="1:3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 spans="1:3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 spans="1:3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 spans="1:3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 spans="1:3">
      <c r="A118" s="11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 spans="1:3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 spans="1:3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 spans="1:3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 spans="1:3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 spans="1:3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 spans="1:3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 spans="1:3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 spans="1:3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 spans="1:3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 spans="1:3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 spans="1:3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 spans="1:3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 spans="1:3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 spans="1:3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 spans="1:3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 spans="1:3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 spans="1:3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 spans="1:3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 spans="1:3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 spans="1:3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 spans="1:3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 spans="1:3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 spans="1:3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 spans="1:3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 spans="1:3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 spans="1:3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 spans="1:3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 spans="1:3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 spans="1:3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 spans="1:3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 spans="1:3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 spans="1:3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 spans="1:3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 spans="1:3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 spans="1:3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 spans="1:3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 spans="1:3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 spans="1:3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 spans="1:3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 spans="1:3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 spans="1:3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 spans="1:3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 spans="1:3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 spans="1:3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 spans="1:3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 spans="1:3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 spans="1:3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 spans="1:3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 spans="1:3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 spans="1:3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 spans="1:3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 spans="1:3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 spans="1:3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 spans="1:3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 spans="1:3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 spans="1:3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 spans="1:3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 spans="1:3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 spans="1:3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 spans="1:3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 spans="1:3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 spans="1:3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 spans="1:3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 spans="1:3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 spans="1:3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 spans="1:3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 spans="1:3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 spans="1:3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 spans="1:3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 spans="1:3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 spans="1:3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 spans="1:3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 spans="1:3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 spans="1:3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 spans="1:3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 spans="1:3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 spans="1:3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 spans="1:3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 spans="1:3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 spans="1:3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 spans="1:3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 spans="1:3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 spans="1:3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 spans="1:3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 spans="1:3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 spans="1:3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 spans="1:3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 spans="1:3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 spans="1:3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 spans="1:3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 spans="1:3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 spans="1:3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 spans="1:3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 spans="1:3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 spans="1:3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 spans="1:3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 spans="1:3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 spans="1:3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 spans="1:3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 spans="1:3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 spans="1:3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 spans="1:3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 spans="1:3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 spans="1:3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 spans="1:3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 spans="1:3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 spans="1:3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 spans="1:3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 spans="1:3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 spans="1:3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 spans="1:3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 spans="1:3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 spans="1:3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 spans="1:3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 spans="1:3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 spans="1:3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 spans="1:3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 spans="1:3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 spans="1:3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 spans="1:3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 spans="1:3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 spans="1:3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 spans="1:3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 spans="1:3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 spans="1:3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 spans="1:3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 spans="1:3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 spans="1:3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 spans="1:3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 spans="1:3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 spans="1:3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 spans="1:3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 spans="1:3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 spans="1:3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 spans="1:3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 spans="1:3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 spans="1:3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 spans="1:3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 spans="1:3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 spans="1:3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 spans="1:3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 spans="1:3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 spans="1:3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 spans="1:3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 spans="1:3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 spans="1:3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 spans="1:3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 spans="1:3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 spans="1:3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 spans="1:3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 spans="1:3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 spans="1:3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 spans="1:3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 spans="1:3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 spans="1:3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 spans="1:3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 spans="1:3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 spans="1:3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 spans="1:3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 spans="1:3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 spans="1:3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 spans="1:3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 spans="1:3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 spans="1:3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 spans="1:3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 spans="1:3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 spans="1:3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 spans="1:3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 spans="1:3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 spans="1:3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 spans="1:3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 spans="1:3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 spans="1:3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 spans="1:3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 spans="1:3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 spans="1:3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 spans="1:3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 spans="1:3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 spans="1:3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 spans="1:3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 spans="1:3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 spans="1:3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 spans="1:3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 spans="1:3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 spans="1:3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 spans="1:3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 spans="1:3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 spans="1:3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 spans="1:3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 spans="1:3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 spans="1:3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 spans="1:3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 spans="1:3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 spans="1:3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 spans="1:3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 spans="1:3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 spans="1:3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 spans="1:3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 spans="1:3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 spans="1:3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 spans="1:3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 spans="1:3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 spans="1:3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 spans="1:3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 spans="1:3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 spans="1:3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 spans="1:3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 spans="1:3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 spans="1:3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 spans="1:3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 spans="1:3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 spans="1:3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 spans="1:3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 spans="1:3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 spans="1:3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 spans="1:3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 spans="1:3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 spans="1:3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 spans="1:3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 spans="1:3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 spans="1:3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 spans="1:3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 spans="1:3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 spans="1:3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 spans="1:3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 spans="1:3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 spans="1:3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 spans="1:3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 spans="1:3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 spans="1:3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 spans="1:3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 spans="1:3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 spans="1:3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 spans="1:3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 spans="1:3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 spans="1:3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 spans="1:3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 spans="1:3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 spans="1:3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 spans="1:3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 spans="1:3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 spans="1:3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 spans="1:3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 spans="1:3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 spans="1:3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 spans="1:3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 spans="1:3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 spans="1:3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 spans="1:3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 spans="1:3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 spans="1:3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 spans="1:3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 spans="1:3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 spans="1:3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 spans="1:3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 spans="1:3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 spans="1:3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 spans="1:3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 spans="1:3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 spans="1:3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 spans="1:3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 spans="1:3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 spans="1:3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 spans="1:3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 spans="1:3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 spans="1:3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 spans="1:3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 spans="1:3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 spans="1:3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 spans="1:3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 spans="1:3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 spans="1:3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 spans="1:3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 spans="1:3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 spans="1:3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 spans="1:3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 spans="1:3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 spans="1:3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 spans="1:3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 spans="1:3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 spans="1:3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 spans="1:3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 spans="1:3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 spans="1:3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 spans="1:3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 spans="1:3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 spans="1:3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 spans="1:3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 spans="1:3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 spans="1:3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 spans="1:3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 spans="1:3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 spans="1:3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 spans="1:3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 spans="1:3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 spans="1:3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 spans="1:3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 spans="1:3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 spans="1:3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 spans="1:3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 spans="1:3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 spans="1:3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 spans="1:3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 spans="1:3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 spans="1:3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 spans="1:3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 spans="1:3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 spans="1:3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 spans="1:3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 spans="1:3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 spans="1:3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 spans="1:3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 spans="1:3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 spans="1:3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 spans="1:3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 spans="1:3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 spans="1:3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 spans="1:3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 spans="1:3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 spans="1:3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 spans="1:3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 spans="1:3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 spans="1:3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 spans="1:3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 spans="1:3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 spans="1:3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 spans="1:3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 spans="1:3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 spans="1:3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 spans="1:3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 spans="1:3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 spans="1:3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 spans="1:3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 spans="1:3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 spans="1:3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 spans="1:3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 spans="1:3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 spans="1:3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 spans="1:3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 spans="1:3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 spans="1:3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 spans="1:3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 spans="1:3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 spans="1:3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 spans="1:3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 spans="1:3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 spans="1:3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 spans="1:3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 spans="1:3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 spans="1:3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 spans="1:3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 spans="1:3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 spans="1:3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 spans="1:3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 spans="1:3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 spans="1:3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 spans="1:3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 spans="1:3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 spans="1:3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 spans="1:3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 spans="1:3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 spans="1:3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 spans="1:3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 spans="1:3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 spans="1:3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 spans="1:3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 spans="1:3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 spans="1:3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 spans="1:3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 spans="1:3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 spans="1:3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 spans="1:3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 spans="1:3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 spans="1:3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 spans="1:3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 spans="1:3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 spans="1:3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 spans="1:3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 spans="1:3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 spans="1:3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 spans="1:3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 spans="1:3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 spans="1:3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 spans="1:3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 spans="1:3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 spans="1:3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 spans="1:3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 spans="1:3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 spans="1:3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 spans="1:3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 spans="1:3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 spans="1:3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 spans="1:3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 spans="1:3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 spans="1:3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 spans="1:3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 spans="1:3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 spans="1:3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 spans="1:3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 spans="1:3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 spans="1:3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 spans="1:3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 spans="1:3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 spans="1:3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 spans="1:3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 spans="1:3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 spans="1:3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 spans="1:3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 spans="1:3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 spans="1:3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 spans="1:3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 spans="1:3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 spans="1:3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 spans="1:3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 spans="1:3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 spans="1:3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 spans="1:3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 spans="1:3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 spans="1:3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 spans="1:3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 spans="1:3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 spans="1:3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 spans="1:3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 spans="1:3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 spans="1:3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 spans="1:3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 spans="1:3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 spans="1:3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 spans="1:3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 spans="1:3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 spans="1:3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 spans="1:3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 spans="1:3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 spans="1:3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 spans="1:3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 spans="1:3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 spans="1:3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 spans="1:3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 spans="1:3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 spans="1:3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 spans="1:3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 spans="1:3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 spans="1:3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 spans="1:3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 spans="1:3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 spans="1:3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 spans="1:3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 spans="1:3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 spans="1:3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 spans="1:3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 spans="1:3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 spans="1:3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 spans="1:3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 spans="1:3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 spans="1:3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 spans="1:3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 spans="1:3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 spans="1:3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 spans="1:3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 spans="1:3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 spans="1:3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 spans="1:3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 spans="1:3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 spans="1:3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 spans="1:3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 spans="1:3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 spans="1:3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 spans="1:3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 spans="1:3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 spans="1:3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 spans="1:3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 spans="1:3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 spans="1:3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 spans="1:3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 spans="1:3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 spans="1:3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 spans="1:3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 spans="1:3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 spans="1:3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 spans="1:3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 spans="1:3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 spans="1:3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 spans="1:3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 spans="1:3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 spans="1:3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 spans="1:3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 spans="1:3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 spans="1:3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 spans="1:3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 spans="1:3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 spans="1:3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 spans="1:3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 spans="1:3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 spans="1:3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 spans="1:3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 spans="1:3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 spans="1:3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 spans="1:3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 spans="1:3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 spans="1:3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 spans="1:3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 spans="1:3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 spans="1:3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 spans="1:3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 spans="1:3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 spans="1:3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 spans="1:3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 spans="1:3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 spans="1:3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 spans="1:3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 spans="1:3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 spans="1:3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 spans="1:3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 spans="1:3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 spans="1:3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 spans="1:3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 spans="1:3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 spans="1:3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 spans="1:3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 spans="1:3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 spans="1:3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 spans="1:3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 spans="1:3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 spans="1:3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 spans="1:3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 spans="1:3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 spans="1:3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 spans="1:3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 spans="1:3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 spans="1:3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 spans="1:3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 spans="1:3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 spans="1:3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 spans="1:3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 spans="1:3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 spans="1:3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 spans="1:3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 spans="1:3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 spans="1:3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 spans="1:3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 spans="1:3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 spans="1:3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 spans="1:3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 spans="1:3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 spans="1:3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 spans="1:3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 spans="1:3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 spans="1:3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 spans="1:3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 spans="1:3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 spans="1:3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 spans="1:3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 spans="1:3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 spans="1:3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 spans="1:3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 spans="1:3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 spans="1:3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 spans="1:3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 spans="1:3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 spans="1:3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 spans="1:3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 spans="1:3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 spans="1:3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 spans="1:3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 spans="1:3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 spans="1:3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 spans="1:3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 spans="1:3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 spans="1:3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 spans="1:3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 spans="1:3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 spans="1:3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 spans="1:3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 spans="1:3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 spans="1:3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 spans="1:3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 spans="1:3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 spans="1:3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 spans="1:3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 spans="1:3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 spans="1:3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 spans="1:3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 spans="1:3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 spans="1:3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 spans="1:3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 spans="1:3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 spans="1:3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 spans="1:3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 spans="1:3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 spans="1:3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 spans="1:3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 spans="1:3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 spans="1:3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 spans="1:3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 spans="1:3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 spans="1:3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 spans="1:3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 spans="1:3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 spans="1:3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 spans="1:3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 spans="1:3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 spans="1:3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 spans="1:3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 spans="1:3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 spans="1:3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 spans="1:3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 spans="1:3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 spans="1:3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 spans="1:3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 spans="1:3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 spans="1:3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 spans="1:3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 spans="1:3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 spans="1:3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 spans="1:3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 spans="1:3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 spans="1:3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 spans="1:3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 spans="1:3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 spans="1:3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 spans="1:3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 spans="1:3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 spans="1:3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 spans="1:3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 spans="1:3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 spans="1:3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 spans="1:3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 spans="1:3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 spans="1:3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 spans="1:3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 spans="1:3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 spans="1:3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 spans="1:3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 spans="1:3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 spans="1:3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 spans="1:3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 spans="1:3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 spans="1:3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 spans="1:3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 spans="1:3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 spans="1:3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 spans="1:3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 spans="1:3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 spans="1:3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 spans="1:3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 spans="1:3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 spans="1:3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 spans="1:3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 spans="1:3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 spans="1:3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 spans="1:3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 spans="1:3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 spans="1:3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 spans="1:3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 spans="1:3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 spans="1:3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 spans="1:3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 spans="1:3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 spans="1:3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 spans="1:3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 spans="1:3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 spans="1:3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 spans="1:3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 spans="1:3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 spans="1:3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 spans="1:3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 spans="1:3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 spans="1:3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 spans="1:3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 spans="1:3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 spans="1:3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 spans="1:3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 spans="1:3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 spans="1:3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 spans="1:3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 spans="1:3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 spans="1:3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 spans="1:3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 spans="1:3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 spans="1:3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 spans="1:3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 spans="1:3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 spans="1:3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 spans="1:3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 spans="1:3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 spans="1:3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 spans="1:3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 spans="1:3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 spans="1:3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 spans="1:3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 spans="1:3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 spans="1:3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 spans="1:3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 spans="1:3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 spans="1:3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 spans="1:3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 spans="1:3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 spans="1:3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 spans="1:3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 spans="1:3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 spans="1:3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 spans="1:3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 spans="1:3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 spans="1:3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 spans="1:3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 spans="1:3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 spans="1:3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 spans="1:3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 spans="1:3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 spans="1:3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 spans="1:3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 spans="1:3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 spans="1:3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 spans="1:3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 spans="1:3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 spans="1:3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 spans="1:3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 spans="1:3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 spans="1:3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 spans="1:3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 spans="1:3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 spans="1:3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 spans="1:3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 spans="1:3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 spans="1:3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 spans="1:3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 spans="1:3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 spans="1:3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 spans="1:3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 spans="1:3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 spans="1:3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 spans="1:3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 spans="1:3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 spans="1:3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 spans="1:3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 spans="1:3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 spans="1:3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 spans="1:3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 spans="1:3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 spans="1:3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 spans="1:3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 spans="1:3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 spans="1:2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 spans="1:3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 spans="1:3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 spans="1:3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 spans="1:3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 spans="1:3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 spans="1:3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 spans="1:3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 spans="1:3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 spans="1:3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 spans="1:3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 spans="1:3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 spans="1:3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:C1"/>
    </sheetView>
  </sheetViews>
  <sheetFormatPr defaultColWidth="15.1333333333333" defaultRowHeight="15" customHeight="1" outlineLevelCol="2"/>
  <cols>
    <col min="1" max="1" width="21.247619047619" customWidth="1"/>
    <col min="2" max="2" width="42.6285714285714" customWidth="1"/>
    <col min="3" max="23" width="12.6285714285714" customWidth="1"/>
  </cols>
  <sheetData>
    <row r="1" ht="15.75" customHeight="1" spans="1:3">
      <c r="A1" s="22" t="s">
        <v>2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3</v>
      </c>
      <c r="B3" s="23" t="s">
        <v>4</v>
      </c>
      <c r="C3" s="4"/>
    </row>
    <row r="4" ht="15.75" customHeight="1" spans="1:3">
      <c r="A4" s="6" t="s">
        <v>5</v>
      </c>
      <c r="B4" s="4" t="s">
        <v>6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4"/>
  <sheetViews>
    <sheetView workbookViewId="0">
      <selection activeCell="A1" sqref="A1:F1"/>
    </sheetView>
  </sheetViews>
  <sheetFormatPr defaultColWidth="15.1333333333333" defaultRowHeight="15" customHeight="1" outlineLevelRow="3"/>
  <cols>
    <col min="4" max="4" width="33.6285714285714" customWidth="1"/>
  </cols>
  <sheetData>
    <row r="1" customHeight="1" spans="1:6">
      <c r="A1" s="2" t="s">
        <v>7</v>
      </c>
      <c r="B1" s="3"/>
      <c r="C1" s="3"/>
      <c r="D1" s="3"/>
      <c r="E1" s="3"/>
      <c r="F1" s="3"/>
    </row>
    <row r="2" customHeight="1" spans="1:6">
      <c r="A2" s="11"/>
      <c r="B2" s="11"/>
      <c r="C2" s="11"/>
      <c r="D2" s="11"/>
      <c r="E2" s="11"/>
      <c r="F2" s="11"/>
    </row>
    <row r="3" customHeight="1" spans="1:26">
      <c r="A3" s="6" t="s">
        <v>8</v>
      </c>
      <c r="B3" s="20" t="s">
        <v>9</v>
      </c>
      <c r="C3" s="20" t="s">
        <v>10</v>
      </c>
      <c r="D3" s="20"/>
      <c r="E3" s="20"/>
      <c r="F3" s="2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customHeight="1" spans="1:1">
      <c r="A4" t="str">
        <f>IFERROR(__xludf.DUMMYFUNCTION("IMPORTRANGE('_Settings'!B4,""Master Data!A4:L1000"")"),"#REF!")</f>
        <v>#REF!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13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IFERROR(__xludf.DUMMYFUNCTION("""COMPUTED_VALUE"""),"AutoGroup")</f>
        <v>AutoGroup</v>
      </c>
      <c r="C5" s="10" t="str">
        <f>IFERROR(__xludf.DUMMYFUNCTION("""COMPUTED_VALUE"""),"TradeAttribute1")</f>
        <v>TradeAttribute1</v>
      </c>
      <c r="D5" s="10" t="str">
        <f>IFERROR(__xludf.DUMMYFUNCTION("""COMPUTED_VALUE"""),"TradeAttribute2")</f>
        <v>TradeAttribute2</v>
      </c>
      <c r="E5" s="10" t="str">
        <f>IFERROR(__xludf.DUMMYFUNCTION("""COMPUTED_VALUE"""),"TradeAttribute3")</f>
        <v>TradeAttribute3</v>
      </c>
      <c r="F5" s="10" t="str">
        <f>IFERROR(__xludf.DUMMYFUNCTION("""COMPUTED_VALUE"""),"TradeAttribute4")</f>
        <v>TradeAttribute4</v>
      </c>
      <c r="G5" s="10" t="str">
        <f>IFERROR(__xludf.DUMMYFUNCTION("""COMPUTED_VALUE"""),"TradeAttribute5")</f>
        <v>TradeAttribute5</v>
      </c>
      <c r="H5" s="10" t="str">
        <f>IFERROR(__xludf.DUMMYFUNCTION("""COMPUTED_VALUE"""),"TradeAttribute6")</f>
        <v>TradeAttribute6</v>
      </c>
      <c r="I5" s="10" t="str">
        <f>IFERROR(__xludf.DUMMYFUNCTION("""COMPUTED_VALUE"""),"Broker")</f>
        <v>Broker</v>
      </c>
      <c r="J5" s="10" t="str">
        <f>IFERROR(__xludf.DUMMYFUNCTION("""COMPUTED_VALUE"""),"Venue")</f>
        <v>Venue</v>
      </c>
      <c r="K5" s="10" t="str">
        <f>IFERROR(__xludf.DUMMYFUNCTION("""COMPUTED_VALUE"""),"TradingAC")</f>
        <v>TradingAC</v>
      </c>
      <c r="L5" s="10" t="str">
        <f>IFERROR(__xludf.DUMMYFUNCTION("""COMPUTED_VALUE"""),"TradeDate")</f>
        <v>TradeDate</v>
      </c>
      <c r="M5" s="10" t="str">
        <f>IFERROR(__xludf.DUMMYFUNCTION("""COMPUTED_VALUE"""),"ProcessDate")</f>
        <v>ProcessDate</v>
      </c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b">
        <v>1</v>
      </c>
      <c r="C6" s="4"/>
      <c r="D6" s="4"/>
      <c r="E6" s="4"/>
      <c r="F6" s="4"/>
      <c r="G6" s="4"/>
      <c r="H6" s="4"/>
      <c r="I6" s="4"/>
      <c r="J6" s="4"/>
      <c r="K6" s="4" t="b">
        <v>1</v>
      </c>
      <c r="L6" s="4" t="b">
        <v>1</v>
      </c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IFERROR(__xludf.DUMMYFUNCTION("""COMPUTED_VALUE"""),"FundName")</f>
        <v>FundName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16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IFERROR(__xludf.DUMMYFUNCTION("""COMPUTED_VALUE"""),"FundName")</f>
        <v>FundName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SetAutoGroupingAccount1!$4:$4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19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IFERROR(__xludf.DUMMYFUNCTION("""COMPUTED_VALUE"""),"ValidateCheckSide")</f>
        <v>ValidateCheckSide</v>
      </c>
      <c r="C5" s="10" t="str">
        <f>IFERROR(__xludf.DUMMYFUNCTION("""COMPUTED_VALUE"""),"DisabledChecksideAssets")</f>
        <v>DisabledChecksideAssets</v>
      </c>
      <c r="D5" s="10" t="str">
        <f>IFERROR(__xludf.DUMMYFUNCTION("""COMPUTED_VALUE"""),"PrecisionValue")</f>
        <v>PrecisionValue</v>
      </c>
      <c r="E5" s="10" t="str">
        <f>IFERROR(__xludf.DUMMYFUNCTION("""COMPUTED_VALUE"""),"UseCommissionInNetAmount")</f>
        <v>UseCommissionInNetAmount</v>
      </c>
      <c r="F5" s="10" t="str">
        <f>IFERROR(__xludf.DUMMYFUNCTION("""COMPUTED_VALUE"""),"SaveWithoutState")</f>
        <v>SaveWithoutState</v>
      </c>
      <c r="G5" s="10" t="str">
        <f>IFERROR(__xludf.DUMMYFUNCTION("""COMPUTED_VALUE"""),"SaveWithState")</f>
        <v>SaveWithState</v>
      </c>
      <c r="H5" s="10" t="str">
        <f>IFERROR(__xludf.DUMMYFUNCTION("""COMPUTED_VALUE"""),"ClearQuantities")</f>
        <v>ClearQuantities</v>
      </c>
      <c r="I5" s="10" t="str">
        <f>IFERROR(__xludf.DUMMYFUNCTION("""COMPUTED_VALUE"""),"ReapplyAllocation")</f>
        <v>ReapplyAllocation</v>
      </c>
      <c r="J5" s="10" t="str">
        <f>IFERROR(__xludf.DUMMYFUNCTION("""COMPUTED_VALUE"""),"DefaultAllocation")</f>
        <v>DefaultAllocation</v>
      </c>
      <c r="K5" s="10" t="str">
        <f>IFERROR(__xludf.DUMMYFUNCTION("""COMPUTED_VALUE"""),"IsCustomPreference")</f>
        <v>IsCustomPreference</v>
      </c>
      <c r="L5" s="10" t="str">
        <f>IFERROR(__xludf.DUMMYFUNCTION("""COMPUTED_VALUE"""),"AllocationMethod")</f>
        <v>AllocationMethod</v>
      </c>
      <c r="M5" s="10" t="str">
        <f>IFERROR(__xludf.DUMMYFUNCTION("""COMPUTED_VALUE"""),"RemainderAllocationTo")</f>
        <v>RemainderAllocationTo</v>
      </c>
      <c r="N5" s="10" t="str">
        <f>IFERROR(__xludf.DUMMYFUNCTION("""COMPUTED_VALUE"""),"Target%AsOf")</f>
        <v>Target%AsOf</v>
      </c>
      <c r="O5" s="10" t="str">
        <f>IFERROR(__xludf.DUMMYFUNCTION("""COMPUTED_VALUE"""),"ProrataAccounts")</f>
        <v>ProrataAccounts</v>
      </c>
      <c r="P5" s="10" t="str">
        <f>IFERROR(__xludf.DUMMYFUNCTION("""COMPUTED_VALUE"""),"DateUptoDays")</f>
        <v>DateUptoDays</v>
      </c>
      <c r="Q5" s="10" t="str">
        <f>IFERROR(__xludf.DUMMYFUNCTION("""COMPUTED_VALUE"""),"MatchClosing")</f>
        <v>MatchClosing</v>
      </c>
      <c r="R5" s="10" t="str">
        <f>IFERROR(__xludf.DUMMYFUNCTION("""COMPUTED_VALUE"""),"CommissionAlertOnBrokerChange")</f>
        <v>CommissionAlertOnBrokerChange</v>
      </c>
      <c r="S5" s="10" t="str">
        <f>IFERROR(__xludf.DUMMYFUNCTION("""COMPUTED_VALUE"""),"RecalculateCommissionOnBrokerChange")</f>
        <v>RecalculateCommissionOnBrokerChange</v>
      </c>
      <c r="T5" s="17" t="str">
        <f>IFERROR(__xludf.DUMMYFUNCTION("""COMPUTED_VALUE"""),"CommissionAlertOnAllocation")</f>
        <v>CommissionAlertOnAllocation</v>
      </c>
      <c r="U5" s="17" t="str">
        <f>IFERROR(__xludf.DUMMYFUNCTION("""COMPUTED_VALUE"""),"RecalculateCommissionOnAllocation")</f>
        <v>RecalculateCommissionOnAllocation</v>
      </c>
      <c r="V5" s="17" t="str">
        <f>IFERROR(__xludf.DUMMYFUNCTION("""COMPUTED_VALUE"""),"EnableMasterFund")</f>
        <v>EnableMasterFund</v>
      </c>
      <c r="W5" s="17" t="str">
        <f>IFERROR(__xludf.DUMMYFUNCTION("""COMPUTED_VALUE"""),"1MasterFund/1Symbol")</f>
        <v>1MasterFund/1Symbol</v>
      </c>
      <c r="X5" s="17" t="str">
        <f>IFERROR(__xludf.DUMMYFUNCTION("""COMPUTED_VALUE"""),"ProrataSchemeName")</f>
        <v>ProrataSchemeName</v>
      </c>
      <c r="Y5" s="17" t="str">
        <f>IFERROR(__xludf.DUMMYFUNCTION("""COMPUTED_VALUE"""),"ProrataAllocationSchemeBasis")</f>
        <v>ProrataAllocationSchemeBasis</v>
      </c>
      <c r="Z5" s="17" t="str">
        <f>IFERROR(__xludf.DUMMYFUNCTION("""COMPUTED_VALUE"""),"ShowAdvancedProrataUI")</f>
        <v>ShowAdvancedProrataUI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b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20</v>
      </c>
      <c r="D3" s="6" t="s">
        <v>9</v>
      </c>
      <c r="E3" s="7" t="s">
        <v>21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IFERROR(__xludf.DUMMYFUNCTION("IF(C3="""","""",Transpose(IMPORTRANGE('_Settings'!$B$3,C3&amp;""!A4:A1000"")))"),"OpenTTFromPST")</f>
        <v>OpenTTFromPST</v>
      </c>
      <c r="C4" s="8" t="str">
        <f>IFERROR(__xludf.DUMMYFUNCTION("""COMPUTED_VALUE"""),"EnterDetailsOnTT")</f>
        <v>EnterDetailsOnTT</v>
      </c>
      <c r="D4" s="8" t="str">
        <f>IFERROR(__xludf.DUMMYFUNCTION("""COMPUTED_VALUE"""),"ValidateSymbolTT")</f>
        <v>ValidateSymbolTT</v>
      </c>
      <c r="E4" s="8" t="str">
        <f>IFERROR(__xludf.DUMMYFUNCTION("""COMPUTED_VALUE"""),"VerifyDataTT")</f>
        <v>VerifyDataTT</v>
      </c>
      <c r="F4" s="8" t="str">
        <f>IFERROR(__xludf.DUMMYFUNCTION("""COMPUTED_VALUE"""),"SetUIPreferencesTT")</f>
        <v>SetUIPreferencesTT</v>
      </c>
      <c r="G4" s="8" t="str">
        <f>IFERROR(__xludf.DUMMYFUNCTION("""COMPUTED_VALUE"""),"SetBrokerWisePreferencesTT")</f>
        <v>SetBrokerWisePreferencesTT</v>
      </c>
      <c r="H4" s="8" t="str">
        <f>IFERROR(__xludf.DUMMYFUNCTION("""COMPUTED_VALUE"""),"VerifyComplianceOrder")</f>
        <v>VerifyComplianceOrder</v>
      </c>
      <c r="I4" s="8" t="str">
        <f>IFERROR(__xludf.DUMMYFUNCTION("""COMPUTED_VALUE"""),"TradeNewSub")</f>
        <v>TradeNewSub</v>
      </c>
      <c r="J4" s="8" t="str">
        <f>IFERROR(__xludf.DUMMYFUNCTION("""COMPUTED_VALUE"""),"CreateStageOrder")</f>
        <v>CreateStageOrder</v>
      </c>
      <c r="K4" s="8" t="str">
        <f>IFERROR(__xludf.DUMMYFUNCTION("""COMPUTED_VALUE"""),"CreateReplaceOrder")</f>
        <v>CreateReplaceOrder</v>
      </c>
      <c r="L4" s="8" t="str">
        <f>IFERROR(__xludf.DUMMYFUNCTION("""COMPUTED_VALUE"""),"SetGeneralPreference")</f>
        <v>SetGeneralPreference</v>
      </c>
      <c r="M4" s="8" t="str">
        <f>IFERROR(__xludf.DUMMYFUNCTION("""COMPUTED_VALUE"""),"CreateNewSubOrder")</f>
        <v>CreateNewSubOrder</v>
      </c>
      <c r="N4" s="8" t="str">
        <f>IFERROR(__xludf.DUMMYFUNCTION("""COMPUTED_VALUE"""),"TradeBloomberg")</f>
        <v>TradeBloomberg</v>
      </c>
      <c r="O4" s="8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IFERROR(__xludf.DUMMYFUNCTION("""COMPUTED_VALUE"""),"Quantity")</f>
        <v>Quantity</v>
      </c>
      <c r="D5" s="10" t="str">
        <f>IFERROR(__xludf.DUMMYFUNCTION("""COMPUTED_VALUE"""),"Price")</f>
        <v>Price</v>
      </c>
      <c r="E5" s="10" t="str">
        <f>IFERROR(__xludf.DUMMYFUNCTION("""COMPUTED_VALUE"""),"Order type button")</f>
        <v>Order type button</v>
      </c>
      <c r="F5" s="10" t="str">
        <f>IFERROR(__xludf.DUMMYFUNCTION("""COMPUTED_VALUE"""),"SharesOutstandingPopUp")</f>
        <v>SharesOutstandingPopUp</v>
      </c>
      <c r="G5" s="10" t="str">
        <f>IFERROR(__xludf.DUMMYFUNCTION("""COMPUTED_VALUE"""),"TT_Open")</f>
        <v>TT_Open</v>
      </c>
      <c r="H5" s="10" t="str">
        <f>IFERROR(__xludf.DUMMYFUNCTION("""COMPUTED_VALUE"""),"SharesOutstandingPopUpQty")</f>
        <v>SharesOutstandingPopUpQty</v>
      </c>
      <c r="I5" s="10" t="str">
        <f>IFERROR(__xludf.DUMMYFUNCTION("""COMPUTED_VALUE"""),"AllocationMethod")</f>
        <v>AllocationMethod</v>
      </c>
      <c r="J5" s="10" t="str">
        <f>IFERROR(__xludf.DUMMYFUNCTION("""COMPUTED_VALUE"""),"Order Side")</f>
        <v>Order Side</v>
      </c>
      <c r="K5" s="10" t="str">
        <f>IFERROR(__xludf.DUMMYFUNCTION("""COMPUTED_VALUE"""),"DB_Check")</f>
        <v>DB_Check</v>
      </c>
      <c r="L5" s="10" t="str">
        <f>IFERROR(__xludf.DUMMYFUNCTION("""COMPUTED_VALUE"""),"CommissionBasis")</f>
        <v>CommissionBasis</v>
      </c>
      <c r="M5" s="10" t="str">
        <f>IFERROR(__xludf.DUMMYFUNCTION("""COMPUTED_VALUE"""),"CommissionRate")</f>
        <v>CommissionRate</v>
      </c>
      <c r="N5" s="10" t="str">
        <f>IFERROR(__xludf.DUMMYFUNCTION("""COMPUTED_VALUE"""),"SoftBasis")</f>
        <v>SoftBasis</v>
      </c>
      <c r="O5" s="10" t="str">
        <f>IFERROR(__xludf.DUMMYFUNCTION("""COMPUTED_VALUE"""),"SoftRate")</f>
        <v>SoftRate</v>
      </c>
      <c r="P5" s="10" t="str">
        <f>IFERROR(__xludf.DUMMYFUNCTION("""COMPUTED_VALUE"""),"Account")</f>
        <v>Account</v>
      </c>
      <c r="Q5" s="10" t="str">
        <f>IFERROR(__xludf.DUMMYFUNCTION("""COMPUTED_VALUE"""),"Account %")</f>
        <v>Account %</v>
      </c>
      <c r="R5" s="10" t="str">
        <f>IFERROR(__xludf.DUMMYFUNCTION("""COMPUTED_VALUE"""),"VerifySuggestions")</f>
        <v>VerifySuggestions</v>
      </c>
      <c r="S5" s="10" t="str">
        <f>IFERROR(__xludf.DUMMYFUNCTION("""COMPUTED_VALUE"""),"SymbolToPickFromSuggesstions")</f>
        <v>SymbolToPickFromSuggesstions</v>
      </c>
      <c r="T5" s="17" t="str">
        <f>IFERROR(__xludf.DUMMYFUNCTION("""COMPUTED_VALUE"""),"TypedSymbolAvailableOnSuggestion")</f>
        <v>TypedSymbolAvailableOnSuggestion</v>
      </c>
      <c r="U5" s="17" t="str">
        <f>IFERROR(__xludf.DUMMYFUNCTION("""COMPUTED_VALUE"""),"TIF")</f>
        <v>TIF</v>
      </c>
      <c r="V5" s="17" t="str">
        <f>IFERROR(__xludf.DUMMYFUNCTION("""COMPUTED_VALUE"""),"Order Type")</f>
        <v>Order Type</v>
      </c>
      <c r="W5" s="17" t="str">
        <f>IFERROR(__xludf.DUMMYFUNCTION("""COMPUTED_VALUE"""),"Stop")</f>
        <v>Stop</v>
      </c>
      <c r="X5" s="17" t="str">
        <f>IFERROR(__xludf.DUMMYFUNCTION("""COMPUTED_VALUE"""),"Limit")</f>
        <v>Limit</v>
      </c>
      <c r="Y5" s="17" t="str">
        <f>IFERROR(__xludf.DUMMYFUNCTION("""COMPUTED_VALUE"""),"Expiration Date")</f>
        <v>Expiration Date</v>
      </c>
      <c r="Z5" s="17" t="str">
        <f>IFERROR(__xludf.DUMMYFUNCTION("""COMPUTED_VALUE"""),"Trade Date")</f>
        <v>Trade Date</v>
      </c>
      <c r="AA5" s="17" t="str">
        <f>IFERROR(__xludf.DUMMYFUNCTION("""COMPUTED_VALUE"""),"Broker")</f>
        <v>Broker</v>
      </c>
      <c r="AB5" s="17" t="str">
        <f>IFERROR(__xludf.DUMMYFUNCTION("""COMPUTED_VALUE"""),"Padlock Visiblity")</f>
        <v>Padlock Visiblity</v>
      </c>
      <c r="AC5" s="17" t="str">
        <f>IFERROR(__xludf.DUMMYFUNCTION("""COMPUTED_VALUE"""),"Padlock Unlock")</f>
        <v>Padlock Unlock</v>
      </c>
      <c r="AD5" s="17" t="str">
        <f>IFERROR(__xludf.DUMMYFUNCTION("""COMPUTED_VALUE"""),"Venue")</f>
        <v>Venue</v>
      </c>
      <c r="AE5" s="17" t="str">
        <f>IFERROR(__xludf.DUMMYFUNCTION("""COMPUTED_VALUE"""),"Fx Rate")</f>
        <v>Fx Rate</v>
      </c>
      <c r="AF5" s="17" t="str">
        <f>IFERROR(__xludf.DUMMYFUNCTION("""COMPUTED_VALUE"""),"Fx Operator")</f>
        <v>Fx Operator</v>
      </c>
      <c r="AG5" s="17" t="str">
        <f>IFERROR(__xludf.DUMMYFUNCTION("""COMPUTED_VALUE"""),"PendingApprovalPopUp")</f>
        <v>PendingApprovalPopUp</v>
      </c>
      <c r="AH5" s="17" t="str">
        <f>IFERROR(__xludf.DUMMYFUNCTION("""COMPUTED_VALUE"""),"TradeBy")</f>
        <v>TradeBy</v>
      </c>
      <c r="AI5" s="17" t="str">
        <f>IFERROR(__xludf.DUMMYFUNCTION("""COMPUTED_VALUE"""),"BookAsSwap")</f>
        <v>BookAsSwap</v>
      </c>
      <c r="AJ5" s="17" t="str">
        <f>IFERROR(__xludf.DUMMYFUNCTION("""COMPUTED_VALUE"""),"RoundLot")</f>
        <v>RoundLot</v>
      </c>
      <c r="AK5" s="17" t="str">
        <f>IFERROR(__xludf.DUMMYFUNCTION("""COMPUTED_VALUE"""),"Increment")</f>
        <v>Increment</v>
      </c>
      <c r="AL5" s="17" t="str">
        <f>IFERROR(__xludf.DUMMYFUNCTION("""COMPUTED_VALUE"""),"Decrement")</f>
        <v>Decrement</v>
      </c>
      <c r="AM5" s="17" t="str">
        <f>IFERROR(__xludf.DUMMYFUNCTION("""COMPUTED_VALUE"""),"FixDisconnectionPopup")</f>
        <v>FixDisconnectionPopup</v>
      </c>
      <c r="AN5" s="17" t="str">
        <f>IFERROR(__xludf.DUMMYFUNCTION("""COMPUTED_VALUE"""),"Trade Attribute 01")</f>
        <v>Trade Attribute 01</v>
      </c>
      <c r="AO5" s="17" t="str">
        <f>IFERROR(__xludf.DUMMYFUNCTION("""COMPUTED_VALUE"""),"Trade Attribute 02")</f>
        <v>Trade Attribute 02</v>
      </c>
      <c r="AP5" s="17" t="str">
        <f>IFERROR(__xludf.DUMMYFUNCTION("""COMPUTED_VALUE"""),"Trade Attribute 03")</f>
        <v>Trade Attribute 03</v>
      </c>
      <c r="AQ5" s="17" t="str">
        <f>IFERROR(__xludf.DUMMYFUNCTION("""COMPUTED_VALUE"""),"Trade Attribute 04")</f>
        <v>Trade Attribute 04</v>
      </c>
      <c r="AR5" s="17" t="str">
        <f>IFERROR(__xludf.DUMMYFUNCTION("""COMPUTED_VALUE"""),"Trade Attribute 05")</f>
        <v>Trade Attribute 05</v>
      </c>
      <c r="AS5" s="17" t="str">
        <f>IFERROR(__xludf.DUMMYFUNCTION("""COMPUTED_VALUE"""),"Trade Attribute 06")</f>
        <v>Trade Attribute 06</v>
      </c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22</v>
      </c>
      <c r="C6" s="4">
        <v>37500</v>
      </c>
      <c r="D6" s="4">
        <v>1</v>
      </c>
      <c r="E6" s="4" t="s">
        <v>23</v>
      </c>
      <c r="F6" s="4"/>
      <c r="G6" s="4"/>
      <c r="H6" s="4"/>
      <c r="I6" s="4"/>
      <c r="J6" s="4" t="s">
        <v>24</v>
      </c>
      <c r="K6" s="4"/>
      <c r="L6" s="4"/>
      <c r="M6" s="4"/>
      <c r="N6" s="4"/>
      <c r="O6" s="4"/>
    </row>
    <row r="7" ht="15.75" customHeight="1" spans="1:15">
      <c r="A7" s="4"/>
      <c r="B7" s="4" t="s">
        <v>22</v>
      </c>
      <c r="C7" s="4">
        <v>5000</v>
      </c>
      <c r="D7" s="4">
        <v>1</v>
      </c>
      <c r="E7" s="4" t="s">
        <v>23</v>
      </c>
      <c r="F7" s="4"/>
      <c r="G7" s="4"/>
      <c r="H7" s="4"/>
      <c r="I7" s="4" t="s">
        <v>17</v>
      </c>
      <c r="J7" s="4" t="s">
        <v>25</v>
      </c>
      <c r="K7" s="4"/>
      <c r="L7" s="4"/>
      <c r="M7" s="4"/>
      <c r="N7" s="4"/>
      <c r="O7" s="4"/>
    </row>
    <row r="8" ht="15.75" customHeight="1" spans="1:15">
      <c r="A8" s="4"/>
      <c r="B8" s="4" t="s">
        <v>22</v>
      </c>
      <c r="C8" s="4">
        <v>30000</v>
      </c>
      <c r="D8" s="4">
        <v>1</v>
      </c>
      <c r="E8" s="4" t="s">
        <v>23</v>
      </c>
      <c r="F8" s="4"/>
      <c r="G8" s="4"/>
      <c r="H8" s="4"/>
      <c r="I8" s="4" t="s">
        <v>17</v>
      </c>
      <c r="J8" s="4" t="s">
        <v>25</v>
      </c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26</v>
      </c>
      <c r="D3" s="6" t="s">
        <v>9</v>
      </c>
      <c r="E3" s="7" t="s">
        <v>27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 t="str">
        <f>IFERROR(__xludf.DUMMYFUNCTION("""COMPUTED_VALUE"""),"VerifyTagInAllFixLogs")</f>
        <v>VerifyTagInAllFixLogs</v>
      </c>
      <c r="M4" s="8" t="str">
        <f>IFERROR(__xludf.DUMMYFUNCTION("""COMPUTED_VALUE"""),"SetToAutomaticResponse")</f>
        <v>SetToAutomaticResponse</v>
      </c>
      <c r="N4" s="8" t="str">
        <f>IFERROR(__xludf.DUMMYFUNCTION("""COMPUTED_VALUE"""),"DoneForDay")</f>
        <v>DoneForDay</v>
      </c>
      <c r="O4" s="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/>
      <c r="C6" s="4" t="s">
        <v>22</v>
      </c>
      <c r="E6" s="4"/>
      <c r="F6" s="4"/>
      <c r="G6" s="4">
        <v>37500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26</v>
      </c>
      <c r="D3" s="6" t="s">
        <v>9</v>
      </c>
      <c r="E3" s="7" t="s">
        <v>28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 t="str">
        <f>IFERROR(__xludf.DUMMYFUNCTION("""COMPUTED_VALUE"""),"VerifyTagInAllFixLogs")</f>
        <v>VerifyTagInAllFixLogs</v>
      </c>
      <c r="M4" s="8" t="str">
        <f>IFERROR(__xludf.DUMMYFUNCTION("""COMPUTED_VALUE"""),"SetToAutomaticResponse")</f>
        <v>SetToAutomaticResponse</v>
      </c>
      <c r="N4" s="8" t="str">
        <f>IFERROR(__xludf.DUMMYFUNCTION("""COMPUTED_VALUE"""),"DoneForDay")</f>
        <v>DoneForDay</v>
      </c>
      <c r="O4" s="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 t="str">
        <f>IFERROR(__xludf.DUMMYFUNCTION("""COMPUTED_VALUE"""),"ClearAllPrice")</f>
        <v>ClearAllPrice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>
        <v>1</v>
      </c>
      <c r="C6" s="4">
        <v>37500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26</v>
      </c>
      <c r="D3" s="6" t="s">
        <v>9</v>
      </c>
      <c r="E3" s="7" t="s">
        <v>27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 t="str">
        <f>IFERROR(__xludf.DUMMYFUNCTION("""COMPUTED_VALUE"""),"VerifyTagInAllFixLogs")</f>
        <v>VerifyTagInAllFixLogs</v>
      </c>
      <c r="M4" s="8" t="str">
        <f>IFERROR(__xludf.DUMMYFUNCTION("""COMPUTED_VALUE"""),"SetToAutomaticResponse")</f>
        <v>SetToAutomaticResponse</v>
      </c>
      <c r="N4" s="8" t="str">
        <f>IFERROR(__xludf.DUMMYFUNCTION("""COMPUTED_VALUE"""),"DoneForDay")</f>
        <v>DoneForDay</v>
      </c>
      <c r="O4" s="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/>
      <c r="C6" s="4" t="s">
        <v>22</v>
      </c>
      <c r="E6" s="4"/>
      <c r="F6" s="4"/>
      <c r="G6" s="4">
        <v>5000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26</v>
      </c>
      <c r="D3" s="6" t="s">
        <v>9</v>
      </c>
      <c r="E3" s="7" t="s">
        <v>28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 t="str">
        <f>IFERROR(__xludf.DUMMYFUNCTION("""COMPUTED_VALUE"""),"VerifyTagInAllFixLogs")</f>
        <v>VerifyTagInAllFixLogs</v>
      </c>
      <c r="M4" s="8" t="str">
        <f>IFERROR(__xludf.DUMMYFUNCTION("""COMPUTED_VALUE"""),"SetToAutomaticResponse")</f>
        <v>SetToAutomaticResponse</v>
      </c>
      <c r="N4" s="8" t="str">
        <f>IFERROR(__xludf.DUMMYFUNCTION("""COMPUTED_VALUE"""),"DoneForDay")</f>
        <v>DoneForDay</v>
      </c>
      <c r="O4" s="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 t="str">
        <f>IFERROR(__xludf.DUMMYFUNCTION("""COMPUTED_VALUE"""),"ClearAllPrice")</f>
        <v>ClearAllPrice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>
        <v>1</v>
      </c>
      <c r="C6" s="4">
        <v>5000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26</v>
      </c>
      <c r="D3" s="6" t="s">
        <v>9</v>
      </c>
      <c r="E3" s="7" t="s">
        <v>27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 t="str">
        <f>IFERROR(__xludf.DUMMYFUNCTION("""COMPUTED_VALUE"""),"VerifyTagInAllFixLogs")</f>
        <v>VerifyTagInAllFixLogs</v>
      </c>
      <c r="M4" s="8" t="str">
        <f>IFERROR(__xludf.DUMMYFUNCTION("""COMPUTED_VALUE"""),"SetToAutomaticResponse")</f>
        <v>SetToAutomaticResponse</v>
      </c>
      <c r="N4" s="8" t="str">
        <f>IFERROR(__xludf.DUMMYFUNCTION("""COMPUTED_VALUE"""),"DoneForDay")</f>
        <v>DoneForDay</v>
      </c>
      <c r="O4" s="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IFERROR(__xludf.DUMMYFUNCTION("""COMPUTED_VALUE"""),"Side")</f>
        <v>Side</v>
      </c>
      <c r="C5" s="10" t="str">
        <f>IFERROR(__xludf.DUMMYFUNCTION("""COMPUTED_VALUE"""),"Symbol")</f>
        <v>Symbol</v>
      </c>
      <c r="D5" s="10" t="str">
        <f>IFERROR(__xludf.DUMMYFUNCTION("""COMPUTED_VALUE"""),"Order Type")</f>
        <v>Order Type</v>
      </c>
      <c r="E5" s="10" t="str">
        <f>IFERROR(__xludf.DUMMYFUNCTION("""COMPUTED_VALUE"""),"Price")</f>
        <v>Price</v>
      </c>
      <c r="F5" s="10" t="str">
        <f>IFERROR(__xludf.DUMMYFUNCTION("""COMPUTED_VALUE"""),"AvgPrice")</f>
        <v>AvgPrice</v>
      </c>
      <c r="G5" s="10" t="str">
        <f>IFERROR(__xludf.DUMMYFUNCTION("""COMPUTED_VALUE"""),"Quantity")</f>
        <v>Quantity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/>
      <c r="C6" s="4" t="s">
        <v>22</v>
      </c>
      <c r="E6" s="4"/>
      <c r="F6" s="4"/>
      <c r="G6" s="4">
        <v>30000</v>
      </c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26</v>
      </c>
      <c r="D3" s="6" t="s">
        <v>9</v>
      </c>
      <c r="E3" s="7" t="s">
        <v>28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IFERROR(__xludf.DUMMYFUNCTION("IF(C3="""","""",Transpose(IMPORTRANGE('_Settings'!$B$3,C3&amp;""!A4:A1000"")))"),"SelectTrade")</f>
        <v>SelectTrade</v>
      </c>
      <c r="C4" s="8" t="str">
        <f>IFERROR(__xludf.DUMMYFUNCTION("""COMPUTED_VALUE"""),"AcknowledgeTrade")</f>
        <v>AcknowledgeTrade</v>
      </c>
      <c r="D4" s="8" t="str">
        <f>IFERROR(__xludf.DUMMYFUNCTION("""COMPUTED_VALUE"""),"RejectTrade")</f>
        <v>RejectTrade</v>
      </c>
      <c r="E4" s="8" t="str">
        <f>IFERROR(__xludf.DUMMYFUNCTION("""COMPUTED_VALUE"""),"ExecuteTrade")</f>
        <v>ExecuteTrade</v>
      </c>
      <c r="F4" s="8" t="str">
        <f>IFERROR(__xludf.DUMMYFUNCTION("""COMPUTED_VALUE"""),"CancelTrade")</f>
        <v>CancelTrade</v>
      </c>
      <c r="G4" s="8" t="str">
        <f>IFERROR(__xludf.DUMMYFUNCTION("""COMPUTED_VALUE"""),"OpenLiveTT")</f>
        <v>OpenLiveTT</v>
      </c>
      <c r="H4" s="8" t="str">
        <f>IFERROR(__xludf.DUMMYFUNCTION("""COMPUTED_VALUE"""),"SetManualResponse")</f>
        <v>SetManualResponse</v>
      </c>
      <c r="I4" s="8" t="str">
        <f>IFERROR(__xludf.DUMMYFUNCTION("""COMPUTED_VALUE"""),"ClearUI")</f>
        <v>ClearUI</v>
      </c>
      <c r="J4" s="8" t="str">
        <f>IFERROR(__xludf.DUMMYFUNCTION("""COMPUTED_VALUE"""),"CloseSimulator")</f>
        <v>CloseSimulator</v>
      </c>
      <c r="K4" s="8" t="str">
        <f>IFERROR(__xludf.DUMMYFUNCTION("""COMPUTED_VALUE"""),"VerifyTrades")</f>
        <v>VerifyTrades</v>
      </c>
      <c r="L4" s="8" t="str">
        <f>IFERROR(__xludf.DUMMYFUNCTION("""COMPUTED_VALUE"""),"VerifyTagInAllFixLogs")</f>
        <v>VerifyTagInAllFixLogs</v>
      </c>
      <c r="M4" s="8" t="str">
        <f>IFERROR(__xludf.DUMMYFUNCTION("""COMPUTED_VALUE"""),"SetToAutomaticResponse")</f>
        <v>SetToAutomaticResponse</v>
      </c>
      <c r="N4" s="8" t="str">
        <f>IFERROR(__xludf.DUMMYFUNCTION("""COMPUTED_VALUE"""),"DoneForDay")</f>
        <v>DoneForDay</v>
      </c>
      <c r="O4" s="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IFERROR(__xludf.DUMMYFUNCTION("""COMPUTED_VALUE"""),"Price")</f>
        <v>Price</v>
      </c>
      <c r="C5" s="10" t="str">
        <f>IFERROR(__xludf.DUMMYFUNCTION("""COMPUTED_VALUE"""),"Shares")</f>
        <v>Shares</v>
      </c>
      <c r="D5" s="10" t="str">
        <f>IFERROR(__xludf.DUMMYFUNCTION("""COMPUTED_VALUE"""),"ClearAllPrice")</f>
        <v>ClearAllPrice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>
        <v>1</v>
      </c>
      <c r="C6" s="4">
        <v>30000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29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IFERROR(__xludf.DUMMYFUNCTION("""COMPUTED_VALUE"""),"Side")</f>
        <v>Side</v>
      </c>
      <c r="D5" s="10" t="str">
        <f>IFERROR(__xludf.DUMMYFUNCTION("""COMPUTED_VALUE"""),"Quantity")</f>
        <v>Quantity</v>
      </c>
      <c r="E5" s="10" t="str">
        <f>IFERROR(__xludf.DUMMYFUNCTION("""COMPUTED_VALUE"""),"Executed Qty")</f>
        <v>Executed Qty</v>
      </c>
      <c r="F5" s="10" t="str">
        <f>IFERROR(__xludf.DUMMYFUNCTION("""COMPUTED_VALUE"""),"Trade Date")</f>
        <v>Trade Date</v>
      </c>
      <c r="G5" s="10" t="str">
        <f>IFERROR(__xludf.DUMMYFUNCTION("""COMPUTED_VALUE"""),"Net Amount( Local)")</f>
        <v>Net Amount( Local)</v>
      </c>
      <c r="H5" s="10" t="str">
        <f>IFERROR(__xludf.DUMMYFUNCTION("""COMPUTED_VALUE"""),"Net Amount( Base)")</f>
        <v>Net Amount( Base)</v>
      </c>
      <c r="I5" s="10" t="str">
        <f>IFERROR(__xludf.DUMMYFUNCTION("""COMPUTED_VALUE"""),"Principal Amount( Local)")</f>
        <v>Principal Amount( Local)</v>
      </c>
      <c r="J5" s="10" t="str">
        <f>IFERROR(__xludf.DUMMYFUNCTION("""COMPUTED_VALUE"""),"Transaction Type")</f>
        <v>Transaction Type</v>
      </c>
      <c r="K5" s="10" t="str">
        <f>IFERROR(__xludf.DUMMYFUNCTION("""COMPUTED_VALUE"""),"Principal Amount( Base)")</f>
        <v>Principal Amount( Base)</v>
      </c>
      <c r="L5" s="10" t="str">
        <f>IFERROR(__xludf.DUMMYFUNCTION("""COMPUTED_VALUE"""),"Execution Time")</f>
        <v>Execution Time</v>
      </c>
      <c r="M5" s="10" t="str">
        <f>IFERROR(__xludf.DUMMYFUNCTION("""COMPUTED_VALUE"""),"Trading Account")</f>
        <v>Trading Account</v>
      </c>
      <c r="N5" s="10" t="str">
        <f>IFERROR(__xludf.DUMMYFUNCTION("""COMPUTED_VALUE"""),"Avg Price(Local)")</f>
        <v>Avg Price(Local)</v>
      </c>
      <c r="O5" s="10" t="str">
        <f>IFERROR(__xludf.DUMMYFUNCTION("""COMPUTED_VALUE"""),"Avg Price(Base)")</f>
        <v>Avg Price(Base)</v>
      </c>
      <c r="P5" s="10" t="str">
        <f>IFERROR(__xludf.DUMMYFUNCTION("""COMPUTED_VALUE"""),"Broker")</f>
        <v>Broker</v>
      </c>
      <c r="Q5" s="10" t="str">
        <f>IFERROR(__xludf.DUMMYFUNCTION("""COMPUTED_VALUE"""),"FX Rate")</f>
        <v>FX Rate</v>
      </c>
      <c r="R5" s="10" t="str">
        <f>IFERROR(__xludf.DUMMYFUNCTION("""COMPUTED_VALUE"""),"Venue")</f>
        <v>Venue</v>
      </c>
      <c r="S5" s="10" t="str">
        <f>IFERROR(__xludf.DUMMYFUNCTION("""COMPUTED_VALUE"""),"FX Conversion Operator")</f>
        <v>FX Conversion Operator</v>
      </c>
      <c r="T5" s="17" t="str">
        <f>IFERROR(__xludf.DUMMYFUNCTION("""COMPUTED_VALUE"""),"User")</f>
        <v>User</v>
      </c>
      <c r="U5" s="17" t="str">
        <f>IFERROR(__xludf.DUMMYFUNCTION("""COMPUTED_VALUE"""),"Asset Category")</f>
        <v>Asset Category</v>
      </c>
      <c r="V5" s="17" t="str">
        <f>IFERROR(__xludf.DUMMYFUNCTION("""COMPUTED_VALUE"""),"Settlement Currency")</f>
        <v>Settlement Currency</v>
      </c>
      <c r="W5" s="17" t="str">
        <f>IFERROR(__xludf.DUMMYFUNCTION("""COMPUTED_VALUE"""),"Commission Per Share")</f>
        <v>Commission Per Share</v>
      </c>
      <c r="X5" s="17" t="str">
        <f>IFERROR(__xludf.DUMMYFUNCTION("""COMPUTED_VALUE"""),"Soft Commission Per Share")</f>
        <v>Soft Commission Per Share</v>
      </c>
      <c r="Y5" s="17" t="str">
        <f>IFERROR(__xludf.DUMMYFUNCTION("""COMPUTED_VALUE"""),"Total Commission Per Share")</f>
        <v>Total Commission Per Share</v>
      </c>
      <c r="Z5" s="17" t="str">
        <f>IFERROR(__xludf.DUMMYFUNCTION("""COMPUTED_VALUE"""),"Change Type")</f>
        <v>Change Type</v>
      </c>
      <c r="AA5" s="17" t="str">
        <f>IFERROR(__xludf.DUMMYFUNCTION("""COMPUTED_VALUE"""),"Trade Attribute 1")</f>
        <v>Trade Attribute 1</v>
      </c>
      <c r="AB5" s="17" t="str">
        <f>IFERROR(__xludf.DUMMYFUNCTION("""COMPUTED_VALUE"""),"Trade Attribute 2")</f>
        <v>Trade Attribute 2</v>
      </c>
      <c r="AC5" s="17" t="str">
        <f>IFERROR(__xludf.DUMMYFUNCTION("""COMPUTED_VALUE"""),"Trade Attribute 3")</f>
        <v>Trade Attribute 3</v>
      </c>
      <c r="AD5" s="17" t="str">
        <f>IFERROR(__xludf.DUMMYFUNCTION("""COMPUTED_VALUE"""),"Trade Attribute 4")</f>
        <v>Trade Attribute 4</v>
      </c>
      <c r="AE5" s="17" t="str">
        <f>IFERROR(__xludf.DUMMYFUNCTION("""COMPUTED_VALUE"""),"Trade Attribute 5")</f>
        <v>Trade Attribute 5</v>
      </c>
      <c r="AF5" s="17" t="str">
        <f>IFERROR(__xludf.DUMMYFUNCTION("""COMPUTED_VALUE"""),"Trade Attribute 6")</f>
        <v>Trade Attribute 6</v>
      </c>
      <c r="AG5" s="17" t="str">
        <f>IFERROR(__xludf.DUMMYFUNCTION("""COMPUTED_VALUE"""),"IsPreAllocated")</f>
        <v>IsPreAllocated</v>
      </c>
      <c r="AH5" s="17" t="str">
        <f>IFERROR(__xludf.DUMMYFUNCTION("""COMPUTED_VALUE"""),"IsManual Group")</f>
        <v>IsManual Group</v>
      </c>
      <c r="AI5" s="17" t="str">
        <f>IFERROR(__xludf.DUMMYFUNCTION("""COMPUTED_VALUE"""),"IsAnotherTaxlotAttributesUpdated")</f>
        <v>IsAnotherTaxlotAttributesUpdated</v>
      </c>
      <c r="AJ5" s="17" t="str">
        <f>IFERROR(__xludf.DUMMYFUNCTION("""COMPUTED_VALUE"""),"ISNDF")</f>
        <v>ISNDF</v>
      </c>
      <c r="AK5" s="17" t="str">
        <f>IFERROR(__xludf.DUMMYFUNCTION("""COMPUTED_VALUE"""),"M2MProfitLoss")</f>
        <v>M2MProfitLoss</v>
      </c>
      <c r="AL5" s="17" t="str">
        <f>IFERROR(__xludf.DUMMYFUNCTION("""COMPUTED_VALUE"""),"Put Or Call")</f>
        <v>Put Or Call</v>
      </c>
      <c r="AM5" s="17" t="str">
        <f>IFERROR(__xludf.DUMMYFUNCTION("""COMPUTED_VALUE"""),"GroupID")</f>
        <v>GroupID</v>
      </c>
      <c r="AN5" s="17" t="str">
        <f>IFERROR(__xludf.DUMMYFUNCTION("""COMPUTED_VALUE"""),"UnAllocatedQty")</f>
        <v>UnAllocatedQty</v>
      </c>
      <c r="AO5" s="17" t="str">
        <f>IFERROR(__xludf.DUMMYFUNCTION("""COMPUTED_VALUE"""),"Allocated Qty")</f>
        <v>Allocated Qty</v>
      </c>
      <c r="AP5" s="17" t="str">
        <f>IFERROR(__xludf.DUMMYFUNCTION("""COMPUTED_VALUE"""),"Commission")</f>
        <v>Commission</v>
      </c>
      <c r="AQ5" s="17" t="str">
        <f>IFERROR(__xludf.DUMMYFUNCTION("""COMPUTED_VALUE"""),"Soft Commission")</f>
        <v>Soft Commission</v>
      </c>
      <c r="AR5" s="17" t="str">
        <f>IFERROR(__xludf.DUMMYFUNCTION("""COMPUTED_VALUE"""),"Other Broker Fees")</f>
        <v>Other Broker Fees</v>
      </c>
      <c r="AS5" s="17" t="str">
        <f>IFERROR(__xludf.DUMMYFUNCTION("""COMPUTED_VALUE"""),"Clearing Broker Fee")</f>
        <v>Clearing Broker Fee</v>
      </c>
      <c r="AT5" s="17" t="str">
        <f>IFERROR(__xludf.DUMMYFUNCTION("""COMPUTED_VALUE"""),"Total Commission And Fee")</f>
        <v>Total Commission And Fee</v>
      </c>
      <c r="AU5" s="17" t="str">
        <f>IFERROR(__xludf.DUMMYFUNCTION("""COMPUTED_VALUE"""),"Transaction Levy")</f>
        <v>Transaction Levy</v>
      </c>
      <c r="AV5" s="17" t="str">
        <f>IFERROR(__xludf.DUMMYFUNCTION("""COMPUTED_VALUE"""),"Stamp Duty")</f>
        <v>Stamp Duty</v>
      </c>
      <c r="AW5" s="17" t="str">
        <f>IFERROR(__xludf.DUMMYFUNCTION("""COMPUTED_VALUE"""),"AUEC Fee1")</f>
        <v>AUEC Fee1</v>
      </c>
      <c r="AX5" s="17" t="str">
        <f>IFERROR(__xludf.DUMMYFUNCTION("""COMPUTED_VALUE"""),"Tax On Commissions")</f>
        <v>Tax On Commissions</v>
      </c>
      <c r="AY5" s="17" t="str">
        <f>IFERROR(__xludf.DUMMYFUNCTION("""COMPUTED_VALUE"""),"AUEC Fee2")</f>
        <v>AUEC Fee2</v>
      </c>
      <c r="AZ5" s="17" t="str">
        <f>IFERROR(__xludf.DUMMYFUNCTION("""COMPUTED_VALUE"""),"SEC Fee")</f>
        <v>SEC Fee</v>
      </c>
      <c r="BA5" s="17" t="str">
        <f>IFERROR(__xludf.DUMMYFUNCTION("""COMPUTED_VALUE"""),"OCC Fee")</f>
        <v>OCC Fee</v>
      </c>
      <c r="BB5" s="17" t="str">
        <f>IFERROR(__xludf.DUMMYFUNCTION("""COMPUTED_VALUE"""),"ORF Fee")</f>
        <v>ORF Fee</v>
      </c>
      <c r="BC5" s="17" t="str">
        <f>IFERROR(__xludf.DUMMYFUNCTION("""COMPUTED_VALUE"""),"Option Premium Adjustment")</f>
        <v>Option Premium Adjustment</v>
      </c>
      <c r="BD5" s="17" t="str">
        <f>IFERROR(__xludf.DUMMYFUNCTION("""COMPUTED_VALUE"""),"Prana Msg Type")</f>
        <v>Prana Msg Type</v>
      </c>
      <c r="BE5" s="17" t="str">
        <f>IFERROR(__xludf.DUMMYFUNCTION("""COMPUTED_VALUE"""),"Total Commission")</f>
        <v>Total Commission</v>
      </c>
      <c r="BF5" s="17" t="str">
        <f>IFERROR(__xludf.DUMMYFUNCTION("""COMPUTED_VALUE"""),"Closing Status")</f>
        <v>Closing Status</v>
      </c>
      <c r="BG5" s="17" t="str">
        <f>IFERROR(__xludf.DUMMYFUNCTION("""COMPUTED_VALUE"""),"Closing Method")</f>
        <v>Closing Method</v>
      </c>
      <c r="BH5" s="17" t="str">
        <f>IFERROR(__xludf.DUMMYFUNCTION("""COMPUTED_VALUE"""),"Group Status")</f>
        <v>Group Status</v>
      </c>
      <c r="BI5" s="17" t="str">
        <f>IFERROR(__xludf.DUMMYFUNCTION("""COMPUTED_VALUE"""),"Allocation Scheme Name")</f>
        <v>Allocation Scheme Name</v>
      </c>
      <c r="BJ5" s="17" t="str">
        <f>IFERROR(__xludf.DUMMYFUNCTION("""COMPUTED_VALUE"""),"Change Comment")</f>
        <v>Change Comment</v>
      </c>
      <c r="BK5" s="17" t="str">
        <f>IFERROR(__xludf.DUMMYFUNCTION("""COMPUTED_VALUE"""),"Order Type")</f>
        <v>Order Type</v>
      </c>
      <c r="BL5" s="17" t="str">
        <f>IFERROR(__xludf.DUMMYFUNCTION("""COMPUTED_VALUE"""),"Underlying")</f>
        <v>Underlying</v>
      </c>
      <c r="BM5" s="17" t="str">
        <f>IFERROR(__xludf.DUMMYFUNCTION("""COMPUTED_VALUE"""),"Exchange")</f>
        <v>Exchange</v>
      </c>
      <c r="BN5" s="17" t="str">
        <f>IFERROR(__xludf.DUMMYFUNCTION("""COMPUTED_VALUE"""),"Currency")</f>
        <v>Currency</v>
      </c>
      <c r="BO5" s="17" t="str">
        <f>IFERROR(__xludf.DUMMYFUNCTION("""COMPUTED_VALUE"""),"AUECID")</f>
        <v>AUECID</v>
      </c>
      <c r="BP5" s="17" t="str">
        <f>IFERROR(__xludf.DUMMYFUNCTION("""COMPUTED_VALUE"""),"Cum Qty For Sub Order")</f>
        <v>Cum Qty For Sub Order</v>
      </c>
      <c r="BQ5" s="17" t="str">
        <f>IFERROR(__xludf.DUMMYFUNCTION("""COMPUTED_VALUE"""),"Contract Multiplier")</f>
        <v>Contract Multiplier</v>
      </c>
      <c r="BR5" s="17" t="str">
        <f>IFERROR(__xludf.DUMMYFUNCTION("""COMPUTED_VALUE"""),"Company")</f>
        <v>Company</v>
      </c>
      <c r="BS5" s="17" t="str">
        <f>IFERROR(__xludf.DUMMYFUNCTION("""COMPUTED_VALUE"""),"Nirvana Process Date")</f>
        <v>Nirvana Process Date</v>
      </c>
      <c r="BT5" s="17" t="str">
        <f>IFERROR(__xludf.DUMMYFUNCTION("""COMPUTED_VALUE"""),"Process Date")</f>
        <v>Process Date</v>
      </c>
      <c r="BU5" s="17" t="str">
        <f>IFERROR(__xludf.DUMMYFUNCTION("""COMPUTED_VALUE"""),"Original Purchase Date")</f>
        <v>Original Purchase Date</v>
      </c>
      <c r="BV5" s="17" t="str">
        <f>IFERROR(__xludf.DUMMYFUNCTION("""COMPUTED_VALUE"""),"Closing Date")</f>
        <v>Closing Date</v>
      </c>
      <c r="BW5" s="17" t="str">
        <f>IFERROR(__xludf.DUMMYFUNCTION("""COMPUTED_VALUE"""),"Settlement Date")</f>
        <v>Settlement Date</v>
      </c>
      <c r="BX5" s="17" t="str">
        <f>IFERROR(__xludf.DUMMYFUNCTION("""COMPUTED_VALUE"""),"Expiration Date")</f>
        <v>Expiration Date</v>
      </c>
      <c r="BY5" s="17" t="str">
        <f>IFERROR(__xludf.DUMMYFUNCTION("""COMPUTED_VALUE"""),"Description")</f>
        <v>Description</v>
      </c>
      <c r="BZ5" s="17" t="str">
        <f>IFERROR(__xludf.DUMMYFUNCTION("""COMPUTED_VALUE"""),"Underlying Symbol")</f>
        <v>Underlying Symbol</v>
      </c>
      <c r="CA5" s="17" t="str">
        <f>IFERROR(__xludf.DUMMYFUNCTION("""COMPUTED_VALUE"""),"Accrued Interest")</f>
        <v>Accrued Interest</v>
      </c>
      <c r="CB5" s="17" t="str">
        <f>IFERROR(__xludf.DUMMYFUNCTION("""COMPUTED_VALUE"""),"Accrual Basis")</f>
        <v>Accrual Basis</v>
      </c>
      <c r="CC5" s="17" t="str">
        <f>IFERROR(__xludf.DUMMYFUNCTION("""COMPUTED_VALUE"""),"Bond Type")</f>
        <v>Bond Type</v>
      </c>
      <c r="CD5" s="17" t="str">
        <f>IFERROR(__xludf.DUMMYFUNCTION("""COMPUTED_VALUE"""),"Coupon Rate")</f>
        <v>Coupon Rate</v>
      </c>
      <c r="CE5" s="17" t="str">
        <f>IFERROR(__xludf.DUMMYFUNCTION("""COMPUTED_VALUE"""),"Delta")</f>
        <v>Delta</v>
      </c>
      <c r="CF5" s="17" t="str">
        <f>IFERROR(__xludf.DUMMYFUNCTION("""COMPUTED_VALUE"""),"Bloomberg")</f>
        <v>Bloomberg</v>
      </c>
      <c r="CG5" s="17" t="str">
        <f>IFERROR(__xludf.DUMMYFUNCTION("""COMPUTED_VALUE"""),"Sedol Symbol")</f>
        <v>Sedol Symbol</v>
      </c>
      <c r="CH5" s="17" t="str">
        <f>IFERROR(__xludf.DUMMYFUNCTION("""COMPUTED_VALUE"""),"Cusip Symbol")</f>
        <v>Cusip Symbol</v>
      </c>
      <c r="CI5" s="17" t="str">
        <f>IFERROR(__xludf.DUMMYFUNCTION("""COMPUTED_VALUE"""),"ISIN")</f>
        <v>ISIN</v>
      </c>
      <c r="CJ5" s="17" t="str">
        <f>IFERROR(__xludf.DUMMYFUNCTION("""COMPUTED_VALUE"""),"OSISSymbol")</f>
        <v>OSISSymbol</v>
      </c>
      <c r="CK5" s="17" t="str">
        <f>IFERROR(__xludf.DUMMYFUNCTION("""COMPUTED_VALUE"""),"IDCOSymbol")</f>
        <v>IDCOSymbol</v>
      </c>
      <c r="CL5" s="17" t="str">
        <f>IFERROR(__xludf.DUMMYFUNCTION("""COMPUTED_VALUE"""),"Underlying Delta")</f>
        <v>Underlying Delta</v>
      </c>
      <c r="CM5" s="17" t="str">
        <f>IFERROR(__xludf.DUMMYFUNCTION("""COMPUTED_VALUE"""),"Internal Comments")</f>
        <v>Internal Comments</v>
      </c>
      <c r="CN5" s="17" t="str">
        <f>IFERROR(__xludf.DUMMYFUNCTION("""COMPUTED_VALUE"""),"Proxy Symbol")</f>
        <v>Proxy Symbol</v>
      </c>
      <c r="CO5" s="17" t="str">
        <f>IFERROR(__xludf.DUMMYFUNCTION("""COMPUTED_VALUE"""),"Transaction Source")</f>
        <v>Transaction Source</v>
      </c>
      <c r="CP5" s="17" t="str">
        <f>IFERROR(__xludf.DUMMYFUNCTION("""COMPUTED_VALUE"""),"Import File Name")</f>
        <v>Import File Name</v>
      </c>
      <c r="CQ5" s="17" t="str">
        <f>IFERROR(__xludf.DUMMYFUNCTION("""COMPUTED_VALUE"""),"Master Fund")</f>
        <v>Master Fund</v>
      </c>
      <c r="CR5" s="17" t="str">
        <f>IFERROR(__xludf.DUMMYFUNCTION("""COMPUTED_VALUE"""),"Client")</f>
        <v>Client</v>
      </c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30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IFERROR(__xludf.DUMMYFUNCTION("""COMPUTED_VALUE"""),"Account Name")</f>
        <v>Account Name</v>
      </c>
      <c r="C5" s="10" t="str">
        <f>IFERROR(__xludf.DUMMYFUNCTION("""COMPUTED_VALUE"""),"Account Percentage")</f>
        <v>Account Percentage</v>
      </c>
      <c r="D5" s="10" t="str">
        <f>IFERROR(__xludf.DUMMYFUNCTION("""COMPUTED_VALUE"""),"Account Quantity")</f>
        <v>Account Quantity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18</v>
      </c>
      <c r="C6" s="4">
        <v>100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A1" sqref="A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31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IFERROR(__xludf.DUMMYFUNCTION("""COMPUTED_VALUE"""),"Quantity")</f>
        <v>Quantity</v>
      </c>
      <c r="D5" s="10" t="str">
        <f>IFERROR(__xludf.DUMMYFUNCTION("""COMPUTED_VALUE"""),"Trade Date")</f>
        <v>Trade Date</v>
      </c>
      <c r="E5" s="10" t="str">
        <f>IFERROR(__xludf.DUMMYFUNCTION("""COMPUTED_VALUE"""),"Account Name")</f>
        <v>Account Name</v>
      </c>
      <c r="F5" s="10" t="str">
        <f>IFERROR(__xludf.DUMMYFUNCTION("""COMPUTED_VALUE"""),"Side")</f>
        <v>Side</v>
      </c>
      <c r="G5" s="10" t="str">
        <f>IFERROR(__xludf.DUMMYFUNCTION("""COMPUTED_VALUE"""),"Group Status")</f>
        <v>Group Status</v>
      </c>
      <c r="H5" s="10" t="str">
        <f>IFERROR(__xludf.DUMMYFUNCTION("""COMPUTED_VALUE"""),"Avg Price(Base)")</f>
        <v>Avg Price(Base)</v>
      </c>
      <c r="I5" s="10" t="str">
        <f>IFERROR(__xludf.DUMMYFUNCTION("""COMPUTED_VALUE"""),"Execution Time")</f>
        <v>Execution Time</v>
      </c>
      <c r="J5" s="10" t="str">
        <f>IFERROR(__xludf.DUMMYFUNCTION("""COMPUTED_VALUE"""),"Trade Attribute 1")</f>
        <v>Trade Attribute 1</v>
      </c>
      <c r="K5" s="10" t="str">
        <f>IFERROR(__xludf.DUMMYFUNCTION("""COMPUTED_VALUE"""),"Avg Price(Local)")</f>
        <v>Avg Price(Local)</v>
      </c>
      <c r="L5" s="10" t="str">
        <f>IFERROR(__xludf.DUMMYFUNCTION("""COMPUTED_VALUE"""),"Trade Attribute 2")</f>
        <v>Trade Attribute 2</v>
      </c>
      <c r="M5" s="10" t="str">
        <f>IFERROR(__xludf.DUMMYFUNCTION("""COMPUTED_VALUE"""),"Accrued Interest")</f>
        <v>Accrued Interest</v>
      </c>
      <c r="N5" s="10" t="str">
        <f>IFERROR(__xludf.DUMMYFUNCTION("""COMPUTED_VALUE"""),"Commission")</f>
        <v>Commission</v>
      </c>
      <c r="O5" s="10" t="str">
        <f>IFERROR(__xludf.DUMMYFUNCTION("""COMPUTED_VALUE"""),"Soft Commission")</f>
        <v>Soft Commission</v>
      </c>
      <c r="P5" s="10" t="str">
        <f>IFERROR(__xludf.DUMMYFUNCTION("""COMPUTED_VALUE"""),"Broker")</f>
        <v>Broker</v>
      </c>
      <c r="Q5" s="10" t="str">
        <f>IFERROR(__xludf.DUMMYFUNCTION("""COMPUTED_VALUE"""),"Transaction Type")</f>
        <v>Transaction Type</v>
      </c>
      <c r="R5" s="10" t="str">
        <f>IFERROR(__xludf.DUMMYFUNCTION("""COMPUTED_VALUE"""),"AUEC Fee1")</f>
        <v>AUEC Fee1</v>
      </c>
      <c r="S5" s="10" t="str">
        <f>IFERROR(__xludf.DUMMYFUNCTION("""COMPUTED_VALUE"""),"AUEC Fee2")</f>
        <v>AUEC Fee2</v>
      </c>
      <c r="T5" s="17" t="str">
        <f>IFERROR(__xludf.DUMMYFUNCTION("""COMPUTED_VALUE"""),"Clearing Broker Fee")</f>
        <v>Clearing Broker Fee</v>
      </c>
      <c r="U5" s="17" t="str">
        <f>IFERROR(__xludf.DUMMYFUNCTION("""COMPUTED_VALUE"""),"Other Broker Fees")</f>
        <v>Other Broker Fees</v>
      </c>
      <c r="V5" s="17" t="str">
        <f>IFERROR(__xludf.DUMMYFUNCTION("""COMPUTED_VALUE"""),"OCC Fee")</f>
        <v>OCC Fee</v>
      </c>
      <c r="W5" s="17" t="str">
        <f>IFERROR(__xludf.DUMMYFUNCTION("""COMPUTED_VALUE"""),"SEC Fee")</f>
        <v>SEC Fee</v>
      </c>
      <c r="X5" s="17" t="str">
        <f>IFERROR(__xludf.DUMMYFUNCTION("""COMPUTED_VALUE"""),"ORF Fee")</f>
        <v>ORF Fee</v>
      </c>
      <c r="Y5" s="17" t="str">
        <f>IFERROR(__xludf.DUMMYFUNCTION("""COMPUTED_VALUE"""),"IsPreAllocated")</f>
        <v>IsPreAllocated</v>
      </c>
      <c r="Z5" s="17" t="str">
        <f>IFERROR(__xludf.DUMMYFUNCTION("""COMPUTED_VALUE"""),"Stamp Duty")</f>
        <v>Stamp Duty</v>
      </c>
      <c r="AA5" s="17" t="str">
        <f>IFERROR(__xludf.DUMMYFUNCTION("""COMPUTED_VALUE"""),"IsManual Group")</f>
        <v>IsManual Group</v>
      </c>
      <c r="AB5" s="17" t="str">
        <f>IFERROR(__xludf.DUMMYFUNCTION("""COMPUTED_VALUE"""),"Tax On Commissions")</f>
        <v>Tax On Commissions</v>
      </c>
      <c r="AC5" s="17" t="str">
        <f>IFERROR(__xludf.DUMMYFUNCTION("""COMPUTED_VALUE"""),"IsAnotherTaxlotAttributesUpdated")</f>
        <v>IsAnotherTaxlotAttributesUpdated</v>
      </c>
      <c r="AD5" s="17" t="str">
        <f>IFERROR(__xludf.DUMMYFUNCTION("""COMPUTED_VALUE"""),"ISNDF")</f>
        <v>ISNDF</v>
      </c>
      <c r="AE5" s="17" t="str">
        <f>IFERROR(__xludf.DUMMYFUNCTION("""COMPUTED_VALUE"""),"Transaction Levy")</f>
        <v>Transaction Levy</v>
      </c>
      <c r="AF5" s="17" t="str">
        <f>IFERROR(__xludf.DUMMYFUNCTION("""COMPUTED_VALUE"""),"Description")</f>
        <v>Description</v>
      </c>
      <c r="AG5" s="17" t="str">
        <f>IFERROR(__xludf.DUMMYFUNCTION("""COMPUTED_VALUE"""),"GroupID")</f>
        <v>GroupID</v>
      </c>
      <c r="AH5" s="17" t="str">
        <f>IFERROR(__xludf.DUMMYFUNCTION("""COMPUTED_VALUE"""),"Internal Comments")</f>
        <v>Internal Comments</v>
      </c>
      <c r="AI5" s="17" t="str">
        <f>IFERROR(__xludf.DUMMYFUNCTION("""COMPUTED_VALUE"""),"M2MProfitLoss")</f>
        <v>M2MProfitLoss</v>
      </c>
      <c r="AJ5" s="17" t="str">
        <f>IFERROR(__xludf.DUMMYFUNCTION("""COMPUTED_VALUE"""),"FX Rate")</f>
        <v>FX Rate</v>
      </c>
      <c r="AK5" s="17" t="str">
        <f>IFERROR(__xludf.DUMMYFUNCTION("""COMPUTED_VALUE"""),"FX Conversion Operator")</f>
        <v>FX Conversion Operator</v>
      </c>
      <c r="AL5" s="17" t="str">
        <f>IFERROR(__xludf.DUMMYFUNCTION("""COMPUTED_VALUE"""),"Trade Attribute 3")</f>
        <v>Trade Attribute 3</v>
      </c>
      <c r="AM5" s="17" t="str">
        <f>IFERROR(__xludf.DUMMYFUNCTION("""COMPUTED_VALUE"""),"Trade Attribute 4")</f>
        <v>Trade Attribute 4</v>
      </c>
      <c r="AN5" s="17" t="str">
        <f>IFERROR(__xludf.DUMMYFUNCTION("""COMPUTED_VALUE"""),"Trade Attribute 5")</f>
        <v>Trade Attribute 5</v>
      </c>
      <c r="AO5" s="17" t="str">
        <f>IFERROR(__xludf.DUMMYFUNCTION("""COMPUTED_VALUE"""),"Trade Attribute 6")</f>
        <v>Trade Attribute 6</v>
      </c>
      <c r="AP5" s="17" t="str">
        <f>IFERROR(__xludf.DUMMYFUNCTION("""COMPUTED_VALUE"""),"Put Or Call")</f>
        <v>Put Or Call</v>
      </c>
      <c r="AQ5" s="17" t="str">
        <f>IFERROR(__xludf.DUMMYFUNCTION("""COMPUTED_VALUE"""),"Allocated Qty")</f>
        <v>Allocated Qty</v>
      </c>
      <c r="AR5" s="17" t="str">
        <f>IFERROR(__xludf.DUMMYFUNCTION("""COMPUTED_VALUE"""),"Total Commission And Fee")</f>
        <v>Total Commission And Fee</v>
      </c>
      <c r="AS5" s="17" t="str">
        <f>IFERROR(__xludf.DUMMYFUNCTION("""COMPUTED_VALUE"""),"Executed Qty")</f>
        <v>Executed Qty</v>
      </c>
      <c r="AT5" s="17" t="str">
        <f>IFERROR(__xludf.DUMMYFUNCTION("""COMPUTED_VALUE"""),"Net Amount( Local)")</f>
        <v>Net Amount( Local)</v>
      </c>
      <c r="AU5" s="17" t="str">
        <f>IFERROR(__xludf.DUMMYFUNCTION("""COMPUTED_VALUE"""),"Net Amount( Base)")</f>
        <v>Net Amount( Base)</v>
      </c>
      <c r="AV5" s="17" t="str">
        <f>IFERROR(__xludf.DUMMYFUNCTION("""COMPUTED_VALUE"""),"UnAllocatedQty")</f>
        <v>UnAllocatedQty</v>
      </c>
      <c r="AW5" s="17" t="str">
        <f>IFERROR(__xludf.DUMMYFUNCTION("""COMPUTED_VALUE"""),"Option Premium Adjustment")</f>
        <v>Option Premium Adjustment</v>
      </c>
      <c r="AX5" s="17" t="str">
        <f>IFERROR(__xludf.DUMMYFUNCTION("""COMPUTED_VALUE"""),"Principal Amount( Local)")</f>
        <v>Principal Amount( Local)</v>
      </c>
      <c r="AY5" s="17" t="str">
        <f>IFERROR(__xludf.DUMMYFUNCTION("""COMPUTED_VALUE"""),"Principal Amount( Base)")</f>
        <v>Principal Amount( Base)</v>
      </c>
      <c r="AZ5" s="17" t="str">
        <f>IFERROR(__xludf.DUMMYFUNCTION("""COMPUTED_VALUE"""),"Settlement Currency")</f>
        <v>Settlement Currency</v>
      </c>
      <c r="BA5" s="17" t="str">
        <f>IFERROR(__xludf.DUMMYFUNCTION("""COMPUTED_VALUE"""),"User")</f>
        <v>User</v>
      </c>
      <c r="BB5" s="17" t="str">
        <f>IFERROR(__xludf.DUMMYFUNCTION("""COMPUTED_VALUE"""),"Asset Category")</f>
        <v>Asset Category</v>
      </c>
      <c r="BC5" s="17" t="str">
        <f>IFERROR(__xludf.DUMMYFUNCTION("""COMPUTED_VALUE"""),"Change Type")</f>
        <v>Change Type</v>
      </c>
      <c r="BD5" s="17" t="str">
        <f>IFERROR(__xludf.DUMMYFUNCTION("""COMPUTED_VALUE"""),"Strategy Name")</f>
        <v>Strategy Name</v>
      </c>
      <c r="BE5" s="17" t="str">
        <f>IFERROR(__xludf.DUMMYFUNCTION("""COMPUTED_VALUE"""),"Prana Msg Type")</f>
        <v>Prana Msg Type</v>
      </c>
      <c r="BF5" s="17" t="str">
        <f>IFERROR(__xludf.DUMMYFUNCTION("""COMPUTED_VALUE"""),"Total Commission")</f>
        <v>Total Commission</v>
      </c>
      <c r="BG5" s="17" t="str">
        <f>IFERROR(__xludf.DUMMYFUNCTION("""COMPUTED_VALUE"""),"Commission Per Share")</f>
        <v>Commission Per Share</v>
      </c>
      <c r="BH5" s="17" t="str">
        <f>IFERROR(__xludf.DUMMYFUNCTION("""COMPUTED_VALUE"""),"Soft Commission Per Share")</f>
        <v>Soft Commission Per Share</v>
      </c>
      <c r="BI5" s="17" t="str">
        <f>IFERROR(__xludf.DUMMYFUNCTION("""COMPUTED_VALUE"""),"Total Commission Per Share")</f>
        <v>Total Commission Per Share</v>
      </c>
      <c r="BJ5" s="17" t="str">
        <f>IFERROR(__xludf.DUMMYFUNCTION("""COMPUTED_VALUE"""),"Closing Status")</f>
        <v>Closing Status</v>
      </c>
      <c r="BK5" s="17" t="str">
        <f>IFERROR(__xludf.DUMMYFUNCTION("""COMPUTED_VALUE"""),"Closing Method")</f>
        <v>Closing Method</v>
      </c>
      <c r="BL5" s="17" t="str">
        <f>IFERROR(__xludf.DUMMYFUNCTION("""COMPUTED_VALUE"""),"Allocation Scheme Name")</f>
        <v>Allocation Scheme Name</v>
      </c>
      <c r="BM5" s="17" t="str">
        <f>IFERROR(__xludf.DUMMYFUNCTION("""COMPUTED_VALUE"""),"Change Comment")</f>
        <v>Change Comment</v>
      </c>
      <c r="BN5" s="17" t="str">
        <f>IFERROR(__xludf.DUMMYFUNCTION("""COMPUTED_VALUE"""),"Order Type")</f>
        <v>Order Type</v>
      </c>
      <c r="BO5" s="17" t="str">
        <f>IFERROR(__xludf.DUMMYFUNCTION("""COMPUTED_VALUE"""),"Underlying")</f>
        <v>Underlying</v>
      </c>
      <c r="BP5" s="17" t="str">
        <f>IFERROR(__xludf.DUMMYFUNCTION("""COMPUTED_VALUE"""),"Exchange")</f>
        <v>Exchange</v>
      </c>
      <c r="BQ5" s="17" t="str">
        <f>IFERROR(__xludf.DUMMYFUNCTION("""COMPUTED_VALUE"""),"Currency")</f>
        <v>Currency</v>
      </c>
      <c r="BR5" s="17" t="str">
        <f>IFERROR(__xludf.DUMMYFUNCTION("""COMPUTED_VALUE"""),"AUECID")</f>
        <v>AUECID</v>
      </c>
      <c r="BS5" s="17" t="str">
        <f>IFERROR(__xludf.DUMMYFUNCTION("""COMPUTED_VALUE"""),"Trading Account")</f>
        <v>Trading Account</v>
      </c>
      <c r="BT5" s="17" t="str">
        <f>IFERROR(__xludf.DUMMYFUNCTION("""COMPUTED_VALUE"""),"Venue")</f>
        <v>Venue</v>
      </c>
      <c r="BU5" s="17" t="str">
        <f>IFERROR(__xludf.DUMMYFUNCTION("""COMPUTED_VALUE"""),"Cum Qty For Sub Order")</f>
        <v>Cum Qty For Sub Order</v>
      </c>
      <c r="BV5" s="17" t="str">
        <f>IFERROR(__xludf.DUMMYFUNCTION("""COMPUTED_VALUE"""),"Contract Multiplier")</f>
        <v>Contract Multiplier</v>
      </c>
      <c r="BW5" s="17" t="str">
        <f>IFERROR(__xludf.DUMMYFUNCTION("""COMPUTED_VALUE"""),"Company")</f>
        <v>Company</v>
      </c>
      <c r="BX5" s="17" t="str">
        <f>IFERROR(__xludf.DUMMYFUNCTION("""COMPUTED_VALUE"""),"Nirvana Process Date")</f>
        <v>Nirvana Process Date</v>
      </c>
      <c r="BY5" s="17" t="str">
        <f>IFERROR(__xludf.DUMMYFUNCTION("""COMPUTED_VALUE"""),"Process Date")</f>
        <v>Process Date</v>
      </c>
      <c r="BZ5" s="17" t="str">
        <f>IFERROR(__xludf.DUMMYFUNCTION("""COMPUTED_VALUE"""),"Original Purchase Date")</f>
        <v>Original Purchase Date</v>
      </c>
      <c r="CA5" s="17" t="str">
        <f>IFERROR(__xludf.DUMMYFUNCTION("""COMPUTED_VALUE"""),"Closing Date")</f>
        <v>Closing Date</v>
      </c>
      <c r="CB5" s="17" t="str">
        <f>IFERROR(__xludf.DUMMYFUNCTION("""COMPUTED_VALUE"""),"Settlement Date")</f>
        <v>Settlement Date</v>
      </c>
      <c r="CC5" s="17" t="str">
        <f>IFERROR(__xludf.DUMMYFUNCTION("""COMPUTED_VALUE"""),"Expiration Date")</f>
        <v>Expiration Date</v>
      </c>
      <c r="CD5" s="17" t="str">
        <f>IFERROR(__xludf.DUMMYFUNCTION("""COMPUTED_VALUE"""),"Underlying Symbol")</f>
        <v>Underlying Symbol</v>
      </c>
      <c r="CE5" s="17" t="str">
        <f>IFERROR(__xludf.DUMMYFUNCTION("""COMPUTED_VALUE"""),"Accrual Basis")</f>
        <v>Accrual Basis</v>
      </c>
      <c r="CF5" s="17" t="str">
        <f>IFERROR(__xludf.DUMMYFUNCTION("""COMPUTED_VALUE"""),"Bond Type")</f>
        <v>Bond Type</v>
      </c>
      <c r="CG5" s="17" t="str">
        <f>IFERROR(__xludf.DUMMYFUNCTION("""COMPUTED_VALUE"""),"Coupon Rate")</f>
        <v>Coupon Rate</v>
      </c>
      <c r="CH5" s="17" t="str">
        <f>IFERROR(__xludf.DUMMYFUNCTION("""COMPUTED_VALUE"""),"Delta")</f>
        <v>Delta</v>
      </c>
      <c r="CI5" s="17" t="str">
        <f>IFERROR(__xludf.DUMMYFUNCTION("""COMPUTED_VALUE"""),"Bloomberg")</f>
        <v>Bloomberg</v>
      </c>
      <c r="CJ5" s="17" t="str">
        <f>IFERROR(__xludf.DUMMYFUNCTION("""COMPUTED_VALUE"""),"Sedol Symbol")</f>
        <v>Sedol Symbol</v>
      </c>
      <c r="CK5" s="17" t="str">
        <f>IFERROR(__xludf.DUMMYFUNCTION("""COMPUTED_VALUE"""),"Cusip Symbol")</f>
        <v>Cusip Symbol</v>
      </c>
      <c r="CL5" s="17" t="str">
        <f>IFERROR(__xludf.DUMMYFUNCTION("""COMPUTED_VALUE"""),"ISIN")</f>
        <v>ISIN</v>
      </c>
      <c r="CM5" s="17" t="str">
        <f>IFERROR(__xludf.DUMMYFUNCTION("""COMPUTED_VALUE"""),"OSISSymbol")</f>
        <v>OSISSymbol</v>
      </c>
      <c r="CN5" s="17" t="str">
        <f>IFERROR(__xludf.DUMMYFUNCTION("""COMPUTED_VALUE"""),"IDCOSymbol")</f>
        <v>IDCOSymbol</v>
      </c>
      <c r="CO5" s="17" t="str">
        <f>IFERROR(__xludf.DUMMYFUNCTION("""COMPUTED_VALUE"""),"Underlying Delta")</f>
        <v>Underlying Delta</v>
      </c>
      <c r="CP5" s="17" t="str">
        <f>IFERROR(__xludf.DUMMYFUNCTION("""COMPUTED_VALUE"""),"Proxy Symbol")</f>
        <v>Proxy Symbol</v>
      </c>
      <c r="CQ5" s="17" t="str">
        <f>IFERROR(__xludf.DUMMYFUNCTION("""COMPUTED_VALUE"""),"Transaction Source")</f>
        <v>Transaction Source</v>
      </c>
      <c r="CR5" s="17" t="str">
        <f>IFERROR(__xludf.DUMMYFUNCTION("""COMPUTED_VALUE"""),"Import File Name")</f>
        <v>Import File Name</v>
      </c>
      <c r="CS5" s="17" t="str">
        <f>IFERROR(__xludf.DUMMYFUNCTION("""COMPUTED_VALUE"""),"MasterFund")</f>
        <v>MasterFund</v>
      </c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D10" sqref="D10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32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IFERROR(__xludf.DUMMYFUNCTION("""COMPUTED_VALUE"""),"AccountName")</f>
        <v>AccountName</v>
      </c>
      <c r="D5" s="10" t="str">
        <f>IFERROR(__xludf.DUMMYFUNCTION("""COMPUTED_VALUE"""),"Quantity")</f>
        <v>Quantity</v>
      </c>
      <c r="E5" s="10" t="str">
        <f>IFERROR(__xludf.DUMMYFUNCTION("""COMPUTED_VALUE"""),"Notional")</f>
        <v>Notional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22</v>
      </c>
      <c r="C6" s="4" t="s">
        <v>18</v>
      </c>
      <c r="D6" s="4">
        <v>-37500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X100"/>
  <sheetViews>
    <sheetView workbookViewId="0">
      <selection activeCell="D11" sqref="D11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54" width="12.6285714285714" customWidth="1"/>
  </cols>
  <sheetData>
    <row r="1" ht="15.75" customHeight="1" spans="1:154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54">
      <c r="A3" s="5"/>
      <c r="B3" s="6" t="s">
        <v>8</v>
      </c>
      <c r="C3" s="7" t="s">
        <v>12</v>
      </c>
      <c r="D3" s="6" t="s">
        <v>9</v>
      </c>
      <c r="E3" s="7" t="s">
        <v>32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 spans="1:154">
      <c r="A4" s="8"/>
      <c r="B4" s="8" t="str">
        <f>IFERROR(__xludf.DUMMYFUNCTION("IF(C3="""","""",Transpose(IMPORTRANGE('_Settings'!$B$3,C3&amp;""!A4:A1000"")))"),"Allocate")</f>
        <v>Allocate</v>
      </c>
      <c r="C4" s="8" t="str">
        <f>IFERROR(__xludf.DUMMYFUNCTION("""COMPUTED_VALUE"""),"CheckAllocatedGroups")</f>
        <v>CheckAllocatedGroups</v>
      </c>
      <c r="D4" s="8" t="str">
        <f>IFERROR(__xludf.DUMMYFUNCTION("""COMPUTED_VALUE"""),"GetDataAllocation")</f>
        <v>GetDataAllocation</v>
      </c>
      <c r="E4" s="8" t="str">
        <f>IFERROR(__xludf.DUMMYFUNCTION("""COMPUTED_VALUE"""),"SelectAllocatedGroup")</f>
        <v>SelectAllocatedGroup</v>
      </c>
      <c r="F4" s="8" t="str">
        <f>IFERROR(__xludf.DUMMYFUNCTION("""COMPUTED_VALUE"""),"EditTradesAllocated")</f>
        <v>EditTradesAllocated</v>
      </c>
      <c r="G4" s="8" t="str">
        <f>IFERROR(__xludf.DUMMYFUNCTION("""COMPUTED_VALUE"""),"EditTradesUnallocated")</f>
        <v>EditTradesUnallocated</v>
      </c>
      <c r="H4" s="8" t="str">
        <f>IFERROR(__xludf.DUMMYFUNCTION("""COMPUTED_VALUE"""),"EditTradesAllocated")</f>
        <v>EditTradesAllocated</v>
      </c>
      <c r="I4" s="8" t="str">
        <f>IFERROR(__xludf.DUMMYFUNCTION("""COMPUTED_VALUE"""),"Reallocate")</f>
        <v>Reallocate</v>
      </c>
      <c r="J4" s="8" t="str">
        <f>IFERROR(__xludf.DUMMYFUNCTION("""COMPUTED_VALUE"""),"EditUnallocatedGroupSidePanel")</f>
        <v>EditUnallocatedGroupSidePanel</v>
      </c>
      <c r="K4" s="8" t="str">
        <f>IFERROR(__xludf.DUMMYFUNCTION("""COMPUTED_VALUE"""),"TradeAttributeBulkChange")</f>
        <v>TradeAttributeBulkChange</v>
      </c>
      <c r="L4" s="8" t="str">
        <f>IFERROR(__xludf.DUMMYFUNCTION("""COMPUTED_VALUE"""),"ApplyBulkUpdateOnGroups")</f>
        <v>ApplyBulkUpdateOnGroups</v>
      </c>
      <c r="M4" s="8" t="str">
        <f>IFERROR(__xludf.DUMMYFUNCTION("""COMPUTED_VALUE"""),"ApplyPrefetchFilters")</f>
        <v>ApplyPrefetchFilters</v>
      </c>
      <c r="N4" s="8" t="str">
        <f>IFERROR(__xludf.DUMMYFUNCTION("""COMPUTED_VALUE"""),"GeneralPreferencesDefaultRule")</f>
        <v>GeneralPreferencesDefaultRule</v>
      </c>
      <c r="O4" s="8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</row>
    <row r="5" ht="15.75" customHeight="1" spans="1:154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IFERROR(__xludf.DUMMYFUNCTION("""COMPUTED_VALUE"""),"Symbol")</f>
        <v>Symbol</v>
      </c>
      <c r="C5" s="10" t="str">
        <f>IFERROR(__xludf.DUMMYFUNCTION("""COMPUTED_VALUE"""),"AccountName")</f>
        <v>AccountName</v>
      </c>
      <c r="D5" s="10" t="str">
        <f>IFERROR(__xludf.DUMMYFUNCTION("""COMPUTED_VALUE"""),"Quantity")</f>
        <v>Quantity</v>
      </c>
      <c r="E5" s="10" t="str">
        <f>IFERROR(__xludf.DUMMYFUNCTION("""COMPUTED_VALUE"""),"Notional")</f>
        <v>Notional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</row>
    <row r="6" ht="15.75" customHeight="1" spans="1:15">
      <c r="A6" s="4"/>
      <c r="B6" s="4" t="s">
        <v>22</v>
      </c>
      <c r="C6" s="4" t="s">
        <v>18</v>
      </c>
      <c r="D6" s="4">
        <v>-2500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L100"/>
  <sheetViews>
    <sheetView tabSelected="1" workbookViewId="0">
      <selection activeCell="E13" sqref="E13"/>
    </sheetView>
  </sheetViews>
  <sheetFormatPr defaultColWidth="15.1333333333333" defaultRowHeight="15" customHeight="1"/>
  <cols>
    <col min="1" max="1" width="5.87619047619048" customWidth="1"/>
    <col min="2" max="4" width="12.6285714285714" customWidth="1"/>
    <col min="5" max="5" width="16.247619047619" customWidth="1"/>
    <col min="6" max="8" width="12.6285714285714" customWidth="1"/>
    <col min="9" max="9" width="15.8761904761905" customWidth="1"/>
    <col min="10" max="11" width="15.247619047619" customWidth="1"/>
    <col min="12" max="1026" width="12.6285714285714" customWidth="1"/>
  </cols>
  <sheetData>
    <row r="1" ht="15.75" customHeight="1" spans="1:1026">
      <c r="A1" s="1"/>
      <c r="B1" s="2" t="s">
        <v>11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4" t="e">
        <f>VLOOKUP($E$3,_MasterData!B4:D1000,3,FALSE)</f>
        <v>#N/A</v>
      </c>
      <c r="K2" s="14"/>
      <c r="L2" s="4"/>
      <c r="M2" s="4"/>
      <c r="N2" s="4"/>
      <c r="O2" s="4"/>
    </row>
    <row r="3" ht="15.75" customHeight="1" spans="1:1026">
      <c r="A3" s="5"/>
      <c r="B3" s="6" t="s">
        <v>8</v>
      </c>
      <c r="C3" s="7" t="s">
        <v>33</v>
      </c>
      <c r="D3" s="6" t="s">
        <v>9</v>
      </c>
      <c r="E3" s="7" t="s">
        <v>34</v>
      </c>
      <c r="F3" s="6" t="s">
        <v>14</v>
      </c>
      <c r="G3" s="7" t="s">
        <v>15</v>
      </c>
      <c r="H3" s="6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</row>
    <row r="4" ht="15.75" customHeight="1" spans="1:1026">
      <c r="A4" s="8"/>
      <c r="B4" s="8" t="str">
        <f>IFERROR(__xludf.DUMMYFUNCTION("IF(C3="""","""",Transpose(IMPORTRANGE('_Settings'!$B$3,C3&amp;""!A4:A1000"")))"),"CheckDashboardPM")</f>
        <v>CheckDashboardPM</v>
      </c>
      <c r="C4" s="8" t="str">
        <f>IFERROR(__xludf.DUMMYFUNCTION("""COMPUTED_VALUE"""),"CheckPortfolioManagement")</f>
        <v>CheckPortfolioManagement</v>
      </c>
      <c r="D4" s="8" t="str">
        <f>IFERROR(__xludf.DUMMYFUNCTION("""COMPUTED_VALUE"""),"CheckPMLiveFeed")</f>
        <v>CheckPMLiveFeed</v>
      </c>
      <c r="E4" s="8" t="str">
        <f>IFERROR(__xludf.DUMMYFUNCTION("""COMPUTED_VALUE"""),"OpenPSTFromPM")</f>
        <v>OpenPSTFromPM</v>
      </c>
      <c r="F4" s="8" t="str">
        <f>IFERROR(__xludf.DUMMYFUNCTION("""COMPUTED_VALUE"""),"ClosePM")</f>
        <v>ClosePM</v>
      </c>
      <c r="G4" s="8" t="str">
        <f>IFERROR(__xludf.DUMMYFUNCTION("""COMPUTED_VALUE"""),"FilterPM")</f>
        <v>FilterPM</v>
      </c>
      <c r="H4" s="8" t="str">
        <f>IFERROR(__xludf.DUMMYFUNCTION("""COMPUTED_VALUE"""),"GroupRowPM")</f>
        <v>GroupRowPM</v>
      </c>
      <c r="I4" s="8" t="str">
        <f>IFERROR(__xludf.DUMMYFUNCTION("""COMPUTED_VALUE"""),"CheckDashboardWithPM")</f>
        <v>CheckDashboardWithPM</v>
      </c>
      <c r="J4" s="8" t="str">
        <f>IFERROR(__xludf.DUMMYFUNCTION("""COMPUTED_VALUE"""),"RemoveFilterPM")</f>
        <v>RemoveFilterPM</v>
      </c>
      <c r="K4" s="8" t="str">
        <f>IFERROR(__xludf.DUMMYFUNCTION("""COMPUTED_VALUE"""),"CheckSummaryRowsPM")</f>
        <v>CheckSummaryRowsPM</v>
      </c>
      <c r="L4" s="8" t="str">
        <f>IFERROR(__xludf.DUMMYFUNCTION("""COMPUTED_VALUE"""),"OpenPTTFromPM")</f>
        <v>OpenPTTFromPM</v>
      </c>
      <c r="M4" s="8" t="str">
        <f>IFERROR(__xludf.DUMMYFUNCTION("""COMPUTED_VALUE"""),"OpenClosingFromPM")</f>
        <v>OpenClosingFromPM</v>
      </c>
      <c r="N4" s="8" t="str">
        <f>IFERROR(__xludf.DUMMYFUNCTION("""COMPUTED_VALUE"""),"OpenCorporateActionFromPM")</f>
        <v>OpenCorporateActionFromPM</v>
      </c>
      <c r="O4" s="8" t="str">
        <f>IFERROR(__xludf.DUMMYFUNCTION("""COMPUTED_VALUE"""),"OpenDailyValuationFromPM")</f>
        <v>OpenDailyValuationFromPM</v>
      </c>
      <c r="P4" s="16" t="str">
        <f>IFERROR(__xludf.DUMMYFUNCTION("""COMPUTED_VALUE"""),"ClosePositionFromPM")</f>
        <v>ClosePositionFromPM</v>
      </c>
      <c r="Q4" s="16" t="str">
        <f>IFERROR(__xludf.DUMMYFUNCTION("""COMPUTED_VALUE"""),"ShowSummaryToolFromPM")</f>
        <v>ShowSummaryToolFromPM</v>
      </c>
      <c r="R4" s="16" t="str">
        <f>IFERROR(__xludf.DUMMYFUNCTION("""COMPUTED_VALUE"""),"HideSummaryToolFromPM")</f>
        <v>HideSummaryToolFromPM</v>
      </c>
      <c r="S4" s="16" t="str">
        <f>IFERROR(__xludf.DUMMYFUNCTION("""COMPUTED_VALUE"""),"CloseAccountPositionFromPM")</f>
        <v>CloseAccountPositionFromPM</v>
      </c>
      <c r="T4" s="16" t="str">
        <f>IFERROR(__xludf.DUMMYFUNCTION("""COMPUTED_VALUE"""),"CloseSelectedTaxlotsFromPM")</f>
        <v>CloseSelectedTaxlotsFromPM</v>
      </c>
      <c r="U4" s="16" t="str">
        <f>IFERROR(__xludf.DUMMYFUNCTION("""COMPUTED_VALUE"""),"ExpandCollapsePM")</f>
        <v>ExpandCollapsePM</v>
      </c>
      <c r="V4" s="16" t="str">
        <f>IFERROR(__xludf.DUMMYFUNCTION("""COMPUTED_VALUE"""),"AddCustomViewPM")</f>
        <v>AddCustomViewPM</v>
      </c>
      <c r="W4" s="16" t="str">
        <f>IFERROR(__xludf.DUMMYFUNCTION("""COMPUTED_VALUE"""),"AddCustomViewRightClickPM")</f>
        <v>AddCustomViewRightClickPM</v>
      </c>
      <c r="X4" s="16" t="str">
        <f>IFERROR(__xludf.DUMMYFUNCTION("""COMPUTED_VALUE"""),"RenameCustomViewPM")</f>
        <v>RenameCustomViewPM</v>
      </c>
      <c r="Y4" s="16" t="str">
        <f>IFERROR(__xludf.DUMMYFUNCTION("""COMPUTED_VALUE"""),"DeleteCustomViewPM")</f>
        <v>DeleteCustomViewPM</v>
      </c>
      <c r="Z4" s="16" t="str">
        <f>IFERROR(__xludf.DUMMYFUNCTION("""COMPUTED_VALUE"""),"OpenCreateTransactionFromPM")</f>
        <v>OpenCreateTransactionFromPM</v>
      </c>
      <c r="AA4" s="16" t="str">
        <f>IFERROR(__xludf.DUMMYFUNCTION("""COMPUTED_VALUE"""),"RemoveGroupingFromPM")</f>
        <v>RemoveGroupingFromPM</v>
      </c>
      <c r="AB4" s="16" t="str">
        <f>IFERROR(__xludf.DUMMYFUNCTION("""COMPUTED_VALUE"""),"IncreasePositionFromPM")</f>
        <v>IncreasePositionFromPM</v>
      </c>
      <c r="AC4" s="16" t="str">
        <f>IFERROR(__xludf.DUMMYFUNCTION("""COMPUTED_VALUE"""),"SortAndVerifyPM")</f>
        <v>SortAndVerifyPM</v>
      </c>
      <c r="AD4" s="16" t="str">
        <f>IFERROR(__xludf.DUMMYFUNCTION("""COMPUTED_VALUE"""),"OpenPIFromPM")</f>
        <v>OpenPIFromPM</v>
      </c>
      <c r="AE4" s="16" t="str">
        <f>IFERROR(__xludf.DUMMYFUNCTION("""COMPUTED_VALUE"""),"ViewSettings")</f>
        <v>ViewSettings</v>
      </c>
      <c r="AF4" s="16" t="str">
        <f>IFERROR(__xludf.DUMMYFUNCTION("""COMPUTED_VALUE"""),"SaveLayoutPM")</f>
        <v>SaveLayoutPM</v>
      </c>
      <c r="AG4" s="16" t="str">
        <f>IFERROR(__xludf.DUMMYFUNCTION("""COMPUTED_VALUE"""),"SaveLayoutPM")</f>
        <v>SaveLayoutPM</v>
      </c>
      <c r="AH4" s="16" t="str">
        <f>IFERROR(__xludf.DUMMYFUNCTION("""COMPUTED_VALUE"""),"CustomView")</f>
        <v>CustomView</v>
      </c>
      <c r="AI4" s="16" t="str">
        <f>IFERROR(__xludf.DUMMYFUNCTION("""COMPUTED_VALUE"""),"OpenCustomView")</f>
        <v>OpenCustomView</v>
      </c>
      <c r="AJ4" s="16" t="str">
        <f>IFERROR(__xludf.DUMMYFUNCTION("""COMPUTED_VALUE"""),"CheckSummaryRowsPM")</f>
        <v>CheckSummaryRowsPM</v>
      </c>
      <c r="AK4" s="16" t="str">
        <f>IFERROR(__xludf.DUMMYFUNCTION("""COMPUTED_VALUE"""),"CheckCustomViewRowSummary")</f>
        <v>CheckCustomViewRowSummary</v>
      </c>
      <c r="AL4" s="16" t="str">
        <f>IFERROR(__xludf.DUMMYFUNCTION("""COMPUTED_VALUE"""),"GroupRowCustomView")</f>
        <v>GroupRowCustomView</v>
      </c>
      <c r="AM4" s="16" t="str">
        <f>IFERROR(__xludf.DUMMYFUNCTION("""COMPUTED_VALUE"""),"CheckCustomViewRowSummary")</f>
        <v>CheckCustomViewRowSummary</v>
      </c>
      <c r="AN4" s="16" t="str">
        <f>IFERROR(__xludf.DUMMYFUNCTION("""COMPUTED_VALUE"""),"OpenTaxlotDetails")</f>
        <v>OpenTaxlotDetails</v>
      </c>
      <c r="AO4" s="16" t="str">
        <f>IFERROR(__xludf.DUMMYFUNCTION("""COMPUTED_VALUE"""),"CheckTaxlotDetails")</f>
        <v>CheckTaxlotDetails</v>
      </c>
      <c r="AP4" s="16" t="str">
        <f>IFERROR(__xludf.DUMMYFUNCTION("""COMPUTED_VALUE"""),"SelectTradeOnPM")</f>
        <v>SelectTradeOnPM</v>
      </c>
      <c r="AQ4" s="16" t="str">
        <f>IFERROR(__xludf.DUMMYFUNCTION("""COMPUTED_VALUE"""),"OperationsonPM")</f>
        <v>OperationsonPM</v>
      </c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</row>
    <row r="5" ht="15.75" customHeight="1" spans="1:1026">
      <c r="A5" s="9" t="str">
        <f>IFERROR(__xludf.DUMMYFUNCTION("TRANSPOSE(IMPORTRANGE(VLOOKUP($E$3,IMPORTRANGE('_Settings'!$B$3,$C$3&amp;""!A4:B1000""),2,FALSE),$G$3&amp;""!A4:A1000""))"),"")</f>
        <v/>
      </c>
      <c r="B5" s="10" t="str">
        <f>IFERROR(__xludf.DUMMYFUNCTION("""COMPUTED_VALUE"""),"Trade Date")</f>
        <v>Trade Date</v>
      </c>
      <c r="C5" s="10" t="str">
        <f>IFERROR(__xludf.DUMMYFUNCTION("""COMPUTED_VALUE"""),"Symbol")</f>
        <v>Symbol</v>
      </c>
      <c r="D5" s="10" t="str">
        <f>IFERROR(__xludf.DUMMYFUNCTION("""COMPUTED_VALUE"""),"Position")</f>
        <v>Position</v>
      </c>
      <c r="E5" s="10" t="str">
        <f>IFERROR(__xludf.DUMMYFUNCTION("""COMPUTED_VALUE"""),"Account")</f>
        <v>Account</v>
      </c>
      <c r="F5" s="10" t="str">
        <f>IFERROR(__xludf.DUMMYFUNCTION("""COMPUTED_VALUE"""),"MasterFund")</f>
        <v>MasterFund</v>
      </c>
      <c r="G5" s="10" t="str">
        <f>IFERROR(__xludf.DUMMYFUNCTION("""COMPUTED_VALUE"""),"Cost Basis")</f>
        <v>Cost Basis</v>
      </c>
      <c r="H5" s="10" t="str">
        <f>IFERROR(__xludf.DUMMYFUNCTION("""COMPUTED_VALUE"""),"Position Side")</f>
        <v>Position Side</v>
      </c>
      <c r="I5" s="10" t="str">
        <f>IFERROR(__xludf.DUMMYFUNCTION("""COMPUTED_VALUE"""),"Market Value (Base)")</f>
        <v>Market Value (Base)</v>
      </c>
      <c r="J5" s="10" t="str">
        <f>IFERROR(__xludf.DUMMYFUNCTION("""COMPUTED_VALUE"""),"% Day P&amp;L (Gross MV)")</f>
        <v>% Day P&amp;L (Gross MV)</v>
      </c>
      <c r="K5" s="10" t="str">
        <f>IFERROR(__xludf.DUMMYFUNCTION("""COMPUTED_VALUE"""),"Net Exposure (Base)")</f>
        <v>Net Exposure (Base)</v>
      </c>
      <c r="L5" s="10" t="str">
        <f>IFERROR(__xludf.DUMMYFUNCTION("""COMPUTED_VALUE"""),"Beta Adj. Gross Exposure (Base)")</f>
        <v>Beta Adj. Gross Exposure (Base)</v>
      </c>
      <c r="M5" s="10" t="str">
        <f>IFERROR(__xludf.DUMMYFUNCTION("""COMPUTED_VALUE"""),"Beta Adj. Gross Exposure (Underlying) (Base)")</f>
        <v>Beta Adj. Gross Exposure (Underlying) (Base)</v>
      </c>
      <c r="N5" s="10" t="str">
        <f>IFERROR(__xludf.DUMMYFUNCTION("""COMPUTED_VALUE"""),"Day P&amp;L (Base)")</f>
        <v>Day P&amp;L (Base)</v>
      </c>
      <c r="O5" s="10" t="str">
        <f>IFERROR(__xludf.DUMMYFUNCTION("""COMPUTED_VALUE"""),"Security Name")</f>
        <v>Security Name</v>
      </c>
      <c r="P5" s="10" t="str">
        <f>IFERROR(__xludf.DUMMYFUNCTION("""COMPUTED_VALUE"""),"Closing Mark")</f>
        <v>Closing Mark</v>
      </c>
      <c r="Q5" s="10" t="str">
        <f>IFERROR(__xludf.DUMMYFUNCTION("""COMPUTED_VALUE"""),"Cost Basis P&amp;L (Base)")</f>
        <v>Cost Basis P&amp;L (Base)</v>
      </c>
      <c r="R5" s="10" t="str">
        <f>IFERROR(__xludf.DUMMYFUNCTION("""COMPUTED_VALUE"""),"Prime Broker")</f>
        <v>Prime Broker</v>
      </c>
      <c r="S5" s="10" t="str">
        <f>IFERROR(__xludf.DUMMYFUNCTION("""COMPUTED_VALUE"""),"Strategy")</f>
        <v>Strategy</v>
      </c>
      <c r="T5" s="17" t="str">
        <f>IFERROR(__xludf.DUMMYFUNCTION("""COMPUTED_VALUE"""),"Asset Class")</f>
        <v>Asset Class</v>
      </c>
      <c r="U5" s="17" t="str">
        <f>IFERROR(__xludf.DUMMYFUNCTION("""COMPUTED_VALUE"""),"Underlying")</f>
        <v>Underlying</v>
      </c>
      <c r="V5" s="17" t="str">
        <f>IFERROR(__xludf.DUMMYFUNCTION("""COMPUTED_VALUE"""),"Exchange")</f>
        <v>Exchange</v>
      </c>
      <c r="W5" s="17" t="str">
        <f>IFERROR(__xludf.DUMMYFUNCTION("""COMPUTED_VALUE"""),"Trade Currency")</f>
        <v>Trade Currency</v>
      </c>
      <c r="X5" s="17" t="str">
        <f>IFERROR(__xludf.DUMMYFUNCTION("""COMPUTED_VALUE"""),"Multiplier")</f>
        <v>Multiplier</v>
      </c>
      <c r="Y5" s="17" t="str">
        <f>IFERROR(__xludf.DUMMYFUNCTION("""COMPUTED_VALUE"""),"FX Rate")</f>
        <v>FX Rate</v>
      </c>
      <c r="Z5" s="17" t="str">
        <f>IFERROR(__xludf.DUMMYFUNCTION("""COMPUTED_VALUE"""),"Vs Currency")</f>
        <v>Vs Currency</v>
      </c>
      <c r="AA5" s="17" t="str">
        <f>IFERROR(__xludf.DUMMYFUNCTION("""COMPUTED_VALUE"""),"Lead Currency")</f>
        <v>Lead Currency</v>
      </c>
      <c r="AB5" s="17" t="str">
        <f>IFERROR(__xludf.DUMMYFUNCTION("""COMPUTED_VALUE"""),"Dividend Yield (%)")</f>
        <v>Dividend Yield (%)</v>
      </c>
      <c r="AC5" s="17" t="str">
        <f>IFERROR(__xludf.DUMMYFUNCTION("""COMPUTED_VALUE"""),"% Change")</f>
        <v>% Change</v>
      </c>
      <c r="AD5" s="17" t="str">
        <f>IFERROR(__xludf.DUMMYFUNCTION("""COMPUTED_VALUE"""),"Net Exposure (Local)")</f>
        <v>Net Exposure (Local)</v>
      </c>
      <c r="AE5" s="17" t="str">
        <f>IFERROR(__xludf.DUMMYFUNCTION("""COMPUTED_VALUE"""),"Exposure (Local)")</f>
        <v>Exposure (Local)</v>
      </c>
      <c r="AF5" s="17" t="str">
        <f>IFERROR(__xludf.DUMMYFUNCTION("""COMPUTED_VALUE"""),"Delta Adj. Position")</f>
        <v>Delta Adj. Position</v>
      </c>
      <c r="AG5" s="17" t="str">
        <f>IFERROR(__xludf.DUMMYFUNCTION("""COMPUTED_VALUE"""),"Exposure (Base)")</f>
        <v>Exposure (Base)</v>
      </c>
      <c r="AH5" s="17" t="str">
        <f>IFERROR(__xludf.DUMMYFUNCTION("""COMPUTED_VALUE"""),"Beta Adj. Exposure (Local)")</f>
        <v>Beta Adj. Exposure (Local)</v>
      </c>
      <c r="AI5" s="17" t="str">
        <f>IFERROR(__xludf.DUMMYFUNCTION("""COMPUTED_VALUE"""),"Beta Adj. Exposure (Base)")</f>
        <v>Beta Adj. Exposure (Base)</v>
      </c>
      <c r="AJ5" s="17" t="str">
        <f>IFERROR(__xludf.DUMMYFUNCTION("""COMPUTED_VALUE"""),"Exposure (BP)(Base)")</f>
        <v>Exposure (BP)(Base)</v>
      </c>
      <c r="AK5" s="17" t="str">
        <f>IFERROR(__xludf.DUMMYFUNCTION("""COMPUTED_VALUE"""),"Day P&amp;L (Local)")</f>
        <v>Day P&amp;L (Local)</v>
      </c>
      <c r="AL5" s="17" t="str">
        <f>IFERROR(__xludf.DUMMYFUNCTION("""COMPUTED_VALUE"""),"Delta")</f>
        <v>Delta</v>
      </c>
      <c r="AM5" s="17" t="str">
        <f>IFERROR(__xludf.DUMMYFUNCTION("""COMPUTED_VALUE"""),"Leveraged Factor")</f>
        <v>Leveraged Factor</v>
      </c>
      <c r="AN5" s="17" t="str">
        <f>IFERROR(__xludf.DUMMYFUNCTION("""COMPUTED_VALUE"""),"Order Side")</f>
        <v>Order Side</v>
      </c>
      <c r="AO5" s="17" t="str">
        <f>IFERROR(__xludf.DUMMYFUNCTION("""COMPUTED_VALUE"""),"Master Strategy")</f>
        <v>Master Strategy</v>
      </c>
      <c r="AP5" s="17" t="str">
        <f>IFERROR(__xludf.DUMMYFUNCTION("""COMPUTED_VALUE"""),"Transaction Side")</f>
        <v>Transaction Side</v>
      </c>
      <c r="AQ5" s="17" t="str">
        <f>IFERROR(__xludf.DUMMYFUNCTION("""COMPUTED_VALUE"""),"Underlying Symbol")</f>
        <v>Underlying Symbol</v>
      </c>
      <c r="AR5" s="17" t="str">
        <f>IFERROR(__xludf.DUMMYFUNCTION("""COMPUTED_VALUE"""),"Underlying Price")</f>
        <v>Underlying Price</v>
      </c>
      <c r="AS5" s="17" t="str">
        <f>IFERROR(__xludf.DUMMYFUNCTION("""COMPUTED_VALUE"""),"Side Multiplier")</f>
        <v>Side Multiplier</v>
      </c>
      <c r="AT5" s="17" t="str">
        <f>IFERROR(__xludf.DUMMYFUNCTION("""COMPUTED_VALUE"""),"Description")</f>
        <v>Description</v>
      </c>
      <c r="AU5" s="17" t="str">
        <f>IFERROR(__xludf.DUMMYFUNCTION("""COMPUTED_VALUE"""),"Internal Comments")</f>
        <v>Internal Comments</v>
      </c>
      <c r="AV5" s="17" t="str">
        <f>IFERROR(__xludf.DUMMYFUNCTION("""COMPUTED_VALUE"""),"FX Rate On Trade Date")</f>
        <v>FX Rate On Trade Date</v>
      </c>
      <c r="AW5" s="17" t="str">
        <f>IFERROR(__xludf.DUMMYFUNCTION("""COMPUTED_VALUE"""),"Cost Basis P&amp;L (Local)")</f>
        <v>Cost Basis P&amp;L (Local)</v>
      </c>
      <c r="AX5" s="17" t="str">
        <f>IFERROR(__xludf.DUMMYFUNCTION("""COMPUTED_VALUE"""),"Day Interest")</f>
        <v>Day Interest</v>
      </c>
      <c r="AY5" s="17" t="str">
        <f>IFERROR(__xludf.DUMMYFUNCTION("""COMPUTED_VALUE"""),"Total Interest")</f>
        <v>Total Interest</v>
      </c>
      <c r="AZ5" s="17" t="str">
        <f>IFERROR(__xludf.DUMMYFUNCTION("""COMPUTED_VALUE"""),"Market Value (Local)")</f>
        <v>Market Value (Local)</v>
      </c>
      <c r="BA5" s="17" t="str">
        <f>IFERROR(__xludf.DUMMYFUNCTION("""COMPUTED_VALUE"""),"% Gain/Loss Day")</f>
        <v>% Gain/Loss Day</v>
      </c>
      <c r="BB5" s="17" t="str">
        <f>IFERROR(__xludf.DUMMYFUNCTION("""COMPUTED_VALUE"""),"Update Time (Last Price)")</f>
        <v>Update Time (Last Price)</v>
      </c>
      <c r="BC5" s="17" t="str">
        <f>IFERROR(__xludf.DUMMYFUNCTION("""COMPUTED_VALUE"""),"Beta")</f>
        <v>Beta</v>
      </c>
      <c r="BD5" s="17" t="str">
        <f>IFERROR(__xludf.DUMMYFUNCTION("""COMPUTED_VALUE"""),"Cash Impact (Local)")</f>
        <v>Cash Impact (Local)</v>
      </c>
      <c r="BE5" s="17" t="str">
        <f>IFERROR(__xludf.DUMMYFUNCTION("""COMPUTED_VALUE"""),"User Asset")</f>
        <v>User Asset</v>
      </c>
      <c r="BF5" s="17" t="str">
        <f>IFERROR(__xludf.DUMMYFUNCTION("""COMPUTED_VALUE"""),"Security Type")</f>
        <v>Security Type</v>
      </c>
      <c r="BG5" s="17" t="str">
        <f>IFERROR(__xludf.DUMMYFUNCTION("""COMPUTED_VALUE"""),"Sector")</f>
        <v>Sector</v>
      </c>
      <c r="BH5" s="17" t="str">
        <f>IFERROR(__xludf.DUMMYFUNCTION("""COMPUTED_VALUE"""),"Sub Sector")</f>
        <v>Sub Sector</v>
      </c>
      <c r="BI5" s="17" t="str">
        <f>IFERROR(__xludf.DUMMYFUNCTION("""COMPUTED_VALUE"""),"Country")</f>
        <v>Country</v>
      </c>
      <c r="BJ5" s="17" t="str">
        <f>IFERROR(__xludf.DUMMYFUNCTION("""COMPUTED_VALUE"""),"Market Cap")</f>
        <v>Market Cap</v>
      </c>
      <c r="BK5" s="17" t="str">
        <f>IFERROR(__xludf.DUMMYFUNCTION("""COMPUTED_VALUE"""),"Shares Outstanding (MM)")</f>
        <v>Shares Outstanding (MM)</v>
      </c>
      <c r="BL5" s="17" t="str">
        <f>IFERROR(__xludf.DUMMYFUNCTION("""COMPUTED_VALUE"""),"Avg Volume 20 Day")</f>
        <v>Avg Volume 20 Day</v>
      </c>
      <c r="BM5" s="17" t="str">
        <f>IFERROR(__xludf.DUMMYFUNCTION("""COMPUTED_VALUE"""),"% Avg Volume (Delta Adj.)")</f>
        <v>% Avg Volume (Delta Adj.)</v>
      </c>
      <c r="BN5" s="17" t="str">
        <f>IFERROR(__xludf.DUMMYFUNCTION("""COMPUTED_VALUE"""),"Ex Dividend Date")</f>
        <v>Ex Dividend Date</v>
      </c>
      <c r="BO5" s="17" t="str">
        <f>IFERROR(__xludf.DUMMYFUNCTION("""COMPUTED_VALUE"""),"Cash Impact (Base)")</f>
        <v>Cash Impact (Base)</v>
      </c>
      <c r="BP5" s="17" t="str">
        <f>IFERROR(__xludf.DUMMYFUNCTION("""COMPUTED_VALUE"""),"Volatility (%)")</f>
        <v>Volatility (%)</v>
      </c>
      <c r="BQ5" s="17" t="str">
        <f>IFERROR(__xludf.DUMMYFUNCTION("""COMPUTED_VALUE"""),"User")</f>
        <v>User</v>
      </c>
      <c r="BR5" s="17" t="str">
        <f>IFERROR(__xludf.DUMMYFUNCTION("""COMPUTED_VALUE"""),"Broker")</f>
        <v>Broker</v>
      </c>
      <c r="BS5" s="17" t="str">
        <f>IFERROR(__xludf.DUMMYFUNCTION("""COMPUTED_VALUE"""),"Earned Dividend (Local)")</f>
        <v>Earned Dividend (Local)</v>
      </c>
      <c r="BT5" s="17" t="str">
        <f>IFERROR(__xludf.DUMMYFUNCTION("""COMPUTED_VALUE"""),"Earned Dividend (Base)")</f>
        <v>Earned Dividend (Base)</v>
      </c>
      <c r="BU5" s="17" t="str">
        <f>IFERROR(__xludf.DUMMYFUNCTION("""COMPUTED_VALUE"""),"Put/Call")</f>
        <v>Put/Call</v>
      </c>
      <c r="BV5" s="17" t="str">
        <f>IFERROR(__xludf.DUMMYFUNCTION("""COMPUTED_VALUE"""),"Expiration Date")</f>
        <v>Expiration Date</v>
      </c>
      <c r="BW5" s="17" t="str">
        <f>IFERROR(__xludf.DUMMYFUNCTION("""COMPUTED_VALUE"""),"Strike Price")</f>
        <v>Strike Price</v>
      </c>
      <c r="BX5" s="17" t="str">
        <f>IFERROR(__xludf.DUMMYFUNCTION("""COMPUTED_VALUE"""),"Gross Exposure (Base)")</f>
        <v>Gross Exposure (Base)</v>
      </c>
      <c r="BY5" s="17" t="str">
        <f>IFERROR(__xludf.DUMMYFUNCTION("""COMPUTED_VALUE"""),"Gross Market Value (Base)")</f>
        <v>Gross Market Value (Base)</v>
      </c>
      <c r="BZ5" s="17" t="str">
        <f>IFERROR(__xludf.DUMMYFUNCTION("""COMPUTED_VALUE"""),"Px Selected Feed (Local)")</f>
        <v>Px Selected Feed (Local)</v>
      </c>
      <c r="CA5" s="17" t="str">
        <f>IFERROR(__xludf.DUMMYFUNCTION("""COMPUTED_VALUE"""),"Px Selected Feed (Base)")</f>
        <v>Px Selected Feed (Base)</v>
      </c>
      <c r="CB5" s="17" t="str">
        <f>IFERROR(__xludf.DUMMYFUNCTION("""COMPUTED_VALUE"""),"Settlement Date")</f>
        <v>Settlement Date</v>
      </c>
      <c r="CC5" s="17" t="str">
        <f>IFERROR(__xludf.DUMMYFUNCTION("""COMPUTED_VALUE"""),"% Avg Volume")</f>
        <v>% Avg Volume</v>
      </c>
      <c r="CD5" s="17" t="str">
        <f>IFERROR(__xludf.DUMMYFUNCTION("""COMPUTED_VALUE"""),"Day P&amp;L (Base)(Price Gain)")</f>
        <v>Day P&amp;L (Base)(Price Gain)</v>
      </c>
      <c r="CE5" s="17" t="str">
        <f>IFERROR(__xludf.DUMMYFUNCTION("""COMPUTED_VALUE"""),"Day P&amp;L (Base)(FX Gain)")</f>
        <v>Day P&amp;L (Base)(FX Gain)</v>
      </c>
      <c r="CF5" s="17" t="str">
        <f>IFERROR(__xludf.DUMMYFUNCTION("""COMPUTED_VALUE"""),"Cost Basis P&amp;L (Base)(FX Gain)")</f>
        <v>Cost Basis P&amp;L (Base)(FX Gain)</v>
      </c>
      <c r="CG5" s="17" t="str">
        <f>IFERROR(__xludf.DUMMYFUNCTION("""COMPUTED_VALUE"""),"Cost Basis P&amp;L (Base)(Price Gain)")</f>
        <v>Cost Basis P&amp;L (Base)(Price Gain)</v>
      </c>
      <c r="CH5" s="17" t="str">
        <f>IFERROR(__xludf.DUMMYFUNCTION("""COMPUTED_VALUE"""),"% Gain/Loss Cost")</f>
        <v>% Gain/Loss Cost</v>
      </c>
      <c r="CI5" s="17" t="str">
        <f>IFERROR(__xludf.DUMMYFUNCTION("""COMPUTED_VALUE"""),"Underlying Value (Options)")</f>
        <v>Underlying Value (Options)</v>
      </c>
      <c r="CJ5" s="17" t="str">
        <f>IFERROR(__xludf.DUMMYFUNCTION("""COMPUTED_VALUE"""),"Avg Volume 20 Day (Underlying Symbol)")</f>
        <v>Avg Volume 20 Day (Underlying Symbol)</v>
      </c>
      <c r="CK5" s="17" t="str">
        <f>IFERROR(__xludf.DUMMYFUNCTION("""COMPUTED_VALUE"""),"IsStaleData")</f>
        <v>IsStaleData</v>
      </c>
      <c r="CL5" s="17" t="str">
        <f>IFERROR(__xludf.DUMMYFUNCTION("""COMPUTED_VALUE"""),"IDCO")</f>
        <v>IDCO</v>
      </c>
      <c r="CM5" s="17" t="str">
        <f>IFERROR(__xludf.DUMMYFUNCTION("""COMPUTED_VALUE"""),"OSI")</f>
        <v>OSI</v>
      </c>
      <c r="CN5" s="17" t="str">
        <f>IFERROR(__xludf.DUMMYFUNCTION("""COMPUTED_VALUE"""),"SEDOL")</f>
        <v>SEDOL</v>
      </c>
      <c r="CO5" s="17" t="str">
        <f>IFERROR(__xludf.DUMMYFUNCTION("""COMPUTED_VALUE"""),"CUSIP")</f>
        <v>CUSIP</v>
      </c>
      <c r="CP5" s="17" t="str">
        <f>IFERROR(__xludf.DUMMYFUNCTION("""COMPUTED_VALUE"""),"Bloomberg")</f>
        <v>Bloomberg</v>
      </c>
      <c r="CQ5" s="17" t="str">
        <f>IFERROR(__xludf.DUMMYFUNCTION("""COMPUTED_VALUE"""),"ISIN")</f>
        <v>ISIN</v>
      </c>
      <c r="CR5" s="17" t="str">
        <f>IFERROR(__xludf.DUMMYFUNCTION("""COMPUTED_VALUE"""),"Start Trade Date")</f>
        <v>Start Trade Date</v>
      </c>
      <c r="CS5" s="17" t="str">
        <f>IFERROR(__xludf.DUMMYFUNCTION("""COMPUTED_VALUE"""),"Cost Basis (Break Even)")</f>
        <v>Cost Basis (Break Even)</v>
      </c>
      <c r="CT5" s="17" t="str">
        <f>IFERROR(__xludf.DUMMYFUNCTION("""COMPUTED_VALUE"""),"Trade Attribute 3")</f>
        <v>Trade Attribute 3</v>
      </c>
      <c r="CU5" s="17" t="str">
        <f>IFERROR(__xludf.DUMMYFUNCTION("""COMPUTED_VALUE"""),"Trade Attribute 4")</f>
        <v>Trade Attribute 4</v>
      </c>
      <c r="CV5" s="17" t="str">
        <f>IFERROR(__xludf.DUMMYFUNCTION("""COMPUTED_VALUE"""),"Trade Attribute 5")</f>
        <v>Trade Attribute 5</v>
      </c>
      <c r="CW5" s="17" t="str">
        <f>IFERROR(__xludf.DUMMYFUNCTION("""COMPUTED_VALUE"""),"Trade Attribute 6")</f>
        <v>Trade Attribute 6</v>
      </c>
      <c r="CX5" s="17" t="str">
        <f>IFERROR(__xludf.DUMMYFUNCTION("""COMPUTED_VALUE"""),"Proxy Symbol")</f>
        <v>Proxy Symbol</v>
      </c>
      <c r="CY5" s="17" t="str">
        <f>IFERROR(__xludf.DUMMYFUNCTION("""COMPUTED_VALUE"""),"Pricing Source")</f>
        <v>Pricing Source</v>
      </c>
      <c r="CZ5" s="17" t="str">
        <f>IFERROR(__xludf.DUMMYFUNCTION("""COMPUTED_VALUE"""),"Delta Source")</f>
        <v>Delta Source</v>
      </c>
      <c r="DA5" s="17" t="str">
        <f>IFERROR(__xludf.DUMMYFUNCTION("""COMPUTED_VALUE"""),"Gross Exposure (Local)")</f>
        <v>Gross Exposure (Local)</v>
      </c>
      <c r="DB5" s="17" t="str">
        <f>IFERROR(__xludf.DUMMYFUNCTION("""COMPUTED_VALUE"""),"% Day P&amp;L (Net MV)")</f>
        <v>% Day P&amp;L (Net MV)</v>
      </c>
      <c r="DC5" s="17" t="str">
        <f>IFERROR(__xludf.DUMMYFUNCTION("""COMPUTED_VALUE"""),"Expiration Month")</f>
        <v>Expiration Month</v>
      </c>
      <c r="DD5" s="17" t="str">
        <f>IFERROR(__xludf.DUMMYFUNCTION("""COMPUTED_VALUE"""),"Delta Adj. Position (LME)")</f>
        <v>Delta Adj. Position (LME)</v>
      </c>
      <c r="DE5" s="17" t="str">
        <f>IFERROR(__xludf.DUMMYFUNCTION("""COMPUTED_VALUE"""),"Premium")</f>
        <v>Premium</v>
      </c>
      <c r="DF5" s="17" t="str">
        <f>IFERROR(__xludf.DUMMYFUNCTION("""COMPUTED_VALUE"""),"Premium $")</f>
        <v>Premium $</v>
      </c>
      <c r="DG5" s="17" t="str">
        <f>IFERROR(__xludf.DUMMYFUNCTION("""COMPUTED_VALUE"""),"Forward Points")</f>
        <v>Forward Points</v>
      </c>
      <c r="DH5" s="17" t="str">
        <f>IFERROR(__xludf.DUMMYFUNCTION("""COMPUTED_VALUE"""),"Closing Mark (Underlying)")</f>
        <v>Closing Mark (Underlying)</v>
      </c>
      <c r="DI5" s="17" t="str">
        <f>IFERROR(__xludf.DUMMYFUNCTION("""COMPUTED_VALUE"""),"% Change (Underlying Price)")</f>
        <v>% Change (Underlying Price)</v>
      </c>
      <c r="DJ5" s="17" t="str">
        <f>IFERROR(__xludf.DUMMYFUNCTION("""COMPUTED_VALUE"""),"Transaction Type")</f>
        <v>Transaction Type</v>
      </c>
      <c r="DK5" s="17" t="str">
        <f>IFERROR(__xludf.DUMMYFUNCTION("""COMPUTED_VALUE"""),"Closing Market Value (Local)")</f>
        <v>Closing Market Value (Local)</v>
      </c>
      <c r="DL5" s="17" t="str">
        <f>IFERROR(__xludf.DUMMYFUNCTION("""COMPUTED_VALUE"""),"Closing Market Value (Base)")</f>
        <v>Closing Market Value (Base)</v>
      </c>
      <c r="DM5" s="17" t="str">
        <f>IFERROR(__xludf.DUMMYFUNCTION("""COMPUTED_VALUE"""),"Closing FX Rate")</f>
        <v>Closing FX Rate</v>
      </c>
      <c r="DN5" s="17" t="str">
        <f>IFERROR(__xludf.DUMMYFUNCTION("""COMPUTED_VALUE"""),"Change In Underlying Price")</f>
        <v>Change In Underlying Price</v>
      </c>
      <c r="DO5" s="17" t="str">
        <f>IFERROR(__xludf.DUMMYFUNCTION("""COMPUTED_VALUE"""),"RIC")</f>
        <v>RIC</v>
      </c>
      <c r="DP5" s="17" t="str">
        <f>IFERROR(__xludf.DUMMYFUNCTION("""COMPUTED_VALUE"""),"Position Side Exposure (Boxed)")</f>
        <v>Position Side Exposure (Boxed)</v>
      </c>
      <c r="DQ5" s="17" t="str">
        <f>IFERROR(__xludf.DUMMYFUNCTION("""COMPUTED_VALUE"""),"Analyst")</f>
        <v>Analyst</v>
      </c>
      <c r="DR5" s="17" t="str">
        <f>IFERROR(__xludf.DUMMYFUNCTION("""COMPUTED_VALUE"""),"Country Of Risk")</f>
        <v>Country Of Risk</v>
      </c>
      <c r="DS5" s="17" t="str">
        <f>IFERROR(__xludf.DUMMYFUNCTION("""COMPUTED_VALUE"""),"Custom UDA1")</f>
        <v>Custom UDA1</v>
      </c>
      <c r="DT5" s="17" t="str">
        <f>IFERROR(__xludf.DUMMYFUNCTION("""COMPUTED_VALUE"""),"Custom UDA2")</f>
        <v>Custom UDA2</v>
      </c>
      <c r="DU5" s="17" t="str">
        <f>IFERROR(__xludf.DUMMYFUNCTION("""COMPUTED_VALUE"""),"Custom UDA3")</f>
        <v>Custom UDA3</v>
      </c>
      <c r="DV5" s="17" t="str">
        <f>IFERROR(__xludf.DUMMYFUNCTION("""COMPUTED_VALUE"""),"Custom UDA4")</f>
        <v>Custom UDA4</v>
      </c>
      <c r="DW5" s="17" t="str">
        <f>IFERROR(__xludf.DUMMYFUNCTION("""COMPUTED_VALUE"""),"Custom UDA5")</f>
        <v>Custom UDA5</v>
      </c>
      <c r="DX5" s="17" t="str">
        <f>IFERROR(__xludf.DUMMYFUNCTION("""COMPUTED_VALUE"""),"Custom UDA6")</f>
        <v>Custom UDA6</v>
      </c>
      <c r="DY5" s="17" t="str">
        <f>IFERROR(__xludf.DUMMYFUNCTION("""COMPUTED_VALUE"""),"Custom UDA7")</f>
        <v>Custom UDA7</v>
      </c>
      <c r="DZ5" s="17" t="str">
        <f>IFERROR(__xludf.DUMMYFUNCTION("""COMPUTED_VALUE"""),"Issuer")</f>
        <v>Issuer</v>
      </c>
      <c r="EA5" s="17" t="str">
        <f>IFERROR(__xludf.DUMMYFUNCTION("""COMPUTED_VALUE"""),"Liquid Tag")</f>
        <v>Liquid Tag</v>
      </c>
      <c r="EB5" s="17" t="str">
        <f>IFERROR(__xludf.DUMMYFUNCTION("""COMPUTED_VALUE"""),"Market Cap UDA")</f>
        <v>Market Cap UDA</v>
      </c>
      <c r="EC5" s="17" t="str">
        <f>IFERROR(__xludf.DUMMYFUNCTION("""COMPUTED_VALUE"""),"Region")</f>
        <v>Region</v>
      </c>
      <c r="ED5" s="17" t="str">
        <f>IFERROR(__xludf.DUMMYFUNCTION("""COMPUTED_VALUE"""),"Risk Currency")</f>
        <v>Risk Currency</v>
      </c>
      <c r="EE5" s="17" t="str">
        <f>IFERROR(__xludf.DUMMYFUNCTION("""COMPUTED_VALUE"""),"UCITS Eligible Tag")</f>
        <v>UCITS Eligible Tag</v>
      </c>
      <c r="EF5" s="17" t="str">
        <f>IFERROR(__xludf.DUMMYFUNCTION("""COMPUTED_VALUE"""),"FX Rate (Display)")</f>
        <v>FX Rate (Display)</v>
      </c>
      <c r="EG5" s="17" t="str">
        <f>IFERROR(__xludf.DUMMYFUNCTION("""COMPUTED_VALUE"""),"% Net Exposure (Base)")</f>
        <v>% Net Exposure (Base)</v>
      </c>
      <c r="EH5" s="17" t="str">
        <f>IFERROR(__xludf.DUMMYFUNCTION("""COMPUTED_VALUE"""),"% Gross Exposure (Base)")</f>
        <v>% Gross Exposure (Base)</v>
      </c>
      <c r="EI5" s="17" t="str">
        <f>IFERROR(__xludf.DUMMYFUNCTION("""COMPUTED_VALUE"""),"% Exposure (Base)")</f>
        <v>% Exposure (Base)</v>
      </c>
      <c r="EJ5" s="17" t="str">
        <f>IFERROR(__xludf.DUMMYFUNCTION("""COMPUTED_VALUE"""),"% Gross Exposure (Underlying) (Base)")</f>
        <v>% Gross Exposure (Underlying) (Base)</v>
      </c>
      <c r="EK5" s="17" t="str">
        <f>IFERROR(__xludf.DUMMYFUNCTION("""COMPUTED_VALUE"""),"% Beta Adj. Gross Exposure (Base)")</f>
        <v>% Beta Adj. Gross Exposure (Base)</v>
      </c>
      <c r="EL5" s="17" t="str">
        <f>IFERROR(__xludf.DUMMYFUNCTION("""COMPUTED_VALUE"""),"Position Side Exposure (Underlying)")</f>
        <v>Position Side Exposure (Underlying)</v>
      </c>
      <c r="EM5" s="17" t="str">
        <f>IFERROR(__xludf.DUMMYFUNCTION("""COMPUTED_VALUE"""),"Gross Exposure (Underlying) (Base)")</f>
        <v>Gross Exposure (Underlying) (Base)</v>
      </c>
      <c r="EN5" s="17" t="str">
        <f>IFERROR(__xludf.DUMMYFUNCTION("""COMPUTED_VALUE"""),"Gross Exposure (Underlying)")</f>
        <v>Gross Exposure (Underlying)</v>
      </c>
      <c r="EO5" s="17" t="str">
        <f>IFERROR(__xludf.DUMMYFUNCTION("""COMPUTED_VALUE"""),"Day Return")</f>
        <v>Day Return</v>
      </c>
      <c r="EP5" s="17" t="str">
        <f>IFERROR(__xludf.DUMMYFUNCTION("""COMPUTED_VALUE"""),"Start of Day NAV")</f>
        <v>Start of Day NAV</v>
      </c>
      <c r="EQ5" s="17" t="str">
        <f>IFERROR(__xludf.DUMMYFUNCTION("""COMPUTED_VALUE"""),"% Gross Market Value (Base)")</f>
        <v>% Gross Market Value (Base)</v>
      </c>
      <c r="ER5" s="17" t="str">
        <f>IFERROR(__xludf.DUMMYFUNCTION("""COMPUTED_VALUE"""),"Beta Adj. Gross Exposure (Underlying) (Local)")</f>
        <v>Beta Adj. Gross Exposure (Underlying) (Local)</v>
      </c>
      <c r="ES5" s="17" t="str">
        <f>IFERROR(__xludf.DUMMYFUNCTION("""COMPUTED_VALUE"""),"NAV")</f>
        <v>NAV</v>
      </c>
      <c r="ET5" s="17" t="str">
        <f>IFERROR(__xludf.DUMMYFUNCTION("""COMPUTED_VALUE"""),"% P&amp;L Contribution")</f>
        <v>% P&amp;L Contribution</v>
      </c>
      <c r="EU5" s="17" t="str">
        <f>IFERROR(__xludf.DUMMYFUNCTION("""COMPUTED_VALUE"""),"% Net Market Value (Base)")</f>
        <v>% Net Market Value (Base)</v>
      </c>
      <c r="EV5" s="17" t="str">
        <f>IFERROR(__xludf.DUMMYFUNCTION("""COMPUTED_VALUE"""),"Position Side Exposure")</f>
        <v>Position Side Exposure</v>
      </c>
      <c r="EW5" s="17" t="str">
        <f>IFERROR(__xludf.DUMMYFUNCTION("""COMPUTED_VALUE"""),"NAV (Touch)")</f>
        <v>NAV (Touch)</v>
      </c>
      <c r="EX5" s="17" t="str">
        <f>IFERROR(__xludf.DUMMYFUNCTION("""COMPUTED_VALUE"""),"IgnorePropertyChangeEvents")</f>
        <v>IgnorePropertyChangeEvents</v>
      </c>
      <c r="EY5" s="17" t="str">
        <f>IFERROR(__xludf.DUMMYFUNCTION("""COMPUTED_VALUE"""),"Trade Attribute 1")</f>
        <v>Trade Attribute 1</v>
      </c>
      <c r="EZ5" s="17" t="str">
        <f>IFERROR(__xludf.DUMMYFUNCTION("""COMPUTED_VALUE"""),"Trade Attribute 2")</f>
        <v>Trade Attribute 2</v>
      </c>
      <c r="FA5" s="17" t="str">
        <f>IFERROR(__xludf.DUMMYFUNCTION("""COMPUTED_VALUE"""),"Client")</f>
        <v>Client</v>
      </c>
      <c r="FB5" s="17" t="str">
        <f>IFERROR(__xludf.DUMMYFUNCTION("""COMPUTED_VALUE"""),"IsCustomViewTab")</f>
        <v>IsCustomViewTab</v>
      </c>
      <c r="FC5" s="17" t="str">
        <f>IFERROR(__xludf.DUMMYFUNCTION("""COMPUTED_VALUE"""),"ITM/OTM")</f>
        <v>ITM/OTM</v>
      </c>
      <c r="FD5" s="17" t="str">
        <f>IFERROR(__xludf.DUMMYFUNCTION("""COMPUTED_VALUE"""),"Days to Expiry")</f>
        <v>Days to Expiry</v>
      </c>
      <c r="FE5" s="17" t="str">
        <f>IFERROR(__xludf.DUMMYFUNCTION("""COMPUTED_VALUE"""),"% of Underlying Price")</f>
        <v>% of Underlying Price</v>
      </c>
      <c r="FF5" s="17" t="str">
        <f>IFERROR(__xludf.DUMMYFUNCTION("""COMPUTED_VALUE"""),"Intrinsic value")</f>
        <v>Intrinsic value</v>
      </c>
      <c r="FG5" s="17" t="str">
        <f>IFERROR(__xludf.DUMMYFUNCTION("""COMPUTED_VALUE"""),"Gain/Loss if Ex./Assign")</f>
        <v>Gain/Loss if Ex./Assign</v>
      </c>
      <c r="FH5" s="17" t="str">
        <f>IFERROR(__xludf.DUMMYFUNCTION("""COMPUTED_VALUE"""),"Day Traded Position")</f>
        <v>Day Traded Position</v>
      </c>
      <c r="FI5" s="17" t="str">
        <f>IFERROR(__xludf.DUMMYFUNCTION("""COMPUTED_VALUE"""),"isRowCountCheck")</f>
        <v>isRowCountCheck</v>
      </c>
      <c r="FJ5" s="17" t="str">
        <f>IFERROR(__xludf.DUMMYFUNCTION("""COMPUTED_VALUE"""),"ACTIV Symbol")</f>
        <v>ACTIV Symbol</v>
      </c>
      <c r="FK5" s="17" t="str">
        <f>IFERROR(__xludf.DUMMYFUNCTION("""COMPUTED_VALUE"""),"IsAccountBlank")</f>
        <v>IsAccountBlank</v>
      </c>
      <c r="FL5" s="17" t="str">
        <f>IFERROR(__xludf.DUMMYFUNCTION("""COMPUTED_VALUE"""),"MandatoryColumn")</f>
        <v>MandatoryColumn</v>
      </c>
      <c r="FM5" s="17" t="str">
        <f>IFERROR(__xludf.DUMMYFUNCTION("""COMPUTED_VALUE"""),"Px Last")</f>
        <v>Px Last</v>
      </c>
      <c r="FN5" s="17" t="str">
        <f>IFERROR(__xludf.DUMMYFUNCTION("""COMPUTED_VALUE"""),"Px Ask")</f>
        <v>Px Ask</v>
      </c>
      <c r="FO5" s="17" t="str">
        <f>IFERROR(__xludf.DUMMYFUNCTION("""COMPUTED_VALUE"""),"Px Bid")</f>
        <v>Px Bid</v>
      </c>
      <c r="FP5" s="17" t="str">
        <f>IFERROR(__xludf.DUMMYFUNCTION("""COMPUTED_VALUE"""),"Px Mid")</f>
        <v>Px Mid</v>
      </c>
      <c r="FQ5" s="17" t="str">
        <f>IFERROR(__xludf.DUMMYFUNCTION("""COMPUTED_VALUE"""),"Closing Price")</f>
        <v>Closing Price</v>
      </c>
      <c r="FR5" s="17" t="str">
        <f>IFERROR(__xludf.DUMMYFUNCTION("""COMPUTED_VALUE"""),"Total Volume")</f>
        <v>Total Volume</v>
      </c>
      <c r="FS5" s="17" t="str">
        <f>IFERROR(__xludf.DUMMYFUNCTION("""COMPUTED_VALUE"""),"Custom UDA8")</f>
        <v>Custom UDA8</v>
      </c>
      <c r="FT5" s="17" t="str">
        <f>IFERROR(__xludf.DUMMYFUNCTION("""COMPUTED_VALUE"""),"Custom UDA9")</f>
        <v>Custom UDA9</v>
      </c>
      <c r="FU5" s="17" t="str">
        <f>IFERROR(__xludf.DUMMYFUNCTION("""COMPUTED_VALUE"""),"Custom UDA10")</f>
        <v>Custom UDA10</v>
      </c>
      <c r="FV5" s="17" t="str">
        <f>IFERROR(__xludf.DUMMYFUNCTION("""COMPUTED_VALUE"""),"Custom UDA11")</f>
        <v>Custom UDA11</v>
      </c>
      <c r="FW5" s="17" t="str">
        <f>IFERROR(__xludf.DUMMYFUNCTION("""COMPUTED_VALUE"""),"Custom UDA12")</f>
        <v>Custom UDA12</v>
      </c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</row>
    <row r="6" ht="15.75" customHeight="1" spans="1:1026">
      <c r="A6" s="11" t="s">
        <v>35</v>
      </c>
      <c r="B6" s="11"/>
      <c r="C6" s="11" t="s">
        <v>22</v>
      </c>
      <c r="D6" s="12">
        <v>-37500</v>
      </c>
      <c r="E6" s="11" t="s">
        <v>18</v>
      </c>
      <c r="F6" s="11" t="s">
        <v>36</v>
      </c>
      <c r="G6" s="12">
        <v>1</v>
      </c>
      <c r="H6" s="11" t="s">
        <v>37</v>
      </c>
      <c r="I6" s="12"/>
      <c r="J6" s="12"/>
      <c r="K6" s="12"/>
      <c r="L6" s="12"/>
      <c r="M6" s="12"/>
      <c r="N6" s="12"/>
      <c r="O6" s="11"/>
      <c r="P6" s="11"/>
      <c r="Q6" s="12">
        <v>37500</v>
      </c>
      <c r="R6" s="11" t="s">
        <v>38</v>
      </c>
      <c r="S6" s="11"/>
      <c r="T6" s="11" t="s">
        <v>39</v>
      </c>
      <c r="U6" s="11" t="s">
        <v>40</v>
      </c>
      <c r="V6" s="11" t="s">
        <v>41</v>
      </c>
      <c r="W6" s="11" t="s">
        <v>42</v>
      </c>
      <c r="X6" s="12">
        <v>1</v>
      </c>
      <c r="Y6" s="12">
        <v>1</v>
      </c>
      <c r="Z6" s="11"/>
      <c r="AA6" s="11"/>
      <c r="AB6" s="12"/>
      <c r="AC6" s="12"/>
      <c r="AD6" s="12"/>
      <c r="AE6" s="12"/>
      <c r="AF6" s="12"/>
      <c r="AG6" s="12"/>
      <c r="AH6" s="12"/>
      <c r="AI6" s="12"/>
      <c r="AJ6" s="12"/>
      <c r="AK6" s="12">
        <v>37500</v>
      </c>
      <c r="AL6" s="12">
        <v>1</v>
      </c>
      <c r="AM6" s="12">
        <v>1</v>
      </c>
      <c r="AN6" s="11" t="s">
        <v>24</v>
      </c>
      <c r="AO6" s="11"/>
      <c r="AP6" s="11" t="s">
        <v>37</v>
      </c>
      <c r="AQ6" s="11" t="s">
        <v>22</v>
      </c>
      <c r="AR6" s="12"/>
      <c r="AS6" s="12">
        <v>-1</v>
      </c>
      <c r="AT6" s="11"/>
      <c r="AU6" s="11" t="s">
        <v>43</v>
      </c>
      <c r="AV6" s="12">
        <v>1</v>
      </c>
      <c r="AW6" s="12">
        <v>37500</v>
      </c>
      <c r="AX6" s="12"/>
      <c r="AY6" s="12"/>
      <c r="AZ6" s="12"/>
      <c r="BA6" s="12"/>
      <c r="BB6" s="12"/>
      <c r="BC6" s="12">
        <v>1</v>
      </c>
      <c r="BD6" s="12">
        <v>37500</v>
      </c>
      <c r="BE6" s="11" t="s">
        <v>39</v>
      </c>
      <c r="BF6" s="11" t="s">
        <v>44</v>
      </c>
      <c r="BG6" s="11" t="s">
        <v>45</v>
      </c>
      <c r="BH6" s="11" t="s">
        <v>46</v>
      </c>
      <c r="BI6" s="11" t="s">
        <v>47</v>
      </c>
      <c r="BJ6" s="12"/>
      <c r="BK6" s="12"/>
      <c r="BL6" s="12"/>
      <c r="BM6" s="12"/>
      <c r="BN6" s="12"/>
      <c r="BO6" s="12"/>
      <c r="BP6" s="12"/>
      <c r="BQ6" s="11"/>
      <c r="BR6" s="11" t="s">
        <v>48</v>
      </c>
      <c r="BS6" s="12"/>
      <c r="BT6" s="12"/>
      <c r="BU6" s="11" t="s">
        <v>39</v>
      </c>
      <c r="BV6" s="11"/>
      <c r="BW6" s="12"/>
      <c r="BX6" s="12"/>
      <c r="BY6" s="12"/>
      <c r="BZ6" s="12"/>
      <c r="CA6" s="12"/>
      <c r="CB6" s="11"/>
      <c r="CC6" s="12"/>
      <c r="CD6" s="12"/>
      <c r="CE6" s="12"/>
      <c r="CF6" s="12"/>
      <c r="CG6" s="12"/>
      <c r="CH6" s="12"/>
      <c r="CI6" s="12"/>
      <c r="CJ6" s="12"/>
      <c r="CK6" s="18"/>
      <c r="CL6" s="11"/>
      <c r="CM6" s="11"/>
      <c r="CN6" s="11"/>
      <c r="CO6" s="12"/>
      <c r="CP6" s="11"/>
      <c r="CQ6" s="11"/>
      <c r="CR6" s="11"/>
      <c r="CS6" s="12">
        <v>1</v>
      </c>
      <c r="CT6" s="11"/>
      <c r="CU6" s="11"/>
      <c r="CV6" s="11"/>
      <c r="CW6" s="11"/>
      <c r="CX6" s="11"/>
      <c r="CY6" s="11"/>
      <c r="CZ6" s="11"/>
      <c r="DA6" s="12"/>
      <c r="DB6" s="12"/>
      <c r="DC6" s="12"/>
      <c r="DD6" s="12"/>
      <c r="DE6" s="12"/>
      <c r="DF6" s="12"/>
      <c r="DG6" s="12"/>
      <c r="DH6" s="11"/>
      <c r="DI6" s="12"/>
      <c r="DJ6" s="11" t="s">
        <v>24</v>
      </c>
      <c r="DK6" s="12"/>
      <c r="DL6" s="12"/>
      <c r="DM6" s="12">
        <v>1</v>
      </c>
      <c r="DN6" s="12"/>
      <c r="DO6" s="11" t="s">
        <v>49</v>
      </c>
      <c r="DP6" s="11" t="s">
        <v>37</v>
      </c>
      <c r="DQ6" s="11" t="s">
        <v>50</v>
      </c>
      <c r="DR6" s="11" t="s">
        <v>51</v>
      </c>
      <c r="DS6" s="11" t="s">
        <v>52</v>
      </c>
      <c r="DT6" s="11"/>
      <c r="DU6" s="11"/>
      <c r="DV6" s="11"/>
      <c r="DW6" s="12"/>
      <c r="DX6" s="12"/>
      <c r="DY6" s="11"/>
      <c r="DZ6" s="11"/>
      <c r="EA6" s="11"/>
      <c r="EB6" s="11"/>
      <c r="EC6" s="11"/>
      <c r="ED6" s="11"/>
      <c r="EE6" s="11"/>
      <c r="EF6" s="12"/>
      <c r="EG6" s="12"/>
      <c r="EH6" s="12"/>
      <c r="EI6" s="12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2"/>
      <c r="FE6" s="11"/>
      <c r="FF6" s="12"/>
      <c r="FG6" s="12"/>
      <c r="FH6" s="12"/>
      <c r="FI6" s="11"/>
      <c r="FJ6" s="11"/>
      <c r="FK6" s="11"/>
      <c r="FL6" s="11"/>
      <c r="FM6" s="12"/>
      <c r="FN6" s="12"/>
      <c r="FO6" s="12"/>
      <c r="FP6" s="12"/>
      <c r="FQ6" s="12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  <c r="ALH6" s="19"/>
      <c r="ALI6" s="19"/>
      <c r="ALJ6" s="19"/>
      <c r="ALK6" s="19"/>
      <c r="ALL6" s="19"/>
      <c r="ALM6" s="19"/>
      <c r="ALN6" s="19"/>
      <c r="ALO6" s="19"/>
      <c r="ALP6" s="19"/>
      <c r="ALQ6" s="19"/>
      <c r="ALR6" s="19"/>
      <c r="ALS6" s="19"/>
      <c r="ALT6" s="19"/>
      <c r="ALU6" s="19"/>
      <c r="ALV6" s="19"/>
      <c r="ALW6" s="19"/>
      <c r="ALX6" s="19"/>
      <c r="ALY6" s="19"/>
      <c r="ALZ6" s="19"/>
      <c r="AMA6" s="19"/>
      <c r="AMB6" s="19"/>
      <c r="AMC6" s="19"/>
      <c r="AMD6" s="19"/>
      <c r="AME6" s="19"/>
      <c r="AMF6" s="19"/>
      <c r="AMG6" s="19"/>
      <c r="AMH6" s="19"/>
      <c r="AMI6" s="19"/>
      <c r="AMJ6" s="19"/>
      <c r="AMK6" s="19"/>
      <c r="AML6" s="19"/>
    </row>
    <row r="7" ht="15.75" customHeight="1" spans="1:1026">
      <c r="A7" s="11" t="s">
        <v>35</v>
      </c>
      <c r="B7" s="11"/>
      <c r="C7" s="11" t="s">
        <v>22</v>
      </c>
      <c r="D7" s="12">
        <v>35000</v>
      </c>
      <c r="E7" s="11" t="s">
        <v>18</v>
      </c>
      <c r="F7" s="11" t="s">
        <v>36</v>
      </c>
      <c r="G7" s="12">
        <v>1</v>
      </c>
      <c r="H7" s="11" t="s">
        <v>37</v>
      </c>
      <c r="I7" s="12"/>
      <c r="J7" s="12"/>
      <c r="K7" s="12"/>
      <c r="L7" s="12"/>
      <c r="M7" s="12"/>
      <c r="N7" s="12"/>
      <c r="O7" s="11"/>
      <c r="P7" s="11"/>
      <c r="Q7" s="12">
        <v>-35000</v>
      </c>
      <c r="R7" s="11" t="s">
        <v>38</v>
      </c>
      <c r="S7" s="11"/>
      <c r="T7" s="11" t="s">
        <v>39</v>
      </c>
      <c r="U7" s="11" t="s">
        <v>40</v>
      </c>
      <c r="V7" s="11" t="s">
        <v>41</v>
      </c>
      <c r="W7" s="11" t="s">
        <v>42</v>
      </c>
      <c r="X7" s="12">
        <v>1</v>
      </c>
      <c r="Y7" s="12">
        <v>1</v>
      </c>
      <c r="Z7" s="11"/>
      <c r="AA7" s="11"/>
      <c r="AB7" s="12"/>
      <c r="AC7" s="12"/>
      <c r="AD7" s="12"/>
      <c r="AE7" s="12"/>
      <c r="AF7" s="12"/>
      <c r="AG7" s="12"/>
      <c r="AH7" s="12"/>
      <c r="AI7" s="12"/>
      <c r="AJ7" s="12"/>
      <c r="AK7" s="12">
        <v>-35000</v>
      </c>
      <c r="AL7" s="12">
        <v>1</v>
      </c>
      <c r="AM7" s="12">
        <v>1</v>
      </c>
      <c r="AN7" s="11" t="s">
        <v>25</v>
      </c>
      <c r="AO7" s="11"/>
      <c r="AP7" s="11" t="s">
        <v>37</v>
      </c>
      <c r="AQ7" s="11" t="s">
        <v>22</v>
      </c>
      <c r="AR7" s="12"/>
      <c r="AS7" s="12">
        <v>1</v>
      </c>
      <c r="AT7" s="11"/>
      <c r="AU7" s="11" t="s">
        <v>43</v>
      </c>
      <c r="AV7" s="12">
        <v>1</v>
      </c>
      <c r="AW7" s="12">
        <v>-35000</v>
      </c>
      <c r="AX7" s="12"/>
      <c r="AY7" s="12"/>
      <c r="AZ7" s="12"/>
      <c r="BA7" s="12"/>
      <c r="BB7" s="12"/>
      <c r="BC7" s="12">
        <v>1</v>
      </c>
      <c r="BD7" s="12">
        <v>-35000</v>
      </c>
      <c r="BE7" s="11" t="s">
        <v>39</v>
      </c>
      <c r="BF7" s="11" t="s">
        <v>44</v>
      </c>
      <c r="BG7" s="11" t="s">
        <v>45</v>
      </c>
      <c r="BH7" s="11" t="s">
        <v>46</v>
      </c>
      <c r="BI7" s="11" t="s">
        <v>47</v>
      </c>
      <c r="BJ7" s="12"/>
      <c r="BK7" s="12"/>
      <c r="BL7" s="12"/>
      <c r="BM7" s="12"/>
      <c r="BN7" s="12"/>
      <c r="BO7" s="12"/>
      <c r="BP7" s="12"/>
      <c r="BQ7" s="11"/>
      <c r="BR7" s="11" t="s">
        <v>48</v>
      </c>
      <c r="BS7" s="12"/>
      <c r="BT7" s="12"/>
      <c r="BU7" s="11" t="s">
        <v>39</v>
      </c>
      <c r="BV7" s="11"/>
      <c r="BW7" s="12"/>
      <c r="BX7" s="12"/>
      <c r="BY7" s="12"/>
      <c r="BZ7" s="12"/>
      <c r="CA7" s="12"/>
      <c r="CB7" s="11"/>
      <c r="CC7" s="12"/>
      <c r="CD7" s="12"/>
      <c r="CE7" s="12"/>
      <c r="CF7" s="12"/>
      <c r="CG7" s="12"/>
      <c r="CH7" s="12"/>
      <c r="CI7" s="12"/>
      <c r="CJ7" s="12"/>
      <c r="CK7" s="18"/>
      <c r="CL7" s="11"/>
      <c r="CM7" s="11"/>
      <c r="CN7" s="11"/>
      <c r="CO7" s="12"/>
      <c r="CP7" s="11"/>
      <c r="CQ7" s="11"/>
      <c r="CR7" s="11"/>
      <c r="CS7" s="12">
        <v>1</v>
      </c>
      <c r="CT7" s="11"/>
      <c r="CU7" s="11"/>
      <c r="CV7" s="11"/>
      <c r="CW7" s="11"/>
      <c r="CX7" s="11"/>
      <c r="CY7" s="11"/>
      <c r="CZ7" s="11"/>
      <c r="DA7" s="12"/>
      <c r="DB7" s="12"/>
      <c r="DC7" s="12"/>
      <c r="DD7" s="12"/>
      <c r="DE7" s="12"/>
      <c r="DF7" s="12"/>
      <c r="DG7" s="12"/>
      <c r="DH7" s="11"/>
      <c r="DI7" s="12"/>
      <c r="DJ7" s="11" t="s">
        <v>25</v>
      </c>
      <c r="DK7" s="12"/>
      <c r="DL7" s="12"/>
      <c r="DM7" s="12">
        <v>1</v>
      </c>
      <c r="DN7" s="12"/>
      <c r="DO7" s="11" t="s">
        <v>49</v>
      </c>
      <c r="DP7" s="11" t="s">
        <v>37</v>
      </c>
      <c r="DQ7" s="11" t="s">
        <v>50</v>
      </c>
      <c r="DR7" s="11" t="s">
        <v>51</v>
      </c>
      <c r="DS7" s="11" t="s">
        <v>52</v>
      </c>
      <c r="DT7" s="11"/>
      <c r="DU7" s="11"/>
      <c r="DV7" s="11"/>
      <c r="DW7" s="12"/>
      <c r="DX7" s="12"/>
      <c r="DY7" s="11"/>
      <c r="DZ7" s="11"/>
      <c r="EA7" s="11"/>
      <c r="EB7" s="11"/>
      <c r="EC7" s="11"/>
      <c r="ED7" s="11"/>
      <c r="EE7" s="11"/>
      <c r="EF7" s="12"/>
      <c r="EG7" s="12"/>
      <c r="EH7" s="12"/>
      <c r="EI7" s="12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2"/>
      <c r="FE7" s="11"/>
      <c r="FF7" s="12"/>
      <c r="FG7" s="12"/>
      <c r="FH7" s="12"/>
      <c r="FI7" s="11"/>
      <c r="FJ7" s="11"/>
      <c r="FK7" s="11"/>
      <c r="FL7" s="11"/>
      <c r="FM7" s="12"/>
      <c r="FN7" s="12"/>
      <c r="FO7" s="12"/>
      <c r="FP7" s="12"/>
      <c r="FQ7" s="12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SetAutoGroupingPreferences</vt:lpstr>
      <vt:lpstr>SetAutoGroupingAccount</vt:lpstr>
      <vt:lpstr>SetAutoGroupingAccount1</vt:lpstr>
      <vt:lpstr>SetGeneralPreferences</vt:lpstr>
      <vt:lpstr>CustomOrderTT</vt:lpstr>
      <vt:lpstr>AcknowledgeTrade</vt:lpstr>
      <vt:lpstr>ExecuteTrade</vt:lpstr>
      <vt:lpstr>AcknowledgeTrade1</vt:lpstr>
      <vt:lpstr>ExecuteTrade1</vt:lpstr>
      <vt:lpstr>AcknowledgeTrade2</vt:lpstr>
      <vt:lpstr>ExecuteTrade2</vt:lpstr>
      <vt:lpstr>SelectUnallocatedGroup</vt:lpstr>
      <vt:lpstr>EnterAccountValuesToAllocate</vt:lpstr>
      <vt:lpstr>SelectAllocatedGroup</vt:lpstr>
      <vt:lpstr>ReviewExistingPositions</vt:lpstr>
      <vt:lpstr>ReviewExistingPositions1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2025-08-25T13:56:00Z</dcterms:created>
  <dcterms:modified xsi:type="dcterms:W3CDTF">2025-08-25T14:13:20Z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3CF156B3ED1D46C79DF40B6147C75414_12</vt:lpwstr>
  </property>
  <property fmtid="{D5CDD505-2E9C-101B-9397-08002B2CF9AE}" pid="3" name="KSOProductBuildVer">
    <vt:lpwstr>1033-12.2.0.21931</vt:lpwstr>
  </property>
</Properties>
</file>