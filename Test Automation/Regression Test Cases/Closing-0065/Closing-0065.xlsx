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ManualClosing" sheetId="6" r:id="rId8"/>
    <sheet state="visible" name="SelectAllocatedGroup" sheetId="7" r:id="rId9"/>
    <sheet state="visible" name="EditAllocatedGroupSidePanel" sheetId="8" r:id="rId10"/>
    <sheet state="visible" name="CheckAllocatedGroups" sheetId="9" r:id="rId11"/>
    <sheet state="visible" name="VerifyClosedTrades" sheetId="10" r:id="rId12"/>
  </sheets>
  <definedNames/>
  <calcPr/>
</workbook>
</file>

<file path=xl/sharedStrings.xml><?xml version="1.0" encoding="utf-8"?>
<sst xmlns="http://schemas.openxmlformats.org/spreadsheetml/2006/main" count="93" uniqueCount="37">
  <si>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</si>
  <si>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</si>
  <si>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</si>
  <si>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</si>
  <si>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</si>
  <si>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</si>
  <si>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</si>
  <si>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</si>
  <si>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</si>
  <si>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</si>
  <si>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</si>
  <si>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</si>
  <si>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</si>
  <si>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</si>
  <si>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</si>
  <si>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</si>
  <si>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</si>
  <si>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</si>
  <si>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</si>
  <si>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</si>
  <si>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</si>
  <si>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</si>
  <si>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Current</t>
  </si>
  <si>
    <t>ManualClosing</t>
  </si>
  <si>
    <t>Equity</t>
  </si>
  <si>
    <t>Allocation</t>
  </si>
  <si>
    <t>SelectAllocatedGroup</t>
  </si>
  <si>
    <t>EditAllocatedGroupSidePanel</t>
  </si>
  <si>
    <t>CheckAllocatedGroups</t>
  </si>
  <si>
    <t>VerifyClosedTrades</t>
  </si>
  <si>
    <t>Long</t>
  </si>
  <si>
    <t>NASDAQ</t>
  </si>
  <si>
    <t>MANUAL</t>
  </si>
  <si>
    <t>US</t>
  </si>
  <si>
    <t>USD</t>
  </si>
  <si>
    <t>Short</t>
  </si>
  <si>
    <t>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</si>
</sst>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800.0</v>
      </c>
      <c r="E6" s="8"/>
      <c r="F6" s="11" t="s">
        <v>18</v>
      </c>
      <c r="G6" s="8"/>
      <c r="H6" s="8"/>
      <c r="I6" s="8"/>
      <c r="J6" s="11">
        <v>66.0</v>
      </c>
      <c r="K6" s="8"/>
      <c r="L6" s="8"/>
      <c r="M6" s="8"/>
      <c r="N6" s="30">
        <f>today()</f>
        <v>45205</v>
      </c>
      <c r="O6" s="8"/>
    </row>
    <row r="7" ht="15.75" customHeight="1">
      <c r="A7" s="8"/>
      <c r="B7" s="11" t="s">
        <v>16</v>
      </c>
      <c r="C7" s="11" t="s">
        <v>19</v>
      </c>
      <c r="D7" s="11">
        <v>600.0</v>
      </c>
      <c r="E7" s="8"/>
      <c r="F7" s="11" t="s">
        <v>18</v>
      </c>
      <c r="G7" s="8"/>
      <c r="H7" s="8"/>
      <c r="I7" s="8"/>
      <c r="J7" s="11">
        <v>77.0</v>
      </c>
      <c r="K7" s="8"/>
      <c r="L7" s="8"/>
      <c r="M7" s="8"/>
      <c r="N7" s="30">
        <f>Today()</f>
        <v>45205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0</v>
      </c>
      <c r="C6" s="32" t="b">
        <v>1</v>
      </c>
      <c r="D6" s="33" t="s">
        <v>18</v>
      </c>
      <c r="E6" s="33" t="s">
        <v>24</v>
      </c>
      <c r="F6" s="33"/>
      <c r="G6" s="33"/>
      <c r="H6" s="33"/>
      <c r="I6" s="34"/>
      <c r="J6" s="33"/>
      <c r="K6" s="33"/>
      <c r="L6" s="33"/>
      <c r="M6" s="33"/>
      <c r="N6" s="33"/>
      <c r="O6" s="35">
        <v>800.0</v>
      </c>
      <c r="P6" s="33"/>
      <c r="Q6" s="33"/>
      <c r="R6" s="33"/>
      <c r="S6" s="33"/>
      <c r="T6" s="31"/>
      <c r="U6" s="31"/>
      <c r="V6" s="31" t="s">
        <v>17</v>
      </c>
      <c r="W6" s="31"/>
      <c r="X6" s="36" t="s">
        <v>16</v>
      </c>
      <c r="Y6" s="31"/>
      <c r="Z6" s="31"/>
      <c r="AA6" s="31"/>
      <c r="AB6" s="31"/>
      <c r="AC6" s="31"/>
      <c r="AD6" s="31"/>
      <c r="AE6" s="31" t="s">
        <v>18</v>
      </c>
      <c r="AF6" s="31" t="s">
        <v>24</v>
      </c>
      <c r="AG6" s="31"/>
      <c r="AH6" s="31"/>
      <c r="AI6" s="31"/>
      <c r="AJ6" s="31"/>
      <c r="AK6" s="31"/>
      <c r="AL6" s="31"/>
      <c r="AM6" s="31"/>
      <c r="AN6" s="31"/>
      <c r="AO6" s="31"/>
      <c r="AP6" s="37">
        <v>600.0</v>
      </c>
      <c r="AQ6" s="31"/>
      <c r="AR6" s="31"/>
      <c r="AS6" s="31"/>
      <c r="AT6" s="31"/>
      <c r="AU6" s="31"/>
      <c r="AV6" s="31"/>
      <c r="AW6" s="31" t="s">
        <v>19</v>
      </c>
      <c r="AX6" s="31"/>
      <c r="AY6" s="36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>
        <v>800.0</v>
      </c>
      <c r="D6" s="8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1">
        <v>60.0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T6" s="9">
        <v>60.0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  <col customWidth="1" min="31" max="31" width="16.63"/>
    <col customWidth="1" min="3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8"/>
      <c r="F6" s="11" t="s">
        <v>30</v>
      </c>
      <c r="G6" s="11" t="s">
        <v>24</v>
      </c>
      <c r="H6" s="11" t="s">
        <v>16</v>
      </c>
      <c r="I6" s="11">
        <v>600.0</v>
      </c>
      <c r="J6" s="11">
        <v>66.0</v>
      </c>
      <c r="K6" s="11">
        <v>77.0</v>
      </c>
      <c r="L6" s="11">
        <v>14.0259</v>
      </c>
      <c r="M6" s="11"/>
      <c r="N6" s="11" t="s">
        <v>31</v>
      </c>
      <c r="O6" s="11" t="s">
        <v>30</v>
      </c>
      <c r="P6" s="9">
        <v>10.5222</v>
      </c>
      <c r="Q6" s="9" t="s">
        <v>19</v>
      </c>
      <c r="R6" s="9" t="s">
        <v>32</v>
      </c>
      <c r="X6" s="9" t="s">
        <v>33</v>
      </c>
      <c r="Z6" s="9" t="s">
        <v>34</v>
      </c>
      <c r="AB6" s="9">
        <v>0.0</v>
      </c>
      <c r="AC6" s="9">
        <v>1.0</v>
      </c>
      <c r="AE6" s="9" t="s">
        <v>35</v>
      </c>
      <c r="AF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