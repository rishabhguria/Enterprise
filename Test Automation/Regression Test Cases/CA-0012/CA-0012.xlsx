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1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LongPositionsGrid" sheetId="32" r:id="rId34"/>
    <sheet state="visible" name="GetDataAllocation" sheetId="33" r:id="rId35"/>
    <sheet state="visible" name="CheckAllocatedGroups" sheetId="34" r:id="rId36"/>
  </sheets>
  <definedNames/>
  <calcPr/>
</workbook>
</file>

<file path=xl/sharedStrings.xml><?xml version="1.0" encoding="utf-8"?>
<sst xmlns="http://schemas.openxmlformats.org/spreadsheetml/2006/main" count="546" uniqueCount="68">
  <si>
    <t>Settings</t>
  </si>
  <si>
    <t>Master Data Info</t>
  </si>
  <si>
    <t>Modules Info</t>
  </si>
  <si>
    <t>Module</t>
  </si>
  <si>
    <t>Modules</t>
  </si>
  <si>
    <t>Step</t>
  </si>
  <si>
    <t>Master Data Sheet</t>
  </si>
  <si>
    <t>Module Step Setting File</t>
  </si>
  <si>
    <t>1BICZ_GcMhh_S937ZinFvSYqvvKYtOYB2Bc4woEPpgPg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</si>
  <si>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</si>
  <si>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</si>
  <si>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</si>
  <si>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</si>
  <si>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</si>
  <si>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</si>
  <si>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</si>
  <si>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</t>
  </si>
  <si>
    <t>TradingTicket</t>
  </si>
  <si>
    <t>CreateDoneAwayOrder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</si>
  <si>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</si>
  <si>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</si>
  <si>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</si>
  <si>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</si>
  <si>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</si>
  <si>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</si>
  <si>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</si>
  <si>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</si>
  <si>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</si>
  <si>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AddNonTradingTransaction</t>
  </si>
  <si>
    <t>USD</t>
  </si>
  <si>
    <t>Cash [Cash]</t>
  </si>
  <si>
    <t>M</t>
  </si>
  <si>
    <t>Cash Deposit [Equity]</t>
  </si>
  <si>
    <t>GetRevaluationData</t>
  </si>
  <si>
    <t>VerifyRevaluationData</t>
  </si>
  <si>
    <t>VerifyTradingTransaction</t>
  </si>
  <si>
    <t>Equity UnRealized Profit And Loss [Income]</t>
  </si>
  <si>
    <t>Equity Long Revaluation [Asset]</t>
  </si>
  <si>
    <t>DR</t>
  </si>
  <si>
    <t>Trading</t>
  </si>
  <si>
    <t>Investment - Long Equity [Asset]</t>
  </si>
  <si>
    <t>CR</t>
  </si>
  <si>
    <t>GetActivityData</t>
  </si>
  <si>
    <t>VerifyActivity</t>
  </si>
  <si>
    <t>CorporateAction</t>
  </si>
  <si>
    <t>OpenSpinOff</t>
  </si>
  <si>
    <t>SpinOff</t>
  </si>
  <si>
    <t>MSFT</t>
  </si>
  <si>
    <t>VerifyAndApplyCorpAction</t>
  </si>
  <si>
    <t>Sell</t>
  </si>
  <si>
    <t>Revaluation</t>
  </si>
  <si>
    <t>EquityLongUnRealizedPNL</t>
  </si>
  <si>
    <t>Cash</t>
  </si>
  <si>
    <t>NonTrading</t>
  </si>
  <si>
    <t>unknown5</t>
  </si>
  <si>
    <t>EquityL</t>
  </si>
  <si>
    <t>UnRealized PNL Entry</t>
  </si>
  <si>
    <t>Contra UnRealized PNL Entry</t>
  </si>
  <si>
    <t>Closing</t>
  </si>
  <si>
    <t>GetDataClosing</t>
  </si>
  <si>
    <t>VerifyLongPositionsGrid</t>
  </si>
  <si>
    <t>Historical</t>
  </si>
  <si>
    <t>Allocation</t>
  </si>
  <si>
    <t>GetDataAllocation</t>
  </si>
  <si>
    <t>Equity</t>
  </si>
  <si>
    <t>LongAddition</t>
  </si>
  <si>
    <t>US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</si>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</sst>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22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Arial"/>
    </font>
    <font>
      <sz val="9.0"/>
      <color rgb="FF000000"/>
      <name val="Arial"/>
    </font>
    <font>
      <sz val="9.0"/>
      <color rgb="FFE7E8E9"/>
      <name val="Segoe UI"/>
    </font>
    <font>
      <sz val="9.0"/>
      <color rgb="FF868686"/>
      <name val="Segoe UI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  <font>
      <sz val="11.0"/>
      <color rgb="FF000000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8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8" numFmtId="0" xfId="0" applyAlignment="1" applyBorder="1" applyFont="1">
      <alignment horizontal="right" vertical="bottom"/>
    </xf>
    <xf borderId="5" fillId="0" fontId="8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8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0" fillId="0" fontId="8" numFmtId="164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borderId="0" fillId="0" fontId="8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8" fillId="6" fontId="13" numFmtId="164" xfId="0" applyAlignment="1" applyBorder="1" applyFill="1" applyFont="1" applyNumberForma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9" fillId="6" fontId="13" numFmtId="164" xfId="0" applyAlignment="1" applyBorder="1" applyFont="1" applyNumberFormat="1">
      <alignment vertical="bottom"/>
    </xf>
    <xf borderId="9" fillId="6" fontId="13" numFmtId="0" xfId="0" applyAlignment="1" applyBorder="1" applyFont="1">
      <alignment vertical="bottom"/>
    </xf>
    <xf borderId="8" fillId="6" fontId="15" numFmtId="164" xfId="0" applyAlignment="1" applyBorder="1" applyFont="1" applyNumberFormat="1">
      <alignment vertical="bottom"/>
    </xf>
    <xf borderId="8" fillId="6" fontId="3" numFmtId="165" xfId="0" applyAlignment="1" applyBorder="1" applyFont="1" applyNumberFormat="1">
      <alignment vertical="bottom"/>
    </xf>
    <xf borderId="8" fillId="6" fontId="15" numFmtId="0" xfId="0" applyAlignment="1" applyBorder="1" applyFont="1">
      <alignment horizontal="right" vertical="bottom"/>
    </xf>
    <xf borderId="9" fillId="7" fontId="13" numFmtId="0" xfId="0" applyAlignment="1" applyBorder="1" applyFill="1" applyFont="1">
      <alignment vertical="bottom"/>
    </xf>
    <xf borderId="8" fillId="6" fontId="16" numFmtId="0" xfId="0" applyAlignment="1" applyBorder="1" applyFont="1">
      <alignment horizontal="right" vertical="bottom"/>
    </xf>
    <xf borderId="9" fillId="7" fontId="17" numFmtId="0" xfId="0" applyAlignment="1" applyBorder="1" applyFont="1">
      <alignment horizontal="right" vertical="bottom"/>
    </xf>
    <xf borderId="9" fillId="7" fontId="13" numFmtId="0" xfId="0" applyAlignment="1" applyBorder="1" applyFont="1">
      <alignment horizontal="right" vertical="bottom"/>
    </xf>
    <xf borderId="9" fillId="6" fontId="15" numFmtId="164" xfId="0" applyAlignment="1" applyBorder="1" applyFont="1" applyNumberFormat="1">
      <alignment vertical="bottom"/>
    </xf>
    <xf borderId="9" fillId="6" fontId="13" numFmtId="0" xfId="0" applyAlignment="1" applyBorder="1" applyFont="1">
      <alignment horizontal="right" vertical="bottom"/>
    </xf>
    <xf borderId="9" fillId="6" fontId="14" numFmtId="0" xfId="0" applyAlignment="1" applyBorder="1" applyFont="1">
      <alignment horizontal="right" vertical="bottom"/>
    </xf>
    <xf borderId="9" fillId="7" fontId="3" numFmtId="165" xfId="0" applyAlignment="1" applyBorder="1" applyFont="1" applyNumberFormat="1">
      <alignment vertical="bottom"/>
    </xf>
    <xf borderId="9" fillId="7" fontId="15" numFmtId="0" xfId="0" applyAlignment="1" applyBorder="1" applyFont="1">
      <alignment horizontal="right" vertical="bottom"/>
    </xf>
    <xf borderId="9" fillId="7" fontId="18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horizontal="right" vertical="bottom"/>
    </xf>
    <xf borderId="11" fillId="6" fontId="3" numFmtId="165" xfId="0" applyAlignment="1" applyBorder="1" applyFont="1" applyNumberFormat="1">
      <alignment vertical="bottom"/>
    </xf>
    <xf borderId="11" fillId="6" fontId="3" numFmtId="0" xfId="0" applyAlignment="1" applyBorder="1" applyFont="1">
      <alignment vertical="bottom"/>
    </xf>
    <xf borderId="11" fillId="6" fontId="3" numFmtId="166" xfId="0" applyAlignment="1" applyBorder="1" applyFont="1" applyNumberFormat="1">
      <alignment vertical="bottom"/>
    </xf>
    <xf borderId="11" fillId="6" fontId="15" numFmtId="164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2" fillId="8" fontId="13" numFmtId="0" xfId="0" applyAlignment="1" applyBorder="1" applyFill="1" applyFont="1">
      <alignment vertical="bottom"/>
    </xf>
    <xf borderId="12" fillId="8" fontId="13" numFmtId="0" xfId="0" applyAlignment="1" applyBorder="1" applyFont="1">
      <alignment horizontal="right" vertical="bottom"/>
    </xf>
    <xf borderId="12" fillId="8" fontId="3" numFmtId="0" xfId="0" applyAlignment="1" applyBorder="1" applyFont="1">
      <alignment vertical="bottom"/>
    </xf>
    <xf borderId="12" fillId="8" fontId="3" numFmtId="165" xfId="0" applyAlignment="1" applyBorder="1" applyFont="1" applyNumberFormat="1">
      <alignment vertical="bottom"/>
    </xf>
    <xf borderId="12" fillId="8" fontId="3" numFmtId="167" xfId="0" applyAlignment="1" applyBorder="1" applyFont="1" applyNumberFormat="1">
      <alignment vertical="bottom"/>
    </xf>
    <xf borderId="12" fillId="8" fontId="13" numFmtId="164" xfId="0" applyAlignment="1" applyBorder="1" applyFont="1" applyNumberFormat="1">
      <alignment vertical="bottom"/>
    </xf>
    <xf borderId="12" fillId="6" fontId="13" numFmtId="0" xfId="0" applyAlignment="1" applyBorder="1" applyFont="1">
      <alignment vertical="bottom"/>
    </xf>
    <xf borderId="12" fillId="6" fontId="15" numFmtId="0" xfId="0" applyAlignment="1" applyBorder="1" applyFont="1">
      <alignment horizontal="right" vertical="bottom"/>
    </xf>
    <xf borderId="12" fillId="6" fontId="13" numFmtId="0" xfId="0" applyAlignment="1" applyBorder="1" applyFont="1">
      <alignment horizontal="right" vertical="bottom"/>
    </xf>
    <xf borderId="12" fillId="6" fontId="3" numFmtId="165" xfId="0" applyAlignment="1" applyBorder="1" applyFont="1" applyNumberFormat="1">
      <alignment vertical="bottom"/>
    </xf>
    <xf borderId="12" fillId="6" fontId="3" numFmtId="0" xfId="0" applyAlignment="1" applyBorder="1" applyFont="1">
      <alignment vertical="bottom"/>
    </xf>
    <xf borderId="12" fillId="6" fontId="15" numFmtId="164" xfId="0" applyAlignment="1" applyBorder="1" applyFont="1" applyNumberFormat="1">
      <alignment vertical="bottom"/>
    </xf>
    <xf borderId="12" fillId="8" fontId="3" numFmtId="166" xfId="0" applyAlignment="1" applyBorder="1" applyFont="1" applyNumberFormat="1">
      <alignment vertical="bottom"/>
    </xf>
    <xf borderId="12" fillId="6" fontId="3" numFmtId="166" xfId="0" applyAlignment="1" applyBorder="1" applyFont="1" applyNumberFormat="1">
      <alignment vertical="bottom"/>
    </xf>
    <xf borderId="12" fillId="6" fontId="13" numFmtId="164" xfId="0" applyAlignment="1" applyBorder="1" applyFont="1" applyNumberFormat="1">
      <alignment vertical="bottom"/>
    </xf>
    <xf borderId="8" fillId="6" fontId="15" numFmtId="0" xfId="0" applyAlignment="1" applyBorder="1" applyFont="1">
      <alignment horizontal="right" readingOrder="0" vertical="bottom"/>
    </xf>
    <xf borderId="9" fillId="7" fontId="15" numFmtId="0" xfId="0" applyAlignment="1" applyBorder="1" applyFont="1">
      <alignment horizontal="right" readingOrder="0" vertical="bottom"/>
    </xf>
    <xf borderId="9" fillId="6" fontId="16" numFmtId="0" xfId="0" applyAlignment="1" applyBorder="1" applyFont="1">
      <alignment horizontal="right" vertical="bottom"/>
    </xf>
    <xf borderId="9" fillId="6" fontId="3" numFmtId="165" xfId="0" applyAlignment="1" applyBorder="1" applyFont="1" applyNumberFormat="1">
      <alignment vertical="bottom"/>
    </xf>
    <xf borderId="9" fillId="6" fontId="15" numFmtId="0" xfId="0" applyAlignment="1" applyBorder="1" applyFont="1">
      <alignment horizontal="right" readingOrder="0" vertical="bottom"/>
    </xf>
    <xf borderId="8" fillId="6" fontId="3" numFmtId="167" xfId="0" applyAlignment="1" applyBorder="1" applyFont="1" applyNumberFormat="1">
      <alignment vertical="bottom"/>
    </xf>
    <xf borderId="9" fillId="7" fontId="3" numFmtId="167" xfId="0" applyAlignment="1" applyBorder="1" applyFont="1" applyNumberFormat="1">
      <alignment vertical="bottom"/>
    </xf>
    <xf borderId="9" fillId="6" fontId="3" numFmtId="167" xfId="0" applyAlignment="1" applyBorder="1" applyFont="1" applyNumberFormat="1">
      <alignment vertical="bottom"/>
    </xf>
    <xf borderId="9" fillId="6" fontId="15" numFmtId="0" xfId="0" applyAlignment="1" applyBorder="1" applyFont="1">
      <alignment horizontal="right" vertical="bottom"/>
    </xf>
    <xf borderId="11" fillId="9" fontId="15" numFmtId="2" xfId="0" applyAlignment="1" applyBorder="1" applyFill="1" applyFont="1" applyNumberFormat="1">
      <alignment horizontal="right" readingOrder="0" vertical="bottom"/>
    </xf>
    <xf borderId="11" fillId="6" fontId="13" numFmtId="164" xfId="0" applyAlignment="1" applyBorder="1" applyFont="1" applyNumberFormat="1">
      <alignment vertical="bottom"/>
    </xf>
    <xf borderId="11" fillId="6" fontId="19" numFmtId="0" xfId="0" applyAlignment="1" applyBorder="1" applyFont="1">
      <alignment vertical="bottom"/>
    </xf>
    <xf borderId="12" fillId="9" fontId="13" numFmtId="2" xfId="0" applyAlignment="1" applyBorder="1" applyFont="1" applyNumberFormat="1">
      <alignment horizontal="right" vertical="bottom"/>
    </xf>
    <xf borderId="12" fillId="8" fontId="19" numFmtId="0" xfId="0" applyAlignment="1" applyBorder="1" applyFont="1">
      <alignment vertical="bottom"/>
    </xf>
    <xf borderId="12" fillId="9" fontId="15" numFmtId="2" xfId="0" applyAlignment="1" applyBorder="1" applyFont="1" applyNumberFormat="1">
      <alignment horizontal="right" readingOrder="0" vertical="bottom"/>
    </xf>
    <xf borderId="12" fillId="6" fontId="19" numFmtId="0" xfId="0" applyAlignment="1" applyBorder="1" applyFont="1">
      <alignment vertical="bottom"/>
    </xf>
    <xf borderId="12" fillId="9" fontId="15" numFmtId="2" xfId="0" applyAlignment="1" applyBorder="1" applyFont="1" applyNumberFormat="1">
      <alignment horizontal="right" vertical="bottom"/>
    </xf>
    <xf borderId="12" fillId="6" fontId="3" numFmtId="167" xfId="0" applyAlignment="1" applyBorder="1" applyFont="1" applyNumberFormat="1">
      <alignment vertical="bottom"/>
    </xf>
    <xf borderId="5" fillId="0" fontId="20" numFmtId="0" xfId="0" applyAlignment="1" applyBorder="1" applyFont="1">
      <alignment vertical="bottom"/>
    </xf>
    <xf borderId="5" fillId="0" fontId="20" numFmtId="0" xfId="0" applyAlignment="1" applyBorder="1" applyFont="1">
      <alignment vertical="bottom"/>
    </xf>
    <xf borderId="5" fillId="0" fontId="20" numFmtId="0" xfId="0" applyAlignment="1" applyBorder="1" applyFont="1">
      <alignment horizontal="right" vertical="bottom"/>
    </xf>
    <xf borderId="5" fillId="0" fontId="20" numFmtId="164" xfId="0" applyAlignment="1" applyBorder="1" applyFont="1" applyNumberFormat="1">
      <alignment horizontal="right" vertical="bottom"/>
    </xf>
    <xf borderId="0" fillId="0" fontId="20" numFmtId="164" xfId="0" applyAlignment="1" applyFont="1" applyNumberFormat="1">
      <alignment horizontal="right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horizontal="right" vertical="bottom"/>
    </xf>
    <xf borderId="0" fillId="9" fontId="21" numFmtId="0" xfId="0" applyAlignment="1" applyFont="1">
      <alignment horizontal="right" vertical="bottom"/>
    </xf>
    <xf borderId="0" fillId="0" fontId="20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4</v>
      </c>
      <c r="B3" s="8"/>
      <c r="C3" s="10"/>
      <c r="D3" s="10"/>
      <c r="E3" s="10"/>
      <c r="F3" s="10"/>
    </row>
    <row r="4" ht="15.75" customHeight="1">
      <c r="A4" s="14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4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3" t="s">
        <v>0</v>
      </c>
      <c r="B1" s="3"/>
      <c r="C1" s="4"/>
    </row>
    <row r="2" ht="15.75" customHeight="1">
      <c r="A2" s="14"/>
      <c r="B2" s="14"/>
      <c r="C2" s="14"/>
    </row>
    <row r="3" ht="15.75" customHeight="1">
      <c r="A3" s="7" t="s">
        <v>7</v>
      </c>
      <c r="B3" s="15" t="s">
        <v>8</v>
      </c>
      <c r="C3" s="14"/>
    </row>
    <row r="4" ht="15.75" customHeight="1">
      <c r="A4" s="6" t="s">
        <v>9</v>
      </c>
      <c r="B4" s="15" t="s">
        <v>10</v>
      </c>
      <c r="C4" s="14"/>
    </row>
    <row r="5" ht="15.75" customHeight="1">
      <c r="A5" s="16"/>
      <c r="B5" s="14"/>
      <c r="C5" s="14"/>
    </row>
    <row r="6" ht="15.75" customHeight="1">
      <c r="A6" s="16"/>
      <c r="B6" s="14"/>
      <c r="C6" s="14"/>
    </row>
    <row r="7" ht="15.75" customHeight="1">
      <c r="A7" s="16"/>
      <c r="B7" s="14"/>
      <c r="C7" s="14"/>
    </row>
    <row r="8" ht="15.75" customHeight="1">
      <c r="A8" s="16"/>
      <c r="B8" s="14"/>
      <c r="C8" s="14"/>
    </row>
    <row r="9" ht="15.75" customHeight="1">
      <c r="A9" s="16"/>
      <c r="B9" s="14"/>
      <c r="C9" s="14"/>
    </row>
    <row r="10" ht="15.75" customHeight="1">
      <c r="A10" s="16"/>
      <c r="B10" s="14"/>
      <c r="C10" s="14"/>
    </row>
    <row r="11" ht="15.75" customHeight="1">
      <c r="A11" s="16"/>
      <c r="B11" s="14"/>
      <c r="C11" s="14"/>
    </row>
    <row r="12" ht="15.75" customHeight="1">
      <c r="A12" s="16"/>
      <c r="B12" s="14"/>
      <c r="C12" s="14"/>
    </row>
    <row r="13" ht="15.75" customHeight="1">
      <c r="A13" s="16"/>
      <c r="B13" s="14"/>
      <c r="C13" s="14"/>
    </row>
    <row r="14" ht="15.75" customHeight="1">
      <c r="A14" s="16"/>
      <c r="B14" s="14"/>
      <c r="C14" s="14"/>
    </row>
    <row r="15" ht="15.75" customHeight="1">
      <c r="A15" s="16"/>
      <c r="B15" s="14"/>
      <c r="C15" s="14"/>
    </row>
    <row r="16" ht="15.75" customHeight="1">
      <c r="A16" s="16"/>
      <c r="B16" s="14"/>
      <c r="C16" s="14"/>
    </row>
    <row r="17" ht="15.75" customHeight="1">
      <c r="A17" s="16"/>
      <c r="B17" s="14"/>
      <c r="C17" s="14"/>
    </row>
    <row r="18" ht="15.75" customHeight="1">
      <c r="A18" s="16"/>
      <c r="B18" s="14"/>
      <c r="C18" s="14"/>
    </row>
    <row r="19" ht="15.75" customHeight="1">
      <c r="A19" s="16"/>
      <c r="B19" s="14"/>
      <c r="C19" s="14"/>
    </row>
    <row r="20" ht="15.75" customHeight="1">
      <c r="A20" s="16"/>
      <c r="B20" s="14"/>
      <c r="C20" s="14"/>
    </row>
    <row r="21" ht="15.75" customHeight="1">
      <c r="A21" s="16"/>
      <c r="B21" s="14"/>
      <c r="C21" s="14"/>
    </row>
    <row r="22" ht="15.75" customHeight="1">
      <c r="A22" s="16"/>
      <c r="B22" s="14"/>
      <c r="C22" s="1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1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6" t="s">
        <v>3</v>
      </c>
      <c r="B3" s="9" t="s">
        <v>5</v>
      </c>
      <c r="C3" s="9" t="s">
        <v>6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13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28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16</v>
      </c>
      <c r="D6" s="30"/>
      <c r="E6" s="31" t="s">
        <v>29</v>
      </c>
      <c r="F6" s="31" t="s">
        <v>30</v>
      </c>
      <c r="G6" s="31"/>
      <c r="H6" s="36">
        <v>500000.0</v>
      </c>
      <c r="I6" s="31"/>
      <c r="J6" s="36">
        <v>1.0</v>
      </c>
      <c r="K6" s="31" t="s">
        <v>31</v>
      </c>
      <c r="L6" s="31"/>
      <c r="M6" s="31"/>
      <c r="N6" s="31"/>
      <c r="O6" s="31"/>
      <c r="P6" s="31"/>
      <c r="Q6" s="31"/>
      <c r="R6" s="36">
        <v>500000.0</v>
      </c>
      <c r="S6" s="4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>
        <v>43871.0</v>
      </c>
      <c r="C7" s="33" t="s">
        <v>16</v>
      </c>
      <c r="D7" s="33"/>
      <c r="E7" s="33" t="s">
        <v>29</v>
      </c>
      <c r="F7" s="42" t="s">
        <v>32</v>
      </c>
      <c r="G7" s="33"/>
      <c r="H7" s="33"/>
      <c r="I7" s="43">
        <v>500000.0</v>
      </c>
      <c r="J7" s="43">
        <v>1.0</v>
      </c>
      <c r="K7" s="33" t="s">
        <v>31</v>
      </c>
      <c r="L7" s="33"/>
      <c r="M7" s="33"/>
      <c r="N7" s="33"/>
      <c r="O7" s="33"/>
      <c r="P7" s="33"/>
      <c r="Q7" s="33"/>
      <c r="R7" s="33"/>
      <c r="S7" s="43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1b5S4Xpp4fgZ1ez6cK92QFnVBylqz8jhwxdAyEvwDqUI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17</v>
      </c>
      <c r="D3" s="7" t="s">
        <v>5</v>
      </c>
      <c r="E3" s="21" t="s">
        <v>18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19</v>
      </c>
      <c r="C6" s="31" t="s">
        <v>20</v>
      </c>
      <c r="D6" s="35">
        <v>100.0</v>
      </c>
      <c r="E6" s="36">
        <v>100.0</v>
      </c>
      <c r="F6" s="31"/>
      <c r="G6" s="31" t="s">
        <v>21</v>
      </c>
      <c r="H6" s="31"/>
      <c r="I6" s="31"/>
      <c r="J6" s="36">
        <v>300.0</v>
      </c>
      <c r="K6" s="31"/>
      <c r="L6" s="31"/>
      <c r="M6" s="31"/>
      <c r="N6" s="32">
        <v>43871.0</v>
      </c>
      <c r="O6" s="31"/>
      <c r="P6" s="31"/>
      <c r="Q6" s="31"/>
      <c r="R6" s="31" t="s">
        <v>22</v>
      </c>
      <c r="S6" s="37">
        <v>2.5</v>
      </c>
      <c r="T6" s="33" t="s">
        <v>22</v>
      </c>
      <c r="U6" s="38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23</v>
      </c>
      <c r="D3" s="7" t="s">
        <v>5</v>
      </c>
      <c r="E3" s="21" t="s">
        <v>24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23</v>
      </c>
      <c r="D3" s="7" t="s">
        <v>5</v>
      </c>
      <c r="E3" s="21" t="s">
        <v>25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19</v>
      </c>
      <c r="C6" s="36">
        <v>300.0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26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27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9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23</v>
      </c>
      <c r="D3" s="7" t="s">
        <v>5</v>
      </c>
      <c r="E3" s="21" t="s">
        <v>24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23</v>
      </c>
      <c r="D3" s="7" t="s">
        <v>5</v>
      </c>
      <c r="E3" s="21" t="s">
        <v>25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19</v>
      </c>
      <c r="C6" s="36">
        <v>305.0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26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27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9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33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34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4"/>
      <c r="B6" s="45">
        <v>43871.0</v>
      </c>
      <c r="C6" s="46" t="s">
        <v>16</v>
      </c>
      <c r="D6" s="47" t="s">
        <v>19</v>
      </c>
      <c r="E6" s="46" t="s">
        <v>29</v>
      </c>
      <c r="F6" s="46" t="s">
        <v>36</v>
      </c>
      <c r="G6" s="48">
        <v>24.02</v>
      </c>
      <c r="H6" s="49">
        <v>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0"/>
      <c r="B7" s="51">
        <v>43871.0</v>
      </c>
      <c r="C7" s="52" t="s">
        <v>16</v>
      </c>
      <c r="D7" s="52" t="s">
        <v>19</v>
      </c>
      <c r="E7" s="52" t="s">
        <v>29</v>
      </c>
      <c r="F7" s="56" t="s">
        <v>37</v>
      </c>
      <c r="G7" s="58">
        <v>0.0</v>
      </c>
      <c r="H7" s="59">
        <v>24.02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0"/>
      <c r="B8" s="51">
        <v>43872.0</v>
      </c>
      <c r="C8" s="52" t="s">
        <v>16</v>
      </c>
      <c r="D8" s="52" t="s">
        <v>19</v>
      </c>
      <c r="E8" s="52" t="s">
        <v>29</v>
      </c>
      <c r="F8" s="52" t="s">
        <v>37</v>
      </c>
      <c r="G8" s="61">
        <v>475.98</v>
      </c>
      <c r="H8" s="62">
        <v>0.0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0"/>
      <c r="B9" s="51">
        <v>43872.0</v>
      </c>
      <c r="C9" s="52" t="s">
        <v>16</v>
      </c>
      <c r="D9" s="52" t="s">
        <v>19</v>
      </c>
      <c r="E9" s="52" t="s">
        <v>29</v>
      </c>
      <c r="F9" s="56" t="s">
        <v>36</v>
      </c>
      <c r="G9" s="58">
        <v>0.0</v>
      </c>
      <c r="H9" s="59">
        <v>475.98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0"/>
      <c r="B10" s="51">
        <v>43872.0</v>
      </c>
      <c r="C10" s="52" t="s">
        <v>16</v>
      </c>
      <c r="D10" s="52" t="s">
        <v>19</v>
      </c>
      <c r="E10" s="52" t="s">
        <v>29</v>
      </c>
      <c r="F10" s="52" t="s">
        <v>37</v>
      </c>
      <c r="G10" s="61">
        <v>24.02</v>
      </c>
      <c r="H10" s="62">
        <v>0.0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0"/>
      <c r="B11" s="51">
        <v>43872.0</v>
      </c>
      <c r="C11" s="52" t="s">
        <v>16</v>
      </c>
      <c r="D11" s="52" t="s">
        <v>19</v>
      </c>
      <c r="E11" s="52" t="s">
        <v>29</v>
      </c>
      <c r="F11" s="56" t="s">
        <v>36</v>
      </c>
      <c r="G11" s="65">
        <v>0.0</v>
      </c>
      <c r="H11" s="59">
        <v>24.02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35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4"/>
      <c r="B6" s="53">
        <v>43871.0</v>
      </c>
      <c r="C6" s="54"/>
      <c r="D6" s="54"/>
      <c r="E6" s="55">
        <v>30024.02</v>
      </c>
      <c r="F6" s="57">
        <v>0.0</v>
      </c>
      <c r="G6" s="48">
        <v>1.0</v>
      </c>
      <c r="H6" s="46" t="s">
        <v>31</v>
      </c>
      <c r="I6" s="46" t="s">
        <v>38</v>
      </c>
      <c r="J6" s="46" t="s">
        <v>39</v>
      </c>
      <c r="K6" s="46" t="s">
        <v>29</v>
      </c>
      <c r="L6" s="46" t="s">
        <v>29</v>
      </c>
      <c r="M6" s="46" t="s">
        <v>19</v>
      </c>
      <c r="N6" s="46"/>
      <c r="O6" s="55">
        <v>30024.02</v>
      </c>
      <c r="P6" s="48">
        <v>0.0</v>
      </c>
      <c r="Q6" s="46" t="s">
        <v>40</v>
      </c>
      <c r="R6" s="46" t="s">
        <v>16</v>
      </c>
      <c r="S6" s="4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0"/>
      <c r="B7" s="60">
        <v>43871.0</v>
      </c>
      <c r="C7" s="63"/>
      <c r="D7" s="63"/>
      <c r="E7" s="58">
        <v>0.0</v>
      </c>
      <c r="F7" s="64">
        <v>30024.02</v>
      </c>
      <c r="G7" s="59">
        <v>1.0</v>
      </c>
      <c r="H7" s="56" t="s">
        <v>31</v>
      </c>
      <c r="I7" s="56" t="s">
        <v>41</v>
      </c>
      <c r="J7" s="56" t="s">
        <v>39</v>
      </c>
      <c r="K7" s="52" t="s">
        <v>29</v>
      </c>
      <c r="L7" s="56" t="s">
        <v>29</v>
      </c>
      <c r="M7" s="52" t="s">
        <v>19</v>
      </c>
      <c r="N7" s="52"/>
      <c r="O7" s="59">
        <v>0.0</v>
      </c>
      <c r="P7" s="64">
        <v>30024.02</v>
      </c>
      <c r="Q7" s="56" t="s">
        <v>30</v>
      </c>
      <c r="R7" s="52" t="s">
        <v>16</v>
      </c>
      <c r="S7" s="56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42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43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8"/>
      <c r="B6" s="69" t="s">
        <v>16</v>
      </c>
      <c r="C6" s="70" t="s">
        <v>50</v>
      </c>
      <c r="D6" s="69" t="s">
        <v>51</v>
      </c>
      <c r="E6" s="71">
        <v>-24.02</v>
      </c>
      <c r="F6" s="71">
        <v>0.0</v>
      </c>
      <c r="G6" s="71">
        <v>0.0</v>
      </c>
      <c r="H6" s="70" t="s">
        <v>52</v>
      </c>
      <c r="I6" s="71">
        <v>0.0</v>
      </c>
      <c r="J6" s="71">
        <v>0.0</v>
      </c>
      <c r="K6" s="70" t="s">
        <v>29</v>
      </c>
      <c r="L6" s="70"/>
      <c r="M6" s="72"/>
      <c r="N6" s="70"/>
      <c r="O6" s="71">
        <v>1.0</v>
      </c>
      <c r="P6" s="73"/>
      <c r="Q6" s="72"/>
      <c r="R6" s="71">
        <v>0.0</v>
      </c>
      <c r="S6" s="71"/>
      <c r="T6" s="71">
        <v>0.0</v>
      </c>
      <c r="U6" s="71">
        <v>0.0</v>
      </c>
      <c r="V6" s="71">
        <v>0.0</v>
      </c>
      <c r="W6" s="71">
        <v>0.0</v>
      </c>
      <c r="X6" s="73"/>
      <c r="Y6" s="74"/>
      <c r="Z6" s="71">
        <v>0.0</v>
      </c>
      <c r="AA6" s="71"/>
      <c r="AB6" s="70" t="s">
        <v>19</v>
      </c>
      <c r="AC6" s="71">
        <v>0.0</v>
      </c>
      <c r="AD6" s="71">
        <v>0.0</v>
      </c>
      <c r="AE6" s="75">
        <v>43871.0</v>
      </c>
      <c r="AF6" s="71">
        <v>0.0</v>
      </c>
      <c r="AG6" s="73"/>
      <c r="AH6" s="70"/>
      <c r="AI6" s="7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6"/>
      <c r="B7" s="77" t="s">
        <v>16</v>
      </c>
      <c r="C7" s="77" t="s">
        <v>53</v>
      </c>
      <c r="D7" s="77" t="s">
        <v>54</v>
      </c>
      <c r="E7" s="78">
        <v>500000.0</v>
      </c>
      <c r="F7" s="78">
        <v>0.0</v>
      </c>
      <c r="G7" s="78">
        <v>0.0</v>
      </c>
      <c r="H7" s="77" t="s">
        <v>52</v>
      </c>
      <c r="I7" s="78">
        <v>0.0</v>
      </c>
      <c r="J7" s="78">
        <v>0.0</v>
      </c>
      <c r="K7" s="77" t="s">
        <v>29</v>
      </c>
      <c r="L7" s="79"/>
      <c r="M7" s="80"/>
      <c r="N7" s="77"/>
      <c r="O7" s="78">
        <v>1.0</v>
      </c>
      <c r="P7" s="79"/>
      <c r="Q7" s="80"/>
      <c r="R7" s="78">
        <v>0.0</v>
      </c>
      <c r="S7" s="78"/>
      <c r="T7" s="78">
        <v>0.0</v>
      </c>
      <c r="U7" s="78">
        <v>0.0</v>
      </c>
      <c r="V7" s="78">
        <v>0.0</v>
      </c>
      <c r="W7" s="78">
        <v>0.0</v>
      </c>
      <c r="X7" s="79"/>
      <c r="Y7" s="81"/>
      <c r="Z7" s="78">
        <v>0.0</v>
      </c>
      <c r="AA7" s="78"/>
      <c r="AB7" s="79"/>
      <c r="AC7" s="78">
        <v>0.0</v>
      </c>
      <c r="AD7" s="78">
        <v>0.0</v>
      </c>
      <c r="AE7" s="82">
        <v>43871.0</v>
      </c>
      <c r="AF7" s="78">
        <v>0.0</v>
      </c>
      <c r="AG7" s="79"/>
      <c r="AH7" s="77"/>
      <c r="AI7" s="79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6"/>
      <c r="B8" s="83" t="s">
        <v>16</v>
      </c>
      <c r="C8" s="83" t="s">
        <v>39</v>
      </c>
      <c r="D8" s="83" t="s">
        <v>55</v>
      </c>
      <c r="E8" s="84">
        <v>-30024.02</v>
      </c>
      <c r="F8" s="85">
        <v>4.0</v>
      </c>
      <c r="G8" s="85">
        <v>5.0</v>
      </c>
      <c r="H8" s="83" t="s">
        <v>52</v>
      </c>
      <c r="I8" s="85">
        <v>0.0</v>
      </c>
      <c r="J8" s="85">
        <v>2.5</v>
      </c>
      <c r="K8" s="83" t="s">
        <v>29</v>
      </c>
      <c r="L8" s="83"/>
      <c r="M8" s="86"/>
      <c r="N8" s="83"/>
      <c r="O8" s="85">
        <v>1.0</v>
      </c>
      <c r="P8" s="87"/>
      <c r="Q8" s="86"/>
      <c r="R8" s="85">
        <v>0.0</v>
      </c>
      <c r="S8" s="85"/>
      <c r="T8" s="85">
        <v>0.0</v>
      </c>
      <c r="U8" s="85">
        <v>0.0</v>
      </c>
      <c r="V8" s="85">
        <v>100.0</v>
      </c>
      <c r="W8" s="85">
        <v>0.0</v>
      </c>
      <c r="X8" s="87"/>
      <c r="Y8" s="86"/>
      <c r="Z8" s="85">
        <v>7.5</v>
      </c>
      <c r="AA8" s="85"/>
      <c r="AB8" s="83" t="s">
        <v>19</v>
      </c>
      <c r="AC8" s="85">
        <v>3.0</v>
      </c>
      <c r="AD8" s="85">
        <v>24.0168</v>
      </c>
      <c r="AE8" s="88">
        <v>43871.0</v>
      </c>
      <c r="AF8" s="85">
        <v>2.0</v>
      </c>
      <c r="AG8" s="87"/>
      <c r="AH8" s="87"/>
      <c r="AI8" s="87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6"/>
      <c r="B9" s="77" t="s">
        <v>16</v>
      </c>
      <c r="C9" s="77" t="s">
        <v>50</v>
      </c>
      <c r="D9" s="77" t="s">
        <v>51</v>
      </c>
      <c r="E9" s="78">
        <v>475.98</v>
      </c>
      <c r="F9" s="78">
        <v>0.0</v>
      </c>
      <c r="G9" s="78">
        <v>0.0</v>
      </c>
      <c r="H9" s="77" t="s">
        <v>52</v>
      </c>
      <c r="I9" s="78">
        <v>0.0</v>
      </c>
      <c r="J9" s="78">
        <v>0.0</v>
      </c>
      <c r="K9" s="77" t="s">
        <v>29</v>
      </c>
      <c r="L9" s="77"/>
      <c r="M9" s="80"/>
      <c r="N9" s="77"/>
      <c r="O9" s="78">
        <v>1.0</v>
      </c>
      <c r="P9" s="79"/>
      <c r="Q9" s="80"/>
      <c r="R9" s="78">
        <v>0.0</v>
      </c>
      <c r="S9" s="78"/>
      <c r="T9" s="78">
        <v>0.0</v>
      </c>
      <c r="U9" s="78">
        <v>0.0</v>
      </c>
      <c r="V9" s="78">
        <v>0.0</v>
      </c>
      <c r="W9" s="78">
        <v>0.0</v>
      </c>
      <c r="X9" s="79"/>
      <c r="Y9" s="89"/>
      <c r="Z9" s="78">
        <v>0.0</v>
      </c>
      <c r="AA9" s="78"/>
      <c r="AB9" s="77" t="s">
        <v>19</v>
      </c>
      <c r="AC9" s="78">
        <v>0.0</v>
      </c>
      <c r="AD9" s="78">
        <v>0.0</v>
      </c>
      <c r="AE9" s="82">
        <v>43872.0</v>
      </c>
      <c r="AF9" s="78">
        <v>0.0</v>
      </c>
      <c r="AG9" s="79"/>
      <c r="AH9" s="77"/>
      <c r="AI9" s="79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76"/>
      <c r="B10" s="83" t="s">
        <v>16</v>
      </c>
      <c r="C10" s="83" t="s">
        <v>50</v>
      </c>
      <c r="D10" s="83" t="s">
        <v>51</v>
      </c>
      <c r="E10" s="85">
        <v>24.02</v>
      </c>
      <c r="F10" s="85">
        <v>0.0</v>
      </c>
      <c r="G10" s="85">
        <v>0.0</v>
      </c>
      <c r="H10" s="83" t="s">
        <v>52</v>
      </c>
      <c r="I10" s="85">
        <v>0.0</v>
      </c>
      <c r="J10" s="85">
        <v>0.0</v>
      </c>
      <c r="K10" s="83" t="s">
        <v>29</v>
      </c>
      <c r="L10" s="83"/>
      <c r="M10" s="86"/>
      <c r="N10" s="83"/>
      <c r="O10" s="85">
        <v>1.0</v>
      </c>
      <c r="P10" s="87"/>
      <c r="Q10" s="86"/>
      <c r="R10" s="85">
        <v>0.0</v>
      </c>
      <c r="S10" s="85"/>
      <c r="T10" s="85">
        <v>0.0</v>
      </c>
      <c r="U10" s="85">
        <v>0.0</v>
      </c>
      <c r="V10" s="85">
        <v>0.0</v>
      </c>
      <c r="W10" s="85">
        <v>0.0</v>
      </c>
      <c r="X10" s="87"/>
      <c r="Y10" s="90"/>
      <c r="Z10" s="85">
        <v>0.0</v>
      </c>
      <c r="AA10" s="85"/>
      <c r="AB10" s="83" t="s">
        <v>19</v>
      </c>
      <c r="AC10" s="85">
        <v>0.0</v>
      </c>
      <c r="AD10" s="85">
        <v>0.0</v>
      </c>
      <c r="AE10" s="91">
        <v>43872.0</v>
      </c>
      <c r="AF10" s="85">
        <v>0.0</v>
      </c>
      <c r="AG10" s="87"/>
      <c r="AH10" s="83"/>
      <c r="AI10" s="87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44</v>
      </c>
      <c r="D3" s="7" t="s">
        <v>5</v>
      </c>
      <c r="E3" s="21" t="s">
        <v>45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46</v>
      </c>
      <c r="C6" s="31" t="s">
        <v>16</v>
      </c>
      <c r="D6" s="66" t="s">
        <v>21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44</v>
      </c>
      <c r="D3" s="7" t="s">
        <v>5</v>
      </c>
      <c r="E3" s="21" t="s">
        <v>46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1"/>
      <c r="D6" s="30"/>
      <c r="E6" s="31" t="s">
        <v>19</v>
      </c>
      <c r="F6" s="31"/>
      <c r="G6" s="31" t="s">
        <v>47</v>
      </c>
      <c r="H6" s="36">
        <v>1.0</v>
      </c>
      <c r="I6" s="36">
        <v>0.33</v>
      </c>
      <c r="J6" s="36">
        <v>0.625</v>
      </c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44</v>
      </c>
      <c r="D3" s="7" t="s">
        <v>5</v>
      </c>
      <c r="E3" s="21" t="s">
        <v>48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19</v>
      </c>
      <c r="C6" s="31" t="s">
        <v>29</v>
      </c>
      <c r="D6" s="30" t="s">
        <v>20</v>
      </c>
      <c r="E6" s="31" t="s">
        <v>16</v>
      </c>
      <c r="F6" s="36">
        <v>300.0</v>
      </c>
      <c r="G6" s="36">
        <v>100.0</v>
      </c>
      <c r="H6" s="36">
        <v>24.0168</v>
      </c>
      <c r="I6" s="32">
        <v>43871.0</v>
      </c>
      <c r="J6" s="32">
        <v>43871.0</v>
      </c>
      <c r="K6" s="32">
        <v>43871.0</v>
      </c>
      <c r="L6" s="32">
        <v>43874.0</v>
      </c>
      <c r="M6" s="66" t="s">
        <v>21</v>
      </c>
      <c r="N6" s="36">
        <v>1.0</v>
      </c>
      <c r="O6" s="31" t="s">
        <v>31</v>
      </c>
      <c r="P6" s="37">
        <v>0.0</v>
      </c>
      <c r="Q6" s="37">
        <v>30024.02</v>
      </c>
      <c r="R6" s="37">
        <v>30024.02</v>
      </c>
      <c r="S6" s="31" t="s">
        <v>20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29</v>
      </c>
      <c r="D7" s="33" t="s">
        <v>49</v>
      </c>
      <c r="E7" s="33" t="s">
        <v>16</v>
      </c>
      <c r="F7" s="43">
        <v>300.240168</v>
      </c>
      <c r="G7" s="43">
        <v>100.0</v>
      </c>
      <c r="H7" s="43">
        <v>0.0</v>
      </c>
      <c r="I7" s="41">
        <v>43873.0</v>
      </c>
      <c r="J7" s="41">
        <v>43873.0</v>
      </c>
      <c r="K7" s="41">
        <v>43873.0</v>
      </c>
      <c r="L7" s="41">
        <v>43873.0</v>
      </c>
      <c r="M7" s="67" t="s">
        <v>21</v>
      </c>
      <c r="N7" s="43">
        <v>1.0</v>
      </c>
      <c r="O7" s="33" t="s">
        <v>31</v>
      </c>
      <c r="P7" s="38">
        <v>0.0</v>
      </c>
      <c r="Q7" s="38">
        <v>30024.02</v>
      </c>
      <c r="R7" s="38">
        <v>30024.02</v>
      </c>
      <c r="S7" s="33" t="s">
        <v>49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19</v>
      </c>
      <c r="C8" s="33" t="s">
        <v>29</v>
      </c>
      <c r="D8" s="33" t="s">
        <v>20</v>
      </c>
      <c r="E8" s="33" t="s">
        <v>16</v>
      </c>
      <c r="F8" s="43">
        <v>187.650105</v>
      </c>
      <c r="G8" s="43">
        <v>100.0</v>
      </c>
      <c r="H8" s="43">
        <v>0.0</v>
      </c>
      <c r="I8" s="41">
        <v>43873.0</v>
      </c>
      <c r="J8" s="41">
        <v>43873.0</v>
      </c>
      <c r="K8" s="41">
        <v>43871.0</v>
      </c>
      <c r="L8" s="41">
        <v>43873.0</v>
      </c>
      <c r="M8" s="67" t="s">
        <v>21</v>
      </c>
      <c r="N8" s="43">
        <v>1.0</v>
      </c>
      <c r="O8" s="33" t="s">
        <v>31</v>
      </c>
      <c r="P8" s="38">
        <v>300.0</v>
      </c>
      <c r="Q8" s="38">
        <v>18765.01</v>
      </c>
      <c r="R8" s="38">
        <v>18765.01</v>
      </c>
      <c r="S8" s="33" t="s">
        <v>20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47</v>
      </c>
      <c r="C9" s="33" t="s">
        <v>29</v>
      </c>
      <c r="D9" s="33" t="s">
        <v>20</v>
      </c>
      <c r="E9" s="33" t="s">
        <v>16</v>
      </c>
      <c r="F9" s="43">
        <v>341.182009090909</v>
      </c>
      <c r="G9" s="43">
        <v>33.0</v>
      </c>
      <c r="H9" s="43">
        <v>0.0</v>
      </c>
      <c r="I9" s="41">
        <v>43873.0</v>
      </c>
      <c r="J9" s="41">
        <v>43873.0</v>
      </c>
      <c r="K9" s="41">
        <v>43871.0</v>
      </c>
      <c r="L9" s="41">
        <v>43873.0</v>
      </c>
      <c r="M9" s="67" t="s">
        <v>21</v>
      </c>
      <c r="N9" s="43">
        <v>1.0</v>
      </c>
      <c r="O9" s="33" t="s">
        <v>31</v>
      </c>
      <c r="P9" s="38">
        <v>341.182</v>
      </c>
      <c r="Q9" s="38">
        <v>11259.01</v>
      </c>
      <c r="R9" s="38">
        <v>11259.01</v>
      </c>
      <c r="S9" s="33" t="s">
        <v>20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23</v>
      </c>
      <c r="D3" s="7" t="s">
        <v>5</v>
      </c>
      <c r="E3" s="21" t="s">
        <v>24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23</v>
      </c>
      <c r="D3" s="7" t="s">
        <v>5</v>
      </c>
      <c r="E3" s="21" t="s">
        <v>25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19</v>
      </c>
      <c r="C6" s="36">
        <v>310.0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47</v>
      </c>
      <c r="C7" s="43">
        <v>170.0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27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39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33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34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4"/>
      <c r="B6" s="45">
        <v>43873.0</v>
      </c>
      <c r="C6" s="46" t="s">
        <v>16</v>
      </c>
      <c r="D6" s="47" t="s">
        <v>19</v>
      </c>
      <c r="E6" s="46" t="s">
        <v>29</v>
      </c>
      <c r="F6" s="46" t="s">
        <v>37</v>
      </c>
      <c r="G6" s="92">
        <v>12234.99</v>
      </c>
      <c r="H6" s="57">
        <v>0.0</v>
      </c>
      <c r="I6" s="54"/>
      <c r="J6" s="54"/>
      <c r="K6" s="46"/>
      <c r="L6" s="48">
        <v>1.0</v>
      </c>
      <c r="M6" s="46" t="s">
        <v>31</v>
      </c>
      <c r="N6" s="46" t="s">
        <v>38</v>
      </c>
      <c r="O6" s="46" t="s">
        <v>50</v>
      </c>
      <c r="P6" s="46" t="s">
        <v>29</v>
      </c>
      <c r="Q6" s="46" t="s">
        <v>56</v>
      </c>
      <c r="R6" s="92">
        <v>12234.99</v>
      </c>
      <c r="S6" s="48">
        <v>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0"/>
      <c r="B7" s="51">
        <v>43873.0</v>
      </c>
      <c r="C7" s="52" t="s">
        <v>16</v>
      </c>
      <c r="D7" s="52" t="s">
        <v>19</v>
      </c>
      <c r="E7" s="52" t="s">
        <v>29</v>
      </c>
      <c r="F7" s="56" t="s">
        <v>36</v>
      </c>
      <c r="G7" s="58">
        <v>0.0</v>
      </c>
      <c r="H7" s="93">
        <v>12234.99</v>
      </c>
      <c r="I7" s="63"/>
      <c r="J7" s="63"/>
      <c r="K7" s="56"/>
      <c r="L7" s="59">
        <v>1.0</v>
      </c>
      <c r="M7" s="56" t="s">
        <v>31</v>
      </c>
      <c r="N7" s="56" t="s">
        <v>41</v>
      </c>
      <c r="O7" s="56" t="s">
        <v>50</v>
      </c>
      <c r="P7" s="56" t="s">
        <v>29</v>
      </c>
      <c r="Q7" s="52" t="s">
        <v>56</v>
      </c>
      <c r="R7" s="59">
        <v>0.0</v>
      </c>
      <c r="S7" s="93">
        <v>12234.99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0"/>
      <c r="B8" s="51">
        <v>43873.0</v>
      </c>
      <c r="C8" s="52" t="s">
        <v>16</v>
      </c>
      <c r="D8" s="52" t="s">
        <v>47</v>
      </c>
      <c r="E8" s="52" t="s">
        <v>29</v>
      </c>
      <c r="F8" s="52" t="s">
        <v>36</v>
      </c>
      <c r="G8" s="61">
        <v>5649.01</v>
      </c>
      <c r="H8" s="94">
        <v>0.0</v>
      </c>
      <c r="I8" s="95"/>
      <c r="J8" s="95"/>
      <c r="K8" s="52"/>
      <c r="L8" s="61">
        <v>1.0</v>
      </c>
      <c r="M8" s="52" t="s">
        <v>31</v>
      </c>
      <c r="N8" s="52" t="s">
        <v>38</v>
      </c>
      <c r="O8" s="52" t="s">
        <v>50</v>
      </c>
      <c r="P8" s="52" t="s">
        <v>29</v>
      </c>
      <c r="Q8" s="52" t="s">
        <v>56</v>
      </c>
      <c r="R8" s="61">
        <v>5649.01</v>
      </c>
      <c r="S8" s="61">
        <v>0.0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0"/>
      <c r="B9" s="51">
        <v>43873.0</v>
      </c>
      <c r="C9" s="52" t="s">
        <v>16</v>
      </c>
      <c r="D9" s="52" t="s">
        <v>47</v>
      </c>
      <c r="E9" s="52" t="s">
        <v>29</v>
      </c>
      <c r="F9" s="56" t="s">
        <v>37</v>
      </c>
      <c r="G9" s="58">
        <v>0.0</v>
      </c>
      <c r="H9" s="59">
        <v>5649.01</v>
      </c>
      <c r="I9" s="63"/>
      <c r="J9" s="63"/>
      <c r="K9" s="56"/>
      <c r="L9" s="59">
        <v>1.0</v>
      </c>
      <c r="M9" s="56" t="s">
        <v>31</v>
      </c>
      <c r="N9" s="56" t="s">
        <v>41</v>
      </c>
      <c r="O9" s="56" t="s">
        <v>50</v>
      </c>
      <c r="P9" s="56" t="s">
        <v>29</v>
      </c>
      <c r="Q9" s="52" t="s">
        <v>56</v>
      </c>
      <c r="R9" s="59">
        <v>0.0</v>
      </c>
      <c r="S9" s="59">
        <v>5649.01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0"/>
      <c r="B10" s="51">
        <v>43873.0</v>
      </c>
      <c r="C10" s="52" t="s">
        <v>16</v>
      </c>
      <c r="D10" s="52" t="s">
        <v>19</v>
      </c>
      <c r="E10" s="52" t="s">
        <v>29</v>
      </c>
      <c r="F10" s="52" t="s">
        <v>36</v>
      </c>
      <c r="G10" s="96">
        <v>475.98</v>
      </c>
      <c r="H10" s="94">
        <v>0.0</v>
      </c>
      <c r="I10" s="95"/>
      <c r="J10" s="95"/>
      <c r="K10" s="52"/>
      <c r="L10" s="61">
        <v>1.0</v>
      </c>
      <c r="M10" s="52" t="s">
        <v>31</v>
      </c>
      <c r="N10" s="52" t="s">
        <v>38</v>
      </c>
      <c r="O10" s="52" t="s">
        <v>50</v>
      </c>
      <c r="P10" s="52" t="s">
        <v>29</v>
      </c>
      <c r="Q10" s="52" t="s">
        <v>57</v>
      </c>
      <c r="R10" s="96">
        <v>475.98</v>
      </c>
      <c r="S10" s="61">
        <v>0.0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0"/>
      <c r="B11" s="51">
        <v>43873.0</v>
      </c>
      <c r="C11" s="52" t="s">
        <v>16</v>
      </c>
      <c r="D11" s="52" t="s">
        <v>19</v>
      </c>
      <c r="E11" s="52" t="s">
        <v>29</v>
      </c>
      <c r="F11" s="56" t="s">
        <v>37</v>
      </c>
      <c r="G11" s="58">
        <v>0.0</v>
      </c>
      <c r="H11" s="93">
        <v>475.98</v>
      </c>
      <c r="I11" s="63"/>
      <c r="J11" s="63"/>
      <c r="K11" s="56"/>
      <c r="L11" s="59">
        <v>1.0</v>
      </c>
      <c r="M11" s="56" t="s">
        <v>31</v>
      </c>
      <c r="N11" s="56" t="s">
        <v>41</v>
      </c>
      <c r="O11" s="56" t="s">
        <v>50</v>
      </c>
      <c r="P11" s="56" t="s">
        <v>29</v>
      </c>
      <c r="Q11" s="52" t="s">
        <v>57</v>
      </c>
      <c r="R11" s="59">
        <v>0.0</v>
      </c>
      <c r="S11" s="93">
        <v>475.98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35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4"/>
      <c r="B6" s="45">
        <v>43873.0</v>
      </c>
      <c r="C6" s="54"/>
      <c r="D6" s="97"/>
      <c r="E6" s="55">
        <v>30024.02</v>
      </c>
      <c r="F6" s="57">
        <v>0.0</v>
      </c>
      <c r="G6" s="48">
        <v>1.0</v>
      </c>
      <c r="H6" s="46" t="s">
        <v>31</v>
      </c>
      <c r="I6" s="46" t="s">
        <v>38</v>
      </c>
      <c r="J6" s="46" t="s">
        <v>39</v>
      </c>
      <c r="K6" s="46" t="s">
        <v>29</v>
      </c>
      <c r="L6" s="46" t="s">
        <v>29</v>
      </c>
      <c r="M6" s="46" t="s">
        <v>19</v>
      </c>
      <c r="N6" s="46"/>
      <c r="O6" s="55">
        <v>30024.02</v>
      </c>
      <c r="P6" s="48">
        <v>0.0</v>
      </c>
      <c r="Q6" s="46" t="s">
        <v>30</v>
      </c>
      <c r="R6" s="46" t="s">
        <v>16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50"/>
      <c r="B7" s="51">
        <v>43873.0</v>
      </c>
      <c r="C7" s="63"/>
      <c r="D7" s="98"/>
      <c r="E7" s="58">
        <v>0.0</v>
      </c>
      <c r="F7" s="64">
        <v>30024.02</v>
      </c>
      <c r="G7" s="59">
        <v>1.0</v>
      </c>
      <c r="H7" s="56" t="s">
        <v>31</v>
      </c>
      <c r="I7" s="56" t="s">
        <v>41</v>
      </c>
      <c r="J7" s="56" t="s">
        <v>39</v>
      </c>
      <c r="K7" s="52" t="s">
        <v>29</v>
      </c>
      <c r="L7" s="56" t="s">
        <v>29</v>
      </c>
      <c r="M7" s="52" t="s">
        <v>19</v>
      </c>
      <c r="N7" s="52"/>
      <c r="O7" s="59">
        <v>0.0</v>
      </c>
      <c r="P7" s="64">
        <v>30024.02</v>
      </c>
      <c r="Q7" s="56" t="s">
        <v>40</v>
      </c>
      <c r="R7" s="52" t="s">
        <v>16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50"/>
      <c r="B8" s="51">
        <v>43873.0</v>
      </c>
      <c r="C8" s="95"/>
      <c r="D8" s="99"/>
      <c r="E8" s="100">
        <v>18765.01</v>
      </c>
      <c r="F8" s="94">
        <v>0.0</v>
      </c>
      <c r="G8" s="61">
        <v>1.0</v>
      </c>
      <c r="H8" s="52" t="s">
        <v>31</v>
      </c>
      <c r="I8" s="52" t="s">
        <v>38</v>
      </c>
      <c r="J8" s="52" t="s">
        <v>39</v>
      </c>
      <c r="K8" s="52" t="s">
        <v>29</v>
      </c>
      <c r="L8" s="52" t="s">
        <v>29</v>
      </c>
      <c r="M8" s="52" t="s">
        <v>19</v>
      </c>
      <c r="N8" s="52"/>
      <c r="O8" s="100">
        <v>18765.01</v>
      </c>
      <c r="P8" s="61">
        <v>0.0</v>
      </c>
      <c r="Q8" s="52" t="s">
        <v>40</v>
      </c>
      <c r="R8" s="52" t="s">
        <v>16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50"/>
      <c r="B9" s="51">
        <v>43873.0</v>
      </c>
      <c r="C9" s="63"/>
      <c r="D9" s="98"/>
      <c r="E9" s="58">
        <v>0.0</v>
      </c>
      <c r="F9" s="64">
        <v>18765.01</v>
      </c>
      <c r="G9" s="59">
        <v>1.0</v>
      </c>
      <c r="H9" s="56" t="s">
        <v>31</v>
      </c>
      <c r="I9" s="56" t="s">
        <v>41</v>
      </c>
      <c r="J9" s="56" t="s">
        <v>39</v>
      </c>
      <c r="K9" s="52" t="s">
        <v>29</v>
      </c>
      <c r="L9" s="56" t="s">
        <v>29</v>
      </c>
      <c r="M9" s="52" t="s">
        <v>19</v>
      </c>
      <c r="N9" s="52"/>
      <c r="O9" s="59">
        <v>0.0</v>
      </c>
      <c r="P9" s="64">
        <v>18765.01</v>
      </c>
      <c r="Q9" s="56" t="s">
        <v>30</v>
      </c>
      <c r="R9" s="52" t="s">
        <v>16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50"/>
      <c r="B10" s="51">
        <v>43873.0</v>
      </c>
      <c r="C10" s="95"/>
      <c r="D10" s="99"/>
      <c r="E10" s="100">
        <v>11259.01</v>
      </c>
      <c r="F10" s="94">
        <v>0.0</v>
      </c>
      <c r="G10" s="61">
        <v>1.0</v>
      </c>
      <c r="H10" s="52" t="s">
        <v>31</v>
      </c>
      <c r="I10" s="52" t="s">
        <v>38</v>
      </c>
      <c r="J10" s="52" t="s">
        <v>39</v>
      </c>
      <c r="K10" s="52" t="s">
        <v>29</v>
      </c>
      <c r="L10" s="52" t="s">
        <v>29</v>
      </c>
      <c r="M10" s="52" t="s">
        <v>47</v>
      </c>
      <c r="N10" s="52"/>
      <c r="O10" s="100">
        <v>11259.01</v>
      </c>
      <c r="P10" s="61">
        <v>0.0</v>
      </c>
      <c r="Q10" s="52" t="s">
        <v>40</v>
      </c>
      <c r="R10" s="52" t="s">
        <v>16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50"/>
      <c r="B11" s="51">
        <v>43873.0</v>
      </c>
      <c r="C11" s="63"/>
      <c r="D11" s="98"/>
      <c r="E11" s="58">
        <v>0.0</v>
      </c>
      <c r="F11" s="64">
        <v>11259.01</v>
      </c>
      <c r="G11" s="59">
        <v>1.0</v>
      </c>
      <c r="H11" s="56" t="s">
        <v>31</v>
      </c>
      <c r="I11" s="56" t="s">
        <v>41</v>
      </c>
      <c r="J11" s="56" t="s">
        <v>39</v>
      </c>
      <c r="K11" s="52" t="s">
        <v>29</v>
      </c>
      <c r="L11" s="56" t="s">
        <v>29</v>
      </c>
      <c r="M11" s="52" t="s">
        <v>47</v>
      </c>
      <c r="N11" s="52"/>
      <c r="O11" s="59">
        <v>0.0</v>
      </c>
      <c r="P11" s="64">
        <v>11259.01</v>
      </c>
      <c r="Q11" s="56" t="s">
        <v>30</v>
      </c>
      <c r="R11" s="52" t="s">
        <v>16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42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43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8"/>
      <c r="B6" s="69" t="s">
        <v>16</v>
      </c>
      <c r="C6" s="70" t="s">
        <v>50</v>
      </c>
      <c r="D6" s="69" t="s">
        <v>51</v>
      </c>
      <c r="E6" s="101">
        <v>12234.99</v>
      </c>
      <c r="F6" s="71">
        <v>0.0</v>
      </c>
      <c r="G6" s="71">
        <v>0.0</v>
      </c>
      <c r="H6" s="70" t="s">
        <v>52</v>
      </c>
      <c r="I6" s="71">
        <v>0.0</v>
      </c>
      <c r="J6" s="71">
        <v>0.0</v>
      </c>
      <c r="K6" s="70" t="s">
        <v>29</v>
      </c>
      <c r="L6" s="70"/>
      <c r="M6" s="72"/>
      <c r="N6" s="70" t="s">
        <v>31</v>
      </c>
      <c r="O6" s="71">
        <v>1.0</v>
      </c>
      <c r="P6" s="73"/>
      <c r="Q6" s="72"/>
      <c r="R6" s="71">
        <v>0.0</v>
      </c>
      <c r="S6" s="71">
        <v>0.0</v>
      </c>
      <c r="T6" s="71">
        <v>0.0</v>
      </c>
      <c r="U6" s="71">
        <v>0.0</v>
      </c>
      <c r="V6" s="71">
        <v>0.0</v>
      </c>
      <c r="W6" s="71">
        <v>0.0</v>
      </c>
      <c r="X6" s="73"/>
      <c r="Y6" s="74"/>
      <c r="Z6" s="71">
        <v>0.0</v>
      </c>
      <c r="AA6" s="71">
        <v>0.0</v>
      </c>
      <c r="AB6" s="70" t="s">
        <v>19</v>
      </c>
      <c r="AC6" s="71">
        <v>0.0</v>
      </c>
      <c r="AD6" s="71">
        <v>0.0</v>
      </c>
      <c r="AE6" s="102">
        <v>43873.0</v>
      </c>
      <c r="AF6" s="71">
        <v>0.0</v>
      </c>
      <c r="AG6" s="103" t="s">
        <v>50</v>
      </c>
      <c r="AH6" s="70"/>
      <c r="AI6" s="7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76"/>
      <c r="B7" s="77" t="s">
        <v>16</v>
      </c>
      <c r="C7" s="77" t="s">
        <v>50</v>
      </c>
      <c r="D7" s="77" t="s">
        <v>51</v>
      </c>
      <c r="E7" s="104">
        <v>-5649.01</v>
      </c>
      <c r="F7" s="78">
        <v>0.0</v>
      </c>
      <c r="G7" s="78">
        <v>0.0</v>
      </c>
      <c r="H7" s="77" t="s">
        <v>52</v>
      </c>
      <c r="I7" s="78">
        <v>0.0</v>
      </c>
      <c r="J7" s="78">
        <v>0.0</v>
      </c>
      <c r="K7" s="77" t="s">
        <v>29</v>
      </c>
      <c r="L7" s="77"/>
      <c r="M7" s="80"/>
      <c r="N7" s="77" t="s">
        <v>31</v>
      </c>
      <c r="O7" s="78">
        <v>1.0</v>
      </c>
      <c r="P7" s="79"/>
      <c r="Q7" s="80"/>
      <c r="R7" s="78">
        <v>0.0</v>
      </c>
      <c r="S7" s="78">
        <v>0.0</v>
      </c>
      <c r="T7" s="78">
        <v>0.0</v>
      </c>
      <c r="U7" s="78">
        <v>0.0</v>
      </c>
      <c r="V7" s="78">
        <v>0.0</v>
      </c>
      <c r="W7" s="78">
        <v>0.0</v>
      </c>
      <c r="X7" s="79"/>
      <c r="Y7" s="89"/>
      <c r="Z7" s="78">
        <v>0.0</v>
      </c>
      <c r="AA7" s="78">
        <v>0.0</v>
      </c>
      <c r="AB7" s="77" t="s">
        <v>47</v>
      </c>
      <c r="AC7" s="78">
        <v>0.0</v>
      </c>
      <c r="AD7" s="78">
        <v>0.0</v>
      </c>
      <c r="AE7" s="82">
        <v>43873.0</v>
      </c>
      <c r="AF7" s="78">
        <v>0.0</v>
      </c>
      <c r="AG7" s="105" t="s">
        <v>50</v>
      </c>
      <c r="AH7" s="77"/>
      <c r="AI7" s="79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76"/>
      <c r="B8" s="83" t="s">
        <v>16</v>
      </c>
      <c r="C8" s="83" t="s">
        <v>50</v>
      </c>
      <c r="D8" s="83" t="s">
        <v>51</v>
      </c>
      <c r="E8" s="106">
        <v>-475.98</v>
      </c>
      <c r="F8" s="85">
        <v>0.0</v>
      </c>
      <c r="G8" s="85">
        <v>0.0</v>
      </c>
      <c r="H8" s="83" t="s">
        <v>52</v>
      </c>
      <c r="I8" s="85">
        <v>0.0</v>
      </c>
      <c r="J8" s="85">
        <v>0.0</v>
      </c>
      <c r="K8" s="83" t="s">
        <v>29</v>
      </c>
      <c r="L8" s="83"/>
      <c r="M8" s="86"/>
      <c r="N8" s="83" t="s">
        <v>31</v>
      </c>
      <c r="O8" s="85">
        <v>1.0</v>
      </c>
      <c r="P8" s="87"/>
      <c r="Q8" s="86"/>
      <c r="R8" s="85">
        <v>0.0</v>
      </c>
      <c r="S8" s="85">
        <v>0.0</v>
      </c>
      <c r="T8" s="85">
        <v>0.0</v>
      </c>
      <c r="U8" s="85">
        <v>0.0</v>
      </c>
      <c r="V8" s="85">
        <v>0.0</v>
      </c>
      <c r="W8" s="85">
        <v>0.0</v>
      </c>
      <c r="X8" s="87"/>
      <c r="Y8" s="90"/>
      <c r="Z8" s="85">
        <v>0.0</v>
      </c>
      <c r="AA8" s="85">
        <v>0.0</v>
      </c>
      <c r="AB8" s="83" t="s">
        <v>19</v>
      </c>
      <c r="AC8" s="85">
        <v>0.0</v>
      </c>
      <c r="AD8" s="85">
        <v>0.0</v>
      </c>
      <c r="AE8" s="91">
        <v>43873.0</v>
      </c>
      <c r="AF8" s="85">
        <v>0.0</v>
      </c>
      <c r="AG8" s="107" t="s">
        <v>50</v>
      </c>
      <c r="AH8" s="83"/>
      <c r="AI8" s="87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76"/>
      <c r="B9" s="77" t="s">
        <v>16</v>
      </c>
      <c r="C9" s="77" t="s">
        <v>39</v>
      </c>
      <c r="D9" s="77" t="s">
        <v>55</v>
      </c>
      <c r="E9" s="108">
        <v>30024.02</v>
      </c>
      <c r="F9" s="78">
        <v>0.0</v>
      </c>
      <c r="G9" s="78">
        <v>0.0</v>
      </c>
      <c r="H9" s="77" t="s">
        <v>52</v>
      </c>
      <c r="I9" s="78">
        <v>0.0</v>
      </c>
      <c r="J9" s="78">
        <v>0.0</v>
      </c>
      <c r="K9" s="77" t="s">
        <v>29</v>
      </c>
      <c r="L9" s="77"/>
      <c r="M9" s="81"/>
      <c r="N9" s="77" t="s">
        <v>31</v>
      </c>
      <c r="O9" s="78">
        <v>1.0</v>
      </c>
      <c r="P9" s="79"/>
      <c r="Q9" s="80"/>
      <c r="R9" s="78">
        <v>0.0</v>
      </c>
      <c r="S9" s="78">
        <v>0.0</v>
      </c>
      <c r="T9" s="78">
        <v>0.0</v>
      </c>
      <c r="U9" s="78">
        <v>0.0</v>
      </c>
      <c r="V9" s="78">
        <v>100.0</v>
      </c>
      <c r="W9" s="78">
        <v>0.0</v>
      </c>
      <c r="X9" s="105" t="s">
        <v>29</v>
      </c>
      <c r="Y9" s="81"/>
      <c r="Z9" s="78">
        <v>0.0</v>
      </c>
      <c r="AA9" s="78">
        <v>0.0</v>
      </c>
      <c r="AB9" s="77" t="s">
        <v>19</v>
      </c>
      <c r="AC9" s="78">
        <v>0.0</v>
      </c>
      <c r="AD9" s="78">
        <v>0.0</v>
      </c>
      <c r="AE9" s="82">
        <v>43873.0</v>
      </c>
      <c r="AF9" s="78">
        <v>0.0</v>
      </c>
      <c r="AG9" s="105" t="s">
        <v>39</v>
      </c>
      <c r="AH9" s="79"/>
      <c r="AI9" s="79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76"/>
      <c r="B10" s="83" t="s">
        <v>16</v>
      </c>
      <c r="C10" s="83" t="s">
        <v>39</v>
      </c>
      <c r="D10" s="83" t="s">
        <v>55</v>
      </c>
      <c r="E10" s="108">
        <v>-18765.01</v>
      </c>
      <c r="F10" s="85">
        <v>0.0</v>
      </c>
      <c r="G10" s="85">
        <v>0.0</v>
      </c>
      <c r="H10" s="83" t="s">
        <v>52</v>
      </c>
      <c r="I10" s="85">
        <v>0.0</v>
      </c>
      <c r="J10" s="85">
        <v>0.0</v>
      </c>
      <c r="K10" s="83" t="s">
        <v>29</v>
      </c>
      <c r="L10" s="83"/>
      <c r="M10" s="109"/>
      <c r="N10" s="83" t="s">
        <v>31</v>
      </c>
      <c r="O10" s="85">
        <v>1.0</v>
      </c>
      <c r="P10" s="87"/>
      <c r="Q10" s="86"/>
      <c r="R10" s="85">
        <v>0.0</v>
      </c>
      <c r="S10" s="85">
        <v>0.0</v>
      </c>
      <c r="T10" s="85">
        <v>0.0</v>
      </c>
      <c r="U10" s="85">
        <v>0.0</v>
      </c>
      <c r="V10" s="85">
        <v>100.0</v>
      </c>
      <c r="W10" s="85">
        <v>0.0</v>
      </c>
      <c r="X10" s="107" t="s">
        <v>29</v>
      </c>
      <c r="Y10" s="109"/>
      <c r="Z10" s="85">
        <v>0.0</v>
      </c>
      <c r="AA10" s="85">
        <v>0.0</v>
      </c>
      <c r="AB10" s="83" t="s">
        <v>19</v>
      </c>
      <c r="AC10" s="85">
        <v>0.0</v>
      </c>
      <c r="AD10" s="85">
        <v>0.0</v>
      </c>
      <c r="AE10" s="91">
        <v>43873.0</v>
      </c>
      <c r="AF10" s="85">
        <v>0.0</v>
      </c>
      <c r="AG10" s="107" t="s">
        <v>39</v>
      </c>
      <c r="AH10" s="87"/>
      <c r="AI10" s="87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76"/>
      <c r="B11" s="77" t="s">
        <v>16</v>
      </c>
      <c r="C11" s="77" t="s">
        <v>39</v>
      </c>
      <c r="D11" s="77" t="s">
        <v>55</v>
      </c>
      <c r="E11" s="108">
        <v>-11259.01</v>
      </c>
      <c r="F11" s="78">
        <v>0.0</v>
      </c>
      <c r="G11" s="78">
        <v>0.0</v>
      </c>
      <c r="H11" s="77" t="s">
        <v>52</v>
      </c>
      <c r="I11" s="78">
        <v>0.0</v>
      </c>
      <c r="J11" s="78">
        <v>0.0</v>
      </c>
      <c r="K11" s="77" t="s">
        <v>29</v>
      </c>
      <c r="L11" s="77"/>
      <c r="M11" s="81"/>
      <c r="N11" s="77" t="s">
        <v>31</v>
      </c>
      <c r="O11" s="78">
        <v>1.0</v>
      </c>
      <c r="P11" s="79"/>
      <c r="Q11" s="80"/>
      <c r="R11" s="78">
        <v>0.0</v>
      </c>
      <c r="S11" s="78">
        <v>0.0</v>
      </c>
      <c r="T11" s="78">
        <v>0.0</v>
      </c>
      <c r="U11" s="78">
        <v>0.0</v>
      </c>
      <c r="V11" s="78">
        <v>33.0</v>
      </c>
      <c r="W11" s="78">
        <v>0.0</v>
      </c>
      <c r="X11" s="105" t="s">
        <v>29</v>
      </c>
      <c r="Y11" s="81"/>
      <c r="Z11" s="78">
        <v>0.0</v>
      </c>
      <c r="AA11" s="78">
        <v>0.0</v>
      </c>
      <c r="AB11" s="77" t="s">
        <v>47</v>
      </c>
      <c r="AC11" s="78">
        <v>0.0</v>
      </c>
      <c r="AD11" s="78">
        <v>0.0</v>
      </c>
      <c r="AE11" s="82">
        <v>43873.0</v>
      </c>
      <c r="AF11" s="78">
        <v>0.0</v>
      </c>
      <c r="AG11" s="105" t="s">
        <v>39</v>
      </c>
      <c r="AH11" s="79"/>
      <c r="AI11" s="79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58</v>
      </c>
      <c r="D3" s="7" t="s">
        <v>5</v>
      </c>
      <c r="E3" s="21" t="s">
        <v>59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61</v>
      </c>
      <c r="C6" s="32">
        <v>43871.0</v>
      </c>
      <c r="D6" s="32">
        <v>43873.0</v>
      </c>
      <c r="E6" s="31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58</v>
      </c>
      <c r="D3" s="7" t="s">
        <v>5</v>
      </c>
      <c r="E3" s="21" t="s">
        <v>60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110" t="s">
        <v>16</v>
      </c>
      <c r="C6" s="111" t="s">
        <v>64</v>
      </c>
      <c r="D6" s="30"/>
      <c r="E6" s="31"/>
      <c r="F6" s="31"/>
      <c r="G6" s="31"/>
      <c r="H6" s="112">
        <v>18765.0105</v>
      </c>
      <c r="I6" s="112">
        <v>187.6501</v>
      </c>
      <c r="J6" s="113">
        <v>43871.0</v>
      </c>
      <c r="K6" s="111" t="s">
        <v>65</v>
      </c>
      <c r="L6" s="31"/>
      <c r="M6" s="112">
        <v>100.0</v>
      </c>
      <c r="N6" s="31"/>
      <c r="O6" s="31" t="s">
        <v>29</v>
      </c>
      <c r="P6" s="111" t="s">
        <v>20</v>
      </c>
      <c r="Q6" s="31"/>
      <c r="R6" s="111" t="s">
        <v>19</v>
      </c>
      <c r="S6" s="31"/>
      <c r="T6" s="38">
        <v>0.0</v>
      </c>
      <c r="U6" s="114">
        <v>43873.0</v>
      </c>
      <c r="V6" s="115" t="s">
        <v>20</v>
      </c>
      <c r="W6" s="115" t="s">
        <v>66</v>
      </c>
      <c r="X6" s="116">
        <v>187.650105</v>
      </c>
      <c r="Y6" s="116">
        <v>187.6501</v>
      </c>
      <c r="Z6" s="116">
        <v>187.650105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15" t="s">
        <v>16</v>
      </c>
      <c r="C7" s="115" t="s">
        <v>64</v>
      </c>
      <c r="D7" s="33"/>
      <c r="E7" s="33"/>
      <c r="F7" s="33"/>
      <c r="G7" s="33"/>
      <c r="H7" s="116">
        <v>11259.0063</v>
      </c>
      <c r="I7" s="116">
        <v>341.182</v>
      </c>
      <c r="J7" s="114">
        <v>43871.0</v>
      </c>
      <c r="K7" s="115" t="s">
        <v>65</v>
      </c>
      <c r="L7" s="33"/>
      <c r="M7" s="116">
        <v>33.0</v>
      </c>
      <c r="N7" s="33"/>
      <c r="O7" s="33" t="s">
        <v>29</v>
      </c>
      <c r="P7" s="115" t="s">
        <v>20</v>
      </c>
      <c r="Q7" s="33"/>
      <c r="R7" s="115" t="s">
        <v>47</v>
      </c>
      <c r="S7" s="33"/>
      <c r="T7" s="38">
        <v>0.0</v>
      </c>
      <c r="U7" s="114">
        <v>43873.0</v>
      </c>
      <c r="V7" s="115" t="s">
        <v>20</v>
      </c>
      <c r="W7" s="115" t="s">
        <v>66</v>
      </c>
      <c r="X7" s="116">
        <v>341.182009090909</v>
      </c>
      <c r="Y7" s="116">
        <v>341.182</v>
      </c>
      <c r="Z7" s="117">
        <v>341.182009090909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62</v>
      </c>
      <c r="D3" s="7" t="s">
        <v>5</v>
      </c>
      <c r="E3" s="21" t="s">
        <v>63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61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9" t="str">
        <f> VLOOKUP($E$3,'_MasterData'!B4:D1000,3,FALSE)</f>
        <v>#N/A</v>
      </c>
      <c r="K2" s="19"/>
      <c r="L2" s="14"/>
      <c r="M2" s="14"/>
      <c r="N2" s="14"/>
      <c r="O2" s="14"/>
    </row>
    <row r="3" ht="15.75" customHeight="1">
      <c r="A3" s="20"/>
      <c r="B3" s="7" t="s">
        <v>3</v>
      </c>
      <c r="C3" s="21" t="s">
        <v>62</v>
      </c>
      <c r="D3" s="7" t="s">
        <v>5</v>
      </c>
      <c r="E3" s="21" t="s">
        <v>67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110" t="s">
        <v>16</v>
      </c>
      <c r="C6" s="31"/>
      <c r="D6" s="30"/>
      <c r="E6" s="112">
        <v>100.0</v>
      </c>
      <c r="F6" s="31"/>
      <c r="G6" s="111" t="s">
        <v>64</v>
      </c>
      <c r="H6" s="31"/>
      <c r="I6" s="31"/>
      <c r="J6" s="31"/>
      <c r="K6" s="112">
        <v>300.0</v>
      </c>
      <c r="L6" s="112">
        <v>300.0</v>
      </c>
      <c r="M6" s="31"/>
      <c r="N6" s="31"/>
      <c r="O6" s="31"/>
      <c r="P6" s="31"/>
      <c r="Q6" s="31"/>
      <c r="R6" s="31"/>
      <c r="S6" s="31"/>
      <c r="T6" s="38">
        <v>2.5</v>
      </c>
      <c r="U6" s="38">
        <v>0.025</v>
      </c>
      <c r="V6" s="33"/>
      <c r="W6" s="33"/>
      <c r="X6" s="33"/>
      <c r="Y6" s="33"/>
      <c r="Z6" s="33"/>
      <c r="AA6" s="33"/>
      <c r="AB6" s="33"/>
      <c r="AC6" s="33"/>
      <c r="AD6" s="33"/>
      <c r="AE6" s="38">
        <v>100.0</v>
      </c>
      <c r="AF6" s="33"/>
      <c r="AG6" s="33"/>
      <c r="AH6" s="33"/>
      <c r="AI6" s="38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118">
        <v>30024.0168</v>
      </c>
      <c r="AU6" s="118">
        <v>30024.0168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8">
        <v>100.0</v>
      </c>
      <c r="BK6" s="33"/>
      <c r="BL6" s="33"/>
      <c r="BM6" s="33"/>
      <c r="BN6" s="33"/>
      <c r="BO6" s="115" t="s">
        <v>20</v>
      </c>
      <c r="BP6" s="38">
        <v>7.5</v>
      </c>
      <c r="BQ6" s="38">
        <v>0.075</v>
      </c>
      <c r="BR6" s="33"/>
      <c r="BS6" s="33"/>
      <c r="BT6" s="115" t="s">
        <v>19</v>
      </c>
      <c r="BU6" s="33"/>
      <c r="BV6" s="38">
        <v>10.0</v>
      </c>
      <c r="BW6" s="116">
        <v>24.0168</v>
      </c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115" t="s">
        <v>16</v>
      </c>
      <c r="C7" s="33"/>
      <c r="D7" s="33"/>
      <c r="E7" s="116">
        <v>100.0</v>
      </c>
      <c r="F7" s="33"/>
      <c r="G7" s="115" t="s">
        <v>64</v>
      </c>
      <c r="H7" s="33"/>
      <c r="I7" s="33"/>
      <c r="J7" s="33"/>
      <c r="K7" s="116">
        <v>300.240168</v>
      </c>
      <c r="L7" s="116">
        <v>300.240168</v>
      </c>
      <c r="M7" s="33"/>
      <c r="N7" s="33"/>
      <c r="O7" s="33"/>
      <c r="P7" s="33"/>
      <c r="Q7" s="33"/>
      <c r="R7" s="33"/>
      <c r="S7" s="33"/>
      <c r="T7" s="38">
        <v>0.0</v>
      </c>
      <c r="U7" s="38">
        <v>0.0</v>
      </c>
      <c r="V7" s="33"/>
      <c r="W7" s="33"/>
      <c r="X7" s="33"/>
      <c r="Y7" s="33"/>
      <c r="Z7" s="33"/>
      <c r="AA7" s="33"/>
      <c r="AB7" s="33"/>
      <c r="AC7" s="33"/>
      <c r="AD7" s="33"/>
      <c r="AE7" s="38">
        <v>100.0</v>
      </c>
      <c r="AF7" s="33"/>
      <c r="AG7" s="33"/>
      <c r="AH7" s="33"/>
      <c r="AI7" s="38">
        <v>1.0</v>
      </c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118">
        <v>30024.0168</v>
      </c>
      <c r="AU7" s="118">
        <v>30024.0168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8">
        <v>100.0</v>
      </c>
      <c r="BK7" s="33"/>
      <c r="BL7" s="33"/>
      <c r="BM7" s="33"/>
      <c r="BN7" s="33"/>
      <c r="BO7" s="115" t="s">
        <v>49</v>
      </c>
      <c r="BP7" s="38">
        <v>0.0</v>
      </c>
      <c r="BQ7" s="38">
        <v>0.0</v>
      </c>
      <c r="BR7" s="33"/>
      <c r="BS7" s="33"/>
      <c r="BT7" s="115" t="s">
        <v>19</v>
      </c>
      <c r="BU7" s="33"/>
      <c r="BV7" s="38">
        <v>0.0</v>
      </c>
      <c r="BW7" s="116">
        <v>0.0</v>
      </c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115" t="s">
        <v>16</v>
      </c>
      <c r="C8" s="33"/>
      <c r="D8" s="33"/>
      <c r="E8" s="116">
        <v>100.0</v>
      </c>
      <c r="F8" s="33"/>
      <c r="G8" s="115" t="s">
        <v>64</v>
      </c>
      <c r="H8" s="33"/>
      <c r="I8" s="33"/>
      <c r="J8" s="33"/>
      <c r="K8" s="116">
        <v>187.650105</v>
      </c>
      <c r="L8" s="116">
        <v>187.650105</v>
      </c>
      <c r="M8" s="33"/>
      <c r="N8" s="33"/>
      <c r="O8" s="33"/>
      <c r="P8" s="33"/>
      <c r="Q8" s="33"/>
      <c r="R8" s="33"/>
      <c r="S8" s="33"/>
      <c r="T8" s="38">
        <v>0.0</v>
      </c>
      <c r="U8" s="38">
        <v>0.0</v>
      </c>
      <c r="V8" s="33"/>
      <c r="W8" s="33"/>
      <c r="X8" s="33"/>
      <c r="Y8" s="33"/>
      <c r="Z8" s="33"/>
      <c r="AA8" s="33"/>
      <c r="AB8" s="33"/>
      <c r="AC8" s="33"/>
      <c r="AD8" s="33"/>
      <c r="AE8" s="38">
        <v>100.0</v>
      </c>
      <c r="AF8" s="33"/>
      <c r="AG8" s="33"/>
      <c r="AH8" s="33"/>
      <c r="AI8" s="38">
        <v>1.0</v>
      </c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118">
        <v>18765.0105</v>
      </c>
      <c r="AU8" s="118">
        <v>18765.0105</v>
      </c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8">
        <v>100.0</v>
      </c>
      <c r="BK8" s="33"/>
      <c r="BL8" s="33"/>
      <c r="BM8" s="33"/>
      <c r="BN8" s="33"/>
      <c r="BO8" s="115" t="s">
        <v>20</v>
      </c>
      <c r="BP8" s="38">
        <v>0.0</v>
      </c>
      <c r="BQ8" s="38">
        <v>0.0</v>
      </c>
      <c r="BR8" s="33"/>
      <c r="BS8" s="33"/>
      <c r="BT8" s="115" t="s">
        <v>19</v>
      </c>
      <c r="BU8" s="33"/>
      <c r="BV8" s="38">
        <v>0.0</v>
      </c>
      <c r="BW8" s="116">
        <v>0.0</v>
      </c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115" t="s">
        <v>16</v>
      </c>
      <c r="C9" s="33"/>
      <c r="D9" s="33"/>
      <c r="E9" s="116">
        <v>33.0</v>
      </c>
      <c r="F9" s="33"/>
      <c r="G9" s="115" t="s">
        <v>64</v>
      </c>
      <c r="H9" s="33"/>
      <c r="I9" s="33"/>
      <c r="J9" s="33"/>
      <c r="K9" s="116">
        <v>341.182009090909</v>
      </c>
      <c r="L9" s="116">
        <v>341.182009090909</v>
      </c>
      <c r="M9" s="33"/>
      <c r="N9" s="33"/>
      <c r="O9" s="33"/>
      <c r="P9" s="33"/>
      <c r="Q9" s="33"/>
      <c r="R9" s="33"/>
      <c r="S9" s="33"/>
      <c r="T9" s="38">
        <v>0.0</v>
      </c>
      <c r="U9" s="38">
        <v>0.0</v>
      </c>
      <c r="V9" s="33"/>
      <c r="W9" s="33"/>
      <c r="X9" s="33"/>
      <c r="Y9" s="33"/>
      <c r="Z9" s="33"/>
      <c r="AA9" s="33"/>
      <c r="AB9" s="33"/>
      <c r="AC9" s="33"/>
      <c r="AD9" s="33"/>
      <c r="AE9" s="38">
        <v>33.0</v>
      </c>
      <c r="AF9" s="33"/>
      <c r="AG9" s="33"/>
      <c r="AH9" s="33"/>
      <c r="AI9" s="38">
        <v>1.0</v>
      </c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118">
        <v>11259.0063</v>
      </c>
      <c r="AU9" s="118">
        <v>11259.0063</v>
      </c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8">
        <v>33.0</v>
      </c>
      <c r="BK9" s="33"/>
      <c r="BL9" s="33"/>
      <c r="BM9" s="33"/>
      <c r="BN9" s="33"/>
      <c r="BO9" s="115" t="s">
        <v>20</v>
      </c>
      <c r="BP9" s="38">
        <v>0.0</v>
      </c>
      <c r="BQ9" s="38">
        <v>0.0</v>
      </c>
      <c r="BR9" s="33"/>
      <c r="BS9" s="33"/>
      <c r="BT9" s="115" t="s">
        <v>47</v>
      </c>
      <c r="BU9" s="33"/>
      <c r="BV9" s="38">
        <v>0.0</v>
      </c>
      <c r="BW9" s="116">
        <v>0.0</v>
      </c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