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CancelAllSubs" sheetId="7" r:id="rId9"/>
    <sheet state="visible" name="VerifyOrder" sheetId="8" r:id="rId10"/>
    <sheet state="visible" name="VerifySubOrder" sheetId="9" r:id="rId11"/>
    <sheet state="visible" name="VerifyWorkingSubs" sheetId="10" r:id="rId12"/>
    <sheet state="visible" name="SelectTradeOnOrderGrid" sheetId="11" r:id="rId13"/>
  </sheets>
  <definedNames/>
  <calcPr/>
</workbook>
</file>

<file path=xl/sharedStrings.xml><?xml version="1.0" encoding="utf-8"?>
<sst xmlns="http://schemas.openxmlformats.org/spreadsheetml/2006/main" count="99" uniqueCount="32">
  <si>
    <t>Modules Info</t>
  </si>
  <si>
    <t>Modules</t>
  </si>
  <si>
    <t>Settings</t>
  </si>
  <si>
    <t>Module Step Setting File</t>
  </si>
  <si>
    <t>12JGA8V5NgTrTsDZn5CARyqaETD-zrjjkipRXhBacCt0</t>
  </si>
  <si>
    <t>Master Data Settings File</t>
  </si>
  <si>
    <t>1EGvQ4gQZof5ChEr7TLuvC_9b1eGAQgRVRtrGCIOSzkc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</si>
  <si>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</si>
  <si>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</si>
  <si>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</si>
  <si>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</si>
  <si>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</si>
  <si>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</si>
  <si>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</si>
  <si>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</si>
  <si>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</si>
  <si>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AMZN</t>
  </si>
  <si>
    <t>Buy</t>
  </si>
  <si>
    <t>Allocation1</t>
  </si>
  <si>
    <t>Market</t>
  </si>
  <si>
    <t>Blotter</t>
  </si>
  <si>
    <t>TradeNewSubOrder</t>
  </si>
  <si>
    <t>New</t>
  </si>
  <si>
    <t>CreateNewSubOrder</t>
  </si>
  <si>
    <t>Unallocated</t>
  </si>
  <si>
    <t>CancelAllSubs</t>
  </si>
  <si>
    <t>PartiallyFilled</t>
  </si>
  <si>
    <t>VerifyOrder</t>
  </si>
  <si>
    <t>VerifySubOrder</t>
  </si>
  <si>
    <t>Cancelled</t>
  </si>
  <si>
    <t>VerifyWorkingSubs</t>
  </si>
  <si>
    <t>SelectTradeOnOrderGrid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</si>
</sst>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30">
        <v>1000.0</v>
      </c>
      <c r="E6" s="9">
        <v>0.0</v>
      </c>
      <c r="F6" s="11" t="s">
        <v>18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22</v>
      </c>
      <c r="AL6" s="9">
        <v>1000.0</v>
      </c>
      <c r="AP6" s="9">
        <v>1000.0</v>
      </c>
      <c r="AQ6" s="9">
        <v>0.0</v>
      </c>
      <c r="AR6" s="9">
        <v>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IFERROR(__xludf.DUMMYFUNCTION("""COMPUTED_VALUE"""),"Rate(%)")</f>
        <v>Rate(%)</v>
      </c>
      <c r="AQ5" s="29" t="str">
        <f>IFERROR(__xludf.DUMMYFUNCTION("""COMPUTED_VALUE"""),"AllowTrade")</f>
        <v>AllowTrade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600.0</v>
      </c>
      <c r="E6" s="11">
        <v>300.0</v>
      </c>
      <c r="F6" s="9" t="s">
        <v>24</v>
      </c>
      <c r="G6" s="8"/>
      <c r="H6" s="8"/>
      <c r="I6" s="11" t="s">
        <v>19</v>
      </c>
      <c r="J6" s="11">
        <v>50.0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11">
        <v>300.0</v>
      </c>
      <c r="H6" s="8"/>
      <c r="I6" s="8"/>
      <c r="J6" s="8"/>
      <c r="K6" s="8"/>
      <c r="L6" s="8"/>
      <c r="M6" s="8"/>
      <c r="N6" s="8"/>
      <c r="O6" s="8"/>
      <c r="AB6" s="9">
        <v>300.0</v>
      </c>
      <c r="AI6" s="9" t="s">
        <v>16</v>
      </c>
      <c r="AJ6" s="9" t="s">
        <v>17</v>
      </c>
      <c r="AK6" s="9" t="s">
        <v>26</v>
      </c>
      <c r="AL6" s="9">
        <v>1000.0</v>
      </c>
      <c r="AM6" s="9">
        <v>300.0</v>
      </c>
      <c r="AN6" s="9">
        <v>30.0</v>
      </c>
      <c r="AO6" s="9">
        <v>300.0</v>
      </c>
      <c r="AP6" s="9">
        <v>400.0</v>
      </c>
      <c r="AQ6" s="9">
        <v>50.0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CancelAllSubs!$4:$4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26</v>
      </c>
      <c r="AL6" s="9">
        <v>1000.0</v>
      </c>
      <c r="AM6" s="9">
        <v>300.0</v>
      </c>
      <c r="AN6" s="9">
        <v>30.0</v>
      </c>
      <c r="AO6" s="9">
        <v>300.0</v>
      </c>
      <c r="AP6" s="9">
        <v>700.0</v>
      </c>
      <c r="AQ6" s="9">
        <v>0.0</v>
      </c>
      <c r="AR6" s="9">
        <v>50.0</v>
      </c>
      <c r="AU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17</v>
      </c>
      <c r="AK6" s="9" t="s">
        <v>29</v>
      </c>
      <c r="AL6" s="9">
        <v>600.0</v>
      </c>
      <c r="AM6" s="9">
        <v>300.0</v>
      </c>
      <c r="AN6" s="9"/>
      <c r="AO6" s="9">
        <v>0.0</v>
      </c>
      <c r="AP6" s="9">
        <v>50.0</v>
      </c>
      <c r="AQ6" s="9"/>
      <c r="AS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11" t="s">
        <v>17</v>
      </c>
      <c r="D6" s="11">
        <v>600.0</v>
      </c>
      <c r="E6" s="11">
        <v>300.0</v>
      </c>
      <c r="F6" s="11">
        <v>300.0</v>
      </c>
      <c r="G6" s="11" t="s">
        <v>29</v>
      </c>
      <c r="H6" s="11"/>
      <c r="I6" s="11">
        <v>0.0</v>
      </c>
      <c r="J6" s="11">
        <v>50.0</v>
      </c>
      <c r="K6" s="8"/>
      <c r="L6" s="8"/>
      <c r="M6" s="11" t="s">
        <v>19</v>
      </c>
      <c r="N6" s="8"/>
      <c r="O6" s="8"/>
      <c r="AI6" s="9"/>
      <c r="AJ6" s="9"/>
      <c r="AK6" s="9"/>
      <c r="AL6" s="9"/>
      <c r="AM6" s="9"/>
      <c r="AN6" s="9"/>
      <c r="AO6" s="9"/>
      <c r="AP6" s="9"/>
      <c r="AQ6" s="9"/>
      <c r="AR6" s="9"/>
      <c r="AU6" s="9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IFERROR(__xludf.DUMMYFUNCTION("""COMPUTED_VALUE"""),"AddTab")</f>
        <v>AddTab</v>
      </c>
      <c r="BK4" s="25" t="str">
        <f>IFERROR(__xludf.DUMMYFUNCTION("""COMPUTED_VALUE"""),"RemoveTab")</f>
        <v>RemoveTab</v>
      </c>
      <c r="BL4" s="25" t="str">
        <f>IFERROR(__xludf.DUMMYFUNCTION("""COMPUTED_VALUE"""),"SelectCustomTab")</f>
        <v>SelectCustomTab</v>
      </c>
      <c r="BM4" s="25" t="str">
        <f>IFERROR(__xludf.DUMMYFUNCTION("""COMPUTED_VALUE"""),"VerifyOrderCustomTab")</f>
        <v>VerifyOrderCustomTab</v>
      </c>
      <c r="BN4" s="25" t="str">
        <f>IFERROR(__xludf.DUMMYFUNCTION("""COMPUTED_VALUE"""),"VerifySubOrderCustomTab")</f>
        <v>VerifySubOrderCustomTab</v>
      </c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16</v>
      </c>
      <c r="E6" s="30"/>
      <c r="F6" s="11" t="s">
        <v>17</v>
      </c>
      <c r="G6" s="11" t="s">
        <v>26</v>
      </c>
      <c r="H6" s="11">
        <v>1000.0</v>
      </c>
      <c r="I6" s="11">
        <v>300.0</v>
      </c>
      <c r="J6" s="11">
        <v>30.0</v>
      </c>
      <c r="K6" s="8"/>
      <c r="L6" s="11">
        <v>700.0</v>
      </c>
      <c r="M6" s="11"/>
      <c r="N6" s="11">
        <v>0.0</v>
      </c>
      <c r="O6" s="8"/>
      <c r="P6" s="9">
        <v>50.0</v>
      </c>
      <c r="T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