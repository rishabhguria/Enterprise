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6" activeTab="9"/>
  </bookViews>
  <sheets>
    <sheet name="_Modules" sheetId="1" r:id="rId1"/>
    <sheet name="_Settings" sheetId="2" r:id="rId2"/>
    <sheet name="_MasterData" sheetId="3" r:id="rId3"/>
    <sheet name="CreateDoneAwayOrder" sheetId="4" r:id="rId4"/>
    <sheet name="PricingInput" sheetId="5" r:id="rId5"/>
    <sheet name="GetDayEndCash" sheetId="6" r:id="rId6"/>
    <sheet name="CreateDoneAwayOrder1" sheetId="7" r:id="rId7"/>
    <sheet name="GetMarkPriceData" sheetId="8" r:id="rId8"/>
    <sheet name="UpdateMarkPrice" sheetId="9" r:id="rId9"/>
    <sheet name="CheckPortfolioManagement" sheetId="10" r:id="rId10"/>
    <sheet name="DeleteClientData" sheetId="11" r:id="rId11"/>
  </sheets>
  <calcPr calcId="145621"/>
</workbook>
</file>

<file path=xl/calcChain.xml><?xml version="1.0" encoding="utf-8"?>
<calcChain xmlns="http://schemas.openxmlformats.org/spreadsheetml/2006/main">
  <c r="J2" i="11" l="1"/>
  <c r="J2" i="10"/>
  <c r="J2" i="9"/>
  <c r="C6" i="8"/>
  <c r="B6" i="8"/>
  <c r="J2" i="8"/>
  <c r="N7" i="7"/>
  <c r="N6" i="7"/>
  <c r="J2" i="7"/>
  <c r="E6" i="6"/>
  <c r="D6" i="6"/>
  <c r="J2" i="6"/>
  <c r="J2" i="5"/>
  <c r="N7" i="4"/>
  <c r="N6" i="4"/>
  <c r="J2" i="4"/>
  <c r="BK5" i="10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FE5" i="10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FC4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FD5" i="10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FJ4" i="10"/>
  <c r="FB4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FJ5" i="10"/>
  <c r="FB5" i="10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FH4" i="10"/>
  <c r="EZ4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FI5" i="10"/>
  <c r="FA5" i="10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FG4" i="10"/>
  <c r="EY4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FH5" i="10"/>
  <c r="EZ5" i="10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FF4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FG5" i="10"/>
  <c r="EY5" i="10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FE4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FF5" i="10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FD4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FC5" i="10"/>
  <c r="CQ5" i="10"/>
  <c r="AE5" i="10"/>
  <c r="EC4" i="10"/>
  <c r="BQ4" i="10"/>
  <c r="E4" i="10"/>
  <c r="DW5" i="9"/>
  <c r="CQ5" i="9"/>
  <c r="BK5" i="9"/>
  <c r="AE5" i="9"/>
  <c r="EW4" i="9"/>
  <c r="DQ4" i="9"/>
  <c r="CW4" i="9"/>
  <c r="CG4" i="9"/>
  <c r="BQ4" i="9"/>
  <c r="BA4" i="9"/>
  <c r="AK4" i="9"/>
  <c r="U4" i="9"/>
  <c r="I4" i="9"/>
  <c r="EP5" i="8"/>
  <c r="EG5" i="8"/>
  <c r="DX5" i="8"/>
  <c r="DO5" i="8"/>
  <c r="DE5" i="8"/>
  <c r="CV5" i="8"/>
  <c r="CM5" i="8"/>
  <c r="CD5" i="8"/>
  <c r="BU5" i="8"/>
  <c r="BL5" i="8"/>
  <c r="BC5" i="8"/>
  <c r="AS5" i="8"/>
  <c r="AJ5" i="8"/>
  <c r="AA5" i="8"/>
  <c r="R5" i="8"/>
  <c r="I5" i="8"/>
  <c r="EX4" i="8"/>
  <c r="EO4" i="8"/>
  <c r="EE4" i="8"/>
  <c r="DV4" i="8"/>
  <c r="DM4" i="8"/>
  <c r="DD4" i="8"/>
  <c r="CU4" i="8"/>
  <c r="CL4" i="8"/>
  <c r="CD4" i="8"/>
  <c r="BV4" i="8"/>
  <c r="BN4" i="8"/>
  <c r="BF4" i="8"/>
  <c r="AX4" i="8"/>
  <c r="AP4" i="8"/>
  <c r="AH4" i="8"/>
  <c r="Z4" i="8"/>
  <c r="R4" i="8"/>
  <c r="J4" i="8"/>
  <c r="B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EU5" i="10"/>
  <c r="CI5" i="10"/>
  <c r="W5" i="10"/>
  <c r="DU4" i="10"/>
  <c r="BI4" i="10"/>
  <c r="DS5" i="9"/>
  <c r="CM5" i="9"/>
  <c r="BG5" i="9"/>
  <c r="AA5" i="9"/>
  <c r="ES4" i="9"/>
  <c r="DN4" i="9"/>
  <c r="CU4" i="9"/>
  <c r="CE4" i="9"/>
  <c r="BO4" i="9"/>
  <c r="AY4" i="9"/>
  <c r="AI4" i="9"/>
  <c r="T4" i="9"/>
  <c r="G4" i="9"/>
  <c r="EX5" i="8"/>
  <c r="EO5" i="8"/>
  <c r="EF5" i="8"/>
  <c r="DW5" i="8"/>
  <c r="DM5" i="8"/>
  <c r="DD5" i="8"/>
  <c r="CU5" i="8"/>
  <c r="CL5" i="8"/>
  <c r="CC5" i="8"/>
  <c r="BT5" i="8"/>
  <c r="BK5" i="8"/>
  <c r="BA5" i="8"/>
  <c r="AR5" i="8"/>
  <c r="AI5" i="8"/>
  <c r="Z5" i="8"/>
  <c r="Q5" i="8"/>
  <c r="H5" i="8"/>
  <c r="EW4" i="8"/>
  <c r="EM4" i="8"/>
  <c r="ED4" i="8"/>
  <c r="DU4" i="8"/>
  <c r="DL4" i="8"/>
  <c r="DC4" i="8"/>
  <c r="CT4" i="8"/>
  <c r="CK4" i="8"/>
  <c r="CC4" i="8"/>
  <c r="BU4" i="8"/>
  <c r="BM4" i="8"/>
  <c r="BE4" i="8"/>
  <c r="AW4" i="8"/>
  <c r="AO4" i="8"/>
  <c r="AG4" i="8"/>
  <c r="Y4" i="8"/>
  <c r="Q4" i="8"/>
  <c r="I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EM5" i="10"/>
  <c r="CA5" i="10"/>
  <c r="O5" i="10"/>
  <c r="DM4" i="10"/>
  <c r="BA4" i="10"/>
  <c r="EU5" i="9"/>
  <c r="DO5" i="9"/>
  <c r="CI5" i="9"/>
  <c r="BC5" i="9"/>
  <c r="W5" i="9"/>
  <c r="EO4" i="9"/>
  <c r="DM4" i="9"/>
  <c r="CS4" i="9"/>
  <c r="CC4" i="9"/>
  <c r="BM4" i="9"/>
  <c r="AW4" i="9"/>
  <c r="AG4" i="9"/>
  <c r="S4" i="9"/>
  <c r="F4" i="9"/>
  <c r="EW5" i="8"/>
  <c r="EN5" i="8"/>
  <c r="EE5" i="8"/>
  <c r="DU5" i="8"/>
  <c r="DL5" i="8"/>
  <c r="DC5" i="8"/>
  <c r="CT5" i="8"/>
  <c r="CK5" i="8"/>
  <c r="CB5" i="8"/>
  <c r="BS5" i="8"/>
  <c r="BI5" i="8"/>
  <c r="AZ5" i="8"/>
  <c r="AQ5" i="8"/>
  <c r="AH5" i="8"/>
  <c r="Y5" i="8"/>
  <c r="P5" i="8"/>
  <c r="G5" i="8"/>
  <c r="EU4" i="8"/>
  <c r="EL4" i="8"/>
  <c r="EC4" i="8"/>
  <c r="DT4" i="8"/>
  <c r="DK4" i="8"/>
  <c r="DB4" i="8"/>
  <c r="CS4" i="8"/>
  <c r="CJ4" i="8"/>
  <c r="CB4" i="8"/>
  <c r="BT4" i="8"/>
  <c r="BL4" i="8"/>
  <c r="BD4" i="8"/>
  <c r="AV4" i="8"/>
  <c r="AN4" i="8"/>
  <c r="AF4" i="8"/>
  <c r="X4" i="8"/>
  <c r="P4" i="8"/>
  <c r="H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EE5" i="10"/>
  <c r="BS5" i="10"/>
  <c r="G5" i="10"/>
  <c r="DE4" i="10"/>
  <c r="AS4" i="10"/>
  <c r="EQ5" i="9"/>
  <c r="DK5" i="9"/>
  <c r="CE5" i="9"/>
  <c r="AY5" i="9"/>
  <c r="S5" i="9"/>
  <c r="EK4" i="9"/>
  <c r="DI4" i="9"/>
  <c r="CP4" i="9"/>
  <c r="BZ4" i="9"/>
  <c r="BJ4" i="9"/>
  <c r="AT4" i="9"/>
  <c r="AD4" i="9"/>
  <c r="Q4" i="9"/>
  <c r="E4" i="9"/>
  <c r="EV5" i="8"/>
  <c r="EM5" i="8"/>
  <c r="EC5" i="8"/>
  <c r="DT5" i="8"/>
  <c r="DK5" i="8"/>
  <c r="DB5" i="8"/>
  <c r="CS5" i="8"/>
  <c r="CJ5" i="8"/>
  <c r="CA5" i="8"/>
  <c r="BQ5" i="8"/>
  <c r="BH5" i="8"/>
  <c r="AY5" i="8"/>
  <c r="AP5" i="8"/>
  <c r="AG5" i="8"/>
  <c r="X5" i="8"/>
  <c r="O5" i="8"/>
  <c r="E5" i="8"/>
  <c r="ET4" i="8"/>
  <c r="EK4" i="8"/>
  <c r="EB4" i="8"/>
  <c r="DS4" i="8"/>
  <c r="DJ4" i="8"/>
  <c r="DA4" i="8"/>
  <c r="CQ4" i="8"/>
  <c r="CI4" i="8"/>
  <c r="CA4" i="8"/>
  <c r="BS4" i="8"/>
  <c r="BK4" i="8"/>
  <c r="BC4" i="8"/>
  <c r="AU4" i="8"/>
  <c r="AM4" i="8"/>
  <c r="AE4" i="8"/>
  <c r="W4" i="8"/>
  <c r="O4" i="8"/>
  <c r="G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DW5" i="10"/>
  <c r="FI4" i="10"/>
  <c r="CW4" i="10"/>
  <c r="AK4" i="10"/>
  <c r="EM5" i="9"/>
  <c r="DG5" i="9"/>
  <c r="CA5" i="9"/>
  <c r="AU5" i="9"/>
  <c r="O5" i="9"/>
  <c r="EG4" i="9"/>
  <c r="DF4" i="9"/>
  <c r="CO4" i="9"/>
  <c r="BY4" i="9"/>
  <c r="BI4" i="9"/>
  <c r="AS4" i="9"/>
  <c r="AC4" i="9"/>
  <c r="N4" i="9"/>
  <c r="D4" i="9"/>
  <c r="EU5" i="8"/>
  <c r="EK5" i="8"/>
  <c r="EB5" i="8"/>
  <c r="DS5" i="8"/>
  <c r="DJ5" i="8"/>
  <c r="DA5" i="8"/>
  <c r="CR5" i="8"/>
  <c r="CI5" i="8"/>
  <c r="BY5" i="8"/>
  <c r="BP5" i="8"/>
  <c r="BG5" i="8"/>
  <c r="AX5" i="8"/>
  <c r="AO5" i="8"/>
  <c r="AF5" i="8"/>
  <c r="W5" i="8"/>
  <c r="M5" i="8"/>
  <c r="D5" i="8"/>
  <c r="ES4" i="8"/>
  <c r="EJ4" i="8"/>
  <c r="EA4" i="8"/>
  <c r="DR4" i="8"/>
  <c r="DI4" i="8"/>
  <c r="CY4" i="8"/>
  <c r="CP4" i="8"/>
  <c r="CH4" i="8"/>
  <c r="BZ4" i="8"/>
  <c r="BR4" i="8"/>
  <c r="BJ4" i="8"/>
  <c r="BB4" i="8"/>
  <c r="AT4" i="8"/>
  <c r="AL4" i="8"/>
  <c r="AD4" i="8"/>
  <c r="V4" i="8"/>
  <c r="N4" i="8"/>
  <c r="F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DO5" i="10"/>
  <c r="BC5" i="10"/>
  <c r="FA4" i="10"/>
  <c r="CO4" i="10"/>
  <c r="AC4" i="10"/>
  <c r="EI5" i="9"/>
  <c r="DC5" i="9"/>
  <c r="BW5" i="9"/>
  <c r="AQ5" i="9"/>
  <c r="K5" i="9"/>
  <c r="EC4" i="9"/>
  <c r="DE4" i="9"/>
  <c r="CM4" i="9"/>
  <c r="BW4" i="9"/>
  <c r="BG4" i="9"/>
  <c r="AQ4" i="9"/>
  <c r="AA4" i="9"/>
  <c r="M4" i="9"/>
  <c r="C4" i="9"/>
  <c r="ES5" i="8"/>
  <c r="EJ5" i="8"/>
  <c r="EA5" i="8"/>
  <c r="DR5" i="8"/>
  <c r="DI5" i="8"/>
  <c r="CZ5" i="8"/>
  <c r="CQ5" i="8"/>
  <c r="CG5" i="8"/>
  <c r="BX5" i="8"/>
  <c r="BO5" i="8"/>
  <c r="BF5" i="8"/>
  <c r="AW5" i="8"/>
  <c r="AN5" i="8"/>
  <c r="AE5" i="8"/>
  <c r="U5" i="8"/>
  <c r="L5" i="8"/>
  <c r="C5" i="8"/>
  <c r="ER4" i="8"/>
  <c r="EI4" i="8"/>
  <c r="DZ4" i="8"/>
  <c r="DQ4" i="8"/>
  <c r="DG4" i="8"/>
  <c r="CX4" i="8"/>
  <c r="CO4" i="8"/>
  <c r="CG4" i="8"/>
  <c r="BY4" i="8"/>
  <c r="BQ4" i="8"/>
  <c r="BI4" i="8"/>
  <c r="BA4" i="8"/>
  <c r="AS4" i="8"/>
  <c r="AK4" i="8"/>
  <c r="AC4" i="8"/>
  <c r="U4" i="8"/>
  <c r="M4" i="8"/>
  <c r="E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DG5" i="10"/>
  <c r="AU5" i="10"/>
  <c r="ES4" i="10"/>
  <c r="CG4" i="10"/>
  <c r="U4" i="10"/>
  <c r="EE5" i="9"/>
  <c r="CY5" i="9"/>
  <c r="BS5" i="9"/>
  <c r="AM5" i="9"/>
  <c r="G5" i="9"/>
  <c r="DY4" i="9"/>
  <c r="DA4" i="9"/>
  <c r="CK4" i="9"/>
  <c r="BU4" i="9"/>
  <c r="BE4" i="9"/>
  <c r="AO4" i="9"/>
  <c r="Y4" i="9"/>
  <c r="L4" i="9"/>
  <c r="ER5" i="8"/>
  <c r="EI5" i="8"/>
  <c r="DZ5" i="8"/>
  <c r="DQ5" i="8"/>
  <c r="DH5" i="8"/>
  <c r="CY5" i="8"/>
  <c r="CO5" i="8"/>
  <c r="CF5" i="8"/>
  <c r="BW5" i="8"/>
  <c r="BN5" i="8"/>
  <c r="BE5" i="8"/>
  <c r="AV5" i="8"/>
  <c r="AM5" i="8"/>
  <c r="AC5" i="8"/>
  <c r="T5" i="8"/>
  <c r="K5" i="8"/>
  <c r="B5" i="8"/>
  <c r="EQ4" i="8"/>
  <c r="EH4" i="8"/>
  <c r="DY4" i="8"/>
  <c r="DO4" i="8"/>
  <c r="DF4" i="8"/>
  <c r="CW4" i="8"/>
  <c r="CN4" i="8"/>
  <c r="CF4" i="8"/>
  <c r="BX4" i="8"/>
  <c r="BP4" i="8"/>
  <c r="BH4" i="8"/>
  <c r="AZ4" i="8"/>
  <c r="AR4" i="8"/>
  <c r="AJ4" i="8"/>
  <c r="AB4" i="8"/>
  <c r="T4" i="8"/>
  <c r="L4" i="8"/>
  <c r="D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CY5" i="10"/>
  <c r="AM5" i="10"/>
  <c r="EK4" i="10"/>
  <c r="BY4" i="10"/>
  <c r="M4" i="10"/>
  <c r="EA5" i="9"/>
  <c r="CU5" i="9"/>
  <c r="BO5" i="9"/>
  <c r="AI5" i="9"/>
  <c r="C5" i="9"/>
  <c r="DU4" i="9"/>
  <c r="CX4" i="9"/>
  <c r="CH4" i="9"/>
  <c r="BR4" i="9"/>
  <c r="BB4" i="9"/>
  <c r="AL4" i="9"/>
  <c r="V4" i="9"/>
  <c r="K4" i="9"/>
  <c r="EQ5" i="8"/>
  <c r="EH5" i="8"/>
  <c r="DY5" i="8"/>
  <c r="DP5" i="8"/>
  <c r="DG5" i="8"/>
  <c r="CW5" i="8"/>
  <c r="CN5" i="8"/>
  <c r="CE5" i="8"/>
  <c r="BV5" i="8"/>
  <c r="BM5" i="8"/>
  <c r="BD5" i="8"/>
  <c r="AU5" i="8"/>
  <c r="AK5" i="8"/>
  <c r="AB5" i="8"/>
  <c r="S5" i="8"/>
  <c r="J5" i="8"/>
  <c r="A5" i="8"/>
  <c r="EP4" i="8"/>
  <c r="EG4" i="8"/>
  <c r="DW4" i="8"/>
  <c r="DN4" i="8"/>
  <c r="DE4" i="8"/>
  <c r="CV4" i="8"/>
  <c r="CM4" i="8"/>
  <c r="CE4" i="8"/>
  <c r="BW4" i="8"/>
  <c r="BO4" i="8"/>
  <c r="BG4" i="8"/>
  <c r="AY4" i="8"/>
  <c r="AQ4" i="8"/>
  <c r="AI4" i="8"/>
  <c r="AA4" i="8"/>
  <c r="S4" i="8"/>
  <c r="K4" i="8"/>
  <c r="C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S5" i="6"/>
  <c r="DE4" i="6"/>
  <c r="BC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K5" i="6"/>
  <c r="CW4" i="6"/>
  <c r="BA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5" i="6"/>
  <c r="CO4" i="6"/>
  <c r="AU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ES4" i="6"/>
  <c r="CG4" i="6"/>
  <c r="AS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K4" i="6"/>
  <c r="BY4" i="6"/>
  <c r="AM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EC4" i="6"/>
  <c r="BQ4" i="6"/>
  <c r="AK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DU4" i="6"/>
  <c r="BK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DM4" i="6"/>
  <c r="BI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F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E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D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C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B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841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A759" i="1"/>
  <c r="B758" i="1"/>
  <c r="L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L758" i="1"/>
  <c r="J757" i="1"/>
  <c r="K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K758" i="1"/>
  <c r="I757" i="1"/>
  <c r="J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J758" i="1"/>
  <c r="H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F758" i="1"/>
  <c r="G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E758" i="1"/>
  <c r="F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D758" i="1"/>
  <c r="B757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C758" i="1"/>
  <c r="A757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C673" i="1"/>
  <c r="D672" i="1"/>
  <c r="C671" i="1"/>
  <c r="E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B673" i="1"/>
  <c r="C672" i="1"/>
  <c r="B671" i="1"/>
  <c r="D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A673" i="1"/>
  <c r="K671" i="1"/>
  <c r="A671" i="1"/>
  <c r="C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L672" i="1"/>
  <c r="J671" i="1"/>
  <c r="L670" i="1"/>
  <c r="B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K672" i="1"/>
  <c r="I671" i="1"/>
  <c r="K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G672" i="1"/>
  <c r="H671" i="1"/>
  <c r="H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F672" i="1"/>
  <c r="G671" i="1"/>
  <c r="G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E672" i="1"/>
  <c r="D671" i="1"/>
  <c r="F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C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B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A587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L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A502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L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E501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D501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C501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J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G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F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E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J162" i="1"/>
  <c r="I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G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E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C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B162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A162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K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J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</calcChain>
</file>

<file path=xl/sharedStrings.xml><?xml version="1.0" encoding="utf-8"?>
<sst xmlns="http://schemas.openxmlformats.org/spreadsheetml/2006/main" count="347" uniqueCount="61">
  <si>
    <t>Modules Info</t>
  </si>
  <si>
    <t>Modules</t>
  </si>
  <si>
    <t>Master Data Info</t>
  </si>
  <si>
    <t>Settings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</si>
  <si>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</si>
  <si>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</si>
  <si>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</si>
  <si>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</si>
  <si>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</si>
  <si>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</si>
  <si>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</si>
  <si>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</si>
  <si>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Module Step Setting File</t>
  </si>
  <si>
    <t>1sG6uB28jAaiyaldDeMtbboQN41jJ2tAmE2rg6U9qH5o</t>
  </si>
  <si>
    <t>Master Data Settings File</t>
  </si>
  <si>
    <t>1hEhI9rg16D4Xvfk19pDaFUFF78jjfIG29BBaNg8kT0A</t>
  </si>
  <si>
    <t>PricingInput</t>
  </si>
  <si>
    <t>AAPL</t>
  </si>
  <si>
    <t>MSFT</t>
  </si>
  <si>
    <t>O:AAPL 18B177.50D2</t>
  </si>
  <si>
    <t>O:MSFT 18B104.00D2</t>
  </si>
  <si>
    <t>GeneralLedger</t>
  </si>
  <si>
    <t>GetDayEndCash</t>
  </si>
  <si>
    <t xml:space="preserve">Buy to Open </t>
  </si>
  <si>
    <t>Allocation1</t>
  </si>
  <si>
    <t>GS</t>
  </si>
  <si>
    <t>Flat Amount</t>
  </si>
  <si>
    <t xml:space="preserve">Sell to Open </t>
  </si>
  <si>
    <t xml:space="preserve">Flat Amount </t>
  </si>
  <si>
    <t>NewMF</t>
  </si>
  <si>
    <t>Allocation2</t>
  </si>
  <si>
    <t>DailyValuation</t>
  </si>
  <si>
    <t>GetMarkPriceData</t>
  </si>
  <si>
    <t>UpdateMarkPrice</t>
  </si>
  <si>
    <t>PortfolioManagement</t>
  </si>
  <si>
    <t>CheckPortfolioManagement</t>
  </si>
  <si>
    <t>Long</t>
  </si>
  <si>
    <t>FIMAT</t>
  </si>
  <si>
    <t>Strategy Unallocated</t>
  </si>
  <si>
    <t>EquityOption</t>
  </si>
  <si>
    <t>US</t>
  </si>
  <si>
    <t>OPTS</t>
  </si>
  <si>
    <t>USD</t>
  </si>
  <si>
    <t/>
  </si>
  <si>
    <t>Buy to Open</t>
  </si>
  <si>
    <t>BrokerNotes</t>
  </si>
  <si>
    <t>DefaultNotes</t>
  </si>
  <si>
    <t>Equity Call</t>
  </si>
  <si>
    <t>Undefined</t>
  </si>
  <si>
    <t>jpearce</t>
  </si>
  <si>
    <t>CALL</t>
  </si>
  <si>
    <t>User Defined</t>
  </si>
  <si>
    <t>Default</t>
  </si>
  <si>
    <t>unique</t>
  </si>
  <si>
    <t>Short</t>
  </si>
  <si>
    <t>Sell to Open</t>
  </si>
  <si>
    <t>NewMF1</t>
  </si>
  <si>
    <t>MS</t>
  </si>
  <si>
    <t>CleanUp</t>
  </si>
  <si>
    <t>msft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</si>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</sst>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4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name val="Calibri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4" fillId="3" borderId="4" xfId="0" applyFont="1" applyFill="1" applyBorder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7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9" fillId="0" borderId="0" xfId="0" applyFont="1" applyAlignment="1"/>
    <xf numFmtId="0" fontId="4" fillId="3" borderId="0" xfId="0" applyFont="1" applyFill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8" fillId="0" borderId="0" xfId="0" applyFont="1" applyAlignment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8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14" fontId="8" fillId="0" borderId="0" xfId="0" applyNumberFormat="1" applyFont="1" applyAlignment="1"/>
    <xf numFmtId="0" fontId="2" fillId="0" borderId="0" xfId="0" applyFont="1" applyAlignment="1"/>
    <xf numFmtId="14" fontId="8" fillId="0" borderId="0" xfId="0" applyNumberFormat="1" applyFont="1" applyAlignment="1"/>
    <xf numFmtId="4" fontId="1" fillId="2" borderId="0" xfId="0" applyNumberFormat="1" applyFont="1" applyFill="1" applyAlignment="1">
      <alignment horizontal="center"/>
    </xf>
    <xf numFmtId="4" fontId="2" fillId="2" borderId="0" xfId="0" applyNumberFormat="1" applyFont="1" applyFill="1"/>
    <xf numFmtId="4" fontId="8" fillId="0" borderId="0" xfId="0" applyNumberFormat="1" applyFont="1" applyAlignment="1"/>
    <xf numFmtId="4" fontId="9" fillId="0" borderId="0" xfId="0" applyNumberFormat="1" applyFont="1" applyAlignment="1"/>
    <xf numFmtId="4" fontId="2" fillId="0" borderId="0" xfId="0" applyNumberFormat="1" applyFont="1"/>
    <xf numFmtId="4" fontId="4" fillId="3" borderId="0" xfId="0" applyNumberFormat="1" applyFont="1" applyFill="1" applyAlignment="1"/>
    <xf numFmtId="4" fontId="4" fillId="3" borderId="4" xfId="0" applyNumberFormat="1" applyFont="1" applyFill="1" applyBorder="1" applyAlignment="1"/>
    <xf numFmtId="4" fontId="9" fillId="3" borderId="4" xfId="0" applyNumberFormat="1" applyFont="1" applyFill="1" applyBorder="1" applyAlignment="1"/>
    <xf numFmtId="4" fontId="9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4" fillId="5" borderId="0" xfId="0" applyNumberFormat="1" applyFont="1" applyFill="1" applyAlignment="1"/>
    <xf numFmtId="4" fontId="4" fillId="5" borderId="4" xfId="0" applyNumberFormat="1" applyFont="1" applyFill="1" applyBorder="1" applyAlignment="1"/>
    <xf numFmtId="4" fontId="4" fillId="5" borderId="4" xfId="0" applyNumberFormat="1" applyFont="1" applyFill="1" applyBorder="1" applyAlignment="1"/>
    <xf numFmtId="4" fontId="10" fillId="5" borderId="0" xfId="0" applyNumberFormat="1" applyFont="1" applyFill="1"/>
    <xf numFmtId="4" fontId="8" fillId="0" borderId="0" xfId="0" applyNumberFormat="1" applyFont="1" applyAlignment="1"/>
    <xf numFmtId="4" fontId="13" fillId="0" borderId="0" xfId="0" applyNumberFormat="1" applyFont="1" applyAlignment="1"/>
    <xf numFmtId="4" fontId="14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14" fontId="13" fillId="0" borderId="0" xfId="0" applyNumberFormat="1" applyFont="1" applyAlignment="1"/>
    <xf numFmtId="4" fontId="13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activeCell="F19" sqref="F19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54" t="s">
        <v>0</v>
      </c>
      <c r="B1" s="55"/>
      <c r="C1" s="55"/>
      <c r="D1" s="55"/>
      <c r="E1" s="55"/>
      <c r="F1" s="56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11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11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IFERROR(__xludf.DUMMYFUNCTION("""COMPUTED_VALUE"""),"1ASulLlGAl--JRs7NVIiQ-6Q2Y2P3o7Y40cokKmMg-UA")</f>
        <v>1ASulLlGAl--JRs7NVIiQ-6Q2Y2P3o7Y40cokKmMg-UA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IFERROR(__xludf.DUMMYFUNCTION("""COMPUTED_VALUE"""),"153rAtnJuNh4UK26GjSOxUSjAHcOxzWv7CRGvmhrIJRs")</f>
        <v>153rAtnJuNh4UK26GjSOxUSjAHcOxzWv7CRGvmhrIJRs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IFERROR(__xludf.DUMMYFUNCTION("""COMPUTED_VALUE"""),"14c4GsPTH5D3eyeeKaMiqJQXOT6OiyIKnC2Ey2f-mzXU")</f>
        <v>14c4GsPTH5D3eyeeKaMiqJQXOT6OiyIKnC2Ey2f-mzXU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IFERROR(__xludf.DUMMYFUNCTION("""COMPUTED_VALUE"""),"1FoqTScZHaIaLmwoImnVY7WWuCKEwJNYw8_jsXiT_wz4")</f>
        <v>1FoqTScZHaIaLmwoImnVY7WWuCKEwJNYw8_jsXiT_wz4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IFERROR(__xludf.DUMMYFUNCTION("""COMPUTED_VALUE"""),"1nx-Ntcckcf-w1Yr5yyOw4Vmcr4UsalakHe-CHaRihg0")</f>
        <v>1nx-Ntcckcf-w1Yr5yyOw4Vmcr4UsalakHe-CHaRihg0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IFERROR(__xludf.DUMMYFUNCTION("""COMPUTED_VALUE"""),"1aOr-_cYT21IfJctqcBB50iQOXfB0qUo9bBesL3tt_2o")</f>
        <v>1aOr-_cYT21IfJctqcBB50iQOXfB0qUo9bBesL3tt_2o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IFERROR(__xludf.DUMMYFUNCTION("""COMPUTED_VALUE"""),"1NSNUZ7aVjKq-fJWvjMKU9f1Hhbf0UmIY3RQLFu0_U94")</f>
        <v>1NSNUZ7aVjKq-fJWvjMKU9f1Hhbf0UmIY3RQLFu0_U94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IFERROR(__xludf.DUMMYFUNCTION("""COMPUTED_VALUE"""),"1qcpgHRQFZbpv-NnW8K-CvX_auKXD5UD0KzrBvuBL6yQ")</f>
        <v>1qcpgHRQFZbpv-NnW8K-CvX_auKXD5UD0KzrBvuBL6yQ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IFERROR(__xludf.DUMMYFUNCTION("""COMPUTED_VALUE"""),"1AcxAZQwu6HAEJMCMK3bk08quIeXstZWKnCNeDGuqkgc")</f>
        <v>1AcxAZQwu6HAEJMCMK3bk08quIeXstZWKnCNeDGuqkgc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IFERROR(__xludf.DUMMYFUNCTION("""COMPUTED_VALUE"""),"1VLF0uNJJlumCyBscfuDhTN1tOv-0IRCkYlwfDU8GczQ")</f>
        <v>1VLF0uNJJlumCyBscfuDhTN1tOv-0IRCkYlwfDU8GczQ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IFERROR(__xludf.DUMMYFUNCTION("""COMPUTED_VALUE"""),"1_8MIcc2OK_ojl_V4NIwMLs9H7qkQkwyq9sDf1PpIqc8")</f>
        <v>1_8MIcc2OK_ojl_V4NIwMLs9H7qkQkwyq9sDf1PpIqc8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IFERROR(__xludf.DUMMYFUNCTION("""COMPUTED_VALUE"""),"1tN1tbsnXiVRytGN-WCzTnGTmfRxY2nBklQk3AQSJo2c")</f>
        <v>1tN1tbsnXiVRytGN-WCzTnGTmfRxY2nBklQk3AQSJo2c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IFERROR(__xludf.DUMMYFUNCTION("""COMPUTED_VALUE"""),"1VRRuQCPazoSKAv27NBzQzv_Yw_Kgakw-yyKn6w1zhKU")</f>
        <v>1VRRuQCPazoSKAv27NBzQzv_Yw_Kgakw-yyKn6w1zhKU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IFERROR(__xludf.DUMMYFUNCTION("""COMPUTED_VALUE"""),"1fGo94nf55bWXddEMlTwX902cb1V6cWr9GHWYy_sZ8IU")</f>
        <v>1fGo94nf55bWXddEMlTwX902cb1V6cWr9GHWYy_sZ8IU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IFERROR(__xludf.DUMMYFUNCTION("""COMPUTED_VALUE"""),"1rOMKu0Ez7NdxjtZC05lRrPUSa0tkOQSvbOhxjuijMsU")</f>
        <v>1rOMKu0Ez7NdxjtZC05lRrPUSa0tkOQSvbOhxjuijMsU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IFERROR(__xludf.DUMMYFUNCTION("""COMPUTED_VALUE"""),"1yBi-hp0jcYIFB6ymnlQIlx-pUUkfcjJU7Ap0azBbNcE")</f>
        <v>1yBi-hp0jcYIFB6ymnlQIlx-pUUkfcjJU7Ap0azBbNcE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IFERROR(__xludf.DUMMYFUNCTION("""COMPUTED_VALUE"""),"1x5iUjYB72ZJ35IOvQ_JQkWHV-d1FlgKY3bIxxTpk-f0")</f>
        <v>1x5iUjYB72ZJ35IOvQ_JQkWHV-d1FlgKY3bIxxTpk-f0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IFERROR(__xludf.DUMMYFUNCTION("""COMPUTED_VALUE"""),"1Li5RKULV7Lc2MLczTkVbzq0oDYcFGfTlBUO9__NoODc")</f>
        <v>1Li5RKULV7Lc2MLczTkVbzq0oDYcFGfTlBUO9__NoODc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IFERROR(__xludf.DUMMYFUNCTION("""COMPUTED_VALUE"""),"1vnIE6mL0eHSchRF1qTlJ2JL_Ylu6hiC6uOXpzq7M0BQ")</f>
        <v>1vnIE6mL0eHSchRF1qTlJ2JL_Ylu6hiC6uOXpzq7M0BQ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IFERROR(__xludf.DUMMYFUNCTION("""COMPUTED_VALUE"""),"1KCMHfIqMprTfc21JY7-_BuJZCbNmjdI-pAMs1UtHRgM")</f>
        <v>1KCMHfIqMprTfc21JY7-_BuJZCbNmjdI-pAMs1UtHRgM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IFERROR(__xludf.DUMMYFUNCTION("""COMPUTED_VALUE"""),"1tRgcAtzRVDm6tX53uSpBOxZNBYm4sTcJiDaR4fxdfwY")</f>
        <v>1tRgcAtzRVDm6tX53uSpBOxZNBYm4sTcJiDaR4fxdfwY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IFERROR(__xludf.DUMMYFUNCTION("""COMPUTED_VALUE"""),"12DQ8VFmnoIi6USj-pAupggGf1Uakm-iIEO9IboOJPds")</f>
        <v>12DQ8VFmnoIi6USj-pAupggGf1Uakm-iIEO9IboOJPds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IFERROR(__xludf.DUMMYFUNCTION("""COMPUTED_VALUE"""),"1EinrxkfbLK2Tdj1nGXu4y1H2zmS6g6G85Hm0vYSOHlA")</f>
        <v>1EinrxkfbLK2Tdj1nGXu4y1H2zmS6g6G85Hm0vYSOHlA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IFERROR(__xludf.DUMMYFUNCTION("""COMPUTED_VALUE"""),"1qeUVChEAj0eKA7tNZsUWM4FcqW347Jcsk_tvw1-FP3s")</f>
        <v>1qeUVChEAj0eKA7tNZsUWM4FcqW347Jcsk_tvw1-FP3s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IFERROR(__xludf.DUMMYFUNCTION("""COMPUTED_VALUE"""),"1aVxYFzFjJM4FVvXjfioQc67hI5XgzzCTHLg8f7lbJhU")</f>
        <v>1aVxYFzFjJM4FVvXjfioQc67hI5XgzzCTHLg8f7lbJhU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IFERROR(__xludf.DUMMYFUNCTION("""COMPUTED_VALUE"""),"1Fe8M8KnrsIcnAobjXa43I9IzXKCnB39xCSYterKkeEc")</f>
        <v>1Fe8M8KnrsIcnAobjXa43I9IzXKCnB39xCSYterKkeEc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IFERROR(__xludf.DUMMYFUNCTION("""COMPUTED_VALUE"""),"1qJHd_QH5ht3ZzeFZbKiVeEOBmlpAshwV72N701B28uk")</f>
        <v>1qJHd_QH5ht3ZzeFZbKiVeEOBmlpAshwV72N701B28uk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0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7" t="s">
        <v>3</v>
      </c>
      <c r="B1" s="55"/>
      <c r="C1" s="56"/>
    </row>
    <row r="2" spans="1:3" ht="15.75" customHeight="1">
      <c r="A2" s="11"/>
      <c r="B2" s="11"/>
      <c r="C2" s="11"/>
    </row>
    <row r="3" spans="1:3" ht="15.75" customHeight="1">
      <c r="A3" s="2" t="s">
        <v>12</v>
      </c>
      <c r="B3" s="19" t="s">
        <v>13</v>
      </c>
      <c r="C3" s="11"/>
    </row>
    <row r="4" spans="1:3" ht="15.75" customHeight="1">
      <c r="A4" s="5" t="s">
        <v>14</v>
      </c>
      <c r="B4" s="19" t="s">
        <v>15</v>
      </c>
      <c r="C4" s="11"/>
    </row>
    <row r="5" spans="1:3" ht="15.75" customHeight="1">
      <c r="A5" s="15"/>
      <c r="B5" s="11"/>
      <c r="C5" s="11"/>
    </row>
    <row r="6" spans="1:3" ht="15.75" customHeight="1">
      <c r="A6" s="15"/>
      <c r="B6" s="11"/>
      <c r="C6" s="11"/>
    </row>
    <row r="7" spans="1:3" ht="15.75" customHeight="1">
      <c r="A7" s="15"/>
      <c r="B7" s="11"/>
      <c r="C7" s="11"/>
    </row>
    <row r="8" spans="1:3" ht="15.75" customHeight="1">
      <c r="A8" s="15"/>
      <c r="B8" s="11"/>
      <c r="C8" s="11"/>
    </row>
    <row r="9" spans="1:3" ht="15.75" customHeight="1">
      <c r="A9" s="15"/>
      <c r="B9" s="11"/>
      <c r="C9" s="11"/>
    </row>
    <row r="10" spans="1:3" ht="15.75" customHeight="1">
      <c r="A10" s="15"/>
      <c r="B10" s="11"/>
      <c r="C10" s="11"/>
    </row>
    <row r="11" spans="1:3" ht="15.75" customHeight="1">
      <c r="A11" s="15"/>
      <c r="B11" s="11"/>
      <c r="C11" s="11"/>
    </row>
    <row r="12" spans="1:3" ht="15.75" customHeight="1">
      <c r="A12" s="15"/>
      <c r="B12" s="11"/>
      <c r="C12" s="11"/>
    </row>
    <row r="13" spans="1:3" ht="15.75" customHeight="1">
      <c r="A13" s="15"/>
      <c r="B13" s="11"/>
      <c r="C13" s="11"/>
    </row>
    <row r="14" spans="1:3" ht="15.75" customHeight="1">
      <c r="A14" s="15"/>
      <c r="B14" s="11"/>
      <c r="C14" s="11"/>
    </row>
    <row r="15" spans="1:3" ht="15.75" customHeight="1">
      <c r="A15" s="15"/>
      <c r="B15" s="11"/>
      <c r="C15" s="11"/>
    </row>
    <row r="16" spans="1:3" ht="15.75" customHeight="1">
      <c r="A16" s="15"/>
      <c r="B16" s="11"/>
      <c r="C16" s="11"/>
    </row>
    <row r="17" spans="1:3" ht="15.75" customHeight="1">
      <c r="A17" s="15"/>
      <c r="B17" s="11"/>
      <c r="C17" s="11"/>
    </row>
    <row r="18" spans="1:3" ht="15.75" customHeight="1">
      <c r="A18" s="15"/>
      <c r="B18" s="11"/>
      <c r="C18" s="11"/>
    </row>
    <row r="19" spans="1:3" ht="15.75" customHeight="1">
      <c r="A19" s="15"/>
      <c r="B19" s="11"/>
      <c r="C19" s="11"/>
    </row>
    <row r="20" spans="1:3" ht="15.75" customHeight="1">
      <c r="A20" s="15"/>
      <c r="B20" s="11"/>
      <c r="C20" s="11"/>
    </row>
    <row r="21" spans="1:3" ht="15.75" customHeight="1">
      <c r="A21" s="15"/>
      <c r="B21" s="11"/>
      <c r="C21" s="11"/>
    </row>
    <row r="22" spans="1:3" ht="15.75" customHeight="1">
      <c r="A22" s="15"/>
      <c r="B22" s="11"/>
      <c r="C22" s="1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4" t="s">
        <v>2</v>
      </c>
      <c r="B1" s="55"/>
      <c r="C1" s="55"/>
      <c r="D1" s="55"/>
      <c r="E1" s="55"/>
      <c r="F1" s="56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5" t="s">
        <v>4</v>
      </c>
      <c r="B3" s="6" t="s">
        <v>5</v>
      </c>
      <c r="C3" s="6" t="s">
        <v>6</v>
      </c>
      <c r="D3" s="7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9"/>
      <c r="B1" s="54" t="s">
        <v>7</v>
      </c>
      <c r="C1" s="55"/>
      <c r="D1" s="55"/>
      <c r="E1" s="55"/>
      <c r="F1" s="55"/>
      <c r="G1" s="55"/>
      <c r="H1" s="56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11"/>
      <c r="B2" s="11"/>
      <c r="C2" s="11"/>
      <c r="D2" s="11"/>
      <c r="E2" s="11"/>
      <c r="F2" s="11"/>
      <c r="G2" s="11"/>
      <c r="H2" s="11"/>
      <c r="I2" s="11"/>
      <c r="J2" s="12" t="e">
        <f>VLOOKUP($E$3,_MasterData!B4:D1000,3,FALSE)</f>
        <v>#N/A</v>
      </c>
      <c r="K2" s="12"/>
      <c r="L2" s="11"/>
      <c r="M2" s="11"/>
      <c r="N2" s="11"/>
      <c r="O2" s="11"/>
    </row>
    <row r="3" spans="1:154" ht="15.75" customHeight="1">
      <c r="A3" s="13"/>
      <c r="B3" s="2" t="s">
        <v>4</v>
      </c>
      <c r="C3" s="14" t="s">
        <v>8</v>
      </c>
      <c r="D3" s="2" t="s">
        <v>5</v>
      </c>
      <c r="E3" s="14" t="s">
        <v>9</v>
      </c>
      <c r="F3" s="2" t="s">
        <v>10</v>
      </c>
      <c r="G3" s="15" t="s">
        <v>11</v>
      </c>
      <c r="H3" s="2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spans="1:154" ht="15.75" customHeight="1">
      <c r="A4" s="17"/>
      <c r="B4" s="17" t="str">
        <f ca="1">IFERROR(__xludf.DUMMYFUNCTION("IF(C3="""","""",Transpose(IMPORTRANGE('_Settings'!$B$3,C3&amp;""!A4:A1000"")))"),"OpenTTFromPST")</f>
        <v>OpenTTFromPST</v>
      </c>
      <c r="C4" s="17" t="str">
        <f ca="1">IFERROR(__xludf.DUMMYFUNCTION("""COMPUTED_VALUE"""),"EnterDetailsOnTT")</f>
        <v>EnterDetailsOnTT</v>
      </c>
      <c r="D4" s="17" t="str">
        <f ca="1">IFERROR(__xludf.DUMMYFUNCTION("""COMPUTED_VALUE"""),"ValidateSymbolTT")</f>
        <v>ValidateSymbolTT</v>
      </c>
      <c r="E4" s="17" t="str">
        <f ca="1">IFERROR(__xludf.DUMMYFUNCTION("""COMPUTED_VALUE"""),"VerifyDataTT")</f>
        <v>VerifyDataTT</v>
      </c>
      <c r="F4" s="17" t="str">
        <f ca="1">IFERROR(__xludf.DUMMYFUNCTION("""COMPUTED_VALUE"""),"SetUIPreferencesTT")</f>
        <v>SetUIPreferencesTT</v>
      </c>
      <c r="G4" s="17" t="str">
        <f ca="1">IFERROR(__xludf.DUMMYFUNCTION("""COMPUTED_VALUE"""),"SetBrokerWisePreferencesTT")</f>
        <v>SetBrokerWisePreferencesTT</v>
      </c>
      <c r="H4" s="17" t="str">
        <f ca="1">IFERROR(__xludf.DUMMYFUNCTION("""COMPUTED_VALUE"""),"TradeNewSub")</f>
        <v>TradeNewSub</v>
      </c>
      <c r="I4" s="17" t="str">
        <f ca="1">IFERROR(__xludf.DUMMYFUNCTION("""COMPUTED_VALUE"""),"CreateStageOrder")</f>
        <v>CreateStageOrder</v>
      </c>
      <c r="J4" s="17" t="str">
        <f ca="1">IFERROR(__xludf.DUMMYFUNCTION("""COMPUTED_VALUE"""),"CreateReplaceOrder")</f>
        <v>CreateReplaceOrder</v>
      </c>
      <c r="K4" s="17" t="str">
        <f ca="1">IFERROR(__xludf.DUMMYFUNCTION("""COMPUTED_VALUE"""),"SetGeneralPreference")</f>
        <v>SetGeneralPreference</v>
      </c>
      <c r="L4" s="17" t="str">
        <f ca="1">IFERROR(__xludf.DUMMYFUNCTION("""COMPUTED_VALUE"""),"CreateDoneAwayOrder")</f>
        <v>CreateDoneAwayOrder</v>
      </c>
      <c r="M4" s="17" t="str">
        <f ca="1">IFERROR(__xludf.DUMMYFUNCTION("""COMPUTED_VALUE"""),"CreateNewSubOrder")</f>
        <v>CreateNewSubOrder</v>
      </c>
      <c r="N4" s="17" t="str">
        <f ca="1">IFERROR(__xludf.DUMMYFUNCTION("""COMPUTED_VALUE"""),"TradeBloomberg")</f>
        <v>TradeBloomberg</v>
      </c>
      <c r="O4" s="17" t="str">
        <f ca="1">IFERROR(__xludf.DUMMYFUNCTION("""COMPUTED_VALUE"""),"ClickSymbolLookup")</f>
        <v>ClickSymbolLookup</v>
      </c>
      <c r="P4" s="18" t="str">
        <f ca="1">IFERROR(__xludf.DUMMYFUNCTION("""COMPUTED_VALUE"""),"VerifyTT")</f>
        <v>VerifyTT</v>
      </c>
      <c r="Q4" s="18" t="str">
        <f ca="1">IFERROR(__xludf.DUMMYFUNCTION("""COMPUTED_VALUE"""),"")</f>
        <v/>
      </c>
      <c r="R4" s="18" t="str">
        <f ca="1">IFERROR(__xludf.DUMMYFUNCTION("""COMPUTED_VALUE"""),"")</f>
        <v/>
      </c>
      <c r="S4" s="18" t="str">
        <f ca="1">IFERROR(__xludf.DUMMYFUNCTION("""COMPUTED_VALUE"""),"")</f>
        <v/>
      </c>
      <c r="T4" s="18" t="str">
        <f ca="1">IFERROR(__xludf.DUMMYFUNCTION("""COMPUTED_VALUE"""),"")</f>
        <v/>
      </c>
      <c r="U4" s="18" t="str">
        <f ca="1">IFERROR(__xludf.DUMMYFUNCTION("""COMPUTED_VALUE"""),"")</f>
        <v/>
      </c>
      <c r="V4" s="18" t="str">
        <f ca="1">IFERROR(__xludf.DUMMYFUNCTION("""COMPUTED_VALUE"""),"")</f>
        <v/>
      </c>
      <c r="W4" s="18" t="str">
        <f ca="1">IFERROR(__xludf.DUMMYFUNCTION("""COMPUTED_VALUE"""),"")</f>
        <v/>
      </c>
      <c r="X4" s="18" t="str">
        <f ca="1">IFERROR(__xludf.DUMMYFUNCTION("""COMPUTED_VALUE"""),"")</f>
        <v/>
      </c>
      <c r="Y4" s="18" t="str">
        <f ca="1">IFERROR(__xludf.DUMMYFUNCTION("""COMPUTED_VALUE"""),"")</f>
        <v/>
      </c>
      <c r="Z4" s="18" t="str">
        <f ca="1">IFERROR(__xludf.DUMMYFUNCTION("""COMPUTED_VALUE"""),"")</f>
        <v/>
      </c>
      <c r="AA4" s="18" t="str">
        <f ca="1">IFERROR(__xludf.DUMMYFUNCTION("""COMPUTED_VALUE"""),"")</f>
        <v/>
      </c>
      <c r="AB4" s="18" t="str">
        <f ca="1">IFERROR(__xludf.DUMMYFUNCTION("""COMPUTED_VALUE"""),"")</f>
        <v/>
      </c>
      <c r="AC4" s="18" t="str">
        <f ca="1">IFERROR(__xludf.DUMMYFUNCTION("""COMPUTED_VALUE"""),"")</f>
        <v/>
      </c>
      <c r="AD4" s="18" t="str">
        <f ca="1">IFERROR(__xludf.DUMMYFUNCTION("""COMPUTED_VALUE"""),"")</f>
        <v/>
      </c>
      <c r="AE4" s="18" t="str">
        <f ca="1">IFERROR(__xludf.DUMMYFUNCTION("""COMPUTED_VALUE"""),"")</f>
        <v/>
      </c>
      <c r="AF4" s="18" t="str">
        <f ca="1">IFERROR(__xludf.DUMMYFUNCTION("""COMPUTED_VALUE"""),"")</f>
        <v/>
      </c>
      <c r="AG4" s="18" t="str">
        <f ca="1">IFERROR(__xludf.DUMMYFUNCTION("""COMPUTED_VALUE"""),"")</f>
        <v/>
      </c>
      <c r="AH4" s="18" t="str">
        <f ca="1">IFERROR(__xludf.DUMMYFUNCTION("""COMPUTED_VALUE"""),"")</f>
        <v/>
      </c>
      <c r="AI4" s="18" t="str">
        <f ca="1">IFERROR(__xludf.DUMMYFUNCTION("""COMPUTED_VALUE"""),"")</f>
        <v/>
      </c>
      <c r="AJ4" s="18" t="str">
        <f ca="1">IFERROR(__xludf.DUMMYFUNCTION("""COMPUTED_VALUE"""),"")</f>
        <v/>
      </c>
      <c r="AK4" s="18" t="str">
        <f ca="1">IFERROR(__xludf.DUMMYFUNCTION("""COMPUTED_VALUE"""),"")</f>
        <v/>
      </c>
      <c r="AL4" s="18" t="str">
        <f ca="1">IFERROR(__xludf.DUMMYFUNCTION("""COMPUTED_VALUE"""),"")</f>
        <v/>
      </c>
      <c r="AM4" s="18" t="str">
        <f ca="1">IFERROR(__xludf.DUMMYFUNCTION("""COMPUTED_VALUE"""),"")</f>
        <v/>
      </c>
      <c r="AN4" s="18" t="str">
        <f ca="1">IFERROR(__xludf.DUMMYFUNCTION("""COMPUTED_VALUE"""),"")</f>
        <v/>
      </c>
      <c r="AO4" s="18" t="str">
        <f ca="1">IFERROR(__xludf.DUMMYFUNCTION("""COMPUTED_VALUE"""),"")</f>
        <v/>
      </c>
      <c r="AP4" s="18" t="str">
        <f ca="1">IFERROR(__xludf.DUMMYFUNCTION("""COMPUTED_VALUE"""),"")</f>
        <v/>
      </c>
      <c r="AQ4" s="18" t="str">
        <f ca="1">IFERROR(__xludf.DUMMYFUNCTION("""COMPUTED_VALUE"""),"")</f>
        <v/>
      </c>
      <c r="AR4" s="18" t="str">
        <f ca="1">IFERROR(__xludf.DUMMYFUNCTION("""COMPUTED_VALUE"""),"")</f>
        <v/>
      </c>
      <c r="AS4" s="18" t="str">
        <f ca="1">IFERROR(__xludf.DUMMYFUNCTION("""COMPUTED_VALUE"""),"")</f>
        <v/>
      </c>
      <c r="AT4" s="18" t="str">
        <f ca="1">IFERROR(__xludf.DUMMYFUNCTION("""COMPUTED_VALUE"""),"")</f>
        <v/>
      </c>
      <c r="AU4" s="18" t="str">
        <f ca="1">IFERROR(__xludf.DUMMYFUNCTION("""COMPUTED_VALUE"""),"")</f>
        <v/>
      </c>
      <c r="AV4" s="18" t="str">
        <f ca="1">IFERROR(__xludf.DUMMYFUNCTION("""COMPUTED_VALUE"""),"")</f>
        <v/>
      </c>
      <c r="AW4" s="18" t="str">
        <f ca="1">IFERROR(__xludf.DUMMYFUNCTION("""COMPUTED_VALUE"""),"")</f>
        <v/>
      </c>
      <c r="AX4" s="18" t="str">
        <f ca="1">IFERROR(__xludf.DUMMYFUNCTION("""COMPUTED_VALUE"""),"")</f>
        <v/>
      </c>
      <c r="AY4" s="18" t="str">
        <f ca="1">IFERROR(__xludf.DUMMYFUNCTION("""COMPUTED_VALUE"""),"")</f>
        <v/>
      </c>
      <c r="AZ4" s="18" t="str">
        <f ca="1">IFERROR(__xludf.DUMMYFUNCTION("""COMPUTED_VALUE"""),"")</f>
        <v/>
      </c>
      <c r="BA4" s="18" t="str">
        <f ca="1">IFERROR(__xludf.DUMMYFUNCTION("""COMPUTED_VALUE"""),"")</f>
        <v/>
      </c>
      <c r="BB4" s="18" t="str">
        <f ca="1">IFERROR(__xludf.DUMMYFUNCTION("""COMPUTED_VALUE"""),"")</f>
        <v/>
      </c>
      <c r="BC4" s="18" t="str">
        <f ca="1">IFERROR(__xludf.DUMMYFUNCTION("""COMPUTED_VALUE"""),"")</f>
        <v/>
      </c>
      <c r="BD4" s="18" t="str">
        <f ca="1">IFERROR(__xludf.DUMMYFUNCTION("""COMPUTED_VALUE"""),"")</f>
        <v/>
      </c>
      <c r="BE4" s="18" t="str">
        <f ca="1">IFERROR(__xludf.DUMMYFUNCTION("""COMPUTED_VALUE"""),"")</f>
        <v/>
      </c>
      <c r="BF4" s="18" t="str">
        <f ca="1">IFERROR(__xludf.DUMMYFUNCTION("""COMPUTED_VALUE"""),"")</f>
        <v/>
      </c>
      <c r="BG4" s="18" t="str">
        <f ca="1">IFERROR(__xludf.DUMMYFUNCTION("""COMPUTED_VALUE"""),"")</f>
        <v/>
      </c>
      <c r="BH4" s="18" t="str">
        <f ca="1">IFERROR(__xludf.DUMMYFUNCTION("""COMPUTED_VALUE"""),"")</f>
        <v/>
      </c>
      <c r="BI4" s="18" t="str">
        <f ca="1">IFERROR(__xludf.DUMMYFUNCTION("""COMPUTED_VALUE"""),"")</f>
        <v/>
      </c>
      <c r="BJ4" s="18" t="str">
        <f ca="1">IFERROR(__xludf.DUMMYFUNCTION("""COMPUTED_VALUE"""),"")</f>
        <v/>
      </c>
      <c r="BK4" s="18" t="str">
        <f ca="1">IFERROR(__xludf.DUMMYFUNCTION("""COMPUTED_VALUE"""),"")</f>
        <v/>
      </c>
      <c r="BL4" s="18" t="str">
        <f ca="1">IFERROR(__xludf.DUMMYFUNCTION("""COMPUTED_VALUE"""),"")</f>
        <v/>
      </c>
      <c r="BM4" s="18" t="str">
        <f ca="1">IFERROR(__xludf.DUMMYFUNCTION("""COMPUTED_VALUE"""),"")</f>
        <v/>
      </c>
      <c r="BN4" s="18" t="str">
        <f ca="1">IFERROR(__xludf.DUMMYFUNCTION("""COMPUTED_VALUE"""),"")</f>
        <v/>
      </c>
      <c r="BO4" s="18" t="str">
        <f ca="1">IFERROR(__xludf.DUMMYFUNCTION("""COMPUTED_VALUE"""),"")</f>
        <v/>
      </c>
      <c r="BP4" s="18" t="str">
        <f ca="1">IFERROR(__xludf.DUMMYFUNCTION("""COMPUTED_VALUE"""),"")</f>
        <v/>
      </c>
      <c r="BQ4" s="18" t="str">
        <f ca="1">IFERROR(__xludf.DUMMYFUNCTION("""COMPUTED_VALUE"""),"")</f>
        <v/>
      </c>
      <c r="BR4" s="18" t="str">
        <f ca="1">IFERROR(__xludf.DUMMYFUNCTION("""COMPUTED_VALUE"""),"")</f>
        <v/>
      </c>
      <c r="BS4" s="18" t="str">
        <f ca="1">IFERROR(__xludf.DUMMYFUNCTION("""COMPUTED_VALUE"""),"")</f>
        <v/>
      </c>
      <c r="BT4" s="18" t="str">
        <f ca="1">IFERROR(__xludf.DUMMYFUNCTION("""COMPUTED_VALUE"""),"")</f>
        <v/>
      </c>
      <c r="BU4" s="18" t="str">
        <f ca="1">IFERROR(__xludf.DUMMYFUNCTION("""COMPUTED_VALUE"""),"")</f>
        <v/>
      </c>
      <c r="BV4" s="18" t="str">
        <f ca="1">IFERROR(__xludf.DUMMYFUNCTION("""COMPUTED_VALUE"""),"")</f>
        <v/>
      </c>
      <c r="BW4" s="18" t="str">
        <f ca="1">IFERROR(__xludf.DUMMYFUNCTION("""COMPUTED_VALUE"""),"")</f>
        <v/>
      </c>
      <c r="BX4" s="18" t="str">
        <f ca="1">IFERROR(__xludf.DUMMYFUNCTION("""COMPUTED_VALUE"""),"")</f>
        <v/>
      </c>
      <c r="BY4" s="18" t="str">
        <f ca="1">IFERROR(__xludf.DUMMYFUNCTION("""COMPUTED_VALUE"""),"")</f>
        <v/>
      </c>
      <c r="BZ4" s="18" t="str">
        <f ca="1">IFERROR(__xludf.DUMMYFUNCTION("""COMPUTED_VALUE"""),"")</f>
        <v/>
      </c>
      <c r="CA4" s="18" t="str">
        <f ca="1">IFERROR(__xludf.DUMMYFUNCTION("""COMPUTED_VALUE"""),"")</f>
        <v/>
      </c>
      <c r="CB4" s="18" t="str">
        <f ca="1">IFERROR(__xludf.DUMMYFUNCTION("""COMPUTED_VALUE"""),"")</f>
        <v/>
      </c>
      <c r="CC4" s="18" t="str">
        <f ca="1">IFERROR(__xludf.DUMMYFUNCTION("""COMPUTED_VALUE"""),"")</f>
        <v/>
      </c>
      <c r="CD4" s="18" t="str">
        <f ca="1">IFERROR(__xludf.DUMMYFUNCTION("""COMPUTED_VALUE"""),"")</f>
        <v/>
      </c>
      <c r="CE4" s="18" t="str">
        <f ca="1">IFERROR(__xludf.DUMMYFUNCTION("""COMPUTED_VALUE"""),"")</f>
        <v/>
      </c>
      <c r="CF4" s="18" t="str">
        <f ca="1">IFERROR(__xludf.DUMMYFUNCTION("""COMPUTED_VALUE"""),"")</f>
        <v/>
      </c>
      <c r="CG4" s="18" t="str">
        <f ca="1">IFERROR(__xludf.DUMMYFUNCTION("""COMPUTED_VALUE"""),"")</f>
        <v/>
      </c>
      <c r="CH4" s="18" t="str">
        <f ca="1">IFERROR(__xludf.DUMMYFUNCTION("""COMPUTED_VALUE"""),"")</f>
        <v/>
      </c>
      <c r="CI4" s="18" t="str">
        <f ca="1">IFERROR(__xludf.DUMMYFUNCTION("""COMPUTED_VALUE"""),"")</f>
        <v/>
      </c>
      <c r="CJ4" s="18" t="str">
        <f ca="1">IFERROR(__xludf.DUMMYFUNCTION("""COMPUTED_VALUE"""),"")</f>
        <v/>
      </c>
      <c r="CK4" s="18" t="str">
        <f ca="1">IFERROR(__xludf.DUMMYFUNCTION("""COMPUTED_VALUE"""),"")</f>
        <v/>
      </c>
      <c r="CL4" s="18" t="str">
        <f ca="1">IFERROR(__xludf.DUMMYFUNCTION("""COMPUTED_VALUE"""),"")</f>
        <v/>
      </c>
      <c r="CM4" s="18" t="str">
        <f ca="1">IFERROR(__xludf.DUMMYFUNCTION("""COMPUTED_VALUE"""),"")</f>
        <v/>
      </c>
      <c r="CN4" s="18" t="str">
        <f ca="1">IFERROR(__xludf.DUMMYFUNCTION("""COMPUTED_VALUE"""),"")</f>
        <v/>
      </c>
      <c r="CO4" s="18" t="str">
        <f ca="1">IFERROR(__xludf.DUMMYFUNCTION("""COMPUTED_VALUE"""),"")</f>
        <v/>
      </c>
      <c r="CP4" s="18" t="str">
        <f ca="1">IFERROR(__xludf.DUMMYFUNCTION("""COMPUTED_VALUE"""),"")</f>
        <v/>
      </c>
      <c r="CQ4" s="18" t="str">
        <f ca="1">IFERROR(__xludf.DUMMYFUNCTION("""COMPUTED_VALUE"""),"")</f>
        <v/>
      </c>
      <c r="CR4" s="18" t="str">
        <f ca="1">IFERROR(__xludf.DUMMYFUNCTION("""COMPUTED_VALUE"""),"")</f>
        <v/>
      </c>
      <c r="CS4" s="18" t="str">
        <f ca="1">IFERROR(__xludf.DUMMYFUNCTION("""COMPUTED_VALUE"""),"")</f>
        <v/>
      </c>
      <c r="CT4" s="18" t="str">
        <f ca="1">IFERROR(__xludf.DUMMYFUNCTION("""COMPUTED_VALUE"""),"")</f>
        <v/>
      </c>
      <c r="CU4" s="18" t="str">
        <f ca="1">IFERROR(__xludf.DUMMYFUNCTION("""COMPUTED_VALUE"""),"")</f>
        <v/>
      </c>
      <c r="CV4" s="18" t="str">
        <f ca="1">IFERROR(__xludf.DUMMYFUNCTION("""COMPUTED_VALUE"""),"")</f>
        <v/>
      </c>
      <c r="CW4" s="18" t="str">
        <f ca="1">IFERROR(__xludf.DUMMYFUNCTION("""COMPUTED_VALUE"""),"")</f>
        <v/>
      </c>
      <c r="CX4" s="18" t="str">
        <f ca="1">IFERROR(__xludf.DUMMYFUNCTION("""COMPUTED_VALUE"""),"")</f>
        <v/>
      </c>
      <c r="CY4" s="18" t="str">
        <f ca="1">IFERROR(__xludf.DUMMYFUNCTION("""COMPUTED_VALUE"""),"")</f>
        <v/>
      </c>
      <c r="CZ4" s="18" t="str">
        <f ca="1">IFERROR(__xludf.DUMMYFUNCTION("""COMPUTED_VALUE"""),"")</f>
        <v/>
      </c>
      <c r="DA4" s="18" t="str">
        <f ca="1">IFERROR(__xludf.DUMMYFUNCTION("""COMPUTED_VALUE"""),"")</f>
        <v/>
      </c>
      <c r="DB4" s="18" t="str">
        <f ca="1">IFERROR(__xludf.DUMMYFUNCTION("""COMPUTED_VALUE"""),"")</f>
        <v/>
      </c>
      <c r="DC4" s="18" t="str">
        <f ca="1">IFERROR(__xludf.DUMMYFUNCTION("""COMPUTED_VALUE"""),"")</f>
        <v/>
      </c>
      <c r="DD4" s="18" t="str">
        <f ca="1">IFERROR(__xludf.DUMMYFUNCTION("""COMPUTED_VALUE"""),"")</f>
        <v/>
      </c>
      <c r="DE4" s="18" t="str">
        <f ca="1">IFERROR(__xludf.DUMMYFUNCTION("""COMPUTED_VALUE"""),"")</f>
        <v/>
      </c>
      <c r="DF4" s="18" t="str">
        <f ca="1">IFERROR(__xludf.DUMMYFUNCTION("""COMPUTED_VALUE"""),"")</f>
        <v/>
      </c>
      <c r="DG4" s="18" t="str">
        <f ca="1">IFERROR(__xludf.DUMMYFUNCTION("""COMPUTED_VALUE"""),"")</f>
        <v/>
      </c>
      <c r="DH4" s="18" t="str">
        <f ca="1">IFERROR(__xludf.DUMMYFUNCTION("""COMPUTED_VALUE"""),"")</f>
        <v/>
      </c>
      <c r="DI4" s="18" t="str">
        <f ca="1">IFERROR(__xludf.DUMMYFUNCTION("""COMPUTED_VALUE"""),"")</f>
        <v/>
      </c>
      <c r="DJ4" s="18" t="str">
        <f ca="1">IFERROR(__xludf.DUMMYFUNCTION("""COMPUTED_VALUE"""),"")</f>
        <v/>
      </c>
      <c r="DK4" s="18" t="str">
        <f ca="1">IFERROR(__xludf.DUMMYFUNCTION("""COMPUTED_VALUE"""),"")</f>
        <v/>
      </c>
      <c r="DL4" s="18" t="str">
        <f ca="1">IFERROR(__xludf.DUMMYFUNCTION("""COMPUTED_VALUE"""),"")</f>
        <v/>
      </c>
      <c r="DM4" s="18" t="str">
        <f ca="1">IFERROR(__xludf.DUMMYFUNCTION("""COMPUTED_VALUE"""),"")</f>
        <v/>
      </c>
      <c r="DN4" s="18" t="str">
        <f ca="1">IFERROR(__xludf.DUMMYFUNCTION("""COMPUTED_VALUE"""),"")</f>
        <v/>
      </c>
      <c r="DO4" s="18" t="str">
        <f ca="1">IFERROR(__xludf.DUMMYFUNCTION("""COMPUTED_VALUE"""),"")</f>
        <v/>
      </c>
      <c r="DP4" s="18" t="str">
        <f ca="1">IFERROR(__xludf.DUMMYFUNCTION("""COMPUTED_VALUE"""),"")</f>
        <v/>
      </c>
      <c r="DQ4" s="18" t="str">
        <f ca="1">IFERROR(__xludf.DUMMYFUNCTION("""COMPUTED_VALUE"""),"")</f>
        <v/>
      </c>
      <c r="DR4" s="18" t="str">
        <f ca="1">IFERROR(__xludf.DUMMYFUNCTION("""COMPUTED_VALUE"""),"")</f>
        <v/>
      </c>
      <c r="DS4" s="18" t="str">
        <f ca="1">IFERROR(__xludf.DUMMYFUNCTION("""COMPUTED_VALUE"""),"")</f>
        <v/>
      </c>
      <c r="DT4" s="18" t="str">
        <f ca="1">IFERROR(__xludf.DUMMYFUNCTION("""COMPUTED_VALUE"""),"")</f>
        <v/>
      </c>
      <c r="DU4" s="18" t="str">
        <f ca="1">IFERROR(__xludf.DUMMYFUNCTION("""COMPUTED_VALUE"""),"")</f>
        <v/>
      </c>
      <c r="DV4" s="18" t="str">
        <f ca="1">IFERROR(__xludf.DUMMYFUNCTION("""COMPUTED_VALUE"""),"")</f>
        <v/>
      </c>
      <c r="DW4" s="18" t="str">
        <f ca="1">IFERROR(__xludf.DUMMYFUNCTION("""COMPUTED_VALUE"""),"")</f>
        <v/>
      </c>
      <c r="DX4" s="18" t="str">
        <f ca="1">IFERROR(__xludf.DUMMYFUNCTION("""COMPUTED_VALUE"""),"")</f>
        <v/>
      </c>
      <c r="DY4" s="18" t="str">
        <f ca="1">IFERROR(__xludf.DUMMYFUNCTION("""COMPUTED_VALUE"""),"")</f>
        <v/>
      </c>
      <c r="DZ4" s="18" t="str">
        <f ca="1">IFERROR(__xludf.DUMMYFUNCTION("""COMPUTED_VALUE"""),"")</f>
        <v/>
      </c>
      <c r="EA4" s="18" t="str">
        <f ca="1">IFERROR(__xludf.DUMMYFUNCTION("""COMPUTED_VALUE"""),"")</f>
        <v/>
      </c>
      <c r="EB4" s="18" t="str">
        <f ca="1">IFERROR(__xludf.DUMMYFUNCTION("""COMPUTED_VALUE"""),"")</f>
        <v/>
      </c>
      <c r="EC4" s="18" t="str">
        <f ca="1">IFERROR(__xludf.DUMMYFUNCTION("""COMPUTED_VALUE"""),"")</f>
        <v/>
      </c>
      <c r="ED4" s="18" t="str">
        <f ca="1">IFERROR(__xludf.DUMMYFUNCTION("""COMPUTED_VALUE"""),"")</f>
        <v/>
      </c>
      <c r="EE4" s="18" t="str">
        <f ca="1">IFERROR(__xludf.DUMMYFUNCTION("""COMPUTED_VALUE"""),"")</f>
        <v/>
      </c>
      <c r="EF4" s="18" t="str">
        <f ca="1">IFERROR(__xludf.DUMMYFUNCTION("""COMPUTED_VALUE"""),"")</f>
        <v/>
      </c>
      <c r="EG4" s="18" t="str">
        <f ca="1">IFERROR(__xludf.DUMMYFUNCTION("""COMPUTED_VALUE"""),"")</f>
        <v/>
      </c>
      <c r="EH4" s="18" t="str">
        <f ca="1">IFERROR(__xludf.DUMMYFUNCTION("""COMPUTED_VALUE"""),"")</f>
        <v/>
      </c>
      <c r="EI4" s="18" t="str">
        <f ca="1">IFERROR(__xludf.DUMMYFUNCTION("""COMPUTED_VALUE"""),"")</f>
        <v/>
      </c>
      <c r="EJ4" s="18" t="str">
        <f ca="1">IFERROR(__xludf.DUMMYFUNCTION("""COMPUTED_VALUE"""),"")</f>
        <v/>
      </c>
      <c r="EK4" s="18" t="str">
        <f ca="1">IFERROR(__xludf.DUMMYFUNCTION("""COMPUTED_VALUE"""),"")</f>
        <v/>
      </c>
      <c r="EL4" s="18" t="str">
        <f ca="1">IFERROR(__xludf.DUMMYFUNCTION("""COMPUTED_VALUE"""),"")</f>
        <v/>
      </c>
      <c r="EM4" s="18" t="str">
        <f ca="1">IFERROR(__xludf.DUMMYFUNCTION("""COMPUTED_VALUE"""),"")</f>
        <v/>
      </c>
      <c r="EN4" s="18" t="str">
        <f ca="1">IFERROR(__xludf.DUMMYFUNCTION("""COMPUTED_VALUE"""),"")</f>
        <v/>
      </c>
      <c r="EO4" s="18" t="str">
        <f ca="1">IFERROR(__xludf.DUMMYFUNCTION("""COMPUTED_VALUE"""),"")</f>
        <v/>
      </c>
      <c r="EP4" s="18" t="str">
        <f ca="1">IFERROR(__xludf.DUMMYFUNCTION("""COMPUTED_VALUE"""),"")</f>
        <v/>
      </c>
      <c r="EQ4" s="18" t="str">
        <f ca="1">IFERROR(__xludf.DUMMYFUNCTION("""COMPUTED_VALUE"""),"")</f>
        <v/>
      </c>
      <c r="ER4" s="18" t="str">
        <f ca="1">IFERROR(__xludf.DUMMYFUNCTION("""COMPUTED_VALUE"""),"")</f>
        <v/>
      </c>
      <c r="ES4" s="18" t="str">
        <f ca="1">IFERROR(__xludf.DUMMYFUNCTION("""COMPUTED_VALUE"""),"")</f>
        <v/>
      </c>
      <c r="ET4" s="18" t="str">
        <f ca="1">IFERROR(__xludf.DUMMYFUNCTION("""COMPUTED_VALUE"""),"")</f>
        <v/>
      </c>
      <c r="EU4" s="18" t="str">
        <f ca="1">IFERROR(__xludf.DUMMYFUNCTION("""COMPUTED_VALUE"""),"")</f>
        <v/>
      </c>
      <c r="EV4" s="18" t="str">
        <f ca="1">IFERROR(__xludf.DUMMYFUNCTION("""COMPUTED_VALUE"""),"")</f>
        <v/>
      </c>
      <c r="EW4" s="18" t="str">
        <f ca="1">IFERROR(__xludf.DUMMYFUNCTION("""COMPUTED_VALUE"""),"")</f>
        <v/>
      </c>
      <c r="EX4" s="18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9"/>
      <c r="B6" s="24" t="s">
        <v>19</v>
      </c>
      <c r="C6" s="27" t="s">
        <v>23</v>
      </c>
      <c r="D6" s="28">
        <v>100</v>
      </c>
      <c r="E6" s="26"/>
      <c r="F6" s="27" t="s">
        <v>24</v>
      </c>
      <c r="G6" s="19" t="s">
        <v>25</v>
      </c>
      <c r="H6" s="11"/>
      <c r="I6" s="11"/>
      <c r="J6" s="25">
        <v>20</v>
      </c>
      <c r="K6" s="11"/>
      <c r="L6" s="11"/>
      <c r="M6" s="11"/>
      <c r="N6" s="29">
        <f t="shared" ref="N6:N7" ca="1" si="0">TODAY()-1</f>
        <v>44411</v>
      </c>
      <c r="O6" s="11"/>
      <c r="R6" s="30" t="s">
        <v>26</v>
      </c>
      <c r="S6" s="25">
        <v>20</v>
      </c>
    </row>
    <row r="7" spans="1:154" ht="15.75" customHeight="1">
      <c r="A7" s="11"/>
      <c r="B7" s="27" t="s">
        <v>20</v>
      </c>
      <c r="C7" s="27" t="s">
        <v>27</v>
      </c>
      <c r="D7" s="25">
        <v>100</v>
      </c>
      <c r="E7" s="11"/>
      <c r="F7" s="27" t="s">
        <v>24</v>
      </c>
      <c r="G7" s="19" t="s">
        <v>25</v>
      </c>
      <c r="H7" s="11"/>
      <c r="I7" s="11"/>
      <c r="J7" s="25">
        <v>30</v>
      </c>
      <c r="K7" s="11"/>
      <c r="L7" s="11"/>
      <c r="M7" s="11"/>
      <c r="N7" s="29">
        <f t="shared" ca="1" si="0"/>
        <v>44411</v>
      </c>
      <c r="O7" s="11"/>
      <c r="R7" s="30" t="s">
        <v>28</v>
      </c>
      <c r="S7" s="25">
        <v>30</v>
      </c>
    </row>
    <row r="8" spans="1:154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4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4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4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4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4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4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4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9"/>
      <c r="B1" s="54" t="s">
        <v>7</v>
      </c>
      <c r="C1" s="55"/>
      <c r="D1" s="55"/>
      <c r="E1" s="55"/>
      <c r="F1" s="55"/>
      <c r="G1" s="55"/>
      <c r="H1" s="56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11"/>
      <c r="B2" s="11"/>
      <c r="C2" s="11"/>
      <c r="D2" s="11"/>
      <c r="E2" s="11"/>
      <c r="F2" s="11"/>
      <c r="G2" s="11"/>
      <c r="H2" s="11"/>
      <c r="I2" s="11"/>
      <c r="J2" s="12" t="e">
        <f>VLOOKUP($E$3,_MasterData!B4:D1000,3,FALSE)</f>
        <v>#N/A</v>
      </c>
      <c r="K2" s="12"/>
      <c r="L2" s="11"/>
      <c r="M2" s="11"/>
      <c r="N2" s="11"/>
      <c r="O2" s="11"/>
    </row>
    <row r="3" spans="1:154" ht="15.75" customHeight="1">
      <c r="A3" s="13"/>
      <c r="B3" s="2" t="s">
        <v>4</v>
      </c>
      <c r="C3" s="14" t="s">
        <v>16</v>
      </c>
      <c r="D3" s="2" t="s">
        <v>5</v>
      </c>
      <c r="E3" s="14" t="s">
        <v>16</v>
      </c>
      <c r="F3" s="2" t="s">
        <v>10</v>
      </c>
      <c r="G3" s="15" t="s">
        <v>11</v>
      </c>
      <c r="H3" s="2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spans="1:154" ht="15.75" customHeight="1">
      <c r="A4" s="17"/>
      <c r="B4" s="17" t="str">
        <f ca="1">IFERROR(__xludf.DUMMYFUNCTION("IF(C3="""","""",Transpose(IMPORTRANGE('_Settings'!$B$3,C3&amp;""!A4:A1000"")))"),"PricingInput")</f>
        <v>PricingInput</v>
      </c>
      <c r="C4" s="17" t="str">
        <f ca="1">IFERROR(__xludf.DUMMYFUNCTION("""COMPUTED_VALUE"""),"UpdateSharesOutstanding")</f>
        <v>UpdateSharesOutstanding</v>
      </c>
      <c r="D4" s="17" t="str">
        <f ca="1">IFERROR(__xludf.DUMMYFUNCTION("""COMPUTED_VALUE"""),"EODTPreferences")</f>
        <v>EODTPreferences</v>
      </c>
      <c r="E4" s="17" t="str">
        <f ca="1">IFERROR(__xludf.DUMMYFUNCTION("""COMPUTED_VALUE"""),"LiveData")</f>
        <v>LiveData</v>
      </c>
      <c r="F4" s="17" t="str">
        <f ca="1">IFERROR(__xludf.DUMMYFUNCTION("""COMPUTED_VALUE"""),"")</f>
        <v/>
      </c>
      <c r="G4" s="17" t="str">
        <f ca="1">IFERROR(__xludf.DUMMYFUNCTION("""COMPUTED_VALUE"""),"")</f>
        <v/>
      </c>
      <c r="H4" s="17" t="str">
        <f ca="1">IFERROR(__xludf.DUMMYFUNCTION("""COMPUTED_VALUE"""),"")</f>
        <v/>
      </c>
      <c r="I4" s="17" t="str">
        <f ca="1">IFERROR(__xludf.DUMMYFUNCTION("""COMPUTED_VALUE"""),"")</f>
        <v/>
      </c>
      <c r="J4" s="17" t="str">
        <f ca="1">IFERROR(__xludf.DUMMYFUNCTION("""COMPUTED_VALUE"""),"")</f>
        <v/>
      </c>
      <c r="K4" s="17" t="str">
        <f ca="1">IFERROR(__xludf.DUMMYFUNCTION("""COMPUTED_VALUE"""),"")</f>
        <v/>
      </c>
      <c r="L4" s="17" t="str">
        <f ca="1">IFERROR(__xludf.DUMMYFUNCTION("""COMPUTED_VALUE"""),"")</f>
        <v/>
      </c>
      <c r="M4" s="17" t="str">
        <f ca="1">IFERROR(__xludf.DUMMYFUNCTION("""COMPUTED_VALUE"""),"")</f>
        <v/>
      </c>
      <c r="N4" s="17" t="str">
        <f ca="1">IFERROR(__xludf.DUMMYFUNCTION("""COMPUTED_VALUE"""),"")</f>
        <v/>
      </c>
      <c r="O4" s="17" t="str">
        <f ca="1">IFERROR(__xludf.DUMMYFUNCTION("""COMPUTED_VALUE"""),"")</f>
        <v/>
      </c>
      <c r="P4" s="18" t="str">
        <f ca="1">IFERROR(__xludf.DUMMYFUNCTION("""COMPUTED_VALUE"""),"")</f>
        <v/>
      </c>
      <c r="Q4" s="18" t="str">
        <f ca="1">IFERROR(__xludf.DUMMYFUNCTION("""COMPUTED_VALUE"""),"")</f>
        <v/>
      </c>
      <c r="R4" s="18" t="str">
        <f ca="1">IFERROR(__xludf.DUMMYFUNCTION("""COMPUTED_VALUE"""),"")</f>
        <v/>
      </c>
      <c r="S4" s="18" t="str">
        <f ca="1">IFERROR(__xludf.DUMMYFUNCTION("""COMPUTED_VALUE"""),"")</f>
        <v/>
      </c>
      <c r="T4" s="18" t="str">
        <f ca="1">IFERROR(__xludf.DUMMYFUNCTION("""COMPUTED_VALUE"""),"")</f>
        <v/>
      </c>
      <c r="U4" s="18" t="str">
        <f ca="1">IFERROR(__xludf.DUMMYFUNCTION("""COMPUTED_VALUE"""),"")</f>
        <v/>
      </c>
      <c r="V4" s="18" t="str">
        <f ca="1">IFERROR(__xludf.DUMMYFUNCTION("""COMPUTED_VALUE"""),"")</f>
        <v/>
      </c>
      <c r="W4" s="18" t="str">
        <f ca="1">IFERROR(__xludf.DUMMYFUNCTION("""COMPUTED_VALUE"""),"")</f>
        <v/>
      </c>
      <c r="X4" s="18" t="str">
        <f ca="1">IFERROR(__xludf.DUMMYFUNCTION("""COMPUTED_VALUE"""),"")</f>
        <v/>
      </c>
      <c r="Y4" s="18" t="str">
        <f ca="1">IFERROR(__xludf.DUMMYFUNCTION("""COMPUTED_VALUE"""),"")</f>
        <v/>
      </c>
      <c r="Z4" s="18" t="str">
        <f ca="1">IFERROR(__xludf.DUMMYFUNCTION("""COMPUTED_VALUE"""),"")</f>
        <v/>
      </c>
      <c r="AA4" s="18" t="str">
        <f ca="1">IFERROR(__xludf.DUMMYFUNCTION("""COMPUTED_VALUE"""),"")</f>
        <v/>
      </c>
      <c r="AB4" s="18" t="str">
        <f ca="1">IFERROR(__xludf.DUMMYFUNCTION("""COMPUTED_VALUE"""),"")</f>
        <v/>
      </c>
      <c r="AC4" s="18" t="str">
        <f ca="1">IFERROR(__xludf.DUMMYFUNCTION("""COMPUTED_VALUE"""),"")</f>
        <v/>
      </c>
      <c r="AD4" s="18" t="str">
        <f ca="1">IFERROR(__xludf.DUMMYFUNCTION("""COMPUTED_VALUE"""),"")</f>
        <v/>
      </c>
      <c r="AE4" s="18" t="str">
        <f ca="1">IFERROR(__xludf.DUMMYFUNCTION("""COMPUTED_VALUE"""),"")</f>
        <v/>
      </c>
      <c r="AF4" s="18" t="str">
        <f ca="1">IFERROR(__xludf.DUMMYFUNCTION("""COMPUTED_VALUE"""),"")</f>
        <v/>
      </c>
      <c r="AG4" s="18" t="str">
        <f ca="1">IFERROR(__xludf.DUMMYFUNCTION("""COMPUTED_VALUE"""),"")</f>
        <v/>
      </c>
      <c r="AH4" s="18" t="str">
        <f ca="1">IFERROR(__xludf.DUMMYFUNCTION("""COMPUTED_VALUE"""),"")</f>
        <v/>
      </c>
      <c r="AI4" s="18" t="str">
        <f ca="1">IFERROR(__xludf.DUMMYFUNCTION("""COMPUTED_VALUE"""),"")</f>
        <v/>
      </c>
      <c r="AJ4" s="18" t="str">
        <f ca="1">IFERROR(__xludf.DUMMYFUNCTION("""COMPUTED_VALUE"""),"")</f>
        <v/>
      </c>
      <c r="AK4" s="18" t="str">
        <f ca="1">IFERROR(__xludf.DUMMYFUNCTION("""COMPUTED_VALUE"""),"")</f>
        <v/>
      </c>
      <c r="AL4" s="18" t="str">
        <f ca="1">IFERROR(__xludf.DUMMYFUNCTION("""COMPUTED_VALUE"""),"")</f>
        <v/>
      </c>
      <c r="AM4" s="18" t="str">
        <f ca="1">IFERROR(__xludf.DUMMYFUNCTION("""COMPUTED_VALUE"""),"")</f>
        <v/>
      </c>
      <c r="AN4" s="18" t="str">
        <f ca="1">IFERROR(__xludf.DUMMYFUNCTION("""COMPUTED_VALUE"""),"")</f>
        <v/>
      </c>
      <c r="AO4" s="18" t="str">
        <f ca="1">IFERROR(__xludf.DUMMYFUNCTION("""COMPUTED_VALUE"""),"")</f>
        <v/>
      </c>
      <c r="AP4" s="18" t="str">
        <f ca="1">IFERROR(__xludf.DUMMYFUNCTION("""COMPUTED_VALUE"""),"")</f>
        <v/>
      </c>
      <c r="AQ4" s="18" t="str">
        <f ca="1">IFERROR(__xludf.DUMMYFUNCTION("""COMPUTED_VALUE"""),"")</f>
        <v/>
      </c>
      <c r="AR4" s="18" t="str">
        <f ca="1">IFERROR(__xludf.DUMMYFUNCTION("""COMPUTED_VALUE"""),"")</f>
        <v/>
      </c>
      <c r="AS4" s="18" t="str">
        <f ca="1">IFERROR(__xludf.DUMMYFUNCTION("""COMPUTED_VALUE"""),"")</f>
        <v/>
      </c>
      <c r="AT4" s="18" t="str">
        <f ca="1">IFERROR(__xludf.DUMMYFUNCTION("""COMPUTED_VALUE"""),"")</f>
        <v/>
      </c>
      <c r="AU4" s="18" t="str">
        <f ca="1">IFERROR(__xludf.DUMMYFUNCTION("""COMPUTED_VALUE"""),"")</f>
        <v/>
      </c>
      <c r="AV4" s="18" t="str">
        <f ca="1">IFERROR(__xludf.DUMMYFUNCTION("""COMPUTED_VALUE"""),"")</f>
        <v/>
      </c>
      <c r="AW4" s="18" t="str">
        <f ca="1">IFERROR(__xludf.DUMMYFUNCTION("""COMPUTED_VALUE"""),"")</f>
        <v/>
      </c>
      <c r="AX4" s="18" t="str">
        <f ca="1">IFERROR(__xludf.DUMMYFUNCTION("""COMPUTED_VALUE"""),"")</f>
        <v/>
      </c>
      <c r="AY4" s="18" t="str">
        <f ca="1">IFERROR(__xludf.DUMMYFUNCTION("""COMPUTED_VALUE"""),"")</f>
        <v/>
      </c>
      <c r="AZ4" s="18" t="str">
        <f ca="1">IFERROR(__xludf.DUMMYFUNCTION("""COMPUTED_VALUE"""),"")</f>
        <v/>
      </c>
      <c r="BA4" s="18" t="str">
        <f ca="1">IFERROR(__xludf.DUMMYFUNCTION("""COMPUTED_VALUE"""),"")</f>
        <v/>
      </c>
      <c r="BB4" s="18" t="str">
        <f ca="1">IFERROR(__xludf.DUMMYFUNCTION("""COMPUTED_VALUE"""),"")</f>
        <v/>
      </c>
      <c r="BC4" s="18" t="str">
        <f ca="1">IFERROR(__xludf.DUMMYFUNCTION("""COMPUTED_VALUE"""),"")</f>
        <v/>
      </c>
      <c r="BD4" s="18" t="str">
        <f ca="1">IFERROR(__xludf.DUMMYFUNCTION("""COMPUTED_VALUE"""),"")</f>
        <v/>
      </c>
      <c r="BE4" s="18" t="str">
        <f ca="1">IFERROR(__xludf.DUMMYFUNCTION("""COMPUTED_VALUE"""),"")</f>
        <v/>
      </c>
      <c r="BF4" s="18" t="str">
        <f ca="1">IFERROR(__xludf.DUMMYFUNCTION("""COMPUTED_VALUE"""),"")</f>
        <v/>
      </c>
      <c r="BG4" s="18" t="str">
        <f ca="1">IFERROR(__xludf.DUMMYFUNCTION("""COMPUTED_VALUE"""),"")</f>
        <v/>
      </c>
      <c r="BH4" s="18" t="str">
        <f ca="1">IFERROR(__xludf.DUMMYFUNCTION("""COMPUTED_VALUE"""),"")</f>
        <v/>
      </c>
      <c r="BI4" s="18" t="str">
        <f ca="1">IFERROR(__xludf.DUMMYFUNCTION("""COMPUTED_VALUE"""),"")</f>
        <v/>
      </c>
      <c r="BJ4" s="18" t="str">
        <f ca="1">IFERROR(__xludf.DUMMYFUNCTION("""COMPUTED_VALUE"""),"")</f>
        <v/>
      </c>
      <c r="BK4" s="18" t="str">
        <f ca="1">IFERROR(__xludf.DUMMYFUNCTION("""COMPUTED_VALUE"""),"")</f>
        <v/>
      </c>
      <c r="BL4" s="18" t="str">
        <f ca="1">IFERROR(__xludf.DUMMYFUNCTION("""COMPUTED_VALUE"""),"")</f>
        <v/>
      </c>
      <c r="BM4" s="18" t="str">
        <f ca="1">IFERROR(__xludf.DUMMYFUNCTION("""COMPUTED_VALUE"""),"")</f>
        <v/>
      </c>
      <c r="BN4" s="18" t="str">
        <f ca="1">IFERROR(__xludf.DUMMYFUNCTION("""COMPUTED_VALUE"""),"")</f>
        <v/>
      </c>
      <c r="BO4" s="18" t="str">
        <f ca="1">IFERROR(__xludf.DUMMYFUNCTION("""COMPUTED_VALUE"""),"")</f>
        <v/>
      </c>
      <c r="BP4" s="18" t="str">
        <f ca="1">IFERROR(__xludf.DUMMYFUNCTION("""COMPUTED_VALUE"""),"")</f>
        <v/>
      </c>
      <c r="BQ4" s="18" t="str">
        <f ca="1">IFERROR(__xludf.DUMMYFUNCTION("""COMPUTED_VALUE"""),"")</f>
        <v/>
      </c>
      <c r="BR4" s="18" t="str">
        <f ca="1">IFERROR(__xludf.DUMMYFUNCTION("""COMPUTED_VALUE"""),"")</f>
        <v/>
      </c>
      <c r="BS4" s="18" t="str">
        <f ca="1">IFERROR(__xludf.DUMMYFUNCTION("""COMPUTED_VALUE"""),"")</f>
        <v/>
      </c>
      <c r="BT4" s="18" t="str">
        <f ca="1">IFERROR(__xludf.DUMMYFUNCTION("""COMPUTED_VALUE"""),"")</f>
        <v/>
      </c>
      <c r="BU4" s="18" t="str">
        <f ca="1">IFERROR(__xludf.DUMMYFUNCTION("""COMPUTED_VALUE"""),"")</f>
        <v/>
      </c>
      <c r="BV4" s="18" t="str">
        <f ca="1">IFERROR(__xludf.DUMMYFUNCTION("""COMPUTED_VALUE"""),"")</f>
        <v/>
      </c>
      <c r="BW4" s="18" t="str">
        <f ca="1">IFERROR(__xludf.DUMMYFUNCTION("""COMPUTED_VALUE"""),"")</f>
        <v/>
      </c>
      <c r="BX4" s="18" t="str">
        <f ca="1">IFERROR(__xludf.DUMMYFUNCTION("""COMPUTED_VALUE"""),"")</f>
        <v/>
      </c>
      <c r="BY4" s="18" t="str">
        <f ca="1">IFERROR(__xludf.DUMMYFUNCTION("""COMPUTED_VALUE"""),"")</f>
        <v/>
      </c>
      <c r="BZ4" s="18" t="str">
        <f ca="1">IFERROR(__xludf.DUMMYFUNCTION("""COMPUTED_VALUE"""),"")</f>
        <v/>
      </c>
      <c r="CA4" s="18" t="str">
        <f ca="1">IFERROR(__xludf.DUMMYFUNCTION("""COMPUTED_VALUE"""),"")</f>
        <v/>
      </c>
      <c r="CB4" s="18" t="str">
        <f ca="1">IFERROR(__xludf.DUMMYFUNCTION("""COMPUTED_VALUE"""),"")</f>
        <v/>
      </c>
      <c r="CC4" s="18" t="str">
        <f ca="1">IFERROR(__xludf.DUMMYFUNCTION("""COMPUTED_VALUE"""),"")</f>
        <v/>
      </c>
      <c r="CD4" s="18" t="str">
        <f ca="1">IFERROR(__xludf.DUMMYFUNCTION("""COMPUTED_VALUE"""),"")</f>
        <v/>
      </c>
      <c r="CE4" s="18" t="str">
        <f ca="1">IFERROR(__xludf.DUMMYFUNCTION("""COMPUTED_VALUE"""),"")</f>
        <v/>
      </c>
      <c r="CF4" s="18" t="str">
        <f ca="1">IFERROR(__xludf.DUMMYFUNCTION("""COMPUTED_VALUE"""),"")</f>
        <v/>
      </c>
      <c r="CG4" s="18" t="str">
        <f ca="1">IFERROR(__xludf.DUMMYFUNCTION("""COMPUTED_VALUE"""),"")</f>
        <v/>
      </c>
      <c r="CH4" s="18" t="str">
        <f ca="1">IFERROR(__xludf.DUMMYFUNCTION("""COMPUTED_VALUE"""),"")</f>
        <v/>
      </c>
      <c r="CI4" s="18" t="str">
        <f ca="1">IFERROR(__xludf.DUMMYFUNCTION("""COMPUTED_VALUE"""),"")</f>
        <v/>
      </c>
      <c r="CJ4" s="18" t="str">
        <f ca="1">IFERROR(__xludf.DUMMYFUNCTION("""COMPUTED_VALUE"""),"")</f>
        <v/>
      </c>
      <c r="CK4" s="18" t="str">
        <f ca="1">IFERROR(__xludf.DUMMYFUNCTION("""COMPUTED_VALUE"""),"")</f>
        <v/>
      </c>
      <c r="CL4" s="18" t="str">
        <f ca="1">IFERROR(__xludf.DUMMYFUNCTION("""COMPUTED_VALUE"""),"")</f>
        <v/>
      </c>
      <c r="CM4" s="18" t="str">
        <f ca="1">IFERROR(__xludf.DUMMYFUNCTION("""COMPUTED_VALUE"""),"")</f>
        <v/>
      </c>
      <c r="CN4" s="18" t="str">
        <f ca="1">IFERROR(__xludf.DUMMYFUNCTION("""COMPUTED_VALUE"""),"")</f>
        <v/>
      </c>
      <c r="CO4" s="18" t="str">
        <f ca="1">IFERROR(__xludf.DUMMYFUNCTION("""COMPUTED_VALUE"""),"")</f>
        <v/>
      </c>
      <c r="CP4" s="18" t="str">
        <f ca="1">IFERROR(__xludf.DUMMYFUNCTION("""COMPUTED_VALUE"""),"")</f>
        <v/>
      </c>
      <c r="CQ4" s="18" t="str">
        <f ca="1">IFERROR(__xludf.DUMMYFUNCTION("""COMPUTED_VALUE"""),"")</f>
        <v/>
      </c>
      <c r="CR4" s="18" t="str">
        <f ca="1">IFERROR(__xludf.DUMMYFUNCTION("""COMPUTED_VALUE"""),"")</f>
        <v/>
      </c>
      <c r="CS4" s="18" t="str">
        <f ca="1">IFERROR(__xludf.DUMMYFUNCTION("""COMPUTED_VALUE"""),"")</f>
        <v/>
      </c>
      <c r="CT4" s="18" t="str">
        <f ca="1">IFERROR(__xludf.DUMMYFUNCTION("""COMPUTED_VALUE"""),"")</f>
        <v/>
      </c>
      <c r="CU4" s="18" t="str">
        <f ca="1">IFERROR(__xludf.DUMMYFUNCTION("""COMPUTED_VALUE"""),"")</f>
        <v/>
      </c>
      <c r="CV4" s="18" t="str">
        <f ca="1">IFERROR(__xludf.DUMMYFUNCTION("""COMPUTED_VALUE"""),"")</f>
        <v/>
      </c>
      <c r="CW4" s="18" t="str">
        <f ca="1">IFERROR(__xludf.DUMMYFUNCTION("""COMPUTED_VALUE"""),"")</f>
        <v/>
      </c>
      <c r="CX4" s="18" t="str">
        <f ca="1">IFERROR(__xludf.DUMMYFUNCTION("""COMPUTED_VALUE"""),"")</f>
        <v/>
      </c>
      <c r="CY4" s="18" t="str">
        <f ca="1">IFERROR(__xludf.DUMMYFUNCTION("""COMPUTED_VALUE"""),"")</f>
        <v/>
      </c>
      <c r="CZ4" s="18" t="str">
        <f ca="1">IFERROR(__xludf.DUMMYFUNCTION("""COMPUTED_VALUE"""),"")</f>
        <v/>
      </c>
      <c r="DA4" s="18" t="str">
        <f ca="1">IFERROR(__xludf.DUMMYFUNCTION("""COMPUTED_VALUE"""),"")</f>
        <v/>
      </c>
      <c r="DB4" s="18" t="str">
        <f ca="1">IFERROR(__xludf.DUMMYFUNCTION("""COMPUTED_VALUE"""),"")</f>
        <v/>
      </c>
      <c r="DC4" s="18" t="str">
        <f ca="1">IFERROR(__xludf.DUMMYFUNCTION("""COMPUTED_VALUE"""),"")</f>
        <v/>
      </c>
      <c r="DD4" s="18" t="str">
        <f ca="1">IFERROR(__xludf.DUMMYFUNCTION("""COMPUTED_VALUE"""),"")</f>
        <v/>
      </c>
      <c r="DE4" s="18" t="str">
        <f ca="1">IFERROR(__xludf.DUMMYFUNCTION("""COMPUTED_VALUE"""),"")</f>
        <v/>
      </c>
      <c r="DF4" s="18" t="str">
        <f ca="1">IFERROR(__xludf.DUMMYFUNCTION("""COMPUTED_VALUE"""),"")</f>
        <v/>
      </c>
      <c r="DG4" s="18" t="str">
        <f ca="1">IFERROR(__xludf.DUMMYFUNCTION("""COMPUTED_VALUE"""),"")</f>
        <v/>
      </c>
      <c r="DH4" s="18" t="str">
        <f ca="1">IFERROR(__xludf.DUMMYFUNCTION("""COMPUTED_VALUE"""),"")</f>
        <v/>
      </c>
      <c r="DI4" s="18" t="str">
        <f ca="1">IFERROR(__xludf.DUMMYFUNCTION("""COMPUTED_VALUE"""),"")</f>
        <v/>
      </c>
      <c r="DJ4" s="18" t="str">
        <f ca="1">IFERROR(__xludf.DUMMYFUNCTION("""COMPUTED_VALUE"""),"")</f>
        <v/>
      </c>
      <c r="DK4" s="18" t="str">
        <f ca="1">IFERROR(__xludf.DUMMYFUNCTION("""COMPUTED_VALUE"""),"")</f>
        <v/>
      </c>
      <c r="DL4" s="18" t="str">
        <f ca="1">IFERROR(__xludf.DUMMYFUNCTION("""COMPUTED_VALUE"""),"")</f>
        <v/>
      </c>
      <c r="DM4" s="18" t="str">
        <f ca="1">IFERROR(__xludf.DUMMYFUNCTION("""COMPUTED_VALUE"""),"")</f>
        <v/>
      </c>
      <c r="DN4" s="18" t="str">
        <f ca="1">IFERROR(__xludf.DUMMYFUNCTION("""COMPUTED_VALUE"""),"")</f>
        <v/>
      </c>
      <c r="DO4" s="18" t="str">
        <f ca="1">IFERROR(__xludf.DUMMYFUNCTION("""COMPUTED_VALUE"""),"")</f>
        <v/>
      </c>
      <c r="DP4" s="18" t="str">
        <f ca="1">IFERROR(__xludf.DUMMYFUNCTION("""COMPUTED_VALUE"""),"")</f>
        <v/>
      </c>
      <c r="DQ4" s="18" t="str">
        <f ca="1">IFERROR(__xludf.DUMMYFUNCTION("""COMPUTED_VALUE"""),"")</f>
        <v/>
      </c>
      <c r="DR4" s="18" t="str">
        <f ca="1">IFERROR(__xludf.DUMMYFUNCTION("""COMPUTED_VALUE"""),"")</f>
        <v/>
      </c>
      <c r="DS4" s="18" t="str">
        <f ca="1">IFERROR(__xludf.DUMMYFUNCTION("""COMPUTED_VALUE"""),"")</f>
        <v/>
      </c>
      <c r="DT4" s="18" t="str">
        <f ca="1">IFERROR(__xludf.DUMMYFUNCTION("""COMPUTED_VALUE"""),"")</f>
        <v/>
      </c>
      <c r="DU4" s="18" t="str">
        <f ca="1">IFERROR(__xludf.DUMMYFUNCTION("""COMPUTED_VALUE"""),"")</f>
        <v/>
      </c>
      <c r="DV4" s="18" t="str">
        <f ca="1">IFERROR(__xludf.DUMMYFUNCTION("""COMPUTED_VALUE"""),"")</f>
        <v/>
      </c>
      <c r="DW4" s="18" t="str">
        <f ca="1">IFERROR(__xludf.DUMMYFUNCTION("""COMPUTED_VALUE"""),"")</f>
        <v/>
      </c>
      <c r="DX4" s="18" t="str">
        <f ca="1">IFERROR(__xludf.DUMMYFUNCTION("""COMPUTED_VALUE"""),"")</f>
        <v/>
      </c>
      <c r="DY4" s="18" t="str">
        <f ca="1">IFERROR(__xludf.DUMMYFUNCTION("""COMPUTED_VALUE"""),"")</f>
        <v/>
      </c>
      <c r="DZ4" s="18" t="str">
        <f ca="1">IFERROR(__xludf.DUMMYFUNCTION("""COMPUTED_VALUE"""),"")</f>
        <v/>
      </c>
      <c r="EA4" s="18" t="str">
        <f ca="1">IFERROR(__xludf.DUMMYFUNCTION("""COMPUTED_VALUE"""),"")</f>
        <v/>
      </c>
      <c r="EB4" s="18" t="str">
        <f ca="1">IFERROR(__xludf.DUMMYFUNCTION("""COMPUTED_VALUE"""),"")</f>
        <v/>
      </c>
      <c r="EC4" s="18" t="str">
        <f ca="1">IFERROR(__xludf.DUMMYFUNCTION("""COMPUTED_VALUE"""),"")</f>
        <v/>
      </c>
      <c r="ED4" s="18" t="str">
        <f ca="1">IFERROR(__xludf.DUMMYFUNCTION("""COMPUTED_VALUE"""),"")</f>
        <v/>
      </c>
      <c r="EE4" s="18" t="str">
        <f ca="1">IFERROR(__xludf.DUMMYFUNCTION("""COMPUTED_VALUE"""),"")</f>
        <v/>
      </c>
      <c r="EF4" s="18" t="str">
        <f ca="1">IFERROR(__xludf.DUMMYFUNCTION("""COMPUTED_VALUE"""),"")</f>
        <v/>
      </c>
      <c r="EG4" s="18" t="str">
        <f ca="1">IFERROR(__xludf.DUMMYFUNCTION("""COMPUTED_VALUE"""),"")</f>
        <v/>
      </c>
      <c r="EH4" s="18" t="str">
        <f ca="1">IFERROR(__xludf.DUMMYFUNCTION("""COMPUTED_VALUE"""),"")</f>
        <v/>
      </c>
      <c r="EI4" s="18" t="str">
        <f ca="1">IFERROR(__xludf.DUMMYFUNCTION("""COMPUTED_VALUE"""),"")</f>
        <v/>
      </c>
      <c r="EJ4" s="18" t="str">
        <f ca="1">IFERROR(__xludf.DUMMYFUNCTION("""COMPUTED_VALUE"""),"")</f>
        <v/>
      </c>
      <c r="EK4" s="18" t="str">
        <f ca="1">IFERROR(__xludf.DUMMYFUNCTION("""COMPUTED_VALUE"""),"")</f>
        <v/>
      </c>
      <c r="EL4" s="18" t="str">
        <f ca="1">IFERROR(__xludf.DUMMYFUNCTION("""COMPUTED_VALUE"""),"")</f>
        <v/>
      </c>
      <c r="EM4" s="18" t="str">
        <f ca="1">IFERROR(__xludf.DUMMYFUNCTION("""COMPUTED_VALUE"""),"")</f>
        <v/>
      </c>
      <c r="EN4" s="18" t="str">
        <f ca="1">IFERROR(__xludf.DUMMYFUNCTION("""COMPUTED_VALUE"""),"")</f>
        <v/>
      </c>
      <c r="EO4" s="18" t="str">
        <f ca="1">IFERROR(__xludf.DUMMYFUNCTION("""COMPUTED_VALUE"""),"")</f>
        <v/>
      </c>
      <c r="EP4" s="18" t="str">
        <f ca="1">IFERROR(__xludf.DUMMYFUNCTION("""COMPUTED_VALUE"""),"")</f>
        <v/>
      </c>
      <c r="EQ4" s="18" t="str">
        <f ca="1">IFERROR(__xludf.DUMMYFUNCTION("""COMPUTED_VALUE"""),"")</f>
        <v/>
      </c>
      <c r="ER4" s="18" t="str">
        <f ca="1">IFERROR(__xludf.DUMMYFUNCTION("""COMPUTED_VALUE"""),"")</f>
        <v/>
      </c>
      <c r="ES4" s="18" t="str">
        <f ca="1">IFERROR(__xludf.DUMMYFUNCTION("""COMPUTED_VALUE"""),"")</f>
        <v/>
      </c>
      <c r="ET4" s="18" t="str">
        <f ca="1">IFERROR(__xludf.DUMMYFUNCTION("""COMPUTED_VALUE"""),"")</f>
        <v/>
      </c>
      <c r="EU4" s="18" t="str">
        <f ca="1">IFERROR(__xludf.DUMMYFUNCTION("""COMPUTED_VALUE"""),"")</f>
        <v/>
      </c>
      <c r="EV4" s="18" t="str">
        <f ca="1">IFERROR(__xludf.DUMMYFUNCTION("""COMPUTED_VALUE"""),"")</f>
        <v/>
      </c>
      <c r="EW4" s="18" t="str">
        <f ca="1">IFERROR(__xludf.DUMMYFUNCTION("""COMPUTED_VALUE"""),"")</f>
        <v/>
      </c>
      <c r="EX4" s="18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9"/>
      <c r="B6" s="24" t="s">
        <v>17</v>
      </c>
      <c r="C6" s="25">
        <v>199</v>
      </c>
      <c r="D6" s="19"/>
      <c r="E6" s="26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4" ht="15.75" customHeight="1">
      <c r="A7" s="11"/>
      <c r="B7" s="27" t="s">
        <v>18</v>
      </c>
      <c r="C7" s="25">
        <v>134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4" ht="15.75" customHeight="1">
      <c r="A8" s="11"/>
      <c r="B8" s="27" t="s">
        <v>19</v>
      </c>
      <c r="C8" s="25">
        <v>21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4" ht="15.75" customHeight="1">
      <c r="A9" s="11"/>
      <c r="B9" s="27" t="s">
        <v>20</v>
      </c>
      <c r="C9" s="25">
        <v>31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4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4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4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4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4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4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9"/>
      <c r="B1" s="54" t="s">
        <v>7</v>
      </c>
      <c r="C1" s="55"/>
      <c r="D1" s="55"/>
      <c r="E1" s="55"/>
      <c r="F1" s="55"/>
      <c r="G1" s="55"/>
      <c r="H1" s="56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11"/>
      <c r="B2" s="11"/>
      <c r="C2" s="11"/>
      <c r="D2" s="11"/>
      <c r="E2" s="11"/>
      <c r="F2" s="11"/>
      <c r="G2" s="11"/>
      <c r="H2" s="11"/>
      <c r="I2" s="11"/>
      <c r="J2" s="12" t="e">
        <f>VLOOKUP($E$3,_MasterData!B4:D1000,3,FALSE)</f>
        <v>#N/A</v>
      </c>
      <c r="K2" s="12"/>
      <c r="L2" s="11"/>
      <c r="M2" s="11"/>
      <c r="N2" s="11"/>
      <c r="O2" s="11"/>
    </row>
    <row r="3" spans="1:154" ht="15.75" customHeight="1">
      <c r="A3" s="13"/>
      <c r="B3" s="2" t="s">
        <v>4</v>
      </c>
      <c r="C3" s="14" t="s">
        <v>21</v>
      </c>
      <c r="D3" s="2" t="s">
        <v>5</v>
      </c>
      <c r="E3" s="14" t="s">
        <v>22</v>
      </c>
      <c r="F3" s="2" t="s">
        <v>10</v>
      </c>
      <c r="G3" s="15" t="s">
        <v>11</v>
      </c>
      <c r="H3" s="2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spans="1:154" ht="15.75" customHeight="1">
      <c r="A4" s="17"/>
      <c r="B4" s="17" t="str">
        <f ca="1">IFERROR(__xludf.DUMMYFUNCTION("IF(C3="""","""",Transpose(IMPORTRANGE('_Settings'!$B$3,C3&amp;""!A4:A1000"")))"),"GetDataCash")</f>
        <v>GetDataCash</v>
      </c>
      <c r="C4" s="17" t="str">
        <f ca="1">IFERROR(__xludf.DUMMYFUNCTION("""COMPUTED_VALUE"""),"EnterCashDividends")</f>
        <v>EnterCashDividends</v>
      </c>
      <c r="D4" s="17" t="str">
        <f ca="1">IFERROR(__xludf.DUMMYFUNCTION("""COMPUTED_VALUE"""),"EnterNonTradingTransaction")</f>
        <v>EnterNonTradingTransaction</v>
      </c>
      <c r="E4" s="17" t="str">
        <f ca="1">IFERROR(__xludf.DUMMYFUNCTION("""COMPUTED_VALUE"""),"VerifyCash")</f>
        <v>VerifyCash</v>
      </c>
      <c r="F4" s="17" t="str">
        <f ca="1">IFERROR(__xludf.DUMMYFUNCTION("""COMPUTED_VALUE"""),"VerifyActivity")</f>
        <v>VerifyActivity</v>
      </c>
      <c r="G4" s="17" t="str">
        <f ca="1">IFERROR(__xludf.DUMMYFUNCTION("""COMPUTED_VALUE"""),"VerifyTradingTransaction")</f>
        <v>VerifyTradingTransaction</v>
      </c>
      <c r="H4" s="17" t="str">
        <f ca="1">IFERROR(__xludf.DUMMYFUNCTION("""COMPUTED_VALUE"""),"VerifyRevaluationData")</f>
        <v>VerifyRevaluationData</v>
      </c>
      <c r="I4" s="17" t="str">
        <f ca="1">IFERROR(__xludf.DUMMYFUNCTION("""COMPUTED_VALUE"""),"GetTradingTransaction")</f>
        <v>GetTradingTransaction</v>
      </c>
      <c r="J4" s="17" t="str">
        <f ca="1">IFERROR(__xludf.DUMMYFUNCTION("""COMPUTED_VALUE"""),"GetActivityData")</f>
        <v>GetActivityData</v>
      </c>
      <c r="K4" s="17" t="str">
        <f ca="1">IFERROR(__xludf.DUMMYFUNCTION("""COMPUTED_VALUE"""),"GetRevaluationData")</f>
        <v>GetRevaluationData</v>
      </c>
      <c r="L4" s="17" t="str">
        <f ca="1">IFERROR(__xludf.DUMMYFUNCTION("""COMPUTED_VALUE"""),"GetAccountDetails")</f>
        <v>GetAccountDetails</v>
      </c>
      <c r="M4" s="17" t="str">
        <f ca="1">IFERROR(__xludf.DUMMYFUNCTION("""COMPUTED_VALUE"""),"GetNonTradingTransaction")</f>
        <v>GetNonTradingTransaction</v>
      </c>
      <c r="N4" s="17" t="str">
        <f ca="1">IFERROR(__xludf.DUMMYFUNCTION("""COMPUTED_VALUE"""),"GetDividendData")</f>
        <v>GetDividendData</v>
      </c>
      <c r="O4" s="17" t="str">
        <f ca="1">IFERROR(__xludf.DUMMYFUNCTION("""COMPUTED_VALUE"""),"VerifyNonTradingTransaction")</f>
        <v>VerifyNonTradingTransaction</v>
      </c>
      <c r="P4" s="18" t="str">
        <f ca="1">IFERROR(__xludf.DUMMYFUNCTION("""COMPUTED_VALUE"""),"VerifyDividend")</f>
        <v>VerifyDividend</v>
      </c>
      <c r="Q4" s="18" t="str">
        <f ca="1">IFERROR(__xludf.DUMMYFUNCTION("""COMPUTED_VALUE"""),"GetOpeningBalanceData")</f>
        <v>GetOpeningBalanceData</v>
      </c>
      <c r="R4" s="18" t="str">
        <f ca="1">IFERROR(__xludf.DUMMYFUNCTION("""COMPUTED_VALUE"""),"GetAccountBalance")</f>
        <v>GetAccountBalance</v>
      </c>
      <c r="S4" s="18" t="str">
        <f ca="1">IFERROR(__xludf.DUMMYFUNCTION("""COMPUTED_VALUE"""),"SelectNonTradingTransaction")</f>
        <v>SelectNonTradingTransaction</v>
      </c>
      <c r="T4" s="18" t="str">
        <f ca="1">IFERROR(__xludf.DUMMYFUNCTION("""COMPUTED_VALUE"""),"SelectNonTradingTranItem")</f>
        <v>SelectNonTradingTranItem</v>
      </c>
      <c r="U4" s="18" t="str">
        <f ca="1">IFERROR(__xludf.DUMMYFUNCTION("""COMPUTED_VALUE"""),"DeleteNonTradingTransaction")</f>
        <v>DeleteNonTradingTransaction</v>
      </c>
      <c r="V4" s="18" t="str">
        <f ca="1">IFERROR(__xludf.DUMMYFUNCTION("""COMPUTED_VALUE"""),"DeleteNonTradingTranItem")</f>
        <v>DeleteNonTradingTranItem</v>
      </c>
      <c r="W4" s="18" t="str">
        <f ca="1">IFERROR(__xludf.DUMMYFUNCTION("""COMPUTED_VALUE"""),"AddNonTradingTransaction")</f>
        <v>AddNonTradingTransaction</v>
      </c>
      <c r="X4" s="18" t="str">
        <f ca="1">IFERROR(__xludf.DUMMYFUNCTION("""COMPUTED_VALUE"""),"AddNonTradingTranItem")</f>
        <v>AddNonTradingTranItem</v>
      </c>
      <c r="Y4" s="18" t="str">
        <f ca="1">IFERROR(__xludf.DUMMYFUNCTION("""COMPUTED_VALUE"""),"VerifyOpeningBalanceData")</f>
        <v>VerifyOpeningBalanceData</v>
      </c>
      <c r="Z4" s="18" t="str">
        <f ca="1">IFERROR(__xludf.DUMMYFUNCTION("""COMPUTED_VALUE"""),"SelectOpeningBalanceTransaction")</f>
        <v>SelectOpeningBalanceTransaction</v>
      </c>
      <c r="AA4" s="18" t="str">
        <f ca="1">IFERROR(__xludf.DUMMYFUNCTION("""COMPUTED_VALUE"""),"SelectOpeningBalanceTranItem")</f>
        <v>SelectOpeningBalanceTranItem</v>
      </c>
      <c r="AB4" s="18" t="str">
        <f ca="1">IFERROR(__xludf.DUMMYFUNCTION("""COMPUTED_VALUE"""),"EditNonTradingTransaction")</f>
        <v>EditNonTradingTransaction</v>
      </c>
      <c r="AC4" s="18" t="str">
        <f ca="1">IFERROR(__xludf.DUMMYFUNCTION("""COMPUTED_VALUE"""),"EditNonTradingTranItem")</f>
        <v>EditNonTradingTranItem</v>
      </c>
      <c r="AD4" s="18" t="str">
        <f ca="1">IFERROR(__xludf.DUMMYFUNCTION("""COMPUTED_VALUE"""),"DeleteOpeningBalanceTransaction")</f>
        <v>DeleteOpeningBalanceTransaction</v>
      </c>
      <c r="AE4" s="18" t="str">
        <f ca="1">IFERROR(__xludf.DUMMYFUNCTION("""COMPUTED_VALUE"""),"DeleteOpeningBalanceTranItem")</f>
        <v>DeleteOpeningBalanceTranItem</v>
      </c>
      <c r="AF4" s="18" t="str">
        <f ca="1">IFERROR(__xludf.DUMMYFUNCTION("""COMPUTED_VALUE"""),"GetDayEndCash")</f>
        <v>GetDayEndCash</v>
      </c>
      <c r="AG4" s="18" t="str">
        <f ca="1">IFERROR(__xludf.DUMMYFUNCTION("""COMPUTED_VALUE"""),"VerifyDayEndCash")</f>
        <v>VerifyDayEndCash</v>
      </c>
      <c r="AH4" s="18" t="str">
        <f ca="1">IFERROR(__xludf.DUMMYFUNCTION("""COMPUTED_VALUE"""),"RunRevaluation")</f>
        <v>RunRevaluation</v>
      </c>
      <c r="AI4" s="18" t="str">
        <f ca="1">IFERROR(__xludf.DUMMYFUNCTION("""COMPUTED_VALUE"""),"CalculateDayEndCash")</f>
        <v>CalculateDayEndCash</v>
      </c>
      <c r="AJ4" s="18" t="str">
        <f ca="1">IFERROR(__xludf.DUMMYFUNCTION("""COMPUTED_VALUE"""),"GetCashTransaction")</f>
        <v>GetCashTransaction</v>
      </c>
      <c r="AK4" s="18" t="str">
        <f ca="1">IFERROR(__xludf.DUMMYFUNCTION("""COMPUTED_VALUE"""),"SelectCashTransaction")</f>
        <v>SelectCashTransaction</v>
      </c>
      <c r="AL4" s="18" t="str">
        <f ca="1">IFERROR(__xludf.DUMMYFUNCTION("""COMPUTED_VALUE"""),"DeleteCashTransaction")</f>
        <v>DeleteCashTransaction</v>
      </c>
      <c r="AM4" s="18" t="str">
        <f ca="1">IFERROR(__xludf.DUMMYFUNCTION("""COMPUTED_VALUE"""),"EditCashTransaction")</f>
        <v>EditCashTransaction</v>
      </c>
      <c r="AN4" s="18" t="str">
        <f ca="1">IFERROR(__xludf.DUMMYFUNCTION("""COMPUTED_VALUE"""),"AddCashTransaction")</f>
        <v>AddCashTransaction</v>
      </c>
      <c r="AO4" s="18" t="str">
        <f ca="1">IFERROR(__xludf.DUMMYFUNCTION("""COMPUTED_VALUE"""),"AddOpeningBalanceTransaction")</f>
        <v>AddOpeningBalanceTransaction</v>
      </c>
      <c r="AP4" s="18" t="str">
        <f ca="1">IFERROR(__xludf.DUMMYFUNCTION("""COMPUTED_VALUE"""),"AddOpeningBalanceTranItem")</f>
        <v>AddOpeningBalanceTranItem</v>
      </c>
      <c r="AQ4" s="18" t="str">
        <f ca="1">IFERROR(__xludf.DUMMYFUNCTION("""COMPUTED_VALUE"""),"GetDailyCalculationsData")</f>
        <v>GetDailyCalculationsData</v>
      </c>
      <c r="AR4" s="18" t="str">
        <f ca="1">IFERROR(__xludf.DUMMYFUNCTION("""COMPUTED_VALUE"""),"CalculateDailyCalculations")</f>
        <v>CalculateDailyCalculations</v>
      </c>
      <c r="AS4" s="18" t="str">
        <f ca="1">IFERROR(__xludf.DUMMYFUNCTION("""COMPUTED_VALUE"""),"EditOpeningBalanceTransaction")</f>
        <v>EditOpeningBalanceTransaction</v>
      </c>
      <c r="AT4" s="18" t="str">
        <f ca="1">IFERROR(__xludf.DUMMYFUNCTION("""COMPUTED_VALUE"""),"EditOpeningBalanceTranItem")</f>
        <v>EditOpeningBalanceTranItem</v>
      </c>
      <c r="AU4" s="18" t="str">
        <f ca="1">IFERROR(__xludf.DUMMYFUNCTION("""COMPUTED_VALUE"""),"VerifyDailyCalTransactions")</f>
        <v>VerifyDailyCalTransactions</v>
      </c>
      <c r="AV4" s="18" t="str">
        <f ca="1">IFERROR(__xludf.DUMMYFUNCTION("""COMPUTED_VALUE"""),"CloseGeneralLedger")</f>
        <v>CloseGeneralLedger</v>
      </c>
      <c r="AW4" s="18" t="str">
        <f ca="1">IFERROR(__xludf.DUMMYFUNCTION("""COMPUTED_VALUE"""),"VerifyAccountDetails")</f>
        <v>VerifyAccountDetails</v>
      </c>
      <c r="AX4" s="18" t="str">
        <f ca="1">IFERROR(__xludf.DUMMYFUNCTION("""COMPUTED_VALUE"""),"SaveTransaction")</f>
        <v>SaveTransaction</v>
      </c>
      <c r="AY4" s="18" t="str">
        <f ca="1">IFERROR(__xludf.DUMMYFUNCTION("""COMPUTED_VALUE"""),"")</f>
        <v/>
      </c>
      <c r="AZ4" s="18" t="str">
        <f ca="1">IFERROR(__xludf.DUMMYFUNCTION("""COMPUTED_VALUE"""),"")</f>
        <v/>
      </c>
      <c r="BA4" s="18" t="str">
        <f ca="1">IFERROR(__xludf.DUMMYFUNCTION("""COMPUTED_VALUE"""),"")</f>
        <v/>
      </c>
      <c r="BB4" s="18" t="str">
        <f ca="1">IFERROR(__xludf.DUMMYFUNCTION("""COMPUTED_VALUE"""),"")</f>
        <v/>
      </c>
      <c r="BC4" s="18" t="str">
        <f ca="1">IFERROR(__xludf.DUMMYFUNCTION("""COMPUTED_VALUE"""),"")</f>
        <v/>
      </c>
      <c r="BD4" s="18" t="str">
        <f ca="1">IFERROR(__xludf.DUMMYFUNCTION("""COMPUTED_VALUE"""),"")</f>
        <v/>
      </c>
      <c r="BE4" s="18" t="str">
        <f ca="1">IFERROR(__xludf.DUMMYFUNCTION("""COMPUTED_VALUE"""),"")</f>
        <v/>
      </c>
      <c r="BF4" s="18" t="str">
        <f ca="1">IFERROR(__xludf.DUMMYFUNCTION("""COMPUTED_VALUE"""),"")</f>
        <v/>
      </c>
      <c r="BG4" s="18" t="str">
        <f ca="1">IFERROR(__xludf.DUMMYFUNCTION("""COMPUTED_VALUE"""),"")</f>
        <v/>
      </c>
      <c r="BH4" s="18" t="str">
        <f ca="1">IFERROR(__xludf.DUMMYFUNCTION("""COMPUTED_VALUE"""),"")</f>
        <v/>
      </c>
      <c r="BI4" s="18" t="str">
        <f ca="1">IFERROR(__xludf.DUMMYFUNCTION("""COMPUTED_VALUE"""),"")</f>
        <v/>
      </c>
      <c r="BJ4" s="18" t="str">
        <f ca="1">IFERROR(__xludf.DUMMYFUNCTION("""COMPUTED_VALUE"""),"")</f>
        <v/>
      </c>
      <c r="BK4" s="18" t="str">
        <f ca="1">IFERROR(__xludf.DUMMYFUNCTION("""COMPUTED_VALUE"""),"")</f>
        <v/>
      </c>
      <c r="BL4" s="18" t="str">
        <f ca="1">IFERROR(__xludf.DUMMYFUNCTION("""COMPUTED_VALUE"""),"")</f>
        <v/>
      </c>
      <c r="BM4" s="18" t="str">
        <f ca="1">IFERROR(__xludf.DUMMYFUNCTION("""COMPUTED_VALUE"""),"")</f>
        <v/>
      </c>
      <c r="BN4" s="18" t="str">
        <f ca="1">IFERROR(__xludf.DUMMYFUNCTION("""COMPUTED_VALUE"""),"")</f>
        <v/>
      </c>
      <c r="BO4" s="18" t="str">
        <f ca="1">IFERROR(__xludf.DUMMYFUNCTION("""COMPUTED_VALUE"""),"")</f>
        <v/>
      </c>
      <c r="BP4" s="18" t="str">
        <f ca="1">IFERROR(__xludf.DUMMYFUNCTION("""COMPUTED_VALUE"""),"")</f>
        <v/>
      </c>
      <c r="BQ4" s="18" t="str">
        <f ca="1">IFERROR(__xludf.DUMMYFUNCTION("""COMPUTED_VALUE"""),"")</f>
        <v/>
      </c>
      <c r="BR4" s="18" t="str">
        <f ca="1">IFERROR(__xludf.DUMMYFUNCTION("""COMPUTED_VALUE"""),"")</f>
        <v/>
      </c>
      <c r="BS4" s="18" t="str">
        <f ca="1">IFERROR(__xludf.DUMMYFUNCTION("""COMPUTED_VALUE"""),"")</f>
        <v/>
      </c>
      <c r="BT4" s="18" t="str">
        <f ca="1">IFERROR(__xludf.DUMMYFUNCTION("""COMPUTED_VALUE"""),"")</f>
        <v/>
      </c>
      <c r="BU4" s="18" t="str">
        <f ca="1">IFERROR(__xludf.DUMMYFUNCTION("""COMPUTED_VALUE"""),"")</f>
        <v/>
      </c>
      <c r="BV4" s="18" t="str">
        <f ca="1">IFERROR(__xludf.DUMMYFUNCTION("""COMPUTED_VALUE"""),"")</f>
        <v/>
      </c>
      <c r="BW4" s="18" t="str">
        <f ca="1">IFERROR(__xludf.DUMMYFUNCTION("""COMPUTED_VALUE"""),"")</f>
        <v/>
      </c>
      <c r="BX4" s="18" t="str">
        <f ca="1">IFERROR(__xludf.DUMMYFUNCTION("""COMPUTED_VALUE"""),"")</f>
        <v/>
      </c>
      <c r="BY4" s="18" t="str">
        <f ca="1">IFERROR(__xludf.DUMMYFUNCTION("""COMPUTED_VALUE"""),"")</f>
        <v/>
      </c>
      <c r="BZ4" s="18" t="str">
        <f ca="1">IFERROR(__xludf.DUMMYFUNCTION("""COMPUTED_VALUE"""),"")</f>
        <v/>
      </c>
      <c r="CA4" s="18" t="str">
        <f ca="1">IFERROR(__xludf.DUMMYFUNCTION("""COMPUTED_VALUE"""),"")</f>
        <v/>
      </c>
      <c r="CB4" s="18" t="str">
        <f ca="1">IFERROR(__xludf.DUMMYFUNCTION("""COMPUTED_VALUE"""),"")</f>
        <v/>
      </c>
      <c r="CC4" s="18" t="str">
        <f ca="1">IFERROR(__xludf.DUMMYFUNCTION("""COMPUTED_VALUE"""),"")</f>
        <v/>
      </c>
      <c r="CD4" s="18" t="str">
        <f ca="1">IFERROR(__xludf.DUMMYFUNCTION("""COMPUTED_VALUE"""),"")</f>
        <v/>
      </c>
      <c r="CE4" s="18" t="str">
        <f ca="1">IFERROR(__xludf.DUMMYFUNCTION("""COMPUTED_VALUE"""),"")</f>
        <v/>
      </c>
      <c r="CF4" s="18" t="str">
        <f ca="1">IFERROR(__xludf.DUMMYFUNCTION("""COMPUTED_VALUE"""),"")</f>
        <v/>
      </c>
      <c r="CG4" s="18" t="str">
        <f ca="1">IFERROR(__xludf.DUMMYFUNCTION("""COMPUTED_VALUE"""),"")</f>
        <v/>
      </c>
      <c r="CH4" s="18" t="str">
        <f ca="1">IFERROR(__xludf.DUMMYFUNCTION("""COMPUTED_VALUE"""),"")</f>
        <v/>
      </c>
      <c r="CI4" s="18" t="str">
        <f ca="1">IFERROR(__xludf.DUMMYFUNCTION("""COMPUTED_VALUE"""),"")</f>
        <v/>
      </c>
      <c r="CJ4" s="18" t="str">
        <f ca="1">IFERROR(__xludf.DUMMYFUNCTION("""COMPUTED_VALUE"""),"")</f>
        <v/>
      </c>
      <c r="CK4" s="18" t="str">
        <f ca="1">IFERROR(__xludf.DUMMYFUNCTION("""COMPUTED_VALUE"""),"")</f>
        <v/>
      </c>
      <c r="CL4" s="18" t="str">
        <f ca="1">IFERROR(__xludf.DUMMYFUNCTION("""COMPUTED_VALUE"""),"")</f>
        <v/>
      </c>
      <c r="CM4" s="18" t="str">
        <f ca="1">IFERROR(__xludf.DUMMYFUNCTION("""COMPUTED_VALUE"""),"")</f>
        <v/>
      </c>
      <c r="CN4" s="18" t="str">
        <f ca="1">IFERROR(__xludf.DUMMYFUNCTION("""COMPUTED_VALUE"""),"")</f>
        <v/>
      </c>
      <c r="CO4" s="18" t="str">
        <f ca="1">IFERROR(__xludf.DUMMYFUNCTION("""COMPUTED_VALUE"""),"")</f>
        <v/>
      </c>
      <c r="CP4" s="18" t="str">
        <f ca="1">IFERROR(__xludf.DUMMYFUNCTION("""COMPUTED_VALUE"""),"")</f>
        <v/>
      </c>
      <c r="CQ4" s="18" t="str">
        <f ca="1">IFERROR(__xludf.DUMMYFUNCTION("""COMPUTED_VALUE"""),"")</f>
        <v/>
      </c>
      <c r="CR4" s="18" t="str">
        <f ca="1">IFERROR(__xludf.DUMMYFUNCTION("""COMPUTED_VALUE"""),"")</f>
        <v/>
      </c>
      <c r="CS4" s="18" t="str">
        <f ca="1">IFERROR(__xludf.DUMMYFUNCTION("""COMPUTED_VALUE"""),"")</f>
        <v/>
      </c>
      <c r="CT4" s="18" t="str">
        <f ca="1">IFERROR(__xludf.DUMMYFUNCTION("""COMPUTED_VALUE"""),"")</f>
        <v/>
      </c>
      <c r="CU4" s="18" t="str">
        <f ca="1">IFERROR(__xludf.DUMMYFUNCTION("""COMPUTED_VALUE"""),"")</f>
        <v/>
      </c>
      <c r="CV4" s="18" t="str">
        <f ca="1">IFERROR(__xludf.DUMMYFUNCTION("""COMPUTED_VALUE"""),"")</f>
        <v/>
      </c>
      <c r="CW4" s="18" t="str">
        <f ca="1">IFERROR(__xludf.DUMMYFUNCTION("""COMPUTED_VALUE"""),"")</f>
        <v/>
      </c>
      <c r="CX4" s="18" t="str">
        <f ca="1">IFERROR(__xludf.DUMMYFUNCTION("""COMPUTED_VALUE"""),"")</f>
        <v/>
      </c>
      <c r="CY4" s="18" t="str">
        <f ca="1">IFERROR(__xludf.DUMMYFUNCTION("""COMPUTED_VALUE"""),"")</f>
        <v/>
      </c>
      <c r="CZ4" s="18" t="str">
        <f ca="1">IFERROR(__xludf.DUMMYFUNCTION("""COMPUTED_VALUE"""),"")</f>
        <v/>
      </c>
      <c r="DA4" s="18" t="str">
        <f ca="1">IFERROR(__xludf.DUMMYFUNCTION("""COMPUTED_VALUE"""),"")</f>
        <v/>
      </c>
      <c r="DB4" s="18" t="str">
        <f ca="1">IFERROR(__xludf.DUMMYFUNCTION("""COMPUTED_VALUE"""),"")</f>
        <v/>
      </c>
      <c r="DC4" s="18" t="str">
        <f ca="1">IFERROR(__xludf.DUMMYFUNCTION("""COMPUTED_VALUE"""),"")</f>
        <v/>
      </c>
      <c r="DD4" s="18" t="str">
        <f ca="1">IFERROR(__xludf.DUMMYFUNCTION("""COMPUTED_VALUE"""),"")</f>
        <v/>
      </c>
      <c r="DE4" s="18" t="str">
        <f ca="1">IFERROR(__xludf.DUMMYFUNCTION("""COMPUTED_VALUE"""),"")</f>
        <v/>
      </c>
      <c r="DF4" s="18" t="str">
        <f ca="1">IFERROR(__xludf.DUMMYFUNCTION("""COMPUTED_VALUE"""),"")</f>
        <v/>
      </c>
      <c r="DG4" s="18" t="str">
        <f ca="1">IFERROR(__xludf.DUMMYFUNCTION("""COMPUTED_VALUE"""),"")</f>
        <v/>
      </c>
      <c r="DH4" s="18" t="str">
        <f ca="1">IFERROR(__xludf.DUMMYFUNCTION("""COMPUTED_VALUE"""),"")</f>
        <v/>
      </c>
      <c r="DI4" s="18" t="str">
        <f ca="1">IFERROR(__xludf.DUMMYFUNCTION("""COMPUTED_VALUE"""),"")</f>
        <v/>
      </c>
      <c r="DJ4" s="18" t="str">
        <f ca="1">IFERROR(__xludf.DUMMYFUNCTION("""COMPUTED_VALUE"""),"")</f>
        <v/>
      </c>
      <c r="DK4" s="18" t="str">
        <f ca="1">IFERROR(__xludf.DUMMYFUNCTION("""COMPUTED_VALUE"""),"")</f>
        <v/>
      </c>
      <c r="DL4" s="18" t="str">
        <f ca="1">IFERROR(__xludf.DUMMYFUNCTION("""COMPUTED_VALUE"""),"")</f>
        <v/>
      </c>
      <c r="DM4" s="18" t="str">
        <f ca="1">IFERROR(__xludf.DUMMYFUNCTION("""COMPUTED_VALUE"""),"")</f>
        <v/>
      </c>
      <c r="DN4" s="18" t="str">
        <f ca="1">IFERROR(__xludf.DUMMYFUNCTION("""COMPUTED_VALUE"""),"")</f>
        <v/>
      </c>
      <c r="DO4" s="18" t="str">
        <f ca="1">IFERROR(__xludf.DUMMYFUNCTION("""COMPUTED_VALUE"""),"")</f>
        <v/>
      </c>
      <c r="DP4" s="18" t="str">
        <f ca="1">IFERROR(__xludf.DUMMYFUNCTION("""COMPUTED_VALUE"""),"")</f>
        <v/>
      </c>
      <c r="DQ4" s="18" t="str">
        <f ca="1">IFERROR(__xludf.DUMMYFUNCTION("""COMPUTED_VALUE"""),"")</f>
        <v/>
      </c>
      <c r="DR4" s="18" t="str">
        <f ca="1">IFERROR(__xludf.DUMMYFUNCTION("""COMPUTED_VALUE"""),"")</f>
        <v/>
      </c>
      <c r="DS4" s="18" t="str">
        <f ca="1">IFERROR(__xludf.DUMMYFUNCTION("""COMPUTED_VALUE"""),"")</f>
        <v/>
      </c>
      <c r="DT4" s="18" t="str">
        <f ca="1">IFERROR(__xludf.DUMMYFUNCTION("""COMPUTED_VALUE"""),"")</f>
        <v/>
      </c>
      <c r="DU4" s="18" t="str">
        <f ca="1">IFERROR(__xludf.DUMMYFUNCTION("""COMPUTED_VALUE"""),"")</f>
        <v/>
      </c>
      <c r="DV4" s="18" t="str">
        <f ca="1">IFERROR(__xludf.DUMMYFUNCTION("""COMPUTED_VALUE"""),"")</f>
        <v/>
      </c>
      <c r="DW4" s="18" t="str">
        <f ca="1">IFERROR(__xludf.DUMMYFUNCTION("""COMPUTED_VALUE"""),"")</f>
        <v/>
      </c>
      <c r="DX4" s="18" t="str">
        <f ca="1">IFERROR(__xludf.DUMMYFUNCTION("""COMPUTED_VALUE"""),"")</f>
        <v/>
      </c>
      <c r="DY4" s="18" t="str">
        <f ca="1">IFERROR(__xludf.DUMMYFUNCTION("""COMPUTED_VALUE"""),"")</f>
        <v/>
      </c>
      <c r="DZ4" s="18" t="str">
        <f ca="1">IFERROR(__xludf.DUMMYFUNCTION("""COMPUTED_VALUE"""),"")</f>
        <v/>
      </c>
      <c r="EA4" s="18" t="str">
        <f ca="1">IFERROR(__xludf.DUMMYFUNCTION("""COMPUTED_VALUE"""),"")</f>
        <v/>
      </c>
      <c r="EB4" s="18" t="str">
        <f ca="1">IFERROR(__xludf.DUMMYFUNCTION("""COMPUTED_VALUE"""),"")</f>
        <v/>
      </c>
      <c r="EC4" s="18" t="str">
        <f ca="1">IFERROR(__xludf.DUMMYFUNCTION("""COMPUTED_VALUE"""),"")</f>
        <v/>
      </c>
      <c r="ED4" s="18" t="str">
        <f ca="1">IFERROR(__xludf.DUMMYFUNCTION("""COMPUTED_VALUE"""),"")</f>
        <v/>
      </c>
      <c r="EE4" s="18" t="str">
        <f ca="1">IFERROR(__xludf.DUMMYFUNCTION("""COMPUTED_VALUE"""),"")</f>
        <v/>
      </c>
      <c r="EF4" s="18" t="str">
        <f ca="1">IFERROR(__xludf.DUMMYFUNCTION("""COMPUTED_VALUE"""),"")</f>
        <v/>
      </c>
      <c r="EG4" s="18" t="str">
        <f ca="1">IFERROR(__xludf.DUMMYFUNCTION("""COMPUTED_VALUE"""),"")</f>
        <v/>
      </c>
      <c r="EH4" s="18" t="str">
        <f ca="1">IFERROR(__xludf.DUMMYFUNCTION("""COMPUTED_VALUE"""),"")</f>
        <v/>
      </c>
      <c r="EI4" s="18" t="str">
        <f ca="1">IFERROR(__xludf.DUMMYFUNCTION("""COMPUTED_VALUE"""),"")</f>
        <v/>
      </c>
      <c r="EJ4" s="18" t="str">
        <f ca="1">IFERROR(__xludf.DUMMYFUNCTION("""COMPUTED_VALUE"""),"")</f>
        <v/>
      </c>
      <c r="EK4" s="18" t="str">
        <f ca="1">IFERROR(__xludf.DUMMYFUNCTION("""COMPUTED_VALUE"""),"")</f>
        <v/>
      </c>
      <c r="EL4" s="18" t="str">
        <f ca="1">IFERROR(__xludf.DUMMYFUNCTION("""COMPUTED_VALUE"""),"")</f>
        <v/>
      </c>
      <c r="EM4" s="18" t="str">
        <f ca="1">IFERROR(__xludf.DUMMYFUNCTION("""COMPUTED_VALUE"""),"")</f>
        <v/>
      </c>
      <c r="EN4" s="18" t="str">
        <f ca="1">IFERROR(__xludf.DUMMYFUNCTION("""COMPUTED_VALUE"""),"")</f>
        <v/>
      </c>
      <c r="EO4" s="18" t="str">
        <f ca="1">IFERROR(__xludf.DUMMYFUNCTION("""COMPUTED_VALUE"""),"")</f>
        <v/>
      </c>
      <c r="EP4" s="18" t="str">
        <f ca="1">IFERROR(__xludf.DUMMYFUNCTION("""COMPUTED_VALUE"""),"")</f>
        <v/>
      </c>
      <c r="EQ4" s="18" t="str">
        <f ca="1">IFERROR(__xludf.DUMMYFUNCTION("""COMPUTED_VALUE"""),"")</f>
        <v/>
      </c>
      <c r="ER4" s="18" t="str">
        <f ca="1">IFERROR(__xludf.DUMMYFUNCTION("""COMPUTED_VALUE"""),"")</f>
        <v/>
      </c>
      <c r="ES4" s="18" t="str">
        <f ca="1">IFERROR(__xludf.DUMMYFUNCTION("""COMPUTED_VALUE"""),"")</f>
        <v/>
      </c>
      <c r="ET4" s="18" t="str">
        <f ca="1">IFERROR(__xludf.DUMMYFUNCTION("""COMPUTED_VALUE"""),"")</f>
        <v/>
      </c>
      <c r="EU4" s="18" t="str">
        <f ca="1">IFERROR(__xludf.DUMMYFUNCTION("""COMPUTED_VALUE"""),"")</f>
        <v/>
      </c>
      <c r="EV4" s="18" t="str">
        <f ca="1">IFERROR(__xludf.DUMMYFUNCTION("""COMPUTED_VALUE"""),"")</f>
        <v/>
      </c>
      <c r="EW4" s="18" t="str">
        <f ca="1">IFERROR(__xludf.DUMMYFUNCTION("""COMPUTED_VALUE"""),"")</f>
        <v/>
      </c>
      <c r="EX4" s="18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9"/>
      <c r="B6" s="19" t="s">
        <v>29</v>
      </c>
      <c r="C6" s="19" t="s">
        <v>24</v>
      </c>
      <c r="D6" s="31">
        <f t="shared" ref="D6:E6" ca="1" si="0">TODAY()-1</f>
        <v>44411</v>
      </c>
      <c r="E6" s="31">
        <f t="shared" ca="1" si="0"/>
        <v>44411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4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4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4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4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4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4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4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4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4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9"/>
      <c r="B1" s="54" t="s">
        <v>7</v>
      </c>
      <c r="C1" s="55"/>
      <c r="D1" s="55"/>
      <c r="E1" s="55"/>
      <c r="F1" s="55"/>
      <c r="G1" s="55"/>
      <c r="H1" s="56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11"/>
      <c r="B2" s="11"/>
      <c r="C2" s="11"/>
      <c r="D2" s="11"/>
      <c r="E2" s="11"/>
      <c r="F2" s="11"/>
      <c r="G2" s="11"/>
      <c r="H2" s="11"/>
      <c r="I2" s="11"/>
      <c r="J2" s="12" t="e">
        <f>VLOOKUP($E$3,_MasterData!B4:D1000,3,FALSE)</f>
        <v>#N/A</v>
      </c>
      <c r="K2" s="12"/>
      <c r="L2" s="11"/>
      <c r="M2" s="11"/>
      <c r="N2" s="11"/>
      <c r="O2" s="11"/>
    </row>
    <row r="3" spans="1:154" ht="15.75" customHeight="1">
      <c r="A3" s="13"/>
      <c r="B3" s="2" t="s">
        <v>4</v>
      </c>
      <c r="C3" s="14" t="s">
        <v>8</v>
      </c>
      <c r="D3" s="2" t="s">
        <v>5</v>
      </c>
      <c r="E3" s="14" t="s">
        <v>9</v>
      </c>
      <c r="F3" s="2" t="s">
        <v>10</v>
      </c>
      <c r="G3" s="15" t="s">
        <v>11</v>
      </c>
      <c r="H3" s="2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spans="1:154" ht="15.75" customHeight="1">
      <c r="A4" s="17"/>
      <c r="B4" s="17" t="str">
        <f ca="1">IFERROR(__xludf.DUMMYFUNCTION("IF(C3="""","""",Transpose(IMPORTRANGE('_Settings'!$B$3,C3&amp;""!A4:A1000"")))"),"OpenTTFromPST")</f>
        <v>OpenTTFromPST</v>
      </c>
      <c r="C4" s="17" t="str">
        <f ca="1">IFERROR(__xludf.DUMMYFUNCTION("""COMPUTED_VALUE"""),"EnterDetailsOnTT")</f>
        <v>EnterDetailsOnTT</v>
      </c>
      <c r="D4" s="17" t="str">
        <f ca="1">IFERROR(__xludf.DUMMYFUNCTION("""COMPUTED_VALUE"""),"ValidateSymbolTT")</f>
        <v>ValidateSymbolTT</v>
      </c>
      <c r="E4" s="17" t="str">
        <f ca="1">IFERROR(__xludf.DUMMYFUNCTION("""COMPUTED_VALUE"""),"VerifyDataTT")</f>
        <v>VerifyDataTT</v>
      </c>
      <c r="F4" s="17" t="str">
        <f ca="1">IFERROR(__xludf.DUMMYFUNCTION("""COMPUTED_VALUE"""),"SetUIPreferencesTT")</f>
        <v>SetUIPreferencesTT</v>
      </c>
      <c r="G4" s="17" t="str">
        <f ca="1">IFERROR(__xludf.DUMMYFUNCTION("""COMPUTED_VALUE"""),"SetBrokerWisePreferencesTT")</f>
        <v>SetBrokerWisePreferencesTT</v>
      </c>
      <c r="H4" s="17" t="str">
        <f ca="1">IFERROR(__xludf.DUMMYFUNCTION("""COMPUTED_VALUE"""),"TradeNewSub")</f>
        <v>TradeNewSub</v>
      </c>
      <c r="I4" s="17" t="str">
        <f ca="1">IFERROR(__xludf.DUMMYFUNCTION("""COMPUTED_VALUE"""),"CreateStageOrder")</f>
        <v>CreateStageOrder</v>
      </c>
      <c r="J4" s="17" t="str">
        <f ca="1">IFERROR(__xludf.DUMMYFUNCTION("""COMPUTED_VALUE"""),"CreateReplaceOrder")</f>
        <v>CreateReplaceOrder</v>
      </c>
      <c r="K4" s="17" t="str">
        <f ca="1">IFERROR(__xludf.DUMMYFUNCTION("""COMPUTED_VALUE"""),"SetGeneralPreference")</f>
        <v>SetGeneralPreference</v>
      </c>
      <c r="L4" s="17" t="str">
        <f ca="1">IFERROR(__xludf.DUMMYFUNCTION("""COMPUTED_VALUE"""),"CreateDoneAwayOrder")</f>
        <v>CreateDoneAwayOrder</v>
      </c>
      <c r="M4" s="17" t="str">
        <f ca="1">IFERROR(__xludf.DUMMYFUNCTION("""COMPUTED_VALUE"""),"CreateNewSubOrder")</f>
        <v>CreateNewSubOrder</v>
      </c>
      <c r="N4" s="17" t="str">
        <f ca="1">IFERROR(__xludf.DUMMYFUNCTION("""COMPUTED_VALUE"""),"TradeBloomberg")</f>
        <v>TradeBloomberg</v>
      </c>
      <c r="O4" s="17" t="str">
        <f ca="1">IFERROR(__xludf.DUMMYFUNCTION("""COMPUTED_VALUE"""),"ClickSymbolLookup")</f>
        <v>ClickSymbolLookup</v>
      </c>
      <c r="P4" s="18" t="str">
        <f ca="1">IFERROR(__xludf.DUMMYFUNCTION("""COMPUTED_VALUE"""),"VerifyTT")</f>
        <v>VerifyTT</v>
      </c>
      <c r="Q4" s="18" t="str">
        <f ca="1">IFERROR(__xludf.DUMMYFUNCTION("""COMPUTED_VALUE"""),"")</f>
        <v/>
      </c>
      <c r="R4" s="18" t="str">
        <f ca="1">IFERROR(__xludf.DUMMYFUNCTION("""COMPUTED_VALUE"""),"")</f>
        <v/>
      </c>
      <c r="S4" s="18" t="str">
        <f ca="1">IFERROR(__xludf.DUMMYFUNCTION("""COMPUTED_VALUE"""),"")</f>
        <v/>
      </c>
      <c r="T4" s="18" t="str">
        <f ca="1">IFERROR(__xludf.DUMMYFUNCTION("""COMPUTED_VALUE"""),"")</f>
        <v/>
      </c>
      <c r="U4" s="18" t="str">
        <f ca="1">IFERROR(__xludf.DUMMYFUNCTION("""COMPUTED_VALUE"""),"")</f>
        <v/>
      </c>
      <c r="V4" s="18" t="str">
        <f ca="1">IFERROR(__xludf.DUMMYFUNCTION("""COMPUTED_VALUE"""),"")</f>
        <v/>
      </c>
      <c r="W4" s="18" t="str">
        <f ca="1">IFERROR(__xludf.DUMMYFUNCTION("""COMPUTED_VALUE"""),"")</f>
        <v/>
      </c>
      <c r="X4" s="18" t="str">
        <f ca="1">IFERROR(__xludf.DUMMYFUNCTION("""COMPUTED_VALUE"""),"")</f>
        <v/>
      </c>
      <c r="Y4" s="18" t="str">
        <f ca="1">IFERROR(__xludf.DUMMYFUNCTION("""COMPUTED_VALUE"""),"")</f>
        <v/>
      </c>
      <c r="Z4" s="18" t="str">
        <f ca="1">IFERROR(__xludf.DUMMYFUNCTION("""COMPUTED_VALUE"""),"")</f>
        <v/>
      </c>
      <c r="AA4" s="18" t="str">
        <f ca="1">IFERROR(__xludf.DUMMYFUNCTION("""COMPUTED_VALUE"""),"")</f>
        <v/>
      </c>
      <c r="AB4" s="18" t="str">
        <f ca="1">IFERROR(__xludf.DUMMYFUNCTION("""COMPUTED_VALUE"""),"")</f>
        <v/>
      </c>
      <c r="AC4" s="18" t="str">
        <f ca="1">IFERROR(__xludf.DUMMYFUNCTION("""COMPUTED_VALUE"""),"")</f>
        <v/>
      </c>
      <c r="AD4" s="18" t="str">
        <f ca="1">IFERROR(__xludf.DUMMYFUNCTION("""COMPUTED_VALUE"""),"")</f>
        <v/>
      </c>
      <c r="AE4" s="18" t="str">
        <f ca="1">IFERROR(__xludf.DUMMYFUNCTION("""COMPUTED_VALUE"""),"")</f>
        <v/>
      </c>
      <c r="AF4" s="18" t="str">
        <f ca="1">IFERROR(__xludf.DUMMYFUNCTION("""COMPUTED_VALUE"""),"")</f>
        <v/>
      </c>
      <c r="AG4" s="18" t="str">
        <f ca="1">IFERROR(__xludf.DUMMYFUNCTION("""COMPUTED_VALUE"""),"")</f>
        <v/>
      </c>
      <c r="AH4" s="18" t="str">
        <f ca="1">IFERROR(__xludf.DUMMYFUNCTION("""COMPUTED_VALUE"""),"")</f>
        <v/>
      </c>
      <c r="AI4" s="18" t="str">
        <f ca="1">IFERROR(__xludf.DUMMYFUNCTION("""COMPUTED_VALUE"""),"")</f>
        <v/>
      </c>
      <c r="AJ4" s="18" t="str">
        <f ca="1">IFERROR(__xludf.DUMMYFUNCTION("""COMPUTED_VALUE"""),"")</f>
        <v/>
      </c>
      <c r="AK4" s="18" t="str">
        <f ca="1">IFERROR(__xludf.DUMMYFUNCTION("""COMPUTED_VALUE"""),"")</f>
        <v/>
      </c>
      <c r="AL4" s="18" t="str">
        <f ca="1">IFERROR(__xludf.DUMMYFUNCTION("""COMPUTED_VALUE"""),"")</f>
        <v/>
      </c>
      <c r="AM4" s="18" t="str">
        <f ca="1">IFERROR(__xludf.DUMMYFUNCTION("""COMPUTED_VALUE"""),"")</f>
        <v/>
      </c>
      <c r="AN4" s="18" t="str">
        <f ca="1">IFERROR(__xludf.DUMMYFUNCTION("""COMPUTED_VALUE"""),"")</f>
        <v/>
      </c>
      <c r="AO4" s="18" t="str">
        <f ca="1">IFERROR(__xludf.DUMMYFUNCTION("""COMPUTED_VALUE"""),"")</f>
        <v/>
      </c>
      <c r="AP4" s="18" t="str">
        <f ca="1">IFERROR(__xludf.DUMMYFUNCTION("""COMPUTED_VALUE"""),"")</f>
        <v/>
      </c>
      <c r="AQ4" s="18" t="str">
        <f ca="1">IFERROR(__xludf.DUMMYFUNCTION("""COMPUTED_VALUE"""),"")</f>
        <v/>
      </c>
      <c r="AR4" s="18" t="str">
        <f ca="1">IFERROR(__xludf.DUMMYFUNCTION("""COMPUTED_VALUE"""),"")</f>
        <v/>
      </c>
      <c r="AS4" s="18" t="str">
        <f ca="1">IFERROR(__xludf.DUMMYFUNCTION("""COMPUTED_VALUE"""),"")</f>
        <v/>
      </c>
      <c r="AT4" s="18" t="str">
        <f ca="1">IFERROR(__xludf.DUMMYFUNCTION("""COMPUTED_VALUE"""),"")</f>
        <v/>
      </c>
      <c r="AU4" s="18" t="str">
        <f ca="1">IFERROR(__xludf.DUMMYFUNCTION("""COMPUTED_VALUE"""),"")</f>
        <v/>
      </c>
      <c r="AV4" s="18" t="str">
        <f ca="1">IFERROR(__xludf.DUMMYFUNCTION("""COMPUTED_VALUE"""),"")</f>
        <v/>
      </c>
      <c r="AW4" s="18" t="str">
        <f ca="1">IFERROR(__xludf.DUMMYFUNCTION("""COMPUTED_VALUE"""),"")</f>
        <v/>
      </c>
      <c r="AX4" s="18" t="str">
        <f ca="1">IFERROR(__xludf.DUMMYFUNCTION("""COMPUTED_VALUE"""),"")</f>
        <v/>
      </c>
      <c r="AY4" s="18" t="str">
        <f ca="1">IFERROR(__xludf.DUMMYFUNCTION("""COMPUTED_VALUE"""),"")</f>
        <v/>
      </c>
      <c r="AZ4" s="18" t="str">
        <f ca="1">IFERROR(__xludf.DUMMYFUNCTION("""COMPUTED_VALUE"""),"")</f>
        <v/>
      </c>
      <c r="BA4" s="18" t="str">
        <f ca="1">IFERROR(__xludf.DUMMYFUNCTION("""COMPUTED_VALUE"""),"")</f>
        <v/>
      </c>
      <c r="BB4" s="18" t="str">
        <f ca="1">IFERROR(__xludf.DUMMYFUNCTION("""COMPUTED_VALUE"""),"")</f>
        <v/>
      </c>
      <c r="BC4" s="18" t="str">
        <f ca="1">IFERROR(__xludf.DUMMYFUNCTION("""COMPUTED_VALUE"""),"")</f>
        <v/>
      </c>
      <c r="BD4" s="18" t="str">
        <f ca="1">IFERROR(__xludf.DUMMYFUNCTION("""COMPUTED_VALUE"""),"")</f>
        <v/>
      </c>
      <c r="BE4" s="18" t="str">
        <f ca="1">IFERROR(__xludf.DUMMYFUNCTION("""COMPUTED_VALUE"""),"")</f>
        <v/>
      </c>
      <c r="BF4" s="18" t="str">
        <f ca="1">IFERROR(__xludf.DUMMYFUNCTION("""COMPUTED_VALUE"""),"")</f>
        <v/>
      </c>
      <c r="BG4" s="18" t="str">
        <f ca="1">IFERROR(__xludf.DUMMYFUNCTION("""COMPUTED_VALUE"""),"")</f>
        <v/>
      </c>
      <c r="BH4" s="18" t="str">
        <f ca="1">IFERROR(__xludf.DUMMYFUNCTION("""COMPUTED_VALUE"""),"")</f>
        <v/>
      </c>
      <c r="BI4" s="18" t="str">
        <f ca="1">IFERROR(__xludf.DUMMYFUNCTION("""COMPUTED_VALUE"""),"")</f>
        <v/>
      </c>
      <c r="BJ4" s="18" t="str">
        <f ca="1">IFERROR(__xludf.DUMMYFUNCTION("""COMPUTED_VALUE"""),"")</f>
        <v/>
      </c>
      <c r="BK4" s="18" t="str">
        <f ca="1">IFERROR(__xludf.DUMMYFUNCTION("""COMPUTED_VALUE"""),"")</f>
        <v/>
      </c>
      <c r="BL4" s="18" t="str">
        <f ca="1">IFERROR(__xludf.DUMMYFUNCTION("""COMPUTED_VALUE"""),"")</f>
        <v/>
      </c>
      <c r="BM4" s="18" t="str">
        <f ca="1">IFERROR(__xludf.DUMMYFUNCTION("""COMPUTED_VALUE"""),"")</f>
        <v/>
      </c>
      <c r="BN4" s="18" t="str">
        <f ca="1">IFERROR(__xludf.DUMMYFUNCTION("""COMPUTED_VALUE"""),"")</f>
        <v/>
      </c>
      <c r="BO4" s="18" t="str">
        <f ca="1">IFERROR(__xludf.DUMMYFUNCTION("""COMPUTED_VALUE"""),"")</f>
        <v/>
      </c>
      <c r="BP4" s="18" t="str">
        <f ca="1">IFERROR(__xludf.DUMMYFUNCTION("""COMPUTED_VALUE"""),"")</f>
        <v/>
      </c>
      <c r="BQ4" s="18" t="str">
        <f ca="1">IFERROR(__xludf.DUMMYFUNCTION("""COMPUTED_VALUE"""),"")</f>
        <v/>
      </c>
      <c r="BR4" s="18" t="str">
        <f ca="1">IFERROR(__xludf.DUMMYFUNCTION("""COMPUTED_VALUE"""),"")</f>
        <v/>
      </c>
      <c r="BS4" s="18" t="str">
        <f ca="1">IFERROR(__xludf.DUMMYFUNCTION("""COMPUTED_VALUE"""),"")</f>
        <v/>
      </c>
      <c r="BT4" s="18" t="str">
        <f ca="1">IFERROR(__xludf.DUMMYFUNCTION("""COMPUTED_VALUE"""),"")</f>
        <v/>
      </c>
      <c r="BU4" s="18" t="str">
        <f ca="1">IFERROR(__xludf.DUMMYFUNCTION("""COMPUTED_VALUE"""),"")</f>
        <v/>
      </c>
      <c r="BV4" s="18" t="str">
        <f ca="1">IFERROR(__xludf.DUMMYFUNCTION("""COMPUTED_VALUE"""),"")</f>
        <v/>
      </c>
      <c r="BW4" s="18" t="str">
        <f ca="1">IFERROR(__xludf.DUMMYFUNCTION("""COMPUTED_VALUE"""),"")</f>
        <v/>
      </c>
      <c r="BX4" s="18" t="str">
        <f ca="1">IFERROR(__xludf.DUMMYFUNCTION("""COMPUTED_VALUE"""),"")</f>
        <v/>
      </c>
      <c r="BY4" s="18" t="str">
        <f ca="1">IFERROR(__xludf.DUMMYFUNCTION("""COMPUTED_VALUE"""),"")</f>
        <v/>
      </c>
      <c r="BZ4" s="18" t="str">
        <f ca="1">IFERROR(__xludf.DUMMYFUNCTION("""COMPUTED_VALUE"""),"")</f>
        <v/>
      </c>
      <c r="CA4" s="18" t="str">
        <f ca="1">IFERROR(__xludf.DUMMYFUNCTION("""COMPUTED_VALUE"""),"")</f>
        <v/>
      </c>
      <c r="CB4" s="18" t="str">
        <f ca="1">IFERROR(__xludf.DUMMYFUNCTION("""COMPUTED_VALUE"""),"")</f>
        <v/>
      </c>
      <c r="CC4" s="18" t="str">
        <f ca="1">IFERROR(__xludf.DUMMYFUNCTION("""COMPUTED_VALUE"""),"")</f>
        <v/>
      </c>
      <c r="CD4" s="18" t="str">
        <f ca="1">IFERROR(__xludf.DUMMYFUNCTION("""COMPUTED_VALUE"""),"")</f>
        <v/>
      </c>
      <c r="CE4" s="18" t="str">
        <f ca="1">IFERROR(__xludf.DUMMYFUNCTION("""COMPUTED_VALUE"""),"")</f>
        <v/>
      </c>
      <c r="CF4" s="18" t="str">
        <f ca="1">IFERROR(__xludf.DUMMYFUNCTION("""COMPUTED_VALUE"""),"")</f>
        <v/>
      </c>
      <c r="CG4" s="18" t="str">
        <f ca="1">IFERROR(__xludf.DUMMYFUNCTION("""COMPUTED_VALUE"""),"")</f>
        <v/>
      </c>
      <c r="CH4" s="18" t="str">
        <f ca="1">IFERROR(__xludf.DUMMYFUNCTION("""COMPUTED_VALUE"""),"")</f>
        <v/>
      </c>
      <c r="CI4" s="18" t="str">
        <f ca="1">IFERROR(__xludf.DUMMYFUNCTION("""COMPUTED_VALUE"""),"")</f>
        <v/>
      </c>
      <c r="CJ4" s="18" t="str">
        <f ca="1">IFERROR(__xludf.DUMMYFUNCTION("""COMPUTED_VALUE"""),"")</f>
        <v/>
      </c>
      <c r="CK4" s="18" t="str">
        <f ca="1">IFERROR(__xludf.DUMMYFUNCTION("""COMPUTED_VALUE"""),"")</f>
        <v/>
      </c>
      <c r="CL4" s="18" t="str">
        <f ca="1">IFERROR(__xludf.DUMMYFUNCTION("""COMPUTED_VALUE"""),"")</f>
        <v/>
      </c>
      <c r="CM4" s="18" t="str">
        <f ca="1">IFERROR(__xludf.DUMMYFUNCTION("""COMPUTED_VALUE"""),"")</f>
        <v/>
      </c>
      <c r="CN4" s="18" t="str">
        <f ca="1">IFERROR(__xludf.DUMMYFUNCTION("""COMPUTED_VALUE"""),"")</f>
        <v/>
      </c>
      <c r="CO4" s="18" t="str">
        <f ca="1">IFERROR(__xludf.DUMMYFUNCTION("""COMPUTED_VALUE"""),"")</f>
        <v/>
      </c>
      <c r="CP4" s="18" t="str">
        <f ca="1">IFERROR(__xludf.DUMMYFUNCTION("""COMPUTED_VALUE"""),"")</f>
        <v/>
      </c>
      <c r="CQ4" s="18" t="str">
        <f ca="1">IFERROR(__xludf.DUMMYFUNCTION("""COMPUTED_VALUE"""),"")</f>
        <v/>
      </c>
      <c r="CR4" s="18" t="str">
        <f ca="1">IFERROR(__xludf.DUMMYFUNCTION("""COMPUTED_VALUE"""),"")</f>
        <v/>
      </c>
      <c r="CS4" s="18" t="str">
        <f ca="1">IFERROR(__xludf.DUMMYFUNCTION("""COMPUTED_VALUE"""),"")</f>
        <v/>
      </c>
      <c r="CT4" s="18" t="str">
        <f ca="1">IFERROR(__xludf.DUMMYFUNCTION("""COMPUTED_VALUE"""),"")</f>
        <v/>
      </c>
      <c r="CU4" s="18" t="str">
        <f ca="1">IFERROR(__xludf.DUMMYFUNCTION("""COMPUTED_VALUE"""),"")</f>
        <v/>
      </c>
      <c r="CV4" s="18" t="str">
        <f ca="1">IFERROR(__xludf.DUMMYFUNCTION("""COMPUTED_VALUE"""),"")</f>
        <v/>
      </c>
      <c r="CW4" s="18" t="str">
        <f ca="1">IFERROR(__xludf.DUMMYFUNCTION("""COMPUTED_VALUE"""),"")</f>
        <v/>
      </c>
      <c r="CX4" s="18" t="str">
        <f ca="1">IFERROR(__xludf.DUMMYFUNCTION("""COMPUTED_VALUE"""),"")</f>
        <v/>
      </c>
      <c r="CY4" s="18" t="str">
        <f ca="1">IFERROR(__xludf.DUMMYFUNCTION("""COMPUTED_VALUE"""),"")</f>
        <v/>
      </c>
      <c r="CZ4" s="18" t="str">
        <f ca="1">IFERROR(__xludf.DUMMYFUNCTION("""COMPUTED_VALUE"""),"")</f>
        <v/>
      </c>
      <c r="DA4" s="18" t="str">
        <f ca="1">IFERROR(__xludf.DUMMYFUNCTION("""COMPUTED_VALUE"""),"")</f>
        <v/>
      </c>
      <c r="DB4" s="18" t="str">
        <f ca="1">IFERROR(__xludf.DUMMYFUNCTION("""COMPUTED_VALUE"""),"")</f>
        <v/>
      </c>
      <c r="DC4" s="18" t="str">
        <f ca="1">IFERROR(__xludf.DUMMYFUNCTION("""COMPUTED_VALUE"""),"")</f>
        <v/>
      </c>
      <c r="DD4" s="18" t="str">
        <f ca="1">IFERROR(__xludf.DUMMYFUNCTION("""COMPUTED_VALUE"""),"")</f>
        <v/>
      </c>
      <c r="DE4" s="18" t="str">
        <f ca="1">IFERROR(__xludf.DUMMYFUNCTION("""COMPUTED_VALUE"""),"")</f>
        <v/>
      </c>
      <c r="DF4" s="18" t="str">
        <f ca="1">IFERROR(__xludf.DUMMYFUNCTION("""COMPUTED_VALUE"""),"")</f>
        <v/>
      </c>
      <c r="DG4" s="18" t="str">
        <f ca="1">IFERROR(__xludf.DUMMYFUNCTION("""COMPUTED_VALUE"""),"")</f>
        <v/>
      </c>
      <c r="DH4" s="18" t="str">
        <f ca="1">IFERROR(__xludf.DUMMYFUNCTION("""COMPUTED_VALUE"""),"")</f>
        <v/>
      </c>
      <c r="DI4" s="18" t="str">
        <f ca="1">IFERROR(__xludf.DUMMYFUNCTION("""COMPUTED_VALUE"""),"")</f>
        <v/>
      </c>
      <c r="DJ4" s="18" t="str">
        <f ca="1">IFERROR(__xludf.DUMMYFUNCTION("""COMPUTED_VALUE"""),"")</f>
        <v/>
      </c>
      <c r="DK4" s="18" t="str">
        <f ca="1">IFERROR(__xludf.DUMMYFUNCTION("""COMPUTED_VALUE"""),"")</f>
        <v/>
      </c>
      <c r="DL4" s="18" t="str">
        <f ca="1">IFERROR(__xludf.DUMMYFUNCTION("""COMPUTED_VALUE"""),"")</f>
        <v/>
      </c>
      <c r="DM4" s="18" t="str">
        <f ca="1">IFERROR(__xludf.DUMMYFUNCTION("""COMPUTED_VALUE"""),"")</f>
        <v/>
      </c>
      <c r="DN4" s="18" t="str">
        <f ca="1">IFERROR(__xludf.DUMMYFUNCTION("""COMPUTED_VALUE"""),"")</f>
        <v/>
      </c>
      <c r="DO4" s="18" t="str">
        <f ca="1">IFERROR(__xludf.DUMMYFUNCTION("""COMPUTED_VALUE"""),"")</f>
        <v/>
      </c>
      <c r="DP4" s="18" t="str">
        <f ca="1">IFERROR(__xludf.DUMMYFUNCTION("""COMPUTED_VALUE"""),"")</f>
        <v/>
      </c>
      <c r="DQ4" s="18" t="str">
        <f ca="1">IFERROR(__xludf.DUMMYFUNCTION("""COMPUTED_VALUE"""),"")</f>
        <v/>
      </c>
      <c r="DR4" s="18" t="str">
        <f ca="1">IFERROR(__xludf.DUMMYFUNCTION("""COMPUTED_VALUE"""),"")</f>
        <v/>
      </c>
      <c r="DS4" s="18" t="str">
        <f ca="1">IFERROR(__xludf.DUMMYFUNCTION("""COMPUTED_VALUE"""),"")</f>
        <v/>
      </c>
      <c r="DT4" s="18" t="str">
        <f ca="1">IFERROR(__xludf.DUMMYFUNCTION("""COMPUTED_VALUE"""),"")</f>
        <v/>
      </c>
      <c r="DU4" s="18" t="str">
        <f ca="1">IFERROR(__xludf.DUMMYFUNCTION("""COMPUTED_VALUE"""),"")</f>
        <v/>
      </c>
      <c r="DV4" s="18" t="str">
        <f ca="1">IFERROR(__xludf.DUMMYFUNCTION("""COMPUTED_VALUE"""),"")</f>
        <v/>
      </c>
      <c r="DW4" s="18" t="str">
        <f ca="1">IFERROR(__xludf.DUMMYFUNCTION("""COMPUTED_VALUE"""),"")</f>
        <v/>
      </c>
      <c r="DX4" s="18" t="str">
        <f ca="1">IFERROR(__xludf.DUMMYFUNCTION("""COMPUTED_VALUE"""),"")</f>
        <v/>
      </c>
      <c r="DY4" s="18" t="str">
        <f ca="1">IFERROR(__xludf.DUMMYFUNCTION("""COMPUTED_VALUE"""),"")</f>
        <v/>
      </c>
      <c r="DZ4" s="18" t="str">
        <f ca="1">IFERROR(__xludf.DUMMYFUNCTION("""COMPUTED_VALUE"""),"")</f>
        <v/>
      </c>
      <c r="EA4" s="18" t="str">
        <f ca="1">IFERROR(__xludf.DUMMYFUNCTION("""COMPUTED_VALUE"""),"")</f>
        <v/>
      </c>
      <c r="EB4" s="18" t="str">
        <f ca="1">IFERROR(__xludf.DUMMYFUNCTION("""COMPUTED_VALUE"""),"")</f>
        <v/>
      </c>
      <c r="EC4" s="18" t="str">
        <f ca="1">IFERROR(__xludf.DUMMYFUNCTION("""COMPUTED_VALUE"""),"")</f>
        <v/>
      </c>
      <c r="ED4" s="18" t="str">
        <f ca="1">IFERROR(__xludf.DUMMYFUNCTION("""COMPUTED_VALUE"""),"")</f>
        <v/>
      </c>
      <c r="EE4" s="18" t="str">
        <f ca="1">IFERROR(__xludf.DUMMYFUNCTION("""COMPUTED_VALUE"""),"")</f>
        <v/>
      </c>
      <c r="EF4" s="18" t="str">
        <f ca="1">IFERROR(__xludf.DUMMYFUNCTION("""COMPUTED_VALUE"""),"")</f>
        <v/>
      </c>
      <c r="EG4" s="18" t="str">
        <f ca="1">IFERROR(__xludf.DUMMYFUNCTION("""COMPUTED_VALUE"""),"")</f>
        <v/>
      </c>
      <c r="EH4" s="18" t="str">
        <f ca="1">IFERROR(__xludf.DUMMYFUNCTION("""COMPUTED_VALUE"""),"")</f>
        <v/>
      </c>
      <c r="EI4" s="18" t="str">
        <f ca="1">IFERROR(__xludf.DUMMYFUNCTION("""COMPUTED_VALUE"""),"")</f>
        <v/>
      </c>
      <c r="EJ4" s="18" t="str">
        <f ca="1">IFERROR(__xludf.DUMMYFUNCTION("""COMPUTED_VALUE"""),"")</f>
        <v/>
      </c>
      <c r="EK4" s="18" t="str">
        <f ca="1">IFERROR(__xludf.DUMMYFUNCTION("""COMPUTED_VALUE"""),"")</f>
        <v/>
      </c>
      <c r="EL4" s="18" t="str">
        <f ca="1">IFERROR(__xludf.DUMMYFUNCTION("""COMPUTED_VALUE"""),"")</f>
        <v/>
      </c>
      <c r="EM4" s="18" t="str">
        <f ca="1">IFERROR(__xludf.DUMMYFUNCTION("""COMPUTED_VALUE"""),"")</f>
        <v/>
      </c>
      <c r="EN4" s="18" t="str">
        <f ca="1">IFERROR(__xludf.DUMMYFUNCTION("""COMPUTED_VALUE"""),"")</f>
        <v/>
      </c>
      <c r="EO4" s="18" t="str">
        <f ca="1">IFERROR(__xludf.DUMMYFUNCTION("""COMPUTED_VALUE"""),"")</f>
        <v/>
      </c>
      <c r="EP4" s="18" t="str">
        <f ca="1">IFERROR(__xludf.DUMMYFUNCTION("""COMPUTED_VALUE"""),"")</f>
        <v/>
      </c>
      <c r="EQ4" s="18" t="str">
        <f ca="1">IFERROR(__xludf.DUMMYFUNCTION("""COMPUTED_VALUE"""),"")</f>
        <v/>
      </c>
      <c r="ER4" s="18" t="str">
        <f ca="1">IFERROR(__xludf.DUMMYFUNCTION("""COMPUTED_VALUE"""),"")</f>
        <v/>
      </c>
      <c r="ES4" s="18" t="str">
        <f ca="1">IFERROR(__xludf.DUMMYFUNCTION("""COMPUTED_VALUE"""),"")</f>
        <v/>
      </c>
      <c r="ET4" s="18" t="str">
        <f ca="1">IFERROR(__xludf.DUMMYFUNCTION("""COMPUTED_VALUE"""),"")</f>
        <v/>
      </c>
      <c r="EU4" s="18" t="str">
        <f ca="1">IFERROR(__xludf.DUMMYFUNCTION("""COMPUTED_VALUE"""),"")</f>
        <v/>
      </c>
      <c r="EV4" s="18" t="str">
        <f ca="1">IFERROR(__xludf.DUMMYFUNCTION("""COMPUTED_VALUE"""),"")</f>
        <v/>
      </c>
      <c r="EW4" s="18" t="str">
        <f ca="1">IFERROR(__xludf.DUMMYFUNCTION("""COMPUTED_VALUE"""),"")</f>
        <v/>
      </c>
      <c r="EX4" s="18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9"/>
      <c r="B6" s="24" t="s">
        <v>19</v>
      </c>
      <c r="C6" s="27" t="s">
        <v>23</v>
      </c>
      <c r="D6" s="28">
        <v>100</v>
      </c>
      <c r="E6" s="26"/>
      <c r="F6" s="19" t="s">
        <v>30</v>
      </c>
      <c r="G6" s="19" t="s">
        <v>25</v>
      </c>
      <c r="H6" s="11"/>
      <c r="I6" s="11"/>
      <c r="J6" s="19">
        <v>25</v>
      </c>
      <c r="K6" s="11"/>
      <c r="L6" s="11"/>
      <c r="M6" s="11"/>
      <c r="N6" s="29">
        <f t="shared" ref="N6:N7" ca="1" si="0">TODAY()</f>
        <v>44412</v>
      </c>
      <c r="O6" s="11"/>
      <c r="R6" s="30" t="s">
        <v>26</v>
      </c>
      <c r="S6" s="30">
        <v>35</v>
      </c>
    </row>
    <row r="7" spans="1:154" ht="15.75" customHeight="1">
      <c r="A7" s="11"/>
      <c r="B7" s="27" t="s">
        <v>20</v>
      </c>
      <c r="C7" s="27" t="s">
        <v>27</v>
      </c>
      <c r="D7" s="25">
        <v>100</v>
      </c>
      <c r="E7" s="11"/>
      <c r="F7" s="19" t="s">
        <v>30</v>
      </c>
      <c r="G7" s="19" t="s">
        <v>25</v>
      </c>
      <c r="H7" s="11"/>
      <c r="I7" s="11"/>
      <c r="J7" s="19">
        <v>33</v>
      </c>
      <c r="K7" s="11"/>
      <c r="L7" s="11"/>
      <c r="M7" s="11"/>
      <c r="N7" s="29">
        <f t="shared" ca="1" si="0"/>
        <v>44412</v>
      </c>
      <c r="O7" s="11"/>
      <c r="R7" s="30" t="s">
        <v>26</v>
      </c>
      <c r="S7" s="30">
        <v>15</v>
      </c>
    </row>
    <row r="8" spans="1:154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4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4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4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4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4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4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4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9"/>
      <c r="B1" s="54" t="s">
        <v>7</v>
      </c>
      <c r="C1" s="55"/>
      <c r="D1" s="55"/>
      <c r="E1" s="55"/>
      <c r="F1" s="55"/>
      <c r="G1" s="55"/>
      <c r="H1" s="56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11"/>
      <c r="B2" s="11"/>
      <c r="C2" s="11"/>
      <c r="D2" s="11"/>
      <c r="E2" s="11"/>
      <c r="F2" s="11"/>
      <c r="G2" s="11"/>
      <c r="H2" s="11"/>
      <c r="I2" s="11"/>
      <c r="J2" s="12" t="e">
        <f>VLOOKUP($E$3,_MasterData!B4:D1000,3,FALSE)</f>
        <v>#N/A</v>
      </c>
      <c r="K2" s="12"/>
      <c r="L2" s="11"/>
      <c r="M2" s="11"/>
      <c r="N2" s="11"/>
      <c r="O2" s="11"/>
    </row>
    <row r="3" spans="1:154" ht="15.75" customHeight="1">
      <c r="A3" s="13"/>
      <c r="B3" s="2" t="s">
        <v>4</v>
      </c>
      <c r="C3" s="14" t="s">
        <v>31</v>
      </c>
      <c r="D3" s="2" t="s">
        <v>5</v>
      </c>
      <c r="E3" s="14" t="s">
        <v>32</v>
      </c>
      <c r="F3" s="2" t="s">
        <v>10</v>
      </c>
      <c r="G3" s="15" t="s">
        <v>11</v>
      </c>
      <c r="H3" s="2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spans="1:154" ht="15.75" customHeight="1">
      <c r="A4" s="17"/>
      <c r="B4" s="17" t="str">
        <f ca="1">IFERROR(__xludf.DUMMYFUNCTION("IF(C3="""","""",Transpose(IMPORTRANGE('_Settings'!$B$3,C3&amp;""!A4:A1000"")))"),"UpdateBeta")</f>
        <v>UpdateBeta</v>
      </c>
      <c r="C4" s="17" t="str">
        <f ca="1">IFERROR(__xludf.DUMMYFUNCTION("""COMPUTED_VALUE"""),"UpdateDailyCash")</f>
        <v>UpdateDailyCash</v>
      </c>
      <c r="D4" s="17" t="str">
        <f ca="1">IFERROR(__xludf.DUMMYFUNCTION("""COMPUTED_VALUE"""),"UpdateForexConversion")</f>
        <v>UpdateForexConversion</v>
      </c>
      <c r="E4" s="17" t="str">
        <f ca="1">IFERROR(__xludf.DUMMYFUNCTION("""COMPUTED_VALUE"""),"UpdateMarkPrice")</f>
        <v>UpdateMarkPrice</v>
      </c>
      <c r="F4" s="17" t="str">
        <f ca="1">IFERROR(__xludf.DUMMYFUNCTION("""COMPUTED_VALUE"""),"CleanUp")</f>
        <v>CleanUp</v>
      </c>
      <c r="G4" s="17" t="str">
        <f ca="1">IFERROR(__xludf.DUMMYFUNCTION("""COMPUTED_VALUE"""),"GetMarkPriceData")</f>
        <v>GetMarkPriceData</v>
      </c>
      <c r="H4" s="17" t="str">
        <f ca="1">IFERROR(__xludf.DUMMYFUNCTION("""COMPUTED_VALUE"""),"GetForwardPoints")</f>
        <v>GetForwardPoints</v>
      </c>
      <c r="I4" s="17" t="str">
        <f ca="1">IFERROR(__xludf.DUMMYFUNCTION("""COMPUTED_VALUE"""),"UpdateForwardPoints")</f>
        <v>UpdateForwardPoints</v>
      </c>
      <c r="J4" s="17" t="str">
        <f ca="1">IFERROR(__xludf.DUMMYFUNCTION("""COMPUTED_VALUE"""),"GetForexConversion")</f>
        <v>GetForexConversion</v>
      </c>
      <c r="K4" s="17" t="str">
        <f ca="1">IFERROR(__xludf.DUMMYFUNCTION("""COMPUTED_VALUE"""),"DeleteNAV")</f>
        <v>DeleteNAV</v>
      </c>
      <c r="L4" s="17" t="str">
        <f ca="1">IFERROR(__xludf.DUMMYFUNCTION("""COMPUTED_VALUE"""),"GetDailyCash")</f>
        <v>GetDailyCash</v>
      </c>
      <c r="M4" s="17" t="str">
        <f ca="1">IFERROR(__xludf.DUMMYFUNCTION("""COMPUTED_VALUE"""),"GetDailyBeta")</f>
        <v>GetDailyBeta</v>
      </c>
      <c r="N4" s="17" t="str">
        <f ca="1">IFERROR(__xludf.DUMMYFUNCTION("""COMPUTED_VALUE"""),"GetDailyVolatility")</f>
        <v>GetDailyVolatility</v>
      </c>
      <c r="O4" s="17" t="str">
        <f ca="1">IFERROR(__xludf.DUMMYFUNCTION("""COMPUTED_VALUE"""),"GetDailyDividendYield")</f>
        <v>GetDailyDividendYield</v>
      </c>
      <c r="P4" s="18" t="str">
        <f ca="1">IFERROR(__xludf.DUMMYFUNCTION("""COMPUTED_VALUE"""),"GetDailyTradingVolume")</f>
        <v>GetDailyTradingVolume</v>
      </c>
      <c r="Q4" s="18" t="str">
        <f ca="1">IFERROR(__xludf.DUMMYFUNCTION("""COMPUTED_VALUE"""),"GetDailyOutstandings")</f>
        <v>GetDailyOutstandings</v>
      </c>
      <c r="R4" s="18" t="str">
        <f ca="1">IFERROR(__xludf.DUMMYFUNCTION("""COMPUTED_VALUE"""),"GetDailyDelta")</f>
        <v>GetDailyDelta</v>
      </c>
      <c r="S4" s="18" t="str">
        <f ca="1">IFERROR(__xludf.DUMMYFUNCTION("""COMPUTED_VALUE"""),"UpdateDailyVolatility")</f>
        <v>UpdateDailyVolatility</v>
      </c>
      <c r="T4" s="18" t="str">
        <f ca="1">IFERROR(__xludf.DUMMYFUNCTION("""COMPUTED_VALUE"""),"UpdateDividendYield")</f>
        <v>UpdateDividendYield</v>
      </c>
      <c r="U4" s="18" t="str">
        <f ca="1">IFERROR(__xludf.DUMMYFUNCTION("""COMPUTED_VALUE"""),"UpdateTradingVolume")</f>
        <v>UpdateTradingVolume</v>
      </c>
      <c r="V4" s="18" t="str">
        <f ca="1">IFERROR(__xludf.DUMMYFUNCTION("""COMPUTED_VALUE"""),"UpdateDailyDelta")</f>
        <v>UpdateDailyDelta</v>
      </c>
      <c r="W4" s="18" t="str">
        <f ca="1">IFERROR(__xludf.DUMMYFUNCTION("""COMPUTED_VALUE"""),"UpdateDailyOutstandings")</f>
        <v>UpdateDailyOutstandings</v>
      </c>
      <c r="X4" s="18" t="str">
        <f ca="1">IFERROR(__xludf.DUMMYFUNCTION("""COMPUTED_VALUE"""),"UpdateBeta")</f>
        <v>UpdateBeta</v>
      </c>
      <c r="Y4" s="18" t="str">
        <f ca="1">IFERROR(__xludf.DUMMYFUNCTION("""COMPUTED_VALUE"""),"UpdateNAV")</f>
        <v>UpdateNAV</v>
      </c>
      <c r="Z4" s="18" t="str">
        <f ca="1">IFERROR(__xludf.DUMMYFUNCTION("""COMPUTED_VALUE"""),"UpdateDailyCash")</f>
        <v>UpdateDailyCash</v>
      </c>
      <c r="AA4" s="18" t="str">
        <f ca="1">IFERROR(__xludf.DUMMYFUNCTION("""COMPUTED_VALUE"""),"UpdateDailyCreditLimt")</f>
        <v>UpdateDailyCreditLimt</v>
      </c>
      <c r="AB4" s="18" t="str">
        <f ca="1">IFERROR(__xludf.DUMMYFUNCTION("""COMPUTED_VALUE"""),"RemoveDailyCreditLimit")</f>
        <v>RemoveDailyCreditLimit</v>
      </c>
      <c r="AC4" s="18" t="str">
        <f ca="1">IFERROR(__xludf.DUMMYFUNCTION("""COMPUTED_VALUE"""),"RemoveDailyCash")</f>
        <v>RemoveDailyCash</v>
      </c>
      <c r="AD4" s="18" t="str">
        <f ca="1">IFERROR(__xludf.DUMMYFUNCTION("""COMPUTED_VALUE"""),"RemoveNAV")</f>
        <v>RemoveNAV</v>
      </c>
      <c r="AE4" s="18" t="str">
        <f ca="1">IFERROR(__xludf.DUMMYFUNCTION("""COMPUTED_VALUE"""),"UpdateForexConversionMonthly")</f>
        <v>UpdateForexConversionMonthly</v>
      </c>
      <c r="AF4" s="18" t="str">
        <f ca="1">IFERROR(__xludf.DUMMYFUNCTION("""COMPUTED_VALUE"""),"UpdateMarkPriceMonthly")</f>
        <v>UpdateMarkPriceMonthly</v>
      </c>
      <c r="AG4" s="18" t="str">
        <f ca="1">IFERROR(__xludf.DUMMYFUNCTION("""COMPUTED_VALUE"""),"")</f>
        <v/>
      </c>
      <c r="AH4" s="18" t="str">
        <f ca="1">IFERROR(__xludf.DUMMYFUNCTION("""COMPUTED_VALUE"""),"")</f>
        <v/>
      </c>
      <c r="AI4" s="18" t="str">
        <f ca="1">IFERROR(__xludf.DUMMYFUNCTION("""COMPUTED_VALUE"""),"")</f>
        <v/>
      </c>
      <c r="AJ4" s="18" t="str">
        <f ca="1">IFERROR(__xludf.DUMMYFUNCTION("""COMPUTED_VALUE"""),"")</f>
        <v/>
      </c>
      <c r="AK4" s="18" t="str">
        <f ca="1">IFERROR(__xludf.DUMMYFUNCTION("""COMPUTED_VALUE"""),"")</f>
        <v/>
      </c>
      <c r="AL4" s="18" t="str">
        <f ca="1">IFERROR(__xludf.DUMMYFUNCTION("""COMPUTED_VALUE"""),"")</f>
        <v/>
      </c>
      <c r="AM4" s="18" t="str">
        <f ca="1">IFERROR(__xludf.DUMMYFUNCTION("""COMPUTED_VALUE"""),"")</f>
        <v/>
      </c>
      <c r="AN4" s="18" t="str">
        <f ca="1">IFERROR(__xludf.DUMMYFUNCTION("""COMPUTED_VALUE"""),"")</f>
        <v/>
      </c>
      <c r="AO4" s="18" t="str">
        <f ca="1">IFERROR(__xludf.DUMMYFUNCTION("""COMPUTED_VALUE"""),"")</f>
        <v/>
      </c>
      <c r="AP4" s="18" t="str">
        <f ca="1">IFERROR(__xludf.DUMMYFUNCTION("""COMPUTED_VALUE"""),"")</f>
        <v/>
      </c>
      <c r="AQ4" s="18" t="str">
        <f ca="1">IFERROR(__xludf.DUMMYFUNCTION("""COMPUTED_VALUE"""),"")</f>
        <v/>
      </c>
      <c r="AR4" s="18" t="str">
        <f ca="1">IFERROR(__xludf.DUMMYFUNCTION("""COMPUTED_VALUE"""),"")</f>
        <v/>
      </c>
      <c r="AS4" s="18" t="str">
        <f ca="1">IFERROR(__xludf.DUMMYFUNCTION("""COMPUTED_VALUE"""),"")</f>
        <v/>
      </c>
      <c r="AT4" s="18" t="str">
        <f ca="1">IFERROR(__xludf.DUMMYFUNCTION("""COMPUTED_VALUE"""),"")</f>
        <v/>
      </c>
      <c r="AU4" s="18" t="str">
        <f ca="1">IFERROR(__xludf.DUMMYFUNCTION("""COMPUTED_VALUE"""),"")</f>
        <v/>
      </c>
      <c r="AV4" s="18" t="str">
        <f ca="1">IFERROR(__xludf.DUMMYFUNCTION("""COMPUTED_VALUE"""),"")</f>
        <v/>
      </c>
      <c r="AW4" s="18" t="str">
        <f ca="1">IFERROR(__xludf.DUMMYFUNCTION("""COMPUTED_VALUE"""),"")</f>
        <v/>
      </c>
      <c r="AX4" s="18" t="str">
        <f ca="1">IFERROR(__xludf.DUMMYFUNCTION("""COMPUTED_VALUE"""),"")</f>
        <v/>
      </c>
      <c r="AY4" s="18" t="str">
        <f ca="1">IFERROR(__xludf.DUMMYFUNCTION("""COMPUTED_VALUE"""),"")</f>
        <v/>
      </c>
      <c r="AZ4" s="18" t="str">
        <f ca="1">IFERROR(__xludf.DUMMYFUNCTION("""COMPUTED_VALUE"""),"")</f>
        <v/>
      </c>
      <c r="BA4" s="18" t="str">
        <f ca="1">IFERROR(__xludf.DUMMYFUNCTION("""COMPUTED_VALUE"""),"")</f>
        <v/>
      </c>
      <c r="BB4" s="18" t="str">
        <f ca="1">IFERROR(__xludf.DUMMYFUNCTION("""COMPUTED_VALUE"""),"")</f>
        <v/>
      </c>
      <c r="BC4" s="18" t="str">
        <f ca="1">IFERROR(__xludf.DUMMYFUNCTION("""COMPUTED_VALUE"""),"")</f>
        <v/>
      </c>
      <c r="BD4" s="18" t="str">
        <f ca="1">IFERROR(__xludf.DUMMYFUNCTION("""COMPUTED_VALUE"""),"")</f>
        <v/>
      </c>
      <c r="BE4" s="18" t="str">
        <f ca="1">IFERROR(__xludf.DUMMYFUNCTION("""COMPUTED_VALUE"""),"")</f>
        <v/>
      </c>
      <c r="BF4" s="18" t="str">
        <f ca="1">IFERROR(__xludf.DUMMYFUNCTION("""COMPUTED_VALUE"""),"")</f>
        <v/>
      </c>
      <c r="BG4" s="18" t="str">
        <f ca="1">IFERROR(__xludf.DUMMYFUNCTION("""COMPUTED_VALUE"""),"")</f>
        <v/>
      </c>
      <c r="BH4" s="18" t="str">
        <f ca="1">IFERROR(__xludf.DUMMYFUNCTION("""COMPUTED_VALUE"""),"")</f>
        <v/>
      </c>
      <c r="BI4" s="18" t="str">
        <f ca="1">IFERROR(__xludf.DUMMYFUNCTION("""COMPUTED_VALUE"""),"")</f>
        <v/>
      </c>
      <c r="BJ4" s="18" t="str">
        <f ca="1">IFERROR(__xludf.DUMMYFUNCTION("""COMPUTED_VALUE"""),"")</f>
        <v/>
      </c>
      <c r="BK4" s="18" t="str">
        <f ca="1">IFERROR(__xludf.DUMMYFUNCTION("""COMPUTED_VALUE"""),"")</f>
        <v/>
      </c>
      <c r="BL4" s="18" t="str">
        <f ca="1">IFERROR(__xludf.DUMMYFUNCTION("""COMPUTED_VALUE"""),"")</f>
        <v/>
      </c>
      <c r="BM4" s="18" t="str">
        <f ca="1">IFERROR(__xludf.DUMMYFUNCTION("""COMPUTED_VALUE"""),"")</f>
        <v/>
      </c>
      <c r="BN4" s="18" t="str">
        <f ca="1">IFERROR(__xludf.DUMMYFUNCTION("""COMPUTED_VALUE"""),"")</f>
        <v/>
      </c>
      <c r="BO4" s="18" t="str">
        <f ca="1">IFERROR(__xludf.DUMMYFUNCTION("""COMPUTED_VALUE"""),"")</f>
        <v/>
      </c>
      <c r="BP4" s="18" t="str">
        <f ca="1">IFERROR(__xludf.DUMMYFUNCTION("""COMPUTED_VALUE"""),"")</f>
        <v/>
      </c>
      <c r="BQ4" s="18" t="str">
        <f ca="1">IFERROR(__xludf.DUMMYFUNCTION("""COMPUTED_VALUE"""),"")</f>
        <v/>
      </c>
      <c r="BR4" s="18" t="str">
        <f ca="1">IFERROR(__xludf.DUMMYFUNCTION("""COMPUTED_VALUE"""),"")</f>
        <v/>
      </c>
      <c r="BS4" s="18" t="str">
        <f ca="1">IFERROR(__xludf.DUMMYFUNCTION("""COMPUTED_VALUE"""),"")</f>
        <v/>
      </c>
      <c r="BT4" s="18" t="str">
        <f ca="1">IFERROR(__xludf.DUMMYFUNCTION("""COMPUTED_VALUE"""),"")</f>
        <v/>
      </c>
      <c r="BU4" s="18" t="str">
        <f ca="1">IFERROR(__xludf.DUMMYFUNCTION("""COMPUTED_VALUE"""),"")</f>
        <v/>
      </c>
      <c r="BV4" s="18" t="str">
        <f ca="1">IFERROR(__xludf.DUMMYFUNCTION("""COMPUTED_VALUE"""),"")</f>
        <v/>
      </c>
      <c r="BW4" s="18" t="str">
        <f ca="1">IFERROR(__xludf.DUMMYFUNCTION("""COMPUTED_VALUE"""),"")</f>
        <v/>
      </c>
      <c r="BX4" s="18" t="str">
        <f ca="1">IFERROR(__xludf.DUMMYFUNCTION("""COMPUTED_VALUE"""),"")</f>
        <v/>
      </c>
      <c r="BY4" s="18" t="str">
        <f ca="1">IFERROR(__xludf.DUMMYFUNCTION("""COMPUTED_VALUE"""),"")</f>
        <v/>
      </c>
      <c r="BZ4" s="18" t="str">
        <f ca="1">IFERROR(__xludf.DUMMYFUNCTION("""COMPUTED_VALUE"""),"")</f>
        <v/>
      </c>
      <c r="CA4" s="18" t="str">
        <f ca="1">IFERROR(__xludf.DUMMYFUNCTION("""COMPUTED_VALUE"""),"")</f>
        <v/>
      </c>
      <c r="CB4" s="18" t="str">
        <f ca="1">IFERROR(__xludf.DUMMYFUNCTION("""COMPUTED_VALUE"""),"")</f>
        <v/>
      </c>
      <c r="CC4" s="18" t="str">
        <f ca="1">IFERROR(__xludf.DUMMYFUNCTION("""COMPUTED_VALUE"""),"")</f>
        <v/>
      </c>
      <c r="CD4" s="18" t="str">
        <f ca="1">IFERROR(__xludf.DUMMYFUNCTION("""COMPUTED_VALUE"""),"")</f>
        <v/>
      </c>
      <c r="CE4" s="18" t="str">
        <f ca="1">IFERROR(__xludf.DUMMYFUNCTION("""COMPUTED_VALUE"""),"")</f>
        <v/>
      </c>
      <c r="CF4" s="18" t="str">
        <f ca="1">IFERROR(__xludf.DUMMYFUNCTION("""COMPUTED_VALUE"""),"")</f>
        <v/>
      </c>
      <c r="CG4" s="18" t="str">
        <f ca="1">IFERROR(__xludf.DUMMYFUNCTION("""COMPUTED_VALUE"""),"")</f>
        <v/>
      </c>
      <c r="CH4" s="18" t="str">
        <f ca="1">IFERROR(__xludf.DUMMYFUNCTION("""COMPUTED_VALUE"""),"")</f>
        <v/>
      </c>
      <c r="CI4" s="18" t="str">
        <f ca="1">IFERROR(__xludf.DUMMYFUNCTION("""COMPUTED_VALUE"""),"")</f>
        <v/>
      </c>
      <c r="CJ4" s="18" t="str">
        <f ca="1">IFERROR(__xludf.DUMMYFUNCTION("""COMPUTED_VALUE"""),"")</f>
        <v/>
      </c>
      <c r="CK4" s="18" t="str">
        <f ca="1">IFERROR(__xludf.DUMMYFUNCTION("""COMPUTED_VALUE"""),"")</f>
        <v/>
      </c>
      <c r="CL4" s="18" t="str">
        <f ca="1">IFERROR(__xludf.DUMMYFUNCTION("""COMPUTED_VALUE"""),"")</f>
        <v/>
      </c>
      <c r="CM4" s="18" t="str">
        <f ca="1">IFERROR(__xludf.DUMMYFUNCTION("""COMPUTED_VALUE"""),"")</f>
        <v/>
      </c>
      <c r="CN4" s="18" t="str">
        <f ca="1">IFERROR(__xludf.DUMMYFUNCTION("""COMPUTED_VALUE"""),"")</f>
        <v/>
      </c>
      <c r="CO4" s="18" t="str">
        <f ca="1">IFERROR(__xludf.DUMMYFUNCTION("""COMPUTED_VALUE"""),"")</f>
        <v/>
      </c>
      <c r="CP4" s="18" t="str">
        <f ca="1">IFERROR(__xludf.DUMMYFUNCTION("""COMPUTED_VALUE"""),"")</f>
        <v/>
      </c>
      <c r="CQ4" s="18" t="str">
        <f ca="1">IFERROR(__xludf.DUMMYFUNCTION("""COMPUTED_VALUE"""),"")</f>
        <v/>
      </c>
      <c r="CR4" s="18" t="str">
        <f ca="1">IFERROR(__xludf.DUMMYFUNCTION("""COMPUTED_VALUE"""),"")</f>
        <v/>
      </c>
      <c r="CS4" s="18" t="str">
        <f ca="1">IFERROR(__xludf.DUMMYFUNCTION("""COMPUTED_VALUE"""),"")</f>
        <v/>
      </c>
      <c r="CT4" s="18" t="str">
        <f ca="1">IFERROR(__xludf.DUMMYFUNCTION("""COMPUTED_VALUE"""),"")</f>
        <v/>
      </c>
      <c r="CU4" s="18" t="str">
        <f ca="1">IFERROR(__xludf.DUMMYFUNCTION("""COMPUTED_VALUE"""),"")</f>
        <v/>
      </c>
      <c r="CV4" s="18" t="str">
        <f ca="1">IFERROR(__xludf.DUMMYFUNCTION("""COMPUTED_VALUE"""),"")</f>
        <v/>
      </c>
      <c r="CW4" s="18" t="str">
        <f ca="1">IFERROR(__xludf.DUMMYFUNCTION("""COMPUTED_VALUE"""),"")</f>
        <v/>
      </c>
      <c r="CX4" s="18" t="str">
        <f ca="1">IFERROR(__xludf.DUMMYFUNCTION("""COMPUTED_VALUE"""),"")</f>
        <v/>
      </c>
      <c r="CY4" s="18" t="str">
        <f ca="1">IFERROR(__xludf.DUMMYFUNCTION("""COMPUTED_VALUE"""),"")</f>
        <v/>
      </c>
      <c r="CZ4" s="18" t="str">
        <f ca="1">IFERROR(__xludf.DUMMYFUNCTION("""COMPUTED_VALUE"""),"")</f>
        <v/>
      </c>
      <c r="DA4" s="18" t="str">
        <f ca="1">IFERROR(__xludf.DUMMYFUNCTION("""COMPUTED_VALUE"""),"")</f>
        <v/>
      </c>
      <c r="DB4" s="18" t="str">
        <f ca="1">IFERROR(__xludf.DUMMYFUNCTION("""COMPUTED_VALUE"""),"")</f>
        <v/>
      </c>
      <c r="DC4" s="18" t="str">
        <f ca="1">IFERROR(__xludf.DUMMYFUNCTION("""COMPUTED_VALUE"""),"")</f>
        <v/>
      </c>
      <c r="DD4" s="18" t="str">
        <f ca="1">IFERROR(__xludf.DUMMYFUNCTION("""COMPUTED_VALUE"""),"")</f>
        <v/>
      </c>
      <c r="DE4" s="18" t="str">
        <f ca="1">IFERROR(__xludf.DUMMYFUNCTION("""COMPUTED_VALUE"""),"")</f>
        <v/>
      </c>
      <c r="DF4" s="18" t="str">
        <f ca="1">IFERROR(__xludf.DUMMYFUNCTION("""COMPUTED_VALUE"""),"")</f>
        <v/>
      </c>
      <c r="DG4" s="18" t="str">
        <f ca="1">IFERROR(__xludf.DUMMYFUNCTION("""COMPUTED_VALUE"""),"")</f>
        <v/>
      </c>
      <c r="DH4" s="18" t="str">
        <f ca="1">IFERROR(__xludf.DUMMYFUNCTION("""COMPUTED_VALUE"""),"")</f>
        <v/>
      </c>
      <c r="DI4" s="18" t="str">
        <f ca="1">IFERROR(__xludf.DUMMYFUNCTION("""COMPUTED_VALUE"""),"")</f>
        <v/>
      </c>
      <c r="DJ4" s="18" t="str">
        <f ca="1">IFERROR(__xludf.DUMMYFUNCTION("""COMPUTED_VALUE"""),"")</f>
        <v/>
      </c>
      <c r="DK4" s="18" t="str">
        <f ca="1">IFERROR(__xludf.DUMMYFUNCTION("""COMPUTED_VALUE"""),"")</f>
        <v/>
      </c>
      <c r="DL4" s="18" t="str">
        <f ca="1">IFERROR(__xludf.DUMMYFUNCTION("""COMPUTED_VALUE"""),"")</f>
        <v/>
      </c>
      <c r="DM4" s="18" t="str">
        <f ca="1">IFERROR(__xludf.DUMMYFUNCTION("""COMPUTED_VALUE"""),"")</f>
        <v/>
      </c>
      <c r="DN4" s="18" t="str">
        <f ca="1">IFERROR(__xludf.DUMMYFUNCTION("""COMPUTED_VALUE"""),"")</f>
        <v/>
      </c>
      <c r="DO4" s="18" t="str">
        <f ca="1">IFERROR(__xludf.DUMMYFUNCTION("""COMPUTED_VALUE"""),"")</f>
        <v/>
      </c>
      <c r="DP4" s="18" t="str">
        <f ca="1">IFERROR(__xludf.DUMMYFUNCTION("""COMPUTED_VALUE"""),"")</f>
        <v/>
      </c>
      <c r="DQ4" s="18" t="str">
        <f ca="1">IFERROR(__xludf.DUMMYFUNCTION("""COMPUTED_VALUE"""),"")</f>
        <v/>
      </c>
      <c r="DR4" s="18" t="str">
        <f ca="1">IFERROR(__xludf.DUMMYFUNCTION("""COMPUTED_VALUE"""),"")</f>
        <v/>
      </c>
      <c r="DS4" s="18" t="str">
        <f ca="1">IFERROR(__xludf.DUMMYFUNCTION("""COMPUTED_VALUE"""),"")</f>
        <v/>
      </c>
      <c r="DT4" s="18" t="str">
        <f ca="1">IFERROR(__xludf.DUMMYFUNCTION("""COMPUTED_VALUE"""),"")</f>
        <v/>
      </c>
      <c r="DU4" s="18" t="str">
        <f ca="1">IFERROR(__xludf.DUMMYFUNCTION("""COMPUTED_VALUE"""),"")</f>
        <v/>
      </c>
      <c r="DV4" s="18" t="str">
        <f ca="1">IFERROR(__xludf.DUMMYFUNCTION("""COMPUTED_VALUE"""),"")</f>
        <v/>
      </c>
      <c r="DW4" s="18" t="str">
        <f ca="1">IFERROR(__xludf.DUMMYFUNCTION("""COMPUTED_VALUE"""),"")</f>
        <v/>
      </c>
      <c r="DX4" s="18" t="str">
        <f ca="1">IFERROR(__xludf.DUMMYFUNCTION("""COMPUTED_VALUE"""),"")</f>
        <v/>
      </c>
      <c r="DY4" s="18" t="str">
        <f ca="1">IFERROR(__xludf.DUMMYFUNCTION("""COMPUTED_VALUE"""),"")</f>
        <v/>
      </c>
      <c r="DZ4" s="18" t="str">
        <f ca="1">IFERROR(__xludf.DUMMYFUNCTION("""COMPUTED_VALUE"""),"")</f>
        <v/>
      </c>
      <c r="EA4" s="18" t="str">
        <f ca="1">IFERROR(__xludf.DUMMYFUNCTION("""COMPUTED_VALUE"""),"")</f>
        <v/>
      </c>
      <c r="EB4" s="18" t="str">
        <f ca="1">IFERROR(__xludf.DUMMYFUNCTION("""COMPUTED_VALUE"""),"")</f>
        <v/>
      </c>
      <c r="EC4" s="18" t="str">
        <f ca="1">IFERROR(__xludf.DUMMYFUNCTION("""COMPUTED_VALUE"""),"")</f>
        <v/>
      </c>
      <c r="ED4" s="18" t="str">
        <f ca="1">IFERROR(__xludf.DUMMYFUNCTION("""COMPUTED_VALUE"""),"")</f>
        <v/>
      </c>
      <c r="EE4" s="18" t="str">
        <f ca="1">IFERROR(__xludf.DUMMYFUNCTION("""COMPUTED_VALUE"""),"")</f>
        <v/>
      </c>
      <c r="EF4" s="18" t="str">
        <f ca="1">IFERROR(__xludf.DUMMYFUNCTION("""COMPUTED_VALUE"""),"")</f>
        <v/>
      </c>
      <c r="EG4" s="18" t="str">
        <f ca="1">IFERROR(__xludf.DUMMYFUNCTION("""COMPUTED_VALUE"""),"")</f>
        <v/>
      </c>
      <c r="EH4" s="18" t="str">
        <f ca="1">IFERROR(__xludf.DUMMYFUNCTION("""COMPUTED_VALUE"""),"")</f>
        <v/>
      </c>
      <c r="EI4" s="18" t="str">
        <f ca="1">IFERROR(__xludf.DUMMYFUNCTION("""COMPUTED_VALUE"""),"")</f>
        <v/>
      </c>
      <c r="EJ4" s="18" t="str">
        <f ca="1">IFERROR(__xludf.DUMMYFUNCTION("""COMPUTED_VALUE"""),"")</f>
        <v/>
      </c>
      <c r="EK4" s="18" t="str">
        <f ca="1">IFERROR(__xludf.DUMMYFUNCTION("""COMPUTED_VALUE"""),"")</f>
        <v/>
      </c>
      <c r="EL4" s="18" t="str">
        <f ca="1">IFERROR(__xludf.DUMMYFUNCTION("""COMPUTED_VALUE"""),"")</f>
        <v/>
      </c>
      <c r="EM4" s="18" t="str">
        <f ca="1">IFERROR(__xludf.DUMMYFUNCTION("""COMPUTED_VALUE"""),"")</f>
        <v/>
      </c>
      <c r="EN4" s="18" t="str">
        <f ca="1">IFERROR(__xludf.DUMMYFUNCTION("""COMPUTED_VALUE"""),"")</f>
        <v/>
      </c>
      <c r="EO4" s="18" t="str">
        <f ca="1">IFERROR(__xludf.DUMMYFUNCTION("""COMPUTED_VALUE"""),"")</f>
        <v/>
      </c>
      <c r="EP4" s="18" t="str">
        <f ca="1">IFERROR(__xludf.DUMMYFUNCTION("""COMPUTED_VALUE"""),"")</f>
        <v/>
      </c>
      <c r="EQ4" s="18" t="str">
        <f ca="1">IFERROR(__xludf.DUMMYFUNCTION("""COMPUTED_VALUE"""),"")</f>
        <v/>
      </c>
      <c r="ER4" s="18" t="str">
        <f ca="1">IFERROR(__xludf.DUMMYFUNCTION("""COMPUTED_VALUE"""),"")</f>
        <v/>
      </c>
      <c r="ES4" s="18" t="str">
        <f ca="1">IFERROR(__xludf.DUMMYFUNCTION("""COMPUTED_VALUE"""),"")</f>
        <v/>
      </c>
      <c r="ET4" s="18" t="str">
        <f ca="1">IFERROR(__xludf.DUMMYFUNCTION("""COMPUTED_VALUE"""),"")</f>
        <v/>
      </c>
      <c r="EU4" s="18" t="str">
        <f ca="1">IFERROR(__xludf.DUMMYFUNCTION("""COMPUTED_VALUE"""),"")</f>
        <v/>
      </c>
      <c r="EV4" s="18" t="str">
        <f ca="1">IFERROR(__xludf.DUMMYFUNCTION("""COMPUTED_VALUE"""),"")</f>
        <v/>
      </c>
      <c r="EW4" s="18" t="str">
        <f ca="1">IFERROR(__xludf.DUMMYFUNCTION("""COMPUTED_VALUE"""),"")</f>
        <v/>
      </c>
      <c r="EX4" s="18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9"/>
      <c r="B6" s="31">
        <f ca="1">TODAY()-1</f>
        <v>44411</v>
      </c>
      <c r="C6" s="29">
        <f ca="1">TODAY()</f>
        <v>44412</v>
      </c>
      <c r="D6" s="19"/>
      <c r="E6" s="26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4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4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4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4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4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4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4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4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4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9"/>
      <c r="B1" s="54" t="s">
        <v>7</v>
      </c>
      <c r="C1" s="55"/>
      <c r="D1" s="55"/>
      <c r="E1" s="55"/>
      <c r="F1" s="55"/>
      <c r="G1" s="55"/>
      <c r="H1" s="56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11"/>
      <c r="B2" s="11"/>
      <c r="C2" s="11"/>
      <c r="D2" s="11"/>
      <c r="E2" s="11"/>
      <c r="F2" s="11"/>
      <c r="G2" s="11"/>
      <c r="H2" s="11"/>
      <c r="I2" s="11"/>
      <c r="J2" s="12" t="e">
        <f>VLOOKUP($E$3,_MasterData!B4:D1000,3,FALSE)</f>
        <v>#N/A</v>
      </c>
      <c r="K2" s="12"/>
      <c r="L2" s="11"/>
      <c r="M2" s="11"/>
      <c r="N2" s="11"/>
      <c r="O2" s="11"/>
    </row>
    <row r="3" spans="1:154" ht="15.75" customHeight="1">
      <c r="A3" s="13"/>
      <c r="B3" s="2" t="s">
        <v>4</v>
      </c>
      <c r="C3" s="14" t="s">
        <v>31</v>
      </c>
      <c r="D3" s="2" t="s">
        <v>5</v>
      </c>
      <c r="E3" s="14" t="s">
        <v>33</v>
      </c>
      <c r="F3" s="2" t="s">
        <v>10</v>
      </c>
      <c r="G3" s="15" t="s">
        <v>11</v>
      </c>
      <c r="H3" s="2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spans="1:154" ht="15.75" customHeight="1">
      <c r="A4" s="17"/>
      <c r="B4" s="17" t="str">
        <f ca="1">IFERROR(__xludf.DUMMYFUNCTION("IF(C3="""","""",Transpose(IMPORTRANGE('_Settings'!$B$3,C3&amp;""!A4:A1000"")))"),"UpdateBeta")</f>
        <v>UpdateBeta</v>
      </c>
      <c r="C4" s="17" t="str">
        <f ca="1">IFERROR(__xludf.DUMMYFUNCTION("""COMPUTED_VALUE"""),"UpdateDailyCash")</f>
        <v>UpdateDailyCash</v>
      </c>
      <c r="D4" s="17" t="str">
        <f ca="1">IFERROR(__xludf.DUMMYFUNCTION("""COMPUTED_VALUE"""),"UpdateForexConversion")</f>
        <v>UpdateForexConversion</v>
      </c>
      <c r="E4" s="17" t="str">
        <f ca="1">IFERROR(__xludf.DUMMYFUNCTION("""COMPUTED_VALUE"""),"UpdateMarkPrice")</f>
        <v>UpdateMarkPrice</v>
      </c>
      <c r="F4" s="17" t="str">
        <f ca="1">IFERROR(__xludf.DUMMYFUNCTION("""COMPUTED_VALUE"""),"CleanUp")</f>
        <v>CleanUp</v>
      </c>
      <c r="G4" s="17" t="str">
        <f ca="1">IFERROR(__xludf.DUMMYFUNCTION("""COMPUTED_VALUE"""),"GetMarkPriceData")</f>
        <v>GetMarkPriceData</v>
      </c>
      <c r="H4" s="17" t="str">
        <f ca="1">IFERROR(__xludf.DUMMYFUNCTION("""COMPUTED_VALUE"""),"GetForwardPoints")</f>
        <v>GetForwardPoints</v>
      </c>
      <c r="I4" s="17" t="str">
        <f ca="1">IFERROR(__xludf.DUMMYFUNCTION("""COMPUTED_VALUE"""),"UpdateForwardPoints")</f>
        <v>UpdateForwardPoints</v>
      </c>
      <c r="J4" s="17" t="str">
        <f ca="1">IFERROR(__xludf.DUMMYFUNCTION("""COMPUTED_VALUE"""),"GetForexConversion")</f>
        <v>GetForexConversion</v>
      </c>
      <c r="K4" s="17" t="str">
        <f ca="1">IFERROR(__xludf.DUMMYFUNCTION("""COMPUTED_VALUE"""),"DeleteNAV")</f>
        <v>DeleteNAV</v>
      </c>
      <c r="L4" s="17" t="str">
        <f ca="1">IFERROR(__xludf.DUMMYFUNCTION("""COMPUTED_VALUE"""),"GetDailyCash")</f>
        <v>GetDailyCash</v>
      </c>
      <c r="M4" s="17" t="str">
        <f ca="1">IFERROR(__xludf.DUMMYFUNCTION("""COMPUTED_VALUE"""),"GetDailyBeta")</f>
        <v>GetDailyBeta</v>
      </c>
      <c r="N4" s="17" t="str">
        <f ca="1">IFERROR(__xludf.DUMMYFUNCTION("""COMPUTED_VALUE"""),"GetDailyVolatility")</f>
        <v>GetDailyVolatility</v>
      </c>
      <c r="O4" s="17" t="str">
        <f ca="1">IFERROR(__xludf.DUMMYFUNCTION("""COMPUTED_VALUE"""),"GetDailyDividendYield")</f>
        <v>GetDailyDividendYield</v>
      </c>
      <c r="P4" s="18" t="str">
        <f ca="1">IFERROR(__xludf.DUMMYFUNCTION("""COMPUTED_VALUE"""),"GetDailyTradingVolume")</f>
        <v>GetDailyTradingVolume</v>
      </c>
      <c r="Q4" s="18" t="str">
        <f ca="1">IFERROR(__xludf.DUMMYFUNCTION("""COMPUTED_VALUE"""),"GetDailyOutstandings")</f>
        <v>GetDailyOutstandings</v>
      </c>
      <c r="R4" s="18" t="str">
        <f ca="1">IFERROR(__xludf.DUMMYFUNCTION("""COMPUTED_VALUE"""),"GetDailyDelta")</f>
        <v>GetDailyDelta</v>
      </c>
      <c r="S4" s="18" t="str">
        <f ca="1">IFERROR(__xludf.DUMMYFUNCTION("""COMPUTED_VALUE"""),"UpdateDailyVolatility")</f>
        <v>UpdateDailyVolatility</v>
      </c>
      <c r="T4" s="18" t="str">
        <f ca="1">IFERROR(__xludf.DUMMYFUNCTION("""COMPUTED_VALUE"""),"UpdateDividendYield")</f>
        <v>UpdateDividendYield</v>
      </c>
      <c r="U4" s="18" t="str">
        <f ca="1">IFERROR(__xludf.DUMMYFUNCTION("""COMPUTED_VALUE"""),"UpdateTradingVolume")</f>
        <v>UpdateTradingVolume</v>
      </c>
      <c r="V4" s="18" t="str">
        <f ca="1">IFERROR(__xludf.DUMMYFUNCTION("""COMPUTED_VALUE"""),"UpdateDailyDelta")</f>
        <v>UpdateDailyDelta</v>
      </c>
      <c r="W4" s="18" t="str">
        <f ca="1">IFERROR(__xludf.DUMMYFUNCTION("""COMPUTED_VALUE"""),"UpdateDailyOutstandings")</f>
        <v>UpdateDailyOutstandings</v>
      </c>
      <c r="X4" s="18" t="str">
        <f ca="1">IFERROR(__xludf.DUMMYFUNCTION("""COMPUTED_VALUE"""),"UpdateBeta")</f>
        <v>UpdateBeta</v>
      </c>
      <c r="Y4" s="18" t="str">
        <f ca="1">IFERROR(__xludf.DUMMYFUNCTION("""COMPUTED_VALUE"""),"UpdateNAV")</f>
        <v>UpdateNAV</v>
      </c>
      <c r="Z4" s="18" t="str">
        <f ca="1">IFERROR(__xludf.DUMMYFUNCTION("""COMPUTED_VALUE"""),"UpdateDailyCash")</f>
        <v>UpdateDailyCash</v>
      </c>
      <c r="AA4" s="18" t="str">
        <f ca="1">IFERROR(__xludf.DUMMYFUNCTION("""COMPUTED_VALUE"""),"UpdateDailyCreditLimt")</f>
        <v>UpdateDailyCreditLimt</v>
      </c>
      <c r="AB4" s="18" t="str">
        <f ca="1">IFERROR(__xludf.DUMMYFUNCTION("""COMPUTED_VALUE"""),"RemoveDailyCreditLimit")</f>
        <v>RemoveDailyCreditLimit</v>
      </c>
      <c r="AC4" s="18" t="str">
        <f ca="1">IFERROR(__xludf.DUMMYFUNCTION("""COMPUTED_VALUE"""),"RemoveDailyCash")</f>
        <v>RemoveDailyCash</v>
      </c>
      <c r="AD4" s="18" t="str">
        <f ca="1">IFERROR(__xludf.DUMMYFUNCTION("""COMPUTED_VALUE"""),"RemoveNAV")</f>
        <v>RemoveNAV</v>
      </c>
      <c r="AE4" s="18" t="str">
        <f ca="1">IFERROR(__xludf.DUMMYFUNCTION("""COMPUTED_VALUE"""),"UpdateForexConversionMonthly")</f>
        <v>UpdateForexConversionMonthly</v>
      </c>
      <c r="AF4" s="18" t="str">
        <f ca="1">IFERROR(__xludf.DUMMYFUNCTION("""COMPUTED_VALUE"""),"UpdateMarkPriceMonthly")</f>
        <v>UpdateMarkPriceMonthly</v>
      </c>
      <c r="AG4" s="18" t="str">
        <f ca="1">IFERROR(__xludf.DUMMYFUNCTION("""COMPUTED_VALUE"""),"")</f>
        <v/>
      </c>
      <c r="AH4" s="18" t="str">
        <f ca="1">IFERROR(__xludf.DUMMYFUNCTION("""COMPUTED_VALUE"""),"")</f>
        <v/>
      </c>
      <c r="AI4" s="18" t="str">
        <f ca="1">IFERROR(__xludf.DUMMYFUNCTION("""COMPUTED_VALUE"""),"")</f>
        <v/>
      </c>
      <c r="AJ4" s="18" t="str">
        <f ca="1">IFERROR(__xludf.DUMMYFUNCTION("""COMPUTED_VALUE"""),"")</f>
        <v/>
      </c>
      <c r="AK4" s="18" t="str">
        <f ca="1">IFERROR(__xludf.DUMMYFUNCTION("""COMPUTED_VALUE"""),"")</f>
        <v/>
      </c>
      <c r="AL4" s="18" t="str">
        <f ca="1">IFERROR(__xludf.DUMMYFUNCTION("""COMPUTED_VALUE"""),"")</f>
        <v/>
      </c>
      <c r="AM4" s="18" t="str">
        <f ca="1">IFERROR(__xludf.DUMMYFUNCTION("""COMPUTED_VALUE"""),"")</f>
        <v/>
      </c>
      <c r="AN4" s="18" t="str">
        <f ca="1">IFERROR(__xludf.DUMMYFUNCTION("""COMPUTED_VALUE"""),"")</f>
        <v/>
      </c>
      <c r="AO4" s="18" t="str">
        <f ca="1">IFERROR(__xludf.DUMMYFUNCTION("""COMPUTED_VALUE"""),"")</f>
        <v/>
      </c>
      <c r="AP4" s="18" t="str">
        <f ca="1">IFERROR(__xludf.DUMMYFUNCTION("""COMPUTED_VALUE"""),"")</f>
        <v/>
      </c>
      <c r="AQ4" s="18" t="str">
        <f ca="1">IFERROR(__xludf.DUMMYFUNCTION("""COMPUTED_VALUE"""),"")</f>
        <v/>
      </c>
      <c r="AR4" s="18" t="str">
        <f ca="1">IFERROR(__xludf.DUMMYFUNCTION("""COMPUTED_VALUE"""),"")</f>
        <v/>
      </c>
      <c r="AS4" s="18" t="str">
        <f ca="1">IFERROR(__xludf.DUMMYFUNCTION("""COMPUTED_VALUE"""),"")</f>
        <v/>
      </c>
      <c r="AT4" s="18" t="str">
        <f ca="1">IFERROR(__xludf.DUMMYFUNCTION("""COMPUTED_VALUE"""),"")</f>
        <v/>
      </c>
      <c r="AU4" s="18" t="str">
        <f ca="1">IFERROR(__xludf.DUMMYFUNCTION("""COMPUTED_VALUE"""),"")</f>
        <v/>
      </c>
      <c r="AV4" s="18" t="str">
        <f ca="1">IFERROR(__xludf.DUMMYFUNCTION("""COMPUTED_VALUE"""),"")</f>
        <v/>
      </c>
      <c r="AW4" s="18" t="str">
        <f ca="1">IFERROR(__xludf.DUMMYFUNCTION("""COMPUTED_VALUE"""),"")</f>
        <v/>
      </c>
      <c r="AX4" s="18" t="str">
        <f ca="1">IFERROR(__xludf.DUMMYFUNCTION("""COMPUTED_VALUE"""),"")</f>
        <v/>
      </c>
      <c r="AY4" s="18" t="str">
        <f ca="1">IFERROR(__xludf.DUMMYFUNCTION("""COMPUTED_VALUE"""),"")</f>
        <v/>
      </c>
      <c r="AZ4" s="18" t="str">
        <f ca="1">IFERROR(__xludf.DUMMYFUNCTION("""COMPUTED_VALUE"""),"")</f>
        <v/>
      </c>
      <c r="BA4" s="18" t="str">
        <f ca="1">IFERROR(__xludf.DUMMYFUNCTION("""COMPUTED_VALUE"""),"")</f>
        <v/>
      </c>
      <c r="BB4" s="18" t="str">
        <f ca="1">IFERROR(__xludf.DUMMYFUNCTION("""COMPUTED_VALUE"""),"")</f>
        <v/>
      </c>
      <c r="BC4" s="18" t="str">
        <f ca="1">IFERROR(__xludf.DUMMYFUNCTION("""COMPUTED_VALUE"""),"")</f>
        <v/>
      </c>
      <c r="BD4" s="18" t="str">
        <f ca="1">IFERROR(__xludf.DUMMYFUNCTION("""COMPUTED_VALUE"""),"")</f>
        <v/>
      </c>
      <c r="BE4" s="18" t="str">
        <f ca="1">IFERROR(__xludf.DUMMYFUNCTION("""COMPUTED_VALUE"""),"")</f>
        <v/>
      </c>
      <c r="BF4" s="18" t="str">
        <f ca="1">IFERROR(__xludf.DUMMYFUNCTION("""COMPUTED_VALUE"""),"")</f>
        <v/>
      </c>
      <c r="BG4" s="18" t="str">
        <f ca="1">IFERROR(__xludf.DUMMYFUNCTION("""COMPUTED_VALUE"""),"")</f>
        <v/>
      </c>
      <c r="BH4" s="18" t="str">
        <f ca="1">IFERROR(__xludf.DUMMYFUNCTION("""COMPUTED_VALUE"""),"")</f>
        <v/>
      </c>
      <c r="BI4" s="18" t="str">
        <f ca="1">IFERROR(__xludf.DUMMYFUNCTION("""COMPUTED_VALUE"""),"")</f>
        <v/>
      </c>
      <c r="BJ4" s="18" t="str">
        <f ca="1">IFERROR(__xludf.DUMMYFUNCTION("""COMPUTED_VALUE"""),"")</f>
        <v/>
      </c>
      <c r="BK4" s="18" t="str">
        <f ca="1">IFERROR(__xludf.DUMMYFUNCTION("""COMPUTED_VALUE"""),"")</f>
        <v/>
      </c>
      <c r="BL4" s="18" t="str">
        <f ca="1">IFERROR(__xludf.DUMMYFUNCTION("""COMPUTED_VALUE"""),"")</f>
        <v/>
      </c>
      <c r="BM4" s="18" t="str">
        <f ca="1">IFERROR(__xludf.DUMMYFUNCTION("""COMPUTED_VALUE"""),"")</f>
        <v/>
      </c>
      <c r="BN4" s="18" t="str">
        <f ca="1">IFERROR(__xludf.DUMMYFUNCTION("""COMPUTED_VALUE"""),"")</f>
        <v/>
      </c>
      <c r="BO4" s="18" t="str">
        <f ca="1">IFERROR(__xludf.DUMMYFUNCTION("""COMPUTED_VALUE"""),"")</f>
        <v/>
      </c>
      <c r="BP4" s="18" t="str">
        <f ca="1">IFERROR(__xludf.DUMMYFUNCTION("""COMPUTED_VALUE"""),"")</f>
        <v/>
      </c>
      <c r="BQ4" s="18" t="str">
        <f ca="1">IFERROR(__xludf.DUMMYFUNCTION("""COMPUTED_VALUE"""),"")</f>
        <v/>
      </c>
      <c r="BR4" s="18" t="str">
        <f ca="1">IFERROR(__xludf.DUMMYFUNCTION("""COMPUTED_VALUE"""),"")</f>
        <v/>
      </c>
      <c r="BS4" s="18" t="str">
        <f ca="1">IFERROR(__xludf.DUMMYFUNCTION("""COMPUTED_VALUE"""),"")</f>
        <v/>
      </c>
      <c r="BT4" s="18" t="str">
        <f ca="1">IFERROR(__xludf.DUMMYFUNCTION("""COMPUTED_VALUE"""),"")</f>
        <v/>
      </c>
      <c r="BU4" s="18" t="str">
        <f ca="1">IFERROR(__xludf.DUMMYFUNCTION("""COMPUTED_VALUE"""),"")</f>
        <v/>
      </c>
      <c r="BV4" s="18" t="str">
        <f ca="1">IFERROR(__xludf.DUMMYFUNCTION("""COMPUTED_VALUE"""),"")</f>
        <v/>
      </c>
      <c r="BW4" s="18" t="str">
        <f ca="1">IFERROR(__xludf.DUMMYFUNCTION("""COMPUTED_VALUE"""),"")</f>
        <v/>
      </c>
      <c r="BX4" s="18" t="str">
        <f ca="1">IFERROR(__xludf.DUMMYFUNCTION("""COMPUTED_VALUE"""),"")</f>
        <v/>
      </c>
      <c r="BY4" s="18" t="str">
        <f ca="1">IFERROR(__xludf.DUMMYFUNCTION("""COMPUTED_VALUE"""),"")</f>
        <v/>
      </c>
      <c r="BZ4" s="18" t="str">
        <f ca="1">IFERROR(__xludf.DUMMYFUNCTION("""COMPUTED_VALUE"""),"")</f>
        <v/>
      </c>
      <c r="CA4" s="18" t="str">
        <f ca="1">IFERROR(__xludf.DUMMYFUNCTION("""COMPUTED_VALUE"""),"")</f>
        <v/>
      </c>
      <c r="CB4" s="18" t="str">
        <f ca="1">IFERROR(__xludf.DUMMYFUNCTION("""COMPUTED_VALUE"""),"")</f>
        <v/>
      </c>
      <c r="CC4" s="18" t="str">
        <f ca="1">IFERROR(__xludf.DUMMYFUNCTION("""COMPUTED_VALUE"""),"")</f>
        <v/>
      </c>
      <c r="CD4" s="18" t="str">
        <f ca="1">IFERROR(__xludf.DUMMYFUNCTION("""COMPUTED_VALUE"""),"")</f>
        <v/>
      </c>
      <c r="CE4" s="18" t="str">
        <f ca="1">IFERROR(__xludf.DUMMYFUNCTION("""COMPUTED_VALUE"""),"")</f>
        <v/>
      </c>
      <c r="CF4" s="18" t="str">
        <f ca="1">IFERROR(__xludf.DUMMYFUNCTION("""COMPUTED_VALUE"""),"")</f>
        <v/>
      </c>
      <c r="CG4" s="18" t="str">
        <f ca="1">IFERROR(__xludf.DUMMYFUNCTION("""COMPUTED_VALUE"""),"")</f>
        <v/>
      </c>
      <c r="CH4" s="18" t="str">
        <f ca="1">IFERROR(__xludf.DUMMYFUNCTION("""COMPUTED_VALUE"""),"")</f>
        <v/>
      </c>
      <c r="CI4" s="18" t="str">
        <f ca="1">IFERROR(__xludf.DUMMYFUNCTION("""COMPUTED_VALUE"""),"")</f>
        <v/>
      </c>
      <c r="CJ4" s="18" t="str">
        <f ca="1">IFERROR(__xludf.DUMMYFUNCTION("""COMPUTED_VALUE"""),"")</f>
        <v/>
      </c>
      <c r="CK4" s="18" t="str">
        <f ca="1">IFERROR(__xludf.DUMMYFUNCTION("""COMPUTED_VALUE"""),"")</f>
        <v/>
      </c>
      <c r="CL4" s="18" t="str">
        <f ca="1">IFERROR(__xludf.DUMMYFUNCTION("""COMPUTED_VALUE"""),"")</f>
        <v/>
      </c>
      <c r="CM4" s="18" t="str">
        <f ca="1">IFERROR(__xludf.DUMMYFUNCTION("""COMPUTED_VALUE"""),"")</f>
        <v/>
      </c>
      <c r="CN4" s="18" t="str">
        <f ca="1">IFERROR(__xludf.DUMMYFUNCTION("""COMPUTED_VALUE"""),"")</f>
        <v/>
      </c>
      <c r="CO4" s="18" t="str">
        <f ca="1">IFERROR(__xludf.DUMMYFUNCTION("""COMPUTED_VALUE"""),"")</f>
        <v/>
      </c>
      <c r="CP4" s="18" t="str">
        <f ca="1">IFERROR(__xludf.DUMMYFUNCTION("""COMPUTED_VALUE"""),"")</f>
        <v/>
      </c>
      <c r="CQ4" s="18" t="str">
        <f ca="1">IFERROR(__xludf.DUMMYFUNCTION("""COMPUTED_VALUE"""),"")</f>
        <v/>
      </c>
      <c r="CR4" s="18" t="str">
        <f ca="1">IFERROR(__xludf.DUMMYFUNCTION("""COMPUTED_VALUE"""),"")</f>
        <v/>
      </c>
      <c r="CS4" s="18" t="str">
        <f ca="1">IFERROR(__xludf.DUMMYFUNCTION("""COMPUTED_VALUE"""),"")</f>
        <v/>
      </c>
      <c r="CT4" s="18" t="str">
        <f ca="1">IFERROR(__xludf.DUMMYFUNCTION("""COMPUTED_VALUE"""),"")</f>
        <v/>
      </c>
      <c r="CU4" s="18" t="str">
        <f ca="1">IFERROR(__xludf.DUMMYFUNCTION("""COMPUTED_VALUE"""),"")</f>
        <v/>
      </c>
      <c r="CV4" s="18" t="str">
        <f ca="1">IFERROR(__xludf.DUMMYFUNCTION("""COMPUTED_VALUE"""),"")</f>
        <v/>
      </c>
      <c r="CW4" s="18" t="str">
        <f ca="1">IFERROR(__xludf.DUMMYFUNCTION("""COMPUTED_VALUE"""),"")</f>
        <v/>
      </c>
      <c r="CX4" s="18" t="str">
        <f ca="1">IFERROR(__xludf.DUMMYFUNCTION("""COMPUTED_VALUE"""),"")</f>
        <v/>
      </c>
      <c r="CY4" s="18" t="str">
        <f ca="1">IFERROR(__xludf.DUMMYFUNCTION("""COMPUTED_VALUE"""),"")</f>
        <v/>
      </c>
      <c r="CZ4" s="18" t="str">
        <f ca="1">IFERROR(__xludf.DUMMYFUNCTION("""COMPUTED_VALUE"""),"")</f>
        <v/>
      </c>
      <c r="DA4" s="18" t="str">
        <f ca="1">IFERROR(__xludf.DUMMYFUNCTION("""COMPUTED_VALUE"""),"")</f>
        <v/>
      </c>
      <c r="DB4" s="18" t="str">
        <f ca="1">IFERROR(__xludf.DUMMYFUNCTION("""COMPUTED_VALUE"""),"")</f>
        <v/>
      </c>
      <c r="DC4" s="18" t="str">
        <f ca="1">IFERROR(__xludf.DUMMYFUNCTION("""COMPUTED_VALUE"""),"")</f>
        <v/>
      </c>
      <c r="DD4" s="18" t="str">
        <f ca="1">IFERROR(__xludf.DUMMYFUNCTION("""COMPUTED_VALUE"""),"")</f>
        <v/>
      </c>
      <c r="DE4" s="18" t="str">
        <f ca="1">IFERROR(__xludf.DUMMYFUNCTION("""COMPUTED_VALUE"""),"")</f>
        <v/>
      </c>
      <c r="DF4" s="18" t="str">
        <f ca="1">IFERROR(__xludf.DUMMYFUNCTION("""COMPUTED_VALUE"""),"")</f>
        <v/>
      </c>
      <c r="DG4" s="18" t="str">
        <f ca="1">IFERROR(__xludf.DUMMYFUNCTION("""COMPUTED_VALUE"""),"")</f>
        <v/>
      </c>
      <c r="DH4" s="18" t="str">
        <f ca="1">IFERROR(__xludf.DUMMYFUNCTION("""COMPUTED_VALUE"""),"")</f>
        <v/>
      </c>
      <c r="DI4" s="18" t="str">
        <f ca="1">IFERROR(__xludf.DUMMYFUNCTION("""COMPUTED_VALUE"""),"")</f>
        <v/>
      </c>
      <c r="DJ4" s="18" t="str">
        <f ca="1">IFERROR(__xludf.DUMMYFUNCTION("""COMPUTED_VALUE"""),"")</f>
        <v/>
      </c>
      <c r="DK4" s="18" t="str">
        <f ca="1">IFERROR(__xludf.DUMMYFUNCTION("""COMPUTED_VALUE"""),"")</f>
        <v/>
      </c>
      <c r="DL4" s="18" t="str">
        <f ca="1">IFERROR(__xludf.DUMMYFUNCTION("""COMPUTED_VALUE"""),"")</f>
        <v/>
      </c>
      <c r="DM4" s="18" t="str">
        <f ca="1">IFERROR(__xludf.DUMMYFUNCTION("""COMPUTED_VALUE"""),"")</f>
        <v/>
      </c>
      <c r="DN4" s="18" t="str">
        <f ca="1">IFERROR(__xludf.DUMMYFUNCTION("""COMPUTED_VALUE"""),"")</f>
        <v/>
      </c>
      <c r="DO4" s="18" t="str">
        <f ca="1">IFERROR(__xludf.DUMMYFUNCTION("""COMPUTED_VALUE"""),"")</f>
        <v/>
      </c>
      <c r="DP4" s="18" t="str">
        <f ca="1">IFERROR(__xludf.DUMMYFUNCTION("""COMPUTED_VALUE"""),"")</f>
        <v/>
      </c>
      <c r="DQ4" s="18" t="str">
        <f ca="1">IFERROR(__xludf.DUMMYFUNCTION("""COMPUTED_VALUE"""),"")</f>
        <v/>
      </c>
      <c r="DR4" s="18" t="str">
        <f ca="1">IFERROR(__xludf.DUMMYFUNCTION("""COMPUTED_VALUE"""),"")</f>
        <v/>
      </c>
      <c r="DS4" s="18" t="str">
        <f ca="1">IFERROR(__xludf.DUMMYFUNCTION("""COMPUTED_VALUE"""),"")</f>
        <v/>
      </c>
      <c r="DT4" s="18" t="str">
        <f ca="1">IFERROR(__xludf.DUMMYFUNCTION("""COMPUTED_VALUE"""),"")</f>
        <v/>
      </c>
      <c r="DU4" s="18" t="str">
        <f ca="1">IFERROR(__xludf.DUMMYFUNCTION("""COMPUTED_VALUE"""),"")</f>
        <v/>
      </c>
      <c r="DV4" s="18" t="str">
        <f ca="1">IFERROR(__xludf.DUMMYFUNCTION("""COMPUTED_VALUE"""),"")</f>
        <v/>
      </c>
      <c r="DW4" s="18" t="str">
        <f ca="1">IFERROR(__xludf.DUMMYFUNCTION("""COMPUTED_VALUE"""),"")</f>
        <v/>
      </c>
      <c r="DX4" s="18" t="str">
        <f ca="1">IFERROR(__xludf.DUMMYFUNCTION("""COMPUTED_VALUE"""),"")</f>
        <v/>
      </c>
      <c r="DY4" s="18" t="str">
        <f ca="1">IFERROR(__xludf.DUMMYFUNCTION("""COMPUTED_VALUE"""),"")</f>
        <v/>
      </c>
      <c r="DZ4" s="18" t="str">
        <f ca="1">IFERROR(__xludf.DUMMYFUNCTION("""COMPUTED_VALUE"""),"")</f>
        <v/>
      </c>
      <c r="EA4" s="18" t="str">
        <f ca="1">IFERROR(__xludf.DUMMYFUNCTION("""COMPUTED_VALUE"""),"")</f>
        <v/>
      </c>
      <c r="EB4" s="18" t="str">
        <f ca="1">IFERROR(__xludf.DUMMYFUNCTION("""COMPUTED_VALUE"""),"")</f>
        <v/>
      </c>
      <c r="EC4" s="18" t="str">
        <f ca="1">IFERROR(__xludf.DUMMYFUNCTION("""COMPUTED_VALUE"""),"")</f>
        <v/>
      </c>
      <c r="ED4" s="18" t="str">
        <f ca="1">IFERROR(__xludf.DUMMYFUNCTION("""COMPUTED_VALUE"""),"")</f>
        <v/>
      </c>
      <c r="EE4" s="18" t="str">
        <f ca="1">IFERROR(__xludf.DUMMYFUNCTION("""COMPUTED_VALUE"""),"")</f>
        <v/>
      </c>
      <c r="EF4" s="18" t="str">
        <f ca="1">IFERROR(__xludf.DUMMYFUNCTION("""COMPUTED_VALUE"""),"")</f>
        <v/>
      </c>
      <c r="EG4" s="18" t="str">
        <f ca="1">IFERROR(__xludf.DUMMYFUNCTION("""COMPUTED_VALUE"""),"")</f>
        <v/>
      </c>
      <c r="EH4" s="18" t="str">
        <f ca="1">IFERROR(__xludf.DUMMYFUNCTION("""COMPUTED_VALUE"""),"")</f>
        <v/>
      </c>
      <c r="EI4" s="18" t="str">
        <f ca="1">IFERROR(__xludf.DUMMYFUNCTION("""COMPUTED_VALUE"""),"")</f>
        <v/>
      </c>
      <c r="EJ4" s="18" t="str">
        <f ca="1">IFERROR(__xludf.DUMMYFUNCTION("""COMPUTED_VALUE"""),"")</f>
        <v/>
      </c>
      <c r="EK4" s="18" t="str">
        <f ca="1">IFERROR(__xludf.DUMMYFUNCTION("""COMPUTED_VALUE"""),"")</f>
        <v/>
      </c>
      <c r="EL4" s="18" t="str">
        <f ca="1">IFERROR(__xludf.DUMMYFUNCTION("""COMPUTED_VALUE"""),"")</f>
        <v/>
      </c>
      <c r="EM4" s="18" t="str">
        <f ca="1">IFERROR(__xludf.DUMMYFUNCTION("""COMPUTED_VALUE"""),"")</f>
        <v/>
      </c>
      <c r="EN4" s="18" t="str">
        <f ca="1">IFERROR(__xludf.DUMMYFUNCTION("""COMPUTED_VALUE"""),"")</f>
        <v/>
      </c>
      <c r="EO4" s="18" t="str">
        <f ca="1">IFERROR(__xludf.DUMMYFUNCTION("""COMPUTED_VALUE"""),"")</f>
        <v/>
      </c>
      <c r="EP4" s="18" t="str">
        <f ca="1">IFERROR(__xludf.DUMMYFUNCTION("""COMPUTED_VALUE"""),"")</f>
        <v/>
      </c>
      <c r="EQ4" s="18" t="str">
        <f ca="1">IFERROR(__xludf.DUMMYFUNCTION("""COMPUTED_VALUE"""),"")</f>
        <v/>
      </c>
      <c r="ER4" s="18" t="str">
        <f ca="1">IFERROR(__xludf.DUMMYFUNCTION("""COMPUTED_VALUE"""),"")</f>
        <v/>
      </c>
      <c r="ES4" s="18" t="str">
        <f ca="1">IFERROR(__xludf.DUMMYFUNCTION("""COMPUTED_VALUE"""),"")</f>
        <v/>
      </c>
      <c r="ET4" s="18" t="str">
        <f ca="1">IFERROR(__xludf.DUMMYFUNCTION("""COMPUTED_VALUE"""),"")</f>
        <v/>
      </c>
      <c r="EU4" s="18" t="str">
        <f ca="1">IFERROR(__xludf.DUMMYFUNCTION("""COMPUTED_VALUE"""),"")</f>
        <v/>
      </c>
      <c r="EV4" s="18" t="str">
        <f ca="1">IFERROR(__xludf.DUMMYFUNCTION("""COMPUTED_VALUE"""),"")</f>
        <v/>
      </c>
      <c r="EW4" s="18" t="str">
        <f ca="1">IFERROR(__xludf.DUMMYFUNCTION("""COMPUTED_VALUE"""),"")</f>
        <v/>
      </c>
      <c r="EX4" s="18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9"/>
      <c r="B6" s="24" t="s">
        <v>17</v>
      </c>
      <c r="C6" s="25">
        <v>199</v>
      </c>
      <c r="D6" s="19"/>
      <c r="E6" s="26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4" ht="15.75" customHeight="1">
      <c r="A7" s="11"/>
      <c r="B7" s="27" t="s">
        <v>18</v>
      </c>
      <c r="C7" s="25">
        <v>134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4" ht="15.75" customHeight="1">
      <c r="A8" s="11"/>
      <c r="B8" s="27" t="s">
        <v>19</v>
      </c>
      <c r="C8" s="25">
        <v>21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4" ht="15.75" customHeight="1">
      <c r="A9" s="11"/>
      <c r="B9" s="27" t="s">
        <v>20</v>
      </c>
      <c r="C9" s="25">
        <v>31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4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4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4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4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4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4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E1" workbookViewId="0">
      <selection activeCell="BL14" sqref="BL14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6.28515625" customWidth="1"/>
    <col min="64" max="166" width="14.42578125" customWidth="1"/>
  </cols>
  <sheetData>
    <row r="1" spans="1:166" ht="15.75" customHeight="1">
      <c r="A1" s="32"/>
      <c r="B1" s="58" t="s">
        <v>7</v>
      </c>
      <c r="C1" s="55"/>
      <c r="D1" s="55"/>
      <c r="E1" s="55"/>
      <c r="F1" s="55"/>
      <c r="G1" s="55"/>
      <c r="H1" s="56"/>
      <c r="I1" s="32"/>
      <c r="J1" s="32"/>
      <c r="K1" s="32"/>
      <c r="L1" s="32"/>
      <c r="M1" s="32"/>
      <c r="N1" s="32"/>
      <c r="O1" s="32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33"/>
      <c r="ET1" s="33"/>
      <c r="EU1" s="33"/>
      <c r="EV1" s="33"/>
      <c r="EW1" s="33"/>
      <c r="EX1" s="33"/>
      <c r="EY1" s="33"/>
      <c r="EZ1" s="33"/>
      <c r="FA1" s="33"/>
      <c r="FB1" s="33"/>
      <c r="FC1" s="33"/>
      <c r="FD1" s="33"/>
      <c r="FE1" s="33"/>
      <c r="FF1" s="33"/>
      <c r="FG1" s="33"/>
      <c r="FH1" s="33"/>
      <c r="FI1" s="33"/>
      <c r="FJ1" s="33"/>
    </row>
    <row r="2" spans="1:166" ht="15.75" customHeight="1">
      <c r="A2" s="34"/>
      <c r="B2" s="34"/>
      <c r="C2" s="34"/>
      <c r="D2" s="34"/>
      <c r="E2" s="34"/>
      <c r="F2" s="34"/>
      <c r="G2" s="34"/>
      <c r="H2" s="34"/>
      <c r="I2" s="34"/>
      <c r="J2" s="35" t="e">
        <f>VLOOKUP($E$3,_MasterData!B4:D1000,3,FALSE)</f>
        <v>#N/A</v>
      </c>
      <c r="K2" s="35"/>
      <c r="L2" s="34"/>
      <c r="M2" s="34"/>
      <c r="N2" s="34"/>
      <c r="O2" s="34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</row>
    <row r="3" spans="1:166" ht="15.75" customHeight="1">
      <c r="A3" s="37"/>
      <c r="B3" s="38" t="s">
        <v>4</v>
      </c>
      <c r="C3" s="39" t="s">
        <v>34</v>
      </c>
      <c r="D3" s="38" t="s">
        <v>5</v>
      </c>
      <c r="E3" s="39" t="s">
        <v>35</v>
      </c>
      <c r="F3" s="38" t="s">
        <v>10</v>
      </c>
      <c r="G3" s="40" t="s">
        <v>11</v>
      </c>
      <c r="H3" s="38"/>
      <c r="I3" s="37"/>
      <c r="J3" s="37"/>
      <c r="K3" s="37"/>
      <c r="L3" s="37"/>
      <c r="M3" s="37"/>
      <c r="N3" s="37"/>
      <c r="O3" s="37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</row>
    <row r="4" spans="1:166" ht="15.75" customHeight="1">
      <c r="A4" s="42"/>
      <c r="B4" s="42" t="str">
        <f ca="1">IFERROR(__xludf.DUMMYFUNCTION("IF(C3="""","""",Transpose(IMPORTRANGE('_Settings'!$B$3,C3&amp;""!A4:A1000"")))"),"CheckDashboardPM")</f>
        <v>CheckDashboardPM</v>
      </c>
      <c r="C4" s="42" t="str">
        <f ca="1">IFERROR(__xludf.DUMMYFUNCTION("""COMPUTED_VALUE"""),"CheckPortfolioManagement")</f>
        <v>CheckPortfolioManagement</v>
      </c>
      <c r="D4" s="42" t="str">
        <f ca="1">IFERROR(__xludf.DUMMYFUNCTION("""COMPUTED_VALUE"""),"OpenPSTFromPM")</f>
        <v>OpenPSTFromPM</v>
      </c>
      <c r="E4" s="42" t="str">
        <f ca="1">IFERROR(__xludf.DUMMYFUNCTION("""COMPUTED_VALUE"""),"ClosePM")</f>
        <v>ClosePM</v>
      </c>
      <c r="F4" s="42" t="str">
        <f ca="1">IFERROR(__xludf.DUMMYFUNCTION("""COMPUTED_VALUE"""),"FilterPM")</f>
        <v>FilterPM</v>
      </c>
      <c r="G4" s="42" t="str">
        <f ca="1">IFERROR(__xludf.DUMMYFUNCTION("""COMPUTED_VALUE"""),"GroupRowPM")</f>
        <v>GroupRowPM</v>
      </c>
      <c r="H4" s="42" t="str">
        <f ca="1">IFERROR(__xludf.DUMMYFUNCTION("""COMPUTED_VALUE"""),"CheckDashboardWithPM")</f>
        <v>CheckDashboardWithPM</v>
      </c>
      <c r="I4" s="42" t="str">
        <f ca="1">IFERROR(__xludf.DUMMYFUNCTION("""COMPUTED_VALUE"""),"RemoveFilterPM")</f>
        <v>RemoveFilterPM</v>
      </c>
      <c r="J4" s="42" t="str">
        <f ca="1">IFERROR(__xludf.DUMMYFUNCTION("""COMPUTED_VALUE"""),"CheckSummaryRowsPM")</f>
        <v>CheckSummaryRowsPM</v>
      </c>
      <c r="K4" s="42" t="str">
        <f ca="1">IFERROR(__xludf.DUMMYFUNCTION("""COMPUTED_VALUE"""),"OpenPTTFromPM")</f>
        <v>OpenPTTFromPM</v>
      </c>
      <c r="L4" s="42" t="str">
        <f ca="1">IFERROR(__xludf.DUMMYFUNCTION("""COMPUTED_VALUE"""),"OpenCreateTransactionFromPM")</f>
        <v>OpenCreateTransactionFromPM</v>
      </c>
      <c r="M4" s="42" t="str">
        <f ca="1">IFERROR(__xludf.DUMMYFUNCTION("""COMPUTED_VALUE"""),"OpenClosingFromPM")</f>
        <v>OpenClosingFromPM</v>
      </c>
      <c r="N4" s="42" t="str">
        <f ca="1">IFERROR(__xludf.DUMMYFUNCTION("""COMPUTED_VALUE"""),"OpenCorporateActionFromPM")</f>
        <v>OpenCorporateActionFromPM</v>
      </c>
      <c r="O4" s="42" t="str">
        <f ca="1">IFERROR(__xludf.DUMMYFUNCTION("""COMPUTED_VALUE"""),"OpenDailyValuationFromPM")</f>
        <v>OpenDailyValuationFromPM</v>
      </c>
      <c r="P4" s="43" t="str">
        <f ca="1">IFERROR(__xludf.DUMMYFUNCTION("""COMPUTED_VALUE"""),"ClosePositionFromPM")</f>
        <v>ClosePositionFromPM</v>
      </c>
      <c r="Q4" s="43" t="str">
        <f ca="1">IFERROR(__xludf.DUMMYFUNCTION("""COMPUTED_VALUE"""),"ShowSummaryToolFromPM")</f>
        <v>ShowSummaryToolFromPM</v>
      </c>
      <c r="R4" s="43" t="str">
        <f ca="1">IFERROR(__xludf.DUMMYFUNCTION("""COMPUTED_VALUE"""),"HideSummaryToolFromPM")</f>
        <v>HideSummaryToolFromPM</v>
      </c>
      <c r="S4" s="43" t="str">
        <f ca="1">IFERROR(__xludf.DUMMYFUNCTION("""COMPUTED_VALUE"""),"CloseAccountPositionFromPM")</f>
        <v>CloseAccountPositionFromPM</v>
      </c>
      <c r="T4" s="43" t="str">
        <f ca="1">IFERROR(__xludf.DUMMYFUNCTION("""COMPUTED_VALUE"""),"CloseSelectedTaxlotsFromPM")</f>
        <v>CloseSelectedTaxlotsFromPM</v>
      </c>
      <c r="U4" s="43" t="str">
        <f ca="1">IFERROR(__xludf.DUMMYFUNCTION("""COMPUTED_VALUE"""),"ExpandCollapsePM")</f>
        <v>ExpandCollapsePM</v>
      </c>
      <c r="V4" s="43" t="str">
        <f ca="1">IFERROR(__xludf.DUMMYFUNCTION("""COMPUTED_VALUE"""),"AddCustomViewPM")</f>
        <v>AddCustomViewPM</v>
      </c>
      <c r="W4" s="43" t="str">
        <f ca="1">IFERROR(__xludf.DUMMYFUNCTION("""COMPUTED_VALUE"""),"AddCustomViewRightClickPM")</f>
        <v>AddCustomViewRightClickPM</v>
      </c>
      <c r="X4" s="43" t="str">
        <f ca="1">IFERROR(__xludf.DUMMYFUNCTION("""COMPUTED_VALUE"""),"RenameCustomViewPM")</f>
        <v>RenameCustomViewPM</v>
      </c>
      <c r="Y4" s="43" t="str">
        <f ca="1">IFERROR(__xludf.DUMMYFUNCTION("""COMPUTED_VALUE"""),"DeleteCustomViewPM")</f>
        <v>DeleteCustomViewPM</v>
      </c>
      <c r="Z4" s="43" t="str">
        <f ca="1">IFERROR(__xludf.DUMMYFUNCTION("""COMPUTED_VALUE"""),"")</f>
        <v/>
      </c>
      <c r="AA4" s="43" t="str">
        <f ca="1">IFERROR(__xludf.DUMMYFUNCTION("""COMPUTED_VALUE"""),"")</f>
        <v/>
      </c>
      <c r="AB4" s="43" t="str">
        <f ca="1">IFERROR(__xludf.DUMMYFUNCTION("""COMPUTED_VALUE"""),"")</f>
        <v/>
      </c>
      <c r="AC4" s="43" t="str">
        <f ca="1">IFERROR(__xludf.DUMMYFUNCTION("""COMPUTED_VALUE"""),"")</f>
        <v/>
      </c>
      <c r="AD4" s="43" t="str">
        <f ca="1">IFERROR(__xludf.DUMMYFUNCTION("""COMPUTED_VALUE"""),"")</f>
        <v/>
      </c>
      <c r="AE4" s="43" t="str">
        <f ca="1">IFERROR(__xludf.DUMMYFUNCTION("""COMPUTED_VALUE"""),"")</f>
        <v/>
      </c>
      <c r="AF4" s="43" t="str">
        <f ca="1">IFERROR(__xludf.DUMMYFUNCTION("""COMPUTED_VALUE"""),"")</f>
        <v/>
      </c>
      <c r="AG4" s="43" t="str">
        <f ca="1">IFERROR(__xludf.DUMMYFUNCTION("""COMPUTED_VALUE"""),"")</f>
        <v/>
      </c>
      <c r="AH4" s="43" t="str">
        <f ca="1">IFERROR(__xludf.DUMMYFUNCTION("""COMPUTED_VALUE"""),"")</f>
        <v/>
      </c>
      <c r="AI4" s="43" t="str">
        <f ca="1">IFERROR(__xludf.DUMMYFUNCTION("""COMPUTED_VALUE"""),"")</f>
        <v/>
      </c>
      <c r="AJ4" s="43" t="str">
        <f ca="1">IFERROR(__xludf.DUMMYFUNCTION("""COMPUTED_VALUE"""),"")</f>
        <v/>
      </c>
      <c r="AK4" s="43" t="str">
        <f ca="1">IFERROR(__xludf.DUMMYFUNCTION("""COMPUTED_VALUE"""),"")</f>
        <v/>
      </c>
      <c r="AL4" s="43" t="str">
        <f ca="1">IFERROR(__xludf.DUMMYFUNCTION("""COMPUTED_VALUE"""),"")</f>
        <v/>
      </c>
      <c r="AM4" s="43" t="str">
        <f ca="1">IFERROR(__xludf.DUMMYFUNCTION("""COMPUTED_VALUE"""),"")</f>
        <v/>
      </c>
      <c r="AN4" s="43" t="str">
        <f ca="1">IFERROR(__xludf.DUMMYFUNCTION("""COMPUTED_VALUE"""),"")</f>
        <v/>
      </c>
      <c r="AO4" s="43" t="str">
        <f ca="1">IFERROR(__xludf.DUMMYFUNCTION("""COMPUTED_VALUE"""),"")</f>
        <v/>
      </c>
      <c r="AP4" s="43" t="str">
        <f ca="1">IFERROR(__xludf.DUMMYFUNCTION("""COMPUTED_VALUE"""),"")</f>
        <v/>
      </c>
      <c r="AQ4" s="43" t="str">
        <f ca="1">IFERROR(__xludf.DUMMYFUNCTION("""COMPUTED_VALUE"""),"")</f>
        <v/>
      </c>
      <c r="AR4" s="43" t="str">
        <f ca="1">IFERROR(__xludf.DUMMYFUNCTION("""COMPUTED_VALUE"""),"")</f>
        <v/>
      </c>
      <c r="AS4" s="43" t="str">
        <f ca="1">IFERROR(__xludf.DUMMYFUNCTION("""COMPUTED_VALUE"""),"")</f>
        <v/>
      </c>
      <c r="AT4" s="43" t="str">
        <f ca="1">IFERROR(__xludf.DUMMYFUNCTION("""COMPUTED_VALUE"""),"")</f>
        <v/>
      </c>
      <c r="AU4" s="43" t="str">
        <f ca="1">IFERROR(__xludf.DUMMYFUNCTION("""COMPUTED_VALUE"""),"")</f>
        <v/>
      </c>
      <c r="AV4" s="43" t="str">
        <f ca="1">IFERROR(__xludf.DUMMYFUNCTION("""COMPUTED_VALUE"""),"")</f>
        <v/>
      </c>
      <c r="AW4" s="43" t="str">
        <f ca="1">IFERROR(__xludf.DUMMYFUNCTION("""COMPUTED_VALUE"""),"")</f>
        <v/>
      </c>
      <c r="AX4" s="43" t="str">
        <f ca="1">IFERROR(__xludf.DUMMYFUNCTION("""COMPUTED_VALUE"""),"")</f>
        <v/>
      </c>
      <c r="AY4" s="43" t="str">
        <f ca="1">IFERROR(__xludf.DUMMYFUNCTION("""COMPUTED_VALUE"""),"")</f>
        <v/>
      </c>
      <c r="AZ4" s="43" t="str">
        <f ca="1">IFERROR(__xludf.DUMMYFUNCTION("""COMPUTED_VALUE"""),"")</f>
        <v/>
      </c>
      <c r="BA4" s="43" t="str">
        <f ca="1">IFERROR(__xludf.DUMMYFUNCTION("""COMPUTED_VALUE"""),"")</f>
        <v/>
      </c>
      <c r="BB4" s="43" t="str">
        <f ca="1">IFERROR(__xludf.DUMMYFUNCTION("""COMPUTED_VALUE"""),"")</f>
        <v/>
      </c>
      <c r="BC4" s="43" t="str">
        <f ca="1">IFERROR(__xludf.DUMMYFUNCTION("""COMPUTED_VALUE"""),"")</f>
        <v/>
      </c>
      <c r="BD4" s="43" t="str">
        <f ca="1">IFERROR(__xludf.DUMMYFUNCTION("""COMPUTED_VALUE"""),"")</f>
        <v/>
      </c>
      <c r="BE4" s="43" t="str">
        <f ca="1">IFERROR(__xludf.DUMMYFUNCTION("""COMPUTED_VALUE"""),"")</f>
        <v/>
      </c>
      <c r="BF4" s="43" t="str">
        <f ca="1">IFERROR(__xludf.DUMMYFUNCTION("""COMPUTED_VALUE"""),"")</f>
        <v/>
      </c>
      <c r="BG4" s="43" t="str">
        <f ca="1">IFERROR(__xludf.DUMMYFUNCTION("""COMPUTED_VALUE"""),"")</f>
        <v/>
      </c>
      <c r="BH4" s="43" t="str">
        <f ca="1">IFERROR(__xludf.DUMMYFUNCTION("""COMPUTED_VALUE"""),"")</f>
        <v/>
      </c>
      <c r="BI4" s="43" t="str">
        <f ca="1">IFERROR(__xludf.DUMMYFUNCTION("""COMPUTED_VALUE"""),"")</f>
        <v/>
      </c>
      <c r="BJ4" s="43" t="str">
        <f ca="1">IFERROR(__xludf.DUMMYFUNCTION("""COMPUTED_VALUE"""),"")</f>
        <v/>
      </c>
      <c r="BK4" s="43" t="str">
        <f ca="1">IFERROR(__xludf.DUMMYFUNCTION("""COMPUTED_VALUE"""),"")</f>
        <v/>
      </c>
      <c r="BL4" s="43" t="str">
        <f ca="1">IFERROR(__xludf.DUMMYFUNCTION("""COMPUTED_VALUE"""),"")</f>
        <v/>
      </c>
      <c r="BM4" s="43" t="str">
        <f ca="1">IFERROR(__xludf.DUMMYFUNCTION("""COMPUTED_VALUE"""),"")</f>
        <v/>
      </c>
      <c r="BN4" s="43" t="str">
        <f ca="1">IFERROR(__xludf.DUMMYFUNCTION("""COMPUTED_VALUE"""),"")</f>
        <v/>
      </c>
      <c r="BO4" s="43" t="str">
        <f ca="1">IFERROR(__xludf.DUMMYFUNCTION("""COMPUTED_VALUE"""),"")</f>
        <v/>
      </c>
      <c r="BP4" s="43" t="str">
        <f ca="1">IFERROR(__xludf.DUMMYFUNCTION("""COMPUTED_VALUE"""),"")</f>
        <v/>
      </c>
      <c r="BQ4" s="43" t="str">
        <f ca="1">IFERROR(__xludf.DUMMYFUNCTION("""COMPUTED_VALUE"""),"")</f>
        <v/>
      </c>
      <c r="BR4" s="43" t="str">
        <f ca="1">IFERROR(__xludf.DUMMYFUNCTION("""COMPUTED_VALUE"""),"")</f>
        <v/>
      </c>
      <c r="BS4" s="43" t="str">
        <f ca="1">IFERROR(__xludf.DUMMYFUNCTION("""COMPUTED_VALUE"""),"")</f>
        <v/>
      </c>
      <c r="BT4" s="43" t="str">
        <f ca="1">IFERROR(__xludf.DUMMYFUNCTION("""COMPUTED_VALUE"""),"")</f>
        <v/>
      </c>
      <c r="BU4" s="43" t="str">
        <f ca="1">IFERROR(__xludf.DUMMYFUNCTION("""COMPUTED_VALUE"""),"")</f>
        <v/>
      </c>
      <c r="BV4" s="43" t="str">
        <f ca="1">IFERROR(__xludf.DUMMYFUNCTION("""COMPUTED_VALUE"""),"")</f>
        <v/>
      </c>
      <c r="BW4" s="43" t="str">
        <f ca="1">IFERROR(__xludf.DUMMYFUNCTION("""COMPUTED_VALUE"""),"")</f>
        <v/>
      </c>
      <c r="BX4" s="43" t="str">
        <f ca="1">IFERROR(__xludf.DUMMYFUNCTION("""COMPUTED_VALUE"""),"")</f>
        <v/>
      </c>
      <c r="BY4" s="43" t="str">
        <f ca="1">IFERROR(__xludf.DUMMYFUNCTION("""COMPUTED_VALUE"""),"")</f>
        <v/>
      </c>
      <c r="BZ4" s="43" t="str">
        <f ca="1">IFERROR(__xludf.DUMMYFUNCTION("""COMPUTED_VALUE"""),"")</f>
        <v/>
      </c>
      <c r="CA4" s="43" t="str">
        <f ca="1">IFERROR(__xludf.DUMMYFUNCTION("""COMPUTED_VALUE"""),"")</f>
        <v/>
      </c>
      <c r="CB4" s="43" t="str">
        <f ca="1">IFERROR(__xludf.DUMMYFUNCTION("""COMPUTED_VALUE"""),"")</f>
        <v/>
      </c>
      <c r="CC4" s="43" t="str">
        <f ca="1">IFERROR(__xludf.DUMMYFUNCTION("""COMPUTED_VALUE"""),"")</f>
        <v/>
      </c>
      <c r="CD4" s="43" t="str">
        <f ca="1">IFERROR(__xludf.DUMMYFUNCTION("""COMPUTED_VALUE"""),"")</f>
        <v/>
      </c>
      <c r="CE4" s="43" t="str">
        <f ca="1">IFERROR(__xludf.DUMMYFUNCTION("""COMPUTED_VALUE"""),"")</f>
        <v/>
      </c>
      <c r="CF4" s="43" t="str">
        <f ca="1">IFERROR(__xludf.DUMMYFUNCTION("""COMPUTED_VALUE"""),"")</f>
        <v/>
      </c>
      <c r="CG4" s="43" t="str">
        <f ca="1">IFERROR(__xludf.DUMMYFUNCTION("""COMPUTED_VALUE"""),"")</f>
        <v/>
      </c>
      <c r="CH4" s="43" t="str">
        <f ca="1">IFERROR(__xludf.DUMMYFUNCTION("""COMPUTED_VALUE"""),"")</f>
        <v/>
      </c>
      <c r="CI4" s="43" t="str">
        <f ca="1">IFERROR(__xludf.DUMMYFUNCTION("""COMPUTED_VALUE"""),"")</f>
        <v/>
      </c>
      <c r="CJ4" s="43" t="str">
        <f ca="1">IFERROR(__xludf.DUMMYFUNCTION("""COMPUTED_VALUE"""),"")</f>
        <v/>
      </c>
      <c r="CK4" s="43" t="str">
        <f ca="1">IFERROR(__xludf.DUMMYFUNCTION("""COMPUTED_VALUE"""),"")</f>
        <v/>
      </c>
      <c r="CL4" s="43" t="str">
        <f ca="1">IFERROR(__xludf.DUMMYFUNCTION("""COMPUTED_VALUE"""),"")</f>
        <v/>
      </c>
      <c r="CM4" s="43" t="str">
        <f ca="1">IFERROR(__xludf.DUMMYFUNCTION("""COMPUTED_VALUE"""),"")</f>
        <v/>
      </c>
      <c r="CN4" s="43" t="str">
        <f ca="1">IFERROR(__xludf.DUMMYFUNCTION("""COMPUTED_VALUE"""),"")</f>
        <v/>
      </c>
      <c r="CO4" s="43" t="str">
        <f ca="1">IFERROR(__xludf.DUMMYFUNCTION("""COMPUTED_VALUE"""),"")</f>
        <v/>
      </c>
      <c r="CP4" s="43" t="str">
        <f ca="1">IFERROR(__xludf.DUMMYFUNCTION("""COMPUTED_VALUE"""),"")</f>
        <v/>
      </c>
      <c r="CQ4" s="43" t="str">
        <f ca="1">IFERROR(__xludf.DUMMYFUNCTION("""COMPUTED_VALUE"""),"")</f>
        <v/>
      </c>
      <c r="CR4" s="43" t="str">
        <f ca="1">IFERROR(__xludf.DUMMYFUNCTION("""COMPUTED_VALUE"""),"")</f>
        <v/>
      </c>
      <c r="CS4" s="43" t="str">
        <f ca="1">IFERROR(__xludf.DUMMYFUNCTION("""COMPUTED_VALUE"""),"")</f>
        <v/>
      </c>
      <c r="CT4" s="43" t="str">
        <f ca="1">IFERROR(__xludf.DUMMYFUNCTION("""COMPUTED_VALUE"""),"")</f>
        <v/>
      </c>
      <c r="CU4" s="43" t="str">
        <f ca="1">IFERROR(__xludf.DUMMYFUNCTION("""COMPUTED_VALUE"""),"")</f>
        <v/>
      </c>
      <c r="CV4" s="43" t="str">
        <f ca="1">IFERROR(__xludf.DUMMYFUNCTION("""COMPUTED_VALUE"""),"")</f>
        <v/>
      </c>
      <c r="CW4" s="43" t="str">
        <f ca="1">IFERROR(__xludf.DUMMYFUNCTION("""COMPUTED_VALUE"""),"")</f>
        <v/>
      </c>
      <c r="CX4" s="43" t="str">
        <f ca="1">IFERROR(__xludf.DUMMYFUNCTION("""COMPUTED_VALUE"""),"")</f>
        <v/>
      </c>
      <c r="CY4" s="43" t="str">
        <f ca="1">IFERROR(__xludf.DUMMYFUNCTION("""COMPUTED_VALUE"""),"")</f>
        <v/>
      </c>
      <c r="CZ4" s="43" t="str">
        <f ca="1">IFERROR(__xludf.DUMMYFUNCTION("""COMPUTED_VALUE"""),"")</f>
        <v/>
      </c>
      <c r="DA4" s="43" t="str">
        <f ca="1">IFERROR(__xludf.DUMMYFUNCTION("""COMPUTED_VALUE"""),"")</f>
        <v/>
      </c>
      <c r="DB4" s="43" t="str">
        <f ca="1">IFERROR(__xludf.DUMMYFUNCTION("""COMPUTED_VALUE"""),"")</f>
        <v/>
      </c>
      <c r="DC4" s="43" t="str">
        <f ca="1">IFERROR(__xludf.DUMMYFUNCTION("""COMPUTED_VALUE"""),"")</f>
        <v/>
      </c>
      <c r="DD4" s="43" t="str">
        <f ca="1">IFERROR(__xludf.DUMMYFUNCTION("""COMPUTED_VALUE"""),"")</f>
        <v/>
      </c>
      <c r="DE4" s="43" t="str">
        <f ca="1">IFERROR(__xludf.DUMMYFUNCTION("""COMPUTED_VALUE"""),"")</f>
        <v/>
      </c>
      <c r="DF4" s="43" t="str">
        <f ca="1">IFERROR(__xludf.DUMMYFUNCTION("""COMPUTED_VALUE"""),"")</f>
        <v/>
      </c>
      <c r="DG4" s="43" t="str">
        <f ca="1">IFERROR(__xludf.DUMMYFUNCTION("""COMPUTED_VALUE"""),"")</f>
        <v/>
      </c>
      <c r="DH4" s="43" t="str">
        <f ca="1">IFERROR(__xludf.DUMMYFUNCTION("""COMPUTED_VALUE"""),"")</f>
        <v/>
      </c>
      <c r="DI4" s="43" t="str">
        <f ca="1">IFERROR(__xludf.DUMMYFUNCTION("""COMPUTED_VALUE"""),"")</f>
        <v/>
      </c>
      <c r="DJ4" s="43" t="str">
        <f ca="1">IFERROR(__xludf.DUMMYFUNCTION("""COMPUTED_VALUE"""),"")</f>
        <v/>
      </c>
      <c r="DK4" s="43" t="str">
        <f ca="1">IFERROR(__xludf.DUMMYFUNCTION("""COMPUTED_VALUE"""),"")</f>
        <v/>
      </c>
      <c r="DL4" s="43" t="str">
        <f ca="1">IFERROR(__xludf.DUMMYFUNCTION("""COMPUTED_VALUE"""),"")</f>
        <v/>
      </c>
      <c r="DM4" s="43" t="str">
        <f ca="1">IFERROR(__xludf.DUMMYFUNCTION("""COMPUTED_VALUE"""),"")</f>
        <v/>
      </c>
      <c r="DN4" s="43" t="str">
        <f ca="1">IFERROR(__xludf.DUMMYFUNCTION("""COMPUTED_VALUE"""),"")</f>
        <v/>
      </c>
      <c r="DO4" s="43" t="str">
        <f ca="1">IFERROR(__xludf.DUMMYFUNCTION("""COMPUTED_VALUE"""),"")</f>
        <v/>
      </c>
      <c r="DP4" s="43" t="str">
        <f ca="1">IFERROR(__xludf.DUMMYFUNCTION("""COMPUTED_VALUE"""),"")</f>
        <v/>
      </c>
      <c r="DQ4" s="43" t="str">
        <f ca="1">IFERROR(__xludf.DUMMYFUNCTION("""COMPUTED_VALUE"""),"")</f>
        <v/>
      </c>
      <c r="DR4" s="43" t="str">
        <f ca="1">IFERROR(__xludf.DUMMYFUNCTION("""COMPUTED_VALUE"""),"")</f>
        <v/>
      </c>
      <c r="DS4" s="43" t="str">
        <f ca="1">IFERROR(__xludf.DUMMYFUNCTION("""COMPUTED_VALUE"""),"")</f>
        <v/>
      </c>
      <c r="DT4" s="43" t="str">
        <f ca="1">IFERROR(__xludf.DUMMYFUNCTION("""COMPUTED_VALUE"""),"")</f>
        <v/>
      </c>
      <c r="DU4" s="43" t="str">
        <f ca="1">IFERROR(__xludf.DUMMYFUNCTION("""COMPUTED_VALUE"""),"")</f>
        <v/>
      </c>
      <c r="DV4" s="43" t="str">
        <f ca="1">IFERROR(__xludf.DUMMYFUNCTION("""COMPUTED_VALUE"""),"")</f>
        <v/>
      </c>
      <c r="DW4" s="43" t="str">
        <f ca="1">IFERROR(__xludf.DUMMYFUNCTION("""COMPUTED_VALUE"""),"")</f>
        <v/>
      </c>
      <c r="DX4" s="43" t="str">
        <f ca="1">IFERROR(__xludf.DUMMYFUNCTION("""COMPUTED_VALUE"""),"")</f>
        <v/>
      </c>
      <c r="DY4" s="43" t="str">
        <f ca="1">IFERROR(__xludf.DUMMYFUNCTION("""COMPUTED_VALUE"""),"")</f>
        <v/>
      </c>
      <c r="DZ4" s="43" t="str">
        <f ca="1">IFERROR(__xludf.DUMMYFUNCTION("""COMPUTED_VALUE"""),"")</f>
        <v/>
      </c>
      <c r="EA4" s="43" t="str">
        <f ca="1">IFERROR(__xludf.DUMMYFUNCTION("""COMPUTED_VALUE"""),"")</f>
        <v/>
      </c>
      <c r="EB4" s="43" t="str">
        <f ca="1">IFERROR(__xludf.DUMMYFUNCTION("""COMPUTED_VALUE"""),"")</f>
        <v/>
      </c>
      <c r="EC4" s="43" t="str">
        <f ca="1">IFERROR(__xludf.DUMMYFUNCTION("""COMPUTED_VALUE"""),"")</f>
        <v/>
      </c>
      <c r="ED4" s="43" t="str">
        <f ca="1">IFERROR(__xludf.DUMMYFUNCTION("""COMPUTED_VALUE"""),"")</f>
        <v/>
      </c>
      <c r="EE4" s="43" t="str">
        <f ca="1">IFERROR(__xludf.DUMMYFUNCTION("""COMPUTED_VALUE"""),"")</f>
        <v/>
      </c>
      <c r="EF4" s="43" t="str">
        <f ca="1">IFERROR(__xludf.DUMMYFUNCTION("""COMPUTED_VALUE"""),"")</f>
        <v/>
      </c>
      <c r="EG4" s="43" t="str">
        <f ca="1">IFERROR(__xludf.DUMMYFUNCTION("""COMPUTED_VALUE"""),"")</f>
        <v/>
      </c>
      <c r="EH4" s="43" t="str">
        <f ca="1">IFERROR(__xludf.DUMMYFUNCTION("""COMPUTED_VALUE"""),"")</f>
        <v/>
      </c>
      <c r="EI4" s="43" t="str">
        <f ca="1">IFERROR(__xludf.DUMMYFUNCTION("""COMPUTED_VALUE"""),"")</f>
        <v/>
      </c>
      <c r="EJ4" s="43" t="str">
        <f ca="1">IFERROR(__xludf.DUMMYFUNCTION("""COMPUTED_VALUE"""),"")</f>
        <v/>
      </c>
      <c r="EK4" s="43" t="str">
        <f ca="1">IFERROR(__xludf.DUMMYFUNCTION("""COMPUTED_VALUE"""),"")</f>
        <v/>
      </c>
      <c r="EL4" s="43" t="str">
        <f ca="1">IFERROR(__xludf.DUMMYFUNCTION("""COMPUTED_VALUE"""),"")</f>
        <v/>
      </c>
      <c r="EM4" s="43" t="str">
        <f ca="1">IFERROR(__xludf.DUMMYFUNCTION("""COMPUTED_VALUE"""),"")</f>
        <v/>
      </c>
      <c r="EN4" s="43" t="str">
        <f ca="1">IFERROR(__xludf.DUMMYFUNCTION("""COMPUTED_VALUE"""),"")</f>
        <v/>
      </c>
      <c r="EO4" s="43" t="str">
        <f ca="1">IFERROR(__xludf.DUMMYFUNCTION("""COMPUTED_VALUE"""),"")</f>
        <v/>
      </c>
      <c r="EP4" s="43" t="str">
        <f ca="1">IFERROR(__xludf.DUMMYFUNCTION("""COMPUTED_VALUE"""),"")</f>
        <v/>
      </c>
      <c r="EQ4" s="43" t="str">
        <f ca="1">IFERROR(__xludf.DUMMYFUNCTION("""COMPUTED_VALUE"""),"")</f>
        <v/>
      </c>
      <c r="ER4" s="43" t="str">
        <f ca="1">IFERROR(__xludf.DUMMYFUNCTION("""COMPUTED_VALUE"""),"")</f>
        <v/>
      </c>
      <c r="ES4" s="43" t="str">
        <f ca="1">IFERROR(__xludf.DUMMYFUNCTION("""COMPUTED_VALUE"""),"")</f>
        <v/>
      </c>
      <c r="ET4" s="43" t="str">
        <f ca="1">IFERROR(__xludf.DUMMYFUNCTION("""COMPUTED_VALUE"""),"")</f>
        <v/>
      </c>
      <c r="EU4" s="43" t="str">
        <f ca="1">IFERROR(__xludf.DUMMYFUNCTION("""COMPUTED_VALUE"""),"")</f>
        <v/>
      </c>
      <c r="EV4" s="43" t="str">
        <f ca="1">IFERROR(__xludf.DUMMYFUNCTION("""COMPUTED_VALUE"""),"")</f>
        <v/>
      </c>
      <c r="EW4" s="43" t="str">
        <f ca="1">IFERROR(__xludf.DUMMYFUNCTION("""COMPUTED_VALUE"""),"")</f>
        <v/>
      </c>
      <c r="EX4" s="43" t="str">
        <f ca="1">IFERROR(__xludf.DUMMYFUNCTION("""COMPUTED_VALUE"""),"")</f>
        <v/>
      </c>
      <c r="EY4" s="43" t="str">
        <f ca="1">IFERROR(__xludf.DUMMYFUNCTION("""COMPUTED_VALUE"""),"")</f>
        <v/>
      </c>
      <c r="EZ4" s="43" t="str">
        <f ca="1">IFERROR(__xludf.DUMMYFUNCTION("""COMPUTED_VALUE"""),"")</f>
        <v/>
      </c>
      <c r="FA4" s="43" t="str">
        <f ca="1">IFERROR(__xludf.DUMMYFUNCTION("""COMPUTED_VALUE"""),"")</f>
        <v/>
      </c>
      <c r="FB4" s="43" t="str">
        <f ca="1">IFERROR(__xludf.DUMMYFUNCTION("""COMPUTED_VALUE"""),"")</f>
        <v/>
      </c>
      <c r="FC4" s="43" t="str">
        <f ca="1">IFERROR(__xludf.DUMMYFUNCTION("""COMPUTED_VALUE"""),"")</f>
        <v/>
      </c>
      <c r="FD4" s="43" t="str">
        <f ca="1">IFERROR(__xludf.DUMMYFUNCTION("""COMPUTED_VALUE"""),"")</f>
        <v/>
      </c>
      <c r="FE4" s="43" t="str">
        <f ca="1">IFERROR(__xludf.DUMMYFUNCTION("""COMPUTED_VALUE"""),"")</f>
        <v/>
      </c>
      <c r="FF4" s="43" t="str">
        <f ca="1">IFERROR(__xludf.DUMMYFUNCTION("""COMPUTED_VALUE"""),"")</f>
        <v/>
      </c>
      <c r="FG4" s="43" t="str">
        <f ca="1">IFERROR(__xludf.DUMMYFUNCTION("""COMPUTED_VALUE"""),"")</f>
        <v/>
      </c>
      <c r="FH4" s="43" t="str">
        <f ca="1">IFERROR(__xludf.DUMMYFUNCTION("""COMPUTED_VALUE"""),"")</f>
        <v/>
      </c>
      <c r="FI4" s="43" t="str">
        <f ca="1">IFERROR(__xludf.DUMMYFUNCTION("""COMPUTED_VALUE"""),"")</f>
        <v/>
      </c>
      <c r="FJ4" s="43" t="str">
        <f ca="1">IFERROR(__xludf.DUMMYFUNCTION("""COMPUTED_VALUE"""),"")</f>
        <v/>
      </c>
    </row>
    <row r="5" spans="1:166" ht="15.75" customHeight="1">
      <c r="A5" s="44" t="str">
        <f ca="1">IFERROR(__xludf.DUMMYFUNCTION("TRANSPOSE(IMPORTRANGE(VLOOKUP($E$3,IMPORTRANGE('_Settings'!$B$3,$C$3&amp;""!A4:B1000""),2,FALSE),$G$3&amp;""!A4:A1000""))"),"")</f>
        <v/>
      </c>
      <c r="B5" s="45" t="str">
        <f ca="1">IFERROR(__xludf.DUMMYFUNCTION("""COMPUTED_VALUE"""),"Trade Date")</f>
        <v>Trade Date</v>
      </c>
      <c r="C5" s="45" t="str">
        <f ca="1">IFERROR(__xludf.DUMMYFUNCTION("""COMPUTED_VALUE"""),"Symbol")</f>
        <v>Symbol</v>
      </c>
      <c r="D5" s="45" t="str">
        <f ca="1">IFERROR(__xludf.DUMMYFUNCTION("""COMPUTED_VALUE"""),"Position")</f>
        <v>Position</v>
      </c>
      <c r="E5" s="45" t="str">
        <f ca="1">IFERROR(__xludf.DUMMYFUNCTION("""COMPUTED_VALUE"""),"Account")</f>
        <v>Account</v>
      </c>
      <c r="F5" s="46" t="str">
        <f ca="1">IFERROR(__xludf.DUMMYFUNCTION("""COMPUTED_VALUE"""),"MasterFund")</f>
        <v>MasterFund</v>
      </c>
      <c r="G5" s="45" t="str">
        <f ca="1">IFERROR(__xludf.DUMMYFUNCTION("""COMPUTED_VALUE"""),"Cost Basis")</f>
        <v>Cost Basis</v>
      </c>
      <c r="H5" s="45" t="str">
        <f ca="1">IFERROR(__xludf.DUMMYFUNCTION("""COMPUTED_VALUE"""),"Position Side")</f>
        <v>Position Side</v>
      </c>
      <c r="I5" s="45" t="str">
        <f ca="1">IFERROR(__xludf.DUMMYFUNCTION("""COMPUTED_VALUE"""),"Market Value (Base)")</f>
        <v>Market Value (Base)</v>
      </c>
      <c r="J5" s="45" t="str">
        <f ca="1">IFERROR(__xludf.DUMMYFUNCTION("""COMPUTED_VALUE"""),"% Day P&amp;L (Gross MV)")</f>
        <v>% Day P&amp;L (Gross MV)</v>
      </c>
      <c r="K5" s="45" t="str">
        <f ca="1">IFERROR(__xludf.DUMMYFUNCTION("""COMPUTED_VALUE"""),"Net Exposure (Base)")</f>
        <v>Net Exposure (Base)</v>
      </c>
      <c r="L5" s="45" t="str">
        <f ca="1">IFERROR(__xludf.DUMMYFUNCTION("""COMPUTED_VALUE"""),"Beta Adj. Gross Exposure (Base)")</f>
        <v>Beta Adj. Gross Exposure (Base)</v>
      </c>
      <c r="M5" s="45" t="str">
        <f ca="1">IFERROR(__xludf.DUMMYFUNCTION("""COMPUTED_VALUE"""),"Beta Adj. Gross Exposure (Underlying) (Base)")</f>
        <v>Beta Adj. Gross Exposure (Underlying) (Base)</v>
      </c>
      <c r="N5" s="45" t="str">
        <f ca="1">IFERROR(__xludf.DUMMYFUNCTION("""COMPUTED_VALUE"""),"Day P&amp;L (Base)")</f>
        <v>Day P&amp;L (Base)</v>
      </c>
      <c r="O5" s="45" t="str">
        <f ca="1">IFERROR(__xludf.DUMMYFUNCTION("""COMPUTED_VALUE"""),"Security Name")</f>
        <v>Security Name</v>
      </c>
      <c r="P5" s="45" t="str">
        <f ca="1">IFERROR(__xludf.DUMMYFUNCTION("""COMPUTED_VALUE"""),"Closing Mark")</f>
        <v>Closing Mark</v>
      </c>
      <c r="Q5" s="45" t="str">
        <f ca="1">IFERROR(__xludf.DUMMYFUNCTION("""COMPUTED_VALUE"""),"Cost Basis P&amp;L (Base)")</f>
        <v>Cost Basis P&amp;L (Base)</v>
      </c>
      <c r="R5" s="45" t="str">
        <f ca="1">IFERROR(__xludf.DUMMYFUNCTION("""COMPUTED_VALUE"""),"Prime Broker")</f>
        <v>Prime Broker</v>
      </c>
      <c r="S5" s="45" t="str">
        <f ca="1">IFERROR(__xludf.DUMMYFUNCTION("""COMPUTED_VALUE"""),"Strategy")</f>
        <v>Strategy</v>
      </c>
      <c r="T5" s="47" t="str">
        <f ca="1">IFERROR(__xludf.DUMMYFUNCTION("""COMPUTED_VALUE"""),"Asset Class")</f>
        <v>Asset Class</v>
      </c>
      <c r="U5" s="47" t="str">
        <f ca="1">IFERROR(__xludf.DUMMYFUNCTION("""COMPUTED_VALUE"""),"Underlying")</f>
        <v>Underlying</v>
      </c>
      <c r="V5" s="47" t="str">
        <f ca="1">IFERROR(__xludf.DUMMYFUNCTION("""COMPUTED_VALUE"""),"Exchange")</f>
        <v>Exchange</v>
      </c>
      <c r="W5" s="47" t="str">
        <f ca="1">IFERROR(__xludf.DUMMYFUNCTION("""COMPUTED_VALUE"""),"Trade Currency")</f>
        <v>Trade Currency</v>
      </c>
      <c r="X5" s="47" t="str">
        <f ca="1">IFERROR(__xludf.DUMMYFUNCTION("""COMPUTED_VALUE"""),"Multiplier")</f>
        <v>Multiplier</v>
      </c>
      <c r="Y5" s="47" t="str">
        <f ca="1">IFERROR(__xludf.DUMMYFUNCTION("""COMPUTED_VALUE"""),"FX Rate")</f>
        <v>FX Rate</v>
      </c>
      <c r="Z5" s="47" t="str">
        <f ca="1">IFERROR(__xludf.DUMMYFUNCTION("""COMPUTED_VALUE"""),"Vs Currency")</f>
        <v>Vs Currency</v>
      </c>
      <c r="AA5" s="47" t="str">
        <f ca="1">IFERROR(__xludf.DUMMYFUNCTION("""COMPUTED_VALUE"""),"Lead Currency")</f>
        <v>Lead Currency</v>
      </c>
      <c r="AB5" s="47" t="str">
        <f ca="1">IFERROR(__xludf.DUMMYFUNCTION("""COMPUTED_VALUE"""),"Dividend Yield (%)")</f>
        <v>Dividend Yield (%)</v>
      </c>
      <c r="AC5" s="47" t="str">
        <f ca="1">IFERROR(__xludf.DUMMYFUNCTION("""COMPUTED_VALUE"""),"% Change")</f>
        <v>% Change</v>
      </c>
      <c r="AD5" s="47" t="str">
        <f ca="1">IFERROR(__xludf.DUMMYFUNCTION("""COMPUTED_VALUE"""),"Net Exposure (Local)")</f>
        <v>Net Exposure (Local)</v>
      </c>
      <c r="AE5" s="47" t="str">
        <f ca="1">IFERROR(__xludf.DUMMYFUNCTION("""COMPUTED_VALUE"""),"Exposure (Local)")</f>
        <v>Exposure (Local)</v>
      </c>
      <c r="AF5" s="47" t="str">
        <f ca="1">IFERROR(__xludf.DUMMYFUNCTION("""COMPUTED_VALUE"""),"Delta Adj. Position")</f>
        <v>Delta Adj. Position</v>
      </c>
      <c r="AG5" s="47" t="str">
        <f ca="1">IFERROR(__xludf.DUMMYFUNCTION("""COMPUTED_VALUE"""),"Exposure (Base)")</f>
        <v>Exposure (Base)</v>
      </c>
      <c r="AH5" s="47" t="str">
        <f ca="1">IFERROR(__xludf.DUMMYFUNCTION("""COMPUTED_VALUE"""),"Beta Adj. Exposure (Local)")</f>
        <v>Beta Adj. Exposure (Local)</v>
      </c>
      <c r="AI5" s="47" t="str">
        <f ca="1">IFERROR(__xludf.DUMMYFUNCTION("""COMPUTED_VALUE"""),"Beta Adj. Exposure (Base)")</f>
        <v>Beta Adj. Exposure (Base)</v>
      </c>
      <c r="AJ5" s="47" t="str">
        <f ca="1">IFERROR(__xludf.DUMMYFUNCTION("""COMPUTED_VALUE"""),"Exposure (BP)(Base)")</f>
        <v>Exposure (BP)(Base)</v>
      </c>
      <c r="AK5" s="47" t="str">
        <f ca="1">IFERROR(__xludf.DUMMYFUNCTION("""COMPUTED_VALUE"""),"Day P&amp;L (Local)")</f>
        <v>Day P&amp;L (Local)</v>
      </c>
      <c r="AL5" s="47" t="str">
        <f ca="1">IFERROR(__xludf.DUMMYFUNCTION("""COMPUTED_VALUE"""),"Delta")</f>
        <v>Delta</v>
      </c>
      <c r="AM5" s="47" t="str">
        <f ca="1">IFERROR(__xludf.DUMMYFUNCTION("""COMPUTED_VALUE"""),"Leveraged Factor")</f>
        <v>Leveraged Factor</v>
      </c>
      <c r="AN5" s="47" t="str">
        <f ca="1">IFERROR(__xludf.DUMMYFUNCTION("""COMPUTED_VALUE"""),"Order Side")</f>
        <v>Order Side</v>
      </c>
      <c r="AO5" s="47" t="str">
        <f ca="1">IFERROR(__xludf.DUMMYFUNCTION("""COMPUTED_VALUE"""),"Master Strategy")</f>
        <v>Master Strategy</v>
      </c>
      <c r="AP5" s="47" t="str">
        <f ca="1">IFERROR(__xludf.DUMMYFUNCTION("""COMPUTED_VALUE"""),"Transaction Side")</f>
        <v>Transaction Side</v>
      </c>
      <c r="AQ5" s="47" t="str">
        <f ca="1">IFERROR(__xludf.DUMMYFUNCTION("""COMPUTED_VALUE"""),"Underlying Symbol")</f>
        <v>Underlying Symbol</v>
      </c>
      <c r="AR5" s="47" t="str">
        <f ca="1">IFERROR(__xludf.DUMMYFUNCTION("""COMPUTED_VALUE"""),"Underlying Price")</f>
        <v>Underlying Price</v>
      </c>
      <c r="AS5" s="47" t="str">
        <f ca="1">IFERROR(__xludf.DUMMYFUNCTION("""COMPUTED_VALUE"""),"Side Multiplier")</f>
        <v>Side Multiplier</v>
      </c>
      <c r="AT5" s="47" t="str">
        <f ca="1">IFERROR(__xludf.DUMMYFUNCTION("""COMPUTED_VALUE"""),"Description")</f>
        <v>Description</v>
      </c>
      <c r="AU5" s="47" t="str">
        <f ca="1">IFERROR(__xludf.DUMMYFUNCTION("""COMPUTED_VALUE"""),"Internal Comments")</f>
        <v>Internal Comments</v>
      </c>
      <c r="AV5" s="47" t="str">
        <f ca="1">IFERROR(__xludf.DUMMYFUNCTION("""COMPUTED_VALUE"""),"FX Rate On Trade Date")</f>
        <v>FX Rate On Trade Date</v>
      </c>
      <c r="AW5" s="47" t="str">
        <f ca="1">IFERROR(__xludf.DUMMYFUNCTION("""COMPUTED_VALUE"""),"Cost Basis P&amp;L (Local)")</f>
        <v>Cost Basis P&amp;L (Local)</v>
      </c>
      <c r="AX5" s="47" t="str">
        <f ca="1">IFERROR(__xludf.DUMMYFUNCTION("""COMPUTED_VALUE"""),"Day Interest")</f>
        <v>Day Interest</v>
      </c>
      <c r="AY5" s="47" t="str">
        <f ca="1">IFERROR(__xludf.DUMMYFUNCTION("""COMPUTED_VALUE"""),"Total Interest")</f>
        <v>Total Interest</v>
      </c>
      <c r="AZ5" s="47" t="str">
        <f ca="1">IFERROR(__xludf.DUMMYFUNCTION("""COMPUTED_VALUE"""),"Market Value (Local)")</f>
        <v>Market Value (Local)</v>
      </c>
      <c r="BA5" s="47" t="str">
        <f ca="1">IFERROR(__xludf.DUMMYFUNCTION("""COMPUTED_VALUE"""),"% Gain/Loss Day")</f>
        <v>% Gain/Loss Day</v>
      </c>
      <c r="BB5" s="47" t="str">
        <f ca="1">IFERROR(__xludf.DUMMYFUNCTION("""COMPUTED_VALUE"""),"Update Time (Last Price)")</f>
        <v>Update Time (Last Price)</v>
      </c>
      <c r="BC5" s="47" t="str">
        <f ca="1">IFERROR(__xludf.DUMMYFUNCTION("""COMPUTED_VALUE"""),"Beta")</f>
        <v>Beta</v>
      </c>
      <c r="BD5" s="47" t="str">
        <f ca="1">IFERROR(__xludf.DUMMYFUNCTION("""COMPUTED_VALUE"""),"Cash Impact (Local)")</f>
        <v>Cash Impact (Local)</v>
      </c>
      <c r="BE5" s="47" t="str">
        <f ca="1">IFERROR(__xludf.DUMMYFUNCTION("""COMPUTED_VALUE"""),"User Asset")</f>
        <v>User Asset</v>
      </c>
      <c r="BF5" s="47" t="str">
        <f ca="1">IFERROR(__xludf.DUMMYFUNCTION("""COMPUTED_VALUE"""),"Security Type")</f>
        <v>Security Type</v>
      </c>
      <c r="BG5" s="47" t="str">
        <f ca="1">IFERROR(__xludf.DUMMYFUNCTION("""COMPUTED_VALUE"""),"Sector")</f>
        <v>Sector</v>
      </c>
      <c r="BH5" s="47" t="str">
        <f ca="1">IFERROR(__xludf.DUMMYFUNCTION("""COMPUTED_VALUE"""),"Sub Sector")</f>
        <v>Sub Sector</v>
      </c>
      <c r="BI5" s="47" t="str">
        <f ca="1">IFERROR(__xludf.DUMMYFUNCTION("""COMPUTED_VALUE"""),"Country")</f>
        <v>Country</v>
      </c>
      <c r="BJ5" s="47" t="str">
        <f ca="1">IFERROR(__xludf.DUMMYFUNCTION("""COMPUTED_VALUE"""),"Market Cap")</f>
        <v>Market Cap</v>
      </c>
      <c r="BK5" s="47" t="str">
        <f ca="1">IFERROR(__xludf.DUMMYFUNCTION("""COMPUTED_VALUE"""),"Shares Outstanding (MM)")</f>
        <v>Shares Outstanding (MM)</v>
      </c>
      <c r="BL5" s="47" t="str">
        <f ca="1">IFERROR(__xludf.DUMMYFUNCTION("""COMPUTED_VALUE"""),"Avg Volume 20 Day")</f>
        <v>Avg Volume 20 Day</v>
      </c>
      <c r="BM5" s="47" t="str">
        <f ca="1">IFERROR(__xludf.DUMMYFUNCTION("""COMPUTED_VALUE"""),"% Avg Volume (Delta Adj.)")</f>
        <v>% Avg Volume (Delta Adj.)</v>
      </c>
      <c r="BN5" s="47" t="str">
        <f ca="1">IFERROR(__xludf.DUMMYFUNCTION("""COMPUTED_VALUE"""),"Ex Dividend Date")</f>
        <v>Ex Dividend Date</v>
      </c>
      <c r="BO5" s="47" t="str">
        <f ca="1">IFERROR(__xludf.DUMMYFUNCTION("""COMPUTED_VALUE"""),"Cash Impact (Base)")</f>
        <v>Cash Impact (Base)</v>
      </c>
      <c r="BP5" s="47" t="str">
        <f ca="1">IFERROR(__xludf.DUMMYFUNCTION("""COMPUTED_VALUE"""),"Volatility (%)")</f>
        <v>Volatility (%)</v>
      </c>
      <c r="BQ5" s="47" t="str">
        <f ca="1">IFERROR(__xludf.DUMMYFUNCTION("""COMPUTED_VALUE"""),"User")</f>
        <v>User</v>
      </c>
      <c r="BR5" s="47" t="str">
        <f ca="1">IFERROR(__xludf.DUMMYFUNCTION("""COMPUTED_VALUE"""),"Broker")</f>
        <v>Broker</v>
      </c>
      <c r="BS5" s="47" t="str">
        <f ca="1">IFERROR(__xludf.DUMMYFUNCTION("""COMPUTED_VALUE"""),"Earned Dividend (Local)")</f>
        <v>Earned Dividend (Local)</v>
      </c>
      <c r="BT5" s="47" t="str">
        <f ca="1">IFERROR(__xludf.DUMMYFUNCTION("""COMPUTED_VALUE"""),"Earned Dividend (Base)")</f>
        <v>Earned Dividend (Base)</v>
      </c>
      <c r="BU5" s="47" t="str">
        <f ca="1">IFERROR(__xludf.DUMMYFUNCTION("""COMPUTED_VALUE"""),"Put/Call")</f>
        <v>Put/Call</v>
      </c>
      <c r="BV5" s="47" t="str">
        <f ca="1">IFERROR(__xludf.DUMMYFUNCTION("""COMPUTED_VALUE"""),"Expiration Date")</f>
        <v>Expiration Date</v>
      </c>
      <c r="BW5" s="47" t="str">
        <f ca="1">IFERROR(__xludf.DUMMYFUNCTION("""COMPUTED_VALUE"""),"Strike Price")</f>
        <v>Strike Price</v>
      </c>
      <c r="BX5" s="47" t="str">
        <f ca="1">IFERROR(__xludf.DUMMYFUNCTION("""COMPUTED_VALUE"""),"Gross Exposure (Base)")</f>
        <v>Gross Exposure (Base)</v>
      </c>
      <c r="BY5" s="47" t="str">
        <f ca="1">IFERROR(__xludf.DUMMYFUNCTION("""COMPUTED_VALUE"""),"Gross Market Value (Base)")</f>
        <v>Gross Market Value (Base)</v>
      </c>
      <c r="BZ5" s="47" t="str">
        <f ca="1">IFERROR(__xludf.DUMMYFUNCTION("""COMPUTED_VALUE"""),"Px Selected Feed (Local)")</f>
        <v>Px Selected Feed (Local)</v>
      </c>
      <c r="CA5" s="47" t="str">
        <f ca="1">IFERROR(__xludf.DUMMYFUNCTION("""COMPUTED_VALUE"""),"Px Selected Feed (Base)")</f>
        <v>Px Selected Feed (Base)</v>
      </c>
      <c r="CB5" s="47" t="str">
        <f ca="1">IFERROR(__xludf.DUMMYFUNCTION("""COMPUTED_VALUE"""),"Settlement Date")</f>
        <v>Settlement Date</v>
      </c>
      <c r="CC5" s="47" t="str">
        <f ca="1">IFERROR(__xludf.DUMMYFUNCTION("""COMPUTED_VALUE"""),"% Avg Volume")</f>
        <v>% Avg Volume</v>
      </c>
      <c r="CD5" s="47" t="str">
        <f ca="1">IFERROR(__xludf.DUMMYFUNCTION("""COMPUTED_VALUE"""),"Day P&amp;L (Base)(Price Gain)")</f>
        <v>Day P&amp;L (Base)(Price Gain)</v>
      </c>
      <c r="CE5" s="47" t="str">
        <f ca="1">IFERROR(__xludf.DUMMYFUNCTION("""COMPUTED_VALUE"""),"Day P&amp;L (Base)(FX Gain)")</f>
        <v>Day P&amp;L (Base)(FX Gain)</v>
      </c>
      <c r="CF5" s="47" t="str">
        <f ca="1">IFERROR(__xludf.DUMMYFUNCTION("""COMPUTED_VALUE"""),"Cost Basis P&amp;L (Base)(FX Gain)")</f>
        <v>Cost Basis P&amp;L (Base)(FX Gain)</v>
      </c>
      <c r="CG5" s="47" t="str">
        <f ca="1">IFERROR(__xludf.DUMMYFUNCTION("""COMPUTED_VALUE"""),"Cost Basis P&amp;L (Base)(Price Gain)")</f>
        <v>Cost Basis P&amp;L (Base)(Price Gain)</v>
      </c>
      <c r="CH5" s="47" t="str">
        <f ca="1">IFERROR(__xludf.DUMMYFUNCTION("""COMPUTED_VALUE"""),"% Gain/Loss Cost")</f>
        <v>% Gain/Loss Cost</v>
      </c>
      <c r="CI5" s="47" t="str">
        <f ca="1">IFERROR(__xludf.DUMMYFUNCTION("""COMPUTED_VALUE"""),"Underlying Value (Options)")</f>
        <v>Underlying Value (Options)</v>
      </c>
      <c r="CJ5" s="47" t="str">
        <f ca="1">IFERROR(__xludf.DUMMYFUNCTION("""COMPUTED_VALUE"""),"Avg Volume 20 Day (Underlying Symbol)")</f>
        <v>Avg Volume 20 Day (Underlying Symbol)</v>
      </c>
      <c r="CK5" s="47" t="str">
        <f ca="1">IFERROR(__xludf.DUMMYFUNCTION("""COMPUTED_VALUE"""),"IsStaleData")</f>
        <v>IsStaleData</v>
      </c>
      <c r="CL5" s="47" t="str">
        <f ca="1">IFERROR(__xludf.DUMMYFUNCTION("""COMPUTED_VALUE"""),"IDCO")</f>
        <v>IDCO</v>
      </c>
      <c r="CM5" s="47" t="str">
        <f ca="1">IFERROR(__xludf.DUMMYFUNCTION("""COMPUTED_VALUE"""),"OSI")</f>
        <v>OSI</v>
      </c>
      <c r="CN5" s="47" t="str">
        <f ca="1">IFERROR(__xludf.DUMMYFUNCTION("""COMPUTED_VALUE"""),"SEDOL")</f>
        <v>SEDOL</v>
      </c>
      <c r="CO5" s="47" t="str">
        <f ca="1">IFERROR(__xludf.DUMMYFUNCTION("""COMPUTED_VALUE"""),"CUSIP")</f>
        <v>CUSIP</v>
      </c>
      <c r="CP5" s="47" t="str">
        <f ca="1">IFERROR(__xludf.DUMMYFUNCTION("""COMPUTED_VALUE"""),"Bloomberg")</f>
        <v>Bloomberg</v>
      </c>
      <c r="CQ5" s="47" t="str">
        <f ca="1">IFERROR(__xludf.DUMMYFUNCTION("""COMPUTED_VALUE"""),"ISIN")</f>
        <v>ISIN</v>
      </c>
      <c r="CR5" s="47" t="str">
        <f ca="1">IFERROR(__xludf.DUMMYFUNCTION("""COMPUTED_VALUE"""),"Start Trade Date")</f>
        <v>Start Trade Date</v>
      </c>
      <c r="CS5" s="47" t="str">
        <f ca="1">IFERROR(__xludf.DUMMYFUNCTION("""COMPUTED_VALUE"""),"Cost Basis (Break Even)")</f>
        <v>Cost Basis (Break Even)</v>
      </c>
      <c r="CT5" s="47" t="str">
        <f ca="1">IFERROR(__xludf.DUMMYFUNCTION("""COMPUTED_VALUE"""),"Trade Attribute 3")</f>
        <v>Trade Attribute 3</v>
      </c>
      <c r="CU5" s="47" t="str">
        <f ca="1">IFERROR(__xludf.DUMMYFUNCTION("""COMPUTED_VALUE"""),"Trade Attribute 4")</f>
        <v>Trade Attribute 4</v>
      </c>
      <c r="CV5" s="47" t="str">
        <f ca="1">IFERROR(__xludf.DUMMYFUNCTION("""COMPUTED_VALUE"""),"Trade Attribute 5")</f>
        <v>Trade Attribute 5</v>
      </c>
      <c r="CW5" s="47" t="str">
        <f ca="1">IFERROR(__xludf.DUMMYFUNCTION("""COMPUTED_VALUE"""),"Trade Attribute 6")</f>
        <v>Trade Attribute 6</v>
      </c>
      <c r="CX5" s="47" t="str">
        <f ca="1">IFERROR(__xludf.DUMMYFUNCTION("""COMPUTED_VALUE"""),"Proxy Symbol")</f>
        <v>Proxy Symbol</v>
      </c>
      <c r="CY5" s="47" t="str">
        <f ca="1">IFERROR(__xludf.DUMMYFUNCTION("""COMPUTED_VALUE"""),"Pricing Source")</f>
        <v>Pricing Source</v>
      </c>
      <c r="CZ5" s="47" t="str">
        <f ca="1">IFERROR(__xludf.DUMMYFUNCTION("""COMPUTED_VALUE"""),"Delta Source")</f>
        <v>Delta Source</v>
      </c>
      <c r="DA5" s="47" t="str">
        <f ca="1">IFERROR(__xludf.DUMMYFUNCTION("""COMPUTED_VALUE"""),"Gross Exposure (Local)")</f>
        <v>Gross Exposure (Local)</v>
      </c>
      <c r="DB5" s="47" t="str">
        <f ca="1">IFERROR(__xludf.DUMMYFUNCTION("""COMPUTED_VALUE"""),"% Day P&amp;L (Net MV)")</f>
        <v>% Day P&amp;L (Net MV)</v>
      </c>
      <c r="DC5" s="47" t="str">
        <f ca="1">IFERROR(__xludf.DUMMYFUNCTION("""COMPUTED_VALUE"""),"Expiration Month")</f>
        <v>Expiration Month</v>
      </c>
      <c r="DD5" s="47" t="str">
        <f ca="1">IFERROR(__xludf.DUMMYFUNCTION("""COMPUTED_VALUE"""),"Delta Adj. Position (LME)")</f>
        <v>Delta Adj. Position (LME)</v>
      </c>
      <c r="DE5" s="47" t="str">
        <f ca="1">IFERROR(__xludf.DUMMYFUNCTION("""COMPUTED_VALUE"""),"Premium")</f>
        <v>Premium</v>
      </c>
      <c r="DF5" s="47" t="str">
        <f ca="1">IFERROR(__xludf.DUMMYFUNCTION("""COMPUTED_VALUE"""),"Premium $")</f>
        <v>Premium $</v>
      </c>
      <c r="DG5" s="47" t="str">
        <f ca="1">IFERROR(__xludf.DUMMYFUNCTION("""COMPUTED_VALUE"""),"Forward Points")</f>
        <v>Forward Points</v>
      </c>
      <c r="DH5" s="47" t="str">
        <f ca="1">IFERROR(__xludf.DUMMYFUNCTION("""COMPUTED_VALUE"""),"Closing Mark (Underlying)")</f>
        <v>Closing Mark (Underlying)</v>
      </c>
      <c r="DI5" s="47" t="str">
        <f ca="1">IFERROR(__xludf.DUMMYFUNCTION("""COMPUTED_VALUE"""),"% Change (Underlying Price)")</f>
        <v>% Change (Underlying Price)</v>
      </c>
      <c r="DJ5" s="47" t="str">
        <f ca="1">IFERROR(__xludf.DUMMYFUNCTION("""COMPUTED_VALUE"""),"Transaction Type")</f>
        <v>Transaction Type</v>
      </c>
      <c r="DK5" s="47" t="str">
        <f ca="1">IFERROR(__xludf.DUMMYFUNCTION("""COMPUTED_VALUE"""),"Closing Market Value (Local)")</f>
        <v>Closing Market Value (Local)</v>
      </c>
      <c r="DL5" s="47" t="str">
        <f ca="1">IFERROR(__xludf.DUMMYFUNCTION("""COMPUTED_VALUE"""),"Closing Market Value (Base)")</f>
        <v>Closing Market Value (Base)</v>
      </c>
      <c r="DM5" s="47" t="str">
        <f ca="1">IFERROR(__xludf.DUMMYFUNCTION("""COMPUTED_VALUE"""),"Closing FX Rate")</f>
        <v>Closing FX Rate</v>
      </c>
      <c r="DN5" s="47" t="str">
        <f ca="1">IFERROR(__xludf.DUMMYFUNCTION("""COMPUTED_VALUE"""),"Change In Underlying Price")</f>
        <v>Change In Underlying Price</v>
      </c>
      <c r="DO5" s="47" t="str">
        <f ca="1">IFERROR(__xludf.DUMMYFUNCTION("""COMPUTED_VALUE"""),"RIC")</f>
        <v>RIC</v>
      </c>
      <c r="DP5" s="47" t="str">
        <f ca="1">IFERROR(__xludf.DUMMYFUNCTION("""COMPUTED_VALUE"""),"Position Side Exposure (Boxed)")</f>
        <v>Position Side Exposure (Boxed)</v>
      </c>
      <c r="DQ5" s="47" t="str">
        <f ca="1">IFERROR(__xludf.DUMMYFUNCTION("""COMPUTED_VALUE"""),"Analyst")</f>
        <v>Analyst</v>
      </c>
      <c r="DR5" s="47" t="str">
        <f ca="1">IFERROR(__xludf.DUMMYFUNCTION("""COMPUTED_VALUE"""),"Country Of Risk")</f>
        <v>Country Of Risk</v>
      </c>
      <c r="DS5" s="47" t="str">
        <f ca="1">IFERROR(__xludf.DUMMYFUNCTION("""COMPUTED_VALUE"""),"Custom UDA1")</f>
        <v>Custom UDA1</v>
      </c>
      <c r="DT5" s="47" t="str">
        <f ca="1">IFERROR(__xludf.DUMMYFUNCTION("""COMPUTED_VALUE"""),"Custom UDA2")</f>
        <v>Custom UDA2</v>
      </c>
      <c r="DU5" s="47" t="str">
        <f ca="1">IFERROR(__xludf.DUMMYFUNCTION("""COMPUTED_VALUE"""),"Custom UDA3")</f>
        <v>Custom UDA3</v>
      </c>
      <c r="DV5" s="47" t="str">
        <f ca="1">IFERROR(__xludf.DUMMYFUNCTION("""COMPUTED_VALUE"""),"Custom UDA4")</f>
        <v>Custom UDA4</v>
      </c>
      <c r="DW5" s="47" t="str">
        <f ca="1">IFERROR(__xludf.DUMMYFUNCTION("""COMPUTED_VALUE"""),"Custom UDA5")</f>
        <v>Custom UDA5</v>
      </c>
      <c r="DX5" s="47" t="str">
        <f ca="1">IFERROR(__xludf.DUMMYFUNCTION("""COMPUTED_VALUE"""),"Custom UDA6")</f>
        <v>Custom UDA6</v>
      </c>
      <c r="DY5" s="47" t="str">
        <f ca="1">IFERROR(__xludf.DUMMYFUNCTION("""COMPUTED_VALUE"""),"Custom UDA7")</f>
        <v>Custom UDA7</v>
      </c>
      <c r="DZ5" s="47" t="str">
        <f ca="1">IFERROR(__xludf.DUMMYFUNCTION("""COMPUTED_VALUE"""),"Issuer")</f>
        <v>Issuer</v>
      </c>
      <c r="EA5" s="47" t="str">
        <f ca="1">IFERROR(__xludf.DUMMYFUNCTION("""COMPUTED_VALUE"""),"Liquid Tag")</f>
        <v>Liquid Tag</v>
      </c>
      <c r="EB5" s="47" t="str">
        <f ca="1">IFERROR(__xludf.DUMMYFUNCTION("""COMPUTED_VALUE"""),"Market Cap UDA")</f>
        <v>Market Cap UDA</v>
      </c>
      <c r="EC5" s="47" t="str">
        <f ca="1">IFERROR(__xludf.DUMMYFUNCTION("""COMPUTED_VALUE"""),"Region")</f>
        <v>Region</v>
      </c>
      <c r="ED5" s="47" t="str">
        <f ca="1">IFERROR(__xludf.DUMMYFUNCTION("""COMPUTED_VALUE"""),"Risk Currency")</f>
        <v>Risk Currency</v>
      </c>
      <c r="EE5" s="47" t="str">
        <f ca="1">IFERROR(__xludf.DUMMYFUNCTION("""COMPUTED_VALUE"""),"UCITS Eligible Tag")</f>
        <v>UCITS Eligible Tag</v>
      </c>
      <c r="EF5" s="47" t="str">
        <f ca="1">IFERROR(__xludf.DUMMYFUNCTION("""COMPUTED_VALUE"""),"FX Rate (Display)")</f>
        <v>FX Rate (Display)</v>
      </c>
      <c r="EG5" s="47" t="str">
        <f ca="1">IFERROR(__xludf.DUMMYFUNCTION("""COMPUTED_VALUE"""),"% Net Exposure (Base)")</f>
        <v>% Net Exposure (Base)</v>
      </c>
      <c r="EH5" s="47" t="str">
        <f ca="1">IFERROR(__xludf.DUMMYFUNCTION("""COMPUTED_VALUE"""),"% Gross Exposure (Base)")</f>
        <v>% Gross Exposure (Base)</v>
      </c>
      <c r="EI5" s="47" t="str">
        <f ca="1">IFERROR(__xludf.DUMMYFUNCTION("""COMPUTED_VALUE"""),"% Exposure (Base)")</f>
        <v>% Exposure (Base)</v>
      </c>
      <c r="EJ5" s="47" t="str">
        <f ca="1">IFERROR(__xludf.DUMMYFUNCTION("""COMPUTED_VALUE"""),"% Gross Exposure (Underlying) (Base)")</f>
        <v>% Gross Exposure (Underlying) (Base)</v>
      </c>
      <c r="EK5" s="47" t="str">
        <f ca="1">IFERROR(__xludf.DUMMYFUNCTION("""COMPUTED_VALUE"""),"% Beta Adj. Gross Exposure (Base)")</f>
        <v>% Beta Adj. Gross Exposure (Base)</v>
      </c>
      <c r="EL5" s="47" t="str">
        <f ca="1">IFERROR(__xludf.DUMMYFUNCTION("""COMPUTED_VALUE"""),"Position Side Exposure (Underlying)")</f>
        <v>Position Side Exposure (Underlying)</v>
      </c>
      <c r="EM5" s="47" t="str">
        <f ca="1">IFERROR(__xludf.DUMMYFUNCTION("""COMPUTED_VALUE"""),"Gross Exposure (Underlying) (Base)")</f>
        <v>Gross Exposure (Underlying) (Base)</v>
      </c>
      <c r="EN5" s="47" t="str">
        <f ca="1">IFERROR(__xludf.DUMMYFUNCTION("""COMPUTED_VALUE"""),"Gross Exposure (Underlying)")</f>
        <v>Gross Exposure (Underlying)</v>
      </c>
      <c r="EO5" s="47" t="str">
        <f ca="1">IFERROR(__xludf.DUMMYFUNCTION("""COMPUTED_VALUE"""),"Day Return")</f>
        <v>Day Return</v>
      </c>
      <c r="EP5" s="47" t="str">
        <f ca="1">IFERROR(__xludf.DUMMYFUNCTION("""COMPUTED_VALUE"""),"Start of Day NAV")</f>
        <v>Start of Day NAV</v>
      </c>
      <c r="EQ5" s="47" t="str">
        <f ca="1">IFERROR(__xludf.DUMMYFUNCTION("""COMPUTED_VALUE"""),"% Gross Market Value (Base)")</f>
        <v>% Gross Market Value (Base)</v>
      </c>
      <c r="ER5" s="47" t="str">
        <f ca="1">IFERROR(__xludf.DUMMYFUNCTION("""COMPUTED_VALUE"""),"Beta Adj. Gross Exposure (Underlying) (Local)")</f>
        <v>Beta Adj. Gross Exposure (Underlying) (Local)</v>
      </c>
      <c r="ES5" s="47" t="str">
        <f ca="1">IFERROR(__xludf.DUMMYFUNCTION("""COMPUTED_VALUE"""),"NAV")</f>
        <v>NAV</v>
      </c>
      <c r="ET5" s="47" t="str">
        <f ca="1">IFERROR(__xludf.DUMMYFUNCTION("""COMPUTED_VALUE"""),"% P&amp;L Contribution")</f>
        <v>% P&amp;L Contribution</v>
      </c>
      <c r="EU5" s="47" t="str">
        <f ca="1">IFERROR(__xludf.DUMMYFUNCTION("""COMPUTED_VALUE"""),"% Net Market Value (Base)")</f>
        <v>% Net Market Value (Base)</v>
      </c>
      <c r="EV5" s="47" t="str">
        <f ca="1">IFERROR(__xludf.DUMMYFUNCTION("""COMPUTED_VALUE"""),"Position Side Exposure")</f>
        <v>Position Side Exposure</v>
      </c>
      <c r="EW5" s="47" t="str">
        <f ca="1">IFERROR(__xludf.DUMMYFUNCTION("""COMPUTED_VALUE"""),"NAV (Touch)")</f>
        <v>NAV (Touch)</v>
      </c>
      <c r="EX5" s="47" t="str">
        <f ca="1">IFERROR(__xludf.DUMMYFUNCTION("""COMPUTED_VALUE"""),"IgnorePropertyChangeEvents")</f>
        <v>IgnorePropertyChangeEvents</v>
      </c>
      <c r="EY5" s="47" t="str">
        <f ca="1">IFERROR(__xludf.DUMMYFUNCTION("""COMPUTED_VALUE"""),"Trade Attribute 1")</f>
        <v>Trade Attribute 1</v>
      </c>
      <c r="EZ5" s="47" t="str">
        <f ca="1">IFERROR(__xludf.DUMMYFUNCTION("""COMPUTED_VALUE"""),"Trade Attribute 2")</f>
        <v>Trade Attribute 2</v>
      </c>
      <c r="FA5" s="47" t="str">
        <f ca="1">IFERROR(__xludf.DUMMYFUNCTION("""COMPUTED_VALUE"""),"")</f>
        <v/>
      </c>
      <c r="FB5" s="47" t="str">
        <f ca="1">IFERROR(__xludf.DUMMYFUNCTION("""COMPUTED_VALUE"""),"")</f>
        <v/>
      </c>
      <c r="FC5" s="47" t="str">
        <f ca="1">IFERROR(__xludf.DUMMYFUNCTION("""COMPUTED_VALUE"""),"")</f>
        <v/>
      </c>
      <c r="FD5" s="47" t="str">
        <f ca="1">IFERROR(__xludf.DUMMYFUNCTION("""COMPUTED_VALUE"""),"")</f>
        <v/>
      </c>
      <c r="FE5" s="47" t="str">
        <f ca="1">IFERROR(__xludf.DUMMYFUNCTION("""COMPUTED_VALUE"""),"")</f>
        <v/>
      </c>
      <c r="FF5" s="47" t="str">
        <f ca="1">IFERROR(__xludf.DUMMYFUNCTION("""COMPUTED_VALUE"""),"")</f>
        <v/>
      </c>
      <c r="FG5" s="47" t="str">
        <f ca="1">IFERROR(__xludf.DUMMYFUNCTION("""COMPUTED_VALUE"""),"")</f>
        <v/>
      </c>
      <c r="FH5" s="47" t="str">
        <f ca="1">IFERROR(__xludf.DUMMYFUNCTION("""COMPUTED_VALUE"""),"")</f>
        <v/>
      </c>
      <c r="FI5" s="47" t="str">
        <f ca="1">IFERROR(__xludf.DUMMYFUNCTION("""COMPUTED_VALUE"""),"")</f>
        <v/>
      </c>
      <c r="FJ5" s="47" t="str">
        <f ca="1">IFERROR(__xludf.DUMMYFUNCTION("""COMPUTED_VALUE"""),"")</f>
        <v/>
      </c>
    </row>
    <row r="6" spans="1:166" ht="15.75" customHeight="1">
      <c r="A6" s="48"/>
      <c r="B6" s="48"/>
      <c r="C6" s="49" t="s">
        <v>19</v>
      </c>
      <c r="D6" s="50">
        <v>100</v>
      </c>
      <c r="E6" s="49" t="s">
        <v>24</v>
      </c>
      <c r="F6" s="49" t="s">
        <v>29</v>
      </c>
      <c r="G6" s="50">
        <v>20</v>
      </c>
      <c r="H6" s="49" t="s">
        <v>36</v>
      </c>
      <c r="I6" s="50">
        <v>210000</v>
      </c>
      <c r="J6" s="50">
        <v>0</v>
      </c>
      <c r="K6" s="50">
        <v>1990000</v>
      </c>
      <c r="L6" s="50">
        <v>1990000</v>
      </c>
      <c r="M6" s="50">
        <v>3980000</v>
      </c>
      <c r="N6" s="50">
        <v>0</v>
      </c>
      <c r="O6" s="49" t="s">
        <v>19</v>
      </c>
      <c r="P6" s="50">
        <v>21</v>
      </c>
      <c r="Q6" s="50">
        <v>10000</v>
      </c>
      <c r="R6" s="49" t="s">
        <v>37</v>
      </c>
      <c r="S6" s="49" t="s">
        <v>38</v>
      </c>
      <c r="T6" s="49" t="s">
        <v>39</v>
      </c>
      <c r="U6" s="49" t="s">
        <v>40</v>
      </c>
      <c r="V6" s="49" t="s">
        <v>41</v>
      </c>
      <c r="W6" s="49" t="s">
        <v>42</v>
      </c>
      <c r="X6" s="50">
        <v>100</v>
      </c>
      <c r="Y6" s="50">
        <v>1</v>
      </c>
      <c r="Z6" s="49" t="s">
        <v>43</v>
      </c>
      <c r="AA6" s="49" t="s">
        <v>43</v>
      </c>
      <c r="AB6" s="50">
        <v>0</v>
      </c>
      <c r="AC6" s="50">
        <v>0</v>
      </c>
      <c r="AD6" s="50">
        <v>1990000</v>
      </c>
      <c r="AE6" s="50">
        <v>1990000</v>
      </c>
      <c r="AF6" s="50">
        <v>10000</v>
      </c>
      <c r="AG6" s="50">
        <v>1990000</v>
      </c>
      <c r="AH6" s="50">
        <v>1990000</v>
      </c>
      <c r="AI6" s="50">
        <v>1990000</v>
      </c>
      <c r="AJ6" s="51">
        <v>-992518.7</v>
      </c>
      <c r="AK6" s="50">
        <v>0</v>
      </c>
      <c r="AL6" s="50">
        <v>1</v>
      </c>
      <c r="AM6" s="50">
        <v>1</v>
      </c>
      <c r="AN6" s="49" t="s">
        <v>44</v>
      </c>
      <c r="AO6" s="49" t="s">
        <v>43</v>
      </c>
      <c r="AP6" s="49" t="s">
        <v>36</v>
      </c>
      <c r="AQ6" s="49" t="s">
        <v>17</v>
      </c>
      <c r="AR6" s="50">
        <v>199</v>
      </c>
      <c r="AS6" s="50">
        <v>1</v>
      </c>
      <c r="AT6" s="49" t="s">
        <v>45</v>
      </c>
      <c r="AU6" s="49" t="s">
        <v>46</v>
      </c>
      <c r="AV6" s="50">
        <v>1</v>
      </c>
      <c r="AW6" s="50">
        <v>10000</v>
      </c>
      <c r="AX6" s="50">
        <v>0</v>
      </c>
      <c r="AY6" s="50">
        <v>0</v>
      </c>
      <c r="AZ6" s="50">
        <v>210000</v>
      </c>
      <c r="BA6" s="50">
        <v>0</v>
      </c>
      <c r="BB6" s="49"/>
      <c r="BC6" s="50">
        <v>1</v>
      </c>
      <c r="BD6" s="50">
        <v>0</v>
      </c>
      <c r="BE6" s="49" t="s">
        <v>47</v>
      </c>
      <c r="BF6" s="49" t="s">
        <v>48</v>
      </c>
      <c r="BG6" s="49" t="s">
        <v>48</v>
      </c>
      <c r="BH6" s="49" t="s">
        <v>48</v>
      </c>
      <c r="BI6" s="49" t="s">
        <v>48</v>
      </c>
      <c r="BJ6" s="50">
        <v>0</v>
      </c>
      <c r="BK6" s="50">
        <v>0</v>
      </c>
      <c r="BL6" s="50">
        <v>0</v>
      </c>
      <c r="BM6" s="50">
        <v>0</v>
      </c>
      <c r="BN6" s="49"/>
      <c r="BO6" s="50">
        <v>0</v>
      </c>
      <c r="BP6" s="50">
        <v>0</v>
      </c>
      <c r="BQ6" s="49" t="s">
        <v>49</v>
      </c>
      <c r="BR6" s="49" t="s">
        <v>25</v>
      </c>
      <c r="BS6" s="50">
        <v>0</v>
      </c>
      <c r="BT6" s="50">
        <v>0</v>
      </c>
      <c r="BU6" s="49" t="s">
        <v>50</v>
      </c>
      <c r="BV6" s="52">
        <v>219148</v>
      </c>
      <c r="BW6" s="50">
        <v>177.5</v>
      </c>
      <c r="BX6" s="50">
        <v>1990000</v>
      </c>
      <c r="BY6" s="50">
        <v>210000</v>
      </c>
      <c r="BZ6" s="50">
        <v>21</v>
      </c>
      <c r="CA6" s="50">
        <v>21</v>
      </c>
      <c r="CB6" s="49"/>
      <c r="CC6" s="50">
        <v>0</v>
      </c>
      <c r="CD6" s="50">
        <v>0</v>
      </c>
      <c r="CE6" s="50">
        <v>0</v>
      </c>
      <c r="CF6" s="50">
        <v>0</v>
      </c>
      <c r="CG6" s="50">
        <v>10000</v>
      </c>
      <c r="CH6" s="50">
        <v>5</v>
      </c>
      <c r="CI6" s="50">
        <v>1990000</v>
      </c>
      <c r="CJ6" s="50">
        <v>0</v>
      </c>
      <c r="CK6" s="53" t="b">
        <v>0</v>
      </c>
      <c r="CL6" s="49" t="s">
        <v>43</v>
      </c>
      <c r="CM6" s="49" t="s">
        <v>43</v>
      </c>
      <c r="CN6" s="49" t="s">
        <v>43</v>
      </c>
      <c r="CO6" s="49" t="s">
        <v>43</v>
      </c>
      <c r="CP6" s="49" t="s">
        <v>43</v>
      </c>
      <c r="CQ6" s="49" t="s">
        <v>43</v>
      </c>
      <c r="CR6" s="50"/>
      <c r="CS6" s="50">
        <v>20</v>
      </c>
      <c r="CT6" s="49" t="s">
        <v>43</v>
      </c>
      <c r="CU6" s="49" t="s">
        <v>43</v>
      </c>
      <c r="CV6" s="49" t="s">
        <v>43</v>
      </c>
      <c r="CW6" s="49" t="s">
        <v>43</v>
      </c>
      <c r="CX6" s="49" t="s">
        <v>43</v>
      </c>
      <c r="CY6" s="49" t="s">
        <v>51</v>
      </c>
      <c r="CZ6" s="49" t="s">
        <v>52</v>
      </c>
      <c r="DA6" s="50">
        <v>1990000</v>
      </c>
      <c r="DB6" s="50">
        <v>0</v>
      </c>
      <c r="DC6" s="50"/>
      <c r="DD6" s="50">
        <v>10000</v>
      </c>
      <c r="DE6" s="50">
        <v>-0.5</v>
      </c>
      <c r="DF6" s="50">
        <v>-5000</v>
      </c>
      <c r="DG6" s="50">
        <v>0</v>
      </c>
      <c r="DH6" s="50"/>
      <c r="DI6" s="50">
        <v>0</v>
      </c>
      <c r="DJ6" s="49" t="s">
        <v>44</v>
      </c>
      <c r="DK6" s="50">
        <v>210000</v>
      </c>
      <c r="DL6" s="50">
        <v>210000</v>
      </c>
      <c r="DM6" s="50">
        <v>1</v>
      </c>
      <c r="DN6" s="50">
        <v>0</v>
      </c>
      <c r="DO6" s="49" t="s">
        <v>43</v>
      </c>
      <c r="DP6" s="49" t="s">
        <v>36</v>
      </c>
      <c r="DQ6" s="49" t="s">
        <v>53</v>
      </c>
      <c r="DR6" s="49" t="s">
        <v>53</v>
      </c>
      <c r="DS6" s="49" t="s">
        <v>53</v>
      </c>
      <c r="DT6" s="49" t="s">
        <v>53</v>
      </c>
      <c r="DU6" s="49" t="s">
        <v>53</v>
      </c>
      <c r="DV6" s="49" t="s">
        <v>53</v>
      </c>
      <c r="DW6" s="49" t="s">
        <v>53</v>
      </c>
      <c r="DX6" s="49" t="s">
        <v>53</v>
      </c>
      <c r="DY6" s="49" t="s">
        <v>53</v>
      </c>
      <c r="DZ6" s="49" t="s">
        <v>19</v>
      </c>
      <c r="EA6" s="49" t="s">
        <v>53</v>
      </c>
      <c r="EB6" s="49" t="s">
        <v>53</v>
      </c>
      <c r="EC6" s="49" t="s">
        <v>53</v>
      </c>
      <c r="ED6" s="49" t="s">
        <v>42</v>
      </c>
      <c r="EE6" s="49" t="s">
        <v>53</v>
      </c>
      <c r="EF6" s="50">
        <v>0</v>
      </c>
      <c r="EG6" s="50">
        <v>0</v>
      </c>
      <c r="EH6" s="50">
        <v>0</v>
      </c>
      <c r="EI6" s="50">
        <v>0</v>
      </c>
      <c r="EJ6" s="50">
        <v>0</v>
      </c>
      <c r="EK6" s="50">
        <v>0</v>
      </c>
      <c r="EL6" s="49" t="s">
        <v>36</v>
      </c>
      <c r="EM6" s="50">
        <v>3980000</v>
      </c>
      <c r="EN6" s="50">
        <v>3980000</v>
      </c>
      <c r="EO6" s="50">
        <v>0</v>
      </c>
      <c r="EP6" s="50">
        <v>-50</v>
      </c>
      <c r="EQ6" s="50">
        <v>0</v>
      </c>
      <c r="ER6" s="50">
        <v>3980000</v>
      </c>
      <c r="ES6" s="50">
        <v>-20050</v>
      </c>
      <c r="ET6" s="50">
        <v>0</v>
      </c>
      <c r="EU6" s="50">
        <v>0</v>
      </c>
      <c r="EV6" s="49" t="s">
        <v>36</v>
      </c>
      <c r="EW6" s="50">
        <v>-50</v>
      </c>
      <c r="EX6" s="53" t="b">
        <v>0</v>
      </c>
      <c r="EY6" s="49" t="s">
        <v>43</v>
      </c>
      <c r="EZ6" s="49" t="s">
        <v>43</v>
      </c>
      <c r="FA6" s="36"/>
      <c r="FB6" s="36"/>
      <c r="FC6" s="36"/>
      <c r="FD6" s="36"/>
      <c r="FE6" s="36"/>
      <c r="FF6" s="36"/>
      <c r="FG6" s="36"/>
      <c r="FH6" s="36"/>
      <c r="FI6" s="36"/>
      <c r="FJ6" s="36"/>
    </row>
    <row r="7" spans="1:166" ht="15.75" customHeight="1">
      <c r="A7" s="34"/>
      <c r="B7" s="34"/>
      <c r="C7" s="49" t="s">
        <v>20</v>
      </c>
      <c r="D7" s="50">
        <v>-100</v>
      </c>
      <c r="E7" s="49" t="s">
        <v>24</v>
      </c>
      <c r="F7" s="49" t="s">
        <v>29</v>
      </c>
      <c r="G7" s="50">
        <v>30</v>
      </c>
      <c r="H7" s="49" t="s">
        <v>54</v>
      </c>
      <c r="I7" s="50">
        <v>-310000</v>
      </c>
      <c r="J7" s="50">
        <v>0</v>
      </c>
      <c r="K7" s="50">
        <v>-1340000</v>
      </c>
      <c r="L7" s="50">
        <v>1340000</v>
      </c>
      <c r="M7" s="50">
        <v>2680000</v>
      </c>
      <c r="N7" s="50">
        <v>0</v>
      </c>
      <c r="O7" s="49" t="s">
        <v>20</v>
      </c>
      <c r="P7" s="50">
        <v>31</v>
      </c>
      <c r="Q7" s="50">
        <v>-10000</v>
      </c>
      <c r="R7" s="49" t="s">
        <v>37</v>
      </c>
      <c r="S7" s="49" t="s">
        <v>38</v>
      </c>
      <c r="T7" s="49" t="s">
        <v>39</v>
      </c>
      <c r="U7" s="49" t="s">
        <v>40</v>
      </c>
      <c r="V7" s="49" t="s">
        <v>41</v>
      </c>
      <c r="W7" s="49" t="s">
        <v>42</v>
      </c>
      <c r="X7" s="50">
        <v>100</v>
      </c>
      <c r="Y7" s="50">
        <v>1</v>
      </c>
      <c r="Z7" s="49" t="s">
        <v>43</v>
      </c>
      <c r="AA7" s="49" t="s">
        <v>43</v>
      </c>
      <c r="AB7" s="50">
        <v>0</v>
      </c>
      <c r="AC7" s="50">
        <v>0</v>
      </c>
      <c r="AD7" s="50">
        <v>-1340000</v>
      </c>
      <c r="AE7" s="50">
        <v>-1340000</v>
      </c>
      <c r="AF7" s="50">
        <v>-10000</v>
      </c>
      <c r="AG7" s="50">
        <v>-1340000</v>
      </c>
      <c r="AH7" s="50">
        <v>-1340000</v>
      </c>
      <c r="AI7" s="50">
        <v>-1340000</v>
      </c>
      <c r="AJ7" s="51">
        <v>668329.18000000005</v>
      </c>
      <c r="AK7" s="50">
        <v>0</v>
      </c>
      <c r="AL7" s="50">
        <v>1</v>
      </c>
      <c r="AM7" s="50">
        <v>1</v>
      </c>
      <c r="AN7" s="49" t="s">
        <v>55</v>
      </c>
      <c r="AO7" s="49" t="s">
        <v>43</v>
      </c>
      <c r="AP7" s="49" t="s">
        <v>36</v>
      </c>
      <c r="AQ7" s="49" t="s">
        <v>18</v>
      </c>
      <c r="AR7" s="50">
        <v>134</v>
      </c>
      <c r="AS7" s="50">
        <v>-1</v>
      </c>
      <c r="AT7" s="49" t="s">
        <v>45</v>
      </c>
      <c r="AU7" s="49" t="s">
        <v>46</v>
      </c>
      <c r="AV7" s="50">
        <v>1</v>
      </c>
      <c r="AW7" s="50">
        <v>-10000</v>
      </c>
      <c r="AX7" s="50">
        <v>0</v>
      </c>
      <c r="AY7" s="50">
        <v>0</v>
      </c>
      <c r="AZ7" s="50">
        <v>-310000</v>
      </c>
      <c r="BA7" s="50">
        <v>0</v>
      </c>
      <c r="BB7" s="49"/>
      <c r="BC7" s="50">
        <v>1</v>
      </c>
      <c r="BD7" s="50">
        <v>0</v>
      </c>
      <c r="BE7" s="49" t="s">
        <v>47</v>
      </c>
      <c r="BF7" s="49" t="s">
        <v>48</v>
      </c>
      <c r="BG7" s="49" t="s">
        <v>48</v>
      </c>
      <c r="BH7" s="49" t="s">
        <v>48</v>
      </c>
      <c r="BI7" s="49" t="s">
        <v>48</v>
      </c>
      <c r="BJ7" s="50">
        <v>0</v>
      </c>
      <c r="BK7" s="50">
        <v>0</v>
      </c>
      <c r="BL7" s="50">
        <v>0</v>
      </c>
      <c r="BM7" s="50">
        <v>0</v>
      </c>
      <c r="BN7" s="49"/>
      <c r="BO7" s="50">
        <v>0</v>
      </c>
      <c r="BP7" s="50">
        <v>0</v>
      </c>
      <c r="BQ7" s="49" t="s">
        <v>49</v>
      </c>
      <c r="BR7" s="49" t="s">
        <v>25</v>
      </c>
      <c r="BS7" s="50">
        <v>0</v>
      </c>
      <c r="BT7" s="50">
        <v>0</v>
      </c>
      <c r="BU7" s="49" t="s">
        <v>50</v>
      </c>
      <c r="BV7" s="52">
        <v>219148</v>
      </c>
      <c r="BW7" s="50">
        <v>104</v>
      </c>
      <c r="BX7" s="50">
        <v>1340000</v>
      </c>
      <c r="BY7" s="50">
        <v>310000</v>
      </c>
      <c r="BZ7" s="50">
        <v>31</v>
      </c>
      <c r="CA7" s="50">
        <v>31</v>
      </c>
      <c r="CB7" s="49"/>
      <c r="CC7" s="50">
        <v>0</v>
      </c>
      <c r="CD7" s="50">
        <v>0</v>
      </c>
      <c r="CE7" s="50">
        <v>0</v>
      </c>
      <c r="CF7" s="50">
        <v>0</v>
      </c>
      <c r="CG7" s="50">
        <v>-10000</v>
      </c>
      <c r="CH7" s="51">
        <v>-3.33</v>
      </c>
      <c r="CI7" s="50">
        <v>1340000</v>
      </c>
      <c r="CJ7" s="50">
        <v>0</v>
      </c>
      <c r="CK7" s="53" t="b">
        <v>0</v>
      </c>
      <c r="CL7" s="49" t="s">
        <v>43</v>
      </c>
      <c r="CM7" s="49" t="s">
        <v>43</v>
      </c>
      <c r="CN7" s="49" t="s">
        <v>43</v>
      </c>
      <c r="CO7" s="49" t="s">
        <v>43</v>
      </c>
      <c r="CP7" s="49" t="s">
        <v>43</v>
      </c>
      <c r="CQ7" s="49" t="s">
        <v>43</v>
      </c>
      <c r="CR7" s="50"/>
      <c r="CS7" s="50">
        <v>30</v>
      </c>
      <c r="CT7" s="49" t="s">
        <v>43</v>
      </c>
      <c r="CU7" s="49" t="s">
        <v>43</v>
      </c>
      <c r="CV7" s="49" t="s">
        <v>43</v>
      </c>
      <c r="CW7" s="49" t="s">
        <v>43</v>
      </c>
      <c r="CX7" s="49" t="s">
        <v>43</v>
      </c>
      <c r="CY7" s="49" t="s">
        <v>51</v>
      </c>
      <c r="CZ7" s="49" t="s">
        <v>52</v>
      </c>
      <c r="DA7" s="50">
        <v>1340000</v>
      </c>
      <c r="DB7" s="50">
        <v>0</v>
      </c>
      <c r="DC7" s="50"/>
      <c r="DD7" s="50">
        <v>-10000</v>
      </c>
      <c r="DE7" s="50">
        <v>1</v>
      </c>
      <c r="DF7" s="50">
        <v>-10000</v>
      </c>
      <c r="DG7" s="50">
        <v>0</v>
      </c>
      <c r="DH7" s="49"/>
      <c r="DI7" s="50">
        <v>0</v>
      </c>
      <c r="DJ7" s="49" t="s">
        <v>55</v>
      </c>
      <c r="DK7" s="50">
        <v>-310000</v>
      </c>
      <c r="DL7" s="50">
        <v>-310000</v>
      </c>
      <c r="DM7" s="50">
        <v>1</v>
      </c>
      <c r="DN7" s="50">
        <v>134</v>
      </c>
      <c r="DO7" s="49" t="s">
        <v>43</v>
      </c>
      <c r="DP7" s="49" t="s">
        <v>54</v>
      </c>
      <c r="DQ7" s="49" t="s">
        <v>53</v>
      </c>
      <c r="DR7" s="49" t="s">
        <v>53</v>
      </c>
      <c r="DS7" s="49" t="s">
        <v>53</v>
      </c>
      <c r="DT7" s="49" t="s">
        <v>53</v>
      </c>
      <c r="DU7" s="49" t="s">
        <v>53</v>
      </c>
      <c r="DV7" s="49" t="s">
        <v>53</v>
      </c>
      <c r="DW7" s="49" t="s">
        <v>53</v>
      </c>
      <c r="DX7" s="49" t="s">
        <v>53</v>
      </c>
      <c r="DY7" s="49" t="s">
        <v>53</v>
      </c>
      <c r="DZ7" s="49" t="s">
        <v>20</v>
      </c>
      <c r="EA7" s="49" t="s">
        <v>53</v>
      </c>
      <c r="EB7" s="49" t="s">
        <v>53</v>
      </c>
      <c r="EC7" s="49" t="s">
        <v>53</v>
      </c>
      <c r="ED7" s="49" t="s">
        <v>42</v>
      </c>
      <c r="EE7" s="49" t="s">
        <v>53</v>
      </c>
      <c r="EF7" s="50">
        <v>0</v>
      </c>
      <c r="EG7" s="50">
        <v>0</v>
      </c>
      <c r="EH7" s="50">
        <v>0</v>
      </c>
      <c r="EI7" s="50">
        <v>0</v>
      </c>
      <c r="EJ7" s="50">
        <v>0</v>
      </c>
      <c r="EK7" s="50">
        <v>0</v>
      </c>
      <c r="EL7" s="49" t="s">
        <v>54</v>
      </c>
      <c r="EM7" s="50">
        <v>2680000</v>
      </c>
      <c r="EN7" s="50">
        <v>2680000</v>
      </c>
      <c r="EO7" s="50">
        <v>0</v>
      </c>
      <c r="EP7" s="50">
        <v>-50</v>
      </c>
      <c r="EQ7" s="50">
        <v>0</v>
      </c>
      <c r="ER7" s="50">
        <v>2680000</v>
      </c>
      <c r="ES7" s="50">
        <v>-20050</v>
      </c>
      <c r="ET7" s="50">
        <v>0</v>
      </c>
      <c r="EU7" s="50">
        <v>0</v>
      </c>
      <c r="EV7" s="49" t="s">
        <v>54</v>
      </c>
      <c r="EW7" s="50">
        <v>-50</v>
      </c>
      <c r="EX7" s="53" t="b">
        <v>0</v>
      </c>
      <c r="EY7" s="49" t="s">
        <v>43</v>
      </c>
      <c r="EZ7" s="49" t="s">
        <v>43</v>
      </c>
      <c r="FA7" s="36"/>
      <c r="FB7" s="36"/>
      <c r="FC7" s="36"/>
      <c r="FD7" s="36"/>
      <c r="FE7" s="36"/>
      <c r="FF7" s="36"/>
      <c r="FG7" s="36"/>
      <c r="FH7" s="36"/>
      <c r="FI7" s="36"/>
      <c r="FJ7" s="36"/>
    </row>
    <row r="8" spans="1:166" ht="15.75" customHeight="1">
      <c r="A8" s="34"/>
      <c r="B8" s="34"/>
      <c r="C8" s="49" t="s">
        <v>19</v>
      </c>
      <c r="D8" s="50">
        <v>100</v>
      </c>
      <c r="E8" s="49" t="s">
        <v>30</v>
      </c>
      <c r="F8" s="49" t="s">
        <v>56</v>
      </c>
      <c r="G8" s="50">
        <v>25</v>
      </c>
      <c r="H8" s="49" t="s">
        <v>36</v>
      </c>
      <c r="I8" s="50">
        <v>210000</v>
      </c>
      <c r="J8" s="51">
        <v>-19.05</v>
      </c>
      <c r="K8" s="50">
        <v>1990000</v>
      </c>
      <c r="L8" s="50">
        <v>1990000</v>
      </c>
      <c r="M8" s="50">
        <v>3980000</v>
      </c>
      <c r="N8" s="50">
        <v>-40000</v>
      </c>
      <c r="O8" s="49" t="s">
        <v>19</v>
      </c>
      <c r="P8" s="50">
        <v>21</v>
      </c>
      <c r="Q8" s="50">
        <v>-40000</v>
      </c>
      <c r="R8" s="49" t="s">
        <v>57</v>
      </c>
      <c r="S8" s="49" t="s">
        <v>38</v>
      </c>
      <c r="T8" s="49" t="s">
        <v>39</v>
      </c>
      <c r="U8" s="49" t="s">
        <v>40</v>
      </c>
      <c r="V8" s="49" t="s">
        <v>41</v>
      </c>
      <c r="W8" s="49" t="s">
        <v>42</v>
      </c>
      <c r="X8" s="50">
        <v>100</v>
      </c>
      <c r="Y8" s="50">
        <v>1</v>
      </c>
      <c r="Z8" s="49" t="s">
        <v>43</v>
      </c>
      <c r="AA8" s="49" t="s">
        <v>43</v>
      </c>
      <c r="AB8" s="50">
        <v>0</v>
      </c>
      <c r="AC8" s="50">
        <v>0</v>
      </c>
      <c r="AD8" s="50">
        <v>1990000</v>
      </c>
      <c r="AE8" s="50">
        <v>1990000</v>
      </c>
      <c r="AF8" s="50">
        <v>10000</v>
      </c>
      <c r="AG8" s="50">
        <v>1990000</v>
      </c>
      <c r="AH8" s="50">
        <v>1990000</v>
      </c>
      <c r="AI8" s="50">
        <v>1990000</v>
      </c>
      <c r="AJ8" s="51">
        <v>-992518.7</v>
      </c>
      <c r="AK8" s="50">
        <v>-40000</v>
      </c>
      <c r="AL8" s="50">
        <v>1</v>
      </c>
      <c r="AM8" s="50">
        <v>1</v>
      </c>
      <c r="AN8" s="49" t="s">
        <v>44</v>
      </c>
      <c r="AO8" s="49" t="s">
        <v>43</v>
      </c>
      <c r="AP8" s="49" t="s">
        <v>36</v>
      </c>
      <c r="AQ8" s="49" t="s">
        <v>17</v>
      </c>
      <c r="AR8" s="50">
        <v>199</v>
      </c>
      <c r="AS8" s="50">
        <v>1</v>
      </c>
      <c r="AT8" s="49" t="s">
        <v>45</v>
      </c>
      <c r="AU8" s="49" t="s">
        <v>46</v>
      </c>
      <c r="AV8" s="50">
        <v>1</v>
      </c>
      <c r="AW8" s="50">
        <v>-40000</v>
      </c>
      <c r="AX8" s="50">
        <v>0</v>
      </c>
      <c r="AY8" s="50">
        <v>0</v>
      </c>
      <c r="AZ8" s="50">
        <v>210000</v>
      </c>
      <c r="BA8" s="50">
        <v>-16</v>
      </c>
      <c r="BB8" s="49"/>
      <c r="BC8" s="50">
        <v>1</v>
      </c>
      <c r="BD8" s="50">
        <v>-250000</v>
      </c>
      <c r="BE8" s="49" t="s">
        <v>47</v>
      </c>
      <c r="BF8" s="49" t="s">
        <v>48</v>
      </c>
      <c r="BG8" s="49" t="s">
        <v>48</v>
      </c>
      <c r="BH8" s="49" t="s">
        <v>48</v>
      </c>
      <c r="BI8" s="49" t="s">
        <v>48</v>
      </c>
      <c r="BJ8" s="50">
        <v>0</v>
      </c>
      <c r="BK8" s="50">
        <v>0</v>
      </c>
      <c r="BL8" s="50">
        <v>0</v>
      </c>
      <c r="BM8" s="50">
        <v>0</v>
      </c>
      <c r="BN8" s="49"/>
      <c r="BO8" s="50">
        <v>-250000</v>
      </c>
      <c r="BP8" s="50">
        <v>0</v>
      </c>
      <c r="BQ8" s="49" t="s">
        <v>49</v>
      </c>
      <c r="BR8" s="49" t="s">
        <v>25</v>
      </c>
      <c r="BS8" s="50">
        <v>0</v>
      </c>
      <c r="BT8" s="50">
        <v>0</v>
      </c>
      <c r="BU8" s="49" t="s">
        <v>50</v>
      </c>
      <c r="BV8" s="52">
        <v>219148</v>
      </c>
      <c r="BW8" s="50">
        <v>177.5</v>
      </c>
      <c r="BX8" s="50">
        <v>1990000</v>
      </c>
      <c r="BY8" s="50">
        <v>210000</v>
      </c>
      <c r="BZ8" s="50">
        <v>21</v>
      </c>
      <c r="CA8" s="50">
        <v>21</v>
      </c>
      <c r="CB8" s="49"/>
      <c r="CC8" s="50">
        <v>0</v>
      </c>
      <c r="CD8" s="50">
        <v>-40000</v>
      </c>
      <c r="CE8" s="50">
        <v>0</v>
      </c>
      <c r="CF8" s="50">
        <v>0</v>
      </c>
      <c r="CG8" s="50">
        <v>-40000</v>
      </c>
      <c r="CH8" s="50">
        <v>-16</v>
      </c>
      <c r="CI8" s="50">
        <v>1990000</v>
      </c>
      <c r="CJ8" s="50">
        <v>0</v>
      </c>
      <c r="CK8" s="53" t="b">
        <v>0</v>
      </c>
      <c r="CL8" s="49" t="s">
        <v>43</v>
      </c>
      <c r="CM8" s="49" t="s">
        <v>43</v>
      </c>
      <c r="CN8" s="49" t="s">
        <v>43</v>
      </c>
      <c r="CO8" s="49" t="s">
        <v>43</v>
      </c>
      <c r="CP8" s="49" t="s">
        <v>43</v>
      </c>
      <c r="CQ8" s="49" t="s">
        <v>43</v>
      </c>
      <c r="CR8" s="50"/>
      <c r="CS8" s="50">
        <v>25</v>
      </c>
      <c r="CT8" s="49" t="s">
        <v>43</v>
      </c>
      <c r="CU8" s="49" t="s">
        <v>43</v>
      </c>
      <c r="CV8" s="49" t="s">
        <v>43</v>
      </c>
      <c r="CW8" s="49" t="s">
        <v>43</v>
      </c>
      <c r="CX8" s="49" t="s">
        <v>43</v>
      </c>
      <c r="CY8" s="49" t="s">
        <v>51</v>
      </c>
      <c r="CZ8" s="49" t="s">
        <v>52</v>
      </c>
      <c r="DA8" s="50">
        <v>1990000</v>
      </c>
      <c r="DB8" s="51">
        <v>-19.05</v>
      </c>
      <c r="DC8" s="50"/>
      <c r="DD8" s="50">
        <v>10000</v>
      </c>
      <c r="DE8" s="50">
        <v>-0.5</v>
      </c>
      <c r="DF8" s="50">
        <v>-5000</v>
      </c>
      <c r="DG8" s="50">
        <v>0</v>
      </c>
      <c r="DH8" s="50"/>
      <c r="DI8" s="50">
        <v>0</v>
      </c>
      <c r="DJ8" s="49" t="s">
        <v>44</v>
      </c>
      <c r="DK8" s="50">
        <v>0</v>
      </c>
      <c r="DL8" s="50">
        <v>0</v>
      </c>
      <c r="DM8" s="50">
        <v>1</v>
      </c>
      <c r="DN8" s="50">
        <v>0</v>
      </c>
      <c r="DO8" s="49" t="s">
        <v>43</v>
      </c>
      <c r="DP8" s="49" t="s">
        <v>36</v>
      </c>
      <c r="DQ8" s="49" t="s">
        <v>53</v>
      </c>
      <c r="DR8" s="49" t="s">
        <v>53</v>
      </c>
      <c r="DS8" s="49" t="s">
        <v>53</v>
      </c>
      <c r="DT8" s="49" t="s">
        <v>53</v>
      </c>
      <c r="DU8" s="49" t="s">
        <v>53</v>
      </c>
      <c r="DV8" s="49" t="s">
        <v>53</v>
      </c>
      <c r="DW8" s="49" t="s">
        <v>53</v>
      </c>
      <c r="DX8" s="49" t="s">
        <v>53</v>
      </c>
      <c r="DY8" s="49" t="s">
        <v>53</v>
      </c>
      <c r="DZ8" s="49" t="s">
        <v>19</v>
      </c>
      <c r="EA8" s="49" t="s">
        <v>53</v>
      </c>
      <c r="EB8" s="49" t="s">
        <v>53</v>
      </c>
      <c r="EC8" s="49" t="s">
        <v>53</v>
      </c>
      <c r="ED8" s="49" t="s">
        <v>42</v>
      </c>
      <c r="EE8" s="49" t="s">
        <v>53</v>
      </c>
      <c r="EF8" s="50">
        <v>0</v>
      </c>
      <c r="EG8" s="50">
        <v>0</v>
      </c>
      <c r="EH8" s="50">
        <v>0</v>
      </c>
      <c r="EI8" s="50">
        <v>0</v>
      </c>
      <c r="EJ8" s="50">
        <v>0</v>
      </c>
      <c r="EK8" s="50">
        <v>0</v>
      </c>
      <c r="EL8" s="49" t="s">
        <v>36</v>
      </c>
      <c r="EM8" s="50">
        <v>3980000</v>
      </c>
      <c r="EN8" s="50">
        <v>3980000</v>
      </c>
      <c r="EO8" s="50">
        <v>0</v>
      </c>
      <c r="EP8" s="50">
        <v>-50</v>
      </c>
      <c r="EQ8" s="50">
        <v>0</v>
      </c>
      <c r="ER8" s="50">
        <v>3980000</v>
      </c>
      <c r="ES8" s="50">
        <v>-20050</v>
      </c>
      <c r="ET8" s="50">
        <v>0</v>
      </c>
      <c r="EU8" s="50">
        <v>0</v>
      </c>
      <c r="EV8" s="49" t="s">
        <v>36</v>
      </c>
      <c r="EW8" s="50">
        <v>-20000</v>
      </c>
      <c r="EX8" s="53" t="b">
        <v>0</v>
      </c>
      <c r="EY8" s="49" t="s">
        <v>43</v>
      </c>
      <c r="EZ8" s="49" t="s">
        <v>43</v>
      </c>
      <c r="FA8" s="36"/>
      <c r="FB8" s="36"/>
      <c r="FC8" s="36"/>
      <c r="FD8" s="36"/>
      <c r="FE8" s="36"/>
      <c r="FF8" s="36"/>
      <c r="FG8" s="36"/>
      <c r="FH8" s="36"/>
      <c r="FI8" s="36"/>
      <c r="FJ8" s="36"/>
    </row>
    <row r="9" spans="1:166" ht="15.75" customHeight="1">
      <c r="A9" s="34"/>
      <c r="B9" s="34"/>
      <c r="C9" s="49" t="s">
        <v>20</v>
      </c>
      <c r="D9" s="50">
        <v>-100</v>
      </c>
      <c r="E9" s="49" t="s">
        <v>30</v>
      </c>
      <c r="F9" s="49" t="s">
        <v>56</v>
      </c>
      <c r="G9" s="50">
        <v>33</v>
      </c>
      <c r="H9" s="49" t="s">
        <v>54</v>
      </c>
      <c r="I9" s="50">
        <v>-310000</v>
      </c>
      <c r="J9" s="51">
        <v>6.45</v>
      </c>
      <c r="K9" s="50">
        <v>-1340000</v>
      </c>
      <c r="L9" s="50">
        <v>1340000</v>
      </c>
      <c r="M9" s="50">
        <v>2680000</v>
      </c>
      <c r="N9" s="50">
        <v>20000</v>
      </c>
      <c r="O9" s="49" t="s">
        <v>20</v>
      </c>
      <c r="P9" s="50">
        <v>31</v>
      </c>
      <c r="Q9" s="50">
        <v>20000</v>
      </c>
      <c r="R9" s="49" t="s">
        <v>57</v>
      </c>
      <c r="S9" s="49" t="s">
        <v>38</v>
      </c>
      <c r="T9" s="49" t="s">
        <v>39</v>
      </c>
      <c r="U9" s="49" t="s">
        <v>40</v>
      </c>
      <c r="V9" s="49" t="s">
        <v>41</v>
      </c>
      <c r="W9" s="49" t="s">
        <v>42</v>
      </c>
      <c r="X9" s="50">
        <v>100</v>
      </c>
      <c r="Y9" s="50">
        <v>1</v>
      </c>
      <c r="Z9" s="49" t="s">
        <v>43</v>
      </c>
      <c r="AA9" s="49" t="s">
        <v>43</v>
      </c>
      <c r="AB9" s="50">
        <v>0</v>
      </c>
      <c r="AC9" s="50">
        <v>0</v>
      </c>
      <c r="AD9" s="50">
        <v>-1340000</v>
      </c>
      <c r="AE9" s="50">
        <v>-1340000</v>
      </c>
      <c r="AF9" s="50">
        <v>-10000</v>
      </c>
      <c r="AG9" s="50">
        <v>-1340000</v>
      </c>
      <c r="AH9" s="50">
        <v>-1340000</v>
      </c>
      <c r="AI9" s="50">
        <v>-1340000</v>
      </c>
      <c r="AJ9" s="51">
        <v>668329.18000000005</v>
      </c>
      <c r="AK9" s="50">
        <v>20000</v>
      </c>
      <c r="AL9" s="50">
        <v>1</v>
      </c>
      <c r="AM9" s="50">
        <v>1</v>
      </c>
      <c r="AN9" s="49" t="s">
        <v>55</v>
      </c>
      <c r="AO9" s="49" t="s">
        <v>43</v>
      </c>
      <c r="AP9" s="49" t="s">
        <v>36</v>
      </c>
      <c r="AQ9" s="49" t="s">
        <v>18</v>
      </c>
      <c r="AR9" s="50">
        <v>134</v>
      </c>
      <c r="AS9" s="50">
        <v>-1</v>
      </c>
      <c r="AT9" s="49" t="s">
        <v>45</v>
      </c>
      <c r="AU9" s="49" t="s">
        <v>46</v>
      </c>
      <c r="AV9" s="50">
        <v>1</v>
      </c>
      <c r="AW9" s="50">
        <v>20000</v>
      </c>
      <c r="AX9" s="50">
        <v>0</v>
      </c>
      <c r="AY9" s="50">
        <v>0</v>
      </c>
      <c r="AZ9" s="50">
        <v>-310000</v>
      </c>
      <c r="BA9" s="51">
        <v>6.06</v>
      </c>
      <c r="BB9" s="49"/>
      <c r="BC9" s="50">
        <v>1</v>
      </c>
      <c r="BD9" s="50">
        <v>330000</v>
      </c>
      <c r="BE9" s="49" t="s">
        <v>47</v>
      </c>
      <c r="BF9" s="49" t="s">
        <v>48</v>
      </c>
      <c r="BG9" s="49" t="s">
        <v>48</v>
      </c>
      <c r="BH9" s="49" t="s">
        <v>48</v>
      </c>
      <c r="BI9" s="49" t="s">
        <v>48</v>
      </c>
      <c r="BJ9" s="50">
        <v>0</v>
      </c>
      <c r="BK9" s="50">
        <v>0</v>
      </c>
      <c r="BL9" s="50">
        <v>0</v>
      </c>
      <c r="BM9" s="50">
        <v>0</v>
      </c>
      <c r="BN9" s="49"/>
      <c r="BO9" s="50">
        <v>330000</v>
      </c>
      <c r="BP9" s="50">
        <v>0</v>
      </c>
      <c r="BQ9" s="49" t="s">
        <v>49</v>
      </c>
      <c r="BR9" s="49" t="s">
        <v>25</v>
      </c>
      <c r="BS9" s="50">
        <v>0</v>
      </c>
      <c r="BT9" s="50">
        <v>0</v>
      </c>
      <c r="BU9" s="49" t="s">
        <v>50</v>
      </c>
      <c r="BV9" s="52">
        <v>219148</v>
      </c>
      <c r="BW9" s="50">
        <v>104</v>
      </c>
      <c r="BX9" s="50">
        <v>1340000</v>
      </c>
      <c r="BY9" s="50">
        <v>310000</v>
      </c>
      <c r="BZ9" s="50">
        <v>31</v>
      </c>
      <c r="CA9" s="50">
        <v>31</v>
      </c>
      <c r="CB9" s="49"/>
      <c r="CC9" s="50">
        <v>0</v>
      </c>
      <c r="CD9" s="50">
        <v>20000</v>
      </c>
      <c r="CE9" s="50">
        <v>0</v>
      </c>
      <c r="CF9" s="50">
        <v>0</v>
      </c>
      <c r="CG9" s="50">
        <v>20000</v>
      </c>
      <c r="CH9" s="51">
        <v>6.06</v>
      </c>
      <c r="CI9" s="50">
        <v>1340000</v>
      </c>
      <c r="CJ9" s="50">
        <v>0</v>
      </c>
      <c r="CK9" s="53" t="b">
        <v>0</v>
      </c>
      <c r="CL9" s="49" t="s">
        <v>43</v>
      </c>
      <c r="CM9" s="49" t="s">
        <v>43</v>
      </c>
      <c r="CN9" s="49" t="s">
        <v>43</v>
      </c>
      <c r="CO9" s="49" t="s">
        <v>43</v>
      </c>
      <c r="CP9" s="49" t="s">
        <v>43</v>
      </c>
      <c r="CQ9" s="49" t="s">
        <v>43</v>
      </c>
      <c r="CR9" s="50"/>
      <c r="CS9" s="50">
        <v>33</v>
      </c>
      <c r="CT9" s="49" t="s">
        <v>43</v>
      </c>
      <c r="CU9" s="49" t="s">
        <v>43</v>
      </c>
      <c r="CV9" s="49" t="s">
        <v>43</v>
      </c>
      <c r="CW9" s="49" t="s">
        <v>43</v>
      </c>
      <c r="CX9" s="49" t="s">
        <v>43</v>
      </c>
      <c r="CY9" s="49" t="s">
        <v>51</v>
      </c>
      <c r="CZ9" s="49" t="s">
        <v>52</v>
      </c>
      <c r="DA9" s="50">
        <v>1340000</v>
      </c>
      <c r="DB9" s="51">
        <v>-6.45</v>
      </c>
      <c r="DC9" s="50"/>
      <c r="DD9" s="50">
        <v>-10000</v>
      </c>
      <c r="DE9" s="50">
        <v>1</v>
      </c>
      <c r="DF9" s="50">
        <v>-10000</v>
      </c>
      <c r="DG9" s="50">
        <v>0</v>
      </c>
      <c r="DH9" s="49"/>
      <c r="DI9" s="50">
        <v>0</v>
      </c>
      <c r="DJ9" s="49" t="s">
        <v>55</v>
      </c>
      <c r="DK9" s="50">
        <v>0</v>
      </c>
      <c r="DL9" s="50">
        <v>0</v>
      </c>
      <c r="DM9" s="50">
        <v>1</v>
      </c>
      <c r="DN9" s="50">
        <v>134</v>
      </c>
      <c r="DO9" s="49" t="s">
        <v>43</v>
      </c>
      <c r="DP9" s="49" t="s">
        <v>54</v>
      </c>
      <c r="DQ9" s="49" t="s">
        <v>53</v>
      </c>
      <c r="DR9" s="49" t="s">
        <v>53</v>
      </c>
      <c r="DS9" s="49" t="s">
        <v>53</v>
      </c>
      <c r="DT9" s="49" t="s">
        <v>53</v>
      </c>
      <c r="DU9" s="49" t="s">
        <v>53</v>
      </c>
      <c r="DV9" s="49" t="s">
        <v>53</v>
      </c>
      <c r="DW9" s="49" t="s">
        <v>53</v>
      </c>
      <c r="DX9" s="49" t="s">
        <v>53</v>
      </c>
      <c r="DY9" s="49" t="s">
        <v>53</v>
      </c>
      <c r="DZ9" s="49" t="s">
        <v>20</v>
      </c>
      <c r="EA9" s="49" t="s">
        <v>53</v>
      </c>
      <c r="EB9" s="49" t="s">
        <v>53</v>
      </c>
      <c r="EC9" s="49" t="s">
        <v>53</v>
      </c>
      <c r="ED9" s="49" t="s">
        <v>42</v>
      </c>
      <c r="EE9" s="49" t="s">
        <v>53</v>
      </c>
      <c r="EF9" s="50">
        <v>0</v>
      </c>
      <c r="EG9" s="50">
        <v>0</v>
      </c>
      <c r="EH9" s="50">
        <v>0</v>
      </c>
      <c r="EI9" s="50">
        <v>0</v>
      </c>
      <c r="EJ9" s="50">
        <v>0</v>
      </c>
      <c r="EK9" s="50">
        <v>0</v>
      </c>
      <c r="EL9" s="49" t="s">
        <v>54</v>
      </c>
      <c r="EM9" s="50">
        <v>2680000</v>
      </c>
      <c r="EN9" s="50">
        <v>2680000</v>
      </c>
      <c r="EO9" s="50">
        <v>0</v>
      </c>
      <c r="EP9" s="50">
        <v>-50</v>
      </c>
      <c r="EQ9" s="50">
        <v>0</v>
      </c>
      <c r="ER9" s="50">
        <v>2680000</v>
      </c>
      <c r="ES9" s="50">
        <v>-20050</v>
      </c>
      <c r="ET9" s="50">
        <v>0</v>
      </c>
      <c r="EU9" s="50">
        <v>0</v>
      </c>
      <c r="EV9" s="49" t="s">
        <v>54</v>
      </c>
      <c r="EW9" s="50">
        <v>-20000</v>
      </c>
      <c r="EX9" s="53" t="b">
        <v>0</v>
      </c>
      <c r="EY9" s="49" t="s">
        <v>43</v>
      </c>
      <c r="EZ9" s="49" t="s">
        <v>43</v>
      </c>
      <c r="FA9" s="36"/>
      <c r="FB9" s="36"/>
      <c r="FC9" s="36"/>
      <c r="FD9" s="36"/>
      <c r="FE9" s="36"/>
      <c r="FF9" s="36"/>
      <c r="FG9" s="36"/>
      <c r="FH9" s="36"/>
      <c r="FI9" s="36"/>
      <c r="FJ9" s="36"/>
    </row>
    <row r="10" spans="1:166" ht="15.7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</row>
    <row r="11" spans="1:166" ht="15.75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</row>
    <row r="12" spans="1:166" ht="15.7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</row>
    <row r="13" spans="1:166" ht="15.7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</row>
    <row r="14" spans="1:166" ht="15.7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</row>
    <row r="15" spans="1:166" ht="15.7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</row>
    <row r="16" spans="1:16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</row>
    <row r="17" spans="1:166" ht="15.7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</row>
    <row r="18" spans="1:166" ht="15.7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</row>
    <row r="19" spans="1:166" ht="15.7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</row>
    <row r="20" spans="1:166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</row>
    <row r="21" spans="1:166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</row>
    <row r="22" spans="1:166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</row>
    <row r="23" spans="1:166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</row>
    <row r="24" spans="1:166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</row>
    <row r="25" spans="1:166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</row>
    <row r="26" spans="1:16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</row>
    <row r="27" spans="1:166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</row>
    <row r="28" spans="1:166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</row>
    <row r="29" spans="1:166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</row>
    <row r="30" spans="1:166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</row>
    <row r="31" spans="1:166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</row>
    <row r="32" spans="1:166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</row>
    <row r="33" spans="1:166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</row>
    <row r="34" spans="1:166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</row>
    <row r="35" spans="1:166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</row>
    <row r="36" spans="1:16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</row>
    <row r="37" spans="1:166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</row>
    <row r="38" spans="1:166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</row>
    <row r="39" spans="1:166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</row>
    <row r="40" spans="1:166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</row>
    <row r="41" spans="1:166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</row>
    <row r="42" spans="1:166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</row>
    <row r="43" spans="1:166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</row>
    <row r="44" spans="1:166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</row>
    <row r="45" spans="1:166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</row>
    <row r="46" spans="1:16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</row>
    <row r="47" spans="1:166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</row>
    <row r="48" spans="1:166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</row>
    <row r="49" spans="1:166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</row>
    <row r="50" spans="1:166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</row>
    <row r="51" spans="1:166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</row>
    <row r="52" spans="1:166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</row>
    <row r="53" spans="1:166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/>
      <c r="FH53" s="36"/>
      <c r="FI53" s="36"/>
      <c r="FJ53" s="36"/>
    </row>
    <row r="54" spans="1:166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  <c r="EF54" s="36"/>
      <c r="EG54" s="36"/>
      <c r="EH54" s="36"/>
      <c r="EI54" s="36"/>
      <c r="EJ54" s="36"/>
      <c r="EK54" s="36"/>
      <c r="EL54" s="36"/>
      <c r="EM54" s="36"/>
      <c r="EN54" s="36"/>
      <c r="EO54" s="36"/>
      <c r="EP54" s="36"/>
      <c r="EQ54" s="36"/>
      <c r="ER54" s="36"/>
      <c r="ES54" s="36"/>
      <c r="ET54" s="36"/>
      <c r="EU54" s="36"/>
      <c r="EV54" s="36"/>
      <c r="EW54" s="36"/>
      <c r="EX54" s="36"/>
      <c r="EY54" s="36"/>
      <c r="EZ54" s="36"/>
      <c r="FA54" s="36"/>
      <c r="FB54" s="36"/>
      <c r="FC54" s="36"/>
      <c r="FD54" s="36"/>
      <c r="FE54" s="36"/>
      <c r="FF54" s="36"/>
      <c r="FG54" s="36"/>
      <c r="FH54" s="36"/>
      <c r="FI54" s="36"/>
      <c r="FJ54" s="36"/>
    </row>
    <row r="55" spans="1:166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/>
      <c r="DO55" s="36"/>
      <c r="DP55" s="36"/>
      <c r="DQ55" s="36"/>
      <c r="DR55" s="36"/>
      <c r="DS55" s="36"/>
      <c r="DT55" s="36"/>
      <c r="DU55" s="36"/>
      <c r="DV55" s="36"/>
      <c r="DW55" s="36"/>
      <c r="DX55" s="36"/>
      <c r="DY55" s="36"/>
      <c r="DZ55" s="36"/>
      <c r="EA55" s="36"/>
      <c r="EB55" s="36"/>
      <c r="EC55" s="36"/>
      <c r="ED55" s="36"/>
      <c r="EE55" s="36"/>
      <c r="EF55" s="36"/>
      <c r="EG55" s="36"/>
      <c r="EH55" s="36"/>
      <c r="EI55" s="36"/>
      <c r="EJ55" s="36"/>
      <c r="EK55" s="36"/>
      <c r="EL55" s="36"/>
      <c r="EM55" s="36"/>
      <c r="EN55" s="36"/>
      <c r="EO55" s="36"/>
      <c r="EP55" s="36"/>
      <c r="EQ55" s="36"/>
      <c r="ER55" s="36"/>
      <c r="ES55" s="36"/>
      <c r="ET55" s="36"/>
      <c r="EU55" s="36"/>
      <c r="EV55" s="36"/>
      <c r="EW55" s="36"/>
      <c r="EX55" s="36"/>
      <c r="EY55" s="36"/>
      <c r="EZ55" s="36"/>
      <c r="FA55" s="36"/>
      <c r="FB55" s="36"/>
      <c r="FC55" s="36"/>
      <c r="FD55" s="36"/>
      <c r="FE55" s="36"/>
      <c r="FF55" s="36"/>
      <c r="FG55" s="36"/>
      <c r="FH55" s="36"/>
      <c r="FI55" s="36"/>
      <c r="FJ55" s="36"/>
    </row>
    <row r="56" spans="1:16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  <c r="DM56" s="36"/>
      <c r="DN56" s="36"/>
      <c r="DO56" s="36"/>
      <c r="DP56" s="36"/>
      <c r="DQ56" s="36"/>
      <c r="DR56" s="36"/>
      <c r="DS56" s="36"/>
      <c r="DT56" s="36"/>
      <c r="DU56" s="36"/>
      <c r="DV56" s="36"/>
      <c r="DW56" s="36"/>
      <c r="DX56" s="36"/>
      <c r="DY56" s="36"/>
      <c r="DZ56" s="36"/>
      <c r="EA56" s="36"/>
      <c r="EB56" s="36"/>
      <c r="EC56" s="36"/>
      <c r="ED56" s="36"/>
      <c r="EE56" s="36"/>
      <c r="EF56" s="36"/>
      <c r="EG56" s="36"/>
      <c r="EH56" s="36"/>
      <c r="EI56" s="36"/>
      <c r="EJ56" s="36"/>
      <c r="EK56" s="36"/>
      <c r="EL56" s="36"/>
      <c r="EM56" s="36"/>
      <c r="EN56" s="36"/>
      <c r="EO56" s="36"/>
      <c r="EP56" s="36"/>
      <c r="EQ56" s="36"/>
      <c r="ER56" s="36"/>
      <c r="ES56" s="36"/>
      <c r="ET56" s="36"/>
      <c r="EU56" s="36"/>
      <c r="EV56" s="36"/>
      <c r="EW56" s="36"/>
      <c r="EX56" s="36"/>
      <c r="EY56" s="36"/>
      <c r="EZ56" s="36"/>
      <c r="FA56" s="36"/>
      <c r="FB56" s="36"/>
      <c r="FC56" s="36"/>
      <c r="FD56" s="36"/>
      <c r="FE56" s="36"/>
      <c r="FF56" s="36"/>
      <c r="FG56" s="36"/>
      <c r="FH56" s="36"/>
      <c r="FI56" s="36"/>
      <c r="FJ56" s="36"/>
    </row>
    <row r="57" spans="1:166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6"/>
      <c r="DE57" s="36"/>
      <c r="DF57" s="36"/>
      <c r="DG57" s="36"/>
      <c r="DH57" s="36"/>
      <c r="DI57" s="36"/>
      <c r="DJ57" s="36"/>
      <c r="DK57" s="36"/>
      <c r="DL57" s="36"/>
      <c r="DM57" s="36"/>
      <c r="DN57" s="36"/>
      <c r="DO57" s="36"/>
      <c r="DP57" s="36"/>
      <c r="DQ57" s="36"/>
      <c r="DR57" s="36"/>
      <c r="DS57" s="36"/>
      <c r="DT57" s="36"/>
      <c r="DU57" s="36"/>
      <c r="DV57" s="36"/>
      <c r="DW57" s="36"/>
      <c r="DX57" s="36"/>
      <c r="DY57" s="36"/>
      <c r="DZ57" s="36"/>
      <c r="EA57" s="36"/>
      <c r="EB57" s="36"/>
      <c r="EC57" s="36"/>
      <c r="ED57" s="36"/>
      <c r="EE57" s="36"/>
      <c r="EF57" s="36"/>
      <c r="EG57" s="36"/>
      <c r="EH57" s="36"/>
      <c r="EI57" s="36"/>
      <c r="EJ57" s="36"/>
      <c r="EK57" s="36"/>
      <c r="EL57" s="36"/>
      <c r="EM57" s="36"/>
      <c r="EN57" s="36"/>
      <c r="EO57" s="36"/>
      <c r="EP57" s="36"/>
      <c r="EQ57" s="36"/>
      <c r="ER57" s="36"/>
      <c r="ES57" s="36"/>
      <c r="ET57" s="36"/>
      <c r="EU57" s="36"/>
      <c r="EV57" s="36"/>
      <c r="EW57" s="36"/>
      <c r="EX57" s="36"/>
      <c r="EY57" s="36"/>
      <c r="EZ57" s="36"/>
      <c r="FA57" s="36"/>
      <c r="FB57" s="36"/>
      <c r="FC57" s="36"/>
      <c r="FD57" s="36"/>
      <c r="FE57" s="36"/>
      <c r="FF57" s="36"/>
      <c r="FG57" s="36"/>
      <c r="FH57" s="36"/>
      <c r="FI57" s="36"/>
      <c r="FJ57" s="36"/>
    </row>
    <row r="58" spans="1:166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/>
      <c r="DT58" s="36"/>
      <c r="DU58" s="36"/>
      <c r="DV58" s="36"/>
      <c r="DW58" s="36"/>
      <c r="DX58" s="36"/>
      <c r="DY58" s="36"/>
      <c r="DZ58" s="36"/>
      <c r="EA58" s="36"/>
      <c r="EB58" s="36"/>
      <c r="EC58" s="36"/>
      <c r="ED58" s="36"/>
      <c r="EE58" s="36"/>
      <c r="EF58" s="36"/>
      <c r="EG58" s="36"/>
      <c r="EH58" s="36"/>
      <c r="EI58" s="36"/>
      <c r="EJ58" s="36"/>
      <c r="EK58" s="36"/>
      <c r="EL58" s="36"/>
      <c r="EM58" s="36"/>
      <c r="EN58" s="36"/>
      <c r="EO58" s="36"/>
      <c r="EP58" s="36"/>
      <c r="EQ58" s="36"/>
      <c r="ER58" s="36"/>
      <c r="ES58" s="36"/>
      <c r="ET58" s="36"/>
      <c r="EU58" s="36"/>
      <c r="EV58" s="36"/>
      <c r="EW58" s="36"/>
      <c r="EX58" s="36"/>
      <c r="EY58" s="36"/>
      <c r="EZ58" s="36"/>
      <c r="FA58" s="36"/>
      <c r="FB58" s="36"/>
      <c r="FC58" s="36"/>
      <c r="FD58" s="36"/>
      <c r="FE58" s="36"/>
      <c r="FF58" s="36"/>
      <c r="FG58" s="36"/>
      <c r="FH58" s="36"/>
      <c r="FI58" s="36"/>
      <c r="FJ58" s="36"/>
    </row>
    <row r="59" spans="1:166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6"/>
      <c r="DE59" s="36"/>
      <c r="DF59" s="36"/>
      <c r="DG59" s="36"/>
      <c r="DH59" s="36"/>
      <c r="DI59" s="36"/>
      <c r="DJ59" s="36"/>
      <c r="DK59" s="36"/>
      <c r="DL59" s="36"/>
      <c r="DM59" s="36"/>
      <c r="DN59" s="36"/>
      <c r="DO59" s="36"/>
      <c r="DP59" s="36"/>
      <c r="DQ59" s="36"/>
      <c r="DR59" s="36"/>
      <c r="DS59" s="36"/>
      <c r="DT59" s="36"/>
      <c r="DU59" s="36"/>
      <c r="DV59" s="36"/>
      <c r="DW59" s="36"/>
      <c r="DX59" s="36"/>
      <c r="DY59" s="36"/>
      <c r="DZ59" s="36"/>
      <c r="EA59" s="36"/>
      <c r="EB59" s="36"/>
      <c r="EC59" s="36"/>
      <c r="ED59" s="36"/>
      <c r="EE59" s="36"/>
      <c r="EF59" s="36"/>
      <c r="EG59" s="36"/>
      <c r="EH59" s="36"/>
      <c r="EI59" s="36"/>
      <c r="EJ59" s="36"/>
      <c r="EK59" s="36"/>
      <c r="EL59" s="36"/>
      <c r="EM59" s="36"/>
      <c r="EN59" s="36"/>
      <c r="EO59" s="36"/>
      <c r="EP59" s="36"/>
      <c r="EQ59" s="36"/>
      <c r="ER59" s="36"/>
      <c r="ES59" s="36"/>
      <c r="ET59" s="36"/>
      <c r="EU59" s="36"/>
      <c r="EV59" s="36"/>
      <c r="EW59" s="36"/>
      <c r="EX59" s="36"/>
      <c r="EY59" s="36"/>
      <c r="EZ59" s="36"/>
      <c r="FA59" s="36"/>
      <c r="FB59" s="36"/>
      <c r="FC59" s="36"/>
      <c r="FD59" s="36"/>
      <c r="FE59" s="36"/>
      <c r="FF59" s="36"/>
      <c r="FG59" s="36"/>
      <c r="FH59" s="36"/>
      <c r="FI59" s="36"/>
      <c r="FJ59" s="36"/>
    </row>
    <row r="60" spans="1:166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/>
      <c r="DB60" s="36"/>
      <c r="DC60" s="36"/>
      <c r="DD60" s="36"/>
      <c r="DE60" s="36"/>
      <c r="DF60" s="36"/>
      <c r="DG60" s="36"/>
      <c r="DH60" s="36"/>
      <c r="DI60" s="36"/>
      <c r="DJ60" s="36"/>
      <c r="DK60" s="36"/>
      <c r="DL60" s="36"/>
      <c r="DM60" s="36"/>
      <c r="DN60" s="36"/>
      <c r="DO60" s="36"/>
      <c r="DP60" s="36"/>
      <c r="DQ60" s="36"/>
      <c r="DR60" s="36"/>
      <c r="DS60" s="36"/>
      <c r="DT60" s="36"/>
      <c r="DU60" s="36"/>
      <c r="DV60" s="36"/>
      <c r="DW60" s="36"/>
      <c r="DX60" s="36"/>
      <c r="DY60" s="36"/>
      <c r="DZ60" s="36"/>
      <c r="EA60" s="36"/>
      <c r="EB60" s="36"/>
      <c r="EC60" s="36"/>
      <c r="ED60" s="36"/>
      <c r="EE60" s="36"/>
      <c r="EF60" s="36"/>
      <c r="EG60" s="36"/>
      <c r="EH60" s="36"/>
      <c r="EI60" s="36"/>
      <c r="EJ60" s="36"/>
      <c r="EK60" s="36"/>
      <c r="EL60" s="36"/>
      <c r="EM60" s="36"/>
      <c r="EN60" s="36"/>
      <c r="EO60" s="36"/>
      <c r="EP60" s="36"/>
      <c r="EQ60" s="36"/>
      <c r="ER60" s="36"/>
      <c r="ES60" s="36"/>
      <c r="ET60" s="36"/>
      <c r="EU60" s="36"/>
      <c r="EV60" s="36"/>
      <c r="EW60" s="36"/>
      <c r="EX60" s="36"/>
      <c r="EY60" s="36"/>
      <c r="EZ60" s="36"/>
      <c r="FA60" s="36"/>
      <c r="FB60" s="36"/>
      <c r="FC60" s="36"/>
      <c r="FD60" s="36"/>
      <c r="FE60" s="36"/>
      <c r="FF60" s="36"/>
      <c r="FG60" s="36"/>
      <c r="FH60" s="36"/>
      <c r="FI60" s="36"/>
      <c r="FJ60" s="36"/>
    </row>
    <row r="61" spans="1:166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  <c r="DM61" s="36"/>
      <c r="DN61" s="36"/>
      <c r="DO61" s="36"/>
      <c r="DP61" s="36"/>
      <c r="DQ61" s="36"/>
      <c r="DR61" s="36"/>
      <c r="DS61" s="36"/>
      <c r="DT61" s="36"/>
      <c r="DU61" s="36"/>
      <c r="DV61" s="36"/>
      <c r="DW61" s="36"/>
      <c r="DX61" s="36"/>
      <c r="DY61" s="36"/>
      <c r="DZ61" s="36"/>
      <c r="EA61" s="36"/>
      <c r="EB61" s="36"/>
      <c r="EC61" s="36"/>
      <c r="ED61" s="36"/>
      <c r="EE61" s="36"/>
      <c r="EF61" s="36"/>
      <c r="EG61" s="36"/>
      <c r="EH61" s="36"/>
      <c r="EI61" s="36"/>
      <c r="EJ61" s="36"/>
      <c r="EK61" s="36"/>
      <c r="EL61" s="36"/>
      <c r="EM61" s="36"/>
      <c r="EN61" s="36"/>
      <c r="EO61" s="36"/>
      <c r="EP61" s="36"/>
      <c r="EQ61" s="36"/>
      <c r="ER61" s="36"/>
      <c r="ES61" s="36"/>
      <c r="ET61" s="36"/>
      <c r="EU61" s="36"/>
      <c r="EV61" s="36"/>
      <c r="EW61" s="36"/>
      <c r="EX61" s="36"/>
      <c r="EY61" s="36"/>
      <c r="EZ61" s="36"/>
      <c r="FA61" s="36"/>
      <c r="FB61" s="36"/>
      <c r="FC61" s="36"/>
      <c r="FD61" s="36"/>
      <c r="FE61" s="36"/>
      <c r="FF61" s="36"/>
      <c r="FG61" s="36"/>
      <c r="FH61" s="36"/>
      <c r="FI61" s="36"/>
      <c r="FJ61" s="36"/>
    </row>
    <row r="62" spans="1:166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6"/>
      <c r="DL62" s="36"/>
      <c r="DM62" s="36"/>
      <c r="DN62" s="36"/>
      <c r="DO62" s="36"/>
      <c r="DP62" s="36"/>
      <c r="DQ62" s="36"/>
      <c r="DR62" s="36"/>
      <c r="DS62" s="36"/>
      <c r="DT62" s="36"/>
      <c r="DU62" s="36"/>
      <c r="DV62" s="36"/>
      <c r="DW62" s="36"/>
      <c r="DX62" s="36"/>
      <c r="DY62" s="36"/>
      <c r="DZ62" s="36"/>
      <c r="EA62" s="36"/>
      <c r="EB62" s="36"/>
      <c r="EC62" s="36"/>
      <c r="ED62" s="36"/>
      <c r="EE62" s="36"/>
      <c r="EF62" s="36"/>
      <c r="EG62" s="36"/>
      <c r="EH62" s="36"/>
      <c r="EI62" s="36"/>
      <c r="EJ62" s="36"/>
      <c r="EK62" s="36"/>
      <c r="EL62" s="36"/>
      <c r="EM62" s="36"/>
      <c r="EN62" s="36"/>
      <c r="EO62" s="36"/>
      <c r="EP62" s="36"/>
      <c r="EQ62" s="36"/>
      <c r="ER62" s="36"/>
      <c r="ES62" s="36"/>
      <c r="ET62" s="36"/>
      <c r="EU62" s="36"/>
      <c r="EV62" s="36"/>
      <c r="EW62" s="36"/>
      <c r="EX62" s="36"/>
      <c r="EY62" s="36"/>
      <c r="EZ62" s="36"/>
      <c r="FA62" s="36"/>
      <c r="FB62" s="36"/>
      <c r="FC62" s="36"/>
      <c r="FD62" s="36"/>
      <c r="FE62" s="36"/>
      <c r="FF62" s="36"/>
      <c r="FG62" s="36"/>
      <c r="FH62" s="36"/>
      <c r="FI62" s="36"/>
      <c r="FJ62" s="36"/>
    </row>
    <row r="63" spans="1:166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36"/>
      <c r="DU63" s="36"/>
      <c r="DV63" s="36"/>
      <c r="DW63" s="36"/>
      <c r="DX63" s="36"/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  <c r="EN63" s="36"/>
      <c r="EO63" s="36"/>
      <c r="EP63" s="36"/>
      <c r="EQ63" s="36"/>
      <c r="ER63" s="36"/>
      <c r="ES63" s="36"/>
      <c r="ET63" s="36"/>
      <c r="EU63" s="36"/>
      <c r="EV63" s="36"/>
      <c r="EW63" s="36"/>
      <c r="EX63" s="36"/>
      <c r="EY63" s="36"/>
      <c r="EZ63" s="36"/>
      <c r="FA63" s="36"/>
      <c r="FB63" s="36"/>
      <c r="FC63" s="36"/>
      <c r="FD63" s="36"/>
      <c r="FE63" s="36"/>
      <c r="FF63" s="36"/>
      <c r="FG63" s="36"/>
      <c r="FH63" s="36"/>
      <c r="FI63" s="36"/>
      <c r="FJ63" s="36"/>
    </row>
    <row r="64" spans="1:166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6"/>
      <c r="FC64" s="36"/>
      <c r="FD64" s="36"/>
      <c r="FE64" s="36"/>
      <c r="FF64" s="36"/>
      <c r="FG64" s="36"/>
      <c r="FH64" s="36"/>
      <c r="FI64" s="36"/>
      <c r="FJ64" s="36"/>
    </row>
    <row r="65" spans="1:166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/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/>
      <c r="FB65" s="36"/>
      <c r="FC65" s="36"/>
      <c r="FD65" s="36"/>
      <c r="FE65" s="36"/>
      <c r="FF65" s="36"/>
      <c r="FG65" s="36"/>
      <c r="FH65" s="36"/>
      <c r="FI65" s="36"/>
      <c r="FJ65" s="36"/>
    </row>
    <row r="66" spans="1:1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6"/>
      <c r="CG66" s="36"/>
      <c r="CH66" s="36"/>
      <c r="CI66" s="36"/>
      <c r="CJ66" s="36"/>
      <c r="CK66" s="36"/>
      <c r="CL66" s="36"/>
      <c r="CM66" s="36"/>
      <c r="CN66" s="36"/>
      <c r="CO66" s="36"/>
      <c r="CP66" s="36"/>
      <c r="CQ66" s="36"/>
      <c r="CR66" s="36"/>
      <c r="CS66" s="36"/>
      <c r="CT66" s="36"/>
      <c r="CU66" s="36"/>
      <c r="CV66" s="36"/>
      <c r="CW66" s="36"/>
      <c r="CX66" s="36"/>
      <c r="CY66" s="36"/>
      <c r="CZ66" s="36"/>
      <c r="DA66" s="36"/>
      <c r="DB66" s="36"/>
      <c r="DC66" s="36"/>
      <c r="DD66" s="36"/>
      <c r="DE66" s="36"/>
      <c r="DF66" s="36"/>
      <c r="DG66" s="36"/>
      <c r="DH66" s="36"/>
      <c r="DI66" s="36"/>
      <c r="DJ66" s="36"/>
      <c r="DK66" s="36"/>
      <c r="DL66" s="36"/>
      <c r="DM66" s="36"/>
      <c r="DN66" s="36"/>
      <c r="DO66" s="36"/>
      <c r="DP66" s="36"/>
      <c r="DQ66" s="36"/>
      <c r="DR66" s="36"/>
      <c r="DS66" s="36"/>
      <c r="DT66" s="36"/>
      <c r="DU66" s="36"/>
      <c r="DV66" s="36"/>
      <c r="DW66" s="36"/>
      <c r="DX66" s="36"/>
      <c r="DY66" s="36"/>
      <c r="DZ66" s="36"/>
      <c r="EA66" s="36"/>
      <c r="EB66" s="36"/>
      <c r="EC66" s="36"/>
      <c r="ED66" s="36"/>
      <c r="EE66" s="36"/>
      <c r="EF66" s="36"/>
      <c r="EG66" s="36"/>
      <c r="EH66" s="36"/>
      <c r="EI66" s="36"/>
      <c r="EJ66" s="36"/>
      <c r="EK66" s="36"/>
      <c r="EL66" s="36"/>
      <c r="EM66" s="36"/>
      <c r="EN66" s="36"/>
      <c r="EO66" s="36"/>
      <c r="EP66" s="36"/>
      <c r="EQ66" s="36"/>
      <c r="ER66" s="36"/>
      <c r="ES66" s="36"/>
      <c r="ET66" s="36"/>
      <c r="EU66" s="36"/>
      <c r="EV66" s="36"/>
      <c r="EW66" s="36"/>
      <c r="EX66" s="36"/>
      <c r="EY66" s="36"/>
      <c r="EZ66" s="36"/>
      <c r="FA66" s="36"/>
      <c r="FB66" s="36"/>
      <c r="FC66" s="36"/>
      <c r="FD66" s="36"/>
      <c r="FE66" s="36"/>
      <c r="FF66" s="36"/>
      <c r="FG66" s="36"/>
      <c r="FH66" s="36"/>
      <c r="FI66" s="36"/>
      <c r="FJ66" s="36"/>
    </row>
    <row r="67" spans="1:166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6"/>
      <c r="DF67" s="36"/>
      <c r="DG67" s="36"/>
      <c r="DH67" s="36"/>
      <c r="DI67" s="36"/>
      <c r="DJ67" s="36"/>
      <c r="DK67" s="36"/>
      <c r="DL67" s="36"/>
      <c r="DM67" s="36"/>
      <c r="DN67" s="36"/>
      <c r="DO67" s="36"/>
      <c r="DP67" s="36"/>
      <c r="DQ67" s="36"/>
      <c r="DR67" s="36"/>
      <c r="DS67" s="36"/>
      <c r="DT67" s="36"/>
      <c r="DU67" s="36"/>
      <c r="DV67" s="36"/>
      <c r="DW67" s="36"/>
      <c r="DX67" s="36"/>
      <c r="DY67" s="36"/>
      <c r="DZ67" s="36"/>
      <c r="EA67" s="36"/>
      <c r="EB67" s="36"/>
      <c r="EC67" s="36"/>
      <c r="ED67" s="36"/>
      <c r="EE67" s="36"/>
      <c r="EF67" s="36"/>
      <c r="EG67" s="36"/>
      <c r="EH67" s="36"/>
      <c r="EI67" s="36"/>
      <c r="EJ67" s="36"/>
      <c r="EK67" s="36"/>
      <c r="EL67" s="36"/>
      <c r="EM67" s="36"/>
      <c r="EN67" s="36"/>
      <c r="EO67" s="36"/>
      <c r="EP67" s="36"/>
      <c r="EQ67" s="36"/>
      <c r="ER67" s="36"/>
      <c r="ES67" s="36"/>
      <c r="ET67" s="36"/>
      <c r="EU67" s="36"/>
      <c r="EV67" s="36"/>
      <c r="EW67" s="36"/>
      <c r="EX67" s="36"/>
      <c r="EY67" s="36"/>
      <c r="EZ67" s="36"/>
      <c r="FA67" s="36"/>
      <c r="FB67" s="36"/>
      <c r="FC67" s="36"/>
      <c r="FD67" s="36"/>
      <c r="FE67" s="36"/>
      <c r="FF67" s="36"/>
      <c r="FG67" s="36"/>
      <c r="FH67" s="36"/>
      <c r="FI67" s="36"/>
      <c r="FJ67" s="36"/>
    </row>
    <row r="68" spans="1:166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36"/>
      <c r="DT68" s="36"/>
      <c r="DU68" s="36"/>
      <c r="DV68" s="36"/>
      <c r="DW68" s="36"/>
      <c r="DX68" s="36"/>
      <c r="DY68" s="36"/>
      <c r="DZ68" s="36"/>
      <c r="EA68" s="36"/>
      <c r="EB68" s="36"/>
      <c r="EC68" s="36"/>
      <c r="ED68" s="36"/>
      <c r="EE68" s="36"/>
      <c r="EF68" s="36"/>
      <c r="EG68" s="36"/>
      <c r="EH68" s="36"/>
      <c r="EI68" s="36"/>
      <c r="EJ68" s="36"/>
      <c r="EK68" s="36"/>
      <c r="EL68" s="36"/>
      <c r="EM68" s="36"/>
      <c r="EN68" s="36"/>
      <c r="EO68" s="36"/>
      <c r="EP68" s="36"/>
      <c r="EQ68" s="36"/>
      <c r="ER68" s="36"/>
      <c r="ES68" s="36"/>
      <c r="ET68" s="36"/>
      <c r="EU68" s="36"/>
      <c r="EV68" s="36"/>
      <c r="EW68" s="36"/>
      <c r="EX68" s="36"/>
      <c r="EY68" s="36"/>
      <c r="EZ68" s="36"/>
      <c r="FA68" s="36"/>
      <c r="FB68" s="36"/>
      <c r="FC68" s="36"/>
      <c r="FD68" s="36"/>
      <c r="FE68" s="36"/>
      <c r="FF68" s="36"/>
      <c r="FG68" s="36"/>
      <c r="FH68" s="36"/>
      <c r="FI68" s="36"/>
      <c r="FJ68" s="36"/>
    </row>
    <row r="69" spans="1:166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6"/>
      <c r="DJ69" s="36"/>
      <c r="DK69" s="36"/>
      <c r="DL69" s="36"/>
      <c r="DM69" s="36"/>
      <c r="DN69" s="36"/>
      <c r="DO69" s="36"/>
      <c r="DP69" s="36"/>
      <c r="DQ69" s="36"/>
      <c r="DR69" s="36"/>
      <c r="DS69" s="36"/>
      <c r="DT69" s="36"/>
      <c r="DU69" s="36"/>
      <c r="DV69" s="36"/>
      <c r="DW69" s="36"/>
      <c r="DX69" s="36"/>
      <c r="DY69" s="36"/>
      <c r="DZ69" s="36"/>
      <c r="EA69" s="36"/>
      <c r="EB69" s="36"/>
      <c r="EC69" s="36"/>
      <c r="ED69" s="36"/>
      <c r="EE69" s="36"/>
      <c r="EF69" s="36"/>
      <c r="EG69" s="36"/>
      <c r="EH69" s="36"/>
      <c r="EI69" s="36"/>
      <c r="EJ69" s="36"/>
      <c r="EK69" s="36"/>
      <c r="EL69" s="36"/>
      <c r="EM69" s="36"/>
      <c r="EN69" s="36"/>
      <c r="EO69" s="36"/>
      <c r="EP69" s="36"/>
      <c r="EQ69" s="36"/>
      <c r="ER69" s="36"/>
      <c r="ES69" s="36"/>
      <c r="ET69" s="36"/>
      <c r="EU69" s="36"/>
      <c r="EV69" s="36"/>
      <c r="EW69" s="36"/>
      <c r="EX69" s="36"/>
      <c r="EY69" s="36"/>
      <c r="EZ69" s="36"/>
      <c r="FA69" s="36"/>
      <c r="FB69" s="36"/>
      <c r="FC69" s="36"/>
      <c r="FD69" s="36"/>
      <c r="FE69" s="36"/>
      <c r="FF69" s="36"/>
      <c r="FG69" s="36"/>
      <c r="FH69" s="36"/>
      <c r="FI69" s="36"/>
      <c r="FJ69" s="36"/>
    </row>
    <row r="70" spans="1:166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/>
      <c r="DE70" s="36"/>
      <c r="DF70" s="36"/>
      <c r="DG70" s="36"/>
      <c r="DH70" s="36"/>
      <c r="DI70" s="36"/>
      <c r="DJ70" s="36"/>
      <c r="DK70" s="36"/>
      <c r="DL70" s="36"/>
      <c r="DM70" s="36"/>
      <c r="DN70" s="36"/>
      <c r="DO70" s="36"/>
      <c r="DP70" s="36"/>
      <c r="DQ70" s="36"/>
      <c r="DR70" s="36"/>
      <c r="DS70" s="36"/>
      <c r="DT70" s="36"/>
      <c r="DU70" s="36"/>
      <c r="DV70" s="36"/>
      <c r="DW70" s="36"/>
      <c r="DX70" s="36"/>
      <c r="DY70" s="36"/>
      <c r="DZ70" s="36"/>
      <c r="EA70" s="36"/>
      <c r="EB70" s="36"/>
      <c r="EC70" s="36"/>
      <c r="ED70" s="36"/>
      <c r="EE70" s="36"/>
      <c r="EF70" s="36"/>
      <c r="EG70" s="36"/>
      <c r="EH70" s="36"/>
      <c r="EI70" s="36"/>
      <c r="EJ70" s="36"/>
      <c r="EK70" s="36"/>
      <c r="EL70" s="36"/>
      <c r="EM70" s="36"/>
      <c r="EN70" s="36"/>
      <c r="EO70" s="36"/>
      <c r="EP70" s="36"/>
      <c r="EQ70" s="36"/>
      <c r="ER70" s="36"/>
      <c r="ES70" s="36"/>
      <c r="ET70" s="36"/>
      <c r="EU70" s="36"/>
      <c r="EV70" s="36"/>
      <c r="EW70" s="36"/>
      <c r="EX70" s="36"/>
      <c r="EY70" s="36"/>
      <c r="EZ70" s="36"/>
      <c r="FA70" s="36"/>
      <c r="FB70" s="36"/>
      <c r="FC70" s="36"/>
      <c r="FD70" s="36"/>
      <c r="FE70" s="36"/>
      <c r="FF70" s="36"/>
      <c r="FG70" s="36"/>
      <c r="FH70" s="36"/>
      <c r="FI70" s="36"/>
      <c r="FJ70" s="36"/>
    </row>
    <row r="71" spans="1:166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36"/>
      <c r="DL71" s="36"/>
      <c r="DM71" s="36"/>
      <c r="DN71" s="36"/>
      <c r="DO71" s="36"/>
      <c r="DP71" s="36"/>
      <c r="DQ71" s="36"/>
      <c r="DR71" s="36"/>
      <c r="DS71" s="36"/>
      <c r="DT71" s="36"/>
      <c r="DU71" s="36"/>
      <c r="DV71" s="36"/>
      <c r="DW71" s="36"/>
      <c r="DX71" s="36"/>
      <c r="DY71" s="36"/>
      <c r="DZ71" s="36"/>
      <c r="EA71" s="36"/>
      <c r="EB71" s="36"/>
      <c r="EC71" s="36"/>
      <c r="ED71" s="36"/>
      <c r="EE71" s="36"/>
      <c r="EF71" s="36"/>
      <c r="EG71" s="36"/>
      <c r="EH71" s="36"/>
      <c r="EI71" s="36"/>
      <c r="EJ71" s="36"/>
      <c r="EK71" s="36"/>
      <c r="EL71" s="36"/>
      <c r="EM71" s="36"/>
      <c r="EN71" s="36"/>
      <c r="EO71" s="36"/>
      <c r="EP71" s="36"/>
      <c r="EQ71" s="36"/>
      <c r="ER71" s="36"/>
      <c r="ES71" s="36"/>
      <c r="ET71" s="36"/>
      <c r="EU71" s="36"/>
      <c r="EV71" s="36"/>
      <c r="EW71" s="36"/>
      <c r="EX71" s="36"/>
      <c r="EY71" s="36"/>
      <c r="EZ71" s="36"/>
      <c r="FA71" s="36"/>
      <c r="FB71" s="36"/>
      <c r="FC71" s="36"/>
      <c r="FD71" s="36"/>
      <c r="FE71" s="36"/>
      <c r="FF71" s="36"/>
      <c r="FG71" s="36"/>
      <c r="FH71" s="36"/>
      <c r="FI71" s="36"/>
      <c r="FJ71" s="36"/>
    </row>
    <row r="72" spans="1:166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6"/>
      <c r="DI72" s="36"/>
      <c r="DJ72" s="36"/>
      <c r="DK72" s="36"/>
      <c r="DL72" s="36"/>
      <c r="DM72" s="36"/>
      <c r="DN72" s="36"/>
      <c r="DO72" s="36"/>
      <c r="DP72" s="36"/>
      <c r="DQ72" s="36"/>
      <c r="DR72" s="36"/>
      <c r="DS72" s="36"/>
      <c r="DT72" s="36"/>
      <c r="DU72" s="36"/>
      <c r="DV72" s="36"/>
      <c r="DW72" s="36"/>
      <c r="DX72" s="36"/>
      <c r="DY72" s="36"/>
      <c r="DZ72" s="36"/>
      <c r="EA72" s="36"/>
      <c r="EB72" s="36"/>
      <c r="EC72" s="36"/>
      <c r="ED72" s="36"/>
      <c r="EE72" s="36"/>
      <c r="EF72" s="36"/>
      <c r="EG72" s="36"/>
      <c r="EH72" s="36"/>
      <c r="EI72" s="36"/>
      <c r="EJ72" s="36"/>
      <c r="EK72" s="36"/>
      <c r="EL72" s="36"/>
      <c r="EM72" s="36"/>
      <c r="EN72" s="36"/>
      <c r="EO72" s="36"/>
      <c r="EP72" s="36"/>
      <c r="EQ72" s="36"/>
      <c r="ER72" s="36"/>
      <c r="ES72" s="36"/>
      <c r="ET72" s="36"/>
      <c r="EU72" s="36"/>
      <c r="EV72" s="36"/>
      <c r="EW72" s="36"/>
      <c r="EX72" s="36"/>
      <c r="EY72" s="36"/>
      <c r="EZ72" s="36"/>
      <c r="FA72" s="36"/>
      <c r="FB72" s="36"/>
      <c r="FC72" s="36"/>
      <c r="FD72" s="36"/>
      <c r="FE72" s="36"/>
      <c r="FF72" s="36"/>
      <c r="FG72" s="36"/>
      <c r="FH72" s="36"/>
      <c r="FI72" s="36"/>
      <c r="FJ72" s="36"/>
    </row>
    <row r="73" spans="1:166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6"/>
      <c r="DP73" s="36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6"/>
      <c r="EG73" s="36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6"/>
      <c r="EX73" s="36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</row>
    <row r="74" spans="1:166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36"/>
      <c r="DL74" s="36"/>
      <c r="DM74" s="36"/>
      <c r="DN74" s="36"/>
      <c r="DO74" s="36"/>
      <c r="DP74" s="36"/>
      <c r="DQ74" s="36"/>
      <c r="DR74" s="36"/>
      <c r="DS74" s="36"/>
      <c r="DT74" s="36"/>
      <c r="DU74" s="36"/>
      <c r="DV74" s="36"/>
      <c r="DW74" s="36"/>
      <c r="DX74" s="36"/>
      <c r="DY74" s="36"/>
      <c r="DZ74" s="36"/>
      <c r="EA74" s="36"/>
      <c r="EB74" s="36"/>
      <c r="EC74" s="36"/>
      <c r="ED74" s="36"/>
      <c r="EE74" s="36"/>
      <c r="EF74" s="36"/>
      <c r="EG74" s="36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  <c r="EU74" s="36"/>
      <c r="EV74" s="36"/>
      <c r="EW74" s="36"/>
      <c r="EX74" s="36"/>
      <c r="EY74" s="36"/>
      <c r="EZ74" s="36"/>
      <c r="FA74" s="36"/>
      <c r="FB74" s="36"/>
      <c r="FC74" s="36"/>
      <c r="FD74" s="36"/>
      <c r="FE74" s="36"/>
      <c r="FF74" s="36"/>
      <c r="FG74" s="36"/>
      <c r="FH74" s="36"/>
      <c r="FI74" s="36"/>
      <c r="FJ74" s="36"/>
    </row>
    <row r="75" spans="1:166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6"/>
      <c r="EG75" s="36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6"/>
      <c r="EX75" s="36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</row>
    <row r="76" spans="1:16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B76" s="36"/>
      <c r="DC76" s="36"/>
      <c r="DD76" s="36"/>
      <c r="DE76" s="36"/>
      <c r="DF76" s="36"/>
      <c r="DG76" s="36"/>
      <c r="DH76" s="36"/>
      <c r="DI76" s="36"/>
      <c r="DJ76" s="36"/>
      <c r="DK76" s="36"/>
      <c r="DL76" s="36"/>
      <c r="DM76" s="36"/>
      <c r="DN76" s="36"/>
      <c r="DO76" s="36"/>
      <c r="DP76" s="36"/>
      <c r="DQ76" s="36"/>
      <c r="DR76" s="36"/>
      <c r="DS76" s="36"/>
      <c r="DT76" s="36"/>
      <c r="DU76" s="36"/>
      <c r="DV76" s="36"/>
      <c r="DW76" s="36"/>
      <c r="DX76" s="36"/>
      <c r="DY76" s="36"/>
      <c r="DZ76" s="36"/>
      <c r="EA76" s="36"/>
      <c r="EB76" s="36"/>
      <c r="EC76" s="36"/>
      <c r="ED76" s="36"/>
      <c r="EE76" s="36"/>
      <c r="EF76" s="36"/>
      <c r="EG76" s="36"/>
      <c r="EH76" s="36"/>
      <c r="EI76" s="36"/>
      <c r="EJ76" s="36"/>
      <c r="EK76" s="36"/>
      <c r="EL76" s="36"/>
      <c r="EM76" s="36"/>
      <c r="EN76" s="36"/>
      <c r="EO76" s="36"/>
      <c r="EP76" s="36"/>
      <c r="EQ76" s="36"/>
      <c r="ER76" s="36"/>
      <c r="ES76" s="36"/>
      <c r="ET76" s="36"/>
      <c r="EU76" s="36"/>
      <c r="EV76" s="36"/>
      <c r="EW76" s="36"/>
      <c r="EX76" s="36"/>
      <c r="EY76" s="36"/>
      <c r="EZ76" s="36"/>
      <c r="FA76" s="36"/>
      <c r="FB76" s="36"/>
      <c r="FC76" s="36"/>
      <c r="FD76" s="36"/>
      <c r="FE76" s="36"/>
      <c r="FF76" s="36"/>
      <c r="FG76" s="36"/>
      <c r="FH76" s="36"/>
      <c r="FI76" s="36"/>
      <c r="FJ76" s="36"/>
    </row>
    <row r="77" spans="1:166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6"/>
      <c r="BZ77" s="36"/>
      <c r="CA77" s="36"/>
      <c r="CB77" s="36"/>
      <c r="CC77" s="36"/>
      <c r="CD77" s="36"/>
      <c r="CE77" s="36"/>
      <c r="CF77" s="36"/>
      <c r="CG77" s="36"/>
      <c r="CH77" s="36"/>
      <c r="CI77" s="36"/>
      <c r="CJ77" s="36"/>
      <c r="CK77" s="36"/>
      <c r="CL77" s="36"/>
      <c r="CM77" s="36"/>
      <c r="CN77" s="36"/>
      <c r="CO77" s="36"/>
      <c r="CP77" s="36"/>
      <c r="CQ77" s="36"/>
      <c r="CR77" s="36"/>
      <c r="CS77" s="36"/>
      <c r="CT77" s="36"/>
      <c r="CU77" s="36"/>
      <c r="CV77" s="36"/>
      <c r="CW77" s="36"/>
      <c r="CX77" s="36"/>
      <c r="CY77" s="36"/>
      <c r="CZ77" s="36"/>
      <c r="DA77" s="36"/>
      <c r="DB77" s="36"/>
      <c r="DC77" s="36"/>
      <c r="DD77" s="36"/>
      <c r="DE77" s="36"/>
      <c r="DF77" s="36"/>
      <c r="DG77" s="36"/>
      <c r="DH77" s="36"/>
      <c r="DI77" s="36"/>
      <c r="DJ77" s="36"/>
      <c r="DK77" s="36"/>
      <c r="DL77" s="36"/>
      <c r="DM77" s="36"/>
      <c r="DN77" s="36"/>
      <c r="DO77" s="36"/>
      <c r="DP77" s="36"/>
      <c r="DQ77" s="36"/>
      <c r="DR77" s="36"/>
      <c r="DS77" s="36"/>
      <c r="DT77" s="36"/>
      <c r="DU77" s="36"/>
      <c r="DV77" s="36"/>
      <c r="DW77" s="36"/>
      <c r="DX77" s="36"/>
      <c r="DY77" s="36"/>
      <c r="DZ77" s="36"/>
      <c r="EA77" s="36"/>
      <c r="EB77" s="36"/>
      <c r="EC77" s="36"/>
      <c r="ED77" s="36"/>
      <c r="EE77" s="36"/>
      <c r="EF77" s="36"/>
      <c r="EG77" s="36"/>
      <c r="EH77" s="36"/>
      <c r="EI77" s="36"/>
      <c r="EJ77" s="36"/>
      <c r="EK77" s="36"/>
      <c r="EL77" s="36"/>
      <c r="EM77" s="36"/>
      <c r="EN77" s="36"/>
      <c r="EO77" s="36"/>
      <c r="EP77" s="36"/>
      <c r="EQ77" s="36"/>
      <c r="ER77" s="36"/>
      <c r="ES77" s="36"/>
      <c r="ET77" s="36"/>
      <c r="EU77" s="36"/>
      <c r="EV77" s="36"/>
      <c r="EW77" s="36"/>
      <c r="EX77" s="36"/>
      <c r="EY77" s="36"/>
      <c r="EZ77" s="36"/>
      <c r="FA77" s="36"/>
      <c r="FB77" s="36"/>
      <c r="FC77" s="36"/>
      <c r="FD77" s="36"/>
      <c r="FE77" s="36"/>
      <c r="FF77" s="36"/>
      <c r="FG77" s="36"/>
      <c r="FH77" s="36"/>
      <c r="FI77" s="36"/>
      <c r="FJ77" s="36"/>
    </row>
    <row r="78" spans="1:166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B78" s="36"/>
      <c r="DC78" s="36"/>
      <c r="DD78" s="36"/>
      <c r="DE78" s="36"/>
      <c r="DF78" s="36"/>
      <c r="DG78" s="36"/>
      <c r="DH78" s="36"/>
      <c r="DI78" s="36"/>
      <c r="DJ78" s="36"/>
      <c r="DK78" s="36"/>
      <c r="DL78" s="36"/>
      <c r="DM78" s="36"/>
      <c r="DN78" s="36"/>
      <c r="DO78" s="36"/>
      <c r="DP78" s="36"/>
      <c r="DQ78" s="36"/>
      <c r="DR78" s="36"/>
      <c r="DS78" s="36"/>
      <c r="DT78" s="36"/>
      <c r="DU78" s="36"/>
      <c r="DV78" s="36"/>
      <c r="DW78" s="36"/>
      <c r="DX78" s="36"/>
      <c r="DY78" s="36"/>
      <c r="DZ78" s="36"/>
      <c r="EA78" s="36"/>
      <c r="EB78" s="36"/>
      <c r="EC78" s="36"/>
      <c r="ED78" s="36"/>
      <c r="EE78" s="36"/>
      <c r="EF78" s="36"/>
      <c r="EG78" s="36"/>
      <c r="EH78" s="36"/>
      <c r="EI78" s="36"/>
      <c r="EJ78" s="36"/>
      <c r="EK78" s="36"/>
      <c r="EL78" s="36"/>
      <c r="EM78" s="36"/>
      <c r="EN78" s="36"/>
      <c r="EO78" s="36"/>
      <c r="EP78" s="36"/>
      <c r="EQ78" s="36"/>
      <c r="ER78" s="36"/>
      <c r="ES78" s="36"/>
      <c r="ET78" s="36"/>
      <c r="EU78" s="36"/>
      <c r="EV78" s="36"/>
      <c r="EW78" s="36"/>
      <c r="EX78" s="36"/>
      <c r="EY78" s="36"/>
      <c r="EZ78" s="36"/>
      <c r="FA78" s="36"/>
      <c r="FB78" s="36"/>
      <c r="FC78" s="36"/>
      <c r="FD78" s="36"/>
      <c r="FE78" s="36"/>
      <c r="FF78" s="36"/>
      <c r="FG78" s="36"/>
      <c r="FH78" s="36"/>
      <c r="FI78" s="36"/>
      <c r="FJ78" s="36"/>
    </row>
    <row r="79" spans="1:166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36"/>
      <c r="CY79" s="36"/>
      <c r="CZ79" s="36"/>
      <c r="DA79" s="36"/>
      <c r="DB79" s="36"/>
      <c r="DC79" s="36"/>
      <c r="DD79" s="36"/>
      <c r="DE79" s="36"/>
      <c r="DF79" s="36"/>
      <c r="DG79" s="36"/>
      <c r="DH79" s="36"/>
      <c r="DI79" s="36"/>
      <c r="DJ79" s="36"/>
      <c r="DK79" s="36"/>
      <c r="DL79" s="36"/>
      <c r="DM79" s="36"/>
      <c r="DN79" s="36"/>
      <c r="DO79" s="36"/>
      <c r="DP79" s="36"/>
      <c r="DQ79" s="36"/>
      <c r="DR79" s="36"/>
      <c r="DS79" s="36"/>
      <c r="DT79" s="36"/>
      <c r="DU79" s="36"/>
      <c r="DV79" s="36"/>
      <c r="DW79" s="36"/>
      <c r="DX79" s="36"/>
      <c r="DY79" s="36"/>
      <c r="DZ79" s="36"/>
      <c r="EA79" s="36"/>
      <c r="EB79" s="36"/>
      <c r="EC79" s="36"/>
      <c r="ED79" s="36"/>
      <c r="EE79" s="36"/>
      <c r="EF79" s="36"/>
      <c r="EG79" s="36"/>
      <c r="EH79" s="36"/>
      <c r="EI79" s="36"/>
      <c r="EJ79" s="36"/>
      <c r="EK79" s="36"/>
      <c r="EL79" s="36"/>
      <c r="EM79" s="36"/>
      <c r="EN79" s="36"/>
      <c r="EO79" s="36"/>
      <c r="EP79" s="36"/>
      <c r="EQ79" s="36"/>
      <c r="ER79" s="36"/>
      <c r="ES79" s="36"/>
      <c r="ET79" s="36"/>
      <c r="EU79" s="36"/>
      <c r="EV79" s="36"/>
      <c r="EW79" s="36"/>
      <c r="EX79" s="36"/>
      <c r="EY79" s="36"/>
      <c r="EZ79" s="36"/>
      <c r="FA79" s="36"/>
      <c r="FB79" s="36"/>
      <c r="FC79" s="36"/>
      <c r="FD79" s="36"/>
      <c r="FE79" s="36"/>
      <c r="FF79" s="36"/>
      <c r="FG79" s="36"/>
      <c r="FH79" s="36"/>
      <c r="FI79" s="36"/>
      <c r="FJ79" s="36"/>
    </row>
    <row r="80" spans="1:166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B80" s="36"/>
      <c r="DC80" s="36"/>
      <c r="DD80" s="36"/>
      <c r="DE80" s="36"/>
      <c r="DF80" s="36"/>
      <c r="DG80" s="36"/>
      <c r="DH80" s="36"/>
      <c r="DI80" s="36"/>
      <c r="DJ80" s="36"/>
      <c r="DK80" s="36"/>
      <c r="DL80" s="36"/>
      <c r="DM80" s="36"/>
      <c r="DN80" s="36"/>
      <c r="DO80" s="36"/>
      <c r="DP80" s="36"/>
      <c r="DQ80" s="36"/>
      <c r="DR80" s="36"/>
      <c r="DS80" s="36"/>
      <c r="DT80" s="36"/>
      <c r="DU80" s="36"/>
      <c r="DV80" s="36"/>
      <c r="DW80" s="36"/>
      <c r="DX80" s="36"/>
      <c r="DY80" s="36"/>
      <c r="DZ80" s="36"/>
      <c r="EA80" s="36"/>
      <c r="EB80" s="36"/>
      <c r="EC80" s="36"/>
      <c r="ED80" s="36"/>
      <c r="EE80" s="36"/>
      <c r="EF80" s="36"/>
      <c r="EG80" s="36"/>
      <c r="EH80" s="36"/>
      <c r="EI80" s="36"/>
      <c r="EJ80" s="36"/>
      <c r="EK80" s="36"/>
      <c r="EL80" s="36"/>
      <c r="EM80" s="36"/>
      <c r="EN80" s="36"/>
      <c r="EO80" s="36"/>
      <c r="EP80" s="36"/>
      <c r="EQ80" s="36"/>
      <c r="ER80" s="36"/>
      <c r="ES80" s="36"/>
      <c r="ET80" s="36"/>
      <c r="EU80" s="36"/>
      <c r="EV80" s="36"/>
      <c r="EW80" s="36"/>
      <c r="EX80" s="36"/>
      <c r="EY80" s="36"/>
      <c r="EZ80" s="36"/>
      <c r="FA80" s="36"/>
      <c r="FB80" s="36"/>
      <c r="FC80" s="36"/>
      <c r="FD80" s="36"/>
      <c r="FE80" s="36"/>
      <c r="FF80" s="36"/>
      <c r="FG80" s="36"/>
      <c r="FH80" s="36"/>
      <c r="FI80" s="36"/>
      <c r="FJ80" s="36"/>
    </row>
    <row r="81" spans="1:166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6"/>
      <c r="BZ81" s="36"/>
      <c r="CA81" s="36"/>
      <c r="CB81" s="36"/>
      <c r="CC81" s="36"/>
      <c r="CD81" s="36"/>
      <c r="CE81" s="36"/>
      <c r="CF81" s="36"/>
      <c r="CG81" s="36"/>
      <c r="CH81" s="36"/>
      <c r="CI81" s="36"/>
      <c r="CJ81" s="36"/>
      <c r="CK81" s="36"/>
      <c r="CL81" s="36"/>
      <c r="CM81" s="36"/>
      <c r="CN81" s="36"/>
      <c r="CO81" s="36"/>
      <c r="CP81" s="36"/>
      <c r="CQ81" s="36"/>
      <c r="CR81" s="36"/>
      <c r="CS81" s="36"/>
      <c r="CT81" s="36"/>
      <c r="CU81" s="36"/>
      <c r="CV81" s="36"/>
      <c r="CW81" s="36"/>
      <c r="CX81" s="36"/>
      <c r="CY81" s="36"/>
      <c r="CZ81" s="36"/>
      <c r="DA81" s="36"/>
      <c r="DB81" s="36"/>
      <c r="DC81" s="36"/>
      <c r="DD81" s="36"/>
      <c r="DE81" s="36"/>
      <c r="DF81" s="36"/>
      <c r="DG81" s="36"/>
      <c r="DH81" s="36"/>
      <c r="DI81" s="36"/>
      <c r="DJ81" s="36"/>
      <c r="DK81" s="36"/>
      <c r="DL81" s="36"/>
      <c r="DM81" s="36"/>
      <c r="DN81" s="36"/>
      <c r="DO81" s="36"/>
      <c r="DP81" s="36"/>
      <c r="DQ81" s="36"/>
      <c r="DR81" s="36"/>
      <c r="DS81" s="36"/>
      <c r="DT81" s="36"/>
      <c r="DU81" s="36"/>
      <c r="DV81" s="36"/>
      <c r="DW81" s="36"/>
      <c r="DX81" s="36"/>
      <c r="DY81" s="36"/>
      <c r="DZ81" s="36"/>
      <c r="EA81" s="36"/>
      <c r="EB81" s="36"/>
      <c r="EC81" s="36"/>
      <c r="ED81" s="36"/>
      <c r="EE81" s="36"/>
      <c r="EF81" s="36"/>
      <c r="EG81" s="36"/>
      <c r="EH81" s="36"/>
      <c r="EI81" s="36"/>
      <c r="EJ81" s="36"/>
      <c r="EK81" s="36"/>
      <c r="EL81" s="36"/>
      <c r="EM81" s="36"/>
      <c r="EN81" s="36"/>
      <c r="EO81" s="36"/>
      <c r="EP81" s="36"/>
      <c r="EQ81" s="36"/>
      <c r="ER81" s="36"/>
      <c r="ES81" s="36"/>
      <c r="ET81" s="36"/>
      <c r="EU81" s="36"/>
      <c r="EV81" s="36"/>
      <c r="EW81" s="36"/>
      <c r="EX81" s="36"/>
      <c r="EY81" s="36"/>
      <c r="EZ81" s="36"/>
      <c r="FA81" s="36"/>
      <c r="FB81" s="36"/>
      <c r="FC81" s="36"/>
      <c r="FD81" s="36"/>
      <c r="FE81" s="36"/>
      <c r="FF81" s="36"/>
      <c r="FG81" s="36"/>
      <c r="FH81" s="36"/>
      <c r="FI81" s="36"/>
      <c r="FJ81" s="36"/>
    </row>
    <row r="82" spans="1:166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DH82" s="36"/>
      <c r="DI82" s="36"/>
      <c r="DJ82" s="36"/>
      <c r="DK82" s="36"/>
      <c r="DL82" s="36"/>
      <c r="DM82" s="36"/>
      <c r="DN82" s="36"/>
      <c r="DO82" s="36"/>
      <c r="DP82" s="36"/>
      <c r="DQ82" s="36"/>
      <c r="DR82" s="36"/>
      <c r="DS82" s="36"/>
      <c r="DT82" s="36"/>
      <c r="DU82" s="36"/>
      <c r="DV82" s="36"/>
      <c r="DW82" s="36"/>
      <c r="DX82" s="36"/>
      <c r="DY82" s="36"/>
      <c r="DZ82" s="36"/>
      <c r="EA82" s="36"/>
      <c r="EB82" s="36"/>
      <c r="EC82" s="36"/>
      <c r="ED82" s="36"/>
      <c r="EE82" s="36"/>
      <c r="EF82" s="36"/>
      <c r="EG82" s="36"/>
      <c r="EH82" s="36"/>
      <c r="EI82" s="36"/>
      <c r="EJ82" s="36"/>
      <c r="EK82" s="36"/>
      <c r="EL82" s="36"/>
      <c r="EM82" s="36"/>
      <c r="EN82" s="36"/>
      <c r="EO82" s="36"/>
      <c r="EP82" s="36"/>
      <c r="EQ82" s="36"/>
      <c r="ER82" s="36"/>
      <c r="ES82" s="36"/>
      <c r="ET82" s="36"/>
      <c r="EU82" s="36"/>
      <c r="EV82" s="36"/>
      <c r="EW82" s="36"/>
      <c r="EX82" s="36"/>
      <c r="EY82" s="36"/>
      <c r="EZ82" s="36"/>
      <c r="FA82" s="36"/>
      <c r="FB82" s="36"/>
      <c r="FC82" s="36"/>
      <c r="FD82" s="36"/>
      <c r="FE82" s="36"/>
      <c r="FF82" s="36"/>
      <c r="FG82" s="36"/>
      <c r="FH82" s="36"/>
      <c r="FI82" s="36"/>
      <c r="FJ82" s="36"/>
    </row>
    <row r="83" spans="1:166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/>
      <c r="DE83" s="36"/>
      <c r="DF83" s="36"/>
      <c r="DG83" s="36"/>
      <c r="DH83" s="36"/>
      <c r="DI83" s="36"/>
      <c r="DJ83" s="36"/>
      <c r="DK83" s="36"/>
      <c r="DL83" s="36"/>
      <c r="DM83" s="36"/>
      <c r="DN83" s="36"/>
      <c r="DO83" s="36"/>
      <c r="DP83" s="36"/>
      <c r="DQ83" s="36"/>
      <c r="DR83" s="36"/>
      <c r="DS83" s="36"/>
      <c r="DT83" s="36"/>
      <c r="DU83" s="36"/>
      <c r="DV83" s="36"/>
      <c r="DW83" s="36"/>
      <c r="DX83" s="36"/>
      <c r="DY83" s="36"/>
      <c r="DZ83" s="36"/>
      <c r="EA83" s="36"/>
      <c r="EB83" s="36"/>
      <c r="EC83" s="36"/>
      <c r="ED83" s="36"/>
      <c r="EE83" s="36"/>
      <c r="EF83" s="36"/>
      <c r="EG83" s="36"/>
      <c r="EH83" s="36"/>
      <c r="EI83" s="36"/>
      <c r="EJ83" s="36"/>
      <c r="EK83" s="36"/>
      <c r="EL83" s="36"/>
      <c r="EM83" s="36"/>
      <c r="EN83" s="36"/>
      <c r="EO83" s="36"/>
      <c r="EP83" s="36"/>
      <c r="EQ83" s="36"/>
      <c r="ER83" s="36"/>
      <c r="ES83" s="36"/>
      <c r="ET83" s="36"/>
      <c r="EU83" s="36"/>
      <c r="EV83" s="36"/>
      <c r="EW83" s="36"/>
      <c r="EX83" s="36"/>
      <c r="EY83" s="36"/>
      <c r="EZ83" s="36"/>
      <c r="FA83" s="36"/>
      <c r="FB83" s="36"/>
      <c r="FC83" s="36"/>
      <c r="FD83" s="36"/>
      <c r="FE83" s="36"/>
      <c r="FF83" s="36"/>
      <c r="FG83" s="36"/>
      <c r="FH83" s="36"/>
      <c r="FI83" s="36"/>
      <c r="FJ83" s="36"/>
    </row>
    <row r="84" spans="1:166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6"/>
      <c r="CD84" s="36"/>
      <c r="CE84" s="36"/>
      <c r="CF84" s="36"/>
      <c r="CG84" s="36"/>
      <c r="CH84" s="36"/>
      <c r="CI84" s="36"/>
      <c r="CJ84" s="36"/>
      <c r="CK84" s="36"/>
      <c r="CL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B84" s="36"/>
      <c r="DC84" s="36"/>
      <c r="DD84" s="36"/>
      <c r="DE84" s="36"/>
      <c r="DF84" s="36"/>
      <c r="DG84" s="36"/>
      <c r="DH84" s="36"/>
      <c r="DI84" s="36"/>
      <c r="DJ84" s="36"/>
      <c r="DK84" s="36"/>
      <c r="DL84" s="36"/>
      <c r="DM84" s="36"/>
      <c r="DN84" s="36"/>
      <c r="DO84" s="36"/>
      <c r="DP84" s="36"/>
      <c r="DQ84" s="36"/>
      <c r="DR84" s="36"/>
      <c r="DS84" s="36"/>
      <c r="DT84" s="36"/>
      <c r="DU84" s="36"/>
      <c r="DV84" s="36"/>
      <c r="DW84" s="36"/>
      <c r="DX84" s="36"/>
      <c r="DY84" s="36"/>
      <c r="DZ84" s="36"/>
      <c r="EA84" s="36"/>
      <c r="EB84" s="36"/>
      <c r="EC84" s="36"/>
      <c r="ED84" s="36"/>
      <c r="EE84" s="36"/>
      <c r="EF84" s="36"/>
      <c r="EG84" s="36"/>
      <c r="EH84" s="36"/>
      <c r="EI84" s="36"/>
      <c r="EJ84" s="36"/>
      <c r="EK84" s="36"/>
      <c r="EL84" s="36"/>
      <c r="EM84" s="36"/>
      <c r="EN84" s="36"/>
      <c r="EO84" s="36"/>
      <c r="EP84" s="36"/>
      <c r="EQ84" s="36"/>
      <c r="ER84" s="36"/>
      <c r="ES84" s="36"/>
      <c r="ET84" s="36"/>
      <c r="EU84" s="36"/>
      <c r="EV84" s="36"/>
      <c r="EW84" s="36"/>
      <c r="EX84" s="36"/>
      <c r="EY84" s="36"/>
      <c r="EZ84" s="36"/>
      <c r="FA84" s="36"/>
      <c r="FB84" s="36"/>
      <c r="FC84" s="36"/>
      <c r="FD84" s="36"/>
      <c r="FE84" s="36"/>
      <c r="FF84" s="36"/>
      <c r="FG84" s="36"/>
      <c r="FH84" s="36"/>
      <c r="FI84" s="36"/>
      <c r="FJ84" s="36"/>
    </row>
    <row r="85" spans="1:166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  <c r="CG85" s="36"/>
      <c r="CH85" s="36"/>
      <c r="CI85" s="36"/>
      <c r="CJ85" s="36"/>
      <c r="CK85" s="36"/>
      <c r="CL85" s="36"/>
      <c r="CM85" s="36"/>
      <c r="CN85" s="36"/>
      <c r="CO85" s="36"/>
      <c r="CP85" s="36"/>
      <c r="CQ85" s="36"/>
      <c r="CR85" s="36"/>
      <c r="CS85" s="36"/>
      <c r="CT85" s="36"/>
      <c r="CU85" s="36"/>
      <c r="CV85" s="36"/>
      <c r="CW85" s="36"/>
      <c r="CX85" s="36"/>
      <c r="CY85" s="36"/>
      <c r="CZ85" s="36"/>
      <c r="DA85" s="36"/>
      <c r="DB85" s="36"/>
      <c r="DC85" s="36"/>
      <c r="DD85" s="36"/>
      <c r="DE85" s="36"/>
      <c r="DF85" s="36"/>
      <c r="DG85" s="36"/>
      <c r="DH85" s="36"/>
      <c r="DI85" s="36"/>
      <c r="DJ85" s="36"/>
      <c r="DK85" s="36"/>
      <c r="DL85" s="36"/>
      <c r="DM85" s="36"/>
      <c r="DN85" s="36"/>
      <c r="DO85" s="36"/>
      <c r="DP85" s="36"/>
      <c r="DQ85" s="36"/>
      <c r="DR85" s="36"/>
      <c r="DS85" s="36"/>
      <c r="DT85" s="36"/>
      <c r="DU85" s="36"/>
      <c r="DV85" s="36"/>
      <c r="DW85" s="36"/>
      <c r="DX85" s="36"/>
      <c r="DY85" s="36"/>
      <c r="DZ85" s="36"/>
      <c r="EA85" s="36"/>
      <c r="EB85" s="36"/>
      <c r="EC85" s="36"/>
      <c r="ED85" s="36"/>
      <c r="EE85" s="36"/>
      <c r="EF85" s="36"/>
      <c r="EG85" s="36"/>
      <c r="EH85" s="36"/>
      <c r="EI85" s="36"/>
      <c r="EJ85" s="36"/>
      <c r="EK85" s="36"/>
      <c r="EL85" s="36"/>
      <c r="EM85" s="36"/>
      <c r="EN85" s="36"/>
      <c r="EO85" s="36"/>
      <c r="EP85" s="36"/>
      <c r="EQ85" s="36"/>
      <c r="ER85" s="36"/>
      <c r="ES85" s="36"/>
      <c r="ET85" s="36"/>
      <c r="EU85" s="36"/>
      <c r="EV85" s="36"/>
      <c r="EW85" s="36"/>
      <c r="EX85" s="36"/>
      <c r="EY85" s="36"/>
      <c r="EZ85" s="36"/>
      <c r="FA85" s="36"/>
      <c r="FB85" s="36"/>
      <c r="FC85" s="36"/>
      <c r="FD85" s="36"/>
      <c r="FE85" s="36"/>
      <c r="FF85" s="36"/>
      <c r="FG85" s="36"/>
      <c r="FH85" s="36"/>
      <c r="FI85" s="36"/>
      <c r="FJ85" s="36"/>
    </row>
    <row r="86" spans="1:16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B86" s="36"/>
      <c r="DC86" s="36"/>
      <c r="DD86" s="36"/>
      <c r="DE86" s="36"/>
      <c r="DF86" s="36"/>
      <c r="DG86" s="36"/>
      <c r="DH86" s="36"/>
      <c r="DI86" s="36"/>
      <c r="DJ86" s="36"/>
      <c r="DK86" s="36"/>
      <c r="DL86" s="36"/>
      <c r="DM86" s="36"/>
      <c r="DN86" s="36"/>
      <c r="DO86" s="36"/>
      <c r="DP86" s="36"/>
      <c r="DQ86" s="36"/>
      <c r="DR86" s="36"/>
      <c r="DS86" s="36"/>
      <c r="DT86" s="36"/>
      <c r="DU86" s="36"/>
      <c r="DV86" s="36"/>
      <c r="DW86" s="36"/>
      <c r="DX86" s="36"/>
      <c r="DY86" s="36"/>
      <c r="DZ86" s="36"/>
      <c r="EA86" s="36"/>
      <c r="EB86" s="36"/>
      <c r="EC86" s="36"/>
      <c r="ED86" s="36"/>
      <c r="EE86" s="36"/>
      <c r="EF86" s="36"/>
      <c r="EG86" s="36"/>
      <c r="EH86" s="36"/>
      <c r="EI86" s="36"/>
      <c r="EJ86" s="36"/>
      <c r="EK86" s="36"/>
      <c r="EL86" s="36"/>
      <c r="EM86" s="36"/>
      <c r="EN86" s="36"/>
      <c r="EO86" s="36"/>
      <c r="EP86" s="36"/>
      <c r="EQ86" s="36"/>
      <c r="ER86" s="36"/>
      <c r="ES86" s="36"/>
      <c r="ET86" s="36"/>
      <c r="EU86" s="36"/>
      <c r="EV86" s="36"/>
      <c r="EW86" s="36"/>
      <c r="EX86" s="36"/>
      <c r="EY86" s="36"/>
      <c r="EZ86" s="36"/>
      <c r="FA86" s="36"/>
      <c r="FB86" s="36"/>
      <c r="FC86" s="36"/>
      <c r="FD86" s="36"/>
      <c r="FE86" s="36"/>
      <c r="FF86" s="36"/>
      <c r="FG86" s="36"/>
      <c r="FH86" s="36"/>
      <c r="FI86" s="36"/>
      <c r="FJ86" s="36"/>
    </row>
    <row r="87" spans="1:166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/>
      <c r="CF87" s="36"/>
      <c r="CG87" s="36"/>
      <c r="CH87" s="36"/>
      <c r="CI87" s="36"/>
      <c r="CJ87" s="36"/>
      <c r="CK87" s="36"/>
      <c r="CL87" s="36"/>
      <c r="CM87" s="36"/>
      <c r="CN87" s="36"/>
      <c r="CO87" s="36"/>
      <c r="CP87" s="36"/>
      <c r="CQ87" s="36"/>
      <c r="CR87" s="36"/>
      <c r="CS87" s="36"/>
      <c r="CT87" s="36"/>
      <c r="CU87" s="36"/>
      <c r="CV87" s="36"/>
      <c r="CW87" s="36"/>
      <c r="CX87" s="36"/>
      <c r="CY87" s="36"/>
      <c r="CZ87" s="36"/>
      <c r="DA87" s="36"/>
      <c r="DB87" s="36"/>
      <c r="DC87" s="36"/>
      <c r="DD87" s="36"/>
      <c r="DE87" s="36"/>
      <c r="DF87" s="36"/>
      <c r="DG87" s="36"/>
      <c r="DH87" s="36"/>
      <c r="DI87" s="36"/>
      <c r="DJ87" s="36"/>
      <c r="DK87" s="36"/>
      <c r="DL87" s="36"/>
      <c r="DM87" s="36"/>
      <c r="DN87" s="36"/>
      <c r="DO87" s="36"/>
      <c r="DP87" s="36"/>
      <c r="DQ87" s="36"/>
      <c r="DR87" s="36"/>
      <c r="DS87" s="36"/>
      <c r="DT87" s="36"/>
      <c r="DU87" s="36"/>
      <c r="DV87" s="36"/>
      <c r="DW87" s="36"/>
      <c r="DX87" s="36"/>
      <c r="DY87" s="36"/>
      <c r="DZ87" s="36"/>
      <c r="EA87" s="36"/>
      <c r="EB87" s="36"/>
      <c r="EC87" s="36"/>
      <c r="ED87" s="36"/>
      <c r="EE87" s="36"/>
      <c r="EF87" s="36"/>
      <c r="EG87" s="36"/>
      <c r="EH87" s="36"/>
      <c r="EI87" s="36"/>
      <c r="EJ87" s="36"/>
      <c r="EK87" s="36"/>
      <c r="EL87" s="36"/>
      <c r="EM87" s="36"/>
      <c r="EN87" s="36"/>
      <c r="EO87" s="36"/>
      <c r="EP87" s="36"/>
      <c r="EQ87" s="36"/>
      <c r="ER87" s="36"/>
      <c r="ES87" s="36"/>
      <c r="ET87" s="36"/>
      <c r="EU87" s="36"/>
      <c r="EV87" s="36"/>
      <c r="EW87" s="36"/>
      <c r="EX87" s="36"/>
      <c r="EY87" s="36"/>
      <c r="EZ87" s="36"/>
      <c r="FA87" s="36"/>
      <c r="FB87" s="36"/>
      <c r="FC87" s="36"/>
      <c r="FD87" s="36"/>
      <c r="FE87" s="36"/>
      <c r="FF87" s="36"/>
      <c r="FG87" s="36"/>
      <c r="FH87" s="36"/>
      <c r="FI87" s="36"/>
      <c r="FJ87" s="36"/>
    </row>
    <row r="88" spans="1:166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  <c r="CE88" s="36"/>
      <c r="CF88" s="36"/>
      <c r="CG88" s="36"/>
      <c r="CH88" s="36"/>
      <c r="CI88" s="36"/>
      <c r="CJ88" s="36"/>
      <c r="CK88" s="36"/>
      <c r="CL88" s="36"/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B88" s="36"/>
      <c r="DC88" s="36"/>
      <c r="DD88" s="36"/>
      <c r="DE88" s="36"/>
      <c r="DF88" s="36"/>
      <c r="DG88" s="36"/>
      <c r="DH88" s="36"/>
      <c r="DI88" s="36"/>
      <c r="DJ88" s="36"/>
      <c r="DK88" s="36"/>
      <c r="DL88" s="36"/>
      <c r="DM88" s="36"/>
      <c r="DN88" s="36"/>
      <c r="DO88" s="36"/>
      <c r="DP88" s="36"/>
      <c r="DQ88" s="36"/>
      <c r="DR88" s="36"/>
      <c r="DS88" s="36"/>
      <c r="DT88" s="36"/>
      <c r="DU88" s="36"/>
      <c r="DV88" s="36"/>
      <c r="DW88" s="36"/>
      <c r="DX88" s="36"/>
      <c r="DY88" s="36"/>
      <c r="DZ88" s="36"/>
      <c r="EA88" s="36"/>
      <c r="EB88" s="36"/>
      <c r="EC88" s="36"/>
      <c r="ED88" s="36"/>
      <c r="EE88" s="36"/>
      <c r="EF88" s="36"/>
      <c r="EG88" s="36"/>
      <c r="EH88" s="36"/>
      <c r="EI88" s="36"/>
      <c r="EJ88" s="36"/>
      <c r="EK88" s="36"/>
      <c r="EL88" s="36"/>
      <c r="EM88" s="36"/>
      <c r="EN88" s="36"/>
      <c r="EO88" s="36"/>
      <c r="EP88" s="36"/>
      <c r="EQ88" s="36"/>
      <c r="ER88" s="36"/>
      <c r="ES88" s="36"/>
      <c r="ET88" s="36"/>
      <c r="EU88" s="36"/>
      <c r="EV88" s="36"/>
      <c r="EW88" s="36"/>
      <c r="EX88" s="36"/>
      <c r="EY88" s="36"/>
      <c r="EZ88" s="36"/>
      <c r="FA88" s="36"/>
      <c r="FB88" s="36"/>
      <c r="FC88" s="36"/>
      <c r="FD88" s="36"/>
      <c r="FE88" s="36"/>
      <c r="FF88" s="36"/>
      <c r="FG88" s="36"/>
      <c r="FH88" s="36"/>
      <c r="FI88" s="36"/>
      <c r="FJ88" s="36"/>
    </row>
    <row r="89" spans="1:166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H89" s="36"/>
      <c r="CI89" s="36"/>
      <c r="CJ89" s="36"/>
      <c r="CK89" s="36"/>
      <c r="CL89" s="36"/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B89" s="36"/>
      <c r="DC89" s="36"/>
      <c r="DD89" s="36"/>
      <c r="DE89" s="36"/>
      <c r="DF89" s="36"/>
      <c r="DG89" s="36"/>
      <c r="DH89" s="36"/>
      <c r="DI89" s="36"/>
      <c r="DJ89" s="36"/>
      <c r="DK89" s="36"/>
      <c r="DL89" s="36"/>
      <c r="DM89" s="36"/>
      <c r="DN89" s="36"/>
      <c r="DO89" s="36"/>
      <c r="DP89" s="36"/>
      <c r="DQ89" s="36"/>
      <c r="DR89" s="36"/>
      <c r="DS89" s="36"/>
      <c r="DT89" s="36"/>
      <c r="DU89" s="36"/>
      <c r="DV89" s="36"/>
      <c r="DW89" s="36"/>
      <c r="DX89" s="36"/>
      <c r="DY89" s="36"/>
      <c r="DZ89" s="36"/>
      <c r="EA89" s="36"/>
      <c r="EB89" s="36"/>
      <c r="EC89" s="36"/>
      <c r="ED89" s="36"/>
      <c r="EE89" s="36"/>
      <c r="EF89" s="36"/>
      <c r="EG89" s="36"/>
      <c r="EH89" s="36"/>
      <c r="EI89" s="36"/>
      <c r="EJ89" s="36"/>
      <c r="EK89" s="36"/>
      <c r="EL89" s="36"/>
      <c r="EM89" s="36"/>
      <c r="EN89" s="36"/>
      <c r="EO89" s="36"/>
      <c r="EP89" s="36"/>
      <c r="EQ89" s="36"/>
      <c r="ER89" s="36"/>
      <c r="ES89" s="36"/>
      <c r="ET89" s="36"/>
      <c r="EU89" s="36"/>
      <c r="EV89" s="36"/>
      <c r="EW89" s="36"/>
      <c r="EX89" s="36"/>
      <c r="EY89" s="36"/>
      <c r="EZ89" s="36"/>
      <c r="FA89" s="36"/>
      <c r="FB89" s="36"/>
      <c r="FC89" s="36"/>
      <c r="FD89" s="36"/>
      <c r="FE89" s="36"/>
      <c r="FF89" s="36"/>
      <c r="FG89" s="36"/>
      <c r="FH89" s="36"/>
      <c r="FI89" s="36"/>
      <c r="FJ89" s="36"/>
    </row>
    <row r="90" spans="1:166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L90" s="36"/>
      <c r="CM90" s="36"/>
      <c r="CN90" s="36"/>
      <c r="CO90" s="36"/>
      <c r="CP90" s="36"/>
      <c r="CQ90" s="36"/>
      <c r="CR90" s="36"/>
      <c r="CS90" s="36"/>
      <c r="CT90" s="36"/>
      <c r="CU90" s="36"/>
      <c r="CV90" s="36"/>
      <c r="CW90" s="36"/>
      <c r="CX90" s="36"/>
      <c r="CY90" s="36"/>
      <c r="CZ90" s="36"/>
      <c r="DA90" s="36"/>
      <c r="DB90" s="36"/>
      <c r="DC90" s="36"/>
      <c r="DD90" s="36"/>
      <c r="DE90" s="36"/>
      <c r="DF90" s="36"/>
      <c r="DG90" s="36"/>
      <c r="DH90" s="36"/>
      <c r="DI90" s="36"/>
      <c r="DJ90" s="36"/>
      <c r="DK90" s="36"/>
      <c r="DL90" s="36"/>
      <c r="DM90" s="36"/>
      <c r="DN90" s="36"/>
      <c r="DO90" s="36"/>
      <c r="DP90" s="36"/>
      <c r="DQ90" s="36"/>
      <c r="DR90" s="36"/>
      <c r="DS90" s="36"/>
      <c r="DT90" s="36"/>
      <c r="DU90" s="36"/>
      <c r="DV90" s="36"/>
      <c r="DW90" s="36"/>
      <c r="DX90" s="36"/>
      <c r="DY90" s="36"/>
      <c r="DZ90" s="36"/>
      <c r="EA90" s="36"/>
      <c r="EB90" s="36"/>
      <c r="EC90" s="36"/>
      <c r="ED90" s="36"/>
      <c r="EE90" s="36"/>
      <c r="EF90" s="36"/>
      <c r="EG90" s="36"/>
      <c r="EH90" s="36"/>
      <c r="EI90" s="36"/>
      <c r="EJ90" s="36"/>
      <c r="EK90" s="36"/>
      <c r="EL90" s="36"/>
      <c r="EM90" s="36"/>
      <c r="EN90" s="36"/>
      <c r="EO90" s="36"/>
      <c r="EP90" s="36"/>
      <c r="EQ90" s="36"/>
      <c r="ER90" s="36"/>
      <c r="ES90" s="36"/>
      <c r="ET90" s="36"/>
      <c r="EU90" s="36"/>
      <c r="EV90" s="36"/>
      <c r="EW90" s="36"/>
      <c r="EX90" s="36"/>
      <c r="EY90" s="36"/>
      <c r="EZ90" s="36"/>
      <c r="FA90" s="36"/>
      <c r="FB90" s="36"/>
      <c r="FC90" s="36"/>
      <c r="FD90" s="36"/>
      <c r="FE90" s="36"/>
      <c r="FF90" s="36"/>
      <c r="FG90" s="36"/>
      <c r="FH90" s="36"/>
      <c r="FI90" s="36"/>
      <c r="FJ90" s="36"/>
    </row>
    <row r="91" spans="1:166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/>
      <c r="CN91" s="36"/>
      <c r="CO91" s="36"/>
      <c r="CP91" s="36"/>
      <c r="CQ91" s="36"/>
      <c r="CR91" s="36"/>
      <c r="CS91" s="36"/>
      <c r="CT91" s="36"/>
      <c r="CU91" s="36"/>
      <c r="CV91" s="36"/>
      <c r="CW91" s="36"/>
      <c r="CX91" s="36"/>
      <c r="CY91" s="36"/>
      <c r="CZ91" s="36"/>
      <c r="DA91" s="36"/>
      <c r="DB91" s="36"/>
      <c r="DC91" s="36"/>
      <c r="DD91" s="36"/>
      <c r="DE91" s="36"/>
      <c r="DF91" s="36"/>
      <c r="DG91" s="36"/>
      <c r="DH91" s="36"/>
      <c r="DI91" s="36"/>
      <c r="DJ91" s="36"/>
      <c r="DK91" s="36"/>
      <c r="DL91" s="36"/>
      <c r="DM91" s="36"/>
      <c r="DN91" s="36"/>
      <c r="DO91" s="36"/>
      <c r="DP91" s="36"/>
      <c r="DQ91" s="36"/>
      <c r="DR91" s="36"/>
      <c r="DS91" s="36"/>
      <c r="DT91" s="36"/>
      <c r="DU91" s="36"/>
      <c r="DV91" s="36"/>
      <c r="DW91" s="36"/>
      <c r="DX91" s="36"/>
      <c r="DY91" s="36"/>
      <c r="DZ91" s="36"/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36"/>
      <c r="EO91" s="36"/>
      <c r="EP91" s="36"/>
      <c r="EQ91" s="36"/>
      <c r="ER91" s="36"/>
      <c r="ES91" s="36"/>
      <c r="ET91" s="36"/>
      <c r="EU91" s="36"/>
      <c r="EV91" s="36"/>
      <c r="EW91" s="36"/>
      <c r="EX91" s="36"/>
      <c r="EY91" s="36"/>
      <c r="EZ91" s="36"/>
      <c r="FA91" s="36"/>
      <c r="FB91" s="36"/>
      <c r="FC91" s="36"/>
      <c r="FD91" s="36"/>
      <c r="FE91" s="36"/>
      <c r="FF91" s="36"/>
      <c r="FG91" s="36"/>
      <c r="FH91" s="36"/>
      <c r="FI91" s="36"/>
      <c r="FJ91" s="36"/>
    </row>
    <row r="92" spans="1:166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/>
      <c r="CL92" s="36"/>
      <c r="CM92" s="36"/>
      <c r="CN92" s="36"/>
      <c r="CO92" s="36"/>
      <c r="CP92" s="3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36"/>
      <c r="DE92" s="36"/>
      <c r="DF92" s="36"/>
      <c r="DG92" s="36"/>
      <c r="DH92" s="36"/>
      <c r="DI92" s="36"/>
      <c r="DJ92" s="36"/>
      <c r="DK92" s="36"/>
      <c r="DL92" s="36"/>
      <c r="DM92" s="36"/>
      <c r="DN92" s="36"/>
      <c r="DO92" s="36"/>
      <c r="DP92" s="36"/>
      <c r="DQ92" s="36"/>
      <c r="DR92" s="36"/>
      <c r="DS92" s="36"/>
      <c r="DT92" s="36"/>
      <c r="DU92" s="36"/>
      <c r="DV92" s="36"/>
      <c r="DW92" s="36"/>
      <c r="DX92" s="36"/>
      <c r="DY92" s="36"/>
      <c r="DZ92" s="36"/>
      <c r="EA92" s="36"/>
      <c r="EB92" s="36"/>
      <c r="EC92" s="36"/>
      <c r="ED92" s="36"/>
      <c r="EE92" s="36"/>
      <c r="EF92" s="36"/>
      <c r="EG92" s="36"/>
      <c r="EH92" s="36"/>
      <c r="EI92" s="36"/>
      <c r="EJ92" s="36"/>
      <c r="EK92" s="36"/>
      <c r="EL92" s="36"/>
      <c r="EM92" s="36"/>
      <c r="EN92" s="36"/>
      <c r="EO92" s="36"/>
      <c r="EP92" s="36"/>
      <c r="EQ92" s="36"/>
      <c r="ER92" s="36"/>
      <c r="ES92" s="36"/>
      <c r="ET92" s="36"/>
      <c r="EU92" s="36"/>
      <c r="EV92" s="36"/>
      <c r="EW92" s="36"/>
      <c r="EX92" s="36"/>
      <c r="EY92" s="36"/>
      <c r="EZ92" s="36"/>
      <c r="FA92" s="36"/>
      <c r="FB92" s="36"/>
      <c r="FC92" s="36"/>
      <c r="FD92" s="36"/>
      <c r="FE92" s="36"/>
      <c r="FF92" s="36"/>
      <c r="FG92" s="36"/>
      <c r="FH92" s="36"/>
      <c r="FI92" s="36"/>
      <c r="FJ92" s="36"/>
    </row>
    <row r="93" spans="1:166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6"/>
      <c r="CD93" s="36"/>
      <c r="CE93" s="36"/>
      <c r="CF93" s="36"/>
      <c r="CG93" s="36"/>
      <c r="CH93" s="36"/>
      <c r="CI93" s="36"/>
      <c r="CJ93" s="36"/>
      <c r="CK93" s="36"/>
      <c r="CL93" s="36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 s="36"/>
      <c r="DC93" s="36"/>
      <c r="DD93" s="36"/>
      <c r="DE93" s="36"/>
      <c r="DF93" s="36"/>
      <c r="DG93" s="36"/>
      <c r="DH93" s="36"/>
      <c r="DI93" s="36"/>
      <c r="DJ93" s="36"/>
      <c r="DK93" s="36"/>
      <c r="DL93" s="36"/>
      <c r="DM93" s="36"/>
      <c r="DN93" s="36"/>
      <c r="DO93" s="36"/>
      <c r="DP93" s="36"/>
      <c r="DQ93" s="36"/>
      <c r="DR93" s="36"/>
      <c r="DS93" s="36"/>
      <c r="DT93" s="36"/>
      <c r="DU93" s="36"/>
      <c r="DV93" s="36"/>
      <c r="DW93" s="36"/>
      <c r="DX93" s="36"/>
      <c r="DY93" s="36"/>
      <c r="DZ93" s="36"/>
      <c r="EA93" s="36"/>
      <c r="EB93" s="36"/>
      <c r="EC93" s="36"/>
      <c r="ED93" s="36"/>
      <c r="EE93" s="36"/>
      <c r="EF93" s="36"/>
      <c r="EG93" s="36"/>
      <c r="EH93" s="36"/>
      <c r="EI93" s="36"/>
      <c r="EJ93" s="36"/>
      <c r="EK93" s="36"/>
      <c r="EL93" s="36"/>
      <c r="EM93" s="36"/>
      <c r="EN93" s="36"/>
      <c r="EO93" s="36"/>
      <c r="EP93" s="36"/>
      <c r="EQ93" s="36"/>
      <c r="ER93" s="36"/>
      <c r="ES93" s="36"/>
      <c r="ET93" s="36"/>
      <c r="EU93" s="36"/>
      <c r="EV93" s="36"/>
      <c r="EW93" s="36"/>
      <c r="EX93" s="36"/>
      <c r="EY93" s="36"/>
      <c r="EZ93" s="36"/>
      <c r="FA93" s="36"/>
      <c r="FB93" s="36"/>
      <c r="FC93" s="36"/>
      <c r="FD93" s="36"/>
      <c r="FE93" s="36"/>
      <c r="FF93" s="36"/>
      <c r="FG93" s="36"/>
      <c r="FH93" s="36"/>
      <c r="FI93" s="36"/>
      <c r="FJ93" s="36"/>
    </row>
    <row r="94" spans="1:166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36"/>
      <c r="CH94" s="36"/>
      <c r="CI94" s="36"/>
      <c r="CJ94" s="36"/>
      <c r="CK94" s="36"/>
      <c r="CL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 s="36"/>
      <c r="DC94" s="36"/>
      <c r="DD94" s="36"/>
      <c r="DE94" s="36"/>
      <c r="DF94" s="36"/>
      <c r="DG94" s="36"/>
      <c r="DH94" s="36"/>
      <c r="DI94" s="36"/>
      <c r="DJ94" s="36"/>
      <c r="DK94" s="36"/>
      <c r="DL94" s="36"/>
      <c r="DM94" s="36"/>
      <c r="DN94" s="36"/>
      <c r="DO94" s="36"/>
      <c r="DP94" s="36"/>
      <c r="DQ94" s="36"/>
      <c r="DR94" s="36"/>
      <c r="DS94" s="36"/>
      <c r="DT94" s="36"/>
      <c r="DU94" s="36"/>
      <c r="DV94" s="36"/>
      <c r="DW94" s="36"/>
      <c r="DX94" s="36"/>
      <c r="DY94" s="36"/>
      <c r="DZ94" s="36"/>
      <c r="EA94" s="36"/>
      <c r="EB94" s="36"/>
      <c r="EC94" s="36"/>
      <c r="ED94" s="36"/>
      <c r="EE94" s="36"/>
      <c r="EF94" s="36"/>
      <c r="EG94" s="36"/>
      <c r="EH94" s="36"/>
      <c r="EI94" s="36"/>
      <c r="EJ94" s="36"/>
      <c r="EK94" s="36"/>
      <c r="EL94" s="36"/>
      <c r="EM94" s="36"/>
      <c r="EN94" s="36"/>
      <c r="EO94" s="36"/>
      <c r="EP94" s="36"/>
      <c r="EQ94" s="36"/>
      <c r="ER94" s="36"/>
      <c r="ES94" s="36"/>
      <c r="ET94" s="36"/>
      <c r="EU94" s="36"/>
      <c r="EV94" s="36"/>
      <c r="EW94" s="36"/>
      <c r="EX94" s="36"/>
      <c r="EY94" s="36"/>
      <c r="EZ94" s="36"/>
      <c r="FA94" s="36"/>
      <c r="FB94" s="36"/>
      <c r="FC94" s="36"/>
      <c r="FD94" s="36"/>
      <c r="FE94" s="36"/>
      <c r="FF94" s="36"/>
      <c r="FG94" s="36"/>
      <c r="FH94" s="36"/>
      <c r="FI94" s="36"/>
      <c r="FJ94" s="36"/>
    </row>
    <row r="95" spans="1:166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CL95" s="36"/>
      <c r="CM95" s="36"/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  <c r="CY95" s="36"/>
      <c r="CZ95" s="36"/>
      <c r="DA95" s="36"/>
      <c r="DB95" s="36"/>
      <c r="DC95" s="36"/>
      <c r="DD95" s="36"/>
      <c r="DE95" s="36"/>
      <c r="DF95" s="36"/>
      <c r="DG95" s="36"/>
      <c r="DH95" s="36"/>
      <c r="DI95" s="36"/>
      <c r="DJ95" s="36"/>
      <c r="DK95" s="36"/>
      <c r="DL95" s="36"/>
      <c r="DM95" s="36"/>
      <c r="DN95" s="36"/>
      <c r="DO95" s="36"/>
      <c r="DP95" s="36"/>
      <c r="DQ95" s="36"/>
      <c r="DR95" s="36"/>
      <c r="DS95" s="36"/>
      <c r="DT95" s="36"/>
      <c r="DU95" s="36"/>
      <c r="DV95" s="36"/>
      <c r="DW95" s="36"/>
      <c r="DX95" s="36"/>
      <c r="DY95" s="36"/>
      <c r="DZ95" s="36"/>
      <c r="EA95" s="36"/>
      <c r="EB95" s="36"/>
      <c r="EC95" s="36"/>
      <c r="ED95" s="36"/>
      <c r="EE95" s="36"/>
      <c r="EF95" s="36"/>
      <c r="EG95" s="36"/>
      <c r="EH95" s="36"/>
      <c r="EI95" s="36"/>
      <c r="EJ95" s="36"/>
      <c r="EK95" s="36"/>
      <c r="EL95" s="36"/>
      <c r="EM95" s="36"/>
      <c r="EN95" s="36"/>
      <c r="EO95" s="36"/>
      <c r="EP95" s="36"/>
      <c r="EQ95" s="36"/>
      <c r="ER95" s="36"/>
      <c r="ES95" s="36"/>
      <c r="ET95" s="36"/>
      <c r="EU95" s="36"/>
      <c r="EV95" s="36"/>
      <c r="EW95" s="36"/>
      <c r="EX95" s="36"/>
      <c r="EY95" s="36"/>
      <c r="EZ95" s="36"/>
      <c r="FA95" s="36"/>
      <c r="FB95" s="36"/>
      <c r="FC95" s="36"/>
      <c r="FD95" s="36"/>
      <c r="FE95" s="36"/>
      <c r="FF95" s="36"/>
      <c r="FG95" s="36"/>
      <c r="FH95" s="36"/>
      <c r="FI95" s="36"/>
      <c r="FJ95" s="36"/>
    </row>
    <row r="96" spans="1:16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/>
      <c r="CD96" s="36"/>
      <c r="CE96" s="36"/>
      <c r="CF96" s="36"/>
      <c r="CG96" s="36"/>
      <c r="CH96" s="36"/>
      <c r="CI96" s="36"/>
      <c r="CJ96" s="36"/>
      <c r="CK96" s="36"/>
      <c r="CL96" s="36"/>
      <c r="CM96" s="36"/>
      <c r="CN96" s="36"/>
      <c r="CO96" s="36"/>
      <c r="CP96" s="36"/>
      <c r="CQ96" s="36"/>
      <c r="CR96" s="36"/>
      <c r="CS96" s="36"/>
      <c r="CT96" s="36"/>
      <c r="CU96" s="36"/>
      <c r="CV96" s="36"/>
      <c r="CW96" s="36"/>
      <c r="CX96" s="36"/>
      <c r="CY96" s="36"/>
      <c r="CZ96" s="36"/>
      <c r="DA96" s="36"/>
      <c r="DB96" s="36"/>
      <c r="DC96" s="36"/>
      <c r="DD96" s="36"/>
      <c r="DE96" s="36"/>
      <c r="DF96" s="36"/>
      <c r="DG96" s="36"/>
      <c r="DH96" s="36"/>
      <c r="DI96" s="36"/>
      <c r="DJ96" s="36"/>
      <c r="DK96" s="36"/>
      <c r="DL96" s="36"/>
      <c r="DM96" s="36"/>
      <c r="DN96" s="36"/>
      <c r="DO96" s="36"/>
      <c r="DP96" s="36"/>
      <c r="DQ96" s="36"/>
      <c r="DR96" s="36"/>
      <c r="DS96" s="36"/>
      <c r="DT96" s="36"/>
      <c r="DU96" s="36"/>
      <c r="DV96" s="36"/>
      <c r="DW96" s="36"/>
      <c r="DX96" s="36"/>
      <c r="DY96" s="36"/>
      <c r="DZ96" s="36"/>
      <c r="EA96" s="36"/>
      <c r="EB96" s="36"/>
      <c r="EC96" s="36"/>
      <c r="ED96" s="36"/>
      <c r="EE96" s="36"/>
      <c r="EF96" s="36"/>
      <c r="EG96" s="36"/>
      <c r="EH96" s="36"/>
      <c r="EI96" s="36"/>
      <c r="EJ96" s="36"/>
      <c r="EK96" s="36"/>
      <c r="EL96" s="36"/>
      <c r="EM96" s="36"/>
      <c r="EN96" s="36"/>
      <c r="EO96" s="36"/>
      <c r="EP96" s="36"/>
      <c r="EQ96" s="36"/>
      <c r="ER96" s="36"/>
      <c r="ES96" s="36"/>
      <c r="ET96" s="36"/>
      <c r="EU96" s="36"/>
      <c r="EV96" s="36"/>
      <c r="EW96" s="36"/>
      <c r="EX96" s="36"/>
      <c r="EY96" s="36"/>
      <c r="EZ96" s="36"/>
      <c r="FA96" s="36"/>
      <c r="FB96" s="36"/>
      <c r="FC96" s="36"/>
      <c r="FD96" s="36"/>
      <c r="FE96" s="36"/>
      <c r="FF96" s="36"/>
      <c r="FG96" s="36"/>
      <c r="FH96" s="36"/>
      <c r="FI96" s="36"/>
      <c r="FJ96" s="36"/>
    </row>
    <row r="97" spans="1:166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</row>
    <row r="98" spans="1:166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</row>
    <row r="99" spans="1:166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</row>
    <row r="100" spans="1:166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9"/>
      <c r="B1" s="54" t="s">
        <v>7</v>
      </c>
      <c r="C1" s="55"/>
      <c r="D1" s="55"/>
      <c r="E1" s="55"/>
      <c r="F1" s="55"/>
      <c r="G1" s="55"/>
      <c r="H1" s="56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11"/>
      <c r="B2" s="11"/>
      <c r="C2" s="11"/>
      <c r="D2" s="11"/>
      <c r="E2" s="11"/>
      <c r="F2" s="11"/>
      <c r="G2" s="11"/>
      <c r="H2" s="11"/>
      <c r="I2" s="11"/>
      <c r="J2" s="12" t="e">
        <f>VLOOKUP($E$3,_MasterData!B4:D1000,3,FALSE)</f>
        <v>#N/A</v>
      </c>
      <c r="K2" s="12"/>
      <c r="L2" s="11"/>
      <c r="M2" s="11"/>
      <c r="N2" s="11"/>
      <c r="O2" s="11"/>
    </row>
    <row r="3" spans="1:154" ht="15.75" customHeight="1">
      <c r="A3" s="13"/>
      <c r="B3" s="2" t="s">
        <v>4</v>
      </c>
      <c r="C3" s="14" t="s">
        <v>58</v>
      </c>
      <c r="D3" s="2" t="s">
        <v>5</v>
      </c>
      <c r="E3" s="14" t="s">
        <v>9</v>
      </c>
      <c r="F3" s="2" t="s">
        <v>10</v>
      </c>
      <c r="G3" s="15" t="s">
        <v>11</v>
      </c>
      <c r="H3" s="2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spans="1:154" ht="15.75" customHeight="1">
      <c r="A4" s="17"/>
      <c r="B4" s="17" t="str">
        <f ca="1">IFERROR(__xludf.DUMMYFUNCTION("IF(C3="""","""",Transpose(IMPORTRANGE('_Settings'!$B$3,C3&amp;""!A4:A1000"")))"),"DeleteClientData")</f>
        <v>DeleteClientData</v>
      </c>
      <c r="C4" s="17" t="str">
        <f ca="1">IFERROR(__xludf.DUMMYFUNCTION("""COMPUTED_VALUE"""),"")</f>
        <v/>
      </c>
      <c r="D4" s="17" t="str">
        <f ca="1">IFERROR(__xludf.DUMMYFUNCTION("""COMPUTED_VALUE"""),"")</f>
        <v/>
      </c>
      <c r="E4" s="17" t="str">
        <f ca="1">IFERROR(__xludf.DUMMYFUNCTION("""COMPUTED_VALUE"""),"")</f>
        <v/>
      </c>
      <c r="F4" s="17" t="str">
        <f ca="1">IFERROR(__xludf.DUMMYFUNCTION("""COMPUTED_VALUE"""),"")</f>
        <v/>
      </c>
      <c r="G4" s="17" t="str">
        <f ca="1">IFERROR(__xludf.DUMMYFUNCTION("""COMPUTED_VALUE"""),"")</f>
        <v/>
      </c>
      <c r="H4" s="17" t="str">
        <f ca="1">IFERROR(__xludf.DUMMYFUNCTION("""COMPUTED_VALUE"""),"")</f>
        <v/>
      </c>
      <c r="I4" s="17" t="str">
        <f ca="1">IFERROR(__xludf.DUMMYFUNCTION("""COMPUTED_VALUE"""),"")</f>
        <v/>
      </c>
      <c r="J4" s="17" t="str">
        <f ca="1">IFERROR(__xludf.DUMMYFUNCTION("""COMPUTED_VALUE"""),"")</f>
        <v/>
      </c>
      <c r="K4" s="17" t="str">
        <f ca="1">IFERROR(__xludf.DUMMYFUNCTION("""COMPUTED_VALUE"""),"")</f>
        <v/>
      </c>
      <c r="L4" s="17" t="str">
        <f ca="1">IFERROR(__xludf.DUMMYFUNCTION("""COMPUTED_VALUE"""),"")</f>
        <v/>
      </c>
      <c r="M4" s="17" t="str">
        <f ca="1">IFERROR(__xludf.DUMMYFUNCTION("""COMPUTED_VALUE"""),"")</f>
        <v/>
      </c>
      <c r="N4" s="17" t="str">
        <f ca="1">IFERROR(__xludf.DUMMYFUNCTION("""COMPUTED_VALUE"""),"")</f>
        <v/>
      </c>
      <c r="O4" s="17" t="str">
        <f ca="1">IFERROR(__xludf.DUMMYFUNCTION("""COMPUTED_VALUE"""),"")</f>
        <v/>
      </c>
      <c r="P4" s="18" t="str">
        <f ca="1">IFERROR(__xludf.DUMMYFUNCTION("""COMPUTED_VALUE"""),"")</f>
        <v/>
      </c>
      <c r="Q4" s="18" t="str">
        <f ca="1">IFERROR(__xludf.DUMMYFUNCTION("""COMPUTED_VALUE"""),"")</f>
        <v/>
      </c>
      <c r="R4" s="18" t="str">
        <f ca="1">IFERROR(__xludf.DUMMYFUNCTION("""COMPUTED_VALUE"""),"")</f>
        <v/>
      </c>
      <c r="S4" s="18" t="str">
        <f ca="1">IFERROR(__xludf.DUMMYFUNCTION("""COMPUTED_VALUE"""),"")</f>
        <v/>
      </c>
      <c r="T4" s="18" t="str">
        <f ca="1">IFERROR(__xludf.DUMMYFUNCTION("""COMPUTED_VALUE"""),"")</f>
        <v/>
      </c>
      <c r="U4" s="18" t="str">
        <f ca="1">IFERROR(__xludf.DUMMYFUNCTION("""COMPUTED_VALUE"""),"")</f>
        <v/>
      </c>
      <c r="V4" s="18" t="str">
        <f ca="1">IFERROR(__xludf.DUMMYFUNCTION("""COMPUTED_VALUE"""),"")</f>
        <v/>
      </c>
      <c r="W4" s="18" t="str">
        <f ca="1">IFERROR(__xludf.DUMMYFUNCTION("""COMPUTED_VALUE"""),"")</f>
        <v/>
      </c>
      <c r="X4" s="18" t="str">
        <f ca="1">IFERROR(__xludf.DUMMYFUNCTION("""COMPUTED_VALUE"""),"")</f>
        <v/>
      </c>
      <c r="Y4" s="18" t="str">
        <f ca="1">IFERROR(__xludf.DUMMYFUNCTION("""COMPUTED_VALUE"""),"")</f>
        <v/>
      </c>
      <c r="Z4" s="18" t="str">
        <f ca="1">IFERROR(__xludf.DUMMYFUNCTION("""COMPUTED_VALUE"""),"")</f>
        <v/>
      </c>
      <c r="AA4" s="18" t="str">
        <f ca="1">IFERROR(__xludf.DUMMYFUNCTION("""COMPUTED_VALUE"""),"")</f>
        <v/>
      </c>
      <c r="AB4" s="18" t="str">
        <f ca="1">IFERROR(__xludf.DUMMYFUNCTION("""COMPUTED_VALUE"""),"")</f>
        <v/>
      </c>
      <c r="AC4" s="18" t="str">
        <f ca="1">IFERROR(__xludf.DUMMYFUNCTION("""COMPUTED_VALUE"""),"")</f>
        <v/>
      </c>
      <c r="AD4" s="18" t="str">
        <f ca="1">IFERROR(__xludf.DUMMYFUNCTION("""COMPUTED_VALUE"""),"")</f>
        <v/>
      </c>
      <c r="AE4" s="18" t="str">
        <f ca="1">IFERROR(__xludf.DUMMYFUNCTION("""COMPUTED_VALUE"""),"")</f>
        <v/>
      </c>
      <c r="AF4" s="18" t="str">
        <f ca="1">IFERROR(__xludf.DUMMYFUNCTION("""COMPUTED_VALUE"""),"")</f>
        <v/>
      </c>
      <c r="AG4" s="18" t="str">
        <f ca="1">IFERROR(__xludf.DUMMYFUNCTION("""COMPUTED_VALUE"""),"")</f>
        <v/>
      </c>
      <c r="AH4" s="18" t="str">
        <f ca="1">IFERROR(__xludf.DUMMYFUNCTION("""COMPUTED_VALUE"""),"")</f>
        <v/>
      </c>
      <c r="AI4" s="18" t="str">
        <f ca="1">IFERROR(__xludf.DUMMYFUNCTION("""COMPUTED_VALUE"""),"")</f>
        <v/>
      </c>
      <c r="AJ4" s="18" t="str">
        <f ca="1">IFERROR(__xludf.DUMMYFUNCTION("""COMPUTED_VALUE"""),"")</f>
        <v/>
      </c>
      <c r="AK4" s="18" t="str">
        <f ca="1">IFERROR(__xludf.DUMMYFUNCTION("""COMPUTED_VALUE"""),"")</f>
        <v/>
      </c>
      <c r="AL4" s="18" t="str">
        <f ca="1">IFERROR(__xludf.DUMMYFUNCTION("""COMPUTED_VALUE"""),"")</f>
        <v/>
      </c>
      <c r="AM4" s="18" t="str">
        <f ca="1">IFERROR(__xludf.DUMMYFUNCTION("""COMPUTED_VALUE"""),"")</f>
        <v/>
      </c>
      <c r="AN4" s="18" t="str">
        <f ca="1">IFERROR(__xludf.DUMMYFUNCTION("""COMPUTED_VALUE"""),"")</f>
        <v/>
      </c>
      <c r="AO4" s="18" t="str">
        <f ca="1">IFERROR(__xludf.DUMMYFUNCTION("""COMPUTED_VALUE"""),"")</f>
        <v/>
      </c>
      <c r="AP4" s="18" t="str">
        <f ca="1">IFERROR(__xludf.DUMMYFUNCTION("""COMPUTED_VALUE"""),"")</f>
        <v/>
      </c>
      <c r="AQ4" s="18" t="str">
        <f ca="1">IFERROR(__xludf.DUMMYFUNCTION("""COMPUTED_VALUE"""),"")</f>
        <v/>
      </c>
      <c r="AR4" s="18" t="str">
        <f ca="1">IFERROR(__xludf.DUMMYFUNCTION("""COMPUTED_VALUE"""),"")</f>
        <v/>
      </c>
      <c r="AS4" s="18" t="str">
        <f ca="1">IFERROR(__xludf.DUMMYFUNCTION("""COMPUTED_VALUE"""),"")</f>
        <v/>
      </c>
      <c r="AT4" s="18" t="str">
        <f ca="1">IFERROR(__xludf.DUMMYFUNCTION("""COMPUTED_VALUE"""),"")</f>
        <v/>
      </c>
      <c r="AU4" s="18" t="str">
        <f ca="1">IFERROR(__xludf.DUMMYFUNCTION("""COMPUTED_VALUE"""),"")</f>
        <v/>
      </c>
      <c r="AV4" s="18" t="str">
        <f ca="1">IFERROR(__xludf.DUMMYFUNCTION("""COMPUTED_VALUE"""),"")</f>
        <v/>
      </c>
      <c r="AW4" s="18" t="str">
        <f ca="1">IFERROR(__xludf.DUMMYFUNCTION("""COMPUTED_VALUE"""),"")</f>
        <v/>
      </c>
      <c r="AX4" s="18" t="str">
        <f ca="1">IFERROR(__xludf.DUMMYFUNCTION("""COMPUTED_VALUE"""),"")</f>
        <v/>
      </c>
      <c r="AY4" s="18" t="str">
        <f ca="1">IFERROR(__xludf.DUMMYFUNCTION("""COMPUTED_VALUE"""),"")</f>
        <v/>
      </c>
      <c r="AZ4" s="18" t="str">
        <f ca="1">IFERROR(__xludf.DUMMYFUNCTION("""COMPUTED_VALUE"""),"")</f>
        <v/>
      </c>
      <c r="BA4" s="18" t="str">
        <f ca="1">IFERROR(__xludf.DUMMYFUNCTION("""COMPUTED_VALUE"""),"")</f>
        <v/>
      </c>
      <c r="BB4" s="18" t="str">
        <f ca="1">IFERROR(__xludf.DUMMYFUNCTION("""COMPUTED_VALUE"""),"")</f>
        <v/>
      </c>
      <c r="BC4" s="18" t="str">
        <f ca="1">IFERROR(__xludf.DUMMYFUNCTION("""COMPUTED_VALUE"""),"")</f>
        <v/>
      </c>
      <c r="BD4" s="18" t="str">
        <f ca="1">IFERROR(__xludf.DUMMYFUNCTION("""COMPUTED_VALUE"""),"")</f>
        <v/>
      </c>
      <c r="BE4" s="18" t="str">
        <f ca="1">IFERROR(__xludf.DUMMYFUNCTION("""COMPUTED_VALUE"""),"")</f>
        <v/>
      </c>
      <c r="BF4" s="18" t="str">
        <f ca="1">IFERROR(__xludf.DUMMYFUNCTION("""COMPUTED_VALUE"""),"")</f>
        <v/>
      </c>
      <c r="BG4" s="18" t="str">
        <f ca="1">IFERROR(__xludf.DUMMYFUNCTION("""COMPUTED_VALUE"""),"")</f>
        <v/>
      </c>
      <c r="BH4" s="18" t="str">
        <f ca="1">IFERROR(__xludf.DUMMYFUNCTION("""COMPUTED_VALUE"""),"")</f>
        <v/>
      </c>
      <c r="BI4" s="18" t="str">
        <f ca="1">IFERROR(__xludf.DUMMYFUNCTION("""COMPUTED_VALUE"""),"")</f>
        <v/>
      </c>
      <c r="BJ4" s="18" t="str">
        <f ca="1">IFERROR(__xludf.DUMMYFUNCTION("""COMPUTED_VALUE"""),"")</f>
        <v/>
      </c>
      <c r="BK4" s="18" t="str">
        <f ca="1">IFERROR(__xludf.DUMMYFUNCTION("""COMPUTED_VALUE"""),"")</f>
        <v/>
      </c>
      <c r="BL4" s="18" t="str">
        <f ca="1">IFERROR(__xludf.DUMMYFUNCTION("""COMPUTED_VALUE"""),"")</f>
        <v/>
      </c>
      <c r="BM4" s="18" t="str">
        <f ca="1">IFERROR(__xludf.DUMMYFUNCTION("""COMPUTED_VALUE"""),"")</f>
        <v/>
      </c>
      <c r="BN4" s="18" t="str">
        <f ca="1">IFERROR(__xludf.DUMMYFUNCTION("""COMPUTED_VALUE"""),"")</f>
        <v/>
      </c>
      <c r="BO4" s="18" t="str">
        <f ca="1">IFERROR(__xludf.DUMMYFUNCTION("""COMPUTED_VALUE"""),"")</f>
        <v/>
      </c>
      <c r="BP4" s="18" t="str">
        <f ca="1">IFERROR(__xludf.DUMMYFUNCTION("""COMPUTED_VALUE"""),"")</f>
        <v/>
      </c>
      <c r="BQ4" s="18" t="str">
        <f ca="1">IFERROR(__xludf.DUMMYFUNCTION("""COMPUTED_VALUE"""),"")</f>
        <v/>
      </c>
      <c r="BR4" s="18" t="str">
        <f ca="1">IFERROR(__xludf.DUMMYFUNCTION("""COMPUTED_VALUE"""),"")</f>
        <v/>
      </c>
      <c r="BS4" s="18" t="str">
        <f ca="1">IFERROR(__xludf.DUMMYFUNCTION("""COMPUTED_VALUE"""),"")</f>
        <v/>
      </c>
      <c r="BT4" s="18" t="str">
        <f ca="1">IFERROR(__xludf.DUMMYFUNCTION("""COMPUTED_VALUE"""),"")</f>
        <v/>
      </c>
      <c r="BU4" s="18" t="str">
        <f ca="1">IFERROR(__xludf.DUMMYFUNCTION("""COMPUTED_VALUE"""),"")</f>
        <v/>
      </c>
      <c r="BV4" s="18" t="str">
        <f ca="1">IFERROR(__xludf.DUMMYFUNCTION("""COMPUTED_VALUE"""),"")</f>
        <v/>
      </c>
      <c r="BW4" s="18" t="str">
        <f ca="1">IFERROR(__xludf.DUMMYFUNCTION("""COMPUTED_VALUE"""),"")</f>
        <v/>
      </c>
      <c r="BX4" s="18" t="str">
        <f ca="1">IFERROR(__xludf.DUMMYFUNCTION("""COMPUTED_VALUE"""),"")</f>
        <v/>
      </c>
      <c r="BY4" s="18" t="str">
        <f ca="1">IFERROR(__xludf.DUMMYFUNCTION("""COMPUTED_VALUE"""),"")</f>
        <v/>
      </c>
      <c r="BZ4" s="18" t="str">
        <f ca="1">IFERROR(__xludf.DUMMYFUNCTION("""COMPUTED_VALUE"""),"")</f>
        <v/>
      </c>
      <c r="CA4" s="18" t="str">
        <f ca="1">IFERROR(__xludf.DUMMYFUNCTION("""COMPUTED_VALUE"""),"")</f>
        <v/>
      </c>
      <c r="CB4" s="18" t="str">
        <f ca="1">IFERROR(__xludf.DUMMYFUNCTION("""COMPUTED_VALUE"""),"")</f>
        <v/>
      </c>
      <c r="CC4" s="18" t="str">
        <f ca="1">IFERROR(__xludf.DUMMYFUNCTION("""COMPUTED_VALUE"""),"")</f>
        <v/>
      </c>
      <c r="CD4" s="18" t="str">
        <f ca="1">IFERROR(__xludf.DUMMYFUNCTION("""COMPUTED_VALUE"""),"")</f>
        <v/>
      </c>
      <c r="CE4" s="18" t="str">
        <f ca="1">IFERROR(__xludf.DUMMYFUNCTION("""COMPUTED_VALUE"""),"")</f>
        <v/>
      </c>
      <c r="CF4" s="18" t="str">
        <f ca="1">IFERROR(__xludf.DUMMYFUNCTION("""COMPUTED_VALUE"""),"")</f>
        <v/>
      </c>
      <c r="CG4" s="18" t="str">
        <f ca="1">IFERROR(__xludf.DUMMYFUNCTION("""COMPUTED_VALUE"""),"")</f>
        <v/>
      </c>
      <c r="CH4" s="18" t="str">
        <f ca="1">IFERROR(__xludf.DUMMYFUNCTION("""COMPUTED_VALUE"""),"")</f>
        <v/>
      </c>
      <c r="CI4" s="18" t="str">
        <f ca="1">IFERROR(__xludf.DUMMYFUNCTION("""COMPUTED_VALUE"""),"")</f>
        <v/>
      </c>
      <c r="CJ4" s="18" t="str">
        <f ca="1">IFERROR(__xludf.DUMMYFUNCTION("""COMPUTED_VALUE"""),"")</f>
        <v/>
      </c>
      <c r="CK4" s="18" t="str">
        <f ca="1">IFERROR(__xludf.DUMMYFUNCTION("""COMPUTED_VALUE"""),"")</f>
        <v/>
      </c>
      <c r="CL4" s="18" t="str">
        <f ca="1">IFERROR(__xludf.DUMMYFUNCTION("""COMPUTED_VALUE"""),"")</f>
        <v/>
      </c>
      <c r="CM4" s="18" t="str">
        <f ca="1">IFERROR(__xludf.DUMMYFUNCTION("""COMPUTED_VALUE"""),"")</f>
        <v/>
      </c>
      <c r="CN4" s="18" t="str">
        <f ca="1">IFERROR(__xludf.DUMMYFUNCTION("""COMPUTED_VALUE"""),"")</f>
        <v/>
      </c>
      <c r="CO4" s="18" t="str">
        <f ca="1">IFERROR(__xludf.DUMMYFUNCTION("""COMPUTED_VALUE"""),"")</f>
        <v/>
      </c>
      <c r="CP4" s="18" t="str">
        <f ca="1">IFERROR(__xludf.DUMMYFUNCTION("""COMPUTED_VALUE"""),"")</f>
        <v/>
      </c>
      <c r="CQ4" s="18" t="str">
        <f ca="1">IFERROR(__xludf.DUMMYFUNCTION("""COMPUTED_VALUE"""),"")</f>
        <v/>
      </c>
      <c r="CR4" s="18" t="str">
        <f ca="1">IFERROR(__xludf.DUMMYFUNCTION("""COMPUTED_VALUE"""),"")</f>
        <v/>
      </c>
      <c r="CS4" s="18" t="str">
        <f ca="1">IFERROR(__xludf.DUMMYFUNCTION("""COMPUTED_VALUE"""),"")</f>
        <v/>
      </c>
      <c r="CT4" s="18" t="str">
        <f ca="1">IFERROR(__xludf.DUMMYFUNCTION("""COMPUTED_VALUE"""),"")</f>
        <v/>
      </c>
      <c r="CU4" s="18" t="str">
        <f ca="1">IFERROR(__xludf.DUMMYFUNCTION("""COMPUTED_VALUE"""),"")</f>
        <v/>
      </c>
      <c r="CV4" s="18" t="str">
        <f ca="1">IFERROR(__xludf.DUMMYFUNCTION("""COMPUTED_VALUE"""),"")</f>
        <v/>
      </c>
      <c r="CW4" s="18" t="str">
        <f ca="1">IFERROR(__xludf.DUMMYFUNCTION("""COMPUTED_VALUE"""),"")</f>
        <v/>
      </c>
      <c r="CX4" s="18" t="str">
        <f ca="1">IFERROR(__xludf.DUMMYFUNCTION("""COMPUTED_VALUE"""),"")</f>
        <v/>
      </c>
      <c r="CY4" s="18" t="str">
        <f ca="1">IFERROR(__xludf.DUMMYFUNCTION("""COMPUTED_VALUE"""),"")</f>
        <v/>
      </c>
      <c r="CZ4" s="18" t="str">
        <f ca="1">IFERROR(__xludf.DUMMYFUNCTION("""COMPUTED_VALUE"""),"")</f>
        <v/>
      </c>
      <c r="DA4" s="18" t="str">
        <f ca="1">IFERROR(__xludf.DUMMYFUNCTION("""COMPUTED_VALUE"""),"")</f>
        <v/>
      </c>
      <c r="DB4" s="18" t="str">
        <f ca="1">IFERROR(__xludf.DUMMYFUNCTION("""COMPUTED_VALUE"""),"")</f>
        <v/>
      </c>
      <c r="DC4" s="18" t="str">
        <f ca="1">IFERROR(__xludf.DUMMYFUNCTION("""COMPUTED_VALUE"""),"")</f>
        <v/>
      </c>
      <c r="DD4" s="18" t="str">
        <f ca="1">IFERROR(__xludf.DUMMYFUNCTION("""COMPUTED_VALUE"""),"")</f>
        <v/>
      </c>
      <c r="DE4" s="18" t="str">
        <f ca="1">IFERROR(__xludf.DUMMYFUNCTION("""COMPUTED_VALUE"""),"")</f>
        <v/>
      </c>
      <c r="DF4" s="18" t="str">
        <f ca="1">IFERROR(__xludf.DUMMYFUNCTION("""COMPUTED_VALUE"""),"")</f>
        <v/>
      </c>
      <c r="DG4" s="18" t="str">
        <f ca="1">IFERROR(__xludf.DUMMYFUNCTION("""COMPUTED_VALUE"""),"")</f>
        <v/>
      </c>
      <c r="DH4" s="18" t="str">
        <f ca="1">IFERROR(__xludf.DUMMYFUNCTION("""COMPUTED_VALUE"""),"")</f>
        <v/>
      </c>
      <c r="DI4" s="18" t="str">
        <f ca="1">IFERROR(__xludf.DUMMYFUNCTION("""COMPUTED_VALUE"""),"")</f>
        <v/>
      </c>
      <c r="DJ4" s="18" t="str">
        <f ca="1">IFERROR(__xludf.DUMMYFUNCTION("""COMPUTED_VALUE"""),"")</f>
        <v/>
      </c>
      <c r="DK4" s="18" t="str">
        <f ca="1">IFERROR(__xludf.DUMMYFUNCTION("""COMPUTED_VALUE"""),"")</f>
        <v/>
      </c>
      <c r="DL4" s="18" t="str">
        <f ca="1">IFERROR(__xludf.DUMMYFUNCTION("""COMPUTED_VALUE"""),"")</f>
        <v/>
      </c>
      <c r="DM4" s="18" t="str">
        <f ca="1">IFERROR(__xludf.DUMMYFUNCTION("""COMPUTED_VALUE"""),"")</f>
        <v/>
      </c>
      <c r="DN4" s="18" t="str">
        <f ca="1">IFERROR(__xludf.DUMMYFUNCTION("""COMPUTED_VALUE"""),"")</f>
        <v/>
      </c>
      <c r="DO4" s="18" t="str">
        <f ca="1">IFERROR(__xludf.DUMMYFUNCTION("""COMPUTED_VALUE"""),"")</f>
        <v/>
      </c>
      <c r="DP4" s="18" t="str">
        <f ca="1">IFERROR(__xludf.DUMMYFUNCTION("""COMPUTED_VALUE"""),"")</f>
        <v/>
      </c>
      <c r="DQ4" s="18" t="str">
        <f ca="1">IFERROR(__xludf.DUMMYFUNCTION("""COMPUTED_VALUE"""),"")</f>
        <v/>
      </c>
      <c r="DR4" s="18" t="str">
        <f ca="1">IFERROR(__xludf.DUMMYFUNCTION("""COMPUTED_VALUE"""),"")</f>
        <v/>
      </c>
      <c r="DS4" s="18" t="str">
        <f ca="1">IFERROR(__xludf.DUMMYFUNCTION("""COMPUTED_VALUE"""),"")</f>
        <v/>
      </c>
      <c r="DT4" s="18" t="str">
        <f ca="1">IFERROR(__xludf.DUMMYFUNCTION("""COMPUTED_VALUE"""),"")</f>
        <v/>
      </c>
      <c r="DU4" s="18" t="str">
        <f ca="1">IFERROR(__xludf.DUMMYFUNCTION("""COMPUTED_VALUE"""),"")</f>
        <v/>
      </c>
      <c r="DV4" s="18" t="str">
        <f ca="1">IFERROR(__xludf.DUMMYFUNCTION("""COMPUTED_VALUE"""),"")</f>
        <v/>
      </c>
      <c r="DW4" s="18" t="str">
        <f ca="1">IFERROR(__xludf.DUMMYFUNCTION("""COMPUTED_VALUE"""),"")</f>
        <v/>
      </c>
      <c r="DX4" s="18" t="str">
        <f ca="1">IFERROR(__xludf.DUMMYFUNCTION("""COMPUTED_VALUE"""),"")</f>
        <v/>
      </c>
      <c r="DY4" s="18" t="str">
        <f ca="1">IFERROR(__xludf.DUMMYFUNCTION("""COMPUTED_VALUE"""),"")</f>
        <v/>
      </c>
      <c r="DZ4" s="18" t="str">
        <f ca="1">IFERROR(__xludf.DUMMYFUNCTION("""COMPUTED_VALUE"""),"")</f>
        <v/>
      </c>
      <c r="EA4" s="18" t="str">
        <f ca="1">IFERROR(__xludf.DUMMYFUNCTION("""COMPUTED_VALUE"""),"")</f>
        <v/>
      </c>
      <c r="EB4" s="18" t="str">
        <f ca="1">IFERROR(__xludf.DUMMYFUNCTION("""COMPUTED_VALUE"""),"")</f>
        <v/>
      </c>
      <c r="EC4" s="18" t="str">
        <f ca="1">IFERROR(__xludf.DUMMYFUNCTION("""COMPUTED_VALUE"""),"")</f>
        <v/>
      </c>
      <c r="ED4" s="18" t="str">
        <f ca="1">IFERROR(__xludf.DUMMYFUNCTION("""COMPUTED_VALUE"""),"")</f>
        <v/>
      </c>
      <c r="EE4" s="18" t="str">
        <f ca="1">IFERROR(__xludf.DUMMYFUNCTION("""COMPUTED_VALUE"""),"")</f>
        <v/>
      </c>
      <c r="EF4" s="18" t="str">
        <f ca="1">IFERROR(__xludf.DUMMYFUNCTION("""COMPUTED_VALUE"""),"")</f>
        <v/>
      </c>
      <c r="EG4" s="18" t="str">
        <f ca="1">IFERROR(__xludf.DUMMYFUNCTION("""COMPUTED_VALUE"""),"")</f>
        <v/>
      </c>
      <c r="EH4" s="18" t="str">
        <f ca="1">IFERROR(__xludf.DUMMYFUNCTION("""COMPUTED_VALUE"""),"")</f>
        <v/>
      </c>
      <c r="EI4" s="18" t="str">
        <f ca="1">IFERROR(__xludf.DUMMYFUNCTION("""COMPUTED_VALUE"""),"")</f>
        <v/>
      </c>
      <c r="EJ4" s="18" t="str">
        <f ca="1">IFERROR(__xludf.DUMMYFUNCTION("""COMPUTED_VALUE"""),"")</f>
        <v/>
      </c>
      <c r="EK4" s="18" t="str">
        <f ca="1">IFERROR(__xludf.DUMMYFUNCTION("""COMPUTED_VALUE"""),"")</f>
        <v/>
      </c>
      <c r="EL4" s="18" t="str">
        <f ca="1">IFERROR(__xludf.DUMMYFUNCTION("""COMPUTED_VALUE"""),"")</f>
        <v/>
      </c>
      <c r="EM4" s="18" t="str">
        <f ca="1">IFERROR(__xludf.DUMMYFUNCTION("""COMPUTED_VALUE"""),"")</f>
        <v/>
      </c>
      <c r="EN4" s="18" t="str">
        <f ca="1">IFERROR(__xludf.DUMMYFUNCTION("""COMPUTED_VALUE"""),"")</f>
        <v/>
      </c>
      <c r="EO4" s="18" t="str">
        <f ca="1">IFERROR(__xludf.DUMMYFUNCTION("""COMPUTED_VALUE"""),"")</f>
        <v/>
      </c>
      <c r="EP4" s="18" t="str">
        <f ca="1">IFERROR(__xludf.DUMMYFUNCTION("""COMPUTED_VALUE"""),"")</f>
        <v/>
      </c>
      <c r="EQ4" s="18" t="str">
        <f ca="1">IFERROR(__xludf.DUMMYFUNCTION("""COMPUTED_VALUE"""),"")</f>
        <v/>
      </c>
      <c r="ER4" s="18" t="str">
        <f ca="1">IFERROR(__xludf.DUMMYFUNCTION("""COMPUTED_VALUE"""),"")</f>
        <v/>
      </c>
      <c r="ES4" s="18" t="str">
        <f ca="1">IFERROR(__xludf.DUMMYFUNCTION("""COMPUTED_VALUE"""),"")</f>
        <v/>
      </c>
      <c r="ET4" s="18" t="str">
        <f ca="1">IFERROR(__xludf.DUMMYFUNCTION("""COMPUTED_VALUE"""),"")</f>
        <v/>
      </c>
      <c r="EU4" s="18" t="str">
        <f ca="1">IFERROR(__xludf.DUMMYFUNCTION("""COMPUTED_VALUE"""),"")</f>
        <v/>
      </c>
      <c r="EV4" s="18" t="str">
        <f ca="1">IFERROR(__xludf.DUMMYFUNCTION("""COMPUTED_VALUE"""),"")</f>
        <v/>
      </c>
      <c r="EW4" s="18" t="str">
        <f ca="1">IFERROR(__xludf.DUMMYFUNCTION("""COMPUTED_VALUE"""),"")</f>
        <v/>
      </c>
      <c r="EX4" s="18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IFERROR(__xludf.DUMMYFUNCTION("TRANSPOSE(IMPORTRANGE(VLOOKUP($E$3,IMPORTRANGE('_Settings'!$B$3,$C$3&amp;""!A4:B1000""),2,FALSE),$G$3&amp;""!A4:A1000""))"),"#N/A")</f>
        <v>#N/A</v>
      </c>
      <c r="B5" s="21"/>
      <c r="C5" s="21"/>
      <c r="D5" s="21"/>
      <c r="E5" s="21"/>
      <c r="F5" s="22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</row>
    <row r="6" spans="1:154" ht="15.75" customHeight="1">
      <c r="A6" s="19"/>
      <c r="B6" s="19" t="s">
        <v>59</v>
      </c>
      <c r="C6" s="11"/>
      <c r="D6" s="19" t="s">
        <v>60</v>
      </c>
      <c r="E6" s="26">
        <v>1000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4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4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4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4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4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4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4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4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4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_Modules</vt:lpstr>
      <vt:lpstr>_Settings</vt:lpstr>
      <vt:lpstr>_MasterData</vt:lpstr>
      <vt:lpstr>CreateDoneAwayOrder</vt:lpstr>
      <vt:lpstr>PricingInput</vt:lpstr>
      <vt:lpstr>GetDayEndCash</vt:lpstr>
      <vt:lpstr>CreateDoneAwayOrder1</vt:lpstr>
      <vt:lpstr>GetMarkPriceData</vt:lpstr>
      <vt:lpstr>UpdateMarkPrice</vt:lpstr>
      <vt:lpstr>CheckPortfolioManagement</vt:lpstr>
      <vt:lpstr>DeleteClientData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2021-08-04T09:41:45Z</dcterms:modified>
</cp:coreProperties>
</file>