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<sst xmlns="http://schemas.openxmlformats.org/spreadsheetml/2006/main" count="2835" uniqueCount="63">
  <si>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</si>
  <si>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</si>
  <si>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</si>
  <si>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</si>
  <si>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</si>
  <si>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</si>
  <si>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</si>
  <si>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</si>
  <si>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</si>
  <si>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</si>
  <si>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</si>
  <si>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</si>
  <si>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</si>
  <si>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</si>
  <si>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</si>
  <si>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</si>
  <si>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</si>
  <si>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</si>
  <si>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</si>
  <si>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</si>
  <si>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</si>
  <si>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</si>
  <si>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</si>
  <si>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</si>
  <si>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</si>
  <si>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 xml:space="preserve">Buy 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</si>
  <si>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</si>
  <si>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</si>
  <si>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</si>
  <si>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</si>
  <si>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</si>
  <si>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</si>
  <si>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</si>
  <si>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</si>
  <si>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</si>
  <si>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</si>
  <si>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</si>
  <si>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</si>
  <si>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</si>
  <si>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</si>
  <si>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Allocation1</t>
  </si>
  <si>
    <t>MS</t>
  </si>
  <si>
    <t>Open</t>
  </si>
  <si>
    <t>NASDAQ</t>
  </si>
  <si>
    <t>Buy</t>
  </si>
  <si>
    <t>US</t>
  </si>
  <si>
    <t>SellShort</t>
  </si>
  <si>
    <t>Closed</t>
  </si>
  <si>
    <t>OPTS</t>
  </si>
  <si>
    <t>BuytoOpen</t>
  </si>
  <si>
    <t>Sell to Close</t>
  </si>
  <si>
    <t>Exercise</t>
  </si>
  <si>
    <t>Buy to Close</t>
  </si>
  <si>
    <t>CheckAllocatedTaxlots</t>
  </si>
  <si>
    <t>M</t>
  </si>
  <si>
    <t>USD</t>
  </si>
  <si>
    <t>Strategy Unallocated</t>
  </si>
  <si>
    <t>D</t>
  </si>
  <si>
    <t>PortfolioManagement</t>
  </si>
  <si>
    <t>CheckPortfolioManagement</t>
  </si>
  <si>
    <t>NewMF</t>
  </si>
  <si>
    <t>FIMAT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</si>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</sst>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6" fontId="14" numFmtId="14" xfId="0" applyAlignment="1" applyFill="1" applyFont="1" applyNumberFormat="1">
      <alignment horizontal="left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f>TODAY()-3</f>
        <v>45152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1">
        <f>TODAY()-2</f>
        <v>45153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31">
        <f>TODAY()-1</f>
        <v>45154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13"/>
      <c r="F6" s="13"/>
      <c r="G6" s="8"/>
      <c r="H6" s="8"/>
      <c r="I6" s="8"/>
      <c r="J6" s="13">
        <v>1.0</v>
      </c>
      <c r="K6" s="8"/>
      <c r="L6" s="8"/>
      <c r="M6" s="8"/>
      <c r="N6" s="36">
        <f>TODAY()-10</f>
        <v>45145</v>
      </c>
      <c r="O6" s="8"/>
    </row>
    <row r="7" ht="15.75" customHeight="1">
      <c r="A7" s="8"/>
      <c r="B7" s="13" t="s">
        <v>24</v>
      </c>
      <c r="C7" s="13" t="s">
        <v>26</v>
      </c>
      <c r="D7" s="13">
        <v>50.0</v>
      </c>
      <c r="E7" s="13"/>
      <c r="F7" s="13"/>
      <c r="G7" s="8"/>
      <c r="H7" s="8"/>
      <c r="I7" s="8"/>
      <c r="J7" s="13">
        <v>10.0</v>
      </c>
      <c r="K7" s="8"/>
      <c r="L7" s="8"/>
      <c r="M7" s="8"/>
      <c r="N7" s="37">
        <f>TODAY()-8</f>
        <v>45147</v>
      </c>
      <c r="O7" s="8"/>
    </row>
    <row r="8" ht="15.75" customHeight="1">
      <c r="A8" s="8"/>
      <c r="B8" s="13" t="s">
        <v>16</v>
      </c>
      <c r="C8" s="13" t="s">
        <v>27</v>
      </c>
      <c r="D8" s="13">
        <v>10.0</v>
      </c>
      <c r="E8" s="8"/>
      <c r="F8" s="13"/>
      <c r="G8" s="8"/>
      <c r="H8" s="8"/>
      <c r="I8" s="8"/>
      <c r="J8" s="13">
        <v>10.0</v>
      </c>
      <c r="K8" s="8"/>
      <c r="L8" s="8"/>
      <c r="M8" s="8"/>
      <c r="N8" s="37">
        <f>TODAY()-7</f>
        <v>45148</v>
      </c>
      <c r="O8" s="8"/>
    </row>
    <row r="9" ht="15.75" customHeight="1">
      <c r="A9" s="8"/>
      <c r="B9" s="13" t="s">
        <v>17</v>
      </c>
      <c r="C9" s="13" t="s">
        <v>27</v>
      </c>
      <c r="D9" s="13">
        <v>10.0</v>
      </c>
      <c r="E9" s="8"/>
      <c r="F9" s="13"/>
      <c r="G9" s="8"/>
      <c r="H9" s="8"/>
      <c r="I9" s="8"/>
      <c r="J9" s="13">
        <v>10.0</v>
      </c>
      <c r="K9" s="8"/>
      <c r="L9" s="8"/>
      <c r="M9" s="8"/>
      <c r="N9" s="37">
        <f t="shared" ref="N9:N10" si="1">TODAY()-8</f>
        <v>45147</v>
      </c>
      <c r="O9" s="8"/>
    </row>
    <row r="10" ht="15.75" customHeight="1">
      <c r="A10" s="8"/>
      <c r="B10" s="13" t="s">
        <v>18</v>
      </c>
      <c r="C10" s="13" t="s">
        <v>27</v>
      </c>
      <c r="D10" s="13">
        <v>10.0</v>
      </c>
      <c r="E10" s="8"/>
      <c r="F10" s="13"/>
      <c r="G10" s="8"/>
      <c r="H10" s="8"/>
      <c r="I10" s="8"/>
      <c r="J10" s="13">
        <v>10.0</v>
      </c>
      <c r="K10" s="8"/>
      <c r="L10" s="8"/>
      <c r="M10" s="8"/>
      <c r="N10" s="37">
        <f t="shared" si="1"/>
        <v>45147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f>today()-1</f>
        <v>45154</v>
      </c>
      <c r="C6" s="38">
        <f>today()</f>
        <v>45155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9">
        <v>120.0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32</v>
      </c>
      <c r="C6" s="41" t="s">
        <v>33</v>
      </c>
      <c r="D6" s="41">
        <f>TODAY()</f>
        <v>45155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0"/>
      <c r="C6" s="34"/>
      <c r="D6" s="33"/>
      <c r="E6" s="42"/>
      <c r="F6" s="34"/>
      <c r="G6" s="34"/>
      <c r="H6" s="34"/>
      <c r="I6" s="39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1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/>
      <c r="C7" s="34"/>
      <c r="D7" s="34"/>
      <c r="E7" s="42"/>
      <c r="F7" s="34"/>
      <c r="G7" s="34"/>
      <c r="H7" s="34"/>
      <c r="I7" s="39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1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/>
      <c r="C8" s="34"/>
      <c r="D8" s="34"/>
      <c r="E8" s="42"/>
      <c r="F8" s="34"/>
      <c r="G8" s="34"/>
      <c r="H8" s="34"/>
      <c r="I8" s="39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1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CM9" s="34"/>
      <c r="DH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M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M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32</v>
      </c>
      <c r="C6" s="41" t="s">
        <v>33</v>
      </c>
      <c r="D6" s="41">
        <f>TODAY()</f>
        <v>45155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39</v>
      </c>
      <c r="B6" s="44" t="s">
        <v>40</v>
      </c>
      <c r="C6" s="8" t="s">
        <v>39</v>
      </c>
      <c r="D6" s="44"/>
      <c r="E6" s="8">
        <v>100.0</v>
      </c>
      <c r="F6" s="8"/>
      <c r="G6" s="8"/>
      <c r="H6" s="8"/>
      <c r="I6" s="8"/>
      <c r="J6" s="8">
        <v>1.0</v>
      </c>
      <c r="K6" s="8"/>
      <c r="L6" s="8"/>
      <c r="M6" s="8"/>
      <c r="N6" s="8" t="s">
        <v>39</v>
      </c>
      <c r="O6" s="8" t="s">
        <v>41</v>
      </c>
      <c r="S6" t="s">
        <v>42</v>
      </c>
      <c r="X6" t="s">
        <v>39</v>
      </c>
      <c r="Y6" t="s">
        <v>39</v>
      </c>
      <c r="AD6" t="s">
        <v>43</v>
      </c>
      <c r="AE6">
        <v>100.0</v>
      </c>
      <c r="AF6" t="s">
        <v>39</v>
      </c>
      <c r="AI6">
        <v>1.0</v>
      </c>
      <c r="BJ6">
        <v>100.0</v>
      </c>
      <c r="BL6" t="s">
        <v>39</v>
      </c>
      <c r="BO6" t="s">
        <v>44</v>
      </c>
      <c r="BT6" t="s">
        <v>24</v>
      </c>
      <c r="CI6" t="s">
        <v>44</v>
      </c>
      <c r="CK6" t="s">
        <v>45</v>
      </c>
      <c r="CM6" t="s">
        <v>24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D6">
        <v>0.0</v>
      </c>
      <c r="FE6" t="s">
        <v>39</v>
      </c>
      <c r="FF6" t="s">
        <v>39</v>
      </c>
      <c r="FG6">
        <v>0.0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40</v>
      </c>
      <c r="C7" s="8" t="s">
        <v>39</v>
      </c>
      <c r="D7" s="8"/>
      <c r="E7" s="8">
        <v>50.0</v>
      </c>
      <c r="F7" s="8"/>
      <c r="G7" s="8"/>
      <c r="H7" s="8"/>
      <c r="I7" s="8"/>
      <c r="J7" s="8">
        <v>1.0</v>
      </c>
      <c r="K7" s="8"/>
      <c r="L7" s="8"/>
      <c r="M7" s="8"/>
      <c r="N7" s="8" t="s">
        <v>39</v>
      </c>
      <c r="O7" s="8" t="s">
        <v>41</v>
      </c>
      <c r="S7" t="s">
        <v>42</v>
      </c>
      <c r="X7" t="s">
        <v>39</v>
      </c>
      <c r="Y7" t="s">
        <v>39</v>
      </c>
      <c r="AD7" t="s">
        <v>43</v>
      </c>
      <c r="AE7">
        <v>50.0</v>
      </c>
      <c r="AF7" t="s">
        <v>39</v>
      </c>
      <c r="AI7">
        <v>1.0</v>
      </c>
      <c r="BJ7">
        <v>50.0</v>
      </c>
      <c r="BL7" t="s">
        <v>39</v>
      </c>
      <c r="BO7" t="s">
        <v>26</v>
      </c>
      <c r="BT7" t="s">
        <v>24</v>
      </c>
      <c r="CI7" t="s">
        <v>46</v>
      </c>
      <c r="CK7" t="s">
        <v>45</v>
      </c>
      <c r="CM7" t="s">
        <v>24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D7">
        <v>0.0</v>
      </c>
      <c r="FE7" t="s">
        <v>39</v>
      </c>
      <c r="FF7" t="s">
        <v>39</v>
      </c>
      <c r="FG7">
        <v>0.0</v>
      </c>
      <c r="FH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40</v>
      </c>
      <c r="C8" s="8" t="s">
        <v>39</v>
      </c>
      <c r="D8" s="8"/>
      <c r="E8" s="8">
        <v>10.0</v>
      </c>
      <c r="F8" s="8"/>
      <c r="G8" s="8"/>
      <c r="H8" s="8"/>
      <c r="I8" s="8"/>
      <c r="J8" s="8">
        <v>12.0</v>
      </c>
      <c r="K8" s="8"/>
      <c r="L8" s="8"/>
      <c r="M8" s="8"/>
      <c r="N8" s="8" t="s">
        <v>39</v>
      </c>
      <c r="O8" s="8" t="s">
        <v>41</v>
      </c>
      <c r="S8" t="s">
        <v>47</v>
      </c>
      <c r="X8" t="s">
        <v>39</v>
      </c>
      <c r="Y8" t="s">
        <v>39</v>
      </c>
      <c r="AD8" t="s">
        <v>48</v>
      </c>
      <c r="AE8">
        <v>10.0</v>
      </c>
      <c r="AF8" t="s">
        <v>39</v>
      </c>
      <c r="AI8">
        <v>1.0</v>
      </c>
      <c r="BJ8">
        <v>10.0</v>
      </c>
      <c r="BL8" t="s">
        <v>39</v>
      </c>
      <c r="BO8" t="s">
        <v>27</v>
      </c>
      <c r="BT8" t="s">
        <v>16</v>
      </c>
      <c r="CI8" t="s">
        <v>49</v>
      </c>
      <c r="CK8" t="s">
        <v>45</v>
      </c>
      <c r="CM8" t="s">
        <v>24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D8">
        <v>0.0</v>
      </c>
      <c r="FE8" t="s">
        <v>39</v>
      </c>
      <c r="FF8" t="s">
        <v>39</v>
      </c>
      <c r="FG8">
        <v>0.0</v>
      </c>
      <c r="FH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40</v>
      </c>
      <c r="C9" s="8" t="s">
        <v>39</v>
      </c>
      <c r="D9" s="8"/>
      <c r="E9" s="8">
        <v>10.0</v>
      </c>
      <c r="F9" s="8"/>
      <c r="G9" s="8"/>
      <c r="H9" s="8"/>
      <c r="I9" s="8"/>
      <c r="J9" s="8">
        <v>12.0</v>
      </c>
      <c r="K9" s="8"/>
      <c r="L9" s="8"/>
      <c r="M9" s="8"/>
      <c r="N9" s="8" t="s">
        <v>39</v>
      </c>
      <c r="O9" s="8" t="s">
        <v>41</v>
      </c>
      <c r="S9" t="s">
        <v>47</v>
      </c>
      <c r="X9" t="s">
        <v>39</v>
      </c>
      <c r="Y9" t="s">
        <v>39</v>
      </c>
      <c r="AD9" t="s">
        <v>48</v>
      </c>
      <c r="AE9">
        <v>10.0</v>
      </c>
      <c r="AF9" t="s">
        <v>39</v>
      </c>
      <c r="AI9">
        <v>1.0</v>
      </c>
      <c r="BJ9">
        <v>10.0</v>
      </c>
      <c r="BL9" t="s">
        <v>39</v>
      </c>
      <c r="BO9" t="s">
        <v>27</v>
      </c>
      <c r="BT9" t="s">
        <v>17</v>
      </c>
      <c r="CI9" t="s">
        <v>49</v>
      </c>
      <c r="CK9" t="s">
        <v>45</v>
      </c>
      <c r="CM9" t="s">
        <v>24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D9">
        <v>0.0</v>
      </c>
      <c r="FE9" t="s">
        <v>39</v>
      </c>
      <c r="FF9" t="s">
        <v>39</v>
      </c>
      <c r="FG9">
        <v>0.0</v>
      </c>
      <c r="FH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40</v>
      </c>
      <c r="C10" s="8" t="s">
        <v>39</v>
      </c>
      <c r="D10" s="8"/>
      <c r="E10" s="8">
        <v>10.0</v>
      </c>
      <c r="F10" s="8"/>
      <c r="G10" s="8"/>
      <c r="I10" s="8"/>
      <c r="J10" s="8">
        <v>12.0</v>
      </c>
      <c r="K10" s="8"/>
      <c r="L10" s="8"/>
      <c r="M10" s="8"/>
      <c r="N10" s="8" t="s">
        <v>39</v>
      </c>
      <c r="O10" s="8" t="s">
        <v>41</v>
      </c>
      <c r="S10" t="s">
        <v>47</v>
      </c>
      <c r="X10" t="s">
        <v>39</v>
      </c>
      <c r="Y10" t="s">
        <v>39</v>
      </c>
      <c r="AD10" t="s">
        <v>48</v>
      </c>
      <c r="AE10">
        <v>10.0</v>
      </c>
      <c r="AF10" t="s">
        <v>39</v>
      </c>
      <c r="AI10">
        <v>1.0</v>
      </c>
      <c r="BJ10">
        <v>10.0</v>
      </c>
      <c r="BL10" t="s">
        <v>39</v>
      </c>
      <c r="BO10" t="s">
        <v>50</v>
      </c>
      <c r="BT10" t="s">
        <v>16</v>
      </c>
      <c r="CI10" t="s">
        <v>51</v>
      </c>
      <c r="CK10" t="s">
        <v>45</v>
      </c>
      <c r="CM10" t="s">
        <v>24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D10">
        <v>0.0</v>
      </c>
      <c r="FE10" t="s">
        <v>39</v>
      </c>
      <c r="FF10" t="s">
        <v>39</v>
      </c>
      <c r="FG10">
        <v>0.0</v>
      </c>
      <c r="FH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40</v>
      </c>
      <c r="C11" s="8" t="s">
        <v>39</v>
      </c>
      <c r="D11" s="8"/>
      <c r="E11" s="8">
        <v>10.0</v>
      </c>
      <c r="F11" s="8"/>
      <c r="G11" s="8"/>
      <c r="H11" s="8"/>
      <c r="I11" s="8"/>
      <c r="J11" s="8">
        <v>12.0</v>
      </c>
      <c r="K11" s="8"/>
      <c r="L11" s="8"/>
      <c r="M11" s="8"/>
      <c r="N11" s="8" t="s">
        <v>39</v>
      </c>
      <c r="O11" s="8" t="s">
        <v>41</v>
      </c>
      <c r="S11" t="s">
        <v>47</v>
      </c>
      <c r="X11" t="s">
        <v>39</v>
      </c>
      <c r="Y11" t="s">
        <v>39</v>
      </c>
      <c r="AD11" t="s">
        <v>48</v>
      </c>
      <c r="AE11">
        <v>10.0</v>
      </c>
      <c r="AF11" t="s">
        <v>39</v>
      </c>
      <c r="AI11">
        <v>1.0</v>
      </c>
      <c r="BJ11">
        <v>10.0</v>
      </c>
      <c r="BL11" t="s">
        <v>39</v>
      </c>
      <c r="BO11" t="s">
        <v>27</v>
      </c>
      <c r="BT11" t="s">
        <v>18</v>
      </c>
      <c r="CI11" t="s">
        <v>49</v>
      </c>
      <c r="CK11" t="s">
        <v>45</v>
      </c>
      <c r="CM11" t="s">
        <v>24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D11">
        <v>0.0</v>
      </c>
      <c r="FE11" t="s">
        <v>39</v>
      </c>
      <c r="FF11" t="s">
        <v>39</v>
      </c>
      <c r="FG11">
        <v>-102250.0</v>
      </c>
      <c r="FH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40</v>
      </c>
      <c r="C12" s="8" t="s">
        <v>39</v>
      </c>
      <c r="D12" s="8"/>
      <c r="E12" s="8">
        <v>10.0</v>
      </c>
      <c r="F12" s="8"/>
      <c r="G12" s="8"/>
      <c r="H12" s="8"/>
      <c r="I12" s="8"/>
      <c r="J12" s="8">
        <v>12.0</v>
      </c>
      <c r="K12" s="8"/>
      <c r="L12" s="8"/>
      <c r="M12" s="8"/>
      <c r="N12" s="8" t="s">
        <v>39</v>
      </c>
      <c r="O12" s="8" t="s">
        <v>41</v>
      </c>
      <c r="S12" t="s">
        <v>47</v>
      </c>
      <c r="X12" t="s">
        <v>39</v>
      </c>
      <c r="Y12" t="s">
        <v>39</v>
      </c>
      <c r="AD12" t="s">
        <v>48</v>
      </c>
      <c r="AE12">
        <v>10.0</v>
      </c>
      <c r="AF12" t="s">
        <v>39</v>
      </c>
      <c r="AI12">
        <v>1.0</v>
      </c>
      <c r="BJ12">
        <v>10.0</v>
      </c>
      <c r="BL12" t="s">
        <v>39</v>
      </c>
      <c r="BO12" t="s">
        <v>50</v>
      </c>
      <c r="BT12" t="s">
        <v>17</v>
      </c>
      <c r="CI12" t="s">
        <v>51</v>
      </c>
      <c r="CK12" t="s">
        <v>45</v>
      </c>
      <c r="CM12" t="s">
        <v>24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D12">
        <v>0.0</v>
      </c>
      <c r="FE12" t="s">
        <v>39</v>
      </c>
      <c r="FF12" t="s">
        <v>39</v>
      </c>
      <c r="FG12">
        <v>-103250.0</v>
      </c>
      <c r="FH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40</v>
      </c>
      <c r="C13" s="8" t="s">
        <v>39</v>
      </c>
      <c r="D13" s="8"/>
      <c r="E13" s="8">
        <v>10.0</v>
      </c>
      <c r="F13" s="8"/>
      <c r="G13" s="8"/>
      <c r="H13" s="8"/>
      <c r="I13" s="8"/>
      <c r="J13" s="8">
        <v>12.0</v>
      </c>
      <c r="K13" s="8"/>
      <c r="L13" s="8"/>
      <c r="M13" s="8"/>
      <c r="N13" s="8" t="s">
        <v>39</v>
      </c>
      <c r="O13" s="8" t="s">
        <v>41</v>
      </c>
      <c r="S13" t="s">
        <v>47</v>
      </c>
      <c r="X13" t="s">
        <v>39</v>
      </c>
      <c r="Y13" t="s">
        <v>39</v>
      </c>
      <c r="AD13" t="s">
        <v>48</v>
      </c>
      <c r="AE13">
        <v>10.0</v>
      </c>
      <c r="AF13" t="s">
        <v>39</v>
      </c>
      <c r="AI13">
        <v>1.0</v>
      </c>
      <c r="BJ13">
        <v>10.0</v>
      </c>
      <c r="BL13" t="s">
        <v>39</v>
      </c>
      <c r="BO13" t="s">
        <v>50</v>
      </c>
      <c r="BT13" t="s">
        <v>18</v>
      </c>
      <c r="CI13" t="s">
        <v>51</v>
      </c>
      <c r="CK13" t="s">
        <v>45</v>
      </c>
      <c r="CM13" t="s">
        <v>24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D13">
        <v>0.0</v>
      </c>
      <c r="FE13" t="s">
        <v>39</v>
      </c>
      <c r="FF13" t="s">
        <v>39</v>
      </c>
      <c r="FG13">
        <v>0.0</v>
      </c>
      <c r="FH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40</v>
      </c>
      <c r="C14" s="8" t="s">
        <v>39</v>
      </c>
      <c r="D14" s="8"/>
      <c r="E14" s="8">
        <v>1000.0</v>
      </c>
      <c r="F14" s="8"/>
      <c r="G14" s="8"/>
      <c r="H14" s="8"/>
      <c r="I14" s="8"/>
      <c r="J14" s="8">
        <v>1.0</v>
      </c>
      <c r="K14" s="8"/>
      <c r="L14" s="8"/>
      <c r="M14" s="8"/>
      <c r="N14" s="8" t="s">
        <v>39</v>
      </c>
      <c r="O14" s="8" t="s">
        <v>41</v>
      </c>
      <c r="S14" t="s">
        <v>42</v>
      </c>
      <c r="X14" t="s">
        <v>39</v>
      </c>
      <c r="Y14" t="s">
        <v>39</v>
      </c>
      <c r="AD14" t="s">
        <v>43</v>
      </c>
      <c r="AE14">
        <v>1000.0</v>
      </c>
      <c r="AF14" t="s">
        <v>39</v>
      </c>
      <c r="AI14">
        <v>1.0</v>
      </c>
      <c r="BJ14">
        <v>1000.0</v>
      </c>
      <c r="BL14" t="s">
        <v>39</v>
      </c>
      <c r="BO14" t="s">
        <v>44</v>
      </c>
      <c r="BT14" t="s">
        <v>24</v>
      </c>
      <c r="CI14" t="s">
        <v>51</v>
      </c>
      <c r="CK14" t="s">
        <v>45</v>
      </c>
      <c r="CM14" t="s">
        <v>24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D14">
        <v>0.0</v>
      </c>
      <c r="FE14" t="s">
        <v>39</v>
      </c>
      <c r="FF14" t="s">
        <v>39</v>
      </c>
      <c r="FG14">
        <v>0.0</v>
      </c>
      <c r="FH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40</v>
      </c>
      <c r="C15" s="8" t="s">
        <v>39</v>
      </c>
      <c r="D15" s="8"/>
      <c r="E15" s="8">
        <v>1000.0</v>
      </c>
      <c r="F15" s="8"/>
      <c r="G15" s="8"/>
      <c r="H15" s="8"/>
      <c r="I15" s="8"/>
      <c r="J15" s="8">
        <v>1.0</v>
      </c>
      <c r="K15" s="8"/>
      <c r="L15" s="8"/>
      <c r="M15" s="8"/>
      <c r="N15" s="8" t="s">
        <v>39</v>
      </c>
      <c r="O15" s="8" t="s">
        <v>41</v>
      </c>
      <c r="S15" t="s">
        <v>42</v>
      </c>
      <c r="X15" t="s">
        <v>39</v>
      </c>
      <c r="Y15" t="s">
        <v>39</v>
      </c>
      <c r="AD15" t="s">
        <v>43</v>
      </c>
      <c r="AE15">
        <v>1000.0</v>
      </c>
      <c r="AF15" t="s">
        <v>39</v>
      </c>
      <c r="AI15">
        <v>1.0</v>
      </c>
      <c r="BJ15">
        <v>1000.0</v>
      </c>
      <c r="BL15" t="s">
        <v>39</v>
      </c>
      <c r="BO15" t="s">
        <v>44</v>
      </c>
      <c r="BT15" t="s">
        <v>24</v>
      </c>
      <c r="CI15" t="s">
        <v>51</v>
      </c>
      <c r="CK15" t="s">
        <v>45</v>
      </c>
      <c r="CM15" t="s">
        <v>24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D15">
        <v>0.0</v>
      </c>
      <c r="FE15" t="s">
        <v>39</v>
      </c>
      <c r="FF15" t="s">
        <v>39</v>
      </c>
      <c r="FG15">
        <v>0.0</v>
      </c>
      <c r="FH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40</v>
      </c>
      <c r="C16" s="8" t="s">
        <v>39</v>
      </c>
      <c r="D16" s="8"/>
      <c r="E16" s="8">
        <v>50.0</v>
      </c>
      <c r="F16" s="8"/>
      <c r="G16" s="8"/>
      <c r="H16" s="8"/>
      <c r="I16" s="8"/>
      <c r="J16" s="8">
        <v>1.0</v>
      </c>
      <c r="K16" s="8"/>
      <c r="L16" s="8"/>
      <c r="M16" s="8"/>
      <c r="N16" s="8" t="s">
        <v>39</v>
      </c>
      <c r="O16" s="8" t="s">
        <v>41</v>
      </c>
      <c r="S16" t="s">
        <v>42</v>
      </c>
      <c r="X16" t="s">
        <v>39</v>
      </c>
      <c r="Y16" t="s">
        <v>39</v>
      </c>
      <c r="AD16" t="s">
        <v>43</v>
      </c>
      <c r="AE16">
        <v>50.0</v>
      </c>
      <c r="AF16" t="s">
        <v>39</v>
      </c>
      <c r="AI16">
        <v>1.0</v>
      </c>
      <c r="BJ16">
        <v>50.0</v>
      </c>
      <c r="BL16" t="s">
        <v>39</v>
      </c>
      <c r="BO16" t="s">
        <v>52</v>
      </c>
      <c r="BT16" t="s">
        <v>24</v>
      </c>
      <c r="CI16" t="s">
        <v>51</v>
      </c>
      <c r="CK16" t="s">
        <v>45</v>
      </c>
      <c r="CM16" t="s">
        <v>24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C16" t="s">
        <v>39</v>
      </c>
      <c r="FD16">
        <v>0.0</v>
      </c>
      <c r="FE16" t="s">
        <v>39</v>
      </c>
      <c r="FF16" t="s">
        <v>39</v>
      </c>
      <c r="FG16">
        <v>0.0</v>
      </c>
      <c r="FH16" t="s">
        <v>39</v>
      </c>
      <c r="FI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 t="s">
        <v>39</v>
      </c>
      <c r="B17" s="8" t="s">
        <v>40</v>
      </c>
      <c r="C17" s="8" t="s">
        <v>39</v>
      </c>
      <c r="D17" s="8"/>
      <c r="E17" s="8">
        <v>950.0</v>
      </c>
      <c r="F17" s="8"/>
      <c r="G17" s="8"/>
      <c r="H17" s="8"/>
      <c r="I17" s="8"/>
      <c r="J17" s="8">
        <v>1.0</v>
      </c>
      <c r="K17" s="8"/>
      <c r="L17" s="8"/>
      <c r="M17" s="8"/>
      <c r="N17" s="8" t="s">
        <v>39</v>
      </c>
      <c r="O17" s="8" t="s">
        <v>41</v>
      </c>
      <c r="S17" t="s">
        <v>42</v>
      </c>
      <c r="X17" t="s">
        <v>39</v>
      </c>
      <c r="Y17" t="s">
        <v>39</v>
      </c>
      <c r="AD17" t="s">
        <v>43</v>
      </c>
      <c r="AE17">
        <v>950.0</v>
      </c>
      <c r="AF17" t="s">
        <v>39</v>
      </c>
      <c r="AI17">
        <v>1.0</v>
      </c>
      <c r="BJ17">
        <v>950.0</v>
      </c>
      <c r="BL17" t="s">
        <v>39</v>
      </c>
      <c r="BO17" t="s">
        <v>44</v>
      </c>
      <c r="BT17" t="s">
        <v>24</v>
      </c>
      <c r="CI17" t="s">
        <v>51</v>
      </c>
      <c r="CK17" t="s">
        <v>45</v>
      </c>
      <c r="CM17" t="s">
        <v>24</v>
      </c>
      <c r="CV17" t="s">
        <v>39</v>
      </c>
      <c r="CW17" t="s">
        <v>39</v>
      </c>
      <c r="CX17" t="s">
        <v>39</v>
      </c>
      <c r="CY17" t="s">
        <v>39</v>
      </c>
      <c r="CZ17" t="s">
        <v>39</v>
      </c>
      <c r="DA17" t="s">
        <v>39</v>
      </c>
      <c r="DB17" t="s">
        <v>39</v>
      </c>
      <c r="DC17" t="s">
        <v>39</v>
      </c>
      <c r="DD17" t="s">
        <v>39</v>
      </c>
      <c r="DE17" t="s">
        <v>39</v>
      </c>
      <c r="DF17" t="s">
        <v>39</v>
      </c>
      <c r="DG17" t="s">
        <v>39</v>
      </c>
      <c r="DH17" t="s">
        <v>39</v>
      </c>
      <c r="DI17" t="s">
        <v>39</v>
      </c>
      <c r="DJ17" t="s">
        <v>39</v>
      </c>
      <c r="DK17" t="s">
        <v>39</v>
      </c>
      <c r="DL17" t="s">
        <v>39</v>
      </c>
      <c r="DM17" t="s">
        <v>39</v>
      </c>
      <c r="DN17" t="s">
        <v>39</v>
      </c>
      <c r="DO17" t="s">
        <v>39</v>
      </c>
      <c r="DP17" t="s">
        <v>39</v>
      </c>
      <c r="DQ17" t="s">
        <v>39</v>
      </c>
      <c r="DR17" t="s">
        <v>39</v>
      </c>
      <c r="DS17" t="s">
        <v>39</v>
      </c>
      <c r="DT17" t="s">
        <v>39</v>
      </c>
      <c r="DU17" t="s">
        <v>39</v>
      </c>
      <c r="DV17" t="s">
        <v>39</v>
      </c>
      <c r="DW17" t="s">
        <v>39</v>
      </c>
      <c r="DX17" t="s">
        <v>39</v>
      </c>
      <c r="DY17" t="s">
        <v>39</v>
      </c>
      <c r="DZ17" t="s">
        <v>39</v>
      </c>
      <c r="EA17" t="s">
        <v>39</v>
      </c>
      <c r="EB17" t="s">
        <v>39</v>
      </c>
      <c r="EC17" t="s">
        <v>39</v>
      </c>
      <c r="ED17" t="s">
        <v>39</v>
      </c>
      <c r="EE17" t="s">
        <v>39</v>
      </c>
      <c r="EF17" t="s">
        <v>39</v>
      </c>
      <c r="EG17" t="s">
        <v>39</v>
      </c>
      <c r="EH17" t="s">
        <v>39</v>
      </c>
      <c r="EI17" t="s">
        <v>39</v>
      </c>
      <c r="EJ17" t="s">
        <v>39</v>
      </c>
      <c r="EK17" t="s">
        <v>39</v>
      </c>
      <c r="EL17" t="s">
        <v>39</v>
      </c>
      <c r="EM17" t="s">
        <v>39</v>
      </c>
      <c r="EN17" t="s">
        <v>39</v>
      </c>
      <c r="EO17" t="s">
        <v>39</v>
      </c>
      <c r="EP17" t="s">
        <v>39</v>
      </c>
      <c r="EQ17" t="s">
        <v>39</v>
      </c>
      <c r="ER17" t="s">
        <v>39</v>
      </c>
      <c r="ES17" t="s">
        <v>39</v>
      </c>
      <c r="ET17" t="s">
        <v>39</v>
      </c>
      <c r="EU17" t="s">
        <v>39</v>
      </c>
      <c r="EV17" t="s">
        <v>39</v>
      </c>
      <c r="EW17" t="s">
        <v>39</v>
      </c>
      <c r="EX17" t="s">
        <v>39</v>
      </c>
      <c r="FA17" t="s">
        <v>39</v>
      </c>
      <c r="FB17" t="s">
        <v>39</v>
      </c>
      <c r="FC17" t="s">
        <v>39</v>
      </c>
      <c r="FD17">
        <v>0.0</v>
      </c>
      <c r="FE17" t="s">
        <v>39</v>
      </c>
      <c r="FF17" t="s">
        <v>39</v>
      </c>
      <c r="FG17">
        <v>0.0</v>
      </c>
      <c r="FH17" t="s">
        <v>39</v>
      </c>
      <c r="FI17" t="s">
        <v>39</v>
      </c>
      <c r="FK17" t="s">
        <v>39</v>
      </c>
      <c r="FL17" t="s">
        <v>39</v>
      </c>
      <c r="FM17" t="s">
        <v>39</v>
      </c>
      <c r="FN17" t="s">
        <v>39</v>
      </c>
      <c r="FO17" t="s">
        <v>39</v>
      </c>
      <c r="FP17" t="s">
        <v>39</v>
      </c>
      <c r="FQ17" t="s">
        <v>39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39</v>
      </c>
      <c r="B6" s="44">
        <v>114.0001</v>
      </c>
      <c r="C6" s="8">
        <v>114.0001</v>
      </c>
      <c r="D6" s="44">
        <v>100.0</v>
      </c>
      <c r="E6" s="8">
        <v>100.0</v>
      </c>
      <c r="F6" s="8" t="s">
        <v>54</v>
      </c>
      <c r="G6" s="8"/>
      <c r="H6" s="8" t="s">
        <v>55</v>
      </c>
      <c r="I6" s="8"/>
      <c r="J6" s="8"/>
      <c r="K6" s="8"/>
      <c r="L6" s="8"/>
      <c r="M6" s="8"/>
      <c r="N6" s="8"/>
      <c r="O6" s="8" t="s">
        <v>40</v>
      </c>
      <c r="P6" t="s">
        <v>56</v>
      </c>
      <c r="Q6">
        <v>100.0</v>
      </c>
      <c r="R6">
        <v>100.0</v>
      </c>
      <c r="AN6" t="s">
        <v>39</v>
      </c>
      <c r="AO6" t="s">
        <v>39</v>
      </c>
      <c r="AP6" t="s">
        <v>39</v>
      </c>
      <c r="AQ6" t="s">
        <v>39</v>
      </c>
      <c r="AR6" t="s">
        <v>39</v>
      </c>
      <c r="AS6" t="s">
        <v>39</v>
      </c>
      <c r="AT6" t="s">
        <v>39</v>
      </c>
      <c r="AU6" t="s">
        <v>39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D6">
        <v>0.0</v>
      </c>
      <c r="FE6" t="s">
        <v>39</v>
      </c>
      <c r="FF6" t="s">
        <v>39</v>
      </c>
      <c r="FG6">
        <v>0.0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485.9997</v>
      </c>
      <c r="C7" s="8">
        <v>485.9997</v>
      </c>
      <c r="D7" s="8">
        <v>500.0</v>
      </c>
      <c r="E7" s="8">
        <v>500.0</v>
      </c>
      <c r="F7" s="8" t="s">
        <v>54</v>
      </c>
      <c r="G7" s="8"/>
      <c r="H7" s="8" t="s">
        <v>55</v>
      </c>
      <c r="I7" s="8"/>
      <c r="J7" s="8"/>
      <c r="K7" s="8"/>
      <c r="L7" s="8"/>
      <c r="M7" s="8"/>
      <c r="N7" s="8"/>
      <c r="O7" s="8" t="s">
        <v>40</v>
      </c>
      <c r="P7" t="s">
        <v>56</v>
      </c>
      <c r="Q7">
        <v>100.0</v>
      </c>
      <c r="R7">
        <v>50.0</v>
      </c>
      <c r="AN7" t="s">
        <v>39</v>
      </c>
      <c r="AO7" t="s">
        <v>39</v>
      </c>
      <c r="AP7" t="s">
        <v>39</v>
      </c>
      <c r="AQ7" t="s">
        <v>39</v>
      </c>
      <c r="AR7" t="s">
        <v>39</v>
      </c>
      <c r="AS7" t="s">
        <v>39</v>
      </c>
      <c r="AT7" t="s">
        <v>39</v>
      </c>
      <c r="AU7" t="s">
        <v>39</v>
      </c>
      <c r="AV7" t="s">
        <v>39</v>
      </c>
      <c r="AW7" t="s">
        <v>39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D7">
        <v>0.0</v>
      </c>
      <c r="FE7" t="s">
        <v>39</v>
      </c>
      <c r="FF7" t="s">
        <v>39</v>
      </c>
      <c r="FG7">
        <v>0.0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 t="s">
        <v>54</v>
      </c>
      <c r="G8" s="8"/>
      <c r="H8" s="8" t="s">
        <v>55</v>
      </c>
      <c r="I8" s="8"/>
      <c r="J8" s="8"/>
      <c r="K8" s="8"/>
      <c r="L8" s="8"/>
      <c r="M8" s="8"/>
      <c r="N8" s="8"/>
      <c r="O8" s="8" t="s">
        <v>40</v>
      </c>
      <c r="P8" t="s">
        <v>56</v>
      </c>
      <c r="Q8">
        <v>100.0</v>
      </c>
      <c r="R8">
        <v>10.0</v>
      </c>
      <c r="AN8" t="s">
        <v>39</v>
      </c>
      <c r="AO8" t="s">
        <v>39</v>
      </c>
      <c r="AP8" t="s">
        <v>39</v>
      </c>
      <c r="AQ8" t="s">
        <v>39</v>
      </c>
      <c r="AR8" t="s">
        <v>39</v>
      </c>
      <c r="AS8" t="s">
        <v>39</v>
      </c>
      <c r="AT8" t="s">
        <v>39</v>
      </c>
      <c r="AU8" t="s">
        <v>39</v>
      </c>
      <c r="AV8" t="s">
        <v>39</v>
      </c>
      <c r="AW8" t="s">
        <v>39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D8">
        <v>0.0</v>
      </c>
      <c r="FE8" t="s">
        <v>39</v>
      </c>
      <c r="FF8" t="s">
        <v>39</v>
      </c>
      <c r="FG8">
        <v>0.0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10000.0</v>
      </c>
      <c r="C9" s="8">
        <v>10000.0</v>
      </c>
      <c r="D9" s="8">
        <v>10000.0</v>
      </c>
      <c r="E9" s="8">
        <v>10000.0</v>
      </c>
      <c r="F9" s="8" t="s">
        <v>54</v>
      </c>
      <c r="G9" s="8"/>
      <c r="H9" s="8" t="s">
        <v>55</v>
      </c>
      <c r="I9" s="8"/>
      <c r="J9" s="8"/>
      <c r="K9" s="8"/>
      <c r="L9" s="8"/>
      <c r="M9" s="8"/>
      <c r="N9" s="8"/>
      <c r="O9" s="8" t="s">
        <v>40</v>
      </c>
      <c r="P9" t="s">
        <v>56</v>
      </c>
      <c r="Q9">
        <v>100.0</v>
      </c>
      <c r="R9">
        <v>10.0</v>
      </c>
      <c r="AN9" t="s">
        <v>39</v>
      </c>
      <c r="AO9" t="s">
        <v>39</v>
      </c>
      <c r="AP9" t="s">
        <v>39</v>
      </c>
      <c r="AQ9" t="s">
        <v>39</v>
      </c>
      <c r="AR9" t="s">
        <v>39</v>
      </c>
      <c r="AS9" t="s">
        <v>39</v>
      </c>
      <c r="AT9" t="s">
        <v>39</v>
      </c>
      <c r="AU9" t="s">
        <v>39</v>
      </c>
      <c r="AV9" t="s">
        <v>39</v>
      </c>
      <c r="AW9" t="s">
        <v>39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D9">
        <v>0.0</v>
      </c>
      <c r="FE9" t="s">
        <v>39</v>
      </c>
      <c r="FF9" t="s">
        <v>39</v>
      </c>
      <c r="FG9">
        <v>0.0</v>
      </c>
      <c r="FH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 t="s">
        <v>54</v>
      </c>
      <c r="G10" s="8"/>
      <c r="H10" s="8" t="s">
        <v>55</v>
      </c>
      <c r="I10" s="8"/>
      <c r="J10" s="8"/>
      <c r="K10" s="8"/>
      <c r="L10" s="8"/>
      <c r="M10" s="8"/>
      <c r="N10" s="8"/>
      <c r="O10" s="8" t="s">
        <v>40</v>
      </c>
      <c r="P10" t="s">
        <v>56</v>
      </c>
      <c r="Q10">
        <v>100.0</v>
      </c>
      <c r="R10">
        <v>10.0</v>
      </c>
      <c r="AN10" t="s">
        <v>39</v>
      </c>
      <c r="AO10" t="s">
        <v>39</v>
      </c>
      <c r="AP10" t="s">
        <v>39</v>
      </c>
      <c r="AQ10" t="s">
        <v>39</v>
      </c>
      <c r="AR10" t="s">
        <v>39</v>
      </c>
      <c r="AS10" t="s">
        <v>39</v>
      </c>
      <c r="AT10" t="s">
        <v>39</v>
      </c>
      <c r="AU10" t="s">
        <v>39</v>
      </c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D10">
        <v>0.0</v>
      </c>
      <c r="FE10" t="s">
        <v>39</v>
      </c>
      <c r="FF10" t="s">
        <v>39</v>
      </c>
      <c r="FG10">
        <v>0.0</v>
      </c>
      <c r="FH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10000.0</v>
      </c>
      <c r="C11" s="8">
        <v>10000.0</v>
      </c>
      <c r="D11" s="8">
        <v>10000.0</v>
      </c>
      <c r="E11" s="8">
        <v>10000.0</v>
      </c>
      <c r="F11" s="8" t="s">
        <v>54</v>
      </c>
      <c r="G11" s="8"/>
      <c r="H11" s="8" t="s">
        <v>55</v>
      </c>
      <c r="I11" s="8"/>
      <c r="J11" s="8"/>
      <c r="K11" s="8"/>
      <c r="L11" s="8"/>
      <c r="M11" s="8"/>
      <c r="N11" s="8"/>
      <c r="O11" s="8" t="s">
        <v>40</v>
      </c>
      <c r="P11" t="s">
        <v>56</v>
      </c>
      <c r="Q11">
        <v>100.0</v>
      </c>
      <c r="R11">
        <v>10.0</v>
      </c>
      <c r="AN11" t="s">
        <v>39</v>
      </c>
      <c r="AO11" t="s">
        <v>39</v>
      </c>
      <c r="AP11" t="s">
        <v>39</v>
      </c>
      <c r="AQ11" t="s">
        <v>39</v>
      </c>
      <c r="AR11" t="s">
        <v>39</v>
      </c>
      <c r="AS11" t="s">
        <v>39</v>
      </c>
      <c r="AT11" t="s">
        <v>39</v>
      </c>
      <c r="AU11" t="s">
        <v>39</v>
      </c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D11">
        <v>0.0</v>
      </c>
      <c r="FE11" t="s">
        <v>39</v>
      </c>
      <c r="FF11" t="s">
        <v>39</v>
      </c>
      <c r="FG11">
        <v>-102250.0</v>
      </c>
      <c r="FH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0.0</v>
      </c>
      <c r="C12" s="8">
        <v>0.0</v>
      </c>
      <c r="D12" s="8">
        <v>0.0</v>
      </c>
      <c r="E12" s="8">
        <v>0.0</v>
      </c>
      <c r="F12" s="8" t="s">
        <v>54</v>
      </c>
      <c r="G12" s="8"/>
      <c r="H12" s="8" t="s">
        <v>55</v>
      </c>
      <c r="I12" s="8"/>
      <c r="J12" s="8"/>
      <c r="K12" s="8"/>
      <c r="L12" s="8"/>
      <c r="M12" s="8"/>
      <c r="N12" s="8"/>
      <c r="O12" s="8" t="s">
        <v>40</v>
      </c>
      <c r="P12" t="s">
        <v>56</v>
      </c>
      <c r="Q12">
        <v>100.0</v>
      </c>
      <c r="R12">
        <v>10.0</v>
      </c>
      <c r="AN12" t="s">
        <v>39</v>
      </c>
      <c r="AO12" t="s">
        <v>39</v>
      </c>
      <c r="AP12" t="s">
        <v>39</v>
      </c>
      <c r="AQ12" t="s">
        <v>39</v>
      </c>
      <c r="AR12" t="s">
        <v>39</v>
      </c>
      <c r="AS12" t="s">
        <v>39</v>
      </c>
      <c r="AT12" t="s">
        <v>39</v>
      </c>
      <c r="AU12" t="s">
        <v>39</v>
      </c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D12">
        <v>0.0</v>
      </c>
      <c r="FE12" t="s">
        <v>39</v>
      </c>
      <c r="FF12" t="s">
        <v>39</v>
      </c>
      <c r="FG12">
        <v>-103250.0</v>
      </c>
      <c r="FH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0.0</v>
      </c>
      <c r="C13" s="8">
        <v>0.0</v>
      </c>
      <c r="D13" s="8">
        <v>0.0</v>
      </c>
      <c r="E13" s="8">
        <v>0.0</v>
      </c>
      <c r="F13" s="8" t="s">
        <v>54</v>
      </c>
      <c r="G13" s="8"/>
      <c r="H13" s="8" t="s">
        <v>55</v>
      </c>
      <c r="I13" s="8"/>
      <c r="J13" s="8"/>
      <c r="K13" s="8"/>
      <c r="L13" s="8"/>
      <c r="M13" s="8"/>
      <c r="N13" s="8"/>
      <c r="O13" s="8" t="s">
        <v>40</v>
      </c>
      <c r="P13" t="s">
        <v>56</v>
      </c>
      <c r="Q13">
        <v>100.0</v>
      </c>
      <c r="R13">
        <v>10.0</v>
      </c>
      <c r="AN13" t="s">
        <v>39</v>
      </c>
      <c r="AO13" t="s">
        <v>39</v>
      </c>
      <c r="AP13" t="s">
        <v>39</v>
      </c>
      <c r="AQ13" t="s">
        <v>39</v>
      </c>
      <c r="AR13" t="s">
        <v>39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D13">
        <v>0.0</v>
      </c>
      <c r="FE13" t="s">
        <v>39</v>
      </c>
      <c r="FF13" t="s">
        <v>39</v>
      </c>
      <c r="FG13">
        <v>0.0</v>
      </c>
      <c r="FH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103250.0</v>
      </c>
      <c r="C14" s="8">
        <v>103250.0</v>
      </c>
      <c r="D14" s="8">
        <v>103250.0</v>
      </c>
      <c r="E14" s="8">
        <v>103250.0</v>
      </c>
      <c r="F14" s="8" t="s">
        <v>57</v>
      </c>
      <c r="G14" s="8"/>
      <c r="H14" s="8" t="s">
        <v>55</v>
      </c>
      <c r="I14" s="8"/>
      <c r="J14" s="8"/>
      <c r="K14" s="8"/>
      <c r="L14" s="8"/>
      <c r="M14" s="8"/>
      <c r="N14" s="8"/>
      <c r="O14" s="8" t="s">
        <v>40</v>
      </c>
      <c r="P14" t="s">
        <v>56</v>
      </c>
      <c r="Q14">
        <v>100.0</v>
      </c>
      <c r="R14">
        <v>1000.0</v>
      </c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39</v>
      </c>
      <c r="AT14" t="s">
        <v>39</v>
      </c>
      <c r="AU14" t="s">
        <v>39</v>
      </c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D14">
        <v>0.0</v>
      </c>
      <c r="FE14" t="s">
        <v>39</v>
      </c>
      <c r="FF14" t="s">
        <v>39</v>
      </c>
      <c r="FG14">
        <v>0.0</v>
      </c>
      <c r="FH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102250.0</v>
      </c>
      <c r="C15" s="8">
        <v>102250.0</v>
      </c>
      <c r="D15" s="8">
        <v>102250.0</v>
      </c>
      <c r="E15" s="8">
        <v>102250.0</v>
      </c>
      <c r="F15" s="8" t="s">
        <v>57</v>
      </c>
      <c r="G15" s="8"/>
      <c r="H15" s="8" t="s">
        <v>55</v>
      </c>
      <c r="I15" s="8"/>
      <c r="J15" s="8"/>
      <c r="K15" s="8"/>
      <c r="L15" s="8"/>
      <c r="M15" s="8"/>
      <c r="N15" s="8"/>
      <c r="O15" s="8" t="s">
        <v>40</v>
      </c>
      <c r="P15" t="s">
        <v>56</v>
      </c>
      <c r="Q15">
        <v>100.0</v>
      </c>
      <c r="R15">
        <v>1000.0</v>
      </c>
      <c r="AN15" t="s">
        <v>39</v>
      </c>
      <c r="AO15" t="s">
        <v>39</v>
      </c>
      <c r="AP15" t="s">
        <v>39</v>
      </c>
      <c r="AQ15" t="s">
        <v>39</v>
      </c>
      <c r="AR15" t="s">
        <v>39</v>
      </c>
      <c r="AS15" t="s">
        <v>39</v>
      </c>
      <c r="AT15" t="s">
        <v>39</v>
      </c>
      <c r="AU15" t="s">
        <v>39</v>
      </c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D15">
        <v>0.0</v>
      </c>
      <c r="FE15" t="s">
        <v>39</v>
      </c>
      <c r="FF15" t="s">
        <v>39</v>
      </c>
      <c r="FG15">
        <v>0.0</v>
      </c>
      <c r="FH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>
        <v>5007.5</v>
      </c>
      <c r="C16" s="8">
        <v>5007.5</v>
      </c>
      <c r="D16" s="8">
        <v>5007.5</v>
      </c>
      <c r="E16" s="8">
        <v>5007.5</v>
      </c>
      <c r="F16" s="8" t="s">
        <v>57</v>
      </c>
      <c r="G16" s="8"/>
      <c r="H16" s="8" t="s">
        <v>55</v>
      </c>
      <c r="I16" s="8"/>
      <c r="J16" s="8"/>
      <c r="K16" s="8"/>
      <c r="L16" s="8"/>
      <c r="M16" s="8"/>
      <c r="N16" s="8"/>
      <c r="O16" s="8" t="s">
        <v>40</v>
      </c>
      <c r="P16" t="s">
        <v>56</v>
      </c>
      <c r="Q16">
        <v>100.0</v>
      </c>
      <c r="R16">
        <v>50.0</v>
      </c>
      <c r="AN16" t="s">
        <v>39</v>
      </c>
      <c r="AO16" t="s">
        <v>39</v>
      </c>
      <c r="AP16" t="s">
        <v>39</v>
      </c>
      <c r="AQ16" t="s">
        <v>39</v>
      </c>
      <c r="AR16" t="s">
        <v>39</v>
      </c>
      <c r="AS16" t="s">
        <v>39</v>
      </c>
      <c r="AT16" t="s">
        <v>39</v>
      </c>
      <c r="AU16" t="s">
        <v>39</v>
      </c>
      <c r="AV16" t="s">
        <v>39</v>
      </c>
      <c r="AW16" t="s">
        <v>39</v>
      </c>
      <c r="AX16" t="s">
        <v>39</v>
      </c>
      <c r="AY16" t="s">
        <v>39</v>
      </c>
      <c r="AZ16" t="s">
        <v>39</v>
      </c>
      <c r="BA16" t="s">
        <v>39</v>
      </c>
      <c r="BB16" t="s">
        <v>39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39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39</v>
      </c>
      <c r="BQ16" t="s">
        <v>39</v>
      </c>
      <c r="BR16" t="s">
        <v>39</v>
      </c>
      <c r="BS16" t="s">
        <v>39</v>
      </c>
      <c r="BT16" t="s">
        <v>39</v>
      </c>
      <c r="BU16" t="s">
        <v>39</v>
      </c>
      <c r="BV16" t="s">
        <v>39</v>
      </c>
      <c r="BW16" t="s">
        <v>39</v>
      </c>
      <c r="BX16" t="s">
        <v>39</v>
      </c>
      <c r="BY16" t="s">
        <v>39</v>
      </c>
      <c r="BZ16" t="s">
        <v>39</v>
      </c>
      <c r="CA16" t="s">
        <v>39</v>
      </c>
      <c r="CB16" t="s">
        <v>39</v>
      </c>
      <c r="CC16" t="s">
        <v>39</v>
      </c>
      <c r="CD16" t="s">
        <v>39</v>
      </c>
      <c r="CE16" t="s">
        <v>39</v>
      </c>
      <c r="CF16" t="s">
        <v>39</v>
      </c>
      <c r="CG16" t="s">
        <v>39</v>
      </c>
      <c r="CH16" t="s">
        <v>39</v>
      </c>
      <c r="CI16" t="s">
        <v>39</v>
      </c>
      <c r="CJ16" t="s">
        <v>39</v>
      </c>
      <c r="CK16" t="s">
        <v>39</v>
      </c>
      <c r="CL16" t="s">
        <v>39</v>
      </c>
      <c r="CM16" t="s">
        <v>39</v>
      </c>
      <c r="CN16" t="s">
        <v>39</v>
      </c>
      <c r="CO16" t="s">
        <v>39</v>
      </c>
      <c r="CP16" t="s">
        <v>39</v>
      </c>
      <c r="CQ16" t="s">
        <v>39</v>
      </c>
      <c r="CR16" t="s">
        <v>39</v>
      </c>
      <c r="CS16" t="s">
        <v>39</v>
      </c>
      <c r="CT16" t="s">
        <v>39</v>
      </c>
      <c r="CU16" t="s">
        <v>39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C16" t="s">
        <v>39</v>
      </c>
      <c r="FD16">
        <v>0.0</v>
      </c>
      <c r="FE16" t="s">
        <v>39</v>
      </c>
      <c r="FF16" t="s">
        <v>39</v>
      </c>
      <c r="FG16">
        <v>0.0</v>
      </c>
      <c r="FH16" t="s">
        <v>39</v>
      </c>
      <c r="FI16" t="s">
        <v>39</v>
      </c>
      <c r="FJ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 t="s">
        <v>39</v>
      </c>
      <c r="B17" s="8">
        <v>95142.5</v>
      </c>
      <c r="C17" s="8">
        <v>95142.5</v>
      </c>
      <c r="D17" s="8">
        <v>95142.5</v>
      </c>
      <c r="E17" s="8">
        <v>95142.5</v>
      </c>
      <c r="F17" s="8" t="s">
        <v>54</v>
      </c>
      <c r="G17" s="8"/>
      <c r="H17" s="8" t="s">
        <v>55</v>
      </c>
      <c r="I17" s="8"/>
      <c r="J17" s="8"/>
      <c r="K17" s="8"/>
      <c r="L17" s="8"/>
      <c r="M17" s="8"/>
      <c r="N17" s="8"/>
      <c r="O17" s="8" t="s">
        <v>40</v>
      </c>
      <c r="P17" t="s">
        <v>56</v>
      </c>
      <c r="Q17">
        <v>100.0</v>
      </c>
      <c r="R17">
        <v>950.0</v>
      </c>
      <c r="AN17" t="s">
        <v>39</v>
      </c>
      <c r="AO17" t="s">
        <v>39</v>
      </c>
      <c r="AP17" t="s">
        <v>39</v>
      </c>
      <c r="AQ17" t="s">
        <v>39</v>
      </c>
      <c r="AR17" t="s">
        <v>39</v>
      </c>
      <c r="AS17" t="s">
        <v>39</v>
      </c>
      <c r="AT17" t="s">
        <v>39</v>
      </c>
      <c r="AU17" t="s">
        <v>39</v>
      </c>
      <c r="AV17" t="s">
        <v>39</v>
      </c>
      <c r="AW17" t="s">
        <v>39</v>
      </c>
      <c r="AX17" t="s">
        <v>39</v>
      </c>
      <c r="AY17" t="s">
        <v>39</v>
      </c>
      <c r="AZ17" t="s">
        <v>39</v>
      </c>
      <c r="BA17" t="s">
        <v>39</v>
      </c>
      <c r="BB17" t="s">
        <v>39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39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39</v>
      </c>
      <c r="BQ17" t="s">
        <v>39</v>
      </c>
      <c r="BR17" t="s">
        <v>39</v>
      </c>
      <c r="BS17" t="s">
        <v>39</v>
      </c>
      <c r="BT17" t="s">
        <v>39</v>
      </c>
      <c r="BU17" t="s">
        <v>39</v>
      </c>
      <c r="BV17" t="s">
        <v>39</v>
      </c>
      <c r="BW17" t="s">
        <v>39</v>
      </c>
      <c r="BX17" t="s">
        <v>39</v>
      </c>
      <c r="BY17" t="s">
        <v>39</v>
      </c>
      <c r="BZ17" t="s">
        <v>39</v>
      </c>
      <c r="CA17" t="s">
        <v>39</v>
      </c>
      <c r="CB17" t="s">
        <v>39</v>
      </c>
      <c r="CC17" t="s">
        <v>39</v>
      </c>
      <c r="CD17" t="s">
        <v>39</v>
      </c>
      <c r="CE17" t="s">
        <v>39</v>
      </c>
      <c r="CF17" t="s">
        <v>39</v>
      </c>
      <c r="CG17" t="s">
        <v>39</v>
      </c>
      <c r="CH17" t="s">
        <v>39</v>
      </c>
      <c r="CI17" t="s">
        <v>39</v>
      </c>
      <c r="CJ17" t="s">
        <v>39</v>
      </c>
      <c r="CK17" t="s">
        <v>39</v>
      </c>
      <c r="CL17" t="s">
        <v>39</v>
      </c>
      <c r="CM17" t="s">
        <v>39</v>
      </c>
      <c r="CN17" t="s">
        <v>39</v>
      </c>
      <c r="CO17" t="s">
        <v>39</v>
      </c>
      <c r="CP17" t="s">
        <v>39</v>
      </c>
      <c r="CQ17" t="s">
        <v>39</v>
      </c>
      <c r="CR17" t="s">
        <v>39</v>
      </c>
      <c r="CS17" t="s">
        <v>39</v>
      </c>
      <c r="CT17" t="s">
        <v>39</v>
      </c>
      <c r="CU17" t="s">
        <v>39</v>
      </c>
      <c r="CV17" t="s">
        <v>39</v>
      </c>
      <c r="CW17" t="s">
        <v>39</v>
      </c>
      <c r="CX17" t="s">
        <v>39</v>
      </c>
      <c r="CY17" t="s">
        <v>39</v>
      </c>
      <c r="CZ17" t="s">
        <v>39</v>
      </c>
      <c r="DA17" t="s">
        <v>39</v>
      </c>
      <c r="DB17" t="s">
        <v>39</v>
      </c>
      <c r="DC17" t="s">
        <v>39</v>
      </c>
      <c r="DD17" t="s">
        <v>39</v>
      </c>
      <c r="DE17" t="s">
        <v>39</v>
      </c>
      <c r="DF17" t="s">
        <v>39</v>
      </c>
      <c r="DG17" t="s">
        <v>39</v>
      </c>
      <c r="DH17" t="s">
        <v>39</v>
      </c>
      <c r="DI17" t="s">
        <v>39</v>
      </c>
      <c r="DJ17" t="s">
        <v>39</v>
      </c>
      <c r="DK17" t="s">
        <v>39</v>
      </c>
      <c r="DL17" t="s">
        <v>39</v>
      </c>
      <c r="DM17" t="s">
        <v>39</v>
      </c>
      <c r="DN17" t="s">
        <v>39</v>
      </c>
      <c r="DO17" t="s">
        <v>39</v>
      </c>
      <c r="DP17" t="s">
        <v>39</v>
      </c>
      <c r="DQ17" t="s">
        <v>39</v>
      </c>
      <c r="DR17" t="s">
        <v>39</v>
      </c>
      <c r="DS17" t="s">
        <v>39</v>
      </c>
      <c r="DT17" t="s">
        <v>39</v>
      </c>
      <c r="DU17" t="s">
        <v>39</v>
      </c>
      <c r="DV17" t="s">
        <v>39</v>
      </c>
      <c r="DW17" t="s">
        <v>39</v>
      </c>
      <c r="DX17" t="s">
        <v>39</v>
      </c>
      <c r="DY17" t="s">
        <v>39</v>
      </c>
      <c r="DZ17" t="s">
        <v>39</v>
      </c>
      <c r="EA17" t="s">
        <v>39</v>
      </c>
      <c r="EB17" t="s">
        <v>39</v>
      </c>
      <c r="EC17" t="s">
        <v>39</v>
      </c>
      <c r="ED17" t="s">
        <v>39</v>
      </c>
      <c r="EE17" t="s">
        <v>39</v>
      </c>
      <c r="EF17" t="s">
        <v>39</v>
      </c>
      <c r="EG17" t="s">
        <v>39</v>
      </c>
      <c r="EH17" t="s">
        <v>39</v>
      </c>
      <c r="EI17" t="s">
        <v>39</v>
      </c>
      <c r="EJ17" t="s">
        <v>39</v>
      </c>
      <c r="EK17" t="s">
        <v>39</v>
      </c>
      <c r="EL17" t="s">
        <v>39</v>
      </c>
      <c r="EM17" t="s">
        <v>39</v>
      </c>
      <c r="EN17" t="s">
        <v>39</v>
      </c>
      <c r="EO17" t="s">
        <v>39</v>
      </c>
      <c r="EP17" t="s">
        <v>39</v>
      </c>
      <c r="EQ17" t="s">
        <v>39</v>
      </c>
      <c r="ER17" t="s">
        <v>39</v>
      </c>
      <c r="ES17" t="s">
        <v>39</v>
      </c>
      <c r="ET17" t="s">
        <v>39</v>
      </c>
      <c r="EU17" t="s">
        <v>39</v>
      </c>
      <c r="EV17" t="s">
        <v>39</v>
      </c>
      <c r="EW17" t="s">
        <v>39</v>
      </c>
      <c r="EX17" t="s">
        <v>39</v>
      </c>
      <c r="FA17" t="s">
        <v>39</v>
      </c>
      <c r="FB17" t="s">
        <v>39</v>
      </c>
      <c r="FC17" t="s">
        <v>39</v>
      </c>
      <c r="FD17">
        <v>0.0</v>
      </c>
      <c r="FE17" t="s">
        <v>39</v>
      </c>
      <c r="FF17" t="s">
        <v>39</v>
      </c>
      <c r="FG17">
        <v>0.0</v>
      </c>
      <c r="FH17" t="s">
        <v>39</v>
      </c>
      <c r="FI17" t="s">
        <v>39</v>
      </c>
      <c r="FJ17" t="s">
        <v>39</v>
      </c>
      <c r="FK17" t="s">
        <v>39</v>
      </c>
      <c r="FL17" t="s">
        <v>39</v>
      </c>
      <c r="FM17" t="s">
        <v>39</v>
      </c>
      <c r="FN17" t="s">
        <v>39</v>
      </c>
      <c r="FO17" t="s">
        <v>39</v>
      </c>
      <c r="FP17" t="s">
        <v>39</v>
      </c>
      <c r="FQ17" t="s">
        <v>39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39</v>
      </c>
      <c r="B6" s="44"/>
      <c r="C6" s="8" t="s">
        <v>24</v>
      </c>
      <c r="D6" s="44">
        <v>100.0</v>
      </c>
      <c r="E6" s="8" t="s">
        <v>40</v>
      </c>
      <c r="F6" s="8" t="s">
        <v>60</v>
      </c>
      <c r="G6" s="8">
        <v>1.0</v>
      </c>
      <c r="H6" s="8"/>
      <c r="I6" s="8"/>
      <c r="J6" s="8"/>
      <c r="K6" s="8"/>
      <c r="L6" s="8"/>
      <c r="M6" s="8"/>
      <c r="N6" s="8"/>
      <c r="O6" s="8"/>
      <c r="R6" t="s">
        <v>61</v>
      </c>
      <c r="S6" t="s">
        <v>56</v>
      </c>
      <c r="T6" t="s">
        <v>62</v>
      </c>
      <c r="U6" t="s">
        <v>45</v>
      </c>
      <c r="V6" t="s">
        <v>43</v>
      </c>
      <c r="W6" t="s">
        <v>55</v>
      </c>
      <c r="Y6">
        <v>1.0</v>
      </c>
      <c r="AN6" t="s">
        <v>44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24</v>
      </c>
      <c r="D7" s="8">
        <v>-50.0</v>
      </c>
      <c r="E7" s="8" t="s">
        <v>40</v>
      </c>
      <c r="F7" s="8" t="s">
        <v>60</v>
      </c>
      <c r="G7" s="8">
        <v>10.0</v>
      </c>
      <c r="H7" s="8"/>
      <c r="I7" s="8"/>
      <c r="J7" s="8"/>
      <c r="K7" s="8"/>
      <c r="L7" s="8"/>
      <c r="M7" s="8"/>
      <c r="N7" s="8"/>
      <c r="O7" s="8"/>
      <c r="R7" t="s">
        <v>61</v>
      </c>
      <c r="S7" t="s">
        <v>56</v>
      </c>
      <c r="T7" t="s">
        <v>62</v>
      </c>
      <c r="U7" t="s">
        <v>45</v>
      </c>
      <c r="V7" t="s">
        <v>43</v>
      </c>
      <c r="W7" t="s">
        <v>55</v>
      </c>
      <c r="Y7">
        <v>1.0</v>
      </c>
      <c r="AN7" t="s">
        <v>26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24</v>
      </c>
      <c r="D8" s="8">
        <v>50.0</v>
      </c>
      <c r="E8" s="8" t="s">
        <v>40</v>
      </c>
      <c r="F8" s="8" t="s">
        <v>60</v>
      </c>
      <c r="G8" s="13">
        <v>100.15</v>
      </c>
      <c r="H8" s="8"/>
      <c r="I8" s="8"/>
      <c r="J8" s="8"/>
      <c r="K8" s="8"/>
      <c r="L8" s="8"/>
      <c r="M8" s="8"/>
      <c r="N8" s="8"/>
      <c r="O8" s="8"/>
      <c r="R8" t="s">
        <v>61</v>
      </c>
      <c r="S8" t="s">
        <v>56</v>
      </c>
      <c r="T8" t="s">
        <v>62</v>
      </c>
      <c r="U8" t="s">
        <v>45</v>
      </c>
      <c r="V8" t="s">
        <v>43</v>
      </c>
      <c r="W8" t="s">
        <v>55</v>
      </c>
      <c r="Y8">
        <v>1.0</v>
      </c>
      <c r="AN8" t="s">
        <v>52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24</v>
      </c>
      <c r="D9" s="8">
        <v>950.0</v>
      </c>
      <c r="E9" s="8" t="s">
        <v>40</v>
      </c>
      <c r="F9" s="8" t="s">
        <v>60</v>
      </c>
      <c r="G9" s="13">
        <v>100.15</v>
      </c>
      <c r="H9" s="8"/>
      <c r="I9" s="8"/>
      <c r="J9" s="8"/>
      <c r="K9" s="8"/>
      <c r="L9" s="8"/>
      <c r="M9" s="8"/>
      <c r="N9" s="8"/>
      <c r="O9" s="8"/>
      <c r="R9" t="s">
        <v>61</v>
      </c>
      <c r="S9" t="s">
        <v>56</v>
      </c>
      <c r="T9" t="s">
        <v>62</v>
      </c>
      <c r="U9" t="s">
        <v>45</v>
      </c>
      <c r="V9" t="s">
        <v>43</v>
      </c>
      <c r="W9" t="s">
        <v>55</v>
      </c>
      <c r="Y9">
        <v>1.0</v>
      </c>
      <c r="AN9" t="s">
        <v>44</v>
      </c>
      <c r="FP9" t="s">
        <v>39</v>
      </c>
      <c r="FQ9" t="s">
        <v>39</v>
      </c>
    </row>
    <row r="10" ht="15.75" customHeight="1">
      <c r="A10" s="8" t="s">
        <v>39</v>
      </c>
      <c r="B10" s="8"/>
      <c r="C10" s="8" t="s">
        <v>24</v>
      </c>
      <c r="D10" s="8">
        <v>1000.0</v>
      </c>
      <c r="E10" s="8" t="s">
        <v>40</v>
      </c>
      <c r="F10" s="8" t="s">
        <v>60</v>
      </c>
      <c r="G10" s="13">
        <v>102.25</v>
      </c>
      <c r="H10" s="8"/>
      <c r="I10" s="8"/>
      <c r="J10" s="8"/>
      <c r="K10" s="8"/>
      <c r="L10" s="8"/>
      <c r="M10" s="8"/>
      <c r="N10" s="8"/>
      <c r="O10" s="8"/>
      <c r="R10" t="s">
        <v>61</v>
      </c>
      <c r="S10" t="s">
        <v>56</v>
      </c>
      <c r="T10" t="s">
        <v>62</v>
      </c>
      <c r="U10" t="s">
        <v>45</v>
      </c>
      <c r="V10" t="s">
        <v>43</v>
      </c>
      <c r="W10" t="s">
        <v>55</v>
      </c>
      <c r="Y10">
        <v>1.0</v>
      </c>
      <c r="AN10" t="s">
        <v>44</v>
      </c>
      <c r="FP10" t="s">
        <v>39</v>
      </c>
      <c r="FQ10" t="s">
        <v>39</v>
      </c>
    </row>
    <row r="11" ht="15.75" customHeight="1">
      <c r="A11" s="8" t="s">
        <v>39</v>
      </c>
      <c r="B11" s="8"/>
      <c r="C11" s="8" t="s">
        <v>24</v>
      </c>
      <c r="D11" s="8">
        <v>1000.0</v>
      </c>
      <c r="E11" s="8" t="s">
        <v>40</v>
      </c>
      <c r="F11" s="8" t="s">
        <v>60</v>
      </c>
      <c r="G11" s="13">
        <v>103.25</v>
      </c>
      <c r="H11" s="8"/>
      <c r="I11" s="8"/>
      <c r="J11" s="8"/>
      <c r="K11" s="8"/>
      <c r="L11" s="8"/>
      <c r="M11" s="8"/>
      <c r="N11" s="8"/>
      <c r="O11" s="8"/>
      <c r="R11" t="s">
        <v>61</v>
      </c>
      <c r="S11" t="s">
        <v>56</v>
      </c>
      <c r="T11" t="s">
        <v>62</v>
      </c>
      <c r="U11" t="s">
        <v>45</v>
      </c>
      <c r="V11" t="s">
        <v>43</v>
      </c>
      <c r="W11" t="s">
        <v>55</v>
      </c>
      <c r="Y11">
        <v>1.0</v>
      </c>
      <c r="AN11" t="s">
        <v>44</v>
      </c>
      <c r="FP11" t="s">
        <v>39</v>
      </c>
      <c r="FQ11" t="s">
        <v>39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