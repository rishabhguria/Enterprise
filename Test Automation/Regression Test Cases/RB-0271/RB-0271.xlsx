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RebalancePreference" sheetId="10" r:id="rId12"/>
    <sheet state="visible" name="NavImpactingComponent" sheetId="11" r:id="rId13"/>
    <sheet state="visible" name="AddCash" sheetId="12" r:id="rId14"/>
    <sheet state="visible" name="RunRebalance" sheetId="13" r:id="rId15"/>
    <sheet state="visible" name="VerifyGridData" sheetId="14" r:id="rId16"/>
    <sheet state="visible" name="NavImpactingComponent1" sheetId="15" r:id="rId17"/>
    <sheet state="visible" name="VerifyGridData1" sheetId="16" r:id="rId18"/>
    <sheet state="visible" name="GetMarkPriceData" sheetId="17" r:id="rId19"/>
    <sheet state="visible" name="UpdateMarkPrice" sheetId="18" r:id="rId20"/>
    <sheet state="visible" name="FetchAccountPositions1" sheetId="19" r:id="rId21"/>
    <sheet state="visible" name="VerifyGridData2" sheetId="20" r:id="rId22"/>
  </sheets>
  <definedNames/>
  <calcPr/>
</workbook>
</file>

<file path=xl/sharedStrings.xml><?xml version="1.0" encoding="utf-8"?>
<sst xmlns="http://schemas.openxmlformats.org/spreadsheetml/2006/main" count="232" uniqueCount="48">
  <si>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</si>
  <si>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</si>
  <si>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</si>
  <si>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</si>
  <si>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</si>
  <si>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</si>
  <si>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</si>
  <si>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</si>
  <si>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</si>
  <si>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</si>
  <si>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</si>
  <si>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</si>
  <si>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</si>
  <si>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</si>
  <si>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</si>
  <si>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</si>
  <si>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</si>
  <si>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</si>
  <si>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</si>
  <si>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</si>
  <si>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</si>
  <si>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</si>
  <si>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</si>
  <si>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Allocation1</t>
  </si>
  <si>
    <t>Allocation2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</si>
  <si>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</si>
  <si>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</si>
  <si>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</si>
  <si>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</si>
  <si>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</si>
  <si>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</si>
  <si>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</si>
  <si>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</si>
  <si>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</si>
  <si>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</si>
  <si>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RebalancePreference</t>
  </si>
  <si>
    <t>Cash,Accruals,Other Assets Market Value,Swap NAV Adjustments,Unrealized P&amp;L of Swaps</t>
  </si>
  <si>
    <t>NavImpactingComponent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</si>
  <si>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</si>
  <si>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</si>
  <si>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</si>
  <si>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</si>
  <si>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</si>
  <si>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</si>
  <si>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</si>
  <si>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</si>
  <si>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GetMarkPriceData</t>
  </si>
  <si>
    <t>UpdateMarkPrice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</si>
</sst>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7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6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13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13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16</v>
      </c>
      <c r="C6" s="35" t="s">
        <v>22</v>
      </c>
      <c r="D6" s="36">
        <v>600.0</v>
      </c>
      <c r="E6" s="35"/>
      <c r="F6" s="37" t="s">
        <v>23</v>
      </c>
      <c r="G6" s="35"/>
      <c r="H6" s="35"/>
      <c r="I6" s="35"/>
      <c r="J6" s="38">
        <v>10.0</v>
      </c>
      <c r="K6" s="35"/>
      <c r="L6" s="35"/>
      <c r="M6" s="35"/>
      <c r="N6" s="39">
        <f t="shared" ref="N6:N13" si="1">today()</f>
        <v>45187</v>
      </c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40">
        <v>100.0</v>
      </c>
      <c r="E7" s="33"/>
      <c r="F7" s="37" t="s">
        <v>23</v>
      </c>
      <c r="G7" s="33"/>
      <c r="H7" s="33"/>
      <c r="I7" s="33"/>
      <c r="J7" s="40">
        <v>10.0</v>
      </c>
      <c r="K7" s="33"/>
      <c r="L7" s="33"/>
      <c r="M7" s="33"/>
      <c r="N7" s="39">
        <f t="shared" si="1"/>
        <v>45187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41" t="s">
        <v>22</v>
      </c>
      <c r="D8" s="40">
        <v>100.0</v>
      </c>
      <c r="E8" s="33"/>
      <c r="F8" s="37" t="s">
        <v>23</v>
      </c>
      <c r="G8" s="33"/>
      <c r="H8" s="33"/>
      <c r="I8" s="33"/>
      <c r="J8" s="40">
        <v>10.0</v>
      </c>
      <c r="K8" s="33"/>
      <c r="L8" s="33"/>
      <c r="M8" s="33"/>
      <c r="N8" s="39">
        <f t="shared" si="1"/>
        <v>45187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22</v>
      </c>
      <c r="D9" s="40">
        <v>600.0</v>
      </c>
      <c r="E9" s="33"/>
      <c r="F9" s="37" t="s">
        <v>23</v>
      </c>
      <c r="G9" s="33"/>
      <c r="H9" s="33"/>
      <c r="I9" s="33"/>
      <c r="J9" s="40">
        <v>10.0</v>
      </c>
      <c r="K9" s="33"/>
      <c r="L9" s="33"/>
      <c r="M9" s="33"/>
      <c r="N9" s="39">
        <f t="shared" si="1"/>
        <v>45187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4"/>
      <c r="B10" s="31" t="s">
        <v>16</v>
      </c>
      <c r="C10" s="35" t="s">
        <v>22</v>
      </c>
      <c r="D10" s="36">
        <v>600.0</v>
      </c>
      <c r="E10" s="35"/>
      <c r="F10" s="37" t="s">
        <v>24</v>
      </c>
      <c r="G10" s="35"/>
      <c r="H10" s="35"/>
      <c r="I10" s="35"/>
      <c r="J10" s="38">
        <v>10.0</v>
      </c>
      <c r="K10" s="35"/>
      <c r="L10" s="35"/>
      <c r="M10" s="35"/>
      <c r="N10" s="39">
        <f t="shared" si="1"/>
        <v>45187</v>
      </c>
      <c r="O10" s="35"/>
      <c r="P10" s="35"/>
      <c r="Q10" s="35"/>
      <c r="R10" s="35"/>
      <c r="S10" s="35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17</v>
      </c>
      <c r="C11" s="33" t="s">
        <v>22</v>
      </c>
      <c r="D11" s="42">
        <v>200.0</v>
      </c>
      <c r="E11" s="33"/>
      <c r="F11" s="37" t="s">
        <v>24</v>
      </c>
      <c r="G11" s="33"/>
      <c r="H11" s="33"/>
      <c r="I11" s="33"/>
      <c r="J11" s="40">
        <v>10.0</v>
      </c>
      <c r="K11" s="33"/>
      <c r="L11" s="33"/>
      <c r="M11" s="33"/>
      <c r="N11" s="39">
        <f t="shared" si="1"/>
        <v>45187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18</v>
      </c>
      <c r="C12" s="41" t="s">
        <v>22</v>
      </c>
      <c r="D12" s="40">
        <v>100.0</v>
      </c>
      <c r="E12" s="33"/>
      <c r="F12" s="37" t="s">
        <v>24</v>
      </c>
      <c r="G12" s="33"/>
      <c r="H12" s="33"/>
      <c r="I12" s="33"/>
      <c r="J12" s="40">
        <v>10.0</v>
      </c>
      <c r="K12" s="33"/>
      <c r="L12" s="33"/>
      <c r="M12" s="33"/>
      <c r="N12" s="39">
        <f t="shared" si="1"/>
        <v>45187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19</v>
      </c>
      <c r="C13" s="33" t="s">
        <v>22</v>
      </c>
      <c r="D13" s="40">
        <v>600.0</v>
      </c>
      <c r="E13" s="33"/>
      <c r="F13" s="37" t="s">
        <v>24</v>
      </c>
      <c r="G13" s="33"/>
      <c r="H13" s="33"/>
      <c r="I13" s="33"/>
      <c r="J13" s="40">
        <v>10.0</v>
      </c>
      <c r="K13" s="33"/>
      <c r="L13" s="33"/>
      <c r="M13" s="33"/>
      <c r="N13" s="39">
        <f t="shared" si="1"/>
        <v>45187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194.32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1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13">
        <v>6.56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9">
        <v>36.48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 t="shared" ref="B6:C6" si="1">today()-1</f>
        <v>45186</v>
      </c>
      <c r="C6" s="44">
        <f t="shared" si="1"/>
        <v>45186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29</v>
      </c>
      <c r="D6" s="13">
        <v>40000.0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29</v>
      </c>
      <c r="D7" s="13">
        <v>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35" t="s">
        <v>32</v>
      </c>
      <c r="D6" s="31" t="s">
        <v>33</v>
      </c>
      <c r="E6" s="35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IFERROR(__xludf.DUMMYFUNCTION("""COMPUTED_VALUE"""),"User Adjusted Nav")</f>
        <v>User Adjusted Nav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100000.0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16633.0</v>
      </c>
      <c r="C6" s="35" t="s">
        <v>39</v>
      </c>
      <c r="D6" s="31" t="s">
        <v>40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23</v>
      </c>
      <c r="D6" s="46" t="s">
        <v>17</v>
      </c>
      <c r="E6" s="46" t="s">
        <v>44</v>
      </c>
      <c r="F6" s="46" t="s">
        <v>45</v>
      </c>
      <c r="G6" s="47">
        <v>94.51</v>
      </c>
      <c r="H6" s="47">
        <v>94.51</v>
      </c>
      <c r="I6" s="47">
        <v>1.0</v>
      </c>
      <c r="J6" s="8"/>
      <c r="K6" s="47">
        <v>100.0</v>
      </c>
      <c r="L6" s="47">
        <v>9451.0</v>
      </c>
      <c r="M6" s="47">
        <v>9451.0</v>
      </c>
      <c r="N6" s="8"/>
      <c r="O6" s="47">
        <v>110.0</v>
      </c>
      <c r="P6" s="47">
        <v>10396.1</v>
      </c>
      <c r="Q6" s="47">
        <v>10396.1</v>
      </c>
      <c r="R6" s="47">
        <v>10.0</v>
      </c>
      <c r="S6" s="47">
        <v>945.0</v>
      </c>
    </row>
    <row r="7" ht="15.75" customHeight="1">
      <c r="A7" s="8"/>
      <c r="B7" s="8"/>
      <c r="C7" s="46" t="s">
        <v>23</v>
      </c>
      <c r="D7" s="46" t="s">
        <v>16</v>
      </c>
      <c r="E7" s="46" t="s">
        <v>44</v>
      </c>
      <c r="F7" s="46" t="s">
        <v>45</v>
      </c>
      <c r="G7" s="47">
        <v>194.32</v>
      </c>
      <c r="H7" s="47">
        <v>194.32</v>
      </c>
      <c r="I7" s="47">
        <v>1.0</v>
      </c>
      <c r="J7" s="8"/>
      <c r="K7" s="47">
        <v>600.0</v>
      </c>
      <c r="L7" s="47">
        <v>116592.0</v>
      </c>
      <c r="M7" s="47">
        <v>116592.0</v>
      </c>
      <c r="N7" s="8"/>
      <c r="O7" s="47">
        <v>658.0</v>
      </c>
      <c r="P7" s="47">
        <v>127862.56</v>
      </c>
      <c r="Q7" s="47">
        <v>127862.56</v>
      </c>
      <c r="R7" s="47">
        <v>58.0</v>
      </c>
      <c r="S7" s="48">
        <v>11271.0</v>
      </c>
    </row>
    <row r="8" ht="15.75" customHeight="1">
      <c r="A8" s="8"/>
      <c r="B8" s="8"/>
      <c r="C8" s="46" t="s">
        <v>23</v>
      </c>
      <c r="D8" s="46" t="s">
        <v>19</v>
      </c>
      <c r="E8" s="46" t="s">
        <v>44</v>
      </c>
      <c r="F8" s="46" t="s">
        <v>45</v>
      </c>
      <c r="G8" s="47">
        <v>36.48</v>
      </c>
      <c r="H8" s="47">
        <v>36.48</v>
      </c>
      <c r="I8" s="47">
        <v>1.0</v>
      </c>
      <c r="J8" s="8"/>
      <c r="K8" s="47">
        <v>600.0</v>
      </c>
      <c r="L8" s="47">
        <v>21888.0</v>
      </c>
      <c r="M8" s="47">
        <v>21888.0</v>
      </c>
      <c r="N8" s="8"/>
      <c r="O8" s="47">
        <v>658.0</v>
      </c>
      <c r="P8" s="47">
        <v>24003.84</v>
      </c>
      <c r="Q8" s="47">
        <v>24003.84</v>
      </c>
      <c r="R8" s="47">
        <v>58.0</v>
      </c>
      <c r="S8" s="48">
        <v>2116.0</v>
      </c>
    </row>
    <row r="9" ht="15.75" customHeight="1">
      <c r="A9" s="8"/>
      <c r="B9" s="8"/>
      <c r="C9" s="46" t="s">
        <v>23</v>
      </c>
      <c r="D9" s="46" t="s">
        <v>18</v>
      </c>
      <c r="E9" s="46" t="s">
        <v>44</v>
      </c>
      <c r="F9" s="46" t="s">
        <v>45</v>
      </c>
      <c r="G9" s="47">
        <v>6.56</v>
      </c>
      <c r="H9" s="47">
        <v>6.56</v>
      </c>
      <c r="I9" s="47">
        <v>1.0</v>
      </c>
      <c r="J9" s="8"/>
      <c r="K9" s="47">
        <v>100.0</v>
      </c>
      <c r="L9" s="47">
        <v>656.0</v>
      </c>
      <c r="M9" s="47">
        <v>656.0</v>
      </c>
      <c r="N9" s="8"/>
      <c r="O9" s="47">
        <v>110.0</v>
      </c>
      <c r="P9" s="47">
        <v>721.6</v>
      </c>
      <c r="Q9" s="47">
        <v>721.6</v>
      </c>
      <c r="R9" s="47">
        <v>10.0</v>
      </c>
      <c r="S9" s="47">
        <v>66.0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IFERROR(__xludf.DUMMYFUNCTION("""COMPUTED_VALUE"""),"User Adjusted Nav")</f>
        <v>User Adjusted Nav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23</v>
      </c>
      <c r="D6" s="46" t="s">
        <v>17</v>
      </c>
      <c r="E6" s="46" t="s">
        <v>44</v>
      </c>
      <c r="F6" s="46" t="s">
        <v>45</v>
      </c>
      <c r="G6" s="47">
        <v>94.51</v>
      </c>
      <c r="H6" s="47">
        <v>94.51</v>
      </c>
      <c r="I6" s="47">
        <v>1.0</v>
      </c>
      <c r="J6" s="8"/>
      <c r="K6" s="47">
        <v>100.0</v>
      </c>
      <c r="L6" s="47">
        <v>9451.0</v>
      </c>
      <c r="M6" s="47">
        <v>9451.0</v>
      </c>
      <c r="N6" s="8"/>
      <c r="O6" s="47">
        <v>110.0</v>
      </c>
      <c r="P6" s="47">
        <v>10396.1</v>
      </c>
      <c r="Q6" s="47">
        <v>10396.1</v>
      </c>
      <c r="R6" s="47">
        <v>10.0</v>
      </c>
      <c r="S6" s="47">
        <v>945.0</v>
      </c>
    </row>
    <row r="7" ht="15.75" customHeight="1">
      <c r="A7" s="8"/>
      <c r="B7" s="8"/>
      <c r="C7" s="46" t="s">
        <v>23</v>
      </c>
      <c r="D7" s="46" t="s">
        <v>16</v>
      </c>
      <c r="E7" s="46" t="s">
        <v>44</v>
      </c>
      <c r="F7" s="46" t="s">
        <v>45</v>
      </c>
      <c r="G7" s="47">
        <v>194.32</v>
      </c>
      <c r="H7" s="47">
        <v>194.32</v>
      </c>
      <c r="I7" s="47">
        <v>1.0</v>
      </c>
      <c r="J7" s="8"/>
      <c r="K7" s="47">
        <v>600.0</v>
      </c>
      <c r="L7" s="47">
        <v>116592.0</v>
      </c>
      <c r="M7" s="47">
        <v>116592.0</v>
      </c>
      <c r="N7" s="8"/>
      <c r="O7" s="47">
        <v>658.0</v>
      </c>
      <c r="P7" s="47">
        <v>127862.56</v>
      </c>
      <c r="Q7" s="47">
        <v>127862.56</v>
      </c>
      <c r="R7" s="47">
        <v>58.0</v>
      </c>
      <c r="S7" s="48">
        <v>11271.0</v>
      </c>
    </row>
    <row r="8" ht="15.75" customHeight="1">
      <c r="A8" s="8"/>
      <c r="B8" s="8"/>
      <c r="C8" s="46" t="s">
        <v>23</v>
      </c>
      <c r="D8" s="46" t="s">
        <v>19</v>
      </c>
      <c r="E8" s="46" t="s">
        <v>44</v>
      </c>
      <c r="F8" s="46" t="s">
        <v>45</v>
      </c>
      <c r="G8" s="47">
        <v>36.48</v>
      </c>
      <c r="H8" s="47">
        <v>36.48</v>
      </c>
      <c r="I8" s="47">
        <v>1.0</v>
      </c>
      <c r="J8" s="8"/>
      <c r="K8" s="47">
        <v>600.0</v>
      </c>
      <c r="L8" s="47">
        <v>21888.0</v>
      </c>
      <c r="M8" s="47">
        <v>21888.0</v>
      </c>
      <c r="N8" s="8"/>
      <c r="O8" s="47">
        <v>658.0</v>
      </c>
      <c r="P8" s="47">
        <v>24003.84</v>
      </c>
      <c r="Q8" s="47">
        <v>24003.84</v>
      </c>
      <c r="R8" s="47">
        <v>58.0</v>
      </c>
      <c r="S8" s="48">
        <v>2116.0</v>
      </c>
    </row>
    <row r="9" ht="15.75" customHeight="1">
      <c r="A9" s="8"/>
      <c r="B9" s="8"/>
      <c r="C9" s="46" t="s">
        <v>23</v>
      </c>
      <c r="D9" s="46" t="s">
        <v>18</v>
      </c>
      <c r="E9" s="46" t="s">
        <v>44</v>
      </c>
      <c r="F9" s="46" t="s">
        <v>45</v>
      </c>
      <c r="G9" s="47">
        <v>6.56</v>
      </c>
      <c r="H9" s="47">
        <v>6.56</v>
      </c>
      <c r="I9" s="47">
        <v>1.0</v>
      </c>
      <c r="J9" s="8"/>
      <c r="K9" s="47">
        <v>100.0</v>
      </c>
      <c r="L9" s="47">
        <v>656.0</v>
      </c>
      <c r="M9" s="47">
        <v>656.0</v>
      </c>
      <c r="N9" s="8"/>
      <c r="O9" s="47">
        <v>110.0</v>
      </c>
      <c r="P9" s="47">
        <v>721.6</v>
      </c>
      <c r="Q9" s="47">
        <v>721.6</v>
      </c>
      <c r="R9" s="47">
        <v>10.0</v>
      </c>
      <c r="S9" s="47">
        <v>66.0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 t="shared" ref="B6:C6" si="1">today()</f>
        <v>45187</v>
      </c>
      <c r="C6" s="43">
        <f t="shared" si="1"/>
        <v>45187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190.0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13">
        <v>90.5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13">
        <v>6.2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13">
        <v>35.2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24</v>
      </c>
      <c r="C6" s="35" t="s">
        <v>32</v>
      </c>
      <c r="D6" s="31" t="s">
        <v>33</v>
      </c>
      <c r="E6" s="35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24</v>
      </c>
      <c r="D6" s="46" t="s">
        <v>17</v>
      </c>
      <c r="E6" s="46" t="s">
        <v>44</v>
      </c>
      <c r="F6" s="46" t="s">
        <v>45</v>
      </c>
      <c r="G6" s="47">
        <v>94.51</v>
      </c>
      <c r="H6" s="47">
        <v>94.51</v>
      </c>
      <c r="I6" s="47">
        <v>1.0</v>
      </c>
      <c r="J6" s="8"/>
      <c r="K6" s="47">
        <v>200.0</v>
      </c>
      <c r="L6" s="47">
        <v>18902.0</v>
      </c>
      <c r="M6" s="47">
        <v>18902.0</v>
      </c>
      <c r="N6" s="8"/>
      <c r="O6" s="47">
        <v>224.0</v>
      </c>
      <c r="P6" s="47">
        <v>21170.24</v>
      </c>
      <c r="Q6" s="47">
        <v>21170.24</v>
      </c>
      <c r="R6" s="47">
        <v>24.0</v>
      </c>
      <c r="S6" s="48">
        <v>2268.0</v>
      </c>
    </row>
    <row r="7" ht="15.75" customHeight="1">
      <c r="A7" s="8"/>
      <c r="B7" s="8"/>
      <c r="C7" s="46" t="s">
        <v>24</v>
      </c>
      <c r="D7" s="46" t="s">
        <v>16</v>
      </c>
      <c r="E7" s="46" t="s">
        <v>44</v>
      </c>
      <c r="F7" s="46" t="s">
        <v>45</v>
      </c>
      <c r="G7" s="47">
        <v>194.32</v>
      </c>
      <c r="H7" s="47">
        <v>194.32</v>
      </c>
      <c r="I7" s="47">
        <v>1.0</v>
      </c>
      <c r="J7" s="8"/>
      <c r="K7" s="47">
        <v>600.0</v>
      </c>
      <c r="L7" s="47">
        <v>116592.0</v>
      </c>
      <c r="M7" s="47">
        <v>116592.0</v>
      </c>
      <c r="N7" s="8"/>
      <c r="O7" s="47">
        <v>670.0</v>
      </c>
      <c r="P7" s="47">
        <v>130194.4</v>
      </c>
      <c r="Q7" s="47">
        <v>130194.4</v>
      </c>
      <c r="R7" s="47">
        <v>70.0</v>
      </c>
      <c r="S7" s="48">
        <v>13602.0</v>
      </c>
    </row>
    <row r="8" ht="15.75" customHeight="1">
      <c r="A8" s="8"/>
      <c r="B8" s="8"/>
      <c r="C8" s="46" t="s">
        <v>24</v>
      </c>
      <c r="D8" s="46" t="s">
        <v>19</v>
      </c>
      <c r="E8" s="46" t="s">
        <v>44</v>
      </c>
      <c r="F8" s="46" t="s">
        <v>45</v>
      </c>
      <c r="G8" s="47">
        <v>36.48</v>
      </c>
      <c r="H8" s="47">
        <v>36.48</v>
      </c>
      <c r="I8" s="47">
        <v>1.0</v>
      </c>
      <c r="J8" s="8"/>
      <c r="K8" s="47">
        <v>600.0</v>
      </c>
      <c r="L8" s="47">
        <v>21888.0</v>
      </c>
      <c r="M8" s="47">
        <v>21888.0</v>
      </c>
      <c r="N8" s="8"/>
      <c r="O8" s="47">
        <v>670.0</v>
      </c>
      <c r="P8" s="47">
        <v>24441.6</v>
      </c>
      <c r="Q8" s="47">
        <v>24441.6</v>
      </c>
      <c r="R8" s="47">
        <v>70.0</v>
      </c>
      <c r="S8" s="48">
        <v>2554.0</v>
      </c>
    </row>
    <row r="9" ht="15.75" customHeight="1">
      <c r="A9" s="8"/>
      <c r="B9" s="8"/>
      <c r="C9" s="46" t="s">
        <v>24</v>
      </c>
      <c r="D9" s="46" t="s">
        <v>18</v>
      </c>
      <c r="E9" s="46" t="s">
        <v>44</v>
      </c>
      <c r="F9" s="46" t="s">
        <v>45</v>
      </c>
      <c r="G9" s="47">
        <v>6.56</v>
      </c>
      <c r="H9" s="47">
        <v>6.56</v>
      </c>
      <c r="I9" s="47">
        <v>1.0</v>
      </c>
      <c r="J9" s="8"/>
      <c r="K9" s="47">
        <v>100.0</v>
      </c>
      <c r="L9" s="47">
        <v>656.0</v>
      </c>
      <c r="M9" s="47">
        <v>656.0</v>
      </c>
      <c r="N9" s="8"/>
      <c r="O9" s="47">
        <v>112.0</v>
      </c>
      <c r="P9" s="47">
        <v>734.72</v>
      </c>
      <c r="Q9" s="47">
        <v>734.72</v>
      </c>
      <c r="R9" s="47">
        <v>12.0</v>
      </c>
      <c r="S9" s="47">
        <v>79.0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