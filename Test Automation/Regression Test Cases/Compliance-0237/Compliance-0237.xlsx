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reateComplianceOrder" sheetId="8" r:id="rId10"/>
    <sheet state="visible" name="VerifyComplianceOrder" sheetId="9" r:id="rId11"/>
    <sheet state="visible" name="CreateComplianceOrder1" sheetId="10" r:id="rId12"/>
    <sheet state="visible" name="VerifyComplianceOrder1" sheetId="11" r:id="rId13"/>
    <sheet state="visible" name="CreateComplianceOrder2" sheetId="12" r:id="rId14"/>
    <sheet state="visible" name="VerifyComplianceOrder2" sheetId="13" r:id="rId15"/>
    <sheet state="visible" name="SetCompliancePermission" sheetId="14" r:id="rId16"/>
    <sheet state="visible" name="CreateComplianceOrder3" sheetId="15" r:id="rId17"/>
    <sheet state="visible" name="VerifyComplianceOrder3" sheetId="16" r:id="rId18"/>
    <sheet state="visible" name="VerifyOrder" sheetId="17" r:id="rId19"/>
    <sheet state="visible" name="SetComplianceAlert" sheetId="18" r:id="rId20"/>
    <sheet state="visible" name="SetPreTradeCompliancePermission" sheetId="19" r:id="rId21"/>
    <sheet state="visible" name="CreateDoneAwayOrder1" sheetId="20" r:id="rId22"/>
    <sheet state="visible" name="CreateComplianceOrder4" sheetId="21" r:id="rId23"/>
    <sheet state="visible" name="VerifyOrder1" sheetId="22" r:id="rId24"/>
    <sheet state="visible" name="RestartReleasesAndServices" sheetId="23" r:id="rId25"/>
  </sheets>
  <definedNames/>
  <calcPr/>
</workbook>
</file>

<file path=xl/sharedStrings.xml><?xml version="1.0" encoding="utf-8"?>
<sst xmlns="http://schemas.openxmlformats.org/spreadsheetml/2006/main" count="386" uniqueCount="71">
  <si>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</si>
  <si>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</si>
  <si>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</si>
  <si>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</si>
  <si>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</si>
  <si>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</si>
  <si>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</si>
  <si>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</si>
  <si>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</si>
  <si>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</si>
  <si>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</si>
  <si>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</si>
  <si>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</si>
  <si>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</si>
  <si>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</si>
  <si>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</si>
  <si>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</si>
  <si>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</si>
  <si>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</si>
  <si>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</si>
  <si>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rt</t>
  </si>
  <si>
    <t>TradingTicket</t>
  </si>
  <si>
    <t>CreateDoneAwayOrder</t>
  </si>
  <si>
    <t>AAPL</t>
  </si>
  <si>
    <t>Buy</t>
  </si>
  <si>
    <t>MS</t>
  </si>
  <si>
    <t>Day</t>
  </si>
  <si>
    <t>Market</t>
  </si>
  <si>
    <t>Yes</t>
  </si>
  <si>
    <t>PricingInput</t>
  </si>
  <si>
    <t>CreateComplianceOrder</t>
  </si>
  <si>
    <t>DoneAway</t>
  </si>
  <si>
    <t>VerifyComplianceOrder</t>
  </si>
  <si>
    <t>Soft</t>
  </si>
  <si>
    <t>Masterfund_NAV</t>
  </si>
  <si>
    <t>Enter Summary</t>
  </si>
  <si>
    <t>NewMF</t>
  </si>
  <si>
    <t>masterFundNav: 27,820.00, MasterFundName: NewMF</t>
  </si>
  <si>
    <t>NewMF1</t>
  </si>
  <si>
    <t>masterFundNav: 37,820.00, MasterFundName: NewMF1</t>
  </si>
  <si>
    <t>PBR.A</t>
  </si>
  <si>
    <t>Sector_Match</t>
  </si>
  <si>
    <t>E &amp; P</t>
  </si>
  <si>
    <t>N/A</t>
  </si>
  <si>
    <t>sector: E &amp; P</t>
  </si>
  <si>
    <t>Admin</t>
  </si>
  <si>
    <t>SetCompliancePermission</t>
  </si>
  <si>
    <t>Hard</t>
  </si>
  <si>
    <t>TSLA</t>
  </si>
  <si>
    <t>Account1</t>
  </si>
  <si>
    <t>accountShortName: Allocation1</t>
  </si>
  <si>
    <t>Blotter</t>
  </si>
  <si>
    <t>VerifyOrder</t>
  </si>
  <si>
    <t>NASDAQ</t>
  </si>
  <si>
    <t>jpearce</t>
  </si>
  <si>
    <t>US</t>
  </si>
  <si>
    <t>GCCAP1</t>
  </si>
  <si>
    <t>NONE</t>
  </si>
  <si>
    <t>DefaultNotes</t>
  </si>
  <si>
    <t>M</t>
  </si>
  <si>
    <t>Equity</t>
  </si>
  <si>
    <t>Filled</t>
  </si>
  <si>
    <t>Manual</t>
  </si>
  <si>
    <t/>
  </si>
  <si>
    <t>SetComplianceAlert</t>
  </si>
  <si>
    <t>SetPreTradeCompliancePermission</t>
  </si>
  <si>
    <t>LSCC</t>
  </si>
  <si>
    <t>CreateOrder</t>
  </si>
  <si>
    <t>New</t>
  </si>
  <si>
    <t>Compliance</t>
  </si>
  <si>
    <t>RestartReleasesAndServices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</si>
</sst>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readingOrder="0" shrinkToFit="0" vertical="top" wrapText="0"/>
    </xf>
    <xf borderId="5" fillId="7" fontId="15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f>today()-1</f>
        <v>45411</v>
      </c>
      <c r="C6" s="31">
        <f>today()</f>
        <v>45412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 t="s">
        <v>18</v>
      </c>
      <c r="D7" s="12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18</v>
      </c>
      <c r="D8" s="12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10.0</v>
      </c>
      <c r="E6" s="12">
        <v>10.0</v>
      </c>
      <c r="F6" s="12" t="s">
        <v>20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45412</v>
      </c>
      <c r="O6" s="8"/>
      <c r="AQ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200.0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99.0</v>
      </c>
      <c r="E6" s="12">
        <v>99.0</v>
      </c>
      <c r="F6" s="12" t="s">
        <v>17</v>
      </c>
      <c r="G6" s="12" t="s">
        <v>25</v>
      </c>
      <c r="H6" s="12" t="s">
        <v>26</v>
      </c>
      <c r="I6" s="12" t="s">
        <v>27</v>
      </c>
      <c r="J6" s="12">
        <v>20.0</v>
      </c>
      <c r="K6" s="8"/>
      <c r="L6" s="8"/>
      <c r="M6" s="8"/>
      <c r="N6" s="31">
        <f>today()</f>
        <v>45412</v>
      </c>
      <c r="O6" s="8"/>
      <c r="AQ6" s="9" t="s">
        <v>28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33</v>
      </c>
      <c r="C6" s="34" t="s">
        <v>34</v>
      </c>
      <c r="D6" s="35" t="s">
        <v>35</v>
      </c>
      <c r="E6" s="35" t="s">
        <v>36</v>
      </c>
      <c r="F6" s="35">
        <v>10000.0</v>
      </c>
      <c r="G6" s="35">
        <v>27820.0</v>
      </c>
      <c r="H6" s="35" t="s">
        <v>37</v>
      </c>
      <c r="I6" s="36"/>
      <c r="J6" s="8"/>
      <c r="K6" s="12" t="s">
        <v>28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99.0</v>
      </c>
      <c r="E6" s="12">
        <v>99.0</v>
      </c>
      <c r="F6" s="12" t="s">
        <v>19</v>
      </c>
      <c r="G6" s="12" t="s">
        <v>25</v>
      </c>
      <c r="H6" s="12" t="s">
        <v>26</v>
      </c>
      <c r="I6" s="12" t="s">
        <v>27</v>
      </c>
      <c r="J6" s="12">
        <v>20.0</v>
      </c>
      <c r="K6" s="8"/>
      <c r="L6" s="8"/>
      <c r="M6" s="8"/>
      <c r="N6" s="31">
        <f>today()</f>
        <v>45412</v>
      </c>
      <c r="O6" s="8"/>
      <c r="AQ6" s="9" t="s">
        <v>28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33" t="s">
        <v>33</v>
      </c>
      <c r="C6" s="35" t="s">
        <v>34</v>
      </c>
      <c r="D6" s="35" t="s">
        <v>35</v>
      </c>
      <c r="E6" s="35" t="s">
        <v>38</v>
      </c>
      <c r="F6" s="35">
        <v>10000.0</v>
      </c>
      <c r="G6" s="35">
        <v>37820.0</v>
      </c>
      <c r="H6" s="35" t="s">
        <v>39</v>
      </c>
      <c r="I6" s="36"/>
      <c r="J6" s="8"/>
      <c r="K6" s="12" t="s">
        <v>28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24</v>
      </c>
      <c r="D6" s="12">
        <v>100.0</v>
      </c>
      <c r="E6" s="12">
        <v>100.0</v>
      </c>
      <c r="F6" s="12" t="s">
        <v>17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45412</v>
      </c>
      <c r="O6" s="8"/>
      <c r="AQ6" s="9" t="s">
        <v>28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33</v>
      </c>
      <c r="C6" s="35" t="s">
        <v>41</v>
      </c>
      <c r="D6" s="35" t="s">
        <v>35</v>
      </c>
      <c r="E6" s="35" t="s">
        <v>42</v>
      </c>
      <c r="F6" s="35" t="s">
        <v>43</v>
      </c>
      <c r="G6" s="35" t="s">
        <v>43</v>
      </c>
      <c r="H6" s="35" t="s">
        <v>44</v>
      </c>
      <c r="I6" s="36"/>
      <c r="J6" s="8"/>
      <c r="K6" s="12" t="s">
        <v>28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41</v>
      </c>
      <c r="C6" s="12" t="s">
        <v>47</v>
      </c>
      <c r="D6" s="12">
        <v>17.0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48</v>
      </c>
      <c r="C6" s="12" t="s">
        <v>24</v>
      </c>
      <c r="D6" s="12">
        <v>100.0</v>
      </c>
      <c r="E6" s="12">
        <v>100.0</v>
      </c>
      <c r="F6" s="12" t="s">
        <v>17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45412</v>
      </c>
      <c r="O6" s="8"/>
      <c r="AQ6" s="9" t="s">
        <v>28</v>
      </c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33</v>
      </c>
      <c r="C6" s="35" t="s">
        <v>49</v>
      </c>
      <c r="D6" s="35" t="s">
        <v>35</v>
      </c>
      <c r="E6" s="35" t="s">
        <v>17</v>
      </c>
      <c r="F6" s="35" t="s">
        <v>43</v>
      </c>
      <c r="G6" s="35" t="s">
        <v>43</v>
      </c>
      <c r="H6" s="35" t="s">
        <v>50</v>
      </c>
      <c r="I6" s="36"/>
      <c r="J6" s="8"/>
      <c r="K6" s="12" t="s">
        <v>28</v>
      </c>
      <c r="L6" s="8"/>
      <c r="M6" s="12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7"/>
      <c r="B6" s="37"/>
      <c r="C6" s="8"/>
      <c r="D6" s="37">
        <v>10.0</v>
      </c>
      <c r="E6" s="8"/>
      <c r="F6" s="8">
        <v>0.0</v>
      </c>
      <c r="G6" s="8"/>
      <c r="H6" s="8" t="s">
        <v>53</v>
      </c>
      <c r="I6" s="8" t="s">
        <v>54</v>
      </c>
      <c r="J6" s="8" t="s">
        <v>48</v>
      </c>
      <c r="K6" s="8" t="s">
        <v>55</v>
      </c>
      <c r="L6" s="8" t="s">
        <v>56</v>
      </c>
      <c r="M6" s="8"/>
      <c r="N6" s="8"/>
      <c r="O6" s="8"/>
      <c r="S6">
        <v>0.0</v>
      </c>
      <c r="T6">
        <v>0.0</v>
      </c>
      <c r="U6" t="s">
        <v>18</v>
      </c>
      <c r="V6" t="s">
        <v>57</v>
      </c>
      <c r="X6">
        <v>0.0</v>
      </c>
      <c r="AA6" t="s">
        <v>36</v>
      </c>
      <c r="AB6">
        <v>100.0</v>
      </c>
      <c r="AC6" t="s">
        <v>58</v>
      </c>
      <c r="AD6">
        <v>1.0</v>
      </c>
      <c r="AF6" t="s">
        <v>59</v>
      </c>
      <c r="AG6">
        <v>10.0</v>
      </c>
      <c r="AH6" t="s">
        <v>60</v>
      </c>
      <c r="AI6" t="s">
        <v>48</v>
      </c>
      <c r="AJ6" t="s">
        <v>24</v>
      </c>
      <c r="AK6" t="s">
        <v>61</v>
      </c>
      <c r="AL6" s="38">
        <v>100.0</v>
      </c>
      <c r="AM6" s="38">
        <v>100.0</v>
      </c>
      <c r="AN6">
        <v>100.0</v>
      </c>
      <c r="AO6">
        <v>100.0</v>
      </c>
      <c r="AQ6">
        <v>10.0</v>
      </c>
      <c r="AR6">
        <v>10.0</v>
      </c>
      <c r="AS6" t="s">
        <v>25</v>
      </c>
      <c r="AT6" t="s">
        <v>17</v>
      </c>
      <c r="AU6" t="s">
        <v>27</v>
      </c>
      <c r="AV6">
        <v>1000.0</v>
      </c>
      <c r="AW6">
        <v>1000.0</v>
      </c>
      <c r="AX6" t="s">
        <v>62</v>
      </c>
      <c r="AY6" t="s">
        <v>63</v>
      </c>
      <c r="AZ6">
        <v>0.0</v>
      </c>
      <c r="BA6" t="s">
        <v>54</v>
      </c>
      <c r="BB6" t="s">
        <v>63</v>
      </c>
      <c r="BC6" t="s">
        <v>63</v>
      </c>
      <c r="BD6" t="s">
        <v>63</v>
      </c>
      <c r="BE6" t="s">
        <v>63</v>
      </c>
      <c r="BF6" t="s">
        <v>63</v>
      </c>
      <c r="BH6" t="s">
        <v>26</v>
      </c>
      <c r="BK6" t="s">
        <v>63</v>
      </c>
      <c r="BN6">
        <v>0.0</v>
      </c>
      <c r="BP6" t="s">
        <v>63</v>
      </c>
      <c r="BQ6" t="s">
        <v>63</v>
      </c>
      <c r="BR6" t="s">
        <v>63</v>
      </c>
      <c r="BS6" t="s">
        <v>63</v>
      </c>
      <c r="BT6" t="s">
        <v>63</v>
      </c>
      <c r="BU6" t="s">
        <v>63</v>
      </c>
      <c r="BV6" t="s">
        <v>63</v>
      </c>
      <c r="BW6" t="s">
        <v>63</v>
      </c>
      <c r="BX6" t="s">
        <v>63</v>
      </c>
      <c r="BY6" t="s">
        <v>63</v>
      </c>
      <c r="BZ6" t="s">
        <v>63</v>
      </c>
      <c r="CA6" t="s">
        <v>63</v>
      </c>
      <c r="CB6" t="s">
        <v>63</v>
      </c>
      <c r="CC6" t="s">
        <v>63</v>
      </c>
      <c r="CD6" t="s">
        <v>63</v>
      </c>
      <c r="CE6" t="s">
        <v>63</v>
      </c>
      <c r="CF6" t="s">
        <v>63</v>
      </c>
      <c r="CG6" t="s">
        <v>63</v>
      </c>
      <c r="CH6" t="s">
        <v>63</v>
      </c>
      <c r="CI6" t="s">
        <v>63</v>
      </c>
      <c r="CJ6" t="s">
        <v>63</v>
      </c>
      <c r="CK6" t="s">
        <v>63</v>
      </c>
      <c r="CL6" t="s">
        <v>63</v>
      </c>
      <c r="CM6" t="s">
        <v>63</v>
      </c>
      <c r="CN6" t="s">
        <v>63</v>
      </c>
      <c r="CO6" t="s">
        <v>63</v>
      </c>
      <c r="CP6" t="s">
        <v>63</v>
      </c>
      <c r="CQ6" t="s">
        <v>63</v>
      </c>
      <c r="CR6" t="s">
        <v>63</v>
      </c>
      <c r="CS6" t="s">
        <v>63</v>
      </c>
      <c r="CT6" t="s">
        <v>63</v>
      </c>
      <c r="CU6" t="s">
        <v>63</v>
      </c>
      <c r="CV6" t="s">
        <v>63</v>
      </c>
      <c r="CW6" t="s">
        <v>63</v>
      </c>
      <c r="CX6" t="s">
        <v>63</v>
      </c>
      <c r="CY6" t="s">
        <v>63</v>
      </c>
      <c r="CZ6" t="s">
        <v>63</v>
      </c>
      <c r="DA6" t="s">
        <v>63</v>
      </c>
      <c r="DB6" t="s">
        <v>63</v>
      </c>
      <c r="DC6" t="s">
        <v>63</v>
      </c>
      <c r="DD6" t="s">
        <v>63</v>
      </c>
      <c r="DE6" t="s">
        <v>63</v>
      </c>
      <c r="DF6" t="s">
        <v>63</v>
      </c>
      <c r="DG6" t="s">
        <v>63</v>
      </c>
      <c r="DH6" t="s">
        <v>63</v>
      </c>
      <c r="DI6" t="s">
        <v>63</v>
      </c>
      <c r="DJ6" t="s">
        <v>63</v>
      </c>
      <c r="DK6" t="s">
        <v>63</v>
      </c>
      <c r="DL6" t="s">
        <v>63</v>
      </c>
      <c r="DM6" t="s">
        <v>63</v>
      </c>
      <c r="DN6" t="s">
        <v>63</v>
      </c>
      <c r="DO6" t="s">
        <v>63</v>
      </c>
      <c r="DP6" t="s">
        <v>63</v>
      </c>
      <c r="DQ6" t="s">
        <v>63</v>
      </c>
      <c r="DR6" t="s">
        <v>63</v>
      </c>
      <c r="DS6" t="s">
        <v>63</v>
      </c>
      <c r="DT6" t="s">
        <v>63</v>
      </c>
      <c r="DU6" t="s">
        <v>63</v>
      </c>
      <c r="DV6" t="s">
        <v>63</v>
      </c>
      <c r="DW6" t="s">
        <v>63</v>
      </c>
      <c r="DX6" t="s">
        <v>63</v>
      </c>
      <c r="DY6" t="s">
        <v>63</v>
      </c>
      <c r="DZ6" t="s">
        <v>63</v>
      </c>
      <c r="EA6" t="s">
        <v>63</v>
      </c>
      <c r="EB6" t="s">
        <v>63</v>
      </c>
      <c r="EC6" t="s">
        <v>63</v>
      </c>
      <c r="ED6" t="s">
        <v>63</v>
      </c>
      <c r="EE6" t="s">
        <v>63</v>
      </c>
      <c r="EF6" t="s">
        <v>63</v>
      </c>
      <c r="EG6" t="s">
        <v>63</v>
      </c>
      <c r="EH6" t="s">
        <v>63</v>
      </c>
      <c r="EI6" t="s">
        <v>63</v>
      </c>
      <c r="EJ6" t="s">
        <v>63</v>
      </c>
      <c r="EK6" t="s">
        <v>63</v>
      </c>
      <c r="EL6" t="s">
        <v>63</v>
      </c>
      <c r="EM6" t="s">
        <v>63</v>
      </c>
      <c r="EN6" t="s">
        <v>63</v>
      </c>
      <c r="EO6" t="s">
        <v>63</v>
      </c>
      <c r="EP6" t="s">
        <v>63</v>
      </c>
      <c r="EQ6" t="s">
        <v>63</v>
      </c>
      <c r="ER6" t="s">
        <v>63</v>
      </c>
      <c r="ES6" t="s">
        <v>63</v>
      </c>
      <c r="ET6" t="s">
        <v>63</v>
      </c>
      <c r="EU6" t="s">
        <v>63</v>
      </c>
      <c r="EV6" t="s">
        <v>63</v>
      </c>
      <c r="EW6" t="s">
        <v>63</v>
      </c>
      <c r="EX6" t="s">
        <v>63</v>
      </c>
      <c r="EY6" t="s">
        <v>63</v>
      </c>
      <c r="EZ6" t="s">
        <v>63</v>
      </c>
      <c r="FA6" t="s">
        <v>63</v>
      </c>
      <c r="FB6" t="s">
        <v>63</v>
      </c>
      <c r="FC6" t="s">
        <v>63</v>
      </c>
      <c r="FD6" t="s">
        <v>63</v>
      </c>
      <c r="FE6" t="s">
        <v>63</v>
      </c>
      <c r="FF6" t="s">
        <v>63</v>
      </c>
      <c r="FG6" t="s">
        <v>63</v>
      </c>
      <c r="FH6" t="s">
        <v>63</v>
      </c>
      <c r="FI6" t="s">
        <v>63</v>
      </c>
      <c r="FJ6" t="s">
        <v>63</v>
      </c>
      <c r="FK6" t="s">
        <v>63</v>
      </c>
      <c r="FL6" t="s">
        <v>63</v>
      </c>
      <c r="FM6" t="s">
        <v>63</v>
      </c>
      <c r="FN6" t="s">
        <v>63</v>
      </c>
      <c r="FO6" t="s">
        <v>63</v>
      </c>
      <c r="FP6" t="s">
        <v>63</v>
      </c>
      <c r="FQ6" t="s">
        <v>63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IFERROR(__xludf.DUMMYFUNCTION("""COMPUTED_VALUE"""),"Trading")</f>
        <v>Trading</v>
      </c>
      <c r="C5" s="27" t="str">
        <f>IFERROR(__xludf.DUMMYFUNCTION("""COMPUTED_VALUE"""),"Manual Trading")</f>
        <v>Manual Trading</v>
      </c>
      <c r="D5" s="27" t="str">
        <f>IFERROR(__xludf.DUMMYFUNCTION("""COMPUTED_VALUE"""),"Staging")</f>
        <v>Staging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SetPreTradeCompliancePermission!$4:$4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 t="s">
        <v>24</v>
      </c>
      <c r="D6" s="12">
        <v>2000.0</v>
      </c>
      <c r="E6" s="12">
        <v>2000.0</v>
      </c>
      <c r="F6" s="12" t="s">
        <v>17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45412</v>
      </c>
      <c r="O6" s="8"/>
      <c r="AQ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12" t="s">
        <v>24</v>
      </c>
      <c r="D6" s="12">
        <v>1000.0</v>
      </c>
      <c r="E6" s="12">
        <v>1000.0</v>
      </c>
      <c r="F6" s="12" t="s">
        <v>17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1">
        <f>today()</f>
        <v>45412</v>
      </c>
      <c r="O6" s="8"/>
      <c r="AQ6" s="9" t="s">
        <v>28</v>
      </c>
      <c r="AX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66</v>
      </c>
      <c r="AJ6" s="9" t="s">
        <v>24</v>
      </c>
      <c r="AK6" s="9" t="s">
        <v>68</v>
      </c>
      <c r="AL6" s="9">
        <v>1000.0</v>
      </c>
      <c r="AS6" s="9" t="s">
        <v>25</v>
      </c>
      <c r="AT6" s="9" t="s">
        <v>17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