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ValidateSymbolTT" sheetId="4" r:id="rId6"/>
    <sheet state="visible" name="OpenQtt" sheetId="5" r:id="rId7"/>
    <sheet state="visible" name="TradeQTT" sheetId="6" r:id="rId8"/>
    <sheet state="visible" name="EnableOrVerifyHotButton" sheetId="7" r:id="rId9"/>
    <sheet state="visible" name="TradeQTT1" sheetId="8" r:id="rId10"/>
    <sheet state="visible" name="EnableOrVerifyHotButton1" sheetId="9" r:id="rId11"/>
  </sheets>
  <definedNames/>
  <calcPr/>
</workbook>
</file>

<file path=xl/sharedStrings.xml><?xml version="1.0" encoding="utf-8"?>
<sst xmlns="http://schemas.openxmlformats.org/spreadsheetml/2006/main" count="73" uniqueCount="34">
  <si>
    <t>Modules Info</t>
  </si>
  <si>
    <t>Modules</t>
  </si>
  <si>
    <t>Settings</t>
  </si>
  <si>
    <t>Module Step Setting File</t>
  </si>
  <si>
    <t>1FzWTLghJOFjrGmCEN5rFkuzctvHiAo4TNjRi7fOzwlg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</si>
  <si>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</si>
  <si>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</si>
  <si>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</si>
  <si>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</si>
  <si>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</si>
  <si>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</si>
  <si>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</si>
  <si>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</si>
  <si>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CustomOrderTT</t>
  </si>
  <si>
    <t>Data Format</t>
  </si>
  <si>
    <t>Input Format</t>
  </si>
  <si>
    <t>AAPL</t>
  </si>
  <si>
    <t>QTT</t>
  </si>
  <si>
    <t>OpenQtt</t>
  </si>
  <si>
    <t>Save</t>
  </si>
  <si>
    <t>TradeQTT</t>
  </si>
  <si>
    <t>HOT</t>
  </si>
  <si>
    <t>Allocation1</t>
  </si>
  <si>
    <t>MS</t>
  </si>
  <si>
    <t>Day</t>
  </si>
  <si>
    <t>Market</t>
  </si>
  <si>
    <t>Manual</t>
  </si>
  <si>
    <t>Blotter</t>
  </si>
  <si>
    <t>EnableOrVerifyHotButton</t>
  </si>
  <si>
    <t>Hot</t>
  </si>
  <si>
    <t>favourite</t>
  </si>
  <si>
    <t>HOT1</t>
  </si>
  <si>
    <t>Hot1</t>
  </si>
  <si>
    <t>non favourite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</si>
</sst>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3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readingOrder="0"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vertical="bottom"/>
    </xf>
    <xf borderId="0" fillId="0" fontId="3" numFmtId="0" xfId="0" applyAlignment="1" applyFont="1">
      <alignment horizontal="center" vertical="bottom"/>
    </xf>
    <xf borderId="0" fillId="0" fontId="3" numFmtId="0" xfId="0" applyAlignment="1" applyFont="1">
      <alignment readingOrder="0" vertical="bottom"/>
    </xf>
    <xf borderId="0" fillId="0" fontId="5" numFmtId="0" xfId="0" applyAlignment="1" applyFont="1">
      <alignment horizontal="center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1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1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1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1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1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1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IFERROR(__xludf.DUMMYFUNCTION("""COMPUTED_VALUE"""),"17hQQja2JxgHYc91C7e_NxNoHLA89SiPSSBCEIFHCoTk")</f>
        <v>17hQQja2JxgHYc91C7e_NxNoHLA89SiPSSBCEIFHCoTk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IFERROR(__xludf.DUMMYFUNCTION("""COMPUTED_VALUE"""),"1oej4n4PC8RE49pB4-TiWxTqbDPyninh9e03DcCsTU80")</f>
        <v>1oej4n4PC8RE49pB4-TiWxTqbDPyninh9e03DcCsTU80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IFERROR(__xludf.DUMMYFUNCTION("""COMPUTED_VALUE"""),"1BjEK9SjmwTVcJQlKgIyoRBoSojE0atclJ6aMY8PF1jE")</f>
        <v>1BjEK9SjmwTVcJQlKgIyoRBoSojE0atclJ6aMY8PF1jE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IFERROR(__xludf.DUMMYFUNCTION("""COMPUTED_VALUE"""),"1JPNg6N_aHFo0NZlm39jWJJlz8ViAI_cUwOgfEVMqNZo")</f>
        <v>1JPNg6N_aHFo0NZlm39jWJJlz8ViAI_cUwOgfEVMqNZo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IFERROR(__xludf.DUMMYFUNCTION("""COMPUTED_VALUE"""),"1RWrzEP7tKvSTkC1z87RsjU_EZslvD2btXJuTWRIwRLU")</f>
        <v>1RWrzEP7tKvSTkC1z87RsjU_EZslvD2btXJuTWRIwRLU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IFERROR(__xludf.DUMMYFUNCTION("""COMPUTED_VALUE"""),"1NkVqjZCVIerQf2X0Yf6GK2jVSYfVa7-CmnPWggeHwJc")</f>
        <v>1NkVqjZCVIerQf2X0Yf6GK2jVSYfVa7-CmnPWggeHwJc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IFERROR(__xludf.DUMMYFUNCTION("""COMPUTED_VALUE"""),"1OM-qeNQLbTj-z40xd1iUyj7uo5BNzUJKKmvtT-Ue5R0")</f>
        <v>1OM-qeNQLbTj-z40xd1iUyj7uo5BNzUJKKmvtT-Ue5R0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IFERROR(__xludf.DUMMYFUNCTION("""COMPUTED_VALUE"""),"1X_J7xIcQSksjlzFZ-krkjWcnyPAEj1k98zuXOUONhS8")</f>
        <v>1X_J7xIcQSksjlzFZ-krkjWcnyPAEj1k98zuXOUONhS8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IFERROR(__xludf.DUMMYFUNCTION("""COMPUTED_VALUE"""),"1rJRRqJlBOAI1DmechO49htg_P97-G5pNyuROFY03c_0")</f>
        <v>1rJRRqJlBOAI1DmechO49htg_P97-G5pNyuROFY03c_0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IFERROR(__xludf.DUMMYFUNCTION("""COMPUTED_VALUE"""),"1XzjmPmpB7IMcyzPSsbgmFfzjE_zIKdjrk0mUoMFhNZc")</f>
        <v>1XzjmPmpB7IMcyzPSsbgmFfzjE_zIKdjrk0mUoMFhNZc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IFERROR(__xludf.DUMMYFUNCTION("""COMPUTED_VALUE"""),"TradingTicket")</f>
        <v>TradingTicket</v>
      </c>
      <c r="B767" t="str">
        <f>IFERROR(__xludf.DUMMYFUNCTION("""COMPUTED_VALUE"""),"AlgoUIOperations")</f>
        <v>AlgoUIOperations</v>
      </c>
      <c r="C767" t="str">
        <f>IFERROR(__xludf.DUMMYFUNCTION("""COMPUTED_VALUE"""),"1uln1YXeeB893lpbmhI194peJcUUj4ODFhdM1AYcTVJo")</f>
        <v>1uln1YXeeB893lpbmhI194peJcUUj4ODFhdM1AYcTVJo</v>
      </c>
    </row>
    <row r="768" ht="15.75" customHeight="1">
      <c r="A768" t="str">
        <f>IFERROR(__xludf.DUMMYFUNCTION("""COMPUTED_VALUE"""),"TradingTicket")</f>
        <v>TradingTicket</v>
      </c>
      <c r="B768" t="str">
        <f>IFERROR(__xludf.DUMMYFUNCTION("""COMPUTED_VALUE"""),"UpdateShortLocateFromTT")</f>
        <v>UpdateShortLocateFromTT</v>
      </c>
      <c r="C768" t="str">
        <f>IFERROR(__xludf.DUMMYFUNCTION("""COMPUTED_VALUE"""),"13hfddjE8Z-71LhiEXSLwqUDRw6EbnSTKZU2vgV_dwUA")</f>
        <v>13hfddjE8Z-71LhiEXSLwqUDRw6EbnSTKZU2vgV_dwUA</v>
      </c>
    </row>
    <row r="769" ht="15.75" customHeight="1">
      <c r="A769" t="str">
        <f>IFERROR(__xludf.DUMMYFUNCTION("""COMPUTED_VALUE"""),"RTPNL")</f>
        <v>RTPNL</v>
      </c>
      <c r="B769" t="str">
        <f>IFERROR(__xludf.DUMMYFUNCTION("""COMPUTED_VALUE"""),"RenameTabs")</f>
        <v>RenameTabs</v>
      </c>
      <c r="C769" t="str">
        <f>IFERROR(__xludf.DUMMYFUNCTION("""COMPUTED_VALUE"""),"1K7LcioEl1sTwLRhqHc9go_7jNmUIRZNy9zBQLMgtBw8")</f>
        <v>1K7LcioEl1sTwLRhqHc9go_7jNmUIRZNy9zBQLMgtBw8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IFERROR(__xludf.DUMMYFUNCTION("""COMPUTED_VALUE"""),"ResizeEnsure")</f>
        <v>ResizeEnsure</v>
      </c>
      <c r="C770" t="str">
        <f>IFERROR(__xludf.DUMMYFUNCTION("""COMPUTED_VALUE"""),"1-peVyQ_nIwd8owwmtDtNW-yx12KQx2nHeYee6duB46M")</f>
        <v>1-peVyQ_nIwd8owwmtDtNW-yx12KQx2nHeYee6duB46M</v>
      </c>
    </row>
    <row r="771" ht="15.75" customHeight="1">
      <c r="A771" t="str">
        <f>IFERROR(__xludf.DUMMYFUNCTION("""COMPUTED_VALUE"""),"Admin")</f>
        <v>Admin</v>
      </c>
      <c r="B771" t="str">
        <f>IFERROR(__xludf.DUMMYFUNCTION("""COMPUTED_VALUE"""),"ClearRTPNLtabs")</f>
        <v>ClearRTPNLtabs</v>
      </c>
      <c r="C771" t="str">
        <f>IFERROR(__xludf.DUMMYFUNCTION("""COMPUTED_VALUE"""),"Undefined")</f>
        <v>Undefined</v>
      </c>
    </row>
    <row r="772" ht="15.75" customHeight="1">
      <c r="A772" t="str">
        <f>IFERROR(__xludf.DUMMYFUNCTION("""COMPUTED_VALUE"""),"RTPNL")</f>
        <v>RTPNL</v>
      </c>
      <c r="B772" t="str">
        <f>IFERROR(__xludf.DUMMYFUNCTION("""COMPUTED_VALUE"""),"AddTabRTPNL")</f>
        <v>AddTabRTPNL</v>
      </c>
      <c r="C772" t="str">
        <f>IFERROR(__xludf.DUMMYFUNCTION("""COMPUTED_VALUE"""),"18kG7vS-CfSLW8Q-ho416lyPlP36XJPPHA0cRbCk3vjU")</f>
        <v>18kG7vS-CfSLW8Q-ho416lyPlP36XJPPHA0cRbCk3vjU</v>
      </c>
    </row>
    <row r="773" ht="15.75" customHeight="1">
      <c r="A773" t="str">
        <f>IFERROR(__xludf.DUMMYFUNCTION("""COMPUTED_VALUE"""),"Blotter")</f>
        <v>Blotter</v>
      </c>
      <c r="B773" t="str">
        <f>IFERROR(__xludf.DUMMYFUNCTION("""COMPUTED_VALUE"""),"ResizeEnsureBlotter")</f>
        <v>ResizeEnsureBlotter</v>
      </c>
      <c r="C773" t="str">
        <f>IFERROR(__xludf.DUMMYFUNCTION("""COMPUTED_VALUE"""),"1Vu6zEtojqPkTWiW-oX7BwwpFj9Oi3-B6-sRrEsjiW0Y")</f>
        <v>1Vu6zEtojqPkTWiW-oX7BwwpFj9Oi3-B6-sRrEsjiW0Y</v>
      </c>
    </row>
    <row r="774" ht="15.75" customHeight="1">
      <c r="A774" t="str">
        <f>IFERROR(__xludf.DUMMYFUNCTION("""COMPUTED_VALUE"""),"Admin")</f>
        <v>Admin</v>
      </c>
      <c r="B774" t="str">
        <f>IFERROR(__xludf.DUMMYFUNCTION("""COMPUTED_VALUE"""),"ConfigUpdater")</f>
        <v>ConfigUpdater</v>
      </c>
      <c r="C774" t="str">
        <f>IFERROR(__xludf.DUMMYFUNCTION("""COMPUTED_VALUE"""),"19IDTIIOkGl6qufGANtXkELRoXFIlWB3icM0G4IJ5mg4")</f>
        <v>19IDTIIOkGl6qufGANtXkELRoXFIlWB3icM0G4IJ5mg4</v>
      </c>
    </row>
    <row r="775" ht="15.75" customHeight="1">
      <c r="A775" t="str">
        <f>IFERROR(__xludf.DUMMYFUNCTION("""COMPUTED_VALUE"""),"PortfolioManagement")</f>
        <v>PortfolioManagement</v>
      </c>
      <c r="B775" t="str">
        <f>IFERROR(__xludf.DUMMYFUNCTION("""COMPUTED_VALUE"""),"SelectTradeOnPM")</f>
        <v>SelectTradeOnPM</v>
      </c>
      <c r="C775" t="str">
        <f>IFERROR(__xludf.DUMMYFUNCTION("""COMPUTED_VALUE"""),"1_tBJjps2mULQyHra_AnC6BBvPbOko3FAY-kc11l7eTg")</f>
        <v>1_tBJjps2mULQyHra_AnC6BBvPbOko3FAY-kc11l7eTg</v>
      </c>
    </row>
    <row r="776" ht="15.75" customHeight="1">
      <c r="A776" t="str">
        <f>IFERROR(__xludf.DUMMYFUNCTION("""COMPUTED_VALUE"""),"TradingTicket")</f>
        <v>TradingTicket</v>
      </c>
      <c r="B776" t="str">
        <f>IFERROR(__xludf.DUMMYFUNCTION("""COMPUTED_VALUE"""),"ResetTT")</f>
        <v>ResetTT</v>
      </c>
      <c r="C776" t="str">
        <f>IFERROR(__xludf.DUMMYFUNCTION("""COMPUTED_VALUE"""),"Undefined")</f>
        <v>Undefined</v>
      </c>
    </row>
    <row r="777" ht="15.75" customHeight="1">
      <c r="A777" t="str">
        <f>IFERROR(__xludf.DUMMYFUNCTION("""COMPUTED_VALUE"""),"Blotter")</f>
        <v>Blotter</v>
      </c>
      <c r="B777" t="str">
        <f>IFERROR(__xludf.DUMMYFUNCTION("""COMPUTED_VALUE"""),"RightClickOperations")</f>
        <v>RightClickOperations</v>
      </c>
      <c r="C777" t="str">
        <f>IFERROR(__xludf.DUMMYFUNCTION("""COMPUTED_VALUE"""),"17jhCujI-0V0U3n5lzlkc-azSuwCa7rf-4KwcSInm9ts")</f>
        <v>17jhCujI-0V0U3n5lzlkc-azSuwCa7rf-4KwcSInm9ts</v>
      </c>
    </row>
    <row r="778" ht="15.75" customHeight="1">
      <c r="A778" t="str">
        <f>IFERROR(__xludf.DUMMYFUNCTION("""COMPUTED_VALUE"""),"Unknown")</f>
        <v>Unknown</v>
      </c>
      <c r="B778" t="str">
        <f>IFERROR(__xludf.DUMMYFUNCTION("""COMPUTED_VALUE"""),"RightClickAndClickOperations")</f>
        <v>RightClickAndClickOperations</v>
      </c>
      <c r="C778" t="str">
        <f>IFERROR(__xludf.DUMMYFUNCTION("""COMPUTED_VALUE"""),"1e9jtl9r57SkbYm3S4wbHtvkeG2KExZEiFSIkkRSaq-8")</f>
        <v>1e9jtl9r57SkbYm3S4wbHtvkeG2KExZEiFSIkkRSaq-8</v>
      </c>
    </row>
    <row r="779" ht="15.75" customHeight="1">
      <c r="A779" t="str">
        <f>IFERROR(__xludf.DUMMYFUNCTION("""COMPUTED_VALUE"""),"Compliance")</f>
        <v>Compliance</v>
      </c>
      <c r="B779" t="str">
        <f>IFERROR(__xludf.DUMMYFUNCTION("""COMPUTED_VALUE"""),"EnableDisableRule")</f>
        <v>EnableDisableRule</v>
      </c>
      <c r="C779" t="str">
        <f>IFERROR(__xludf.DUMMYFUNCTION("""COMPUTED_VALUE"""),"1ldCRZpDrvOW-37YQP92bnj-oqRl2rwy9OIebmA5GKXE")</f>
        <v>1ldCRZpDrvOW-37YQP92bnj-oqRl2rwy9OIebmA5GKXE</v>
      </c>
    </row>
    <row r="780" ht="15.75" customHeight="1">
      <c r="A780" t="str">
        <f>IFERROR(__xludf.DUMMYFUNCTION("""COMPUTED_VALUE"""),"Blotter")</f>
        <v>Blotter</v>
      </c>
      <c r="B780" t="str">
        <f>IFERROR(__xludf.DUMMYFUNCTION("""COMPUTED_VALUE"""),"BlotterToolBarAction")</f>
        <v>BlotterToolBarAction</v>
      </c>
      <c r="C780" t="str">
        <f>IFERROR(__xludf.DUMMYFUNCTION("""COMPUTED_VALUE"""),"1bI1kIBxH6qy8zi5tx46rN3vNgbmxbdwtAo1inrXDALs")</f>
        <v>1bI1kIBxH6qy8zi5tx46rN3vNgbmxbdwtAo1inrXDALs</v>
      </c>
    </row>
    <row r="781" ht="15.75" customHeight="1">
      <c r="A781" t="str">
        <f>IFERROR(__xludf.DUMMYFUNCTION("""COMPUTED_VALUE"""),"RTPNL")</f>
        <v>RTPNL</v>
      </c>
      <c r="B781" t="str">
        <f>IFERROR(__xludf.DUMMYFUNCTION("""COMPUTED_VALUE"""),"MergeWindows")</f>
        <v>MergeWindows</v>
      </c>
      <c r="C781" t="str">
        <f>IFERROR(__xludf.DUMMYFUNCTION("""COMPUTED_VALUE"""),"1BEiRPdwHXsXVZ0ioude04Me5qSQ_YU6xh1ZwMWgExVU")</f>
        <v>1BEiRPdwHXsXVZ0ioude04Me5qSQ_YU6xh1ZwMWgExVU</v>
      </c>
    </row>
    <row r="782" ht="15.75" customHeight="1">
      <c r="A782" t="str">
        <f>IFERROR(__xludf.DUMMYFUNCTION("""COMPUTED_VALUE"""),"PortfolioManagement")</f>
        <v>PortfolioManagement</v>
      </c>
      <c r="B782" t="str">
        <f>IFERROR(__xludf.DUMMYFUNCTION("""COMPUTED_VALUE"""),"OperationsonPM")</f>
        <v>OperationsonPM</v>
      </c>
      <c r="C782" t="str">
        <f>IFERROR(__xludf.DUMMYFUNCTION("""COMPUTED_VALUE"""),"13hKVogBv66c752V1EGUyqXp4dGESQOZLmMqIB56fbAs")</f>
        <v>13hKVogBv66c752V1EGUyqXp4dGESQOZLmMqIB56fbAs</v>
      </c>
    </row>
    <row r="783" ht="15.75" customHeight="1">
      <c r="A783" t="str">
        <f>IFERROR(__xludf.DUMMYFUNCTION("""COMPUTED_VALUE"""),"TradingTicket")</f>
        <v>TradingTicket</v>
      </c>
      <c r="B783" t="str">
        <f>IFERROR(__xludf.DUMMYFUNCTION("""COMPUTED_VALUE"""),"ResizeEnsureTT")</f>
        <v>ResizeEnsureTT</v>
      </c>
      <c r="C783" t="str">
        <f>IFERROR(__xludf.DUMMYFUNCTION("""COMPUTED_VALUE"""),"1X1m60ND44-Chxr6N4sH6Fqbh_pqzIH8Cfy3c89u2_lQ")</f>
        <v>1X1m60ND44-Chxr6N4sH6Fqbh_pqzIH8Cfy3c89u2_lQ</v>
      </c>
    </row>
    <row r="784" ht="15.75" customHeight="1">
      <c r="A784" t="str">
        <f>IFERROR(__xludf.DUMMYFUNCTION("""COMPUTED_VALUE"""),"Admin")</f>
        <v>Admin</v>
      </c>
      <c r="B784" t="str">
        <f>IFERROR(__xludf.DUMMYFUNCTION("""COMPUTED_VALUE"""),"AccountPermission")</f>
        <v>AccountPermission</v>
      </c>
      <c r="C784" t="str">
        <f>IFERROR(__xludf.DUMMYFUNCTION("""COMPUTED_VALUE"""),"1UuUydT-ajZCwnqdhLBG28JhRRgR6skh7CgWMlr5JFEw")</f>
        <v>1UuUydT-ajZCwnqdhLBG28JhRRgR6skh7CgWMlr5JFEw</v>
      </c>
    </row>
    <row r="785" ht="15.75" customHeight="1">
      <c r="A785" t="str">
        <f>IFERROR(__xludf.DUMMYFUNCTION("""COMPUTED_VALUE"""),"Rebalancer")</f>
        <v>Rebalancer</v>
      </c>
      <c r="B785" t="str">
        <f>IFERROR(__xludf.DUMMYFUNCTION("""COMPUTED_VALUE"""),"CreateOrViewModelPortfolio")</f>
        <v>CreateOrViewModelPortfolio</v>
      </c>
      <c r="C785" t="str">
        <f>IFERROR(__xludf.DUMMYFUNCTION("""COMPUTED_VALUE"""),"1vejknW_QiO0r5pMzMjOGCCsgwLVes4a3Ubx1l-0Mg1k")</f>
        <v>1vejknW_QiO0r5pMzMjOGCCsgwLVes4a3Ubx1l-0Mg1k</v>
      </c>
    </row>
    <row r="786" ht="15.75" customHeight="1">
      <c r="A786" t="str">
        <f>IFERROR(__xludf.DUMMYFUNCTION("""COMPUTED_VALUE"""),"Rebalancer")</f>
        <v>Rebalancer</v>
      </c>
      <c r="B786" t="str">
        <f>IFERROR(__xludf.DUMMYFUNCTION("""COMPUTED_VALUE"""),"VerifyModelPortfolio")</f>
        <v>VerifyModelPortfolio</v>
      </c>
      <c r="C786" t="str">
        <f>IFERROR(__xludf.DUMMYFUNCTION("""COMPUTED_VALUE"""),"1Tza5cx7NJ2J8vr_f6DC-KPhnXCzf7l1m0EERc6z_T-U")</f>
        <v>1Tza5cx7NJ2J8vr_f6DC-KPhnXCzf7l1m0EERc6z_T-U</v>
      </c>
    </row>
    <row r="787" ht="15.75" customHeight="1">
      <c r="A787" t="str">
        <f>IFERROR(__xludf.DUMMYFUNCTION("""COMPUTED_VALUE"""),"Allocation")</f>
        <v>Allocation</v>
      </c>
      <c r="B787" t="str">
        <f>IFERROR(__xludf.DUMMYFUNCTION("""COMPUTED_VALUE"""),"ReviewExistingPositions")</f>
        <v>ReviewExistingPositions</v>
      </c>
      <c r="C787" t="str">
        <f>IFERROR(__xludf.DUMMYFUNCTION("""COMPUTED_VALUE"""),"1KwYoTdpeW6LDhzloVKHp5buZqc8IjXEShjwnUx45Ql8")</f>
        <v>1KwYoTdpeW6LDhzloVKHp5buZqc8IjXEShjwnUx45Ql8</v>
      </c>
    </row>
    <row r="788" ht="15.75" customHeight="1">
      <c r="A788" t="str">
        <f>IFERROR(__xludf.DUMMYFUNCTION("""COMPUTED_VALUE"""),"Rebalancer")</f>
        <v>Rebalancer</v>
      </c>
      <c r="B788" t="str">
        <f>IFERROR(__xludf.DUMMYFUNCTION("""COMPUTED_VALUE"""),"VerifyTradeListSummary")</f>
        <v>VerifyTradeListSummary</v>
      </c>
      <c r="C788" t="str">
        <f>IFERROR(__xludf.DUMMYFUNCTION("""COMPUTED_VALUE"""),"1CwPtInR_Cy6ir39KI9yaXfAvolUGYsOGbIOnZabie0c")</f>
        <v>1CwPtInR_Cy6ir39KI9yaXfAvolUGYsOGbIOnZabie0c</v>
      </c>
    </row>
    <row r="789" ht="15.75" customHeight="1">
      <c r="A789" t="str">
        <f>IFERROR(__xludf.DUMMYFUNCTION("""COMPUTED_VALUE"""),"Rebalancer")</f>
        <v>Rebalancer</v>
      </c>
      <c r="B789" t="str">
        <f>IFERROR(__xludf.DUMMYFUNCTION("""COMPUTED_VALUE"""),"ActionOnTBSListSummary")</f>
        <v>ActionOnTBSListSummary</v>
      </c>
      <c r="C789" t="str">
        <f>IFERROR(__xludf.DUMMYFUNCTION("""COMPUTED_VALUE"""),"1vMPSqBpJ7zBb4rZw_ytaphDX8K_jcboQlLc6plZtllU")</f>
        <v>1vMPSqBpJ7zBb4rZw_ytaphDX8K_jcboQlLc6plZtllU</v>
      </c>
    </row>
    <row r="790" ht="15.75" customHeight="1">
      <c r="A790" t="str">
        <f>IFERROR(__xludf.DUMMYFUNCTION("""COMPUTED_VALUE"""),"Rebalancer")</f>
        <v>Rebalancer</v>
      </c>
      <c r="B790" t="str">
        <f>IFERROR(__xludf.DUMMYFUNCTION("""COMPUTED_VALUE"""),"VerifyTLOSideSummary")</f>
        <v>VerifyTLOSideSummary</v>
      </c>
      <c r="C790" t="str">
        <f>IFERROR(__xludf.DUMMYFUNCTION("""COMPUTED_VALUE"""),"1asJHjZ4EwQuMXHEFjolwYeO59Mt4d11wf4mCyD98JMw")</f>
        <v>1asJHjZ4EwQuMXHEFjolwYeO59Mt4d11wf4mCyD98JMw</v>
      </c>
    </row>
    <row r="791" ht="15.75" customHeight="1">
      <c r="A791" t="str">
        <f>IFERROR(__xludf.DUMMYFUNCTION("""COMPUTED_VALUE"""),"Rebalancer")</f>
        <v>Rebalancer</v>
      </c>
      <c r="B791" t="str">
        <f>IFERROR(__xludf.DUMMYFUNCTION("""COMPUTED_VALUE"""),"SelectAndVerifyTradeList")</f>
        <v>SelectAndVerifyTradeList</v>
      </c>
      <c r="C791" t="str">
        <f>IFERROR(__xludf.DUMMYFUNCTION("""COMPUTED_VALUE"""),"1fXJG--hBH0hPvU7g5jtXyZnD1GiwJXfYX9HdEyhGyGs")</f>
        <v>1fXJG--hBH0hPvU7g5jtXyZnD1GiwJXfYX9HdEyhGyGs</v>
      </c>
    </row>
    <row r="792" ht="15.75" customHeight="1">
      <c r="A792" t="str">
        <f>IFERROR(__xludf.DUMMYFUNCTION("""COMPUTED_VALUE"""),"Rebalancer")</f>
        <v>Rebalancer</v>
      </c>
      <c r="B792" t="str">
        <f>IFERROR(__xludf.DUMMYFUNCTION("""COMPUTED_VALUE"""),"ActionOnTradeBuySellListView")</f>
        <v>ActionOnTradeBuySellListView</v>
      </c>
      <c r="C792" t="str">
        <f>IFERROR(__xludf.DUMMYFUNCTION("""COMPUTED_VALUE"""),"1xeJEpkdxtbik3vPUTkxALkXsnL-Vl5dF07PBUoheM3k")</f>
        <v>1xeJEpkdxtbik3vPUTkxALkXsnL-Vl5dF07PBUoheM3k</v>
      </c>
    </row>
    <row r="793" ht="15.75" customHeight="1">
      <c r="A793" t="str">
        <f>IFERROR(__xludf.DUMMYFUNCTION("""COMPUTED_VALUE"""),"PTT")</f>
        <v>PTT</v>
      </c>
      <c r="B793" t="str">
        <f>IFERROR(__xludf.DUMMYFUNCTION("""COMPUTED_VALUE"""),"OperationsonPTT")</f>
        <v>OperationsonPTT</v>
      </c>
      <c r="C793" t="str">
        <f>IFERROR(__xludf.DUMMYFUNCTION("""COMPUTED_VALUE"""),"1J40rCXEDilLEF_x0Wkeeg1lwGfejucV1VSY9UcyeSlw")</f>
        <v>1J40rCXEDilLEF_x0Wkeeg1lwGfejucV1VSY9UcyeSlw</v>
      </c>
    </row>
    <row r="794" ht="15.75" customHeight="1">
      <c r="A794" t="str">
        <f>IFERROR(__xludf.DUMMYFUNCTION("""COMPUTED_VALUE"""),"PricingInput")</f>
        <v>PricingInput</v>
      </c>
      <c r="B794" t="str">
        <f>IFERROR(__xludf.DUMMYFUNCTION("""COMPUTED_VALUE"""),"UpdatePricingInput")</f>
        <v>UpdatePricingInput</v>
      </c>
      <c r="C794" t="str">
        <f>IFERROR(__xludf.DUMMYFUNCTION("""COMPUTED_VALUE"""),"1CG9iYOkRKzlGEsKh7QuEyMdGRQea_W4KDWwlnjE2BdE")</f>
        <v>1CG9iYOkRKzlGEsKh7QuEyMdGRQea_W4KDWwlnjE2BdE</v>
      </c>
    </row>
    <row r="795" ht="15.75" customHeight="1">
      <c r="A795" t="str">
        <f>IFERROR(__xludf.DUMMYFUNCTION("""COMPUTED_VALUE"""),"Rebalancer")</f>
        <v>Rebalancer</v>
      </c>
      <c r="B795" t="str">
        <f>IFERROR(__xludf.DUMMYFUNCTION("""COMPUTED_VALUE"""),"ImportOnRB")</f>
        <v>ImportOnRB</v>
      </c>
      <c r="C795" t="str">
        <f>IFERROR(__xludf.DUMMYFUNCTION("""COMPUTED_VALUE"""),"1EntkiGIsU6aSZPpMKhixdhGFyyVCmlI1jMgvbCFq3oM")</f>
        <v>1EntkiGIsU6aSZPpMKhixdhGFyyVCmlI1jMgvbCFq3oM</v>
      </c>
    </row>
    <row r="796" ht="15.75" customHeight="1">
      <c r="A796" t="str">
        <f>IFERROR(__xludf.DUMMYFUNCTION("""COMPUTED_VALUE"""),"Rebalancer")</f>
        <v>Rebalancer</v>
      </c>
      <c r="B796" t="str">
        <f>IFERROR(__xludf.DUMMYFUNCTION("""COMPUTED_VALUE"""),"ActionOnRSAImportGrid")</f>
        <v>ActionOnRSAImportGrid</v>
      </c>
      <c r="C796" t="str">
        <f>IFERROR(__xludf.DUMMYFUNCTION("""COMPUTED_VALUE"""),"1qyFUqeWV7-Gy2PHnDNHGdUCBuvTKxxZhflKe9pguJEE")</f>
        <v>1qyFUqeWV7-Gy2PHnDNHGdUCBuvTKxxZhflKe9pguJEE</v>
      </c>
    </row>
    <row r="797" ht="15.75" customHeight="1">
      <c r="A797" t="str">
        <f>IFERROR(__xludf.DUMMYFUNCTION("""COMPUTED_VALUE"""),"Rebalancer")</f>
        <v>Rebalancer</v>
      </c>
      <c r="B797" t="str">
        <f>IFERROR(__xludf.DUMMYFUNCTION("""COMPUTED_VALUE"""),"VerifyImportGridRBForInvalidSec")</f>
        <v>VerifyImportGridRBForInvalidSec</v>
      </c>
      <c r="C797" t="str">
        <f>IFERROR(__xludf.DUMMYFUNCTION("""COMPUTED_VALUE"""),"13tlfzcOYlxn2sOASC-JNdqZmR9A1Cesa2Ah5348pLN8")</f>
        <v>13tlfzcOYlxn2sOASC-JNdqZmR9A1Cesa2Ah5348pLN8</v>
      </c>
    </row>
    <row r="798" ht="15.75" customHeight="1">
      <c r="A798" t="str">
        <f>IFERROR(__xludf.DUMMYFUNCTION("""COMPUTED_VALUE"""),"Rebalancer")</f>
        <v>Rebalancer</v>
      </c>
      <c r="B798" t="str">
        <f>IFERROR(__xludf.DUMMYFUNCTION("""COMPUTED_VALUE"""),"VerifyImportGridRBForValidSec")</f>
        <v>VerifyImportGridRBForValidSec</v>
      </c>
      <c r="C798" t="str">
        <f>IFERROR(__xludf.DUMMYFUNCTION("""COMPUTED_VALUE"""),"1KiLapuRaYEZfokVV1TZf8gTWNe8d9PblbpJsN983CaI")</f>
        <v>1KiLapuRaYEZfokVV1TZf8gTWNe8d9PblbpJsN983CaI</v>
      </c>
    </row>
    <row r="799" ht="15.75" customHeight="1">
      <c r="A799" t="str">
        <f>IFERROR(__xludf.DUMMYFUNCTION("""COMPUTED_VALUE"""),"Import")</f>
        <v>Import</v>
      </c>
      <c r="B799" t="str">
        <f>IFERROR(__xludf.DUMMYFUNCTION("""COMPUTED_VALUE"""),"ActionOnImport")</f>
        <v>ActionOnImport</v>
      </c>
      <c r="C799" t="str">
        <f>IFERROR(__xludf.DUMMYFUNCTION("""COMPUTED_VALUE"""),"1YM2boQt7BrzysPpsUbIqt27cfA6-btDPEZntG5NhBUc")</f>
        <v>1YM2boQt7BrzysPpsUbIqt27cfA6-btDPEZntG5NhBUc</v>
      </c>
    </row>
    <row r="800" ht="15.75" customHeight="1">
      <c r="A800" t="str">
        <f>IFERROR(__xludf.DUMMYFUNCTION("""COMPUTED_VALUE"""),"Import")</f>
        <v>Import</v>
      </c>
      <c r="B800" t="str">
        <f>IFERROR(__xludf.DUMMYFUNCTION("""COMPUTED_VALUE"""),"ValidateImportPositions")</f>
        <v>ValidateImportPositions</v>
      </c>
      <c r="C800" t="str">
        <f>IFERROR(__xludf.DUMMYFUNCTION("""COMPUTED_VALUE"""),"1ApMxUfr4smtwBJX_cppynzY1M99QXnDpTRjevjraQtA")</f>
        <v>1ApMxUfr4smtwBJX_cppynzY1M99QXnDpTRjevjraQtA</v>
      </c>
    </row>
    <row r="801" ht="15.75" customHeight="1">
      <c r="A801" t="str">
        <f>IFERROR(__xludf.DUMMYFUNCTION("""COMPUTED_VALUE"""),"DailyValuation")</f>
        <v>DailyValuation</v>
      </c>
      <c r="B801" t="str">
        <f>IFERROR(__xludf.DUMMYFUNCTION("""COMPUTED_VALUE"""),"UpdateMPAndFC")</f>
        <v>UpdateMPAndFC</v>
      </c>
      <c r="C801" t="str">
        <f>IFERROR(__xludf.DUMMYFUNCTION("""COMPUTED_VALUE"""),"1UCNfZng94LprScqCmSKImRjCwiKlLQU_e1kY1tum91I")</f>
        <v>1UCNfZng94LprScqCmSKImRjCwiKlLQU_e1kY1tum91I</v>
      </c>
    </row>
    <row r="802" ht="15.75" customHeight="1">
      <c r="A802" t="str">
        <f>IFERROR(__xludf.DUMMYFUNCTION("""COMPUTED_VALUE"""),"DailyValuation")</f>
        <v>DailyValuation</v>
      </c>
      <c r="B802" t="str">
        <f>IFERROR(__xludf.DUMMYFUNCTION("""COMPUTED_VALUE"""),"SelectDateAtMPFC")</f>
        <v>SelectDateAtMPFC</v>
      </c>
      <c r="C802" t="str">
        <f>IFERROR(__xludf.DUMMYFUNCTION("""COMPUTED_VALUE"""),"1DnCg9cxYbA4JZCrUA-hItngQmbhhFuxexdkPS0iagg8")</f>
        <v>1DnCg9cxYbA4JZCrUA-hItngQmbhhFuxexdkPS0iagg8</v>
      </c>
    </row>
    <row r="803" ht="15.75" customHeight="1">
      <c r="A803" t="str">
        <f>IFERROR(__xludf.DUMMYFUNCTION("""COMPUTED_VALUE"""),"Watchlist")</f>
        <v>Watchlist</v>
      </c>
      <c r="B803" t="str">
        <f>IFERROR(__xludf.DUMMYFUNCTION("""COMPUTED_VALUE"""),"SelectTradeWatchlist")</f>
        <v>SelectTradeWatchlist</v>
      </c>
      <c r="C803" t="str">
        <f>IFERROR(__xludf.DUMMYFUNCTION("""COMPUTED_VALUE"""),"1Wa9Q7PE7i3bZr_mTOkYG22qcEixSMbydeuL2lnyNfB0")</f>
        <v>1Wa9Q7PE7i3bZr_mTOkYG22qcEixSMbydeuL2lnyNfB0</v>
      </c>
    </row>
    <row r="804" ht="15.75" customHeight="1">
      <c r="A804" t="str">
        <f>IFERROR(__xludf.DUMMYFUNCTION("""COMPUTED_VALUE"""),"Watchlist")</f>
        <v>Watchlist</v>
      </c>
      <c r="B804" t="str">
        <f>IFERROR(__xludf.DUMMYFUNCTION("""COMPUTED_VALUE"""),"ActionOnWatchlist")</f>
        <v>ActionOnWatchlist</v>
      </c>
      <c r="C804" t="str">
        <f>IFERROR(__xludf.DUMMYFUNCTION("""COMPUTED_VALUE"""),"1Ex0VPpmT3E0nbSBahi-24Pfuba4HTTVDqcm5UWIEUUw")</f>
        <v>1Ex0VPpmT3E0nbSBahi-24Pfuba4HTTVDqcm5UWIEUUw</v>
      </c>
    </row>
    <row r="805" ht="15.75" customHeight="1">
      <c r="A805" t="str">
        <f>IFERROR(__xludf.DUMMYFUNCTION("""COMPUTED_VALUE"""),"Allocation")</f>
        <v>Allocation</v>
      </c>
      <c r="B805" t="str">
        <f>IFERROR(__xludf.DUMMYFUNCTION("""COMPUTED_VALUE"""),"OperationsonAllocation")</f>
        <v>OperationsonAllocation</v>
      </c>
      <c r="C805" t="str">
        <f>IFERROR(__xludf.DUMMYFUNCTION("""COMPUTED_VALUE"""),"1Ef_CfqtvCC0SoupZq61OQuLBg_r-ocFfZ5dScRXCuD4")</f>
        <v>1Ef_CfqtvCC0SoupZq61OQuLBg_r-ocFfZ5dScRXCuD4</v>
      </c>
    </row>
    <row r="806" ht="15.75" customHeight="1">
      <c r="A806" t="str">
        <f>IFERROR(__xludf.DUMMYFUNCTION("""COMPUTED_VALUE"""),"PTT")</f>
        <v>PTT</v>
      </c>
      <c r="B806" t="str">
        <f>IFERROR(__xludf.DUMMYFUNCTION("""COMPUTED_VALUE"""),"VerifyTradeSummary")</f>
        <v>VerifyTradeSummary</v>
      </c>
      <c r="C806" t="str">
        <f>IFERROR(__xludf.DUMMYFUNCTION("""COMPUTED_VALUE"""),"1QKYeLTANHsRzTEgySasZ8-Hipb9o0WkonYSctIWDvTQ")</f>
        <v>1QKYeLTANHsRzTEgySasZ8-Hipb9o0WkonYSctIWDvTQ</v>
      </c>
    </row>
    <row r="807" ht="15.75" customHeight="1">
      <c r="A807" t="str">
        <f>IFERROR(__xludf.DUMMYFUNCTION("""COMPUTED_VALUE"""),"Blotter")</f>
        <v>Blotter</v>
      </c>
      <c r="B807" t="str">
        <f>IFERROR(__xludf.DUMMYFUNCTION("""COMPUTED_VALUE"""),"SelectTradeOnBlotter")</f>
        <v>SelectTradeOnBlotter</v>
      </c>
      <c r="C807" t="str">
        <f>IFERROR(__xludf.DUMMYFUNCTION("""COMPUTED_VALUE"""),"1DUwxSUq_47EK60XmK3LOdCXa1fkWqWJE9bLuGS3ccv412")</f>
        <v>1DUwxSUq_47EK60XmK3LOdCXa1fkWqWJE9bLuGS3ccv412</v>
      </c>
    </row>
    <row r="808" ht="15.75" customHeight="1">
      <c r="A808" t="str">
        <f>IFERROR(__xludf.DUMMYFUNCTION("""COMPUTED_VALUE"""),"Blotter")</f>
        <v>Blotter</v>
      </c>
      <c r="B808" t="str">
        <f>IFERROR(__xludf.DUMMYFUNCTION("""COMPUTED_VALUE"""),"SelectTradeSummary")</f>
        <v>SelectTradeSummary</v>
      </c>
      <c r="C808" t="str">
        <f>IFERROR(__xludf.DUMMYFUNCTION("""COMPUTED_VALUE"""),"1DUwxSUq_47EK60XmK3LOdCXa1fkWqWJE9bLuGS3ccv412")</f>
        <v>1DUwxSUq_47EK60XmK3LOdCXa1fkWqWJE9bLuGS3ccv412</v>
      </c>
    </row>
    <row r="809" ht="15.75" customHeight="1">
      <c r="A809" t="str">
        <f>IFERROR(__xludf.DUMMYFUNCTION("""COMPUTED_VALUE"""),"Blotter")</f>
        <v>Blotter</v>
      </c>
      <c r="B809" t="str">
        <f>IFERROR(__xludf.DUMMYFUNCTION("""COMPUTED_VALUE"""),"MergeOrderMessage")</f>
        <v>MergeOrderMessage</v>
      </c>
      <c r="C809" t="str">
        <f>IFERROR(__xludf.DUMMYFUNCTION("""COMPUTED_VALUE"""),"1DUwxSUq_47EK60XmK3LOdCXa1fkWqWJE9bLuGS3ccv412")</f>
        <v>1DUwxSUq_47EK60XmK3LOdCXa1fkWqWJE9bLuGS3ccv412</v>
      </c>
    </row>
    <row r="810" ht="15.75" customHeight="1">
      <c r="A810" t="str">
        <f>IFERROR(__xludf.DUMMYFUNCTION("""COMPUTED_VALUE"""),"Blotter")</f>
        <v>Blotter</v>
      </c>
      <c r="B810" t="str">
        <f>IFERROR(__xludf.DUMMYFUNCTION("""COMPUTED_VALUE"""),"SwitchTabBlotter")</f>
        <v>SwitchTabBlotter</v>
      </c>
      <c r="C810" t="str">
        <f>IFERROR(__xludf.DUMMYFUNCTION("""COMPUTED_VALUE"""),"1DUwxSUq_47EK60XmK3LOdCXa1fkWqWJE9bLuGS3ccv412")</f>
        <v>1DUwxSUq_47EK60XmK3LOdCXa1fkWqWJE9bLuGS3ccv412</v>
      </c>
    </row>
    <row r="811" ht="15.75" customHeight="1">
      <c r="A811" t="str">
        <f>IFERROR(__xludf.DUMMYFUNCTION("""COMPUTED_VALUE"""),"Blotter")</f>
        <v>Blotter</v>
      </c>
      <c r="B811" t="str">
        <f>IFERROR(__xludf.DUMMYFUNCTION("""COMPUTED_VALUE"""),"AddTab")</f>
        <v>AddTab</v>
      </c>
      <c r="C811" t="str">
        <f>IFERROR(__xludf.DUMMYFUNCTION("""COMPUTED_VALUE"""),"1DUwxSUq_47EK60XmK3LOdCXa1fkWqWJE9bLuGS3ccv412")</f>
        <v>1DUwxSUq_47EK60XmK3LOdCXa1fkWqWJE9bLuGS3ccv412</v>
      </c>
    </row>
    <row r="812" ht="15.75" customHeight="1">
      <c r="A812" t="str">
        <f>IFERROR(__xludf.DUMMYFUNCTION("""COMPUTED_VALUE"""),"Blotter")</f>
        <v>Blotter</v>
      </c>
      <c r="B812" t="str">
        <f>IFERROR(__xludf.DUMMYFUNCTION("""COMPUTED_VALUE"""),"UploadStageOrders")</f>
        <v>UploadStageOrders</v>
      </c>
      <c r="C812" t="str">
        <f>IFERROR(__xludf.DUMMYFUNCTION("""COMPUTED_VALUE"""),"1DUwxSUq_47EK60XmK3LOdCXa1fkWqWJE9bLuGS3ccv412")</f>
        <v>1DUwxSUq_47EK60XmK3LOdCXa1fkWqWJE9bLuGS3ccv412</v>
      </c>
    </row>
    <row r="813" ht="15.75" customHeight="1">
      <c r="A813" t="str">
        <f>IFERROR(__xludf.DUMMYFUNCTION("""COMPUTED_VALUE"""),"Unknown")</f>
        <v>Unknown</v>
      </c>
      <c r="B813" t="str">
        <f>IFERROR(__xludf.DUMMYFUNCTION("""COMPUTED_VALUE"""),"NirvanaDialogueBoxHandler")</f>
        <v>NirvanaDialogueBoxHandler</v>
      </c>
      <c r="C813" t="str">
        <f>IFERROR(__xludf.DUMMYFUNCTION("""COMPUTED_VALUE"""),"1DUwxSUq_47EK60XmK3LOdCXa1fkWqWJE9bLuGS3ccv412")</f>
        <v>1DUwxSUq_47EK60XmK3LOdCXa1fkWqWJE9bLuGS3ccv412</v>
      </c>
    </row>
    <row r="814" ht="15.75" customHeight="1">
      <c r="A814" t="str">
        <f>IFERROR(__xludf.DUMMYFUNCTION("""COMPUTED_VALUE"""),"Blotter")</f>
        <v>Blotter</v>
      </c>
      <c r="B814" t="str">
        <f>IFERROR(__xludf.DUMMYFUNCTION("""COMPUTED_VALUE"""),"AddTabToFav")</f>
        <v>AddTabToFav</v>
      </c>
      <c r="C814" t="str">
        <f>IFERROR(__xludf.DUMMYFUNCTION("""COMPUTED_VALUE"""),"1Hrblc1gk4JIYboQ1lGHgl7HatAXp5amAl9mS58vzT-0")</f>
        <v>1Hrblc1gk4JIYboQ1lGHgl7HatAXp5amAl9mS58vzT-0</v>
      </c>
    </row>
    <row r="815" ht="15.75" customHeight="1">
      <c r="A815" t="str">
        <f>IFERROR(__xludf.DUMMYFUNCTION("""COMPUTED_VALUE"""),"PTT")</f>
        <v>PTT</v>
      </c>
      <c r="B815" t="str">
        <f>IFERROR(__xludf.DUMMYFUNCTION("""COMPUTED_VALUE"""),"VerifyAllocationDetails")</f>
        <v>VerifyAllocationDetails</v>
      </c>
      <c r="C815" t="str">
        <f>IFERROR(__xludf.DUMMYFUNCTION("""COMPUTED_VALUE"""),"1DUwxSUq_47EK60XmK3LOdCXa1fkWqWJE9bLuGS3ccv412")</f>
        <v>1DUwxSUq_47EK60XmK3LOdCXa1fkWqWJE9bLuGS3ccv412</v>
      </c>
    </row>
    <row r="816" ht="15.75" customHeight="1">
      <c r="A816" t="str">
        <f>IFERROR(__xludf.DUMMYFUNCTION("""COMPUTED_VALUE"""),"Unknown")</f>
        <v>Unknown</v>
      </c>
      <c r="B816" t="str">
        <f>IFERROR(__xludf.DUMMYFUNCTION("""COMPUTED_VALUE"""),"WindowAction")</f>
        <v>WindowAction</v>
      </c>
      <c r="C816" t="str">
        <f>IFERROR(__xludf.DUMMYFUNCTION("""COMPUTED_VALUE"""),"1DUwxSUq_47EK60XmK3LOdCXa1fkWqWJE9bLuGS3ccv412")</f>
        <v>1DUwxSUq_47EK60XmK3LOdCXa1fkWqWJE9bLuGS3ccv412</v>
      </c>
    </row>
    <row r="817" ht="15.75" customHeight="1">
      <c r="A817" t="str">
        <f>IFERROR(__xludf.DUMMYFUNCTION("""COMPUTED_VALUE"""),"PTT")</f>
        <v>PTT</v>
      </c>
      <c r="B817" t="str">
        <f>IFERROR(__xludf.DUMMYFUNCTION("""COMPUTED_VALUE"""),"VerifyAllocationDetailsSam")</f>
        <v>VerifyAllocationDetailsSam</v>
      </c>
      <c r="C817" t="str">
        <f>IFERROR(__xludf.DUMMYFUNCTION("""COMPUTED_VALUE"""),"1DUwxSUq_47EK60XmK3LOdCXa1fkWqWJE9bLuGS3ccv412")</f>
        <v>1DUwxSUq_47EK60XmK3LOdCXa1fkWqWJE9bLuGS3ccv412</v>
      </c>
    </row>
    <row r="818" ht="15.75" customHeight="1">
      <c r="A818" t="str">
        <f>IFERROR(__xludf.DUMMYFUNCTION("""COMPUTED_VALUE"""),"Blotter")</f>
        <v>Blotter</v>
      </c>
      <c r="B818" t="str">
        <f>IFERROR(__xludf.DUMMYFUNCTION("""COMPUTED_VALUE"""),"VerifyExpandedBR")</f>
        <v>VerifyExpandedBR</v>
      </c>
      <c r="C818" t="str">
        <f>IFERROR(__xludf.DUMMYFUNCTION("""COMPUTED_VALUE"""),"1DUwxSUq_47EK60XmK3LOdCXa1fkWqWJE9bLuGS3ccv412")</f>
        <v>1DUwxSUq_47EK60XmK3LOdCXa1fkWqWJE9bLuGS3ccv412</v>
      </c>
    </row>
    <row r="819" ht="15.75" customHeight="1">
      <c r="A819" t="str">
        <f>IFERROR(__xludf.DUMMYFUNCTION("""COMPUTED_VALUE"""),"Unknown")</f>
        <v>Unknown</v>
      </c>
      <c r="B819" t="str">
        <f>IFERROR(__xludf.DUMMYFUNCTION("""COMPUTED_VALUE"""),"CheckModStatus")</f>
        <v>CheckModStatus</v>
      </c>
      <c r="C819" t="str">
        <f>IFERROR(__xludf.DUMMYFUNCTION("""COMPUTED_VALUE"""),"1S0obfxcw-fBa8_NHZx6E2ddpXBy262moOyglnQyX8XA")</f>
        <v>1S0obfxcw-fBa8_NHZx6E2ddpXBy262moOyglnQyX8XA</v>
      </c>
    </row>
    <row r="820" ht="15.75" customHeight="1">
      <c r="A820" t="str">
        <f>IFERROR(__xludf.DUMMYFUNCTION("""COMPUTED_VALUE"""),"Allocation")</f>
        <v>Allocation</v>
      </c>
      <c r="B820" t="str">
        <f>IFERROR(__xludf.DUMMYFUNCTION("""COMPUTED_VALUE"""),"ActionOnGroupBox")</f>
        <v>ActionOnGroupBox</v>
      </c>
      <c r="C820" t="str">
        <f>IFERROR(__xludf.DUMMYFUNCTION("""COMPUTED_VALUE"""),"1DUwxSUq_47EK60XmK3LOdCXa1fkWqWJE9bLuGS3ccv412")</f>
        <v>1DUwxSUq_47EK60XmK3LOdCXa1fkWqWJE9bLuGS3ccv412</v>
      </c>
    </row>
    <row r="821" ht="15.75" customHeight="1">
      <c r="A821" t="str">
        <f>IFERROR(__xludf.DUMMYFUNCTION("""COMPUTED_VALUE"""),"Rebalancer")</f>
        <v>Rebalancer</v>
      </c>
      <c r="B821" t="str">
        <f>IFERROR(__xludf.DUMMYFUNCTION("""COMPUTED_VALUE"""),"CreateOrViewMP")</f>
        <v>CreateOrViewMP</v>
      </c>
      <c r="C821" t="str">
        <f>IFERROR(__xludf.DUMMYFUNCTION("""COMPUTED_VALUE"""),"1DUwxSUq_47EK60XmK3LOdCXa1fkWqWJE9bLuGS3ccv412")</f>
        <v>1DUwxSUq_47EK60XmK3LOdCXa1fkWqWJE9bLuGS3ccv412</v>
      </c>
    </row>
    <row r="822" ht="15.75" customHeight="1">
      <c r="A822" t="str">
        <f>IFERROR(__xludf.DUMMYFUNCTION("""COMPUTED_VALUE"""),"Rebalancer")</f>
        <v>Rebalancer</v>
      </c>
      <c r="B822" t="str">
        <f>IFERROR(__xludf.DUMMYFUNCTION("""COMPUTED_VALUE"""),"SwitchTabRB")</f>
        <v>SwitchTabRB</v>
      </c>
      <c r="C822" t="str">
        <f>IFERROR(__xludf.DUMMYFUNCTION("""COMPUTED_VALUE"""),"1DUwxSUq_47EK60XmK3LOdCXa1fkWqWJE9bLuGS3ccv412")</f>
        <v>1DUwxSUq_47EK60XmK3LOdCXa1fkWqWJE9bLuGS3ccv412</v>
      </c>
    </row>
    <row r="823" ht="15.75" customHeight="1">
      <c r="A823" t="str">
        <f>IFERROR(__xludf.DUMMYFUNCTION("""COMPUTED_VALUE"""),"Allocation")</f>
        <v>Allocation</v>
      </c>
      <c r="B823" t="str">
        <f>IFERROR(__xludf.DUMMYFUNCTION("""COMPUTED_VALUE"""),"SelectAllTradesAllocation")</f>
        <v>SelectAllTradesAllocation</v>
      </c>
      <c r="C823" t="str">
        <f>IFERROR(__xludf.DUMMYFUNCTION("""COMPUTED_VALUE"""),"1DUwxSUq_47EK60XmK3LOdCXa1fkWqWJE9bLuGS3ccv412")</f>
        <v>1DUwxSUq_47EK60XmK3LOdCXa1fkWqWJE9bLuGS3ccv412</v>
      </c>
    </row>
    <row r="824" ht="15.75" customHeight="1">
      <c r="A824" t="str">
        <f>IFERROR(__xludf.DUMMYFUNCTION("""COMPUTED_VALUE"""),"Allocation")</f>
        <v>Allocation</v>
      </c>
      <c r="B824" t="str">
        <f>IFERROR(__xludf.DUMMYFUNCTION("""COMPUTED_VALUE"""),"SetFundDistribution")</f>
        <v>SetFundDistribution</v>
      </c>
      <c r="C824" t="str">
        <f>IFERROR(__xludf.DUMMYFUNCTION("""COMPUTED_VALUE"""),"1DUwxSUq_47EK60XmK3LOdCXa1fkWqWJE9bLuGS3ccv412")</f>
        <v>1DUwxSUq_47EK60XmK3LOdCXa1fkWqWJE9bLuGS3ccv412</v>
      </c>
    </row>
    <row r="825" ht="15.75" customHeight="1">
      <c r="A825" t="str">
        <f>IFERROR(__xludf.DUMMYFUNCTION("""COMPUTED_VALUE"""),"Allocation")</f>
        <v>Allocation</v>
      </c>
      <c r="B825" t="str">
        <f>IFERROR(__xludf.DUMMYFUNCTION("""COMPUTED_VALUE"""),"OperationsonAllocation")</f>
        <v>OperationsonAllocation</v>
      </c>
      <c r="C825" t="str">
        <f>IFERROR(__xludf.DUMMYFUNCTION("""COMPUTED_VALUE"""),"1DUwxSUq_47EK60XmK3LOdCXa1fkWqWJE9bLuGS3ccv412")</f>
        <v>1DUwxSUq_47EK60XmK3LOdCXa1fkWqWJE9bLuGS3ccv412</v>
      </c>
    </row>
    <row r="826" ht="15.75" customHeight="1">
      <c r="A826" t="str">
        <f>IFERROR(__xludf.DUMMYFUNCTION("""COMPUTED_VALUE"""),"Rebalancer")</f>
        <v>Rebalancer</v>
      </c>
      <c r="B826" t="str">
        <f>IFERROR(__xludf.DUMMYFUNCTION("""COMPUTED_VALUE"""),"SelectModelPortfolio")</f>
        <v>SelectModelPortfolio</v>
      </c>
      <c r="C826" t="str">
        <f>IFERROR(__xludf.DUMMYFUNCTION("""COMPUTED_VALUE"""),"1DUwxSUq_47EK60XmK3LOdCXa1fkWqWJE9bLuGS3ccv412")</f>
        <v>1DUwxSUq_47EK60XmK3LOdCXa1fkWqWJE9bLuGS3ccv412</v>
      </c>
    </row>
    <row r="827" ht="15.75" customHeight="1">
      <c r="A827" t="str">
        <f>IFERROR(__xludf.DUMMYFUNCTION("""COMPUTED_VALUE"""),"Rebalancer")</f>
        <v>Rebalancer</v>
      </c>
      <c r="B827" t="str">
        <f>IFERROR(__xludf.DUMMYFUNCTION("""COMPUTED_VALUE"""),"OperationsonMPRB")</f>
        <v>OperationsonMPRB</v>
      </c>
      <c r="C827" t="str">
        <f>IFERROR(__xludf.DUMMYFUNCTION("""COMPUTED_VALUE"""),"1DUwxSUq_47EK60XmK3LOdCXa1fkWqWJE9bLuGS3ccv412")</f>
        <v>1DUwxSUq_47EK60XmK3LOdCXa1fkWqWJE9bLuGS3ccv412</v>
      </c>
    </row>
    <row r="828" ht="15.75" customHeight="1">
      <c r="A828" t="str">
        <f>IFERROR(__xludf.DUMMYFUNCTION("""COMPUTED_VALUE"""),"Rebalancer")</f>
        <v>Rebalancer</v>
      </c>
      <c r="B828" t="str">
        <f>IFERROR(__xludf.DUMMYFUNCTION("""COMPUTED_VALUE"""),"VerifyMPRB")</f>
        <v>VerifyMPRB</v>
      </c>
      <c r="C828" t="str">
        <f>IFERROR(__xludf.DUMMYFUNCTION("""COMPUTED_VALUE"""),"1DUwxSUq_47EK60XmK3LOdCXa1fkWqWJE9bLuGS3ccv412")</f>
        <v>1DUwxSUq_47EK60XmK3LOdCXa1fkWqWJE9bLuGS3ccv412</v>
      </c>
    </row>
    <row r="829" ht="15.75" customHeight="1">
      <c r="A829" t="str">
        <f>IFERROR(__xludf.DUMMYFUNCTION("""COMPUTED_VALUE"""),"Admin")</f>
        <v>Admin</v>
      </c>
      <c r="B829" t="str">
        <f>IFERROR(__xludf.DUMMYFUNCTION("""COMPUTED_VALUE"""),"BasketPermission")</f>
        <v>BasketPermission</v>
      </c>
      <c r="C829" t="str">
        <f>IFERROR(__xludf.DUMMYFUNCTION("""COMPUTED_VALUE"""),"17IDG53HtzAOlp_4FIV5uGfLm-MbCR9NktUckecZQFVU")</f>
        <v>17IDG53HtzAOlp_4FIV5uGfLm-MbCR9NktUckecZQFVU</v>
      </c>
    </row>
    <row r="830" ht="15.75" customHeight="1">
      <c r="A830" t="str">
        <f>IFERROR(__xludf.DUMMYFUNCTION("""COMPUTED_VALUE"""),"Rebalancer")</f>
        <v>Rebalancer</v>
      </c>
      <c r="B830" t="str">
        <f>IFERROR(__xludf.DUMMYFUNCTION("""COMPUTED_VALUE"""),"ActiononCustomGroup")</f>
        <v>ActiononCustomGroup</v>
      </c>
      <c r="C830" t="str">
        <f>IFERROR(__xludf.DUMMYFUNCTION("""COMPUTED_VALUE"""),"1DUwxSUq_47EK60XmK3LOdCXa1fkWqWJE9bLuGS3ccv412")</f>
        <v>1DUwxSUq_47EK60XmK3LOdCXa1fkWqWJE9bLuGS3ccv412</v>
      </c>
    </row>
    <row r="831" ht="15.75" customHeight="1">
      <c r="A831" t="str">
        <f>IFERROR(__xludf.DUMMYFUNCTION("""COMPUTED_VALUE"""),"Rebalancer")</f>
        <v>Rebalancer</v>
      </c>
      <c r="B831" t="str">
        <f>IFERROR(__xludf.DUMMYFUNCTION("""COMPUTED_VALUE"""),"SelectCustomGroups")</f>
        <v>SelectCustomGroups</v>
      </c>
      <c r="C831" t="str">
        <f>IFERROR(__xludf.DUMMYFUNCTION("""COMPUTED_VALUE"""),"1DUwxSUq_47EK60XmK3LOdCXa1fkWqWJE9bLuGS3ccv412")</f>
        <v>1DUwxSUq_47EK60XmK3LOdCXa1fkWqWJE9bLuGS3ccv412</v>
      </c>
    </row>
    <row r="832" ht="15.75" customHeight="1">
      <c r="A832" t="str">
        <f>IFERROR(__xludf.DUMMYFUNCTION("""COMPUTED_VALUE"""),"Rebalancer")</f>
        <v>Rebalancer</v>
      </c>
      <c r="B832" t="str">
        <f>IFERROR(__xludf.DUMMYFUNCTION("""COMPUTED_VALUE"""),"SelectAssignedAccounts")</f>
        <v>SelectAssignedAccounts</v>
      </c>
      <c r="C832" t="str">
        <f>IFERROR(__xludf.DUMMYFUNCTION("""COMPUTED_VALUE"""),"1DUwxSUq_47EK60XmK3LOdCXa1fkWqWJE9bLuGS3ccv412")</f>
        <v>1DUwxSUq_47EK60XmK3LOdCXa1fkWqWJE9bLuGS3ccv412</v>
      </c>
    </row>
    <row r="833" ht="15.75" customHeight="1">
      <c r="A833" t="str">
        <f>IFERROR(__xludf.DUMMYFUNCTION("""COMPUTED_VALUE"""),"Rebalancer")</f>
        <v>Rebalancer</v>
      </c>
      <c r="B833" t="str">
        <f>IFERROR(__xludf.DUMMYFUNCTION("""COMPUTED_VALUE"""),"SelectUnAssignedAccounts")</f>
        <v>SelectUnAssignedAccounts</v>
      </c>
      <c r="C833" t="str">
        <f>IFERROR(__xludf.DUMMYFUNCTION("""COMPUTED_VALUE"""),"1DUwxSUq_47EK60XmK3LOdCXa1fkWqWJE9bLuGS3ccv412")</f>
        <v>1DUwxSUq_47EK60XmK3LOdCXa1fkWqWJE9bLuGS3ccv412</v>
      </c>
    </row>
    <row r="834" ht="15.75" customHeight="1">
      <c r="A834" t="str">
        <f>IFERROR(__xludf.DUMMYFUNCTION("""COMPUTED_VALUE"""),"Rebalancer")</f>
        <v>Rebalancer</v>
      </c>
      <c r="B834" t="str">
        <f>IFERROR(__xludf.DUMMYFUNCTION("""COMPUTED_VALUE"""),"VerifyCustomGroups")</f>
        <v>VerifyCustomGroups</v>
      </c>
      <c r="C834" t="str">
        <f>IFERROR(__xludf.DUMMYFUNCTION("""COMPUTED_VALUE"""),"1DUwxSUq_47EK60XmK3LOdCXa1fkWqWJE9bLuGS3ccv412")</f>
        <v>1DUwxSUq_47EK60XmK3LOdCXa1fkWqWJE9bLuGS3ccv412</v>
      </c>
    </row>
    <row r="835" ht="15.75" customHeight="1">
      <c r="A835" t="str">
        <f>IFERROR(__xludf.DUMMYFUNCTION("""COMPUTED_VALUE"""),"Rebalancer")</f>
        <v>Rebalancer</v>
      </c>
      <c r="B835" t="str">
        <f>IFERROR(__xludf.DUMMYFUNCTION("""COMPUTED_VALUE"""),"VerifyAssignedAccounts")</f>
        <v>VerifyAssignedAccounts</v>
      </c>
      <c r="C835" t="str">
        <f>IFERROR(__xludf.DUMMYFUNCTION("""COMPUTED_VALUE"""),"1DUwxSUq_47EK60XmK3LOdCXa1fkWqWJE9bLuGS3ccv412")</f>
        <v>1DUwxSUq_47EK60XmK3LOdCXa1fkWqWJE9bLuGS3ccv412</v>
      </c>
    </row>
    <row r="836" ht="15.75" customHeight="1">
      <c r="A836" t="str">
        <f>IFERROR(__xludf.DUMMYFUNCTION("""COMPUTED_VALUE"""),"Rebalancer")</f>
        <v>Rebalancer</v>
      </c>
      <c r="B836" t="str">
        <f>IFERROR(__xludf.DUMMYFUNCTION("""COMPUTED_VALUE"""),"VerifyUnAssignedAccounts")</f>
        <v>VerifyUnAssignedAccounts</v>
      </c>
      <c r="C836" t="str">
        <f>IFERROR(__xludf.DUMMYFUNCTION("""COMPUTED_VALUE"""),"1DUwxSUq_47EK60XmK3LOdCXa1fkWqWJE9bLuGS3ccv412")</f>
        <v>1DUwxSUq_47EK60XmK3LOdCXa1fkWqWJE9bLuGS3ccv412</v>
      </c>
    </row>
    <row r="837" ht="15.75" customHeight="1">
      <c r="A837" t="str">
        <f>IFERROR(__xludf.DUMMYFUNCTION("""COMPUTED_VALUE"""),"Allocation")</f>
        <v>Allocation</v>
      </c>
      <c r="B837" t="str">
        <f>IFERROR(__xludf.DUMMYFUNCTION("""COMPUTED_VALUE"""),"VerifyAllocationStatusBar")</f>
        <v>VerifyAllocationStatusBar</v>
      </c>
      <c r="C837" t="str">
        <f>IFERROR(__xludf.DUMMYFUNCTION("""COMPUTED_VALUE"""),"1xGSEHe1MiU9TD2PSlKIl96W7bOhlWvmTLQB")</f>
        <v>1xGSEHe1MiU9TD2PSlKIl96W7bOhlWvmTLQB</v>
      </c>
    </row>
    <row r="838" ht="15.75" customHeight="1">
      <c r="A838" t="str">
        <f>IFERROR(__xludf.DUMMYFUNCTION("""COMPUTED_VALUE"""),"Rebalancer")</f>
        <v>Rebalancer</v>
      </c>
      <c r="B838" t="str">
        <f>IFERROR(__xludf.DUMMYFUNCTION("""COMPUTED_VALUE"""),"ActiononRebalance")</f>
        <v>ActiononRebalance</v>
      </c>
      <c r="C838" t="str">
        <f>IFERROR(__xludf.DUMMYFUNCTION("""COMPUTED_VALUE"""),"1DUwxSUq_47EK60XmK3LOdCXa1fkWqWJE9bLuGS3ccv412")</f>
        <v>1DUwxSUq_47EK60XmK3LOdCXa1fkWqWJE9bLuGS3ccv412</v>
      </c>
    </row>
    <row r="839" ht="15.75" customHeight="1">
      <c r="A839" t="str">
        <f>IFERROR(__xludf.DUMMYFUNCTION("""COMPUTED_VALUE"""),"MultiTradingTicket")</f>
        <v>MultiTradingTicket</v>
      </c>
      <c r="B839" t="str">
        <f>IFERROR(__xludf.DUMMYFUNCTION("""COMPUTED_VALUE"""),"BulkUpdateonMTT ")</f>
        <v>BulkUpdateonMTT </v>
      </c>
      <c r="C839" t="str">
        <f>IFERROR(__xludf.DUMMYFUNCTION("""COMPUTED_VALUE"""),"1DUwxSUq_47EK60XmK3LOdCXa1fkWqWJE9bLuGS3ccv412")</f>
        <v>1DUwxSUq_47EK60XmK3LOdCXa1fkWqWJE9bLuGS3ccv412</v>
      </c>
    </row>
    <row r="840" ht="15.75" customHeight="1">
      <c r="A840" t="str">
        <f>IFERROR(__xludf.DUMMYFUNCTION("""COMPUTED_VALUE"""),"MultiTradingTicket")</f>
        <v>MultiTradingTicket</v>
      </c>
      <c r="B840" t="str">
        <f>IFERROR(__xludf.DUMMYFUNCTION("""COMPUTED_VALUE"""),"CustomOrderMTT")</f>
        <v>CustomOrderMTT</v>
      </c>
      <c r="C840" t="str">
        <f>IFERROR(__xludf.DUMMYFUNCTION("""COMPUTED_VALUE"""),"1DUwxSUq_47EK60XmK3LOdCXa1fkWqWJE9bLuGS3ccv412")</f>
        <v>1DUwxSUq_47EK60XmK3LOdCXa1fkWqWJE9bLuGS3ccv412</v>
      </c>
    </row>
    <row r="841" ht="15.75" customHeight="1">
      <c r="A841" t="str">
        <f>IFERROR(__xludf.DUMMYFUNCTION("""COMPUTED_VALUE"""),"Rebalancer")</f>
        <v>Rebalancer</v>
      </c>
      <c r="B841" t="str">
        <f>IFERROR(__xludf.DUMMYFUNCTION("""COMPUTED_VALUE"""),"MoveToAssignedList")</f>
        <v>MoveToAssignedList</v>
      </c>
      <c r="C841" t="str">
        <f>IFERROR(__xludf.DUMMYFUNCTION("""COMPUTED_VALUE"""),"1DUwxSUq_47EK60XmK3LOdCXa1fkWqWJE9bLuGS3ccv412")</f>
        <v>1DUwxSUq_47EK60XmK3LOdCXa1fkWqWJE9bLuGS3ccv412</v>
      </c>
    </row>
    <row r="842" ht="15.75" customHeight="1">
      <c r="A842" t="str">
        <f>IFERROR(__xludf.DUMMYFUNCTION("""COMPUTED_VALUE"""),"TradingTicket")</f>
        <v>TradingTicket</v>
      </c>
      <c r="B842" t="str">
        <f>IFERROR(__xludf.DUMMYFUNCTION("""COMPUTED_VALUE"""),"ActionOnPrompt")</f>
        <v>ActionOnPrompt</v>
      </c>
      <c r="C842" t="str">
        <f>IFERROR(__xludf.DUMMYFUNCTION("""COMPUTED_VALUE"""),"1DUwxSUq_47EK60XmK3LOdCXa1fkWqWJE9bLuGS3ccv412")</f>
        <v>1DUwxSUq_47EK60XmK3LOdCXa1fkWqWJE9bLuGS3ccv412</v>
      </c>
    </row>
    <row r="843" ht="15.75" customHeight="1">
      <c r="A843" t="str">
        <f>IFERROR(__xludf.DUMMYFUNCTION("""COMPUTED_VALUE"""),"Rebalancer")</f>
        <v>Rebalancer</v>
      </c>
      <c r="B843" t="str">
        <f>IFERROR(__xludf.DUMMYFUNCTION("""COMPUTED_VALUE"""),"VerifyRBStatusBar")</f>
        <v>VerifyRBStatusBar</v>
      </c>
      <c r="C843" t="str">
        <f>IFERROR(__xludf.DUMMYFUNCTION("""COMPUTED_VALUE"""),"1DUwxSUq_47EK60XmK3LOdCXa1fkWqWJE9bLuGS3ccv412")</f>
        <v>1DUwxSUq_47EK60XmK3LOdCXa1fkWqWJE9bLuGS3ccv412</v>
      </c>
    </row>
    <row r="844" ht="15.75" customHeight="1">
      <c r="A844" t="str">
        <f>IFERROR(__xludf.DUMMYFUNCTION("""COMPUTED_VALUE"""),"MultiTradingTicket")</f>
        <v>MultiTradingTicket</v>
      </c>
      <c r="B844" t="str">
        <f>IFERROR(__xludf.DUMMYFUNCTION("""COMPUTED_VALUE"""),"SelectAllMTT")</f>
        <v>SelectAllMTT</v>
      </c>
      <c r="C844" t="str">
        <f>IFERROR(__xludf.DUMMYFUNCTION("""COMPUTED_VALUE"""),"1DUwxSUq_47EK60XmK3LOdCXa1fkWqWJE9bLuGS3ccv412")</f>
        <v>1DUwxSUq_47EK60XmK3LOdCXa1fkWqWJE9bLuGS3ccv412</v>
      </c>
    </row>
    <row r="845" ht="15.75" customHeight="1">
      <c r="A845" t="str">
        <f>IFERROR(__xludf.DUMMYFUNCTION("""COMPUTED_VALUE"""),"MultiTradingTicket")</f>
        <v>MultiTradingTicket</v>
      </c>
      <c r="B845" t="str">
        <f>IFERROR(__xludf.DUMMYFUNCTION("""COMPUTED_VALUE"""),"SelectTradesMTT")</f>
        <v>SelectTradesMTT</v>
      </c>
      <c r="C845" t="str">
        <f>IFERROR(__xludf.DUMMYFUNCTION("""COMPUTED_VALUE"""),"1DUwxSUq_47EK60XmK3LOdCXa1fkWqWJE9bLuGS3ccv412")</f>
        <v>1DUwxSUq_47EK60XmK3LOdCXa1fkWqWJE9bLuGS3ccv412</v>
      </c>
    </row>
    <row r="846" ht="15.75" customHeight="1">
      <c r="A846" t="str">
        <f>IFERROR(__xludf.DUMMYFUNCTION("""COMPUTED_VALUE"""),"MultiTradingTicket")</f>
        <v>MultiTradingTicket</v>
      </c>
      <c r="B846" t="str">
        <f>IFERROR(__xludf.DUMMYFUNCTION("""COMPUTED_VALUE"""),"OperationonMTT")</f>
        <v>OperationonMTT</v>
      </c>
      <c r="C846" t="str">
        <f>IFERROR(__xludf.DUMMYFUNCTION("""COMPUTED_VALUE"""),"1DUwxSUq_47EK60XmK3LOdCXa1fkWqWJE9bLuGS3ccv412")</f>
        <v>1DUwxSUq_47EK60XmK3LOdCXa1fkWqWJE9bLuGS3ccv412</v>
      </c>
    </row>
    <row r="847" ht="15.75" customHeight="1">
      <c r="A847" t="str">
        <f>IFERROR(__xludf.DUMMYFUNCTION("""COMPUTED_VALUE"""),"Allocation")</f>
        <v>Allocation</v>
      </c>
      <c r="B847" t="str">
        <f>IFERROR(__xludf.DUMMYFUNCTION("""COMPUTED_VALUE"""),"VerifyExpansionIndicator")</f>
        <v>VerifyExpansionIndicator</v>
      </c>
      <c r="C847" t="str">
        <f>IFERROR(__xludf.DUMMYFUNCTION("""COMPUTED_VALUE"""),"1DUwxSUq_47EK60XmK3LOdCXa1fkWqWJE9bLuGS3ccv412")</f>
        <v>1DUwxSUq_47EK60XmK3LOdCXa1fkWqWJE9bLuGS3ccv412</v>
      </c>
    </row>
    <row r="848" ht="15.75" customHeight="1">
      <c r="A848" t="str">
        <f>IFERROR(__xludf.DUMMYFUNCTION("""COMPUTED_VALUE"""),"PTT")</f>
        <v>PTT</v>
      </c>
      <c r="B848" t="str">
        <f>IFERROR(__xludf.DUMMYFUNCTION("""COMPUTED_VALUE"""),"VerifyPTTUI")</f>
        <v>VerifyPTTUI</v>
      </c>
      <c r="C848" t="str">
        <f>IFERROR(__xludf.DUMMYFUNCTION("""COMPUTED_VALUE"""),"1DUwxSUq_47EK60XmK3LOdCXa1fkWqWJE9bLuGS3ccv412")</f>
        <v>1DUwxSUq_47EK60XmK3LOdCXa1fkWqWJE9bLuGS3ccv412</v>
      </c>
    </row>
    <row r="849" ht="15.75" customHeight="1">
      <c r="A849" t="str">
        <f>IFERROR(__xludf.DUMMYFUNCTION("""COMPUTED_VALUE"""),"PranaClient")</f>
        <v>PranaClient</v>
      </c>
      <c r="B849" t="str">
        <f>IFERROR(__xludf.DUMMYFUNCTION("""COMPUTED_VALUE"""),"OpenModule")</f>
        <v>OpenModule</v>
      </c>
      <c r="C849" t="str">
        <f>IFERROR(__xludf.DUMMYFUNCTION("""COMPUTED_VALUE"""),"1L-UVWUTPBRTuEZmbLDReT0I7a0h7ABWiidO4dyyCx34")</f>
        <v>1L-UVWUTPBRTuEZmbLDReT0I7a0h7ABWiidO4dyyCx34</v>
      </c>
    </row>
    <row r="850" ht="15.75" customHeight="1">
      <c r="A850" t="str">
        <f>IFERROR(__xludf.DUMMYFUNCTION("""COMPUTED_VALUE"""),"Unknown")</f>
        <v>Unknown</v>
      </c>
      <c r="B850" t="str">
        <f>IFERROR(__xludf.DUMMYFUNCTION("""COMPUTED_VALUE"""),"CheckWindow")</f>
        <v>CheckWindow</v>
      </c>
      <c r="C850" t="str">
        <f>IFERROR(__xludf.DUMMYFUNCTION("""COMPUTED_VALUE"""),"1DUwxSUq_47EK60XmK3LOdCXa1fkWqWJE9bLuGS3ccv412")</f>
        <v>1DUwxSUq_47EK60XmK3LOdCXa1fkWqWJE9bLuGS3ccv412</v>
      </c>
    </row>
    <row r="851" ht="15.75" customHeight="1">
      <c r="A851" t="str">
        <f>IFERROR(__xludf.DUMMYFUNCTION("""COMPUTED_VALUE"""),"TradingTicket")</f>
        <v>TradingTicket</v>
      </c>
      <c r="B851" t="str">
        <f>IFERROR(__xludf.DUMMYFUNCTION("""COMPUTED_VALUE"""),"VerifyExecutionType")</f>
        <v>VerifyExecutionType</v>
      </c>
      <c r="C851" t="str">
        <f>IFERROR(__xludf.DUMMYFUNCTION("""COMPUTED_VALUE"""),"1GeLKG0YL6nDFQYX8NohWSG0yonppxuSHWgOuwLzEWwI")</f>
        <v>1GeLKG0YL6nDFQYX8NohWSG0yonppxuSHWgOuwLzEWwI</v>
      </c>
    </row>
    <row r="852" ht="15.75" customHeight="1">
      <c r="A852" t="str">
        <f>IFERROR(__xludf.DUMMYFUNCTION("""COMPUTED_VALUE"""),"Blotter")</f>
        <v>Blotter</v>
      </c>
      <c r="B852" t="str">
        <f>IFERROR(__xludf.DUMMYFUNCTION("""COMPUTED_VALUE"""),"VerifyBlotter")</f>
        <v>VerifyBlotter</v>
      </c>
      <c r="C852" t="str">
        <f>IFERROR(__xludf.DUMMYFUNCTION("""COMPUTED_VALUE"""),"1DUwxSUq_47EK60XmK3LOdCXa1fkWqWJE9bLuGS3ccv412")</f>
        <v>1DUwxSUq_47EK60XmK3LOdCXa1fkWqWJE9bLuGS3ccv412</v>
      </c>
    </row>
    <row r="853" ht="15.75" customHeight="1">
      <c r="A853" t="str">
        <f>IFERROR(__xludf.DUMMYFUNCTION("""COMPUTED_VALUE"""),"OpenFin")</f>
        <v>OpenFin</v>
      </c>
      <c r="B853" t="str">
        <f>IFERROR(__xludf.DUMMYFUNCTION("""COMPUTED_VALUE"""),"VerifyNotification")</f>
        <v>VerifyNotification</v>
      </c>
      <c r="C853" t="str">
        <f>IFERROR(__xludf.DUMMYFUNCTION("""COMPUTED_VALUE"""),"1rm7dGZ4-j6MPtyiMlJDHnZgIjnFk8Hv19VRPaPCgUMY")</f>
        <v>1rm7dGZ4-j6MPtyiMlJDHnZgIjnFk8Hv19VRPaPCgUMY</v>
      </c>
    </row>
    <row r="854" ht="15.75" customHeight="1">
      <c r="A854" t="str">
        <f>IFERROR(__xludf.DUMMYFUNCTION("""COMPUTED_VALUE"""),"TradingTicket")</f>
        <v>TradingTicket</v>
      </c>
      <c r="B854" t="str">
        <f>IFERROR(__xludf.DUMMYFUNCTION("""COMPUTED_VALUE"""),"VerifyPopupAlignment")</f>
        <v>VerifyPopupAlignment</v>
      </c>
      <c r="C854" t="str">
        <f>IFERROR(__xludf.DUMMYFUNCTION("""COMPUTED_VALUE"""),"1PAyxzLHPOj64pXbS5W7uBsuT035g_GlIT1xXUjFNRUk")</f>
        <v>1PAyxzLHPOj64pXbS5W7uBsuT035g_GlIT1xXUjFNRUk</v>
      </c>
    </row>
    <row r="855" ht="15.75" customHeight="1">
      <c r="A855" t="str">
        <f>IFERROR(__xludf.DUMMYFUNCTION("""COMPUTED_VALUE"""),"TradingTicket")</f>
        <v>TradingTicket</v>
      </c>
      <c r="B855" t="str">
        <f>IFERROR(__xludf.DUMMYFUNCTION("""COMPUTED_VALUE"""),"SelectET")</f>
        <v>SelectET</v>
      </c>
      <c r="C855" t="str">
        <f>IFERROR(__xludf.DUMMYFUNCTION("""COMPUTED_VALUE"""),"1Tpuk-xqnvfBtaWXtAffyW0Chu9RCysO1V7PE2wbI7Xk")</f>
        <v>1Tpuk-xqnvfBtaWXtAffyW0Chu9RCysO1V7PE2wbI7Xk</v>
      </c>
    </row>
    <row r="856" ht="15.75" customHeight="1">
      <c r="A856" t="str">
        <f>IFERROR(__xludf.DUMMYFUNCTION("""COMPUTED_VALUE"""),"Blotter")</f>
        <v>Blotter</v>
      </c>
      <c r="B856" t="str">
        <f>IFERROR(__xludf.DUMMYFUNCTION("""COMPUTED_VALUE"""),"AddColumnsToGrid")</f>
        <v>AddColumnsToGrid</v>
      </c>
      <c r="C856" t="str">
        <f>IFERROR(__xludf.DUMMYFUNCTION("""COMPUTED_VALUE"""),"1Gs1xU4gMYORlTreZaEK39cVUrhrtk_8wZfgLySBA8Us")</f>
        <v>1Gs1xU4gMYORlTreZaEK39cVUrhrtk_8wZfgLySBA8Us</v>
      </c>
    </row>
    <row r="857" ht="15.75" customHeight="1">
      <c r="A857" t="str">
        <f>IFERROR(__xludf.DUMMYFUNCTION("""COMPUTED_VALUE"""),"RTPNL")</f>
        <v>RTPNL</v>
      </c>
      <c r="B857" t="str">
        <f>IFERROR(__xludf.DUMMYFUNCTION("""COMPUTED_VALUE"""),"Grouping")</f>
        <v>Grouping</v>
      </c>
      <c r="C857" t="str">
        <f>IFERROR(__xludf.DUMMYFUNCTION("""COMPUTED_VALUE"""),"1FNoxwXRCCjvm8HYhDo2XZGdWYdZNzY2Jh0ibkuVHNWo")</f>
        <v>1FNoxwXRCCjvm8HYhDo2XZGdWYdZNzY2Jh0ibkuVHNWo</v>
      </c>
    </row>
    <row r="858" ht="15.75" customHeight="1">
      <c r="A858" t="str">
        <f>IFERROR(__xludf.DUMMYFUNCTION("""COMPUTED_VALUE"""),"Blotter")</f>
        <v>Blotter</v>
      </c>
      <c r="B858" t="str">
        <f>IFERROR(__xludf.DUMMYFUNCTION("""COMPUTED_VALUE"""),"RollOverContextMenu")</f>
        <v>RollOverContextMenu</v>
      </c>
      <c r="C858" t="str">
        <f>IFERROR(__xludf.DUMMYFUNCTION("""COMPUTED_VALUE"""),"1d45ieJRLC6DQ7t19pclAZz5EI6hBsZ5_VdNJYb3VsNc")</f>
        <v>1d45ieJRLC6DQ7t19pclAZz5EI6hBsZ5_VdNJYb3VsNc</v>
      </c>
    </row>
    <row r="859" ht="15.75" customHeight="1">
      <c r="A859" t="str">
        <f>IFERROR(__xludf.DUMMYFUNCTION("""COMPUTED_VALUE"""),"Unknown")</f>
        <v>Unknown</v>
      </c>
      <c r="B859" t="str">
        <f>IFERROR(__xludf.DUMMYFUNCTION("""COMPUTED_VALUE"""),"VerifyFatFingerTR")</f>
        <v>VerifyFatFingerTR</v>
      </c>
      <c r="C859" t="str">
        <f>IFERROR(__xludf.DUMMYFUNCTION("""COMPUTED_VALUE"""),"1DUwxSUq_47EK60XmK3LOdCXa1fkWqWJE9bLuGS3ccv412")</f>
        <v>1DUwxSUq_47EK60XmK3LOdCXa1fkWqWJE9bLuGS3ccv412</v>
      </c>
    </row>
    <row r="860" ht="15.75" customHeight="1">
      <c r="A860" t="str">
        <f>IFERROR(__xludf.DUMMYFUNCTION("""COMPUTED_VALUE"""),"Unknown")</f>
        <v>Unknown</v>
      </c>
      <c r="B860" t="str">
        <f>IFERROR(__xludf.DUMMYFUNCTION("""COMPUTED_VALUE"""),"VerifyOverBuySellTR")</f>
        <v>VerifyOverBuySellTR</v>
      </c>
      <c r="C860" t="str">
        <f>IFERROR(__xludf.DUMMYFUNCTION("""COMPUTED_VALUE"""),"1DUwxSUq_47EK60XmK3LOdCXa1fkWqWJE9bLuGS3ccv412")</f>
        <v>1DUwxSUq_47EK60XmK3LOdCXa1fkWqWJE9bLuGS3ccv412</v>
      </c>
    </row>
    <row r="861" ht="15.75" customHeight="1">
      <c r="A861" t="str">
        <f>IFERROR(__xludf.DUMMYFUNCTION("""COMPUTED_VALUE"""),"PTT")</f>
        <v>PTT</v>
      </c>
      <c r="B861" t="str">
        <f>IFERROR(__xludf.DUMMYFUNCTION("""COMPUTED_VALUE"""),"RefreshCalculation")</f>
        <v>RefreshCalculation</v>
      </c>
    </row>
    <row r="862" ht="15.75" customHeight="1">
      <c r="A862" t="str">
        <f>IFERROR(__xludf.DUMMYFUNCTION("""COMPUTED_VALUE"""),"Rebalancer")</f>
        <v>Rebalancer</v>
      </c>
      <c r="B862" t="str">
        <f>IFERROR(__xludf.DUMMYFUNCTION("""COMPUTED_VALUE"""),"AddCustomCashFlow")</f>
        <v>AddCustomCashFlow</v>
      </c>
      <c r="C862" t="str">
        <f>IFERROR(__xludf.DUMMYFUNCTION("""COMPUTED_VALUE"""),"1DUwxSUq_47EK60XmK3LOdCXa1fkWqWJE9bLuGS3ccv412")</f>
        <v>1DUwxSUq_47EK60XmK3LOdCXa1fkWqWJE9bLuGS3ccv412</v>
      </c>
    </row>
    <row r="863" ht="15.75" customHeight="1">
      <c r="A863" t="str">
        <f>IFERROR(__xludf.DUMMYFUNCTION("""COMPUTED_VALUE"""),"Rebalancer")</f>
        <v>Rebalancer</v>
      </c>
      <c r="B863" t="str">
        <f>IFERROR(__xludf.DUMMYFUNCTION("""COMPUTED_VALUE"""),"ActionOnCustomCashFlow")</f>
        <v>ActionOnCustomCashFlow</v>
      </c>
      <c r="C863" t="str">
        <f>IFERROR(__xludf.DUMMYFUNCTION("""COMPUTED_VALUE"""),"1DUwxSUq_47EK60XmK3LOdCXa1fkWqWJE9bLuGS3ccv412")</f>
        <v>1DUwxSUq_47EK60XmK3LOdCXa1fkWqWJE9bLuGS3ccv412</v>
      </c>
    </row>
    <row r="864" ht="15.75" customHeight="1">
      <c r="A864" t="str">
        <f>IFERROR(__xludf.DUMMYFUNCTION("""COMPUTED_VALUE"""),"Rebalancer")</f>
        <v>Rebalancer</v>
      </c>
      <c r="B864" t="str">
        <f>IFERROR(__xludf.DUMMYFUNCTION("""COMPUTED_VALUE"""),"RemoveAllSecurities")</f>
        <v>RemoveAllSecurities</v>
      </c>
      <c r="C864" t="str">
        <f>IFERROR(__xludf.DUMMYFUNCTION("""COMPUTED_VALUE"""),"1DUwxSUq_47EK60XmK3LOdCXa1fkWqWJE9bLuGS3ccv412")</f>
        <v>1DUwxSUq_47EK60XmK3LOdCXa1fkWqWJE9bLuGS3ccv412</v>
      </c>
    </row>
    <row r="865" ht="15.75" customHeight="1">
      <c r="A865" t="str">
        <f>IFERROR(__xludf.DUMMYFUNCTION("""COMPUTED_VALUE"""),"Rebalancer")</f>
        <v>Rebalancer</v>
      </c>
      <c r="B865" t="str">
        <f>IFERROR(__xludf.DUMMYFUNCTION("""COMPUTED_VALUE"""),"RebalanceTradingRules")</f>
        <v>RebalanceTradingRules</v>
      </c>
      <c r="C865" t="str">
        <f>IFERROR(__xludf.DUMMYFUNCTION("""COMPUTED_VALUE"""),"1DUwxSUq_47EK60XmK3LOdCXa1fkWqWJE9bLuGS3ccv412")</f>
        <v>1DUwxSUq_47EK60XmK3LOdCXa1fkWqWJE9bLuGS3ccv412</v>
      </c>
    </row>
    <row r="866" ht="15.75" customHeight="1">
      <c r="A866" t="str">
        <f>IFERROR(__xludf.DUMMYFUNCTION("""COMPUTED_VALUE"""),"Rebalancer")</f>
        <v>Rebalancer</v>
      </c>
      <c r="B866" t="str">
        <f>IFERROR(__xludf.DUMMYFUNCTION("""COMPUTED_VALUE"""),"UpdateRBPreferences")</f>
        <v>UpdateRBPreferences</v>
      </c>
      <c r="C866" t="str">
        <f>IFERROR(__xludf.DUMMYFUNCTION("""COMPUTED_VALUE"""),"1DUwxSUq_47EK60XmK3LOdCXa1fkWqWJE9bLuGS3ccv412")</f>
        <v>1DUwxSUq_47EK60XmK3LOdCXa1fkWqWJE9bLuGS3ccv412</v>
      </c>
    </row>
    <row r="867" ht="15.75" customHeight="1">
      <c r="A867" t="str">
        <f>IFERROR(__xludf.DUMMYFUNCTION("""COMPUTED_VALUE"""),"Rebalancer")</f>
        <v>Rebalancer</v>
      </c>
      <c r="B867" t="str">
        <f>IFERROR(__xludf.DUMMYFUNCTION("""COMPUTED_VALUE"""),"RecalculateNIC")</f>
        <v>RecalculateNIC</v>
      </c>
      <c r="C867" t="str">
        <f>IFERROR(__xludf.DUMMYFUNCTION("""COMPUTED_VALUE"""),"1DUwxSUq_47EK60XmK3LOdCXa1fkWqWJE9bLuGS3ccv412")</f>
        <v>1DUwxSUq_47EK60XmK3LOdCXa1fkWqWJE9bLuGS3ccv412</v>
      </c>
    </row>
    <row r="868" ht="15.75" customHeight="1">
      <c r="A868" t="str">
        <f>IFERROR(__xludf.DUMMYFUNCTION("""COMPUTED_VALUE"""),"Blotter")</f>
        <v>Blotter</v>
      </c>
      <c r="B868" t="str">
        <f>IFERROR(__xludf.DUMMYFUNCTION("""COMPUTED_VALUE"""),"BookAsSwap")</f>
        <v>BookAsSwap</v>
      </c>
      <c r="C868" t="str">
        <f>IFERROR(__xludf.DUMMYFUNCTION("""COMPUTED_VALUE"""),"1tnkP5eD3WH53SXu2O-MWk6774J7b5ihwlD7r9dGtpiY")</f>
        <v>1tnkP5eD3WH53SXu2O-MWk6774J7b5ihwlD7r9dGtpiY</v>
      </c>
    </row>
    <row r="869" ht="15.75" customHeight="1">
      <c r="A869" t="str">
        <f>IFERROR(__xludf.DUMMYFUNCTION("""COMPUTED_VALUE"""),"QTT")</f>
        <v>QTT</v>
      </c>
      <c r="B869" t="str">
        <f>IFERROR(__xludf.DUMMYFUNCTION("""COMPUTED_VALUE"""),"VerifyQTT")</f>
        <v>VerifyQTT</v>
      </c>
      <c r="C869" t="str">
        <f>IFERROR(__xludf.DUMMYFUNCTION("""COMPUTED_VALUE"""),"1bs3VigXRg4VZR5W48lKm11EcEjEpmUCnBNDHffPRbIQ")</f>
        <v>1bs3VigXRg4VZR5W48lKm11EcEjEpmUCnBNDHffPRbIQ</v>
      </c>
    </row>
    <row r="870" ht="15.75" customHeight="1">
      <c r="A870" t="str">
        <f>IFERROR(__xludf.DUMMYFUNCTION("""COMPUTED_VALUE"""),"Rebalancer")</f>
        <v>Rebalancer</v>
      </c>
      <c r="B870" t="str">
        <f>IFERROR(__xludf.DUMMYFUNCTION("""COMPUTED_VALUE"""),"OperationsOnNIC")</f>
        <v>OperationsOnNIC</v>
      </c>
      <c r="C870" t="str">
        <f>IFERROR(__xludf.DUMMYFUNCTION("""COMPUTED_VALUE"""),"1DUwxSUq_47EK60XmK3LOdCXa1fkWqWJE9bLuGS3ccv412")</f>
        <v>1DUwxSUq_47EK60XmK3LOdCXa1fkWqWJE9bLuGS3ccv412</v>
      </c>
    </row>
    <row r="871" ht="15.75" customHeight="1">
      <c r="A871" t="str">
        <f>IFERROR(__xludf.DUMMYFUNCTION("""COMPUTED_VALUE"""),"Rebalancer")</f>
        <v>Rebalancer</v>
      </c>
      <c r="B871" t="str">
        <f>IFERROR(__xludf.DUMMYFUNCTION("""COMPUTED_VALUE"""),"DataPrefGridOperation")</f>
        <v>DataPrefGridOperation</v>
      </c>
      <c r="C871" t="str">
        <f>IFERROR(__xludf.DUMMYFUNCTION("""COMPUTED_VALUE"""),"1DUwxSUq_47EK60XmK3LOdCXa1fkWqWJE9bLuGS3ccv412")</f>
        <v>1DUwxSUq_47EK60XmK3LOdCXa1fkWqWJE9bLuGS3ccv412</v>
      </c>
    </row>
    <row r="872" ht="15.75" customHeight="1">
      <c r="A872" t="str">
        <f>IFERROR(__xludf.DUMMYFUNCTION("""COMPUTED_VALUE"""),"Rebalancer")</f>
        <v>Rebalancer</v>
      </c>
      <c r="B872" t="str">
        <f>IFERROR(__xludf.DUMMYFUNCTION("""COMPUTED_VALUE"""),"VerifyExpanderBarButton")</f>
        <v>VerifyExpanderBarButton</v>
      </c>
      <c r="C872" t="str">
        <f>IFERROR(__xludf.DUMMYFUNCTION("""COMPUTED_VALUE"""),"1DUwxSUq_47EK60XmK3LOdCXa1fkWqWJE9bLuGS3ccv412")</f>
        <v>1DUwxSUq_47EK60XmK3LOdCXa1fkWqWJE9bLuGS3ccv412</v>
      </c>
    </row>
    <row r="873" ht="15.75" customHeight="1">
      <c r="A873" t="str">
        <f>IFERROR(__xludf.DUMMYFUNCTION("""COMPUTED_VALUE"""),"Rebalancer")</f>
        <v>Rebalancer</v>
      </c>
      <c r="B873" t="str">
        <f>IFERROR(__xludf.DUMMYFUNCTION("""COMPUTED_VALUE"""),"RAS")</f>
        <v>RAS</v>
      </c>
      <c r="C873" t="str">
        <f>IFERROR(__xludf.DUMMYFUNCTION("""COMPUTED_VALUE"""),"1DUwxSUq_47EK60XmK3LOdCXa1fkWqWJE9bLuGS3ccv412")</f>
        <v>1DUwxSUq_47EK60XmK3LOdCXa1fkWqWJE9bLuGS3ccv412</v>
      </c>
    </row>
    <row r="874" ht="15.75" customHeight="1">
      <c r="A874" t="str">
        <f>IFERROR(__xludf.DUMMYFUNCTION("""COMPUTED_VALUE"""),"Blotter")</f>
        <v>Blotter</v>
      </c>
      <c r="B874" t="str">
        <f>IFERROR(__xludf.DUMMYFUNCTION("""COMPUTED_VALUE"""),"ActionOnFloatingWindow")</f>
        <v>ActionOnFloatingWindow</v>
      </c>
      <c r="C874" t="str">
        <f>IFERROR(__xludf.DUMMYFUNCTION("""COMPUTED_VALUE"""),"1tFNUPT3PXgCKRnnehGwo6OF7EhLu13UJ8Elfq83HArE")</f>
        <v>1tFNUPT3PXgCKRnnehGwo6OF7EhLu13UJ8Elfq83HArE</v>
      </c>
    </row>
    <row r="875" ht="15.75" customHeight="1">
      <c r="A875" t="str">
        <f>IFERROR(__xludf.DUMMYFUNCTION("""COMPUTED_VALUE"""),"PTT")</f>
        <v>PTT</v>
      </c>
      <c r="B875" t="str">
        <f>IFERROR(__xludf.DUMMYFUNCTION("""COMPUTED_VALUE"""),"PTTDashBoard")</f>
        <v>PTTDashBoard</v>
      </c>
      <c r="C875" t="str">
        <f>IFERROR(__xludf.DUMMYFUNCTION("""COMPUTED_VALUE"""),"1DUwxSUq_47EK60XmK3LOdCXa1fkWqWJE9bLuGS3ccv412")</f>
        <v>1DUwxSUq_47EK60XmK3LOdCXa1fkWqWJE9bLuGS3ccv412</v>
      </c>
    </row>
    <row r="876" ht="15.75" customHeight="1">
      <c r="A876" t="str">
        <f>IFERROR(__xludf.DUMMYFUNCTION("""COMPUTED_VALUE"""),"OpenFin")</f>
        <v>OpenFin</v>
      </c>
      <c r="B876" t="str">
        <f>IFERROR(__xludf.DUMMYFUNCTION("""COMPUTED_VALUE"""),"LockUnlockModule")</f>
        <v>LockUnlockModule</v>
      </c>
      <c r="C876" t="str">
        <f>IFERROR(__xludf.DUMMYFUNCTION("""COMPUTED_VALUE"""),"179D0kPRO8f_KLxd7hs6seM9XGxpL-u1rhIhNgFVePsQ")</f>
        <v>179D0kPRO8f_KLxd7hs6seM9XGxpL-u1rhIhNgFVePsQ</v>
      </c>
    </row>
    <row r="877" ht="15.75" customHeight="1">
      <c r="A877" t="str">
        <f>IFERROR(__xludf.DUMMYFUNCTION("""COMPUTED_VALUE"""),"OpenFin")</f>
        <v>OpenFin</v>
      </c>
      <c r="B877" t="str">
        <f>IFERROR(__xludf.DUMMYFUNCTION("""COMPUTED_VALUE"""),"OpenModuleFromDock")</f>
        <v>OpenModuleFromDock</v>
      </c>
      <c r="C877" t="str">
        <f>IFERROR(__xludf.DUMMYFUNCTION("""COMPUTED_VALUE"""),"1IdmD7l42pWNjFNVt_7UwbOO7y5tDxaXr7tE60c9ETLw")</f>
        <v>1IdmD7l42pWNjFNVt_7UwbOO7y5tDxaXr7tE60c9ETLw</v>
      </c>
    </row>
    <row r="878" ht="15.75" customHeight="1">
      <c r="A878" t="str">
        <f>IFERROR(__xludf.DUMMYFUNCTION("""COMPUTED_VALUE"""),"Rebalancer")</f>
        <v>Rebalancer</v>
      </c>
      <c r="B878" t="str">
        <f>IFERROR(__xludf.DUMMYFUNCTION("""COMPUTED_VALUE"""),"VerifyCFI")</f>
        <v>VerifyCFI</v>
      </c>
      <c r="C878" t="str">
        <f>IFERROR(__xludf.DUMMYFUNCTION("""COMPUTED_VALUE"""),"1DUwxSUq_47EK60XmK3LOdCXa1fkWqWJE9bLuGS3ccv412")</f>
        <v>1DUwxSUq_47EK60XmK3LOdCXa1fkWqWJE9bLuGS3ccv412</v>
      </c>
    </row>
    <row r="879" ht="15.75" customHeight="1">
      <c r="A879" t="str">
        <f>IFERROR(__xludf.DUMMYFUNCTION("""COMPUTED_VALUE"""),"Blotter")</f>
        <v>Blotter</v>
      </c>
      <c r="B879" t="str">
        <f>IFERROR(__xludf.DUMMYFUNCTION("""COMPUTED_VALUE"""),"EnableOrVerifyHotButton")</f>
        <v>EnableOrVerifyHotButton</v>
      </c>
      <c r="C879" t="str">
        <f>IFERROR(__xludf.DUMMYFUNCTION("""COMPUTED_VALUE"""),"1wa8x9d9kPOHEp49mT2DEW0cyjjOClvAgixk1H2w-Tos")</f>
        <v>1wa8x9d9kPOHEp49mT2DEW0cyjjOClvAgixk1H2w-Tos</v>
      </c>
    </row>
    <row r="880" ht="15.75" customHeight="1">
      <c r="A880" t="str">
        <f>IFERROR(__xludf.DUMMYFUNCTION("""COMPUTED_VALUE"""),"TradeServer")</f>
        <v>TradeServer</v>
      </c>
      <c r="B880" t="str">
        <f>IFERROR(__xludf.DUMMYFUNCTION("""COMPUTED_VALUE"""),"RestartServerOnly")</f>
        <v>RestartServerOnly</v>
      </c>
      <c r="C880" t="str">
        <f>IFERROR(__xludf.DUMMYFUNCTION("""COMPUTED_VALUE"""),"Undefined")</f>
        <v>Undefined</v>
      </c>
    </row>
    <row r="881" ht="15.75" customHeight="1">
      <c r="A881" t="str">
        <f>IFERROR(__xludf.DUMMYFUNCTION("""COMPUTED_VALUE"""),"Rebalancer")</f>
        <v>Rebalancer</v>
      </c>
      <c r="B881" t="str">
        <f>IFERROR(__xludf.DUMMYFUNCTION("""COMPUTED_VALUE"""),"ActionOnCFI")</f>
        <v>ActionOnCFI</v>
      </c>
      <c r="C881" t="str">
        <f>IFERROR(__xludf.DUMMYFUNCTION("""COMPUTED_VALUE"""),"1DUwxSUq_47EK60XmK3LOdCXa1fkWqWJE9bLuGS3ccv412")</f>
        <v>1DUwxSUq_47EK60XmK3LOdCXa1fkWqWJE9bLuGS3ccv412</v>
      </c>
    </row>
    <row r="882" ht="15.75" customHeight="1">
      <c r="A882" t="str">
        <f>IFERROR(__xludf.DUMMYFUNCTION("""COMPUTED_VALUE"""),"Rebalancer")</f>
        <v>Rebalancer</v>
      </c>
      <c r="B882" t="str">
        <f>IFERROR(__xludf.DUMMYFUNCTION("""COMPUTED_VALUE"""),"VerifyCFI")</f>
        <v>VerifyCFI</v>
      </c>
      <c r="C882" t="str">
        <f>IFERROR(__xludf.DUMMYFUNCTION("""COMPUTED_VALUE"""),"1DUwxSUq_47EK60XmK3LOdCXa1fkWqWJE9bLuGS3ccv412")</f>
        <v>1DUwxSUq_47EK60XmK3LOdCXa1fkWqWJE9bLuGS3ccv412</v>
      </c>
    </row>
    <row r="883" ht="15.75" customHeight="1">
      <c r="A883" t="str">
        <f>IFERROR(__xludf.DUMMYFUNCTION("""COMPUTED_VALUE"""),"Rebalancer")</f>
        <v>Rebalancer</v>
      </c>
      <c r="B883" t="str">
        <f>IFERROR(__xludf.DUMMYFUNCTION("""COMPUTED_VALUE"""),"VerifyDelRASGrid")</f>
        <v>VerifyDelRASGrid</v>
      </c>
      <c r="C883" t="str">
        <f>IFERROR(__xludf.DUMMYFUNCTION("""COMPUTED_VALUE"""),"1DUwxSUq_47EK60XmK3LOdCXa1fkWqWJE9bLuGS3ccv412")</f>
        <v>1DUwxSUq_47EK60XmK3LOdCXa1fkWqWJE9bLuGS3ccv412</v>
      </c>
    </row>
    <row r="884" ht="15.75" customHeight="1">
      <c r="A884" t="str">
        <f>IFERROR(__xludf.DUMMYFUNCTION("""COMPUTED_VALUE"""),"Allocation")</f>
        <v>Allocation</v>
      </c>
      <c r="B884" t="str">
        <f>IFERROR(__xludf.DUMMYFUNCTION("""COMPUTED_VALUE"""),"ActionOnUPW")</f>
        <v>ActionOnUPW</v>
      </c>
      <c r="C884" t="str">
        <f>IFERROR(__xludf.DUMMYFUNCTION("""COMPUTED_VALUE"""),"1DUwxSUq_47EK60XmK3LOdCXa1fkWqWJE9bLuGS3ccv413")</f>
        <v>1DUwxSUq_47EK60XmK3LOdCXa1fkWqWJE9bLuGS3ccv413</v>
      </c>
    </row>
    <row r="885" ht="15.75" customHeight="1">
      <c r="A885" t="str">
        <f>IFERROR(__xludf.DUMMYFUNCTION("""COMPUTED_VALUE"""),"Allocation")</f>
        <v>Allocation</v>
      </c>
      <c r="B885" t="str">
        <f>IFERROR(__xludf.DUMMYFUNCTION("""COMPUTED_VALUE"""),"DefaultRuleUPW")</f>
        <v>DefaultRuleUPW</v>
      </c>
      <c r="C885" t="str">
        <f>IFERROR(__xludf.DUMMYFUNCTION("""COMPUTED_VALUE"""),"1DUwxSUq_47EK60XmK3LOdCXa1fkWqWJE9bLuGS3ccv414")</f>
        <v>1DUwxSUq_47EK60XmK3LOdCXa1fkWqWJE9bLuGS3ccv414</v>
      </c>
    </row>
    <row r="886" ht="15.75" customHeight="1">
      <c r="A886" t="str">
        <f>IFERROR(__xludf.DUMMYFUNCTION("""COMPUTED_VALUE"""),"Allocation")</f>
        <v>Allocation</v>
      </c>
      <c r="B886" t="str">
        <f>IFERROR(__xludf.DUMMYFUNCTION("""COMPUTED_VALUE"""),"AccountStrategyUPW")</f>
        <v>AccountStrategyUPW</v>
      </c>
      <c r="C886" t="str">
        <f>IFERROR(__xludf.DUMMYFUNCTION("""COMPUTED_VALUE"""),"1DUwxSUq_47EK60XmK3LOdCXa1fkWqWJE9bLuGS3ccv415")</f>
        <v>1DUwxSUq_47EK60XmK3LOdCXa1fkWqWJE9bLuGS3ccv415</v>
      </c>
    </row>
    <row r="887" ht="15.75" customHeight="1">
      <c r="A887" t="str">
        <f>IFERROR(__xludf.DUMMYFUNCTION("""COMPUTED_VALUE"""),"Allocation")</f>
        <v>Allocation</v>
      </c>
      <c r="B887" t="str">
        <f>IFERROR(__xludf.DUMMYFUNCTION("""COMPUTED_VALUE"""),"ActionOnCalPref")</f>
        <v>ActionOnCalPref</v>
      </c>
      <c r="C887" t="str">
        <f>IFERROR(__xludf.DUMMYFUNCTION("""COMPUTED_VALUE"""),"1DUwxSUq_47EK60XmK3LOdCXa1fkWqWJE9bLuGS3ccv416")</f>
        <v>1DUwxSUq_47EK60XmK3LOdCXa1fkWqWJE9bLuGS3ccv416</v>
      </c>
    </row>
    <row r="888" ht="15.75" customHeight="1">
      <c r="A888" t="str">
        <f>IFERROR(__xludf.DUMMYFUNCTION("""COMPUTED_VALUE"""),"Allocation")</f>
        <v>Allocation</v>
      </c>
      <c r="B888" t="str">
        <f>IFERROR(__xludf.DUMMYFUNCTION("""COMPUTED_VALUE"""),"SetMFDefaultRule")</f>
        <v>SetMFDefaultRule</v>
      </c>
      <c r="C888" t="str">
        <f>IFERROR(__xludf.DUMMYFUNCTION("""COMPUTED_VALUE"""),"1DUwxSUq_47EK60XmK3LOdCXa1fkWqWJE9bLuGS3ccv417")</f>
        <v>1DUwxSUq_47EK60XmK3LOdCXa1fkWqWJE9bLuGS3ccv417</v>
      </c>
    </row>
    <row r="889" ht="15.75" customHeight="1">
      <c r="A889" t="str">
        <f>IFERROR(__xludf.DUMMYFUNCTION("""COMPUTED_VALUE"""),"Allocation")</f>
        <v>Allocation</v>
      </c>
      <c r="B889" t="str">
        <f>IFERROR(__xludf.DUMMYFUNCTION("""COMPUTED_VALUE"""),"ActionOnPrefWindow")</f>
        <v>ActionOnPrefWindow</v>
      </c>
      <c r="C889" t="str">
        <f>IFERROR(__xludf.DUMMYFUNCTION("""COMPUTED_VALUE"""),"1DUwxSUq_47EK60XmK3LOdCXa1fkWqWJE9bLuGS3ccv418")</f>
        <v>1DUwxSUq_47EK60XmK3LOdCXa1fkWqWJE9bLuGS3ccv418</v>
      </c>
    </row>
    <row r="890" ht="15.75" customHeight="1">
      <c r="A890" t="str">
        <f>IFERROR(__xludf.DUMMYFUNCTION("""COMPUTED_VALUE"""),"Allocation")</f>
        <v>Allocation</v>
      </c>
      <c r="B890" t="str">
        <f>IFERROR(__xludf.DUMMYFUNCTION("""COMPUTED_VALUE"""),"GetFixedPrefScheme")</f>
        <v>GetFixedPrefScheme</v>
      </c>
      <c r="C890" t="str">
        <f>IFERROR(__xludf.DUMMYFUNCTION("""COMPUTED_VALUE"""),"1DUwxSUq_47EK60XmK3LOdCXa1fkWqWJE9bLuGS3ccv419")</f>
        <v>1DUwxSUq_47EK60XmK3LOdCXa1fkWqWJE9bLuGS3ccv419</v>
      </c>
    </row>
    <row r="891" ht="15.75" customHeight="1">
      <c r="A891" t="str">
        <f>IFERROR(__xludf.DUMMYFUNCTION("""COMPUTED_VALUE"""),"Allocation")</f>
        <v>Allocation</v>
      </c>
      <c r="B891" t="str">
        <f>IFERROR(__xludf.DUMMYFUNCTION("""COMPUTED_VALUE"""),"VerifyFixedPref")</f>
        <v>VerifyFixedPref</v>
      </c>
      <c r="C891" t="str">
        <f>IFERROR(__xludf.DUMMYFUNCTION("""COMPUTED_VALUE"""),"1DUwxSUq_47EK60XmK3LOdCXa1fkWqWJE9bLuGS3ccv420")</f>
        <v>1DUwxSUq_47EK60XmK3LOdCXa1fkWqWJE9bLuGS3ccv420</v>
      </c>
    </row>
    <row r="892" ht="15.75" customHeight="1">
      <c r="A892" t="str">
        <f>IFERROR(__xludf.DUMMYFUNCTION("""COMPUTED_VALUE"""),"Allocation")</f>
        <v>Allocation</v>
      </c>
      <c r="B892" t="str">
        <f>IFERROR(__xludf.DUMMYFUNCTION("""COMPUTED_VALUE"""),"ActionOnToolBar")</f>
        <v>ActionOnToolBar</v>
      </c>
      <c r="C892" t="str">
        <f>IFERROR(__xludf.DUMMYFUNCTION("""COMPUTED_VALUE"""),"1DUwxSUq_47EK60XmK3LOdCXa1fkWqWJE9bLuGS3ccv421")</f>
        <v>1DUwxSUq_47EK60XmK3LOdCXa1fkWqWJE9bLuGS3ccv421</v>
      </c>
    </row>
    <row r="893" ht="15.75" customHeight="1">
      <c r="A893" t="str">
        <f>IFERROR(__xludf.DUMMYFUNCTION("""COMPUTED_VALUE"""),"Rebalancer")</f>
        <v>Rebalancer</v>
      </c>
      <c r="B893" t="str">
        <f>IFERROR(__xludf.DUMMYFUNCTION("""COMPUTED_VALUE"""),"VerifyCustomGroupModel")</f>
        <v>VerifyCustomGroupModel</v>
      </c>
      <c r="C893" t="str">
        <f>IFERROR(__xludf.DUMMYFUNCTION("""COMPUTED_VALUE"""),"1DUwxSUq_47EK60XmK3LOdCXa1fkWqWJE9bLuGS3ccv422")</f>
        <v>1DUwxSUq_47EK60XmK3LOdCXa1fkWqWJE9bLuGS3ccv422</v>
      </c>
    </row>
    <row r="894" ht="15.75" customHeight="1">
      <c r="A894" t="str">
        <f>IFERROR(__xludf.DUMMYFUNCTION("""COMPUTED_VALUE"""),"Blotter")</f>
        <v>Blotter</v>
      </c>
      <c r="B894" t="str">
        <f>IFERROR(__xludf.DUMMYFUNCTION("""COMPUTED_VALUE"""),"VerifyFilterUiRC")</f>
        <v>VerifyFilterUiRC</v>
      </c>
      <c r="C894" t="str">
        <f>IFERROR(__xludf.DUMMYFUNCTION("""COMPUTED_VALUE"""),"1QQZEZqPXfPnxfNID2a3__xw8RnEAn77igg5Q32S3Sm0")</f>
        <v>1QQZEZqPXfPnxfNID2a3__xw8RnEAn77igg5Q32S3Sm0</v>
      </c>
    </row>
    <row r="895" ht="15.75" customHeight="1">
      <c r="A895" t="str">
        <f>IFERROR(__xludf.DUMMYFUNCTION("""COMPUTED_VALUE"""),"TradingTicket")</f>
        <v>TradingTicket</v>
      </c>
      <c r="B895" t="str">
        <f>IFERROR(__xludf.DUMMYFUNCTION("""COMPUTED_VALUE"""),"SymbolSuggestionVerify")</f>
        <v>SymbolSuggestionVerify</v>
      </c>
      <c r="C895" t="str">
        <f>IFERROR(__xludf.DUMMYFUNCTION("""COMPUTED_VALUE"""),"14aTeLjmUbS-nhaQwjtZAMGxdQ5DS6UsBjE5OTWN-LQU")</f>
        <v>14aTeLjmUbS-nhaQwjtZAMGxdQ5DS6UsBjE5OTWN-LQU</v>
      </c>
    </row>
    <row r="896" ht="15.75" customHeight="1">
      <c r="A896" t="str">
        <f>IFERROR(__xludf.DUMMYFUNCTION("""COMPUTED_VALUE"""),"PreferencesMain")</f>
        <v>PreferencesMain</v>
      </c>
      <c r="B896" t="str">
        <f>IFERROR(__xludf.DUMMYFUNCTION("""COMPUTED_VALUE"""),"UpdatePTTPref")</f>
        <v>UpdatePTTPref</v>
      </c>
      <c r="C896" t="str">
        <f>IFERROR(__xludf.DUMMYFUNCTION("""COMPUTED_VALUE"""),"14aTeLjmUbS-nhaQwjtZAMGxdQ5DS6UsBjE5OTWN-LQU")</f>
        <v>14aTeLjmUbS-nhaQwjtZAMGxdQ5DS6UsBjE5OTWN-LQU</v>
      </c>
    </row>
    <row r="897" ht="15.75" customHeight="1">
      <c r="A897" t="str">
        <f>IFERROR(__xludf.DUMMYFUNCTION("""COMPUTED_VALUE"""),"PreferencesMain")</f>
        <v>PreferencesMain</v>
      </c>
      <c r="B897" t="str">
        <f>IFERROR(__xludf.DUMMYFUNCTION("""COMPUTED_VALUE"""),"ActionOnPreferencesMain")</f>
        <v>ActionOnPreferencesMain</v>
      </c>
      <c r="C897" t="str">
        <f>IFERROR(__xludf.DUMMYFUNCTION("""COMPUTED_VALUE"""),"14aTeLjmUbS-nhaQwjtZAMGxdQ5DS6UsBjE5OTWN-LQU")</f>
        <v>14aTeLjmUbS-nhaQwjtZAMGxdQ5DS6UsBjE5OTWN-LQU</v>
      </c>
    </row>
    <row r="898" ht="15.75" customHeight="1">
      <c r="A898" t="str">
        <f>IFERROR(__xludf.DUMMYFUNCTION("""COMPUTED_VALUE"""),"PreferencesMain")</f>
        <v>PreferencesMain</v>
      </c>
      <c r="B898" t="str">
        <f>IFERROR(__xludf.DUMMYFUNCTION("""COMPUTED_VALUE"""),"VerifyUpdategrdAccountFactor")</f>
        <v>VerifyUpdategrdAccountFactor</v>
      </c>
      <c r="C898" t="str">
        <f>IFERROR(__xludf.DUMMYFUNCTION("""COMPUTED_VALUE"""),"14aTeLjmUbS-nhaQwjtZAMGxdQ5DS6UsBjE5OTWN-LQU")</f>
        <v>14aTeLjmUbS-nhaQwjtZAMGxdQ5DS6UsBjE5OTWN-LQU</v>
      </c>
    </row>
    <row r="899" ht="15.75" customHeight="1">
      <c r="A899" t="str">
        <f>IFERROR(__xludf.DUMMYFUNCTION("""COMPUTED_VALUE"""),"PreferencesMain")</f>
        <v>PreferencesMain</v>
      </c>
      <c r="B899" t="str">
        <f>IFERROR(__xludf.DUMMYFUNCTION("""COMPUTED_VALUE"""),"VerifyUpdategrdMFA")</f>
        <v>VerifyUpdategrdMFA</v>
      </c>
      <c r="C899" t="str">
        <f>IFERROR(__xludf.DUMMYFUNCTION("""COMPUTED_VALUE"""),"14aTeLjmUbS-nhaQwjtZAMGxdQ5DS6UsBjE5OTWN-LQU")</f>
        <v>14aTeLjmUbS-nhaQwjtZAMGxdQ5DS6UsBjE5OTWN-LQU</v>
      </c>
    </row>
    <row r="900" ht="15.75" customHeight="1">
      <c r="A900" t="str">
        <f>IFERROR(__xludf.DUMMYFUNCTION("""COMPUTED_VALUE"""),"PreferencesMain")</f>
        <v>PreferencesMain</v>
      </c>
      <c r="B900" t="str">
        <f>IFERROR(__xludf.DUMMYFUNCTION("""COMPUTED_VALUE"""),"SwitchTabMFA")</f>
        <v>SwitchTabMFA</v>
      </c>
      <c r="C900" t="str">
        <f>IFERROR(__xludf.DUMMYFUNCTION("""COMPUTED_VALUE"""),"14aTeLjmUbS-nhaQwjtZAMGxdQ5DS6UsBjE5OTWN-LQU")</f>
        <v>14aTeLjmUbS-nhaQwjtZAMGxdQ5DS6UsBjE5OTWN-LQU</v>
      </c>
    </row>
    <row r="901" ht="15.75" customHeight="1">
      <c r="A901" t="str">
        <f>IFERROR(__xludf.DUMMYFUNCTION("""COMPUTED_VALUE"""),"PreferencesMain")</f>
        <v>PreferencesMain</v>
      </c>
      <c r="B901" t="str">
        <f>IFERROR(__xludf.DUMMYFUNCTION("""COMPUTED_VALUE"""),"UpdateBlotterPref")</f>
        <v>UpdateBlotterPref</v>
      </c>
      <c r="C901" t="str">
        <f>IFERROR(__xludf.DUMMYFUNCTION("""COMPUTED_VALUE"""),"14aTeLjmUbS-nhaQwjtZAMGxdQ5DS6UsBjE5OTWN-LQU")</f>
        <v>14aTeLjmUbS-nhaQwjtZAMGxdQ5DS6UsBjE5OTWN-LQU</v>
      </c>
    </row>
    <row r="902" ht="15.75" customHeight="1">
      <c r="A902" t="str">
        <f>IFERROR(__xludf.DUMMYFUNCTION("""COMPUTED_VALUE"""),"PreferencesMain")</f>
        <v>PreferencesMain</v>
      </c>
      <c r="B902" t="str">
        <f>IFERROR(__xludf.DUMMYFUNCTION("""COMPUTED_VALUE"""),"UpdatePMPref")</f>
        <v>UpdatePMPref</v>
      </c>
      <c r="C902" t="str">
        <f>IFERROR(__xludf.DUMMYFUNCTION("""COMPUTED_VALUE"""),"14aTeLjmUbS-nhaQwjtZAMGxdQ5DS6UsBjE5OTWN-LQU")</f>
        <v>14aTeLjmUbS-nhaQwjtZAMGxdQ5DS6UsBjE5OTWN-LQU</v>
      </c>
    </row>
    <row r="903" ht="15.75" customHeight="1">
      <c r="A903" t="str">
        <f>IFERROR(__xludf.DUMMYFUNCTION("""COMPUTED_VALUE"""),"PreferencesMain")</f>
        <v>PreferencesMain</v>
      </c>
      <c r="B903" t="str">
        <f>IFERROR(__xludf.DUMMYFUNCTION("""COMPUTED_VALUE"""),"UpdateGenPref")</f>
        <v>UpdateGenPref</v>
      </c>
      <c r="C903" t="str">
        <f>IFERROR(__xludf.DUMMYFUNCTION("""COMPUTED_VALUE"""),"14aTeLjmUbS-nhaQwjtZAMGxdQ5DS6UsBjE5OTWN-LQU")</f>
        <v>14aTeLjmUbS-nhaQwjtZAMGxdQ5DS6UsBjE5OTWN-LQU</v>
      </c>
    </row>
    <row r="904" ht="15.75" customHeight="1">
      <c r="A904" t="str">
        <f>IFERROR(__xludf.DUMMYFUNCTION("""COMPUTED_VALUE"""),"PreferencesMain")</f>
        <v>PreferencesMain</v>
      </c>
      <c r="B904" t="str">
        <f>IFERROR(__xludf.DUMMYFUNCTION("""COMPUTED_VALUE"""),"VerifyUpdateAssetSide")</f>
        <v>VerifyUpdateAssetSide</v>
      </c>
      <c r="C904" t="str">
        <f>IFERROR(__xludf.DUMMYFUNCTION("""COMPUTED_VALUE"""),"14aTeLjmUbS-nhaQwjtZAMGxdQ5DS6UsBjE5OTWN-LQU")</f>
        <v>14aTeLjmUbS-nhaQwjtZAMGxdQ5DS6UsBjE5OTWN-LQU</v>
      </c>
    </row>
    <row r="905" ht="15.75" customHeight="1">
      <c r="A905" t="str">
        <f>IFERROR(__xludf.DUMMYFUNCTION("""COMPUTED_VALUE"""),"PreferencesMain")</f>
        <v>PreferencesMain</v>
      </c>
      <c r="B905" t="str">
        <f>IFERROR(__xludf.DUMMYFUNCTION("""COMPUTED_VALUE"""),"SwicthTabPref")</f>
        <v>SwicthTabPref</v>
      </c>
      <c r="C905" t="str">
        <f>IFERROR(__xludf.DUMMYFUNCTION("""COMPUTED_VALUE"""),"14aTeLjmUbS-nhaQwjtZAMGxdQ5DS6UsBjE5OTWN-LQU")</f>
        <v>14aTeLjmUbS-nhaQwjtZAMGxdQ5DS6UsBjE5OTWN-LQU</v>
      </c>
    </row>
    <row r="906" ht="15.75" customHeight="1">
      <c r="A906" t="str">
        <f>IFERROR(__xludf.DUMMYFUNCTION("""COMPUTED_VALUE"""),"PreferencesMain")</f>
        <v>PreferencesMain</v>
      </c>
      <c r="B906" t="str">
        <f>IFERROR(__xludf.DUMMYFUNCTION("""COMPUTED_VALUE"""),"TTDefaultSelection")</f>
        <v>TTDefaultSelection</v>
      </c>
      <c r="C906" t="str">
        <f>IFERROR(__xludf.DUMMYFUNCTION("""COMPUTED_VALUE"""),"14aTeLjmUbS-nhaQwjtZAMGxdQ5DS6UsBjE5OTWN-LQU")</f>
        <v>14aTeLjmUbS-nhaQwjtZAMGxdQ5DS6UsBjE5OTWN-LQU</v>
      </c>
    </row>
    <row r="907" ht="15.75" customHeight="1">
      <c r="A907" t="str">
        <f>IFERROR(__xludf.DUMMYFUNCTION("""COMPUTED_VALUE"""),"PreferencesMain")</f>
        <v>PreferencesMain</v>
      </c>
      <c r="B907" t="str">
        <f>IFERROR(__xludf.DUMMYFUNCTION("""COMPUTED_VALUE"""),"TTNumSelection")</f>
        <v>TTNumSelection</v>
      </c>
      <c r="C907" t="str">
        <f>IFERROR(__xludf.DUMMYFUNCTION("""COMPUTED_VALUE"""),"14aTeLjmUbS-nhaQwjtZAMGxdQ5DS6UsBjE5OTWN-LQU")</f>
        <v>14aTeLjmUbS-nhaQwjtZAMGxdQ5DS6UsBjE5OTWN-LQU</v>
      </c>
    </row>
    <row r="908" ht="15.75" customHeight="1">
      <c r="A908" t="str">
        <f>IFERROR(__xludf.DUMMYFUNCTION("""COMPUTED_VALUE"""),"PreferencesMain")</f>
        <v>PreferencesMain</v>
      </c>
      <c r="B908" t="str">
        <f>IFERROR(__xludf.DUMMYFUNCTION("""COMPUTED_VALUE"""),"TTConfirmationPopUps")</f>
        <v>TTConfirmationPopUps</v>
      </c>
      <c r="C908" t="str">
        <f>IFERROR(__xludf.DUMMYFUNCTION("""COMPUTED_VALUE"""),"14aTeLjmUbS-nhaQwjtZAMGxdQ5DS6UsBjE5OTWN-LQU")</f>
        <v>14aTeLjmUbS-nhaQwjtZAMGxdQ5DS6UsBjE5OTWN-LQU</v>
      </c>
    </row>
    <row r="909" ht="15.75" customHeight="1">
      <c r="A909" t="str">
        <f>IFERROR(__xludf.DUMMYFUNCTION("""COMPUTED_VALUE"""),"PreferencesMain")</f>
        <v>PreferencesMain</v>
      </c>
      <c r="B909" t="str">
        <f>IFERROR(__xludf.DUMMYFUNCTION("""COMPUTED_VALUE"""),"VerifyUpdateBrokerPref")</f>
        <v>VerifyUpdateBrokerPref</v>
      </c>
      <c r="C909" t="str">
        <f>IFERROR(__xludf.DUMMYFUNCTION("""COMPUTED_VALUE"""),"14aTeLjmUbS-nhaQwjtZAMGxdQ5DS6UsBjE5OTWN-LQU")</f>
        <v>14aTeLjmUbS-nhaQwjtZAMGxdQ5DS6UsBjE5OTWN-LQU</v>
      </c>
    </row>
    <row r="910" ht="15.75" customHeight="1">
      <c r="A910" t="str">
        <f>IFERROR(__xludf.DUMMYFUNCTION("""COMPUTED_VALUE"""),"PreferencesMain")</f>
        <v>PreferencesMain</v>
      </c>
      <c r="B910" t="str">
        <f>IFERROR(__xludf.DUMMYFUNCTION("""COMPUTED_VALUE"""),"TTGeneralPref")</f>
        <v>TTGeneralPref</v>
      </c>
      <c r="C910" t="str">
        <f>IFERROR(__xludf.DUMMYFUNCTION("""COMPUTED_VALUE"""),"14aTeLjmUbS-nhaQwjtZAMGxdQ5DS6UsBjE5OTWN-LQU")</f>
        <v>14aTeLjmUbS-nhaQwjtZAMGxdQ5DS6UsBjE5OTWN-LQU</v>
      </c>
    </row>
    <row r="911" ht="15.75" customHeight="1">
      <c r="A911" t="str">
        <f>IFERROR(__xludf.DUMMYFUNCTION("""COMPUTED_VALUE"""),"PreferencesMain")</f>
        <v>PreferencesMain</v>
      </c>
      <c r="B911" t="str">
        <f>IFERROR(__xludf.DUMMYFUNCTION("""COMPUTED_VALUE"""),"UpdateClosingPref")</f>
        <v>UpdateClosingPref</v>
      </c>
      <c r="C911" t="str">
        <f>IFERROR(__xludf.DUMMYFUNCTION("""COMPUTED_VALUE"""),"14aTeLjmUbS-nhaQwjtZAMGxdQ5DS6UsBjE5OTWN-LQU")</f>
        <v>14aTeLjmUbS-nhaQwjtZAMGxdQ5DS6UsBjE5OTWN-LQU</v>
      </c>
    </row>
    <row r="912" ht="15.75" customHeight="1">
      <c r="A912" t="str">
        <f>IFERROR(__xludf.DUMMYFUNCTION("""COMPUTED_VALUE"""),"Allocation")</f>
        <v>Allocation</v>
      </c>
      <c r="B912" t="str">
        <f>IFERROR(__xludf.DUMMYFUNCTION("""COMPUTED_VALUE"""),"VerifyEditAttRenaming")</f>
        <v>VerifyEditAttRenaming</v>
      </c>
      <c r="C912" t="str">
        <f>IFERROR(__xludf.DUMMYFUNCTION("""COMPUTED_VALUE"""),"14aTeLjmUbS-nhaQwjtZAMGxdQ5DS6UsBjE5OTWN-LQU")</f>
        <v>14aTeLjmUbS-nhaQwjtZAMGxdQ5DS6UsBjE5OTWN-LQU</v>
      </c>
    </row>
    <row r="913" ht="15.75" customHeight="1">
      <c r="A913" t="str">
        <f>IFERROR(__xludf.DUMMYFUNCTION("""COMPUTED_VALUE"""),"Rebalancer")</f>
        <v>Rebalancer</v>
      </c>
      <c r="B913" t="str">
        <f>IFERROR(__xludf.DUMMYFUNCTION("""COMPUTED_VALUE"""),"VerifyTradeList")</f>
        <v>VerifyTradeList</v>
      </c>
      <c r="C913" t="str">
        <f>IFERROR(__xludf.DUMMYFUNCTION("""COMPUTED_VALUE"""),"14aTeLjmUbS-nhaQwjtZAMGxdQ5DS6UsBjE5OTWN-LQU")</f>
        <v>14aTeLjmUbS-nhaQwjtZAMGxdQ5DS6UsBjE5OTWN-LQU</v>
      </c>
    </row>
    <row r="914" ht="15.75" customHeight="1">
      <c r="A914" t="str">
        <f>IFERROR(__xludf.DUMMYFUNCTION("""COMPUTED_VALUE"""),"TradingTicket")</f>
        <v>TradingTicket</v>
      </c>
      <c r="B914" t="str">
        <f>IFERROR(__xludf.DUMMYFUNCTION("""COMPUTED_VALUE"""),"TTMainControls")</f>
        <v>TTMainControls</v>
      </c>
      <c r="C914" t="str">
        <f>IFERROR(__xludf.DUMMYFUNCTION("""COMPUTED_VALUE"""),"1DUwxSUq_47EK60XmK3LOdCXa1fkWqWJE9bLuGS3ccv412")</f>
        <v>1DUwxSUq_47EK60XmK3LOdCXa1fkWqWJE9bLuGS3ccv412</v>
      </c>
    </row>
    <row r="915" ht="15.75" customHeight="1">
      <c r="A915" t="str">
        <f>IFERROR(__xludf.DUMMYFUNCTION("""COMPUTED_VALUE"""),"TradingTicket")</f>
        <v>TradingTicket</v>
      </c>
      <c r="B915" t="str">
        <f>IFERROR(__xludf.DUMMYFUNCTION("""COMPUTED_VALUE"""),"VerifySymStrip")</f>
        <v>VerifySymStrip</v>
      </c>
      <c r="C915" t="str">
        <f>IFERROR(__xludf.DUMMYFUNCTION("""COMPUTED_VALUE"""),"1DUwxSUq_47EK60XmK3LOdCXa1fkWqWJE9bLuGS3ccv412")</f>
        <v>1DUwxSUq_47EK60XmK3LOdCXa1fkWqWJE9bLuGS3ccv412</v>
      </c>
    </row>
    <row r="916" ht="15.75" customHeight="1">
      <c r="A916" t="str">
        <f>IFERROR(__xludf.DUMMYFUNCTION("""COMPUTED_VALUE"""),"TradingTicket")</f>
        <v>TradingTicket</v>
      </c>
      <c r="B916" t="str">
        <f>IFERROR(__xludf.DUMMYFUNCTION("""COMPUTED_VALUE"""),"TTBottomTab")</f>
        <v>TTBottomTab</v>
      </c>
      <c r="C916" t="str">
        <f>IFERROR(__xludf.DUMMYFUNCTION("""COMPUTED_VALUE"""),"1DUwxSUq_47EK60XmK3LOdCXa1fkWqWJE9bLuGS3ccv412")</f>
        <v>1DUwxSUq_47EK60XmK3LOdCXa1fkWqWJE9bLuGS3ccv412</v>
      </c>
    </row>
    <row r="917" ht="15.75" customHeight="1">
      <c r="A917" t="str">
        <f>IFERROR(__xludf.DUMMYFUNCTION("""COMPUTED_VALUE"""),"TradingTicket")</f>
        <v>TradingTicket</v>
      </c>
      <c r="B917" t="str">
        <f>IFERROR(__xludf.DUMMYFUNCTION("""COMPUTED_VALUE"""),"TTBottomSwap")</f>
        <v>TTBottomSwap</v>
      </c>
      <c r="C917" t="str">
        <f>IFERROR(__xludf.DUMMYFUNCTION("""COMPUTED_VALUE"""),"1DUwxSUq_47EK60XmK3LOdCXa1fkWqWJE9bLuGS3ccv412")</f>
        <v>1DUwxSUq_47EK60XmK3LOdCXa1fkWqWJE9bLuGS3ccv412</v>
      </c>
    </row>
    <row r="918" ht="15.75" customHeight="1">
      <c r="A918" t="str">
        <f>IFERROR(__xludf.DUMMYFUNCTION("""COMPUTED_VALUE"""),"Blotter")</f>
        <v>Blotter</v>
      </c>
      <c r="B918" t="str">
        <f>IFERROR(__xludf.DUMMYFUNCTION("""COMPUTED_VALUE"""),"CreateHotButtonOnBlotter")</f>
        <v>CreateHotButtonOnBlotter</v>
      </c>
      <c r="C918" t="str">
        <f>IFERROR(__xludf.DUMMYFUNCTION("""COMPUTED_VALUE"""),"1Yu7Fb6AjhUP8b-KuRJvgAwq8TykNK6BDh9F0Xpf12Ek")</f>
        <v>1Yu7Fb6AjhUP8b-KuRJvgAwq8TykNK6BDh9F0Xpf12Ek</v>
      </c>
    </row>
    <row r="919" ht="15.75" customHeight="1">
      <c r="A919" t="str">
        <f>IFERROR(__xludf.DUMMYFUNCTION("""COMPUTED_VALUE"""),"Blotter")</f>
        <v>Blotter</v>
      </c>
      <c r="B919" t="str">
        <f>IFERROR(__xludf.DUMMYFUNCTION("""COMPUTED_VALUE"""),"FillHBdetailsOnBlotter")</f>
        <v>FillHBdetailsOnBlotter</v>
      </c>
      <c r="C919" t="str">
        <f>IFERROR(__xludf.DUMMYFUNCTION("""COMPUTED_VALUE"""),"13Isj5c5k8kObxI-GBT6Ir9VBOz_46lzhwVxXXVP8jQU")</f>
        <v>13Isj5c5k8kObxI-GBT6Ir9VBOz_46lzhwVxXXVP8jQU</v>
      </c>
    </row>
    <row r="920" ht="15.75" customHeight="1">
      <c r="A920" t="str">
        <f>IFERROR(__xludf.DUMMYFUNCTION("""COMPUTED_VALUE"""),"TradingTicket")</f>
        <v>TradingTicket</v>
      </c>
      <c r="B920" t="str">
        <f>IFERROR(__xludf.DUMMYFUNCTION("""COMPUTED_VALUE"""),"EditAuecWindow")</f>
        <v>EditAuecWindow</v>
      </c>
      <c r="C920" t="str">
        <f>IFERROR(__xludf.DUMMYFUNCTION("""COMPUTED_VALUE"""),"1ottlNphVbp0AC-UFd-HlDpCLwOA2yWO1pN6eR3ML7vA")</f>
        <v>1ottlNphVbp0AC-UFd-HlDpCLwOA2yWO1pN6eR3ML7vA</v>
      </c>
    </row>
    <row r="921" ht="15.75" customHeight="1">
      <c r="A921" t="str">
        <f>IFERROR(__xludf.DUMMYFUNCTION("""COMPUTED_VALUE"""),"TradingTicket")</f>
        <v>TradingTicket</v>
      </c>
      <c r="B921" t="str">
        <f>IFERROR(__xludf.DUMMYFUNCTION("""COMPUTED_VALUE"""),"VerifyBrokerSummary")</f>
        <v>VerifyBrokerSummary</v>
      </c>
      <c r="C921" t="str">
        <f>IFERROR(__xludf.DUMMYFUNCTION("""COMPUTED_VALUE"""),"11hMxlfIQYwM8vPN2h--IGp7O02EDFbvJ4CSvjSfGsMY")</f>
        <v>11hMxlfIQYwM8vPN2h--IGp7O02EDFbvJ4CSvjSfGsMY</v>
      </c>
    </row>
    <row r="922" ht="15.75" customHeight="1">
      <c r="A922" t="str">
        <f>IFERROR(__xludf.DUMMYFUNCTION("""COMPUTED_VALUE"""),"QTT")</f>
        <v>QTT</v>
      </c>
      <c r="B922" t="str">
        <f>IFERROR(__xludf.DUMMYFUNCTION("""COMPUTED_VALUE"""),"EditAuecWindowQTT")</f>
        <v>EditAuecWindowQTT</v>
      </c>
      <c r="C922" t="str">
        <f>IFERROR(__xludf.DUMMYFUNCTION("""COMPUTED_VALUE"""),"1oI_WY3xKQgSjp5JN67BMHtm3zazX5ZiMATISa2ssGB0")</f>
        <v>1oI_WY3xKQgSjp5JN67BMHtm3zazX5ZiMATISa2ssGB0</v>
      </c>
    </row>
    <row r="923" ht="15.75" customHeight="1">
      <c r="A923" t="str">
        <f>IFERROR(__xludf.DUMMYFUNCTION("""COMPUTED_VALUE"""),"QTT")</f>
        <v>QTT</v>
      </c>
      <c r="B923" t="str">
        <f>IFERROR(__xludf.DUMMYFUNCTION("""COMPUTED_VALUE"""),"VerifyBrokerSummaryQTT")</f>
        <v>VerifyBrokerSummaryQTT</v>
      </c>
      <c r="C923" t="str">
        <f>IFERROR(__xludf.DUMMYFUNCTION("""COMPUTED_VALUE"""),"1O6-eqYsZqtvYR6DOH7UM2_Jwpq9pB9uyZvgh5vEhVAI")</f>
        <v>1O6-eqYsZqtvYR6DOH7UM2_Jwpq9pB9uyZvgh5vEhVAI</v>
      </c>
    </row>
    <row r="924" ht="15.75" customHeight="1">
      <c r="A924" t="str">
        <f>IFERROR(__xludf.DUMMYFUNCTION("""COMPUTED_VALUE"""),"QTT")</f>
        <v>QTT</v>
      </c>
      <c r="B924" t="str">
        <f>IFERROR(__xludf.DUMMYFUNCTION("""COMPUTED_VALUE"""),"SaveQTThotKey")</f>
        <v>SaveQTThotKey</v>
      </c>
      <c r="C924" t="str">
        <f>IFERROR(__xludf.DUMMYFUNCTION("""COMPUTED_VALUE"""),"Undefined")</f>
        <v>Undefined</v>
      </c>
    </row>
    <row r="925" ht="15.75" customHeight="1">
      <c r="A925" t="str">
        <f>IFERROR(__xludf.DUMMYFUNCTION("""COMPUTED_VALUE"""),"Blotter")</f>
        <v>Blotter</v>
      </c>
      <c r="B925" t="str">
        <f>IFERROR(__xludf.DUMMYFUNCTION("""COMPUTED_VALUE"""),"BlotterColumnChooser")</f>
        <v>BlotterColumnChooser</v>
      </c>
      <c r="C925" t="str">
        <f>IFERROR(__xludf.DUMMYFUNCTION("""COMPUTED_VALUE"""),"12428TbyucuJDD3KuN7QG-GyRYI3gcoyDNKTQ2UpgGMQ")</f>
        <v>12428TbyucuJDD3KuN7QG-GyRYI3gcoyDNKTQ2UpgGMQ</v>
      </c>
    </row>
    <row r="926" ht="15.75" customHeight="1">
      <c r="A926" t="str">
        <f>IFERROR(__xludf.DUMMYFUNCTION("""COMPUTED_VALUE"""),"RTPNL")</f>
        <v>RTPNL</v>
      </c>
      <c r="B926" t="str">
        <f>IFERROR(__xludf.DUMMYFUNCTION("""COMPUTED_VALUE"""),"CreateGroupingWidget")</f>
        <v>CreateGroupingWidget</v>
      </c>
      <c r="C926" t="str">
        <f>IFERROR(__xludf.DUMMYFUNCTION("""COMPUTED_VALUE"""),"1ctXhgvJgrqqe8ees0907Up0TKq9pCEhinMlZnRGqKdY")</f>
        <v>1ctXhgvJgrqqe8ees0907Up0TKq9pCEhinMlZnRGqKdY</v>
      </c>
    </row>
    <row r="927" ht="15.75" customHeight="1">
      <c r="A927" t="str">
        <f>IFERROR(__xludf.DUMMYFUNCTION("""COMPUTED_VALUE"""),"RTPNL")</f>
        <v>RTPNL</v>
      </c>
      <c r="B927" t="str">
        <f>IFERROR(__xludf.DUMMYFUNCTION("""COMPUTED_VALUE"""),"CheckGroupingWidget")</f>
        <v>CheckGroupingWidget</v>
      </c>
      <c r="C927" t="str">
        <f>IFERROR(__xludf.DUMMYFUNCTION("""COMPUTED_VALUE"""),"16mimyUFzQ0Ojogh0t4Evjy-tjzAJ67xgIrWeTNmBdw0")</f>
        <v>16mimyUFzQ0Ojogh0t4Evjy-tjzAJ67xgIrWeTNmBdw0</v>
      </c>
    </row>
    <row r="928" ht="15.75" customHeight="1">
      <c r="A928" t="str">
        <f>IFERROR(__xludf.DUMMYFUNCTION("""COMPUTED_VALUE"""),"TradingTicket")</f>
        <v>TradingTicket</v>
      </c>
      <c r="B928" t="str">
        <f>IFERROR(__xludf.DUMMYFUNCTION("""COMPUTED_VALUE"""),"QTTHamburg")</f>
        <v>QTTHamburg</v>
      </c>
      <c r="C928" t="str">
        <f>IFERROR(__xludf.DUMMYFUNCTION("""COMPUTED_VALUE"""),"1pdXDcLRWAl2b2L88lHCntj01OLBjVHaNAdGG8OHa4hA")</f>
        <v>1pdXDcLRWAl2b2L88lHCntj01OLBjVHaNAdGG8OHa4hA</v>
      </c>
    </row>
    <row r="929" ht="15.75" customHeight="1">
      <c r="A929" t="str">
        <f>IFERROR(__xludf.DUMMYFUNCTION("""COMPUTED_VALUE"""),"RTPNL")</f>
        <v>RTPNL</v>
      </c>
      <c r="B929" t="str">
        <f>IFERROR(__xludf.DUMMYFUNCTION("""COMPUTED_VALUE"""),"VerifyL1L2PanelRTPNL")</f>
        <v>VerifyL1L2PanelRTPNL</v>
      </c>
      <c r="C929" t="str">
        <f>IFERROR(__xludf.DUMMYFUNCTION("""COMPUTED_VALUE"""),"1cQo_rX9O9XHFILj0ICV1GAU_RdtTKYlclT20jg9G7hg")</f>
        <v>1cQo_rX9O9XHFILj0ICV1GAU_RdtTKYlclT20jg9G7hg</v>
      </c>
    </row>
    <row r="930" ht="15.75" customHeight="1">
      <c r="A930" t="str">
        <f>IFERROR(__xludf.DUMMYFUNCTION("""COMPUTED_VALUE"""),"Blotter")</f>
        <v>Blotter</v>
      </c>
      <c r="B930" t="str">
        <f>IFERROR(__xludf.DUMMYFUNCTION("""COMPUTED_VALUE"""),"CaptureHotButtonDetails")</f>
        <v>CaptureHotButtonDetails</v>
      </c>
      <c r="C930" t="str">
        <f>IFERROR(__xludf.DUMMYFUNCTION("""COMPUTED_VALUE"""),"16Dail-EoPWyIhwRzxyvr-EY1IE8jJTUQDarvGnXioxI")</f>
        <v>16Dail-EoPWyIhwRzxyvr-EY1IE8jJTUQDarvGnXioxI</v>
      </c>
    </row>
    <row r="931" ht="15.75" customHeight="1">
      <c r="A931" t="str">
        <f>IFERROR(__xludf.DUMMYFUNCTION("""COMPUTED_VALUE"""),"SymbolLookup")</f>
        <v>SymbolLookup</v>
      </c>
      <c r="B931" t="str">
        <f>IFERROR(__xludf.DUMMYFUNCTION("""COMPUTED_VALUE"""),"EditSMGrid")</f>
        <v>EditSMGrid</v>
      </c>
      <c r="C931" t="str">
        <f>IFERROR(__xludf.DUMMYFUNCTION("""COMPUTED_VALUE"""),"14aTeLjmUbS-nhaQwjtZAMGxdQ5DS6UsBjE5OTWN-LQU")</f>
        <v>14aTeLjmUbS-nhaQwjtZAMGxdQ5DS6UsBjE5OTWN-LQU</v>
      </c>
    </row>
    <row r="932" ht="15.75" customHeight="1">
      <c r="A932" t="str">
        <f>IFERROR(__xludf.DUMMYFUNCTION("""COMPUTED_VALUE"""),"QTT")</f>
        <v>QTT</v>
      </c>
      <c r="B932" t="str">
        <f>IFERROR(__xludf.DUMMYFUNCTION("""COMPUTED_VALUE"""),"EditQuickPreference")</f>
        <v>EditQuickPreference</v>
      </c>
      <c r="C932" t="str">
        <f>IFERROR(__xludf.DUMMYFUNCTION("""COMPUTED_VALUE"""),"133vNW3loXmIKhcuaiCwGIGXOULCttZuJZtPfA4s37vw")</f>
        <v>133vNW3loXmIKhcuaiCwGIGXOULCttZuJZtPfA4s37vw</v>
      </c>
    </row>
    <row r="933" ht="15.75" customHeight="1">
      <c r="A933" t="str">
        <f>IFERROR(__xludf.DUMMYFUNCTION("""COMPUTED_VALUE"""),"Blotter")</f>
        <v>Blotter</v>
      </c>
      <c r="B933" t="str">
        <f>IFERROR(__xludf.DUMMYFUNCTION("""COMPUTED_VALUE"""),"RightClickActionVerification")</f>
        <v>RightClickActionVerification</v>
      </c>
      <c r="C933" t="str">
        <f>IFERROR(__xludf.DUMMYFUNCTION("""COMPUTED_VALUE"""),"11EX1Ln-BQAtx9NTd9zfcaia52FGNdZENDW2kwMCJ8HQ")</f>
        <v>11EX1Ln-BQAtx9NTd9zfcaia52FGNdZENDW2kwMCJ8HQ</v>
      </c>
    </row>
    <row r="934" ht="15.75" customHeight="1">
      <c r="A934" t="str">
        <f>IFERROR(__xludf.DUMMYFUNCTION("""COMPUTED_VALUE"""),"SymbolLookup")</f>
        <v>SymbolLookup</v>
      </c>
      <c r="B934" t="str">
        <f>IFERROR(__xludf.DUMMYFUNCTION("""COMPUTED_VALUE"""),"PageOneDetails")</f>
        <v>PageOneDetails</v>
      </c>
      <c r="C934" t="str">
        <f>IFERROR(__xludf.DUMMYFUNCTION("""COMPUTED_VALUE"""),"11EX1Ln-BQAtx9NTd9zfcaia52FGNdZENDW2kwMCJ8HQ")</f>
        <v>11EX1Ln-BQAtx9NTd9zfcaia52FGNdZENDW2kwMCJ8HQ</v>
      </c>
    </row>
    <row r="935" ht="15.75" customHeight="1">
      <c r="A935" t="str">
        <f>IFERROR(__xludf.DUMMYFUNCTION("""COMPUTED_VALUE"""),"SymbolLookup")</f>
        <v>SymbolLookup</v>
      </c>
      <c r="B935" t="str">
        <f>IFERROR(__xludf.DUMMYFUNCTION("""COMPUTED_VALUE"""),"ActionOnSI")</f>
        <v>ActionOnSI</v>
      </c>
      <c r="C935" t="str">
        <f>IFERROR(__xludf.DUMMYFUNCTION("""COMPUTED_VALUE"""),"11EX1Ln-BQAtx9NTd9zfcaia52FGNdZENDW2kwMCJ8HQ")</f>
        <v>11EX1Ln-BQAtx9NTd9zfcaia52FGNdZENDW2kwMCJ8HQ</v>
      </c>
    </row>
    <row r="936" ht="15.75" customHeight="1">
      <c r="A936" t="str">
        <f>IFERROR(__xludf.DUMMYFUNCTION("""COMPUTED_VALUE"""),"SymbolLookup")</f>
        <v>SymbolLookup</v>
      </c>
      <c r="B936" t="str">
        <f>IFERROR(__xludf.DUMMYFUNCTION("""COMPUTED_VALUE"""),"PageTwoDetails")</f>
        <v>PageTwoDetails</v>
      </c>
      <c r="C936" t="str">
        <f>IFERROR(__xludf.DUMMYFUNCTION("""COMPUTED_VALUE"""),"11EX1Ln-BQAtx9NTd9zfcaia52FGNdZENDW2kwMCJ8HQ")</f>
        <v>11EX1Ln-BQAtx9NTd9zfcaia52FGNdZENDW2kwMCJ8HQ</v>
      </c>
    </row>
    <row r="937" ht="15.75" customHeight="1">
      <c r="A937" t="str">
        <f>IFERROR(__xludf.DUMMYFUNCTION("""COMPUTED_VALUE"""),"SymbolLookup")</f>
        <v>SymbolLookup</v>
      </c>
      <c r="B937" t="str">
        <f>IFERROR(__xludf.DUMMYFUNCTION("""COMPUTED_VALUE"""),"ActiononSMPane")</f>
        <v>ActiononSMPane</v>
      </c>
      <c r="C937" t="str">
        <f>IFERROR(__xludf.DUMMYFUNCTION("""COMPUTED_VALUE"""),"11EX1Ln-BQAtx9NTd9zfcaia52FGNdZENDW2kwMCJ8HQ")</f>
        <v>11EX1Ln-BQAtx9NTd9zfcaia52FGNdZENDW2kwMCJ8HQ</v>
      </c>
    </row>
    <row r="938" ht="15.75" customHeight="1">
      <c r="A938" t="str">
        <f>IFERROR(__xludf.DUMMYFUNCTION("""COMPUTED_VALUE"""),"SymbolLookup")</f>
        <v>SymbolLookup</v>
      </c>
      <c r="B938" t="str">
        <f>IFERROR(__xludf.DUMMYFUNCTION("""COMPUTED_VALUE"""),"PageThreeDetails")</f>
        <v>PageThreeDetails</v>
      </c>
      <c r="C938" t="str">
        <f>IFERROR(__xludf.DUMMYFUNCTION("""COMPUTED_VALUE"""),"11EX1Ln-BQAtx9NTd9zfcaia52FGNdZENDW2kwMCJ8HQ")</f>
        <v>11EX1Ln-BQAtx9NTd9zfcaia52FGNdZENDW2kwMCJ8HQ</v>
      </c>
    </row>
    <row r="939" ht="15.75" customHeight="1">
      <c r="A939" t="str">
        <f>IFERROR(__xludf.DUMMYFUNCTION("""COMPUTED_VALUE"""),"SymbolLookup")</f>
        <v>SymbolLookup</v>
      </c>
      <c r="B939" t="str">
        <f>IFERROR(__xludf.DUMMYFUNCTION("""COMPUTED_VALUE"""),"VerifySMGrid")</f>
        <v>VerifySMGrid</v>
      </c>
      <c r="C939" t="str">
        <f>IFERROR(__xludf.DUMMYFUNCTION("""COMPUTED_VALUE"""),"11EX1Ln-BQAtx9NTd9zfcaia52FGNdZENDW2kwMCJ8HQ")</f>
        <v>11EX1Ln-BQAtx9NTd9zfcaia52FGNdZENDW2kwMCJ8HQ</v>
      </c>
    </row>
    <row r="940" ht="15.75" customHeight="1">
      <c r="A940" t="str">
        <f>IFERROR(__xludf.DUMMYFUNCTION("""COMPUTED_VALUE"""),"SymbolLookup")</f>
        <v>SymbolLookup</v>
      </c>
      <c r="B940" t="str">
        <f>IFERROR(__xludf.DUMMYFUNCTION("""COMPUTED_VALUE"""),"PageFourDetails")</f>
        <v>PageFourDetails</v>
      </c>
      <c r="C940" t="str">
        <f>IFERROR(__xludf.DUMMYFUNCTION("""COMPUTED_VALUE"""),"11EX1Ln-BQAtx9NTd9zfcaia52FGNdZENDW2kwMCJ8HQ")</f>
        <v>11EX1Ln-BQAtx9NTd9zfcaia52FGNdZENDW2kwMCJ8HQ</v>
      </c>
    </row>
    <row r="941" ht="15.75" customHeight="1">
      <c r="A941" t="str">
        <f>IFERROR(__xludf.DUMMYFUNCTION("""COMPUTED_VALUE"""),"Admin")</f>
        <v>Admin</v>
      </c>
      <c r="B941" t="str">
        <f>IFERROR(__xludf.DUMMYFUNCTION("""COMPUTED_VALUE"""),"ChangeDate")</f>
        <v>ChangeDate</v>
      </c>
      <c r="C941" t="str">
        <f>IFERROR(__xludf.DUMMYFUNCTION("""COMPUTED_VALUE"""),"1P5fd0ftHTs8WR6XF70cltzN5BPur7V01OcYEMpPEMVE")</f>
        <v>1P5fd0ftHTs8WR6XF70cltzN5BPur7V01OcYEMpPEMVE</v>
      </c>
    </row>
    <row r="942" ht="15.75" customHeight="1">
      <c r="A942" t="str">
        <f>IFERROR(__xludf.DUMMYFUNCTION("""COMPUTED_VALUE"""),"Simulator")</f>
        <v>Simulator</v>
      </c>
      <c r="B942" t="str">
        <f>IFERROR(__xludf.DUMMYFUNCTION("""COMPUTED_VALUE"""),"NewAcknowledgeTrade")</f>
        <v>NewAcknowledgeTrade</v>
      </c>
      <c r="C942" t="str">
        <f>IFERROR(__xludf.DUMMYFUNCTION("""COMPUTED_VALUE"""),"1H8R-FdslnMhiBZjAanQN5V9z26E47VjoaeJWQdGZ2pU")</f>
        <v>1H8R-FdslnMhiBZjAanQN5V9z26E47VjoaeJWQdGZ2pU</v>
      </c>
    </row>
    <row r="943" ht="15.75" customHeight="1">
      <c r="A943" t="str">
        <f>IFERROR(__xludf.DUMMYFUNCTION("""COMPUTED_VALUE"""),"Allocation")</f>
        <v>Allocation</v>
      </c>
      <c r="B943" t="str">
        <f>IFERROR(__xludf.DUMMYFUNCTION("""COMPUTED_VALUE"""),"ActionOnToolBar")</f>
        <v>ActionOnToolBar</v>
      </c>
      <c r="C943" t="str">
        <f>IFERROR(__xludf.DUMMYFUNCTION("""COMPUTED_VALUE"""),"11EX1Ln-BQAtx9NTd9zfcaia52FGNdZENDW2kwMCJ8HQ")</f>
        <v>11EX1Ln-BQAtx9NTd9zfcaia52FGNdZENDW2kwMCJ8HQ</v>
      </c>
    </row>
    <row r="944" ht="15.75" customHeight="1">
      <c r="A944" t="str">
        <f>IFERROR(__xludf.DUMMYFUNCTION("""COMPUTED_VALUE"""),"Allocation")</f>
        <v>Allocation</v>
      </c>
      <c r="B944" t="str">
        <f>IFERROR(__xludf.DUMMYFUNCTION("""COMPUTED_VALUE"""),"AutoGrpRules")</f>
        <v>AutoGrpRules</v>
      </c>
      <c r="C944" t="str">
        <f>IFERROR(__xludf.DUMMYFUNCTION("""COMPUTED_VALUE"""),"11EX1Ln-BQAtx9NTd9zfcaia52FGNdZENDW2kwMCJ8HQ")</f>
        <v>11EX1Ln-BQAtx9NTd9zfcaia52FGNdZENDW2kwMCJ8HQ</v>
      </c>
    </row>
    <row r="945" ht="15.75" customHeight="1">
      <c r="A945" t="str">
        <f>IFERROR(__xludf.DUMMYFUNCTION("""COMPUTED_VALUE"""),"Allocation")</f>
        <v>Allocation</v>
      </c>
      <c r="B945" t="str">
        <f>IFERROR(__xludf.DUMMYFUNCTION("""COMPUTED_VALUE"""),"VerifyToggleStateTA")</f>
        <v>VerifyToggleStateTA</v>
      </c>
      <c r="C945" t="str">
        <f>IFERROR(__xludf.DUMMYFUNCTION("""COMPUTED_VALUE"""),"11EX1Ln-BQAtx9NTd9zfcaia52FGNdZENDW2kwMCJ8HQ")</f>
        <v>11EX1Ln-BQAtx9NTd9zfcaia52FGNdZENDW2kwMCJ8HQ</v>
      </c>
    </row>
    <row r="946" ht="15.75" customHeight="1">
      <c r="A946" t="str">
        <f>IFERROR(__xludf.DUMMYFUNCTION("""COMPUTED_VALUE"""),"Expnl")</f>
        <v>Expnl</v>
      </c>
      <c r="B946" t="str">
        <f>IFERROR(__xludf.DUMMYFUNCTION("""COMPUTED_VALUE"""),"RefreshExpnlUi")</f>
        <v>RefreshExpnlUi</v>
      </c>
      <c r="C946" t="str">
        <f>IFERROR(__xludf.DUMMYFUNCTION("""COMPUTED_VALUE"""),"Undefined")</f>
        <v>Undefined</v>
      </c>
    </row>
    <row r="947" ht="15.75" customHeight="1">
      <c r="A947" t="str">
        <f>IFERROR(__xludf.DUMMYFUNCTION("""COMPUTED_VALUE"""),"Allocation")</f>
        <v>Allocation</v>
      </c>
      <c r="B947" t="str">
        <f>IFERROR(__xludf.DUMMYFUNCTION("""COMPUTED_VALUE"""),"ActiononAGP")</f>
        <v>ActiononAGP</v>
      </c>
      <c r="C947" t="str">
        <f>IFERROR(__xludf.DUMMYFUNCTION("""COMPUTED_VALUE"""),"11EX1Ln-BQAtx9NTd9zfcaia52FGNdZENDW2kwMCJ8HQ")</f>
        <v>11EX1Ln-BQAtx9NTd9zfcaia52FGNdZENDW2kwMCJ8HQ</v>
      </c>
    </row>
    <row r="948" ht="15.75" customHeight="1">
      <c r="A948" t="str">
        <f>IFERROR(__xludf.DUMMYFUNCTION("""COMPUTED_VALUE"""),"Allocation")</f>
        <v>Allocation</v>
      </c>
      <c r="B948" t="str">
        <f>IFERROR(__xludf.DUMMYFUNCTION("""COMPUTED_VALUE"""),"AttBulkChng")</f>
        <v>AttBulkChng</v>
      </c>
      <c r="C948" t="str">
        <f>IFERROR(__xludf.DUMMYFUNCTION("""COMPUTED_VALUE"""),"11EX1Ln-BQAtx9NTd9zfcaia52FGNdZENDW2kwMCJ8HQ")</f>
        <v>11EX1Ln-BQAtx9NTd9zfcaia52FGNdZENDW2kwMCJ8HQ</v>
      </c>
    </row>
    <row r="949" ht="15.75" customHeight="1">
      <c r="A949" t="str">
        <f>IFERROR(__xludf.DUMMYFUNCTION("""COMPUTED_VALUE"""),"Allocation")</f>
        <v>Allocation</v>
      </c>
      <c r="B949" t="str">
        <f>IFERROR(__xludf.DUMMYFUNCTION("""COMPUTED_VALUE"""),"AttBulkChngTwo")</f>
        <v>AttBulkChngTwo</v>
      </c>
      <c r="C949" t="str">
        <f>IFERROR(__xludf.DUMMYFUNCTION("""COMPUTED_VALUE"""),"11EX1Ln-BQAtx9NTd9zfcaia52FGNdZENDW2kwMCJ8HQ")</f>
        <v>11EX1Ln-BQAtx9NTd9zfcaia52FGNdZENDW2kwMCJ8HQ</v>
      </c>
    </row>
    <row r="950" ht="15.75" customHeight="1">
      <c r="A950" t="str">
        <f>IFERROR(__xludf.DUMMYFUNCTION("""COMPUTED_VALUE"""),"Login")</f>
        <v>Login</v>
      </c>
      <c r="B950" t="str">
        <f>IFERROR(__xludf.DUMMYFUNCTION("""COMPUTED_VALUE"""),"Login")</f>
        <v>Login</v>
      </c>
      <c r="C950" t="str">
        <f>IFERROR(__xludf.DUMMYFUNCTION("""COMPUTED_VALUE"""),"1uy63r2XjpUIBlAUk-lXKJTr-PpvpP6wxvLlLDzoM-Ic")</f>
        <v>1uy63r2XjpUIBlAUk-lXKJTr-PpvpP6wxvLlLDzoM-Ic</v>
      </c>
    </row>
    <row r="951" ht="15.75" customHeight="1">
      <c r="A951" t="str">
        <f>IFERROR(__xludf.DUMMYFUNCTION("""COMPUTED_VALUE"""),"Simulator")</f>
        <v>Simulator</v>
      </c>
      <c r="B951" t="str">
        <f>IFERROR(__xludf.DUMMYFUNCTION("""COMPUTED_VALUE"""),"VerifyRowAllFixLogs")</f>
        <v>VerifyRowAllFixLogs</v>
      </c>
      <c r="C951" t="str">
        <f>IFERROR(__xludf.DUMMYFUNCTION("""COMPUTED_VALUE"""),"1_W_DB1rnbV-zXf1aqv8VkPNpTGPIckmD7s5z0ncm4ho")</f>
        <v>1_W_DB1rnbV-zXf1aqv8VkPNpTGPIckmD7s5z0ncm4ho</v>
      </c>
    </row>
    <row r="952" ht="15.75" customHeight="1">
      <c r="A952" t="str">
        <f>IFERROR(__xludf.DUMMYFUNCTION("""COMPUTED_VALUE"""),"Blotter")</f>
        <v>Blotter</v>
      </c>
      <c r="B952" t="str">
        <f>IFERROR(__xludf.DUMMYFUNCTION("""COMPUTED_VALUE"""),"ManageHotButton")</f>
        <v>ManageHotButton</v>
      </c>
      <c r="C952" t="str">
        <f>IFERROR(__xludf.DUMMYFUNCTION("""COMPUTED_VALUE"""),"1kQpkPRi_1u4R3VazjhiilbOI8OkiiHRY2wfgByau1YY")</f>
        <v>1kQpkPRi_1u4R3VazjhiilbOI8OkiiHRY2wfgByau1YY</v>
      </c>
    </row>
    <row r="953" ht="15.75" customHeight="1">
      <c r="A953" t="str">
        <f>IFERROR(__xludf.DUMMYFUNCTION("""COMPUTED_VALUE"""),"Simulator")</f>
        <v>Simulator</v>
      </c>
      <c r="B953" t="str">
        <f>IFERROR(__xludf.DUMMYFUNCTION("""COMPUTED_VALUE"""),"ClearAllFixLogs")</f>
        <v>ClearAllFixLogs</v>
      </c>
    </row>
    <row r="954" ht="15.75" customHeight="1">
      <c r="A954" t="str">
        <f>IFERROR(__xludf.DUMMYFUNCTION("""COMPUTED_VALUE"""),"PranaClient")</f>
        <v>PranaClient</v>
      </c>
      <c r="B954" t="str">
        <f>IFERROR(__xludf.DUMMYFUNCTION("""COMPUTED_VALUE"""),"UpdateLiveExcelSheetForRTPNL")</f>
        <v>UpdateLiveExcelSheetForRTPNL</v>
      </c>
    </row>
    <row r="955" ht="15.75" customHeight="1">
      <c r="A955" t="str">
        <f>IFERROR(__xludf.DUMMYFUNCTION("""COMPUTED_VALUE"""),"OpenFin")</f>
        <v>OpenFin</v>
      </c>
      <c r="B955" t="str">
        <f>IFERROR(__xludf.DUMMYFUNCTION("""COMPUTED_VALUE"""),"SavePageRTPNL")</f>
        <v>SavePageRTPNL</v>
      </c>
      <c r="C955" t="str">
        <f>IFERROR(__xludf.DUMMYFUNCTION("""COMPUTED_VALUE"""),"1YqhSG4yXo70SfhUq3fYD9CKf-eg44IFJ37IZh4WLI84")</f>
        <v>1YqhSG4yXo70SfhUq3fYD9CKf-eg44IFJ37IZh4WLI84</v>
      </c>
    </row>
    <row r="956" ht="15.75" customHeight="1">
      <c r="A956" t="str">
        <f>IFERROR(__xludf.DUMMYFUNCTION("""COMPUTED_VALUE"""),"RTPNL")</f>
        <v>RTPNL</v>
      </c>
      <c r="B956" t="str">
        <f>IFERROR(__xludf.DUMMYFUNCTION("""COMPUTED_VALUE"""),"VerifyGridThroughLiveExcel")</f>
        <v>VerifyGridThroughLiveExcel</v>
      </c>
      <c r="C956" t="str">
        <f>IFERROR(__xludf.DUMMYFUNCTION("""COMPUTED_VALUE"""),"1cCUw9lchUCKgHeNcwCDXybCOZXIeN4O0zRhkTZCVDUg")</f>
        <v>1cCUw9lchUCKgHeNcwCDXybCOZXIeN4O0zRhkTZCVDUg</v>
      </c>
    </row>
    <row r="957" ht="15.75" customHeight="1">
      <c r="A957" t="str">
        <f>IFERROR(__xludf.DUMMYFUNCTION("""COMPUTED_VALUE"""),"OpenFin")</f>
        <v>OpenFin</v>
      </c>
      <c r="B957" t="str">
        <f>IFERROR(__xludf.DUMMYFUNCTION("""COMPUTED_VALUE"""),"VerifyToastMessage")</f>
        <v>VerifyToastMessage</v>
      </c>
      <c r="C957" t="str">
        <f>IFERROR(__xludf.DUMMYFUNCTION("""COMPUTED_VALUE"""),"1DYn70fZ-UJ9bocMMWUWIW2IVfXlF5TRVuLedi7Y_LNk")</f>
        <v>1DYn70fZ-UJ9bocMMWUWIW2IVfXlF5TRVuLedi7Y_LNk</v>
      </c>
    </row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9" t="s">
        <v>4</v>
      </c>
      <c r="C3" s="8"/>
    </row>
    <row r="4" ht="15.75" customHeight="1">
      <c r="A4" s="11" t="s">
        <v>5</v>
      </c>
      <c r="B4" s="12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 t="str">
        <f>IFERROR(__xludf.DUMMYFUNCTION("""COMPUTED_VALUE"""),"SymbolSuggestionVerify")</f>
        <v>SymbolSuggestionVerify</v>
      </c>
      <c r="BE4" s="25" t="str">
        <f>IFERROR(__xludf.DUMMYFUNCTION("""COMPUTED_VALUE"""),"EditAuecWindow")</f>
        <v>EditAuecWindow</v>
      </c>
      <c r="BF4" s="25" t="str">
        <f>IFERROR(__xludf.DUMMYFUNCTION("""COMPUTED_VALUE"""),"VerifyBrokerSummary")</f>
        <v>VerifyBrokerSummary</v>
      </c>
      <c r="BG4" s="25" t="str">
        <f>IFERROR(__xludf.DUMMYFUNCTION("""COMPUTED_VALUE"""),"QTTHamburg")</f>
        <v>QTTHamburg</v>
      </c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IFERROR(__xludf.DUMMYFUNCTION("""COMPUTED_VALUE"""),"Quantity")</f>
        <v>Quantity</v>
      </c>
      <c r="D5" s="27" t="str">
        <f>IFERROR(__xludf.DUMMYFUNCTION("""COMPUTED_VALUE"""),"Price")</f>
        <v>Price</v>
      </c>
      <c r="E5" s="27" t="str">
        <f>IFERROR(__xludf.DUMMYFUNCTION("""COMPUTED_VALUE"""),"Order type button")</f>
        <v>Order type button</v>
      </c>
      <c r="F5" s="28" t="str">
        <f>IFERROR(__xludf.DUMMYFUNCTION("""COMPUTED_VALUE"""),"SharesOutstandingPopUp")</f>
        <v>SharesOutstandingPopUp</v>
      </c>
      <c r="G5" s="27" t="str">
        <f>IFERROR(__xludf.DUMMYFUNCTION("""COMPUTED_VALUE"""),"TT_Open")</f>
        <v>TT_Open</v>
      </c>
      <c r="H5" s="27" t="str">
        <f>IFERROR(__xludf.DUMMYFUNCTION("""COMPUTED_VALUE"""),"SharesOutstandingPopUpQty")</f>
        <v>SharesOutstandingPopUpQty</v>
      </c>
      <c r="I5" s="27" t="str">
        <f>IFERROR(__xludf.DUMMYFUNCTION("""COMPUTED_VALUE"""),"AllocationMethod")</f>
        <v>AllocationMethod</v>
      </c>
      <c r="J5" s="27" t="str">
        <f>IFERROR(__xludf.DUMMYFUNCTION("""COMPUTED_VALUE"""),"Order Side")</f>
        <v>Order Side</v>
      </c>
      <c r="K5" s="27" t="str">
        <f>IFERROR(__xludf.DUMMYFUNCTION("""COMPUTED_VALUE"""),"DB_Check")</f>
        <v>DB_Check</v>
      </c>
      <c r="L5" s="27" t="str">
        <f>IFERROR(__xludf.DUMMYFUNCTION("""COMPUTED_VALUE"""),"CommissionBasis")</f>
        <v>CommissionBasis</v>
      </c>
      <c r="M5" s="27" t="str">
        <f>IFERROR(__xludf.DUMMYFUNCTION("""COMPUTED_VALUE"""),"CommissionRate")</f>
        <v>CommissionRate</v>
      </c>
      <c r="N5" s="27" t="str">
        <f>IFERROR(__xludf.DUMMYFUNCTION("""COMPUTED_VALUE"""),"SoftBasis")</f>
        <v>SoftBasis</v>
      </c>
      <c r="O5" s="27" t="str">
        <f>IFERROR(__xludf.DUMMYFUNCTION("""COMPUTED_VALUE"""),"SoftRate")</f>
        <v>SoftRate</v>
      </c>
      <c r="P5" s="27" t="str">
        <f>IFERROR(__xludf.DUMMYFUNCTION("""COMPUTED_VALUE"""),"Account")</f>
        <v>Account</v>
      </c>
      <c r="Q5" s="27" t="str">
        <f>IFERROR(__xludf.DUMMYFUNCTION("""COMPUTED_VALUE"""),"Account %")</f>
        <v>Account %</v>
      </c>
      <c r="R5" s="27" t="str">
        <f>IFERROR(__xludf.DUMMYFUNCTION("""COMPUTED_VALUE"""),"VerifySuggestions")</f>
        <v>VerifySuggestions</v>
      </c>
      <c r="S5" s="27" t="str">
        <f>IFERROR(__xludf.DUMMYFUNCTION("""COMPUTED_VALUE"""),"SymbolToPickFromSuggesstions")</f>
        <v>SymbolToPickFromSuggesstions</v>
      </c>
      <c r="T5" s="29" t="str">
        <f>IFERROR(__xludf.DUMMYFUNCTION("""COMPUTED_VALUE"""),"TypedSymbolAvailableOnSuggestion")</f>
        <v>TypedSymbolAvailableOnSuggestion</v>
      </c>
      <c r="U5" s="29" t="str">
        <f>IFERROR(__xludf.DUMMYFUNCTION("""COMPUTED_VALUE"""),"TIF")</f>
        <v>TIF</v>
      </c>
      <c r="V5" s="29" t="str">
        <f>IFERROR(__xludf.DUMMYFUNCTION("""COMPUTED_VALUE"""),"Order Type")</f>
        <v>Order Type</v>
      </c>
      <c r="W5" s="29" t="str">
        <f>IFERROR(__xludf.DUMMYFUNCTION("""COMPUTED_VALUE"""),"Stop")</f>
        <v>Stop</v>
      </c>
      <c r="X5" s="29" t="str">
        <f>IFERROR(__xludf.DUMMYFUNCTION("""COMPUTED_VALUE"""),"Limit")</f>
        <v>Limit</v>
      </c>
      <c r="Y5" s="29" t="str">
        <f>IFERROR(__xludf.DUMMYFUNCTION("""COMPUTED_VALUE"""),"Expiration Date")</f>
        <v>Expiration Date</v>
      </c>
      <c r="Z5" s="29" t="str">
        <f>IFERROR(__xludf.DUMMYFUNCTION("""COMPUTED_VALUE"""),"Trade Date")</f>
        <v>Trade Date</v>
      </c>
      <c r="AA5" s="29" t="str">
        <f>IFERROR(__xludf.DUMMYFUNCTION("""COMPUTED_VALUE"""),"Broker")</f>
        <v>Broker</v>
      </c>
      <c r="AB5" s="29" t="str">
        <f>IFERROR(__xludf.DUMMYFUNCTION("""COMPUTED_VALUE"""),"Padlock Visiblity")</f>
        <v>Padlock Visiblity</v>
      </c>
      <c r="AC5" s="29" t="str">
        <f>IFERROR(__xludf.DUMMYFUNCTION("""COMPUTED_VALUE"""),"Padlock Unlock")</f>
        <v>Padlock Unlock</v>
      </c>
      <c r="AD5" s="29" t="str">
        <f>IFERROR(__xludf.DUMMYFUNCTION("""COMPUTED_VALUE"""),"Venue")</f>
        <v>Venue</v>
      </c>
      <c r="AE5" s="29" t="str">
        <f>IFERROR(__xludf.DUMMYFUNCTION("""COMPUTED_VALUE"""),"Fx Rate")</f>
        <v>Fx Rate</v>
      </c>
      <c r="AF5" s="29" t="str">
        <f>IFERROR(__xludf.DUMMYFUNCTION("""COMPUTED_VALUE"""),"Fx Operator")</f>
        <v>Fx Operator</v>
      </c>
      <c r="AG5" s="29" t="str">
        <f>IFERROR(__xludf.DUMMYFUNCTION("""COMPUTED_VALUE"""),"PendingApprovalPopUp")</f>
        <v>PendingApprovalPopUp</v>
      </c>
      <c r="AH5" s="29" t="str">
        <f>IFERROR(__xludf.DUMMYFUNCTION("""COMPUTED_VALUE"""),"TradeBy")</f>
        <v>TradeBy</v>
      </c>
      <c r="AI5" s="29" t="str">
        <f>IFERROR(__xludf.DUMMYFUNCTION("""COMPUTED_VALUE"""),"BookAsSwap")</f>
        <v>BookAsSwap</v>
      </c>
      <c r="AJ5" s="29" t="str">
        <f>IFERROR(__xludf.DUMMYFUNCTION("""COMPUTED_VALUE"""),"RoundLot")</f>
        <v>RoundLot</v>
      </c>
      <c r="AK5" s="29" t="str">
        <f>IFERROR(__xludf.DUMMYFUNCTION("""COMPUTED_VALUE"""),"Increment")</f>
        <v>Increment</v>
      </c>
      <c r="AL5" s="29" t="str">
        <f>IFERROR(__xludf.DUMMYFUNCTION("""COMPUTED_VALUE"""),"Decrement")</f>
        <v>Decrement</v>
      </c>
      <c r="AM5" s="29" t="str">
        <f>IFERROR(__xludf.DUMMYFUNCTION("""COMPUTED_VALUE"""),"Trade Attribute 01")</f>
        <v>Trade Attribute 01</v>
      </c>
      <c r="AN5" s="29" t="str">
        <f>IFERROR(__xludf.DUMMYFUNCTION("""COMPUTED_VALUE"""),"Trade Attribute 02")</f>
        <v>Trade Attribute 02</v>
      </c>
      <c r="AO5" s="29" t="str">
        <f>IFERROR(__xludf.DUMMYFUNCTION("""COMPUTED_VALUE"""),"Trade Attribute 03")</f>
        <v>Trade Attribute 03</v>
      </c>
      <c r="AP5" s="29" t="str">
        <f>IFERROR(__xludf.DUMMYFUNCTION("""COMPUTED_VALUE"""),"Trade Attribute 04")</f>
        <v>Trade Attribute 04</v>
      </c>
      <c r="AQ5" s="29" t="str">
        <f>IFERROR(__xludf.DUMMYFUNCTION("""COMPUTED_VALUE"""),"Trade Attribute 05")</f>
        <v>Trade Attribute 05</v>
      </c>
      <c r="AR5" s="29" t="str">
        <f>IFERROR(__xludf.DUMMYFUNCTION("""COMPUTED_VALUE"""),"Trade Attribute 06")</f>
        <v>Trade Attribute 06</v>
      </c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s">
        <v>16</v>
      </c>
      <c r="C6" s="32"/>
      <c r="D6" s="30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ValidateSymbolTT!$4:$4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17</v>
      </c>
      <c r="D3" s="5" t="s">
        <v>9</v>
      </c>
      <c r="E3" s="22" t="s">
        <v>18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IFERROR(__xludf.DUMMYFUNCTION("IF(C3="""","""",Transpose(IMPORTRANGE('_Settings'!$B$3,C3&amp;""!A4:A1000"")))"),"OpenQtt")</f>
        <v>OpenQtt</v>
      </c>
      <c r="C4" s="24" t="str">
        <f>IFERROR(__xludf.DUMMYFUNCTION("""COMPUTED_VALUE"""),"TradeFromQTT")</f>
        <v>TradeFromQTT</v>
      </c>
      <c r="D4" s="24" t="str">
        <f>IFERROR(__xludf.DUMMYFUNCTION("""COMPUTED_VALUE"""),"TradeQTT")</f>
        <v>TradeQTT</v>
      </c>
      <c r="E4" s="24" t="str">
        <f>IFERROR(__xludf.DUMMYFUNCTION("""COMPUTED_VALUE"""),"UseOrVerifyHotKeys")</f>
        <v>UseOrVerifyHotKeys</v>
      </c>
      <c r="F4" s="24" t="str">
        <f>IFERROR(__xludf.DUMMYFUNCTION("""COMPUTED_VALUE"""),"VerifyQTT")</f>
        <v>VerifyQTT</v>
      </c>
      <c r="G4" s="24" t="str">
        <f>IFERROR(__xludf.DUMMYFUNCTION("""COMPUTED_VALUE"""),"EditAuecWindowQTT")</f>
        <v>EditAuecWindowQTT</v>
      </c>
      <c r="H4" s="24" t="str">
        <f>IFERROR(__xludf.DUMMYFUNCTION("""COMPUTED_VALUE"""),"VerifyBrokerSummaryQTT")</f>
        <v>VerifyBrokerSummaryQTT</v>
      </c>
      <c r="I4" s="24" t="str">
        <f>IFERROR(__xludf.DUMMYFUNCTION("""COMPUTED_VALUE"""),"EditQuickPreference")</f>
        <v>EditQuickPreference</v>
      </c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IFERROR(__xludf.DUMMYFUNCTION("""COMPUTED_VALUE"""),"Action")</f>
        <v>Action</v>
      </c>
      <c r="C5" s="27"/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s">
        <v>19</v>
      </c>
      <c r="C6" s="32"/>
      <c r="D6" s="30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OpenQtt!$4:$4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17</v>
      </c>
      <c r="D3" s="5" t="s">
        <v>9</v>
      </c>
      <c r="E3" s="22" t="s">
        <v>20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IFERROR(__xludf.DUMMYFUNCTION("IF(C3="""","""",Transpose(IMPORTRANGE('_Settings'!$B$3,C3&amp;""!A4:A1000"")))"),"OpenQtt")</f>
        <v>OpenQtt</v>
      </c>
      <c r="C4" s="24" t="str">
        <f>IFERROR(__xludf.DUMMYFUNCTION("""COMPUTED_VALUE"""),"TradeFromQTT")</f>
        <v>TradeFromQTT</v>
      </c>
      <c r="D4" s="24" t="str">
        <f>IFERROR(__xludf.DUMMYFUNCTION("""COMPUTED_VALUE"""),"TradeQTT")</f>
        <v>TradeQTT</v>
      </c>
      <c r="E4" s="24" t="str">
        <f>IFERROR(__xludf.DUMMYFUNCTION("""COMPUTED_VALUE"""),"UseOrVerifyHotKeys")</f>
        <v>UseOrVerifyHotKeys</v>
      </c>
      <c r="F4" s="24" t="str">
        <f>IFERROR(__xludf.DUMMYFUNCTION("""COMPUTED_VALUE"""),"VerifyQTT")</f>
        <v>VerifyQTT</v>
      </c>
      <c r="G4" s="24" t="str">
        <f>IFERROR(__xludf.DUMMYFUNCTION("""COMPUTED_VALUE"""),"EditAuecWindowQTT")</f>
        <v>EditAuecWindowQTT</v>
      </c>
      <c r="H4" s="24" t="str">
        <f>IFERROR(__xludf.DUMMYFUNCTION("""COMPUTED_VALUE"""),"VerifyBrokerSummaryQTT")</f>
        <v>VerifyBrokerSummaryQTT</v>
      </c>
      <c r="I4" s="24" t="str">
        <f>IFERROR(__xludf.DUMMYFUNCTION("""COMPUTED_VALUE"""),"EditQuickPreference")</f>
        <v>EditQuickPreference</v>
      </c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IFERROR(__xludf.DUMMYFUNCTION("""COMPUTED_VALUE"""),"Title")</f>
        <v>Title</v>
      </c>
      <c r="C5" s="27" t="str">
        <f>IFERROR(__xludf.DUMMYFUNCTION("""COMPUTED_VALUE"""),"Symbol")</f>
        <v>Symbol</v>
      </c>
      <c r="D5" s="27" t="str">
        <f>IFERROR(__xludf.DUMMYFUNCTION("""COMPUTED_VALUE"""),"Quantity")</f>
        <v>Quantity</v>
      </c>
      <c r="E5" s="27" t="str">
        <f>IFERROR(__xludf.DUMMYFUNCTION("""COMPUTED_VALUE"""),"Allocation")</f>
        <v>Allocation</v>
      </c>
      <c r="F5" s="28" t="str">
        <f>IFERROR(__xludf.DUMMYFUNCTION("""COMPUTED_VALUE"""),"Broker")</f>
        <v>Broker</v>
      </c>
      <c r="G5" s="27" t="str">
        <f>IFERROR(__xludf.DUMMYFUNCTION("""COMPUTED_VALUE"""),"Venue")</f>
        <v>Venue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IFERROR(__xludf.DUMMYFUNCTION("""COMPUTED_VALUE"""),"Execution Type")</f>
        <v>Execution Type</v>
      </c>
      <c r="K5" s="27" t="str">
        <f>IFERROR(__xludf.DUMMYFUNCTION("""COMPUTED_VALUE"""),"Select Color")</f>
        <v>Select Color</v>
      </c>
      <c r="L5" s="27" t="str">
        <f>IFERROR(__xludf.DUMMYFUNCTION("""COMPUTED_VALUE"""),"Add To Favourite")</f>
        <v>Add To Favourite</v>
      </c>
      <c r="M5" s="27" t="str">
        <f>IFERROR(__xludf.DUMMYFUNCTION("""COMPUTED_VALUE"""),"AlgoType")</f>
        <v>AlgoType</v>
      </c>
      <c r="N5" s="27" t="str">
        <f>IFERROR(__xludf.DUMMYFUNCTION("""COMPUTED_VALUE"""),"Start time")</f>
        <v>Start time</v>
      </c>
      <c r="O5" s="27" t="str">
        <f>IFERROR(__xludf.DUMMYFUNCTION("""COMPUTED_VALUE"""),"End time")</f>
        <v>End time</v>
      </c>
      <c r="P5" s="27" t="str">
        <f>IFERROR(__xludf.DUMMYFUNCTION("""COMPUTED_VALUE"""),"EndTimeCheckBox")</f>
        <v>EndTimeCheckBox</v>
      </c>
      <c r="Q5" s="27" t="str">
        <f>IFERROR(__xludf.DUMMYFUNCTION("""COMPUTED_VALUE"""),"Style")</f>
        <v>Style</v>
      </c>
      <c r="R5" s="27" t="str">
        <f>IFERROR(__xludf.DUMMYFUNCTION("""COMPUTED_VALUE"""),"Save")</f>
        <v>Save</v>
      </c>
      <c r="S5" s="27" t="str">
        <f>IFERROR(__xludf.DUMMYFUNCTION("""COMPUTED_VALUE"""),"Quick Preferences Name")</f>
        <v>Quick Preferences Name</v>
      </c>
      <c r="T5" s="29" t="str">
        <f>IFERROR(__xludf.DUMMYFUNCTION("""COMPUTED_VALUE"""),"Expiration Date")</f>
        <v>Expiration Date</v>
      </c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3" t="s">
        <v>21</v>
      </c>
      <c r="C6" s="32" t="s">
        <v>16</v>
      </c>
      <c r="D6" s="34">
        <v>100.0</v>
      </c>
      <c r="E6" s="35" t="s">
        <v>22</v>
      </c>
      <c r="F6" s="35" t="s">
        <v>23</v>
      </c>
      <c r="G6" s="32"/>
      <c r="H6" s="35" t="s">
        <v>24</v>
      </c>
      <c r="I6" s="35" t="s">
        <v>25</v>
      </c>
      <c r="J6" s="35" t="s">
        <v>26</v>
      </c>
      <c r="K6" s="32"/>
      <c r="L6" s="36" t="b">
        <v>1</v>
      </c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TradeQTT!$4:$4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27</v>
      </c>
      <c r="D3" s="5" t="s">
        <v>9</v>
      </c>
      <c r="E3" s="22" t="s">
        <v>28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 t="str">
        <f>IFERROR(__xludf.DUMMYFUNCTION("""COMPUTED_VALUE"""),"SelectTradeOnBlotter")</f>
        <v>SelectTradeOnBlotter</v>
      </c>
      <c r="CR4" s="25" t="str">
        <f>IFERROR(__xludf.DUMMYFUNCTION("""COMPUTED_VALUE"""),"SelectTradeSummary")</f>
        <v>SelectTradeSummary</v>
      </c>
      <c r="CS4" s="25" t="str">
        <f>IFERROR(__xludf.DUMMYFUNCTION("""COMPUTED_VALUE"""),"MergeOrderMessage")</f>
        <v>MergeOrderMessage</v>
      </c>
      <c r="CT4" s="25" t="str">
        <f>IFERROR(__xludf.DUMMYFUNCTION("""COMPUTED_VALUE"""),"SwitchTabBlotter")</f>
        <v>SwitchTabBlotter</v>
      </c>
      <c r="CU4" s="25" t="str">
        <f>IFERROR(__xludf.DUMMYFUNCTION("""COMPUTED_VALUE"""),"AddTab")</f>
        <v>AddTab</v>
      </c>
      <c r="CV4" s="25" t="str">
        <f>IFERROR(__xludf.DUMMYFUNCTION("""COMPUTED_VALUE"""),"UploadStageOrders")</f>
        <v>UploadStageOrders</v>
      </c>
      <c r="CW4" s="25" t="str">
        <f>IFERROR(__xludf.DUMMYFUNCTION("""COMPUTED_VALUE"""),"AddTabToFav")</f>
        <v>AddTabToFav</v>
      </c>
      <c r="CX4" s="25" t="str">
        <f>IFERROR(__xludf.DUMMYFUNCTION("""COMPUTED_VALUE"""),"RollOverContextMenu")</f>
        <v>RollOverContextMenu</v>
      </c>
      <c r="CY4" s="25" t="str">
        <f>IFERROR(__xludf.DUMMYFUNCTION("""COMPUTED_VALUE"""),"BookAsSwap")</f>
        <v>BookAsSwap</v>
      </c>
      <c r="CZ4" s="25" t="str">
        <f>IFERROR(__xludf.DUMMYFUNCTION("""COMPUTED_VALUE"""),"ActionOnFloatingWindow")</f>
        <v>ActionOnFloatingWindow</v>
      </c>
      <c r="DA4" s="25" t="str">
        <f>IFERROR(__xludf.DUMMYFUNCTION("""COMPUTED_VALUE"""),"EnableOrVerifyHotButton")</f>
        <v>EnableOrVerifyHotButton</v>
      </c>
      <c r="DB4" s="25" t="str">
        <f>IFERROR(__xludf.DUMMYFUNCTION("""COMPUTED_VALUE"""),"VerifyFilterUiRC")</f>
        <v>VerifyFilterUiRC</v>
      </c>
      <c r="DC4" s="25" t="str">
        <f>IFERROR(__xludf.DUMMYFUNCTION("""COMPUTED_VALUE"""),"CreateHotButtonOnBlotter")</f>
        <v>CreateHotButtonOnBlotter</v>
      </c>
      <c r="DD4" s="25" t="str">
        <f>IFERROR(__xludf.DUMMYFUNCTION("""COMPUTED_VALUE"""),"FillHBdetailsOnBlotter")</f>
        <v>FillHBdetailsOnBlotter</v>
      </c>
      <c r="DE4" s="25" t="str">
        <f>IFERROR(__xludf.DUMMYFUNCTION("""COMPUTED_VALUE"""),"BlotterColumnChooser")</f>
        <v>BlotterColumnChooser</v>
      </c>
      <c r="DF4" s="25" t="str">
        <f>IFERROR(__xludf.DUMMYFUNCTION("""COMPUTED_VALUE"""),"CaptureHotButtonDetails")</f>
        <v>CaptureHotButtonDetails</v>
      </c>
      <c r="DG4" s="25" t="str">
        <f>IFERROR(__xludf.DUMMYFUNCTION("""COMPUTED_VALUE"""),"RightClickActionVerification")</f>
        <v>RightClickActionVerification</v>
      </c>
      <c r="DH4" s="25" t="str">
        <f>IFERROR(__xludf.DUMMYFUNCTION("""COMPUTED_VALUE"""),"ManageHotButton")</f>
        <v>ManageHotButton</v>
      </c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IFERROR(__xludf.DUMMYFUNCTION("""COMPUTED_VALUE"""),"EnableHotButton")</f>
        <v>EnableHotButton</v>
      </c>
      <c r="C5" s="27" t="str">
        <f>IFERROR(__xludf.DUMMYFUNCTION("""COMPUTED_VALUE"""),"VisiblityOfHotButtonPanel")</f>
        <v>VisiblityOfHotButtonPanel</v>
      </c>
      <c r="D5" s="27" t="str">
        <f>IFERROR(__xludf.DUMMYFUNCTION("""COMPUTED_VALUE"""),"HotKey Name")</f>
        <v>HotKey Name</v>
      </c>
      <c r="E5" s="27" t="str">
        <f>IFERROR(__xludf.DUMMYFUNCTION("""COMPUTED_VALUE"""),"HotKey Visiblity")</f>
        <v>HotKey Visiblity</v>
      </c>
      <c r="F5" s="28" t="str">
        <f>IFERROR(__xludf.DUMMYFUNCTION("""COMPUTED_VALUE"""),"TabToFind")</f>
        <v>TabToFind</v>
      </c>
      <c r="G5" s="27" t="str">
        <f>IFERROR(__xludf.DUMMYFUNCTION("""COMPUTED_VALUE"""),"Hotkey Disbable")</f>
        <v>Hotkey Disbable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7" t="b">
        <v>1</v>
      </c>
      <c r="C6" s="32"/>
      <c r="D6" s="33" t="s">
        <v>29</v>
      </c>
      <c r="E6" s="38" t="b">
        <v>1</v>
      </c>
      <c r="F6" s="35" t="s">
        <v>30</v>
      </c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EnableOrVerifyHotButton!$4:$4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17</v>
      </c>
      <c r="D3" s="5" t="s">
        <v>9</v>
      </c>
      <c r="E3" s="22" t="s">
        <v>20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IFERROR(__xludf.DUMMYFUNCTION("IF(C3="""","""",Transpose(IMPORTRANGE('_Settings'!$B$3,C3&amp;""!A4:A1000"")))"),"OpenQtt")</f>
        <v>OpenQtt</v>
      </c>
      <c r="C4" s="24" t="str">
        <f>IFERROR(__xludf.DUMMYFUNCTION("""COMPUTED_VALUE"""),"TradeFromQTT")</f>
        <v>TradeFromQTT</v>
      </c>
      <c r="D4" s="24" t="str">
        <f>IFERROR(__xludf.DUMMYFUNCTION("""COMPUTED_VALUE"""),"TradeQTT")</f>
        <v>TradeQTT</v>
      </c>
      <c r="E4" s="24" t="str">
        <f>IFERROR(__xludf.DUMMYFUNCTION("""COMPUTED_VALUE"""),"UseOrVerifyHotKeys")</f>
        <v>UseOrVerifyHotKeys</v>
      </c>
      <c r="F4" s="24" t="str">
        <f>IFERROR(__xludf.DUMMYFUNCTION("""COMPUTED_VALUE"""),"VerifyQTT")</f>
        <v>VerifyQTT</v>
      </c>
      <c r="G4" s="24" t="str">
        <f>IFERROR(__xludf.DUMMYFUNCTION("""COMPUTED_VALUE"""),"EditAuecWindowQTT")</f>
        <v>EditAuecWindowQTT</v>
      </c>
      <c r="H4" s="24" t="str">
        <f>IFERROR(__xludf.DUMMYFUNCTION("""COMPUTED_VALUE"""),"VerifyBrokerSummaryQTT")</f>
        <v>VerifyBrokerSummaryQTT</v>
      </c>
      <c r="I4" s="24" t="str">
        <f>IFERROR(__xludf.DUMMYFUNCTION("""COMPUTED_VALUE"""),"EditQuickPreference")</f>
        <v>EditQuickPreference</v>
      </c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IFERROR(__xludf.DUMMYFUNCTION("""COMPUTED_VALUE"""),"Title")</f>
        <v>Title</v>
      </c>
      <c r="C5" s="27" t="str">
        <f>IFERROR(__xludf.DUMMYFUNCTION("""COMPUTED_VALUE"""),"Symbol")</f>
        <v>Symbol</v>
      </c>
      <c r="D5" s="27" t="str">
        <f>IFERROR(__xludf.DUMMYFUNCTION("""COMPUTED_VALUE"""),"Quantity")</f>
        <v>Quantity</v>
      </c>
      <c r="E5" s="27" t="str">
        <f>IFERROR(__xludf.DUMMYFUNCTION("""COMPUTED_VALUE"""),"Allocation")</f>
        <v>Allocation</v>
      </c>
      <c r="F5" s="28" t="str">
        <f>IFERROR(__xludf.DUMMYFUNCTION("""COMPUTED_VALUE"""),"Broker")</f>
        <v>Broker</v>
      </c>
      <c r="G5" s="27" t="str">
        <f>IFERROR(__xludf.DUMMYFUNCTION("""COMPUTED_VALUE"""),"Venue")</f>
        <v>Venue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IFERROR(__xludf.DUMMYFUNCTION("""COMPUTED_VALUE"""),"Execution Type")</f>
        <v>Execution Type</v>
      </c>
      <c r="K5" s="27" t="str">
        <f>IFERROR(__xludf.DUMMYFUNCTION("""COMPUTED_VALUE"""),"Select Color")</f>
        <v>Select Color</v>
      </c>
      <c r="L5" s="27" t="str">
        <f>IFERROR(__xludf.DUMMYFUNCTION("""COMPUTED_VALUE"""),"Add To Favourite")</f>
        <v>Add To Favourite</v>
      </c>
      <c r="M5" s="27" t="str">
        <f>IFERROR(__xludf.DUMMYFUNCTION("""COMPUTED_VALUE"""),"AlgoType")</f>
        <v>AlgoType</v>
      </c>
      <c r="N5" s="27" t="str">
        <f>IFERROR(__xludf.DUMMYFUNCTION("""COMPUTED_VALUE"""),"Start time")</f>
        <v>Start time</v>
      </c>
      <c r="O5" s="27" t="str">
        <f>IFERROR(__xludf.DUMMYFUNCTION("""COMPUTED_VALUE"""),"End time")</f>
        <v>End time</v>
      </c>
      <c r="P5" s="27" t="str">
        <f>IFERROR(__xludf.DUMMYFUNCTION("""COMPUTED_VALUE"""),"EndTimeCheckBox")</f>
        <v>EndTimeCheckBox</v>
      </c>
      <c r="Q5" s="27" t="str">
        <f>IFERROR(__xludf.DUMMYFUNCTION("""COMPUTED_VALUE"""),"Style")</f>
        <v>Style</v>
      </c>
      <c r="R5" s="27" t="str">
        <f>IFERROR(__xludf.DUMMYFUNCTION("""COMPUTED_VALUE"""),"Save")</f>
        <v>Save</v>
      </c>
      <c r="S5" s="27" t="str">
        <f>IFERROR(__xludf.DUMMYFUNCTION("""COMPUTED_VALUE"""),"Quick Preferences Name")</f>
        <v>Quick Preferences Name</v>
      </c>
      <c r="T5" s="29" t="str">
        <f>IFERROR(__xludf.DUMMYFUNCTION("""COMPUTED_VALUE"""),"Expiration Date")</f>
        <v>Expiration Date</v>
      </c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3" t="s">
        <v>31</v>
      </c>
      <c r="C6" s="32" t="s">
        <v>16</v>
      </c>
      <c r="D6" s="34">
        <v>100.0</v>
      </c>
      <c r="E6" s="35" t="s">
        <v>22</v>
      </c>
      <c r="F6" s="35" t="s">
        <v>23</v>
      </c>
      <c r="G6" s="32"/>
      <c r="H6" s="35" t="s">
        <v>24</v>
      </c>
      <c r="I6" s="35" t="s">
        <v>25</v>
      </c>
      <c r="J6" s="35" t="s">
        <v>26</v>
      </c>
      <c r="K6" s="32"/>
      <c r="L6" s="36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TradeQTT1!$4:$4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27</v>
      </c>
      <c r="D3" s="5" t="s">
        <v>9</v>
      </c>
      <c r="E3" s="22" t="s">
        <v>28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 t="str">
        <f>IFERROR(__xludf.DUMMYFUNCTION("""COMPUTED_VALUE"""),"SelectTradeOnBlotter")</f>
        <v>SelectTradeOnBlotter</v>
      </c>
      <c r="CR4" s="25" t="str">
        <f>IFERROR(__xludf.DUMMYFUNCTION("""COMPUTED_VALUE"""),"SelectTradeSummary")</f>
        <v>SelectTradeSummary</v>
      </c>
      <c r="CS4" s="25" t="str">
        <f>IFERROR(__xludf.DUMMYFUNCTION("""COMPUTED_VALUE"""),"MergeOrderMessage")</f>
        <v>MergeOrderMessage</v>
      </c>
      <c r="CT4" s="25" t="str">
        <f>IFERROR(__xludf.DUMMYFUNCTION("""COMPUTED_VALUE"""),"SwitchTabBlotter")</f>
        <v>SwitchTabBlotter</v>
      </c>
      <c r="CU4" s="25" t="str">
        <f>IFERROR(__xludf.DUMMYFUNCTION("""COMPUTED_VALUE"""),"AddTab")</f>
        <v>AddTab</v>
      </c>
      <c r="CV4" s="25" t="str">
        <f>IFERROR(__xludf.DUMMYFUNCTION("""COMPUTED_VALUE"""),"UploadStageOrders")</f>
        <v>UploadStageOrders</v>
      </c>
      <c r="CW4" s="25" t="str">
        <f>IFERROR(__xludf.DUMMYFUNCTION("""COMPUTED_VALUE"""),"AddTabToFav")</f>
        <v>AddTabToFav</v>
      </c>
      <c r="CX4" s="25" t="str">
        <f>IFERROR(__xludf.DUMMYFUNCTION("""COMPUTED_VALUE"""),"RollOverContextMenu")</f>
        <v>RollOverContextMenu</v>
      </c>
      <c r="CY4" s="25" t="str">
        <f>IFERROR(__xludf.DUMMYFUNCTION("""COMPUTED_VALUE"""),"BookAsSwap")</f>
        <v>BookAsSwap</v>
      </c>
      <c r="CZ4" s="25" t="str">
        <f>IFERROR(__xludf.DUMMYFUNCTION("""COMPUTED_VALUE"""),"ActionOnFloatingWindow")</f>
        <v>ActionOnFloatingWindow</v>
      </c>
      <c r="DA4" s="25" t="str">
        <f>IFERROR(__xludf.DUMMYFUNCTION("""COMPUTED_VALUE"""),"EnableOrVerifyHotButton")</f>
        <v>EnableOrVerifyHotButton</v>
      </c>
      <c r="DB4" s="25" t="str">
        <f>IFERROR(__xludf.DUMMYFUNCTION("""COMPUTED_VALUE"""),"VerifyFilterUiRC")</f>
        <v>VerifyFilterUiRC</v>
      </c>
      <c r="DC4" s="25" t="str">
        <f>IFERROR(__xludf.DUMMYFUNCTION("""COMPUTED_VALUE"""),"CreateHotButtonOnBlotter")</f>
        <v>CreateHotButtonOnBlotter</v>
      </c>
      <c r="DD4" s="25" t="str">
        <f>IFERROR(__xludf.DUMMYFUNCTION("""COMPUTED_VALUE"""),"FillHBdetailsOnBlotter")</f>
        <v>FillHBdetailsOnBlotter</v>
      </c>
      <c r="DE4" s="25" t="str">
        <f>IFERROR(__xludf.DUMMYFUNCTION("""COMPUTED_VALUE"""),"BlotterColumnChooser")</f>
        <v>BlotterColumnChooser</v>
      </c>
      <c r="DF4" s="25" t="str">
        <f>IFERROR(__xludf.DUMMYFUNCTION("""COMPUTED_VALUE"""),"CaptureHotButtonDetails")</f>
        <v>CaptureHotButtonDetails</v>
      </c>
      <c r="DG4" s="25" t="str">
        <f>IFERROR(__xludf.DUMMYFUNCTION("""COMPUTED_VALUE"""),"RightClickActionVerification")</f>
        <v>RightClickActionVerification</v>
      </c>
      <c r="DH4" s="25" t="str">
        <f>IFERROR(__xludf.DUMMYFUNCTION("""COMPUTED_VALUE"""),"ManageHotButton")</f>
        <v>ManageHotButton</v>
      </c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IFERROR(__xludf.DUMMYFUNCTION("""COMPUTED_VALUE"""),"EnableHotButton")</f>
        <v>EnableHotButton</v>
      </c>
      <c r="C5" s="27" t="str">
        <f>IFERROR(__xludf.DUMMYFUNCTION("""COMPUTED_VALUE"""),"VisiblityOfHotButtonPanel")</f>
        <v>VisiblityOfHotButtonPanel</v>
      </c>
      <c r="D5" s="27" t="str">
        <f>IFERROR(__xludf.DUMMYFUNCTION("""COMPUTED_VALUE"""),"HotKey Name")</f>
        <v>HotKey Name</v>
      </c>
      <c r="E5" s="27" t="str">
        <f>IFERROR(__xludf.DUMMYFUNCTION("""COMPUTED_VALUE"""),"HotKey Visiblity")</f>
        <v>HotKey Visiblity</v>
      </c>
      <c r="F5" s="28" t="str">
        <f>IFERROR(__xludf.DUMMYFUNCTION("""COMPUTED_VALUE"""),"TabToFind")</f>
        <v>TabToFind</v>
      </c>
      <c r="G5" s="27" t="str">
        <f>IFERROR(__xludf.DUMMYFUNCTION("""COMPUTED_VALUE"""),"Hotkey Disbable")</f>
        <v>Hotkey Disbable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7"/>
      <c r="C6" s="32"/>
      <c r="D6" s="33" t="s">
        <v>32</v>
      </c>
      <c r="E6" s="38" t="b">
        <v>1</v>
      </c>
      <c r="F6" s="33" t="s">
        <v>33</v>
      </c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EnableOrVerifyHotButton1!$4:$4</formula1>
    </dataValidation>
  </dataValidations>
  <drawing r:id="rId1"/>
</worksheet>
</file>