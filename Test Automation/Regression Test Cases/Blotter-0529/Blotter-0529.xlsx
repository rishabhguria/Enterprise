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AllocateFromBlotter" sheetId="9" r:id="rId11"/>
    <sheet state="visible" name="VerifyWorkingSubs" sheetId="10" r:id="rId12"/>
  </sheets>
  <definedNames/>
  <calcPr/>
</workbook>
</file>

<file path=xl/sharedStrings.xml><?xml version="1.0" encoding="utf-8"?>
<sst xmlns="http://schemas.openxmlformats.org/spreadsheetml/2006/main" count="217" uniqueCount="48">
  <si>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</si>
  <si>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</si>
  <si>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</si>
  <si>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</si>
  <si>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</si>
  <si>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</si>
  <si>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</si>
  <si>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</si>
  <si>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</si>
  <si>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</si>
  <si>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</si>
  <si>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</si>
  <si>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</si>
  <si>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</si>
  <si>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</si>
  <si>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</si>
  <si>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</si>
  <si>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</si>
  <si>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</si>
  <si>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</si>
  <si>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</si>
  <si>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</si>
  <si>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</si>
  <si>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</si>
  <si>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</si>
  <si>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</si>
  <si>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</si>
  <si>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AllocateFromBlotter</t>
  </si>
  <si>
    <t>Allocation2</t>
  </si>
  <si>
    <t>VerifyWorkingSubs</t>
  </si>
  <si>
    <t/>
  </si>
  <si>
    <t>PartiallyFilled</t>
  </si>
  <si>
    <t>MS</t>
  </si>
  <si>
    <t>jpearce</t>
  </si>
  <si>
    <t>AAPL US EQUITY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</si>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</sst>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5000.0</v>
      </c>
      <c r="D6" s="33">
        <v>315.95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315.95</v>
      </c>
      <c r="Y6" s="36">
        <f>TODAY()</f>
        <v>45331</v>
      </c>
      <c r="Z6" s="36">
        <f>TODAY()-1</f>
        <v>45330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15.95</v>
      </c>
      <c r="C6" s="12">
        <v>2500.0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30</v>
      </c>
      <c r="B6" s="38" t="s">
        <v>16</v>
      </c>
      <c r="C6" s="8" t="s">
        <v>18</v>
      </c>
      <c r="D6" s="38">
        <v>5000.0</v>
      </c>
      <c r="E6" s="8">
        <v>2500.0</v>
      </c>
      <c r="F6" s="8">
        <v>2500.0</v>
      </c>
      <c r="G6" s="8" t="s">
        <v>31</v>
      </c>
      <c r="H6" s="8">
        <v>2500.0</v>
      </c>
      <c r="I6" s="8"/>
      <c r="J6" s="8"/>
      <c r="K6" s="8" t="s">
        <v>32</v>
      </c>
      <c r="L6" s="8" t="s">
        <v>28</v>
      </c>
      <c r="M6" s="8" t="s">
        <v>20</v>
      </c>
      <c r="N6" s="8" t="s">
        <v>30</v>
      </c>
      <c r="O6" s="8"/>
      <c r="R6" t="s">
        <v>33</v>
      </c>
      <c r="S6" t="s">
        <v>34</v>
      </c>
      <c r="U6" t="s">
        <v>35</v>
      </c>
      <c r="V6" t="s">
        <v>36</v>
      </c>
      <c r="W6" t="s">
        <v>37</v>
      </c>
      <c r="X6" t="s">
        <v>38</v>
      </c>
      <c r="Y6">
        <v>1.0</v>
      </c>
      <c r="AA6" t="s">
        <v>39</v>
      </c>
      <c r="AC6">
        <v>789875.0</v>
      </c>
      <c r="AD6">
        <v>789875.0</v>
      </c>
      <c r="AF6" t="s">
        <v>40</v>
      </c>
      <c r="AG6" t="s">
        <v>41</v>
      </c>
      <c r="AH6" t="s">
        <v>42</v>
      </c>
      <c r="AI6" t="s">
        <v>31</v>
      </c>
      <c r="AJ6" t="s">
        <v>43</v>
      </c>
      <c r="AR6" t="s">
        <v>44</v>
      </c>
      <c r="AT6" t="s">
        <v>45</v>
      </c>
      <c r="AU6" t="s">
        <v>16</v>
      </c>
      <c r="AV6" t="s">
        <v>46</v>
      </c>
      <c r="AW6">
        <v>2500.0</v>
      </c>
      <c r="AX6" t="s">
        <v>30</v>
      </c>
      <c r="BA6" t="s">
        <v>47</v>
      </c>
      <c r="BB6" t="s">
        <v>33</v>
      </c>
      <c r="BC6">
        <v>50.0</v>
      </c>
      <c r="BD6" t="s">
        <v>30</v>
      </c>
      <c r="BE6" t="s">
        <v>30</v>
      </c>
      <c r="BF6" t="s">
        <v>30</v>
      </c>
      <c r="BG6" t="s">
        <v>30</v>
      </c>
      <c r="BH6" t="s">
        <v>30</v>
      </c>
      <c r="BI6" t="s">
        <v>30</v>
      </c>
      <c r="BJ6" t="s">
        <v>30</v>
      </c>
      <c r="BK6" t="s">
        <v>30</v>
      </c>
      <c r="BL6" t="s">
        <v>30</v>
      </c>
      <c r="BM6" t="s">
        <v>30</v>
      </c>
      <c r="BN6" t="s">
        <v>30</v>
      </c>
      <c r="BO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