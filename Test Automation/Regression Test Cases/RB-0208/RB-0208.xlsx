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FetchAccountPositions" sheetId="7" r:id="rId9"/>
    <sheet state="visible" name="LockandUnlockGridData" sheetId="8" r:id="rId10"/>
    <sheet state="visible" name="AddCash" sheetId="9" r:id="rId11"/>
    <sheet state="visible" name="RebalancePreference" sheetId="10" r:id="rId12"/>
    <sheet state="visible" name="RunRebalance" sheetId="11" r:id="rId13"/>
    <sheet state="visible" name="VerifyGridData" sheetId="12" r:id="rId14"/>
    <sheet state="visible" name="SendtoStaging" sheetId="13" r:id="rId15"/>
    <sheet state="visible" name="VerifyOrder" sheetId="14" r:id="rId16"/>
  </sheets>
  <definedNames/>
  <calcPr/>
</workbook>
</file>

<file path=xl/sharedStrings.xml><?xml version="1.0" encoding="utf-8"?>
<sst xmlns="http://schemas.openxmlformats.org/spreadsheetml/2006/main" count="191" uniqueCount="51">
  <si>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</si>
  <si>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</si>
  <si>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</si>
  <si>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</si>
  <si>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</si>
  <si>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</si>
  <si>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</si>
  <si>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</si>
  <si>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</si>
  <si>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</si>
  <si>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</si>
  <si>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</si>
  <si>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</si>
  <si>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</si>
  <si>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</si>
  <si>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</si>
  <si>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</t>
  </si>
  <si>
    <t>B</t>
  </si>
  <si>
    <t>C</t>
  </si>
  <si>
    <t>D</t>
  </si>
  <si>
    <t>TradingTicket</t>
  </si>
  <si>
    <t>CreateDoneAwayOrder</t>
  </si>
  <si>
    <t>Buy</t>
  </si>
  <si>
    <t>Allocation1</t>
  </si>
  <si>
    <t>MS</t>
  </si>
  <si>
    <t>E</t>
  </si>
  <si>
    <t>Allocation2</t>
  </si>
  <si>
    <t>PricingInput</t>
  </si>
  <si>
    <t>Rebalancer</t>
  </si>
  <si>
    <t>FetchAccountPositions</t>
  </si>
  <si>
    <t>Real-Time Positions</t>
  </si>
  <si>
    <t>Account</t>
  </si>
  <si>
    <t>Positions</t>
  </si>
  <si>
    <t>LockandUnlockGridData</t>
  </si>
  <si>
    <t>Equity</t>
  </si>
  <si>
    <t>AddCash</t>
  </si>
  <si>
    <t>No Impact</t>
  </si>
  <si>
    <t>Target Cash-8</t>
  </si>
  <si>
    <t>RebalancePreference</t>
  </si>
  <si>
    <t>RunRebalance</t>
  </si>
  <si>
    <t>Nearest Round Off</t>
  </si>
  <si>
    <t>VerifyGridData</t>
  </si>
  <si>
    <t>Long</t>
  </si>
  <si>
    <t>Accruals</t>
  </si>
  <si>
    <t>Cash</t>
  </si>
  <si>
    <t>Short</t>
  </si>
  <si>
    <t>SendtoStaging</t>
  </si>
  <si>
    <t>Blotter</t>
  </si>
  <si>
    <t>VerifyOrder</t>
  </si>
  <si>
    <t>New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</si>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</sst>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00BFFF"/>
      <name val="Arial"/>
    </font>
    <font>
      <sz val="9.0"/>
      <color rgb="FF00BFFF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6" fillId="0" fontId="5" numFmtId="0" xfId="0" applyAlignment="1" applyBorder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3" numFmtId="3" xfId="0" applyAlignment="1" applyFont="1" applyNumberFormat="1">
      <alignment vertical="bottom"/>
    </xf>
    <xf borderId="5" fillId="0" fontId="3" numFmtId="0" xfId="0" applyAlignment="1" applyBorder="1" applyFont="1">
      <alignment vertical="bottom"/>
    </xf>
    <xf borderId="6" fillId="6" fontId="15" numFmtId="0" xfId="0" applyAlignment="1" applyBorder="1" applyFill="1" applyFont="1">
      <alignment horizontal="right" vertical="top"/>
    </xf>
    <xf borderId="7" fillId="7" fontId="15" numFmtId="0" xfId="0" applyAlignment="1" applyBorder="1" applyFill="1" applyFont="1">
      <alignment horizontal="right" vertical="top"/>
    </xf>
    <xf borderId="7" fillId="7" fontId="16" numFmtId="0" xfId="0" applyAlignment="1" applyBorder="1" applyFont="1">
      <alignment horizontal="right" vertical="top"/>
    </xf>
    <xf borderId="7" fillId="7" fontId="17" numFmtId="0" xfId="0" applyAlignment="1" applyBorder="1" applyFont="1">
      <alignment horizontal="right" vertical="top"/>
    </xf>
    <xf borderId="7" fillId="6" fontId="15" numFmtId="0" xfId="0" applyAlignment="1" applyBorder="1" applyFont="1">
      <alignment horizontal="right" vertical="top"/>
    </xf>
    <xf borderId="0" fillId="0" fontId="14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25.0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v>10.0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2">
        <v>10.0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2">
        <v>10.0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3" t="s">
        <v>22</v>
      </c>
      <c r="D6" s="34">
        <v>100.0</v>
      </c>
      <c r="E6" s="32">
        <v>100.0</v>
      </c>
      <c r="F6" s="33" t="s">
        <v>23</v>
      </c>
      <c r="G6" s="33" t="s">
        <v>24</v>
      </c>
      <c r="H6" s="33"/>
      <c r="I6" s="33"/>
      <c r="J6" s="32">
        <v>136.08</v>
      </c>
      <c r="K6" s="33"/>
      <c r="L6" s="33"/>
      <c r="M6" s="33"/>
      <c r="N6" s="35">
        <f t="shared" ref="N6:N10" si="1">today()-1</f>
        <v>45060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3" t="s">
        <v>22</v>
      </c>
      <c r="D7" s="32">
        <v>100.0</v>
      </c>
      <c r="E7" s="32">
        <v>100.0</v>
      </c>
      <c r="F7" s="33" t="s">
        <v>23</v>
      </c>
      <c r="G7" s="33" t="s">
        <v>24</v>
      </c>
      <c r="H7" s="33"/>
      <c r="I7" s="33"/>
      <c r="J7" s="32">
        <v>41.98</v>
      </c>
      <c r="K7" s="33"/>
      <c r="L7" s="33"/>
      <c r="M7" s="33"/>
      <c r="N7" s="35">
        <f t="shared" si="1"/>
        <v>45060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3" t="s">
        <v>22</v>
      </c>
      <c r="D8" s="32">
        <v>100.0</v>
      </c>
      <c r="E8" s="32">
        <v>100.0</v>
      </c>
      <c r="F8" s="33" t="s">
        <v>23</v>
      </c>
      <c r="G8" s="33" t="s">
        <v>24</v>
      </c>
      <c r="H8" s="33"/>
      <c r="I8" s="33"/>
      <c r="J8" s="32">
        <v>47.25</v>
      </c>
      <c r="K8" s="33"/>
      <c r="L8" s="33"/>
      <c r="M8" s="33"/>
      <c r="N8" s="35">
        <f t="shared" si="1"/>
        <v>45060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3" t="s">
        <v>22</v>
      </c>
      <c r="D9" s="32">
        <v>100.0</v>
      </c>
      <c r="E9" s="32">
        <v>100.0</v>
      </c>
      <c r="F9" s="33" t="s">
        <v>23</v>
      </c>
      <c r="G9" s="33" t="s">
        <v>24</v>
      </c>
      <c r="H9" s="33"/>
      <c r="I9" s="33"/>
      <c r="J9" s="32">
        <v>57.12</v>
      </c>
      <c r="K9" s="33"/>
      <c r="L9" s="33"/>
      <c r="M9" s="33"/>
      <c r="N9" s="35">
        <f t="shared" si="1"/>
        <v>45060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25</v>
      </c>
      <c r="C10" s="33" t="s">
        <v>22</v>
      </c>
      <c r="D10" s="32">
        <v>100.0</v>
      </c>
      <c r="E10" s="32">
        <v>100.0</v>
      </c>
      <c r="F10" s="33" t="s">
        <v>26</v>
      </c>
      <c r="G10" s="33" t="s">
        <v>24</v>
      </c>
      <c r="H10" s="33"/>
      <c r="I10" s="33"/>
      <c r="J10" s="32">
        <v>1.0</v>
      </c>
      <c r="K10" s="33"/>
      <c r="L10" s="33"/>
      <c r="M10" s="33"/>
      <c r="N10" s="35">
        <f t="shared" si="1"/>
        <v>45060</v>
      </c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136.08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v>41.98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2">
        <v>47.25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2">
        <v>57.12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25</v>
      </c>
      <c r="C10" s="32">
        <v>1.0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 t="s">
        <v>23</v>
      </c>
      <c r="C6" s="38" t="s">
        <v>30</v>
      </c>
      <c r="D6" s="37" t="s">
        <v>31</v>
      </c>
      <c r="E6" s="38" t="s">
        <v>32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s">
        <v>23</v>
      </c>
      <c r="D6" s="39" t="s">
        <v>18</v>
      </c>
      <c r="E6" s="33" t="s">
        <v>34</v>
      </c>
      <c r="F6" s="33"/>
      <c r="G6" s="40">
        <v>47.25</v>
      </c>
      <c r="H6" s="33"/>
      <c r="I6" s="32">
        <v>1.0</v>
      </c>
      <c r="J6" s="33"/>
      <c r="K6" s="32">
        <v>100.0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LockandUnlockGridData!$4:$4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41">
        <v>100000.0</v>
      </c>
      <c r="C6" s="38" t="s">
        <v>36</v>
      </c>
      <c r="D6" s="37" t="s">
        <v>37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 t="str">
        <f>IFERROR(__xludf.DUMMYFUNCTION("""COMPUTED_VALUE"""),"Other Items Impacting NAV")</f>
        <v>Other Items Impacting NAV</v>
      </c>
      <c r="I5" s="28" t="str">
        <f>IFERROR(__xludf.DUMMYFUNCTION("""COMPUTED_VALUE"""),"NAV Calculation Preference")</f>
        <v>NAV Calculation Preference</v>
      </c>
      <c r="J5" s="28" t="str">
        <f>IFERROR(__xludf.DUMMYFUNCTION("""COMPUTED_VALUE"""),"Account/Groups Visibility")</f>
        <v>Account/Groups Visibility</v>
      </c>
      <c r="K5" s="28" t="str">
        <f>IFERROR(__xludf.DUMMYFUNCTION("""COMPUTED_VALUE"""),"Always Ask for Saving Orders")</f>
        <v>Always Ask for Saving Orders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b">
        <v>1</v>
      </c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3" t="s">
        <v>40</v>
      </c>
      <c r="C6" s="33"/>
      <c r="D6" s="44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5" t="s">
        <v>23</v>
      </c>
      <c r="D6" s="46" t="s">
        <v>16</v>
      </c>
      <c r="E6" s="45" t="s">
        <v>34</v>
      </c>
      <c r="F6" s="45" t="s">
        <v>42</v>
      </c>
      <c r="G6" s="47">
        <v>136.08</v>
      </c>
      <c r="H6" s="33"/>
      <c r="I6" s="33"/>
      <c r="J6" s="33"/>
      <c r="K6" s="47">
        <v>100.0</v>
      </c>
      <c r="L6" s="8"/>
      <c r="M6" s="8"/>
      <c r="N6" s="8"/>
      <c r="O6" s="48">
        <v>200.0</v>
      </c>
      <c r="P6" s="48">
        <v>27216.0</v>
      </c>
      <c r="Q6" s="48">
        <v>27216.0</v>
      </c>
      <c r="R6" s="48">
        <v>100.0</v>
      </c>
      <c r="S6" s="49">
        <v>13608.0</v>
      </c>
    </row>
    <row r="7" ht="15.75" customHeight="1">
      <c r="A7" s="8"/>
      <c r="B7" s="8"/>
      <c r="C7" s="45" t="s">
        <v>23</v>
      </c>
      <c r="D7" s="45" t="s">
        <v>17</v>
      </c>
      <c r="E7" s="45" t="s">
        <v>34</v>
      </c>
      <c r="F7" s="45" t="s">
        <v>42</v>
      </c>
      <c r="G7" s="47">
        <v>41.98</v>
      </c>
      <c r="H7" s="33"/>
      <c r="I7" s="33"/>
      <c r="J7" s="33"/>
      <c r="K7" s="47">
        <v>100.0</v>
      </c>
      <c r="L7" s="8"/>
      <c r="M7" s="8"/>
      <c r="N7" s="8"/>
      <c r="O7" s="48">
        <v>660.0</v>
      </c>
      <c r="P7" s="48">
        <v>27706.8</v>
      </c>
      <c r="Q7" s="48">
        <v>27706.8</v>
      </c>
      <c r="R7" s="48">
        <v>560.0</v>
      </c>
      <c r="S7" s="49">
        <v>23509.0</v>
      </c>
    </row>
    <row r="8" ht="15.75" customHeight="1">
      <c r="A8" s="8"/>
      <c r="B8" s="8"/>
      <c r="C8" s="45" t="s">
        <v>23</v>
      </c>
      <c r="D8" s="45" t="s">
        <v>18</v>
      </c>
      <c r="E8" s="45" t="s">
        <v>34</v>
      </c>
      <c r="F8" s="45" t="s">
        <v>42</v>
      </c>
      <c r="G8" s="47">
        <v>47.25</v>
      </c>
      <c r="H8" s="33"/>
      <c r="I8" s="33"/>
      <c r="J8" s="33"/>
      <c r="K8" s="47">
        <v>100.0</v>
      </c>
      <c r="L8" s="8"/>
      <c r="M8" s="8"/>
      <c r="N8" s="8"/>
      <c r="O8" s="48">
        <v>100.0</v>
      </c>
      <c r="P8" s="48">
        <v>4725.0</v>
      </c>
      <c r="Q8" s="48">
        <v>4725.0</v>
      </c>
      <c r="R8" s="48">
        <v>0.0</v>
      </c>
      <c r="S8" s="48">
        <v>0.0</v>
      </c>
    </row>
    <row r="9" ht="15.75" customHeight="1">
      <c r="A9" s="8"/>
      <c r="B9" s="8"/>
      <c r="C9" s="45" t="s">
        <v>23</v>
      </c>
      <c r="D9" s="45" t="s">
        <v>19</v>
      </c>
      <c r="E9" s="45" t="s">
        <v>34</v>
      </c>
      <c r="F9" s="45" t="s">
        <v>42</v>
      </c>
      <c r="G9" s="47">
        <v>57.12</v>
      </c>
      <c r="H9" s="33"/>
      <c r="I9" s="33"/>
      <c r="J9" s="33"/>
      <c r="K9" s="47">
        <v>100.0</v>
      </c>
      <c r="L9" s="8"/>
      <c r="M9" s="8"/>
      <c r="N9" s="8"/>
      <c r="O9" s="48">
        <v>500.0</v>
      </c>
      <c r="P9" s="48">
        <v>28560.0</v>
      </c>
      <c r="Q9" s="48">
        <v>28560.0</v>
      </c>
      <c r="R9" s="48">
        <v>400.0</v>
      </c>
      <c r="S9" s="49">
        <v>22848.0</v>
      </c>
    </row>
    <row r="10" ht="15.75" customHeight="1">
      <c r="A10" s="8"/>
      <c r="B10" s="8"/>
      <c r="C10" s="45" t="s">
        <v>23</v>
      </c>
      <c r="D10" s="45" t="s">
        <v>25</v>
      </c>
      <c r="E10" s="45" t="s">
        <v>34</v>
      </c>
      <c r="F10" s="45" t="s">
        <v>42</v>
      </c>
      <c r="G10" s="47">
        <v>1.0</v>
      </c>
      <c r="H10" s="33"/>
      <c r="I10" s="33"/>
      <c r="J10" s="33"/>
      <c r="K10" s="47">
        <v>0.0</v>
      </c>
      <c r="L10" s="8"/>
      <c r="M10" s="8"/>
      <c r="N10" s="8"/>
      <c r="O10" s="48">
        <v>40000.0</v>
      </c>
      <c r="P10" s="48">
        <v>40000.0</v>
      </c>
      <c r="Q10" s="48">
        <v>40000.0</v>
      </c>
      <c r="R10" s="48">
        <v>40000.0</v>
      </c>
      <c r="S10" s="49">
        <v>40000.0</v>
      </c>
    </row>
    <row r="11" ht="15.75" customHeight="1">
      <c r="A11" s="8"/>
      <c r="B11" s="8"/>
      <c r="C11" s="45" t="s">
        <v>23</v>
      </c>
      <c r="D11" s="45" t="s">
        <v>43</v>
      </c>
      <c r="E11" s="45" t="s">
        <v>43</v>
      </c>
      <c r="F11" s="45" t="s">
        <v>42</v>
      </c>
      <c r="G11" s="47">
        <v>1.0</v>
      </c>
      <c r="H11" s="33"/>
      <c r="I11" s="33"/>
      <c r="J11" s="33"/>
      <c r="K11" s="47">
        <v>0.0</v>
      </c>
      <c r="L11" s="8"/>
      <c r="M11" s="8"/>
      <c r="N11" s="8"/>
      <c r="O11" s="48">
        <v>0.0</v>
      </c>
      <c r="P11" s="48">
        <v>0.0</v>
      </c>
      <c r="Q11" s="48">
        <v>0.0</v>
      </c>
      <c r="R11" s="48">
        <v>0.0</v>
      </c>
      <c r="S11" s="48">
        <v>0.0</v>
      </c>
    </row>
    <row r="12" ht="15.75" customHeight="1">
      <c r="A12" s="8"/>
      <c r="B12" s="8"/>
      <c r="C12" s="45" t="s">
        <v>23</v>
      </c>
      <c r="D12" s="45" t="s">
        <v>44</v>
      </c>
      <c r="E12" s="45" t="s">
        <v>44</v>
      </c>
      <c r="F12" s="45" t="s">
        <v>45</v>
      </c>
      <c r="G12" s="47">
        <v>1.0</v>
      </c>
      <c r="H12" s="33"/>
      <c r="I12" s="33"/>
      <c r="J12" s="33"/>
      <c r="K12" s="47">
        <v>0.0</v>
      </c>
      <c r="L12" s="8"/>
      <c r="M12" s="8"/>
      <c r="N12" s="8"/>
      <c r="O12" s="48">
        <v>99965.0</v>
      </c>
      <c r="P12" s="48">
        <v>-99965.0</v>
      </c>
      <c r="Q12" s="48">
        <v>-99965.0</v>
      </c>
      <c r="R12" s="48">
        <v>99965.0</v>
      </c>
      <c r="S12" s="49">
        <v>-99965.0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0" t="s">
        <v>23</v>
      </c>
      <c r="C6" s="50" t="s">
        <v>22</v>
      </c>
      <c r="D6" s="50" t="s">
        <v>16</v>
      </c>
      <c r="E6" s="48">
        <v>100.0</v>
      </c>
      <c r="F6" s="48">
        <v>136.08</v>
      </c>
      <c r="G6" s="49">
        <v>13608.0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0" t="s">
        <v>23</v>
      </c>
      <c r="C7" s="50" t="s">
        <v>22</v>
      </c>
      <c r="D7" s="50" t="s">
        <v>17</v>
      </c>
      <c r="E7" s="48">
        <v>560.0</v>
      </c>
      <c r="F7" s="48">
        <v>41.98</v>
      </c>
      <c r="G7" s="49">
        <v>23509.0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0" t="s">
        <v>23</v>
      </c>
      <c r="C8" s="50" t="s">
        <v>22</v>
      </c>
      <c r="D8" s="50" t="s">
        <v>19</v>
      </c>
      <c r="E8" s="48">
        <v>400.0</v>
      </c>
      <c r="F8" s="48">
        <v>57.12</v>
      </c>
      <c r="G8" s="49">
        <v>22848.0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50" t="s">
        <v>23</v>
      </c>
      <c r="C9" s="50" t="s">
        <v>22</v>
      </c>
      <c r="D9" s="50" t="s">
        <v>25</v>
      </c>
      <c r="E9" s="48">
        <v>40000.0</v>
      </c>
      <c r="F9" s="48">
        <v>1.0</v>
      </c>
      <c r="G9" s="49">
        <v>40000.0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2">
        <v>136.08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5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52"/>
      <c r="AI6" s="53" t="s">
        <v>16</v>
      </c>
      <c r="AJ6" s="53" t="s">
        <v>22</v>
      </c>
      <c r="AK6" s="53" t="s">
        <v>49</v>
      </c>
      <c r="AL6" s="48">
        <v>100.0</v>
      </c>
      <c r="AM6" s="53"/>
      <c r="AN6" s="53"/>
      <c r="AO6" s="52"/>
      <c r="AP6" s="48">
        <v>100.0</v>
      </c>
      <c r="AQ6" s="53">
        <v>136.08</v>
      </c>
      <c r="AR6" s="53">
        <v>136.08</v>
      </c>
      <c r="AS6" s="53" t="s">
        <v>24</v>
      </c>
      <c r="AT6" s="53" t="s">
        <v>23</v>
      </c>
      <c r="AU6" s="53" t="s">
        <v>50</v>
      </c>
      <c r="AV6" s="53">
        <v>0.0</v>
      </c>
      <c r="AW6" s="53">
        <v>0.0</v>
      </c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2">
        <v>41.98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51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52"/>
      <c r="AI7" s="54" t="s">
        <v>17</v>
      </c>
      <c r="AJ7" s="54" t="s">
        <v>22</v>
      </c>
      <c r="AK7" s="54" t="s">
        <v>49</v>
      </c>
      <c r="AL7" s="48">
        <v>560.0</v>
      </c>
      <c r="AM7" s="54"/>
      <c r="AN7" s="54"/>
      <c r="AO7" s="52"/>
      <c r="AP7" s="48">
        <v>560.0</v>
      </c>
      <c r="AQ7" s="54">
        <v>41.98</v>
      </c>
      <c r="AR7" s="54">
        <v>41.98</v>
      </c>
      <c r="AS7" s="54" t="s">
        <v>24</v>
      </c>
      <c r="AT7" s="54" t="s">
        <v>23</v>
      </c>
      <c r="AU7" s="54" t="s">
        <v>50</v>
      </c>
      <c r="AV7" s="54">
        <v>0.0</v>
      </c>
      <c r="AW7" s="54">
        <v>0.0</v>
      </c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33"/>
      <c r="D8" s="32">
        <v>57.12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51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52"/>
      <c r="AI8" s="55" t="s">
        <v>19</v>
      </c>
      <c r="AJ8" s="55" t="s">
        <v>22</v>
      </c>
      <c r="AK8" s="56" t="s">
        <v>49</v>
      </c>
      <c r="AL8" s="48">
        <v>400.0</v>
      </c>
      <c r="AM8" s="56"/>
      <c r="AN8" s="56"/>
      <c r="AO8" s="52"/>
      <c r="AP8" s="48">
        <v>400.0</v>
      </c>
      <c r="AQ8" s="55">
        <v>57.12</v>
      </c>
      <c r="AR8" s="55">
        <v>57.12</v>
      </c>
      <c r="AS8" s="56" t="s">
        <v>24</v>
      </c>
      <c r="AT8" s="56" t="s">
        <v>23</v>
      </c>
      <c r="AU8" s="56" t="s">
        <v>50</v>
      </c>
      <c r="AV8" s="56">
        <v>0.0</v>
      </c>
      <c r="AW8" s="56">
        <v>0.0</v>
      </c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33"/>
      <c r="D9" s="32">
        <v>1.0</v>
      </c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51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52"/>
      <c r="AI9" s="57" t="s">
        <v>25</v>
      </c>
      <c r="AJ9" s="57" t="s">
        <v>22</v>
      </c>
      <c r="AK9" s="57" t="s">
        <v>49</v>
      </c>
      <c r="AL9" s="48">
        <v>40000.0</v>
      </c>
      <c r="AM9" s="57"/>
      <c r="AN9" s="57"/>
      <c r="AO9" s="52"/>
      <c r="AP9" s="48">
        <v>40000.0</v>
      </c>
      <c r="AQ9" s="57">
        <v>1.0</v>
      </c>
      <c r="AR9" s="57">
        <v>1.0</v>
      </c>
      <c r="AS9" s="57" t="s">
        <v>24</v>
      </c>
      <c r="AT9" s="57" t="s">
        <v>23</v>
      </c>
      <c r="AU9" s="57" t="s">
        <v>50</v>
      </c>
      <c r="AV9" s="57">
        <v>0.0</v>
      </c>
      <c r="AW9" s="57">
        <v>0.0</v>
      </c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/>
      <c r="L10" s="33"/>
      <c r="M10" s="33"/>
      <c r="N10" s="33"/>
      <c r="O10" s="47"/>
      <c r="P10" s="47"/>
      <c r="Q10" s="47"/>
      <c r="R10" s="47"/>
      <c r="S10" s="47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3"/>
      <c r="L11" s="33"/>
      <c r="M11" s="33"/>
      <c r="N11" s="33"/>
      <c r="O11" s="47"/>
      <c r="P11" s="47"/>
      <c r="Q11" s="47"/>
      <c r="R11" s="47"/>
      <c r="S11" s="58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