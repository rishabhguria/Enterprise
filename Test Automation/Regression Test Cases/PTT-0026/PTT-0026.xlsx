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MultipleDailyCash" sheetId="7" r:id="rId9"/>
    <sheet state="visible" name="CalculatePTT" sheetId="8" r:id="rId10"/>
    <sheet state="visible" name="VerifyPTT" sheetId="9" r:id="rId11"/>
    <sheet state="visible" name="CalculatePTT1" sheetId="10" r:id="rId12"/>
    <sheet state="visible" name="VerifyPTT1" sheetId="11" r:id="rId13"/>
    <sheet state="visible" name="CalculatePTT2" sheetId="12" r:id="rId14"/>
    <sheet state="visible" name="VerifyPTT2" sheetId="13" r:id="rId15"/>
    <sheet state="visible" name="CalculatePTT3" sheetId="14" r:id="rId16"/>
    <sheet state="visible" name="VerifyPTT3" sheetId="15" r:id="rId17"/>
    <sheet state="visible" name="CalculatePTT4" sheetId="16" r:id="rId18"/>
    <sheet state="visible" name="VerifyPTT4" sheetId="17" r:id="rId19"/>
    <sheet state="visible" name="CalculatePTT5" sheetId="18" r:id="rId20"/>
    <sheet state="visible" name="VerifyPTT5" sheetId="19" r:id="rId21"/>
    <sheet state="visible" name="CalculatePTT6" sheetId="20" r:id="rId22"/>
    <sheet state="visible" name="VerifyPTT6" sheetId="21" r:id="rId23"/>
    <sheet state="visible" name="CalculatePTT7" sheetId="22" r:id="rId24"/>
    <sheet state="visible" name="VerifyPTT7" sheetId="23" r:id="rId25"/>
  </sheets>
  <definedNames/>
  <calcPr/>
</workbook>
</file>

<file path=xl/sharedStrings.xml><?xml version="1.0" encoding="utf-8"?>
<sst xmlns="http://schemas.openxmlformats.org/spreadsheetml/2006/main" count="239" uniqueCount="44">
  <si>
    <t>Modules Info</t>
  </si>
  <si>
    <t>Modules</t>
  </si>
  <si>
    <t>Settings</t>
  </si>
  <si>
    <t>Module Step Setting File</t>
  </si>
  <si>
    <t>16TBLL7GO6YVULKjNvccnMtQiGrFD0QlQ30n5CjtN-bw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</si>
  <si>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</si>
  <si>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</si>
  <si>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</si>
  <si>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</si>
  <si>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</si>
  <si>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</si>
  <si>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</si>
  <si>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</si>
  <si>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</si>
  <si>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</si>
  <si>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</si>
  <si>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CSCO</t>
  </si>
  <si>
    <t>Buy</t>
  </si>
  <si>
    <t xml:space="preserve">Allocation1 </t>
  </si>
  <si>
    <t xml:space="preserve"> </t>
  </si>
  <si>
    <t>Allocation3</t>
  </si>
  <si>
    <t>Allocation2</t>
  </si>
  <si>
    <t>OFFSHORE</t>
  </si>
  <si>
    <t>AAPL</t>
  </si>
  <si>
    <t>LP C/O</t>
  </si>
  <si>
    <t>rt</t>
  </si>
  <si>
    <t>PricingInput</t>
  </si>
  <si>
    <t>DailyValuation</t>
  </si>
  <si>
    <t>GetDailyCash</t>
  </si>
  <si>
    <t>UpdateMultipleDailyCash</t>
  </si>
  <si>
    <t>Allocation1</t>
  </si>
  <si>
    <t>USD</t>
  </si>
  <si>
    <t>PTT</t>
  </si>
  <si>
    <t>CalculatePTT</t>
  </si>
  <si>
    <t>Set</t>
  </si>
  <si>
    <t>Percentage</t>
  </si>
  <si>
    <t>No</t>
  </si>
  <si>
    <t>MasterFund</t>
  </si>
  <si>
    <t>NewMF</t>
  </si>
  <si>
    <t>VerifyPTT</t>
  </si>
  <si>
    <t>Yes</t>
  </si>
  <si>
    <t>NewMF,NewMF1</t>
  </si>
  <si>
    <t xml:space="preserve">Account </t>
  </si>
  <si>
    <t>LP C/O,rt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</si>
</sst>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 t="str">
        <f>IFERROR(__xludf.DUMMYFUNCTION("""COMPUTED_VALUE"""),"Output")</f>
        <v>Output</v>
      </c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 t="str">
        <f>IFERROR(__xludf.DUMMYFUNCTION("""COMPUTED_VALUE"""),"Output")</f>
        <v>Output</v>
      </c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 t="str">
        <f>IFERROR(__xludf.DUMMYFUNCTION("""COMPUTED_VALUE"""),"Output")</f>
        <v>Output</v>
      </c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 t="str">
        <f>IFERROR(__xludf.DUMMYFUNCTION("""COMPUTED_VALUE"""),"Input")</f>
        <v>Input</v>
      </c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  <c r="D127">
        <f>IFERROR(__xludf.DUMMYFUNCTION("""COMPUTED_VALUE"""),2.0)</f>
        <v>2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  <c r="D129">
        <f>IFERROR(__xludf.DUMMYFUNCTION("""COMPUTED_VALUE"""),1.0)</f>
        <v>1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  <c r="D138">
        <f>IFERROR(__xludf.DUMMYFUNCTION("""COMPUTED_VALUE"""),2.0)</f>
        <v>2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  <c r="D512" t="str">
        <f>IFERROR(__xludf.DUMMYFUNCTION("""COMPUTED_VALUE"""),"yes")</f>
        <v>yes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  <c r="D521" t="str">
        <f>IFERROR(__xludf.DUMMYFUNCTION("""COMPUTED_VALUE"""),"Input")</f>
        <v>Input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IFERROR(__xludf.DUMMYFUNCTION("""COMPUTED_VALUE"""),"1quv-mE6eJ-fIc80A1uTeO8ix7AN-iGUbKPfjMut6XGw")</f>
        <v>1quv-mE6eJ-fIc80A1uTeO8ix7AN-iGUbKPfjMut6XGw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19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20</v>
      </c>
      <c r="G7" s="32" t="s">
        <v>19</v>
      </c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ht="15.75" customHeight="1">
      <c r="A8" s="32"/>
      <c r="B8" s="32" t="s">
        <v>16</v>
      </c>
      <c r="C8" s="32" t="s">
        <v>17</v>
      </c>
      <c r="D8" s="34">
        <v>100.0</v>
      </c>
      <c r="E8" s="34">
        <v>100.0</v>
      </c>
      <c r="F8" s="32" t="s">
        <v>21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</row>
    <row r="9" ht="15.75" customHeight="1">
      <c r="A9" s="32"/>
      <c r="B9" s="32" t="s">
        <v>16</v>
      </c>
      <c r="C9" s="32" t="s">
        <v>17</v>
      </c>
      <c r="D9" s="34">
        <v>100.0</v>
      </c>
      <c r="E9" s="34">
        <v>100.0</v>
      </c>
      <c r="F9" s="32" t="s">
        <v>22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</row>
    <row r="10" ht="15.75" customHeight="1">
      <c r="A10" s="32"/>
      <c r="B10" s="32" t="s">
        <v>23</v>
      </c>
      <c r="C10" s="32" t="s">
        <v>17</v>
      </c>
      <c r="D10" s="34">
        <v>100.0</v>
      </c>
      <c r="E10" s="34">
        <v>100.0</v>
      </c>
      <c r="F10" s="35" t="s">
        <v>24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</row>
    <row r="11" ht="15.75" customHeight="1">
      <c r="A11" s="32"/>
      <c r="B11" s="32" t="s">
        <v>23</v>
      </c>
      <c r="C11" s="32" t="s">
        <v>17</v>
      </c>
      <c r="D11" s="34">
        <v>100.0</v>
      </c>
      <c r="E11" s="34">
        <v>100.0</v>
      </c>
      <c r="F11" s="35" t="s">
        <v>25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32"/>
      <c r="B7" s="32" t="s">
        <v>23</v>
      </c>
      <c r="C7" s="34">
        <v>150.0</v>
      </c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45851</v>
      </c>
      <c r="C6" s="36">
        <f t="shared" si="1"/>
        <v>45851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30</v>
      </c>
      <c r="C6" s="32" t="s">
        <v>31</v>
      </c>
      <c r="D6" s="33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</row>
    <row r="7" ht="15.75" customHeight="1">
      <c r="A7" s="32"/>
      <c r="B7" s="32" t="s">
        <v>21</v>
      </c>
      <c r="C7" s="37" t="s">
        <v>31</v>
      </c>
      <c r="D7" s="38">
        <v>10000.0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</row>
    <row r="8" ht="15.75" customHeight="1">
      <c r="A8" s="32"/>
      <c r="B8" s="32" t="s">
        <v>20</v>
      </c>
      <c r="C8" s="37" t="s">
        <v>31</v>
      </c>
      <c r="D8" s="38">
        <v>10000.0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</row>
    <row r="9" ht="15.75" customHeight="1">
      <c r="A9" s="32"/>
      <c r="B9" s="37" t="s">
        <v>22</v>
      </c>
      <c r="C9" s="37" t="s">
        <v>31</v>
      </c>
      <c r="D9" s="38">
        <v>10000.0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</row>
    <row r="10" ht="15.75" customHeight="1">
      <c r="A10" s="32"/>
      <c r="B10" s="35" t="s">
        <v>25</v>
      </c>
      <c r="C10" s="37" t="s">
        <v>31</v>
      </c>
      <c r="D10" s="38">
        <v>10000.0</v>
      </c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</row>
    <row r="11" ht="15.75" customHeight="1">
      <c r="A11" s="32"/>
      <c r="B11" s="35" t="s">
        <v>24</v>
      </c>
      <c r="C11" s="37" t="s">
        <v>31</v>
      </c>
      <c r="D11" s="38">
        <v>10000.0</v>
      </c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</row>
    <row r="12" ht="15.75" customHeight="1">
      <c r="A12" s="32"/>
      <c r="B12" s="32"/>
      <c r="C12" s="37"/>
      <c r="D12" s="38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</row>
    <row r="13" ht="15.75" customHeight="1">
      <c r="A13" s="32"/>
      <c r="B13" s="37"/>
      <c r="C13" s="37"/>
      <c r="D13" s="38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34</v>
      </c>
      <c r="D6" s="31" t="s">
        <v>35</v>
      </c>
      <c r="E6" s="34">
        <v>0.0</v>
      </c>
      <c r="F6" s="34">
        <v>100.0</v>
      </c>
      <c r="G6" s="32" t="s">
        <v>36</v>
      </c>
      <c r="H6" s="32" t="s">
        <v>37</v>
      </c>
      <c r="I6" s="32" t="s">
        <v>38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>
        <v>200.0</v>
      </c>
      <c r="E6" s="40">
        <v>24000.0</v>
      </c>
      <c r="F6" s="40">
        <v>54.55</v>
      </c>
      <c r="G6" s="40">
        <v>-54.55</v>
      </c>
      <c r="H6" s="40">
        <v>0.0</v>
      </c>
      <c r="I6" s="40">
        <v>200.0</v>
      </c>
      <c r="J6" s="40">
        <v>0.0</v>
      </c>
      <c r="K6" s="40">
        <v>0.0</v>
      </c>
      <c r="L6" s="40">
        <v>100.0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34</v>
      </c>
      <c r="D6" s="31" t="s">
        <v>35</v>
      </c>
      <c r="E6" s="34">
        <v>0.0</v>
      </c>
      <c r="F6" s="34">
        <v>200.0</v>
      </c>
      <c r="G6" s="32" t="s">
        <v>40</v>
      </c>
      <c r="H6" s="32" t="s">
        <v>37</v>
      </c>
      <c r="I6" s="32" t="s">
        <v>41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>
        <v>200.0</v>
      </c>
      <c r="E6" s="40">
        <v>24000.0</v>
      </c>
      <c r="F6" s="40">
        <v>27.27</v>
      </c>
      <c r="G6" s="40">
        <v>-27.27</v>
      </c>
      <c r="H6" s="40">
        <v>0.0</v>
      </c>
      <c r="I6" s="40">
        <v>200.0</v>
      </c>
      <c r="J6" s="40">
        <v>0.0</v>
      </c>
      <c r="K6" s="40">
        <v>0.0</v>
      </c>
      <c r="L6" s="40">
        <v>50.0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32"/>
      <c r="B7" s="32"/>
      <c r="C7" s="32"/>
      <c r="D7" s="40">
        <v>200.0</v>
      </c>
      <c r="E7" s="40">
        <v>24000.0</v>
      </c>
      <c r="F7" s="40">
        <v>27.27</v>
      </c>
      <c r="G7" s="40">
        <v>-27.27</v>
      </c>
      <c r="H7" s="40">
        <v>0.0</v>
      </c>
      <c r="I7" s="40">
        <v>200.0</v>
      </c>
      <c r="J7" s="40">
        <v>0.0</v>
      </c>
      <c r="K7" s="40">
        <v>0.0</v>
      </c>
      <c r="L7" s="40">
        <v>50.0</v>
      </c>
      <c r="M7" s="40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34</v>
      </c>
      <c r="D6" s="31" t="s">
        <v>35</v>
      </c>
      <c r="E6" s="34">
        <v>0.0</v>
      </c>
      <c r="F6" s="34">
        <v>200.0</v>
      </c>
      <c r="G6" s="32" t="s">
        <v>36</v>
      </c>
      <c r="H6" s="32" t="s">
        <v>37</v>
      </c>
      <c r="I6" s="32" t="s">
        <v>38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>
        <v>200.0</v>
      </c>
      <c r="E6" s="40">
        <v>24000.0</v>
      </c>
      <c r="F6" s="40">
        <v>54.55</v>
      </c>
      <c r="G6" s="40">
        <v>-54.55</v>
      </c>
      <c r="H6" s="40">
        <v>0.0</v>
      </c>
      <c r="I6" s="40">
        <v>200.0</v>
      </c>
      <c r="J6" s="40">
        <v>0.0</v>
      </c>
      <c r="K6" s="40">
        <v>0.0</v>
      </c>
      <c r="L6" s="40">
        <v>100.0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34</v>
      </c>
      <c r="D6" s="31" t="s">
        <v>35</v>
      </c>
      <c r="E6" s="34">
        <v>0.0</v>
      </c>
      <c r="F6" s="34">
        <v>100.0</v>
      </c>
      <c r="G6" s="32" t="s">
        <v>40</v>
      </c>
      <c r="H6" s="32" t="s">
        <v>37</v>
      </c>
      <c r="I6" s="32" t="s">
        <v>41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9">
        <v>200.0</v>
      </c>
      <c r="E6" s="40">
        <v>24000.0</v>
      </c>
      <c r="F6" s="40">
        <v>27.27</v>
      </c>
      <c r="G6" s="40">
        <v>-27.27</v>
      </c>
      <c r="H6" s="40">
        <v>0.0</v>
      </c>
      <c r="I6" s="40">
        <v>200.0</v>
      </c>
      <c r="J6" s="40">
        <v>0.0</v>
      </c>
      <c r="K6" s="40">
        <v>0.0</v>
      </c>
      <c r="L6" s="40">
        <v>50.0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32"/>
      <c r="B7" s="32"/>
      <c r="C7" s="32"/>
      <c r="D7" s="40">
        <v>200.0</v>
      </c>
      <c r="E7" s="40">
        <v>24000.0</v>
      </c>
      <c r="F7" s="40">
        <v>27.27</v>
      </c>
      <c r="G7" s="40">
        <v>-27.27</v>
      </c>
      <c r="H7" s="40">
        <v>0.0</v>
      </c>
      <c r="I7" s="40">
        <v>200.0</v>
      </c>
      <c r="J7" s="40">
        <v>0.0</v>
      </c>
      <c r="K7" s="40">
        <v>0.0</v>
      </c>
      <c r="L7" s="40">
        <v>50.0</v>
      </c>
      <c r="M7" s="40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 t="s">
        <v>35</v>
      </c>
      <c r="E6" s="34">
        <v>0.0</v>
      </c>
      <c r="F6" s="34">
        <v>100.0</v>
      </c>
      <c r="G6" s="32" t="s">
        <v>36</v>
      </c>
      <c r="H6" s="32" t="s">
        <v>42</v>
      </c>
      <c r="I6" s="35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CalculatePTT4!$4:$4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40">
        <v>25000.0</v>
      </c>
      <c r="D6" s="39">
        <v>100.0</v>
      </c>
      <c r="E6" s="40">
        <v>15000.0</v>
      </c>
      <c r="F6" s="40">
        <v>60.0</v>
      </c>
      <c r="G6" s="40">
        <v>-60.0</v>
      </c>
      <c r="H6" s="40">
        <v>0.0</v>
      </c>
      <c r="I6" s="40">
        <v>100.0</v>
      </c>
      <c r="J6" s="40">
        <v>0.0</v>
      </c>
      <c r="K6" s="40">
        <v>0.0</v>
      </c>
      <c r="L6" s="40">
        <v>100.0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 t="s">
        <v>35</v>
      </c>
      <c r="E6" s="34">
        <v>0.0</v>
      </c>
      <c r="F6" s="34">
        <v>200.0</v>
      </c>
      <c r="G6" s="32" t="s">
        <v>40</v>
      </c>
      <c r="H6" s="32" t="s">
        <v>42</v>
      </c>
      <c r="I6" s="41" t="s">
        <v>43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40">
        <v>25000.0</v>
      </c>
      <c r="D6" s="39">
        <v>100.0</v>
      </c>
      <c r="E6" s="40">
        <v>15000.0</v>
      </c>
      <c r="F6" s="40">
        <v>30.0</v>
      </c>
      <c r="G6" s="40">
        <v>-30.0</v>
      </c>
      <c r="H6" s="40">
        <v>0.0</v>
      </c>
      <c r="I6" s="40">
        <v>100.0</v>
      </c>
      <c r="J6" s="40">
        <v>0.0</v>
      </c>
      <c r="K6" s="40">
        <v>0.0</v>
      </c>
      <c r="L6" s="40">
        <v>50.0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32"/>
      <c r="B7" s="35" t="s">
        <v>25</v>
      </c>
      <c r="C7" s="40">
        <v>25000.0</v>
      </c>
      <c r="D7" s="40">
        <v>100.0</v>
      </c>
      <c r="E7" s="40">
        <v>15000.0</v>
      </c>
      <c r="F7" s="40">
        <v>30.0</v>
      </c>
      <c r="G7" s="40">
        <v>-30.0</v>
      </c>
      <c r="H7" s="40">
        <v>0.0</v>
      </c>
      <c r="I7" s="40">
        <v>100.0</v>
      </c>
      <c r="J7" s="40">
        <v>0.0</v>
      </c>
      <c r="K7" s="40">
        <v>0.0</v>
      </c>
      <c r="L7" s="40">
        <v>50.0</v>
      </c>
      <c r="M7" s="40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 t="s">
        <v>35</v>
      </c>
      <c r="E6" s="34">
        <v>0.0</v>
      </c>
      <c r="F6" s="34">
        <v>200.0</v>
      </c>
      <c r="G6" s="32" t="s">
        <v>36</v>
      </c>
      <c r="H6" s="32" t="s">
        <v>42</v>
      </c>
      <c r="I6" s="35" t="s">
        <v>24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40">
        <v>25000.0</v>
      </c>
      <c r="D6" s="39">
        <v>100.0</v>
      </c>
      <c r="E6" s="40">
        <v>15000.0</v>
      </c>
      <c r="F6" s="40">
        <v>60.0</v>
      </c>
      <c r="G6" s="40">
        <v>-60.0</v>
      </c>
      <c r="H6" s="40">
        <v>0.0</v>
      </c>
      <c r="I6" s="40">
        <v>100.0</v>
      </c>
      <c r="J6" s="40">
        <v>0.0</v>
      </c>
      <c r="K6" s="40">
        <v>0.0</v>
      </c>
      <c r="L6" s="40">
        <v>100.0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VerifyPTT6!$4:$4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34</v>
      </c>
      <c r="D6" s="31" t="s">
        <v>35</v>
      </c>
      <c r="E6" s="34">
        <v>0.0</v>
      </c>
      <c r="F6" s="34">
        <v>100.0</v>
      </c>
      <c r="G6" s="32" t="s">
        <v>40</v>
      </c>
      <c r="H6" s="32" t="s">
        <v>42</v>
      </c>
      <c r="I6" s="41" t="s">
        <v>43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CalculatePTT7!$4:$4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24</v>
      </c>
      <c r="C6" s="40">
        <v>25000.0</v>
      </c>
      <c r="D6" s="39">
        <v>100.0</v>
      </c>
      <c r="E6" s="40">
        <v>15000.0</v>
      </c>
      <c r="F6" s="40">
        <v>30.0</v>
      </c>
      <c r="G6" s="40">
        <v>-30.0</v>
      </c>
      <c r="H6" s="40">
        <v>0.0</v>
      </c>
      <c r="I6" s="40">
        <v>100.0</v>
      </c>
      <c r="J6" s="40">
        <v>0.0</v>
      </c>
      <c r="K6" s="40">
        <v>0.0</v>
      </c>
      <c r="L6" s="40">
        <v>50.0</v>
      </c>
      <c r="M6" s="40">
        <v>1.0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</row>
    <row r="7" ht="15.75" customHeight="1">
      <c r="A7" s="32"/>
      <c r="B7" s="35" t="s">
        <v>25</v>
      </c>
      <c r="C7" s="40">
        <v>25000.0</v>
      </c>
      <c r="D7" s="40">
        <v>100.0</v>
      </c>
      <c r="E7" s="40">
        <v>15000.0</v>
      </c>
      <c r="F7" s="40">
        <v>30.0</v>
      </c>
      <c r="G7" s="40">
        <v>-30.0</v>
      </c>
      <c r="H7" s="40">
        <v>0.0</v>
      </c>
      <c r="I7" s="40">
        <v>100.0</v>
      </c>
      <c r="J7" s="40">
        <v>0.0</v>
      </c>
      <c r="K7" s="40">
        <v>0.0</v>
      </c>
      <c r="L7" s="40">
        <v>50.0</v>
      </c>
      <c r="M7" s="40">
        <v>1.0</v>
      </c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