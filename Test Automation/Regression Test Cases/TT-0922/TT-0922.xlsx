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GetDailyCash" sheetId="6" r:id="rId8"/>
    <sheet state="visible" name="UpdateMultipleDailyCash" sheetId="7" r:id="rId9"/>
    <sheet state="visible" name="AddCalculatedPreferences" sheetId="8" r:id="rId10"/>
    <sheet state="visible" name="SetAccountValueCalculatedPref" sheetId="9" r:id="rId11"/>
    <sheet state="visible" name="SetDefaultRuleCalculatedPref" sheetId="10" r:id="rId12"/>
    <sheet state="visible" name="CreateDoneAwayOrder1" sheetId="11" r:id="rId13"/>
    <sheet state="visible" name="CheckAllocatedTaxlots" sheetId="12" r:id="rId14"/>
  </sheets>
  <definedNames/>
  <calcPr/>
</workbook>
</file>

<file path=xl/sharedStrings.xml><?xml version="1.0" encoding="utf-8"?>
<sst xmlns="http://schemas.openxmlformats.org/spreadsheetml/2006/main" count="107" uniqueCount="41">
  <si>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</si>
  <si>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</si>
  <si>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</si>
  <si>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</si>
  <si>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</si>
  <si>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</si>
  <si>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</si>
  <si>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</si>
  <si>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</si>
  <si>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</si>
  <si>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</si>
  <si>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</si>
  <si>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</si>
  <si>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</si>
  <si>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</si>
  <si>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</si>
  <si>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</si>
  <si>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</si>
  <si>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</si>
  <si>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</si>
  <si>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Allocation1,Allocation2</t>
  </si>
  <si>
    <t>60,40</t>
  </si>
  <si>
    <t>DailyValuation</t>
  </si>
  <si>
    <t>GetDailyCash</t>
  </si>
  <si>
    <t>UpdateMultipleDailyCash</t>
  </si>
  <si>
    <t>Allocation1</t>
  </si>
  <si>
    <t>USD</t>
  </si>
  <si>
    <t>Allocation2</t>
  </si>
  <si>
    <t>Allocation3</t>
  </si>
  <si>
    <t>Allocation4</t>
  </si>
  <si>
    <t>Allocation</t>
  </si>
  <si>
    <t>AddCalculatedPreferences</t>
  </si>
  <si>
    <t>TestPref</t>
  </si>
  <si>
    <t>SetAccountValueCalculatedPref</t>
  </si>
  <si>
    <t>SetDefaultRuleCalculatedPref</t>
  </si>
  <si>
    <t>Prorata</t>
  </si>
  <si>
    <t>Sell</t>
  </si>
  <si>
    <t>CheckAllocatedTaxlots</t>
  </si>
  <si>
    <t>M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</si>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</sst>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IFERROR(__xludf.DUMMYFUNCTION("""COMPUTED_VALUE"""),"TTMainControls")</f>
        <v>TTMainControls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IFERROR(__xludf.DUMMYFUNCTION("""COMPUTED_VALUE"""),"VerifySymStrip")</f>
        <v>VerifySymStrip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IFERROR(__xludf.DUMMYFUNCTION("""COMPUTED_VALUE"""),"TTBottomTab")</f>
        <v>TTBottomTab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IFERROR(__xludf.DUMMYFUNCTION("""COMPUTED_VALUE"""),"TradingTicket")</f>
        <v>TradingTicket</v>
      </c>
      <c r="B918" t="str">
        <f>IFERROR(__xludf.DUMMYFUNCTION("""COMPUTED_VALUE"""),"TTBottomSwap")</f>
        <v>TTBottomSwap</v>
      </c>
      <c r="C918" t="str">
        <f>IFERROR(__xludf.DUMMYFUNCTION("""COMPUTED_VALUE"""),"1DUwxSUq_47EK60XmK3LOdCXa1fkWqWJE9bLuGS3ccv412")</f>
        <v>1DUwxSUq_47EK60XmK3LOdCXa1fkWqWJE9bLuGS3ccv412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IFERROR(__xludf.DUMMYFUNCTION("""COMPUTED_VALUE"""),"CreateHotButtonOnBlotter")</f>
        <v>CreateHotButtonOnBlotter</v>
      </c>
      <c r="C919" t="str">
        <f>IFERROR(__xludf.DUMMYFUNCTION("""COMPUTED_VALUE"""),"1Yu7Fb6AjhUP8b-KuRJvgAwq8TykNK6BDh9F0Xpf12Ek")</f>
        <v>1Yu7Fb6AjhUP8b-KuRJvgAwq8TykNK6BDh9F0Xpf12Ek</v>
      </c>
    </row>
    <row r="920" ht="15.75" customHeight="1">
      <c r="A920" t="str">
        <f>IFERROR(__xludf.DUMMYFUNCTION("""COMPUTED_VALUE"""),"Blotter")</f>
        <v>Blotter</v>
      </c>
      <c r="B920" t="str">
        <f>IFERROR(__xludf.DUMMYFUNCTION("""COMPUTED_VALUE"""),"FillHBdetailsOnBlotter")</f>
        <v>FillHBdetailsOnBlotter</v>
      </c>
      <c r="C920" t="str">
        <f>IFERROR(__xludf.DUMMYFUNCTION("""COMPUTED_VALUE"""),"13Isj5c5k8kObxI-GBT6Ir9VBOz_46lzhwVxXXVP8jQU")</f>
        <v>13Isj5c5k8kObxI-GBT6Ir9VBOz_46lzhwVxXXVP8jQU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IFERROR(__xludf.DUMMYFUNCTION("""COMPUTED_VALUE"""),"EditAuecWindow")</f>
        <v>EditAuecWindow</v>
      </c>
      <c r="C921" t="str">
        <f>IFERROR(__xludf.DUMMYFUNCTION("""COMPUTED_VALUE"""),"1ottlNphVbp0AC-UFd-HlDpCLwOA2yWO1pN6eR3ML7vA")</f>
        <v>1ottlNphVbp0AC-UFd-HlDpCLwOA2yWO1pN6eR3ML7vA</v>
      </c>
    </row>
    <row r="922" ht="15.75" customHeight="1">
      <c r="A922" t="str">
        <f>IFERROR(__xludf.DUMMYFUNCTION("""COMPUTED_VALUE"""),"TradingTicket")</f>
        <v>TradingTicket</v>
      </c>
      <c r="B922" t="str">
        <f>IFERROR(__xludf.DUMMYFUNCTION("""COMPUTED_VALUE"""),"VerifyBrokerSummary")</f>
        <v>VerifyBrokerSummary</v>
      </c>
      <c r="C922" t="str">
        <f>IFERROR(__xludf.DUMMYFUNCTION("""COMPUTED_VALUE"""),"11hMxlfIQYwM8vPN2h--IGp7O02EDFbvJ4CSvjSfGsMY")</f>
        <v>11hMxlfIQYwM8vPN2h--IGp7O02EDFbvJ4CSvjSfGsMY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IFERROR(__xludf.DUMMYFUNCTION("""COMPUTED_VALUE"""),"EditAuecWindowQTT")</f>
        <v>EditAuecWindowQTT</v>
      </c>
      <c r="C923" t="str">
        <f>IFERROR(__xludf.DUMMYFUNCTION("""COMPUTED_VALUE"""),"1oI_WY3xKQgSjp5JN67BMHtm3zazX5ZiMATISa2ssGB0")</f>
        <v>1oI_WY3xKQgSjp5JN67BMHtm3zazX5ZiMATISa2ssGB0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IFERROR(__xludf.DUMMYFUNCTION("""COMPUTED_VALUE"""),"VerifyBrokerSummaryQTT")</f>
        <v>VerifyBrokerSummaryQTT</v>
      </c>
      <c r="C924" t="str">
        <f>IFERROR(__xludf.DUMMYFUNCTION("""COMPUTED_VALUE"""),"1O6-eqYsZqtvYR6DOH7UM2_Jwpq9pB9uyZvgh5vEhVAI")</f>
        <v>1O6-eqYsZqtvYR6DOH7UM2_Jwpq9pB9uyZvgh5vEhVAI</v>
      </c>
    </row>
    <row r="925" ht="15.75" customHeight="1">
      <c r="A925" t="str">
        <f>IFERROR(__xludf.DUMMYFUNCTION("""COMPUTED_VALUE"""),"QTT")</f>
        <v>QTT</v>
      </c>
      <c r="B925" t="str">
        <f>IFERROR(__xludf.DUMMYFUNCTION("""COMPUTED_VALUE"""),"SaveQTThotKey")</f>
        <v>SaveQTThotKey</v>
      </c>
      <c r="C925" t="str">
        <f>IFERROR(__xludf.DUMMYFUNCTION("""COMPUTED_VALUE"""),"Undefined")</f>
        <v>Undefined</v>
      </c>
    </row>
    <row r="926" ht="15.75" customHeight="1">
      <c r="A926" t="str">
        <f>IFERROR(__xludf.DUMMYFUNCTION("""COMPUTED_VALUE"""),"Blotter")</f>
        <v>Blotter</v>
      </c>
      <c r="B926" t="str">
        <f>IFERROR(__xludf.DUMMYFUNCTION("""COMPUTED_VALUE"""),"BlotterColumnChooser")</f>
        <v>BlotterColumnChooser</v>
      </c>
      <c r="C926" t="str">
        <f>IFERROR(__xludf.DUMMYFUNCTION("""COMPUTED_VALUE"""),"12428TbyucuJDD3KuN7QG-GyRYI3gcoyDNKTQ2UpgGMQ")</f>
        <v>12428TbyucuJDD3KuN7QG-GyRYI3gcoyDNKTQ2UpgGMQ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IFERROR(__xludf.DUMMYFUNCTION("""COMPUTED_VALUE"""),"CreateGroupingWidget")</f>
        <v>CreateGroupingWidget</v>
      </c>
      <c r="C927" t="str">
        <f>IFERROR(__xludf.DUMMYFUNCTION("""COMPUTED_VALUE"""),"1ctXhgvJgrqqe8ees0907Up0TKq9pCEhinMlZnRGqKdY")</f>
        <v>1ctXhgvJgrqqe8ees0907Up0TKq9pCEhinMlZnRGqKdY</v>
      </c>
    </row>
    <row r="928" ht="15.75" customHeight="1">
      <c r="A928" t="str">
        <f>IFERROR(__xludf.DUMMYFUNCTION("""COMPUTED_VALUE"""),"RTPNL")</f>
        <v>RTPNL</v>
      </c>
      <c r="B928" t="str">
        <f>IFERROR(__xludf.DUMMYFUNCTION("""COMPUTED_VALUE"""),"CheckGroupingWidget")</f>
        <v>CheckGroupingWidget</v>
      </c>
      <c r="C928" t="str">
        <f>IFERROR(__xludf.DUMMYFUNCTION("""COMPUTED_VALUE"""),"16mimyUFzQ0Ojogh0t4Evjy-tjzAJ67xgIrWeTNmBdw0")</f>
        <v>16mimyUFzQ0Ojogh0t4Evjy-tjzAJ67xgIrWeTNmBdw0</v>
      </c>
    </row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18</v>
      </c>
      <c r="C6" s="35" t="s">
        <v>19</v>
      </c>
      <c r="D6" s="36">
        <v>1000.0</v>
      </c>
      <c r="E6" s="37">
        <v>1000.0</v>
      </c>
      <c r="F6" s="33"/>
      <c r="G6" s="33"/>
      <c r="H6" s="33"/>
      <c r="I6" s="33"/>
      <c r="J6" s="37">
        <v>1.0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8" t="s">
        <v>20</v>
      </c>
      <c r="AL6" s="33" t="s">
        <v>21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>
        <f>TODAY()-1</f>
        <v>45795</v>
      </c>
      <c r="C6" s="40">
        <f>TODAY()</f>
        <v>45796</v>
      </c>
      <c r="D6" s="12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26</v>
      </c>
      <c r="D6" s="12">
        <v>100000.0</v>
      </c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27</v>
      </c>
      <c r="C7" s="12" t="s">
        <v>26</v>
      </c>
      <c r="D7" s="12">
        <v>200000.0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28</v>
      </c>
      <c r="C8" s="12" t="s">
        <v>26</v>
      </c>
      <c r="D8" s="12">
        <v>300000.0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29</v>
      </c>
      <c r="C9" s="12" t="s">
        <v>26</v>
      </c>
      <c r="D9" s="12">
        <v>400000.0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8"/>
      <c r="D6" s="12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 t="s">
        <v>25</v>
      </c>
      <c r="D6" s="12">
        <v>80.0</v>
      </c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2"/>
      <c r="B7" s="12" t="s">
        <v>32</v>
      </c>
      <c r="C7" s="12" t="s">
        <v>27</v>
      </c>
      <c r="D7" s="12">
        <v>20.0</v>
      </c>
      <c r="E7" s="41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35</v>
      </c>
      <c r="E6" s="12" t="s">
        <v>20</v>
      </c>
      <c r="F6" s="8"/>
      <c r="G6" s="12" t="b">
        <v>1</v>
      </c>
      <c r="H6" s="12" t="s">
        <v>32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36</v>
      </c>
      <c r="D6" s="12">
        <v>1200.0</v>
      </c>
      <c r="E6" s="41"/>
      <c r="F6" s="12" t="s">
        <v>32</v>
      </c>
      <c r="G6" s="8"/>
      <c r="H6" s="8"/>
      <c r="I6" s="8"/>
      <c r="J6" s="12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/>
      <c r="C6" s="42"/>
      <c r="D6" s="42">
        <v>480.0</v>
      </c>
      <c r="E6" s="42">
        <v>480.0</v>
      </c>
      <c r="F6" s="43" t="s">
        <v>38</v>
      </c>
      <c r="G6" s="42"/>
      <c r="H6" s="43" t="s">
        <v>26</v>
      </c>
      <c r="I6" s="8"/>
      <c r="J6" s="8"/>
      <c r="K6" s="8"/>
      <c r="L6" s="8"/>
      <c r="M6" s="8"/>
      <c r="N6" s="8"/>
      <c r="O6" s="43" t="s">
        <v>27</v>
      </c>
      <c r="P6" s="43" t="s">
        <v>39</v>
      </c>
      <c r="Q6" s="42">
        <v>40.0</v>
      </c>
      <c r="R6" s="42">
        <v>480.0</v>
      </c>
      <c r="S6" s="42">
        <v>0.0</v>
      </c>
      <c r="T6" s="42">
        <v>0.0</v>
      </c>
      <c r="U6" s="42">
        <v>0.0</v>
      </c>
      <c r="V6" s="42">
        <v>0.0</v>
      </c>
      <c r="W6" s="42"/>
      <c r="X6" s="42"/>
      <c r="Y6" s="42"/>
      <c r="Z6" s="42"/>
      <c r="AA6" s="42">
        <v>2.0</v>
      </c>
      <c r="AB6" s="42">
        <v>0.0</v>
      </c>
      <c r="AC6" s="42">
        <v>0.0</v>
      </c>
      <c r="AD6" s="42">
        <v>0.0</v>
      </c>
      <c r="AE6" s="42">
        <v>0.0</v>
      </c>
      <c r="AF6" s="43" t="s">
        <v>40</v>
      </c>
      <c r="AG6" s="44"/>
      <c r="AH6" s="44"/>
      <c r="AI6" s="42">
        <v>1.0</v>
      </c>
      <c r="AJ6" s="42">
        <v>0.0</v>
      </c>
      <c r="AK6" s="42">
        <v>1.0</v>
      </c>
      <c r="AL6" s="42">
        <v>3.0</v>
      </c>
    </row>
    <row r="7" ht="15.75" customHeight="1">
      <c r="A7" s="8"/>
      <c r="B7" s="42"/>
      <c r="C7" s="42"/>
      <c r="D7" s="42">
        <v>720.0</v>
      </c>
      <c r="E7" s="42">
        <v>720.0</v>
      </c>
      <c r="F7" s="43" t="s">
        <v>38</v>
      </c>
      <c r="G7" s="42"/>
      <c r="H7" s="43" t="s">
        <v>26</v>
      </c>
      <c r="I7" s="8"/>
      <c r="J7" s="8"/>
      <c r="K7" s="8"/>
      <c r="L7" s="8"/>
      <c r="M7" s="8"/>
      <c r="N7" s="8"/>
      <c r="O7" s="43" t="s">
        <v>25</v>
      </c>
      <c r="P7" s="43" t="s">
        <v>39</v>
      </c>
      <c r="Q7" s="42">
        <v>60.0</v>
      </c>
      <c r="R7" s="42">
        <v>720.0</v>
      </c>
      <c r="S7" s="42">
        <v>0.0</v>
      </c>
      <c r="T7" s="42">
        <v>0.0</v>
      </c>
      <c r="U7" s="42">
        <v>0.0</v>
      </c>
      <c r="V7" s="42">
        <v>0.0</v>
      </c>
      <c r="W7" s="42"/>
      <c r="X7" s="42"/>
      <c r="Y7" s="42"/>
      <c r="Z7" s="42"/>
      <c r="AA7" s="42">
        <v>3.0</v>
      </c>
      <c r="AB7" s="42">
        <v>0.0</v>
      </c>
      <c r="AC7" s="42">
        <v>0.0</v>
      </c>
      <c r="AD7" s="42">
        <v>0.0</v>
      </c>
      <c r="AE7" s="42">
        <v>0.0</v>
      </c>
      <c r="AF7" s="43" t="s">
        <v>40</v>
      </c>
      <c r="AG7" s="44"/>
      <c r="AH7" s="44"/>
      <c r="AI7" s="42">
        <v>1.0</v>
      </c>
      <c r="AJ7" s="42">
        <v>0.0</v>
      </c>
      <c r="AK7" s="42">
        <v>1.0</v>
      </c>
      <c r="AL7" s="42">
        <v>3.0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