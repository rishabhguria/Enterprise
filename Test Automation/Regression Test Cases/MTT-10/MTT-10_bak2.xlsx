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hidden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DoneAwayUsingMTT" sheetId="8" r:id="rId10"/>
    <sheet state="visible" name="VerifyWorkingSubs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<sst xmlns="http://schemas.openxmlformats.org/spreadsheetml/2006/main" count="467" uniqueCount="201">
  <si>
    <t>Modules Info</t>
  </si>
  <si>
    <t>Modules</t>
  </si>
  <si>
    <t>Master Data Info</t>
  </si>
  <si>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</si>
  <si>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</si>
  <si>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</si>
  <si>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</si>
  <si>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</si>
  <si>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</si>
  <si>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</si>
  <si>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</si>
  <si>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</si>
  <si>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</si>
  <si>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</si>
  <si>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</si>
  <si>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</si>
  <si>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EnterDetailsOnTT</t>
  </si>
  <si>
    <t>ValidateSymbolTT</t>
  </si>
  <si>
    <t>VerifyDataTT</t>
  </si>
  <si>
    <t>SetUIPreferencesTT</t>
  </si>
  <si>
    <t>SetBrokerWisePreferencesTT</t>
  </si>
  <si>
    <t>TradeNewSub</t>
  </si>
  <si>
    <t>CreateReplaceOrder</t>
  </si>
  <si>
    <t>SetGeneralPreference</t>
  </si>
  <si>
    <t>CreateDoneAwayOrder</t>
  </si>
  <si>
    <t>CreateNewSubOrder</t>
  </si>
  <si>
    <t>TradeBloomberg</t>
  </si>
  <si>
    <t>ClickSymbolLookup</t>
  </si>
  <si>
    <t>CheckedUncheckedMTT</t>
  </si>
  <si>
    <t>FB</t>
  </si>
  <si>
    <t>Buy</t>
  </si>
  <si>
    <t>Allocation2</t>
  </si>
  <si>
    <t>UBS</t>
  </si>
  <si>
    <t>Trade 1</t>
  </si>
  <si>
    <t>BN1</t>
  </si>
  <si>
    <t>Auto</t>
  </si>
  <si>
    <t>IBM</t>
  </si>
  <si>
    <t>Sell short</t>
  </si>
  <si>
    <t>Allocation1</t>
  </si>
  <si>
    <t>Trade 2</t>
  </si>
  <si>
    <t>BN2</t>
  </si>
  <si>
    <t>Blotter</t>
  </si>
  <si>
    <t>MultiTradingTicketFromBlotter</t>
  </si>
  <si>
    <t>CheckBlotter</t>
  </si>
  <si>
    <t>BlotterFunctionalities</t>
  </si>
  <si>
    <t>TransferToUserWorkingSubs</t>
  </si>
  <si>
    <t>CancelWorkingSubs</t>
  </si>
  <si>
    <t>ReplaceWorkingSubs</t>
  </si>
  <si>
    <t>ViewAllocationDetailsWorkingSubs</t>
  </si>
  <si>
    <t>ShowDetailsForAlgoTradeSubOrder</t>
  </si>
  <si>
    <t>SelectTradeOrderBlotter</t>
  </si>
  <si>
    <t>AddFillsWorkingSubs</t>
  </si>
  <si>
    <t>ShowDetailsForAlgoTradeWorkingSubs</t>
  </si>
  <si>
    <t>EditAddFillsDetails</t>
  </si>
  <si>
    <t>SelectTradeOnOrderGrid</t>
  </si>
  <si>
    <t>ViewAllocationDetailsWorkingSub</t>
  </si>
  <si>
    <t>VerifyWorkingSubs</t>
  </si>
  <si>
    <t>TransferToUserOrder</t>
  </si>
  <si>
    <t>SelectTradeSubOrderBlotter</t>
  </si>
  <si>
    <t>VerifyOrder</t>
  </si>
  <si>
    <t>VerifySubOrder</t>
  </si>
  <si>
    <t>RemoveSelectedOrders</t>
  </si>
  <si>
    <t>CancelAllSelectedSubs</t>
  </si>
  <si>
    <t>MultiTradingTicket</t>
  </si>
  <si>
    <t>AuditTrailOrderBlotter</t>
  </si>
  <si>
    <t>TradeNewSubOrder</t>
  </si>
  <si>
    <t>RemoveStageOrder</t>
  </si>
  <si>
    <t>TransferToUserSubOrder</t>
  </si>
  <si>
    <t>AddFillsSubOrder</t>
  </si>
  <si>
    <t>DetailsForAlgoTradeOrder</t>
  </si>
  <si>
    <t>ViewAllocationDetailsSubOrder</t>
  </si>
  <si>
    <t>CancelAllSubs</t>
  </si>
  <si>
    <t>CancelSubOrder</t>
  </si>
  <si>
    <t>EditStageOrder</t>
  </si>
  <si>
    <t>ReplaceSubOrder</t>
  </si>
  <si>
    <t>SelectTradeWorkingSub</t>
  </si>
  <si>
    <t>SelectTradeWorkingSubsBlotter</t>
  </si>
  <si>
    <t>VerifyAlgoDetails</t>
  </si>
  <si>
    <t>VerifyTransferToUserOrder</t>
  </si>
  <si>
    <t>VerifyTransferToUserSubOdr</t>
  </si>
  <si>
    <t>VerifyTransferToUserWorkSub</t>
  </si>
  <si>
    <t>SaveLayoutOrderGrid</t>
  </si>
  <si>
    <t>ReplaceStageOrder</t>
  </si>
  <si>
    <t>DeleteFixedPreference</t>
  </si>
  <si>
    <t>SelectTradeUsingMTT</t>
  </si>
  <si>
    <t>GetPriceUsingMTT</t>
  </si>
  <si>
    <t>DoneAwayUsingMTT</t>
  </si>
  <si>
    <t>SendOrderUsingMTT</t>
  </si>
  <si>
    <t>BulkChangeTradeDoneAway</t>
  </si>
  <si>
    <t>EditTradeUsingMTT</t>
  </si>
  <si>
    <t>S1</t>
  </si>
  <si>
    <t>Allocation</t>
  </si>
  <si>
    <t>GetDataAllocation</t>
  </si>
  <si>
    <t>Unallocate</t>
  </si>
  <si>
    <t>SelectTradeAllocation</t>
  </si>
  <si>
    <t>EditTradesAllocated</t>
  </si>
  <si>
    <t>EditTradesUnallocated</t>
  </si>
  <si>
    <t>Reallocate</t>
  </si>
  <si>
    <t>CleanUp</t>
  </si>
  <si>
    <t>EditTrades</t>
  </si>
  <si>
    <t>TradeAttributeBulkChange</t>
  </si>
  <si>
    <t>CommissionBulkChange</t>
  </si>
  <si>
    <t>GeneralPreferencesDefaultRule</t>
  </si>
  <si>
    <t>AttributeRenaming</t>
  </si>
  <si>
    <t>AutoGroupingRules</t>
  </si>
  <si>
    <t>MasterFundRatioAllocation</t>
  </si>
  <si>
    <t>CheckFixedPreferenceScheme</t>
  </si>
  <si>
    <t>GetFixedScheme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</si>
  <si>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</si>
  <si>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</si>
  <si>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</si>
  <si>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</si>
  <si>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</si>
  <si>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</si>
  <si>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SwapControl</t>
  </si>
  <si>
    <t>RunProrata</t>
  </si>
  <si>
    <t>SetDefaultRuleForCalculatedPreference</t>
  </si>
  <si>
    <t>RenameTradeAttributes</t>
  </si>
  <si>
    <t>SetAccountValueCalculatedPref</t>
  </si>
  <si>
    <t>TradeAttributeBulkChangeGroup</t>
  </si>
  <si>
    <t>TradeAttributeBulkChangeTaxlots</t>
  </si>
  <si>
    <t>TradeAttributeBulkChangeGroups</t>
  </si>
  <si>
    <t>SetMasterFundRatio</t>
  </si>
  <si>
    <t>AddCalculatedPreferenceToolbar</t>
  </si>
  <si>
    <t>SetGroupingRules</t>
  </si>
  <si>
    <t>ApplyBulkUpdateOnGroups</t>
  </si>
  <si>
    <t>SetStrategyValueCalculatedPref</t>
  </si>
  <si>
    <t>ApplyBulkUpdateOnTaxlots</t>
  </si>
  <si>
    <t>SetDefaultRuleCalculatedPref</t>
  </si>
  <si>
    <t>CommissionBulkChangeOnGroups</t>
  </si>
  <si>
    <t>CommissionBulkChangeOnTaxlots</t>
  </si>
  <si>
    <t>BookOrUpdateSwap</t>
  </si>
  <si>
    <t>SelectUnallocatedGroup</t>
  </si>
  <si>
    <t>SelectAllocatedGroup</t>
  </si>
  <si>
    <t>EnterAccountValuesToAllocate</t>
  </si>
  <si>
    <t>ApplyPrefetchFilters</t>
  </si>
  <si>
    <t>EnterStrategyValuesToAllocate</t>
  </si>
  <si>
    <t>SetGeneralRuleCalculatedPref</t>
  </si>
  <si>
    <t>CopyCalculatedPreferenceToolbar</t>
  </si>
  <si>
    <t>EnterAllocatePreference</t>
  </si>
  <si>
    <t>ExportAllCalculatedPreferences</t>
  </si>
  <si>
    <t>SaveCalculatedPreferences</t>
  </si>
  <si>
    <t>CloseCalculatedPreferences</t>
  </si>
  <si>
    <t>ExportCalculatedPreference</t>
  </si>
  <si>
    <t>EditUnallocatedGroupSidePanel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</si>
  <si>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</si>
  <si>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</si>
  <si>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</si>
  <si>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</si>
  <si>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</si>
  <si>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CheckFixedPreference</t>
  </si>
  <si>
    <t>OpenSymbolLookupUnallocateGroup</t>
  </si>
  <si>
    <t>OpenSymbolLookupAllocatedGroup</t>
  </si>
  <si>
    <t>GetFixedPreference</t>
  </si>
  <si>
    <t>CheckAllocatedGroups</t>
  </si>
  <si>
    <t>CheckUnallocatedGroups</t>
  </si>
  <si>
    <t>SetGeneralPreferences</t>
  </si>
  <si>
    <t>EditAllocatedGroupSidePanel</t>
  </si>
  <si>
    <t>OpenAuditTrailAllocatedGroup</t>
  </si>
  <si>
    <t>GroupTrades</t>
  </si>
  <si>
    <t>UngroupTrades</t>
  </si>
  <si>
    <t>DeleteGroup</t>
  </si>
  <si>
    <t>CloseOrder</t>
  </si>
  <si>
    <t>CloseAllocation</t>
  </si>
  <si>
    <t>GeneralPrefCompanyUserWise</t>
  </si>
  <si>
    <t>SetGeneralRuleCalPreference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</si>
  <si>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</si>
  <si>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</si>
  <si>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</si>
  <si>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</si>
  <si>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</si>
  <si>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</si>
  <si>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</si>
  <si>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</si>
  <si>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</si>
  <si>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</si>
  <si>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</si>
  <si>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</si>
  <si>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</si>
  <si>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</si>
  <si>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SetMFPrefFundDistribution</t>
  </si>
  <si>
    <t>SetMFPreferencesDefaultRule</t>
  </si>
  <si>
    <t>SetMFPrefGeneralRule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</si>
  <si>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</si>
  <si>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</si>
  <si>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</si>
  <si>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</si>
  <si>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</si>
  <si>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</si>
  <si>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</si>
  <si>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Current</t>
  </si>
  <si>
    <t>PortfolioManagement</t>
  </si>
  <si>
    <t>CheckPortfolioManagement</t>
  </si>
  <si>
    <t>OpenPSTFromPM</t>
  </si>
  <si>
    <t>ClosePM</t>
  </si>
  <si>
    <t>FilterPM</t>
  </si>
  <si>
    <t>GroupRowPM</t>
  </si>
  <si>
    <t>CheckDashboardWithPM</t>
  </si>
  <si>
    <t>RemoveFilterPM</t>
  </si>
  <si>
    <t>CheckSummaryRowsPM</t>
  </si>
  <si>
    <t>OpenPTTFromPM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</si>
</sst>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1" fillId="2" fontId="5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 shrinkToFit="0" wrapText="0"/>
    </xf>
    <xf borderId="3" fillId="3" fontId="6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vertical="bottom"/>
    </xf>
    <xf borderId="4" fillId="3" fontId="4" numFmtId="0" xfId="0" applyAlignment="1" applyBorder="1" applyFont="1">
      <alignment shrinkToFit="0" vertical="bottom" wrapText="0"/>
    </xf>
    <xf borderId="5" fillId="3" fontId="7" numFmtId="0" xfId="0" applyAlignment="1" applyBorder="1" applyFont="1">
      <alignment shrinkToFit="0" vertical="bottom" wrapText="0"/>
    </xf>
    <xf borderId="5" fillId="3" fontId="3" numFmtId="0" xfId="0" applyAlignment="1" applyBorder="1" applyFont="1">
      <alignment vertical="bottom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3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0" xfId="0" applyAlignment="1" applyFont="1">
      <alignment readingOrder="0"/>
    </xf>
    <xf borderId="3" fillId="3" fontId="9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7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IFERROR(__xludf.DUMMYFUNCTION("""COMPUTED_VALUE"""),"1g8wLprruaWRC_5pQcovqkv8ZCiMt5fspCOACibdkz7g")</f>
        <v>1g8wLprruaWRC_5pQcovqkv8ZCiMt5fspCOACibdkz7g</v>
      </c>
      <c r="D4" s="3" t="str">
        <f>IFERROR(__xludf.DUMMYFUNCTION("""COMPUTED_VALUE"""),"")</f>
        <v/>
      </c>
      <c r="E4" s="3" t="str">
        <f>IFERROR(__xludf.DUMMYFUNCTION("""COMPUTED_VALUE"""),"")</f>
        <v/>
      </c>
      <c r="F4" s="3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IFERROR(__xludf.DUMMYFUNCTION("""COMPUTED_VALUE"""),"1aecq-HMDoDkIInONjPC11z5TBFHyJhv4ro66e2ZOphg")</f>
        <v>1aecq-HMDoDkIInONjPC11z5TBFHyJhv4ro66e2ZOphg</v>
      </c>
      <c r="D5" s="3" t="str">
        <f>IFERROR(__xludf.DUMMYFUNCTION("""COMPUTED_VALUE"""),"")</f>
        <v/>
      </c>
      <c r="E5" s="3" t="str">
        <f>IFERROR(__xludf.DUMMYFUNCTION("""COMPUTED_VALUE"""),"")</f>
        <v/>
      </c>
      <c r="F5" s="3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IFERROR(__xludf.DUMMYFUNCTION("""COMPUTED_VALUE"""),"Unallocate")</f>
        <v>Unallocate</v>
      </c>
      <c r="C6" s="3" t="str">
        <f>IFERROR(__xludf.DUMMYFUNCTION("""COMPUTED_VALUE"""),"1eDZq-_vllq4jwvwpk9qGnwQUhlb-sFvyFKPBriT2dA0")</f>
        <v>1eDZq-_vllq4jwvwpk9qGnwQUhlb-sFvyFKPBriT2dA0</v>
      </c>
      <c r="D6" s="3" t="str">
        <f>IFERROR(__xludf.DUMMYFUNCTION("""COMPUTED_VALUE"""),"")</f>
        <v/>
      </c>
      <c r="E6" s="3" t="str">
        <f>IFERROR(__xludf.DUMMYFUNCTION("""COMPUTED_VALUE"""),"")</f>
        <v/>
      </c>
      <c r="F6" s="3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IFERROR(__xludf.DUMMYFUNCTION("""COMPUTED_VALUE"""),"GetDataAllocation")</f>
        <v>GetDataAllocation</v>
      </c>
      <c r="C7" s="3" t="str">
        <f>IFERROR(__xludf.DUMMYFUNCTION("""COMPUTED_VALUE"""),"1FBTO3wCB7odq-jpQMbYHgSrAL5-rFO2_kp9Kr2iXqXE")</f>
        <v>1FBTO3wCB7odq-jpQMbYHgSrAL5-rFO2_kp9Kr2iXqXE</v>
      </c>
      <c r="D7" s="3" t="str">
        <f>IFERROR(__xludf.DUMMYFUNCTION("""COMPUTED_VALUE"""),"")</f>
        <v/>
      </c>
      <c r="E7" s="3" t="str">
        <f>IFERROR(__xludf.DUMMYFUNCTION("""COMPUTED_VALUE"""),"")</f>
        <v/>
      </c>
      <c r="F7" s="3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IFERROR(__xludf.DUMMYFUNCTION("""COMPUTED_VALUE"""),"SelectAllocatedGroup")</f>
        <v>SelectAllocatedGroup</v>
      </c>
      <c r="C8" s="3" t="str">
        <f>IFERROR(__xludf.DUMMYFUNCTION("""COMPUTED_VALUE"""),"1G0ZkXDrIDX_loGmAyLs_Shy8hExtTELtFXERbX-HdPo")</f>
        <v>1G0ZkXDrIDX_loGmAyLs_Shy8hExtTELtFXERbX-HdPo</v>
      </c>
      <c r="D8" s="3" t="str">
        <f>IFERROR(__xludf.DUMMYFUNCTION("""COMPUTED_VALUE"""),"")</f>
        <v/>
      </c>
      <c r="E8" s="3" t="str">
        <f>IFERROR(__xludf.DUMMYFUNCTION("""COMPUTED_VALUE"""),"")</f>
        <v/>
      </c>
      <c r="F8" s="3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IFERROR(__xludf.DUMMYFUNCTION("""COMPUTED_VALUE"""),"EditTradesAllocated")</f>
        <v>EditTradesAllocated</v>
      </c>
      <c r="C9" s="3" t="str">
        <f>IFERROR(__xludf.DUMMYFUNCTION("""COMPUTED_VALUE"""),"1YgVZ1jEVgjUF1Dp8FAj_W_zLEZCyqvNMlWJIg0Tmkq4")</f>
        <v>1YgVZ1jEVgjUF1Dp8FAj_W_zLEZCyqvNMlWJIg0Tmkq4</v>
      </c>
      <c r="D9" s="3" t="str">
        <f>IFERROR(__xludf.DUMMYFUNCTION("""COMPUTED_VALUE"""),"")</f>
        <v/>
      </c>
      <c r="E9" s="3" t="str">
        <f>IFERROR(__xludf.DUMMYFUNCTION("""COMPUTED_VALUE"""),"")</f>
        <v/>
      </c>
      <c r="F9" s="3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IFERROR(__xludf.DUMMYFUNCTION("""COMPUTED_VALUE"""),"EditTradesUnallocated")</f>
        <v>EditTradesUnallocated</v>
      </c>
      <c r="C10" s="3" t="str">
        <f>IFERROR(__xludf.DUMMYFUNCTION("""COMPUTED_VALUE"""),"1MyB61T39MDAUyQqCUJLATzUT2f5UlE8nFq4ltWy_DJ4")</f>
        <v>1MyB61T39MDAUyQqCUJLATzUT2f5UlE8nFq4ltWy_DJ4</v>
      </c>
      <c r="D10" s="3" t="str">
        <f>IFERROR(__xludf.DUMMYFUNCTION("""COMPUTED_VALUE"""),"")</f>
        <v/>
      </c>
      <c r="E10" s="3" t="str">
        <f>IFERROR(__xludf.DUMMYFUNCTION("""COMPUTED_VALUE"""),"")</f>
        <v/>
      </c>
      <c r="F10" s="3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3" t="str">
        <f>IFERROR(__xludf.DUMMYFUNCTION("""COMPUTED_VALUE"""),"Allocation")</f>
        <v>Allocation</v>
      </c>
      <c r="B11" s="3" t="str">
        <f>IFERROR(__xludf.DUMMYFUNCTION("""COMPUTED_VALUE"""),"Reallocate")</f>
        <v>Reallocate</v>
      </c>
      <c r="C11" s="3" t="str">
        <f>IFERROR(__xludf.DUMMYFUNCTION("""COMPUTED_VALUE"""),"undefined")</f>
        <v>undefined</v>
      </c>
      <c r="D11" s="3" t="str">
        <f>IFERROR(__xludf.DUMMYFUNCTION("""COMPUTED_VALUE"""),"")</f>
        <v/>
      </c>
      <c r="E11" s="3" t="str">
        <f>IFERROR(__xludf.DUMMYFUNCTION("""COMPUTED_VALUE"""),"")</f>
        <v/>
      </c>
      <c r="F11" s="3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3" t="str">
        <f>IFERROR(__xludf.DUMMYFUNCTION("""COMPUTED_VALUE"""),"Blotter")</f>
        <v>Blotter</v>
      </c>
      <c r="B12" s="3" t="str">
        <f>IFERROR(__xludf.DUMMYFUNCTION("""COMPUTED_VALUE"""),"ReplaceFillsOnBlotter")</f>
        <v>ReplaceFillsOnBlotter</v>
      </c>
      <c r="C12" s="3" t="str">
        <f>IFERROR(__xludf.DUMMYFUNCTION("""COMPUTED_VALUE"""),"undefined")</f>
        <v>undefined</v>
      </c>
      <c r="D12" s="3" t="str">
        <f>IFERROR(__xludf.DUMMYFUNCTION("""COMPUTED_VALUE"""),"")</f>
        <v/>
      </c>
      <c r="E12" s="3" t="str">
        <f>IFERROR(__xludf.DUMMYFUNCTION("""COMPUTED_VALUE"""),"")</f>
        <v/>
      </c>
      <c r="F12" s="3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3" t="str">
        <f>IFERROR(__xludf.DUMMYFUNCTION("""COMPUTED_VALUE"""),"Blotter")</f>
        <v>Blotter</v>
      </c>
      <c r="B13" s="3" t="str">
        <f>IFERROR(__xludf.DUMMYFUNCTION("""COMPUTED_VALUE"""),"CheckBlotter")</f>
        <v>CheckBlotter</v>
      </c>
      <c r="C13" s="3" t="str">
        <f>IFERROR(__xludf.DUMMYFUNCTION("""COMPUTED_VALUE"""),"16qheLbvgC92hKxalWDlpWfHBMyDDVqHERUCc7bQiO2A")</f>
        <v>16qheLbvgC92hKxalWDlpWfHBMyDDVqHERUCc7bQiO2A</v>
      </c>
      <c r="D13" s="3" t="str">
        <f>IFERROR(__xludf.DUMMYFUNCTION("""COMPUTED_VALUE"""),"")</f>
        <v/>
      </c>
      <c r="E13" s="3" t="str">
        <f>IFERROR(__xludf.DUMMYFUNCTION("""COMPUTED_VALUE"""),"")</f>
        <v/>
      </c>
      <c r="F13" s="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IFERROR(__xludf.DUMMYFUNCTION("""COMPUTED_VALUE"""),"GetDataCash")</f>
        <v>GetDataCash</v>
      </c>
      <c r="C14" s="3" t="str">
        <f>IFERROR(__xludf.DUMMYFUNCTION("""COMPUTED_VALUE"""),"1zLd3ju-mV8f6PZiQUYLU-cAgAUwLwyoIAKuu0WgG2zI")</f>
        <v>1zLd3ju-mV8f6PZiQUYLU-cAgAUwLwyoIAKuu0WgG2zI</v>
      </c>
      <c r="D14" s="3" t="str">
        <f>IFERROR(__xludf.DUMMYFUNCTION("""COMPUTED_VALUE"""),"")</f>
        <v/>
      </c>
      <c r="E14" s="3" t="str">
        <f>IFERROR(__xludf.DUMMYFUNCTION("""COMPUTED_VALUE"""),"")</f>
        <v/>
      </c>
      <c r="F14" s="3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IFERROR(__xludf.DUMMYFUNCTION("""COMPUTED_VALUE"""),"EnterCashDividends")</f>
        <v>EnterCashDividends</v>
      </c>
      <c r="C15" s="3" t="str">
        <f>IFERROR(__xludf.DUMMYFUNCTION("""COMPUTED_VALUE"""),"1sjDsI5FIL_l_G6osMJQ7e8auBgYd3R3JDaKWKV_8Og0")</f>
        <v>1sjDsI5FIL_l_G6osMJQ7e8auBgYd3R3JDaKWKV_8Og0</v>
      </c>
      <c r="D15" s="3" t="str">
        <f>IFERROR(__xludf.DUMMYFUNCTION("""COMPUTED_VALUE"""),"")</f>
        <v/>
      </c>
      <c r="E15" s="3" t="str">
        <f>IFERROR(__xludf.DUMMYFUNCTION("""COMPUTED_VALUE"""),"")</f>
        <v/>
      </c>
      <c r="F15" s="3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IFERROR(__xludf.DUMMYFUNCTION("""COMPUTED_VALUE"""),"EnterNonTradingTransaction")</f>
        <v>EnterNonTradingTransaction</v>
      </c>
      <c r="C16" s="3" t="str">
        <f>IFERROR(__xludf.DUMMYFUNCTION("""COMPUTED_VALUE"""),"1xn1P_Z-3N4d2BC1SUPly2HiVZazly5ZQcS18BfaTyho")</f>
        <v>1xn1P_Z-3N4d2BC1SUPly2HiVZazly5ZQcS18BfaTyho</v>
      </c>
      <c r="D16" s="3" t="str">
        <f>IFERROR(__xludf.DUMMYFUNCTION("""COMPUTED_VALUE"""),"")</f>
        <v/>
      </c>
      <c r="E16" s="3" t="str">
        <f>IFERROR(__xludf.DUMMYFUNCTION("""COMPUTED_VALUE"""),"")</f>
        <v/>
      </c>
      <c r="F16" s="3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IFERROR(__xludf.DUMMYFUNCTION("""COMPUTED_VALUE"""),"VerifyCash")</f>
        <v>VerifyCash</v>
      </c>
      <c r="C17" s="3" t="str">
        <f>IFERROR(__xludf.DUMMYFUNCTION("""COMPUTED_VALUE"""),"1vlvYPsiFAWjsnFrbkGn_fAvkwF00V3e7htalalU6QN4")</f>
        <v>1vlvYPsiFAWjsnFrbkGn_fAvkwF00V3e7htalalU6QN4</v>
      </c>
      <c r="D17" s="3" t="str">
        <f>IFERROR(__xludf.DUMMYFUNCTION("""COMPUTED_VALUE"""),"")</f>
        <v/>
      </c>
      <c r="E17" s="3" t="str">
        <f>IFERROR(__xludf.DUMMYFUNCTION("""COMPUTED_VALUE"""),"")</f>
        <v/>
      </c>
      <c r="F17" s="3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IFERROR(__xludf.DUMMYFUNCTION("""COMPUTED_VALUE"""),"VerifyActivity")</f>
        <v>VerifyActivity</v>
      </c>
      <c r="C18" s="3" t="str">
        <f>IFERROR(__xludf.DUMMYFUNCTION("""COMPUTED_VALUE"""),"1o2rCg2FuoAOT5Pl8i4iFP_TwpPm0UB1dd49GbpkytfM")</f>
        <v>1o2rCg2FuoAOT5Pl8i4iFP_TwpPm0UB1dd49GbpkytfM</v>
      </c>
      <c r="D18" s="3" t="str">
        <f>IFERROR(__xludf.DUMMYFUNCTION("""COMPUTED_VALUE"""),"")</f>
        <v/>
      </c>
      <c r="E18" s="3" t="str">
        <f>IFERROR(__xludf.DUMMYFUNCTION("""COMPUTED_VALUE"""),"")</f>
        <v/>
      </c>
      <c r="F18" s="3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IFERROR(__xludf.DUMMYFUNCTION("""COMPUTED_VALUE"""),"VerifyTradingTransaction")</f>
        <v>VerifyTradingTransaction</v>
      </c>
      <c r="C19" s="3" t="str">
        <f>IFERROR(__xludf.DUMMYFUNCTION("""COMPUTED_VALUE"""),"1_v2niCJ9VGNvgEBpvz030BFqEISSUhYRHyWcAJAn_Eg")</f>
        <v>1_v2niCJ9VGNvgEBpvz030BFqEISSUhYRHyWcAJAn_Eg</v>
      </c>
      <c r="D19" s="3" t="str">
        <f>IFERROR(__xludf.DUMMYFUNCTION("""COMPUTED_VALUE"""),"")</f>
        <v/>
      </c>
      <c r="E19" s="3" t="str">
        <f>IFERROR(__xludf.DUMMYFUNCTION("""COMPUTED_VALUE"""),"")</f>
        <v/>
      </c>
      <c r="F19" s="3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3" t="str">
        <f>IFERROR(__xludf.DUMMYFUNCTION("""COMPUTED_VALUE"""),"GeneralLedger")</f>
        <v>GeneralLedger</v>
      </c>
      <c r="B20" s="3" t="str">
        <f>IFERROR(__xludf.DUMMYFUNCTION("""COMPUTED_VALUE"""),"VerifyRevaluationData")</f>
        <v>VerifyRevaluationData</v>
      </c>
      <c r="C20" s="3" t="str">
        <f>IFERROR(__xludf.DUMMYFUNCTION("""COMPUTED_VALUE"""),"1hsRs1-LY0akTrMe91ArnbLtk6GUy_bKxVwMYCaiMs-8")</f>
        <v>1hsRs1-LY0akTrMe91ArnbLtk6GUy_bKxVwMYCaiMs-8</v>
      </c>
      <c r="D20" s="3" t="str">
        <f>IFERROR(__xludf.DUMMYFUNCTION("""COMPUTED_VALUE"""),"")</f>
        <v/>
      </c>
      <c r="E20" s="3" t="str">
        <f>IFERROR(__xludf.DUMMYFUNCTION("""COMPUTED_VALUE"""),"")</f>
        <v/>
      </c>
      <c r="F20" s="3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3" t="str">
        <f>IFERROR(__xludf.DUMMYFUNCTION("""COMPUTED_VALUE"""),"CorporateAction")</f>
        <v>CorporateAction</v>
      </c>
      <c r="B21" s="3" t="str">
        <f>IFERROR(__xludf.DUMMYFUNCTION("""COMPUTED_VALUE"""),"CorporateAction")</f>
        <v>CorporateAction</v>
      </c>
      <c r="C21" s="3" t="str">
        <f>IFERROR(__xludf.DUMMYFUNCTION("""COMPUTED_VALUE"""),"14rwUHTx4auE_hf60WN-tNOx3atNg7QGvErWNwVQIRqE")</f>
        <v>14rwUHTx4auE_hf60WN-tNOx3atNg7QGvErWNwVQIRqE</v>
      </c>
      <c r="D21" s="3" t="str">
        <f>IFERROR(__xludf.DUMMYFUNCTION("""COMPUTED_VALUE"""),"")</f>
        <v/>
      </c>
      <c r="E21" s="3" t="str">
        <f>IFERROR(__xludf.DUMMYFUNCTION("""COMPUTED_VALUE"""),"")</f>
        <v/>
      </c>
      <c r="F21" s="3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3" t="str">
        <f>IFERROR(__xludf.DUMMYFUNCTION("""COMPUTED_VALUE"""),"CreateTransaction")</f>
        <v>CreateTransaction</v>
      </c>
      <c r="B22" s="3" t="str">
        <f>IFERROR(__xludf.DUMMYFUNCTION("""COMPUTED_VALUE"""),"CreateTransaction")</f>
        <v>CreateTransaction</v>
      </c>
      <c r="C22" s="3" t="str">
        <f>IFERROR(__xludf.DUMMYFUNCTION("""COMPUTED_VALUE"""),"1amshi8Ns36lsDpccBK0y_9bL_pQ2rHdGNYypcgzceUg")</f>
        <v>1amshi8Ns36lsDpccBK0y_9bL_pQ2rHdGNYypcgzceUg</v>
      </c>
      <c r="D22" s="3" t="str">
        <f>IFERROR(__xludf.DUMMYFUNCTION("""COMPUTED_VALUE"""),"")</f>
        <v/>
      </c>
      <c r="E22" s="3" t="str">
        <f>IFERROR(__xludf.DUMMYFUNCTION("""COMPUTED_VALUE"""),"")</f>
        <v/>
      </c>
      <c r="F22" s="3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IFERROR(__xludf.DUMMYFUNCTION("""COMPUTED_VALUE"""),"UpdateBeta")</f>
        <v>UpdateBeta</v>
      </c>
      <c r="C23" s="3" t="str">
        <f>IFERROR(__xludf.DUMMYFUNCTION("""COMPUTED_VALUE"""),"1YKttwHsdIskNDoo0Sl7HF2DWikROW-KA05qfT3GLIyI")</f>
        <v>1YKttwHsdIskNDoo0Sl7HF2DWikROW-KA05qfT3GLIyI</v>
      </c>
      <c r="D23" s="3" t="str">
        <f>IFERROR(__xludf.DUMMYFUNCTION("""COMPUTED_VALUE"""),"")</f>
        <v/>
      </c>
      <c r="E23" s="3" t="str">
        <f>IFERROR(__xludf.DUMMYFUNCTION("""COMPUTED_VALUE"""),"")</f>
        <v/>
      </c>
      <c r="F23" s="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IFERROR(__xludf.DUMMYFUNCTION("""COMPUTED_VALUE"""),"UpdateDailyCash")</f>
        <v>UpdateDailyCash</v>
      </c>
      <c r="C24" s="3" t="str">
        <f>IFERROR(__xludf.DUMMYFUNCTION("""COMPUTED_VALUE"""),"1YJ2rTp-OqQTGjubvs_cBC6fl0l94pyHI2eaLJzbddS4")</f>
        <v>1YJ2rTp-OqQTGjubvs_cBC6fl0l94pyHI2eaLJzbddS4</v>
      </c>
      <c r="D24" s="3" t="str">
        <f>IFERROR(__xludf.DUMMYFUNCTION("""COMPUTED_VALUE"""),"")</f>
        <v/>
      </c>
      <c r="E24" s="3" t="str">
        <f>IFERROR(__xludf.DUMMYFUNCTION("""COMPUTED_VALUE"""),"")</f>
        <v/>
      </c>
      <c r="F24" s="3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IFERROR(__xludf.DUMMYFUNCTION("""COMPUTED_VALUE"""),"1mLyEfNTVFd65cnE6GfgCRD6TdpKg1BgqNIDjHCFzyO4")</f>
        <v>1mLyEfNTVFd65cnE6GfgCRD6TdpKg1BgqNIDjHCFzyO4</v>
      </c>
      <c r="D25" s="3" t="str">
        <f>IFERROR(__xludf.DUMMYFUNCTION("""COMPUTED_VALUE"""),"")</f>
        <v/>
      </c>
      <c r="E25" s="3" t="str">
        <f>IFERROR(__xludf.DUMMYFUNCTION("""COMPUTED_VALUE"""),"")</f>
        <v/>
      </c>
      <c r="F25" s="3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IFERROR(__xludf.DUMMYFUNCTION("""COMPUTED_VALUE"""),"1M8d9TyOhMnA65NSIYvS6dR68SH5RL6oKahd6uz7yp6c")</f>
        <v>1M8d9TyOhMnA65NSIYvS6dR68SH5RL6oKahd6uz7yp6c</v>
      </c>
      <c r="D26" s="3" t="str">
        <f>IFERROR(__xludf.DUMMYFUNCTION("""COMPUTED_VALUE"""),"")</f>
        <v/>
      </c>
      <c r="E26" s="3" t="str">
        <f>IFERROR(__xludf.DUMMYFUNCTION("""COMPUTED_VALUE"""),"")</f>
        <v/>
      </c>
      <c r="F26" s="3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IFERROR(__xludf.DUMMYFUNCTION("""COMPUTED_VALUE"""),"1Q5uOVYo1NMRks6hQRJuV8XWMPb6VFEAbSzpgP1dot1I")</f>
        <v>1Q5uOVYo1NMRks6hQRJuV8XWMPb6VFEAbSzpgP1dot1I</v>
      </c>
      <c r="D27" s="3" t="str">
        <f>IFERROR(__xludf.DUMMYFUNCTION("""COMPUTED_VALUE"""),"")</f>
        <v/>
      </c>
      <c r="E27" s="3" t="str">
        <f>IFERROR(__xludf.DUMMYFUNCTION("""COMPUTED_VALUE"""),"")</f>
        <v/>
      </c>
      <c r="F27" s="3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IFERROR(__xludf.DUMMYFUNCTION("""COMPUTED_VALUE"""),"1iqfUyYqyebXIeNBGljH7-T8whBcywTlkBBU3dBZV06s")</f>
        <v>1iqfUyYqyebXIeNBGljH7-T8whBcywTlkBBU3dBZV06s</v>
      </c>
      <c r="D28" s="3" t="str">
        <f>IFERROR(__xludf.DUMMYFUNCTION("""COMPUTED_VALUE"""),"")</f>
        <v/>
      </c>
      <c r="E28" s="3" t="str">
        <f>IFERROR(__xludf.DUMMYFUNCTION("""COMPUTED_VALUE"""),"")</f>
        <v/>
      </c>
      <c r="F28" s="3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IFERROR(__xludf.DUMMYFUNCTION("""COMPUTED_VALUE"""),"1u0XMlZJy_Slp7uXMwirinW7StOOdTcWD-D8V07sO0VA")</f>
        <v>1u0XMlZJy_Slp7uXMwirinW7StOOdTcWD-D8V07sO0VA</v>
      </c>
      <c r="D29" s="3" t="str">
        <f>IFERROR(__xludf.DUMMYFUNCTION("""COMPUTED_VALUE"""),"")</f>
        <v/>
      </c>
      <c r="E29" s="3" t="str">
        <f>IFERROR(__xludf.DUMMYFUNCTION("""COMPUTED_VALUE"""),"")</f>
        <v/>
      </c>
      <c r="F29" s="3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3" t="str">
        <f>IFERROR(__xludf.DUMMYFUNCTION("""COMPUTED_VALUE"""),"PricingInput")</f>
        <v>PricingInput</v>
      </c>
      <c r="B30" s="3" t="str">
        <f>IFERROR(__xludf.DUMMYFUNCTION("""COMPUTED_VALUE"""),"PricingInput")</f>
        <v>PricingInput</v>
      </c>
      <c r="C30" s="3" t="str">
        <f>IFERROR(__xludf.DUMMYFUNCTION("""COMPUTED_VALUE"""),"1mh3Z5PifhJ3yzX8TPeoc3H3nteNiA0V2tWFse0rVChE")</f>
        <v>1mh3Z5PifhJ3yzX8TPeoc3H3nteNiA0V2tWFse0rVChE</v>
      </c>
      <c r="D30" s="3" t="str">
        <f>IFERROR(__xludf.DUMMYFUNCTION("""COMPUTED_VALUE"""),"")</f>
        <v/>
      </c>
      <c r="E30" s="3" t="str">
        <f>IFERROR(__xludf.DUMMYFUNCTION("""COMPUTED_VALUE"""),"")</f>
        <v/>
      </c>
      <c r="F30" s="3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IFERROR(__xludf.DUMMYFUNCTION("""COMPUTED_VALUE"""),"UpdateSharesOutstanding")</f>
        <v>UpdateSharesOutstanding</v>
      </c>
      <c r="C31" s="3" t="str">
        <f>IFERROR(__xludf.DUMMYFUNCTION("""COMPUTED_VALUE"""),"1vmZ6v1OyZ8SSi8bqqjK3ap3KtM_yPA_SEcIQgYiRInY")</f>
        <v>1vmZ6v1OyZ8SSi8bqqjK3ap3KtM_yPA_SEcIQgYiRInY</v>
      </c>
      <c r="D31" s="3" t="str">
        <f>IFERROR(__xludf.DUMMYFUNCTION("""COMPUTED_VALUE"""),"")</f>
        <v/>
      </c>
      <c r="E31" s="3" t="str">
        <f>IFERROR(__xludf.DUMMYFUNCTION("""COMPUTED_VALUE"""),"")</f>
        <v/>
      </c>
      <c r="F31" s="3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3" t="str">
        <f>IFERROR(__xludf.DUMMYFUNCTION("""COMPUTED_VALUE"""),"SymbolLookup")</f>
        <v>SymbolLookup</v>
      </c>
      <c r="B32" s="3" t="str">
        <f>IFERROR(__xludf.DUMMYFUNCTION("""COMPUTED_VALUE"""),"VerifySymbolLookUp")</f>
        <v>VerifySymbolLookUp</v>
      </c>
      <c r="C32" s="3" t="str">
        <f>IFERROR(__xludf.DUMMYFUNCTION("""COMPUTED_VALUE"""),"1OiI1Pi_JAFOFi8ByMaD3_qqEXSv6yQMo_u6aGTozbl8")</f>
        <v>1OiI1Pi_JAFOFi8ByMaD3_qqEXSv6yQMo_u6aGTozbl8</v>
      </c>
      <c r="D32" s="3" t="str">
        <f>IFERROR(__xludf.DUMMYFUNCTION("""COMPUTED_VALUE"""),"")</f>
        <v/>
      </c>
      <c r="E32" s="3" t="str">
        <f>IFERROR(__xludf.DUMMYFUNCTION("""COMPUTED_VALUE"""),"")</f>
        <v/>
      </c>
      <c r="F32" s="3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IFERROR(__xludf.DUMMYFUNCTION("""COMPUTED_VALUE"""),"SymbolLookupFromTT")</f>
        <v>SymbolLookupFromTT</v>
      </c>
      <c r="C33" s="3" t="str">
        <f>IFERROR(__xludf.DUMMYFUNCTION("""COMPUTED_VALUE"""),"1ubfvE9sHq5KpJ9NazeH96CrVMJqAuol5Ya9GPjxWrgI")</f>
        <v>1ubfvE9sHq5KpJ9NazeH96CrVMJqAuol5Ya9GPjxWrgI</v>
      </c>
      <c r="D33" s="3" t="str">
        <f>IFERROR(__xludf.DUMMYFUNCTION("""COMPUTED_VALUE"""),"")</f>
        <v/>
      </c>
      <c r="E33" s="3" t="str">
        <f>IFERROR(__xludf.DUMMYFUNCTION("""COMPUTED_VALUE"""),"")</f>
        <v/>
      </c>
      <c r="F33" s="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44.43"/>
    <col customWidth="1" min="3" max="12" width="14.43"/>
    <col customWidth="1" min="13" max="26" width="17.29"/>
  </cols>
  <sheetData>
    <row r="1" ht="15.75" customHeight="1">
      <c r="A1" s="6" t="s">
        <v>3</v>
      </c>
      <c r="B1" s="2"/>
      <c r="C1" s="2"/>
    </row>
    <row r="2" ht="15.75" customHeight="1">
      <c r="A2" s="7"/>
      <c r="B2" s="7"/>
      <c r="C2" s="7"/>
    </row>
    <row r="3" ht="15.75" customHeight="1">
      <c r="A3" s="4" t="s">
        <v>4</v>
      </c>
      <c r="B3" s="8" t="s">
        <v>5</v>
      </c>
      <c r="C3" s="7"/>
    </row>
    <row r="4" ht="15.75" customHeight="1">
      <c r="A4" s="4" t="s">
        <v>6</v>
      </c>
      <c r="B4" s="8" t="s">
        <v>7</v>
      </c>
      <c r="C4" s="7"/>
    </row>
    <row r="5" ht="15.75" customHeight="1">
      <c r="A5" s="9"/>
      <c r="B5" s="7"/>
      <c r="C5" s="7"/>
    </row>
    <row r="6" ht="15.75" customHeight="1">
      <c r="A6" s="9"/>
      <c r="B6" s="7"/>
      <c r="C6" s="7"/>
    </row>
    <row r="7" ht="15.75" customHeight="1">
      <c r="A7" s="9"/>
      <c r="B7" s="7"/>
      <c r="C7" s="7"/>
    </row>
    <row r="8" ht="15.75" customHeight="1">
      <c r="A8" s="9"/>
      <c r="B8" s="7"/>
      <c r="C8" s="7"/>
    </row>
    <row r="9" ht="15.75" customHeight="1">
      <c r="A9" s="9"/>
      <c r="B9" s="7"/>
      <c r="C9" s="7"/>
    </row>
    <row r="10" ht="15.75" customHeight="1">
      <c r="A10" s="9"/>
      <c r="B10" s="7"/>
      <c r="C10" s="7"/>
    </row>
    <row r="11" ht="15.75" customHeight="1">
      <c r="A11" s="9"/>
      <c r="B11" s="7"/>
      <c r="C11" s="7"/>
    </row>
    <row r="12" ht="15.75" customHeight="1">
      <c r="A12" s="9"/>
      <c r="B12" s="7"/>
      <c r="C12" s="7"/>
    </row>
    <row r="13" ht="15.75" customHeight="1">
      <c r="A13" s="9"/>
      <c r="B13" s="7"/>
      <c r="C13" s="7"/>
    </row>
    <row r="14" ht="15.75" customHeight="1">
      <c r="A14" s="9"/>
      <c r="B14" s="7"/>
      <c r="C14" s="7"/>
    </row>
    <row r="15" ht="15.75" customHeight="1">
      <c r="A15" s="9"/>
      <c r="B15" s="7"/>
      <c r="C15" s="7"/>
    </row>
    <row r="16" ht="15.75" customHeight="1">
      <c r="A16" s="9"/>
      <c r="B16" s="7"/>
      <c r="C16" s="7"/>
    </row>
    <row r="17" ht="15.75" customHeight="1">
      <c r="A17" s="9"/>
      <c r="B17" s="7"/>
      <c r="C17" s="7"/>
    </row>
    <row r="18" ht="15.75" customHeight="1">
      <c r="A18" s="9"/>
      <c r="B18" s="7"/>
      <c r="C18" s="7"/>
    </row>
    <row r="19" ht="15.75" customHeight="1">
      <c r="A19" s="9"/>
      <c r="B19" s="7"/>
      <c r="C19" s="7"/>
    </row>
    <row r="20" ht="15.75" customHeight="1">
      <c r="A20" s="9"/>
      <c r="B20" s="7"/>
      <c r="C20" s="7"/>
    </row>
    <row r="21" ht="15.75" customHeight="1">
      <c r="A21" s="9"/>
      <c r="B21" s="7"/>
      <c r="C21" s="7"/>
    </row>
    <row r="22" ht="15.75" customHeight="1">
      <c r="A22" s="9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6" width="17.29"/>
  </cols>
  <sheetData>
    <row r="1">
      <c r="A1" s="10" t="s">
        <v>2</v>
      </c>
      <c r="B1" s="2"/>
      <c r="C1" s="2"/>
      <c r="D1" s="2"/>
      <c r="E1" s="2"/>
      <c r="F1" s="2"/>
    </row>
    <row r="2">
      <c r="A2" s="11"/>
      <c r="B2" s="11"/>
      <c r="C2" s="11"/>
      <c r="D2" s="11"/>
      <c r="E2" s="11"/>
      <c r="F2" s="11"/>
    </row>
    <row r="3">
      <c r="A3" s="12" t="s">
        <v>8</v>
      </c>
      <c r="B3" s="13" t="s">
        <v>9</v>
      </c>
      <c r="C3" s="13" t="s">
        <v>10</v>
      </c>
      <c r="D3" s="14"/>
      <c r="E3" s="14"/>
      <c r="F3" s="14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8"/>
      <c r="L2" s="7"/>
      <c r="M2" s="7"/>
      <c r="N2" s="7"/>
      <c r="O2" s="7"/>
    </row>
    <row r="3" ht="15.75" customHeight="1">
      <c r="A3" s="19"/>
      <c r="B3" s="4" t="s">
        <v>8</v>
      </c>
      <c r="C3" s="20" t="s">
        <v>12</v>
      </c>
      <c r="D3" s="4" t="s">
        <v>9</v>
      </c>
      <c r="E3" s="20" t="s">
        <v>13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16</v>
      </c>
      <c r="D4" s="22" t="s">
        <v>17</v>
      </c>
      <c r="E4" s="22" t="s">
        <v>18</v>
      </c>
      <c r="F4" s="22" t="s">
        <v>19</v>
      </c>
      <c r="G4" s="22" t="s">
        <v>20</v>
      </c>
      <c r="H4" s="22" t="s">
        <v>21</v>
      </c>
      <c r="I4" s="22" t="s">
        <v>13</v>
      </c>
      <c r="J4" s="22" t="s">
        <v>22</v>
      </c>
      <c r="K4" s="22" t="s">
        <v>22</v>
      </c>
      <c r="L4" s="22" t="s">
        <v>23</v>
      </c>
      <c r="M4" s="22" t="s">
        <v>24</v>
      </c>
      <c r="N4" s="22" t="s">
        <v>25</v>
      </c>
      <c r="O4" s="22" t="s">
        <v>26</v>
      </c>
      <c r="P4" s="23" t="s">
        <v>27</v>
      </c>
      <c r="Q4" s="23" t="s">
        <v>28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ht="15.75" customHeight="1">
      <c r="A5" s="24" t="str">
        <f>IFERROR(__xludf.DUMMYFUNCTION("TRANSPOSE(IMPORTRANGE(VLOOKUP($E$3,IMPORTRANGE('_Settings'!$B$3,$C$3&amp;""!A4:B1000""),2,FALSE),$G$3&amp;""!A4:A1000""))"),"#REF!")</f>
        <v>#REF!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</row>
    <row r="6" ht="15.75" customHeight="1">
      <c r="A6" s="7"/>
      <c r="B6" t="s">
        <v>29</v>
      </c>
      <c r="C6" t="s">
        <v>30</v>
      </c>
      <c r="D6">
        <v>15000.0</v>
      </c>
      <c r="E6">
        <v>15000.0</v>
      </c>
      <c r="F6" t="s">
        <v>31</v>
      </c>
      <c r="G6" t="s">
        <v>32</v>
      </c>
      <c r="P6" t="s">
        <v>33</v>
      </c>
      <c r="Q6" t="s">
        <v>34</v>
      </c>
      <c r="AB6" s="27" t="s">
        <v>35</v>
      </c>
    </row>
    <row r="7" ht="15.75" customHeight="1">
      <c r="A7" s="7"/>
      <c r="B7" s="7" t="s">
        <v>36</v>
      </c>
      <c r="C7" s="7" t="s">
        <v>37</v>
      </c>
      <c r="D7" s="7">
        <v>12000.0</v>
      </c>
      <c r="E7" s="7">
        <v>12000.0</v>
      </c>
      <c r="F7" t="s">
        <v>38</v>
      </c>
      <c r="G7" s="7" t="s">
        <v>32</v>
      </c>
      <c r="H7" s="7"/>
      <c r="I7" s="7"/>
      <c r="J7" s="7"/>
      <c r="K7" s="7"/>
      <c r="L7" s="7"/>
      <c r="M7" s="7"/>
      <c r="N7" s="7"/>
      <c r="O7" s="7"/>
      <c r="P7" t="s">
        <v>39</v>
      </c>
      <c r="Q7" t="s">
        <v>40</v>
      </c>
      <c r="AB7" s="27" t="s">
        <v>35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3" width="14.4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8"/>
      <c r="L2" s="7"/>
      <c r="M2" s="7"/>
      <c r="N2" s="7"/>
      <c r="O2" s="7"/>
    </row>
    <row r="3" ht="15.75" customHeight="1">
      <c r="A3" s="19"/>
      <c r="B3" s="4" t="s">
        <v>8</v>
      </c>
      <c r="C3" s="28" t="s">
        <v>41</v>
      </c>
      <c r="D3" s="4" t="s">
        <v>9</v>
      </c>
      <c r="E3" s="28" t="s">
        <v>42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43</v>
      </c>
      <c r="D4" s="22" t="s">
        <v>44</v>
      </c>
      <c r="E4" s="22" t="s">
        <v>45</v>
      </c>
      <c r="F4" s="22" t="s">
        <v>46</v>
      </c>
      <c r="G4" s="22" t="s">
        <v>47</v>
      </c>
      <c r="H4" s="22" t="s">
        <v>48</v>
      </c>
      <c r="I4" s="22" t="s">
        <v>49</v>
      </c>
      <c r="J4" s="22" t="s">
        <v>50</v>
      </c>
      <c r="K4" s="22" t="s">
        <v>51</v>
      </c>
      <c r="L4" s="22" t="s">
        <v>52</v>
      </c>
      <c r="M4" s="22" t="s">
        <v>53</v>
      </c>
      <c r="N4" s="22" t="s">
        <v>54</v>
      </c>
      <c r="O4" s="22" t="s">
        <v>55</v>
      </c>
      <c r="P4" s="23" t="s">
        <v>56</v>
      </c>
      <c r="Q4" s="23" t="s">
        <v>57</v>
      </c>
      <c r="R4" s="23" t="s">
        <v>57</v>
      </c>
      <c r="S4" s="23" t="s">
        <v>57</v>
      </c>
      <c r="T4" s="23" t="s">
        <v>58</v>
      </c>
      <c r="U4" s="23" t="s">
        <v>59</v>
      </c>
      <c r="V4" s="23" t="s">
        <v>60</v>
      </c>
      <c r="W4" s="23" t="s">
        <v>61</v>
      </c>
      <c r="X4" s="23" t="s">
        <v>62</v>
      </c>
      <c r="Y4" s="23" t="s">
        <v>63</v>
      </c>
      <c r="Z4" s="23" t="s">
        <v>64</v>
      </c>
      <c r="AA4" s="23" t="s">
        <v>65</v>
      </c>
      <c r="AB4" s="23" t="s">
        <v>66</v>
      </c>
      <c r="AC4" s="23" t="s">
        <v>58</v>
      </c>
      <c r="AD4" s="23" t="s">
        <v>58</v>
      </c>
      <c r="AE4" s="23" t="s">
        <v>67</v>
      </c>
      <c r="AF4" s="23" t="s">
        <v>68</v>
      </c>
      <c r="AG4" s="23" t="s">
        <v>69</v>
      </c>
      <c r="AH4" s="23" t="s">
        <v>70</v>
      </c>
      <c r="AI4" s="23" t="s">
        <v>53</v>
      </c>
      <c r="AJ4" s="23" t="s">
        <v>70</v>
      </c>
      <c r="AK4" s="23" t="s">
        <v>68</v>
      </c>
      <c r="AL4" s="23" t="s">
        <v>71</v>
      </c>
      <c r="AM4" s="23" t="s">
        <v>72</v>
      </c>
      <c r="AN4" s="23" t="s">
        <v>73</v>
      </c>
      <c r="AO4" s="23" t="s">
        <v>74</v>
      </c>
      <c r="AP4" s="23" t="s">
        <v>75</v>
      </c>
      <c r="AQ4" s="23" t="s">
        <v>76</v>
      </c>
      <c r="AR4" s="23" t="s">
        <v>77</v>
      </c>
      <c r="AS4" s="23" t="s">
        <v>78</v>
      </c>
      <c r="AT4" s="23" t="s">
        <v>79</v>
      </c>
      <c r="AU4" s="23" t="s">
        <v>80</v>
      </c>
      <c r="AV4" s="23" t="s">
        <v>81</v>
      </c>
      <c r="AW4" s="23" t="s">
        <v>81</v>
      </c>
      <c r="AX4" s="23" t="s">
        <v>82</v>
      </c>
      <c r="AY4" s="23" t="s">
        <v>42</v>
      </c>
      <c r="AZ4" s="23" t="s">
        <v>67</v>
      </c>
      <c r="BA4" s="23" t="s">
        <v>83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tr">
        <f>IFERROR(__xludf.DUMMYFUNCTION("""COMPUTED_VALUE"""),"Transaction Time")</f>
        <v>Transaction Time</v>
      </c>
      <c r="C5" s="25" t="str">
        <f>IFERROR(__xludf.DUMMYFUNCTION("""COMPUTED_VALUE"""),"Algo")</f>
        <v>Algo</v>
      </c>
      <c r="D5" s="25" t="str">
        <f>IFERROR(__xludf.DUMMYFUNCTION("""COMPUTED_VALUE"""),"Avg Fill Price (Base)")</f>
        <v>Avg Fill Price (Base)</v>
      </c>
      <c r="E5" s="25" t="str">
        <f>IFERROR(__xludf.DUMMYFUNCTION("""COMPUTED_VALUE"""),"Bloomberg Symbol")</f>
        <v>Bloomberg Symbol</v>
      </c>
      <c r="F5" s="25" t="str">
        <f>IFERROR(__xludf.DUMMYFUNCTION("""COMPUTED_VALUE"""),"Limit Price")</f>
        <v>Limit Price</v>
      </c>
      <c r="G5" s="25" t="str">
        <f>IFERROR(__xludf.DUMMYFUNCTION("""COMPUTED_VALUE"""),"Working Qty")</f>
        <v>Working Qty</v>
      </c>
      <c r="H5" s="25" t="str">
        <f>IFERROR(__xludf.DUMMYFUNCTION("""COMPUTED_VALUE"""),"Venue")</f>
        <v>Venue</v>
      </c>
      <c r="I5" s="25" t="str">
        <f>IFERROR(__xludf.DUMMYFUNCTION("""COMPUTED_VALUE"""),"User")</f>
        <v>User</v>
      </c>
      <c r="J5" s="25" t="str">
        <f>IFERROR(__xludf.DUMMYFUNCTION("""COMPUTED_VALUE"""),"Underlying Symbol")</f>
        <v>Underlying Symbol</v>
      </c>
      <c r="K5" s="25" t="str">
        <f>IFERROR(__xludf.DUMMYFUNCTION("""COMPUTED_VALUE"""),"Underlying Country")</f>
        <v>Underlying Country</v>
      </c>
      <c r="L5" s="25" t="str">
        <f>IFERROR(__xludf.DUMMYFUNCTION("""COMPUTED_VALUE"""),"Trader")</f>
        <v>Trader</v>
      </c>
      <c r="M5" s="25" t="str">
        <f>IFERROR(__xludf.DUMMYFUNCTION("""COMPUTED_VALUE"""),"Trade Attribute 6")</f>
        <v>Trade Attribute 6</v>
      </c>
      <c r="N5" s="25" t="str">
        <f>IFERROR(__xludf.DUMMYFUNCTION("""COMPUTED_VALUE"""),"Trade Attribute 5")</f>
        <v>Trade Attribute 5</v>
      </c>
      <c r="O5" s="25" t="str">
        <f>IFERROR(__xludf.DUMMYFUNCTION("""COMPUTED_VALUE"""),"Trade Attribute 4")</f>
        <v>Trade Attribute 4</v>
      </c>
      <c r="P5" s="25" t="str">
        <f>IFERROR(__xludf.DUMMYFUNCTION("""COMPUTED_VALUE"""),"Trade Attribute 3")</f>
        <v>Trade Attribute 3</v>
      </c>
      <c r="Q5" s="25" t="str">
        <f>IFERROR(__xludf.DUMMYFUNCTION("""COMPUTED_VALUE"""),"Trade Attribute 1")</f>
        <v>Trade Attribute 1</v>
      </c>
      <c r="R5" s="25" t="str">
        <f>IFERROR(__xludf.DUMMYFUNCTION("""COMPUTED_VALUE"""),"Trade Attribute 2")</f>
        <v>Trade Attribute 2</v>
      </c>
      <c r="S5" s="25" t="str">
        <f>IFERROR(__xludf.DUMMYFUNCTION("""COMPUTED_VALUE"""),"Strike Price")</f>
        <v>Strike Price</v>
      </c>
      <c r="T5" s="26" t="str">
        <f>IFERROR(__xludf.DUMMYFUNCTION("""COMPUTED_VALUE"""),"Stop Price")</f>
        <v>Stop Price</v>
      </c>
      <c r="U5" s="26" t="str">
        <f>IFERROR(__xludf.DUMMYFUNCTION("""COMPUTED_VALUE"""),"Settlement Currency")</f>
        <v>Settlement Currency</v>
      </c>
      <c r="V5" s="26" t="str">
        <f>IFERROR(__xludf.DUMMYFUNCTION("""COMPUTED_VALUE"""),"Put/Call")</f>
        <v>Put/Call</v>
      </c>
      <c r="W5" s="26" t="str">
        <f>IFERROR(__xludf.DUMMYFUNCTION("""COMPUTED_VALUE"""),"Process Date")</f>
        <v>Process Date</v>
      </c>
      <c r="X5" s="26" t="str">
        <f>IFERROR(__xludf.DUMMYFUNCTION("""COMPUTED_VALUE"""),"Peg")</f>
        <v>Peg</v>
      </c>
      <c r="Y5" s="26" t="str">
        <f>IFERROR(__xludf.DUMMYFUNCTION("""COMPUTED_VALUE"""),"ParentClOrderID")</f>
        <v>ParentClOrderID</v>
      </c>
      <c r="Z5" s="26" t="str">
        <f>IFERROR(__xludf.DUMMYFUNCTION("""COMPUTED_VALUE"""),"OrderID")</f>
        <v>OrderID</v>
      </c>
      <c r="AA5" s="26" t="str">
        <f>IFERROR(__xludf.DUMMYFUNCTION("""COMPUTED_VALUE"""),"Master Fund")</f>
        <v>Master Fund</v>
      </c>
      <c r="AB5" s="26" t="str">
        <f>IFERROR(__xludf.DUMMYFUNCTION("""COMPUTED_VALUE"""),"Last Shares")</f>
        <v>Last Shares</v>
      </c>
      <c r="AC5" s="26" t="str">
        <f>IFERROR(__xludf.DUMMYFUNCTION("""COMPUTED_VALUE"""),"Internal Comments")</f>
        <v>Internal Comments</v>
      </c>
      <c r="AD5" s="26" t="str">
        <f>IFERROR(__xludf.DUMMYFUNCTION("""COMPUTED_VALUE"""),"FX Rate")</f>
        <v>FX Rate</v>
      </c>
      <c r="AE5" s="26" t="str">
        <f>IFERROR(__xludf.DUMMYFUNCTION("""COMPUTED_VALUE"""),"Imported File Name")</f>
        <v>Imported File Name</v>
      </c>
      <c r="AF5" s="26" t="str">
        <f>IFERROR(__xludf.DUMMYFUNCTION("""COMPUTED_VALUE"""),"FX Conversion Operator")</f>
        <v>FX Conversion Operator</v>
      </c>
      <c r="AG5" s="26" t="str">
        <f>IFERROR(__xludf.DUMMYFUNCTION("""COMPUTED_VALUE"""),"Day Average Price")</f>
        <v>Day Average Price</v>
      </c>
      <c r="AH5" s="26" t="str">
        <f>IFERROR(__xludf.DUMMYFUNCTION("""COMPUTED_VALUE"""),"Asset Class")</f>
        <v>Asset Class</v>
      </c>
      <c r="AI5" s="26" t="str">
        <f>IFERROR(__xludf.DUMMYFUNCTION("""COMPUTED_VALUE"""),"Symbol")</f>
        <v>Symbol</v>
      </c>
      <c r="AJ5" s="26" t="str">
        <f>IFERROR(__xludf.DUMMYFUNCTION("""COMPUTED_VALUE"""),"Side")</f>
        <v>Side</v>
      </c>
      <c r="AK5" s="26" t="str">
        <f>IFERROR(__xludf.DUMMYFUNCTION("""COMPUTED_VALUE"""),"Status")</f>
        <v>Status</v>
      </c>
      <c r="AL5" s="26" t="str">
        <f>IFERROR(__xludf.DUMMYFUNCTION("""COMPUTED_VALUE"""),"Target Qty")</f>
        <v>Target Qty</v>
      </c>
      <c r="AM5" s="26" t="str">
        <f>IFERROR(__xludf.DUMMYFUNCTION("""COMPUTED_VALUE"""),"Total Executed Qty")</f>
        <v>Total Executed Qty</v>
      </c>
      <c r="AN5" s="26" t="str">
        <f>IFERROR(__xludf.DUMMYFUNCTION("""COMPUTED_VALUE"""),"% Executed")</f>
        <v>% Executed</v>
      </c>
      <c r="AO5" s="26" t="str">
        <f>IFERROR(__xludf.DUMMYFUNCTION("""COMPUTED_VALUE"""),"Day Executed Qty")</f>
        <v>Day Executed Qty</v>
      </c>
      <c r="AP5" s="26" t="str">
        <f>IFERROR(__xludf.DUMMYFUNCTION("""COMPUTED_VALUE"""),"Uncommitted Qty")</f>
        <v>Uncommitted Qty</v>
      </c>
      <c r="AQ5" s="26" t="str">
        <f>IFERROR(__xludf.DUMMYFUNCTION("""COMPUTED_VALUE"""),"Last Fill Price (Local)")</f>
        <v>Last Fill Price (Local)</v>
      </c>
      <c r="AR5" s="26" t="str">
        <f>IFERROR(__xludf.DUMMYFUNCTION("""COMPUTED_VALUE"""),"Avg Fill Price (Local)")</f>
        <v>Avg Fill Price (Local)</v>
      </c>
      <c r="AS5" s="26" t="str">
        <f>IFERROR(__xludf.DUMMYFUNCTION("""COMPUTED_VALUE"""),"Broker")</f>
        <v>Broker</v>
      </c>
      <c r="AT5" s="26" t="str">
        <f>IFERROR(__xludf.DUMMYFUNCTION("""COMPUTED_VALUE"""),"Account")</f>
        <v>Account</v>
      </c>
      <c r="AU5" s="26" t="str">
        <f>IFERROR(__xludf.DUMMYFUNCTION("""COMPUTED_VALUE"""),"Order Type")</f>
        <v>Order Type</v>
      </c>
      <c r="AV5" s="26" t="str">
        <f>IFERROR(__xludf.DUMMYFUNCTION("""COMPUTED_VALUE"""),"Principal Amount (Local)")</f>
        <v>Principal Amount (Local)</v>
      </c>
      <c r="AW5" s="26" t="str">
        <f>IFERROR(__xludf.DUMMYFUNCTION("""COMPUTED_VALUE"""),"Principal Amount (Base)")</f>
        <v>Principal Amount (Base)</v>
      </c>
      <c r="AX5" s="26" t="str">
        <f>IFERROR(__xludf.DUMMYFUNCTION("""COMPUTED_VALUE"""),"")</f>
        <v/>
      </c>
      <c r="AY5" s="26" t="str">
        <f>IFERROR(__xludf.DUMMYFUNCTION("""COMPUTED_VALUE"""),"")</f>
        <v/>
      </c>
      <c r="AZ5" s="26" t="str">
        <f>IFERROR(__xludf.DUMMYFUNCTION("""COMPUTED_VALUE"""),"")</f>
        <v/>
      </c>
      <c r="BA5" s="26" t="str">
        <f>IFERROR(__xludf.DUMMYFUNCTION("""COMPUTED_VALUE"""),"")</f>
        <v/>
      </c>
      <c r="BB5" s="26" t="str">
        <f>IFERROR(__xludf.DUMMYFUNCTION("""COMPUTED_VALUE"""),"")</f>
        <v/>
      </c>
      <c r="BC5" s="26" t="str">
        <f>IFERROR(__xludf.DUMMYFUNCTION("""COMPUTED_VALUE"""),"")</f>
        <v/>
      </c>
      <c r="BD5" s="26" t="str">
        <f>IFERROR(__xludf.DUMMYFUNCTION("""COMPUTED_VALUE"""),"")</f>
        <v/>
      </c>
      <c r="BE5" s="26" t="str">
        <f>IFERROR(__xludf.DUMMYFUNCTION("""COMPUTED_VALUE"""),"")</f>
        <v/>
      </c>
      <c r="BF5" s="26" t="str">
        <f>IFERROR(__xludf.DUMMYFUNCTION("""COMPUTED_VALUE"""),"")</f>
        <v/>
      </c>
      <c r="BG5" s="26" t="str">
        <f>IFERROR(__xludf.DUMMYFUNCTION("""COMPUTED_VALUE"""),"")</f>
        <v/>
      </c>
      <c r="BH5" s="26" t="str">
        <f>IFERROR(__xludf.DUMMYFUNCTION("""COMPUTED_VALUE"""),"")</f>
        <v/>
      </c>
      <c r="BI5" s="26" t="str">
        <f>IFERROR(__xludf.DUMMYFUNCTION("""COMPUTED_VALUE"""),"")</f>
        <v/>
      </c>
      <c r="BJ5" s="26" t="str">
        <f>IFERROR(__xludf.DUMMYFUNCTION("""COMPUTED_VALUE"""),"")</f>
        <v/>
      </c>
      <c r="BK5" s="26" t="str">
        <f>IFERROR(__xludf.DUMMYFUNCTION("""COMPUTED_VALUE"""),"")</f>
        <v/>
      </c>
    </row>
    <row r="6" ht="15.75" customHeight="1">
      <c r="A6" s="7"/>
      <c r="AI6" t="s">
        <v>29</v>
      </c>
      <c r="AJ6" t="s">
        <v>30</v>
      </c>
      <c r="AT6" t="s">
        <v>31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7" t="s">
        <v>36</v>
      </c>
      <c r="AJ7" s="7" t="s">
        <v>37</v>
      </c>
      <c r="AT7" t="s">
        <v>38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8"/>
      <c r="L2" s="7"/>
      <c r="M2" s="7"/>
      <c r="N2" s="7"/>
      <c r="O2" s="7"/>
    </row>
    <row r="3" ht="15.75" customHeight="1">
      <c r="A3" s="19"/>
      <c r="B3" s="4" t="s">
        <v>8</v>
      </c>
      <c r="C3" s="28" t="s">
        <v>63</v>
      </c>
      <c r="D3" s="4" t="s">
        <v>9</v>
      </c>
      <c r="E3" s="28" t="s">
        <v>84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84</v>
      </c>
      <c r="D4" s="22" t="s">
        <v>85</v>
      </c>
      <c r="E4" s="22" t="s">
        <v>86</v>
      </c>
      <c r="F4" s="22" t="s">
        <v>87</v>
      </c>
      <c r="G4" s="22" t="s">
        <v>88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4" t="str">
        <f>IFERROR(__xludf.DUMMYFUNCTION("TRANSPOSE(IMPORTRANGE(VLOOKUP($E$3,IMPORTRANGE('_Settings'!$B$3,$C$3&amp;""!A4:B1000""),2,FALSE),$G$3&amp;""!A4:A1000""))"),"#REF!")</f>
        <v>#REF!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ht="15.75" customHeight="1">
      <c r="A6" s="7"/>
      <c r="B6" t="s">
        <v>29</v>
      </c>
      <c r="C6" t="s">
        <v>30</v>
      </c>
    </row>
    <row r="7" ht="15.75" customHeight="1">
      <c r="A7" s="7"/>
      <c r="B7" s="27" t="s">
        <v>36</v>
      </c>
      <c r="C7" s="27" t="s">
        <v>37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8"/>
      <c r="L2" s="7"/>
      <c r="M2" s="7"/>
      <c r="N2" s="7"/>
      <c r="O2" s="7"/>
    </row>
    <row r="3" ht="15.75" customHeight="1">
      <c r="A3" s="19"/>
      <c r="B3" s="4" t="s">
        <v>8</v>
      </c>
      <c r="C3" s="28" t="s">
        <v>63</v>
      </c>
      <c r="D3" s="4" t="s">
        <v>9</v>
      </c>
      <c r="E3" s="20" t="s">
        <v>89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84</v>
      </c>
      <c r="D4" s="22" t="s">
        <v>85</v>
      </c>
      <c r="E4" s="22" t="s">
        <v>86</v>
      </c>
      <c r="F4" s="22" t="s">
        <v>87</v>
      </c>
      <c r="G4" s="22" t="s">
        <v>88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4" t="str">
        <f>IFERROR(__xludf.DUMMYFUNCTION("TRANSPOSE(IMPORTRANGE(VLOOKUP($E$3,IMPORTRANGE('_Settings'!$B$3,$C$3&amp;""!A4:B1000""),2,FALSE),$G$3&amp;""!A4:A1000""))"),"#REF!")</f>
        <v>#REF!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ht="15.75" customHeight="1">
      <c r="A6" s="7"/>
      <c r="B6" t="s">
        <v>29</v>
      </c>
      <c r="C6" t="s">
        <v>30</v>
      </c>
      <c r="D6">
        <v>2000.0</v>
      </c>
      <c r="F6" s="27" t="s">
        <v>31</v>
      </c>
      <c r="M6" t="s">
        <v>90</v>
      </c>
      <c r="AB6" s="27" t="s">
        <v>35</v>
      </c>
    </row>
    <row r="7" ht="15.75" customHeight="1">
      <c r="A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6" width="14.4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8"/>
      <c r="L2" s="7"/>
      <c r="M2" s="7"/>
      <c r="N2" s="7"/>
      <c r="O2" s="7"/>
    </row>
    <row r="3" ht="15.75" customHeight="1">
      <c r="A3" s="19"/>
      <c r="B3" s="4" t="s">
        <v>8</v>
      </c>
      <c r="C3" s="28" t="s">
        <v>63</v>
      </c>
      <c r="D3" s="4" t="s">
        <v>9</v>
      </c>
      <c r="E3" s="28" t="s">
        <v>86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84</v>
      </c>
      <c r="D4" s="22" t="s">
        <v>85</v>
      </c>
      <c r="E4" s="22" t="s">
        <v>86</v>
      </c>
      <c r="F4" s="22" t="s">
        <v>87</v>
      </c>
      <c r="G4" s="22" t="s">
        <v>88</v>
      </c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</row>
    <row r="5" ht="15.75" customHeight="1">
      <c r="A5" s="24" t="str">
        <f>IFERROR(__xludf.DUMMYFUNCTION("TRANSPOSE(IMPORTRANGE(VLOOKUP($E$3,IMPORTRANGE('_Settings'!$B$3,$C$3&amp;""!A4:B1000""),2,FALSE),$G$3&amp;""!A4:A1000""))"),"#REF!")</f>
        <v>#REF!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</row>
    <row r="6" ht="15.75" customHeight="1">
      <c r="A6" s="7"/>
      <c r="B6" t="s">
        <v>29</v>
      </c>
      <c r="C6" t="s">
        <v>30</v>
      </c>
    </row>
    <row r="7" ht="15.75" customHeight="1">
      <c r="A7" s="7"/>
      <c r="B7" s="27" t="s">
        <v>36</v>
      </c>
      <c r="C7" s="27" t="s">
        <v>37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63" width="14.4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8"/>
      <c r="L2" s="7"/>
      <c r="M2" s="7"/>
      <c r="N2" s="7"/>
      <c r="O2" s="7"/>
    </row>
    <row r="3" ht="15.75" customHeight="1">
      <c r="A3" s="19"/>
      <c r="B3" s="4" t="s">
        <v>8</v>
      </c>
      <c r="C3" s="20" t="s">
        <v>41</v>
      </c>
      <c r="D3" s="4" t="s">
        <v>9</v>
      </c>
      <c r="E3" s="20" t="s">
        <v>56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43</v>
      </c>
      <c r="D4" s="22" t="s">
        <v>44</v>
      </c>
      <c r="E4" s="22" t="s">
        <v>45</v>
      </c>
      <c r="F4" s="22" t="s">
        <v>46</v>
      </c>
      <c r="G4" s="22" t="s">
        <v>47</v>
      </c>
      <c r="H4" s="22" t="s">
        <v>48</v>
      </c>
      <c r="I4" s="22" t="s">
        <v>49</v>
      </c>
      <c r="J4" s="22" t="s">
        <v>50</v>
      </c>
      <c r="K4" s="22" t="s">
        <v>51</v>
      </c>
      <c r="L4" s="22" t="s">
        <v>52</v>
      </c>
      <c r="M4" s="22" t="s">
        <v>53</v>
      </c>
      <c r="N4" s="22" t="s">
        <v>54</v>
      </c>
      <c r="O4" s="22" t="s">
        <v>55</v>
      </c>
      <c r="P4" s="23" t="s">
        <v>56</v>
      </c>
      <c r="Q4" s="23" t="s">
        <v>57</v>
      </c>
      <c r="R4" s="23" t="s">
        <v>57</v>
      </c>
      <c r="S4" s="23" t="s">
        <v>57</v>
      </c>
      <c r="T4" s="23" t="s">
        <v>58</v>
      </c>
      <c r="U4" s="23" t="s">
        <v>59</v>
      </c>
      <c r="V4" s="23" t="s">
        <v>60</v>
      </c>
      <c r="W4" s="23" t="s">
        <v>61</v>
      </c>
      <c r="X4" s="23" t="s">
        <v>62</v>
      </c>
      <c r="Y4" s="23" t="s">
        <v>63</v>
      </c>
      <c r="Z4" s="23" t="s">
        <v>64</v>
      </c>
      <c r="AA4" s="23" t="s">
        <v>65</v>
      </c>
      <c r="AB4" s="23" t="s">
        <v>66</v>
      </c>
      <c r="AC4" s="23" t="s">
        <v>58</v>
      </c>
      <c r="AD4" s="23" t="s">
        <v>58</v>
      </c>
      <c r="AE4" s="23" t="s">
        <v>67</v>
      </c>
      <c r="AF4" s="23" t="s">
        <v>68</v>
      </c>
      <c r="AG4" s="23" t="s">
        <v>69</v>
      </c>
      <c r="AH4" s="23" t="s">
        <v>70</v>
      </c>
      <c r="AI4" s="23" t="s">
        <v>53</v>
      </c>
      <c r="AJ4" s="23" t="s">
        <v>70</v>
      </c>
      <c r="AK4" s="23" t="s">
        <v>68</v>
      </c>
      <c r="AL4" s="23" t="s">
        <v>71</v>
      </c>
      <c r="AM4" s="23" t="s">
        <v>72</v>
      </c>
      <c r="AN4" s="23" t="s">
        <v>73</v>
      </c>
      <c r="AO4" s="23" t="s">
        <v>74</v>
      </c>
      <c r="AP4" s="23" t="s">
        <v>75</v>
      </c>
      <c r="AQ4" s="23" t="s">
        <v>76</v>
      </c>
      <c r="AR4" s="23" t="s">
        <v>77</v>
      </c>
      <c r="AS4" s="23" t="s">
        <v>78</v>
      </c>
      <c r="AT4" s="23" t="s">
        <v>79</v>
      </c>
      <c r="AU4" s="23" t="s">
        <v>80</v>
      </c>
      <c r="AV4" s="23" t="s">
        <v>81</v>
      </c>
      <c r="AW4" s="23" t="s">
        <v>81</v>
      </c>
      <c r="AX4" s="23" t="s">
        <v>82</v>
      </c>
      <c r="AY4" s="23" t="s">
        <v>42</v>
      </c>
      <c r="AZ4" s="23" t="s">
        <v>67</v>
      </c>
      <c r="BA4" s="23" t="s">
        <v>83</v>
      </c>
      <c r="BB4" s="23"/>
      <c r="BC4" s="23"/>
      <c r="BD4" s="23"/>
      <c r="BE4" s="23"/>
      <c r="BF4" s="23"/>
      <c r="BG4" s="23"/>
      <c r="BH4" s="23"/>
      <c r="BI4" s="23"/>
      <c r="BJ4" s="23"/>
      <c r="BK4" s="23"/>
    </row>
    <row r="5" ht="15.75" customHeight="1">
      <c r="A5" s="24" t="str">
        <f>IFERROR(__xludf.DUMMYFUNCTION("TRANSPOSE(IMPORTRANGE(VLOOKUP($E$3,IMPORTRANGE('_Settings'!$B$3,$C$3&amp;""!A4:B1000""),2,FALSE),$G$3&amp;""!A4:A1000""))"),"#REF!")</f>
        <v>#REF!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</row>
    <row r="6" ht="15.75" customHeight="1">
      <c r="A6" s="7"/>
      <c r="B6" t="s">
        <v>29</v>
      </c>
      <c r="C6" t="s">
        <v>30</v>
      </c>
    </row>
    <row r="7" ht="15.75" customHeight="1">
      <c r="A7" s="7"/>
      <c r="B7" s="7" t="s">
        <v>36</v>
      </c>
      <c r="C7" s="7" t="s">
        <v>37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3" width="14.4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8"/>
      <c r="L2" s="7"/>
      <c r="M2" s="7"/>
      <c r="N2" s="7"/>
      <c r="O2" s="7"/>
    </row>
    <row r="3" ht="15.75" customHeight="1">
      <c r="A3" s="19"/>
      <c r="B3" s="4" t="s">
        <v>8</v>
      </c>
      <c r="C3" s="20" t="s">
        <v>91</v>
      </c>
      <c r="D3" s="4" t="s">
        <v>9</v>
      </c>
      <c r="E3" s="20" t="s">
        <v>92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93</v>
      </c>
      <c r="D4" s="22" t="s">
        <v>92</v>
      </c>
      <c r="E4" s="22" t="s">
        <v>94</v>
      </c>
      <c r="F4" s="22" t="s">
        <v>95</v>
      </c>
      <c r="G4" s="22" t="s">
        <v>96</v>
      </c>
      <c r="H4" s="22" t="s">
        <v>97</v>
      </c>
      <c r="I4" s="22" t="s">
        <v>98</v>
      </c>
      <c r="J4" s="22" t="s">
        <v>99</v>
      </c>
      <c r="K4" s="22" t="s">
        <v>100</v>
      </c>
      <c r="L4" s="22" t="s">
        <v>101</v>
      </c>
      <c r="M4" s="22" t="s">
        <v>102</v>
      </c>
      <c r="N4" s="22" t="s">
        <v>103</v>
      </c>
      <c r="O4" s="22" t="s">
        <v>104</v>
      </c>
      <c r="P4" s="23" t="s">
        <v>105</v>
      </c>
      <c r="Q4" s="23" t="s">
        <v>106</v>
      </c>
      <c r="R4" s="23" t="s">
        <v>107</v>
      </c>
      <c r="S4" s="23" t="s">
        <v>108</v>
      </c>
      <c r="T4" s="23" t="s">
        <v>109</v>
      </c>
      <c r="U4" s="23" t="s">
        <v>110</v>
      </c>
      <c r="V4" s="23" t="s">
        <v>111</v>
      </c>
      <c r="W4" s="23" t="s">
        <v>112</v>
      </c>
      <c r="X4" s="23" t="s">
        <v>113</v>
      </c>
      <c r="Y4" s="23" t="s">
        <v>114</v>
      </c>
      <c r="Z4" s="23" t="s">
        <v>115</v>
      </c>
      <c r="AA4" s="23" t="s">
        <v>116</v>
      </c>
      <c r="AB4" s="23" t="s">
        <v>117</v>
      </c>
      <c r="AC4" s="23" t="s">
        <v>118</v>
      </c>
      <c r="AD4" s="23" t="s">
        <v>100</v>
      </c>
      <c r="AE4" s="23" t="s">
        <v>119</v>
      </c>
      <c r="AF4" s="23" t="s">
        <v>120</v>
      </c>
      <c r="AG4" s="23" t="s">
        <v>121</v>
      </c>
      <c r="AH4" s="23" t="s">
        <v>122</v>
      </c>
      <c r="AI4" s="23" t="s">
        <v>123</v>
      </c>
      <c r="AJ4" s="23" t="s">
        <v>124</v>
      </c>
      <c r="AK4" s="23" t="s">
        <v>125</v>
      </c>
      <c r="AL4" s="23" t="s">
        <v>126</v>
      </c>
      <c r="AM4" s="23" t="s">
        <v>127</v>
      </c>
      <c r="AN4" s="23" t="s">
        <v>128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133</v>
      </c>
      <c r="AT4" s="23" t="s">
        <v>134</v>
      </c>
      <c r="AU4" s="23" t="s">
        <v>135</v>
      </c>
      <c r="AV4" s="23" t="s">
        <v>136</v>
      </c>
      <c r="AW4" s="23" t="s">
        <v>137</v>
      </c>
      <c r="AX4" s="23" t="s">
        <v>138</v>
      </c>
      <c r="AY4" s="23" t="s">
        <v>139</v>
      </c>
      <c r="AZ4" s="23" t="s">
        <v>140</v>
      </c>
      <c r="BA4" s="23" t="s">
        <v>141</v>
      </c>
      <c r="BB4" s="23" t="s">
        <v>142</v>
      </c>
      <c r="BC4" s="23" t="s">
        <v>143</v>
      </c>
      <c r="BD4" s="23" t="s">
        <v>144</v>
      </c>
      <c r="BE4" s="23" t="s">
        <v>145</v>
      </c>
      <c r="BF4" s="23" t="s">
        <v>146</v>
      </c>
      <c r="BG4" s="23" t="s">
        <v>147</v>
      </c>
      <c r="BH4" s="23" t="s">
        <v>148</v>
      </c>
      <c r="BI4" s="23" t="s">
        <v>149</v>
      </c>
      <c r="BJ4" s="23" t="s">
        <v>150</v>
      </c>
      <c r="BK4" s="23" t="s">
        <v>83</v>
      </c>
      <c r="BL4" s="23" t="s">
        <v>151</v>
      </c>
      <c r="BM4" s="23" t="s">
        <v>152</v>
      </c>
      <c r="BN4" s="23" t="s">
        <v>153</v>
      </c>
      <c r="BO4" s="23" t="s">
        <v>154</v>
      </c>
      <c r="BP4" s="23" t="s">
        <v>155</v>
      </c>
      <c r="BQ4" s="23" t="s">
        <v>156</v>
      </c>
      <c r="BR4" s="23" t="s">
        <v>157</v>
      </c>
      <c r="BS4" s="23" t="s">
        <v>158</v>
      </c>
      <c r="BT4" s="23" t="s">
        <v>159</v>
      </c>
      <c r="BU4" s="23" t="s">
        <v>160</v>
      </c>
      <c r="BV4" s="23" t="s">
        <v>161</v>
      </c>
      <c r="BW4" s="23" t="s">
        <v>162</v>
      </c>
      <c r="BX4" s="23" t="s">
        <v>93</v>
      </c>
      <c r="BY4" s="23" t="s">
        <v>163</v>
      </c>
      <c r="BZ4" s="23" t="s">
        <v>164</v>
      </c>
      <c r="CA4" s="23" t="s">
        <v>165</v>
      </c>
      <c r="CB4" s="23" t="s">
        <v>166</v>
      </c>
      <c r="CC4" s="23" t="s">
        <v>167</v>
      </c>
      <c r="CD4" s="23" t="s">
        <v>168</v>
      </c>
      <c r="CE4" s="23" t="s">
        <v>169</v>
      </c>
      <c r="CF4" s="23" t="s">
        <v>170</v>
      </c>
      <c r="CG4" s="23" t="s">
        <v>171</v>
      </c>
      <c r="CH4" s="23" t="s">
        <v>172</v>
      </c>
      <c r="CI4" s="23" t="s">
        <v>173</v>
      </c>
      <c r="CJ4" s="23" t="s">
        <v>174</v>
      </c>
      <c r="CK4" s="23" t="s">
        <v>175</v>
      </c>
      <c r="CL4" s="23" t="s">
        <v>176</v>
      </c>
      <c r="CM4" s="23" t="s">
        <v>177</v>
      </c>
      <c r="CN4" s="23" t="s">
        <v>178</v>
      </c>
      <c r="CO4" s="23" t="s">
        <v>179</v>
      </c>
      <c r="CP4" s="23" t="s">
        <v>180</v>
      </c>
      <c r="CQ4" s="23" t="s">
        <v>181</v>
      </c>
      <c r="CR4" s="23" t="s">
        <v>182</v>
      </c>
      <c r="CS4" s="23" t="s">
        <v>183</v>
      </c>
      <c r="CT4" s="23" t="s">
        <v>184</v>
      </c>
      <c r="CU4" s="23" t="s">
        <v>185</v>
      </c>
      <c r="CV4" s="23" t="s">
        <v>186</v>
      </c>
      <c r="CW4" s="23" t="s">
        <v>187</v>
      </c>
      <c r="CX4" s="23" t="s">
        <v>188</v>
      </c>
      <c r="CY4" s="23" t="s">
        <v>189</v>
      </c>
      <c r="CZ4" s="23"/>
      <c r="DA4" s="23"/>
      <c r="DB4" s="23"/>
      <c r="DC4" s="23"/>
      <c r="DD4" s="23"/>
      <c r="DE4" s="23"/>
      <c r="DF4" s="23"/>
      <c r="DG4" s="23"/>
      <c r="DH4" s="23"/>
      <c r="DI4" s="23"/>
    </row>
    <row r="5" ht="15.75" customHeight="1">
      <c r="A5" s="24" t="str">
        <f>IFERROR(__xludf.DUMMYFUNCTION("TRANSPOSE(IMPORTRANGE(VLOOKUP($E$3,IMPORTRANGE('_Settings'!$B$3,$C$3&amp;""!A4:B1000""),2,FALSE),$G$3&amp;""!A4:A1000""))"),"#REF!")</f>
        <v>#REF!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</row>
    <row r="6" ht="15.75" customHeight="1">
      <c r="A6" s="7"/>
      <c r="B6" t="s">
        <v>190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13" width="14.4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8"/>
      <c r="L2" s="7"/>
      <c r="M2" s="7"/>
      <c r="N2" s="7"/>
      <c r="O2" s="7"/>
    </row>
    <row r="3" ht="15.75" customHeight="1">
      <c r="A3" s="19"/>
      <c r="B3" s="4" t="s">
        <v>8</v>
      </c>
      <c r="C3" s="20" t="s">
        <v>91</v>
      </c>
      <c r="D3" s="4" t="s">
        <v>9</v>
      </c>
      <c r="E3" s="20" t="s">
        <v>154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93</v>
      </c>
      <c r="D4" s="22" t="s">
        <v>92</v>
      </c>
      <c r="E4" s="22" t="s">
        <v>94</v>
      </c>
      <c r="F4" s="22" t="s">
        <v>95</v>
      </c>
      <c r="G4" s="22" t="s">
        <v>96</v>
      </c>
      <c r="H4" s="22" t="s">
        <v>97</v>
      </c>
      <c r="I4" s="22" t="s">
        <v>98</v>
      </c>
      <c r="J4" s="22" t="s">
        <v>99</v>
      </c>
      <c r="K4" s="22" t="s">
        <v>100</v>
      </c>
      <c r="L4" s="22" t="s">
        <v>101</v>
      </c>
      <c r="M4" s="22" t="s">
        <v>102</v>
      </c>
      <c r="N4" s="22" t="s">
        <v>103</v>
      </c>
      <c r="O4" s="22" t="s">
        <v>104</v>
      </c>
      <c r="P4" s="23" t="s">
        <v>105</v>
      </c>
      <c r="Q4" s="23" t="s">
        <v>106</v>
      </c>
      <c r="R4" s="23" t="s">
        <v>107</v>
      </c>
      <c r="S4" s="23" t="s">
        <v>108</v>
      </c>
      <c r="T4" s="23" t="s">
        <v>109</v>
      </c>
      <c r="U4" s="23" t="s">
        <v>110</v>
      </c>
      <c r="V4" s="23" t="s">
        <v>111</v>
      </c>
      <c r="W4" s="23" t="s">
        <v>112</v>
      </c>
      <c r="X4" s="23" t="s">
        <v>113</v>
      </c>
      <c r="Y4" s="23" t="s">
        <v>114</v>
      </c>
      <c r="Z4" s="23" t="s">
        <v>115</v>
      </c>
      <c r="AA4" s="23" t="s">
        <v>116</v>
      </c>
      <c r="AB4" s="23" t="s">
        <v>117</v>
      </c>
      <c r="AC4" s="23" t="s">
        <v>118</v>
      </c>
      <c r="AD4" s="23" t="s">
        <v>100</v>
      </c>
      <c r="AE4" s="23" t="s">
        <v>119</v>
      </c>
      <c r="AF4" s="23" t="s">
        <v>120</v>
      </c>
      <c r="AG4" s="23" t="s">
        <v>121</v>
      </c>
      <c r="AH4" s="23" t="s">
        <v>122</v>
      </c>
      <c r="AI4" s="23" t="s">
        <v>123</v>
      </c>
      <c r="AJ4" s="23" t="s">
        <v>124</v>
      </c>
      <c r="AK4" s="23" t="s">
        <v>125</v>
      </c>
      <c r="AL4" s="23" t="s">
        <v>126</v>
      </c>
      <c r="AM4" s="23" t="s">
        <v>127</v>
      </c>
      <c r="AN4" s="23" t="s">
        <v>128</v>
      </c>
      <c r="AO4" s="23" t="s">
        <v>129</v>
      </c>
      <c r="AP4" s="23" t="s">
        <v>130</v>
      </c>
      <c r="AQ4" s="23" t="s">
        <v>131</v>
      </c>
      <c r="AR4" s="23" t="s">
        <v>132</v>
      </c>
      <c r="AS4" s="23" t="s">
        <v>133</v>
      </c>
      <c r="AT4" s="23" t="s">
        <v>134</v>
      </c>
      <c r="AU4" s="23" t="s">
        <v>135</v>
      </c>
      <c r="AV4" s="23" t="s">
        <v>136</v>
      </c>
      <c r="AW4" s="23" t="s">
        <v>137</v>
      </c>
      <c r="AX4" s="23" t="s">
        <v>138</v>
      </c>
      <c r="AY4" s="23" t="s">
        <v>139</v>
      </c>
      <c r="AZ4" s="23" t="s">
        <v>140</v>
      </c>
      <c r="BA4" s="23" t="s">
        <v>141</v>
      </c>
      <c r="BB4" s="23" t="s">
        <v>142</v>
      </c>
      <c r="BC4" s="23" t="s">
        <v>143</v>
      </c>
      <c r="BD4" s="23" t="s">
        <v>144</v>
      </c>
      <c r="BE4" s="23" t="s">
        <v>145</v>
      </c>
      <c r="BF4" s="23" t="s">
        <v>146</v>
      </c>
      <c r="BG4" s="23" t="s">
        <v>147</v>
      </c>
      <c r="BH4" s="23" t="s">
        <v>148</v>
      </c>
      <c r="BI4" s="23" t="s">
        <v>149</v>
      </c>
      <c r="BJ4" s="23" t="s">
        <v>150</v>
      </c>
      <c r="BK4" s="23" t="s">
        <v>83</v>
      </c>
      <c r="BL4" s="23" t="s">
        <v>151</v>
      </c>
      <c r="BM4" s="23" t="s">
        <v>152</v>
      </c>
      <c r="BN4" s="23" t="s">
        <v>153</v>
      </c>
      <c r="BO4" s="23" t="s">
        <v>154</v>
      </c>
      <c r="BP4" s="23" t="s">
        <v>155</v>
      </c>
      <c r="BQ4" s="23" t="s">
        <v>156</v>
      </c>
      <c r="BR4" s="23" t="s">
        <v>157</v>
      </c>
      <c r="BS4" s="23" t="s">
        <v>158</v>
      </c>
      <c r="BT4" s="23" t="s">
        <v>159</v>
      </c>
      <c r="BU4" s="23" t="s">
        <v>160</v>
      </c>
      <c r="BV4" s="23" t="s">
        <v>161</v>
      </c>
      <c r="BW4" s="23" t="s">
        <v>162</v>
      </c>
      <c r="BX4" s="23" t="s">
        <v>93</v>
      </c>
      <c r="BY4" s="23" t="s">
        <v>163</v>
      </c>
      <c r="BZ4" s="23" t="s">
        <v>164</v>
      </c>
      <c r="CA4" s="23" t="s">
        <v>165</v>
      </c>
      <c r="CB4" s="23" t="s">
        <v>166</v>
      </c>
      <c r="CC4" s="23" t="s">
        <v>167</v>
      </c>
      <c r="CD4" s="23" t="s">
        <v>168</v>
      </c>
      <c r="CE4" s="23" t="s">
        <v>169</v>
      </c>
      <c r="CF4" s="23" t="s">
        <v>170</v>
      </c>
      <c r="CG4" s="23" t="s">
        <v>171</v>
      </c>
      <c r="CH4" s="23" t="s">
        <v>172</v>
      </c>
      <c r="CI4" s="23" t="s">
        <v>173</v>
      </c>
      <c r="CJ4" s="23" t="s">
        <v>174</v>
      </c>
      <c r="CK4" s="23" t="s">
        <v>175</v>
      </c>
      <c r="CL4" s="23" t="s">
        <v>176</v>
      </c>
      <c r="CM4" s="23" t="s">
        <v>177</v>
      </c>
      <c r="CN4" s="23" t="s">
        <v>178</v>
      </c>
      <c r="CO4" s="23" t="s">
        <v>179</v>
      </c>
      <c r="CP4" s="23" t="s">
        <v>180</v>
      </c>
      <c r="CQ4" s="23" t="s">
        <v>181</v>
      </c>
      <c r="CR4" s="23" t="s">
        <v>182</v>
      </c>
      <c r="CS4" s="23" t="s">
        <v>183</v>
      </c>
      <c r="CT4" s="23" t="s">
        <v>184</v>
      </c>
      <c r="CU4" s="23" t="s">
        <v>185</v>
      </c>
      <c r="CV4" s="23" t="s">
        <v>186</v>
      </c>
      <c r="CW4" s="23" t="s">
        <v>187</v>
      </c>
      <c r="CX4" s="23" t="s">
        <v>188</v>
      </c>
      <c r="CY4" s="23" t="s">
        <v>189</v>
      </c>
      <c r="CZ4" s="23"/>
      <c r="DA4" s="23"/>
      <c r="DB4" s="23"/>
      <c r="DC4" s="23"/>
      <c r="DD4" s="23"/>
      <c r="DE4" s="23"/>
      <c r="DF4" s="23"/>
      <c r="DG4" s="23"/>
      <c r="DH4" s="23"/>
      <c r="DI4" s="23"/>
    </row>
    <row r="5" ht="15.75" customHeight="1">
      <c r="A5" s="24" t="str">
        <f>IFERROR(__xludf.DUMMYFUNCTION("TRANSPOSE(IMPORTRANGE(VLOOKUP($E$3,IMPORTRANGE('_Settings'!$B$3,$C$3&amp;""!A4:B1000""),2,FALSE),$G$3&amp;""!A4:A1000""))"),"#REF!")</f>
        <v>#REF!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</row>
    <row r="6" ht="15.75" customHeight="1">
      <c r="A6" s="7"/>
      <c r="B6" s="27" t="s">
        <v>31</v>
      </c>
      <c r="BO6" t="s">
        <v>30</v>
      </c>
      <c r="BT6" t="s">
        <v>29</v>
      </c>
    </row>
    <row r="7" ht="15.75" customHeight="1">
      <c r="A7" s="7"/>
      <c r="B7" s="27" t="s">
        <v>38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BO7" s="7" t="s">
        <v>37</v>
      </c>
      <c r="BT7" s="7" t="s">
        <v>36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5"/>
      <c r="B1" s="1" t="s">
        <v>11</v>
      </c>
      <c r="C1" s="2"/>
      <c r="D1" s="2"/>
      <c r="E1" s="2"/>
      <c r="F1" s="2"/>
      <c r="G1" s="2"/>
      <c r="H1" s="2"/>
      <c r="I1" s="15"/>
      <c r="J1" s="15"/>
      <c r="K1" s="15"/>
      <c r="L1" s="15"/>
      <c r="M1" s="15"/>
      <c r="N1" s="15"/>
      <c r="O1" s="15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7" t="str">
        <f> VLOOKUP($E$3,'_MasterData'!B4:D1000,3,FALSE)</f>
        <v>#N/A</v>
      </c>
      <c r="K2" s="18"/>
      <c r="L2" s="7"/>
      <c r="M2" s="7"/>
      <c r="N2" s="7"/>
      <c r="O2" s="7"/>
    </row>
    <row r="3" ht="15.75" customHeight="1">
      <c r="A3" s="19"/>
      <c r="B3" s="4" t="s">
        <v>8</v>
      </c>
      <c r="C3" s="20" t="s">
        <v>191</v>
      </c>
      <c r="D3" s="4" t="s">
        <v>9</v>
      </c>
      <c r="E3" s="20" t="s">
        <v>192</v>
      </c>
      <c r="F3" s="4" t="s">
        <v>14</v>
      </c>
      <c r="G3" s="20" t="s">
        <v>15</v>
      </c>
      <c r="H3" s="4"/>
      <c r="I3" s="19"/>
      <c r="J3" s="19"/>
      <c r="K3" s="19"/>
      <c r="L3" s="19"/>
      <c r="M3" s="19"/>
      <c r="N3" s="19"/>
      <c r="O3" s="19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192</v>
      </c>
      <c r="D4" s="22" t="s">
        <v>193</v>
      </c>
      <c r="E4" s="22" t="s">
        <v>194</v>
      </c>
      <c r="F4" s="22" t="s">
        <v>195</v>
      </c>
      <c r="G4" s="22" t="s">
        <v>196</v>
      </c>
      <c r="H4" s="22" t="s">
        <v>197</v>
      </c>
      <c r="I4" s="22" t="s">
        <v>198</v>
      </c>
      <c r="J4" s="22" t="s">
        <v>199</v>
      </c>
      <c r="K4" s="22" t="s">
        <v>200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ht="15.75" customHeight="1">
      <c r="A5" s="24" t="str">
        <f>IFERROR(__xludf.DUMMYFUNCTION("TRANSPOSE(IMPORTRANGE(VLOOKUP($E$3,IMPORTRANGE('_Settings'!$B$3,$C$3&amp;""!A4:B1000""),2,FALSE),$G$3&amp;""!A4:A1000""))"),"#REF!")</f>
        <v>#REF!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ht="15.75" customHeight="1">
      <c r="A6" s="7"/>
      <c r="C6" t="s">
        <v>29</v>
      </c>
      <c r="E6" s="27" t="s">
        <v>31</v>
      </c>
      <c r="AN6" t="s">
        <v>30</v>
      </c>
    </row>
    <row r="7" ht="15.75" customHeight="1">
      <c r="A7" s="7"/>
      <c r="B7" s="7"/>
      <c r="C7" s="7" t="s">
        <v>36</v>
      </c>
      <c r="D7" s="7"/>
      <c r="E7" s="8" t="s">
        <v>38</v>
      </c>
      <c r="F7" s="7"/>
      <c r="G7" s="7"/>
      <c r="H7" s="7"/>
      <c r="I7" s="7"/>
      <c r="J7" s="7"/>
      <c r="K7" s="7"/>
      <c r="L7" s="7"/>
      <c r="M7" s="7"/>
      <c r="N7" s="7"/>
      <c r="O7" s="7"/>
      <c r="AN7" t="s">
        <v>37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