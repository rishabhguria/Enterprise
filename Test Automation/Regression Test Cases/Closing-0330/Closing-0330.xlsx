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<sst xmlns="http://schemas.openxmlformats.org/spreadsheetml/2006/main" count="68" uniqueCount="68">
  <si>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</si>
  <si>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</si>
  <si>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</si>
  <si>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</si>
  <si>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</si>
  <si>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</si>
  <si>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</si>
  <si>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</si>
  <si>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</si>
  <si>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</si>
  <si>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</si>
  <si>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</si>
  <si>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</si>
  <si>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</si>
  <si>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</si>
  <si>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</si>
  <si>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</si>
  <si>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</si>
  <si>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</si>
  <si>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HIFO</t>
  </si>
  <si>
    <t>TradingTicket</t>
  </si>
  <si>
    <t>CreateDoneAwayOrder</t>
  </si>
  <si>
    <t>AAPL</t>
  </si>
  <si>
    <t>Buy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</si>
  <si>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</si>
  <si>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</si>
  <si>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</si>
  <si>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</si>
  <si>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</si>
  <si>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</si>
  <si>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</si>
  <si>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</si>
  <si>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</si>
  <si>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</si>
  <si>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</si>
  <si>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</si>
  <si>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</si>
  <si>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</si>
  <si>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</si>
  <si>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</si>
  <si>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</si>
  <si>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</si>
  <si>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</si>
  <si>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</si>
  <si>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APPLE</t>
  </si>
  <si>
    <t>USD</t>
  </si>
  <si>
    <t>NASDAQ</t>
  </si>
  <si>
    <t>M</t>
  </si>
  <si>
    <t>Market</t>
  </si>
  <si>
    <t>GCCAP1</t>
  </si>
  <si>
    <t>US</t>
  </si>
  <si>
    <t>jpearce</t>
  </si>
  <si>
    <t>EquityOption</t>
  </si>
  <si>
    <t>OPTS</t>
  </si>
  <si>
    <t>P</t>
  </si>
  <si>
    <t>BuytoOpen</t>
  </si>
  <si>
    <t>Sell to Close</t>
  </si>
  <si>
    <t>Exercise</t>
  </si>
  <si>
    <t>D</t>
  </si>
  <si>
    <t>Sell short</t>
  </si>
  <si>
    <t>Sell</t>
  </si>
  <si>
    <t>CheckAllocatedTaxlots</t>
  </si>
  <si>
    <t>PortfolioManagement</t>
  </si>
  <si>
    <t>CheckPortfolioManagement</t>
  </si>
  <si>
    <t>NewMF</t>
  </si>
  <si>
    <t>Short</t>
  </si>
  <si>
    <t>FIMAT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</si>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</sst>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 ref="C6:C7" t="shared" si="1">TODAY()+20</f>
        <v>45068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16</v>
      </c>
      <c r="C7" s="31">
        <f t="shared" si="1"/>
        <v>45068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16</v>
      </c>
      <c r="C8" s="31">
        <f>TODAY()+21</f>
        <v>45069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19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6" t="s">
        <v>23</v>
      </c>
      <c r="D6" s="37">
        <v>1100</v>
      </c>
      <c r="E6" s="36"/>
      <c r="F6" s="36"/>
      <c r="G6" s="36"/>
      <c r="H6" s="36"/>
      <c r="I6" s="36"/>
      <c r="J6" s="38">
        <v>1</v>
      </c>
      <c r="K6" s="36"/>
      <c r="L6" s="36"/>
      <c r="M6" s="36"/>
      <c r="N6" s="31">
        <f ref="N6:N7" t="shared" si="1">TODAY()-8</f>
        <v>45040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9" t="s">
        <v>16</v>
      </c>
      <c r="C7" s="13" t="s">
        <v>24</v>
      </c>
      <c r="D7" s="38">
        <v>10</v>
      </c>
      <c r="E7" s="36"/>
      <c r="F7" s="36"/>
      <c r="G7" s="36"/>
      <c r="H7" s="36"/>
      <c r="I7" s="36"/>
      <c r="J7" s="38">
        <v>10</v>
      </c>
      <c r="K7" s="36"/>
      <c r="L7" s="36"/>
      <c r="M7" s="36"/>
      <c r="N7" s="31">
        <f t="shared" si="1"/>
        <v>45040</v>
      </c>
      <c r="O7" s="8"/>
    </row>
    <row r="8" ht="15.75" customHeight="1">
      <c r="A8" s="8"/>
      <c r="B8" s="9" t="s">
        <v>16</v>
      </c>
      <c r="C8" s="13" t="s">
        <v>24</v>
      </c>
      <c r="D8" s="38">
        <v>10</v>
      </c>
      <c r="E8" s="36"/>
      <c r="F8" s="36"/>
      <c r="G8" s="34" t="s">
        <v>25</v>
      </c>
      <c r="H8" s="36"/>
      <c r="I8" s="36"/>
      <c r="J8" s="38">
        <v>10</v>
      </c>
      <c r="K8" s="36"/>
      <c r="L8" s="36"/>
      <c r="M8" s="36"/>
      <c r="N8" s="31">
        <f>TODAY()-7</f>
        <v>45041</v>
      </c>
      <c r="O8" s="8"/>
    </row>
    <row r="9" ht="15.75" customHeight="1">
      <c r="A9" s="8"/>
      <c r="B9" s="9" t="s">
        <v>16</v>
      </c>
      <c r="C9" s="13" t="s">
        <v>24</v>
      </c>
      <c r="D9" s="38">
        <v>10</v>
      </c>
      <c r="E9" s="36"/>
      <c r="F9" s="36"/>
      <c r="G9" s="36"/>
      <c r="H9" s="36"/>
      <c r="I9" s="36"/>
      <c r="J9" s="38">
        <v>10</v>
      </c>
      <c r="K9" s="36"/>
      <c r="L9" s="36"/>
      <c r="M9" s="34" t="s">
        <v>26</v>
      </c>
      <c r="N9" s="31">
        <f>TODAY()-6</f>
        <v>45042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>
        <f>TODAY()-1</f>
        <v>45047</v>
      </c>
      <c r="C6" s="31">
        <f>TODAY()</f>
        <v>45048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8">
        <v>120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31</v>
      </c>
      <c r="C6" s="40" t="s">
        <v>32</v>
      </c>
      <c r="D6" s="40">
        <f>TODAY()</f>
        <v>45048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34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H6" s="9" t="s">
        <v>16</v>
      </c>
    </row>
    <row r="7" ht="15.75" customHeight="1">
      <c r="A7" s="8"/>
      <c r="B7" s="34" t="s">
        <v>34</v>
      </c>
      <c r="C7" s="36"/>
      <c r="D7" s="36"/>
      <c r="E7" s="36"/>
      <c r="F7" s="36"/>
      <c r="G7" s="36"/>
      <c r="H7" s="36"/>
      <c r="I7" s="36"/>
      <c r="J7" s="36"/>
      <c r="K7" s="36" t="s">
        <v>25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</row>
    <row r="8" ht="15.75" customHeight="1">
      <c r="A8" s="8"/>
      <c r="B8" s="34" t="s">
        <v>34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31</v>
      </c>
      <c r="C6" s="40" t="s">
        <v>32</v>
      </c>
      <c r="D6" s="40">
        <f>TODAY()</f>
        <v>45048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 t="s">
        <v>34</v>
      </c>
      <c r="C6" s="8" t="s">
        <v>39</v>
      </c>
      <c r="D6" s="41"/>
      <c r="E6" s="8">
        <v>1100</v>
      </c>
      <c r="F6" s="8" t="s">
        <v>40</v>
      </c>
      <c r="G6" s="8" t="s">
        <v>41</v>
      </c>
      <c r="H6" s="8"/>
      <c r="I6" s="8"/>
      <c r="J6" s="8"/>
      <c r="K6" s="8">
        <v>1</v>
      </c>
      <c r="L6" s="8">
        <v>1</v>
      </c>
      <c r="M6" s="8" t="s">
        <v>42</v>
      </c>
      <c r="N6" s="8" t="s">
        <v>39</v>
      </c>
      <c r="O6" s="8" t="s">
        <v>43</v>
      </c>
      <c r="V6" s="0" t="s">
        <v>44</v>
      </c>
      <c r="W6" s="0">
        <v>1</v>
      </c>
      <c r="X6" s="0" t="s">
        <v>39</v>
      </c>
      <c r="Y6" s="0" t="s">
        <v>39</v>
      </c>
      <c r="Z6" s="0" t="s">
        <v>45</v>
      </c>
      <c r="AB6" s="0">
        <v>1</v>
      </c>
      <c r="AD6" s="0" t="s">
        <v>46</v>
      </c>
      <c r="AE6" s="0">
        <v>1100</v>
      </c>
      <c r="AF6" s="0" t="s">
        <v>39</v>
      </c>
      <c r="AH6" s="0" t="s">
        <v>47</v>
      </c>
      <c r="AI6" s="0">
        <v>1</v>
      </c>
      <c r="AT6" s="0">
        <v>1114.0006</v>
      </c>
      <c r="AU6" s="0">
        <v>1114.0006</v>
      </c>
      <c r="AY6" s="0" t="s">
        <v>48</v>
      </c>
      <c r="BE6" s="0">
        <v>1100</v>
      </c>
      <c r="BF6" s="0">
        <v>1100</v>
      </c>
      <c r="BJ6" s="0">
        <v>1100</v>
      </c>
      <c r="BL6" s="0" t="s">
        <v>39</v>
      </c>
      <c r="BM6" s="0" t="s">
        <v>45</v>
      </c>
      <c r="BO6" s="0" t="s">
        <v>23</v>
      </c>
      <c r="BT6" s="0" t="s">
        <v>22</v>
      </c>
      <c r="CF6" s="0" t="s">
        <v>49</v>
      </c>
      <c r="CH6" s="0" t="s">
        <v>20</v>
      </c>
      <c r="CI6" s="0" t="s">
        <v>23</v>
      </c>
      <c r="CK6" s="0" t="s">
        <v>50</v>
      </c>
      <c r="CL6" s="0">
        <v>1</v>
      </c>
      <c r="CM6" s="0" t="s">
        <v>22</v>
      </c>
      <c r="CN6" s="0" t="s">
        <v>51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D6" s="0">
        <v>0</v>
      </c>
      <c r="FE6" s="0" t="s">
        <v>39</v>
      </c>
      <c r="FF6" s="0" t="s">
        <v>39</v>
      </c>
      <c r="FG6" s="0">
        <v>0</v>
      </c>
      <c r="FH6" s="0" t="s">
        <v>39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</v>
      </c>
      <c r="F7" s="8" t="s">
        <v>40</v>
      </c>
      <c r="G7" s="8" t="s">
        <v>52</v>
      </c>
      <c r="H7" s="8"/>
      <c r="I7" s="8"/>
      <c r="J7" s="8"/>
      <c r="K7" s="8">
        <v>10</v>
      </c>
      <c r="L7" s="8">
        <v>10</v>
      </c>
      <c r="M7" s="8"/>
      <c r="N7" s="8" t="s">
        <v>39</v>
      </c>
      <c r="O7" s="8" t="s">
        <v>43</v>
      </c>
      <c r="V7" s="0" t="s">
        <v>16</v>
      </c>
      <c r="W7" s="0">
        <v>100</v>
      </c>
      <c r="X7" s="0" t="s">
        <v>39</v>
      </c>
      <c r="Y7" s="0" t="s">
        <v>39</v>
      </c>
      <c r="Z7" s="0" t="s">
        <v>45</v>
      </c>
      <c r="AB7" s="0">
        <v>1</v>
      </c>
      <c r="AD7" s="0" t="s">
        <v>53</v>
      </c>
      <c r="AE7" s="0">
        <v>10</v>
      </c>
      <c r="AF7" s="0" t="s">
        <v>39</v>
      </c>
      <c r="AH7" s="0" t="s">
        <v>47</v>
      </c>
      <c r="AI7" s="0">
        <v>1</v>
      </c>
      <c r="AT7" s="0">
        <v>10000</v>
      </c>
      <c r="AU7" s="0">
        <v>10000</v>
      </c>
      <c r="AY7" s="0" t="s">
        <v>48</v>
      </c>
      <c r="BE7" s="0">
        <v>10000</v>
      </c>
      <c r="BF7" s="0">
        <v>10000</v>
      </c>
      <c r="BI7" s="0" t="s">
        <v>54</v>
      </c>
      <c r="BJ7" s="0">
        <v>10</v>
      </c>
      <c r="BL7" s="0" t="s">
        <v>39</v>
      </c>
      <c r="BM7" s="0" t="s">
        <v>45</v>
      </c>
      <c r="BO7" s="0" t="s">
        <v>24</v>
      </c>
      <c r="BT7" s="0" t="s">
        <v>16</v>
      </c>
      <c r="CF7" s="0" t="s">
        <v>49</v>
      </c>
      <c r="CH7" s="0" t="s">
        <v>20</v>
      </c>
      <c r="CI7" s="0" t="s">
        <v>55</v>
      </c>
      <c r="CK7" s="0" t="s">
        <v>50</v>
      </c>
      <c r="CL7" s="0">
        <v>1</v>
      </c>
      <c r="CM7" s="0" t="s">
        <v>22</v>
      </c>
      <c r="CN7" s="0" t="s">
        <v>51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D7" s="0">
        <v>0</v>
      </c>
      <c r="FE7" s="0" t="s">
        <v>39</v>
      </c>
      <c r="FF7" s="0" t="s">
        <v>39</v>
      </c>
      <c r="FG7" s="0">
        <v>0</v>
      </c>
      <c r="FH7" s="0" t="s">
        <v>39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</v>
      </c>
      <c r="F8" s="8" t="s">
        <v>40</v>
      </c>
      <c r="G8" s="8" t="s">
        <v>52</v>
      </c>
      <c r="H8" s="8"/>
      <c r="I8" s="8"/>
      <c r="J8" s="8"/>
      <c r="K8" s="8">
        <v>10</v>
      </c>
      <c r="L8" s="8">
        <v>10</v>
      </c>
      <c r="M8" s="8"/>
      <c r="N8" s="8" t="s">
        <v>39</v>
      </c>
      <c r="O8" s="8" t="s">
        <v>25</v>
      </c>
      <c r="V8" s="0" t="s">
        <v>16</v>
      </c>
      <c r="W8" s="0">
        <v>100</v>
      </c>
      <c r="X8" s="0" t="s">
        <v>39</v>
      </c>
      <c r="Y8" s="0" t="s">
        <v>39</v>
      </c>
      <c r="Z8" s="0" t="s">
        <v>45</v>
      </c>
      <c r="AB8" s="0">
        <v>1</v>
      </c>
      <c r="AD8" s="0" t="s">
        <v>53</v>
      </c>
      <c r="AE8" s="0">
        <v>10</v>
      </c>
      <c r="AF8" s="0" t="s">
        <v>39</v>
      </c>
      <c r="AH8" s="0" t="s">
        <v>47</v>
      </c>
      <c r="AI8" s="0">
        <v>1</v>
      </c>
      <c r="AT8" s="0">
        <v>10000</v>
      </c>
      <c r="AU8" s="0">
        <v>10000</v>
      </c>
      <c r="AY8" s="0" t="s">
        <v>48</v>
      </c>
      <c r="BE8" s="0">
        <v>10000</v>
      </c>
      <c r="BF8" s="0">
        <v>10000</v>
      </c>
      <c r="BI8" s="0" t="s">
        <v>54</v>
      </c>
      <c r="BJ8" s="0">
        <v>10</v>
      </c>
      <c r="BL8" s="0" t="s">
        <v>39</v>
      </c>
      <c r="BM8" s="0" t="s">
        <v>45</v>
      </c>
      <c r="BO8" s="0" t="s">
        <v>24</v>
      </c>
      <c r="BT8" s="0" t="s">
        <v>16</v>
      </c>
      <c r="CF8" s="0" t="s">
        <v>49</v>
      </c>
      <c r="CH8" s="0" t="s">
        <v>20</v>
      </c>
      <c r="CI8" s="0" t="s">
        <v>55</v>
      </c>
      <c r="CK8" s="0" t="s">
        <v>50</v>
      </c>
      <c r="CL8" s="0">
        <v>1</v>
      </c>
      <c r="CM8" s="0" t="s">
        <v>22</v>
      </c>
      <c r="CN8" s="0" t="s">
        <v>51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D8" s="0">
        <v>0</v>
      </c>
      <c r="FE8" s="0" t="s">
        <v>39</v>
      </c>
      <c r="FF8" s="0" t="s">
        <v>39</v>
      </c>
      <c r="FG8" s="0">
        <v>-99150</v>
      </c>
      <c r="FH8" s="0" t="s">
        <v>39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</v>
      </c>
      <c r="F9" s="8" t="s">
        <v>40</v>
      </c>
      <c r="G9" s="8" t="s">
        <v>52</v>
      </c>
      <c r="H9" s="8"/>
      <c r="I9" s="8"/>
      <c r="J9" s="8"/>
      <c r="K9" s="8">
        <v>10</v>
      </c>
      <c r="L9" s="8">
        <v>10</v>
      </c>
      <c r="M9" s="8"/>
      <c r="N9" s="8" t="s">
        <v>39</v>
      </c>
      <c r="O9" s="8" t="s">
        <v>43</v>
      </c>
      <c r="V9" s="0" t="s">
        <v>16</v>
      </c>
      <c r="W9" s="0">
        <v>100</v>
      </c>
      <c r="X9" s="0" t="s">
        <v>39</v>
      </c>
      <c r="Y9" s="0" t="s">
        <v>39</v>
      </c>
      <c r="Z9" s="0" t="s">
        <v>45</v>
      </c>
      <c r="AB9" s="0">
        <v>1</v>
      </c>
      <c r="AD9" s="0" t="s">
        <v>53</v>
      </c>
      <c r="AE9" s="0">
        <v>10</v>
      </c>
      <c r="AF9" s="0" t="s">
        <v>39</v>
      </c>
      <c r="AH9" s="0" t="s">
        <v>47</v>
      </c>
      <c r="AI9" s="0">
        <v>1</v>
      </c>
      <c r="AT9" s="0">
        <v>10000</v>
      </c>
      <c r="AU9" s="0">
        <v>10000</v>
      </c>
      <c r="AY9" s="0" t="s">
        <v>48</v>
      </c>
      <c r="BE9" s="0">
        <v>10000</v>
      </c>
      <c r="BF9" s="0">
        <v>10000</v>
      </c>
      <c r="BI9" s="0" t="s">
        <v>54</v>
      </c>
      <c r="BJ9" s="0">
        <v>10</v>
      </c>
      <c r="BL9" s="0" t="s">
        <v>39</v>
      </c>
      <c r="BM9" s="0" t="s">
        <v>45</v>
      </c>
      <c r="BO9" s="0" t="s">
        <v>24</v>
      </c>
      <c r="BT9" s="0" t="s">
        <v>16</v>
      </c>
      <c r="CF9" s="0" t="s">
        <v>49</v>
      </c>
      <c r="CH9" s="0" t="s">
        <v>20</v>
      </c>
      <c r="CI9" s="0" t="s">
        <v>55</v>
      </c>
      <c r="CK9" s="0" t="s">
        <v>50</v>
      </c>
      <c r="CL9" s="0">
        <v>1</v>
      </c>
      <c r="CM9" s="0" t="s">
        <v>22</v>
      </c>
      <c r="CN9" s="0" t="s">
        <v>51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D9" s="0">
        <v>0</v>
      </c>
      <c r="FE9" s="0" t="s">
        <v>39</v>
      </c>
      <c r="FF9" s="0" t="s">
        <v>39</v>
      </c>
      <c r="FG9" s="0">
        <v>-101250</v>
      </c>
      <c r="FH9" s="0" t="s">
        <v>39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</v>
      </c>
      <c r="F10" s="8" t="s">
        <v>40</v>
      </c>
      <c r="G10" s="8" t="s">
        <v>52</v>
      </c>
      <c r="H10" s="8"/>
      <c r="I10" s="8"/>
      <c r="J10" s="8"/>
      <c r="K10" s="8">
        <v>0</v>
      </c>
      <c r="L10" s="8">
        <v>0</v>
      </c>
      <c r="M10" s="8"/>
      <c r="N10" s="8" t="s">
        <v>39</v>
      </c>
      <c r="O10" s="8" t="s">
        <v>25</v>
      </c>
      <c r="V10" s="0" t="s">
        <v>16</v>
      </c>
      <c r="W10" s="0">
        <v>100</v>
      </c>
      <c r="X10" s="0" t="s">
        <v>39</v>
      </c>
      <c r="Y10" s="0" t="s">
        <v>39</v>
      </c>
      <c r="Z10" s="0" t="s">
        <v>45</v>
      </c>
      <c r="AB10" s="0">
        <v>1</v>
      </c>
      <c r="AD10" s="0" t="s">
        <v>53</v>
      </c>
      <c r="AE10" s="0">
        <v>10</v>
      </c>
      <c r="AF10" s="0" t="s">
        <v>39</v>
      </c>
      <c r="AH10" s="0" t="s">
        <v>47</v>
      </c>
      <c r="AI10" s="0">
        <v>1</v>
      </c>
      <c r="AT10" s="0">
        <v>10000</v>
      </c>
      <c r="AU10" s="0">
        <v>10000</v>
      </c>
      <c r="AY10" s="0" t="s">
        <v>48</v>
      </c>
      <c r="BE10" s="0">
        <v>0</v>
      </c>
      <c r="BF10" s="0">
        <v>0</v>
      </c>
      <c r="BI10" s="0" t="s">
        <v>54</v>
      </c>
      <c r="BJ10" s="0">
        <v>10</v>
      </c>
      <c r="BL10" s="0" t="s">
        <v>39</v>
      </c>
      <c r="BM10" s="0" t="s">
        <v>45</v>
      </c>
      <c r="BO10" s="0" t="s">
        <v>56</v>
      </c>
      <c r="BT10" s="0" t="s">
        <v>16</v>
      </c>
      <c r="CH10" s="0" t="s">
        <v>17</v>
      </c>
      <c r="CI10" s="0" t="s">
        <v>57</v>
      </c>
      <c r="CK10" s="0" t="s">
        <v>50</v>
      </c>
      <c r="CL10" s="0">
        <v>1</v>
      </c>
      <c r="CM10" s="0" t="s">
        <v>22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D10" s="0">
        <v>0</v>
      </c>
      <c r="FE10" s="0" t="s">
        <v>39</v>
      </c>
      <c r="FF10" s="0" t="s">
        <v>39</v>
      </c>
      <c r="FG10" s="0">
        <v>-102250</v>
      </c>
      <c r="FH10" s="0" t="s">
        <v>39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</v>
      </c>
      <c r="F11" s="8" t="s">
        <v>40</v>
      </c>
      <c r="G11" s="8" t="s">
        <v>52</v>
      </c>
      <c r="H11" s="8"/>
      <c r="I11" s="8"/>
      <c r="J11" s="8"/>
      <c r="K11" s="8">
        <v>0</v>
      </c>
      <c r="L11" s="8">
        <v>0</v>
      </c>
      <c r="M11" s="8"/>
      <c r="N11" s="8" t="s">
        <v>39</v>
      </c>
      <c r="O11" s="8" t="s">
        <v>43</v>
      </c>
      <c r="V11" s="0" t="s">
        <v>16</v>
      </c>
      <c r="W11" s="0">
        <v>100</v>
      </c>
      <c r="X11" s="0" t="s">
        <v>39</v>
      </c>
      <c r="Y11" s="0" t="s">
        <v>39</v>
      </c>
      <c r="Z11" s="0" t="s">
        <v>45</v>
      </c>
      <c r="AB11" s="0">
        <v>1</v>
      </c>
      <c r="AD11" s="0" t="s">
        <v>53</v>
      </c>
      <c r="AE11" s="0">
        <v>10</v>
      </c>
      <c r="AF11" s="0" t="s">
        <v>39</v>
      </c>
      <c r="AH11" s="0" t="s">
        <v>47</v>
      </c>
      <c r="AI11" s="0">
        <v>1</v>
      </c>
      <c r="AT11" s="0">
        <v>10000</v>
      </c>
      <c r="AU11" s="0">
        <v>10000</v>
      </c>
      <c r="AY11" s="0" t="s">
        <v>48</v>
      </c>
      <c r="BE11" s="0">
        <v>0</v>
      </c>
      <c r="BF11" s="0">
        <v>0</v>
      </c>
      <c r="BI11" s="0" t="s">
        <v>54</v>
      </c>
      <c r="BJ11" s="0">
        <v>10</v>
      </c>
      <c r="BL11" s="0" t="s">
        <v>39</v>
      </c>
      <c r="BM11" s="0" t="s">
        <v>45</v>
      </c>
      <c r="BO11" s="0" t="s">
        <v>56</v>
      </c>
      <c r="BT11" s="0" t="s">
        <v>16</v>
      </c>
      <c r="CH11" s="0" t="s">
        <v>17</v>
      </c>
      <c r="CI11" s="0" t="s">
        <v>57</v>
      </c>
      <c r="CK11" s="0" t="s">
        <v>50</v>
      </c>
      <c r="CL11" s="0">
        <v>1</v>
      </c>
      <c r="CM11" s="0" t="s">
        <v>22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D11" s="0">
        <v>0</v>
      </c>
      <c r="FE11" s="0" t="s">
        <v>39</v>
      </c>
      <c r="FF11" s="0" t="s">
        <v>39</v>
      </c>
      <c r="FG11" s="0">
        <v>100150</v>
      </c>
      <c r="FH11" s="0" t="s">
        <v>39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</v>
      </c>
      <c r="F12" s="8" t="s">
        <v>40</v>
      </c>
      <c r="G12" s="8" t="s">
        <v>52</v>
      </c>
      <c r="H12" s="8"/>
      <c r="I12" s="8"/>
      <c r="J12" s="8"/>
      <c r="K12" s="8">
        <v>0</v>
      </c>
      <c r="L12" s="8">
        <v>0</v>
      </c>
      <c r="M12" s="8"/>
      <c r="N12" s="8" t="s">
        <v>39</v>
      </c>
      <c r="O12" s="8" t="s">
        <v>43</v>
      </c>
      <c r="V12" s="0" t="s">
        <v>16</v>
      </c>
      <c r="W12" s="0">
        <v>100</v>
      </c>
      <c r="X12" s="0" t="s">
        <v>39</v>
      </c>
      <c r="Y12" s="0" t="s">
        <v>39</v>
      </c>
      <c r="Z12" s="0" t="s">
        <v>45</v>
      </c>
      <c r="AB12" s="0">
        <v>1</v>
      </c>
      <c r="AD12" s="0" t="s">
        <v>53</v>
      </c>
      <c r="AE12" s="0">
        <v>10</v>
      </c>
      <c r="AF12" s="0" t="s">
        <v>39</v>
      </c>
      <c r="AH12" s="0" t="s">
        <v>47</v>
      </c>
      <c r="AI12" s="0">
        <v>1</v>
      </c>
      <c r="AT12" s="0">
        <v>10000</v>
      </c>
      <c r="AU12" s="0">
        <v>10000</v>
      </c>
      <c r="AY12" s="0" t="s">
        <v>48</v>
      </c>
      <c r="BE12" s="0">
        <v>0</v>
      </c>
      <c r="BF12" s="0">
        <v>0</v>
      </c>
      <c r="BI12" s="0" t="s">
        <v>54</v>
      </c>
      <c r="BJ12" s="0">
        <v>10</v>
      </c>
      <c r="BL12" s="0" t="s">
        <v>39</v>
      </c>
      <c r="BM12" s="0" t="s">
        <v>45</v>
      </c>
      <c r="BO12" s="0" t="s">
        <v>56</v>
      </c>
      <c r="BT12" s="0" t="s">
        <v>16</v>
      </c>
      <c r="CH12" s="0" t="s">
        <v>17</v>
      </c>
      <c r="CI12" s="0" t="s">
        <v>57</v>
      </c>
      <c r="CK12" s="0" t="s">
        <v>50</v>
      </c>
      <c r="CL12" s="0">
        <v>1</v>
      </c>
      <c r="CM12" s="0" t="s">
        <v>22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D12" s="0">
        <v>0</v>
      </c>
      <c r="FE12" s="0" t="s">
        <v>39</v>
      </c>
      <c r="FF12" s="0" t="s">
        <v>39</v>
      </c>
      <c r="FG12" s="0">
        <v>102250</v>
      </c>
      <c r="FH12" s="0" t="s">
        <v>39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</v>
      </c>
      <c r="F13" s="8" t="s">
        <v>40</v>
      </c>
      <c r="G13" s="8" t="s">
        <v>41</v>
      </c>
      <c r="H13" s="8"/>
      <c r="I13" s="8"/>
      <c r="J13" s="8"/>
      <c r="K13" s="8">
        <v>60</v>
      </c>
      <c r="L13" s="8">
        <v>60</v>
      </c>
      <c r="M13" s="8" t="s">
        <v>42</v>
      </c>
      <c r="N13" s="8" t="s">
        <v>39</v>
      </c>
      <c r="O13" s="8" t="s">
        <v>43</v>
      </c>
      <c r="V13" s="0" t="s">
        <v>44</v>
      </c>
      <c r="W13" s="0">
        <v>1</v>
      </c>
      <c r="X13" s="0" t="s">
        <v>39</v>
      </c>
      <c r="Y13" s="0" t="s">
        <v>39</v>
      </c>
      <c r="Z13" s="0" t="s">
        <v>45</v>
      </c>
      <c r="AB13" s="0">
        <v>1</v>
      </c>
      <c r="AD13" s="0" t="s">
        <v>46</v>
      </c>
      <c r="AE13" s="0">
        <v>1000</v>
      </c>
      <c r="AF13" s="0" t="s">
        <v>39</v>
      </c>
      <c r="AH13" s="0" t="s">
        <v>58</v>
      </c>
      <c r="AI13" s="0">
        <v>1</v>
      </c>
      <c r="AT13" s="0">
        <v>50000</v>
      </c>
      <c r="AU13" s="0">
        <v>50000</v>
      </c>
      <c r="BE13" s="0">
        <v>60000</v>
      </c>
      <c r="BF13" s="0">
        <v>60000</v>
      </c>
      <c r="BJ13" s="0">
        <v>1000</v>
      </c>
      <c r="BL13" s="0" t="s">
        <v>39</v>
      </c>
      <c r="BM13" s="0" t="s">
        <v>45</v>
      </c>
      <c r="BO13" s="0" t="s">
        <v>59</v>
      </c>
      <c r="BT13" s="0" t="s">
        <v>22</v>
      </c>
      <c r="CF13" s="0" t="s">
        <v>49</v>
      </c>
      <c r="CH13" s="0" t="s">
        <v>17</v>
      </c>
      <c r="CI13" s="0" t="s">
        <v>57</v>
      </c>
      <c r="CK13" s="0" t="s">
        <v>50</v>
      </c>
      <c r="CL13" s="0">
        <v>1</v>
      </c>
      <c r="CM13" s="0" t="s">
        <v>22</v>
      </c>
      <c r="CN13" s="0" t="s">
        <v>51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D13" s="0">
        <v>0</v>
      </c>
      <c r="FE13" s="0" t="s">
        <v>39</v>
      </c>
      <c r="FF13" s="0" t="s">
        <v>39</v>
      </c>
      <c r="FG13" s="0">
        <v>103250</v>
      </c>
      <c r="FH13" s="0" t="s">
        <v>39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</v>
      </c>
      <c r="F14" s="8" t="s">
        <v>40</v>
      </c>
      <c r="G14" s="8" t="s">
        <v>41</v>
      </c>
      <c r="H14" s="8"/>
      <c r="I14" s="8"/>
      <c r="J14" s="8"/>
      <c r="K14" s="8">
        <v>60</v>
      </c>
      <c r="L14" s="8">
        <v>60</v>
      </c>
      <c r="M14" s="8" t="s">
        <v>42</v>
      </c>
      <c r="N14" s="8" t="s">
        <v>39</v>
      </c>
      <c r="O14" s="8" t="s">
        <v>25</v>
      </c>
      <c r="V14" s="0" t="s">
        <v>44</v>
      </c>
      <c r="W14" s="0">
        <v>1</v>
      </c>
      <c r="X14" s="0" t="s">
        <v>39</v>
      </c>
      <c r="Y14" s="0" t="s">
        <v>39</v>
      </c>
      <c r="Z14" s="0" t="s">
        <v>45</v>
      </c>
      <c r="AB14" s="0">
        <v>1</v>
      </c>
      <c r="AD14" s="0" t="s">
        <v>46</v>
      </c>
      <c r="AE14" s="0">
        <v>100</v>
      </c>
      <c r="AF14" s="0" t="s">
        <v>39</v>
      </c>
      <c r="AH14" s="0" t="s">
        <v>58</v>
      </c>
      <c r="AI14" s="0">
        <v>1</v>
      </c>
      <c r="AT14" s="0">
        <v>5000</v>
      </c>
      <c r="AU14" s="0">
        <v>5000</v>
      </c>
      <c r="BE14" s="0">
        <v>6000</v>
      </c>
      <c r="BF14" s="0">
        <v>6000</v>
      </c>
      <c r="BJ14" s="0">
        <v>100</v>
      </c>
      <c r="BL14" s="0" t="s">
        <v>39</v>
      </c>
      <c r="BM14" s="0" t="s">
        <v>45</v>
      </c>
      <c r="BO14" s="0" t="s">
        <v>60</v>
      </c>
      <c r="BT14" s="0" t="s">
        <v>22</v>
      </c>
      <c r="CF14" s="0" t="s">
        <v>49</v>
      </c>
      <c r="CH14" s="0" t="s">
        <v>17</v>
      </c>
      <c r="CI14" s="0" t="s">
        <v>57</v>
      </c>
      <c r="CK14" s="0" t="s">
        <v>50</v>
      </c>
      <c r="CL14" s="0">
        <v>1</v>
      </c>
      <c r="CM14" s="0" t="s">
        <v>22</v>
      </c>
      <c r="CN14" s="0" t="s">
        <v>51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D14" s="0">
        <v>0</v>
      </c>
      <c r="FE14" s="0" t="s">
        <v>39</v>
      </c>
      <c r="FF14" s="0" t="s">
        <v>39</v>
      </c>
      <c r="FG14" s="0">
        <v>0</v>
      </c>
      <c r="FH14" s="0" t="s">
        <v>39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900</v>
      </c>
      <c r="F15" s="8" t="s">
        <v>40</v>
      </c>
      <c r="G15" s="8" t="s">
        <v>41</v>
      </c>
      <c r="H15" s="8"/>
      <c r="I15" s="8"/>
      <c r="J15" s="8"/>
      <c r="K15" s="8">
        <v>60</v>
      </c>
      <c r="L15" s="8">
        <v>60</v>
      </c>
      <c r="M15" s="8" t="s">
        <v>42</v>
      </c>
      <c r="N15" s="8" t="s">
        <v>39</v>
      </c>
      <c r="O15" s="8" t="s">
        <v>25</v>
      </c>
      <c r="V15" s="0" t="s">
        <v>44</v>
      </c>
      <c r="W15" s="0">
        <v>1</v>
      </c>
      <c r="X15" s="0" t="s">
        <v>39</v>
      </c>
      <c r="Y15" s="0" t="s">
        <v>39</v>
      </c>
      <c r="Z15" s="0" t="s">
        <v>45</v>
      </c>
      <c r="AB15" s="0">
        <v>1</v>
      </c>
      <c r="AD15" s="0" t="s">
        <v>46</v>
      </c>
      <c r="AE15" s="0">
        <v>900</v>
      </c>
      <c r="AF15" s="0" t="s">
        <v>39</v>
      </c>
      <c r="AH15" s="0" t="s">
        <v>47</v>
      </c>
      <c r="AI15" s="0">
        <v>1</v>
      </c>
      <c r="AT15" s="0">
        <v>45000</v>
      </c>
      <c r="AU15" s="0">
        <v>45000</v>
      </c>
      <c r="BE15" s="0">
        <v>54000</v>
      </c>
      <c r="BF15" s="0">
        <v>54000</v>
      </c>
      <c r="BJ15" s="0">
        <v>900</v>
      </c>
      <c r="BL15" s="0" t="s">
        <v>39</v>
      </c>
      <c r="BM15" s="0" t="s">
        <v>45</v>
      </c>
      <c r="BO15" s="0" t="s">
        <v>59</v>
      </c>
      <c r="BT15" s="0" t="s">
        <v>22</v>
      </c>
      <c r="CF15" s="0" t="s">
        <v>49</v>
      </c>
      <c r="CH15" s="0" t="s">
        <v>17</v>
      </c>
      <c r="CI15" s="0" t="s">
        <v>57</v>
      </c>
      <c r="CK15" s="0" t="s">
        <v>50</v>
      </c>
      <c r="CL15" s="0">
        <v>1</v>
      </c>
      <c r="CM15" s="0" t="s">
        <v>22</v>
      </c>
      <c r="CN15" s="0" t="s">
        <v>51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D15" s="0">
        <v>0</v>
      </c>
      <c r="FE15" s="0" t="s">
        <v>39</v>
      </c>
      <c r="FF15" s="0" t="s">
        <v>39</v>
      </c>
      <c r="FG15" s="0">
        <v>0</v>
      </c>
      <c r="FH15" s="0" t="s">
        <v>39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 t="s">
        <v>34</v>
      </c>
      <c r="C16" s="8" t="s">
        <v>39</v>
      </c>
      <c r="D16" s="8"/>
      <c r="E16" s="8">
        <v>1000</v>
      </c>
      <c r="F16" s="8" t="s">
        <v>40</v>
      </c>
      <c r="G16" s="8" t="s">
        <v>41</v>
      </c>
      <c r="H16" s="8"/>
      <c r="I16" s="8"/>
      <c r="J16" s="8"/>
      <c r="K16" s="8">
        <v>60</v>
      </c>
      <c r="L16" s="8">
        <v>60</v>
      </c>
      <c r="M16" s="8" t="s">
        <v>42</v>
      </c>
      <c r="N16" s="8" t="s">
        <v>39</v>
      </c>
      <c r="O16" s="8" t="s">
        <v>43</v>
      </c>
      <c r="V16" s="0" t="s">
        <v>44</v>
      </c>
      <c r="W16" s="0">
        <v>1</v>
      </c>
      <c r="X16" s="0" t="s">
        <v>39</v>
      </c>
      <c r="Y16" s="0" t="s">
        <v>39</v>
      </c>
      <c r="Z16" s="0" t="s">
        <v>45</v>
      </c>
      <c r="AB16" s="0">
        <v>1</v>
      </c>
      <c r="AD16" s="0" t="s">
        <v>46</v>
      </c>
      <c r="AE16" s="0">
        <v>1000</v>
      </c>
      <c r="AF16" s="0" t="s">
        <v>39</v>
      </c>
      <c r="AH16" s="0" t="s">
        <v>58</v>
      </c>
      <c r="AI16" s="0">
        <v>1</v>
      </c>
      <c r="AT16" s="0">
        <v>50000</v>
      </c>
      <c r="AU16" s="0">
        <v>50000</v>
      </c>
      <c r="BE16" s="0">
        <v>60000</v>
      </c>
      <c r="BF16" s="0">
        <v>60000</v>
      </c>
      <c r="BJ16" s="0">
        <v>1000</v>
      </c>
      <c r="BL16" s="0" t="s">
        <v>39</v>
      </c>
      <c r="BM16" s="0" t="s">
        <v>45</v>
      </c>
      <c r="BO16" s="0" t="s">
        <v>60</v>
      </c>
      <c r="BT16" s="0" t="s">
        <v>22</v>
      </c>
      <c r="CF16" s="0" t="s">
        <v>49</v>
      </c>
      <c r="CH16" s="0" t="s">
        <v>17</v>
      </c>
      <c r="CI16" s="0" t="s">
        <v>57</v>
      </c>
      <c r="CK16" s="0" t="s">
        <v>50</v>
      </c>
      <c r="CL16" s="0">
        <v>1</v>
      </c>
      <c r="CM16" s="0" t="s">
        <v>22</v>
      </c>
      <c r="CN16" s="0" t="s">
        <v>51</v>
      </c>
      <c r="CV16" s="0" t="s">
        <v>39</v>
      </c>
      <c r="CW16" s="0" t="s">
        <v>39</v>
      </c>
      <c r="CX16" s="0" t="s">
        <v>39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FA16" s="0" t="s">
        <v>39</v>
      </c>
      <c r="FB16" s="0" t="s">
        <v>39</v>
      </c>
      <c r="FC16" s="0" t="s">
        <v>39</v>
      </c>
      <c r="FD16" s="0">
        <v>0</v>
      </c>
      <c r="FE16" s="0" t="s">
        <v>39</v>
      </c>
      <c r="FF16" s="0" t="s">
        <v>39</v>
      </c>
      <c r="FG16" s="0">
        <v>0</v>
      </c>
      <c r="FH16" s="0" t="s">
        <v>39</v>
      </c>
      <c r="FI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1114.0006</v>
      </c>
      <c r="C6" s="42">
        <v>1114.0006</v>
      </c>
      <c r="D6" s="42">
        <v>1100</v>
      </c>
      <c r="E6" s="42">
        <v>1100</v>
      </c>
      <c r="F6" s="43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>
        <v>10000</v>
      </c>
      <c r="C7" s="42">
        <v>10000</v>
      </c>
      <c r="D7" s="42">
        <v>10000</v>
      </c>
      <c r="E7" s="42">
        <v>10000</v>
      </c>
      <c r="F7" s="43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>
        <v>10000</v>
      </c>
      <c r="C8" s="42">
        <v>10000</v>
      </c>
      <c r="D8" s="42">
        <v>10000</v>
      </c>
      <c r="E8" s="42">
        <v>10000</v>
      </c>
      <c r="F8" s="43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>
        <v>10000</v>
      </c>
      <c r="C9" s="42">
        <v>10000</v>
      </c>
      <c r="D9" s="42">
        <v>10000</v>
      </c>
      <c r="E9" s="42">
        <v>10000</v>
      </c>
      <c r="F9" s="43" t="s">
        <v>47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>
        <v>0</v>
      </c>
      <c r="C10" s="44">
        <v>0</v>
      </c>
      <c r="D10" s="44">
        <v>0</v>
      </c>
      <c r="E10" s="44">
        <v>0</v>
      </c>
      <c r="F10" s="43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>
        <v>0</v>
      </c>
      <c r="C11" s="44">
        <v>0</v>
      </c>
      <c r="D11" s="44">
        <v>0</v>
      </c>
      <c r="E11" s="44">
        <v>0</v>
      </c>
      <c r="F11" s="43" t="s">
        <v>47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>
        <v>0</v>
      </c>
      <c r="C12" s="44">
        <v>0</v>
      </c>
      <c r="D12" s="44">
        <v>0</v>
      </c>
      <c r="E12" s="44">
        <v>0</v>
      </c>
      <c r="F12" s="43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>
        <v>60000</v>
      </c>
      <c r="C13" s="42">
        <v>60000</v>
      </c>
      <c r="D13" s="42">
        <v>60000</v>
      </c>
      <c r="E13" s="42">
        <v>60000</v>
      </c>
      <c r="F13" s="43" t="s">
        <v>58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>
        <v>6000</v>
      </c>
      <c r="C14" s="42">
        <v>6000</v>
      </c>
      <c r="D14" s="42">
        <v>6000</v>
      </c>
      <c r="E14" s="42">
        <v>6000</v>
      </c>
      <c r="F14" s="43" t="s">
        <v>58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>
        <v>54000</v>
      </c>
      <c r="C15" s="42">
        <v>54000</v>
      </c>
      <c r="D15" s="42">
        <v>54000</v>
      </c>
      <c r="E15" s="42">
        <v>54000</v>
      </c>
      <c r="F15" s="43" t="s">
        <v>47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>
        <v>60000</v>
      </c>
      <c r="C16" s="42">
        <v>60000</v>
      </c>
      <c r="D16" s="42">
        <v>60000</v>
      </c>
      <c r="E16" s="42">
        <v>60000</v>
      </c>
      <c r="F16" s="43" t="s">
        <v>58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 t="s">
        <v>39</v>
      </c>
      <c r="C6" s="8" t="s">
        <v>22</v>
      </c>
      <c r="D6" s="41">
        <v>1100</v>
      </c>
      <c r="E6" s="8" t="s">
        <v>34</v>
      </c>
      <c r="F6" s="8" t="s">
        <v>64</v>
      </c>
      <c r="G6" s="8">
        <v>1</v>
      </c>
      <c r="H6" s="8" t="s">
        <v>65</v>
      </c>
      <c r="I6" s="8"/>
      <c r="J6" s="8"/>
      <c r="K6" s="8"/>
      <c r="L6" s="8"/>
      <c r="M6" s="8"/>
      <c r="N6" s="8"/>
      <c r="O6" s="8"/>
      <c r="P6" s="0">
        <v>120</v>
      </c>
      <c r="R6" s="0" t="s">
        <v>66</v>
      </c>
      <c r="T6" s="0" t="s">
        <v>41</v>
      </c>
      <c r="U6" s="0" t="s">
        <v>50</v>
      </c>
      <c r="V6" s="0" t="s">
        <v>46</v>
      </c>
      <c r="W6" s="0" t="s">
        <v>45</v>
      </c>
      <c r="X6" s="0">
        <v>1</v>
      </c>
      <c r="Y6" s="0">
        <v>1</v>
      </c>
      <c r="AN6" s="0" t="s">
        <v>23</v>
      </c>
      <c r="AP6" s="0" t="s">
        <v>26</v>
      </c>
      <c r="AQ6" s="0" t="s">
        <v>22</v>
      </c>
      <c r="AS6" s="0">
        <v>1</v>
      </c>
      <c r="AV6" s="0">
        <v>1</v>
      </c>
      <c r="BQ6" s="0" t="s">
        <v>51</v>
      </c>
      <c r="BR6" s="0" t="s">
        <v>43</v>
      </c>
      <c r="BU6" s="0" t="s">
        <v>41</v>
      </c>
      <c r="CN6" s="0" t="s">
        <v>22</v>
      </c>
      <c r="CO6" s="0" t="s">
        <v>22</v>
      </c>
      <c r="CP6" s="0" t="s">
        <v>42</v>
      </c>
      <c r="CS6" s="0">
        <v>1</v>
      </c>
      <c r="DH6" s="0">
        <v>120</v>
      </c>
      <c r="DJ6" s="0" t="s">
        <v>23</v>
      </c>
      <c r="DM6" s="0">
        <v>1</v>
      </c>
      <c r="DP6" s="0" t="s">
        <v>26</v>
      </c>
      <c r="DZ6" s="0" t="s">
        <v>44</v>
      </c>
      <c r="ED6" s="0" t="s">
        <v>45</v>
      </c>
      <c r="EL6" s="0" t="s">
        <v>26</v>
      </c>
      <c r="EV6" s="0" t="s">
        <v>26</v>
      </c>
      <c r="FH6" s="0">
        <v>-3000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39</v>
      </c>
      <c r="C7" s="8" t="s">
        <v>16</v>
      </c>
      <c r="D7" s="8">
        <v>10</v>
      </c>
      <c r="E7" s="8" t="s">
        <v>34</v>
      </c>
      <c r="F7" s="8" t="s">
        <v>64</v>
      </c>
      <c r="G7" s="8">
        <v>10</v>
      </c>
      <c r="H7" s="8" t="s">
        <v>26</v>
      </c>
      <c r="I7" s="8"/>
      <c r="J7" s="8"/>
      <c r="K7" s="8"/>
      <c r="L7" s="8"/>
      <c r="M7" s="8"/>
      <c r="N7" s="8"/>
      <c r="O7" s="8"/>
      <c r="R7" s="0" t="s">
        <v>66</v>
      </c>
      <c r="T7" s="0" t="s">
        <v>52</v>
      </c>
      <c r="U7" s="0" t="s">
        <v>50</v>
      </c>
      <c r="V7" s="0" t="s">
        <v>53</v>
      </c>
      <c r="W7" s="0" t="s">
        <v>45</v>
      </c>
      <c r="X7" s="0">
        <v>100</v>
      </c>
      <c r="Y7" s="0">
        <v>1</v>
      </c>
      <c r="AN7" s="0" t="s">
        <v>24</v>
      </c>
      <c r="AP7" s="0" t="s">
        <v>26</v>
      </c>
      <c r="AQ7" s="0" t="s">
        <v>22</v>
      </c>
      <c r="AS7" s="0">
        <v>1</v>
      </c>
      <c r="AV7" s="0">
        <v>1</v>
      </c>
      <c r="BQ7" s="0" t="s">
        <v>51</v>
      </c>
      <c r="BR7" s="0" t="s">
        <v>43</v>
      </c>
      <c r="BU7" s="0" t="s">
        <v>67</v>
      </c>
      <c r="CS7" s="0">
        <v>10</v>
      </c>
      <c r="DJ7" s="0" t="s">
        <v>24</v>
      </c>
      <c r="DM7" s="0">
        <v>1</v>
      </c>
      <c r="DP7" s="0" t="s">
        <v>65</v>
      </c>
      <c r="DZ7" s="0" t="s">
        <v>44</v>
      </c>
      <c r="ED7" s="0" t="s">
        <v>45</v>
      </c>
      <c r="EL7" s="0" t="s">
        <v>26</v>
      </c>
      <c r="EV7" s="0" t="s">
        <v>26</v>
      </c>
      <c r="FH7" s="0">
        <v>-30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39</v>
      </c>
      <c r="C8" s="8" t="s">
        <v>16</v>
      </c>
      <c r="D8" s="8">
        <v>10</v>
      </c>
      <c r="E8" s="8" t="s">
        <v>34</v>
      </c>
      <c r="F8" s="8" t="s">
        <v>64</v>
      </c>
      <c r="G8" s="8">
        <v>10</v>
      </c>
      <c r="H8" s="8" t="s">
        <v>26</v>
      </c>
      <c r="I8" s="8"/>
      <c r="J8" s="8"/>
      <c r="K8" s="8"/>
      <c r="L8" s="8"/>
      <c r="M8" s="8"/>
      <c r="N8" s="8"/>
      <c r="O8" s="8"/>
      <c r="R8" s="0" t="s">
        <v>66</v>
      </c>
      <c r="T8" s="0" t="s">
        <v>52</v>
      </c>
      <c r="U8" s="0" t="s">
        <v>50</v>
      </c>
      <c r="V8" s="0" t="s">
        <v>53</v>
      </c>
      <c r="W8" s="0" t="s">
        <v>45</v>
      </c>
      <c r="X8" s="0">
        <v>100</v>
      </c>
      <c r="Y8" s="0">
        <v>1</v>
      </c>
      <c r="AN8" s="0" t="s">
        <v>24</v>
      </c>
      <c r="AP8" s="0" t="s">
        <v>26</v>
      </c>
      <c r="AQ8" s="0" t="s">
        <v>22</v>
      </c>
      <c r="AS8" s="0">
        <v>1</v>
      </c>
      <c r="AV8" s="0">
        <v>1</v>
      </c>
      <c r="BQ8" s="0" t="s">
        <v>51</v>
      </c>
      <c r="BR8" s="0" t="s">
        <v>25</v>
      </c>
      <c r="BU8" s="0" t="s">
        <v>67</v>
      </c>
      <c r="CS8" s="0">
        <v>10</v>
      </c>
      <c r="DJ8" s="0" t="s">
        <v>24</v>
      </c>
      <c r="DM8" s="0">
        <v>1</v>
      </c>
      <c r="DP8" s="0" t="s">
        <v>65</v>
      </c>
      <c r="DZ8" s="0" t="s">
        <v>44</v>
      </c>
      <c r="ED8" s="0" t="s">
        <v>45</v>
      </c>
      <c r="EL8" s="0" t="s">
        <v>26</v>
      </c>
      <c r="EV8" s="0" t="s">
        <v>26</v>
      </c>
      <c r="FH8" s="0">
        <v>-30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39</v>
      </c>
      <c r="C9" s="8" t="s">
        <v>16</v>
      </c>
      <c r="D9" s="8">
        <v>10</v>
      </c>
      <c r="E9" s="8" t="s">
        <v>34</v>
      </c>
      <c r="F9" s="8" t="s">
        <v>64</v>
      </c>
      <c r="G9" s="8">
        <v>10</v>
      </c>
      <c r="H9" s="8" t="s">
        <v>26</v>
      </c>
      <c r="I9" s="8"/>
      <c r="J9" s="8"/>
      <c r="K9" s="8"/>
      <c r="L9" s="8"/>
      <c r="M9" s="8"/>
      <c r="N9" s="8"/>
      <c r="O9" s="8"/>
      <c r="R9" s="0" t="s">
        <v>66</v>
      </c>
      <c r="T9" s="0" t="s">
        <v>52</v>
      </c>
      <c r="U9" s="0" t="s">
        <v>50</v>
      </c>
      <c r="V9" s="0" t="s">
        <v>53</v>
      </c>
      <c r="W9" s="0" t="s">
        <v>45</v>
      </c>
      <c r="X9" s="0">
        <v>100</v>
      </c>
      <c r="Y9" s="0">
        <v>1</v>
      </c>
      <c r="AN9" s="0" t="s">
        <v>24</v>
      </c>
      <c r="AP9" s="0" t="s">
        <v>26</v>
      </c>
      <c r="AQ9" s="0" t="s">
        <v>22</v>
      </c>
      <c r="AS9" s="0">
        <v>1</v>
      </c>
      <c r="AV9" s="0">
        <v>1</v>
      </c>
      <c r="BQ9" s="0" t="s">
        <v>51</v>
      </c>
      <c r="BR9" s="0" t="s">
        <v>43</v>
      </c>
      <c r="BU9" s="0" t="s">
        <v>67</v>
      </c>
      <c r="CS9" s="0">
        <v>10</v>
      </c>
      <c r="DJ9" s="0" t="s">
        <v>24</v>
      </c>
      <c r="DM9" s="0">
        <v>1</v>
      </c>
      <c r="DP9" s="0" t="s">
        <v>65</v>
      </c>
      <c r="DZ9" s="0" t="s">
        <v>44</v>
      </c>
      <c r="ED9" s="0" t="s">
        <v>45</v>
      </c>
      <c r="EL9" s="0" t="s">
        <v>26</v>
      </c>
      <c r="EV9" s="0" t="s">
        <v>26</v>
      </c>
      <c r="FH9" s="0">
        <v>-30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39</v>
      </c>
      <c r="C10" s="8" t="s">
        <v>16</v>
      </c>
      <c r="D10" s="8">
        <v>-10</v>
      </c>
      <c r="E10" s="8" t="s">
        <v>34</v>
      </c>
      <c r="F10" s="8" t="s">
        <v>64</v>
      </c>
      <c r="G10" s="8">
        <v>0</v>
      </c>
      <c r="H10" s="8" t="s">
        <v>26</v>
      </c>
      <c r="I10" s="8"/>
      <c r="J10" s="8"/>
      <c r="K10" s="8"/>
      <c r="L10" s="8"/>
      <c r="M10" s="8"/>
      <c r="N10" s="8"/>
      <c r="O10" s="8"/>
      <c r="R10" s="0" t="s">
        <v>66</v>
      </c>
      <c r="T10" s="0" t="s">
        <v>52</v>
      </c>
      <c r="U10" s="0" t="s">
        <v>50</v>
      </c>
      <c r="V10" s="0" t="s">
        <v>53</v>
      </c>
      <c r="W10" s="0" t="s">
        <v>45</v>
      </c>
      <c r="X10" s="0">
        <v>100</v>
      </c>
      <c r="Y10" s="0">
        <v>1</v>
      </c>
      <c r="AN10" s="0" t="s">
        <v>56</v>
      </c>
      <c r="AP10" s="0" t="s">
        <v>26</v>
      </c>
      <c r="AQ10" s="0" t="s">
        <v>22</v>
      </c>
      <c r="AS10" s="0">
        <v>-1</v>
      </c>
      <c r="AV10" s="0">
        <v>1</v>
      </c>
      <c r="BQ10" s="0" t="s">
        <v>51</v>
      </c>
      <c r="BR10" s="0" t="s">
        <v>43</v>
      </c>
      <c r="BU10" s="0" t="s">
        <v>67</v>
      </c>
      <c r="CS10" s="0">
        <v>0</v>
      </c>
      <c r="DJ10" s="0" t="s">
        <v>57</v>
      </c>
      <c r="DM10" s="0">
        <v>1</v>
      </c>
      <c r="DP10" s="0" t="s">
        <v>65</v>
      </c>
      <c r="DZ10" s="0" t="s">
        <v>44</v>
      </c>
      <c r="ED10" s="0" t="s">
        <v>45</v>
      </c>
      <c r="EL10" s="0" t="s">
        <v>26</v>
      </c>
      <c r="EV10" s="0" t="s">
        <v>26</v>
      </c>
      <c r="FH10" s="0">
        <v>-30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39</v>
      </c>
      <c r="C11" s="8" t="s">
        <v>16</v>
      </c>
      <c r="D11" s="8">
        <v>-10</v>
      </c>
      <c r="E11" s="8" t="s">
        <v>34</v>
      </c>
      <c r="F11" s="8" t="s">
        <v>64</v>
      </c>
      <c r="G11" s="8">
        <v>0</v>
      </c>
      <c r="H11" s="8" t="s">
        <v>26</v>
      </c>
      <c r="I11" s="8"/>
      <c r="J11" s="8"/>
      <c r="K11" s="8"/>
      <c r="L11" s="8"/>
      <c r="M11" s="8"/>
      <c r="N11" s="8"/>
      <c r="O11" s="8"/>
      <c r="R11" s="0" t="s">
        <v>66</v>
      </c>
      <c r="T11" s="0" t="s">
        <v>52</v>
      </c>
      <c r="U11" s="0" t="s">
        <v>50</v>
      </c>
      <c r="V11" s="0" t="s">
        <v>53</v>
      </c>
      <c r="W11" s="0" t="s">
        <v>45</v>
      </c>
      <c r="X11" s="0">
        <v>100</v>
      </c>
      <c r="Y11" s="0">
        <v>1</v>
      </c>
      <c r="AN11" s="0" t="s">
        <v>56</v>
      </c>
      <c r="AP11" s="0" t="s">
        <v>26</v>
      </c>
      <c r="AQ11" s="0" t="s">
        <v>22</v>
      </c>
      <c r="AS11" s="0">
        <v>-1</v>
      </c>
      <c r="AV11" s="0">
        <v>1</v>
      </c>
      <c r="BQ11" s="0" t="s">
        <v>51</v>
      </c>
      <c r="BR11" s="0" t="s">
        <v>25</v>
      </c>
      <c r="BU11" s="0" t="s">
        <v>67</v>
      </c>
      <c r="CS11" s="0">
        <v>0</v>
      </c>
      <c r="DJ11" s="0" t="s">
        <v>57</v>
      </c>
      <c r="DM11" s="0">
        <v>1</v>
      </c>
      <c r="DP11" s="0" t="s">
        <v>65</v>
      </c>
      <c r="DZ11" s="0" t="s">
        <v>44</v>
      </c>
      <c r="ED11" s="0" t="s">
        <v>45</v>
      </c>
      <c r="EL11" s="0" t="s">
        <v>26</v>
      </c>
      <c r="EV11" s="0" t="s">
        <v>26</v>
      </c>
      <c r="FH11" s="0">
        <v>-30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39</v>
      </c>
      <c r="C12" s="8" t="s">
        <v>16</v>
      </c>
      <c r="D12" s="8">
        <v>-10</v>
      </c>
      <c r="E12" s="8" t="s">
        <v>34</v>
      </c>
      <c r="F12" s="8" t="s">
        <v>64</v>
      </c>
      <c r="G12" s="8">
        <v>0</v>
      </c>
      <c r="H12" s="8" t="s">
        <v>26</v>
      </c>
      <c r="I12" s="8"/>
      <c r="J12" s="8"/>
      <c r="K12" s="8"/>
      <c r="L12" s="8"/>
      <c r="M12" s="8"/>
      <c r="N12" s="8"/>
      <c r="O12" s="8"/>
      <c r="R12" s="0" t="s">
        <v>66</v>
      </c>
      <c r="T12" s="0" t="s">
        <v>52</v>
      </c>
      <c r="U12" s="0" t="s">
        <v>50</v>
      </c>
      <c r="V12" s="0" t="s">
        <v>53</v>
      </c>
      <c r="W12" s="0" t="s">
        <v>45</v>
      </c>
      <c r="X12" s="0">
        <v>100</v>
      </c>
      <c r="Y12" s="0">
        <v>1</v>
      </c>
      <c r="AN12" s="0" t="s">
        <v>56</v>
      </c>
      <c r="AP12" s="0" t="s">
        <v>26</v>
      </c>
      <c r="AQ12" s="0" t="s">
        <v>22</v>
      </c>
      <c r="AS12" s="0">
        <v>-1</v>
      </c>
      <c r="AV12" s="0">
        <v>1</v>
      </c>
      <c r="BQ12" s="0" t="s">
        <v>51</v>
      </c>
      <c r="BR12" s="0" t="s">
        <v>43</v>
      </c>
      <c r="BU12" s="0" t="s">
        <v>67</v>
      </c>
      <c r="CS12" s="0">
        <v>0</v>
      </c>
      <c r="DJ12" s="0" t="s">
        <v>57</v>
      </c>
      <c r="DM12" s="0">
        <v>1</v>
      </c>
      <c r="DP12" s="0" t="s">
        <v>65</v>
      </c>
      <c r="DZ12" s="0" t="s">
        <v>44</v>
      </c>
      <c r="ED12" s="0" t="s">
        <v>45</v>
      </c>
      <c r="EL12" s="0" t="s">
        <v>26</v>
      </c>
      <c r="EV12" s="0" t="s">
        <v>26</v>
      </c>
      <c r="FH12" s="0">
        <v>-30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39</v>
      </c>
      <c r="C13" s="8" t="s">
        <v>22</v>
      </c>
      <c r="D13" s="8">
        <v>-1000</v>
      </c>
      <c r="E13" s="8" t="s">
        <v>34</v>
      </c>
      <c r="F13" s="8" t="s">
        <v>64</v>
      </c>
      <c r="G13" s="8">
        <v>60</v>
      </c>
      <c r="H13" s="8" t="s">
        <v>65</v>
      </c>
      <c r="I13" s="8"/>
      <c r="J13" s="8"/>
      <c r="K13" s="8"/>
      <c r="L13" s="8"/>
      <c r="M13" s="8"/>
      <c r="N13" s="8"/>
      <c r="O13" s="8"/>
      <c r="P13" s="0">
        <v>120</v>
      </c>
      <c r="R13" s="0" t="s">
        <v>66</v>
      </c>
      <c r="T13" s="0" t="s">
        <v>41</v>
      </c>
      <c r="U13" s="0" t="s">
        <v>50</v>
      </c>
      <c r="V13" s="0" t="s">
        <v>46</v>
      </c>
      <c r="W13" s="0" t="s">
        <v>45</v>
      </c>
      <c r="X13" s="0">
        <v>1</v>
      </c>
      <c r="Y13" s="0">
        <v>1</v>
      </c>
      <c r="AN13" s="0" t="s">
        <v>59</v>
      </c>
      <c r="AP13" s="0" t="s">
        <v>65</v>
      </c>
      <c r="AQ13" s="0" t="s">
        <v>22</v>
      </c>
      <c r="AS13" s="0">
        <v>-1</v>
      </c>
      <c r="AV13" s="0">
        <v>1</v>
      </c>
      <c r="BQ13" s="0" t="s">
        <v>51</v>
      </c>
      <c r="BR13" s="0" t="s">
        <v>43</v>
      </c>
      <c r="BU13" s="0" t="s">
        <v>41</v>
      </c>
      <c r="CN13" s="0" t="s">
        <v>22</v>
      </c>
      <c r="CO13" s="0" t="s">
        <v>22</v>
      </c>
      <c r="CP13" s="0" t="s">
        <v>42</v>
      </c>
      <c r="CS13" s="0">
        <v>60</v>
      </c>
      <c r="DH13" s="0">
        <v>120</v>
      </c>
      <c r="DJ13" s="0" t="s">
        <v>57</v>
      </c>
      <c r="DM13" s="0">
        <v>1</v>
      </c>
      <c r="DP13" s="0" t="s">
        <v>65</v>
      </c>
      <c r="DZ13" s="0" t="s">
        <v>44</v>
      </c>
      <c r="ED13" s="0" t="s">
        <v>45</v>
      </c>
      <c r="EL13" s="0" t="s">
        <v>26</v>
      </c>
      <c r="EV13" s="0" t="s">
        <v>26</v>
      </c>
      <c r="FH13" s="0">
        <v>-3000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39</v>
      </c>
      <c r="C14" s="8" t="s">
        <v>22</v>
      </c>
      <c r="D14" s="8">
        <v>-100</v>
      </c>
      <c r="E14" s="8" t="s">
        <v>34</v>
      </c>
      <c r="F14" s="8" t="s">
        <v>64</v>
      </c>
      <c r="G14" s="8">
        <v>60</v>
      </c>
      <c r="H14" s="8" t="s">
        <v>65</v>
      </c>
      <c r="I14" s="8"/>
      <c r="J14" s="8"/>
      <c r="K14" s="8"/>
      <c r="L14" s="8"/>
      <c r="M14" s="8"/>
      <c r="N14" s="8"/>
      <c r="O14" s="8"/>
      <c r="P14" s="0">
        <v>120</v>
      </c>
      <c r="R14" s="0" t="s">
        <v>66</v>
      </c>
      <c r="T14" s="0" t="s">
        <v>41</v>
      </c>
      <c r="U14" s="0" t="s">
        <v>50</v>
      </c>
      <c r="V14" s="0" t="s">
        <v>46</v>
      </c>
      <c r="W14" s="0" t="s">
        <v>45</v>
      </c>
      <c r="X14" s="0">
        <v>1</v>
      </c>
      <c r="Y14" s="0">
        <v>1</v>
      </c>
      <c r="AN14" s="0" t="s">
        <v>60</v>
      </c>
      <c r="AP14" s="0" t="s">
        <v>26</v>
      </c>
      <c r="AQ14" s="0" t="s">
        <v>22</v>
      </c>
      <c r="AS14" s="0">
        <v>-1</v>
      </c>
      <c r="AV14" s="0">
        <v>1</v>
      </c>
      <c r="BQ14" s="0" t="s">
        <v>51</v>
      </c>
      <c r="BR14" s="0" t="s">
        <v>25</v>
      </c>
      <c r="BU14" s="0" t="s">
        <v>41</v>
      </c>
      <c r="CN14" s="0" t="s">
        <v>22</v>
      </c>
      <c r="CO14" s="0" t="s">
        <v>22</v>
      </c>
      <c r="CP14" s="0" t="s">
        <v>42</v>
      </c>
      <c r="CS14" s="0">
        <v>60</v>
      </c>
      <c r="DH14" s="0">
        <v>120</v>
      </c>
      <c r="DJ14" s="0" t="s">
        <v>57</v>
      </c>
      <c r="DM14" s="0">
        <v>1</v>
      </c>
      <c r="DP14" s="0" t="s">
        <v>26</v>
      </c>
      <c r="DZ14" s="0" t="s">
        <v>44</v>
      </c>
      <c r="ED14" s="0" t="s">
        <v>45</v>
      </c>
      <c r="EL14" s="0" t="s">
        <v>26</v>
      </c>
      <c r="EV14" s="0" t="s">
        <v>26</v>
      </c>
      <c r="FH14" s="0">
        <v>-3000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39</v>
      </c>
      <c r="C15" s="8" t="s">
        <v>22</v>
      </c>
      <c r="D15" s="8">
        <v>-900</v>
      </c>
      <c r="E15" s="8" t="s">
        <v>34</v>
      </c>
      <c r="F15" s="8" t="s">
        <v>64</v>
      </c>
      <c r="G15" s="8">
        <v>60</v>
      </c>
      <c r="H15" s="8" t="s">
        <v>65</v>
      </c>
      <c r="I15" s="8"/>
      <c r="J15" s="8"/>
      <c r="K15" s="8"/>
      <c r="L15" s="8"/>
      <c r="M15" s="8"/>
      <c r="N15" s="8"/>
      <c r="O15" s="8"/>
      <c r="P15" s="0">
        <v>120</v>
      </c>
      <c r="R15" s="0" t="s">
        <v>66</v>
      </c>
      <c r="T15" s="0" t="s">
        <v>41</v>
      </c>
      <c r="U15" s="0" t="s">
        <v>50</v>
      </c>
      <c r="V15" s="0" t="s">
        <v>46</v>
      </c>
      <c r="W15" s="0" t="s">
        <v>45</v>
      </c>
      <c r="X15" s="0">
        <v>1</v>
      </c>
      <c r="Y15" s="0">
        <v>1</v>
      </c>
      <c r="AN15" s="0" t="s">
        <v>59</v>
      </c>
      <c r="AP15" s="0" t="s">
        <v>65</v>
      </c>
      <c r="AQ15" s="0" t="s">
        <v>22</v>
      </c>
      <c r="AS15" s="0">
        <v>-1</v>
      </c>
      <c r="AV15" s="0">
        <v>1</v>
      </c>
      <c r="BQ15" s="0" t="s">
        <v>51</v>
      </c>
      <c r="BR15" s="0" t="s">
        <v>25</v>
      </c>
      <c r="BU15" s="0" t="s">
        <v>41</v>
      </c>
      <c r="CN15" s="0" t="s">
        <v>22</v>
      </c>
      <c r="CO15" s="0" t="s">
        <v>22</v>
      </c>
      <c r="CP15" s="0" t="s">
        <v>42</v>
      </c>
      <c r="CS15" s="0">
        <v>60</v>
      </c>
      <c r="DH15" s="0">
        <v>120</v>
      </c>
      <c r="DJ15" s="0" t="s">
        <v>57</v>
      </c>
      <c r="DM15" s="0">
        <v>1</v>
      </c>
      <c r="DP15" s="0" t="s">
        <v>65</v>
      </c>
      <c r="DZ15" s="0" t="s">
        <v>44</v>
      </c>
      <c r="ED15" s="0" t="s">
        <v>45</v>
      </c>
      <c r="EL15" s="0" t="s">
        <v>26</v>
      </c>
      <c r="EV15" s="0" t="s">
        <v>26</v>
      </c>
      <c r="FH15" s="0">
        <v>-3000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 t="s">
        <v>39</v>
      </c>
      <c r="C16" s="8" t="s">
        <v>22</v>
      </c>
      <c r="D16" s="8">
        <v>-1000</v>
      </c>
      <c r="E16" s="8" t="s">
        <v>34</v>
      </c>
      <c r="F16" s="8" t="s">
        <v>64</v>
      </c>
      <c r="G16" s="8">
        <v>60</v>
      </c>
      <c r="H16" s="8" t="s">
        <v>65</v>
      </c>
      <c r="I16" s="8"/>
      <c r="J16" s="8"/>
      <c r="K16" s="8"/>
      <c r="L16" s="8"/>
      <c r="M16" s="8"/>
      <c r="N16" s="8"/>
      <c r="O16" s="8"/>
      <c r="P16" s="0">
        <v>120</v>
      </c>
      <c r="R16" s="0" t="s">
        <v>66</v>
      </c>
      <c r="T16" s="0" t="s">
        <v>41</v>
      </c>
      <c r="U16" s="0" t="s">
        <v>50</v>
      </c>
      <c r="V16" s="0" t="s">
        <v>46</v>
      </c>
      <c r="W16" s="0" t="s">
        <v>45</v>
      </c>
      <c r="X16" s="0">
        <v>1</v>
      </c>
      <c r="Y16" s="0">
        <v>1</v>
      </c>
      <c r="AN16" s="0" t="s">
        <v>60</v>
      </c>
      <c r="AP16" s="0" t="s">
        <v>26</v>
      </c>
      <c r="AQ16" s="0" t="s">
        <v>22</v>
      </c>
      <c r="AS16" s="0">
        <v>-1</v>
      </c>
      <c r="AV16" s="0">
        <v>1</v>
      </c>
      <c r="BQ16" s="0" t="s">
        <v>51</v>
      </c>
      <c r="BR16" s="0" t="s">
        <v>43</v>
      </c>
      <c r="BU16" s="0" t="s">
        <v>41</v>
      </c>
      <c r="CN16" s="0" t="s">
        <v>22</v>
      </c>
      <c r="CO16" s="0" t="s">
        <v>22</v>
      </c>
      <c r="CP16" s="0" t="s">
        <v>42</v>
      </c>
      <c r="CS16" s="0">
        <v>60</v>
      </c>
      <c r="DH16" s="0">
        <v>120</v>
      </c>
      <c r="DJ16" s="0" t="s">
        <v>57</v>
      </c>
      <c r="DM16" s="0">
        <v>1</v>
      </c>
      <c r="DP16" s="0" t="s">
        <v>26</v>
      </c>
      <c r="DZ16" s="0" t="s">
        <v>44</v>
      </c>
      <c r="ED16" s="0" t="s">
        <v>45</v>
      </c>
      <c r="EL16" s="0" t="s">
        <v>26</v>
      </c>
      <c r="EV16" s="0" t="s">
        <v>26</v>
      </c>
      <c r="FH16" s="0">
        <v>-3000</v>
      </c>
      <c r="FI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