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TTCompliancePreference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OnOrderGrid" sheetId="10" r:id="rId12"/>
    <sheet state="visible" name="CancelSubOrder" sheetId="11" r:id="rId13"/>
    <sheet state="visible" name="AcknowledgeTrade1" sheetId="12" r:id="rId14"/>
    <sheet state="visible" name="VerifyWorkingSubs" sheetId="13" r:id="rId15"/>
    <sheet state="visible" name="CreateLiveOrder1" sheetId="14" r:id="rId16"/>
    <sheet state="visible" name="SelectTrade1" sheetId="15" r:id="rId17"/>
    <sheet state="visible" name="AcknowledgeTrade2" sheetId="16" r:id="rId18"/>
    <sheet state="visible" name="CancelTrade" sheetId="17" r:id="rId19"/>
    <sheet state="visible" name="VerifyWorkingSubs1" sheetId="18" r:id="rId20"/>
    <sheet state="visible" name="CreateLiveOrder2" sheetId="19" r:id="rId21"/>
    <sheet state="visible" name="SelectTrade3" sheetId="20" r:id="rId22"/>
    <sheet state="visible" name="RejectTrade" sheetId="21" r:id="rId23"/>
    <sheet state="visible" name="VerifyWorkingSubs2" sheetId="22" r:id="rId24"/>
  </sheets>
  <definedNames/>
  <calcPr/>
</workbook>
</file>

<file path=xl/sharedStrings.xml><?xml version="1.0" encoding="utf-8"?>
<sst xmlns="http://schemas.openxmlformats.org/spreadsheetml/2006/main" count="205" uniqueCount="42">
  <si>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</si>
  <si>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</si>
  <si>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</si>
  <si>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</si>
  <si>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</si>
  <si>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</si>
  <si>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</si>
  <si>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</si>
  <si>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</si>
  <si>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</si>
  <si>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</si>
  <si>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</si>
  <si>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</si>
  <si>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</si>
  <si>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</si>
  <si>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</si>
  <si>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MS</t>
  </si>
  <si>
    <t>GTC</t>
  </si>
  <si>
    <t>GCCAP1</t>
  </si>
  <si>
    <t>TradingTicket</t>
  </si>
  <si>
    <t>SetTTCompliancePreference</t>
  </si>
  <si>
    <t>CreateLiveOrder</t>
  </si>
  <si>
    <t>AAPL</t>
  </si>
  <si>
    <t>Buy</t>
  </si>
  <si>
    <t>Allocation1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</si>
  <si>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</si>
  <si>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</si>
  <si>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</si>
  <si>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</si>
  <si>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</si>
  <si>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</si>
  <si>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</si>
  <si>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</si>
  <si>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CancelSubOrder</t>
  </si>
  <si>
    <t>VerifyWorkingSubs</t>
  </si>
  <si>
    <t>Cancelled</t>
  </si>
  <si>
    <t>MSFT</t>
  </si>
  <si>
    <t>CancelTrade</t>
  </si>
  <si>
    <t>New</t>
  </si>
  <si>
    <t>S</t>
  </si>
  <si>
    <t>RejectTrade</t>
  </si>
  <si>
    <t>Rejected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</si>
</sst>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 t="str">
        <f>IFERROR(__xludf.DUMMYFUNCTION("""COMPUTED_VALUE"""),"ShowHideTargetQuantity")</f>
        <v>ShowHideTargetQuantity</v>
      </c>
      <c r="G5" s="28" t="str">
        <f>IFERROR(__xludf.DUMMYFUNCTION("""COMPUTED_VALUE"""),"SecurityValidationForEquityOption")</f>
        <v>SecurityValidationForEquityOption</v>
      </c>
      <c r="H5" s="28" t="str">
        <f>IFERROR(__xludf.DUMMYFUNCTION("""COMPUTED_VALUE"""),"Order Type")</f>
        <v>Order Type</v>
      </c>
      <c r="I5" s="28" t="str">
        <f>IFERROR(__xludf.DUMMYFUNCTION("""COMPUTED_VALUE"""),"Account")</f>
        <v>Account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 t="s">
        <v>17</v>
      </c>
      <c r="E6" s="32" t="s">
        <v>18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10000.0</v>
      </c>
      <c r="E6" s="33"/>
      <c r="F6" s="13" t="s">
        <v>24</v>
      </c>
      <c r="G6" s="13" t="s">
        <v>16</v>
      </c>
      <c r="H6" s="13"/>
      <c r="I6" s="13" t="s">
        <v>25</v>
      </c>
      <c r="J6" s="13">
        <v>10.0</v>
      </c>
      <c r="K6" s="8"/>
      <c r="L6" s="13">
        <v>15.0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 t="s">
        <v>25</v>
      </c>
      <c r="E6" s="33"/>
      <c r="F6" s="8"/>
      <c r="G6" s="1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 t="s">
        <v>25</v>
      </c>
      <c r="E6" s="33"/>
      <c r="F6" s="8"/>
      <c r="G6" s="1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15.0</v>
      </c>
      <c r="C6" s="13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3"/>
      <c r="F6" s="13" t="s">
        <v>23</v>
      </c>
      <c r="G6" s="13" t="s">
        <v>32</v>
      </c>
      <c r="H6" s="13">
        <v>10000.0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13" t="s">
        <v>32</v>
      </c>
      <c r="AL6" s="9">
        <v>10000.0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 t="s">
        <v>25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22</v>
      </c>
      <c r="C6" s="34" t="s">
        <v>23</v>
      </c>
      <c r="D6" s="34">
        <v>10000.0</v>
      </c>
      <c r="E6" s="34">
        <v>100.0</v>
      </c>
      <c r="F6" s="34">
        <v>9900.0</v>
      </c>
      <c r="G6" s="34" t="s">
        <v>35</v>
      </c>
      <c r="H6" s="8"/>
      <c r="I6" s="8"/>
      <c r="J6" s="8"/>
      <c r="K6" s="34" t="s">
        <v>16</v>
      </c>
      <c r="L6" s="34" t="s">
        <v>24</v>
      </c>
      <c r="M6" s="34" t="s">
        <v>25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23</v>
      </c>
      <c r="D6" s="13">
        <v>10000.0</v>
      </c>
      <c r="E6" s="33"/>
      <c r="F6" s="13" t="s">
        <v>24</v>
      </c>
      <c r="G6" s="13" t="s">
        <v>16</v>
      </c>
      <c r="H6" s="13"/>
      <c r="I6" s="13" t="s">
        <v>25</v>
      </c>
      <c r="J6" s="13">
        <v>10.0</v>
      </c>
      <c r="K6" s="8"/>
      <c r="L6" s="13">
        <v>15.0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36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36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36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23</v>
      </c>
      <c r="D6" s="13">
        <v>10000.0</v>
      </c>
      <c r="E6" s="33"/>
      <c r="F6" s="13">
        <v>10000.0</v>
      </c>
      <c r="G6" s="13" t="s">
        <v>38</v>
      </c>
      <c r="H6" s="8"/>
      <c r="I6" s="8"/>
      <c r="J6" s="8"/>
      <c r="K6" s="13" t="s">
        <v>16</v>
      </c>
      <c r="L6" s="13" t="s">
        <v>24</v>
      </c>
      <c r="M6" s="13" t="s">
        <v>25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23</v>
      </c>
      <c r="D6" s="13">
        <v>100.0</v>
      </c>
      <c r="E6" s="33"/>
      <c r="F6" s="13" t="s">
        <v>24</v>
      </c>
      <c r="G6" s="13" t="s">
        <v>16</v>
      </c>
      <c r="H6" s="13"/>
      <c r="I6" s="13" t="s">
        <v>25</v>
      </c>
      <c r="J6" s="13">
        <v>10.0</v>
      </c>
      <c r="K6" s="8"/>
      <c r="L6" s="13">
        <v>15.0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23</v>
      </c>
      <c r="D6" s="13">
        <v>100.0</v>
      </c>
      <c r="E6" s="33"/>
      <c r="F6" s="13">
        <v>100.0</v>
      </c>
      <c r="G6" s="13" t="s">
        <v>41</v>
      </c>
      <c r="H6" s="8"/>
      <c r="I6" s="8"/>
      <c r="J6" s="8"/>
      <c r="K6" s="13" t="s">
        <v>16</v>
      </c>
      <c r="L6" s="13" t="s">
        <v>24</v>
      </c>
      <c r="M6" s="13" t="s">
        <v>25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VerifyWorkingSubs2!$4:$4</formula1>
    </dataValidation>
  </dataValidations>
  <drawing r:id="rId1"/>
</worksheet>
</file>