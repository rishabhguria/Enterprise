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howMasterFundOnTT" sheetId="4" r:id="rId6"/>
    <sheet state="visible" name="UpdateMasterFundOnTT" sheetId="5" r:id="rId7"/>
    <sheet state="visible" name="CreateDoneAwayOrder" sheetId="6" r:id="rId8"/>
    <sheet state="visible" name="SelectTradeOnOrderGrid" sheetId="7" r:id="rId9"/>
    <sheet state="visible" name="GoToAllocation" sheetId="8" r:id="rId10"/>
    <sheet state="visible" name="SelectAllocatedGroup" sheetId="9" r:id="rId11"/>
    <sheet state="visible" name="EnterAccountValuesToAllocate" sheetId="10" r:id="rId12"/>
    <sheet state="visible" name="SelectTradeOnOrderGrid1" sheetId="11" r:id="rId13"/>
    <sheet state="visible" name="ReplaceSubOrder" sheetId="12" r:id="rId14"/>
    <sheet state="visible" name="CreateReplaceOrder" sheetId="13" r:id="rId15"/>
    <sheet state="visible" name="VerifyOrder" sheetId="14" r:id="rId16"/>
    <sheet state="visible" name="VerifyWorkingSubs" sheetId="15" r:id="rId17"/>
    <sheet state="visible" name="GetDataAllocation" sheetId="16" r:id="rId18"/>
    <sheet state="visible" name="CheckAllocatedGroups" sheetId="17" r:id="rId19"/>
    <sheet state="visible" name="CheckPortfolioManagement" sheetId="18" r:id="rId20"/>
  </sheets>
  <definedNames/>
  <calcPr/>
</workbook>
</file>

<file path=xl/sharedStrings.xml><?xml version="1.0" encoding="utf-8"?>
<sst xmlns="http://schemas.openxmlformats.org/spreadsheetml/2006/main" count="195" uniqueCount="49">
  <si>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</si>
  <si>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</si>
  <si>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</si>
  <si>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</si>
  <si>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</si>
  <si>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</si>
  <si>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</si>
  <si>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</si>
  <si>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</si>
  <si>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</si>
  <si>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</si>
  <si>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</si>
  <si>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Allocation</t>
  </si>
  <si>
    <t>ShowMasterFundOnTT</t>
  </si>
  <si>
    <t>Data Format</t>
  </si>
  <si>
    <t>Input Format</t>
  </si>
  <si>
    <t>TradingTicket</t>
  </si>
  <si>
    <t>UpdateMasterFundOnTT</t>
  </si>
  <si>
    <t>NewMF</t>
  </si>
  <si>
    <t>CreateDoneAwayOrder</t>
  </si>
  <si>
    <t>AAPL</t>
  </si>
  <si>
    <t>Buy</t>
  </si>
  <si>
    <t>Allocation1</t>
  </si>
  <si>
    <t>MS</t>
  </si>
  <si>
    <t>Blotter</t>
  </si>
  <si>
    <t>SelectTradeOnOrderGrid</t>
  </si>
  <si>
    <t>Filled</t>
  </si>
  <si>
    <t>Market</t>
  </si>
  <si>
    <t>GoToAllocation</t>
  </si>
  <si>
    <t>M</t>
  </si>
  <si>
    <t>Equity</t>
  </si>
  <si>
    <t>SelectAllocatedGroup</t>
  </si>
  <si>
    <t>EnterAccountValuesToAllocate</t>
  </si>
  <si>
    <t>Allocation2</t>
  </si>
  <si>
    <t>LP C/O</t>
  </si>
  <si>
    <t>ReplaceSubOrder</t>
  </si>
  <si>
    <t>Multiple</t>
  </si>
  <si>
    <t>CreateReplaceOrder</t>
  </si>
  <si>
    <t>VerifyOrder</t>
  </si>
  <si>
    <t>Replaced</t>
  </si>
  <si>
    <t>VerifyWorkingSubs</t>
  </si>
  <si>
    <t>GetDataAllocation</t>
  </si>
  <si>
    <t>Current</t>
  </si>
  <si>
    <t>CheckAllocatedGroups</t>
  </si>
  <si>
    <t>PortfolioManagement</t>
  </si>
  <si>
    <t>CheckPortfolioManagement</t>
  </si>
  <si>
    <t>NewMF1</t>
  </si>
  <si>
    <t>Long</t>
  </si>
  <si>
    <t>NewMF2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</si>
</sst>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9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IFERROR(__xludf.DUMMYFUNCTION("""COMPUTED_VALUE"""),"TradeSymbolFromSM")</f>
        <v>TradeSymbolFromSM</v>
      </c>
      <c r="C552" t="str">
        <f>IFERROR(__xludf.DUMMYFUNCTION("""COMPUTED_VALUE"""),"1-CEopEQMGMoXLU6RCzJz5EPF9dIkT0gUSqvavHcsYis")</f>
        <v>1-CEopEQMGMoXLU6RCzJz5EPF9dIkT0gUSqvavHcsYis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IFERROR(__xludf.DUMMYFUNCTION("""COMPUTED_VALUE"""),"SelectAccountWiseAsset")</f>
        <v>SelectAccountWiseAsset</v>
      </c>
      <c r="C553" t="str">
        <f>IFERROR(__xludf.DUMMYFUNCTION("""COMPUTED_VALUE"""),"1T8QT8BlZU5hSthOscwYVMb0pI8jbsslQ3q_iqR9NEvo")</f>
        <v>1T8QT8BlZU5hSthOscwYVMb0pI8jbsslQ3q_iqR9NEvo</v>
      </c>
    </row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IFERROR(__xludf.DUMMYFUNCTION("""COMPUTED_VALUE"""),"ShowMasterFundOnTT")</f>
        <v>ShowMasterFundOnTT</v>
      </c>
      <c r="C5" s="29"/>
      <c r="D5" s="29"/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b">
        <v>1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ShowMasterFundOnTT!$4:$4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IFERROR(__xludf.DUMMYFUNCTION("""COMPUTED_VALUE"""),"MasterFund")</f>
        <v>MasterFund</v>
      </c>
      <c r="C5" s="29"/>
      <c r="D5" s="29"/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18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UpdateMasterFundOnTT!$4:$4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IFERROR(__xludf.DUMMYFUNCTION("""COMPUTED_VALUE"""),"Order Side")</f>
        <v>Order Side</v>
      </c>
      <c r="D5" s="29" t="str">
        <f>IFERROR(__xludf.DUMMYFUNCTION("""COMPUTED_VALUE"""),"Quantity")</f>
        <v>Quantity</v>
      </c>
      <c r="E5" s="29" t="str">
        <f>IFERROR(__xludf.DUMMYFUNCTION("""COMPUTED_VALUE"""),"TargetQuantityIn")</f>
        <v>TargetQuantityIn</v>
      </c>
      <c r="F5" s="30" t="str">
        <f>IFERROR(__xludf.DUMMYFUNCTION("""COMPUTED_VALUE"""),"AllocationMethod")</f>
        <v>AllocationMethod</v>
      </c>
      <c r="G5" s="29" t="str">
        <f>IFERROR(__xludf.DUMMYFUNCTION("""COMPUTED_VALUE"""),"Broker")</f>
        <v>Broker</v>
      </c>
      <c r="H5" s="29" t="str">
        <f>IFERROR(__xludf.DUMMYFUNCTION("""COMPUTED_VALUE"""),"TIF")</f>
        <v>TIF</v>
      </c>
      <c r="I5" s="29" t="str">
        <f>IFERROR(__xludf.DUMMYFUNCTION("""COMPUTED_VALUE"""),"Order Type")</f>
        <v>Order Type</v>
      </c>
      <c r="J5" s="29" t="str">
        <f>IFERROR(__xludf.DUMMYFUNCTION("""COMPUTED_VALUE"""),"Price")</f>
        <v>Price</v>
      </c>
      <c r="K5" s="29" t="str">
        <f>IFERROR(__xludf.DUMMYFUNCTION("""COMPUTED_VALUE"""),"Stop")</f>
        <v>Stop</v>
      </c>
      <c r="L5" s="29" t="str">
        <f>IFERROR(__xludf.DUMMYFUNCTION("""COMPUTED_VALUE"""),"Limit")</f>
        <v>Limit</v>
      </c>
      <c r="M5" s="29" t="str">
        <f>IFERROR(__xludf.DUMMYFUNCTION("""COMPUTED_VALUE"""),"Strategy")</f>
        <v>Strategy</v>
      </c>
      <c r="N5" s="29" t="str">
        <f>IFERROR(__xludf.DUMMYFUNCTION("""COMPUTED_VALUE"""),"Trade Date")</f>
        <v>Trade Date</v>
      </c>
      <c r="O5" s="29" t="str">
        <f>IFERROR(__xludf.DUMMYFUNCTION("""COMPUTED_VALUE"""),"FxRate")</f>
        <v>FxRate</v>
      </c>
      <c r="P5" s="29" t="str">
        <f>IFERROR(__xludf.DUMMYFUNCTION("""COMPUTED_VALUE"""),"Notes")</f>
        <v>Notes</v>
      </c>
      <c r="Q5" s="29" t="str">
        <f>IFERROR(__xludf.DUMMYFUNCTION("""COMPUTED_VALUE"""),"Broker Notes")</f>
        <v>Broker Notes</v>
      </c>
      <c r="R5" s="29" t="str">
        <f>IFERROR(__xludf.DUMMYFUNCTION("""COMPUTED_VALUE"""),"CommissionBasis")</f>
        <v>CommissionBasis</v>
      </c>
      <c r="S5" s="29" t="str">
        <f>IFERROR(__xludf.DUMMYFUNCTION("""COMPUTED_VALUE"""),"CommissionRate")</f>
        <v>CommissionRate</v>
      </c>
      <c r="T5" s="31" t="str">
        <f>IFERROR(__xludf.DUMMYFUNCTION("""COMPUTED_VALUE"""),"SoftBasis")</f>
        <v>SoftBasis</v>
      </c>
      <c r="U5" s="31" t="str">
        <f>IFERROR(__xludf.DUMMYFUNCTION("""COMPUTED_VALUE"""),"SoftRate")</f>
        <v>SoftRate</v>
      </c>
      <c r="V5" s="31" t="str">
        <f>IFERROR(__xludf.DUMMYFUNCTION("""COMPUTED_VALUE"""),"TradeAttribute1")</f>
        <v>TradeAttribute1</v>
      </c>
      <c r="W5" s="31" t="str">
        <f>IFERROR(__xludf.DUMMYFUNCTION("""COMPUTED_VALUE"""),"TradeAttribute2")</f>
        <v>TradeAttribute2</v>
      </c>
      <c r="X5" s="31" t="str">
        <f>IFERROR(__xludf.DUMMYFUNCTION("""COMPUTED_VALUE"""),"TradeAttribute3")</f>
        <v>TradeAttribute3</v>
      </c>
      <c r="Y5" s="31" t="str">
        <f>IFERROR(__xludf.DUMMYFUNCTION("""COMPUTED_VALUE"""),"TradeAttribute4")</f>
        <v>TradeAttribute4</v>
      </c>
      <c r="Z5" s="31" t="str">
        <f>IFERROR(__xludf.DUMMYFUNCTION("""COMPUTED_VALUE"""),"TradeAttribute5")</f>
        <v>TradeAttribute5</v>
      </c>
      <c r="AA5" s="31" t="str">
        <f>IFERROR(__xludf.DUMMYFUNCTION("""COMPUTED_VALUE"""),"TradeAttribute6")</f>
        <v>TradeAttribute6</v>
      </c>
      <c r="AB5" s="31" t="str">
        <f>IFERROR(__xludf.DUMMYFUNCTION("""COMPUTED_VALUE"""),"Venue")</f>
        <v>Venue</v>
      </c>
      <c r="AC5" s="31" t="str">
        <f>IFERROR(__xludf.DUMMYFUNCTION("""COMPUTED_VALUE"""),"ExecutionInstructions")</f>
        <v>ExecutionInstructions</v>
      </c>
      <c r="AD5" s="31" t="str">
        <f>IFERROR(__xludf.DUMMYFUNCTION("""COMPUTED_VALUE"""),"HandlingInstructions")</f>
        <v>HandlingInstructions</v>
      </c>
      <c r="AE5" s="31" t="str">
        <f>IFERROR(__xludf.DUMMYFUNCTION("""COMPUTED_VALUE"""),"Trader")</f>
        <v>Trader</v>
      </c>
      <c r="AF5" s="31" t="str">
        <f>IFERROR(__xludf.DUMMYFUNCTION("""COMPUTED_VALUE"""),"SettlementCurrency")</f>
        <v>SettlementCurrency</v>
      </c>
      <c r="AG5" s="31" t="str">
        <f>IFERROR(__xludf.DUMMYFUNCTION("""COMPUTED_VALUE"""),"SettlementFXRate")</f>
        <v>SettlementFXRate</v>
      </c>
      <c r="AH5" s="31" t="str">
        <f>IFERROR(__xludf.DUMMYFUNCTION("""COMPUTED_VALUE"""),"SettlementAmount")</f>
        <v>SettlementAmount</v>
      </c>
      <c r="AI5" s="31" t="str">
        <f>IFERROR(__xludf.DUMMYFUNCTION("""COMPUTED_VALUE"""),"SettlementFXOperator")</f>
        <v>SettlementFXOperator</v>
      </c>
      <c r="AJ5" s="31" t="str">
        <f>IFERROR(__xludf.DUMMYFUNCTION("""COMPUTED_VALUE"""),"SettleByBroker")</f>
        <v>SettleByBroker</v>
      </c>
      <c r="AK5" s="31" t="str">
        <f>IFERROR(__xludf.DUMMYFUNCTION("""COMPUTED_VALUE"""),"Account")</f>
        <v>Account</v>
      </c>
      <c r="AL5" s="31" t="str">
        <f>IFERROR(__xludf.DUMMYFUNCTION("""COMPUTED_VALUE"""),"Account %")</f>
        <v>Account %</v>
      </c>
      <c r="AM5" s="31" t="str">
        <f>IFERROR(__xludf.DUMMYFUNCTION("""COMPUTED_VALUE"""),"Deal In")</f>
        <v>Deal In</v>
      </c>
      <c r="AN5" s="31" t="str">
        <f>IFERROR(__xludf.DUMMYFUNCTION("""COMPUTED_VALUE"""),"ChkBoxBookAsSwap")</f>
        <v>ChkBoxBookAsSwap</v>
      </c>
      <c r="AO5" s="31" t="str">
        <f>IFERROR(__xludf.DUMMYFUNCTION("""COMPUTED_VALUE"""),"PopUpQuantity")</f>
        <v>PopUpQuantity</v>
      </c>
      <c r="AP5" s="31" t="str">
        <f>IFERROR(__xludf.DUMMYFUNCTION("""COMPUTED_VALUE"""),"ShortLocate")</f>
        <v>ShortLocate</v>
      </c>
      <c r="AQ5" s="31" t="str">
        <f>IFERROR(__xludf.DUMMYFUNCTION("""COMPUTED_VALUE"""),"AllowTrade")</f>
        <v>AllowTrade</v>
      </c>
      <c r="AR5" s="31" t="str">
        <f>IFERROR(__xludf.DUMMYFUNCTION("""COMPUTED_VALUE"""),"SharesOutstandingPopUpQty")</f>
        <v>SharesOutstandingPopUpQty</v>
      </c>
      <c r="AS5" s="31" t="str">
        <f>IFERROR(__xludf.DUMMYFUNCTION("""COMPUTED_VALUE"""),"SharesOutstandingPopUp")</f>
        <v>SharesOutstandingPopUp</v>
      </c>
      <c r="AT5" s="31" t="str">
        <f>IFERROR(__xludf.DUMMYFUNCTION("""COMPUTED_VALUE"""),"ResAllowedListPopUp")</f>
        <v>ResAllowedListPopUp</v>
      </c>
      <c r="AU5" s="31" t="str">
        <f>IFERROR(__xludf.DUMMYFUNCTION("""COMPUTED_VALUE"""),"Rate(%)")</f>
        <v>Rate(%)</v>
      </c>
      <c r="AV5" s="31" t="str">
        <f>IFERROR(__xludf.DUMMYFUNCTION("""COMPUTED_VALUE"""),"Interest Rate")</f>
        <v>Interest Rate</v>
      </c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20</v>
      </c>
      <c r="C6" s="13" t="s">
        <v>21</v>
      </c>
      <c r="D6" s="13">
        <v>100.0</v>
      </c>
      <c r="E6" s="13">
        <v>100.0</v>
      </c>
      <c r="F6" s="13" t="s">
        <v>22</v>
      </c>
      <c r="G6" s="13" t="s">
        <v>23</v>
      </c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IFERROR(__xludf.DUMMYFUNCTION("""COMPUTED_VALUE"""),"Avg Fill Price (Base)")</f>
        <v>Avg Fill Price (Base)</v>
      </c>
      <c r="C5" s="29" t="str">
        <f>IFERROR(__xludf.DUMMYFUNCTION("""COMPUTED_VALUE"""),"Transaction Time")</f>
        <v>Transaction Time</v>
      </c>
      <c r="D5" s="29" t="str">
        <f>IFERROR(__xludf.DUMMYFUNCTION("""COMPUTED_VALUE"""),"Symbol")</f>
        <v>Symbol</v>
      </c>
      <c r="E5" s="29" t="str">
        <f>IFERROR(__xludf.DUMMYFUNCTION("""COMPUTED_VALUE"""),"Algo")</f>
        <v>Algo</v>
      </c>
      <c r="F5" s="30" t="str">
        <f>IFERROR(__xludf.DUMMYFUNCTION("""COMPUTED_VALUE"""),"Side")</f>
        <v>Side</v>
      </c>
      <c r="G5" s="29" t="str">
        <f>IFERROR(__xludf.DUMMYFUNCTION("""COMPUTED_VALUE"""),"Status")</f>
        <v>Status</v>
      </c>
      <c r="H5" s="29" t="str">
        <f>IFERROR(__xludf.DUMMYFUNCTION("""COMPUTED_VALUE"""),"Target Qty")</f>
        <v>Target Qty</v>
      </c>
      <c r="I5" s="29" t="str">
        <f>IFERROR(__xludf.DUMMYFUNCTION("""COMPUTED_VALUE"""),"Total Executed Qty")</f>
        <v>Total Executed Qty</v>
      </c>
      <c r="J5" s="29" t="str">
        <f>IFERROR(__xludf.DUMMYFUNCTION("""COMPUTED_VALUE"""),"% Executed")</f>
        <v>% Executed</v>
      </c>
      <c r="K5" s="29" t="str">
        <f>IFERROR(__xludf.DUMMYFUNCTION("""COMPUTED_VALUE"""),"Day Executed Qty")</f>
        <v>Day Executed Qty</v>
      </c>
      <c r="L5" s="29" t="str">
        <f>IFERROR(__xludf.DUMMYFUNCTION("""COMPUTED_VALUE"""),"Uncommitted Qty")</f>
        <v>Uncommitted Qty</v>
      </c>
      <c r="M5" s="29" t="str">
        <f>IFERROR(__xludf.DUMMYFUNCTION("""COMPUTED_VALUE"""),"Limit Price")</f>
        <v>Limit Price</v>
      </c>
      <c r="N5" s="29" t="str">
        <f>IFERROR(__xludf.DUMMYFUNCTION("""COMPUTED_VALUE"""),"Last Fill Price (Local)")</f>
        <v>Last Fill Price (Local)</v>
      </c>
      <c r="O5" s="29" t="str">
        <f>IFERROR(__xludf.DUMMYFUNCTION("""COMPUTED_VALUE"""),"Stop Price")</f>
        <v>Stop Price</v>
      </c>
      <c r="P5" s="29" t="str">
        <f>IFERROR(__xludf.DUMMYFUNCTION("""COMPUTED_VALUE"""),"Avg Fill Price (Local)")</f>
        <v>Avg Fill Price (Local)</v>
      </c>
      <c r="Q5" s="29" t="str">
        <f>IFERROR(__xludf.DUMMYFUNCTION("""COMPUTED_VALUE"""),"Broker")</f>
        <v>Broker</v>
      </c>
      <c r="R5" s="29" t="str">
        <f>IFERROR(__xludf.DUMMYFUNCTION("""COMPUTED_VALUE"""),"Account")</f>
        <v>Account</v>
      </c>
      <c r="S5" s="29" t="str">
        <f>IFERROR(__xludf.DUMMYFUNCTION("""COMPUTED_VALUE"""),"OrderID")</f>
        <v>OrderID</v>
      </c>
      <c r="T5" s="31" t="str">
        <f>IFERROR(__xludf.DUMMYFUNCTION("""COMPUTED_VALUE"""),"Order Type")</f>
        <v>Order Type</v>
      </c>
      <c r="U5" s="31" t="str">
        <f>IFERROR(__xludf.DUMMYFUNCTION("""COMPUTED_VALUE"""),"Principal Amount (Local)")</f>
        <v>Principal Amount (Local)</v>
      </c>
      <c r="V5" s="31" t="str">
        <f>IFERROR(__xludf.DUMMYFUNCTION("""COMPUTED_VALUE"""),"Principal Amount (Base)")</f>
        <v>Principal Amount (Base)</v>
      </c>
      <c r="W5" s="31" t="str">
        <f>IFERROR(__xludf.DUMMYFUNCTION("""COMPUTED_VALUE"""),"Peg")</f>
        <v>Peg</v>
      </c>
      <c r="X5" s="31" t="str">
        <f>IFERROR(__xludf.DUMMYFUNCTION("""COMPUTED_VALUE"""),"ParentClOrderID")</f>
        <v>ParentClOrderID</v>
      </c>
      <c r="Y5" s="31" t="str">
        <f>IFERROR(__xludf.DUMMYFUNCTION("""COMPUTED_VALUE"""),"Strike Price")</f>
        <v>Strike Price</v>
      </c>
      <c r="Z5" s="31" t="str">
        <f>IFERROR(__xludf.DUMMYFUNCTION("""COMPUTED_VALUE"""),"Last Shares")</f>
        <v>Last Shares</v>
      </c>
      <c r="AA5" s="31" t="str">
        <f>IFERROR(__xludf.DUMMYFUNCTION("""COMPUTED_VALUE"""),"Working Qty")</f>
        <v>Working Qty</v>
      </c>
      <c r="AB5" s="31" t="str">
        <f>IFERROR(__xludf.DUMMYFUNCTION("""COMPUTED_VALUE"""),"Bloomberg Symbol")</f>
        <v>Bloomberg Symbol</v>
      </c>
      <c r="AC5" s="31" t="str">
        <f>IFERROR(__xludf.DUMMYFUNCTION("""COMPUTED_VALUE"""),"Imported File Name")</f>
        <v>Imported File Name</v>
      </c>
      <c r="AD5" s="31" t="str">
        <f>IFERROR(__xludf.DUMMYFUNCTION("""COMPUTED_VALUE"""),"Master Fund")</f>
        <v>Master Fund</v>
      </c>
      <c r="AE5" s="31" t="str">
        <f>IFERROR(__xludf.DUMMYFUNCTION("""COMPUTED_VALUE"""),"Day Average Price")</f>
        <v>Day Average Price</v>
      </c>
      <c r="AF5" s="31" t="str">
        <f>IFERROR(__xludf.DUMMYFUNCTION("""COMPUTED_VALUE"""),"Asset Class")</f>
        <v>Asset Class</v>
      </c>
      <c r="AG5" s="31" t="str">
        <f>IFERROR(__xludf.DUMMYFUNCTION("""COMPUTED_VALUE"""),"Underlying Country")</f>
        <v>Underlying Country</v>
      </c>
      <c r="AH5" s="31" t="str">
        <f>IFERROR(__xludf.DUMMYFUNCTION("""COMPUTED_VALUE"""),"Trader")</f>
        <v>Trader</v>
      </c>
      <c r="AI5" s="31" t="str">
        <f>IFERROR(__xludf.DUMMYFUNCTION("""COMPUTED_VALUE"""),"User")</f>
        <v>User</v>
      </c>
      <c r="AJ5" s="31" t="str">
        <f>IFERROR(__xludf.DUMMYFUNCTION("""COMPUTED_VALUE"""),"Venue")</f>
        <v>Venue</v>
      </c>
      <c r="AK5" s="31" t="str">
        <f>IFERROR(__xludf.DUMMYFUNCTION("""COMPUTED_VALUE"""),"Settlement Currency")</f>
        <v>Settlement Currency</v>
      </c>
      <c r="AL5" s="31" t="str">
        <f>IFERROR(__xludf.DUMMYFUNCTION("""COMPUTED_VALUE"""),"FX Conversion Operator")</f>
        <v>FX Conversion Operator</v>
      </c>
      <c r="AM5" s="31" t="str">
        <f>IFERROR(__xludf.DUMMYFUNCTION("""COMPUTED_VALUE"""),"Process Date")</f>
        <v>Process Date</v>
      </c>
      <c r="AN5" s="31" t="str">
        <f>IFERROR(__xludf.DUMMYFUNCTION("""COMPUTED_VALUE"""),"Underlying Symbol")</f>
        <v>Underlying Symbol</v>
      </c>
      <c r="AO5" s="31" t="str">
        <f>IFERROR(__xludf.DUMMYFUNCTION("""COMPUTED_VALUE"""),"Put/Call")</f>
        <v>Put/Call</v>
      </c>
      <c r="AP5" s="31" t="str">
        <f>IFERROR(__xludf.DUMMYFUNCTION("""COMPUTED_VALUE"""),"FX Rate")</f>
        <v>FX Rate</v>
      </c>
      <c r="AQ5" s="31" t="str">
        <f>IFERROR(__xludf.DUMMYFUNCTION("""COMPUTED_VALUE"""),"Trade Attribute 1")</f>
        <v>Trade Attribute 1</v>
      </c>
      <c r="AR5" s="31" t="str">
        <f>IFERROR(__xludf.DUMMYFUNCTION("""COMPUTED_VALUE"""),"Trade Attribute 2")</f>
        <v>Trade Attribute 2</v>
      </c>
      <c r="AS5" s="31" t="str">
        <f>IFERROR(__xludf.DUMMYFUNCTION("""COMPUTED_VALUE"""),"Trade Attribute 3")</f>
        <v>Trade Attribute 3</v>
      </c>
      <c r="AT5" s="31" t="str">
        <f>IFERROR(__xludf.DUMMYFUNCTION("""COMPUTED_VALUE"""),"Trade Attribute 4")</f>
        <v>Trade Attribute 4</v>
      </c>
      <c r="AU5" s="31" t="str">
        <f>IFERROR(__xludf.DUMMYFUNCTION("""COMPUTED_VALUE"""),"Trade Attribute 5")</f>
        <v>Trade Attribute 5</v>
      </c>
      <c r="AV5" s="31" t="str">
        <f>IFERROR(__xludf.DUMMYFUNCTION("""COMPUTED_VALUE"""),"Trade Attribute 6")</f>
        <v>Trade Attribute 6</v>
      </c>
      <c r="AW5" s="31" t="str">
        <f>IFERROR(__xludf.DUMMYFUNCTION("""COMPUTED_VALUE"""),"Internal Comments")</f>
        <v>Internal Comments</v>
      </c>
      <c r="AX5" s="31" t="str">
        <f>IFERROR(__xludf.DUMMYFUNCTION("""COMPUTED_VALUE"""),"Allocation Scheme Name")</f>
        <v>Allocation Scheme Name</v>
      </c>
      <c r="AY5" s="31" t="str">
        <f>IFERROR(__xludf.DUMMYFUNCTION("""COMPUTED_VALUE"""),"Start of Day Qty")</f>
        <v>Start of Day Qty</v>
      </c>
      <c r="AZ5" s="31" t="str">
        <f>IFERROR(__xludf.DUMMYFUNCTION("""COMPUTED_VALUE"""),"Leaves")</f>
        <v>Leaves</v>
      </c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>
        <v>10.0</v>
      </c>
      <c r="C6" s="8"/>
      <c r="D6" s="13" t="s">
        <v>20</v>
      </c>
      <c r="E6" s="32"/>
      <c r="F6" s="13" t="s">
        <v>21</v>
      </c>
      <c r="G6" s="13" t="s">
        <v>26</v>
      </c>
      <c r="H6" s="13">
        <v>100.0</v>
      </c>
      <c r="I6" s="13">
        <v>100.0</v>
      </c>
      <c r="J6" s="13">
        <v>100.0</v>
      </c>
      <c r="K6" s="8"/>
      <c r="L6" s="8"/>
      <c r="M6" s="8"/>
      <c r="N6" s="13"/>
      <c r="O6" s="8"/>
      <c r="P6" s="9">
        <v>10.0</v>
      </c>
      <c r="Q6" s="9" t="s">
        <v>23</v>
      </c>
      <c r="R6" s="9" t="s">
        <v>22</v>
      </c>
      <c r="T6" s="9" t="s">
        <v>27</v>
      </c>
      <c r="U6" s="9">
        <v>1000.0</v>
      </c>
      <c r="V6" s="9">
        <v>1000.0</v>
      </c>
      <c r="AD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IFERROR(__xludf.DUMMYFUNCTION("""COMPUTED_VALUE"""),"Transaction Time")</f>
        <v>Transaction Time</v>
      </c>
      <c r="C5" s="29" t="str">
        <f>IFERROR(__xludf.DUMMYFUNCTION("""COMPUTED_VALUE"""),"Algo")</f>
        <v>Algo</v>
      </c>
      <c r="D5" s="29" t="str">
        <f>IFERROR(__xludf.DUMMYFUNCTION("""COMPUTED_VALUE"""),"Avg Fill Price (Base)")</f>
        <v>Avg Fill Price (Base)</v>
      </c>
      <c r="E5" s="29" t="str">
        <f>IFERROR(__xludf.DUMMYFUNCTION("""COMPUTED_VALUE"""),"Bloomberg Symbol")</f>
        <v>Bloomberg Symbol</v>
      </c>
      <c r="F5" s="30" t="str">
        <f>IFERROR(__xludf.DUMMYFUNCTION("""COMPUTED_VALUE"""),"Limit Price")</f>
        <v>Limit Price</v>
      </c>
      <c r="G5" s="29" t="str">
        <f>IFERROR(__xludf.DUMMYFUNCTION("""COMPUTED_VALUE"""),"Working Qty")</f>
        <v>Working Qty</v>
      </c>
      <c r="H5" s="29" t="str">
        <f>IFERROR(__xludf.DUMMYFUNCTION("""COMPUTED_VALUE"""),"Venue")</f>
        <v>Venue</v>
      </c>
      <c r="I5" s="29" t="str">
        <f>IFERROR(__xludf.DUMMYFUNCTION("""COMPUTED_VALUE"""),"User")</f>
        <v>User</v>
      </c>
      <c r="J5" s="29" t="str">
        <f>IFERROR(__xludf.DUMMYFUNCTION("""COMPUTED_VALUE"""),"Underlying Symbol")</f>
        <v>Underlying Symbol</v>
      </c>
      <c r="K5" s="29" t="str">
        <f>IFERROR(__xludf.DUMMYFUNCTION("""COMPUTED_VALUE"""),"Underlying Country")</f>
        <v>Underlying Country</v>
      </c>
      <c r="L5" s="29" t="str">
        <f>IFERROR(__xludf.DUMMYFUNCTION("""COMPUTED_VALUE"""),"Trader")</f>
        <v>Trader</v>
      </c>
      <c r="M5" s="29" t="str">
        <f>IFERROR(__xludf.DUMMYFUNCTION("""COMPUTED_VALUE"""),"Trade Attribute 1")</f>
        <v>Trade Attribute 1</v>
      </c>
      <c r="N5" s="29" t="str">
        <f>IFERROR(__xludf.DUMMYFUNCTION("""COMPUTED_VALUE"""),"Trade Attribute 2")</f>
        <v>Trade Attribute 2</v>
      </c>
      <c r="O5" s="29" t="str">
        <f>IFERROR(__xludf.DUMMYFUNCTION("""COMPUTED_VALUE"""),"Trade Attribute 3")</f>
        <v>Trade Attribute 3</v>
      </c>
      <c r="P5" s="29" t="str">
        <f>IFERROR(__xludf.DUMMYFUNCTION("""COMPUTED_VALUE"""),"Trade Attribute 4")</f>
        <v>Trade Attribute 4</v>
      </c>
      <c r="Q5" s="29" t="str">
        <f>IFERROR(__xludf.DUMMYFUNCTION("""COMPUTED_VALUE"""),"Trade Attribute 5")</f>
        <v>Trade Attribute 5</v>
      </c>
      <c r="R5" s="29" t="str">
        <f>IFERROR(__xludf.DUMMYFUNCTION("""COMPUTED_VALUE"""),"Trade Attribute 6")</f>
        <v>Trade Attribute 6</v>
      </c>
      <c r="S5" s="29" t="str">
        <f>IFERROR(__xludf.DUMMYFUNCTION("""COMPUTED_VALUE"""),"Strike Price")</f>
        <v>Strike Price</v>
      </c>
      <c r="T5" s="31" t="str">
        <f>IFERROR(__xludf.DUMMYFUNCTION("""COMPUTED_VALUE"""),"Stop Price")</f>
        <v>Stop Price</v>
      </c>
      <c r="U5" s="31" t="str">
        <f>IFERROR(__xludf.DUMMYFUNCTION("""COMPUTED_VALUE"""),"Settlement FxRate Operator")</f>
        <v>Settlement FxRate Operator</v>
      </c>
      <c r="V5" s="31" t="str">
        <f>IFERROR(__xludf.DUMMYFUNCTION("""COMPUTED_VALUE"""),"Settlement Currency")</f>
        <v>Settlement Currency</v>
      </c>
      <c r="W5" s="31" t="str">
        <f>IFERROR(__xludf.DUMMYFUNCTION("""COMPUTED_VALUE"""),"Put/Call")</f>
        <v>Put/Call</v>
      </c>
      <c r="X5" s="31" t="str">
        <f>IFERROR(__xludf.DUMMYFUNCTION("""COMPUTED_VALUE"""),"Process Date")</f>
        <v>Process Date</v>
      </c>
      <c r="Y5" s="31" t="str">
        <f>IFERROR(__xludf.DUMMYFUNCTION("""COMPUTED_VALUE"""),"Peg")</f>
        <v>Peg</v>
      </c>
      <c r="Z5" s="31" t="str">
        <f>IFERROR(__xludf.DUMMYFUNCTION("""COMPUTED_VALUE"""),"ParentClOrderID")</f>
        <v>ParentClOrderID</v>
      </c>
      <c r="AA5" s="31" t="str">
        <f>IFERROR(__xludf.DUMMYFUNCTION("""COMPUTED_VALUE"""),"OrderID")</f>
        <v>OrderID</v>
      </c>
      <c r="AB5" s="31" t="str">
        <f>IFERROR(__xludf.DUMMYFUNCTION("""COMPUTED_VALUE"""),"Master Fund")</f>
        <v>Master Fund</v>
      </c>
      <c r="AC5" s="31" t="str">
        <f>IFERROR(__xludf.DUMMYFUNCTION("""COMPUTED_VALUE"""),"Last Shares")</f>
        <v>Last Shares</v>
      </c>
      <c r="AD5" s="31" t="str">
        <f>IFERROR(__xludf.DUMMYFUNCTION("""COMPUTED_VALUE"""),"Internal Comments")</f>
        <v>Internal Comments</v>
      </c>
      <c r="AE5" s="31" t="str">
        <f>IFERROR(__xludf.DUMMYFUNCTION("""COMPUTED_VALUE"""),"FX Rate")</f>
        <v>FX Rate</v>
      </c>
      <c r="AF5" s="31" t="str">
        <f>IFERROR(__xludf.DUMMYFUNCTION("""COMPUTED_VALUE"""),"Imported File Name")</f>
        <v>Imported File Name</v>
      </c>
      <c r="AG5" s="31" t="str">
        <f>IFERROR(__xludf.DUMMYFUNCTION("""COMPUTED_VALUE"""),"FX Conversion Operator")</f>
        <v>FX Conversion Operator</v>
      </c>
      <c r="AH5" s="31" t="str">
        <f>IFERROR(__xludf.DUMMYFUNCTION("""COMPUTED_VALUE"""),"Day Average Price")</f>
        <v>Day Average Price</v>
      </c>
      <c r="AI5" s="31" t="str">
        <f>IFERROR(__xludf.DUMMYFUNCTION("""COMPUTED_VALUE"""),"Asset Class")</f>
        <v>Asset Class</v>
      </c>
      <c r="AJ5" s="31" t="str">
        <f>IFERROR(__xludf.DUMMYFUNCTION("""COMPUTED_VALUE"""),"Symbol")</f>
        <v>Symbol</v>
      </c>
      <c r="AK5" s="31" t="str">
        <f>IFERROR(__xludf.DUMMYFUNCTION("""COMPUTED_VALUE"""),"Side")</f>
        <v>Side</v>
      </c>
      <c r="AL5" s="31" t="str">
        <f>IFERROR(__xludf.DUMMYFUNCTION("""COMPUTED_VALUE"""),"Status")</f>
        <v>Status</v>
      </c>
      <c r="AM5" s="31" t="str">
        <f>IFERROR(__xludf.DUMMYFUNCTION("""COMPUTED_VALUE"""),"Quantity")</f>
        <v>Quantity</v>
      </c>
      <c r="AN5" s="31" t="str">
        <f>IFERROR(__xludf.DUMMYFUNCTION("""COMPUTED_VALUE"""),"Executed Qty")</f>
        <v>Executed Qty</v>
      </c>
      <c r="AO5" s="31" t="str">
        <f>IFERROR(__xludf.DUMMYFUNCTION("""COMPUTED_VALUE"""),"% Executed")</f>
        <v>% Executed</v>
      </c>
      <c r="AP5" s="31" t="str">
        <f>IFERROR(__xludf.DUMMYFUNCTION("""COMPUTED_VALUE"""),"Day Executed Qty")</f>
        <v>Day Executed Qty</v>
      </c>
      <c r="AQ5" s="31" t="str">
        <f>IFERROR(__xludf.DUMMYFUNCTION("""COMPUTED_VALUE"""),"Remaining Qty")</f>
        <v>Remaining Qty</v>
      </c>
      <c r="AR5" s="31" t="str">
        <f>IFERROR(__xludf.DUMMYFUNCTION("""COMPUTED_VALUE"""),"Last Fill Price (Local)")</f>
        <v>Last Fill Price (Local)</v>
      </c>
      <c r="AS5" s="31" t="str">
        <f>IFERROR(__xludf.DUMMYFUNCTION("""COMPUTED_VALUE"""),"Avg Fill Price (Local)")</f>
        <v>Avg Fill Price (Local)</v>
      </c>
      <c r="AT5" s="31" t="str">
        <f>IFERROR(__xludf.DUMMYFUNCTION("""COMPUTED_VALUE"""),"Broker")</f>
        <v>Broker</v>
      </c>
      <c r="AU5" s="31" t="str">
        <f>IFERROR(__xludf.DUMMYFUNCTION("""COMPUTED_VALUE"""),"Account")</f>
        <v>Account</v>
      </c>
      <c r="AV5" s="31" t="str">
        <f>IFERROR(__xludf.DUMMYFUNCTION("""COMPUTED_VALUE"""),"Order Type")</f>
        <v>Order Type</v>
      </c>
      <c r="AW5" s="31" t="str">
        <f>IFERROR(__xludf.DUMMYFUNCTION("""COMPUTED_VALUE"""),"Principal Amount (Local)")</f>
        <v>Principal Amount (Local)</v>
      </c>
      <c r="AX5" s="31" t="str">
        <f>IFERROR(__xludf.DUMMYFUNCTION("""COMPUTED_VALUE"""),"Principal Amount (Base)")</f>
        <v>Principal Amount (Base)</v>
      </c>
      <c r="AY5" s="31" t="str">
        <f>IFERROR(__xludf.DUMMYFUNCTION("""COMPUTED_VALUE"""),"Settlement FxRate")</f>
        <v>Settlement FxRate</v>
      </c>
      <c r="AZ5" s="31" t="str">
        <f>IFERROR(__xludf.DUMMYFUNCTION("""COMPUTED_VALUE"""),"Settlement Price")</f>
        <v>Settlement Price</v>
      </c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/>
      <c r="C6" s="8"/>
      <c r="D6" s="13">
        <v>10.0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B6" s="9" t="s">
        <v>18</v>
      </c>
      <c r="AE6" s="9">
        <v>1.0</v>
      </c>
      <c r="AG6" s="9" t="s">
        <v>29</v>
      </c>
      <c r="AI6" s="9" t="s">
        <v>30</v>
      </c>
      <c r="AJ6" s="9" t="s">
        <v>20</v>
      </c>
      <c r="AK6" s="9" t="s">
        <v>21</v>
      </c>
      <c r="AL6" s="9" t="s">
        <v>26</v>
      </c>
      <c r="AM6" s="9">
        <v>100.0</v>
      </c>
      <c r="AN6" s="9">
        <v>100.0</v>
      </c>
      <c r="AO6" s="9">
        <v>100.0</v>
      </c>
      <c r="AT6" s="9" t="s">
        <v>23</v>
      </c>
      <c r="AU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GoToAllocation!$4:$4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IFERROR(__xludf.DUMMYFUNCTION("""COMPUTED_VALUE"""),"Quantity")</f>
        <v>Quantity</v>
      </c>
      <c r="D5" s="29" t="str">
        <f>IFERROR(__xludf.DUMMYFUNCTION("""COMPUTED_VALUE"""),"Trade Date")</f>
        <v>Trade Date</v>
      </c>
      <c r="E5" s="29" t="str">
        <f>IFERROR(__xludf.DUMMYFUNCTION("""COMPUTED_VALUE"""),"Account Name")</f>
        <v>Account Name</v>
      </c>
      <c r="F5" s="30" t="str">
        <f>IFERROR(__xludf.DUMMYFUNCTION("""COMPUTED_VALUE"""),"Side")</f>
        <v>Side</v>
      </c>
      <c r="G5" s="29" t="str">
        <f>IFERROR(__xludf.DUMMYFUNCTION("""COMPUTED_VALUE"""),"Group Status")</f>
        <v>Group Status</v>
      </c>
      <c r="H5" s="29" t="str">
        <f>IFERROR(__xludf.DUMMYFUNCTION("""COMPUTED_VALUE"""),"Avg Price(Base)")</f>
        <v>Avg Price(Base)</v>
      </c>
      <c r="I5" s="29" t="str">
        <f>IFERROR(__xludf.DUMMYFUNCTION("""COMPUTED_VALUE"""),"Execution Time")</f>
        <v>Execution Time</v>
      </c>
      <c r="J5" s="29" t="str">
        <f>IFERROR(__xludf.DUMMYFUNCTION("""COMPUTED_VALUE"""),"Trade Attribute 1")</f>
        <v>Trade Attribute 1</v>
      </c>
      <c r="K5" s="29" t="str">
        <f>IFERROR(__xludf.DUMMYFUNCTION("""COMPUTED_VALUE"""),"Avg Price(Local)")</f>
        <v>Avg Price(Local)</v>
      </c>
      <c r="L5" s="29" t="str">
        <f>IFERROR(__xludf.DUMMYFUNCTION("""COMPUTED_VALUE"""),"Trade Attribute 2")</f>
        <v>Trade Attribute 2</v>
      </c>
      <c r="M5" s="29" t="str">
        <f>IFERROR(__xludf.DUMMYFUNCTION("""COMPUTED_VALUE"""),"Accrued Interest")</f>
        <v>Accrued Interest</v>
      </c>
      <c r="N5" s="29" t="str">
        <f>IFERROR(__xludf.DUMMYFUNCTION("""COMPUTED_VALUE"""),"Commission")</f>
        <v>Commission</v>
      </c>
      <c r="O5" s="29" t="str">
        <f>IFERROR(__xludf.DUMMYFUNCTION("""COMPUTED_VALUE"""),"Soft Commission")</f>
        <v>Soft Commission</v>
      </c>
      <c r="P5" s="29" t="str">
        <f>IFERROR(__xludf.DUMMYFUNCTION("""COMPUTED_VALUE"""),"Broker")</f>
        <v>Broker</v>
      </c>
      <c r="Q5" s="29" t="str">
        <f>IFERROR(__xludf.DUMMYFUNCTION("""COMPUTED_VALUE"""),"Transaction Type")</f>
        <v>Transaction Type</v>
      </c>
      <c r="R5" s="29" t="str">
        <f>IFERROR(__xludf.DUMMYFUNCTION("""COMPUTED_VALUE"""),"AUEC Fee1")</f>
        <v>AUEC Fee1</v>
      </c>
      <c r="S5" s="29" t="str">
        <f>IFERROR(__xludf.DUMMYFUNCTION("""COMPUTED_VALUE"""),"AUEC Fee2")</f>
        <v>AUEC Fee2</v>
      </c>
      <c r="T5" s="31" t="str">
        <f>IFERROR(__xludf.DUMMYFUNCTION("""COMPUTED_VALUE"""),"Clearing Broker Fee")</f>
        <v>Clearing Broker Fee</v>
      </c>
      <c r="U5" s="31" t="str">
        <f>IFERROR(__xludf.DUMMYFUNCTION("""COMPUTED_VALUE"""),"Other Broker Fees")</f>
        <v>Other Broker Fees</v>
      </c>
      <c r="V5" s="31" t="str">
        <f>IFERROR(__xludf.DUMMYFUNCTION("""COMPUTED_VALUE"""),"OCC Fee")</f>
        <v>OCC Fee</v>
      </c>
      <c r="W5" s="31" t="str">
        <f>IFERROR(__xludf.DUMMYFUNCTION("""COMPUTED_VALUE"""),"SEC Fee")</f>
        <v>SEC Fee</v>
      </c>
      <c r="X5" s="31" t="str">
        <f>IFERROR(__xludf.DUMMYFUNCTION("""COMPUTED_VALUE"""),"ORF Fee")</f>
        <v>ORF Fee</v>
      </c>
      <c r="Y5" s="31" t="str">
        <f>IFERROR(__xludf.DUMMYFUNCTION("""COMPUTED_VALUE"""),"IsPreAllocated")</f>
        <v>IsPreAllocated</v>
      </c>
      <c r="Z5" s="31" t="str">
        <f>IFERROR(__xludf.DUMMYFUNCTION("""COMPUTED_VALUE"""),"Stamp Duty")</f>
        <v>Stamp Duty</v>
      </c>
      <c r="AA5" s="31" t="str">
        <f>IFERROR(__xludf.DUMMYFUNCTION("""COMPUTED_VALUE"""),"IsManual Group")</f>
        <v>IsManual Group</v>
      </c>
      <c r="AB5" s="31" t="str">
        <f>IFERROR(__xludf.DUMMYFUNCTION("""COMPUTED_VALUE"""),"Tax On Commissions")</f>
        <v>Tax On Commissions</v>
      </c>
      <c r="AC5" s="31" t="str">
        <f>IFERROR(__xludf.DUMMYFUNCTION("""COMPUTED_VALUE"""),"IsAnotherTaxlotAttributesUpdated")</f>
        <v>IsAnotherTaxlotAttributesUpdated</v>
      </c>
      <c r="AD5" s="31" t="str">
        <f>IFERROR(__xludf.DUMMYFUNCTION("""COMPUTED_VALUE"""),"ISNDF")</f>
        <v>ISNDF</v>
      </c>
      <c r="AE5" s="31" t="str">
        <f>IFERROR(__xludf.DUMMYFUNCTION("""COMPUTED_VALUE"""),"Transaction Levy")</f>
        <v>Transaction Levy</v>
      </c>
      <c r="AF5" s="31" t="str">
        <f>IFERROR(__xludf.DUMMYFUNCTION("""COMPUTED_VALUE"""),"Description")</f>
        <v>Description</v>
      </c>
      <c r="AG5" s="31" t="str">
        <f>IFERROR(__xludf.DUMMYFUNCTION("""COMPUTED_VALUE"""),"GroupID")</f>
        <v>GroupID</v>
      </c>
      <c r="AH5" s="31" t="str">
        <f>IFERROR(__xludf.DUMMYFUNCTION("""COMPUTED_VALUE"""),"Internal Comments")</f>
        <v>Internal Comments</v>
      </c>
      <c r="AI5" s="31" t="str">
        <f>IFERROR(__xludf.DUMMYFUNCTION("""COMPUTED_VALUE"""),"M2MProfitLoss")</f>
        <v>M2MProfitLoss</v>
      </c>
      <c r="AJ5" s="31" t="str">
        <f>IFERROR(__xludf.DUMMYFUNCTION("""COMPUTED_VALUE"""),"FX Rate")</f>
        <v>FX Rate</v>
      </c>
      <c r="AK5" s="31" t="str">
        <f>IFERROR(__xludf.DUMMYFUNCTION("""COMPUTED_VALUE"""),"FX Conversion Operator")</f>
        <v>FX Conversion Operator</v>
      </c>
      <c r="AL5" s="31" t="str">
        <f>IFERROR(__xludf.DUMMYFUNCTION("""COMPUTED_VALUE"""),"Trade Attribute 3")</f>
        <v>Trade Attribute 3</v>
      </c>
      <c r="AM5" s="31" t="str">
        <f>IFERROR(__xludf.DUMMYFUNCTION("""COMPUTED_VALUE"""),"Trade Attribute 4")</f>
        <v>Trade Attribute 4</v>
      </c>
      <c r="AN5" s="31" t="str">
        <f>IFERROR(__xludf.DUMMYFUNCTION("""COMPUTED_VALUE"""),"Trade Attribute 5")</f>
        <v>Trade Attribute 5</v>
      </c>
      <c r="AO5" s="31" t="str">
        <f>IFERROR(__xludf.DUMMYFUNCTION("""COMPUTED_VALUE"""),"Trade Attribute 6")</f>
        <v>Trade Attribute 6</v>
      </c>
      <c r="AP5" s="31" t="str">
        <f>IFERROR(__xludf.DUMMYFUNCTION("""COMPUTED_VALUE"""),"Put Or Call")</f>
        <v>Put Or Call</v>
      </c>
      <c r="AQ5" s="31" t="str">
        <f>IFERROR(__xludf.DUMMYFUNCTION("""COMPUTED_VALUE"""),"Allocated Qty")</f>
        <v>Allocated Qty</v>
      </c>
      <c r="AR5" s="31" t="str">
        <f>IFERROR(__xludf.DUMMYFUNCTION("""COMPUTED_VALUE"""),"Total Commission And Fee")</f>
        <v>Total Commission And Fee</v>
      </c>
      <c r="AS5" s="31" t="str">
        <f>IFERROR(__xludf.DUMMYFUNCTION("""COMPUTED_VALUE"""),"Executed Qty")</f>
        <v>Executed Qty</v>
      </c>
      <c r="AT5" s="31" t="str">
        <f>IFERROR(__xludf.DUMMYFUNCTION("""COMPUTED_VALUE"""),"Net Amount( Local)")</f>
        <v>Net Amount( Local)</v>
      </c>
      <c r="AU5" s="31" t="str">
        <f>IFERROR(__xludf.DUMMYFUNCTION("""COMPUTED_VALUE"""),"Net Amount( Base)")</f>
        <v>Net Amount( Base)</v>
      </c>
      <c r="AV5" s="31" t="str">
        <f>IFERROR(__xludf.DUMMYFUNCTION("""COMPUTED_VALUE"""),"UnAllocatedQty")</f>
        <v>UnAllocatedQty</v>
      </c>
      <c r="AW5" s="31" t="str">
        <f>IFERROR(__xludf.DUMMYFUNCTION("""COMPUTED_VALUE"""),"Option Premium Adjustment")</f>
        <v>Option Premium Adjustment</v>
      </c>
      <c r="AX5" s="31" t="str">
        <f>IFERROR(__xludf.DUMMYFUNCTION("""COMPUTED_VALUE"""),"Principal Amount( Local)")</f>
        <v>Principal Amount( Local)</v>
      </c>
      <c r="AY5" s="31" t="str">
        <f>IFERROR(__xludf.DUMMYFUNCTION("""COMPUTED_VALUE"""),"Principal Amount( Base)")</f>
        <v>Principal Amount( Base)</v>
      </c>
      <c r="AZ5" s="31" t="str">
        <f>IFERROR(__xludf.DUMMYFUNCTION("""COMPUTED_VALUE"""),"Settlement Currency")</f>
        <v>Settlement Currency</v>
      </c>
      <c r="BA5" s="31" t="str">
        <f>IFERROR(__xludf.DUMMYFUNCTION("""COMPUTED_VALUE"""),"User")</f>
        <v>User</v>
      </c>
      <c r="BB5" s="31" t="str">
        <f>IFERROR(__xludf.DUMMYFUNCTION("""COMPUTED_VALUE"""),"Asset Category")</f>
        <v>Asset Category</v>
      </c>
      <c r="BC5" s="31" t="str">
        <f>IFERROR(__xludf.DUMMYFUNCTION("""COMPUTED_VALUE"""),"Change Type")</f>
        <v>Change Type</v>
      </c>
      <c r="BD5" s="31" t="str">
        <f>IFERROR(__xludf.DUMMYFUNCTION("""COMPUTED_VALUE"""),"Strategy Name")</f>
        <v>Strategy Name</v>
      </c>
      <c r="BE5" s="31" t="str">
        <f>IFERROR(__xludf.DUMMYFUNCTION("""COMPUTED_VALUE"""),"Prana Msg Type")</f>
        <v>Prana Msg Type</v>
      </c>
      <c r="BF5" s="31" t="str">
        <f>IFERROR(__xludf.DUMMYFUNCTION("""COMPUTED_VALUE"""),"Total Commission")</f>
        <v>Total Commission</v>
      </c>
      <c r="BG5" s="31" t="str">
        <f>IFERROR(__xludf.DUMMYFUNCTION("""COMPUTED_VALUE"""),"Commission Per Share")</f>
        <v>Commission Per Share</v>
      </c>
      <c r="BH5" s="31" t="str">
        <f>IFERROR(__xludf.DUMMYFUNCTION("""COMPUTED_VALUE"""),"Soft Commission Per Share")</f>
        <v>Soft Commission Per Share</v>
      </c>
      <c r="BI5" s="31" t="str">
        <f>IFERROR(__xludf.DUMMYFUNCTION("""COMPUTED_VALUE"""),"Total Commission Per Share")</f>
        <v>Total Commission Per Share</v>
      </c>
      <c r="BJ5" s="31" t="str">
        <f>IFERROR(__xludf.DUMMYFUNCTION("""COMPUTED_VALUE"""),"Closing Status")</f>
        <v>Closing Status</v>
      </c>
      <c r="BK5" s="31" t="str">
        <f>IFERROR(__xludf.DUMMYFUNCTION("""COMPUTED_VALUE"""),"Closing Method")</f>
        <v>Closing Method</v>
      </c>
      <c r="BL5" s="31" t="str">
        <f>IFERROR(__xludf.DUMMYFUNCTION("""COMPUTED_VALUE"""),"Allocation Scheme Name")</f>
        <v>Allocation Scheme Name</v>
      </c>
      <c r="BM5" s="31" t="str">
        <f>IFERROR(__xludf.DUMMYFUNCTION("""COMPUTED_VALUE"""),"Change Comment")</f>
        <v>Change Comment</v>
      </c>
      <c r="BN5" s="31" t="str">
        <f>IFERROR(__xludf.DUMMYFUNCTION("""COMPUTED_VALUE"""),"Order Type")</f>
        <v>Order Type</v>
      </c>
      <c r="BO5" s="31" t="str">
        <f>IFERROR(__xludf.DUMMYFUNCTION("""COMPUTED_VALUE"""),"Underlying")</f>
        <v>Underlying</v>
      </c>
      <c r="BP5" s="31" t="str">
        <f>IFERROR(__xludf.DUMMYFUNCTION("""COMPUTED_VALUE"""),"Exchange")</f>
        <v>Exchange</v>
      </c>
      <c r="BQ5" s="31" t="str">
        <f>IFERROR(__xludf.DUMMYFUNCTION("""COMPUTED_VALUE"""),"Currency")</f>
        <v>Currency</v>
      </c>
      <c r="BR5" s="31" t="str">
        <f>IFERROR(__xludf.DUMMYFUNCTION("""COMPUTED_VALUE"""),"AUECID")</f>
        <v>AUECID</v>
      </c>
      <c r="BS5" s="31" t="str">
        <f>IFERROR(__xludf.DUMMYFUNCTION("""COMPUTED_VALUE"""),"Trading Account")</f>
        <v>Trading Account</v>
      </c>
      <c r="BT5" s="31" t="str">
        <f>IFERROR(__xludf.DUMMYFUNCTION("""COMPUTED_VALUE"""),"Venue")</f>
        <v>Venue</v>
      </c>
      <c r="BU5" s="31" t="str">
        <f>IFERROR(__xludf.DUMMYFUNCTION("""COMPUTED_VALUE"""),"Cum Qty For Sub Order")</f>
        <v>Cum Qty For Sub Order</v>
      </c>
      <c r="BV5" s="31" t="str">
        <f>IFERROR(__xludf.DUMMYFUNCTION("""COMPUTED_VALUE"""),"Contract Multiplier")</f>
        <v>Contract Multiplier</v>
      </c>
      <c r="BW5" s="31" t="str">
        <f>IFERROR(__xludf.DUMMYFUNCTION("""COMPUTED_VALUE"""),"Company")</f>
        <v>Company</v>
      </c>
      <c r="BX5" s="31" t="str">
        <f>IFERROR(__xludf.DUMMYFUNCTION("""COMPUTED_VALUE"""),"Nirvana Process Date")</f>
        <v>Nirvana Process Date</v>
      </c>
      <c r="BY5" s="31" t="str">
        <f>IFERROR(__xludf.DUMMYFUNCTION("""COMPUTED_VALUE"""),"Process Date")</f>
        <v>Process Date</v>
      </c>
      <c r="BZ5" s="31" t="str">
        <f>IFERROR(__xludf.DUMMYFUNCTION("""COMPUTED_VALUE"""),"Original Purchase Date")</f>
        <v>Original Purchase Date</v>
      </c>
      <c r="CA5" s="31" t="str">
        <f>IFERROR(__xludf.DUMMYFUNCTION("""COMPUTED_VALUE"""),"Closing Date")</f>
        <v>Closing Date</v>
      </c>
      <c r="CB5" s="31" t="str">
        <f>IFERROR(__xludf.DUMMYFUNCTION("""COMPUTED_VALUE"""),"Settlement Date")</f>
        <v>Settlement Date</v>
      </c>
      <c r="CC5" s="31" t="str">
        <f>IFERROR(__xludf.DUMMYFUNCTION("""COMPUTED_VALUE"""),"Expiration Date")</f>
        <v>Expiration Date</v>
      </c>
      <c r="CD5" s="31" t="str">
        <f>IFERROR(__xludf.DUMMYFUNCTION("""COMPUTED_VALUE"""),"Underlying Symbol")</f>
        <v>Underlying Symbol</v>
      </c>
      <c r="CE5" s="31" t="str">
        <f>IFERROR(__xludf.DUMMYFUNCTION("""COMPUTED_VALUE"""),"Accrual Basis")</f>
        <v>Accrual Basis</v>
      </c>
      <c r="CF5" s="31" t="str">
        <f>IFERROR(__xludf.DUMMYFUNCTION("""COMPUTED_VALUE"""),"Bond Type")</f>
        <v>Bond Type</v>
      </c>
      <c r="CG5" s="31" t="str">
        <f>IFERROR(__xludf.DUMMYFUNCTION("""COMPUTED_VALUE"""),"Coupon Rate")</f>
        <v>Coupon Rate</v>
      </c>
      <c r="CH5" s="31" t="str">
        <f>IFERROR(__xludf.DUMMYFUNCTION("""COMPUTED_VALUE"""),"Delta")</f>
        <v>Delta</v>
      </c>
      <c r="CI5" s="31" t="str">
        <f>IFERROR(__xludf.DUMMYFUNCTION("""COMPUTED_VALUE"""),"Bloomberg")</f>
        <v>Bloomberg</v>
      </c>
      <c r="CJ5" s="31" t="str">
        <f>IFERROR(__xludf.DUMMYFUNCTION("""COMPUTED_VALUE"""),"Sedol Symbol")</f>
        <v>Sedol Symbol</v>
      </c>
      <c r="CK5" s="31" t="str">
        <f>IFERROR(__xludf.DUMMYFUNCTION("""COMPUTED_VALUE"""),"Cusip Symbol")</f>
        <v>Cusip Symbol</v>
      </c>
      <c r="CL5" s="31" t="str">
        <f>IFERROR(__xludf.DUMMYFUNCTION("""COMPUTED_VALUE"""),"ISIN")</f>
        <v>ISIN</v>
      </c>
      <c r="CM5" s="31" t="str">
        <f>IFERROR(__xludf.DUMMYFUNCTION("""COMPUTED_VALUE"""),"OSISSymbol")</f>
        <v>OSISSymbol</v>
      </c>
      <c r="CN5" s="31" t="str">
        <f>IFERROR(__xludf.DUMMYFUNCTION("""COMPUTED_VALUE"""),"IDCOSymbol")</f>
        <v>IDCOSymbol</v>
      </c>
      <c r="CO5" s="31" t="str">
        <f>IFERROR(__xludf.DUMMYFUNCTION("""COMPUTED_VALUE"""),"Underlying Delta")</f>
        <v>Underlying Delta</v>
      </c>
      <c r="CP5" s="31" t="str">
        <f>IFERROR(__xludf.DUMMYFUNCTION("""COMPUTED_VALUE"""),"Proxy Symbol")</f>
        <v>Proxy Symbol</v>
      </c>
      <c r="CQ5" s="31" t="str">
        <f>IFERROR(__xludf.DUMMYFUNCTION("""COMPUTED_VALUE"""),"Transaction Source")</f>
        <v>Transaction Source</v>
      </c>
      <c r="CR5" s="31" t="str">
        <f>IFERROR(__xludf.DUMMYFUNCTION("""COMPUTED_VALUE"""),"Import File Name")</f>
        <v>Import File Name</v>
      </c>
      <c r="CS5" s="31" t="str">
        <f>IFERROR(__xludf.DUMMYFUNCTION("""COMPUTED_VALUE"""),"MasterFund")</f>
        <v>MasterFund</v>
      </c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20</v>
      </c>
      <c r="C6" s="13">
        <v>100.0</v>
      </c>
      <c r="D6" s="13"/>
      <c r="E6" s="13" t="s">
        <v>22</v>
      </c>
      <c r="F6" s="13" t="s">
        <v>21</v>
      </c>
      <c r="G6" s="8"/>
      <c r="H6" s="13">
        <v>10.0</v>
      </c>
      <c r="I6" s="8"/>
      <c r="J6" s="8"/>
      <c r="K6" s="8"/>
      <c r="L6" s="8"/>
      <c r="M6" s="8"/>
      <c r="N6" s="8"/>
      <c r="O6" s="8"/>
      <c r="P6" s="9" t="s">
        <v>23</v>
      </c>
      <c r="AJ6" s="9">
        <v>1.0</v>
      </c>
      <c r="AK6" s="9" t="s">
        <v>29</v>
      </c>
      <c r="AQ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IFERROR(__xludf.DUMMYFUNCTION("""COMPUTED_VALUE"""),"Account Name")</f>
        <v>Account Name</v>
      </c>
      <c r="C5" s="29" t="str">
        <f>IFERROR(__xludf.DUMMYFUNCTION("""COMPUTED_VALUE"""),"Account Percentage")</f>
        <v>Account Percentage</v>
      </c>
      <c r="D5" s="29" t="str">
        <f>IFERROR(__xludf.DUMMYFUNCTION("""COMPUTED_VALUE"""),"Account Quantity")</f>
        <v>Account Quantity</v>
      </c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33</v>
      </c>
      <c r="C6" s="13">
        <v>50.0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34</v>
      </c>
      <c r="C7" s="13">
        <v>50.0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IFERROR(__xludf.DUMMYFUNCTION("""COMPUTED_VALUE"""),"Avg Fill Price (Base)")</f>
        <v>Avg Fill Price (Base)</v>
      </c>
      <c r="C5" s="29" t="str">
        <f>IFERROR(__xludf.DUMMYFUNCTION("""COMPUTED_VALUE"""),"Transaction Time")</f>
        <v>Transaction Time</v>
      </c>
      <c r="D5" s="29" t="str">
        <f>IFERROR(__xludf.DUMMYFUNCTION("""COMPUTED_VALUE"""),"Symbol")</f>
        <v>Symbol</v>
      </c>
      <c r="E5" s="29" t="str">
        <f>IFERROR(__xludf.DUMMYFUNCTION("""COMPUTED_VALUE"""),"Algo")</f>
        <v>Algo</v>
      </c>
      <c r="F5" s="30" t="str">
        <f>IFERROR(__xludf.DUMMYFUNCTION("""COMPUTED_VALUE"""),"Side")</f>
        <v>Side</v>
      </c>
      <c r="G5" s="29" t="str">
        <f>IFERROR(__xludf.DUMMYFUNCTION("""COMPUTED_VALUE"""),"Status")</f>
        <v>Status</v>
      </c>
      <c r="H5" s="29" t="str">
        <f>IFERROR(__xludf.DUMMYFUNCTION("""COMPUTED_VALUE"""),"Target Qty")</f>
        <v>Target Qty</v>
      </c>
      <c r="I5" s="29" t="str">
        <f>IFERROR(__xludf.DUMMYFUNCTION("""COMPUTED_VALUE"""),"Total Executed Qty")</f>
        <v>Total Executed Qty</v>
      </c>
      <c r="J5" s="29" t="str">
        <f>IFERROR(__xludf.DUMMYFUNCTION("""COMPUTED_VALUE"""),"% Executed")</f>
        <v>% Executed</v>
      </c>
      <c r="K5" s="29" t="str">
        <f>IFERROR(__xludf.DUMMYFUNCTION("""COMPUTED_VALUE"""),"Day Executed Qty")</f>
        <v>Day Executed Qty</v>
      </c>
      <c r="L5" s="29" t="str">
        <f>IFERROR(__xludf.DUMMYFUNCTION("""COMPUTED_VALUE"""),"Uncommitted Qty")</f>
        <v>Uncommitted Qty</v>
      </c>
      <c r="M5" s="29" t="str">
        <f>IFERROR(__xludf.DUMMYFUNCTION("""COMPUTED_VALUE"""),"Limit Price")</f>
        <v>Limit Price</v>
      </c>
      <c r="N5" s="29" t="str">
        <f>IFERROR(__xludf.DUMMYFUNCTION("""COMPUTED_VALUE"""),"Last Fill Price (Local)")</f>
        <v>Last Fill Price (Local)</v>
      </c>
      <c r="O5" s="29" t="str">
        <f>IFERROR(__xludf.DUMMYFUNCTION("""COMPUTED_VALUE"""),"Stop Price")</f>
        <v>Stop Price</v>
      </c>
      <c r="P5" s="29" t="str">
        <f>IFERROR(__xludf.DUMMYFUNCTION("""COMPUTED_VALUE"""),"Avg Fill Price (Local)")</f>
        <v>Avg Fill Price (Local)</v>
      </c>
      <c r="Q5" s="29" t="str">
        <f>IFERROR(__xludf.DUMMYFUNCTION("""COMPUTED_VALUE"""),"Broker")</f>
        <v>Broker</v>
      </c>
      <c r="R5" s="29" t="str">
        <f>IFERROR(__xludf.DUMMYFUNCTION("""COMPUTED_VALUE"""),"Account")</f>
        <v>Account</v>
      </c>
      <c r="S5" s="29" t="str">
        <f>IFERROR(__xludf.DUMMYFUNCTION("""COMPUTED_VALUE"""),"OrderID")</f>
        <v>OrderID</v>
      </c>
      <c r="T5" s="31" t="str">
        <f>IFERROR(__xludf.DUMMYFUNCTION("""COMPUTED_VALUE"""),"Order Type")</f>
        <v>Order Type</v>
      </c>
      <c r="U5" s="31" t="str">
        <f>IFERROR(__xludf.DUMMYFUNCTION("""COMPUTED_VALUE"""),"Principal Amount (Local)")</f>
        <v>Principal Amount (Local)</v>
      </c>
      <c r="V5" s="31" t="str">
        <f>IFERROR(__xludf.DUMMYFUNCTION("""COMPUTED_VALUE"""),"Principal Amount (Base)")</f>
        <v>Principal Amount (Base)</v>
      </c>
      <c r="W5" s="31" t="str">
        <f>IFERROR(__xludf.DUMMYFUNCTION("""COMPUTED_VALUE"""),"Peg")</f>
        <v>Peg</v>
      </c>
      <c r="X5" s="31" t="str">
        <f>IFERROR(__xludf.DUMMYFUNCTION("""COMPUTED_VALUE"""),"ParentClOrderID")</f>
        <v>ParentClOrderID</v>
      </c>
      <c r="Y5" s="31" t="str">
        <f>IFERROR(__xludf.DUMMYFUNCTION("""COMPUTED_VALUE"""),"Strike Price")</f>
        <v>Strike Price</v>
      </c>
      <c r="Z5" s="31" t="str">
        <f>IFERROR(__xludf.DUMMYFUNCTION("""COMPUTED_VALUE"""),"Last Shares")</f>
        <v>Last Shares</v>
      </c>
      <c r="AA5" s="31" t="str">
        <f>IFERROR(__xludf.DUMMYFUNCTION("""COMPUTED_VALUE"""),"Working Qty")</f>
        <v>Working Qty</v>
      </c>
      <c r="AB5" s="31" t="str">
        <f>IFERROR(__xludf.DUMMYFUNCTION("""COMPUTED_VALUE"""),"Bloomberg Symbol")</f>
        <v>Bloomberg Symbol</v>
      </c>
      <c r="AC5" s="31" t="str">
        <f>IFERROR(__xludf.DUMMYFUNCTION("""COMPUTED_VALUE"""),"Imported File Name")</f>
        <v>Imported File Name</v>
      </c>
      <c r="AD5" s="31" t="str">
        <f>IFERROR(__xludf.DUMMYFUNCTION("""COMPUTED_VALUE"""),"Master Fund")</f>
        <v>Master Fund</v>
      </c>
      <c r="AE5" s="31" t="str">
        <f>IFERROR(__xludf.DUMMYFUNCTION("""COMPUTED_VALUE"""),"Day Average Price")</f>
        <v>Day Average Price</v>
      </c>
      <c r="AF5" s="31" t="str">
        <f>IFERROR(__xludf.DUMMYFUNCTION("""COMPUTED_VALUE"""),"Asset Class")</f>
        <v>Asset Class</v>
      </c>
      <c r="AG5" s="31" t="str">
        <f>IFERROR(__xludf.DUMMYFUNCTION("""COMPUTED_VALUE"""),"Underlying Country")</f>
        <v>Underlying Country</v>
      </c>
      <c r="AH5" s="31" t="str">
        <f>IFERROR(__xludf.DUMMYFUNCTION("""COMPUTED_VALUE"""),"Trader")</f>
        <v>Trader</v>
      </c>
      <c r="AI5" s="31" t="str">
        <f>IFERROR(__xludf.DUMMYFUNCTION("""COMPUTED_VALUE"""),"User")</f>
        <v>User</v>
      </c>
      <c r="AJ5" s="31" t="str">
        <f>IFERROR(__xludf.DUMMYFUNCTION("""COMPUTED_VALUE"""),"Venue")</f>
        <v>Venue</v>
      </c>
      <c r="AK5" s="31" t="str">
        <f>IFERROR(__xludf.DUMMYFUNCTION("""COMPUTED_VALUE"""),"Settlement Currency")</f>
        <v>Settlement Currency</v>
      </c>
      <c r="AL5" s="31" t="str">
        <f>IFERROR(__xludf.DUMMYFUNCTION("""COMPUTED_VALUE"""),"FX Conversion Operator")</f>
        <v>FX Conversion Operator</v>
      </c>
      <c r="AM5" s="31" t="str">
        <f>IFERROR(__xludf.DUMMYFUNCTION("""COMPUTED_VALUE"""),"Process Date")</f>
        <v>Process Date</v>
      </c>
      <c r="AN5" s="31" t="str">
        <f>IFERROR(__xludf.DUMMYFUNCTION("""COMPUTED_VALUE"""),"Underlying Symbol")</f>
        <v>Underlying Symbol</v>
      </c>
      <c r="AO5" s="31" t="str">
        <f>IFERROR(__xludf.DUMMYFUNCTION("""COMPUTED_VALUE"""),"Put/Call")</f>
        <v>Put/Call</v>
      </c>
      <c r="AP5" s="31" t="str">
        <f>IFERROR(__xludf.DUMMYFUNCTION("""COMPUTED_VALUE"""),"FX Rate")</f>
        <v>FX Rate</v>
      </c>
      <c r="AQ5" s="31" t="str">
        <f>IFERROR(__xludf.DUMMYFUNCTION("""COMPUTED_VALUE"""),"Trade Attribute 1")</f>
        <v>Trade Attribute 1</v>
      </c>
      <c r="AR5" s="31" t="str">
        <f>IFERROR(__xludf.DUMMYFUNCTION("""COMPUTED_VALUE"""),"Trade Attribute 2")</f>
        <v>Trade Attribute 2</v>
      </c>
      <c r="AS5" s="31" t="str">
        <f>IFERROR(__xludf.DUMMYFUNCTION("""COMPUTED_VALUE"""),"Trade Attribute 3")</f>
        <v>Trade Attribute 3</v>
      </c>
      <c r="AT5" s="31" t="str">
        <f>IFERROR(__xludf.DUMMYFUNCTION("""COMPUTED_VALUE"""),"Trade Attribute 4")</f>
        <v>Trade Attribute 4</v>
      </c>
      <c r="AU5" s="31" t="str">
        <f>IFERROR(__xludf.DUMMYFUNCTION("""COMPUTED_VALUE"""),"Trade Attribute 5")</f>
        <v>Trade Attribute 5</v>
      </c>
      <c r="AV5" s="31" t="str">
        <f>IFERROR(__xludf.DUMMYFUNCTION("""COMPUTED_VALUE"""),"Trade Attribute 6")</f>
        <v>Trade Attribute 6</v>
      </c>
      <c r="AW5" s="31" t="str">
        <f>IFERROR(__xludf.DUMMYFUNCTION("""COMPUTED_VALUE"""),"Internal Comments")</f>
        <v>Internal Comments</v>
      </c>
      <c r="AX5" s="31" t="str">
        <f>IFERROR(__xludf.DUMMYFUNCTION("""COMPUTED_VALUE"""),"Allocation Scheme Name")</f>
        <v>Allocation Scheme Name</v>
      </c>
      <c r="AY5" s="31" t="str">
        <f>IFERROR(__xludf.DUMMYFUNCTION("""COMPUTED_VALUE"""),"Start of Day Qty")</f>
        <v>Start of Day Qty</v>
      </c>
      <c r="AZ5" s="31" t="str">
        <f>IFERROR(__xludf.DUMMYFUNCTION("""COMPUTED_VALUE"""),"Leaves")</f>
        <v>Leaves</v>
      </c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>
        <v>10.0</v>
      </c>
      <c r="C6" s="8"/>
      <c r="D6" s="13" t="s">
        <v>20</v>
      </c>
      <c r="E6" s="32"/>
      <c r="F6" s="13" t="s">
        <v>21</v>
      </c>
      <c r="G6" s="13" t="s">
        <v>26</v>
      </c>
      <c r="H6" s="13">
        <v>100.0</v>
      </c>
      <c r="I6" s="13">
        <v>100.0</v>
      </c>
      <c r="J6" s="13">
        <v>100.0</v>
      </c>
      <c r="K6" s="8"/>
      <c r="L6" s="8"/>
      <c r="M6" s="8"/>
      <c r="N6" s="13"/>
      <c r="O6" s="8"/>
      <c r="P6" s="9">
        <v>10.0</v>
      </c>
      <c r="Q6" s="9" t="s">
        <v>23</v>
      </c>
      <c r="R6" s="9" t="s">
        <v>22</v>
      </c>
      <c r="T6" s="9" t="s">
        <v>27</v>
      </c>
      <c r="U6" s="9">
        <v>1000.0</v>
      </c>
      <c r="V6" s="9">
        <v>1000.0</v>
      </c>
      <c r="AD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IFERROR(__xludf.DUMMYFUNCTION("""COMPUTED_VALUE"""),"Transaction Time")</f>
        <v>Transaction Time</v>
      </c>
      <c r="C5" s="29" t="str">
        <f>IFERROR(__xludf.DUMMYFUNCTION("""COMPUTED_VALUE"""),"Algo")</f>
        <v>Algo</v>
      </c>
      <c r="D5" s="29" t="str">
        <f>IFERROR(__xludf.DUMMYFUNCTION("""COMPUTED_VALUE"""),"Avg Fill Price (Base)")</f>
        <v>Avg Fill Price (Base)</v>
      </c>
      <c r="E5" s="29" t="str">
        <f>IFERROR(__xludf.DUMMYFUNCTION("""COMPUTED_VALUE"""),"Bloomberg Symbol")</f>
        <v>Bloomberg Symbol</v>
      </c>
      <c r="F5" s="30" t="str">
        <f>IFERROR(__xludf.DUMMYFUNCTION("""COMPUTED_VALUE"""),"Limit Price")</f>
        <v>Limit Price</v>
      </c>
      <c r="G5" s="29" t="str">
        <f>IFERROR(__xludf.DUMMYFUNCTION("""COMPUTED_VALUE"""),"Working Qty")</f>
        <v>Working Qty</v>
      </c>
      <c r="H5" s="29" t="str">
        <f>IFERROR(__xludf.DUMMYFUNCTION("""COMPUTED_VALUE"""),"Venue")</f>
        <v>Venue</v>
      </c>
      <c r="I5" s="29" t="str">
        <f>IFERROR(__xludf.DUMMYFUNCTION("""COMPUTED_VALUE"""),"User")</f>
        <v>User</v>
      </c>
      <c r="J5" s="29" t="str">
        <f>IFERROR(__xludf.DUMMYFUNCTION("""COMPUTED_VALUE"""),"Underlying Symbol")</f>
        <v>Underlying Symbol</v>
      </c>
      <c r="K5" s="29" t="str">
        <f>IFERROR(__xludf.DUMMYFUNCTION("""COMPUTED_VALUE"""),"Underlying Country")</f>
        <v>Underlying Country</v>
      </c>
      <c r="L5" s="29" t="str">
        <f>IFERROR(__xludf.DUMMYFUNCTION("""COMPUTED_VALUE"""),"Trader")</f>
        <v>Trader</v>
      </c>
      <c r="M5" s="29" t="str">
        <f>IFERROR(__xludf.DUMMYFUNCTION("""COMPUTED_VALUE"""),"Trade Attribute 1")</f>
        <v>Trade Attribute 1</v>
      </c>
      <c r="N5" s="29" t="str">
        <f>IFERROR(__xludf.DUMMYFUNCTION("""COMPUTED_VALUE"""),"Trade Attribute 2")</f>
        <v>Trade Attribute 2</v>
      </c>
      <c r="O5" s="29" t="str">
        <f>IFERROR(__xludf.DUMMYFUNCTION("""COMPUTED_VALUE"""),"Trade Attribute 3")</f>
        <v>Trade Attribute 3</v>
      </c>
      <c r="P5" s="29" t="str">
        <f>IFERROR(__xludf.DUMMYFUNCTION("""COMPUTED_VALUE"""),"Trade Attribute 4")</f>
        <v>Trade Attribute 4</v>
      </c>
      <c r="Q5" s="29" t="str">
        <f>IFERROR(__xludf.DUMMYFUNCTION("""COMPUTED_VALUE"""),"Trade Attribute 5")</f>
        <v>Trade Attribute 5</v>
      </c>
      <c r="R5" s="29" t="str">
        <f>IFERROR(__xludf.DUMMYFUNCTION("""COMPUTED_VALUE"""),"Trade Attribute 6")</f>
        <v>Trade Attribute 6</v>
      </c>
      <c r="S5" s="29" t="str">
        <f>IFERROR(__xludf.DUMMYFUNCTION("""COMPUTED_VALUE"""),"Strike Price")</f>
        <v>Strike Price</v>
      </c>
      <c r="T5" s="31" t="str">
        <f>IFERROR(__xludf.DUMMYFUNCTION("""COMPUTED_VALUE"""),"Stop Price")</f>
        <v>Stop Price</v>
      </c>
      <c r="U5" s="31" t="str">
        <f>IFERROR(__xludf.DUMMYFUNCTION("""COMPUTED_VALUE"""),"Settlement FxRate Operator")</f>
        <v>Settlement FxRate Operator</v>
      </c>
      <c r="V5" s="31" t="str">
        <f>IFERROR(__xludf.DUMMYFUNCTION("""COMPUTED_VALUE"""),"Settlement Currency")</f>
        <v>Settlement Currency</v>
      </c>
      <c r="W5" s="31" t="str">
        <f>IFERROR(__xludf.DUMMYFUNCTION("""COMPUTED_VALUE"""),"Put/Call")</f>
        <v>Put/Call</v>
      </c>
      <c r="X5" s="31" t="str">
        <f>IFERROR(__xludf.DUMMYFUNCTION("""COMPUTED_VALUE"""),"Process Date")</f>
        <v>Process Date</v>
      </c>
      <c r="Y5" s="31" t="str">
        <f>IFERROR(__xludf.DUMMYFUNCTION("""COMPUTED_VALUE"""),"Peg")</f>
        <v>Peg</v>
      </c>
      <c r="Z5" s="31" t="str">
        <f>IFERROR(__xludf.DUMMYFUNCTION("""COMPUTED_VALUE"""),"ParentClOrderID")</f>
        <v>ParentClOrderID</v>
      </c>
      <c r="AA5" s="31" t="str">
        <f>IFERROR(__xludf.DUMMYFUNCTION("""COMPUTED_VALUE"""),"OrderID")</f>
        <v>OrderID</v>
      </c>
      <c r="AB5" s="31" t="str">
        <f>IFERROR(__xludf.DUMMYFUNCTION("""COMPUTED_VALUE"""),"Master Fund")</f>
        <v>Master Fund</v>
      </c>
      <c r="AC5" s="31" t="str">
        <f>IFERROR(__xludf.DUMMYFUNCTION("""COMPUTED_VALUE"""),"Last Shares")</f>
        <v>Last Shares</v>
      </c>
      <c r="AD5" s="31" t="str">
        <f>IFERROR(__xludf.DUMMYFUNCTION("""COMPUTED_VALUE"""),"Internal Comments")</f>
        <v>Internal Comments</v>
      </c>
      <c r="AE5" s="31" t="str">
        <f>IFERROR(__xludf.DUMMYFUNCTION("""COMPUTED_VALUE"""),"FX Rate")</f>
        <v>FX Rate</v>
      </c>
      <c r="AF5" s="31" t="str">
        <f>IFERROR(__xludf.DUMMYFUNCTION("""COMPUTED_VALUE"""),"Imported File Name")</f>
        <v>Imported File Name</v>
      </c>
      <c r="AG5" s="31" t="str">
        <f>IFERROR(__xludf.DUMMYFUNCTION("""COMPUTED_VALUE"""),"FX Conversion Operator")</f>
        <v>FX Conversion Operator</v>
      </c>
      <c r="AH5" s="31" t="str">
        <f>IFERROR(__xludf.DUMMYFUNCTION("""COMPUTED_VALUE"""),"Day Average Price")</f>
        <v>Day Average Price</v>
      </c>
      <c r="AI5" s="31" t="str">
        <f>IFERROR(__xludf.DUMMYFUNCTION("""COMPUTED_VALUE"""),"Asset Class")</f>
        <v>Asset Class</v>
      </c>
      <c r="AJ5" s="31" t="str">
        <f>IFERROR(__xludf.DUMMYFUNCTION("""COMPUTED_VALUE"""),"Symbol")</f>
        <v>Symbol</v>
      </c>
      <c r="AK5" s="31" t="str">
        <f>IFERROR(__xludf.DUMMYFUNCTION("""COMPUTED_VALUE"""),"Side")</f>
        <v>Side</v>
      </c>
      <c r="AL5" s="31" t="str">
        <f>IFERROR(__xludf.DUMMYFUNCTION("""COMPUTED_VALUE"""),"Status")</f>
        <v>Status</v>
      </c>
      <c r="AM5" s="31" t="str">
        <f>IFERROR(__xludf.DUMMYFUNCTION("""COMPUTED_VALUE"""),"Quantity")</f>
        <v>Quantity</v>
      </c>
      <c r="AN5" s="31" t="str">
        <f>IFERROR(__xludf.DUMMYFUNCTION("""COMPUTED_VALUE"""),"Executed Qty")</f>
        <v>Executed Qty</v>
      </c>
      <c r="AO5" s="31" t="str">
        <f>IFERROR(__xludf.DUMMYFUNCTION("""COMPUTED_VALUE"""),"% Executed")</f>
        <v>% Executed</v>
      </c>
      <c r="AP5" s="31" t="str">
        <f>IFERROR(__xludf.DUMMYFUNCTION("""COMPUTED_VALUE"""),"Day Executed Qty")</f>
        <v>Day Executed Qty</v>
      </c>
      <c r="AQ5" s="31" t="str">
        <f>IFERROR(__xludf.DUMMYFUNCTION("""COMPUTED_VALUE"""),"Remaining Qty")</f>
        <v>Remaining Qty</v>
      </c>
      <c r="AR5" s="31" t="str">
        <f>IFERROR(__xludf.DUMMYFUNCTION("""COMPUTED_VALUE"""),"Last Fill Price (Local)")</f>
        <v>Last Fill Price (Local)</v>
      </c>
      <c r="AS5" s="31" t="str">
        <f>IFERROR(__xludf.DUMMYFUNCTION("""COMPUTED_VALUE"""),"Avg Fill Price (Local)")</f>
        <v>Avg Fill Price (Local)</v>
      </c>
      <c r="AT5" s="31" t="str">
        <f>IFERROR(__xludf.DUMMYFUNCTION("""COMPUTED_VALUE"""),"Broker")</f>
        <v>Broker</v>
      </c>
      <c r="AU5" s="31" t="str">
        <f>IFERROR(__xludf.DUMMYFUNCTION("""COMPUTED_VALUE"""),"Account")</f>
        <v>Account</v>
      </c>
      <c r="AV5" s="31" t="str">
        <f>IFERROR(__xludf.DUMMYFUNCTION("""COMPUTED_VALUE"""),"Order Type")</f>
        <v>Order Type</v>
      </c>
      <c r="AW5" s="31" t="str">
        <f>IFERROR(__xludf.DUMMYFUNCTION("""COMPUTED_VALUE"""),"Principal Amount (Local)")</f>
        <v>Principal Amount (Local)</v>
      </c>
      <c r="AX5" s="31" t="str">
        <f>IFERROR(__xludf.DUMMYFUNCTION("""COMPUTED_VALUE"""),"Principal Amount (Base)")</f>
        <v>Principal Amount (Base)</v>
      </c>
      <c r="AY5" s="31" t="str">
        <f>IFERROR(__xludf.DUMMYFUNCTION("""COMPUTED_VALUE"""),"Settlement FxRate")</f>
        <v>Settlement FxRate</v>
      </c>
      <c r="AZ5" s="31" t="str">
        <f>IFERROR(__xludf.DUMMYFUNCTION("""COMPUTED_VALUE"""),"Settlement Price")</f>
        <v>Settlement Price</v>
      </c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/>
      <c r="C6" s="8"/>
      <c r="D6" s="13">
        <v>10.0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B6" s="9" t="s">
        <v>36</v>
      </c>
      <c r="AE6" s="9">
        <v>1.0</v>
      </c>
      <c r="AG6" s="9" t="s">
        <v>29</v>
      </c>
      <c r="AI6" s="9" t="s">
        <v>30</v>
      </c>
      <c r="AJ6" s="9" t="s">
        <v>20</v>
      </c>
      <c r="AK6" s="9" t="s">
        <v>21</v>
      </c>
      <c r="AL6" s="9" t="s">
        <v>26</v>
      </c>
      <c r="AM6" s="9">
        <v>100.0</v>
      </c>
      <c r="AN6" s="9">
        <v>100.0</v>
      </c>
      <c r="AO6" s="9">
        <v>100.0</v>
      </c>
      <c r="AU6" s="9" t="s">
        <v>36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IFERROR(__xludf.DUMMYFUNCTION("""COMPUTED_VALUE"""),"Order Side")</f>
        <v>Order Side</v>
      </c>
      <c r="D5" s="29" t="str">
        <f>IFERROR(__xludf.DUMMYFUNCTION("""COMPUTED_VALUE"""),"Quantity")</f>
        <v>Quantity</v>
      </c>
      <c r="E5" s="29" t="str">
        <f>IFERROR(__xludf.DUMMYFUNCTION("""COMPUTED_VALUE"""),"TargetQuantityIn")</f>
        <v>TargetQuantityIn</v>
      </c>
      <c r="F5" s="30" t="str">
        <f>IFERROR(__xludf.DUMMYFUNCTION("""COMPUTED_VALUE"""),"AllocationMethod")</f>
        <v>AllocationMethod</v>
      </c>
      <c r="G5" s="29" t="str">
        <f>IFERROR(__xludf.DUMMYFUNCTION("""COMPUTED_VALUE"""),"Broker")</f>
        <v>Broker</v>
      </c>
      <c r="H5" s="29" t="str">
        <f>IFERROR(__xludf.DUMMYFUNCTION("""COMPUTED_VALUE"""),"TIF")</f>
        <v>TIF</v>
      </c>
      <c r="I5" s="29" t="str">
        <f>IFERROR(__xludf.DUMMYFUNCTION("""COMPUTED_VALUE"""),"Order Type")</f>
        <v>Order Type</v>
      </c>
      <c r="J5" s="29" t="str">
        <f>IFERROR(__xludf.DUMMYFUNCTION("""COMPUTED_VALUE"""),"Price")</f>
        <v>Price</v>
      </c>
      <c r="K5" s="29" t="str">
        <f>IFERROR(__xludf.DUMMYFUNCTION("""COMPUTED_VALUE"""),"Stop")</f>
        <v>Stop</v>
      </c>
      <c r="L5" s="29" t="str">
        <f>IFERROR(__xludf.DUMMYFUNCTION("""COMPUTED_VALUE"""),"Limit")</f>
        <v>Limit</v>
      </c>
      <c r="M5" s="29" t="str">
        <f>IFERROR(__xludf.DUMMYFUNCTION("""COMPUTED_VALUE"""),"Strategy")</f>
        <v>Strategy</v>
      </c>
      <c r="N5" s="29" t="str">
        <f>IFERROR(__xludf.DUMMYFUNCTION("""COMPUTED_VALUE"""),"Trade Date")</f>
        <v>Trade Date</v>
      </c>
      <c r="O5" s="29" t="str">
        <f>IFERROR(__xludf.DUMMYFUNCTION("""COMPUTED_VALUE"""),"FxRate")</f>
        <v>FxRate</v>
      </c>
      <c r="P5" s="29" t="str">
        <f>IFERROR(__xludf.DUMMYFUNCTION("""COMPUTED_VALUE"""),"Notes")</f>
        <v>Notes</v>
      </c>
      <c r="Q5" s="29" t="str">
        <f>IFERROR(__xludf.DUMMYFUNCTION("""COMPUTED_VALUE"""),"Broker Notes")</f>
        <v>Broker Notes</v>
      </c>
      <c r="R5" s="29" t="str">
        <f>IFERROR(__xludf.DUMMYFUNCTION("""COMPUTED_VALUE"""),"CommissionBasis")</f>
        <v>CommissionBasis</v>
      </c>
      <c r="S5" s="29" t="str">
        <f>IFERROR(__xludf.DUMMYFUNCTION("""COMPUTED_VALUE"""),"CommissionRate")</f>
        <v>CommissionRate</v>
      </c>
      <c r="T5" s="31" t="str">
        <f>IFERROR(__xludf.DUMMYFUNCTION("""COMPUTED_VALUE"""),"SoftBasis")</f>
        <v>SoftBasis</v>
      </c>
      <c r="U5" s="31" t="str">
        <f>IFERROR(__xludf.DUMMYFUNCTION("""COMPUTED_VALUE"""),"SoftRate")</f>
        <v>SoftRate</v>
      </c>
      <c r="V5" s="31" t="str">
        <f>IFERROR(__xludf.DUMMYFUNCTION("""COMPUTED_VALUE"""),"TradeAttribute1")</f>
        <v>TradeAttribute1</v>
      </c>
      <c r="W5" s="31" t="str">
        <f>IFERROR(__xludf.DUMMYFUNCTION("""COMPUTED_VALUE"""),"TradeAttribute2")</f>
        <v>TradeAttribute2</v>
      </c>
      <c r="X5" s="31" t="str">
        <f>IFERROR(__xludf.DUMMYFUNCTION("""COMPUTED_VALUE"""),"TradeAttribute3")</f>
        <v>TradeAttribute3</v>
      </c>
      <c r="Y5" s="31" t="str">
        <f>IFERROR(__xludf.DUMMYFUNCTION("""COMPUTED_VALUE"""),"TradeAttribute4")</f>
        <v>TradeAttribute4</v>
      </c>
      <c r="Z5" s="31" t="str">
        <f>IFERROR(__xludf.DUMMYFUNCTION("""COMPUTED_VALUE"""),"TradeAttribute5")</f>
        <v>TradeAttribute5</v>
      </c>
      <c r="AA5" s="31" t="str">
        <f>IFERROR(__xludf.DUMMYFUNCTION("""COMPUTED_VALUE"""),"TradeAttribute6")</f>
        <v>TradeAttribute6</v>
      </c>
      <c r="AB5" s="31" t="str">
        <f>IFERROR(__xludf.DUMMYFUNCTION("""COMPUTED_VALUE"""),"Venue")</f>
        <v>Venue</v>
      </c>
      <c r="AC5" s="31" t="str">
        <f>IFERROR(__xludf.DUMMYFUNCTION("""COMPUTED_VALUE"""),"ExecutionInstructions")</f>
        <v>ExecutionInstructions</v>
      </c>
      <c r="AD5" s="31" t="str">
        <f>IFERROR(__xludf.DUMMYFUNCTION("""COMPUTED_VALUE"""),"HandlingInstructions")</f>
        <v>HandlingInstructions</v>
      </c>
      <c r="AE5" s="31" t="str">
        <f>IFERROR(__xludf.DUMMYFUNCTION("""COMPUTED_VALUE"""),"Trader")</f>
        <v>Trader</v>
      </c>
      <c r="AF5" s="31" t="str">
        <f>IFERROR(__xludf.DUMMYFUNCTION("""COMPUTED_VALUE"""),"SettlementCurrency")</f>
        <v>SettlementCurrency</v>
      </c>
      <c r="AG5" s="31" t="str">
        <f>IFERROR(__xludf.DUMMYFUNCTION("""COMPUTED_VALUE"""),"SettlementFXRate")</f>
        <v>SettlementFXRate</v>
      </c>
      <c r="AH5" s="31" t="str">
        <f>IFERROR(__xludf.DUMMYFUNCTION("""COMPUTED_VALUE"""),"SettlementAmount")</f>
        <v>SettlementAmount</v>
      </c>
      <c r="AI5" s="31" t="str">
        <f>IFERROR(__xludf.DUMMYFUNCTION("""COMPUTED_VALUE"""),"SettlementFXOperator")</f>
        <v>SettlementFXOperator</v>
      </c>
      <c r="AJ5" s="31" t="str">
        <f>IFERROR(__xludf.DUMMYFUNCTION("""COMPUTED_VALUE"""),"SettleByBroker")</f>
        <v>SettleByBroker</v>
      </c>
      <c r="AK5" s="31" t="str">
        <f>IFERROR(__xludf.DUMMYFUNCTION("""COMPUTED_VALUE"""),"Account")</f>
        <v>Account</v>
      </c>
      <c r="AL5" s="31" t="str">
        <f>IFERROR(__xludf.DUMMYFUNCTION("""COMPUTED_VALUE"""),"Account %")</f>
        <v>Account %</v>
      </c>
      <c r="AM5" s="31" t="str">
        <f>IFERROR(__xludf.DUMMYFUNCTION("""COMPUTED_VALUE"""),"Deal In")</f>
        <v>Deal In</v>
      </c>
      <c r="AN5" s="31" t="str">
        <f>IFERROR(__xludf.DUMMYFUNCTION("""COMPUTED_VALUE"""),"MasterFund")</f>
        <v>MasterFund</v>
      </c>
      <c r="AO5" s="31" t="str">
        <f>IFERROR(__xludf.DUMMYFUNCTION("""COMPUTED_VALUE"""),"AllowTrade")</f>
        <v>AllowTrade</v>
      </c>
      <c r="AP5" s="31" t="str">
        <f>IFERROR(__xludf.DUMMYFUNCTION("""COMPUTED_VALUE"""),"SharesOutstandingPopUp")</f>
        <v>SharesOutstandingPopUp</v>
      </c>
      <c r="AQ5" s="31" t="str">
        <f>IFERROR(__xludf.DUMMYFUNCTION("""COMPUTED_VALUE"""),"Interest Rate")</f>
        <v>Interest Rate</v>
      </c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20</v>
      </c>
      <c r="C6" s="13" t="s">
        <v>21</v>
      </c>
      <c r="D6" s="13">
        <v>200.0</v>
      </c>
      <c r="E6" s="13">
        <v>200.0</v>
      </c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IFERROR(__xludf.DUMMYFUNCTION("""COMPUTED_VALUE"""),"Transaction Time")</f>
        <v>Transaction Time</v>
      </c>
      <c r="C5" s="29" t="str">
        <f>IFERROR(__xludf.DUMMYFUNCTION("""COMPUTED_VALUE"""),"Algo")</f>
        <v>Algo</v>
      </c>
      <c r="D5" s="29" t="str">
        <f>IFERROR(__xludf.DUMMYFUNCTION("""COMPUTED_VALUE"""),"Avg Fill Price (Base)")</f>
        <v>Avg Fill Price (Base)</v>
      </c>
      <c r="E5" s="29" t="str">
        <f>IFERROR(__xludf.DUMMYFUNCTION("""COMPUTED_VALUE"""),"Bloomberg Symbol")</f>
        <v>Bloomberg Symbol</v>
      </c>
      <c r="F5" s="30" t="str">
        <f>IFERROR(__xludf.DUMMYFUNCTION("""COMPUTED_VALUE"""),"Limit Price")</f>
        <v>Limit Price</v>
      </c>
      <c r="G5" s="29" t="str">
        <f>IFERROR(__xludf.DUMMYFUNCTION("""COMPUTED_VALUE"""),"Working Qty")</f>
        <v>Working Qty</v>
      </c>
      <c r="H5" s="29" t="str">
        <f>IFERROR(__xludf.DUMMYFUNCTION("""COMPUTED_VALUE"""),"Venue")</f>
        <v>Venue</v>
      </c>
      <c r="I5" s="29" t="str">
        <f>IFERROR(__xludf.DUMMYFUNCTION("""COMPUTED_VALUE"""),"Current User")</f>
        <v>Current User</v>
      </c>
      <c r="J5" s="29" t="str">
        <f>IFERROR(__xludf.DUMMYFUNCTION("""COMPUTED_VALUE"""),"Underlying Symbol")</f>
        <v>Underlying Symbol</v>
      </c>
      <c r="K5" s="29" t="str">
        <f>IFERROR(__xludf.DUMMYFUNCTION("""COMPUTED_VALUE"""),"Underlying Country")</f>
        <v>Underlying Country</v>
      </c>
      <c r="L5" s="29" t="str">
        <f>IFERROR(__xludf.DUMMYFUNCTION("""COMPUTED_VALUE"""),"Trader")</f>
        <v>Trader</v>
      </c>
      <c r="M5" s="29" t="str">
        <f>IFERROR(__xludf.DUMMYFUNCTION("""COMPUTED_VALUE"""),"Trade Attribute 6")</f>
        <v>Trade Attribute 6</v>
      </c>
      <c r="N5" s="29" t="str">
        <f>IFERROR(__xludf.DUMMYFUNCTION("""COMPUTED_VALUE"""),"Trade Attribute 5")</f>
        <v>Trade Attribute 5</v>
      </c>
      <c r="O5" s="29" t="str">
        <f>IFERROR(__xludf.DUMMYFUNCTION("""COMPUTED_VALUE"""),"Trade Attribute 4")</f>
        <v>Trade Attribute 4</v>
      </c>
      <c r="P5" s="29" t="str">
        <f>IFERROR(__xludf.DUMMYFUNCTION("""COMPUTED_VALUE"""),"Trade Attribute 3")</f>
        <v>Trade Attribute 3</v>
      </c>
      <c r="Q5" s="29" t="str">
        <f>IFERROR(__xludf.DUMMYFUNCTION("""COMPUTED_VALUE"""),"Trade Attribute 1")</f>
        <v>Trade Attribute 1</v>
      </c>
      <c r="R5" s="29" t="str">
        <f>IFERROR(__xludf.DUMMYFUNCTION("""COMPUTED_VALUE"""),"Trade Attribute 2")</f>
        <v>Trade Attribute 2</v>
      </c>
      <c r="S5" s="29" t="str">
        <f>IFERROR(__xludf.DUMMYFUNCTION("""COMPUTED_VALUE"""),"Strike Price")</f>
        <v>Strike Price</v>
      </c>
      <c r="T5" s="31" t="str">
        <f>IFERROR(__xludf.DUMMYFUNCTION("""COMPUTED_VALUE"""),"Stop Price")</f>
        <v>Stop Price</v>
      </c>
      <c r="U5" s="31" t="str">
        <f>IFERROR(__xludf.DUMMYFUNCTION("""COMPUTED_VALUE"""),"Settlement Currency")</f>
        <v>Settlement Currency</v>
      </c>
      <c r="V5" s="31" t="str">
        <f>IFERROR(__xludf.DUMMYFUNCTION("""COMPUTED_VALUE"""),"Put/Call")</f>
        <v>Put/Call</v>
      </c>
      <c r="W5" s="31" t="str">
        <f>IFERROR(__xludf.DUMMYFUNCTION("""COMPUTED_VALUE"""),"Process Date")</f>
        <v>Process Date</v>
      </c>
      <c r="X5" s="31" t="str">
        <f>IFERROR(__xludf.DUMMYFUNCTION("""COMPUTED_VALUE"""),"Peg")</f>
        <v>Peg</v>
      </c>
      <c r="Y5" s="31" t="str">
        <f>IFERROR(__xludf.DUMMYFUNCTION("""COMPUTED_VALUE"""),"ParentClOrderID")</f>
        <v>ParentClOrderID</v>
      </c>
      <c r="Z5" s="31" t="str">
        <f>IFERROR(__xludf.DUMMYFUNCTION("""COMPUTED_VALUE"""),"OrderID")</f>
        <v>OrderID</v>
      </c>
      <c r="AA5" s="31" t="str">
        <f>IFERROR(__xludf.DUMMYFUNCTION("""COMPUTED_VALUE"""),"Master Fund")</f>
        <v>Master Fund</v>
      </c>
      <c r="AB5" s="31" t="str">
        <f>IFERROR(__xludf.DUMMYFUNCTION("""COMPUTED_VALUE"""),"Last Shares")</f>
        <v>Last Shares</v>
      </c>
      <c r="AC5" s="31" t="str">
        <f>IFERROR(__xludf.DUMMYFUNCTION("""COMPUTED_VALUE"""),"Internal Comments")</f>
        <v>Internal Comments</v>
      </c>
      <c r="AD5" s="31" t="str">
        <f>IFERROR(__xludf.DUMMYFUNCTION("""COMPUTED_VALUE"""),"FX Rate")</f>
        <v>FX Rate</v>
      </c>
      <c r="AE5" s="31" t="str">
        <f>IFERROR(__xludf.DUMMYFUNCTION("""COMPUTED_VALUE"""),"Imported File Name")</f>
        <v>Imported File Name</v>
      </c>
      <c r="AF5" s="31" t="str">
        <f>IFERROR(__xludf.DUMMYFUNCTION("""COMPUTED_VALUE"""),"FX Conversion Operator")</f>
        <v>FX Conversion Operator</v>
      </c>
      <c r="AG5" s="31" t="str">
        <f>IFERROR(__xludf.DUMMYFUNCTION("""COMPUTED_VALUE"""),"Day Average Price")</f>
        <v>Day Average Price</v>
      </c>
      <c r="AH5" s="31" t="str">
        <f>IFERROR(__xludf.DUMMYFUNCTION("""COMPUTED_VALUE"""),"Asset Class")</f>
        <v>Asset Class</v>
      </c>
      <c r="AI5" s="31" t="str">
        <f>IFERROR(__xludf.DUMMYFUNCTION("""COMPUTED_VALUE"""),"Symbol")</f>
        <v>Symbol</v>
      </c>
      <c r="AJ5" s="31" t="str">
        <f>IFERROR(__xludf.DUMMYFUNCTION("""COMPUTED_VALUE"""),"Side")</f>
        <v>Side</v>
      </c>
      <c r="AK5" s="31" t="str">
        <f>IFERROR(__xludf.DUMMYFUNCTION("""COMPUTED_VALUE"""),"Status")</f>
        <v>Status</v>
      </c>
      <c r="AL5" s="31" t="str">
        <f>IFERROR(__xludf.DUMMYFUNCTION("""COMPUTED_VALUE"""),"Target Qty")</f>
        <v>Target Qty</v>
      </c>
      <c r="AM5" s="31" t="str">
        <f>IFERROR(__xludf.DUMMYFUNCTION("""COMPUTED_VALUE"""),"Total Executed Qty")</f>
        <v>Total Executed Qty</v>
      </c>
      <c r="AN5" s="31" t="str">
        <f>IFERROR(__xludf.DUMMYFUNCTION("""COMPUTED_VALUE"""),"% Executed")</f>
        <v>% Executed</v>
      </c>
      <c r="AO5" s="31" t="str">
        <f>IFERROR(__xludf.DUMMYFUNCTION("""COMPUTED_VALUE"""),"Day Executed Qty")</f>
        <v>Day Executed Qty</v>
      </c>
      <c r="AP5" s="31" t="str">
        <f>IFERROR(__xludf.DUMMYFUNCTION("""COMPUTED_VALUE"""),"Uncommitted Qty")</f>
        <v>Uncommitted Qty</v>
      </c>
      <c r="AQ5" s="31" t="str">
        <f>IFERROR(__xludf.DUMMYFUNCTION("""COMPUTED_VALUE"""),"Last Fill Price (Local)")</f>
        <v>Last Fill Price (Local)</v>
      </c>
      <c r="AR5" s="31" t="str">
        <f>IFERROR(__xludf.DUMMYFUNCTION("""COMPUTED_VALUE"""),"Avg Fill Price (Local)")</f>
        <v>Avg Fill Price (Local)</v>
      </c>
      <c r="AS5" s="31" t="str">
        <f>IFERROR(__xludf.DUMMYFUNCTION("""COMPUTED_VALUE"""),"Broker")</f>
        <v>Broker</v>
      </c>
      <c r="AT5" s="31" t="str">
        <f>IFERROR(__xludf.DUMMYFUNCTION("""COMPUTED_VALUE"""),"Account")</f>
        <v>Account</v>
      </c>
      <c r="AU5" s="31" t="str">
        <f>IFERROR(__xludf.DUMMYFUNCTION("""COMPUTED_VALUE"""),"Order Type")</f>
        <v>Order Type</v>
      </c>
      <c r="AV5" s="31" t="str">
        <f>IFERROR(__xludf.DUMMYFUNCTION("""COMPUTED_VALUE"""),"Principal Amount (Local)")</f>
        <v>Principal Amount (Local)</v>
      </c>
      <c r="AW5" s="31" t="str">
        <f>IFERROR(__xludf.DUMMYFUNCTION("""COMPUTED_VALUE"""),"Principal Amount (Base)")</f>
        <v>Principal Amount (Base)</v>
      </c>
      <c r="AX5" s="31" t="str">
        <f>IFERROR(__xludf.DUMMYFUNCTION("""COMPUTED_VALUE"""),"Allocation Scheme Name")</f>
        <v>Allocation Scheme Name</v>
      </c>
      <c r="AY5" s="31" t="str">
        <f>IFERROR(__xludf.DUMMYFUNCTION("""COMPUTED_VALUE"""),"Start of Day Qty")</f>
        <v>Start of Day Qty</v>
      </c>
      <c r="AZ5" s="31" t="str">
        <f>IFERROR(__xludf.DUMMYFUNCTION("""COMPUTED_VALUE"""),"Leaves")</f>
        <v>Leaves</v>
      </c>
      <c r="BA5" s="31" t="str">
        <f>IFERROR(__xludf.DUMMYFUNCTION("""COMPUTED_VALUE"""),"Actual User")</f>
        <v>Actual User</v>
      </c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/>
      <c r="C6" s="8"/>
      <c r="D6" s="13">
        <v>10.0</v>
      </c>
      <c r="E6" s="32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  <c r="AA6" s="9" t="s">
        <v>18</v>
      </c>
      <c r="AD6" s="9">
        <v>1.0</v>
      </c>
      <c r="AF6" s="9" t="s">
        <v>29</v>
      </c>
      <c r="AH6" s="9" t="s">
        <v>30</v>
      </c>
      <c r="AI6" s="9" t="s">
        <v>20</v>
      </c>
      <c r="AJ6" s="9" t="s">
        <v>21</v>
      </c>
      <c r="AK6" s="9" t="s">
        <v>39</v>
      </c>
      <c r="AL6" s="9">
        <v>200.0</v>
      </c>
      <c r="AM6" s="9">
        <v>100.0</v>
      </c>
      <c r="AR6" s="9">
        <v>10.0</v>
      </c>
      <c r="AS6" s="9" t="s">
        <v>23</v>
      </c>
      <c r="AT6" s="9" t="s">
        <v>22</v>
      </c>
      <c r="AU6" s="9" t="s">
        <v>27</v>
      </c>
      <c r="AV6" s="9">
        <v>1000.0</v>
      </c>
      <c r="AW6" s="9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IFERROR(__xludf.DUMMYFUNCTION("""COMPUTED_VALUE"""),"Side")</f>
        <v>Side</v>
      </c>
      <c r="D5" s="29" t="str">
        <f>IFERROR(__xludf.DUMMYFUNCTION("""COMPUTED_VALUE"""),"Quantity")</f>
        <v>Quantity</v>
      </c>
      <c r="E5" s="29" t="str">
        <f>IFERROR(__xludf.DUMMYFUNCTION("""COMPUTED_VALUE"""),"Executed Qty")</f>
        <v>Executed Qty</v>
      </c>
      <c r="F5" s="30" t="str">
        <f>IFERROR(__xludf.DUMMYFUNCTION("""COMPUTED_VALUE"""),"Unexecuted Qty")</f>
        <v>Unexecuted Qty</v>
      </c>
      <c r="G5" s="29" t="str">
        <f>IFERROR(__xludf.DUMMYFUNCTION("""COMPUTED_VALUE"""),"Status")</f>
        <v>Status</v>
      </c>
      <c r="H5" s="29" t="str">
        <f>IFERROR(__xludf.DUMMYFUNCTION("""COMPUTED_VALUE"""),"Last Shares")</f>
        <v>Last Shares</v>
      </c>
      <c r="I5" s="29" t="str">
        <f>IFERROR(__xludf.DUMMYFUNCTION("""COMPUTED_VALUE"""),"Last Fill Price (Local)")</f>
        <v>Last Fill Price (Local)</v>
      </c>
      <c r="J5" s="29" t="str">
        <f>IFERROR(__xludf.DUMMYFUNCTION("""COMPUTED_VALUE"""),"Avg Fill Price (Local)")</f>
        <v>Avg Fill Price (Local)</v>
      </c>
      <c r="K5" s="29" t="str">
        <f>IFERROR(__xludf.DUMMYFUNCTION("""COMPUTED_VALUE"""),"Broker")</f>
        <v>Broker</v>
      </c>
      <c r="L5" s="29" t="str">
        <f>IFERROR(__xludf.DUMMYFUNCTION("""COMPUTED_VALUE"""),"Account")</f>
        <v>Account</v>
      </c>
      <c r="M5" s="29" t="str">
        <f>IFERROR(__xludf.DUMMYFUNCTION("""COMPUTED_VALUE"""),"Order Type")</f>
        <v>Order Type</v>
      </c>
      <c r="N5" s="29" t="str">
        <f>IFERROR(__xludf.DUMMYFUNCTION("""COMPUTED_VALUE"""),"OrderStatus")</f>
        <v>OrderStatus</v>
      </c>
      <c r="O5" s="29" t="str">
        <f>IFERROR(__xludf.DUMMYFUNCTION("""COMPUTED_VALUE"""),"Avg Fill Price (Base)")</f>
        <v>Avg Fill Price (Base)</v>
      </c>
      <c r="P5" s="29" t="str">
        <f>IFERROR(__xludf.DUMMYFUNCTION("""COMPUTED_VALUE"""),"Limit Price")</f>
        <v>Limit Price</v>
      </c>
      <c r="Q5" s="29" t="str">
        <f>IFERROR(__xludf.DUMMYFUNCTION("""COMPUTED_VALUE"""),"Stop Price")</f>
        <v>Stop Price</v>
      </c>
      <c r="R5" s="29" t="str">
        <f>IFERROR(__xludf.DUMMYFUNCTION("""COMPUTED_VALUE"""),"Actual User")</f>
        <v>Actual User</v>
      </c>
      <c r="S5" s="29" t="str">
        <f>IFERROR(__xludf.DUMMYFUNCTION("""COMPUTED_VALUE"""),"Bloomberg Symbol")</f>
        <v>Bloomberg Symbol</v>
      </c>
      <c r="T5" s="31" t="str">
        <f>IFERROR(__xludf.DUMMYFUNCTION("""COMPUTED_VALUE"""),"Algo")</f>
        <v>Algo</v>
      </c>
      <c r="U5" s="31" t="str">
        <f>IFERROR(__xludf.DUMMYFUNCTION("""COMPUTED_VALUE"""),"Allocation Scheme Name")</f>
        <v>Allocation Scheme Name</v>
      </c>
      <c r="V5" s="31" t="str">
        <f>IFERROR(__xludf.DUMMYFUNCTION("""COMPUTED_VALUE"""),"Allocation Status")</f>
        <v>Allocation Status</v>
      </c>
      <c r="W5" s="31" t="str">
        <f>IFERROR(__xludf.DUMMYFUNCTION("""COMPUTED_VALUE"""),"Asset Class")</f>
        <v>Asset Class</v>
      </c>
      <c r="X5" s="31" t="str">
        <f>IFERROR(__xludf.DUMMYFUNCTION("""COMPUTED_VALUE"""),"FX Conversion Operator")</f>
        <v>FX Conversion Operator</v>
      </c>
      <c r="Y5" s="31" t="str">
        <f>IFERROR(__xludf.DUMMYFUNCTION("""COMPUTED_VALUE"""),"FX Rate")</f>
        <v>FX Rate</v>
      </c>
      <c r="Z5" s="31" t="str">
        <f>IFERROR(__xludf.DUMMYFUNCTION("""COMPUTED_VALUE"""),"Imported File Name")</f>
        <v>Imported File Name</v>
      </c>
      <c r="AA5" s="31" t="str">
        <f>IFERROR(__xludf.DUMMYFUNCTION("""COMPUTED_VALUE"""),"Internal Comments")</f>
        <v>Internal Comments</v>
      </c>
      <c r="AB5" s="31" t="str">
        <f>IFERROR(__xludf.DUMMYFUNCTION("""COMPUTED_VALUE"""),"Peg")</f>
        <v>Peg</v>
      </c>
      <c r="AC5" s="31" t="str">
        <f>IFERROR(__xludf.DUMMYFUNCTION("""COMPUTED_VALUE"""),"Principal Amount (Base)")</f>
        <v>Principal Amount (Base)</v>
      </c>
      <c r="AD5" s="31" t="str">
        <f>IFERROR(__xludf.DUMMYFUNCTION("""COMPUTED_VALUE"""),"Principal Amount (Local)")</f>
        <v>Principal Amount (Local)</v>
      </c>
      <c r="AE5" s="31" t="str">
        <f>IFERROR(__xludf.DUMMYFUNCTION("""COMPUTED_VALUE"""),"Process Date")</f>
        <v>Process Date</v>
      </c>
      <c r="AF5" s="31" t="str">
        <f>IFERROR(__xludf.DUMMYFUNCTION("""COMPUTED_VALUE"""),"Put/Call")</f>
        <v>Put/Call</v>
      </c>
      <c r="AG5" s="31" t="str">
        <f>IFERROR(__xludf.DUMMYFUNCTION("""COMPUTED_VALUE"""),"Settlement Currency")</f>
        <v>Settlement Currency</v>
      </c>
      <c r="AH5" s="31" t="str">
        <f>IFERROR(__xludf.DUMMYFUNCTION("""COMPUTED_VALUE"""),"Source")</f>
        <v>Source</v>
      </c>
      <c r="AI5" s="31" t="str">
        <f>IFERROR(__xludf.DUMMYFUNCTION("""COMPUTED_VALUE"""),"Status (With Rollover)")</f>
        <v>Status (With Rollover)</v>
      </c>
      <c r="AJ5" s="31" t="str">
        <f>IFERROR(__xludf.DUMMYFUNCTION("""COMPUTED_VALUE"""),"Strategy")</f>
        <v>Strategy</v>
      </c>
      <c r="AK5" s="31" t="str">
        <f>IFERROR(__xludf.DUMMYFUNCTION("""COMPUTED_VALUE"""),"Strike Price")</f>
        <v>Strike Price</v>
      </c>
      <c r="AL5" s="31" t="str">
        <f>IFERROR(__xludf.DUMMYFUNCTION("""COMPUTED_VALUE"""),"Trade Attribute 1")</f>
        <v>Trade Attribute 1</v>
      </c>
      <c r="AM5" s="31" t="str">
        <f>IFERROR(__xludf.DUMMYFUNCTION("""COMPUTED_VALUE"""),"Trade Attribute 2")</f>
        <v>Trade Attribute 2</v>
      </c>
      <c r="AN5" s="31" t="str">
        <f>IFERROR(__xludf.DUMMYFUNCTION("""COMPUTED_VALUE"""),"Trade Attribute 3")</f>
        <v>Trade Attribute 3</v>
      </c>
      <c r="AO5" s="31" t="str">
        <f>IFERROR(__xludf.DUMMYFUNCTION("""COMPUTED_VALUE"""),"Trade Attribute 4")</f>
        <v>Trade Attribute 4</v>
      </c>
      <c r="AP5" s="31" t="str">
        <f>IFERROR(__xludf.DUMMYFUNCTION("""COMPUTED_VALUE"""),"Trade Attribute 5")</f>
        <v>Trade Attribute 5</v>
      </c>
      <c r="AQ5" s="31" t="str">
        <f>IFERROR(__xludf.DUMMYFUNCTION("""COMPUTED_VALUE"""),"Trade Attribute 6")</f>
        <v>Trade Attribute 6</v>
      </c>
      <c r="AR5" s="31" t="str">
        <f>IFERROR(__xludf.DUMMYFUNCTION("""COMPUTED_VALUE"""),"Trader")</f>
        <v>Trader</v>
      </c>
      <c r="AS5" s="31" t="str">
        <f>IFERROR(__xludf.DUMMYFUNCTION("""COMPUTED_VALUE"""),"Transaction Time")</f>
        <v>Transaction Time</v>
      </c>
      <c r="AT5" s="31" t="str">
        <f>IFERROR(__xludf.DUMMYFUNCTION("""COMPUTED_VALUE"""),"Underlying Country")</f>
        <v>Underlying Country</v>
      </c>
      <c r="AU5" s="31" t="str">
        <f>IFERROR(__xludf.DUMMYFUNCTION("""COMPUTED_VALUE"""),"Underlying Symbol")</f>
        <v>Underlying Symbol</v>
      </c>
      <c r="AV5" s="31" t="str">
        <f>IFERROR(__xludf.DUMMYFUNCTION("""COMPUTED_VALUE"""),"Venue")</f>
        <v>Venue</v>
      </c>
      <c r="AW5" s="31" t="str">
        <f>IFERROR(__xludf.DUMMYFUNCTION("""COMPUTED_VALUE"""),"Working Qty")</f>
        <v>Working Qty</v>
      </c>
      <c r="AX5" s="31" t="str">
        <f>IFERROR(__xludf.DUMMYFUNCTION("""COMPUTED_VALUE"""),"Client")</f>
        <v>Client</v>
      </c>
      <c r="AY5" s="31" t="str">
        <f>IFERROR(__xludf.DUMMYFUNCTION("""COMPUTED_VALUE"""),"OrderID")</f>
        <v>OrderID</v>
      </c>
      <c r="AZ5" s="31" t="str">
        <f>IFERROR(__xludf.DUMMYFUNCTION("""COMPUTED_VALUE"""),"ParentClOrderID")</f>
        <v>ParentClOrderID</v>
      </c>
      <c r="BA5" s="31" t="str">
        <f>IFERROR(__xludf.DUMMYFUNCTION("""COMPUTED_VALUE"""),"Master Fund")</f>
        <v>Master Fund</v>
      </c>
      <c r="BB5" s="31" t="str">
        <f>IFERROR(__xludf.DUMMYFUNCTION("""COMPUTED_VALUE"""),"Current User")</f>
        <v>Current User</v>
      </c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20</v>
      </c>
      <c r="C6" s="13" t="s">
        <v>21</v>
      </c>
      <c r="D6" s="13">
        <v>200.0</v>
      </c>
      <c r="E6" s="13">
        <v>100.0</v>
      </c>
      <c r="F6" s="13"/>
      <c r="G6" s="13" t="s">
        <v>39</v>
      </c>
      <c r="H6" s="8"/>
      <c r="I6" s="8"/>
      <c r="J6" s="13">
        <v>10.0</v>
      </c>
      <c r="K6" s="13" t="s">
        <v>23</v>
      </c>
      <c r="L6" s="13" t="s">
        <v>36</v>
      </c>
      <c r="M6" s="13" t="s">
        <v>27</v>
      </c>
      <c r="N6" s="8"/>
      <c r="O6" s="13">
        <v>10.0</v>
      </c>
      <c r="W6" s="9" t="s">
        <v>30</v>
      </c>
      <c r="X6" s="9" t="s">
        <v>29</v>
      </c>
      <c r="Y6" s="9">
        <v>1.0</v>
      </c>
      <c r="AC6" s="9">
        <v>1000.0</v>
      </c>
      <c r="AD6" s="9">
        <v>1000.0</v>
      </c>
      <c r="AW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VerifyWorkingSubs!$4:$4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IFERROR(__xludf.DUMMYFUNCTION("""COMPUTED_VALUE"""),"RangeType")</f>
        <v>RangeType</v>
      </c>
      <c r="C5" s="29" t="str">
        <f>IFERROR(__xludf.DUMMYFUNCTION("""COMPUTED_VALUE"""),"From")</f>
        <v>From</v>
      </c>
      <c r="D5" s="29" t="str">
        <f>IFERROR(__xludf.DUMMYFUNCTION("""COMPUTED_VALUE"""),"To")</f>
        <v>To</v>
      </c>
      <c r="E5" s="29" t="str">
        <f>IFERROR(__xludf.DUMMYFUNCTION("""COMPUTED_VALUE"""),"FilterTabName")</f>
        <v>FilterTabName</v>
      </c>
      <c r="F5" s="30" t="str">
        <f>IFERROR(__xludf.DUMMYFUNCTION("""COMPUTED_VALUE"""),"Symbol")</f>
        <v>Symbol</v>
      </c>
      <c r="G5" s="29" t="str">
        <f>IFERROR(__xludf.DUMMYFUNCTION("""COMPUTED_VALUE"""),"Asset")</f>
        <v>Asset</v>
      </c>
      <c r="H5" s="29" t="str">
        <f>IFERROR(__xludf.DUMMYFUNCTION("""COMPUTED_VALUE"""),"Side")</f>
        <v>Side</v>
      </c>
      <c r="I5" s="29" t="str">
        <f>IFERROR(__xludf.DUMMYFUNCTION("""COMPUTED_VALUE"""),"Account")</f>
        <v>Account</v>
      </c>
      <c r="J5" s="29" t="str">
        <f>IFERROR(__xludf.DUMMYFUNCTION("""COMPUTED_VALUE"""),"Broker")</f>
        <v>Broker</v>
      </c>
      <c r="K5" s="29" t="str">
        <f>IFERROR(__xludf.DUMMYFUNCTION("""COMPUTED_VALUE"""),"Currency")</f>
        <v>Currency</v>
      </c>
      <c r="L5" s="29" t="str">
        <f>IFERROR(__xludf.DUMMYFUNCTION("""COMPUTED_VALUE"""),"Exchange")</f>
        <v>Exchange</v>
      </c>
      <c r="M5" s="29" t="str">
        <f>IFERROR(__xludf.DUMMYFUNCTION("""COMPUTED_VALUE"""),"StrategyName")</f>
        <v>StrategyName</v>
      </c>
      <c r="N5" s="29" t="str">
        <f>IFERROR(__xludf.DUMMYFUNCTION("""COMPUTED_VALUE"""),"Underlying")</f>
        <v>Underlying</v>
      </c>
      <c r="O5" s="29" t="str">
        <f>IFERROR(__xludf.DUMMYFUNCTION("""COMPUTED_VALUE"""),"Venue")</f>
        <v>Venue</v>
      </c>
      <c r="P5" s="29" t="str">
        <f>IFERROR(__xludf.DUMMYFUNCTION("""COMPUTED_VALUE"""),"TradingAccount")</f>
        <v>TradingAccount</v>
      </c>
      <c r="Q5" s="29" t="str">
        <f>IFERROR(__xludf.DUMMYFUNCTION("""COMPUTED_VALUE"""),"PreAllocated")</f>
        <v>PreAllocated</v>
      </c>
      <c r="R5" s="29" t="str">
        <f>IFERROR(__xludf.DUMMYFUNCTION("""COMPUTED_VALUE"""),"ManualGroup")</f>
        <v>ManualGroup</v>
      </c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42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yperlinks>
    <hyperlink r:id="rId1" ref="DT4"/>
  </hyperlin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IFERROR(__xludf.DUMMYFUNCTION("""COMPUTED_VALUE"""),"Account Name")</f>
        <v>Account Name</v>
      </c>
      <c r="C5" s="29" t="str">
        <f>IFERROR(__xludf.DUMMYFUNCTION("""COMPUTED_VALUE"""),"Accrual Basis")</f>
        <v>Accrual Basis</v>
      </c>
      <c r="D5" s="29" t="str">
        <f>IFERROR(__xludf.DUMMYFUNCTION("""COMPUTED_VALUE"""),"Accrued Interest")</f>
        <v>Accrued Interest</v>
      </c>
      <c r="E5" s="29" t="str">
        <f>IFERROR(__xludf.DUMMYFUNCTION("""COMPUTED_VALUE"""),"Allocated Qty")</f>
        <v>Allocated Qty</v>
      </c>
      <c r="F5" s="30" t="str">
        <f>IFERROR(__xludf.DUMMYFUNCTION("""COMPUTED_VALUE"""),"Allocation Scheme Name")</f>
        <v>Allocation Scheme Name</v>
      </c>
      <c r="G5" s="29" t="str">
        <f>IFERROR(__xludf.DUMMYFUNCTION("""COMPUTED_VALUE"""),"Asset Category")</f>
        <v>Asset Category</v>
      </c>
      <c r="H5" s="29" t="str">
        <f>IFERROR(__xludf.DUMMYFUNCTION("""COMPUTED_VALUE"""),"AUEC Fee1")</f>
        <v>AUEC Fee1</v>
      </c>
      <c r="I5" s="29" t="str">
        <f>IFERROR(__xludf.DUMMYFUNCTION("""COMPUTED_VALUE"""),"AUEC Fee2")</f>
        <v>AUEC Fee2</v>
      </c>
      <c r="J5" s="29" t="str">
        <f>IFERROR(__xludf.DUMMYFUNCTION("""COMPUTED_VALUE"""),"AUECID")</f>
        <v>AUECID</v>
      </c>
      <c r="K5" s="29" t="str">
        <f>IFERROR(__xludf.DUMMYFUNCTION("""COMPUTED_VALUE"""),"Avg Price(Base)")</f>
        <v>Avg Price(Base)</v>
      </c>
      <c r="L5" s="29" t="str">
        <f>IFERROR(__xludf.DUMMYFUNCTION("""COMPUTED_VALUE"""),"Avg Price(Local)")</f>
        <v>Avg Price(Local)</v>
      </c>
      <c r="M5" s="29" t="str">
        <f>IFERROR(__xludf.DUMMYFUNCTION("""COMPUTED_VALUE"""),"Bloomberg")</f>
        <v>Bloomberg</v>
      </c>
      <c r="N5" s="29" t="str">
        <f>IFERROR(__xludf.DUMMYFUNCTION("""COMPUTED_VALUE"""),"Bond Type")</f>
        <v>Bond Type</v>
      </c>
      <c r="O5" s="29" t="str">
        <f>IFERROR(__xludf.DUMMYFUNCTION("""COMPUTED_VALUE"""),"Broker")</f>
        <v>Broker</v>
      </c>
      <c r="P5" s="29" t="str">
        <f>IFERROR(__xludf.DUMMYFUNCTION("""COMPUTED_VALUE"""),"Change Comment")</f>
        <v>Change Comment</v>
      </c>
      <c r="Q5" s="29" t="str">
        <f>IFERROR(__xludf.DUMMYFUNCTION("""COMPUTED_VALUE"""),"Change Type")</f>
        <v>Change Type</v>
      </c>
      <c r="R5" s="29" t="str">
        <f>IFERROR(__xludf.DUMMYFUNCTION("""COMPUTED_VALUE"""),"Clearing Broker Fee")</f>
        <v>Clearing Broker Fee</v>
      </c>
      <c r="S5" s="29" t="str">
        <f>IFERROR(__xludf.DUMMYFUNCTION("""COMPUTED_VALUE"""),"Closing Status")</f>
        <v>Closing Status</v>
      </c>
      <c r="T5" s="31" t="str">
        <f>IFERROR(__xludf.DUMMYFUNCTION("""COMPUTED_VALUE"""),"Commission")</f>
        <v>Commission</v>
      </c>
      <c r="U5" s="31" t="str">
        <f>IFERROR(__xludf.DUMMYFUNCTION("""COMPUTED_VALUE"""),"Commission Per Share")</f>
        <v>Commission Per Share</v>
      </c>
      <c r="V5" s="31" t="str">
        <f>IFERROR(__xludf.DUMMYFUNCTION("""COMPUTED_VALUE"""),"Company")</f>
        <v>Company</v>
      </c>
      <c r="W5" s="31" t="str">
        <f>IFERROR(__xludf.DUMMYFUNCTION("""COMPUTED_VALUE"""),"Contract Multiplier")</f>
        <v>Contract Multiplier</v>
      </c>
      <c r="X5" s="31" t="str">
        <f>IFERROR(__xludf.DUMMYFUNCTION("""COMPUTED_VALUE"""),"Coupon Rate")</f>
        <v>Coupon Rate</v>
      </c>
      <c r="Y5" s="31" t="str">
        <f>IFERROR(__xludf.DUMMYFUNCTION("""COMPUTED_VALUE"""),"Cum Qty For Sub Order")</f>
        <v>Cum Qty For Sub Order</v>
      </c>
      <c r="Z5" s="31" t="str">
        <f>IFERROR(__xludf.DUMMYFUNCTION("""COMPUTED_VALUE"""),"Currency")</f>
        <v>Currency</v>
      </c>
      <c r="AA5" s="31" t="str">
        <f>IFERROR(__xludf.DUMMYFUNCTION("""COMPUTED_VALUE"""),"Cusip Symbol")</f>
        <v>Cusip Symbol</v>
      </c>
      <c r="AB5" s="31" t="str">
        <f>IFERROR(__xludf.DUMMYFUNCTION("""COMPUTED_VALUE"""),"Delta")</f>
        <v>Delta</v>
      </c>
      <c r="AC5" s="31" t="str">
        <f>IFERROR(__xludf.DUMMYFUNCTION("""COMPUTED_VALUE"""),"Description")</f>
        <v>Description</v>
      </c>
      <c r="AD5" s="31" t="str">
        <f>IFERROR(__xludf.DUMMYFUNCTION("""COMPUTED_VALUE"""),"Exchange")</f>
        <v>Exchange</v>
      </c>
      <c r="AE5" s="31" t="str">
        <f>IFERROR(__xludf.DUMMYFUNCTION("""COMPUTED_VALUE"""),"Executed Qty")</f>
        <v>Executed Qty</v>
      </c>
      <c r="AF5" s="31" t="str">
        <f>IFERROR(__xludf.DUMMYFUNCTION("""COMPUTED_VALUE"""),"Exceution Time")</f>
        <v>Exceution Time</v>
      </c>
      <c r="AG5" s="31" t="str">
        <f>IFERROR(__xludf.DUMMYFUNCTION("""COMPUTED_VALUE"""),"Expiration Date")</f>
        <v>Expiration Date</v>
      </c>
      <c r="AH5" s="31" t="str">
        <f>IFERROR(__xludf.DUMMYFUNCTION("""COMPUTED_VALUE"""),"FX Conversion Operator")</f>
        <v>FX Conversion Operator</v>
      </c>
      <c r="AI5" s="31" t="str">
        <f>IFERROR(__xludf.DUMMYFUNCTION("""COMPUTED_VALUE"""),"FX Rate")</f>
        <v>FX Rate</v>
      </c>
      <c r="AJ5" s="31" t="str">
        <f>IFERROR(__xludf.DUMMYFUNCTION("""COMPUTED_VALUE"""),"Group Status")</f>
        <v>Group Status</v>
      </c>
      <c r="AK5" s="31" t="str">
        <f>IFERROR(__xludf.DUMMYFUNCTION("""COMPUTED_VALUE"""),"IDCOSymbol")</f>
        <v>IDCOSymbol</v>
      </c>
      <c r="AL5" s="31" t="str">
        <f>IFERROR(__xludf.DUMMYFUNCTION("""COMPUTED_VALUE"""),"Import File Name")</f>
        <v>Import File Name</v>
      </c>
      <c r="AM5" s="31" t="str">
        <f>IFERROR(__xludf.DUMMYFUNCTION("""COMPUTED_VALUE"""),"Internal Comments")</f>
        <v>Internal Comments</v>
      </c>
      <c r="AN5" s="31" t="str">
        <f>IFERROR(__xludf.DUMMYFUNCTION("""COMPUTED_VALUE"""),"IsAnotherTaxlotAttributesUpdated")</f>
        <v>IsAnotherTaxlotAttributesUpdated</v>
      </c>
      <c r="AO5" s="31" t="str">
        <f>IFERROR(__xludf.DUMMYFUNCTION("""COMPUTED_VALUE"""),"ISIN")</f>
        <v>ISIN</v>
      </c>
      <c r="AP5" s="31" t="str">
        <f>IFERROR(__xludf.DUMMYFUNCTION("""COMPUTED_VALUE"""),"IsManual Group")</f>
        <v>IsManual Group</v>
      </c>
      <c r="AQ5" s="31" t="str">
        <f>IFERROR(__xludf.DUMMYFUNCTION("""COMPUTED_VALUE"""),"ISNDF")</f>
        <v>ISNDF</v>
      </c>
      <c r="AR5" s="31" t="str">
        <f>IFERROR(__xludf.DUMMYFUNCTION("""COMPUTED_VALUE"""),"IsPreAllocated")</f>
        <v>IsPreAllocated</v>
      </c>
      <c r="AS5" s="31" t="str">
        <f>IFERROR(__xludf.DUMMYFUNCTION("""COMPUTED_VALUE"""),"M2MProfitLoss")</f>
        <v>M2MProfitLoss</v>
      </c>
      <c r="AT5" s="31" t="str">
        <f>IFERROR(__xludf.DUMMYFUNCTION("""COMPUTED_VALUE"""),"Net Amount( Base)")</f>
        <v>Net Amount( Base)</v>
      </c>
      <c r="AU5" s="31" t="str">
        <f>IFERROR(__xludf.DUMMYFUNCTION("""COMPUTED_VALUE"""),"Net Amount( Local)")</f>
        <v>Net Amount( Local)</v>
      </c>
      <c r="AV5" s="31" t="str">
        <f>IFERROR(__xludf.DUMMYFUNCTION("""COMPUTED_VALUE"""),"Nirvana Process Date")</f>
        <v>Nirvana Process Date</v>
      </c>
      <c r="AW5" s="31" t="str">
        <f>IFERROR(__xludf.DUMMYFUNCTION("""COMPUTED_VALUE"""),"OCC Fee")</f>
        <v>OCC Fee</v>
      </c>
      <c r="AX5" s="31" t="str">
        <f>IFERROR(__xludf.DUMMYFUNCTION("""COMPUTED_VALUE"""),"Option Premium Adjustment")</f>
        <v>Option Premium Adjustment</v>
      </c>
      <c r="AY5" s="31" t="str">
        <f>IFERROR(__xludf.DUMMYFUNCTION("""COMPUTED_VALUE"""),"Order Type")</f>
        <v>Order Type</v>
      </c>
      <c r="AZ5" s="31" t="str">
        <f>IFERROR(__xludf.DUMMYFUNCTION("""COMPUTED_VALUE"""),"ORF Fee")</f>
        <v>ORF Fee</v>
      </c>
      <c r="BA5" s="31" t="str">
        <f>IFERROR(__xludf.DUMMYFUNCTION("""COMPUTED_VALUE"""),"Original Purchase Date")</f>
        <v>Original Purchase Date</v>
      </c>
      <c r="BB5" s="31" t="str">
        <f>IFERROR(__xludf.DUMMYFUNCTION("""COMPUTED_VALUE"""),"OSISSymbol")</f>
        <v>OSISSymbol</v>
      </c>
      <c r="BC5" s="31" t="str">
        <f>IFERROR(__xludf.DUMMYFUNCTION("""COMPUTED_VALUE"""),"Other Broker Fees")</f>
        <v>Other Broker Fees</v>
      </c>
      <c r="BD5" s="31" t="str">
        <f>IFERROR(__xludf.DUMMYFUNCTION("""COMPUTED_VALUE"""),"Prana Msg Type")</f>
        <v>Prana Msg Type</v>
      </c>
      <c r="BE5" s="31" t="str">
        <f>IFERROR(__xludf.DUMMYFUNCTION("""COMPUTED_VALUE"""),"Principal Amount( Base)")</f>
        <v>Principal Amount( Base)</v>
      </c>
      <c r="BF5" s="31" t="str">
        <f>IFERROR(__xludf.DUMMYFUNCTION("""COMPUTED_VALUE"""),"Principal Amount( Local)")</f>
        <v>Principal Amount( Local)</v>
      </c>
      <c r="BG5" s="31" t="str">
        <f>IFERROR(__xludf.DUMMYFUNCTION("""COMPUTED_VALUE"""),"Process Date")</f>
        <v>Process Date</v>
      </c>
      <c r="BH5" s="31" t="str">
        <f>IFERROR(__xludf.DUMMYFUNCTION("""COMPUTED_VALUE"""),"Proxy Symbol")</f>
        <v>Proxy Symbol</v>
      </c>
      <c r="BI5" s="31" t="str">
        <f>IFERROR(__xludf.DUMMYFUNCTION("""COMPUTED_VALUE"""),"Put Or Call")</f>
        <v>Put Or Call</v>
      </c>
      <c r="BJ5" s="31" t="str">
        <f>IFERROR(__xludf.DUMMYFUNCTION("""COMPUTED_VALUE"""),"Quantity")</f>
        <v>Quantity</v>
      </c>
      <c r="BK5" s="31" t="str">
        <f>IFERROR(__xludf.DUMMYFUNCTION("""COMPUTED_VALUE"""),"SEC Fee")</f>
        <v>SEC Fee</v>
      </c>
      <c r="BL5" s="31" t="str">
        <f>IFERROR(__xludf.DUMMYFUNCTION("""COMPUTED_VALUE"""),"Sedol Symbol")</f>
        <v>Sedol Symbol</v>
      </c>
      <c r="BM5" s="31" t="str">
        <f>IFERROR(__xludf.DUMMYFUNCTION("""COMPUTED_VALUE"""),"Settlement Currency")</f>
        <v>Settlement Currency</v>
      </c>
      <c r="BN5" s="31" t="str">
        <f>IFERROR(__xludf.DUMMYFUNCTION("""COMPUTED_VALUE"""),"Settlement Date")</f>
        <v>Settlement Date</v>
      </c>
      <c r="BO5" s="31" t="str">
        <f>IFERROR(__xludf.DUMMYFUNCTION("""COMPUTED_VALUE"""),"Side")</f>
        <v>Side</v>
      </c>
      <c r="BP5" s="31" t="str">
        <f>IFERROR(__xludf.DUMMYFUNCTION("""COMPUTED_VALUE"""),"Soft Commission")</f>
        <v>Soft Commission</v>
      </c>
      <c r="BQ5" s="31" t="str">
        <f>IFERROR(__xludf.DUMMYFUNCTION("""COMPUTED_VALUE"""),"Soft Commission Per Share")</f>
        <v>Soft Commission Per Share</v>
      </c>
      <c r="BR5" s="31" t="str">
        <f>IFERROR(__xludf.DUMMYFUNCTION("""COMPUTED_VALUE"""),"Stamp Duty")</f>
        <v>Stamp Duty</v>
      </c>
      <c r="BS5" s="31" t="str">
        <f>IFERROR(__xludf.DUMMYFUNCTION("""COMPUTED_VALUE"""),"Strategy Name")</f>
        <v>Strategy Name</v>
      </c>
      <c r="BT5" s="31" t="str">
        <f>IFERROR(__xludf.DUMMYFUNCTION("""COMPUTED_VALUE"""),"Symbol")</f>
        <v>Symbol</v>
      </c>
      <c r="BU5" s="31" t="str">
        <f>IFERROR(__xludf.DUMMYFUNCTION("""COMPUTED_VALUE"""),"Tax On Commissions")</f>
        <v>Tax On Commissions</v>
      </c>
      <c r="BV5" s="31" t="str">
        <f>IFERROR(__xludf.DUMMYFUNCTION("""COMPUTED_VALUE"""),"Total Commission")</f>
        <v>Total Commission</v>
      </c>
      <c r="BW5" s="31" t="str">
        <f>IFERROR(__xludf.DUMMYFUNCTION("""COMPUTED_VALUE"""),"Total Commission And Fee")</f>
        <v>Total Commission And Fee</v>
      </c>
      <c r="BX5" s="31" t="str">
        <f>IFERROR(__xludf.DUMMYFUNCTION("""COMPUTED_VALUE"""),"Total Commission Per Share")</f>
        <v>Total Commission Per Share</v>
      </c>
      <c r="BY5" s="31" t="str">
        <f>IFERROR(__xludf.DUMMYFUNCTION("""COMPUTED_VALUE"""),"Trade Attribute 1")</f>
        <v>Trade Attribute 1</v>
      </c>
      <c r="BZ5" s="31" t="str">
        <f>IFERROR(__xludf.DUMMYFUNCTION("""COMPUTED_VALUE"""),"Trade Attribute 2")</f>
        <v>Trade Attribute 2</v>
      </c>
      <c r="CA5" s="31" t="str">
        <f>IFERROR(__xludf.DUMMYFUNCTION("""COMPUTED_VALUE"""),"Trade Attribute 3")</f>
        <v>Trade Attribute 3</v>
      </c>
      <c r="CB5" s="31" t="str">
        <f>IFERROR(__xludf.DUMMYFUNCTION("""COMPUTED_VALUE"""),"Trade Attribute 4")</f>
        <v>Trade Attribute 4</v>
      </c>
      <c r="CC5" s="31" t="str">
        <f>IFERROR(__xludf.DUMMYFUNCTION("""COMPUTED_VALUE"""),"Trade Attribute 5")</f>
        <v>Trade Attribute 5</v>
      </c>
      <c r="CD5" s="31" t="str">
        <f>IFERROR(__xludf.DUMMYFUNCTION("""COMPUTED_VALUE"""),"Trade Attribute 6")</f>
        <v>Trade Attribute 6</v>
      </c>
      <c r="CE5" s="31" t="str">
        <f>IFERROR(__xludf.DUMMYFUNCTION("""COMPUTED_VALUE"""),"Trade Date")</f>
        <v>Trade Date</v>
      </c>
      <c r="CF5" s="31" t="str">
        <f>IFERROR(__xludf.DUMMYFUNCTION("""COMPUTED_VALUE"""),"Trading Account")</f>
        <v>Trading Account</v>
      </c>
      <c r="CG5" s="31" t="str">
        <f>IFERROR(__xludf.DUMMYFUNCTION("""COMPUTED_VALUE"""),"Transaction Levy")</f>
        <v>Transaction Levy</v>
      </c>
      <c r="CH5" s="31" t="str">
        <f>IFERROR(__xludf.DUMMYFUNCTION("""COMPUTED_VALUE"""),"Transaction Source")</f>
        <v>Transaction Source</v>
      </c>
      <c r="CI5" s="31" t="str">
        <f>IFERROR(__xludf.DUMMYFUNCTION("""COMPUTED_VALUE"""),"Transaction Type")</f>
        <v>Transaction Type</v>
      </c>
      <c r="CJ5" s="31" t="str">
        <f>IFERROR(__xludf.DUMMYFUNCTION("""COMPUTED_VALUE"""),"UnAllocatedQty")</f>
        <v>UnAllocatedQty</v>
      </c>
      <c r="CK5" s="31" t="str">
        <f>IFERROR(__xludf.DUMMYFUNCTION("""COMPUTED_VALUE"""),"Underlying")</f>
        <v>Underlying</v>
      </c>
      <c r="CL5" s="31" t="str">
        <f>IFERROR(__xludf.DUMMYFUNCTION("""COMPUTED_VALUE"""),"Underlying Delta")</f>
        <v>Underlying Delta</v>
      </c>
      <c r="CM5" s="31" t="str">
        <f>IFERROR(__xludf.DUMMYFUNCTION("""COMPUTED_VALUE"""),"Underlying Symbol")</f>
        <v>Underlying Symbol</v>
      </c>
      <c r="CN5" s="31" t="str">
        <f>IFERROR(__xludf.DUMMYFUNCTION("""COMPUTED_VALUE"""),"User")</f>
        <v>User</v>
      </c>
      <c r="CO5" s="31" t="str">
        <f>IFERROR(__xludf.DUMMYFUNCTION("""COMPUTED_VALUE"""),"Venue")</f>
        <v>Venue</v>
      </c>
      <c r="CP5" s="31" t="str">
        <f>IFERROR(__xludf.DUMMYFUNCTION("""COMPUTED_VALUE"""),"Closing Method")</f>
        <v>Closing Method</v>
      </c>
      <c r="CQ5" s="31" t="str">
        <f>IFERROR(__xludf.DUMMYFUNCTION("""COMPUTED_VALUE"""),"Closing Date")</f>
        <v>Closing Date</v>
      </c>
      <c r="CR5" s="31" t="str">
        <f>IFERROR(__xludf.DUMMYFUNCTION("""COMPUTED_VALUE"""),"GroupID")</f>
        <v>GroupID</v>
      </c>
      <c r="CS5" s="31" t="str">
        <f>IFERROR(__xludf.DUMMYFUNCTION("""COMPUTED_VALUE"""),"Client")</f>
        <v>Client</v>
      </c>
      <c r="CT5" s="31" t="str">
        <f>IFERROR(__xludf.DUMMYFUNCTION("""COMPUTED_VALUE"""),"Borrow Broker")</f>
        <v>Borrow Broker</v>
      </c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36</v>
      </c>
      <c r="C6" s="8"/>
      <c r="D6" s="13"/>
      <c r="E6" s="13">
        <v>100.0</v>
      </c>
      <c r="F6" s="8"/>
      <c r="G6" s="8"/>
      <c r="H6" s="8"/>
      <c r="I6" s="8"/>
      <c r="J6" s="8"/>
      <c r="K6" s="13">
        <v>10.0</v>
      </c>
      <c r="L6" s="13">
        <v>10.0</v>
      </c>
      <c r="M6" s="8"/>
      <c r="N6" s="8"/>
      <c r="O6" s="13" t="s">
        <v>23</v>
      </c>
      <c r="AE6" s="9">
        <v>100.0</v>
      </c>
      <c r="AH6" s="9" t="s">
        <v>29</v>
      </c>
      <c r="AI6" s="9">
        <v>1.0</v>
      </c>
      <c r="AT6" s="9">
        <v>1014.001</v>
      </c>
      <c r="AU6" s="9">
        <v>1014.001</v>
      </c>
      <c r="AY6" s="9" t="s">
        <v>27</v>
      </c>
      <c r="BE6" s="9">
        <v>1000.0</v>
      </c>
      <c r="BF6" s="9">
        <v>1000.0</v>
      </c>
      <c r="BJ6" s="9">
        <v>200.0</v>
      </c>
      <c r="BO6" s="9" t="s">
        <v>21</v>
      </c>
      <c r="BT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hyperlinks>
    <hyperlink r:id="rId1" ref="DT4"/>
  </hyperlin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IFERROR(__xludf.DUMMYFUNCTION("""COMPUTED_VALUE"""),"Trade Date")</f>
        <v>Trade Date</v>
      </c>
      <c r="C5" s="29" t="str">
        <f>IFERROR(__xludf.DUMMYFUNCTION("""COMPUTED_VALUE"""),"Symbol")</f>
        <v>Symbol</v>
      </c>
      <c r="D5" s="29" t="str">
        <f>IFERROR(__xludf.DUMMYFUNCTION("""COMPUTED_VALUE"""),"Position")</f>
        <v>Position</v>
      </c>
      <c r="E5" s="29" t="str">
        <f>IFERROR(__xludf.DUMMYFUNCTION("""COMPUTED_VALUE"""),"Account")</f>
        <v>Account</v>
      </c>
      <c r="F5" s="30" t="str">
        <f>IFERROR(__xludf.DUMMYFUNCTION("""COMPUTED_VALUE"""),"MasterFund")</f>
        <v>MasterFund</v>
      </c>
      <c r="G5" s="29" t="str">
        <f>IFERROR(__xludf.DUMMYFUNCTION("""COMPUTED_VALUE"""),"Cost Basis")</f>
        <v>Cost Basis</v>
      </c>
      <c r="H5" s="29" t="str">
        <f>IFERROR(__xludf.DUMMYFUNCTION("""COMPUTED_VALUE"""),"Position Side")</f>
        <v>Position Side</v>
      </c>
      <c r="I5" s="29" t="str">
        <f>IFERROR(__xludf.DUMMYFUNCTION("""COMPUTED_VALUE"""),"Market Value (Base)")</f>
        <v>Market Value (Base)</v>
      </c>
      <c r="J5" s="29" t="str">
        <f>IFERROR(__xludf.DUMMYFUNCTION("""COMPUTED_VALUE"""),"% Day P&amp;L (Gross MV)")</f>
        <v>% Day P&amp;L (Gross MV)</v>
      </c>
      <c r="K5" s="29" t="str">
        <f>IFERROR(__xludf.DUMMYFUNCTION("""COMPUTED_VALUE"""),"Net Exposure (Base)")</f>
        <v>Net Exposure (Base)</v>
      </c>
      <c r="L5" s="29" t="str">
        <f>IFERROR(__xludf.DUMMYFUNCTION("""COMPUTED_VALUE"""),"Beta Adj. Gross Exposure (Base)")</f>
        <v>Beta Adj. Gross Exposure (Base)</v>
      </c>
      <c r="M5" s="29" t="str">
        <f>IFERROR(__xludf.DUMMYFUNCTION("""COMPUTED_VALUE"""),"Beta Adj. Gross Exposure (Underlying) (Base)")</f>
        <v>Beta Adj. Gross Exposure (Underlying) (Base)</v>
      </c>
      <c r="N5" s="29" t="str">
        <f>IFERROR(__xludf.DUMMYFUNCTION("""COMPUTED_VALUE"""),"Day P&amp;L (Base)")</f>
        <v>Day P&amp;L (Base)</v>
      </c>
      <c r="O5" s="29" t="str">
        <f>IFERROR(__xludf.DUMMYFUNCTION("""COMPUTED_VALUE"""),"Security Name")</f>
        <v>Security Name</v>
      </c>
      <c r="P5" s="29" t="str">
        <f>IFERROR(__xludf.DUMMYFUNCTION("""COMPUTED_VALUE"""),"Closing Mark")</f>
        <v>Closing Mark</v>
      </c>
      <c r="Q5" s="29" t="str">
        <f>IFERROR(__xludf.DUMMYFUNCTION("""COMPUTED_VALUE"""),"Cost Basis P&amp;L (Base)")</f>
        <v>Cost Basis P&amp;L (Base)</v>
      </c>
      <c r="R5" s="29" t="str">
        <f>IFERROR(__xludf.DUMMYFUNCTION("""COMPUTED_VALUE"""),"Prime Broker")</f>
        <v>Prime Broker</v>
      </c>
      <c r="S5" s="29" t="str">
        <f>IFERROR(__xludf.DUMMYFUNCTION("""COMPUTED_VALUE"""),"Strategy")</f>
        <v>Strategy</v>
      </c>
      <c r="T5" s="31" t="str">
        <f>IFERROR(__xludf.DUMMYFUNCTION("""COMPUTED_VALUE"""),"Asset Class")</f>
        <v>Asset Class</v>
      </c>
      <c r="U5" s="31" t="str">
        <f>IFERROR(__xludf.DUMMYFUNCTION("""COMPUTED_VALUE"""),"Underlying")</f>
        <v>Underlying</v>
      </c>
      <c r="V5" s="31" t="str">
        <f>IFERROR(__xludf.DUMMYFUNCTION("""COMPUTED_VALUE"""),"Exchange")</f>
        <v>Exchange</v>
      </c>
      <c r="W5" s="31" t="str">
        <f>IFERROR(__xludf.DUMMYFUNCTION("""COMPUTED_VALUE"""),"Trade Currency")</f>
        <v>Trade Currency</v>
      </c>
      <c r="X5" s="31" t="str">
        <f>IFERROR(__xludf.DUMMYFUNCTION("""COMPUTED_VALUE"""),"Multiplier")</f>
        <v>Multiplier</v>
      </c>
      <c r="Y5" s="31" t="str">
        <f>IFERROR(__xludf.DUMMYFUNCTION("""COMPUTED_VALUE"""),"FX Rate")</f>
        <v>FX Rate</v>
      </c>
      <c r="Z5" s="31" t="str">
        <f>IFERROR(__xludf.DUMMYFUNCTION("""COMPUTED_VALUE"""),"Vs Currency")</f>
        <v>Vs Currency</v>
      </c>
      <c r="AA5" s="31" t="str">
        <f>IFERROR(__xludf.DUMMYFUNCTION("""COMPUTED_VALUE"""),"Lead Currency")</f>
        <v>Lead Currency</v>
      </c>
      <c r="AB5" s="31" t="str">
        <f>IFERROR(__xludf.DUMMYFUNCTION("""COMPUTED_VALUE"""),"Dividend Yield (%)")</f>
        <v>Dividend Yield (%)</v>
      </c>
      <c r="AC5" s="31" t="str">
        <f>IFERROR(__xludf.DUMMYFUNCTION("""COMPUTED_VALUE"""),"% Change")</f>
        <v>% Change</v>
      </c>
      <c r="AD5" s="31" t="str">
        <f>IFERROR(__xludf.DUMMYFUNCTION("""COMPUTED_VALUE"""),"Net Exposure (Local)")</f>
        <v>Net Exposure (Local)</v>
      </c>
      <c r="AE5" s="31" t="str">
        <f>IFERROR(__xludf.DUMMYFUNCTION("""COMPUTED_VALUE"""),"Exposure (Local)")</f>
        <v>Exposure (Local)</v>
      </c>
      <c r="AF5" s="31" t="str">
        <f>IFERROR(__xludf.DUMMYFUNCTION("""COMPUTED_VALUE"""),"Delta Adj. Position")</f>
        <v>Delta Adj. Position</v>
      </c>
      <c r="AG5" s="31" t="str">
        <f>IFERROR(__xludf.DUMMYFUNCTION("""COMPUTED_VALUE"""),"Exposure (Base)")</f>
        <v>Exposure (Base)</v>
      </c>
      <c r="AH5" s="31" t="str">
        <f>IFERROR(__xludf.DUMMYFUNCTION("""COMPUTED_VALUE"""),"Beta Adj. Exposure (Local)")</f>
        <v>Beta Adj. Exposure (Local)</v>
      </c>
      <c r="AI5" s="31" t="str">
        <f>IFERROR(__xludf.DUMMYFUNCTION("""COMPUTED_VALUE"""),"Beta Adj. Exposure (Base)")</f>
        <v>Beta Adj. Exposure (Base)</v>
      </c>
      <c r="AJ5" s="31" t="str">
        <f>IFERROR(__xludf.DUMMYFUNCTION("""COMPUTED_VALUE"""),"Exposure (BP)(Base)")</f>
        <v>Exposure (BP)(Base)</v>
      </c>
      <c r="AK5" s="31" t="str">
        <f>IFERROR(__xludf.DUMMYFUNCTION("""COMPUTED_VALUE"""),"Day P&amp;L (Local)")</f>
        <v>Day P&amp;L (Local)</v>
      </c>
      <c r="AL5" s="31" t="str">
        <f>IFERROR(__xludf.DUMMYFUNCTION("""COMPUTED_VALUE"""),"Delta")</f>
        <v>Delta</v>
      </c>
      <c r="AM5" s="31" t="str">
        <f>IFERROR(__xludf.DUMMYFUNCTION("""COMPUTED_VALUE"""),"Leveraged Factor")</f>
        <v>Leveraged Factor</v>
      </c>
      <c r="AN5" s="31" t="str">
        <f>IFERROR(__xludf.DUMMYFUNCTION("""COMPUTED_VALUE"""),"Order Side")</f>
        <v>Order Side</v>
      </c>
      <c r="AO5" s="31" t="str">
        <f>IFERROR(__xludf.DUMMYFUNCTION("""COMPUTED_VALUE"""),"Master Strategy")</f>
        <v>Master Strategy</v>
      </c>
      <c r="AP5" s="31" t="str">
        <f>IFERROR(__xludf.DUMMYFUNCTION("""COMPUTED_VALUE"""),"Transaction Side")</f>
        <v>Transaction Side</v>
      </c>
      <c r="AQ5" s="31" t="str">
        <f>IFERROR(__xludf.DUMMYFUNCTION("""COMPUTED_VALUE"""),"Underlying Symbol")</f>
        <v>Underlying Symbol</v>
      </c>
      <c r="AR5" s="31" t="str">
        <f>IFERROR(__xludf.DUMMYFUNCTION("""COMPUTED_VALUE"""),"Underlying Price")</f>
        <v>Underlying Price</v>
      </c>
      <c r="AS5" s="31" t="str">
        <f>IFERROR(__xludf.DUMMYFUNCTION("""COMPUTED_VALUE"""),"Side Multiplier")</f>
        <v>Side Multiplier</v>
      </c>
      <c r="AT5" s="31" t="str">
        <f>IFERROR(__xludf.DUMMYFUNCTION("""COMPUTED_VALUE"""),"Description")</f>
        <v>Description</v>
      </c>
      <c r="AU5" s="31" t="str">
        <f>IFERROR(__xludf.DUMMYFUNCTION("""COMPUTED_VALUE"""),"Internal Comments")</f>
        <v>Internal Comments</v>
      </c>
      <c r="AV5" s="31" t="str">
        <f>IFERROR(__xludf.DUMMYFUNCTION("""COMPUTED_VALUE"""),"FX Rate On Trade Date")</f>
        <v>FX Rate On Trade Date</v>
      </c>
      <c r="AW5" s="31" t="str">
        <f>IFERROR(__xludf.DUMMYFUNCTION("""COMPUTED_VALUE"""),"Cost Basis P&amp;L (Local)")</f>
        <v>Cost Basis P&amp;L (Local)</v>
      </c>
      <c r="AX5" s="31" t="str">
        <f>IFERROR(__xludf.DUMMYFUNCTION("""COMPUTED_VALUE"""),"Day Interest")</f>
        <v>Day Interest</v>
      </c>
      <c r="AY5" s="31" t="str">
        <f>IFERROR(__xludf.DUMMYFUNCTION("""COMPUTED_VALUE"""),"Total Interest")</f>
        <v>Total Interest</v>
      </c>
      <c r="AZ5" s="31" t="str">
        <f>IFERROR(__xludf.DUMMYFUNCTION("""COMPUTED_VALUE"""),"Market Value (Local)")</f>
        <v>Market Value (Local)</v>
      </c>
      <c r="BA5" s="31" t="str">
        <f>IFERROR(__xludf.DUMMYFUNCTION("""COMPUTED_VALUE"""),"% Gain/Loss Day")</f>
        <v>% Gain/Loss Day</v>
      </c>
      <c r="BB5" s="31" t="str">
        <f>IFERROR(__xludf.DUMMYFUNCTION("""COMPUTED_VALUE"""),"Update Time (Last Price)")</f>
        <v>Update Time (Last Price)</v>
      </c>
      <c r="BC5" s="31" t="str">
        <f>IFERROR(__xludf.DUMMYFUNCTION("""COMPUTED_VALUE"""),"Beta")</f>
        <v>Beta</v>
      </c>
      <c r="BD5" s="31" t="str">
        <f>IFERROR(__xludf.DUMMYFUNCTION("""COMPUTED_VALUE"""),"Cash Impact (Local)")</f>
        <v>Cash Impact (Local)</v>
      </c>
      <c r="BE5" s="31" t="str">
        <f>IFERROR(__xludf.DUMMYFUNCTION("""COMPUTED_VALUE"""),"User Asset")</f>
        <v>User Asset</v>
      </c>
      <c r="BF5" s="31" t="str">
        <f>IFERROR(__xludf.DUMMYFUNCTION("""COMPUTED_VALUE"""),"Security Type")</f>
        <v>Security Type</v>
      </c>
      <c r="BG5" s="31" t="str">
        <f>IFERROR(__xludf.DUMMYFUNCTION("""COMPUTED_VALUE"""),"Sector")</f>
        <v>Sector</v>
      </c>
      <c r="BH5" s="31" t="str">
        <f>IFERROR(__xludf.DUMMYFUNCTION("""COMPUTED_VALUE"""),"Sub Sector")</f>
        <v>Sub Sector</v>
      </c>
      <c r="BI5" s="31" t="str">
        <f>IFERROR(__xludf.DUMMYFUNCTION("""COMPUTED_VALUE"""),"Country")</f>
        <v>Country</v>
      </c>
      <c r="BJ5" s="31" t="str">
        <f>IFERROR(__xludf.DUMMYFUNCTION("""COMPUTED_VALUE"""),"Market Cap")</f>
        <v>Market Cap</v>
      </c>
      <c r="BK5" s="31" t="str">
        <f>IFERROR(__xludf.DUMMYFUNCTION("""COMPUTED_VALUE"""),"Shares Outstanding (MM)")</f>
        <v>Shares Outstanding (MM)</v>
      </c>
      <c r="BL5" s="31" t="str">
        <f>IFERROR(__xludf.DUMMYFUNCTION("""COMPUTED_VALUE"""),"Avg Volume 20 Day")</f>
        <v>Avg Volume 20 Day</v>
      </c>
      <c r="BM5" s="31" t="str">
        <f>IFERROR(__xludf.DUMMYFUNCTION("""COMPUTED_VALUE"""),"% Avg Volume (Delta Adj.)")</f>
        <v>% Avg Volume (Delta Adj.)</v>
      </c>
      <c r="BN5" s="31" t="str">
        <f>IFERROR(__xludf.DUMMYFUNCTION("""COMPUTED_VALUE"""),"Ex Dividend Date")</f>
        <v>Ex Dividend Date</v>
      </c>
      <c r="BO5" s="31" t="str">
        <f>IFERROR(__xludf.DUMMYFUNCTION("""COMPUTED_VALUE"""),"Cash Impact (Base)")</f>
        <v>Cash Impact (Base)</v>
      </c>
      <c r="BP5" s="31" t="str">
        <f>IFERROR(__xludf.DUMMYFUNCTION("""COMPUTED_VALUE"""),"Volatility (%)")</f>
        <v>Volatility (%)</v>
      </c>
      <c r="BQ5" s="31" t="str">
        <f>IFERROR(__xludf.DUMMYFUNCTION("""COMPUTED_VALUE"""),"User")</f>
        <v>User</v>
      </c>
      <c r="BR5" s="31" t="str">
        <f>IFERROR(__xludf.DUMMYFUNCTION("""COMPUTED_VALUE"""),"Broker")</f>
        <v>Broker</v>
      </c>
      <c r="BS5" s="31" t="str">
        <f>IFERROR(__xludf.DUMMYFUNCTION("""COMPUTED_VALUE"""),"Earned Dividend (Local)")</f>
        <v>Earned Dividend (Local)</v>
      </c>
      <c r="BT5" s="31" t="str">
        <f>IFERROR(__xludf.DUMMYFUNCTION("""COMPUTED_VALUE"""),"Earned Dividend (Base)")</f>
        <v>Earned Dividend (Base)</v>
      </c>
      <c r="BU5" s="31" t="str">
        <f>IFERROR(__xludf.DUMMYFUNCTION("""COMPUTED_VALUE"""),"Put/Call")</f>
        <v>Put/Call</v>
      </c>
      <c r="BV5" s="31" t="str">
        <f>IFERROR(__xludf.DUMMYFUNCTION("""COMPUTED_VALUE"""),"Expiration Date")</f>
        <v>Expiration Date</v>
      </c>
      <c r="BW5" s="31" t="str">
        <f>IFERROR(__xludf.DUMMYFUNCTION("""COMPUTED_VALUE"""),"Strike Price")</f>
        <v>Strike Price</v>
      </c>
      <c r="BX5" s="31" t="str">
        <f>IFERROR(__xludf.DUMMYFUNCTION("""COMPUTED_VALUE"""),"Gross Exposure (Base)")</f>
        <v>Gross Exposure (Base)</v>
      </c>
      <c r="BY5" s="31" t="str">
        <f>IFERROR(__xludf.DUMMYFUNCTION("""COMPUTED_VALUE"""),"Gross Market Value (Base)")</f>
        <v>Gross Market Value (Base)</v>
      </c>
      <c r="BZ5" s="31" t="str">
        <f>IFERROR(__xludf.DUMMYFUNCTION("""COMPUTED_VALUE"""),"Px Selected Feed (Local)")</f>
        <v>Px Selected Feed (Local)</v>
      </c>
      <c r="CA5" s="31" t="str">
        <f>IFERROR(__xludf.DUMMYFUNCTION("""COMPUTED_VALUE"""),"Px Selected Feed (Base)")</f>
        <v>Px Selected Feed (Base)</v>
      </c>
      <c r="CB5" s="31" t="str">
        <f>IFERROR(__xludf.DUMMYFUNCTION("""COMPUTED_VALUE"""),"Settlement Date")</f>
        <v>Settlement Date</v>
      </c>
      <c r="CC5" s="31" t="str">
        <f>IFERROR(__xludf.DUMMYFUNCTION("""COMPUTED_VALUE"""),"% Avg Volume")</f>
        <v>% Avg Volume</v>
      </c>
      <c r="CD5" s="31" t="str">
        <f>IFERROR(__xludf.DUMMYFUNCTION("""COMPUTED_VALUE"""),"Day P&amp;L (Base)(Price Gain)")</f>
        <v>Day P&amp;L (Base)(Price Gain)</v>
      </c>
      <c r="CE5" s="31" t="str">
        <f>IFERROR(__xludf.DUMMYFUNCTION("""COMPUTED_VALUE"""),"Day P&amp;L (Base)(FX Gain)")</f>
        <v>Day P&amp;L (Base)(FX Gain)</v>
      </c>
      <c r="CF5" s="31" t="str">
        <f>IFERROR(__xludf.DUMMYFUNCTION("""COMPUTED_VALUE"""),"Cost Basis P&amp;L (Base)(FX Gain)")</f>
        <v>Cost Basis P&amp;L (Base)(FX Gain)</v>
      </c>
      <c r="CG5" s="31" t="str">
        <f>IFERROR(__xludf.DUMMYFUNCTION("""COMPUTED_VALUE"""),"Cost Basis P&amp;L (Base)(Price Gain)")</f>
        <v>Cost Basis P&amp;L (Base)(Price Gain)</v>
      </c>
      <c r="CH5" s="31" t="str">
        <f>IFERROR(__xludf.DUMMYFUNCTION("""COMPUTED_VALUE"""),"% Gain/Loss Cost")</f>
        <v>% Gain/Loss Cost</v>
      </c>
      <c r="CI5" s="31" t="str">
        <f>IFERROR(__xludf.DUMMYFUNCTION("""COMPUTED_VALUE"""),"Underlying Value (Options)")</f>
        <v>Underlying Value (Options)</v>
      </c>
      <c r="CJ5" s="31" t="str">
        <f>IFERROR(__xludf.DUMMYFUNCTION("""COMPUTED_VALUE"""),"Avg Volume 20 Day (Underlying Symbol)")</f>
        <v>Avg Volume 20 Day (Underlying Symbol)</v>
      </c>
      <c r="CK5" s="31" t="str">
        <f>IFERROR(__xludf.DUMMYFUNCTION("""COMPUTED_VALUE"""),"IsStaleData")</f>
        <v>IsStaleData</v>
      </c>
      <c r="CL5" s="31" t="str">
        <f>IFERROR(__xludf.DUMMYFUNCTION("""COMPUTED_VALUE"""),"IDCO")</f>
        <v>IDCO</v>
      </c>
      <c r="CM5" s="31" t="str">
        <f>IFERROR(__xludf.DUMMYFUNCTION("""COMPUTED_VALUE"""),"OSI")</f>
        <v>OSI</v>
      </c>
      <c r="CN5" s="31" t="str">
        <f>IFERROR(__xludf.DUMMYFUNCTION("""COMPUTED_VALUE"""),"SEDOL")</f>
        <v>SEDOL</v>
      </c>
      <c r="CO5" s="31" t="str">
        <f>IFERROR(__xludf.DUMMYFUNCTION("""COMPUTED_VALUE"""),"CUSIP")</f>
        <v>CUSIP</v>
      </c>
      <c r="CP5" s="31" t="str">
        <f>IFERROR(__xludf.DUMMYFUNCTION("""COMPUTED_VALUE"""),"Bloomberg")</f>
        <v>Bloomberg</v>
      </c>
      <c r="CQ5" s="31" t="str">
        <f>IFERROR(__xludf.DUMMYFUNCTION("""COMPUTED_VALUE"""),"ISIN")</f>
        <v>ISIN</v>
      </c>
      <c r="CR5" s="31" t="str">
        <f>IFERROR(__xludf.DUMMYFUNCTION("""COMPUTED_VALUE"""),"Start Trade Date")</f>
        <v>Start Trade Date</v>
      </c>
      <c r="CS5" s="31" t="str">
        <f>IFERROR(__xludf.DUMMYFUNCTION("""COMPUTED_VALUE"""),"Cost Basis (Break Even)")</f>
        <v>Cost Basis (Break Even)</v>
      </c>
      <c r="CT5" s="31" t="str">
        <f>IFERROR(__xludf.DUMMYFUNCTION("""COMPUTED_VALUE"""),"Trade Attribute 3")</f>
        <v>Trade Attribute 3</v>
      </c>
      <c r="CU5" s="31" t="str">
        <f>IFERROR(__xludf.DUMMYFUNCTION("""COMPUTED_VALUE"""),"Trade Attribute 4")</f>
        <v>Trade Attribute 4</v>
      </c>
      <c r="CV5" s="31" t="str">
        <f>IFERROR(__xludf.DUMMYFUNCTION("""COMPUTED_VALUE"""),"Trade Attribute 5")</f>
        <v>Trade Attribute 5</v>
      </c>
      <c r="CW5" s="31" t="str">
        <f>IFERROR(__xludf.DUMMYFUNCTION("""COMPUTED_VALUE"""),"Trade Attribute 6")</f>
        <v>Trade Attribute 6</v>
      </c>
      <c r="CX5" s="31" t="str">
        <f>IFERROR(__xludf.DUMMYFUNCTION("""COMPUTED_VALUE"""),"Proxy Symbol")</f>
        <v>Proxy Symbol</v>
      </c>
      <c r="CY5" s="31" t="str">
        <f>IFERROR(__xludf.DUMMYFUNCTION("""COMPUTED_VALUE"""),"Pricing Source")</f>
        <v>Pricing Source</v>
      </c>
      <c r="CZ5" s="31" t="str">
        <f>IFERROR(__xludf.DUMMYFUNCTION("""COMPUTED_VALUE"""),"Delta Source")</f>
        <v>Delta Source</v>
      </c>
      <c r="DA5" s="31" t="str">
        <f>IFERROR(__xludf.DUMMYFUNCTION("""COMPUTED_VALUE"""),"Gross Exposure (Local)")</f>
        <v>Gross Exposure (Local)</v>
      </c>
      <c r="DB5" s="31" t="str">
        <f>IFERROR(__xludf.DUMMYFUNCTION("""COMPUTED_VALUE"""),"% Day P&amp;L (Net MV)")</f>
        <v>% Day P&amp;L (Net MV)</v>
      </c>
      <c r="DC5" s="31" t="str">
        <f>IFERROR(__xludf.DUMMYFUNCTION("""COMPUTED_VALUE"""),"Expiration Month")</f>
        <v>Expiration Month</v>
      </c>
      <c r="DD5" s="31" t="str">
        <f>IFERROR(__xludf.DUMMYFUNCTION("""COMPUTED_VALUE"""),"Delta Adj. Position (LME)")</f>
        <v>Delta Adj. Position (LME)</v>
      </c>
      <c r="DE5" s="31" t="str">
        <f>IFERROR(__xludf.DUMMYFUNCTION("""COMPUTED_VALUE"""),"Premium")</f>
        <v>Premium</v>
      </c>
      <c r="DF5" s="31" t="str">
        <f>IFERROR(__xludf.DUMMYFUNCTION("""COMPUTED_VALUE"""),"Premium $")</f>
        <v>Premium $</v>
      </c>
      <c r="DG5" s="31" t="str">
        <f>IFERROR(__xludf.DUMMYFUNCTION("""COMPUTED_VALUE"""),"Forward Points")</f>
        <v>Forward Points</v>
      </c>
      <c r="DH5" s="31" t="str">
        <f>IFERROR(__xludf.DUMMYFUNCTION("""COMPUTED_VALUE"""),"Closing Mark (Underlying)")</f>
        <v>Closing Mark (Underlying)</v>
      </c>
      <c r="DI5" s="31" t="str">
        <f>IFERROR(__xludf.DUMMYFUNCTION("""COMPUTED_VALUE"""),"% Change (Underlying Price)")</f>
        <v>% Change (Underlying Price)</v>
      </c>
      <c r="DJ5" s="31" t="str">
        <f>IFERROR(__xludf.DUMMYFUNCTION("""COMPUTED_VALUE"""),"Transaction Type")</f>
        <v>Transaction Type</v>
      </c>
      <c r="DK5" s="31" t="str">
        <f>IFERROR(__xludf.DUMMYFUNCTION("""COMPUTED_VALUE"""),"Closing Market Value (Local)")</f>
        <v>Closing Market Value (Local)</v>
      </c>
      <c r="DL5" s="31" t="str">
        <f>IFERROR(__xludf.DUMMYFUNCTION("""COMPUTED_VALUE"""),"Closing Market Value (Base)")</f>
        <v>Closing Market Value (Base)</v>
      </c>
      <c r="DM5" s="31" t="str">
        <f>IFERROR(__xludf.DUMMYFUNCTION("""COMPUTED_VALUE"""),"Closing FX Rate")</f>
        <v>Closing FX Rate</v>
      </c>
      <c r="DN5" s="31" t="str">
        <f>IFERROR(__xludf.DUMMYFUNCTION("""COMPUTED_VALUE"""),"Change In Underlying Price")</f>
        <v>Change In Underlying Price</v>
      </c>
      <c r="DO5" s="31" t="str">
        <f>IFERROR(__xludf.DUMMYFUNCTION("""COMPUTED_VALUE"""),"RIC")</f>
        <v>RIC</v>
      </c>
      <c r="DP5" s="31" t="str">
        <f>IFERROR(__xludf.DUMMYFUNCTION("""COMPUTED_VALUE"""),"Position Side Exposure (Boxed)")</f>
        <v>Position Side Exposure (Boxed)</v>
      </c>
      <c r="DQ5" s="31" t="str">
        <f>IFERROR(__xludf.DUMMYFUNCTION("""COMPUTED_VALUE"""),"Analyst")</f>
        <v>Analyst</v>
      </c>
      <c r="DR5" s="31" t="str">
        <f>IFERROR(__xludf.DUMMYFUNCTION("""COMPUTED_VALUE"""),"Country Of Risk")</f>
        <v>Country Of Risk</v>
      </c>
      <c r="DS5" s="31" t="str">
        <f>IFERROR(__xludf.DUMMYFUNCTION("""COMPUTED_VALUE"""),"Custom UDA1")</f>
        <v>Custom UDA1</v>
      </c>
      <c r="DT5" s="31" t="str">
        <f>IFERROR(__xludf.DUMMYFUNCTION("""COMPUTED_VALUE"""),"Custom UDA2")</f>
        <v>Custom UDA2</v>
      </c>
      <c r="DU5" s="31" t="str">
        <f>IFERROR(__xludf.DUMMYFUNCTION("""COMPUTED_VALUE"""),"Custom UDA3")</f>
        <v>Custom UDA3</v>
      </c>
      <c r="DV5" s="31" t="str">
        <f>IFERROR(__xludf.DUMMYFUNCTION("""COMPUTED_VALUE"""),"Custom UDA4")</f>
        <v>Custom UDA4</v>
      </c>
      <c r="DW5" s="31" t="str">
        <f>IFERROR(__xludf.DUMMYFUNCTION("""COMPUTED_VALUE"""),"Custom UDA5")</f>
        <v>Custom UDA5</v>
      </c>
      <c r="DX5" s="31" t="str">
        <f>IFERROR(__xludf.DUMMYFUNCTION("""COMPUTED_VALUE"""),"Custom UDA6")</f>
        <v>Custom UDA6</v>
      </c>
      <c r="DY5" s="31" t="str">
        <f>IFERROR(__xludf.DUMMYFUNCTION("""COMPUTED_VALUE"""),"Custom UDA7")</f>
        <v>Custom UDA7</v>
      </c>
      <c r="DZ5" s="31" t="str">
        <f>IFERROR(__xludf.DUMMYFUNCTION("""COMPUTED_VALUE"""),"Issuer")</f>
        <v>Issuer</v>
      </c>
      <c r="EA5" s="31" t="str">
        <f>IFERROR(__xludf.DUMMYFUNCTION("""COMPUTED_VALUE"""),"Liquid Tag")</f>
        <v>Liquid Tag</v>
      </c>
      <c r="EB5" s="31" t="str">
        <f>IFERROR(__xludf.DUMMYFUNCTION("""COMPUTED_VALUE"""),"Market Cap UDA")</f>
        <v>Market Cap UDA</v>
      </c>
      <c r="EC5" s="31" t="str">
        <f>IFERROR(__xludf.DUMMYFUNCTION("""COMPUTED_VALUE"""),"Region")</f>
        <v>Region</v>
      </c>
      <c r="ED5" s="31" t="str">
        <f>IFERROR(__xludf.DUMMYFUNCTION("""COMPUTED_VALUE"""),"Risk Currency")</f>
        <v>Risk Currency</v>
      </c>
      <c r="EE5" s="31" t="str">
        <f>IFERROR(__xludf.DUMMYFUNCTION("""COMPUTED_VALUE"""),"UCITS Eligible Tag")</f>
        <v>UCITS Eligible Tag</v>
      </c>
      <c r="EF5" s="31" t="str">
        <f>IFERROR(__xludf.DUMMYFUNCTION("""COMPUTED_VALUE"""),"FX Rate (Display)")</f>
        <v>FX Rate (Display)</v>
      </c>
      <c r="EG5" s="31" t="str">
        <f>IFERROR(__xludf.DUMMYFUNCTION("""COMPUTED_VALUE"""),"% Net Exposure (Base)")</f>
        <v>% Net Exposure (Base)</v>
      </c>
      <c r="EH5" s="31" t="str">
        <f>IFERROR(__xludf.DUMMYFUNCTION("""COMPUTED_VALUE"""),"% Gross Exposure (Base)")</f>
        <v>% Gross Exposure (Base)</v>
      </c>
      <c r="EI5" s="31" t="str">
        <f>IFERROR(__xludf.DUMMYFUNCTION("""COMPUTED_VALUE"""),"% Exposure (Base)")</f>
        <v>% Exposure (Base)</v>
      </c>
      <c r="EJ5" s="31" t="str">
        <f>IFERROR(__xludf.DUMMYFUNCTION("""COMPUTED_VALUE"""),"% Gross Exposure (Underlying) (Base)")</f>
        <v>% Gross Exposure (Underlying) (Base)</v>
      </c>
      <c r="EK5" s="31" t="str">
        <f>IFERROR(__xludf.DUMMYFUNCTION("""COMPUTED_VALUE"""),"% Beta Adj. Gross Exposure (Base)")</f>
        <v>% Beta Adj. Gross Exposure (Base)</v>
      </c>
      <c r="EL5" s="31" t="str">
        <f>IFERROR(__xludf.DUMMYFUNCTION("""COMPUTED_VALUE"""),"Position Side Exposure (Underlying)")</f>
        <v>Position Side Exposure (Underlying)</v>
      </c>
      <c r="EM5" s="31" t="str">
        <f>IFERROR(__xludf.DUMMYFUNCTION("""COMPUTED_VALUE"""),"Gross Exposure (Underlying) (Base)")</f>
        <v>Gross Exposure (Underlying) (Base)</v>
      </c>
      <c r="EN5" s="31" t="str">
        <f>IFERROR(__xludf.DUMMYFUNCTION("""COMPUTED_VALUE"""),"Gross Exposure (Underlying)")</f>
        <v>Gross Exposure (Underlying)</v>
      </c>
      <c r="EO5" s="31" t="str">
        <f>IFERROR(__xludf.DUMMYFUNCTION("""COMPUTED_VALUE"""),"Day Return")</f>
        <v>Day Return</v>
      </c>
      <c r="EP5" s="31" t="str">
        <f>IFERROR(__xludf.DUMMYFUNCTION("""COMPUTED_VALUE"""),"Start of Day NAV")</f>
        <v>Start of Day NAV</v>
      </c>
      <c r="EQ5" s="31" t="str">
        <f>IFERROR(__xludf.DUMMYFUNCTION("""COMPUTED_VALUE"""),"% Gross Market Value (Base)")</f>
        <v>% Gross Market Value (Base)</v>
      </c>
      <c r="ER5" s="31" t="str">
        <f>IFERROR(__xludf.DUMMYFUNCTION("""COMPUTED_VALUE"""),"Beta Adj. Gross Exposure (Underlying) (Local)")</f>
        <v>Beta Adj. Gross Exposure (Underlying) (Local)</v>
      </c>
      <c r="ES5" s="31" t="str">
        <f>IFERROR(__xludf.DUMMYFUNCTION("""COMPUTED_VALUE"""),"NAV")</f>
        <v>NAV</v>
      </c>
      <c r="ET5" s="31" t="str">
        <f>IFERROR(__xludf.DUMMYFUNCTION("""COMPUTED_VALUE"""),"% P&amp;L Contribution")</f>
        <v>% P&amp;L Contribution</v>
      </c>
      <c r="EU5" s="31" t="str">
        <f>IFERROR(__xludf.DUMMYFUNCTION("""COMPUTED_VALUE"""),"% Net Market Value (Base)")</f>
        <v>% Net Market Value (Base)</v>
      </c>
      <c r="EV5" s="31" t="str">
        <f>IFERROR(__xludf.DUMMYFUNCTION("""COMPUTED_VALUE"""),"Position Side Exposure")</f>
        <v>Position Side Exposure</v>
      </c>
      <c r="EW5" s="31" t="str">
        <f>IFERROR(__xludf.DUMMYFUNCTION("""COMPUTED_VALUE"""),"NAV (Touch)")</f>
        <v>NAV (Touch)</v>
      </c>
      <c r="EX5" s="31" t="str">
        <f>IFERROR(__xludf.DUMMYFUNCTION("""COMPUTED_VALUE"""),"IgnorePropertyChangeEvents")</f>
        <v>IgnorePropertyChangeEvents</v>
      </c>
      <c r="EY5" s="31" t="str">
        <f>IFERROR(__xludf.DUMMYFUNCTION("""COMPUTED_VALUE"""),"Trade Attribute 1")</f>
        <v>Trade Attribute 1</v>
      </c>
      <c r="EZ5" s="31" t="str">
        <f>IFERROR(__xludf.DUMMYFUNCTION("""COMPUTED_VALUE"""),"Trade Attribute 2")</f>
        <v>Trade Attribute 2</v>
      </c>
      <c r="FA5" s="31" t="str">
        <f>IFERROR(__xludf.DUMMYFUNCTION("""COMPUTED_VALUE"""),"Client")</f>
        <v>Client</v>
      </c>
      <c r="FB5" s="31" t="str">
        <f>IFERROR(__xludf.DUMMYFUNCTION("""COMPUTED_VALUE"""),"IsCustomViewTab")</f>
        <v>IsCustomViewTab</v>
      </c>
      <c r="FC5" s="31" t="str">
        <f>IFERROR(__xludf.DUMMYFUNCTION("""COMPUTED_VALUE"""),"ITM/OTM")</f>
        <v>ITM/OTM</v>
      </c>
      <c r="FD5" s="31" t="str">
        <f>IFERROR(__xludf.DUMMYFUNCTION("""COMPUTED_VALUE"""),"Days to Expiry")</f>
        <v>Days to Expiry</v>
      </c>
      <c r="FE5" s="31" t="str">
        <f>IFERROR(__xludf.DUMMYFUNCTION("""COMPUTED_VALUE"""),"% of Underlying Price")</f>
        <v>% of Underlying Price</v>
      </c>
      <c r="FF5" s="31" t="str">
        <f>IFERROR(__xludf.DUMMYFUNCTION("""COMPUTED_VALUE"""),"Intrinsic value")</f>
        <v>Intrinsic value</v>
      </c>
      <c r="FG5" s="31" t="str">
        <f>IFERROR(__xludf.DUMMYFUNCTION("""COMPUTED_VALUE"""),"Gain/Loss if Ex./Assign")</f>
        <v>Gain/Loss if Ex./Assign</v>
      </c>
      <c r="FH5" s="31" t="str">
        <f>IFERROR(__xludf.DUMMYFUNCTION("""COMPUTED_VALUE"""),"Day Traded Position")</f>
        <v>Day Traded Position</v>
      </c>
      <c r="FI5" s="31"/>
      <c r="FJ5" s="31"/>
      <c r="FK5" s="31"/>
      <c r="FL5" s="31"/>
      <c r="FM5" s="31"/>
      <c r="FN5" s="31"/>
      <c r="FO5" s="31"/>
      <c r="FP5" s="31"/>
      <c r="FQ5" s="31"/>
      <c r="FR5" s="31"/>
    </row>
    <row r="6" ht="15.75" customHeight="1">
      <c r="A6" s="13"/>
      <c r="B6" s="13"/>
      <c r="C6" s="13" t="s">
        <v>20</v>
      </c>
      <c r="D6" s="13">
        <v>50.0</v>
      </c>
      <c r="E6" s="13" t="s">
        <v>33</v>
      </c>
      <c r="F6" s="13" t="s">
        <v>46</v>
      </c>
      <c r="G6" s="13">
        <v>10.0</v>
      </c>
      <c r="H6" s="13" t="s">
        <v>47</v>
      </c>
      <c r="I6" s="8"/>
      <c r="J6" s="8"/>
      <c r="K6" s="8"/>
      <c r="L6" s="8"/>
      <c r="M6" s="8"/>
      <c r="N6" s="8"/>
      <c r="O6" s="8"/>
      <c r="T6" s="9" t="s">
        <v>30</v>
      </c>
      <c r="Y6" s="9">
        <v>1.0</v>
      </c>
      <c r="AN6" s="9" t="s">
        <v>21</v>
      </c>
    </row>
    <row r="7" ht="15.75" customHeight="1">
      <c r="A7" s="8"/>
      <c r="B7" s="8"/>
      <c r="C7" s="13" t="s">
        <v>20</v>
      </c>
      <c r="D7" s="13">
        <v>50.0</v>
      </c>
      <c r="E7" s="13" t="s">
        <v>34</v>
      </c>
      <c r="F7" s="13" t="s">
        <v>48</v>
      </c>
      <c r="G7" s="13">
        <v>10.0</v>
      </c>
      <c r="H7" s="13" t="s">
        <v>47</v>
      </c>
      <c r="I7" s="8"/>
      <c r="J7" s="8"/>
      <c r="K7" s="8"/>
      <c r="L7" s="8"/>
      <c r="M7" s="8"/>
      <c r="N7" s="8"/>
      <c r="O7" s="8"/>
      <c r="T7" s="9" t="s">
        <v>30</v>
      </c>
      <c r="Y7" s="9">
        <v>1.0</v>
      </c>
      <c r="AN7" s="9" t="s">
        <v>21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