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PricingConfig" sheetId="4" r:id="rId6"/>
    <sheet state="visible" name="UpdateClientConfig" sheetId="5" r:id="rId7"/>
    <sheet state="visible" name="UpdateClientConfig1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FilterPM" sheetId="10" r:id="rId12"/>
    <sheet state="visible" name="CheckPortfolioManagement" sheetId="11" r:id="rId13"/>
    <sheet state="visible" name="FilterPM1" sheetId="12" r:id="rId14"/>
    <sheet state="visible" name="CheckPortfolioManagement1" sheetId="13" r:id="rId15"/>
  </sheets>
  <definedNames/>
  <calcPr/>
</workbook>
</file>

<file path=xl/sharedStrings.xml><?xml version="1.0" encoding="utf-8"?>
<sst xmlns="http://schemas.openxmlformats.org/spreadsheetml/2006/main" count="98" uniqueCount="36">
  <si>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</si>
  <si>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</si>
  <si>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</si>
  <si>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</si>
  <si>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</si>
  <si>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</si>
  <si>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</si>
  <si>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</si>
  <si>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</si>
  <si>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</si>
  <si>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</si>
  <si>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</si>
  <si>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PricingServer</t>
  </si>
  <si>
    <t>UpdatePricingConfig</t>
  </si>
  <si>
    <t>Data Format</t>
  </si>
  <si>
    <t>Input Format</t>
  </si>
  <si>
    <t>isFundWiseMarkPriceRequired</t>
  </si>
  <si>
    <t>PranaClient</t>
  </si>
  <si>
    <t>UpdateClientConfig</t>
  </si>
  <si>
    <t>IsDefaultFilterToShowAccountWiseDataOnDailyValuation</t>
  </si>
  <si>
    <t>IsFilteringAccountWiseDataAllowedOnDailyValuation</t>
  </si>
  <si>
    <t>TradingTicket</t>
  </si>
  <si>
    <t>CreateDoneAwayOrder</t>
  </si>
  <si>
    <t>AAPL</t>
  </si>
  <si>
    <t>Buy</t>
  </si>
  <si>
    <t>Allocation1,Allocation2</t>
  </si>
  <si>
    <t>50,50</t>
  </si>
  <si>
    <t>DailyValuation</t>
  </si>
  <si>
    <t>GetMarkPriceData</t>
  </si>
  <si>
    <t>UpdateMarkPrice</t>
  </si>
  <si>
    <t>PortfolioManagement</t>
  </si>
  <si>
    <t>FilterPM</t>
  </si>
  <si>
    <t>Account</t>
  </si>
  <si>
    <t>Allocation1</t>
  </si>
  <si>
    <t>CheckPortfolioManagement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</si>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</sst>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IFERROR(__xludf.DUMMYFUNCTION("IF(C3="""","""",Transpose(IMPORTRANGE('_Settings'!$B$3,C3&amp;""!A4:A1000"")))"),"RestartPricingServer")</f>
        <v>RestartPricingServer</v>
      </c>
      <c r="C4" s="24" t="str">
        <f>IFERROR(__xludf.DUMMYFUNCTION("""COMPUTED_VALUE"""),"UpdatePricingConfig")</f>
        <v>UpdatePricingConfig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UpdatePricingConfig!$4:$4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500.0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31">
        <f>TODAY()-1</f>
        <v>45817</v>
      </c>
      <c r="O6" s="8"/>
      <c r="AK6" s="9" t="s">
        <v>25</v>
      </c>
      <c r="AL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 t="shared" ref="B6:C6" si="1">TODAY()-1</f>
        <v>45817</v>
      </c>
      <c r="C6" s="32">
        <f t="shared" si="1"/>
        <v>45817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23</v>
      </c>
      <c r="C6" s="34">
        <v>11.0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23</v>
      </c>
      <c r="C7" s="12">
        <v>12.0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 t="str">
        <f>IFERROR(__xludf.DUMMYFUNCTION("""COMPUTED_VALUE"""),"IsCustomViewTab")</f>
        <v>IsCustomViewTab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35" t="s">
        <v>23</v>
      </c>
      <c r="D6" s="35" t="s">
        <v>33</v>
      </c>
      <c r="E6" s="36">
        <v>250.0</v>
      </c>
      <c r="F6" s="8"/>
      <c r="G6" s="36">
        <v>10.0</v>
      </c>
      <c r="H6" s="8"/>
      <c r="I6" s="8"/>
      <c r="J6" s="8"/>
      <c r="K6" s="8"/>
      <c r="L6" s="8"/>
      <c r="M6" s="8"/>
      <c r="N6" s="8"/>
      <c r="O6" s="8"/>
      <c r="P6" s="9">
        <v>12.0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 t="str">
        <f>IFERROR(__xludf.DUMMYFUNCTION("""COMPUTED_VALUE"""),"IsCustomViewTab")</f>
        <v>IsCustomViewTab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35" t="s">
        <v>23</v>
      </c>
      <c r="D6" s="35" t="s">
        <v>35</v>
      </c>
      <c r="E6" s="36">
        <v>250.0</v>
      </c>
      <c r="F6" s="8"/>
      <c r="G6" s="36">
        <v>10.0</v>
      </c>
      <c r="H6" s="8"/>
      <c r="I6" s="8"/>
      <c r="J6" s="8"/>
      <c r="K6" s="8"/>
      <c r="L6" s="8"/>
      <c r="M6" s="8"/>
      <c r="N6" s="8"/>
      <c r="O6" s="8"/>
      <c r="P6" s="9">
        <v>12.0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