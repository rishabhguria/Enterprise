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DailyCash" sheetId="4" r:id="rId6"/>
    <sheet state="visible" name="UpdateDailyCash" sheetId="5" r:id="rId7"/>
    <sheet state="visible" name="CreateDoneAwayOrder" sheetId="6" r:id="rId8"/>
    <sheet state="visible" name="PricingInput" sheetId="7" r:id="rId9"/>
    <sheet state="visible" name="FetchAccountPositions" sheetId="8" r:id="rId10"/>
    <sheet state="visible" name="AddCash" sheetId="9" r:id="rId11"/>
    <sheet state="visible" name="RebalanceAcrossSecurities" sheetId="10" r:id="rId12"/>
    <sheet state="visible" name="RunRebalance" sheetId="11" r:id="rId13"/>
    <sheet state="visible" name="VerifyGridData" sheetId="12" r:id="rId14"/>
  </sheets>
  <definedNames/>
  <calcPr/>
</workbook>
</file>

<file path=xl/sharedStrings.xml><?xml version="1.0" encoding="utf-8"?>
<sst xmlns="http://schemas.openxmlformats.org/spreadsheetml/2006/main" count="119" uniqueCount="41">
  <si>
    <t>Master Data Info</t>
  </si>
  <si>
    <t>Modules Info</t>
  </si>
  <si>
    <t>Settings</t>
  </si>
  <si>
    <t>Module Step Setting File</t>
  </si>
  <si>
    <t>Module</t>
  </si>
  <si>
    <t>Modules</t>
  </si>
  <si>
    <t>1BICZ_GcMhh_S937ZinFvSYqvvKYtOYB2Bc4woEPpgPg</t>
  </si>
  <si>
    <t>Master Data Settings File</t>
  </si>
  <si>
    <t>Step</t>
  </si>
  <si>
    <t>Master Data Sheet</t>
  </si>
  <si>
    <t>1hEhI9rg16D4Xvfk19pDaFUFF78jjfIG29BBaNg8kT0A</t>
  </si>
  <si>
    <t>Data</t>
  </si>
  <si>
    <t>DailyValuation</t>
  </si>
  <si>
    <t>GetDailyCash</t>
  </si>
  <si>
    <t>Data Format</t>
  </si>
  <si>
    <t>Input Format</t>
  </si>
  <si>
    <t>UpdateDailyCash</t>
  </si>
  <si>
    <t>Allocation1</t>
  </si>
  <si>
    <t>USD</t>
  </si>
  <si>
    <t>TradingTicket</t>
  </si>
  <si>
    <t>CreateDoneAwayOrder</t>
  </si>
  <si>
    <t>AAPL</t>
  </si>
  <si>
    <t>Buy</t>
  </si>
  <si>
    <t>AIG</t>
  </si>
  <si>
    <t>AXP</t>
  </si>
  <si>
    <t>IBM</t>
  </si>
  <si>
    <t>MSFT</t>
  </si>
  <si>
    <t>FB</t>
  </si>
  <si>
    <t>Allocation3</t>
  </si>
  <si>
    <t>PricingInput</t>
  </si>
  <si>
    <t>Rebalancer</t>
  </si>
  <si>
    <t>FetchAccountPositions</t>
  </si>
  <si>
    <t>Real-Time Positions</t>
  </si>
  <si>
    <t>AddCash</t>
  </si>
  <si>
    <t>Impact NAV</t>
  </si>
  <si>
    <t>Target Cash Negative</t>
  </si>
  <si>
    <t>RebalanceAcrossSecurities</t>
  </si>
  <si>
    <t>Check</t>
  </si>
  <si>
    <t>RunRebalance</t>
  </si>
  <si>
    <t>Nearest Round Off</t>
  </si>
  <si>
    <t>VerifyGridData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</si>
</sst>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sz val="14.0"/>
      <color rgb="FFFFFFFF"/>
      <name val="Calibri"/>
    </font>
    <font>
      <name val="Calibri"/>
    </font>
    <font>
      <name val="Arial"/>
    </font>
    <font>
      <b/>
      <color rgb="FFFFFFFF"/>
      <name val="Calibri"/>
    </font>
    <font>
      <b/>
      <color rgb="FFFFFFFF"/>
      <name val="Arial"/>
    </font>
    <font>
      <b/>
      <color rgb="FFFFFFFF"/>
    </font>
    <font>
      <color rgb="FFFFFFFF"/>
      <name val="Calibri"/>
    </font>
    <font>
      <color rgb="FFFFFFFF"/>
    </font>
    <font>
      <color rgb="FFD9D9D9"/>
      <name val="Calibri"/>
    </font>
    <font>
      <color rgb="FFD9D9D9"/>
    </font>
    <font>
      <sz val="11.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13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top/>
    </border>
    <border>
      <right style="thin">
        <color rgb="FFD9D9D9"/>
      </right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right style="thin">
        <color rgb="FFD9D9D9"/>
      </right>
      <top/>
    </border>
    <border>
      <right style="thin">
        <color rgb="FFD9D9D9"/>
      </right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bottom style="thin">
        <color rgb="FFD9D9D9"/>
      </bottom>
    </border>
    <border>
      <right/>
      <top/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0"/>
    </xf>
    <xf borderId="1" fillId="2" fontId="1" numFmtId="0" xfId="0" applyAlignment="1" applyBorder="1" applyFont="1">
      <alignment horizontal="center" shrinkToFit="0" wrapText="0"/>
    </xf>
    <xf borderId="2" fillId="0" fontId="2" numFmtId="0" xfId="0" applyBorder="1" applyFont="1"/>
    <xf borderId="1" fillId="2" fontId="3" numFmtId="0" xfId="0" applyAlignment="1" applyBorder="1" applyFont="1">
      <alignment horizontal="center" shrinkToFit="0" wrapText="0"/>
    </xf>
    <xf borderId="3" fillId="0" fontId="2" numFmtId="0" xfId="0" applyBorder="1" applyFont="1"/>
    <xf borderId="0" fillId="0" fontId="4" numFmtId="0" xfId="0" applyAlignment="1" applyFont="1">
      <alignment shrinkToFit="0" wrapText="0"/>
    </xf>
    <xf borderId="0" fillId="0" fontId="5" numFmtId="0" xfId="0" applyAlignment="1" applyFont="1">
      <alignment shrinkToFit="0" wrapText="0"/>
    </xf>
    <xf borderId="4" fillId="3" fontId="6" numFmtId="0" xfId="0" applyAlignment="1" applyBorder="1" applyFill="1" applyFont="1">
      <alignment shrinkToFit="0" wrapText="0"/>
    </xf>
    <xf borderId="0" fillId="0" fontId="4" numFmtId="0" xfId="0" applyAlignment="1" applyFont="1">
      <alignment readingOrder="0" shrinkToFit="0" wrapText="0"/>
    </xf>
    <xf borderId="4" fillId="3" fontId="5" numFmtId="0" xfId="0" applyAlignment="1" applyBorder="1" applyFont="1">
      <alignment readingOrder="0" shrinkToFit="0" wrapText="0"/>
    </xf>
    <xf borderId="4" fillId="3" fontId="5" numFmtId="0" xfId="0" applyAlignment="1" applyBorder="1" applyFont="1">
      <alignment shrinkToFit="0" wrapText="0"/>
    </xf>
    <xf borderId="4" fillId="3" fontId="6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0" fillId="0" fontId="8" numFmtId="0" xfId="0" applyFont="1"/>
    <xf borderId="4" fillId="3" fontId="9" numFmtId="0" xfId="0" applyAlignment="1" applyBorder="1" applyFont="1">
      <alignment shrinkToFit="0" wrapText="0"/>
    </xf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9" numFmtId="0" xfId="0" applyAlignment="1" applyFont="1">
      <alignment shrinkToFit="0" wrapText="0"/>
    </xf>
    <xf borderId="0" fillId="3" fontId="6" numFmtId="0" xfId="0" applyAlignment="1" applyFont="1">
      <alignment shrinkToFit="0" wrapText="0"/>
    </xf>
    <xf borderId="4" fillId="3" fontId="9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6" numFmtId="0" xfId="0" applyAlignment="1" applyFill="1" applyFont="1">
      <alignment shrinkToFit="0" wrapText="0"/>
    </xf>
    <xf borderId="4" fillId="5" fontId="6" numFmtId="0" xfId="0" applyAlignment="1" applyBorder="1" applyFont="1">
      <alignment shrinkToFit="0" wrapText="0"/>
    </xf>
    <xf borderId="4" fillId="5" fontId="6" numFmtId="0" xfId="0" applyAlignment="1" applyBorder="1" applyFont="1">
      <alignment readingOrder="0" shrinkToFit="0" wrapText="0"/>
    </xf>
    <xf borderId="0" fillId="5" fontId="10" numFmtId="0" xfId="0" applyFont="1"/>
    <xf borderId="5" fillId="0" fontId="4" numFmtId="14" xfId="0" applyAlignment="1" applyBorder="1" applyFont="1" applyNumberFormat="1">
      <alignment horizontal="right" vertical="bottom"/>
    </xf>
    <xf borderId="0" fillId="0" fontId="4" numFmtId="0" xfId="0" applyAlignment="1" applyFont="1">
      <alignment readingOrder="0" shrinkToFit="0" wrapText="0"/>
    </xf>
    <xf borderId="0" fillId="0" fontId="2" numFmtId="0" xfId="0" applyAlignment="1" applyFont="1">
      <alignment readingOrder="0"/>
    </xf>
    <xf borderId="5" fillId="0" fontId="4" numFmtId="0" xfId="0" applyAlignment="1" applyBorder="1" applyFont="1">
      <alignment vertical="bottom"/>
    </xf>
    <xf borderId="5" fillId="0" fontId="4" numFmtId="0" xfId="0" applyAlignment="1" applyBorder="1" applyFont="1">
      <alignment vertical="bottom"/>
    </xf>
    <xf borderId="5" fillId="0" fontId="4" numFmtId="0" xfId="0" applyAlignment="1" applyBorder="1" applyFont="1">
      <alignment horizontal="right" vertical="bottom"/>
    </xf>
    <xf borderId="6" fillId="0" fontId="5" numFmtId="0" xfId="0" applyAlignment="1" applyBorder="1" applyFont="1">
      <alignment vertical="bottom"/>
    </xf>
    <xf borderId="7" fillId="0" fontId="4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8" fillId="0" fontId="4" numFmtId="0" xfId="0" applyAlignment="1" applyBorder="1" applyFont="1">
      <alignment horizontal="right" vertical="bottom"/>
    </xf>
    <xf borderId="7" fillId="0" fontId="4" numFmtId="0" xfId="0" applyAlignment="1" applyBorder="1" applyFont="1">
      <alignment vertical="bottom"/>
    </xf>
    <xf borderId="5" fillId="0" fontId="4" numFmtId="0" xfId="0" applyAlignment="1" applyBorder="1" applyFont="1">
      <alignment horizontal="right" vertical="bottom"/>
    </xf>
    <xf borderId="6" fillId="0" fontId="5" numFmtId="0" xfId="0" applyAlignment="1" applyBorder="1" applyFont="1">
      <alignment vertical="bottom"/>
    </xf>
    <xf borderId="9" fillId="0" fontId="4" numFmtId="0" xfId="0" applyAlignment="1" applyBorder="1" applyFont="1">
      <alignment vertical="bottom"/>
    </xf>
    <xf borderId="0" fillId="0" fontId="5" numFmtId="0" xfId="0" applyAlignment="1" applyFont="1">
      <alignment vertical="bottom"/>
    </xf>
    <xf borderId="6" fillId="0" fontId="4" numFmtId="0" xfId="0" applyAlignment="1" applyBorder="1" applyFont="1">
      <alignment horizontal="right" readingOrder="0" vertical="bottom"/>
    </xf>
    <xf borderId="0" fillId="0" fontId="4" numFmtId="0" xfId="0" applyAlignment="1" applyFont="1">
      <alignment horizontal="right" vertical="bottom"/>
    </xf>
    <xf borderId="6" fillId="0" fontId="4" numFmtId="0" xfId="0" applyAlignment="1" applyBorder="1" applyFont="1">
      <alignment horizontal="right" vertical="bottom"/>
    </xf>
    <xf borderId="10" fillId="0" fontId="4" numFmtId="0" xfId="0" applyAlignment="1" applyBorder="1" applyFont="1">
      <alignment vertical="bottom"/>
    </xf>
    <xf borderId="11" fillId="0" fontId="4" numFmtId="0" xfId="0" applyAlignment="1" applyBorder="1" applyFont="1">
      <alignment vertical="bottom"/>
    </xf>
    <xf borderId="0" fillId="0" fontId="4" numFmtId="0" xfId="0" applyAlignment="1" applyFont="1">
      <alignment vertical="bottom"/>
    </xf>
    <xf borderId="12" fillId="0" fontId="4" numFmtId="0" xfId="0" applyAlignment="1" applyBorder="1" applyFont="1">
      <alignment shrinkToFit="0" vertical="bottom" wrapText="0"/>
    </xf>
    <xf borderId="0" fillId="0" fontId="13" numFmtId="0" xfId="0" applyAlignment="1" applyFont="1">
      <alignment vertical="bottom"/>
    </xf>
    <xf borderId="0" fillId="0" fontId="13" numFmtId="0" xfId="0" applyAlignment="1" applyFont="1">
      <alignment horizontal="right" vertical="bottom"/>
    </xf>
    <xf borderId="0" fillId="0" fontId="13" numFmtId="3" xfId="0" applyAlignment="1" applyFont="1" applyNumberFormat="1">
      <alignment horizontal="right" vertical="bottom"/>
    </xf>
    <xf borderId="0" fillId="0" fontId="13" numFmtId="0" xfId="0" applyAlignment="1" applyFont="1">
      <alignment vertical="bottom"/>
    </xf>
    <xf borderId="9" fillId="0" fontId="4" numFmtId="0" xfId="0" applyAlignment="1" applyBorder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8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9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6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2" t="s">
        <v>1</v>
      </c>
      <c r="B1" s="3"/>
      <c r="C1" s="3"/>
      <c r="D1" s="3"/>
      <c r="E1" s="3"/>
      <c r="F1" s="5"/>
    </row>
    <row r="2" ht="15.75" customHeight="1">
      <c r="A2" s="7"/>
      <c r="B2" s="7"/>
      <c r="C2" s="7"/>
      <c r="D2" s="7"/>
      <c r="E2" s="7"/>
      <c r="F2" s="7"/>
    </row>
    <row r="3" ht="15.75" customHeight="1">
      <c r="A3" s="8" t="s">
        <v>5</v>
      </c>
      <c r="B3" s="10"/>
      <c r="C3" s="11"/>
      <c r="D3" s="11"/>
      <c r="E3" s="11"/>
      <c r="F3" s="11"/>
    </row>
    <row r="4" ht="15.75" customHeight="1">
      <c r="A4" s="6" t="str">
        <f>IFERROR(__xludf.DUMMYFUNCTION("IMPORTRANGE('_Settings'!B3,""Modules!A4:L1000"")"),"Allocation")</f>
        <v>Allocation</v>
      </c>
      <c r="B4" s="7" t="str">
        <f>IFERROR(__xludf.DUMMYFUNCTION("""COMPUTED_VALUE"""),"Allocate")</f>
        <v>Allocate</v>
      </c>
      <c r="C4" s="7" t="str">
        <f>IFERROR(__xludf.DUMMYFUNCTION("""COMPUTED_VALUE"""),"1g8wLprruaWRC_5pQcovqkv8ZCiMt5fspCOACibdkz7g")</f>
        <v>1g8wLprruaWRC_5pQcovqkv8ZCiMt5fspCOACibdkz7g</v>
      </c>
      <c r="D4" s="7" t="str">
        <f>IFERROR(__xludf.DUMMYFUNCTION("""COMPUTED_VALUE"""),"")</f>
        <v/>
      </c>
      <c r="E4" s="7" t="str">
        <f>IFERROR(__xludf.DUMMYFUNCTION("""COMPUTED_VALUE"""),"")</f>
        <v/>
      </c>
      <c r="F4" s="7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 ht="15.75" customHeight="1">
      <c r="A5" s="6" t="str">
        <f>IFERROR(__xludf.DUMMYFUNCTION("""COMPUTED_VALUE"""),"Allocation")</f>
        <v>Allocation</v>
      </c>
      <c r="B5" s="7" t="str">
        <f>IFERROR(__xludf.DUMMYFUNCTION("""COMPUTED_VALUE"""),"CheckAllocatedGroups")</f>
        <v>CheckAllocatedGroups</v>
      </c>
      <c r="C5" s="7" t="str">
        <f>IFERROR(__xludf.DUMMYFUNCTION("""COMPUTED_VALUE"""),"1aecq-HMDoDkIInONjPC11z5TBFHyJhv4ro66e2ZOphg")</f>
        <v>1aecq-HMDoDkIInONjPC11z5TBFHyJhv4ro66e2ZOphg</v>
      </c>
      <c r="D5" s="7" t="str">
        <f>IFERROR(__xludf.DUMMYFUNCTION("""COMPUTED_VALUE"""),"")</f>
        <v/>
      </c>
      <c r="E5" s="7" t="str">
        <f>IFERROR(__xludf.DUMMYFUNCTION("""COMPUTED_VALUE"""),"")</f>
        <v/>
      </c>
      <c r="F5" s="7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 ht="15.75" customHeight="1">
      <c r="A6" s="7" t="str">
        <f>IFERROR(__xludf.DUMMYFUNCTION("""COMPUTED_VALUE"""),"Allocation")</f>
        <v>Allocation</v>
      </c>
      <c r="B6" s="7" t="str">
        <f>IFERROR(__xludf.DUMMYFUNCTION("""COMPUTED_VALUE"""),"Unallocate")</f>
        <v>Unallocate</v>
      </c>
      <c r="C6" s="7" t="str">
        <f>IFERROR(__xludf.DUMMYFUNCTION("""COMPUTED_VALUE"""),"1eDZq-_vllq4jwvwpk9qGnwQUhlb-sFvyFKPBriT2dA0")</f>
        <v>1eDZq-_vllq4jwvwpk9qGnwQUhlb-sFvyFKPBriT2dA0</v>
      </c>
      <c r="D6" s="7" t="str">
        <f>IFERROR(__xludf.DUMMYFUNCTION("""COMPUTED_VALUE"""),"")</f>
        <v/>
      </c>
      <c r="E6" s="7" t="str">
        <f>IFERROR(__xludf.DUMMYFUNCTION("""COMPUTED_VALUE"""),"")</f>
        <v/>
      </c>
      <c r="F6" s="7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 ht="15.75" customHeight="1">
      <c r="A7" s="7" t="str">
        <f>IFERROR(__xludf.DUMMYFUNCTION("""COMPUTED_VALUE"""),"Allocation")</f>
        <v>Allocation</v>
      </c>
      <c r="B7" s="7" t="str">
        <f>IFERROR(__xludf.DUMMYFUNCTION("""COMPUTED_VALUE"""),"GetDataAllocation")</f>
        <v>GetDataAllocation</v>
      </c>
      <c r="C7" s="7" t="str">
        <f>IFERROR(__xludf.DUMMYFUNCTION("""COMPUTED_VALUE"""),"1FBTO3wCB7odq-jpQMbYHgSrAL5-rFO2_kp9Kr2iXqXE")</f>
        <v>1FBTO3wCB7odq-jpQMbYHgSrAL5-rFO2_kp9Kr2iXqXE</v>
      </c>
      <c r="D7" s="7" t="str">
        <f>IFERROR(__xludf.DUMMYFUNCTION("""COMPUTED_VALUE"""),"")</f>
        <v/>
      </c>
      <c r="E7" s="7" t="str">
        <f>IFERROR(__xludf.DUMMYFUNCTION("""COMPUTED_VALUE"""),"")</f>
        <v/>
      </c>
      <c r="F7" s="7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 ht="15.75" customHeight="1">
      <c r="A8" s="7" t="str">
        <f>IFERROR(__xludf.DUMMYFUNCTION("""COMPUTED_VALUE"""),"Allocation")</f>
        <v>Allocation</v>
      </c>
      <c r="B8" s="7" t="str">
        <f>IFERROR(__xludf.DUMMYFUNCTION("""COMPUTED_VALUE"""),"SelectAllocatedGroup")</f>
        <v>SelectAllocatedGroup</v>
      </c>
      <c r="C8" s="7" t="str">
        <f>IFERROR(__xludf.DUMMYFUNCTION("""COMPUTED_VALUE"""),"1G0ZkXDrIDX_loGmAyLs_Shy8hExtTELtFXERbX-HdPo")</f>
        <v>1G0ZkXDrIDX_loGmAyLs_Shy8hExtTELtFXERbX-HdPo</v>
      </c>
      <c r="D8" s="7" t="str">
        <f>IFERROR(__xludf.DUMMYFUNCTION("""COMPUTED_VALUE"""),"")</f>
        <v/>
      </c>
      <c r="E8" s="7" t="str">
        <f>IFERROR(__xludf.DUMMYFUNCTION("""COMPUTED_VALUE"""),"")</f>
        <v/>
      </c>
      <c r="F8" s="7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 ht="15.75" customHeight="1">
      <c r="A9" s="7" t="str">
        <f>IFERROR(__xludf.DUMMYFUNCTION("""COMPUTED_VALUE"""),"Allocation")</f>
        <v>Allocation</v>
      </c>
      <c r="B9" s="7" t="str">
        <f>IFERROR(__xludf.DUMMYFUNCTION("""COMPUTED_VALUE"""),"EditTradesAllocated")</f>
        <v>EditTradesAllocated</v>
      </c>
      <c r="C9" s="7" t="str">
        <f>IFERROR(__xludf.DUMMYFUNCTION("""COMPUTED_VALUE"""),"1YgVZ1jEVgjUF1Dp8FAj_W_zLEZCyqvNMlWJIg0Tmkq4")</f>
        <v>1YgVZ1jEVgjUF1Dp8FAj_W_zLEZCyqvNMlWJIg0Tmkq4</v>
      </c>
      <c r="D9" s="7" t="str">
        <f>IFERROR(__xludf.DUMMYFUNCTION("""COMPUTED_VALUE"""),"")</f>
        <v/>
      </c>
      <c r="E9" s="7" t="str">
        <f>IFERROR(__xludf.DUMMYFUNCTION("""COMPUTED_VALUE"""),"")</f>
        <v/>
      </c>
      <c r="F9" s="7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 ht="15.75" customHeight="1">
      <c r="A10" s="7" t="str">
        <f>IFERROR(__xludf.DUMMYFUNCTION("""COMPUTED_VALUE"""),"Allocation")</f>
        <v>Allocation</v>
      </c>
      <c r="B10" s="7" t="str">
        <f>IFERROR(__xludf.DUMMYFUNCTION("""COMPUTED_VALUE"""),"EditTradesUnallocated")</f>
        <v>EditTradesUnallocated</v>
      </c>
      <c r="C10" s="7" t="str">
        <f>IFERROR(__xludf.DUMMYFUNCTION("""COMPUTED_VALUE"""),"1MyB61T39MDAUyQqCUJLATzUT2f5UlE8nFq4ltWy_DJ4")</f>
        <v>1MyB61T39MDAUyQqCUJLATzUT2f5UlE8nFq4ltWy_DJ4</v>
      </c>
      <c r="D10" s="7" t="str">
        <f>IFERROR(__xludf.DUMMYFUNCTION("""COMPUTED_VALUE"""),"")</f>
        <v/>
      </c>
      <c r="E10" s="7" t="str">
        <f>IFERROR(__xludf.DUMMYFUNCTION("""COMPUTED_VALUE"""),"")</f>
        <v/>
      </c>
      <c r="F10" s="7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 ht="15.75" customHeight="1">
      <c r="A11" s="7" t="str">
        <f>IFERROR(__xludf.DUMMYFUNCTION("""COMPUTED_VALUE"""),"Allocation")</f>
        <v>Allocation</v>
      </c>
      <c r="B11" s="7" t="str">
        <f>IFERROR(__xludf.DUMMYFUNCTION("""COMPUTED_VALUE"""),"Reallocate")</f>
        <v>Reallocate</v>
      </c>
      <c r="C11" s="7" t="str">
        <f>IFERROR(__xludf.DUMMYFUNCTION("""COMPUTED_VALUE"""),"undefined")</f>
        <v>undefined</v>
      </c>
      <c r="D11" s="7" t="str">
        <f>IFERROR(__xludf.DUMMYFUNCTION("""COMPUTED_VALUE"""),"")</f>
        <v/>
      </c>
      <c r="E11" s="7" t="str">
        <f>IFERROR(__xludf.DUMMYFUNCTION("""COMPUTED_VALUE"""),"")</f>
        <v/>
      </c>
      <c r="F11" s="7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 ht="15.75" customHeight="1">
      <c r="A12" s="7" t="str">
        <f>IFERROR(__xludf.DUMMYFUNCTION("""COMPUTED_VALUE"""),"Blotter")</f>
        <v>Blotter</v>
      </c>
      <c r="B12" s="7" t="str">
        <f>IFERROR(__xludf.DUMMYFUNCTION("""COMPUTED_VALUE"""),"ReplaceFillsOnBlotter")</f>
        <v>ReplaceFillsOnBlotter</v>
      </c>
      <c r="C12" s="7" t="str">
        <f>IFERROR(__xludf.DUMMYFUNCTION("""COMPUTED_VALUE"""),"undefined")</f>
        <v>undefined</v>
      </c>
      <c r="D12" s="7" t="str">
        <f>IFERROR(__xludf.DUMMYFUNCTION("""COMPUTED_VALUE"""),"")</f>
        <v/>
      </c>
      <c r="E12" s="7" t="str">
        <f>IFERROR(__xludf.DUMMYFUNCTION("""COMPUTED_VALUE"""),"")</f>
        <v/>
      </c>
      <c r="F12" s="7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 ht="15.75" customHeight="1">
      <c r="A13" s="7" t="str">
        <f>IFERROR(__xludf.DUMMYFUNCTION("""COMPUTED_VALUE"""),"Blotter")</f>
        <v>Blotter</v>
      </c>
      <c r="B13" s="7" t="str">
        <f>IFERROR(__xludf.DUMMYFUNCTION("""COMPUTED_VALUE"""),"CheckBlotter")</f>
        <v>CheckBlotter</v>
      </c>
      <c r="C13" s="7" t="str">
        <f>IFERROR(__xludf.DUMMYFUNCTION("""COMPUTED_VALUE"""),"16qheLbvgC92hKxalWDlpWfHBMyDDVqHERUCc7bQiO2A")</f>
        <v>16qheLbvgC92hKxalWDlpWfHBMyDDVqHERUCc7bQiO2A</v>
      </c>
      <c r="D13" s="7" t="str">
        <f>IFERROR(__xludf.DUMMYFUNCTION("""COMPUTED_VALUE"""),"")</f>
        <v/>
      </c>
      <c r="E13" s="7" t="str">
        <f>IFERROR(__xludf.DUMMYFUNCTION("""COMPUTED_VALUE"""),"")</f>
        <v/>
      </c>
      <c r="F13" s="7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 ht="15.75" customHeight="1">
      <c r="A14" s="7" t="str">
        <f>IFERROR(__xludf.DUMMYFUNCTION("""COMPUTED_VALUE"""),"GeneralLedger")</f>
        <v>GeneralLedger</v>
      </c>
      <c r="B14" s="7" t="str">
        <f>IFERROR(__xludf.DUMMYFUNCTION("""COMPUTED_VALUE"""),"GetDataCash")</f>
        <v>GetDataCash</v>
      </c>
      <c r="C14" s="7" t="str">
        <f>IFERROR(__xludf.DUMMYFUNCTION("""COMPUTED_VALUE"""),"1zLd3ju-mV8f6PZiQUYLU-cAgAUwLwyoIAKuu0WgG2zI")</f>
        <v>1zLd3ju-mV8f6PZiQUYLU-cAgAUwLwyoIAKuu0WgG2zI</v>
      </c>
      <c r="D14" s="7" t="str">
        <f>IFERROR(__xludf.DUMMYFUNCTION("""COMPUTED_VALUE"""),"")</f>
        <v/>
      </c>
      <c r="E14" s="7" t="str">
        <f>IFERROR(__xludf.DUMMYFUNCTION("""COMPUTED_VALUE"""),"")</f>
        <v/>
      </c>
      <c r="F14" s="7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 ht="15.75" customHeight="1">
      <c r="A15" s="7" t="str">
        <f>IFERROR(__xludf.DUMMYFUNCTION("""COMPUTED_VALUE"""),"GeneralLedger")</f>
        <v>GeneralLedger</v>
      </c>
      <c r="B15" s="7" t="str">
        <f>IFERROR(__xludf.DUMMYFUNCTION("""COMPUTED_VALUE"""),"EnterCashDividends")</f>
        <v>EnterCashDividends</v>
      </c>
      <c r="C15" s="7" t="str">
        <f>IFERROR(__xludf.DUMMYFUNCTION("""COMPUTED_VALUE"""),"1sjDsI5FIL_l_G6osMJQ7e8auBgYd3R3JDaKWKV_8Og0")</f>
        <v>1sjDsI5FIL_l_G6osMJQ7e8auBgYd3R3JDaKWKV_8Og0</v>
      </c>
      <c r="D15" s="7" t="str">
        <f>IFERROR(__xludf.DUMMYFUNCTION("""COMPUTED_VALUE"""),"")</f>
        <v/>
      </c>
      <c r="E15" s="7" t="str">
        <f>IFERROR(__xludf.DUMMYFUNCTION("""COMPUTED_VALUE"""),"")</f>
        <v/>
      </c>
      <c r="F15" s="7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 ht="15.75" customHeight="1">
      <c r="A16" s="7" t="str">
        <f>IFERROR(__xludf.DUMMYFUNCTION("""COMPUTED_VALUE"""),"GeneralLedger")</f>
        <v>GeneralLedger</v>
      </c>
      <c r="B16" s="7" t="str">
        <f>IFERROR(__xludf.DUMMYFUNCTION("""COMPUTED_VALUE"""),"EnterNonTradingTransaction")</f>
        <v>EnterNonTradingTransaction</v>
      </c>
      <c r="C16" s="7" t="str">
        <f>IFERROR(__xludf.DUMMYFUNCTION("""COMPUTED_VALUE"""),"1xn1P_Z-3N4d2BC1SUPly2HiVZazly5ZQcS18BfaTyho")</f>
        <v>1xn1P_Z-3N4d2BC1SUPly2HiVZazly5ZQcS18BfaTyho</v>
      </c>
      <c r="D16" s="7" t="str">
        <f>IFERROR(__xludf.DUMMYFUNCTION("""COMPUTED_VALUE"""),"")</f>
        <v/>
      </c>
      <c r="E16" s="7" t="str">
        <f>IFERROR(__xludf.DUMMYFUNCTION("""COMPUTED_VALUE"""),"")</f>
        <v/>
      </c>
      <c r="F16" s="7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 ht="15.75" customHeight="1">
      <c r="A17" s="7" t="str">
        <f>IFERROR(__xludf.DUMMYFUNCTION("""COMPUTED_VALUE"""),"GeneralLedger")</f>
        <v>GeneralLedger</v>
      </c>
      <c r="B17" s="7" t="str">
        <f>IFERROR(__xludf.DUMMYFUNCTION("""COMPUTED_VALUE"""),"VerifyCash")</f>
        <v>VerifyCash</v>
      </c>
      <c r="C17" s="7" t="str">
        <f>IFERROR(__xludf.DUMMYFUNCTION("""COMPUTED_VALUE"""),"1vlvYPsiFAWjsnFrbkGn_fAvkwF00V3e7htalalU6QN4")</f>
        <v>1vlvYPsiFAWjsnFrbkGn_fAvkwF00V3e7htalalU6QN4</v>
      </c>
      <c r="D17" s="7" t="str">
        <f>IFERROR(__xludf.DUMMYFUNCTION("""COMPUTED_VALUE"""),"")</f>
        <v/>
      </c>
      <c r="E17" s="7" t="str">
        <f>IFERROR(__xludf.DUMMYFUNCTION("""COMPUTED_VALUE"""),"")</f>
        <v/>
      </c>
      <c r="F17" s="7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 ht="15.75" customHeight="1">
      <c r="A18" s="7" t="str">
        <f>IFERROR(__xludf.DUMMYFUNCTION("""COMPUTED_VALUE"""),"GeneralLedger")</f>
        <v>GeneralLedger</v>
      </c>
      <c r="B18" s="7" t="str">
        <f>IFERROR(__xludf.DUMMYFUNCTION("""COMPUTED_VALUE"""),"VerifyActivity")</f>
        <v>VerifyActivity</v>
      </c>
      <c r="C18" s="7" t="str">
        <f>IFERROR(__xludf.DUMMYFUNCTION("""COMPUTED_VALUE"""),"1o2rCg2FuoAOT5Pl8i4iFP_TwpPm0UB1dd49GbpkytfM")</f>
        <v>1o2rCg2FuoAOT5Pl8i4iFP_TwpPm0UB1dd49GbpkytfM</v>
      </c>
      <c r="D18" s="7" t="str">
        <f>IFERROR(__xludf.DUMMYFUNCTION("""COMPUTED_VALUE"""),"")</f>
        <v/>
      </c>
      <c r="E18" s="7" t="str">
        <f>IFERROR(__xludf.DUMMYFUNCTION("""COMPUTED_VALUE"""),"")</f>
        <v/>
      </c>
      <c r="F18" s="7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 ht="15.75" customHeight="1">
      <c r="A19" s="7" t="str">
        <f>IFERROR(__xludf.DUMMYFUNCTION("""COMPUTED_VALUE"""),"GeneralLedger")</f>
        <v>GeneralLedger</v>
      </c>
      <c r="B19" s="7" t="str">
        <f>IFERROR(__xludf.DUMMYFUNCTION("""COMPUTED_VALUE"""),"VerifyTradingTransaction")</f>
        <v>VerifyTradingTransaction</v>
      </c>
      <c r="C19" s="7" t="str">
        <f>IFERROR(__xludf.DUMMYFUNCTION("""COMPUTED_VALUE"""),"1_v2niCJ9VGNvgEBpvz030BFqEISSUhYRHyWcAJAn_Eg")</f>
        <v>1_v2niCJ9VGNvgEBpvz030BFqEISSUhYRHyWcAJAn_Eg</v>
      </c>
      <c r="D19" s="7" t="str">
        <f>IFERROR(__xludf.DUMMYFUNCTION("""COMPUTED_VALUE"""),"")</f>
        <v/>
      </c>
      <c r="E19" s="7" t="str">
        <f>IFERROR(__xludf.DUMMYFUNCTION("""COMPUTED_VALUE"""),"")</f>
        <v/>
      </c>
      <c r="F19" s="7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 ht="15.75" customHeight="1">
      <c r="A20" s="7" t="str">
        <f>IFERROR(__xludf.DUMMYFUNCTION("""COMPUTED_VALUE"""),"GeneralLedger")</f>
        <v>GeneralLedger</v>
      </c>
      <c r="B20" s="7" t="str">
        <f>IFERROR(__xludf.DUMMYFUNCTION("""COMPUTED_VALUE"""),"VerifyRevaluationData")</f>
        <v>VerifyRevaluationData</v>
      </c>
      <c r="C20" s="7" t="str">
        <f>IFERROR(__xludf.DUMMYFUNCTION("""COMPUTED_VALUE"""),"1hsRs1-LY0akTrMe91ArnbLtk6GUy_bKxVwMYCaiMs-8")</f>
        <v>1hsRs1-LY0akTrMe91ArnbLtk6GUy_bKxVwMYCaiMs-8</v>
      </c>
      <c r="D20" s="7" t="str">
        <f>IFERROR(__xludf.DUMMYFUNCTION("""COMPUTED_VALUE"""),"")</f>
        <v/>
      </c>
      <c r="E20" s="7" t="str">
        <f>IFERROR(__xludf.DUMMYFUNCTION("""COMPUTED_VALUE"""),"")</f>
        <v/>
      </c>
      <c r="F20" s="7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 ht="15.75" customHeight="1">
      <c r="A21" s="7" t="str">
        <f>IFERROR(__xludf.DUMMYFUNCTION("""COMPUTED_VALUE"""),"CorporateAction")</f>
        <v>CorporateAction</v>
      </c>
      <c r="B21" s="7" t="str">
        <f>IFERROR(__xludf.DUMMYFUNCTION("""COMPUTED_VALUE"""),"CorporateAction")</f>
        <v>CorporateAction</v>
      </c>
      <c r="C21" s="7" t="str">
        <f>IFERROR(__xludf.DUMMYFUNCTION("""COMPUTED_VALUE"""),"14rwUHTx4auE_hf60WN-tNOx3atNg7QGvErWNwVQIRqE")</f>
        <v>14rwUHTx4auE_hf60WN-tNOx3atNg7QGvErWNwVQIRqE</v>
      </c>
      <c r="D21" s="7" t="str">
        <f>IFERROR(__xludf.DUMMYFUNCTION("""COMPUTED_VALUE"""),"")</f>
        <v/>
      </c>
      <c r="E21" s="7" t="str">
        <f>IFERROR(__xludf.DUMMYFUNCTION("""COMPUTED_VALUE"""),"")</f>
        <v/>
      </c>
      <c r="F21" s="7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 ht="15.75" customHeight="1">
      <c r="A22" s="7" t="str">
        <f>IFERROR(__xludf.DUMMYFUNCTION("""COMPUTED_VALUE"""),"CreateTransaction")</f>
        <v>CreateTransaction</v>
      </c>
      <c r="B22" s="7" t="str">
        <f>IFERROR(__xludf.DUMMYFUNCTION("""COMPUTED_VALUE"""),"CreateTransaction")</f>
        <v>CreateTransaction</v>
      </c>
      <c r="C22" s="7" t="str">
        <f>IFERROR(__xludf.DUMMYFUNCTION("""COMPUTED_VALUE"""),"1amshi8Ns36lsDpccBK0y_9bL_pQ2rHdGNYypcgzceUg")</f>
        <v>1amshi8Ns36lsDpccBK0y_9bL_pQ2rHdGNYypcgzceUg</v>
      </c>
      <c r="D22" s="7" t="str">
        <f>IFERROR(__xludf.DUMMYFUNCTION("""COMPUTED_VALUE"""),"")</f>
        <v/>
      </c>
      <c r="E22" s="7" t="str">
        <f>IFERROR(__xludf.DUMMYFUNCTION("""COMPUTED_VALUE"""),"")</f>
        <v/>
      </c>
      <c r="F22" s="7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 ht="15.75" customHeight="1">
      <c r="A23" s="7" t="str">
        <f>IFERROR(__xludf.DUMMYFUNCTION("""COMPUTED_VALUE"""),"DailyValuation")</f>
        <v>DailyValuation</v>
      </c>
      <c r="B23" s="7" t="str">
        <f>IFERROR(__xludf.DUMMYFUNCTION("""COMPUTED_VALUE"""),"UpdateBeta")</f>
        <v>UpdateBeta</v>
      </c>
      <c r="C23" s="7" t="str">
        <f>IFERROR(__xludf.DUMMYFUNCTION("""COMPUTED_VALUE"""),"1YKttwHsdIskNDoo0Sl7HF2DWikROW-KA05qfT3GLIyI")</f>
        <v>1YKttwHsdIskNDoo0Sl7HF2DWikROW-KA05qfT3GLIyI</v>
      </c>
      <c r="D23" s="7" t="str">
        <f>IFERROR(__xludf.DUMMYFUNCTION("""COMPUTED_VALUE"""),"")</f>
        <v/>
      </c>
      <c r="E23" s="7" t="str">
        <f>IFERROR(__xludf.DUMMYFUNCTION("""COMPUTED_VALUE"""),"")</f>
        <v/>
      </c>
      <c r="F23" s="7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 ht="15.75" customHeight="1">
      <c r="A24" s="7" t="str">
        <f>IFERROR(__xludf.DUMMYFUNCTION("""COMPUTED_VALUE"""),"DailyValuation")</f>
        <v>DailyValuation</v>
      </c>
      <c r="B24" s="7" t="str">
        <f>IFERROR(__xludf.DUMMYFUNCTION("""COMPUTED_VALUE"""),"UpdateDailyCash")</f>
        <v>UpdateDailyCash</v>
      </c>
      <c r="C24" s="7" t="str">
        <f>IFERROR(__xludf.DUMMYFUNCTION("""COMPUTED_VALUE"""),"1YJ2rTp-OqQTGjubvs_cBC6fl0l94pyHI2eaLJzbddS4")</f>
        <v>1YJ2rTp-OqQTGjubvs_cBC6fl0l94pyHI2eaLJzbddS4</v>
      </c>
      <c r="D24" s="7" t="str">
        <f>IFERROR(__xludf.DUMMYFUNCTION("""COMPUTED_VALUE"""),"")</f>
        <v/>
      </c>
      <c r="E24" s="7" t="str">
        <f>IFERROR(__xludf.DUMMYFUNCTION("""COMPUTED_VALUE"""),"")</f>
        <v/>
      </c>
      <c r="F24" s="7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 ht="15.75" customHeight="1">
      <c r="A25" s="7" t="str">
        <f>IFERROR(__xludf.DUMMYFUNCTION("""COMPUTED_VALUE"""),"DailyValuation")</f>
        <v>DailyValuation</v>
      </c>
      <c r="B25" s="7" t="str">
        <f>IFERROR(__xludf.DUMMYFUNCTION("""COMPUTED_VALUE"""),"UpdateForexConversion")</f>
        <v>UpdateForexConversion</v>
      </c>
      <c r="C25" s="7" t="str">
        <f>IFERROR(__xludf.DUMMYFUNCTION("""COMPUTED_VALUE"""),"1mLyEfNTVFd65cnE6GfgCRD6TdpKg1BgqNIDjHCFzyO4")</f>
        <v>1mLyEfNTVFd65cnE6GfgCRD6TdpKg1BgqNIDjHCFzyO4</v>
      </c>
      <c r="D25" s="7" t="str">
        <f>IFERROR(__xludf.DUMMYFUNCTION("""COMPUTED_VALUE"""),"")</f>
        <v/>
      </c>
      <c r="E25" s="7" t="str">
        <f>IFERROR(__xludf.DUMMYFUNCTION("""COMPUTED_VALUE"""),"")</f>
        <v/>
      </c>
      <c r="F25" s="7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 ht="15.75" customHeight="1">
      <c r="A26" s="7" t="str">
        <f>IFERROR(__xludf.DUMMYFUNCTION("""COMPUTED_VALUE"""),"DailyValuation")</f>
        <v>DailyValuation</v>
      </c>
      <c r="B26" s="7" t="str">
        <f>IFERROR(__xludf.DUMMYFUNCTION("""COMPUTED_VALUE"""),"UpdateMarkPrice")</f>
        <v>UpdateMarkPrice</v>
      </c>
      <c r="C26" s="7" t="str">
        <f>IFERROR(__xludf.DUMMYFUNCTION("""COMPUTED_VALUE"""),"1M8d9TyOhMnA65NSIYvS6dR68SH5RL6oKahd6uz7yp6c")</f>
        <v>1M8d9TyOhMnA65NSIYvS6dR68SH5RL6oKahd6uz7yp6c</v>
      </c>
      <c r="D26" s="7" t="str">
        <f>IFERROR(__xludf.DUMMYFUNCTION("""COMPUTED_VALUE"""),"")</f>
        <v/>
      </c>
      <c r="E26" s="7" t="str">
        <f>IFERROR(__xludf.DUMMYFUNCTION("""COMPUTED_VALUE"""),"")</f>
        <v/>
      </c>
      <c r="F26" s="7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 ht="15.75" customHeight="1">
      <c r="A27" s="7" t="str">
        <f>IFERROR(__xludf.DUMMYFUNCTION("""COMPUTED_VALUE"""),"Import")</f>
        <v>Import</v>
      </c>
      <c r="B27" s="7" t="str">
        <f>IFERROR(__xludf.DUMMYFUNCTION("""COMPUTED_VALUE"""),"Import")</f>
        <v>Import</v>
      </c>
      <c r="C27" s="7" t="str">
        <f>IFERROR(__xludf.DUMMYFUNCTION("""COMPUTED_VALUE"""),"1Q5uOVYo1NMRks6hQRJuV8XWMPb6VFEAbSzpgP1dot1I")</f>
        <v>1Q5uOVYo1NMRks6hQRJuV8XWMPb6VFEAbSzpgP1dot1I</v>
      </c>
      <c r="D27" s="7" t="str">
        <f>IFERROR(__xludf.DUMMYFUNCTION("""COMPUTED_VALUE"""),"")</f>
        <v/>
      </c>
      <c r="E27" s="7" t="str">
        <f>IFERROR(__xludf.DUMMYFUNCTION("""COMPUTED_VALUE"""),"")</f>
        <v/>
      </c>
      <c r="F27" s="7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 ht="15.75" customHeight="1">
      <c r="A28" s="7" t="str">
        <f>IFERROR(__xludf.DUMMYFUNCTION("""COMPUTED_VALUE"""),"PortfolioManagement")</f>
        <v>PortfolioManagement</v>
      </c>
      <c r="B28" s="7" t="str">
        <f>IFERROR(__xludf.DUMMYFUNCTION("""COMPUTED_VALUE"""),"CheckDashboardPM")</f>
        <v>CheckDashboardPM</v>
      </c>
      <c r="C28" s="7" t="str">
        <f>IFERROR(__xludf.DUMMYFUNCTION("""COMPUTED_VALUE"""),"1iqfUyYqyebXIeNBGljH7-T8whBcywTlkBBU3dBZV06s")</f>
        <v>1iqfUyYqyebXIeNBGljH7-T8whBcywTlkBBU3dBZV06s</v>
      </c>
      <c r="D28" s="7" t="str">
        <f>IFERROR(__xludf.DUMMYFUNCTION("""COMPUTED_VALUE"""),"")</f>
        <v/>
      </c>
      <c r="E28" s="7" t="str">
        <f>IFERROR(__xludf.DUMMYFUNCTION("""COMPUTED_VALUE"""),"")</f>
        <v/>
      </c>
      <c r="F28" s="7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 ht="15.75" customHeight="1">
      <c r="A29" s="7" t="str">
        <f>IFERROR(__xludf.DUMMYFUNCTION("""COMPUTED_VALUE"""),"PortfolioManagement")</f>
        <v>PortfolioManagement</v>
      </c>
      <c r="B29" s="7" t="str">
        <f>IFERROR(__xludf.DUMMYFUNCTION("""COMPUTED_VALUE"""),"CheckPortfolioManagement")</f>
        <v>CheckPortfolioManagement</v>
      </c>
      <c r="C29" s="7" t="str">
        <f>IFERROR(__xludf.DUMMYFUNCTION("""COMPUTED_VALUE"""),"1u0XMlZJy_Slp7uXMwirinW7StOOdTcWD-D8V07sO0VA")</f>
        <v>1u0XMlZJy_Slp7uXMwirinW7StOOdTcWD-D8V07sO0VA</v>
      </c>
      <c r="D29" s="7" t="str">
        <f>IFERROR(__xludf.DUMMYFUNCTION("""COMPUTED_VALUE"""),"")</f>
        <v/>
      </c>
      <c r="E29" s="7" t="str">
        <f>IFERROR(__xludf.DUMMYFUNCTION("""COMPUTED_VALUE"""),"")</f>
        <v/>
      </c>
      <c r="F29" s="7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 ht="15.75" customHeight="1">
      <c r="A30" s="7" t="str">
        <f>IFERROR(__xludf.DUMMYFUNCTION("""COMPUTED_VALUE"""),"PricingInput")</f>
        <v>PricingInput</v>
      </c>
      <c r="B30" s="7" t="str">
        <f>IFERROR(__xludf.DUMMYFUNCTION("""COMPUTED_VALUE"""),"PricingInput")</f>
        <v>PricingInput</v>
      </c>
      <c r="C30" s="7" t="str">
        <f>IFERROR(__xludf.DUMMYFUNCTION("""COMPUTED_VALUE"""),"1mh3Z5PifhJ3yzX8TPeoc3H3nteNiA0V2tWFse0rVChE")</f>
        <v>1mh3Z5PifhJ3yzX8TPeoc3H3nteNiA0V2tWFse0rVChE</v>
      </c>
      <c r="D30" s="7" t="str">
        <f>IFERROR(__xludf.DUMMYFUNCTION("""COMPUTED_VALUE"""),"")</f>
        <v/>
      </c>
      <c r="E30" s="7" t="str">
        <f>IFERROR(__xludf.DUMMYFUNCTION("""COMPUTED_VALUE"""),"")</f>
        <v/>
      </c>
      <c r="F30" s="7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 ht="15.75" customHeight="1">
      <c r="A31" s="7" t="str">
        <f>IFERROR(__xludf.DUMMYFUNCTION("""COMPUTED_VALUE"""),"PricingInput")</f>
        <v>PricingInput</v>
      </c>
      <c r="B31" s="7" t="str">
        <f>IFERROR(__xludf.DUMMYFUNCTION("""COMPUTED_VALUE"""),"UpdateSharesOutstanding")</f>
        <v>UpdateSharesOutstanding</v>
      </c>
      <c r="C31" s="7" t="str">
        <f>IFERROR(__xludf.DUMMYFUNCTION("""COMPUTED_VALUE"""),"1vmZ6v1OyZ8SSi8bqqjK3ap3KtM_yPA_SEcIQgYiRInY")</f>
        <v>1vmZ6v1OyZ8SSi8bqqjK3ap3KtM_yPA_SEcIQgYiRInY</v>
      </c>
      <c r="D31" s="7" t="str">
        <f>IFERROR(__xludf.DUMMYFUNCTION("""COMPUTED_VALUE"""),"")</f>
        <v/>
      </c>
      <c r="E31" s="7" t="str">
        <f>IFERROR(__xludf.DUMMYFUNCTION("""COMPUTED_VALUE"""),"")</f>
        <v/>
      </c>
      <c r="F31" s="7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 ht="15.75" customHeight="1">
      <c r="A32" s="7" t="str">
        <f>IFERROR(__xludf.DUMMYFUNCTION("""COMPUTED_VALUE"""),"SymbolLookup")</f>
        <v>SymbolLookup</v>
      </c>
      <c r="B32" s="7" t="str">
        <f>IFERROR(__xludf.DUMMYFUNCTION("""COMPUTED_VALUE"""),"VerifySymbolLookUp")</f>
        <v>VerifySymbolLookUp</v>
      </c>
      <c r="C32" s="7" t="str">
        <f>IFERROR(__xludf.DUMMYFUNCTION("""COMPUTED_VALUE"""),"1OiI1Pi_JAFOFi8ByMaD3_qqEXSv6yQMo_u6aGTozbl8")</f>
        <v>1OiI1Pi_JAFOFi8ByMaD3_qqEXSv6yQMo_u6aGTozbl8</v>
      </c>
      <c r="D32" s="7" t="str">
        <f>IFERROR(__xludf.DUMMYFUNCTION("""COMPUTED_VALUE"""),"")</f>
        <v/>
      </c>
      <c r="E32" s="7" t="str">
        <f>IFERROR(__xludf.DUMMYFUNCTION("""COMPUTED_VALUE"""),"")</f>
        <v/>
      </c>
      <c r="F32" s="7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 ht="15.75" customHeight="1">
      <c r="A33" s="7" t="str">
        <f>IFERROR(__xludf.DUMMYFUNCTION("""COMPUTED_VALUE"""),"SymbolLookup")</f>
        <v>SymbolLookup</v>
      </c>
      <c r="B33" s="7" t="str">
        <f>IFERROR(__xludf.DUMMYFUNCTION("""COMPUTED_VALUE"""),"SymbolLookupFromTT")</f>
        <v>SymbolLookupFromTT</v>
      </c>
      <c r="C33" s="7" t="str">
        <f>IFERROR(__xludf.DUMMYFUNCTION("""COMPUTED_VALUE"""),"1ubfvE9sHq5KpJ9NazeH96CrVMJqAuol5Ya9GPjxWrgI")</f>
        <v>1ubfvE9sHq5KpJ9NazeH96CrVMJqAuol5Ya9GPjxWrgI</v>
      </c>
      <c r="D33" s="7" t="str">
        <f>IFERROR(__xludf.DUMMYFUNCTION("""COMPUTED_VALUE"""),"")</f>
        <v/>
      </c>
      <c r="E33" s="7" t="str">
        <f>IFERROR(__xludf.DUMMYFUNCTION("""COMPUTED_VALUE"""),"")</f>
        <v/>
      </c>
      <c r="F33" s="7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 ht="15.75" customHeight="1">
      <c r="A118" s="31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IFERROR(__xludf.DUMMYFUNCTION("""COMPUTED_VALUE"""),"1y3edACvUtHcrCyn7bfzWXET_VAfASVChWeHuDnd6534")</f>
        <v>1y3edACvUtHcrCyn7bfzWXET_VAfASVChWeHuDnd6534</v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IFERROR(__xludf.DUMMYFUNCTION("""COMPUTED_VALUE"""),"OpenCreateTransactionFromPM")</f>
        <v>OpenCreateTransactionFromPM</v>
      </c>
      <c r="C317" t="str">
        <f>IFERROR(__xludf.DUMMYFUNCTION("""COMPUTED_VALUE"""),"undefined")</f>
        <v>undefined</v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IFERROR(__xludf.DUMMYFUNCTION("""COMPUTED_VALUE"""),"OpenClosingFromPM")</f>
        <v>OpenClosingFromPM</v>
      </c>
      <c r="C318" t="str">
        <f>IFERROR(__xludf.DUMMYFUNCTION("""COMPUTED_VALUE"""),"undefined")</f>
        <v>undefined</v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IFERROR(__xludf.DUMMYFUNCTION("""COMPUTED_VALUE"""),"OpenCorporateActionFromPM")</f>
        <v>OpenCorporateActionFromPM</v>
      </c>
      <c r="C319" t="str">
        <f>IFERROR(__xludf.DUMMYFUNCTION("""COMPUTED_VALUE"""),"undefined")</f>
        <v>undefined</v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IFERROR(__xludf.DUMMYFUNCTION("""COMPUTED_VALUE"""),"OpenDailyValuationFromPM")</f>
        <v>OpenDailyValuationFromPM</v>
      </c>
      <c r="C320" t="str">
        <f>IFERROR(__xludf.DUMMYFUNCTION("""COMPUTED_VALUE"""),"undefined")</f>
        <v>undefined</v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IFERROR(__xludf.DUMMYFUNCTION("""COMPUTED_VALUE"""),"ClosePositionFromPM")</f>
        <v>ClosePositionFromPM</v>
      </c>
      <c r="C321" t="str">
        <f>IFERROR(__xludf.DUMMYFUNCTION("""COMPUTED_VALUE"""),"1-P8y2jWa8-TgjIAgysm8LiFOFNCawLK6ehtNf8n3g0o")</f>
        <v>1-P8y2jWa8-TgjIAgysm8LiFOFNCawLK6ehtNf8n3g0o</v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IFERROR(__xludf.DUMMYFUNCTION("""COMPUTED_VALUE"""),"ShowSummaryToolFromPM")</f>
        <v>ShowSummaryToolFromPM</v>
      </c>
      <c r="C322" t="str">
        <f>IFERROR(__xludf.DUMMYFUNCTION("""COMPUTED_VALUE"""),"undefined")</f>
        <v>undefined</v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IFERROR(__xludf.DUMMYFUNCTION("""COMPUTED_VALUE"""),"HideSummaryToolFromPM")</f>
        <v>HideSummaryToolFromPM</v>
      </c>
      <c r="C323" t="str">
        <f>IFERROR(__xludf.DUMMYFUNCTION("""COMPUTED_VALUE"""),"undefined")</f>
        <v>undefined</v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IFERROR(__xludf.DUMMYFUNCTION("""COMPUTED_VALUE"""),"CloseAccountPositionFromPM")</f>
        <v>CloseAccountPositionFromPM</v>
      </c>
      <c r="C324" t="str">
        <f>IFERROR(__xludf.DUMMYFUNCTION("""COMPUTED_VALUE"""),"1r4mdKH6xHBGXly0xX_3kfVZnbgFRt6h09CKzb6B2j30")</f>
        <v>1r4mdKH6xHBGXly0xX_3kfVZnbgFRt6h09CKzb6B2j30</v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IFERROR(__xludf.DUMMYFUNCTION("""COMPUTED_VALUE"""),"CloseSelectedTaxlotsFromPM")</f>
        <v>CloseSelectedTaxlotsFromPM</v>
      </c>
      <c r="C325" t="str">
        <f>IFERROR(__xludf.DUMMYFUNCTION("""COMPUTED_VALUE"""),"1bepmvkmXtLL4UpGLcjeYXrovfZi8iUwi1A3os0v1Uj0")</f>
        <v>1bepmvkmXtLL4UpGLcjeYXrovfZi8iUwi1A3os0v1Uj0</v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IFERROR(__xludf.DUMMYFUNCTION("""COMPUTED_VALUE"""),"ExpandCollapsePM")</f>
        <v>ExpandCollapsePM</v>
      </c>
      <c r="C326" t="str">
        <f>IFERROR(__xludf.DUMMYFUNCTION("""COMPUTED_VALUE"""),"undefined")</f>
        <v>undefined</v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IFERROR(__xludf.DUMMYFUNCTION("""COMPUTED_VALUE"""),"AddCustomViewPM")</f>
        <v>AddCustomViewPM</v>
      </c>
      <c r="C327" t="str">
        <f>IFERROR(__xludf.DUMMYFUNCTION("""COMPUTED_VALUE"""),"1NbdvoXzq9bLTUkCX2_gVxCtjCR2kBldnGGw-z1Eim8I")</f>
        <v>1NbdvoXzq9bLTUkCX2_gVxCtjCR2kBldnGGw-z1Eim8I</v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IFERROR(__xludf.DUMMYFUNCTION("""COMPUTED_VALUE"""),"AddCustomViewRightClickPM")</f>
        <v>AddCustomViewRightClickPM</v>
      </c>
      <c r="C328" t="str">
        <f>IFERROR(__xludf.DUMMYFUNCTION("""COMPUTED_VALUE"""),"1Q7iif6wWXqCIfSrgSBzoU30gZbMUkNAMhcF68qLMvps")</f>
        <v>1Q7iif6wWXqCIfSrgSBzoU30gZbMUkNAMhcF68qLMvps</v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IFERROR(__xludf.DUMMYFUNCTION("""COMPUTED_VALUE"""),"RenameCustomViewPM")</f>
        <v>RenameCustomViewPM</v>
      </c>
      <c r="C329" t="str">
        <f>IFERROR(__xludf.DUMMYFUNCTION("""COMPUTED_VALUE"""),"11-lGY3oTzf5kpgkJM4lHHX32AUcd6BpZ2CU2UsLPpAE")</f>
        <v>11-lGY3oTzf5kpgkJM4lHHX32AUcd6BpZ2CU2UsLPpAE</v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IFERROR(__xludf.DUMMYFUNCTION("""COMPUTED_VALUE"""),"DeleteCustomViewPM")</f>
        <v>DeleteCustomViewPM</v>
      </c>
      <c r="C330" t="str">
        <f>IFERROR(__xludf.DUMMYFUNCTION("""COMPUTED_VALUE"""),"1X-gnstY40ismguHxChNKmthJ1G80Q49D37OBmzHA5BM")</f>
        <v>1X-gnstY40ismguHxChNKmthJ1G80Q49D37OBmzHA5BM</v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 ht="15.75" customHeight="1">
      <c r="A331" t="str">
        <f>IFERROR(__xludf.DUMMYFUNCTION("""COMPUTED_VALUE"""),"Closing")</f>
        <v>Closing</v>
      </c>
      <c r="B331" t="str">
        <f>IFERROR(__xludf.DUMMYFUNCTION("""COMPUTED_VALUE"""),"SetClosingPreference")</f>
        <v>SetClosingPreference</v>
      </c>
      <c r="C331" t="str">
        <f>IFERROR(__xludf.DUMMYFUNCTION("""COMPUTED_VALUE"""),"1SBWCGC1qCDElP5xT215lxXFECJmufBKtZhmLiF-uDlE")</f>
        <v>1SBWCGC1qCDElP5xT215lxXFECJmufBKtZhmLiF-uDlE</v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 ht="15.75" customHeight="1">
      <c r="A332" t="str">
        <f>IFERROR(__xludf.DUMMYFUNCTION("""COMPUTED_VALUE"""),"CreateTransaction")</f>
        <v>CreateTransaction</v>
      </c>
      <c r="B332" t="str">
        <f>IFERROR(__xludf.DUMMYFUNCTION("""COMPUTED_VALUE"""),"SaveTransaction")</f>
        <v>SaveTransaction</v>
      </c>
      <c r="C332" t="str">
        <f>IFERROR(__xludf.DUMMYFUNCTION("""COMPUTED_VALUE"""),"undefined")</f>
        <v>undefined</v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IFERROR(__xludf.DUMMYFUNCTION("""COMPUTED_VALUE"""),"EditUnallocatedGrid")</f>
        <v>EditUnallocatedGrid</v>
      </c>
      <c r="C333" t="str">
        <f>IFERROR(__xludf.DUMMYFUNCTION("""COMPUTED_VALUE"""),"13ZNMuqKcSpAW_MsR69_GoKBz_beluHfFVyViDpUnCkc")</f>
        <v>13ZNMuqKcSpAW_MsR69_GoKBz_beluHfFVyViDpUnCkc</v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IFERROR(__xludf.DUMMYFUNCTION("""COMPUTED_VALUE"""),"EditAllocatedGrid")</f>
        <v>EditAllocatedGrid</v>
      </c>
      <c r="C334" t="str">
        <f>IFERROR(__xludf.DUMMYFUNCTION("""COMPUTED_VALUE"""),"1Qe_MB72ABGFy_tC-AtAJSBoOqNECmDnuHW2p--em0xc")</f>
        <v>1Qe_MB72ABGFy_tC-AtAJSBoOqNECmDnuHW2p--em0xc</v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IFERROR(__xludf.DUMMYFUNCTION("""COMPUTED_VALUE"""),"SetPTTPreference")</f>
        <v>SetPTTPreference</v>
      </c>
      <c r="C335" t="str">
        <f>IFERROR(__xludf.DUMMYFUNCTION("""COMPUTED_VALUE"""),"1ldeUCvJu8gA2hZDe6NneM5_zHpORs3VIMmFqtZK_zTo")</f>
        <v>1ldeUCvJu8gA2hZDe6NneM5_zHpORs3VIMmFqtZK_zTo</v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IFERROR(__xludf.DUMMYFUNCTION("""COMPUTED_VALUE"""),"SetLongShortPTTPreference")</f>
        <v>SetLongShortPTTPreference</v>
      </c>
      <c r="C336" t="str">
        <f>IFERROR(__xludf.DUMMYFUNCTION("""COMPUTED_VALUE"""),"1K6pZbNryz6dksItb7aYYpqHUV4sWPVRsnYGiEZCb6BY")</f>
        <v>1K6pZbNryz6dksItb7aYYpqHUV4sWPVRsnYGiEZCb6BY</v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 ht="15.75" customHeight="1">
      <c r="A337" t="str">
        <f>IFERROR(__xludf.DUMMYFUNCTION("""COMPUTED_VALUE"""),"TradingTicket")</f>
        <v>TradingTicket</v>
      </c>
      <c r="B337" t="str">
        <f>IFERROR(__xludf.DUMMYFUNCTION("""COMPUTED_VALUE"""),"VerifyTT")</f>
        <v>VerifyTT</v>
      </c>
      <c r="C337" t="str">
        <f>IFERROR(__xludf.DUMMYFUNCTION("""COMPUTED_VALUE"""),"1bKhXEya1wodNYLnY1-QcHI_XG3UWZaHQ81HV-TN-5Kc")</f>
        <v>1bKhXEya1wodNYLnY1-QcHI_XG3UWZaHQ81HV-TN-5Kc</v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IFERROR(__xludf.DUMMYFUNCTION("""COMPUTED_VALUE"""),"SaveLayoutAllocatedGrid")</f>
        <v>SaveLayoutAllocatedGrid</v>
      </c>
      <c r="C338" t="str">
        <f>IFERROR(__xludf.DUMMYFUNCTION("""COMPUTED_VALUE"""),"1aTyf1QMUlY1sd90ATn_Ik7tSnqoJNJ2ORUTgE2CcKVc")</f>
        <v>1aTyf1QMUlY1sd90ATn_Ik7tSnqoJNJ2ORUTgE2CcKVc</v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IFERROR(__xludf.DUMMYFUNCTION("""COMPUTED_VALUE"""),"SaveLayoutUnallocatedGrid")</f>
        <v>SaveLayoutUnallocatedGrid</v>
      </c>
      <c r="C339" t="str">
        <f>IFERROR(__xludf.DUMMYFUNCTION("""COMPUTED_VALUE"""),"14EKTplxgrSnZ3LrmPGSsdvC3A1Cn7Gl3iYaLoliVy5c")</f>
        <v>14EKTplxgrSnZ3LrmPGSsdvC3A1Cn7Gl3iYaLoliVy5c</v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IFERROR(__xludf.DUMMYFUNCTION("""COMPUTED_VALUE"""),"SaveLayoutAllocationUI")</f>
        <v>SaveLayoutAllocationUI</v>
      </c>
      <c r="C340" t="str">
        <f>IFERROR(__xludf.DUMMYFUNCTION("""COMPUTED_VALUE"""),"1w55ijS0jNdggXMegSAddndubbfCazPcYQ4T-iQXE9-8")</f>
        <v>1w55ijS0jNdggXMegSAddndubbfCazPcYQ4T-iQXE9-8</v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IFERROR(__xludf.DUMMYFUNCTION("""COMPUTED_VALUE"""),"ClearFiltersAllocatedGrid")</f>
        <v>ClearFiltersAllocatedGrid</v>
      </c>
      <c r="C341" t="str">
        <f>IFERROR(__xludf.DUMMYFUNCTION("""COMPUTED_VALUE"""),"undefined")</f>
        <v>undefined</v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IFERROR(__xludf.DUMMYFUNCTION("""COMPUTED_VALUE"""),"ClearFiltersUnallocatedGrid")</f>
        <v>ClearFiltersUnallocatedGrid</v>
      </c>
      <c r="C342" t="str">
        <f>IFERROR(__xludf.DUMMYFUNCTION("""COMPUTED_VALUE"""),"undefined")</f>
        <v>undefined</v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IFERROR(__xludf.DUMMYFUNCTION("""COMPUTED_VALUE"""),"VerifyLayoutAllocatedGrid")</f>
        <v>VerifyLayoutAllocatedGrid</v>
      </c>
      <c r="C343" t="str">
        <f>IFERROR(__xludf.DUMMYFUNCTION("""COMPUTED_VALUE"""),"1Dm60vGCrArH03PZJNSUJF2XSLE8bTZId3GMfDSiNsgE")</f>
        <v>1Dm60vGCrArH03PZJNSUJF2XSLE8bTZId3GMfDSiNsgE</v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IFERROR(__xludf.DUMMYFUNCTION("""COMPUTED_VALUE"""),"VerifyLayoutUnallocatedGrid")</f>
        <v>VerifyLayoutUnallocatedGrid</v>
      </c>
      <c r="C344" t="str">
        <f>IFERROR(__xludf.DUMMYFUNCTION("""COMPUTED_VALUE"""),"13oH5Ytu1wVsxt5b13YVUvBPplFK0NO_TK4bRhOZWxN8")</f>
        <v>13oH5Ytu1wVsxt5b13YVUvBPplFK0NO_TK4bRhOZWxN8</v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IFERROR(__xludf.DUMMYFUNCTION("""COMPUTED_VALUE"""),"UpdateForexConversionMonthly")</f>
        <v>UpdateForexConversionMonthly</v>
      </c>
      <c r="C345" t="str">
        <f>IFERROR(__xludf.DUMMYFUNCTION("""COMPUTED_VALUE"""),"1TZUZ5-nBzkzBtbjFUoa_EB6_eDzdYjS0ibH5XGYYwAw")</f>
        <v>1TZUZ5-nBzkzBtbjFUoa_EB6_eDzdYjS0ibH5XGYYwAw</v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 ht="15.75" customHeight="1">
      <c r="A346" t="str">
        <f>IFERROR(__xludf.DUMMYFUNCTION("""COMPUTED_VALUE"""),"GeneralLedger")</f>
        <v>GeneralLedger</v>
      </c>
      <c r="B346" t="str">
        <f>IFERROR(__xludf.DUMMYFUNCTION("""COMPUTED_VALUE"""),"SaveTransaction")</f>
        <v>SaveTransaction</v>
      </c>
      <c r="C346" t="str">
        <f>IFERROR(__xludf.DUMMYFUNCTION("""COMPUTED_VALUE"""),"undefined")</f>
        <v>undefined</v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IFERROR(__xludf.DUMMYFUNCTION("""COMPUTED_VALUE"""),"UpdateMarkPriceMonthly")</f>
        <v>UpdateMarkPriceMonthly</v>
      </c>
      <c r="C347" t="str">
        <f>IFERROR(__xludf.DUMMYFUNCTION("""COMPUTED_VALUE"""),"1CAqtQbVxh4NllyrMXscZd9EiKnaMKSW-_a9zZtK2ULI")</f>
        <v>1CAqtQbVxh4NllyrMXscZd9EiKnaMKSW-_a9zZtK2ULI</v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IFERROR(__xludf.DUMMYFUNCTION("""COMPUTED_VALUE"""),"CleanUp")</f>
        <v>CleanUp</v>
      </c>
      <c r="C348" t="str">
        <f>IFERROR(__xludf.DUMMYFUNCTION("""COMPUTED_VALUE"""),"141237jvZTCMRUMwfe0LXJI6_OVqTlCniHe4xfwketxs")</f>
        <v>141237jvZTCMRUMwfe0LXJI6_OVqTlCniHe4xfwketxs</v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IFERROR(__xludf.DUMMYFUNCTION("""COMPUTED_VALUE"""),"CheckAllocatedTaxlots")</f>
        <v>CheckAllocatedTaxlots</v>
      </c>
      <c r="C349" t="str">
        <f>IFERROR(__xludf.DUMMYFUNCTION("""COMPUTED_VALUE"""),"1ly27YrdiNWaAup2LCqtlbPCuNU2qHnDVGbGX6s6cAJM")</f>
        <v>1ly27YrdiNWaAup2LCqtlbPCuNU2qHnDVGbGX6s6cAJM</v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 ht="15.75" customHeight="1">
      <c r="A350" t="str">
        <f>IFERROR(__xludf.DUMMYFUNCTION("""COMPUTED_VALUE"""),"Closing")</f>
        <v>Closing</v>
      </c>
      <c r="B350" t="str">
        <f>IFERROR(__xludf.DUMMYFUNCTION("""COMPUTED_VALUE"""),"EditTradeUnexpiredUnsettled")</f>
        <v>EditTradeUnexpiredUnsettled</v>
      </c>
      <c r="C350" t="str">
        <f>IFERROR(__xludf.DUMMYFUNCTION("""COMPUTED_VALUE"""),"1gjlTvz7BOfWSUwRY25-5BkROLuD55WxDrFeD31t9BlQ")</f>
        <v>1gjlTvz7BOfWSUwRY25-5BkROLuD55WxDrFeD31t9BlQ</v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IFERROR(__xludf.DUMMYFUNCTION("""COMPUTED_VALUE"""),"VerifyThirdPartyView")</f>
        <v>VerifyThirdPartyView</v>
      </c>
      <c r="C351" t="str">
        <f>IFERROR(__xludf.DUMMYFUNCTION("""COMPUTED_VALUE"""),"1OPgUZqNYhV3KEPmPCahj5p6WvTvcu6yt-IilVEoYdck")</f>
        <v>1OPgUZqNYhV3KEPmPCahj5p6WvTvcu6yt-IilVEoYdck</v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IFERROR(__xludf.DUMMYFUNCTION("""COMPUTED_VALUE"""),"CheckCompliance")</f>
        <v>CheckCompliance</v>
      </c>
      <c r="C352" t="str">
        <f>IFERROR(__xludf.DUMMYFUNCTION("""COMPUTED_VALUE"""),"1rHjLXpZjBLQM6QWnpXPgAllc-YEEgN3ft01yzOc3Z_k")</f>
        <v>1rHjLXpZjBLQM6QWnpXPgAllc-YEEgN3ft01yzOc3Z_k</v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IFERROR(__xludf.DUMMYFUNCTION("""COMPUTED_VALUE"""),"VerifyAccountDivisorWindow")</f>
        <v>VerifyAccountDivisorWindow</v>
      </c>
      <c r="C353" t="str">
        <f>IFERROR(__xludf.DUMMYFUNCTION("""COMPUTED_VALUE"""),"1o2I6wY7Q2ZhQmtkXdRpqlxQVJ8IApk0IcIxM0anIe4E")</f>
        <v>1o2I6wY7Q2ZhQmtkXdRpqlxQVJ8IApk0IcIxM0anIe4E</v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IFERROR(__xludf.DUMMYFUNCTION("""COMPUTED_VALUE"""),"VerifyAccountSymbolDivisorWindow")</f>
        <v>VerifyAccountSymbolDivisorWindow</v>
      </c>
      <c r="C354" t="str">
        <f>IFERROR(__xludf.DUMMYFUNCTION("""COMPUTED_VALUE"""),"1ADKVvtlUcDE2a_GFsrcnF3qLRtLLDQ1rEJbzQws78i8")</f>
        <v>1ADKVvtlUcDE2a_GFsrcnF3qLRtLLDQ1rEJbzQws78i8</v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IFERROR(__xludf.DUMMYFUNCTION("""COMPUTED_VALUE"""),"VerifyAggregationAccountSymbolWithNav")</f>
        <v>VerifyAggregationAccountSymbolWithNav</v>
      </c>
      <c r="C355" t="str">
        <f>IFERROR(__xludf.DUMMYFUNCTION("""COMPUTED_VALUE"""),"1lnfZcSlUOa9o7gHKbVZNk25z7jkFzrWO3HCg1iRDEhg")</f>
        <v>1lnfZcSlUOa9o7gHKbVZNk25z7jkFzrWO3HCg1iRDEhg</v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IFERROR(__xludf.DUMMYFUNCTION("""COMPUTED_VALUE"""),"VerifyAggregationAccountWithNav")</f>
        <v>VerifyAggregationAccountWithNav</v>
      </c>
      <c r="C356" t="str">
        <f>IFERROR(__xludf.DUMMYFUNCTION("""COMPUTED_VALUE"""),"1bVQ8hXYcI8QA4dwbvx9VW307agnDiO6msA8_55Z9Ho4")</f>
        <v>1bVQ8hXYcI8QA4dwbvx9VW307agnDiO6msA8_55Z9Ho4</v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IFERROR(__xludf.DUMMYFUNCTION("""COMPUTED_VALUE"""),"VerifyAggregationMasterFundSymbolWithNav")</f>
        <v>VerifyAggregationMasterFundSymbolWithNav</v>
      </c>
      <c r="C357" t="str">
        <f>IFERROR(__xludf.DUMMYFUNCTION("""COMPUTED_VALUE"""),"149nnw4Cwl1HHouYCXdqP9R7Mx98I_xiisiVCYk7UJkk")</f>
        <v>149nnw4Cwl1HHouYCXdqP9R7Mx98I_xiisiVCYk7UJkk</v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IFERROR(__xludf.DUMMYFUNCTION("""COMPUTED_VALUE"""),"VerifyAggregationMasterFundUnderlyingSymbolWithNav")</f>
        <v>VerifyAggregationMasterFundUnderlyingSymbolWithNav</v>
      </c>
      <c r="C358" t="str">
        <f>IFERROR(__xludf.DUMMYFUNCTION("""COMPUTED_VALUE"""),"14DzH-ZDYwWbCfXuBzG8v04Qb1mQp1of2O6GLQXcWMsQ")</f>
        <v>14DzH-ZDYwWbCfXuBzG8v04Qb1mQp1of2O6GLQXcWMsQ</v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IFERROR(__xludf.DUMMYFUNCTION("""COMPUTED_VALUE"""),"VerifyAggregationMasterFundWithNav")</f>
        <v>VerifyAggregationMasterFundWithNav</v>
      </c>
      <c r="C359" t="str">
        <f>IFERROR(__xludf.DUMMYFUNCTION("""COMPUTED_VALUE"""),"1zsjoqOkIN3nYkIIxRHJMhmyX6J_C62DE3Oo2y7BGdVs")</f>
        <v>1zsjoqOkIN3nYkIIxRHJMhmyX6J_C62DE3Oo2y7BGdVs</v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IFERROR(__xludf.DUMMYFUNCTION("""COMPUTED_VALUE"""),"VerifyAggregationSectorWithNav")</f>
        <v>VerifyAggregationSectorWithNav</v>
      </c>
      <c r="C360" t="str">
        <f>IFERROR(__xludf.DUMMYFUNCTION("""COMPUTED_VALUE"""),"1PwtsUw7M1uKb7OUFflhtzsANVeSCTOQuOmvDpORnIho")</f>
        <v>1PwtsUw7M1uKb7OUFflhtzsANVeSCTOQuOmvDpORnIho</v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IFERROR(__xludf.DUMMYFUNCTION("""COMPUTED_VALUE"""),"VerifyAggregationUnderlyingSymbolWithNav")</f>
        <v>VerifyAggregationUnderlyingSymbolWithNav</v>
      </c>
      <c r="C361" t="str">
        <f>IFERROR(__xludf.DUMMYFUNCTION("""COMPUTED_VALUE"""),"176-KXks3ZB5ZHuKBMwUMw29_Cv2044sZyo8Km9DSXhY")</f>
        <v>176-KXks3ZB5ZHuKBMwUMw29_Cv2044sZyo8Km9DSXhY</v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IFERROR(__xludf.DUMMYFUNCTION("""COMPUTED_VALUE"""),"VerifyAuecWindow")</f>
        <v>VerifyAuecWindow</v>
      </c>
      <c r="C362" t="str">
        <f>IFERROR(__xludf.DUMMYFUNCTION("""COMPUTED_VALUE"""),"16b_2-FgoStwuBkNr_JjCAyklRXIuqbbe3yokDxprokc")</f>
        <v>16b_2-FgoStwuBkNr_JjCAyklRXIuqbbe3yokDxprokc</v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IFERROR(__xludf.DUMMYFUNCTION("""COMPUTED_VALUE"""),"VerifyBetaWindow")</f>
        <v>VerifyBetaWindow</v>
      </c>
      <c r="C363" t="str">
        <f>IFERROR(__xludf.DUMMYFUNCTION("""COMPUTED_VALUE"""),"1fbKcjC8gLwYcrNAXPL4_1obtoTCCX0MmPEKkR5s582U")</f>
        <v>1fbKcjC8gLwYcrNAXPL4_1obtoTCCX0MmPEKkR5s582U</v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IFERROR(__xludf.DUMMYFUNCTION("""COMPUTED_VALUE"""),"VerifyCustomSymbolDataWindow")</f>
        <v>VerifyCustomSymbolDataWindow</v>
      </c>
      <c r="C364" t="str">
        <f>IFERROR(__xludf.DUMMYFUNCTION("""COMPUTED_VALUE"""),"1-ro_FbZAIVOSxzuukFA-JqauiFzAp2zzPW1nR5HDbNQ")</f>
        <v>1-ro_FbZAIVOSxzuukFA-JqauiFzAp2zzPW1nR5HDbNQ</v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IFERROR(__xludf.DUMMYFUNCTION("""COMPUTED_VALUE"""),"VerifyDayEndCashAccountWindow")</f>
        <v>VerifyDayEndCashAccountWindow</v>
      </c>
      <c r="C365" t="str">
        <f>IFERROR(__xludf.DUMMYFUNCTION("""COMPUTED_VALUE"""),"14hibcKhSsVy9-wON6kpUuT3WpnX2wo9pBQzmPi8qLL0")</f>
        <v>14hibcKhSsVy9-wON6kpUuT3WpnX2wo9pBQzmPi8qLL0</v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IFERROR(__xludf.DUMMYFUNCTION("""COMPUTED_VALUE"""),"VerifyDbNavWindow")</f>
        <v>VerifyDbNavWindow</v>
      </c>
      <c r="C366" t="str">
        <f>IFERROR(__xludf.DUMMYFUNCTION("""COMPUTED_VALUE"""),"18-WlIts2DAJ-WJbsdY1Rpj5dOSmW5uYCwetKlx26fnQ")</f>
        <v>18-WlIts2DAJ-WJbsdY1Rpj5dOSmW5uYCwetKlx26fnQ</v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IFERROR(__xludf.DUMMYFUNCTION("""COMPUTED_VALUE"""),"VerifyGlobalDivisorWindow")</f>
        <v>VerifyGlobalDivisorWindow</v>
      </c>
      <c r="C367" t="str">
        <f>IFERROR(__xludf.DUMMYFUNCTION("""COMPUTED_VALUE"""),"1z5ONnrNdd3WVB7RZIGa-yHhn0U7mw19K0moh5ObmK-I")</f>
        <v>1z5ONnrNdd3WVB7RZIGa-yHhn0U7mw19K0moh5ObmK-I</v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IFERROR(__xludf.DUMMYFUNCTION("""COMPUTED_VALUE"""),"VerifyPmCalculationPreferenceWindow")</f>
        <v>VerifyPmCalculationPreferenceWindow</v>
      </c>
      <c r="C368" t="str">
        <f>IFERROR(__xludf.DUMMYFUNCTION("""COMPUTED_VALUE"""),"1yse7cNfakHdRjfRrq1SQW0Yxxopg67W_juGAkOyqHPk")</f>
        <v>1yse7cNfakHdRjfRrq1SQW0Yxxopg67W_juGAkOyqHPk</v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IFERROR(__xludf.DUMMYFUNCTION("""COMPUTED_VALUE"""),"VerifyRowCalculationBaseWindow")</f>
        <v>VerifyRowCalculationBaseWindow</v>
      </c>
      <c r="C369" t="str">
        <f>IFERROR(__xludf.DUMMYFUNCTION("""COMPUTED_VALUE"""),"16bZAwMHOfN8bD2TadtVor3HvDM0dtF51XYU1iRUEXpQ")</f>
        <v>16bZAwMHOfN8bD2TadtVor3HvDM0dtF51XYU1iRUEXpQ</v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IFERROR(__xludf.DUMMYFUNCTION("""COMPUTED_VALUE"""),"VerifySecurityWindow")</f>
        <v>VerifySecurityWindow</v>
      </c>
      <c r="C370" t="str">
        <f>IFERROR(__xludf.DUMMYFUNCTION("""COMPUTED_VALUE"""),"1xeK-JWq8oHwAbmnGt_N4qn9Nt8F9XHo5-Mtr0t_7pRw")</f>
        <v>1xeK-JWq8oHwAbmnGt_N4qn9Nt8F9XHo5-Mtr0t_7pRw</v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IFERROR(__xludf.DUMMYFUNCTION("""COMPUTED_VALUE"""),"VerifySymbolDataWindow")</f>
        <v>VerifySymbolDataWindow</v>
      </c>
      <c r="C371" t="str">
        <f>IFERROR(__xludf.DUMMYFUNCTION("""COMPUTED_VALUE"""),"13iKSNjdwzv3DKe_1fcHZJ8GUk5s-HKAGG5PE6MY-smA")</f>
        <v>13iKSNjdwzv3DKe_1fcHZJ8GUk5s-HKAGG5PE6MY-smA</v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IFERROR(__xludf.DUMMYFUNCTION("""COMPUTED_VALUE"""),"VerifySymbolDivisorWindow")</f>
        <v>VerifySymbolDivisorWindow</v>
      </c>
      <c r="C372" t="str">
        <f>IFERROR(__xludf.DUMMYFUNCTION("""COMPUTED_VALUE"""),"1uyHz1cQUHCK-GcBufMehtS9i6BspKa5HVCLnf4pfGuk")</f>
        <v>1uyHz1cQUHCK-GcBufMehtS9i6BspKa5HVCLnf4pfGuk</v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IFERROR(__xludf.DUMMYFUNCTION("""COMPUTED_VALUE"""),"VerifyTaxlotWindow")</f>
        <v>VerifyTaxlotWindow</v>
      </c>
      <c r="C373" t="str">
        <f>IFERROR(__xludf.DUMMYFUNCTION("""COMPUTED_VALUE"""),"1LmfcHeXwbnPa-An0b_OD4pDLm7pUlzSX41G5QZ2Uons")</f>
        <v>1LmfcHeXwbnPa-An0b_OD4pDLm7pUlzSX41G5QZ2Uons</v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IFERROR(__xludf.DUMMYFUNCTION("""COMPUTED_VALUE"""),"RestartEsper")</f>
        <v>RestartEsper</v>
      </c>
      <c r="C374" t="str">
        <f>IFERROR(__xludf.DUMMYFUNCTION("""COMPUTED_VALUE"""),"undefined")</f>
        <v>undefined</v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IFERROR(__xludf.DUMMYFUNCTION("""COMPUTED_VALUE"""),"VerifyAccountNavPreferenceWindow")</f>
        <v>VerifyAccountNavPreferenceWindow</v>
      </c>
      <c r="C375" t="str">
        <f>IFERROR(__xludf.DUMMYFUNCTION("""COMPUTED_VALUE"""),"1PbpS5QGNvwJE_YSvMrjHxbUPPQhcUDrQHC4N9KHYjWY")</f>
        <v>1PbpS5QGNvwJE_YSvMrjHxbUPPQhcUDrQHC4N9KHYjWY</v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 VerifyAggregationAccountUnderlyingSymbolWithNav")</f>
        <v> VerifyAggregationAccountUnderlyingSymbolWithNav</v>
      </c>
      <c r="C376" t="str">
        <f>IFERROR(__xludf.DUMMYFUNCTION("""COMPUTED_VALUE"""),"1e43aiziZ9lVzR6j8eABeYJVnCkgU34OcPRcWujsT2Sk")</f>
        <v>1e43aiziZ9lVzR6j8eABeYJVnCkgU34OcPRcWujsT2Sk</v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IFERROR(__xludf.DUMMYFUNCTION("""COMPUTED_VALUE"""),"VerifyAggregationAssetWithNav")</f>
        <v>VerifyAggregationAssetWithNav</v>
      </c>
      <c r="C377" t="str">
        <f>IFERROR(__xludf.DUMMYFUNCTION("""COMPUTED_VALUE"""),"1etvN2Ze8TA6NI_8xSaOdqLwhWnk9NXKUUDhi-_NctcY")</f>
        <v>1etvN2Ze8TA6NI_8xSaOdqLwhWnk9NXKUUDhi-_NctcY</v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IFERROR(__xludf.DUMMYFUNCTION("""COMPUTED_VALUE"""),"VerifyAggregationSymbolWithNav")</f>
        <v>VerifyAggregationSymbolWithNav</v>
      </c>
      <c r="C378" t="str">
        <f>IFERROR(__xludf.DUMMYFUNCTION("""COMPUTED_VALUE"""),"13XyCHzB6LhftZ5UNht5K7e3dan_fGbii_TnOOGLwDg0")</f>
        <v>13XyCHzB6LhftZ5UNht5K7e3dan_fGbii_TnOOGLwDg0</v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IFERROR(__xludf.DUMMYFUNCTION("""COMPUTED_VALUE"""),"VerifyAggregationSubSectorWithNav")</f>
        <v>VerifyAggregationSubSectorWithNav</v>
      </c>
      <c r="C379" t="str">
        <f>IFERROR(__xludf.DUMMYFUNCTION("""COMPUTED_VALUE"""),"1DBHQwTuKH0lzdeBCel_4raYQn6PkkFTYydpCHbsB4Qk")</f>
        <v>1DBHQwTuKH0lzdeBCel_4raYQn6PkkFTYydpCHbsB4Qk</v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IFERROR(__xludf.DUMMYFUNCTION("""COMPUTED_VALUE"""),"VerifyAggregationGlobalWithNav")</f>
        <v>VerifyAggregationGlobalWithNav</v>
      </c>
      <c r="C380" t="str">
        <f>IFERROR(__xludf.DUMMYFUNCTION("""COMPUTED_VALUE"""),"1XVSAkmIoWI-AC0BHXwWO3TqCkz2uOlJFE5eM6W0_Cew")</f>
        <v>1XVSAkmIoWI-AC0BHXwWO3TqCkz2uOlJFE5eM6W0_Cew</v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VerifyAggregationGlobalWithNav")</f>
        <v> VerifyAggregationGlobalWithNav</v>
      </c>
      <c r="C381" t="str">
        <f>IFERROR(__xludf.DUMMYFUNCTION("""COMPUTED_VALUE"""),"1XVSAkmIoWI-AC0BHXwWO3TqCkz2uOlJFE5eM6W0_Cew")</f>
        <v>1XVSAkmIoWI-AC0BHXwWO3TqCkz2uOlJFE5eM6W0_Cew</v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VerifyAccrualForAccountWindow")</f>
        <v> VerifyAccrualForAccountWindow</v>
      </c>
      <c r="C383" t="str">
        <f>IFERROR(__xludf.DUMMYFUNCTION("""COMPUTED_VALUE"""),"1zKkT3mW6MMJ2tPzzT2fHVQT6vyc0mePzllndBlUl5IM")</f>
        <v>1zKkT3mW6MMJ2tPzzT2fHVQT6vyc0mePzllndBlUl5IM</v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IFERROR(__xludf.DUMMYFUNCTION("""COMPUTED_VALUE"""),"1z5ONnrNdd3WVB7RZIGa-yHhn0U7mw19K0moh5ObmK-I")</f>
        <v>1z5ONnrNdd3WVB7RZIGa-yHhn0U7mw19K0moh5ObmK-I</v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IFERROR(__xludf.DUMMYFUNCTION("""COMPUTED_VALUE"""),"VerifyMasterFundDivisorWindow")</f>
        <v>VerifyMasterFundDivisorWindow</v>
      </c>
      <c r="C385" t="str">
        <f>IFERROR(__xludf.DUMMYFUNCTION("""COMPUTED_VALUE"""),"13rWeedH_MlhhxYACJeLeckVtBWejh246MGPN4QQpmMM")</f>
        <v>13rWeedH_MlhhxYACJeLeckVtBWejh246MGPN4QQpmMM</v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IFERROR(__xludf.DUMMYFUNCTION("""COMPUTED_VALUE"""),"VerifyMasterFundSymbolDivisorWindow")</f>
        <v>VerifyMasterFundSymbolDivisorWindow</v>
      </c>
      <c r="C386" t="str">
        <f>IFERROR(__xludf.DUMMYFUNCTION("""COMPUTED_VALUE"""),"1YPctyrs3yMgf0X1_jVz3LRORCo4B4cNqbyc_K0FujO0")</f>
        <v>1YPctyrs3yMgf0X1_jVz3LRORCo4B4cNqbyc_K0FujO0</v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IFERROR(__xludf.DUMMYFUNCTION("""COMPUTED_VALUE"""),"FetchAccountPositions")</f>
        <v>FetchAccountPositions</v>
      </c>
      <c r="C387" t="str">
        <f>IFERROR(__xludf.DUMMYFUNCTION("""COMPUTED_VALUE"""),"1BeNn_44h4ClIE46em_ho4qgzGnXy_GxtYTH3cBmtKPk")</f>
        <v>1BeNn_44h4ClIE46em_ho4qgzGnXy_GxtYTH3cBmtKPk</v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IFERROR(__xludf.DUMMYFUNCTION("""COMPUTED_VALUE"""),"AddCash")</f>
        <v>AddCash</v>
      </c>
      <c r="C388" t="str">
        <f>IFERROR(__xludf.DUMMYFUNCTION("""COMPUTED_VALUE"""),"1jkLpZFgLuRokIigwbjW9_Z47rlvj-YDlRcP_c4XkP_k")</f>
        <v>1jkLpZFgLuRokIigwbjW9_Z47rlvj-YDlRcP_c4XkP_k</v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IFERROR(__xludf.DUMMYFUNCTION("""COMPUTED_VALUE"""),"VerifyGridData")</f>
        <v>VerifyGridData</v>
      </c>
      <c r="C389" t="str">
        <f>IFERROR(__xludf.DUMMYFUNCTION("""COMPUTED_VALUE"""),"1mspGsgTjI-yT8NsZKZn8moOE-Vp0hoNdUziI1pFBq0I")</f>
        <v>1mspGsgTjI-yT8NsZKZn8moOE-Vp0hoNdUziI1pFBq0I</v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IFERROR(__xludf.DUMMYFUNCTION("""COMPUTED_VALUE"""),"RunRebalance")</f>
        <v>RunRebalance</v>
      </c>
      <c r="C390" t="str">
        <f>IFERROR(__xludf.DUMMYFUNCTION("""COMPUTED_VALUE"""),"1B2L3J6YUrDWz8rRtdvv0lYDQvnH8nYkmqQm12ZwK7jc")</f>
        <v>1B2L3J6YUrDWz8rRtdvv0lYDQvnH8nYkmqQm12ZwK7jc</v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IFERROR(__xludf.DUMMYFUNCTION("""COMPUTED_VALUE"""),"SelectTrade")</f>
        <v>SelectTrade</v>
      </c>
      <c r="C391" t="str">
        <f>IFERROR(__xludf.DUMMYFUNCTION("""COMPUTED_VALUE"""),"1FTTZIzpIKJz6P-IPbrA5EPTxiMe2ARbyGfgsnMXlct4")</f>
        <v>1FTTZIzpIKJz6P-IPbrA5EPTxiMe2ARbyGfgsnMXlct4</v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IFERROR(__xludf.DUMMYFUNCTION("""COMPUTED_VALUE"""),"AcknowledgeTrade")</f>
        <v>AcknowledgeTrade</v>
      </c>
      <c r="C392" t="str">
        <f>IFERROR(__xludf.DUMMYFUNCTION("""COMPUTED_VALUE"""),"1sQAsvIkAT3oSRlv0P4ERgM6O-p9EGHnCNRCfZZ6EKPM")</f>
        <v>1sQAsvIkAT3oSRlv0P4ERgM6O-p9EGHnCNRCfZZ6EKPM</v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IFERROR(__xludf.DUMMYFUNCTION("""COMPUTED_VALUE"""),"RejectTrade")</f>
        <v>RejectTrade</v>
      </c>
      <c r="C393" t="str">
        <f>IFERROR(__xludf.DUMMYFUNCTION("""COMPUTED_VALUE"""),"18DR7gQzurIoB_fivnSt8QoqUWcLVRpZQSDr37UqoXKU")</f>
        <v>18DR7gQzurIoB_fivnSt8QoqUWcLVRpZQSDr37UqoXKU</v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IFERROR(__xludf.DUMMYFUNCTION("""COMPUTED_VALUE"""),"ExecuteTrade")</f>
        <v>ExecuteTrade</v>
      </c>
      <c r="C394" t="str">
        <f>IFERROR(__xludf.DUMMYFUNCTION("""COMPUTED_VALUE"""),"1pp_DAI1bHvMNnrEvw8O7TeJWebgUjt3FSsdgjVWeJkE")</f>
        <v>1pp_DAI1bHvMNnrEvw8O7TeJWebgUjt3FSsdgjVWeJkE</v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IFERROR(__xludf.DUMMYFUNCTION("""COMPUTED_VALUE"""),"CancelTrade")</f>
        <v>CancelTrade</v>
      </c>
      <c r="C395" t="str">
        <f>IFERROR(__xludf.DUMMYFUNCTION("""COMPUTED_VALUE"""),"1hX7-3j5InwEYhwGhZXePVHcW-9vxINkOET671xdWGsc")</f>
        <v>1hX7-3j5InwEYhwGhZXePVHcW-9vxINkOET671xdWGsc</v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IFERROR(__xludf.DUMMYFUNCTION("""COMPUTED_VALUE"""),"OpenLiveTT")</f>
        <v>OpenLiveTT</v>
      </c>
      <c r="C396" t="str">
        <f>IFERROR(__xludf.DUMMYFUNCTION("""COMPUTED_VALUE"""),"1q3BIdA-Gau2cX2cBnlgy7eas26rbuZEdQMfROhYvOgI")</f>
        <v>1q3BIdA-Gau2cX2cBnlgy7eas26rbuZEdQMfROhYvOgI</v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 ht="15.75" customHeight="1">
      <c r="A397" t="str">
        <f>IFERROR(__xludf.DUMMYFUNCTION("""COMPUTED_VALUE"""),"TradingTicket")</f>
        <v>TradingTicket</v>
      </c>
      <c r="B397" t="str">
        <f>IFERROR(__xludf.DUMMYFUNCTION("""COMPUTED_VALUE"""),"CreateLiveOrder")</f>
        <v>CreateLiveOrder</v>
      </c>
      <c r="C397" t="str">
        <f>IFERROR(__xludf.DUMMYFUNCTION("""COMPUTED_VALUE"""),"115Bw2-ohdF1ilHcVpmgJ2DX9SJjX1zI-6SvF3CpCjm8")</f>
        <v>115Bw2-ohdF1ilHcVpmgJ2DX9SJjX1zI-6SvF3CpCjm8</v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IFERROR(__xludf.DUMMYFUNCTION("""COMPUTED_VALUE"""),"SetManualResponse ")</f>
        <v>SetManualResponse </v>
      </c>
      <c r="C398" t="str">
        <f>IFERROR(__xludf.DUMMYFUNCTION("""COMPUTED_VALUE"""),"10qeNhV85AQPMToOqHZlhzdXyNnDNjiueFxVwGUI_MO4")</f>
        <v>10qeNhV85AQPMToOqHZlhzdXyNnDNjiueFxVwGUI_MO4</v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IFERROR(__xludf.DUMMYFUNCTION("""COMPUTED_VALUE"""),"ClearUI")</f>
        <v>ClearUI</v>
      </c>
      <c r="C399" t="str">
        <f>IFERROR(__xludf.DUMMYFUNCTION("""COMPUTED_VALUE"""),"1LO0lVmw42vb8rN4FBdD2nZspNUXqgQCerd4ip5U8His")</f>
        <v>1LO0lVmw42vb8rN4FBdD2nZspNUXqgQCerd4ip5U8His</v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IFERROR(__xludf.DUMMYFUNCTION("""COMPUTED_VALUE"""),"RebalanceAcrossSecurities")</f>
        <v>RebalanceAcrossSecurities</v>
      </c>
      <c r="C400" t="str">
        <f>IFERROR(__xludf.DUMMYFUNCTION("""COMPUTED_VALUE"""),"1C-pSRr2mYlstlgFOXGSaoMyr-7ZKnUyCiCZMgNR75C0")</f>
        <v>1C-pSRr2mYlstlgFOXGSaoMyr-7ZKnUyCiCZMgNR75C0</v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IFERROR(__xludf.DUMMYFUNCTION("""COMPUTED_VALUE"""),"ClearCalculations")</f>
        <v>ClearCalculations</v>
      </c>
      <c r="C401" t="str">
        <f>IFERROR(__xludf.DUMMYFUNCTION("""COMPUTED_VALUE"""),"1pQy7yDMWL8pTAYmkyQd-37O6NjL8-HJsxUSDe_0vr3Y")</f>
        <v>1pQy7yDMWL8pTAYmkyQd-37O6NjL8-HJsxUSDe_0vr3Y</v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 ht="15.75" customHeight="1">
      <c r="A402" t="str">
        <f>IFERROR(__xludf.DUMMYFUNCTION("""COMPUTED_VALUE"""),"Rebalancer")</f>
        <v>Rebalancer</v>
      </c>
      <c r="B402" t="str">
        <f>IFERROR(__xludf.DUMMYFUNCTION("""COMPUTED_VALUE"""),"ModifyRebalance")</f>
        <v>ModifyRebalance</v>
      </c>
      <c r="C402" t="str">
        <f>IFERROR(__xludf.DUMMYFUNCTION("""COMPUTED_VALUE"""),"1PL-GKbx6oOTs--yRdzkUeclt9Wvb6f5jt4XN1oEGIZk")</f>
        <v>1PL-GKbx6oOTs--yRdzkUeclt9Wvb6f5jt4XN1oEGIZk</v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IFERROR(__xludf.DUMMYFUNCTION("""COMPUTED_VALUE"""),"SelectThirdParty")</f>
        <v>SelectThirdParty</v>
      </c>
      <c r="C403" t="str">
        <f>IFERROR(__xludf.DUMMYFUNCTION("""COMPUTED_VALUE"""),"1liR_hGZCDbVQXoq6lXJaHhVX-C6zpm2FZKNUaUnD7k8")</f>
        <v>1liR_hGZCDbVQXoq6lXJaHhVX-C6zpm2FZKNUaUnD7k8</v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IFERROR(__xludf.DUMMYFUNCTION("""COMPUTED_VALUE"""),"ViewThirdParty")</f>
        <v>ViewThirdParty</v>
      </c>
      <c r="C404" t="str">
        <f>IFERROR(__xludf.DUMMYFUNCTION("""COMPUTED_VALUE"""),"1L-T9YKEKNm_ncTLX6p563fxmzW1DvdfOn3fW5ZhQiKs")</f>
        <v>1L-T9YKEKNm_ncTLX6p563fxmzW1DvdfOn3fW5ZhQiKs</v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IFERROR(__xludf.DUMMYFUNCTION("""COMPUTED_VALUE"""),"ThirdPartyGenerate")</f>
        <v>ThirdPartyGenerate</v>
      </c>
      <c r="C405" t="str">
        <f>IFERROR(__xludf.DUMMYFUNCTION("""COMPUTED_VALUE"""),"1hWXI97uokXrkZMWLiuOrUPZMYEmIb2-QuYGHPvEooqk")</f>
        <v>1hWXI97uokXrkZMWLiuOrUPZMYEmIb2-QuYGHPvEooqk</v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IFERROR(__xludf.DUMMYFUNCTION("""COMPUTED_VALUE"""),"VerifyThirdPartyView")</f>
        <v>VerifyThirdPartyView</v>
      </c>
      <c r="C406" t="str">
        <f>IFERROR(__xludf.DUMMYFUNCTION("""COMPUTED_VALUE"""),"1OPgUZqNYhV3KEPmPCahj5p6WvTvcu6yt-IilVEoYdck")</f>
        <v>1OPgUZqNYhV3KEPmPCahj5p6WvTvcu6yt-IilVEoYdck</v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IFERROR(__xludf.DUMMYFUNCTION("""COMPUTED_VALUE"""),"VerifyThirdPartyGenerate")</f>
        <v>VerifyThirdPartyGenerate</v>
      </c>
      <c r="C407" t="str">
        <f>IFERROR(__xludf.DUMMYFUNCTION("""COMPUTED_VALUE"""),"1TX-aVCyjewgmTHgLEH493prpSt_ChoMDatfBG5cVehM")</f>
        <v>1TX-aVCyjewgmTHgLEH493prpSt_ChoMDatfBG5cVehM</v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IFERROR(__xludf.DUMMYFUNCTION("""COMPUTED_VALUE"""),"VerifyThirdPartySend")</f>
        <v>VerifyThirdPartySend</v>
      </c>
      <c r="C408" t="str">
        <f>IFERROR(__xludf.DUMMYFUNCTION("""COMPUTED_VALUE"""),"1TFrpzJZv_IpTrlD7aBcoe8mWXKXiq4OeBVw49pOpJY8")</f>
        <v>1TFrpzJZv_IpTrlD7aBcoe8mWXKXiq4OeBVw49pOpJY8</v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IFERROR(__xludf.DUMMYFUNCTION("""COMPUTED_VALUE"""),"ThirdPartySend")</f>
        <v>ThirdPartySend</v>
      </c>
      <c r="C409" t="str">
        <f>IFERROR(__xludf.DUMMYFUNCTION("""COMPUTED_VALUE"""),"1ELxt02tfMApvtpApk-Uz6JQVqK95xGCxH6tEwuv_yMQ")</f>
        <v>1ELxt02tfMApvtpApk-Uz6JQVqK95xGCxH6tEwuv_yMQ</v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IFERROR(__xludf.DUMMYFUNCTION("""COMPUTED_VALUE"""),"VerifyViewAllocationDetails")</f>
        <v>VerifyViewAllocationDetails</v>
      </c>
      <c r="C410" t="str">
        <f>IFERROR(__xludf.DUMMYFUNCTION("""COMPUTED_VALUE"""),"1onX95lO5NTDqGvP-5pv_fQlL0p1SAPerH3jm5s9xIbE")</f>
        <v>1onX95lO5NTDqGvP-5pv_fQlL0p1SAPerH3jm5s9xIbE</v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IFERROR(__xludf.DUMMYFUNCTION("""COMPUTED_VALUE"""),"SelectPTTRecord")</f>
        <v>SelectPTTRecord</v>
      </c>
      <c r="C411" t="str">
        <f>IFERROR(__xludf.DUMMYFUNCTION("""COMPUTED_VALUE"""),"1MzR4w0s74eMMAMcl-KSxjpoZfHiuOypwn42ACvmTkKM")</f>
        <v>1MzR4w0s74eMMAMcl-KSxjpoZfHiuOypwn42ACvmTkKM</v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 ht="15.75" customHeight="1">
      <c r="A412" t="str">
        <f>IFERROR(__xludf.DUMMYFUNCTION("""COMPUTED_VALUE"""),"PTT")</f>
        <v>PTT</v>
      </c>
      <c r="B412" t="str">
        <f>IFERROR(__xludf.DUMMYFUNCTION("""COMPUTED_VALUE"""),"EditPTTRecord")</f>
        <v>EditPTTRecord</v>
      </c>
      <c r="C412" t="str">
        <f>IFERROR(__xludf.DUMMYFUNCTION("""COMPUTED_VALUE"""),"13Ecyy3eTKlOlM2mlZRP_nxQjfP02VfkmPAAS8AQWMQk")</f>
        <v>13Ecyy3eTKlOlM2mlZRP_nxQjfP02VfkmPAAS8AQWMQk</v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 ht="15.75" customHeight="1">
      <c r="A413" t="str">
        <f>IFERROR(__xludf.DUMMYFUNCTION("""COMPUTED_VALUE"""),"Blotter")</f>
        <v>Blotter</v>
      </c>
      <c r="B413" t="str">
        <f>IFERROR(__xludf.DUMMYFUNCTION("""COMPUTED_VALUE"""),"GoToAllocation")</f>
        <v>GoToAllocation</v>
      </c>
      <c r="C413" t="str">
        <f>IFERROR(__xludf.DUMMYFUNCTION("""COMPUTED_VALUE"""),"1O10TSVXx7-qL87FJas1gFd9p3JugF_Bn4u9W7TpD46U")</f>
        <v>1O10TSVXx7-qL87FJas1gFd9p3JugF_Bn4u9W7TpD46U</v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 ht="15.75" customHeight="1">
      <c r="A414" t="str">
        <f>IFERROR(__xludf.DUMMYFUNCTION("""COMPUTED_VALUE"""),"Simulator")</f>
        <v>Simulator</v>
      </c>
      <c r="B414" t="str">
        <f>IFERROR(__xludf.DUMMYFUNCTION("""COMPUTED_VALUE"""),"CloseSimulator")</f>
        <v>CloseSimulator</v>
      </c>
      <c r="C414" t="str">
        <f>IFERROR(__xludf.DUMMYFUNCTION("""COMPUTED_VALUE"""),"undefined")</f>
        <v>undefined</v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 ht="15.75" customHeight="1">
      <c r="A415" t="str">
        <f>IFERROR(__xludf.DUMMYFUNCTION("""COMPUTED_VALUE"""),"GeneralLedger")</f>
        <v>GeneralLedger</v>
      </c>
      <c r="B415" t="str">
        <f>IFERROR(__xludf.DUMMYFUNCTION("""COMPUTED_VALUE"""),"VerifyCashTransaction")</f>
        <v>VerifyCashTransaction</v>
      </c>
      <c r="C415" t="str">
        <f>IFERROR(__xludf.DUMMYFUNCTION("""COMPUTED_VALUE"""),"1txiXYRv6RuxBB6CkKPa64Foilc8XIy5M-1KPAOBp9Z0")</f>
        <v>1txiXYRv6RuxBB6CkKPa64Foilc8XIy5M-1KPAOBp9Z0</v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 ht="15.75" customHeight="1">
      <c r="A416" t="str">
        <f>IFERROR(__xludf.DUMMYFUNCTION("""COMPUTED_VALUE"""),"Rebalancer")</f>
        <v>Rebalancer</v>
      </c>
      <c r="B416" t="str">
        <f>IFERROR(__xludf.DUMMYFUNCTION("""COMPUTED_VALUE"""),"ModelPortfolio")</f>
        <v>ModelPortfolio</v>
      </c>
      <c r="C416" t="str">
        <f>IFERROR(__xludf.DUMMYFUNCTION("""COMPUTED_VALUE"""),"1w51NpunZkBS_x4rZvkQXu2o8AUhD_GQPCtuFN-r1AFw")</f>
        <v>1w51NpunZkBS_x4rZvkQXu2o8AUhD_GQPCtuFN-r1AFw</v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 ht="15.75" customHeight="1">
      <c r="A417" t="str">
        <f>IFERROR(__xludf.DUMMYFUNCTION("""COMPUTED_VALUE"""),"DailyValuation")</f>
        <v>DailyValuation</v>
      </c>
      <c r="B417" t="str">
        <f>IFERROR(__xludf.DUMMYFUNCTION("""COMPUTED_VALUE"""),"VerifyDailyCash")</f>
        <v>VerifyDailyCash</v>
      </c>
      <c r="C417" t="str">
        <f>IFERROR(__xludf.DUMMYFUNCTION("""COMPUTED_VALUE"""),"1wXn8vaJbEg8VcRqhsw0cR1-Odkjr1m2zE8tXCmLX54g")</f>
        <v>1wXn8vaJbEg8VcRqhsw0cR1-Odkjr1m2zE8tXCmLX54g</v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 ht="15.75" customHeight="1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 ht="15.75" customHeight="1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 ht="15.75" customHeight="1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 ht="15.75" customHeight="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 ht="15.75" customHeight="1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 ht="15.75" customHeight="1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 ht="15.75" customHeight="1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 ht="15.75" customHeight="1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 ht="15.75" customHeight="1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 ht="15.75" customHeight="1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 ht="15.75" customHeight="1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 ht="15.75" customHeight="1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 ht="15.75" customHeight="1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 ht="15.75" customHeight="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 ht="15.75" customHeight="1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 ht="15.75" customHeight="1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 ht="15.75" customHeight="1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 ht="15.75" customHeight="1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 ht="15.75" customHeight="1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 ht="15.75" customHeight="1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 ht="15.75" customHeight="1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 ht="15.75" customHeight="1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 ht="15.75" customHeight="1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 ht="15.75" customHeight="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 ht="15.75" customHeight="1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 ht="15.75" customHeight="1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 ht="15.75" customHeight="1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 ht="15.75" customHeight="1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 ht="15.75" customHeight="1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 ht="15.75" customHeight="1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 ht="15.75" customHeight="1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 ht="15.75" customHeight="1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 ht="15.75" customHeight="1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 ht="15.75" customHeight="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 ht="15.75" customHeight="1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 ht="15.75" customHeight="1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 ht="15.75" customHeight="1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 ht="15.75" customHeight="1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 ht="15.75" customHeight="1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 ht="15.75" customHeight="1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 ht="15.75" customHeight="1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 ht="15.75" customHeight="1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 ht="15.75" customHeight="1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 ht="15.75" customHeight="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 ht="15.75" customHeight="1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 ht="15.75" customHeight="1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 ht="15.75" customHeight="1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 ht="15.75" customHeight="1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 ht="15.75" customHeight="1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 ht="15.75" customHeight="1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 ht="15.75" customHeight="1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 ht="15.75" customHeight="1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 ht="15.75" customHeight="1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 ht="15.75" customHeight="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 ht="15.75" customHeight="1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 ht="15.75" customHeight="1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 ht="15.75" customHeight="1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 ht="15.75" customHeight="1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 ht="15.75" customHeight="1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 ht="15.75" customHeight="1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 ht="15.75" customHeight="1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 ht="15.75" customHeight="1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 ht="15.75" customHeight="1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 ht="15.75" customHeight="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 ht="15.75" customHeight="1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 ht="15.75" customHeight="1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 ht="15.75" customHeight="1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 ht="15.75" customHeight="1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 ht="15.75" customHeight="1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 ht="15.75" customHeight="1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 ht="15.75" customHeight="1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 ht="15.75" customHeight="1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 ht="15.75" customHeight="1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 ht="15.75" customHeight="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 ht="15.75" customHeight="1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 ht="15.75" customHeight="1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 ht="15.75" customHeight="1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 ht="15.75" customHeight="1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 ht="15.75" customHeight="1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 ht="15.75" customHeight="1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 ht="15.75" customHeight="1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 ht="15.75" customHeight="1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 ht="15.75" customHeight="1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 ht="15.75" customHeight="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 ht="15.75" customHeight="1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 ht="15.75" customHeight="1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 ht="15.75" customHeight="1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 ht="15.75" customHeight="1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 ht="15.75" customHeight="1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 ht="15.75" customHeight="1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 ht="15.75" customHeight="1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 ht="15.75" customHeight="1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 ht="15.75" customHeight="1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 ht="15.75" customHeight="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 ht="15.75" customHeight="1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 ht="15.75" customHeight="1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 ht="15.75" customHeight="1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 ht="15.75" customHeight="1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 ht="15.75" customHeight="1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 ht="15.75" customHeight="1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 ht="15.75" customHeight="1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 ht="15.75" customHeight="1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 ht="15.75" customHeight="1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 ht="15.75" customHeight="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 ht="15.75" customHeight="1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 ht="15.75" customHeight="1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 ht="15.75" customHeight="1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 ht="15.75" customHeight="1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 ht="15.75" customHeight="1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 ht="15.75" customHeight="1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 ht="15.75" customHeight="1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 ht="15.75" customHeight="1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 ht="15.75" customHeight="1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 ht="15.75" customHeight="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 ht="15.75" customHeight="1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 ht="15.75" customHeight="1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 ht="15.75" customHeight="1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 ht="15.75" customHeight="1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 ht="15.75" customHeight="1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 ht="15.75" customHeight="1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 ht="15.75" customHeight="1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 ht="15.75" customHeight="1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 ht="15.75" customHeight="1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 ht="15.75" customHeight="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 ht="15.75" customHeight="1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 ht="15.75" customHeight="1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 ht="15.75" customHeight="1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 ht="15.75" customHeight="1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 ht="15.75" customHeight="1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 ht="15.75" customHeight="1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 ht="15.75" customHeight="1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 ht="15.75" customHeight="1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 ht="15.75" customHeight="1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 ht="15.75" customHeight="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 ht="15.75" customHeight="1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 ht="15.75" customHeight="1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 ht="15.75" customHeight="1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 ht="15.75" customHeight="1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 ht="15.75" customHeight="1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 ht="15.75" customHeight="1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 ht="15.75" customHeight="1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 ht="15.75" customHeight="1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 ht="15.75" customHeight="1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 ht="15.75" customHeight="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 ht="15.75" customHeight="1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 ht="15.75" customHeight="1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 ht="15.75" customHeight="1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 ht="15.75" customHeight="1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 ht="15.75" customHeight="1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 ht="15.75" customHeight="1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 ht="15.75" customHeight="1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 ht="15.75" customHeight="1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 ht="15.75" customHeight="1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 ht="15.75" customHeight="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 ht="15.75" customHeight="1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 ht="15.75" customHeight="1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 ht="15.75" customHeight="1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 ht="15.75" customHeight="1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 ht="15.75" customHeight="1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 ht="15.75" customHeight="1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 ht="15.75" customHeight="1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 ht="15.75" customHeight="1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 ht="15.75" customHeight="1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 ht="15.75" customHeight="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 ht="15.75" customHeight="1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 ht="15.75" customHeight="1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 ht="15.75" customHeight="1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 ht="15.75" customHeight="1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 ht="15.75" customHeight="1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 ht="15.75" customHeight="1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 ht="15.75" customHeight="1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 ht="15.75" customHeight="1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 ht="15.75" customHeight="1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 ht="15.75" customHeight="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 ht="15.75" customHeight="1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 ht="15.75" customHeight="1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 ht="15.75" customHeight="1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 ht="15.75" customHeight="1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 ht="15.75" customHeight="1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 ht="15.75" customHeight="1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 ht="15.75" customHeight="1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 ht="15.75" customHeight="1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 ht="15.75" customHeight="1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 ht="15.75" customHeight="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 ht="15.75" customHeight="1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 ht="15.75" customHeight="1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 ht="15.75" customHeight="1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 ht="15.75" customHeight="1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 ht="15.75" customHeight="1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 ht="15.75" customHeight="1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 ht="15.75" customHeight="1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 ht="15.75" customHeight="1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 ht="15.75" customHeight="1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 ht="15.75" customHeight="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 ht="15.75" customHeight="1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 ht="15.75" customHeight="1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 ht="15.75" customHeight="1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 ht="15.75" customHeight="1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 ht="15.75" customHeight="1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 ht="15.75" customHeight="1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 ht="15.75" customHeight="1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 ht="15.75" customHeight="1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 ht="15.75" customHeight="1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 ht="15.75" customHeight="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 ht="15.75" customHeight="1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 ht="15.75" customHeight="1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 ht="15.75" customHeight="1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 ht="15.75" customHeight="1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 ht="15.75" customHeight="1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 ht="15.75" customHeight="1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 ht="15.75" customHeight="1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 ht="15.75" customHeight="1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 ht="15.75" customHeight="1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 ht="15.75" customHeight="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 ht="15.75" customHeight="1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 ht="15.75" customHeight="1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 ht="15.75" customHeight="1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 ht="15.75" customHeight="1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 ht="15.75" customHeight="1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 ht="15.75" customHeight="1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 ht="15.75" customHeight="1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 ht="15.75" customHeight="1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 ht="15.75" customHeight="1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 ht="15.75" customHeight="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 ht="15.75" customHeight="1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 ht="15.75" customHeight="1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 ht="15.75" customHeight="1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 ht="15.75" customHeight="1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 ht="15.75" customHeight="1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 ht="15.75" customHeight="1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 ht="15.75" customHeight="1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 ht="15.75" customHeight="1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 ht="15.75" customHeight="1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 ht="15.75" customHeight="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 ht="15.75" customHeight="1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 ht="15.75" customHeight="1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 ht="15.75" customHeight="1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 ht="15.75" customHeight="1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 ht="15.75" customHeight="1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 ht="15.75" customHeight="1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 ht="15.75" customHeight="1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 ht="15.75" customHeight="1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 ht="15.75" customHeight="1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 ht="15.75" customHeight="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 ht="15.75" customHeight="1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 ht="15.75" customHeight="1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 ht="15.75" customHeight="1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 ht="15.75" customHeight="1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 ht="15.75" customHeight="1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 ht="15.75" customHeight="1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 ht="15.75" customHeight="1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 ht="15.75" customHeight="1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 ht="15.75" customHeight="1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 ht="15.75" customHeight="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 ht="15.75" customHeight="1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 ht="15.75" customHeight="1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 ht="15.75" customHeight="1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 ht="15.75" customHeight="1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 ht="15.75" customHeight="1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 ht="15.75" customHeight="1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 ht="15.75" customHeight="1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 ht="15.75" customHeight="1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 ht="15.75" customHeight="1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 ht="15.75" customHeight="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 ht="15.75" customHeight="1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 ht="15.75" customHeight="1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 ht="15.75" customHeight="1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 ht="15.75" customHeight="1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 ht="15.75" customHeight="1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 ht="15.75" customHeight="1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 ht="15.75" customHeight="1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 ht="15.75" customHeight="1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 ht="15.75" customHeight="1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 ht="15.75" customHeight="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 ht="15.75" customHeight="1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 ht="15.75" customHeight="1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 ht="15.75" customHeight="1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 ht="15.75" customHeight="1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 ht="15.75" customHeight="1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 ht="15.75" customHeight="1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 ht="15.75" customHeight="1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 ht="15.75" customHeight="1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 ht="15.75" customHeight="1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 ht="15.75" customHeight="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 ht="15.75" customHeight="1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 ht="15.75" customHeight="1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 ht="15.75" customHeight="1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 ht="15.75" customHeight="1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 ht="15.75" customHeight="1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 ht="15.75" customHeight="1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 ht="15.75" customHeight="1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 ht="15.75" customHeight="1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 ht="15.75" customHeight="1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 ht="15.75" customHeight="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 ht="15.75" customHeight="1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 ht="15.75" customHeight="1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 ht="15.75" customHeight="1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 ht="15.75" customHeight="1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 ht="15.75" customHeight="1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 ht="15.75" customHeight="1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 ht="15.75" customHeight="1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 ht="15.75" customHeight="1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 ht="15.75" customHeight="1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 ht="15.75" customHeight="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 ht="15.75" customHeight="1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 ht="15.75" customHeight="1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 ht="15.75" customHeight="1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 ht="15.75" customHeight="1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 ht="15.75" customHeight="1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 ht="15.75" customHeight="1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 ht="15.75" customHeight="1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 ht="15.75" customHeight="1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 ht="15.75" customHeight="1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 ht="15.75" customHeight="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 ht="15.75" customHeight="1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 ht="15.75" customHeight="1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 ht="15.75" customHeight="1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 ht="15.75" customHeight="1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 ht="15.75" customHeight="1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 ht="15.75" customHeight="1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 ht="15.75" customHeight="1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 ht="15.75" customHeight="1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 ht="15.75" customHeight="1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 ht="15.75" customHeight="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 ht="15.75" customHeight="1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 ht="15.75" customHeight="1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 ht="15.75" customHeight="1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 ht="15.75" customHeight="1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 ht="15.75" customHeight="1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 ht="15.75" customHeight="1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 ht="15.75" customHeight="1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 ht="15.75" customHeight="1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 ht="15.75" customHeight="1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 ht="15.75" customHeight="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 ht="15.75" customHeight="1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 ht="15.75" customHeight="1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 ht="15.75" customHeight="1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 ht="15.75" customHeight="1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 ht="15.75" customHeight="1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 ht="15.75" customHeight="1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 ht="15.75" customHeight="1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 ht="15.75" customHeight="1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 ht="15.75" customHeight="1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 ht="15.75" customHeight="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 ht="15.75" customHeight="1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 ht="15.75" customHeight="1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 ht="15.75" customHeight="1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 ht="15.75" customHeight="1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 ht="15.75" customHeight="1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 ht="15.75" customHeight="1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 ht="15.75" customHeight="1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 ht="15.75" customHeight="1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 ht="15.75" customHeight="1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 ht="15.75" customHeight="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 ht="15.75" customHeight="1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 ht="15.75" customHeight="1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 ht="15.75" customHeight="1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 ht="15.75" customHeight="1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 ht="15.75" customHeight="1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 ht="15.75" customHeight="1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 ht="15.75" customHeight="1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 ht="15.75" customHeight="1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 ht="15.75" customHeight="1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 ht="15.75" customHeight="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 ht="15.75" customHeight="1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 ht="15.75" customHeight="1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 ht="15.75" customHeight="1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 ht="15.75" customHeight="1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 ht="15.75" customHeight="1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 ht="15.75" customHeight="1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 ht="15.75" customHeight="1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 ht="15.75" customHeight="1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 ht="15.75" customHeight="1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 ht="15.75" customHeight="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 ht="15.75" customHeight="1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 ht="15.75" customHeight="1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 ht="15.75" customHeight="1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 ht="15.75" customHeight="1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 ht="15.75" customHeight="1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 ht="15.75" customHeight="1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 ht="15.75" customHeight="1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 ht="15.75" customHeight="1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 ht="15.75" customHeight="1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 ht="15.75" customHeight="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 ht="15.75" customHeight="1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 ht="15.75" customHeight="1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 ht="15.75" customHeight="1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 ht="15.75" customHeight="1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 ht="15.75" customHeight="1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 ht="15.75" customHeight="1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 ht="15.75" customHeight="1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 ht="15.75" customHeight="1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 ht="15.75" customHeight="1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 ht="15.75" customHeight="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 ht="15.75" customHeight="1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 ht="15.75" customHeight="1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 ht="15.75" customHeight="1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 ht="15.75" customHeight="1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 ht="15.75" customHeight="1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 ht="15.75" customHeight="1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 ht="15.75" customHeight="1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 ht="15.75" customHeight="1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 ht="15.75" customHeight="1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 ht="15.75" customHeight="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 ht="15.75" customHeight="1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 ht="15.75" customHeight="1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 ht="15.75" customHeight="1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 ht="15.75" customHeight="1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 ht="15.75" customHeight="1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 ht="15.75" customHeight="1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 ht="15.75" customHeight="1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 ht="15.75" customHeight="1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 ht="15.75" customHeight="1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 ht="15.75" customHeight="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 ht="15.75" customHeight="1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 ht="15.75" customHeight="1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 ht="15.75" customHeight="1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 ht="15.75" customHeight="1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 ht="15.75" customHeight="1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 ht="15.75" customHeight="1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 ht="15.75" customHeight="1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 ht="15.75" customHeight="1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 ht="15.75" customHeight="1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 ht="15.75" customHeight="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 ht="15.75" customHeight="1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 ht="15.75" customHeight="1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 ht="15.75" customHeight="1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 ht="15.75" customHeight="1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 ht="15.75" customHeight="1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 ht="15.75" customHeight="1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 ht="15.75" customHeight="1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 ht="15.75" customHeight="1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 ht="15.75" customHeight="1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 ht="15.75" customHeight="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 ht="15.75" customHeight="1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 ht="15.75" customHeight="1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 ht="15.75" customHeight="1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 ht="15.75" customHeight="1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 ht="15.75" customHeight="1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 ht="15.75" customHeight="1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 ht="15.75" customHeight="1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 ht="15.75" customHeight="1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 ht="15.75" customHeight="1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 ht="15.75" customHeight="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 ht="15.75" customHeight="1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 ht="15.75" customHeight="1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 ht="15.75" customHeight="1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 ht="15.75" customHeight="1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 ht="15.75" customHeight="1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 ht="15.75" customHeight="1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 ht="15.75" customHeight="1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 ht="15.75" customHeight="1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 ht="15.75" customHeight="1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 ht="15.75" customHeight="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 ht="15.75" customHeight="1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 ht="15.75" customHeight="1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4" t="s">
        <v>2</v>
      </c>
      <c r="B1" s="3"/>
      <c r="C1" s="5"/>
    </row>
    <row r="2" ht="15.75" customHeight="1">
      <c r="A2" s="6"/>
      <c r="B2" s="6"/>
      <c r="C2" s="6"/>
    </row>
    <row r="3" ht="15.75" customHeight="1">
      <c r="A3" s="8" t="s">
        <v>3</v>
      </c>
      <c r="B3" s="9" t="s">
        <v>6</v>
      </c>
      <c r="C3" s="6"/>
    </row>
    <row r="4" ht="15.75" customHeight="1">
      <c r="A4" s="12" t="s">
        <v>7</v>
      </c>
      <c r="B4" s="9" t="s">
        <v>10</v>
      </c>
      <c r="C4" s="6"/>
    </row>
    <row r="5" ht="15.75" customHeight="1">
      <c r="A5" s="16"/>
      <c r="B5" s="6"/>
      <c r="C5" s="6"/>
    </row>
    <row r="6" ht="15.75" customHeight="1">
      <c r="A6" s="16"/>
      <c r="B6" s="6"/>
      <c r="C6" s="6"/>
    </row>
    <row r="7" ht="15.75" customHeight="1">
      <c r="A7" s="16"/>
      <c r="B7" s="6"/>
      <c r="C7" s="6"/>
    </row>
    <row r="8" ht="15.75" customHeight="1">
      <c r="A8" s="16"/>
      <c r="B8" s="6"/>
      <c r="C8" s="6"/>
    </row>
    <row r="9" ht="15.75" customHeight="1">
      <c r="A9" s="16"/>
      <c r="B9" s="6"/>
      <c r="C9" s="6"/>
    </row>
    <row r="10" ht="15.75" customHeight="1">
      <c r="A10" s="16"/>
      <c r="B10" s="6"/>
      <c r="C10" s="6"/>
    </row>
    <row r="11" ht="15.75" customHeight="1">
      <c r="A11" s="16"/>
      <c r="B11" s="6"/>
      <c r="C11" s="6"/>
    </row>
    <row r="12" ht="15.75" customHeight="1">
      <c r="A12" s="16"/>
      <c r="B12" s="6"/>
      <c r="C12" s="6"/>
    </row>
    <row r="13" ht="15.75" customHeight="1">
      <c r="A13" s="16"/>
      <c r="B13" s="6"/>
      <c r="C13" s="6"/>
    </row>
    <row r="14" ht="15.75" customHeight="1">
      <c r="A14" s="16"/>
      <c r="B14" s="6"/>
      <c r="C14" s="6"/>
    </row>
    <row r="15" ht="15.75" customHeight="1">
      <c r="A15" s="16"/>
      <c r="B15" s="6"/>
      <c r="C15" s="6"/>
    </row>
    <row r="16" ht="15.75" customHeight="1">
      <c r="A16" s="16"/>
      <c r="B16" s="6"/>
      <c r="C16" s="6"/>
    </row>
    <row r="17" ht="15.75" customHeight="1">
      <c r="A17" s="16"/>
      <c r="B17" s="6"/>
      <c r="C17" s="6"/>
    </row>
    <row r="18" ht="15.75" customHeight="1">
      <c r="A18" s="16"/>
      <c r="B18" s="6"/>
      <c r="C18" s="6"/>
    </row>
    <row r="19" ht="15.75" customHeight="1">
      <c r="A19" s="16"/>
      <c r="B19" s="6"/>
      <c r="C19" s="6"/>
    </row>
    <row r="20" ht="15.75" customHeight="1">
      <c r="A20" s="16"/>
      <c r="B20" s="6"/>
      <c r="C20" s="6"/>
    </row>
    <row r="21" ht="15.75" customHeight="1">
      <c r="A21" s="16"/>
      <c r="B21" s="6"/>
      <c r="C21" s="6"/>
    </row>
    <row r="22" ht="15.75" customHeight="1">
      <c r="A22" s="16"/>
      <c r="B22" s="6"/>
      <c r="C22" s="6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" t="s">
        <v>0</v>
      </c>
      <c r="B1" s="3"/>
      <c r="C1" s="3"/>
      <c r="D1" s="3"/>
      <c r="E1" s="3"/>
      <c r="F1" s="5"/>
    </row>
    <row r="2">
      <c r="A2" s="7"/>
      <c r="B2" s="7"/>
      <c r="C2" s="7"/>
      <c r="D2" s="7"/>
      <c r="E2" s="7"/>
      <c r="F2" s="7"/>
    </row>
    <row r="3">
      <c r="A3" s="12" t="s">
        <v>4</v>
      </c>
      <c r="B3" s="13" t="s">
        <v>8</v>
      </c>
      <c r="C3" s="13" t="s">
        <v>9</v>
      </c>
      <c r="D3" s="14"/>
      <c r="E3" s="14"/>
      <c r="F3" s="14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  <c r="E4" t="str">
        <f>IFERROR(__xludf.DUMMYFUNCTION("""COMPUTED_VALUE"""),"")</f>
        <v/>
      </c>
      <c r="F4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  <c r="E5" t="str">
        <f>IFERROR(__xludf.DUMMYFUNCTION("""COMPUTED_VALUE"""),"")</f>
        <v/>
      </c>
      <c r="F5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  <c r="E6" t="str">
        <f>IFERROR(__xludf.DUMMYFUNCTION("""COMPUTED_VALUE"""),"")</f>
        <v/>
      </c>
      <c r="F6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  <c r="E7" t="str">
        <f>IFERROR(__xludf.DUMMYFUNCTION("""COMPUTED_VALUE"""),"")</f>
        <v/>
      </c>
      <c r="F7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  <c r="E8" t="str">
        <f>IFERROR(__xludf.DUMMYFUNCTION("""COMPUTED_VALUE"""),"")</f>
        <v/>
      </c>
      <c r="F8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  <c r="E9" t="str">
        <f>IFERROR(__xludf.DUMMYFUNCTION("""COMPUTED_VALUE"""),"")</f>
        <v/>
      </c>
      <c r="F9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  <c r="E10" t="str">
        <f>IFERROR(__xludf.DUMMYFUNCTION("""COMPUTED_VALUE"""),"")</f>
        <v/>
      </c>
      <c r="F10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  <c r="E11" t="str">
        <f>IFERROR(__xludf.DUMMYFUNCTION("""COMPUTED_VALUE"""),"")</f>
        <v/>
      </c>
      <c r="F11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  <c r="E12" t="str">
        <f>IFERROR(__xludf.DUMMYFUNCTION("""COMPUTED_VALUE"""),"")</f>
        <v/>
      </c>
      <c r="F12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  <c r="E13" t="str">
        <f>IFERROR(__xludf.DUMMYFUNCTION("""COMPUTED_VALUE"""),"")</f>
        <v/>
      </c>
      <c r="F13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  <c r="E14" t="str">
        <f>IFERROR(__xludf.DUMMYFUNCTION("""COMPUTED_VALUE"""),"")</f>
        <v/>
      </c>
      <c r="F14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  <c r="E15" t="str">
        <f>IFERROR(__xludf.DUMMYFUNCTION("""COMPUTED_VALUE"""),"")</f>
        <v/>
      </c>
      <c r="F15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  <c r="E16" t="str">
        <f>IFERROR(__xludf.DUMMYFUNCTION("""COMPUTED_VALUE"""),"")</f>
        <v/>
      </c>
      <c r="F16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  <c r="E17" t="str">
        <f>IFERROR(__xludf.DUMMYFUNCTION("""COMPUTED_VALUE"""),"")</f>
        <v/>
      </c>
      <c r="F17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  <c r="E18" t="str">
        <f>IFERROR(__xludf.DUMMYFUNCTION("""COMPUTED_VALUE"""),"")</f>
        <v/>
      </c>
      <c r="F18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  <c r="E19" t="str">
        <f>IFERROR(__xludf.DUMMYFUNCTION("""COMPUTED_VALUE"""),"")</f>
        <v/>
      </c>
      <c r="F19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  <c r="E20" t="str">
        <f>IFERROR(__xludf.DUMMYFUNCTION("""COMPUTED_VALUE"""),"")</f>
        <v/>
      </c>
      <c r="F20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>
      <c r="A21" t="str">
        <f>IFERROR(__xludf.DUMMYFUNCTION("""COMPUTED_VALUE"""),"")</f>
        <v/>
      </c>
      <c r="B21" t="str">
        <f>IFERROR(__xludf.DUMMYFUNCTION("""COMPUTED_VALUE"""),"")</f>
        <v/>
      </c>
      <c r="C21" t="str">
        <f>IFERROR(__xludf.DUMMYFUNCTION("""COMPUTED_VALUE"""),"")</f>
        <v/>
      </c>
      <c r="D21" t="str">
        <f>IFERROR(__xludf.DUMMYFUNCTION("""COMPUTED_VALUE"""),"")</f>
        <v/>
      </c>
      <c r="E21" t="str">
        <f>IFERROR(__xludf.DUMMYFUNCTION("""COMPUTED_VALUE"""),"")</f>
        <v/>
      </c>
      <c r="F21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>
      <c r="A22" t="str">
        <f>IFERROR(__xludf.DUMMYFUNCTION("""COMPUTED_VALUE"""),"")</f>
        <v/>
      </c>
      <c r="B22" t="str">
        <f>IFERROR(__xludf.DUMMYFUNCTION("""COMPUTED_VALUE"""),"")</f>
        <v/>
      </c>
      <c r="C22" t="str">
        <f>IFERROR(__xludf.DUMMYFUNCTION("""COMPUTED_VALUE"""),"")</f>
        <v/>
      </c>
      <c r="D22" t="str">
        <f>IFERROR(__xludf.DUMMYFUNCTION("""COMPUTED_VALUE"""),"")</f>
        <v/>
      </c>
      <c r="E22" t="str">
        <f>IFERROR(__xludf.DUMMYFUNCTION("""COMPUTED_VALUE"""),"")</f>
        <v/>
      </c>
      <c r="F22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>
      <c r="A23" t="str">
        <f>IFERROR(__xludf.DUMMYFUNCTION("""COMPUTED_VALUE"""),"")</f>
        <v/>
      </c>
      <c r="B23" t="str">
        <f>IFERROR(__xludf.DUMMYFUNCTION("""COMPUTED_VALUE"""),"")</f>
        <v/>
      </c>
      <c r="C23" t="str">
        <f>IFERROR(__xludf.DUMMYFUNCTION("""COMPUTED_VALUE"""),"")</f>
        <v/>
      </c>
      <c r="D23" t="str">
        <f>IFERROR(__xludf.DUMMYFUNCTION("""COMPUTED_VALUE"""),"")</f>
        <v/>
      </c>
      <c r="E23" t="str">
        <f>IFERROR(__xludf.DUMMYFUNCTION("""COMPUTED_VALUE"""),"")</f>
        <v/>
      </c>
      <c r="F23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>
      <c r="A24" t="str">
        <f>IFERROR(__xludf.DUMMYFUNCTION("""COMPUTED_VALUE"""),"")</f>
        <v/>
      </c>
      <c r="B24" t="str">
        <f>IFERROR(__xludf.DUMMYFUNCTION("""COMPUTED_VALUE"""),"")</f>
        <v/>
      </c>
      <c r="C24" t="str">
        <f>IFERROR(__xludf.DUMMYFUNCTION("""COMPUTED_VALUE"""),"")</f>
        <v/>
      </c>
      <c r="D24" t="str">
        <f>IFERROR(__xludf.DUMMYFUNCTION("""COMPUTED_VALUE"""),"")</f>
        <v/>
      </c>
      <c r="E24" t="str">
        <f>IFERROR(__xludf.DUMMYFUNCTION("""COMPUTED_VALUE"""),"")</f>
        <v/>
      </c>
      <c r="F24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>
      <c r="A25" t="str">
        <f>IFERROR(__xludf.DUMMYFUNCTION("""COMPUTED_VALUE"""),"")</f>
        <v/>
      </c>
      <c r="B25" t="str">
        <f>IFERROR(__xludf.DUMMYFUNCTION("""COMPUTED_VALUE"""),"")</f>
        <v/>
      </c>
      <c r="C25" t="str">
        <f>IFERROR(__xludf.DUMMYFUNCTION("""COMPUTED_VALUE"""),"")</f>
        <v/>
      </c>
      <c r="D25" t="str">
        <f>IFERROR(__xludf.DUMMYFUNCTION("""COMPUTED_VALUE"""),"")</f>
        <v/>
      </c>
      <c r="E25" t="str">
        <f>IFERROR(__xludf.DUMMYFUNCTION("""COMPUTED_VALUE"""),"")</f>
        <v/>
      </c>
      <c r="F25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>
      <c r="A26" t="str">
        <f>IFERROR(__xludf.DUMMYFUNCTION("""COMPUTED_VALUE"""),"")</f>
        <v/>
      </c>
      <c r="B26" t="str">
        <f>IFERROR(__xludf.DUMMYFUNCTION("""COMPUTED_VALUE"""),"")</f>
        <v/>
      </c>
      <c r="C26" t="str">
        <f>IFERROR(__xludf.DUMMYFUNCTION("""COMPUTED_VALUE"""),"")</f>
        <v/>
      </c>
      <c r="D26" t="str">
        <f>IFERROR(__xludf.DUMMYFUNCTION("""COMPUTED_VALUE"""),"")</f>
        <v/>
      </c>
      <c r="E26" t="str">
        <f>IFERROR(__xludf.DUMMYFUNCTION("""COMPUTED_VALUE"""),"")</f>
        <v/>
      </c>
      <c r="F26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>
      <c r="A27" t="str">
        <f>IFERROR(__xludf.DUMMYFUNCTION("""COMPUTED_VALUE"""),"")</f>
        <v/>
      </c>
      <c r="B27" t="str">
        <f>IFERROR(__xludf.DUMMYFUNCTION("""COMPUTED_VALUE"""),"")</f>
        <v/>
      </c>
      <c r="C27" t="str">
        <f>IFERROR(__xludf.DUMMYFUNCTION("""COMPUTED_VALUE"""),"")</f>
        <v/>
      </c>
      <c r="D27" t="str">
        <f>IFERROR(__xludf.DUMMYFUNCTION("""COMPUTED_VALUE"""),"")</f>
        <v/>
      </c>
      <c r="E27" t="str">
        <f>IFERROR(__xludf.DUMMYFUNCTION("""COMPUTED_VALUE"""),"")</f>
        <v/>
      </c>
      <c r="F27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>
      <c r="A28" t="str">
        <f>IFERROR(__xludf.DUMMYFUNCTION("""COMPUTED_VALUE"""),"")</f>
        <v/>
      </c>
      <c r="B28" t="str">
        <f>IFERROR(__xludf.DUMMYFUNCTION("""COMPUTED_VALUE"""),"")</f>
        <v/>
      </c>
      <c r="C28" t="str">
        <f>IFERROR(__xludf.DUMMYFUNCTION("""COMPUTED_VALUE"""),"")</f>
        <v/>
      </c>
      <c r="D28" t="str">
        <f>IFERROR(__xludf.DUMMYFUNCTION("""COMPUTED_VALUE"""),"")</f>
        <v/>
      </c>
      <c r="E28" t="str">
        <f>IFERROR(__xludf.DUMMYFUNCTION("""COMPUTED_VALUE"""),"")</f>
        <v/>
      </c>
      <c r="F28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>
      <c r="A29" t="str">
        <f>IFERROR(__xludf.DUMMYFUNCTION("""COMPUTED_VALUE"""),"")</f>
        <v/>
      </c>
      <c r="B29" t="str">
        <f>IFERROR(__xludf.DUMMYFUNCTION("""COMPUTED_VALUE"""),"")</f>
        <v/>
      </c>
      <c r="C29" t="str">
        <f>IFERROR(__xludf.DUMMYFUNCTION("""COMPUTED_VALUE"""),"")</f>
        <v/>
      </c>
      <c r="D29" t="str">
        <f>IFERROR(__xludf.DUMMYFUNCTION("""COMPUTED_VALUE"""),"")</f>
        <v/>
      </c>
      <c r="E29" t="str">
        <f>IFERROR(__xludf.DUMMYFUNCTION("""COMPUTED_VALUE"""),"")</f>
        <v/>
      </c>
      <c r="F29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>
      <c r="A30" t="str">
        <f>IFERROR(__xludf.DUMMYFUNCTION("""COMPUTED_VALUE"""),"")</f>
        <v/>
      </c>
      <c r="B30" t="str">
        <f>IFERROR(__xludf.DUMMYFUNCTION("""COMPUTED_VALUE"""),"")</f>
        <v/>
      </c>
      <c r="C30" t="str">
        <f>IFERROR(__xludf.DUMMYFUNCTION("""COMPUTED_VALUE"""),"")</f>
        <v/>
      </c>
      <c r="D30" t="str">
        <f>IFERROR(__xludf.DUMMYFUNCTION("""COMPUTED_VALUE"""),"")</f>
        <v/>
      </c>
      <c r="E30" t="str">
        <f>IFERROR(__xludf.DUMMYFUNCTION("""COMPUTED_VALUE"""),"")</f>
        <v/>
      </c>
      <c r="F30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>
      <c r="A31" t="str">
        <f>IFERROR(__xludf.DUMMYFUNCTION("""COMPUTED_VALUE"""),"")</f>
        <v/>
      </c>
      <c r="B31" t="str">
        <f>IFERROR(__xludf.DUMMYFUNCTION("""COMPUTED_VALUE"""),"")</f>
        <v/>
      </c>
      <c r="C31" t="str">
        <f>IFERROR(__xludf.DUMMYFUNCTION("""COMPUTED_VALUE"""),"")</f>
        <v/>
      </c>
      <c r="D31" t="str">
        <f>IFERROR(__xludf.DUMMYFUNCTION("""COMPUTED_VALUE"""),"")</f>
        <v/>
      </c>
      <c r="E31" t="str">
        <f>IFERROR(__xludf.DUMMYFUNCTION("""COMPUTED_VALUE"""),"")</f>
        <v/>
      </c>
      <c r="F31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>
      <c r="A32" t="str">
        <f>IFERROR(__xludf.DUMMYFUNCTION("""COMPUTED_VALUE"""),"")</f>
        <v/>
      </c>
      <c r="B32" t="str">
        <f>IFERROR(__xludf.DUMMYFUNCTION("""COMPUTED_VALUE"""),"")</f>
        <v/>
      </c>
      <c r="C32" t="str">
        <f>IFERROR(__xludf.DUMMYFUNCTION("""COMPUTED_VALUE"""),"")</f>
        <v/>
      </c>
      <c r="D32" t="str">
        <f>IFERROR(__xludf.DUMMYFUNCTION("""COMPUTED_VALUE"""),"")</f>
        <v/>
      </c>
      <c r="E32" t="str">
        <f>IFERROR(__xludf.DUMMYFUNCTION("""COMPUTED_VALUE"""),"")</f>
        <v/>
      </c>
      <c r="F32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>
      <c r="A33" t="str">
        <f>IFERROR(__xludf.DUMMYFUNCTION("""COMPUTED_VALUE"""),"")</f>
        <v/>
      </c>
      <c r="B33" t="str">
        <f>IFERROR(__xludf.DUMMYFUNCTION("""COMPUTED_VALUE"""),"")</f>
        <v/>
      </c>
      <c r="C33" t="str">
        <f>IFERROR(__xludf.DUMMYFUNCTION("""COMPUTED_VALUE"""),"")</f>
        <v/>
      </c>
      <c r="D33" t="str">
        <f>IFERROR(__xludf.DUMMYFUNCTION("""COMPUTED_VALUE"""),"")</f>
        <v/>
      </c>
      <c r="E33" t="str">
        <f>IFERROR(__xludf.DUMMYFUNCTION("""COMPUTED_VALUE"""),"")</f>
        <v/>
      </c>
      <c r="F33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>
      <c r="A34" t="str">
        <f>IFERROR(__xludf.DUMMYFUNCTION("""COMPUTED_VALUE"""),"")</f>
        <v/>
      </c>
      <c r="B34" t="str">
        <f>IFERROR(__xludf.DUMMYFUNCTION("""COMPUTED_VALUE"""),"")</f>
        <v/>
      </c>
      <c r="C34" t="str">
        <f>IFERROR(__xludf.DUMMYFUNCTION("""COMPUTED_VALUE"""),"")</f>
        <v/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>
      <c r="A35" t="str">
        <f>IFERROR(__xludf.DUMMYFUNCTION("""COMPUTED_VALUE"""),"")</f>
        <v/>
      </c>
      <c r="B35" t="str">
        <f>IFERROR(__xludf.DUMMYFUNCTION("""COMPUTED_VALUE"""),"")</f>
        <v/>
      </c>
      <c r="C35" t="str">
        <f>IFERROR(__xludf.DUMMYFUNCTION("""COMPUTED_VALUE"""),"")</f>
        <v/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>
      <c r="A36" t="str">
        <f>IFERROR(__xludf.DUMMYFUNCTION("""COMPUTED_VALUE"""),"")</f>
        <v/>
      </c>
      <c r="B36" t="str">
        <f>IFERROR(__xludf.DUMMYFUNCTION("""COMPUTED_VALUE"""),"")</f>
        <v/>
      </c>
      <c r="C36" t="str">
        <f>IFERROR(__xludf.DUMMYFUNCTION("""COMPUTED_VALUE"""),"")</f>
        <v/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>
      <c r="A37" t="str">
        <f>IFERROR(__xludf.DUMMYFUNCTION("""COMPUTED_VALUE"""),"")</f>
        <v/>
      </c>
      <c r="B37" t="str">
        <f>IFERROR(__xludf.DUMMYFUNCTION("""COMPUTED_VALUE"""),"")</f>
        <v/>
      </c>
      <c r="C37" t="str">
        <f>IFERROR(__xludf.DUMMYFUNCTION("""COMPUTED_VALUE"""),"")</f>
        <v/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>
      <c r="A38" t="str">
        <f>IFERROR(__xludf.DUMMYFUNCTION("""COMPUTED_VALUE"""),"")</f>
        <v/>
      </c>
      <c r="B38" t="str">
        <f>IFERROR(__xludf.DUMMYFUNCTION("""COMPUTED_VALUE"""),"")</f>
        <v/>
      </c>
      <c r="C38" t="str">
        <f>IFERROR(__xludf.DUMMYFUNCTION("""COMPUTED_VALUE"""),"")</f>
        <v/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>
      <c r="A39" t="str">
        <f>IFERROR(__xludf.DUMMYFUNCTION("""COMPUTED_VALUE"""),"")</f>
        <v/>
      </c>
      <c r="B39" t="str">
        <f>IFERROR(__xludf.DUMMYFUNCTION("""COMPUTED_VALUE"""),"")</f>
        <v/>
      </c>
      <c r="C39" t="str">
        <f>IFERROR(__xludf.DUMMYFUNCTION("""COMPUTED_VALUE"""),"")</f>
        <v/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>
      <c r="A40" t="str">
        <f>IFERROR(__xludf.DUMMYFUNCTION("""COMPUTED_VALUE"""),"")</f>
        <v/>
      </c>
      <c r="B40" t="str">
        <f>IFERROR(__xludf.DUMMYFUNCTION("""COMPUTED_VALUE"""),"")</f>
        <v/>
      </c>
      <c r="C40" t="str">
        <f>IFERROR(__xludf.DUMMYFUNCTION("""COMPUTED_VALUE"""),"")</f>
        <v/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>
      <c r="A41" t="str">
        <f>IFERROR(__xludf.DUMMYFUNCTION("""COMPUTED_VALUE"""),"")</f>
        <v/>
      </c>
      <c r="B41" t="str">
        <f>IFERROR(__xludf.DUMMYFUNCTION("""COMPUTED_VALUE"""),"")</f>
        <v/>
      </c>
      <c r="C41" t="str">
        <f>IFERROR(__xludf.DUMMYFUNCTION("""COMPUTED_VALUE"""),"")</f>
        <v/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>
      <c r="A42" t="str">
        <f>IFERROR(__xludf.DUMMYFUNCTION("""COMPUTED_VALUE"""),"")</f>
        <v/>
      </c>
      <c r="B42" t="str">
        <f>IFERROR(__xludf.DUMMYFUNCTION("""COMPUTED_VALUE"""),"")</f>
        <v/>
      </c>
      <c r="C42" t="str">
        <f>IFERROR(__xludf.DUMMYFUNCTION("""COMPUTED_VALUE"""),"")</f>
        <v/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>
      <c r="A43" t="str">
        <f>IFERROR(__xludf.DUMMYFUNCTION("""COMPUTED_VALUE"""),"")</f>
        <v/>
      </c>
      <c r="B43" t="str">
        <f>IFERROR(__xludf.DUMMYFUNCTION("""COMPUTED_VALUE"""),"")</f>
        <v/>
      </c>
      <c r="C43" t="str">
        <f>IFERROR(__xludf.DUMMYFUNCTION("""COMPUTED_VALUE"""),"")</f>
        <v/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>
      <c r="A44" t="str">
        <f>IFERROR(__xludf.DUMMYFUNCTION("""COMPUTED_VALUE"""),"")</f>
        <v/>
      </c>
      <c r="B44" t="str">
        <f>IFERROR(__xludf.DUMMYFUNCTION("""COMPUTED_VALUE"""),"")</f>
        <v/>
      </c>
      <c r="C44" t="str">
        <f>IFERROR(__xludf.DUMMYFUNCTION("""COMPUTED_VALUE"""),"")</f>
        <v/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>
      <c r="A45" t="str">
        <f>IFERROR(__xludf.DUMMYFUNCTION("""COMPUTED_VALUE"""),"")</f>
        <v/>
      </c>
      <c r="B45" t="str">
        <f>IFERROR(__xludf.DUMMYFUNCTION("""COMPUTED_VALUE"""),"")</f>
        <v/>
      </c>
      <c r="C45" t="str">
        <f>IFERROR(__xludf.DUMMYFUNCTION("""COMPUTED_VALUE"""),"")</f>
        <v/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>
      <c r="A46" t="str">
        <f>IFERROR(__xludf.DUMMYFUNCTION("""COMPUTED_VALUE"""),"")</f>
        <v/>
      </c>
      <c r="B46" t="str">
        <f>IFERROR(__xludf.DUMMYFUNCTION("""COMPUTED_VALUE"""),"")</f>
        <v/>
      </c>
      <c r="C46" t="str">
        <f>IFERROR(__xludf.DUMMYFUNCTION("""COMPUTED_VALUE"""),"")</f>
        <v/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>
      <c r="A47" t="str">
        <f>IFERROR(__xludf.DUMMYFUNCTION("""COMPUTED_VALUE"""),"")</f>
        <v/>
      </c>
      <c r="B47" t="str">
        <f>IFERROR(__xludf.DUMMYFUNCTION("""COMPUTED_VALUE"""),"")</f>
        <v/>
      </c>
      <c r="C47" t="str">
        <f>IFERROR(__xludf.DUMMYFUNCTION("""COMPUTED_VALUE"""),"")</f>
        <v/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>
      <c r="A48" t="str">
        <f>IFERROR(__xludf.DUMMYFUNCTION("""COMPUTED_VALUE"""),"")</f>
        <v/>
      </c>
      <c r="B48" t="str">
        <f>IFERROR(__xludf.DUMMYFUNCTION("""COMPUTED_VALUE"""),"")</f>
        <v/>
      </c>
      <c r="C48" t="str">
        <f>IFERROR(__xludf.DUMMYFUNCTION("""COMPUTED_VALUE"""),"")</f>
        <v/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>
      <c r="A49" t="str">
        <f>IFERROR(__xludf.DUMMYFUNCTION("""COMPUTED_VALUE"""),"")</f>
        <v/>
      </c>
      <c r="B49" t="str">
        <f>IFERROR(__xludf.DUMMYFUNCTION("""COMPUTED_VALUE"""),"")</f>
        <v/>
      </c>
      <c r="C49" t="str">
        <f>IFERROR(__xludf.DUMMYFUNCTION("""COMPUTED_VALUE"""),"")</f>
        <v/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>
      <c r="A50" t="str">
        <f>IFERROR(__xludf.DUMMYFUNCTION("""COMPUTED_VALUE"""),"")</f>
        <v/>
      </c>
      <c r="B50" t="str">
        <f>IFERROR(__xludf.DUMMYFUNCTION("""COMPUTED_VALUE"""),"")</f>
        <v/>
      </c>
      <c r="C50" t="str">
        <f>IFERROR(__xludf.DUMMYFUNCTION("""COMPUTED_VALUE"""),"")</f>
        <v/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>
      <c r="A51" t="str">
        <f>IFERROR(__xludf.DUMMYFUNCTION("""COMPUTED_VALUE"""),"")</f>
        <v/>
      </c>
      <c r="B51" t="str">
        <f>IFERROR(__xludf.DUMMYFUNCTION("""COMPUTED_VALUE"""),"")</f>
        <v/>
      </c>
      <c r="C51" t="str">
        <f>IFERROR(__xludf.DUMMYFUNCTION("""COMPUTED_VALUE"""),"")</f>
        <v/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>
      <c r="A52" t="str">
        <f>IFERROR(__xludf.DUMMYFUNCTION("""COMPUTED_VALUE"""),"")</f>
        <v/>
      </c>
      <c r="B52" t="str">
        <f>IFERROR(__xludf.DUMMYFUNCTION("""COMPUTED_VALUE"""),"")</f>
        <v/>
      </c>
      <c r="C52" t="str">
        <f>IFERROR(__xludf.DUMMYFUNCTION("""COMPUTED_VALUE"""),"")</f>
        <v/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>
      <c r="A53" t="str">
        <f>IFERROR(__xludf.DUMMYFUNCTION("""COMPUTED_VALUE"""),"")</f>
        <v/>
      </c>
      <c r="B53" t="str">
        <f>IFERROR(__xludf.DUMMYFUNCTION("""COMPUTED_VALUE"""),"")</f>
        <v/>
      </c>
      <c r="C53" t="str">
        <f>IFERROR(__xludf.DUMMYFUNCTION("""COMPUTED_VALUE"""),"")</f>
        <v/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>
      <c r="A54" t="str">
        <f>IFERROR(__xludf.DUMMYFUNCTION("""COMPUTED_VALUE"""),"")</f>
        <v/>
      </c>
      <c r="B54" t="str">
        <f>IFERROR(__xludf.DUMMYFUNCTION("""COMPUTED_VALUE"""),"")</f>
        <v/>
      </c>
      <c r="C54" t="str">
        <f>IFERROR(__xludf.DUMMYFUNCTION("""COMPUTED_VALUE"""),"")</f>
        <v/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>
      <c r="A55" t="str">
        <f>IFERROR(__xludf.DUMMYFUNCTION("""COMPUTED_VALUE"""),"")</f>
        <v/>
      </c>
      <c r="B55" t="str">
        <f>IFERROR(__xludf.DUMMYFUNCTION("""COMPUTED_VALUE"""),"")</f>
        <v/>
      </c>
      <c r="C55" t="str">
        <f>IFERROR(__xludf.DUMMYFUNCTION("""COMPUTED_VALUE"""),"")</f>
        <v/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>
      <c r="A56" t="str">
        <f>IFERROR(__xludf.DUMMYFUNCTION("""COMPUTED_VALUE"""),"")</f>
        <v/>
      </c>
      <c r="B56" t="str">
        <f>IFERROR(__xludf.DUMMYFUNCTION("""COMPUTED_VALUE"""),"")</f>
        <v/>
      </c>
      <c r="C56" t="str">
        <f>IFERROR(__xludf.DUMMYFUNCTION("""COMPUTED_VALUE"""),"")</f>
        <v/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>
      <c r="A57" t="str">
        <f>IFERROR(__xludf.DUMMYFUNCTION("""COMPUTED_VALUE"""),"")</f>
        <v/>
      </c>
      <c r="B57" t="str">
        <f>IFERROR(__xludf.DUMMYFUNCTION("""COMPUTED_VALUE"""),"")</f>
        <v/>
      </c>
      <c r="C57" t="str">
        <f>IFERROR(__xludf.DUMMYFUNCTION("""COMPUTED_VALUE"""),"")</f>
        <v/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>
      <c r="A58" t="str">
        <f>IFERROR(__xludf.DUMMYFUNCTION("""COMPUTED_VALUE"""),"")</f>
        <v/>
      </c>
      <c r="B58" t="str">
        <f>IFERROR(__xludf.DUMMYFUNCTION("""COMPUTED_VALUE"""),"")</f>
        <v/>
      </c>
      <c r="C58" t="str">
        <f>IFERROR(__xludf.DUMMYFUNCTION("""COMPUTED_VALUE"""),"")</f>
        <v/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>
      <c r="A59" t="str">
        <f>IFERROR(__xludf.DUMMYFUNCTION("""COMPUTED_VALUE"""),"")</f>
        <v/>
      </c>
      <c r="B59" t="str">
        <f>IFERROR(__xludf.DUMMYFUNCTION("""COMPUTED_VALUE"""),"")</f>
        <v/>
      </c>
      <c r="C59" t="str">
        <f>IFERROR(__xludf.DUMMYFUNCTION("""COMPUTED_VALUE"""),"")</f>
        <v/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>
      <c r="A60" t="str">
        <f>IFERROR(__xludf.DUMMYFUNCTION("""COMPUTED_VALUE"""),"")</f>
        <v/>
      </c>
      <c r="B60" t="str">
        <f>IFERROR(__xludf.DUMMYFUNCTION("""COMPUTED_VALUE"""),"")</f>
        <v/>
      </c>
      <c r="C60" t="str">
        <f>IFERROR(__xludf.DUMMYFUNCTION("""COMPUTED_VALUE"""),"")</f>
        <v/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>
      <c r="A61" t="str">
        <f>IFERROR(__xludf.DUMMYFUNCTION("""COMPUTED_VALUE"""),"")</f>
        <v/>
      </c>
      <c r="B61" t="str">
        <f>IFERROR(__xludf.DUMMYFUNCTION("""COMPUTED_VALUE"""),"")</f>
        <v/>
      </c>
      <c r="C61" t="str">
        <f>IFERROR(__xludf.DUMMYFUNCTION("""COMPUTED_VALUE"""),"")</f>
        <v/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>
      <c r="A62" t="str">
        <f>IFERROR(__xludf.DUMMYFUNCTION("""COMPUTED_VALUE"""),"")</f>
        <v/>
      </c>
      <c r="B62" t="str">
        <f>IFERROR(__xludf.DUMMYFUNCTION("""COMPUTED_VALUE"""),"")</f>
        <v/>
      </c>
      <c r="C62" t="str">
        <f>IFERROR(__xludf.DUMMYFUNCTION("""COMPUTED_VALUE"""),"")</f>
        <v/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>
      <c r="A63" t="str">
        <f>IFERROR(__xludf.DUMMYFUNCTION("""COMPUTED_VALUE"""),"")</f>
        <v/>
      </c>
      <c r="B63" t="str">
        <f>IFERROR(__xludf.DUMMYFUNCTION("""COMPUTED_VALUE"""),"")</f>
        <v/>
      </c>
      <c r="C63" t="str">
        <f>IFERROR(__xludf.DUMMYFUNCTION("""COMPUTED_VALUE"""),"")</f>
        <v/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>
      <c r="A64" t="str">
        <f>IFERROR(__xludf.DUMMYFUNCTION("""COMPUTED_VALUE"""),"")</f>
        <v/>
      </c>
      <c r="B64" t="str">
        <f>IFERROR(__xludf.DUMMYFUNCTION("""COMPUTED_VALUE"""),"")</f>
        <v/>
      </c>
      <c r="C64" t="str">
        <f>IFERROR(__xludf.DUMMYFUNCTION("""COMPUTED_VALUE"""),"")</f>
        <v/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>
      <c r="A65" t="str">
        <f>IFERROR(__xludf.DUMMYFUNCTION("""COMPUTED_VALUE"""),"")</f>
        <v/>
      </c>
      <c r="B65" t="str">
        <f>IFERROR(__xludf.DUMMYFUNCTION("""COMPUTED_VALUE"""),"")</f>
        <v/>
      </c>
      <c r="C65" t="str">
        <f>IFERROR(__xludf.DUMMYFUNCTION("""COMPUTED_VALUE"""),"")</f>
        <v/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>
      <c r="A66" t="str">
        <f>IFERROR(__xludf.DUMMYFUNCTION("""COMPUTED_VALUE"""),"")</f>
        <v/>
      </c>
      <c r="B66" t="str">
        <f>IFERROR(__xludf.DUMMYFUNCTION("""COMPUTED_VALUE"""),"")</f>
        <v/>
      </c>
      <c r="C66" t="str">
        <f>IFERROR(__xludf.DUMMYFUNCTION("""COMPUTED_VALUE"""),"")</f>
        <v/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>
      <c r="A67" t="str">
        <f>IFERROR(__xludf.DUMMYFUNCTION("""COMPUTED_VALUE"""),"")</f>
        <v/>
      </c>
      <c r="B67" t="str">
        <f>IFERROR(__xludf.DUMMYFUNCTION("""COMPUTED_VALUE"""),"")</f>
        <v/>
      </c>
      <c r="C67" t="str">
        <f>IFERROR(__xludf.DUMMYFUNCTION("""COMPUTED_VALUE"""),"")</f>
        <v/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>
      <c r="A68" t="str">
        <f>IFERROR(__xludf.DUMMYFUNCTION("""COMPUTED_VALUE"""),"")</f>
        <v/>
      </c>
      <c r="B68" t="str">
        <f>IFERROR(__xludf.DUMMYFUNCTION("""COMPUTED_VALUE"""),"")</f>
        <v/>
      </c>
      <c r="C68" t="str">
        <f>IFERROR(__xludf.DUMMYFUNCTION("""COMPUTED_VALUE"""),"")</f>
        <v/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>
      <c r="A69" t="str">
        <f>IFERROR(__xludf.DUMMYFUNCTION("""COMPUTED_VALUE"""),"")</f>
        <v/>
      </c>
      <c r="B69" t="str">
        <f>IFERROR(__xludf.DUMMYFUNCTION("""COMPUTED_VALUE"""),"")</f>
        <v/>
      </c>
      <c r="C69" t="str">
        <f>IFERROR(__xludf.DUMMYFUNCTION("""COMPUTED_VALUE"""),"")</f>
        <v/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>
      <c r="A70" t="str">
        <f>IFERROR(__xludf.DUMMYFUNCTION("""COMPUTED_VALUE"""),"")</f>
        <v/>
      </c>
      <c r="B70" t="str">
        <f>IFERROR(__xludf.DUMMYFUNCTION("""COMPUTED_VALUE"""),"")</f>
        <v/>
      </c>
      <c r="C70" t="str">
        <f>IFERROR(__xludf.DUMMYFUNCTION("""COMPUTED_VALUE"""),"")</f>
        <v/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>
      <c r="A71" t="str">
        <f>IFERROR(__xludf.DUMMYFUNCTION("""COMPUTED_VALUE"""),"")</f>
        <v/>
      </c>
      <c r="B71" t="str">
        <f>IFERROR(__xludf.DUMMYFUNCTION("""COMPUTED_VALUE"""),"")</f>
        <v/>
      </c>
      <c r="C71" t="str">
        <f>IFERROR(__xludf.DUMMYFUNCTION("""COMPUTED_VALUE"""),"")</f>
        <v/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>
      <c r="A72" t="str">
        <f>IFERROR(__xludf.DUMMYFUNCTION("""COMPUTED_VALUE"""),"")</f>
        <v/>
      </c>
      <c r="B72" t="str">
        <f>IFERROR(__xludf.DUMMYFUNCTION("""COMPUTED_VALUE"""),"")</f>
        <v/>
      </c>
      <c r="C72" t="str">
        <f>IFERROR(__xludf.DUMMYFUNCTION("""COMPUTED_VALUE"""),"")</f>
        <v/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>
      <c r="A73" t="str">
        <f>IFERROR(__xludf.DUMMYFUNCTION("""COMPUTED_VALUE"""),"")</f>
        <v/>
      </c>
      <c r="B73" t="str">
        <f>IFERROR(__xludf.DUMMYFUNCTION("""COMPUTED_VALUE"""),"")</f>
        <v/>
      </c>
      <c r="C73" t="str">
        <f>IFERROR(__xludf.DUMMYFUNCTION("""COMPUTED_VALUE"""),"")</f>
        <v/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>
      <c r="A74" t="str">
        <f>IFERROR(__xludf.DUMMYFUNCTION("""COMPUTED_VALUE"""),"")</f>
        <v/>
      </c>
      <c r="B74" t="str">
        <f>IFERROR(__xludf.DUMMYFUNCTION("""COMPUTED_VALUE"""),"")</f>
        <v/>
      </c>
      <c r="C74" t="str">
        <f>IFERROR(__xludf.DUMMYFUNCTION("""COMPUTED_VALUE"""),"")</f>
        <v/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>
      <c r="A75" t="str">
        <f>IFERROR(__xludf.DUMMYFUNCTION("""COMPUTED_VALUE"""),"")</f>
        <v/>
      </c>
      <c r="B75" t="str">
        <f>IFERROR(__xludf.DUMMYFUNCTION("""COMPUTED_VALUE"""),"")</f>
        <v/>
      </c>
      <c r="C75" t="str">
        <f>IFERROR(__xludf.DUMMYFUNCTION("""COMPUTED_VALUE"""),"")</f>
        <v/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>
      <c r="A76" t="str">
        <f>IFERROR(__xludf.DUMMYFUNCTION("""COMPUTED_VALUE"""),"")</f>
        <v/>
      </c>
      <c r="B76" t="str">
        <f>IFERROR(__xludf.DUMMYFUNCTION("""COMPUTED_VALUE"""),"")</f>
        <v/>
      </c>
      <c r="C76" t="str">
        <f>IFERROR(__xludf.DUMMYFUNCTION("""COMPUTED_VALUE"""),"")</f>
        <v/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>
      <c r="A77" t="str">
        <f>IFERROR(__xludf.DUMMYFUNCTION("""COMPUTED_VALUE"""),"")</f>
        <v/>
      </c>
      <c r="B77" t="str">
        <f>IFERROR(__xludf.DUMMYFUNCTION("""COMPUTED_VALUE"""),"")</f>
        <v/>
      </c>
      <c r="C77" t="str">
        <f>IFERROR(__xludf.DUMMYFUNCTION("""COMPUTED_VALUE"""),"")</f>
        <v/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>
      <c r="A78" t="str">
        <f>IFERROR(__xludf.DUMMYFUNCTION("""COMPUTED_VALUE"""),"")</f>
        <v/>
      </c>
      <c r="B78" t="str">
        <f>IFERROR(__xludf.DUMMYFUNCTION("""COMPUTED_VALUE"""),"")</f>
        <v/>
      </c>
      <c r="C78" t="str">
        <f>IFERROR(__xludf.DUMMYFUNCTION("""COMPUTED_VALUE"""),"")</f>
        <v/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>
      <c r="A79" t="str">
        <f>IFERROR(__xludf.DUMMYFUNCTION("""COMPUTED_VALUE"""),"")</f>
        <v/>
      </c>
      <c r="B79" t="str">
        <f>IFERROR(__xludf.DUMMYFUNCTION("""COMPUTED_VALUE"""),"")</f>
        <v/>
      </c>
      <c r="C79" t="str">
        <f>IFERROR(__xludf.DUMMYFUNCTION("""COMPUTED_VALUE"""),"")</f>
        <v/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>
      <c r="A80" t="str">
        <f>IFERROR(__xludf.DUMMYFUNCTION("""COMPUTED_VALUE"""),"")</f>
        <v/>
      </c>
      <c r="B80" t="str">
        <f>IFERROR(__xludf.DUMMYFUNCTION("""COMPUTED_VALUE"""),"")</f>
        <v/>
      </c>
      <c r="C80" t="str">
        <f>IFERROR(__xludf.DUMMYFUNCTION("""COMPUTED_VALUE"""),"")</f>
        <v/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>
      <c r="A81" t="str">
        <f>IFERROR(__xludf.DUMMYFUNCTION("""COMPUTED_VALUE"""),"")</f>
        <v/>
      </c>
      <c r="B81" t="str">
        <f>IFERROR(__xludf.DUMMYFUNCTION("""COMPUTED_VALUE"""),"")</f>
        <v/>
      </c>
      <c r="C81" t="str">
        <f>IFERROR(__xludf.DUMMYFUNCTION("""COMPUTED_VALUE"""),"")</f>
        <v/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>
      <c r="A82" t="str">
        <f>IFERROR(__xludf.DUMMYFUNCTION("""COMPUTED_VALUE"""),"")</f>
        <v/>
      </c>
      <c r="B82" t="str">
        <f>IFERROR(__xludf.DUMMYFUNCTION("""COMPUTED_VALUE"""),"")</f>
        <v/>
      </c>
      <c r="C82" t="str">
        <f>IFERROR(__xludf.DUMMYFUNCTION("""COMPUTED_VALUE"""),"")</f>
        <v/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>
      <c r="A83" t="str">
        <f>IFERROR(__xludf.DUMMYFUNCTION("""COMPUTED_VALUE"""),"")</f>
        <v/>
      </c>
      <c r="B83" t="str">
        <f>IFERROR(__xludf.DUMMYFUNCTION("""COMPUTED_VALUE"""),"")</f>
        <v/>
      </c>
      <c r="C83" t="str">
        <f>IFERROR(__xludf.DUMMYFUNCTION("""COMPUTED_VALUE"""),"")</f>
        <v/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>
      <c r="A84" t="str">
        <f>IFERROR(__xludf.DUMMYFUNCTION("""COMPUTED_VALUE"""),"")</f>
        <v/>
      </c>
      <c r="B84" t="str">
        <f>IFERROR(__xludf.DUMMYFUNCTION("""COMPUTED_VALUE"""),"")</f>
        <v/>
      </c>
      <c r="C84" t="str">
        <f>IFERROR(__xludf.DUMMYFUNCTION("""COMPUTED_VALUE"""),"")</f>
        <v/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>
      <c r="A85" t="str">
        <f>IFERROR(__xludf.DUMMYFUNCTION("""COMPUTED_VALUE"""),"")</f>
        <v/>
      </c>
      <c r="B85" t="str">
        <f>IFERROR(__xludf.DUMMYFUNCTION("""COMPUTED_VALUE"""),"")</f>
        <v/>
      </c>
      <c r="C85" t="str">
        <f>IFERROR(__xludf.DUMMYFUNCTION("""COMPUTED_VALUE"""),"")</f>
        <v/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>
      <c r="A86" t="str">
        <f>IFERROR(__xludf.DUMMYFUNCTION("""COMPUTED_VALUE"""),"")</f>
        <v/>
      </c>
      <c r="B86" t="str">
        <f>IFERROR(__xludf.DUMMYFUNCTION("""COMPUTED_VALUE"""),"")</f>
        <v/>
      </c>
      <c r="C86" t="str">
        <f>IFERROR(__xludf.DUMMYFUNCTION("""COMPUTED_VALUE"""),"")</f>
        <v/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>
      <c r="A87" t="str">
        <f>IFERROR(__xludf.DUMMYFUNCTION("""COMPUTED_VALUE"""),"")</f>
        <v/>
      </c>
      <c r="B87" t="str">
        <f>IFERROR(__xludf.DUMMYFUNCTION("""COMPUTED_VALUE"""),"")</f>
        <v/>
      </c>
      <c r="C87" t="str">
        <f>IFERROR(__xludf.DUMMYFUNCTION("""COMPUTED_VALUE"""),"")</f>
        <v/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>
      <c r="A88" t="str">
        <f>IFERROR(__xludf.DUMMYFUNCTION("""COMPUTED_VALUE"""),"")</f>
        <v/>
      </c>
      <c r="B88" t="str">
        <f>IFERROR(__xludf.DUMMYFUNCTION("""COMPUTED_VALUE"""),"")</f>
        <v/>
      </c>
      <c r="C88" t="str">
        <f>IFERROR(__xludf.DUMMYFUNCTION("""COMPUTED_VALUE"""),"")</f>
        <v/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>
      <c r="A89" t="str">
        <f>IFERROR(__xludf.DUMMYFUNCTION("""COMPUTED_VALUE"""),"")</f>
        <v/>
      </c>
      <c r="B89" t="str">
        <f>IFERROR(__xludf.DUMMYFUNCTION("""COMPUTED_VALUE"""),"")</f>
        <v/>
      </c>
      <c r="C89" t="str">
        <f>IFERROR(__xludf.DUMMYFUNCTION("""COMPUTED_VALUE"""),"")</f>
        <v/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>
      <c r="A90" t="str">
        <f>IFERROR(__xludf.DUMMYFUNCTION("""COMPUTED_VALUE"""),"")</f>
        <v/>
      </c>
      <c r="B90" t="str">
        <f>IFERROR(__xludf.DUMMYFUNCTION("""COMPUTED_VALUE"""),"")</f>
        <v/>
      </c>
      <c r="C90" t="str">
        <f>IFERROR(__xludf.DUMMYFUNCTION("""COMPUTED_VALUE"""),"")</f>
        <v/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>
      <c r="A91" t="str">
        <f>IFERROR(__xludf.DUMMYFUNCTION("""COMPUTED_VALUE"""),"")</f>
        <v/>
      </c>
      <c r="B91" t="str">
        <f>IFERROR(__xludf.DUMMYFUNCTION("""COMPUTED_VALUE"""),"")</f>
        <v/>
      </c>
      <c r="C91" t="str">
        <f>IFERROR(__xludf.DUMMYFUNCTION("""COMPUTED_VALUE"""),"")</f>
        <v/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>
      <c r="A92" t="str">
        <f>IFERROR(__xludf.DUMMYFUNCTION("""COMPUTED_VALUE"""),"")</f>
        <v/>
      </c>
      <c r="B92" t="str">
        <f>IFERROR(__xludf.DUMMYFUNCTION("""COMPUTED_VALUE"""),"")</f>
        <v/>
      </c>
      <c r="C92" t="str">
        <f>IFERROR(__xludf.DUMMYFUNCTION("""COMPUTED_VALUE"""),"")</f>
        <v/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>
      <c r="A93" t="str">
        <f>IFERROR(__xludf.DUMMYFUNCTION("""COMPUTED_VALUE"""),"")</f>
        <v/>
      </c>
      <c r="B93" t="str">
        <f>IFERROR(__xludf.DUMMYFUNCTION("""COMPUTED_VALUE"""),"")</f>
        <v/>
      </c>
      <c r="C93" t="str">
        <f>IFERROR(__xludf.DUMMYFUNCTION("""COMPUTED_VALUE"""),"")</f>
        <v/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>
      <c r="A94" t="str">
        <f>IFERROR(__xludf.DUMMYFUNCTION("""COMPUTED_VALUE"""),"")</f>
        <v/>
      </c>
      <c r="B94" t="str">
        <f>IFERROR(__xludf.DUMMYFUNCTION("""COMPUTED_VALUE"""),"")</f>
        <v/>
      </c>
      <c r="C94" t="str">
        <f>IFERROR(__xludf.DUMMYFUNCTION("""COMPUTED_VALUE"""),"")</f>
        <v/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>
      <c r="A95" t="str">
        <f>IFERROR(__xludf.DUMMYFUNCTION("""COMPUTED_VALUE"""),"")</f>
        <v/>
      </c>
      <c r="B95" t="str">
        <f>IFERROR(__xludf.DUMMYFUNCTION("""COMPUTED_VALUE"""),"")</f>
        <v/>
      </c>
      <c r="C95" t="str">
        <f>IFERROR(__xludf.DUMMYFUNCTION("""COMPUTED_VALUE"""),"")</f>
        <v/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>
      <c r="A96" t="str">
        <f>IFERROR(__xludf.DUMMYFUNCTION("""COMPUTED_VALUE"""),"")</f>
        <v/>
      </c>
      <c r="B96" t="str">
        <f>IFERROR(__xludf.DUMMYFUNCTION("""COMPUTED_VALUE"""),"")</f>
        <v/>
      </c>
      <c r="C96" t="str">
        <f>IFERROR(__xludf.DUMMYFUNCTION("""COMPUTED_VALUE"""),"")</f>
        <v/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>
      <c r="A97" t="str">
        <f>IFERROR(__xludf.DUMMYFUNCTION("""COMPUTED_VALUE"""),"")</f>
        <v/>
      </c>
      <c r="B97" t="str">
        <f>IFERROR(__xludf.DUMMYFUNCTION("""COMPUTED_VALUE"""),"")</f>
        <v/>
      </c>
      <c r="C97" t="str">
        <f>IFERROR(__xludf.DUMMYFUNCTION("""COMPUTED_VALUE"""),"")</f>
        <v/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>
      <c r="A98" t="str">
        <f>IFERROR(__xludf.DUMMYFUNCTION("""COMPUTED_VALUE"""),"")</f>
        <v/>
      </c>
      <c r="B98" t="str">
        <f>IFERROR(__xludf.DUMMYFUNCTION("""COMPUTED_VALUE"""),"")</f>
        <v/>
      </c>
      <c r="C98" t="str">
        <f>IFERROR(__xludf.DUMMYFUNCTION("""COMPUTED_VALUE"""),"")</f>
        <v/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>
      <c r="A99" t="str">
        <f>IFERROR(__xludf.DUMMYFUNCTION("""COMPUTED_VALUE"""),"")</f>
        <v/>
      </c>
      <c r="B99" t="str">
        <f>IFERROR(__xludf.DUMMYFUNCTION("""COMPUTED_VALUE"""),"")</f>
        <v/>
      </c>
      <c r="C99" t="str">
        <f>IFERROR(__xludf.DUMMYFUNCTION("""COMPUTED_VALUE"""),"")</f>
        <v/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>
      <c r="A100" t="str">
        <f>IFERROR(__xludf.DUMMYFUNCTION("""COMPUTED_VALUE"""),"")</f>
        <v/>
      </c>
      <c r="B100" t="str">
        <f>IFERROR(__xludf.DUMMYFUNCTION("""COMPUTED_VALUE"""),"")</f>
        <v/>
      </c>
      <c r="C100" t="str">
        <f>IFERROR(__xludf.DUMMYFUNCTION("""COMPUTED_VALUE"""),"")</f>
        <v/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>
      <c r="A101" t="str">
        <f>IFERROR(__xludf.DUMMYFUNCTION("""COMPUTED_VALUE"""),"")</f>
        <v/>
      </c>
      <c r="B101" t="str">
        <f>IFERROR(__xludf.DUMMYFUNCTION("""COMPUTED_VALUE"""),"")</f>
        <v/>
      </c>
      <c r="C101" t="str">
        <f>IFERROR(__xludf.DUMMYFUNCTION("""COMPUTED_VALUE"""),"")</f>
        <v/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>
      <c r="A102" t="str">
        <f>IFERROR(__xludf.DUMMYFUNCTION("""COMPUTED_VALUE"""),"")</f>
        <v/>
      </c>
      <c r="B102" t="str">
        <f>IFERROR(__xludf.DUMMYFUNCTION("""COMPUTED_VALUE"""),"")</f>
        <v/>
      </c>
      <c r="C102" t="str">
        <f>IFERROR(__xludf.DUMMYFUNCTION("""COMPUTED_VALUE"""),"")</f>
        <v/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>
      <c r="A103" t="str">
        <f>IFERROR(__xludf.DUMMYFUNCTION("""COMPUTED_VALUE"""),"")</f>
        <v/>
      </c>
      <c r="B103" t="str">
        <f>IFERROR(__xludf.DUMMYFUNCTION("""COMPUTED_VALUE"""),"")</f>
        <v/>
      </c>
      <c r="C103" t="str">
        <f>IFERROR(__xludf.DUMMYFUNCTION("""COMPUTED_VALUE"""),"")</f>
        <v/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>
      <c r="A104" t="str">
        <f>IFERROR(__xludf.DUMMYFUNCTION("""COMPUTED_VALUE"""),"")</f>
        <v/>
      </c>
      <c r="B104" t="str">
        <f>IFERROR(__xludf.DUMMYFUNCTION("""COMPUTED_VALUE"""),"")</f>
        <v/>
      </c>
      <c r="C104" t="str">
        <f>IFERROR(__xludf.DUMMYFUNCTION("""COMPUTED_VALUE"""),"")</f>
        <v/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>
      <c r="A105" t="str">
        <f>IFERROR(__xludf.DUMMYFUNCTION("""COMPUTED_VALUE"""),"")</f>
        <v/>
      </c>
      <c r="B105" t="str">
        <f>IFERROR(__xludf.DUMMYFUNCTION("""COMPUTED_VALUE"""),"")</f>
        <v/>
      </c>
      <c r="C105" t="str">
        <f>IFERROR(__xludf.DUMMYFUNCTION("""COMPUTED_VALUE"""),"")</f>
        <v/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>
      <c r="A106" t="str">
        <f>IFERROR(__xludf.DUMMYFUNCTION("""COMPUTED_VALUE"""),"")</f>
        <v/>
      </c>
      <c r="B106" t="str">
        <f>IFERROR(__xludf.DUMMYFUNCTION("""COMPUTED_VALUE"""),"")</f>
        <v/>
      </c>
      <c r="C106" t="str">
        <f>IFERROR(__xludf.DUMMYFUNCTION("""COMPUTED_VALUE"""),"")</f>
        <v/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>
      <c r="A107" t="str">
        <f>IFERROR(__xludf.DUMMYFUNCTION("""COMPUTED_VALUE"""),"")</f>
        <v/>
      </c>
      <c r="B107" t="str">
        <f>IFERROR(__xludf.DUMMYFUNCTION("""COMPUTED_VALUE"""),"")</f>
        <v/>
      </c>
      <c r="C107" t="str">
        <f>IFERROR(__xludf.DUMMYFUNCTION("""COMPUTED_VALUE"""),"")</f>
        <v/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>
      <c r="A108" t="str">
        <f>IFERROR(__xludf.DUMMYFUNCTION("""COMPUTED_VALUE"""),"")</f>
        <v/>
      </c>
      <c r="B108" t="str">
        <f>IFERROR(__xludf.DUMMYFUNCTION("""COMPUTED_VALUE"""),"")</f>
        <v/>
      </c>
      <c r="C108" t="str">
        <f>IFERROR(__xludf.DUMMYFUNCTION("""COMPUTED_VALUE"""),"")</f>
        <v/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>
      <c r="A109" t="str">
        <f>IFERROR(__xludf.DUMMYFUNCTION("""COMPUTED_VALUE"""),"")</f>
        <v/>
      </c>
      <c r="B109" t="str">
        <f>IFERROR(__xludf.DUMMYFUNCTION("""COMPUTED_VALUE"""),"")</f>
        <v/>
      </c>
      <c r="C109" t="str">
        <f>IFERROR(__xludf.DUMMYFUNCTION("""COMPUTED_VALUE"""),"")</f>
        <v/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>
      <c r="A110" t="str">
        <f>IFERROR(__xludf.DUMMYFUNCTION("""COMPUTED_VALUE"""),"")</f>
        <v/>
      </c>
      <c r="B110" t="str">
        <f>IFERROR(__xludf.DUMMYFUNCTION("""COMPUTED_VALUE"""),"")</f>
        <v/>
      </c>
      <c r="C110" t="str">
        <f>IFERROR(__xludf.DUMMYFUNCTION("""COMPUTED_VALUE"""),"")</f>
        <v/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>
      <c r="A111" t="str">
        <f>IFERROR(__xludf.DUMMYFUNCTION("""COMPUTED_VALUE"""),"")</f>
        <v/>
      </c>
      <c r="B111" t="str">
        <f>IFERROR(__xludf.DUMMYFUNCTION("""COMPUTED_VALUE"""),"")</f>
        <v/>
      </c>
      <c r="C111" t="str">
        <f>IFERROR(__xludf.DUMMYFUNCTION("""COMPUTED_VALUE"""),"")</f>
        <v/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>
      <c r="A112" t="str">
        <f>IFERROR(__xludf.DUMMYFUNCTION("""COMPUTED_VALUE"""),"")</f>
        <v/>
      </c>
      <c r="B112" t="str">
        <f>IFERROR(__xludf.DUMMYFUNCTION("""COMPUTED_VALUE"""),"")</f>
        <v/>
      </c>
      <c r="C112" t="str">
        <f>IFERROR(__xludf.DUMMYFUNCTION("""COMPUTED_VALUE"""),"")</f>
        <v/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>
      <c r="A113" t="str">
        <f>IFERROR(__xludf.DUMMYFUNCTION("""COMPUTED_VALUE"""),"")</f>
        <v/>
      </c>
      <c r="B113" t="str">
        <f>IFERROR(__xludf.DUMMYFUNCTION("""COMPUTED_VALUE"""),"")</f>
        <v/>
      </c>
      <c r="C113" t="str">
        <f>IFERROR(__xludf.DUMMYFUNCTION("""COMPUTED_VALUE"""),"")</f>
        <v/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>
      <c r="A114" t="str">
        <f>IFERROR(__xludf.DUMMYFUNCTION("""COMPUTED_VALUE"""),"")</f>
        <v/>
      </c>
      <c r="B114" t="str">
        <f>IFERROR(__xludf.DUMMYFUNCTION("""COMPUTED_VALUE"""),"")</f>
        <v/>
      </c>
      <c r="C114" t="str">
        <f>IFERROR(__xludf.DUMMYFUNCTION("""COMPUTED_VALUE"""),"")</f>
        <v/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>
      <c r="A115" t="str">
        <f>IFERROR(__xludf.DUMMYFUNCTION("""COMPUTED_VALUE"""),"")</f>
        <v/>
      </c>
      <c r="B115" t="str">
        <f>IFERROR(__xludf.DUMMYFUNCTION("""COMPUTED_VALUE"""),"")</f>
        <v/>
      </c>
      <c r="C115" t="str">
        <f>IFERROR(__xludf.DUMMYFUNCTION("""COMPUTED_VALUE"""),"")</f>
        <v/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>
      <c r="A116" t="str">
        <f>IFERROR(__xludf.DUMMYFUNCTION("""COMPUTED_VALUE"""),"")</f>
        <v/>
      </c>
      <c r="B116" t="str">
        <f>IFERROR(__xludf.DUMMYFUNCTION("""COMPUTED_VALUE"""),"")</f>
        <v/>
      </c>
      <c r="C116" t="str">
        <f>IFERROR(__xludf.DUMMYFUNCTION("""COMPUTED_VALUE"""),"")</f>
        <v/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>
      <c r="A117" t="str">
        <f>IFERROR(__xludf.DUMMYFUNCTION("""COMPUTED_VALUE"""),"")</f>
        <v/>
      </c>
      <c r="B117" t="str">
        <f>IFERROR(__xludf.DUMMYFUNCTION("""COMPUTED_VALUE"""),"")</f>
        <v/>
      </c>
      <c r="C117" t="str">
        <f>IFERROR(__xludf.DUMMYFUNCTION("""COMPUTED_VALUE"""),"")</f>
        <v/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>
      <c r="A118" t="str">
        <f>IFERROR(__xludf.DUMMYFUNCTION("""COMPUTED_VALUE"""),"")</f>
        <v/>
      </c>
      <c r="B118" t="str">
        <f>IFERROR(__xludf.DUMMYFUNCTION("""COMPUTED_VALUE"""),"")</f>
        <v/>
      </c>
      <c r="C118" t="str">
        <f>IFERROR(__xludf.DUMMYFUNCTION("""COMPUTED_VALUE"""),"")</f>
        <v/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>
      <c r="A119" t="str">
        <f>IFERROR(__xludf.DUMMYFUNCTION("""COMPUTED_VALUE"""),"")</f>
        <v/>
      </c>
      <c r="B119" t="str">
        <f>IFERROR(__xludf.DUMMYFUNCTION("""COMPUTED_VALUE"""),"")</f>
        <v/>
      </c>
      <c r="C119" t="str">
        <f>IFERROR(__xludf.DUMMYFUNCTION("""COMPUTED_VALUE"""),"")</f>
        <v/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>
      <c r="A120" t="str">
        <f>IFERROR(__xludf.DUMMYFUNCTION("""COMPUTED_VALUE"""),"")</f>
        <v/>
      </c>
      <c r="B120" t="str">
        <f>IFERROR(__xludf.DUMMYFUNCTION("""COMPUTED_VALUE"""),"")</f>
        <v/>
      </c>
      <c r="C120" t="str">
        <f>IFERROR(__xludf.DUMMYFUNCTION("""COMPUTED_VALUE"""),"")</f>
        <v/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>
      <c r="A121" t="str">
        <f>IFERROR(__xludf.DUMMYFUNCTION("""COMPUTED_VALUE"""),"")</f>
        <v/>
      </c>
      <c r="B121" t="str">
        <f>IFERROR(__xludf.DUMMYFUNCTION("""COMPUTED_VALUE"""),"")</f>
        <v/>
      </c>
      <c r="C121" t="str">
        <f>IFERROR(__xludf.DUMMYFUNCTION("""COMPUTED_VALUE"""),"")</f>
        <v/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>
      <c r="A122" t="str">
        <f>IFERROR(__xludf.DUMMYFUNCTION("""COMPUTED_VALUE"""),"")</f>
        <v/>
      </c>
      <c r="B122" t="str">
        <f>IFERROR(__xludf.DUMMYFUNCTION("""COMPUTED_VALUE"""),"")</f>
        <v/>
      </c>
      <c r="C122" t="str">
        <f>IFERROR(__xludf.DUMMYFUNCTION("""COMPUTED_VALUE"""),"")</f>
        <v/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>
      <c r="A123" t="str">
        <f>IFERROR(__xludf.DUMMYFUNCTION("""COMPUTED_VALUE"""),"")</f>
        <v/>
      </c>
      <c r="B123" t="str">
        <f>IFERROR(__xludf.DUMMYFUNCTION("""COMPUTED_VALUE"""),"")</f>
        <v/>
      </c>
      <c r="C123" t="str">
        <f>IFERROR(__xludf.DUMMYFUNCTION("""COMPUTED_VALUE"""),"")</f>
        <v/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>
      <c r="A124" t="str">
        <f>IFERROR(__xludf.DUMMYFUNCTION("""COMPUTED_VALUE"""),"")</f>
        <v/>
      </c>
      <c r="B124" t="str">
        <f>IFERROR(__xludf.DUMMYFUNCTION("""COMPUTED_VALUE"""),"")</f>
        <v/>
      </c>
      <c r="C124" t="str">
        <f>IFERROR(__xludf.DUMMYFUNCTION("""COMPUTED_VALUE"""),"")</f>
        <v/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>
      <c r="A125" t="str">
        <f>IFERROR(__xludf.DUMMYFUNCTION("""COMPUTED_VALUE"""),"")</f>
        <v/>
      </c>
      <c r="B125" t="str">
        <f>IFERROR(__xludf.DUMMYFUNCTION("""COMPUTED_VALUE"""),"")</f>
        <v/>
      </c>
      <c r="C125" t="str">
        <f>IFERROR(__xludf.DUMMYFUNCTION("""COMPUTED_VALUE"""),"")</f>
        <v/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>
      <c r="A126" t="str">
        <f>IFERROR(__xludf.DUMMYFUNCTION("""COMPUTED_VALUE"""),"")</f>
        <v/>
      </c>
      <c r="B126" t="str">
        <f>IFERROR(__xludf.DUMMYFUNCTION("""COMPUTED_VALUE"""),"")</f>
        <v/>
      </c>
      <c r="C126" t="str">
        <f>IFERROR(__xludf.DUMMYFUNCTION("""COMPUTED_VALUE"""),"")</f>
        <v/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>
      <c r="A127" t="str">
        <f>IFERROR(__xludf.DUMMYFUNCTION("""COMPUTED_VALUE"""),"")</f>
        <v/>
      </c>
      <c r="B127" t="str">
        <f>IFERROR(__xludf.DUMMYFUNCTION("""COMPUTED_VALUE"""),"")</f>
        <v/>
      </c>
      <c r="C127" t="str">
        <f>IFERROR(__xludf.DUMMYFUNCTION("""COMPUTED_VALUE"""),"")</f>
        <v/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>
      <c r="A128" t="str">
        <f>IFERROR(__xludf.DUMMYFUNCTION("""COMPUTED_VALUE"""),"")</f>
        <v/>
      </c>
      <c r="B128" t="str">
        <f>IFERROR(__xludf.DUMMYFUNCTION("""COMPUTED_VALUE"""),"")</f>
        <v/>
      </c>
      <c r="C128" t="str">
        <f>IFERROR(__xludf.DUMMYFUNCTION("""COMPUTED_VALUE"""),"")</f>
        <v/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>
      <c r="A129" t="str">
        <f>IFERROR(__xludf.DUMMYFUNCTION("""COMPUTED_VALUE"""),"")</f>
        <v/>
      </c>
      <c r="B129" t="str">
        <f>IFERROR(__xludf.DUMMYFUNCTION("""COMPUTED_VALUE"""),"")</f>
        <v/>
      </c>
      <c r="C129" t="str">
        <f>IFERROR(__xludf.DUMMYFUNCTION("""COMPUTED_VALUE"""),"")</f>
        <v/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>
      <c r="A130" t="str">
        <f>IFERROR(__xludf.DUMMYFUNCTION("""COMPUTED_VALUE"""),"")</f>
        <v/>
      </c>
      <c r="B130" t="str">
        <f>IFERROR(__xludf.DUMMYFUNCTION("""COMPUTED_VALUE"""),"")</f>
        <v/>
      </c>
      <c r="C130" t="str">
        <f>IFERROR(__xludf.DUMMYFUNCTION("""COMPUTED_VALUE"""),"")</f>
        <v/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>
      <c r="A131" t="str">
        <f>IFERROR(__xludf.DUMMYFUNCTION("""COMPUTED_VALUE"""),"")</f>
        <v/>
      </c>
      <c r="B131" t="str">
        <f>IFERROR(__xludf.DUMMYFUNCTION("""COMPUTED_VALUE"""),"")</f>
        <v/>
      </c>
      <c r="C131" t="str">
        <f>IFERROR(__xludf.DUMMYFUNCTION("""COMPUTED_VALUE"""),"")</f>
        <v/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>
      <c r="A132" t="str">
        <f>IFERROR(__xludf.DUMMYFUNCTION("""COMPUTED_VALUE"""),"")</f>
        <v/>
      </c>
      <c r="B132" t="str">
        <f>IFERROR(__xludf.DUMMYFUNCTION("""COMPUTED_VALUE"""),"")</f>
        <v/>
      </c>
      <c r="C132" t="str">
        <f>IFERROR(__xludf.DUMMYFUNCTION("""COMPUTED_VALUE"""),"")</f>
        <v/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>
      <c r="A133" t="str">
        <f>IFERROR(__xludf.DUMMYFUNCTION("""COMPUTED_VALUE"""),"")</f>
        <v/>
      </c>
      <c r="B133" t="str">
        <f>IFERROR(__xludf.DUMMYFUNCTION("""COMPUTED_VALUE"""),"")</f>
        <v/>
      </c>
      <c r="C133" t="str">
        <f>IFERROR(__xludf.DUMMYFUNCTION("""COMPUTED_VALUE"""),"")</f>
        <v/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>
      <c r="A134" t="str">
        <f>IFERROR(__xludf.DUMMYFUNCTION("""COMPUTED_VALUE"""),"")</f>
        <v/>
      </c>
      <c r="B134" t="str">
        <f>IFERROR(__xludf.DUMMYFUNCTION("""COMPUTED_VALUE"""),"")</f>
        <v/>
      </c>
      <c r="C134" t="str">
        <f>IFERROR(__xludf.DUMMYFUNCTION("""COMPUTED_VALUE"""),"")</f>
        <v/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>
      <c r="A135" t="str">
        <f>IFERROR(__xludf.DUMMYFUNCTION("""COMPUTED_VALUE"""),"")</f>
        <v/>
      </c>
      <c r="B135" t="str">
        <f>IFERROR(__xludf.DUMMYFUNCTION("""COMPUTED_VALUE"""),"")</f>
        <v/>
      </c>
      <c r="C135" t="str">
        <f>IFERROR(__xludf.DUMMYFUNCTION("""COMPUTED_VALUE"""),"")</f>
        <v/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>
      <c r="A136" t="str">
        <f>IFERROR(__xludf.DUMMYFUNCTION("""COMPUTED_VALUE"""),"")</f>
        <v/>
      </c>
      <c r="B136" t="str">
        <f>IFERROR(__xludf.DUMMYFUNCTION("""COMPUTED_VALUE"""),"")</f>
        <v/>
      </c>
      <c r="C136" t="str">
        <f>IFERROR(__xludf.DUMMYFUNCTION("""COMPUTED_VALUE"""),"")</f>
        <v/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>
      <c r="A137" t="str">
        <f>IFERROR(__xludf.DUMMYFUNCTION("""COMPUTED_VALUE"""),"")</f>
        <v/>
      </c>
      <c r="B137" t="str">
        <f>IFERROR(__xludf.DUMMYFUNCTION("""COMPUTED_VALUE"""),"")</f>
        <v/>
      </c>
      <c r="C137" t="str">
        <f>IFERROR(__xludf.DUMMYFUNCTION("""COMPUTED_VALUE"""),"")</f>
        <v/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>
      <c r="A138" t="str">
        <f>IFERROR(__xludf.DUMMYFUNCTION("""COMPUTED_VALUE"""),"")</f>
        <v/>
      </c>
      <c r="B138" t="str">
        <f>IFERROR(__xludf.DUMMYFUNCTION("""COMPUTED_VALUE"""),"")</f>
        <v/>
      </c>
      <c r="C138" t="str">
        <f>IFERROR(__xludf.DUMMYFUNCTION("""COMPUTED_VALUE"""),"")</f>
        <v/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>
      <c r="A139" t="str">
        <f>IFERROR(__xludf.DUMMYFUNCTION("""COMPUTED_VALUE"""),"")</f>
        <v/>
      </c>
      <c r="B139" t="str">
        <f>IFERROR(__xludf.DUMMYFUNCTION("""COMPUTED_VALUE"""),"")</f>
        <v/>
      </c>
      <c r="C139" t="str">
        <f>IFERROR(__xludf.DUMMYFUNCTION("""COMPUTED_VALUE"""),"")</f>
        <v/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>
      <c r="A140" t="str">
        <f>IFERROR(__xludf.DUMMYFUNCTION("""COMPUTED_VALUE"""),"")</f>
        <v/>
      </c>
      <c r="B140" t="str">
        <f>IFERROR(__xludf.DUMMYFUNCTION("""COMPUTED_VALUE"""),"")</f>
        <v/>
      </c>
      <c r="C140" t="str">
        <f>IFERROR(__xludf.DUMMYFUNCTION("""COMPUTED_VALUE"""),"")</f>
        <v/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>
      <c r="A141" t="str">
        <f>IFERROR(__xludf.DUMMYFUNCTION("""COMPUTED_VALUE"""),"")</f>
        <v/>
      </c>
      <c r="B141" t="str">
        <f>IFERROR(__xludf.DUMMYFUNCTION("""COMPUTED_VALUE"""),"")</f>
        <v/>
      </c>
      <c r="C141" t="str">
        <f>IFERROR(__xludf.DUMMYFUNCTION("""COMPUTED_VALUE"""),"")</f>
        <v/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>
      <c r="A142" t="str">
        <f>IFERROR(__xludf.DUMMYFUNCTION("""COMPUTED_VALUE"""),"")</f>
        <v/>
      </c>
      <c r="B142" t="str">
        <f>IFERROR(__xludf.DUMMYFUNCTION("""COMPUTED_VALUE"""),"")</f>
        <v/>
      </c>
      <c r="C142" t="str">
        <f>IFERROR(__xludf.DUMMYFUNCTION("""COMPUTED_VALUE"""),"")</f>
        <v/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>
      <c r="A143" t="str">
        <f>IFERROR(__xludf.DUMMYFUNCTION("""COMPUTED_VALUE"""),"")</f>
        <v/>
      </c>
      <c r="B143" t="str">
        <f>IFERROR(__xludf.DUMMYFUNCTION("""COMPUTED_VALUE"""),"")</f>
        <v/>
      </c>
      <c r="C143" t="str">
        <f>IFERROR(__xludf.DUMMYFUNCTION("""COMPUTED_VALUE"""),"")</f>
        <v/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>
      <c r="A144" t="str">
        <f>IFERROR(__xludf.DUMMYFUNCTION("""COMPUTED_VALUE"""),"")</f>
        <v/>
      </c>
      <c r="B144" t="str">
        <f>IFERROR(__xludf.DUMMYFUNCTION("""COMPUTED_VALUE"""),"")</f>
        <v/>
      </c>
      <c r="C144" t="str">
        <f>IFERROR(__xludf.DUMMYFUNCTION("""COMPUTED_VALUE"""),"")</f>
        <v/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>
      <c r="A145" t="str">
        <f>IFERROR(__xludf.DUMMYFUNCTION("""COMPUTED_VALUE"""),"")</f>
        <v/>
      </c>
      <c r="B145" t="str">
        <f>IFERROR(__xludf.DUMMYFUNCTION("""COMPUTED_VALUE"""),"")</f>
        <v/>
      </c>
      <c r="C145" t="str">
        <f>IFERROR(__xludf.DUMMYFUNCTION("""COMPUTED_VALUE"""),"")</f>
        <v/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>
      <c r="A146" t="str">
        <f>IFERROR(__xludf.DUMMYFUNCTION("""COMPUTED_VALUE"""),"")</f>
        <v/>
      </c>
      <c r="B146" t="str">
        <f>IFERROR(__xludf.DUMMYFUNCTION("""COMPUTED_VALUE"""),"")</f>
        <v/>
      </c>
      <c r="C146" t="str">
        <f>IFERROR(__xludf.DUMMYFUNCTION("""COMPUTED_VALUE"""),"")</f>
        <v/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>
      <c r="A147" t="str">
        <f>IFERROR(__xludf.DUMMYFUNCTION("""COMPUTED_VALUE"""),"")</f>
        <v/>
      </c>
      <c r="B147" t="str">
        <f>IFERROR(__xludf.DUMMYFUNCTION("""COMPUTED_VALUE"""),"")</f>
        <v/>
      </c>
      <c r="C147" t="str">
        <f>IFERROR(__xludf.DUMMYFUNCTION("""COMPUTED_VALUE"""),"")</f>
        <v/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>
      <c r="A148" t="str">
        <f>IFERROR(__xludf.DUMMYFUNCTION("""COMPUTED_VALUE"""),"")</f>
        <v/>
      </c>
      <c r="B148" t="str">
        <f>IFERROR(__xludf.DUMMYFUNCTION("""COMPUTED_VALUE"""),"")</f>
        <v/>
      </c>
      <c r="C148" t="str">
        <f>IFERROR(__xludf.DUMMYFUNCTION("""COMPUTED_VALUE"""),"")</f>
        <v/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>
      <c r="A149" t="str">
        <f>IFERROR(__xludf.DUMMYFUNCTION("""COMPUTED_VALUE"""),"")</f>
        <v/>
      </c>
      <c r="B149" t="str">
        <f>IFERROR(__xludf.DUMMYFUNCTION("""COMPUTED_VALUE"""),"")</f>
        <v/>
      </c>
      <c r="C149" t="str">
        <f>IFERROR(__xludf.DUMMYFUNCTION("""COMPUTED_VALUE"""),"")</f>
        <v/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>
      <c r="A150" t="str">
        <f>IFERROR(__xludf.DUMMYFUNCTION("""COMPUTED_VALUE"""),"")</f>
        <v/>
      </c>
      <c r="B150" t="str">
        <f>IFERROR(__xludf.DUMMYFUNCTION("""COMPUTED_VALUE"""),"")</f>
        <v/>
      </c>
      <c r="C150" t="str">
        <f>IFERROR(__xludf.DUMMYFUNCTION("""COMPUTED_VALUE"""),"")</f>
        <v/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>
      <c r="A151" t="str">
        <f>IFERROR(__xludf.DUMMYFUNCTION("""COMPUTED_VALUE"""),"")</f>
        <v/>
      </c>
      <c r="B151" t="str">
        <f>IFERROR(__xludf.DUMMYFUNCTION("""COMPUTED_VALUE"""),"")</f>
        <v/>
      </c>
      <c r="C151" t="str">
        <f>IFERROR(__xludf.DUMMYFUNCTION("""COMPUTED_VALUE"""),"")</f>
        <v/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>
      <c r="A152" t="str">
        <f>IFERROR(__xludf.DUMMYFUNCTION("""COMPUTED_VALUE"""),"")</f>
        <v/>
      </c>
      <c r="B152" t="str">
        <f>IFERROR(__xludf.DUMMYFUNCTION("""COMPUTED_VALUE"""),"")</f>
        <v/>
      </c>
      <c r="C152" t="str">
        <f>IFERROR(__xludf.DUMMYFUNCTION("""COMPUTED_VALUE"""),"")</f>
        <v/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>
      <c r="A153" t="str">
        <f>IFERROR(__xludf.DUMMYFUNCTION("""COMPUTED_VALUE"""),"")</f>
        <v/>
      </c>
      <c r="B153" t="str">
        <f>IFERROR(__xludf.DUMMYFUNCTION("""COMPUTED_VALUE"""),"")</f>
        <v/>
      </c>
      <c r="C153" t="str">
        <f>IFERROR(__xludf.DUMMYFUNCTION("""COMPUTED_VALUE"""),"")</f>
        <v/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>
      <c r="A154" t="str">
        <f>IFERROR(__xludf.DUMMYFUNCTION("""COMPUTED_VALUE"""),"")</f>
        <v/>
      </c>
      <c r="B154" t="str">
        <f>IFERROR(__xludf.DUMMYFUNCTION("""COMPUTED_VALUE"""),"")</f>
        <v/>
      </c>
      <c r="C154" t="str">
        <f>IFERROR(__xludf.DUMMYFUNCTION("""COMPUTED_VALUE"""),"")</f>
        <v/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>
      <c r="A155" t="str">
        <f>IFERROR(__xludf.DUMMYFUNCTION("""COMPUTED_VALUE"""),"")</f>
        <v/>
      </c>
      <c r="B155" t="str">
        <f>IFERROR(__xludf.DUMMYFUNCTION("""COMPUTED_VALUE"""),"")</f>
        <v/>
      </c>
      <c r="C155" t="str">
        <f>IFERROR(__xludf.DUMMYFUNCTION("""COMPUTED_VALUE"""),"")</f>
        <v/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>
      <c r="A156" t="str">
        <f>IFERROR(__xludf.DUMMYFUNCTION("""COMPUTED_VALUE"""),"")</f>
        <v/>
      </c>
      <c r="B156" t="str">
        <f>IFERROR(__xludf.DUMMYFUNCTION("""COMPUTED_VALUE"""),"")</f>
        <v/>
      </c>
      <c r="C156" t="str">
        <f>IFERROR(__xludf.DUMMYFUNCTION("""COMPUTED_VALUE"""),"")</f>
        <v/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>
      <c r="A157" t="str">
        <f>IFERROR(__xludf.DUMMYFUNCTION("""COMPUTED_VALUE"""),"")</f>
        <v/>
      </c>
      <c r="B157" t="str">
        <f>IFERROR(__xludf.DUMMYFUNCTION("""COMPUTED_VALUE"""),"")</f>
        <v/>
      </c>
      <c r="C157" t="str">
        <f>IFERROR(__xludf.DUMMYFUNCTION("""COMPUTED_VALUE"""),"")</f>
        <v/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>
      <c r="A158" t="str">
        <f>IFERROR(__xludf.DUMMYFUNCTION("""COMPUTED_VALUE"""),"")</f>
        <v/>
      </c>
      <c r="B158" t="str">
        <f>IFERROR(__xludf.DUMMYFUNCTION("""COMPUTED_VALUE"""),"")</f>
        <v/>
      </c>
      <c r="C158" t="str">
        <f>IFERROR(__xludf.DUMMYFUNCTION("""COMPUTED_VALUE"""),"")</f>
        <v/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>
      <c r="A159" t="str">
        <f>IFERROR(__xludf.DUMMYFUNCTION("""COMPUTED_VALUE"""),"")</f>
        <v/>
      </c>
      <c r="B159" t="str">
        <f>IFERROR(__xludf.DUMMYFUNCTION("""COMPUTED_VALUE"""),"")</f>
        <v/>
      </c>
      <c r="C159" t="str">
        <f>IFERROR(__xludf.DUMMYFUNCTION("""COMPUTED_VALUE"""),"")</f>
        <v/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>
      <c r="A160" t="str">
        <f>IFERROR(__xludf.DUMMYFUNCTION("""COMPUTED_VALUE"""),"")</f>
        <v/>
      </c>
      <c r="B160" t="str">
        <f>IFERROR(__xludf.DUMMYFUNCTION("""COMPUTED_VALUE"""),"")</f>
        <v/>
      </c>
      <c r="C160" t="str">
        <f>IFERROR(__xludf.DUMMYFUNCTION("""COMPUTED_VALUE"""),"")</f>
        <v/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>
      <c r="A161" t="str">
        <f>IFERROR(__xludf.DUMMYFUNCTION("""COMPUTED_VALUE"""),"")</f>
        <v/>
      </c>
      <c r="B161" t="str">
        <f>IFERROR(__xludf.DUMMYFUNCTION("""COMPUTED_VALUE"""),"")</f>
        <v/>
      </c>
      <c r="C161" t="str">
        <f>IFERROR(__xludf.DUMMYFUNCTION("""COMPUTED_VALUE"""),"")</f>
        <v/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>
      <c r="A162" t="str">
        <f>IFERROR(__xludf.DUMMYFUNCTION("""COMPUTED_VALUE"""),"")</f>
        <v/>
      </c>
      <c r="B162" t="str">
        <f>IFERROR(__xludf.DUMMYFUNCTION("""COMPUTED_VALUE"""),"")</f>
        <v/>
      </c>
      <c r="C162" t="str">
        <f>IFERROR(__xludf.DUMMYFUNCTION("""COMPUTED_VALUE"""),"")</f>
        <v/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>
      <c r="A163" t="str">
        <f>IFERROR(__xludf.DUMMYFUNCTION("""COMPUTED_VALUE"""),"")</f>
        <v/>
      </c>
      <c r="B163" t="str">
        <f>IFERROR(__xludf.DUMMYFUNCTION("""COMPUTED_VALUE"""),"")</f>
        <v/>
      </c>
      <c r="C163" t="str">
        <f>IFERROR(__xludf.DUMMYFUNCTION("""COMPUTED_VALUE"""),"")</f>
        <v/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>
      <c r="A164" t="str">
        <f>IFERROR(__xludf.DUMMYFUNCTION("""COMPUTED_VALUE"""),"")</f>
        <v/>
      </c>
      <c r="B164" t="str">
        <f>IFERROR(__xludf.DUMMYFUNCTION("""COMPUTED_VALUE"""),"")</f>
        <v/>
      </c>
      <c r="C164" t="str">
        <f>IFERROR(__xludf.DUMMYFUNCTION("""COMPUTED_VALUE"""),"")</f>
        <v/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>
      <c r="A165" t="str">
        <f>IFERROR(__xludf.DUMMYFUNCTION("""COMPUTED_VALUE"""),"")</f>
        <v/>
      </c>
      <c r="B165" t="str">
        <f>IFERROR(__xludf.DUMMYFUNCTION("""COMPUTED_VALUE"""),"")</f>
        <v/>
      </c>
      <c r="C165" t="str">
        <f>IFERROR(__xludf.DUMMYFUNCTION("""COMPUTED_VALUE"""),"")</f>
        <v/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>
      <c r="A166" t="str">
        <f>IFERROR(__xludf.DUMMYFUNCTION("""COMPUTED_VALUE"""),"")</f>
        <v/>
      </c>
      <c r="B166" t="str">
        <f>IFERROR(__xludf.DUMMYFUNCTION("""COMPUTED_VALUE"""),"")</f>
        <v/>
      </c>
      <c r="C166" t="str">
        <f>IFERROR(__xludf.DUMMYFUNCTION("""COMPUTED_VALUE"""),"")</f>
        <v/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>
      <c r="A167" t="str">
        <f>IFERROR(__xludf.DUMMYFUNCTION("""COMPUTED_VALUE"""),"")</f>
        <v/>
      </c>
      <c r="B167" t="str">
        <f>IFERROR(__xludf.DUMMYFUNCTION("""COMPUTED_VALUE"""),"")</f>
        <v/>
      </c>
      <c r="C167" t="str">
        <f>IFERROR(__xludf.DUMMYFUNCTION("""COMPUTED_VALUE"""),"")</f>
        <v/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>
      <c r="A168" t="str">
        <f>IFERROR(__xludf.DUMMYFUNCTION("""COMPUTED_VALUE"""),"")</f>
        <v/>
      </c>
      <c r="B168" t="str">
        <f>IFERROR(__xludf.DUMMYFUNCTION("""COMPUTED_VALUE"""),"")</f>
        <v/>
      </c>
      <c r="C168" t="str">
        <f>IFERROR(__xludf.DUMMYFUNCTION("""COMPUTED_VALUE"""),"")</f>
        <v/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>
      <c r="A169" t="str">
        <f>IFERROR(__xludf.DUMMYFUNCTION("""COMPUTED_VALUE"""),"")</f>
        <v/>
      </c>
      <c r="B169" t="str">
        <f>IFERROR(__xludf.DUMMYFUNCTION("""COMPUTED_VALUE"""),"")</f>
        <v/>
      </c>
      <c r="C169" t="str">
        <f>IFERROR(__xludf.DUMMYFUNCTION("""COMPUTED_VALUE"""),"")</f>
        <v/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>
      <c r="A170" t="str">
        <f>IFERROR(__xludf.DUMMYFUNCTION("""COMPUTED_VALUE"""),"")</f>
        <v/>
      </c>
      <c r="B170" t="str">
        <f>IFERROR(__xludf.DUMMYFUNCTION("""COMPUTED_VALUE"""),"")</f>
        <v/>
      </c>
      <c r="C170" t="str">
        <f>IFERROR(__xludf.DUMMYFUNCTION("""COMPUTED_VALUE"""),"")</f>
        <v/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>
      <c r="A171" t="str">
        <f>IFERROR(__xludf.DUMMYFUNCTION("""COMPUTED_VALUE"""),"")</f>
        <v/>
      </c>
      <c r="B171" t="str">
        <f>IFERROR(__xludf.DUMMYFUNCTION("""COMPUTED_VALUE"""),"")</f>
        <v/>
      </c>
      <c r="C171" t="str">
        <f>IFERROR(__xludf.DUMMYFUNCTION("""COMPUTED_VALUE"""),"")</f>
        <v/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>
      <c r="A172" t="str">
        <f>IFERROR(__xludf.DUMMYFUNCTION("""COMPUTED_VALUE"""),"")</f>
        <v/>
      </c>
      <c r="B172" t="str">
        <f>IFERROR(__xludf.DUMMYFUNCTION("""COMPUTED_VALUE"""),"")</f>
        <v/>
      </c>
      <c r="C172" t="str">
        <f>IFERROR(__xludf.DUMMYFUNCTION("""COMPUTED_VALUE"""),"")</f>
        <v/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>
      <c r="A173" t="str">
        <f>IFERROR(__xludf.DUMMYFUNCTION("""COMPUTED_VALUE"""),"")</f>
        <v/>
      </c>
      <c r="B173" t="str">
        <f>IFERROR(__xludf.DUMMYFUNCTION("""COMPUTED_VALUE"""),"")</f>
        <v/>
      </c>
      <c r="C173" t="str">
        <f>IFERROR(__xludf.DUMMYFUNCTION("""COMPUTED_VALUE"""),"")</f>
        <v/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>
      <c r="A174" t="str">
        <f>IFERROR(__xludf.DUMMYFUNCTION("""COMPUTED_VALUE"""),"")</f>
        <v/>
      </c>
      <c r="B174" t="str">
        <f>IFERROR(__xludf.DUMMYFUNCTION("""COMPUTED_VALUE"""),"")</f>
        <v/>
      </c>
      <c r="C174" t="str">
        <f>IFERROR(__xludf.DUMMYFUNCTION("""COMPUTED_VALUE"""),"")</f>
        <v/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>
      <c r="A175" t="str">
        <f>IFERROR(__xludf.DUMMYFUNCTION("""COMPUTED_VALUE"""),"")</f>
        <v/>
      </c>
      <c r="B175" t="str">
        <f>IFERROR(__xludf.DUMMYFUNCTION("""COMPUTED_VALUE"""),"")</f>
        <v/>
      </c>
      <c r="C175" t="str">
        <f>IFERROR(__xludf.DUMMYFUNCTION("""COMPUTED_VALUE"""),"")</f>
        <v/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>
      <c r="A176" t="str">
        <f>IFERROR(__xludf.DUMMYFUNCTION("""COMPUTED_VALUE"""),"")</f>
        <v/>
      </c>
      <c r="B176" t="str">
        <f>IFERROR(__xludf.DUMMYFUNCTION("""COMPUTED_VALUE"""),"")</f>
        <v/>
      </c>
      <c r="C176" t="str">
        <f>IFERROR(__xludf.DUMMYFUNCTION("""COMPUTED_VALUE"""),"")</f>
        <v/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>
      <c r="A177" t="str">
        <f>IFERROR(__xludf.DUMMYFUNCTION("""COMPUTED_VALUE"""),"")</f>
        <v/>
      </c>
      <c r="B177" t="str">
        <f>IFERROR(__xludf.DUMMYFUNCTION("""COMPUTED_VALUE"""),"")</f>
        <v/>
      </c>
      <c r="C177" t="str">
        <f>IFERROR(__xludf.DUMMYFUNCTION("""COMPUTED_VALUE"""),"")</f>
        <v/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>
      <c r="A178" t="str">
        <f>IFERROR(__xludf.DUMMYFUNCTION("""COMPUTED_VALUE"""),"")</f>
        <v/>
      </c>
      <c r="B178" t="str">
        <f>IFERROR(__xludf.DUMMYFUNCTION("""COMPUTED_VALUE"""),"")</f>
        <v/>
      </c>
      <c r="C178" t="str">
        <f>IFERROR(__xludf.DUMMYFUNCTION("""COMPUTED_VALUE"""),"")</f>
        <v/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>
      <c r="A179" t="str">
        <f>IFERROR(__xludf.DUMMYFUNCTION("""COMPUTED_VALUE"""),"")</f>
        <v/>
      </c>
      <c r="B179" t="str">
        <f>IFERROR(__xludf.DUMMYFUNCTION("""COMPUTED_VALUE"""),"")</f>
        <v/>
      </c>
      <c r="C179" t="str">
        <f>IFERROR(__xludf.DUMMYFUNCTION("""COMPUTED_VALUE"""),"")</f>
        <v/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>
      <c r="A180" t="str">
        <f>IFERROR(__xludf.DUMMYFUNCTION("""COMPUTED_VALUE"""),"")</f>
        <v/>
      </c>
      <c r="B180" t="str">
        <f>IFERROR(__xludf.DUMMYFUNCTION("""COMPUTED_VALUE"""),"")</f>
        <v/>
      </c>
      <c r="C180" t="str">
        <f>IFERROR(__xludf.DUMMYFUNCTION("""COMPUTED_VALUE"""),"")</f>
        <v/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>
      <c r="A181" t="str">
        <f>IFERROR(__xludf.DUMMYFUNCTION("""COMPUTED_VALUE"""),"")</f>
        <v/>
      </c>
      <c r="B181" t="str">
        <f>IFERROR(__xludf.DUMMYFUNCTION("""COMPUTED_VALUE"""),"")</f>
        <v/>
      </c>
      <c r="C181" t="str">
        <f>IFERROR(__xludf.DUMMYFUNCTION("""COMPUTED_VALUE"""),"")</f>
        <v/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>
      <c r="A182" t="str">
        <f>IFERROR(__xludf.DUMMYFUNCTION("""COMPUTED_VALUE"""),"")</f>
        <v/>
      </c>
      <c r="B182" t="str">
        <f>IFERROR(__xludf.DUMMYFUNCTION("""COMPUTED_VALUE"""),"")</f>
        <v/>
      </c>
      <c r="C182" t="str">
        <f>IFERROR(__xludf.DUMMYFUNCTION("""COMPUTED_VALUE"""),"")</f>
        <v/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>
      <c r="A183" t="str">
        <f>IFERROR(__xludf.DUMMYFUNCTION("""COMPUTED_VALUE"""),"")</f>
        <v/>
      </c>
      <c r="B183" t="str">
        <f>IFERROR(__xludf.DUMMYFUNCTION("""COMPUTED_VALUE"""),"")</f>
        <v/>
      </c>
      <c r="C183" t="str">
        <f>IFERROR(__xludf.DUMMYFUNCTION("""COMPUTED_VALUE"""),"")</f>
        <v/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>
      <c r="A184" t="str">
        <f>IFERROR(__xludf.DUMMYFUNCTION("""COMPUTED_VALUE"""),"")</f>
        <v/>
      </c>
      <c r="B184" t="str">
        <f>IFERROR(__xludf.DUMMYFUNCTION("""COMPUTED_VALUE"""),"")</f>
        <v/>
      </c>
      <c r="C184" t="str">
        <f>IFERROR(__xludf.DUMMYFUNCTION("""COMPUTED_VALUE"""),"")</f>
        <v/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>
      <c r="A185" t="str">
        <f>IFERROR(__xludf.DUMMYFUNCTION("""COMPUTED_VALUE"""),"")</f>
        <v/>
      </c>
      <c r="B185" t="str">
        <f>IFERROR(__xludf.DUMMYFUNCTION("""COMPUTED_VALUE"""),"")</f>
        <v/>
      </c>
      <c r="C185" t="str">
        <f>IFERROR(__xludf.DUMMYFUNCTION("""COMPUTED_VALUE"""),"")</f>
        <v/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>
      <c r="A186" t="str">
        <f>IFERROR(__xludf.DUMMYFUNCTION("""COMPUTED_VALUE"""),"")</f>
        <v/>
      </c>
      <c r="B186" t="str">
        <f>IFERROR(__xludf.DUMMYFUNCTION("""COMPUTED_VALUE"""),"")</f>
        <v/>
      </c>
      <c r="C186" t="str">
        <f>IFERROR(__xludf.DUMMYFUNCTION("""COMPUTED_VALUE"""),"")</f>
        <v/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>
      <c r="A187" t="str">
        <f>IFERROR(__xludf.DUMMYFUNCTION("""COMPUTED_VALUE"""),"")</f>
        <v/>
      </c>
      <c r="B187" t="str">
        <f>IFERROR(__xludf.DUMMYFUNCTION("""COMPUTED_VALUE"""),"")</f>
        <v/>
      </c>
      <c r="C187" t="str">
        <f>IFERROR(__xludf.DUMMYFUNCTION("""COMPUTED_VALUE"""),"")</f>
        <v/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>
      <c r="A188" t="str">
        <f>IFERROR(__xludf.DUMMYFUNCTION("""COMPUTED_VALUE"""),"")</f>
        <v/>
      </c>
      <c r="B188" t="str">
        <f>IFERROR(__xludf.DUMMYFUNCTION("""COMPUTED_VALUE"""),"")</f>
        <v/>
      </c>
      <c r="C188" t="str">
        <f>IFERROR(__xludf.DUMMYFUNCTION("""COMPUTED_VALUE"""),"")</f>
        <v/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>
      <c r="A189" t="str">
        <f>IFERROR(__xludf.DUMMYFUNCTION("""COMPUTED_VALUE"""),"")</f>
        <v/>
      </c>
      <c r="B189" t="str">
        <f>IFERROR(__xludf.DUMMYFUNCTION("""COMPUTED_VALUE"""),"")</f>
        <v/>
      </c>
      <c r="C189" t="str">
        <f>IFERROR(__xludf.DUMMYFUNCTION("""COMPUTED_VALUE"""),"")</f>
        <v/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>
      <c r="A190" t="str">
        <f>IFERROR(__xludf.DUMMYFUNCTION("""COMPUTED_VALUE"""),"")</f>
        <v/>
      </c>
      <c r="B190" t="str">
        <f>IFERROR(__xludf.DUMMYFUNCTION("""COMPUTED_VALUE"""),"")</f>
        <v/>
      </c>
      <c r="C190" t="str">
        <f>IFERROR(__xludf.DUMMYFUNCTION("""COMPUTED_VALUE"""),"")</f>
        <v/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>
      <c r="A191" t="str">
        <f>IFERROR(__xludf.DUMMYFUNCTION("""COMPUTED_VALUE"""),"")</f>
        <v/>
      </c>
      <c r="B191" t="str">
        <f>IFERROR(__xludf.DUMMYFUNCTION("""COMPUTED_VALUE"""),"")</f>
        <v/>
      </c>
      <c r="C191" t="str">
        <f>IFERROR(__xludf.DUMMYFUNCTION("""COMPUTED_VALUE"""),"")</f>
        <v/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>
      <c r="A192" t="str">
        <f>IFERROR(__xludf.DUMMYFUNCTION("""COMPUTED_VALUE"""),"")</f>
        <v/>
      </c>
      <c r="B192" t="str">
        <f>IFERROR(__xludf.DUMMYFUNCTION("""COMPUTED_VALUE"""),"")</f>
        <v/>
      </c>
      <c r="C192" t="str">
        <f>IFERROR(__xludf.DUMMYFUNCTION("""COMPUTED_VALUE"""),"")</f>
        <v/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>
      <c r="A193" t="str">
        <f>IFERROR(__xludf.DUMMYFUNCTION("""COMPUTED_VALUE"""),"")</f>
        <v/>
      </c>
      <c r="B193" t="str">
        <f>IFERROR(__xludf.DUMMYFUNCTION("""COMPUTED_VALUE"""),"")</f>
        <v/>
      </c>
      <c r="C193" t="str">
        <f>IFERROR(__xludf.DUMMYFUNCTION("""COMPUTED_VALUE"""),"")</f>
        <v/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>
      <c r="A194" t="str">
        <f>IFERROR(__xludf.DUMMYFUNCTION("""COMPUTED_VALUE"""),"")</f>
        <v/>
      </c>
      <c r="B194" t="str">
        <f>IFERROR(__xludf.DUMMYFUNCTION("""COMPUTED_VALUE"""),"")</f>
        <v/>
      </c>
      <c r="C194" t="str">
        <f>IFERROR(__xludf.DUMMYFUNCTION("""COMPUTED_VALUE"""),"")</f>
        <v/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>
      <c r="A195" t="str">
        <f>IFERROR(__xludf.DUMMYFUNCTION("""COMPUTED_VALUE"""),"")</f>
        <v/>
      </c>
      <c r="B195" t="str">
        <f>IFERROR(__xludf.DUMMYFUNCTION("""COMPUTED_VALUE"""),"")</f>
        <v/>
      </c>
      <c r="C195" t="str">
        <f>IFERROR(__xludf.DUMMYFUNCTION("""COMPUTED_VALUE"""),"")</f>
        <v/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>
      <c r="A196" t="str">
        <f>IFERROR(__xludf.DUMMYFUNCTION("""COMPUTED_VALUE"""),"")</f>
        <v/>
      </c>
      <c r="B196" t="str">
        <f>IFERROR(__xludf.DUMMYFUNCTION("""COMPUTED_VALUE"""),"")</f>
        <v/>
      </c>
      <c r="C196" t="str">
        <f>IFERROR(__xludf.DUMMYFUNCTION("""COMPUTED_VALUE"""),"")</f>
        <v/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>
      <c r="A197" t="str">
        <f>IFERROR(__xludf.DUMMYFUNCTION("""COMPUTED_VALUE"""),"")</f>
        <v/>
      </c>
      <c r="B197" t="str">
        <f>IFERROR(__xludf.DUMMYFUNCTION("""COMPUTED_VALUE"""),"")</f>
        <v/>
      </c>
      <c r="C197" t="str">
        <f>IFERROR(__xludf.DUMMYFUNCTION("""COMPUTED_VALUE"""),"")</f>
        <v/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>
      <c r="A198" t="str">
        <f>IFERROR(__xludf.DUMMYFUNCTION("""COMPUTED_VALUE"""),"")</f>
        <v/>
      </c>
      <c r="B198" t="str">
        <f>IFERROR(__xludf.DUMMYFUNCTION("""COMPUTED_VALUE"""),"")</f>
        <v/>
      </c>
      <c r="C198" t="str">
        <f>IFERROR(__xludf.DUMMYFUNCTION("""COMPUTED_VALUE"""),"")</f>
        <v/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>
      <c r="A199" t="str">
        <f>IFERROR(__xludf.DUMMYFUNCTION("""COMPUTED_VALUE"""),"")</f>
        <v/>
      </c>
      <c r="B199" t="str">
        <f>IFERROR(__xludf.DUMMYFUNCTION("""COMPUTED_VALUE"""),"")</f>
        <v/>
      </c>
      <c r="C199" t="str">
        <f>IFERROR(__xludf.DUMMYFUNCTION("""COMPUTED_VALUE"""),"")</f>
        <v/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>
      <c r="A200" t="str">
        <f>IFERROR(__xludf.DUMMYFUNCTION("""COMPUTED_VALUE"""),"")</f>
        <v/>
      </c>
      <c r="B200" t="str">
        <f>IFERROR(__xludf.DUMMYFUNCTION("""COMPUTED_VALUE"""),"")</f>
        <v/>
      </c>
      <c r="C200" t="str">
        <f>IFERROR(__xludf.DUMMYFUNCTION("""COMPUTED_VALUE"""),"")</f>
        <v/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>
      <c r="A201" t="str">
        <f>IFERROR(__xludf.DUMMYFUNCTION("""COMPUTED_VALUE"""),"")</f>
        <v/>
      </c>
      <c r="B201" t="str">
        <f>IFERROR(__xludf.DUMMYFUNCTION("""COMPUTED_VALUE"""),"")</f>
        <v/>
      </c>
      <c r="C201" t="str">
        <f>IFERROR(__xludf.DUMMYFUNCTION("""COMPUTED_VALUE"""),"")</f>
        <v/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>
      <c r="A202" t="str">
        <f>IFERROR(__xludf.DUMMYFUNCTION("""COMPUTED_VALUE"""),"")</f>
        <v/>
      </c>
      <c r="B202" t="str">
        <f>IFERROR(__xludf.DUMMYFUNCTION("""COMPUTED_VALUE"""),"")</f>
        <v/>
      </c>
      <c r="C202" t="str">
        <f>IFERROR(__xludf.DUMMYFUNCTION("""COMPUTED_VALUE"""),"")</f>
        <v/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>
      <c r="A203" t="str">
        <f>IFERROR(__xludf.DUMMYFUNCTION("""COMPUTED_VALUE"""),"")</f>
        <v/>
      </c>
      <c r="B203" t="str">
        <f>IFERROR(__xludf.DUMMYFUNCTION("""COMPUTED_VALUE"""),"")</f>
        <v/>
      </c>
      <c r="C203" t="str">
        <f>IFERROR(__xludf.DUMMYFUNCTION("""COMPUTED_VALUE"""),"")</f>
        <v/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>
      <c r="A204" t="str">
        <f>IFERROR(__xludf.DUMMYFUNCTION("""COMPUTED_VALUE"""),"")</f>
        <v/>
      </c>
      <c r="B204" t="str">
        <f>IFERROR(__xludf.DUMMYFUNCTION("""COMPUTED_VALUE"""),"")</f>
        <v/>
      </c>
      <c r="C204" t="str">
        <f>IFERROR(__xludf.DUMMYFUNCTION("""COMPUTED_VALUE"""),"")</f>
        <v/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>
      <c r="A205" t="str">
        <f>IFERROR(__xludf.DUMMYFUNCTION("""COMPUTED_VALUE"""),"")</f>
        <v/>
      </c>
      <c r="B205" t="str">
        <f>IFERROR(__xludf.DUMMYFUNCTION("""COMPUTED_VALUE"""),"")</f>
        <v/>
      </c>
      <c r="C205" t="str">
        <f>IFERROR(__xludf.DUMMYFUNCTION("""COMPUTED_VALUE"""),"")</f>
        <v/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>
      <c r="A206" t="str">
        <f>IFERROR(__xludf.DUMMYFUNCTION("""COMPUTED_VALUE"""),"")</f>
        <v/>
      </c>
      <c r="B206" t="str">
        <f>IFERROR(__xludf.DUMMYFUNCTION("""COMPUTED_VALUE"""),"")</f>
        <v/>
      </c>
      <c r="C206" t="str">
        <f>IFERROR(__xludf.DUMMYFUNCTION("""COMPUTED_VALUE"""),"")</f>
        <v/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>
      <c r="A207" t="str">
        <f>IFERROR(__xludf.DUMMYFUNCTION("""COMPUTED_VALUE"""),"")</f>
        <v/>
      </c>
      <c r="B207" t="str">
        <f>IFERROR(__xludf.DUMMYFUNCTION("""COMPUTED_VALUE"""),"")</f>
        <v/>
      </c>
      <c r="C207" t="str">
        <f>IFERROR(__xludf.DUMMYFUNCTION("""COMPUTED_VALUE"""),"")</f>
        <v/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>
      <c r="A208" t="str">
        <f>IFERROR(__xludf.DUMMYFUNCTION("""COMPUTED_VALUE"""),"")</f>
        <v/>
      </c>
      <c r="B208" t="str">
        <f>IFERROR(__xludf.DUMMYFUNCTION("""COMPUTED_VALUE"""),"")</f>
        <v/>
      </c>
      <c r="C208" t="str">
        <f>IFERROR(__xludf.DUMMYFUNCTION("""COMPUTED_VALUE"""),"")</f>
        <v/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>
      <c r="A209" t="str">
        <f>IFERROR(__xludf.DUMMYFUNCTION("""COMPUTED_VALUE"""),"")</f>
        <v/>
      </c>
      <c r="B209" t="str">
        <f>IFERROR(__xludf.DUMMYFUNCTION("""COMPUTED_VALUE"""),"")</f>
        <v/>
      </c>
      <c r="C209" t="str">
        <f>IFERROR(__xludf.DUMMYFUNCTION("""COMPUTED_VALUE"""),"")</f>
        <v/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>
      <c r="A210" t="str">
        <f>IFERROR(__xludf.DUMMYFUNCTION("""COMPUTED_VALUE"""),"")</f>
        <v/>
      </c>
      <c r="B210" t="str">
        <f>IFERROR(__xludf.DUMMYFUNCTION("""COMPUTED_VALUE"""),"")</f>
        <v/>
      </c>
      <c r="C210" t="str">
        <f>IFERROR(__xludf.DUMMYFUNCTION("""COMPUTED_VALUE"""),"")</f>
        <v/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>
      <c r="A211" t="str">
        <f>IFERROR(__xludf.DUMMYFUNCTION("""COMPUTED_VALUE"""),"")</f>
        <v/>
      </c>
      <c r="B211" t="str">
        <f>IFERROR(__xludf.DUMMYFUNCTION("""COMPUTED_VALUE"""),"")</f>
        <v/>
      </c>
      <c r="C211" t="str">
        <f>IFERROR(__xludf.DUMMYFUNCTION("""COMPUTED_VALUE"""),"")</f>
        <v/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>
      <c r="A212" t="str">
        <f>IFERROR(__xludf.DUMMYFUNCTION("""COMPUTED_VALUE"""),"")</f>
        <v/>
      </c>
      <c r="B212" t="str">
        <f>IFERROR(__xludf.DUMMYFUNCTION("""COMPUTED_VALUE"""),"")</f>
        <v/>
      </c>
      <c r="C212" t="str">
        <f>IFERROR(__xludf.DUMMYFUNCTION("""COMPUTED_VALUE"""),"")</f>
        <v/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>
      <c r="A213" t="str">
        <f>IFERROR(__xludf.DUMMYFUNCTION("""COMPUTED_VALUE"""),"")</f>
        <v/>
      </c>
      <c r="B213" t="str">
        <f>IFERROR(__xludf.DUMMYFUNCTION("""COMPUTED_VALUE"""),"")</f>
        <v/>
      </c>
      <c r="C213" t="str">
        <f>IFERROR(__xludf.DUMMYFUNCTION("""COMPUTED_VALUE"""),"")</f>
        <v/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>
      <c r="A214" t="str">
        <f>IFERROR(__xludf.DUMMYFUNCTION("""COMPUTED_VALUE"""),"")</f>
        <v/>
      </c>
      <c r="B214" t="str">
        <f>IFERROR(__xludf.DUMMYFUNCTION("""COMPUTED_VALUE"""),"")</f>
        <v/>
      </c>
      <c r="C214" t="str">
        <f>IFERROR(__xludf.DUMMYFUNCTION("""COMPUTED_VALUE"""),"")</f>
        <v/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>
      <c r="A215" t="str">
        <f>IFERROR(__xludf.DUMMYFUNCTION("""COMPUTED_VALUE"""),"")</f>
        <v/>
      </c>
      <c r="B215" t="str">
        <f>IFERROR(__xludf.DUMMYFUNCTION("""COMPUTED_VALUE"""),"")</f>
        <v/>
      </c>
      <c r="C215" t="str">
        <f>IFERROR(__xludf.DUMMYFUNCTION("""COMPUTED_VALUE"""),"")</f>
        <v/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>
      <c r="A216" t="str">
        <f>IFERROR(__xludf.DUMMYFUNCTION("""COMPUTED_VALUE"""),"")</f>
        <v/>
      </c>
      <c r="B216" t="str">
        <f>IFERROR(__xludf.DUMMYFUNCTION("""COMPUTED_VALUE"""),"")</f>
        <v/>
      </c>
      <c r="C216" t="str">
        <f>IFERROR(__xludf.DUMMYFUNCTION("""COMPUTED_VALUE"""),"")</f>
        <v/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>
      <c r="A217" t="str">
        <f>IFERROR(__xludf.DUMMYFUNCTION("""COMPUTED_VALUE"""),"")</f>
        <v/>
      </c>
      <c r="B217" t="str">
        <f>IFERROR(__xludf.DUMMYFUNCTION("""COMPUTED_VALUE"""),"")</f>
        <v/>
      </c>
      <c r="C217" t="str">
        <f>IFERROR(__xludf.DUMMYFUNCTION("""COMPUTED_VALUE"""),"")</f>
        <v/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>
      <c r="A218" t="str">
        <f>IFERROR(__xludf.DUMMYFUNCTION("""COMPUTED_VALUE"""),"")</f>
        <v/>
      </c>
      <c r="B218" t="str">
        <f>IFERROR(__xludf.DUMMYFUNCTION("""COMPUTED_VALUE"""),"")</f>
        <v/>
      </c>
      <c r="C218" t="str">
        <f>IFERROR(__xludf.DUMMYFUNCTION("""COMPUTED_VALUE"""),"")</f>
        <v/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>
      <c r="A219" t="str">
        <f>IFERROR(__xludf.DUMMYFUNCTION("""COMPUTED_VALUE"""),"")</f>
        <v/>
      </c>
      <c r="B219" t="str">
        <f>IFERROR(__xludf.DUMMYFUNCTION("""COMPUTED_VALUE"""),"")</f>
        <v/>
      </c>
      <c r="C219" t="str">
        <f>IFERROR(__xludf.DUMMYFUNCTION("""COMPUTED_VALUE"""),"")</f>
        <v/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>
      <c r="A220" t="str">
        <f>IFERROR(__xludf.DUMMYFUNCTION("""COMPUTED_VALUE"""),"")</f>
        <v/>
      </c>
      <c r="B220" t="str">
        <f>IFERROR(__xludf.DUMMYFUNCTION("""COMPUTED_VALUE"""),"")</f>
        <v/>
      </c>
      <c r="C220" t="str">
        <f>IFERROR(__xludf.DUMMYFUNCTION("""COMPUTED_VALUE"""),"")</f>
        <v/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>
      <c r="A221" t="str">
        <f>IFERROR(__xludf.DUMMYFUNCTION("""COMPUTED_VALUE"""),"")</f>
        <v/>
      </c>
      <c r="B221" t="str">
        <f>IFERROR(__xludf.DUMMYFUNCTION("""COMPUTED_VALUE"""),"")</f>
        <v/>
      </c>
      <c r="C221" t="str">
        <f>IFERROR(__xludf.DUMMYFUNCTION("""COMPUTED_VALUE"""),"")</f>
        <v/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>
      <c r="A222" t="str">
        <f>IFERROR(__xludf.DUMMYFUNCTION("""COMPUTED_VALUE"""),"")</f>
        <v/>
      </c>
      <c r="B222" t="str">
        <f>IFERROR(__xludf.DUMMYFUNCTION("""COMPUTED_VALUE"""),"")</f>
        <v/>
      </c>
      <c r="C222" t="str">
        <f>IFERROR(__xludf.DUMMYFUNCTION("""COMPUTED_VALUE"""),"")</f>
        <v/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>
      <c r="A223" t="str">
        <f>IFERROR(__xludf.DUMMYFUNCTION("""COMPUTED_VALUE"""),"")</f>
        <v/>
      </c>
      <c r="B223" t="str">
        <f>IFERROR(__xludf.DUMMYFUNCTION("""COMPUTED_VALUE"""),"")</f>
        <v/>
      </c>
      <c r="C223" t="str">
        <f>IFERROR(__xludf.DUMMYFUNCTION("""COMPUTED_VALUE"""),"")</f>
        <v/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>
      <c r="A224" t="str">
        <f>IFERROR(__xludf.DUMMYFUNCTION("""COMPUTED_VALUE"""),"")</f>
        <v/>
      </c>
      <c r="B224" t="str">
        <f>IFERROR(__xludf.DUMMYFUNCTION("""COMPUTED_VALUE"""),"")</f>
        <v/>
      </c>
      <c r="C224" t="str">
        <f>IFERROR(__xludf.DUMMYFUNCTION("""COMPUTED_VALUE"""),"")</f>
        <v/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>
      <c r="A225" t="str">
        <f>IFERROR(__xludf.DUMMYFUNCTION("""COMPUTED_VALUE"""),"")</f>
        <v/>
      </c>
      <c r="B225" t="str">
        <f>IFERROR(__xludf.DUMMYFUNCTION("""COMPUTED_VALUE"""),"")</f>
        <v/>
      </c>
      <c r="C225" t="str">
        <f>IFERROR(__xludf.DUMMYFUNCTION("""COMPUTED_VALUE"""),"")</f>
        <v/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>
      <c r="A226" t="str">
        <f>IFERROR(__xludf.DUMMYFUNCTION("""COMPUTED_VALUE"""),"")</f>
        <v/>
      </c>
      <c r="B226" t="str">
        <f>IFERROR(__xludf.DUMMYFUNCTION("""COMPUTED_VALUE"""),"")</f>
        <v/>
      </c>
      <c r="C226" t="str">
        <f>IFERROR(__xludf.DUMMYFUNCTION("""COMPUTED_VALUE"""),"")</f>
        <v/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>
      <c r="A227" t="str">
        <f>IFERROR(__xludf.DUMMYFUNCTION("""COMPUTED_VALUE"""),"")</f>
        <v/>
      </c>
      <c r="B227" t="str">
        <f>IFERROR(__xludf.DUMMYFUNCTION("""COMPUTED_VALUE"""),"")</f>
        <v/>
      </c>
      <c r="C227" t="str">
        <f>IFERROR(__xludf.DUMMYFUNCTION("""COMPUTED_VALUE"""),"")</f>
        <v/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>
      <c r="A228" t="str">
        <f>IFERROR(__xludf.DUMMYFUNCTION("""COMPUTED_VALUE"""),"")</f>
        <v/>
      </c>
      <c r="B228" t="str">
        <f>IFERROR(__xludf.DUMMYFUNCTION("""COMPUTED_VALUE"""),"")</f>
        <v/>
      </c>
      <c r="C228" t="str">
        <f>IFERROR(__xludf.DUMMYFUNCTION("""COMPUTED_VALUE"""),"")</f>
        <v/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>
      <c r="A229" t="str">
        <f>IFERROR(__xludf.DUMMYFUNCTION("""COMPUTED_VALUE"""),"")</f>
        <v/>
      </c>
      <c r="B229" t="str">
        <f>IFERROR(__xludf.DUMMYFUNCTION("""COMPUTED_VALUE"""),"")</f>
        <v/>
      </c>
      <c r="C229" t="str">
        <f>IFERROR(__xludf.DUMMYFUNCTION("""COMPUTED_VALUE"""),"")</f>
        <v/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>
      <c r="A230" t="str">
        <f>IFERROR(__xludf.DUMMYFUNCTION("""COMPUTED_VALUE"""),"")</f>
        <v/>
      </c>
      <c r="B230" t="str">
        <f>IFERROR(__xludf.DUMMYFUNCTION("""COMPUTED_VALUE"""),"")</f>
        <v/>
      </c>
      <c r="C230" t="str">
        <f>IFERROR(__xludf.DUMMYFUNCTION("""COMPUTED_VALUE"""),"")</f>
        <v/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>
      <c r="A231" t="str">
        <f>IFERROR(__xludf.DUMMYFUNCTION("""COMPUTED_VALUE"""),"")</f>
        <v/>
      </c>
      <c r="B231" t="str">
        <f>IFERROR(__xludf.DUMMYFUNCTION("""COMPUTED_VALUE"""),"")</f>
        <v/>
      </c>
      <c r="C231" t="str">
        <f>IFERROR(__xludf.DUMMYFUNCTION("""COMPUTED_VALUE"""),"")</f>
        <v/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>
      <c r="A232" t="str">
        <f>IFERROR(__xludf.DUMMYFUNCTION("""COMPUTED_VALUE"""),"")</f>
        <v/>
      </c>
      <c r="B232" t="str">
        <f>IFERROR(__xludf.DUMMYFUNCTION("""COMPUTED_VALUE"""),"")</f>
        <v/>
      </c>
      <c r="C232" t="str">
        <f>IFERROR(__xludf.DUMMYFUNCTION("""COMPUTED_VALUE"""),"")</f>
        <v/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>
      <c r="A233" t="str">
        <f>IFERROR(__xludf.DUMMYFUNCTION("""COMPUTED_VALUE"""),"")</f>
        <v/>
      </c>
      <c r="B233" t="str">
        <f>IFERROR(__xludf.DUMMYFUNCTION("""COMPUTED_VALUE"""),"")</f>
        <v/>
      </c>
      <c r="C233" t="str">
        <f>IFERROR(__xludf.DUMMYFUNCTION("""COMPUTED_VALUE"""),"")</f>
        <v/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>
      <c r="A234" t="str">
        <f>IFERROR(__xludf.DUMMYFUNCTION("""COMPUTED_VALUE"""),"")</f>
        <v/>
      </c>
      <c r="B234" t="str">
        <f>IFERROR(__xludf.DUMMYFUNCTION("""COMPUTED_VALUE"""),"")</f>
        <v/>
      </c>
      <c r="C234" t="str">
        <f>IFERROR(__xludf.DUMMYFUNCTION("""COMPUTED_VALUE"""),"")</f>
        <v/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>
      <c r="A235" t="str">
        <f>IFERROR(__xludf.DUMMYFUNCTION("""COMPUTED_VALUE"""),"")</f>
        <v/>
      </c>
      <c r="B235" t="str">
        <f>IFERROR(__xludf.DUMMYFUNCTION("""COMPUTED_VALUE"""),"")</f>
        <v/>
      </c>
      <c r="C235" t="str">
        <f>IFERROR(__xludf.DUMMYFUNCTION("""COMPUTED_VALUE"""),"")</f>
        <v/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>
      <c r="A236" t="str">
        <f>IFERROR(__xludf.DUMMYFUNCTION("""COMPUTED_VALUE"""),"")</f>
        <v/>
      </c>
      <c r="B236" t="str">
        <f>IFERROR(__xludf.DUMMYFUNCTION("""COMPUTED_VALUE"""),"")</f>
        <v/>
      </c>
      <c r="C236" t="str">
        <f>IFERROR(__xludf.DUMMYFUNCTION("""COMPUTED_VALUE"""),"")</f>
        <v/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>
      <c r="A237" t="str">
        <f>IFERROR(__xludf.DUMMYFUNCTION("""COMPUTED_VALUE"""),"")</f>
        <v/>
      </c>
      <c r="B237" t="str">
        <f>IFERROR(__xludf.DUMMYFUNCTION("""COMPUTED_VALUE"""),"")</f>
        <v/>
      </c>
      <c r="C237" t="str">
        <f>IFERROR(__xludf.DUMMYFUNCTION("""COMPUTED_VALUE"""),"")</f>
        <v/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>
      <c r="A238" t="str">
        <f>IFERROR(__xludf.DUMMYFUNCTION("""COMPUTED_VALUE"""),"")</f>
        <v/>
      </c>
      <c r="B238" t="str">
        <f>IFERROR(__xludf.DUMMYFUNCTION("""COMPUTED_VALUE"""),"")</f>
        <v/>
      </c>
      <c r="C238" t="str">
        <f>IFERROR(__xludf.DUMMYFUNCTION("""COMPUTED_VALUE"""),"")</f>
        <v/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>
      <c r="A239" t="str">
        <f>IFERROR(__xludf.DUMMYFUNCTION("""COMPUTED_VALUE"""),"")</f>
        <v/>
      </c>
      <c r="B239" t="str">
        <f>IFERROR(__xludf.DUMMYFUNCTION("""COMPUTED_VALUE"""),"")</f>
        <v/>
      </c>
      <c r="C239" t="str">
        <f>IFERROR(__xludf.DUMMYFUNCTION("""COMPUTED_VALUE"""),"")</f>
        <v/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>
      <c r="A240" t="str">
        <f>IFERROR(__xludf.DUMMYFUNCTION("""COMPUTED_VALUE"""),"")</f>
        <v/>
      </c>
      <c r="B240" t="str">
        <f>IFERROR(__xludf.DUMMYFUNCTION("""COMPUTED_VALUE"""),"")</f>
        <v/>
      </c>
      <c r="C240" t="str">
        <f>IFERROR(__xludf.DUMMYFUNCTION("""COMPUTED_VALUE"""),"")</f>
        <v/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>
      <c r="A241" t="str">
        <f>IFERROR(__xludf.DUMMYFUNCTION("""COMPUTED_VALUE"""),"")</f>
        <v/>
      </c>
      <c r="B241" t="str">
        <f>IFERROR(__xludf.DUMMYFUNCTION("""COMPUTED_VALUE"""),"")</f>
        <v/>
      </c>
      <c r="C241" t="str">
        <f>IFERROR(__xludf.DUMMYFUNCTION("""COMPUTED_VALUE"""),"")</f>
        <v/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>
      <c r="A242" t="str">
        <f>IFERROR(__xludf.DUMMYFUNCTION("""COMPUTED_VALUE"""),"")</f>
        <v/>
      </c>
      <c r="B242" t="str">
        <f>IFERROR(__xludf.DUMMYFUNCTION("""COMPUTED_VALUE"""),"")</f>
        <v/>
      </c>
      <c r="C242" t="str">
        <f>IFERROR(__xludf.DUMMYFUNCTION("""COMPUTED_VALUE"""),"")</f>
        <v/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>
      <c r="A243" t="str">
        <f>IFERROR(__xludf.DUMMYFUNCTION("""COMPUTED_VALUE"""),"")</f>
        <v/>
      </c>
      <c r="B243" t="str">
        <f>IFERROR(__xludf.DUMMYFUNCTION("""COMPUTED_VALUE"""),"")</f>
        <v/>
      </c>
      <c r="C243" t="str">
        <f>IFERROR(__xludf.DUMMYFUNCTION("""COMPUTED_VALUE"""),"")</f>
        <v/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>
      <c r="A244" t="str">
        <f>IFERROR(__xludf.DUMMYFUNCTION("""COMPUTED_VALUE"""),"")</f>
        <v/>
      </c>
      <c r="B244" t="str">
        <f>IFERROR(__xludf.DUMMYFUNCTION("""COMPUTED_VALUE"""),"")</f>
        <v/>
      </c>
      <c r="C244" t="str">
        <f>IFERROR(__xludf.DUMMYFUNCTION("""COMPUTED_VALUE"""),"")</f>
        <v/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>
      <c r="A245" t="str">
        <f>IFERROR(__xludf.DUMMYFUNCTION("""COMPUTED_VALUE"""),"")</f>
        <v/>
      </c>
      <c r="B245" t="str">
        <f>IFERROR(__xludf.DUMMYFUNCTION("""COMPUTED_VALUE"""),"")</f>
        <v/>
      </c>
      <c r="C245" t="str">
        <f>IFERROR(__xludf.DUMMYFUNCTION("""COMPUTED_VALUE"""),"")</f>
        <v/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>
      <c r="A246" t="str">
        <f>IFERROR(__xludf.DUMMYFUNCTION("""COMPUTED_VALUE"""),"")</f>
        <v/>
      </c>
      <c r="B246" t="str">
        <f>IFERROR(__xludf.DUMMYFUNCTION("""COMPUTED_VALUE"""),"")</f>
        <v/>
      </c>
      <c r="C246" t="str">
        <f>IFERROR(__xludf.DUMMYFUNCTION("""COMPUTED_VALUE"""),"")</f>
        <v/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>
      <c r="A247" t="str">
        <f>IFERROR(__xludf.DUMMYFUNCTION("""COMPUTED_VALUE"""),"")</f>
        <v/>
      </c>
      <c r="B247" t="str">
        <f>IFERROR(__xludf.DUMMYFUNCTION("""COMPUTED_VALUE"""),"")</f>
        <v/>
      </c>
      <c r="C247" t="str">
        <f>IFERROR(__xludf.DUMMYFUNCTION("""COMPUTED_VALUE"""),"")</f>
        <v/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>
      <c r="A248" t="str">
        <f>IFERROR(__xludf.DUMMYFUNCTION("""COMPUTED_VALUE"""),"")</f>
        <v/>
      </c>
      <c r="B248" t="str">
        <f>IFERROR(__xludf.DUMMYFUNCTION("""COMPUTED_VALUE"""),"")</f>
        <v/>
      </c>
      <c r="C248" t="str">
        <f>IFERROR(__xludf.DUMMYFUNCTION("""COMPUTED_VALUE"""),"")</f>
        <v/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>
      <c r="A249" t="str">
        <f>IFERROR(__xludf.DUMMYFUNCTION("""COMPUTED_VALUE"""),"")</f>
        <v/>
      </c>
      <c r="B249" t="str">
        <f>IFERROR(__xludf.DUMMYFUNCTION("""COMPUTED_VALUE"""),"")</f>
        <v/>
      </c>
      <c r="C249" t="str">
        <f>IFERROR(__xludf.DUMMYFUNCTION("""COMPUTED_VALUE"""),"")</f>
        <v/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>
      <c r="A250" t="str">
        <f>IFERROR(__xludf.DUMMYFUNCTION("""COMPUTED_VALUE"""),"")</f>
        <v/>
      </c>
      <c r="B250" t="str">
        <f>IFERROR(__xludf.DUMMYFUNCTION("""COMPUTED_VALUE"""),"")</f>
        <v/>
      </c>
      <c r="C250" t="str">
        <f>IFERROR(__xludf.DUMMYFUNCTION("""COMPUTED_VALUE"""),"")</f>
        <v/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>
      <c r="A251" t="str">
        <f>IFERROR(__xludf.DUMMYFUNCTION("""COMPUTED_VALUE"""),"")</f>
        <v/>
      </c>
      <c r="B251" t="str">
        <f>IFERROR(__xludf.DUMMYFUNCTION("""COMPUTED_VALUE"""),"")</f>
        <v/>
      </c>
      <c r="C251" t="str">
        <f>IFERROR(__xludf.DUMMYFUNCTION("""COMPUTED_VALUE"""),"")</f>
        <v/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>
      <c r="A252" t="str">
        <f>IFERROR(__xludf.DUMMYFUNCTION("""COMPUTED_VALUE"""),"")</f>
        <v/>
      </c>
      <c r="B252" t="str">
        <f>IFERROR(__xludf.DUMMYFUNCTION("""COMPUTED_VALUE"""),"")</f>
        <v/>
      </c>
      <c r="C252" t="str">
        <f>IFERROR(__xludf.DUMMYFUNCTION("""COMPUTED_VALUE"""),"")</f>
        <v/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>
      <c r="A253" t="str">
        <f>IFERROR(__xludf.DUMMYFUNCTION("""COMPUTED_VALUE"""),"")</f>
        <v/>
      </c>
      <c r="B253" t="str">
        <f>IFERROR(__xludf.DUMMYFUNCTION("""COMPUTED_VALUE"""),"")</f>
        <v/>
      </c>
      <c r="C253" t="str">
        <f>IFERROR(__xludf.DUMMYFUNCTION("""COMPUTED_VALUE"""),"")</f>
        <v/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>
      <c r="A254" t="str">
        <f>IFERROR(__xludf.DUMMYFUNCTION("""COMPUTED_VALUE"""),"")</f>
        <v/>
      </c>
      <c r="B254" t="str">
        <f>IFERROR(__xludf.DUMMYFUNCTION("""COMPUTED_VALUE"""),"")</f>
        <v/>
      </c>
      <c r="C254" t="str">
        <f>IFERROR(__xludf.DUMMYFUNCTION("""COMPUTED_VALUE"""),"")</f>
        <v/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>
      <c r="A255" t="str">
        <f>IFERROR(__xludf.DUMMYFUNCTION("""COMPUTED_VALUE"""),"")</f>
        <v/>
      </c>
      <c r="B255" t="str">
        <f>IFERROR(__xludf.DUMMYFUNCTION("""COMPUTED_VALUE"""),"")</f>
        <v/>
      </c>
      <c r="C255" t="str">
        <f>IFERROR(__xludf.DUMMYFUNCTION("""COMPUTED_VALUE"""),"")</f>
        <v/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>
      <c r="A256" t="str">
        <f>IFERROR(__xludf.DUMMYFUNCTION("""COMPUTED_VALUE"""),"")</f>
        <v/>
      </c>
      <c r="B256" t="str">
        <f>IFERROR(__xludf.DUMMYFUNCTION("""COMPUTED_VALUE"""),"")</f>
        <v/>
      </c>
      <c r="C256" t="str">
        <f>IFERROR(__xludf.DUMMYFUNCTION("""COMPUTED_VALUE"""),"")</f>
        <v/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>
      <c r="A257" t="str">
        <f>IFERROR(__xludf.DUMMYFUNCTION("""COMPUTED_VALUE"""),"")</f>
        <v/>
      </c>
      <c r="B257" t="str">
        <f>IFERROR(__xludf.DUMMYFUNCTION("""COMPUTED_VALUE"""),"")</f>
        <v/>
      </c>
      <c r="C257" t="str">
        <f>IFERROR(__xludf.DUMMYFUNCTION("""COMPUTED_VALUE"""),"")</f>
        <v/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>
      <c r="A258" t="str">
        <f>IFERROR(__xludf.DUMMYFUNCTION("""COMPUTED_VALUE"""),"")</f>
        <v/>
      </c>
      <c r="B258" t="str">
        <f>IFERROR(__xludf.DUMMYFUNCTION("""COMPUTED_VALUE"""),"")</f>
        <v/>
      </c>
      <c r="C258" t="str">
        <f>IFERROR(__xludf.DUMMYFUNCTION("""COMPUTED_VALUE"""),"")</f>
        <v/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>
      <c r="A259" t="str">
        <f>IFERROR(__xludf.DUMMYFUNCTION("""COMPUTED_VALUE"""),"")</f>
        <v/>
      </c>
      <c r="B259" t="str">
        <f>IFERROR(__xludf.DUMMYFUNCTION("""COMPUTED_VALUE"""),"")</f>
        <v/>
      </c>
      <c r="C259" t="str">
        <f>IFERROR(__xludf.DUMMYFUNCTION("""COMPUTED_VALUE"""),"")</f>
        <v/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>
      <c r="A260" t="str">
        <f>IFERROR(__xludf.DUMMYFUNCTION("""COMPUTED_VALUE"""),"")</f>
        <v/>
      </c>
      <c r="B260" t="str">
        <f>IFERROR(__xludf.DUMMYFUNCTION("""COMPUTED_VALUE"""),"")</f>
        <v/>
      </c>
      <c r="C260" t="str">
        <f>IFERROR(__xludf.DUMMYFUNCTION("""COMPUTED_VALUE"""),"")</f>
        <v/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>
      <c r="A261" t="str">
        <f>IFERROR(__xludf.DUMMYFUNCTION("""COMPUTED_VALUE"""),"")</f>
        <v/>
      </c>
      <c r="B261" t="str">
        <f>IFERROR(__xludf.DUMMYFUNCTION("""COMPUTED_VALUE"""),"")</f>
        <v/>
      </c>
      <c r="C261" t="str">
        <f>IFERROR(__xludf.DUMMYFUNCTION("""COMPUTED_VALUE"""),"")</f>
        <v/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>
      <c r="A262" t="str">
        <f>IFERROR(__xludf.DUMMYFUNCTION("""COMPUTED_VALUE"""),"")</f>
        <v/>
      </c>
      <c r="B262" t="str">
        <f>IFERROR(__xludf.DUMMYFUNCTION("""COMPUTED_VALUE"""),"")</f>
        <v/>
      </c>
      <c r="C262" t="str">
        <f>IFERROR(__xludf.DUMMYFUNCTION("""COMPUTED_VALUE"""),"")</f>
        <v/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>
      <c r="A263" t="str">
        <f>IFERROR(__xludf.DUMMYFUNCTION("""COMPUTED_VALUE"""),"")</f>
        <v/>
      </c>
      <c r="B263" t="str">
        <f>IFERROR(__xludf.DUMMYFUNCTION("""COMPUTED_VALUE"""),"")</f>
        <v/>
      </c>
      <c r="C263" t="str">
        <f>IFERROR(__xludf.DUMMYFUNCTION("""COMPUTED_VALUE"""),"")</f>
        <v/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>
      <c r="A264" t="str">
        <f>IFERROR(__xludf.DUMMYFUNCTION("""COMPUTED_VALUE"""),"")</f>
        <v/>
      </c>
      <c r="B264" t="str">
        <f>IFERROR(__xludf.DUMMYFUNCTION("""COMPUTED_VALUE"""),"")</f>
        <v/>
      </c>
      <c r="C264" t="str">
        <f>IFERROR(__xludf.DUMMYFUNCTION("""COMPUTED_VALUE"""),"")</f>
        <v/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>
      <c r="A265" t="str">
        <f>IFERROR(__xludf.DUMMYFUNCTION("""COMPUTED_VALUE"""),"")</f>
        <v/>
      </c>
      <c r="B265" t="str">
        <f>IFERROR(__xludf.DUMMYFUNCTION("""COMPUTED_VALUE"""),"")</f>
        <v/>
      </c>
      <c r="C265" t="str">
        <f>IFERROR(__xludf.DUMMYFUNCTION("""COMPUTED_VALUE"""),"")</f>
        <v/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>
      <c r="A266" t="str">
        <f>IFERROR(__xludf.DUMMYFUNCTION("""COMPUTED_VALUE"""),"")</f>
        <v/>
      </c>
      <c r="B266" t="str">
        <f>IFERROR(__xludf.DUMMYFUNCTION("""COMPUTED_VALUE"""),"")</f>
        <v/>
      </c>
      <c r="C266" t="str">
        <f>IFERROR(__xludf.DUMMYFUNCTION("""COMPUTED_VALUE"""),"")</f>
        <v/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>
      <c r="A267" t="str">
        <f>IFERROR(__xludf.DUMMYFUNCTION("""COMPUTED_VALUE"""),"")</f>
        <v/>
      </c>
      <c r="B267" t="str">
        <f>IFERROR(__xludf.DUMMYFUNCTION("""COMPUTED_VALUE"""),"")</f>
        <v/>
      </c>
      <c r="C267" t="str">
        <f>IFERROR(__xludf.DUMMYFUNCTION("""COMPUTED_VALUE"""),"")</f>
        <v/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>
      <c r="A268" t="str">
        <f>IFERROR(__xludf.DUMMYFUNCTION("""COMPUTED_VALUE"""),"")</f>
        <v/>
      </c>
      <c r="B268" t="str">
        <f>IFERROR(__xludf.DUMMYFUNCTION("""COMPUTED_VALUE"""),"")</f>
        <v/>
      </c>
      <c r="C268" t="str">
        <f>IFERROR(__xludf.DUMMYFUNCTION("""COMPUTED_VALUE"""),"")</f>
        <v/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>
      <c r="A269" t="str">
        <f>IFERROR(__xludf.DUMMYFUNCTION("""COMPUTED_VALUE"""),"")</f>
        <v/>
      </c>
      <c r="B269" t="str">
        <f>IFERROR(__xludf.DUMMYFUNCTION("""COMPUTED_VALUE"""),"")</f>
        <v/>
      </c>
      <c r="C269" t="str">
        <f>IFERROR(__xludf.DUMMYFUNCTION("""COMPUTED_VALUE"""),"")</f>
        <v/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>
      <c r="A270" t="str">
        <f>IFERROR(__xludf.DUMMYFUNCTION("""COMPUTED_VALUE"""),"")</f>
        <v/>
      </c>
      <c r="B270" t="str">
        <f>IFERROR(__xludf.DUMMYFUNCTION("""COMPUTED_VALUE"""),"")</f>
        <v/>
      </c>
      <c r="C270" t="str">
        <f>IFERROR(__xludf.DUMMYFUNCTION("""COMPUTED_VALUE"""),"")</f>
        <v/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>
      <c r="A271" t="str">
        <f>IFERROR(__xludf.DUMMYFUNCTION("""COMPUTED_VALUE"""),"")</f>
        <v/>
      </c>
      <c r="B271" t="str">
        <f>IFERROR(__xludf.DUMMYFUNCTION("""COMPUTED_VALUE"""),"")</f>
        <v/>
      </c>
      <c r="C271" t="str">
        <f>IFERROR(__xludf.DUMMYFUNCTION("""COMPUTED_VALUE"""),"")</f>
        <v/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>
      <c r="A272" t="str">
        <f>IFERROR(__xludf.DUMMYFUNCTION("""COMPUTED_VALUE"""),"")</f>
        <v/>
      </c>
      <c r="B272" t="str">
        <f>IFERROR(__xludf.DUMMYFUNCTION("""COMPUTED_VALUE"""),"")</f>
        <v/>
      </c>
      <c r="C272" t="str">
        <f>IFERROR(__xludf.DUMMYFUNCTION("""COMPUTED_VALUE"""),"")</f>
        <v/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>
      <c r="A273" t="str">
        <f>IFERROR(__xludf.DUMMYFUNCTION("""COMPUTED_VALUE"""),"")</f>
        <v/>
      </c>
      <c r="B273" t="str">
        <f>IFERROR(__xludf.DUMMYFUNCTION("""COMPUTED_VALUE"""),"")</f>
        <v/>
      </c>
      <c r="C273" t="str">
        <f>IFERROR(__xludf.DUMMYFUNCTION("""COMPUTED_VALUE"""),"")</f>
        <v/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>
      <c r="A274" t="str">
        <f>IFERROR(__xludf.DUMMYFUNCTION("""COMPUTED_VALUE"""),"")</f>
        <v/>
      </c>
      <c r="B274" t="str">
        <f>IFERROR(__xludf.DUMMYFUNCTION("""COMPUTED_VALUE"""),"")</f>
        <v/>
      </c>
      <c r="C274" t="str">
        <f>IFERROR(__xludf.DUMMYFUNCTION("""COMPUTED_VALUE"""),"")</f>
        <v/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>
      <c r="A275" t="str">
        <f>IFERROR(__xludf.DUMMYFUNCTION("""COMPUTED_VALUE"""),"")</f>
        <v/>
      </c>
      <c r="B275" t="str">
        <f>IFERROR(__xludf.DUMMYFUNCTION("""COMPUTED_VALUE"""),"")</f>
        <v/>
      </c>
      <c r="C275" t="str">
        <f>IFERROR(__xludf.DUMMYFUNCTION("""COMPUTED_VALUE"""),"")</f>
        <v/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>
      <c r="A276" t="str">
        <f>IFERROR(__xludf.DUMMYFUNCTION("""COMPUTED_VALUE"""),"")</f>
        <v/>
      </c>
      <c r="B276" t="str">
        <f>IFERROR(__xludf.DUMMYFUNCTION("""COMPUTED_VALUE"""),"")</f>
        <v/>
      </c>
      <c r="C276" t="str">
        <f>IFERROR(__xludf.DUMMYFUNCTION("""COMPUTED_VALUE"""),"")</f>
        <v/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>
      <c r="A277" t="str">
        <f>IFERROR(__xludf.DUMMYFUNCTION("""COMPUTED_VALUE"""),"")</f>
        <v/>
      </c>
      <c r="B277" t="str">
        <f>IFERROR(__xludf.DUMMYFUNCTION("""COMPUTED_VALUE"""),"")</f>
        <v/>
      </c>
      <c r="C277" t="str">
        <f>IFERROR(__xludf.DUMMYFUNCTION("""COMPUTED_VALUE"""),"")</f>
        <v/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>
      <c r="A278" t="str">
        <f>IFERROR(__xludf.DUMMYFUNCTION("""COMPUTED_VALUE"""),"")</f>
        <v/>
      </c>
      <c r="B278" t="str">
        <f>IFERROR(__xludf.DUMMYFUNCTION("""COMPUTED_VALUE"""),"")</f>
        <v/>
      </c>
      <c r="C278" t="str">
        <f>IFERROR(__xludf.DUMMYFUNCTION("""COMPUTED_VALUE"""),"")</f>
        <v/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>
      <c r="A279" t="str">
        <f>IFERROR(__xludf.DUMMYFUNCTION("""COMPUTED_VALUE"""),"")</f>
        <v/>
      </c>
      <c r="B279" t="str">
        <f>IFERROR(__xludf.DUMMYFUNCTION("""COMPUTED_VALUE"""),"")</f>
        <v/>
      </c>
      <c r="C279" t="str">
        <f>IFERROR(__xludf.DUMMYFUNCTION("""COMPUTED_VALUE"""),"")</f>
        <v/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>
      <c r="A280" t="str">
        <f>IFERROR(__xludf.DUMMYFUNCTION("""COMPUTED_VALUE"""),"")</f>
        <v/>
      </c>
      <c r="B280" t="str">
        <f>IFERROR(__xludf.DUMMYFUNCTION("""COMPUTED_VALUE"""),"")</f>
        <v/>
      </c>
      <c r="C280" t="str">
        <f>IFERROR(__xludf.DUMMYFUNCTION("""COMPUTED_VALUE"""),"")</f>
        <v/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>
      <c r="A281" t="str">
        <f>IFERROR(__xludf.DUMMYFUNCTION("""COMPUTED_VALUE"""),"")</f>
        <v/>
      </c>
      <c r="B281" t="str">
        <f>IFERROR(__xludf.DUMMYFUNCTION("""COMPUTED_VALUE"""),"")</f>
        <v/>
      </c>
      <c r="C281" t="str">
        <f>IFERROR(__xludf.DUMMYFUNCTION("""COMPUTED_VALUE"""),"")</f>
        <v/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>
      <c r="A282" t="str">
        <f>IFERROR(__xludf.DUMMYFUNCTION("""COMPUTED_VALUE"""),"")</f>
        <v/>
      </c>
      <c r="B282" t="str">
        <f>IFERROR(__xludf.DUMMYFUNCTION("""COMPUTED_VALUE"""),"")</f>
        <v/>
      </c>
      <c r="C282" t="str">
        <f>IFERROR(__xludf.DUMMYFUNCTION("""COMPUTED_VALUE"""),"")</f>
        <v/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>
      <c r="A283" t="str">
        <f>IFERROR(__xludf.DUMMYFUNCTION("""COMPUTED_VALUE"""),"")</f>
        <v/>
      </c>
      <c r="B283" t="str">
        <f>IFERROR(__xludf.DUMMYFUNCTION("""COMPUTED_VALUE"""),"")</f>
        <v/>
      </c>
      <c r="C283" t="str">
        <f>IFERROR(__xludf.DUMMYFUNCTION("""COMPUTED_VALUE"""),"")</f>
        <v/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>
      <c r="A284" t="str">
        <f>IFERROR(__xludf.DUMMYFUNCTION("""COMPUTED_VALUE"""),"")</f>
        <v/>
      </c>
      <c r="B284" t="str">
        <f>IFERROR(__xludf.DUMMYFUNCTION("""COMPUTED_VALUE"""),"")</f>
        <v/>
      </c>
      <c r="C284" t="str">
        <f>IFERROR(__xludf.DUMMYFUNCTION("""COMPUTED_VALUE"""),"")</f>
        <v/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>
      <c r="A285" t="str">
        <f>IFERROR(__xludf.DUMMYFUNCTION("""COMPUTED_VALUE"""),"")</f>
        <v/>
      </c>
      <c r="B285" t="str">
        <f>IFERROR(__xludf.DUMMYFUNCTION("""COMPUTED_VALUE"""),"")</f>
        <v/>
      </c>
      <c r="C285" t="str">
        <f>IFERROR(__xludf.DUMMYFUNCTION("""COMPUTED_VALUE"""),"")</f>
        <v/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>
      <c r="A286" t="str">
        <f>IFERROR(__xludf.DUMMYFUNCTION("""COMPUTED_VALUE"""),"")</f>
        <v/>
      </c>
      <c r="B286" t="str">
        <f>IFERROR(__xludf.DUMMYFUNCTION("""COMPUTED_VALUE"""),"")</f>
        <v/>
      </c>
      <c r="C286" t="str">
        <f>IFERROR(__xludf.DUMMYFUNCTION("""COMPUTED_VALUE"""),"")</f>
        <v/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>
      <c r="A287" t="str">
        <f>IFERROR(__xludf.DUMMYFUNCTION("""COMPUTED_VALUE"""),"")</f>
        <v/>
      </c>
      <c r="B287" t="str">
        <f>IFERROR(__xludf.DUMMYFUNCTION("""COMPUTED_VALUE"""),"")</f>
        <v/>
      </c>
      <c r="C287" t="str">
        <f>IFERROR(__xludf.DUMMYFUNCTION("""COMPUTED_VALUE"""),"")</f>
        <v/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>
      <c r="A288" t="str">
        <f>IFERROR(__xludf.DUMMYFUNCTION("""COMPUTED_VALUE"""),"")</f>
        <v/>
      </c>
      <c r="B288" t="str">
        <f>IFERROR(__xludf.DUMMYFUNCTION("""COMPUTED_VALUE"""),"")</f>
        <v/>
      </c>
      <c r="C288" t="str">
        <f>IFERROR(__xludf.DUMMYFUNCTION("""COMPUTED_VALUE"""),"")</f>
        <v/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>
      <c r="A289" t="str">
        <f>IFERROR(__xludf.DUMMYFUNCTION("""COMPUTED_VALUE"""),"")</f>
        <v/>
      </c>
      <c r="B289" t="str">
        <f>IFERROR(__xludf.DUMMYFUNCTION("""COMPUTED_VALUE"""),"")</f>
        <v/>
      </c>
      <c r="C289" t="str">
        <f>IFERROR(__xludf.DUMMYFUNCTION("""COMPUTED_VALUE"""),"")</f>
        <v/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>
      <c r="A290" t="str">
        <f>IFERROR(__xludf.DUMMYFUNCTION("""COMPUTED_VALUE"""),"")</f>
        <v/>
      </c>
      <c r="B290" t="str">
        <f>IFERROR(__xludf.DUMMYFUNCTION("""COMPUTED_VALUE"""),"")</f>
        <v/>
      </c>
      <c r="C290" t="str">
        <f>IFERROR(__xludf.DUMMYFUNCTION("""COMPUTED_VALUE"""),"")</f>
        <v/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>
      <c r="A291" t="str">
        <f>IFERROR(__xludf.DUMMYFUNCTION("""COMPUTED_VALUE"""),"")</f>
        <v/>
      </c>
      <c r="B291" t="str">
        <f>IFERROR(__xludf.DUMMYFUNCTION("""COMPUTED_VALUE"""),"")</f>
        <v/>
      </c>
      <c r="C291" t="str">
        <f>IFERROR(__xludf.DUMMYFUNCTION("""COMPUTED_VALUE"""),"")</f>
        <v/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>
      <c r="A292" t="str">
        <f>IFERROR(__xludf.DUMMYFUNCTION("""COMPUTED_VALUE"""),"")</f>
        <v/>
      </c>
      <c r="B292" t="str">
        <f>IFERROR(__xludf.DUMMYFUNCTION("""COMPUTED_VALUE"""),"")</f>
        <v/>
      </c>
      <c r="C292" t="str">
        <f>IFERROR(__xludf.DUMMYFUNCTION("""COMPUTED_VALUE"""),"")</f>
        <v/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>
      <c r="A293" t="str">
        <f>IFERROR(__xludf.DUMMYFUNCTION("""COMPUTED_VALUE"""),"")</f>
        <v/>
      </c>
      <c r="B293" t="str">
        <f>IFERROR(__xludf.DUMMYFUNCTION("""COMPUTED_VALUE"""),"")</f>
        <v/>
      </c>
      <c r="C293" t="str">
        <f>IFERROR(__xludf.DUMMYFUNCTION("""COMPUTED_VALUE"""),"")</f>
        <v/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>
      <c r="A294" t="str">
        <f>IFERROR(__xludf.DUMMYFUNCTION("""COMPUTED_VALUE"""),"")</f>
        <v/>
      </c>
      <c r="B294" t="str">
        <f>IFERROR(__xludf.DUMMYFUNCTION("""COMPUTED_VALUE"""),"")</f>
        <v/>
      </c>
      <c r="C294" t="str">
        <f>IFERROR(__xludf.DUMMYFUNCTION("""COMPUTED_VALUE"""),"")</f>
        <v/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>
      <c r="A295" t="str">
        <f>IFERROR(__xludf.DUMMYFUNCTION("""COMPUTED_VALUE"""),"")</f>
        <v/>
      </c>
      <c r="B295" t="str">
        <f>IFERROR(__xludf.DUMMYFUNCTION("""COMPUTED_VALUE"""),"")</f>
        <v/>
      </c>
      <c r="C295" t="str">
        <f>IFERROR(__xludf.DUMMYFUNCTION("""COMPUTED_VALUE"""),"")</f>
        <v/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>
      <c r="A296" t="str">
        <f>IFERROR(__xludf.DUMMYFUNCTION("""COMPUTED_VALUE"""),"")</f>
        <v/>
      </c>
      <c r="B296" t="str">
        <f>IFERROR(__xludf.DUMMYFUNCTION("""COMPUTED_VALUE"""),"")</f>
        <v/>
      </c>
      <c r="C296" t="str">
        <f>IFERROR(__xludf.DUMMYFUNCTION("""COMPUTED_VALUE"""),"")</f>
        <v/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>
      <c r="A297" t="str">
        <f>IFERROR(__xludf.DUMMYFUNCTION("""COMPUTED_VALUE"""),"")</f>
        <v/>
      </c>
      <c r="B297" t="str">
        <f>IFERROR(__xludf.DUMMYFUNCTION("""COMPUTED_VALUE"""),"")</f>
        <v/>
      </c>
      <c r="C297" t="str">
        <f>IFERROR(__xludf.DUMMYFUNCTION("""COMPUTED_VALUE"""),"")</f>
        <v/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>
      <c r="A298" t="str">
        <f>IFERROR(__xludf.DUMMYFUNCTION("""COMPUTED_VALUE"""),"")</f>
        <v/>
      </c>
      <c r="B298" t="str">
        <f>IFERROR(__xludf.DUMMYFUNCTION("""COMPUTED_VALUE"""),"")</f>
        <v/>
      </c>
      <c r="C298" t="str">
        <f>IFERROR(__xludf.DUMMYFUNCTION("""COMPUTED_VALUE"""),"")</f>
        <v/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>
      <c r="A299" t="str">
        <f>IFERROR(__xludf.DUMMYFUNCTION("""COMPUTED_VALUE"""),"")</f>
        <v/>
      </c>
      <c r="B299" t="str">
        <f>IFERROR(__xludf.DUMMYFUNCTION("""COMPUTED_VALUE"""),"")</f>
        <v/>
      </c>
      <c r="C299" t="str">
        <f>IFERROR(__xludf.DUMMYFUNCTION("""COMPUTED_VALUE"""),"")</f>
        <v/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>
      <c r="A300" t="str">
        <f>IFERROR(__xludf.DUMMYFUNCTION("""COMPUTED_VALUE"""),"")</f>
        <v/>
      </c>
      <c r="B300" t="str">
        <f>IFERROR(__xludf.DUMMYFUNCTION("""COMPUTED_VALUE"""),"")</f>
        <v/>
      </c>
      <c r="C300" t="str">
        <f>IFERROR(__xludf.DUMMYFUNCTION("""COMPUTED_VALUE"""),"")</f>
        <v/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>
      <c r="A301" t="str">
        <f>IFERROR(__xludf.DUMMYFUNCTION("""COMPUTED_VALUE"""),"")</f>
        <v/>
      </c>
      <c r="B301" t="str">
        <f>IFERROR(__xludf.DUMMYFUNCTION("""COMPUTED_VALUE"""),"")</f>
        <v/>
      </c>
      <c r="C301" t="str">
        <f>IFERROR(__xludf.DUMMYFUNCTION("""COMPUTED_VALUE"""),"")</f>
        <v/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>
      <c r="A302" t="str">
        <f>IFERROR(__xludf.DUMMYFUNCTION("""COMPUTED_VALUE"""),"")</f>
        <v/>
      </c>
      <c r="B302" t="str">
        <f>IFERROR(__xludf.DUMMYFUNCTION("""COMPUTED_VALUE"""),"")</f>
        <v/>
      </c>
      <c r="C302" t="str">
        <f>IFERROR(__xludf.DUMMYFUNCTION("""COMPUTED_VALUE"""),"")</f>
        <v/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>
      <c r="A303" t="str">
        <f>IFERROR(__xludf.DUMMYFUNCTION("""COMPUTED_VALUE"""),"")</f>
        <v/>
      </c>
      <c r="B303" t="str">
        <f>IFERROR(__xludf.DUMMYFUNCTION("""COMPUTED_VALUE"""),"")</f>
        <v/>
      </c>
      <c r="C303" t="str">
        <f>IFERROR(__xludf.DUMMYFUNCTION("""COMPUTED_VALUE"""),"")</f>
        <v/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>
      <c r="A304" t="str">
        <f>IFERROR(__xludf.DUMMYFUNCTION("""COMPUTED_VALUE"""),"")</f>
        <v/>
      </c>
      <c r="B304" t="str">
        <f>IFERROR(__xludf.DUMMYFUNCTION("""COMPUTED_VALUE"""),"")</f>
        <v/>
      </c>
      <c r="C304" t="str">
        <f>IFERROR(__xludf.DUMMYFUNCTION("""COMPUTED_VALUE"""),"")</f>
        <v/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>
      <c r="A305" t="str">
        <f>IFERROR(__xludf.DUMMYFUNCTION("""COMPUTED_VALUE"""),"")</f>
        <v/>
      </c>
      <c r="B305" t="str">
        <f>IFERROR(__xludf.DUMMYFUNCTION("""COMPUTED_VALUE"""),"")</f>
        <v/>
      </c>
      <c r="C305" t="str">
        <f>IFERROR(__xludf.DUMMYFUNCTION("""COMPUTED_VALUE"""),"")</f>
        <v/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>
      <c r="A306" t="str">
        <f>IFERROR(__xludf.DUMMYFUNCTION("""COMPUTED_VALUE"""),"")</f>
        <v/>
      </c>
      <c r="B306" t="str">
        <f>IFERROR(__xludf.DUMMYFUNCTION("""COMPUTED_VALUE"""),"")</f>
        <v/>
      </c>
      <c r="C306" t="str">
        <f>IFERROR(__xludf.DUMMYFUNCTION("""COMPUTED_VALUE"""),"")</f>
        <v/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>
      <c r="A307" t="str">
        <f>IFERROR(__xludf.DUMMYFUNCTION("""COMPUTED_VALUE"""),"")</f>
        <v/>
      </c>
      <c r="B307" t="str">
        <f>IFERROR(__xludf.DUMMYFUNCTION("""COMPUTED_VALUE"""),"")</f>
        <v/>
      </c>
      <c r="C307" t="str">
        <f>IFERROR(__xludf.DUMMYFUNCTION("""COMPUTED_VALUE"""),"")</f>
        <v/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>
      <c r="A308" t="str">
        <f>IFERROR(__xludf.DUMMYFUNCTION("""COMPUTED_VALUE"""),"")</f>
        <v/>
      </c>
      <c r="B308" t="str">
        <f>IFERROR(__xludf.DUMMYFUNCTION("""COMPUTED_VALUE"""),"")</f>
        <v/>
      </c>
      <c r="C308" t="str">
        <f>IFERROR(__xludf.DUMMYFUNCTION("""COMPUTED_VALUE"""),"")</f>
        <v/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>
      <c r="A309" t="str">
        <f>IFERROR(__xludf.DUMMYFUNCTION("""COMPUTED_VALUE"""),"")</f>
        <v/>
      </c>
      <c r="B309" t="str">
        <f>IFERROR(__xludf.DUMMYFUNCTION("""COMPUTED_VALUE"""),"")</f>
        <v/>
      </c>
      <c r="C309" t="str">
        <f>IFERROR(__xludf.DUMMYFUNCTION("""COMPUTED_VALUE"""),"")</f>
        <v/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>
      <c r="A310" t="str">
        <f>IFERROR(__xludf.DUMMYFUNCTION("""COMPUTED_VALUE"""),"")</f>
        <v/>
      </c>
      <c r="B310" t="str">
        <f>IFERROR(__xludf.DUMMYFUNCTION("""COMPUTED_VALUE"""),"")</f>
        <v/>
      </c>
      <c r="C310" t="str">
        <f>IFERROR(__xludf.DUMMYFUNCTION("""COMPUTED_VALUE"""),"")</f>
        <v/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>
      <c r="A311" t="str">
        <f>IFERROR(__xludf.DUMMYFUNCTION("""COMPUTED_VALUE"""),"")</f>
        <v/>
      </c>
      <c r="B311" t="str">
        <f>IFERROR(__xludf.DUMMYFUNCTION("""COMPUTED_VALUE"""),"")</f>
        <v/>
      </c>
      <c r="C311" t="str">
        <f>IFERROR(__xludf.DUMMYFUNCTION("""COMPUTED_VALUE"""),"")</f>
        <v/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>
      <c r="A312" t="str">
        <f>IFERROR(__xludf.DUMMYFUNCTION("""COMPUTED_VALUE"""),"")</f>
        <v/>
      </c>
      <c r="B312" t="str">
        <f>IFERROR(__xludf.DUMMYFUNCTION("""COMPUTED_VALUE"""),"")</f>
        <v/>
      </c>
      <c r="C312" t="str">
        <f>IFERROR(__xludf.DUMMYFUNCTION("""COMPUTED_VALUE"""),"")</f>
        <v/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>
      <c r="A313" t="str">
        <f>IFERROR(__xludf.DUMMYFUNCTION("""COMPUTED_VALUE"""),"")</f>
        <v/>
      </c>
      <c r="B313" t="str">
        <f>IFERROR(__xludf.DUMMYFUNCTION("""COMPUTED_VALUE"""),"")</f>
        <v/>
      </c>
      <c r="C313" t="str">
        <f>IFERROR(__xludf.DUMMYFUNCTION("""COMPUTED_VALUE"""),"")</f>
        <v/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>
      <c r="A314" t="str">
        <f>IFERROR(__xludf.DUMMYFUNCTION("""COMPUTED_VALUE"""),"")</f>
        <v/>
      </c>
      <c r="B314" t="str">
        <f>IFERROR(__xludf.DUMMYFUNCTION("""COMPUTED_VALUE"""),"")</f>
        <v/>
      </c>
      <c r="C314" t="str">
        <f>IFERROR(__xludf.DUMMYFUNCTION("""COMPUTED_VALUE"""),"")</f>
        <v/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>
      <c r="A315" t="str">
        <f>IFERROR(__xludf.DUMMYFUNCTION("""COMPUTED_VALUE"""),"")</f>
        <v/>
      </c>
      <c r="B315" t="str">
        <f>IFERROR(__xludf.DUMMYFUNCTION("""COMPUTED_VALUE"""),"")</f>
        <v/>
      </c>
      <c r="C315" t="str">
        <f>IFERROR(__xludf.DUMMYFUNCTION("""COMPUTED_VALUE"""),"")</f>
        <v/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>
      <c r="A316" t="str">
        <f>IFERROR(__xludf.DUMMYFUNCTION("""COMPUTED_VALUE"""),"")</f>
        <v/>
      </c>
      <c r="B316" t="str">
        <f>IFERROR(__xludf.DUMMYFUNCTION("""COMPUTED_VALUE"""),"")</f>
        <v/>
      </c>
      <c r="C316" t="str">
        <f>IFERROR(__xludf.DUMMYFUNCTION("""COMPUTED_VALUE"""),"")</f>
        <v/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>
      <c r="A317" t="str">
        <f>IFERROR(__xludf.DUMMYFUNCTION("""COMPUTED_VALUE"""),"")</f>
        <v/>
      </c>
      <c r="B317" t="str">
        <f>IFERROR(__xludf.DUMMYFUNCTION("""COMPUTED_VALUE"""),"")</f>
        <v/>
      </c>
      <c r="C317" t="str">
        <f>IFERROR(__xludf.DUMMYFUNCTION("""COMPUTED_VALUE"""),"")</f>
        <v/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>
      <c r="A318" t="str">
        <f>IFERROR(__xludf.DUMMYFUNCTION("""COMPUTED_VALUE"""),"")</f>
        <v/>
      </c>
      <c r="B318" t="str">
        <f>IFERROR(__xludf.DUMMYFUNCTION("""COMPUTED_VALUE"""),"")</f>
        <v/>
      </c>
      <c r="C318" t="str">
        <f>IFERROR(__xludf.DUMMYFUNCTION("""COMPUTED_VALUE"""),"")</f>
        <v/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>
      <c r="A319" t="str">
        <f>IFERROR(__xludf.DUMMYFUNCTION("""COMPUTED_VALUE"""),"")</f>
        <v/>
      </c>
      <c r="B319" t="str">
        <f>IFERROR(__xludf.DUMMYFUNCTION("""COMPUTED_VALUE"""),"")</f>
        <v/>
      </c>
      <c r="C319" t="str">
        <f>IFERROR(__xludf.DUMMYFUNCTION("""COMPUTED_VALUE"""),"")</f>
        <v/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>
      <c r="A320" t="str">
        <f>IFERROR(__xludf.DUMMYFUNCTION("""COMPUTED_VALUE"""),"")</f>
        <v/>
      </c>
      <c r="B320" t="str">
        <f>IFERROR(__xludf.DUMMYFUNCTION("""COMPUTED_VALUE"""),"")</f>
        <v/>
      </c>
      <c r="C320" t="str">
        <f>IFERROR(__xludf.DUMMYFUNCTION("""COMPUTED_VALUE"""),"")</f>
        <v/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>
      <c r="A321" t="str">
        <f>IFERROR(__xludf.DUMMYFUNCTION("""COMPUTED_VALUE"""),"")</f>
        <v/>
      </c>
      <c r="B321" t="str">
        <f>IFERROR(__xludf.DUMMYFUNCTION("""COMPUTED_VALUE"""),"")</f>
        <v/>
      </c>
      <c r="C321" t="str">
        <f>IFERROR(__xludf.DUMMYFUNCTION("""COMPUTED_VALUE"""),"")</f>
        <v/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>
      <c r="A322" t="str">
        <f>IFERROR(__xludf.DUMMYFUNCTION("""COMPUTED_VALUE"""),"")</f>
        <v/>
      </c>
      <c r="B322" t="str">
        <f>IFERROR(__xludf.DUMMYFUNCTION("""COMPUTED_VALUE"""),"")</f>
        <v/>
      </c>
      <c r="C322" t="str">
        <f>IFERROR(__xludf.DUMMYFUNCTION("""COMPUTED_VALUE"""),"")</f>
        <v/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>
      <c r="A323" t="str">
        <f>IFERROR(__xludf.DUMMYFUNCTION("""COMPUTED_VALUE"""),"")</f>
        <v/>
      </c>
      <c r="B323" t="str">
        <f>IFERROR(__xludf.DUMMYFUNCTION("""COMPUTED_VALUE"""),"")</f>
        <v/>
      </c>
      <c r="C323" t="str">
        <f>IFERROR(__xludf.DUMMYFUNCTION("""COMPUTED_VALUE"""),"")</f>
        <v/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>
      <c r="A324" t="str">
        <f>IFERROR(__xludf.DUMMYFUNCTION("""COMPUTED_VALUE"""),"")</f>
        <v/>
      </c>
      <c r="B324" t="str">
        <f>IFERROR(__xludf.DUMMYFUNCTION("""COMPUTED_VALUE"""),"")</f>
        <v/>
      </c>
      <c r="C324" t="str">
        <f>IFERROR(__xludf.DUMMYFUNCTION("""COMPUTED_VALUE"""),"")</f>
        <v/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>
      <c r="A325" t="str">
        <f>IFERROR(__xludf.DUMMYFUNCTION("""COMPUTED_VALUE"""),"")</f>
        <v/>
      </c>
      <c r="B325" t="str">
        <f>IFERROR(__xludf.DUMMYFUNCTION("""COMPUTED_VALUE"""),"")</f>
        <v/>
      </c>
      <c r="C325" t="str">
        <f>IFERROR(__xludf.DUMMYFUNCTION("""COMPUTED_VALUE"""),"")</f>
        <v/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>
      <c r="A326" t="str">
        <f>IFERROR(__xludf.DUMMYFUNCTION("""COMPUTED_VALUE"""),"")</f>
        <v/>
      </c>
      <c r="B326" t="str">
        <f>IFERROR(__xludf.DUMMYFUNCTION("""COMPUTED_VALUE"""),"")</f>
        <v/>
      </c>
      <c r="C326" t="str">
        <f>IFERROR(__xludf.DUMMYFUNCTION("""COMPUTED_VALUE"""),"")</f>
        <v/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>
      <c r="A327" t="str">
        <f>IFERROR(__xludf.DUMMYFUNCTION("""COMPUTED_VALUE"""),"")</f>
        <v/>
      </c>
      <c r="B327" t="str">
        <f>IFERROR(__xludf.DUMMYFUNCTION("""COMPUTED_VALUE"""),"")</f>
        <v/>
      </c>
      <c r="C327" t="str">
        <f>IFERROR(__xludf.DUMMYFUNCTION("""COMPUTED_VALUE"""),"")</f>
        <v/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>
      <c r="A328" t="str">
        <f>IFERROR(__xludf.DUMMYFUNCTION("""COMPUTED_VALUE"""),"")</f>
        <v/>
      </c>
      <c r="B328" t="str">
        <f>IFERROR(__xludf.DUMMYFUNCTION("""COMPUTED_VALUE"""),"")</f>
        <v/>
      </c>
      <c r="C328" t="str">
        <f>IFERROR(__xludf.DUMMYFUNCTION("""COMPUTED_VALUE"""),"")</f>
        <v/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>
      <c r="A329" t="str">
        <f>IFERROR(__xludf.DUMMYFUNCTION("""COMPUTED_VALUE"""),"")</f>
        <v/>
      </c>
      <c r="B329" t="str">
        <f>IFERROR(__xludf.DUMMYFUNCTION("""COMPUTED_VALUE"""),"")</f>
        <v/>
      </c>
      <c r="C329" t="str">
        <f>IFERROR(__xludf.DUMMYFUNCTION("""COMPUTED_VALUE"""),"")</f>
        <v/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>
      <c r="A330" t="str">
        <f>IFERROR(__xludf.DUMMYFUNCTION("""COMPUTED_VALUE"""),"")</f>
        <v/>
      </c>
      <c r="B330" t="str">
        <f>IFERROR(__xludf.DUMMYFUNCTION("""COMPUTED_VALUE"""),"")</f>
        <v/>
      </c>
      <c r="C330" t="str">
        <f>IFERROR(__xludf.DUMMYFUNCTION("""COMPUTED_VALUE"""),"")</f>
        <v/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>
      <c r="A331" t="str">
        <f>IFERROR(__xludf.DUMMYFUNCTION("""COMPUTED_VALUE"""),"")</f>
        <v/>
      </c>
      <c r="B331" t="str">
        <f>IFERROR(__xludf.DUMMYFUNCTION("""COMPUTED_VALUE"""),"")</f>
        <v/>
      </c>
      <c r="C331" t="str">
        <f>IFERROR(__xludf.DUMMYFUNCTION("""COMPUTED_VALUE"""),"")</f>
        <v/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>
      <c r="A332" t="str">
        <f>IFERROR(__xludf.DUMMYFUNCTION("""COMPUTED_VALUE"""),"")</f>
        <v/>
      </c>
      <c r="B332" t="str">
        <f>IFERROR(__xludf.DUMMYFUNCTION("""COMPUTED_VALUE"""),"")</f>
        <v/>
      </c>
      <c r="C332" t="str">
        <f>IFERROR(__xludf.DUMMYFUNCTION("""COMPUTED_VALUE"""),"")</f>
        <v/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>
      <c r="A333" t="str">
        <f>IFERROR(__xludf.DUMMYFUNCTION("""COMPUTED_VALUE"""),"")</f>
        <v/>
      </c>
      <c r="B333" t="str">
        <f>IFERROR(__xludf.DUMMYFUNCTION("""COMPUTED_VALUE"""),"")</f>
        <v/>
      </c>
      <c r="C333" t="str">
        <f>IFERROR(__xludf.DUMMYFUNCTION("""COMPUTED_VALUE"""),"")</f>
        <v/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>
      <c r="A334" t="str">
        <f>IFERROR(__xludf.DUMMYFUNCTION("""COMPUTED_VALUE"""),"")</f>
        <v/>
      </c>
      <c r="B334" t="str">
        <f>IFERROR(__xludf.DUMMYFUNCTION("""COMPUTED_VALUE"""),"")</f>
        <v/>
      </c>
      <c r="C334" t="str">
        <f>IFERROR(__xludf.DUMMYFUNCTION("""COMPUTED_VALUE"""),"")</f>
        <v/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>
      <c r="A335" t="str">
        <f>IFERROR(__xludf.DUMMYFUNCTION("""COMPUTED_VALUE"""),"")</f>
        <v/>
      </c>
      <c r="B335" t="str">
        <f>IFERROR(__xludf.DUMMYFUNCTION("""COMPUTED_VALUE"""),"")</f>
        <v/>
      </c>
      <c r="C335" t="str">
        <f>IFERROR(__xludf.DUMMYFUNCTION("""COMPUTED_VALUE"""),"")</f>
        <v/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>
      <c r="A336" t="str">
        <f>IFERROR(__xludf.DUMMYFUNCTION("""COMPUTED_VALUE"""),"")</f>
        <v/>
      </c>
      <c r="B336" t="str">
        <f>IFERROR(__xludf.DUMMYFUNCTION("""COMPUTED_VALUE"""),"")</f>
        <v/>
      </c>
      <c r="C336" t="str">
        <f>IFERROR(__xludf.DUMMYFUNCTION("""COMPUTED_VALUE"""),"")</f>
        <v/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>
      <c r="A337" t="str">
        <f>IFERROR(__xludf.DUMMYFUNCTION("""COMPUTED_VALUE"""),"")</f>
        <v/>
      </c>
      <c r="B337" t="str">
        <f>IFERROR(__xludf.DUMMYFUNCTION("""COMPUTED_VALUE"""),"")</f>
        <v/>
      </c>
      <c r="C337" t="str">
        <f>IFERROR(__xludf.DUMMYFUNCTION("""COMPUTED_VALUE"""),"")</f>
        <v/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>
      <c r="A338" t="str">
        <f>IFERROR(__xludf.DUMMYFUNCTION("""COMPUTED_VALUE"""),"")</f>
        <v/>
      </c>
      <c r="B338" t="str">
        <f>IFERROR(__xludf.DUMMYFUNCTION("""COMPUTED_VALUE"""),"")</f>
        <v/>
      </c>
      <c r="C338" t="str">
        <f>IFERROR(__xludf.DUMMYFUNCTION("""COMPUTED_VALUE"""),"")</f>
        <v/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>
      <c r="A339" t="str">
        <f>IFERROR(__xludf.DUMMYFUNCTION("""COMPUTED_VALUE"""),"")</f>
        <v/>
      </c>
      <c r="B339" t="str">
        <f>IFERROR(__xludf.DUMMYFUNCTION("""COMPUTED_VALUE"""),"")</f>
        <v/>
      </c>
      <c r="C339" t="str">
        <f>IFERROR(__xludf.DUMMYFUNCTION("""COMPUTED_VALUE"""),"")</f>
        <v/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>
      <c r="A340" t="str">
        <f>IFERROR(__xludf.DUMMYFUNCTION("""COMPUTED_VALUE"""),"")</f>
        <v/>
      </c>
      <c r="B340" t="str">
        <f>IFERROR(__xludf.DUMMYFUNCTION("""COMPUTED_VALUE"""),"")</f>
        <v/>
      </c>
      <c r="C340" t="str">
        <f>IFERROR(__xludf.DUMMYFUNCTION("""COMPUTED_VALUE"""),"")</f>
        <v/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>
      <c r="A341" t="str">
        <f>IFERROR(__xludf.DUMMYFUNCTION("""COMPUTED_VALUE"""),"")</f>
        <v/>
      </c>
      <c r="B341" t="str">
        <f>IFERROR(__xludf.DUMMYFUNCTION("""COMPUTED_VALUE"""),"")</f>
        <v/>
      </c>
      <c r="C341" t="str">
        <f>IFERROR(__xludf.DUMMYFUNCTION("""COMPUTED_VALUE"""),"")</f>
        <v/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>
      <c r="A342" t="str">
        <f>IFERROR(__xludf.DUMMYFUNCTION("""COMPUTED_VALUE"""),"")</f>
        <v/>
      </c>
      <c r="B342" t="str">
        <f>IFERROR(__xludf.DUMMYFUNCTION("""COMPUTED_VALUE"""),"")</f>
        <v/>
      </c>
      <c r="C342" t="str">
        <f>IFERROR(__xludf.DUMMYFUNCTION("""COMPUTED_VALUE"""),"")</f>
        <v/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>
      <c r="A343" t="str">
        <f>IFERROR(__xludf.DUMMYFUNCTION("""COMPUTED_VALUE"""),"")</f>
        <v/>
      </c>
      <c r="B343" t="str">
        <f>IFERROR(__xludf.DUMMYFUNCTION("""COMPUTED_VALUE"""),"")</f>
        <v/>
      </c>
      <c r="C343" t="str">
        <f>IFERROR(__xludf.DUMMYFUNCTION("""COMPUTED_VALUE"""),"")</f>
        <v/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>
      <c r="A344" t="str">
        <f>IFERROR(__xludf.DUMMYFUNCTION("""COMPUTED_VALUE"""),"")</f>
        <v/>
      </c>
      <c r="B344" t="str">
        <f>IFERROR(__xludf.DUMMYFUNCTION("""COMPUTED_VALUE"""),"")</f>
        <v/>
      </c>
      <c r="C344" t="str">
        <f>IFERROR(__xludf.DUMMYFUNCTION("""COMPUTED_VALUE"""),"")</f>
        <v/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>
      <c r="A345" t="str">
        <f>IFERROR(__xludf.DUMMYFUNCTION("""COMPUTED_VALUE"""),"")</f>
        <v/>
      </c>
      <c r="B345" t="str">
        <f>IFERROR(__xludf.DUMMYFUNCTION("""COMPUTED_VALUE"""),"")</f>
        <v/>
      </c>
      <c r="C345" t="str">
        <f>IFERROR(__xludf.DUMMYFUNCTION("""COMPUTED_VALUE"""),"")</f>
        <v/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>
      <c r="A346" t="str">
        <f>IFERROR(__xludf.DUMMYFUNCTION("""COMPUTED_VALUE"""),"")</f>
        <v/>
      </c>
      <c r="B346" t="str">
        <f>IFERROR(__xludf.DUMMYFUNCTION("""COMPUTED_VALUE"""),"")</f>
        <v/>
      </c>
      <c r="C346" t="str">
        <f>IFERROR(__xludf.DUMMYFUNCTION("""COMPUTED_VALUE"""),"")</f>
        <v/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>
      <c r="A347" t="str">
        <f>IFERROR(__xludf.DUMMYFUNCTION("""COMPUTED_VALUE"""),"")</f>
        <v/>
      </c>
      <c r="B347" t="str">
        <f>IFERROR(__xludf.DUMMYFUNCTION("""COMPUTED_VALUE"""),"")</f>
        <v/>
      </c>
      <c r="C347" t="str">
        <f>IFERROR(__xludf.DUMMYFUNCTION("""COMPUTED_VALUE"""),"")</f>
        <v/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>
      <c r="A348" t="str">
        <f>IFERROR(__xludf.DUMMYFUNCTION("""COMPUTED_VALUE"""),"")</f>
        <v/>
      </c>
      <c r="B348" t="str">
        <f>IFERROR(__xludf.DUMMYFUNCTION("""COMPUTED_VALUE"""),"")</f>
        <v/>
      </c>
      <c r="C348" t="str">
        <f>IFERROR(__xludf.DUMMYFUNCTION("""COMPUTED_VALUE"""),"")</f>
        <v/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>
      <c r="A349" t="str">
        <f>IFERROR(__xludf.DUMMYFUNCTION("""COMPUTED_VALUE"""),"")</f>
        <v/>
      </c>
      <c r="B349" t="str">
        <f>IFERROR(__xludf.DUMMYFUNCTION("""COMPUTED_VALUE"""),"")</f>
        <v/>
      </c>
      <c r="C349" t="str">
        <f>IFERROR(__xludf.DUMMYFUNCTION("""COMPUTED_VALUE"""),"")</f>
        <v/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>
      <c r="A350" t="str">
        <f>IFERROR(__xludf.DUMMYFUNCTION("""COMPUTED_VALUE"""),"")</f>
        <v/>
      </c>
      <c r="B350" t="str">
        <f>IFERROR(__xludf.DUMMYFUNCTION("""COMPUTED_VALUE"""),"")</f>
        <v/>
      </c>
      <c r="C350" t="str">
        <f>IFERROR(__xludf.DUMMYFUNCTION("""COMPUTED_VALUE"""),"")</f>
        <v/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>
      <c r="A351" t="str">
        <f>IFERROR(__xludf.DUMMYFUNCTION("""COMPUTED_VALUE"""),"")</f>
        <v/>
      </c>
      <c r="B351" t="str">
        <f>IFERROR(__xludf.DUMMYFUNCTION("""COMPUTED_VALUE"""),"")</f>
        <v/>
      </c>
      <c r="C351" t="str">
        <f>IFERROR(__xludf.DUMMYFUNCTION("""COMPUTED_VALUE"""),"")</f>
        <v/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>
      <c r="A352" t="str">
        <f>IFERROR(__xludf.DUMMYFUNCTION("""COMPUTED_VALUE"""),"")</f>
        <v/>
      </c>
      <c r="B352" t="str">
        <f>IFERROR(__xludf.DUMMYFUNCTION("""COMPUTED_VALUE"""),"")</f>
        <v/>
      </c>
      <c r="C352" t="str">
        <f>IFERROR(__xludf.DUMMYFUNCTION("""COMPUTED_VALUE"""),"")</f>
        <v/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>
      <c r="A353" t="str">
        <f>IFERROR(__xludf.DUMMYFUNCTION("""COMPUTED_VALUE"""),"")</f>
        <v/>
      </c>
      <c r="B353" t="str">
        <f>IFERROR(__xludf.DUMMYFUNCTION("""COMPUTED_VALUE"""),"")</f>
        <v/>
      </c>
      <c r="C353" t="str">
        <f>IFERROR(__xludf.DUMMYFUNCTION("""COMPUTED_VALUE"""),"")</f>
        <v/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>
      <c r="A354" t="str">
        <f>IFERROR(__xludf.DUMMYFUNCTION("""COMPUTED_VALUE"""),"")</f>
        <v/>
      </c>
      <c r="B354" t="str">
        <f>IFERROR(__xludf.DUMMYFUNCTION("""COMPUTED_VALUE"""),"")</f>
        <v/>
      </c>
      <c r="C354" t="str">
        <f>IFERROR(__xludf.DUMMYFUNCTION("""COMPUTED_VALUE"""),"")</f>
        <v/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>
      <c r="A355" t="str">
        <f>IFERROR(__xludf.DUMMYFUNCTION("""COMPUTED_VALUE"""),"")</f>
        <v/>
      </c>
      <c r="B355" t="str">
        <f>IFERROR(__xludf.DUMMYFUNCTION("""COMPUTED_VALUE"""),"")</f>
        <v/>
      </c>
      <c r="C355" t="str">
        <f>IFERROR(__xludf.DUMMYFUNCTION("""COMPUTED_VALUE"""),"")</f>
        <v/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>
      <c r="A356" t="str">
        <f>IFERROR(__xludf.DUMMYFUNCTION("""COMPUTED_VALUE"""),"")</f>
        <v/>
      </c>
      <c r="B356" t="str">
        <f>IFERROR(__xludf.DUMMYFUNCTION("""COMPUTED_VALUE"""),"")</f>
        <v/>
      </c>
      <c r="C356" t="str">
        <f>IFERROR(__xludf.DUMMYFUNCTION("""COMPUTED_VALUE"""),"")</f>
        <v/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>
      <c r="A357" t="str">
        <f>IFERROR(__xludf.DUMMYFUNCTION("""COMPUTED_VALUE"""),"")</f>
        <v/>
      </c>
      <c r="B357" t="str">
        <f>IFERROR(__xludf.DUMMYFUNCTION("""COMPUTED_VALUE"""),"")</f>
        <v/>
      </c>
      <c r="C357" t="str">
        <f>IFERROR(__xludf.DUMMYFUNCTION("""COMPUTED_VALUE"""),"")</f>
        <v/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>
      <c r="A358" t="str">
        <f>IFERROR(__xludf.DUMMYFUNCTION("""COMPUTED_VALUE"""),"")</f>
        <v/>
      </c>
      <c r="B358" t="str">
        <f>IFERROR(__xludf.DUMMYFUNCTION("""COMPUTED_VALUE"""),"")</f>
        <v/>
      </c>
      <c r="C358" t="str">
        <f>IFERROR(__xludf.DUMMYFUNCTION("""COMPUTED_VALUE"""),"")</f>
        <v/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>
      <c r="A359" t="str">
        <f>IFERROR(__xludf.DUMMYFUNCTION("""COMPUTED_VALUE"""),"")</f>
        <v/>
      </c>
      <c r="B359" t="str">
        <f>IFERROR(__xludf.DUMMYFUNCTION("""COMPUTED_VALUE"""),"")</f>
        <v/>
      </c>
      <c r="C359" t="str">
        <f>IFERROR(__xludf.DUMMYFUNCTION("""COMPUTED_VALUE"""),"")</f>
        <v/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>
      <c r="A360" t="str">
        <f>IFERROR(__xludf.DUMMYFUNCTION("""COMPUTED_VALUE"""),"")</f>
        <v/>
      </c>
      <c r="B360" t="str">
        <f>IFERROR(__xludf.DUMMYFUNCTION("""COMPUTED_VALUE"""),"")</f>
        <v/>
      </c>
      <c r="C360" t="str">
        <f>IFERROR(__xludf.DUMMYFUNCTION("""COMPUTED_VALUE"""),"")</f>
        <v/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>
      <c r="A361" t="str">
        <f>IFERROR(__xludf.DUMMYFUNCTION("""COMPUTED_VALUE"""),"")</f>
        <v/>
      </c>
      <c r="B361" t="str">
        <f>IFERROR(__xludf.DUMMYFUNCTION("""COMPUTED_VALUE"""),"")</f>
        <v/>
      </c>
      <c r="C361" t="str">
        <f>IFERROR(__xludf.DUMMYFUNCTION("""COMPUTED_VALUE"""),"")</f>
        <v/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>
      <c r="A362" t="str">
        <f>IFERROR(__xludf.DUMMYFUNCTION("""COMPUTED_VALUE"""),"")</f>
        <v/>
      </c>
      <c r="B362" t="str">
        <f>IFERROR(__xludf.DUMMYFUNCTION("""COMPUTED_VALUE"""),"")</f>
        <v/>
      </c>
      <c r="C362" t="str">
        <f>IFERROR(__xludf.DUMMYFUNCTION("""COMPUTED_VALUE"""),"")</f>
        <v/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>
      <c r="A363" t="str">
        <f>IFERROR(__xludf.DUMMYFUNCTION("""COMPUTED_VALUE"""),"")</f>
        <v/>
      </c>
      <c r="B363" t="str">
        <f>IFERROR(__xludf.DUMMYFUNCTION("""COMPUTED_VALUE"""),"")</f>
        <v/>
      </c>
      <c r="C363" t="str">
        <f>IFERROR(__xludf.DUMMYFUNCTION("""COMPUTED_VALUE"""),"")</f>
        <v/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>
      <c r="A364" t="str">
        <f>IFERROR(__xludf.DUMMYFUNCTION("""COMPUTED_VALUE"""),"")</f>
        <v/>
      </c>
      <c r="B364" t="str">
        <f>IFERROR(__xludf.DUMMYFUNCTION("""COMPUTED_VALUE"""),"")</f>
        <v/>
      </c>
      <c r="C364" t="str">
        <f>IFERROR(__xludf.DUMMYFUNCTION("""COMPUTED_VALUE"""),"")</f>
        <v/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>
      <c r="A365" t="str">
        <f>IFERROR(__xludf.DUMMYFUNCTION("""COMPUTED_VALUE"""),"")</f>
        <v/>
      </c>
      <c r="B365" t="str">
        <f>IFERROR(__xludf.DUMMYFUNCTION("""COMPUTED_VALUE"""),"")</f>
        <v/>
      </c>
      <c r="C365" t="str">
        <f>IFERROR(__xludf.DUMMYFUNCTION("""COMPUTED_VALUE"""),"")</f>
        <v/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>
      <c r="A366" t="str">
        <f>IFERROR(__xludf.DUMMYFUNCTION("""COMPUTED_VALUE"""),"")</f>
        <v/>
      </c>
      <c r="B366" t="str">
        <f>IFERROR(__xludf.DUMMYFUNCTION("""COMPUTED_VALUE"""),"")</f>
        <v/>
      </c>
      <c r="C366" t="str">
        <f>IFERROR(__xludf.DUMMYFUNCTION("""COMPUTED_VALUE"""),"")</f>
        <v/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>
      <c r="A367" t="str">
        <f>IFERROR(__xludf.DUMMYFUNCTION("""COMPUTED_VALUE"""),"")</f>
        <v/>
      </c>
      <c r="B367" t="str">
        <f>IFERROR(__xludf.DUMMYFUNCTION("""COMPUTED_VALUE"""),"")</f>
        <v/>
      </c>
      <c r="C367" t="str">
        <f>IFERROR(__xludf.DUMMYFUNCTION("""COMPUTED_VALUE"""),"")</f>
        <v/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>
      <c r="A368" t="str">
        <f>IFERROR(__xludf.DUMMYFUNCTION("""COMPUTED_VALUE"""),"")</f>
        <v/>
      </c>
      <c r="B368" t="str">
        <f>IFERROR(__xludf.DUMMYFUNCTION("""COMPUTED_VALUE"""),"")</f>
        <v/>
      </c>
      <c r="C368" t="str">
        <f>IFERROR(__xludf.DUMMYFUNCTION("""COMPUTED_VALUE"""),"")</f>
        <v/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>
      <c r="A369" t="str">
        <f>IFERROR(__xludf.DUMMYFUNCTION("""COMPUTED_VALUE"""),"")</f>
        <v/>
      </c>
      <c r="B369" t="str">
        <f>IFERROR(__xludf.DUMMYFUNCTION("""COMPUTED_VALUE"""),"")</f>
        <v/>
      </c>
      <c r="C369" t="str">
        <f>IFERROR(__xludf.DUMMYFUNCTION("""COMPUTED_VALUE"""),"")</f>
        <v/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>
      <c r="A370" t="str">
        <f>IFERROR(__xludf.DUMMYFUNCTION("""COMPUTED_VALUE"""),"")</f>
        <v/>
      </c>
      <c r="B370" t="str">
        <f>IFERROR(__xludf.DUMMYFUNCTION("""COMPUTED_VALUE"""),"")</f>
        <v/>
      </c>
      <c r="C370" t="str">
        <f>IFERROR(__xludf.DUMMYFUNCTION("""COMPUTED_VALUE"""),"")</f>
        <v/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>
      <c r="A371" t="str">
        <f>IFERROR(__xludf.DUMMYFUNCTION("""COMPUTED_VALUE"""),"")</f>
        <v/>
      </c>
      <c r="B371" t="str">
        <f>IFERROR(__xludf.DUMMYFUNCTION("""COMPUTED_VALUE"""),"")</f>
        <v/>
      </c>
      <c r="C371" t="str">
        <f>IFERROR(__xludf.DUMMYFUNCTION("""COMPUTED_VALUE"""),"")</f>
        <v/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>
      <c r="A372" t="str">
        <f>IFERROR(__xludf.DUMMYFUNCTION("""COMPUTED_VALUE"""),"")</f>
        <v/>
      </c>
      <c r="B372" t="str">
        <f>IFERROR(__xludf.DUMMYFUNCTION("""COMPUTED_VALUE"""),"")</f>
        <v/>
      </c>
      <c r="C372" t="str">
        <f>IFERROR(__xludf.DUMMYFUNCTION("""COMPUTED_VALUE"""),"")</f>
        <v/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>
      <c r="A373" t="str">
        <f>IFERROR(__xludf.DUMMYFUNCTION("""COMPUTED_VALUE"""),"")</f>
        <v/>
      </c>
      <c r="B373" t="str">
        <f>IFERROR(__xludf.DUMMYFUNCTION("""COMPUTED_VALUE"""),"")</f>
        <v/>
      </c>
      <c r="C373" t="str">
        <f>IFERROR(__xludf.DUMMYFUNCTION("""COMPUTED_VALUE"""),"")</f>
        <v/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>
      <c r="A374" t="str">
        <f>IFERROR(__xludf.DUMMYFUNCTION("""COMPUTED_VALUE"""),"")</f>
        <v/>
      </c>
      <c r="B374" t="str">
        <f>IFERROR(__xludf.DUMMYFUNCTION("""COMPUTED_VALUE"""),"")</f>
        <v/>
      </c>
      <c r="C374" t="str">
        <f>IFERROR(__xludf.DUMMYFUNCTION("""COMPUTED_VALUE"""),"")</f>
        <v/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>
      <c r="A375" t="str">
        <f>IFERROR(__xludf.DUMMYFUNCTION("""COMPUTED_VALUE"""),"")</f>
        <v/>
      </c>
      <c r="B375" t="str">
        <f>IFERROR(__xludf.DUMMYFUNCTION("""COMPUTED_VALUE"""),"")</f>
        <v/>
      </c>
      <c r="C375" t="str">
        <f>IFERROR(__xludf.DUMMYFUNCTION("""COMPUTED_VALUE"""),"")</f>
        <v/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>
      <c r="A376" t="str">
        <f>IFERROR(__xludf.DUMMYFUNCTION("""COMPUTED_VALUE"""),"")</f>
        <v/>
      </c>
      <c r="B376" t="str">
        <f>IFERROR(__xludf.DUMMYFUNCTION("""COMPUTED_VALUE"""),"")</f>
        <v/>
      </c>
      <c r="C376" t="str">
        <f>IFERROR(__xludf.DUMMYFUNCTION("""COMPUTED_VALUE"""),"")</f>
        <v/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>
      <c r="A377" t="str">
        <f>IFERROR(__xludf.DUMMYFUNCTION("""COMPUTED_VALUE"""),"")</f>
        <v/>
      </c>
      <c r="B377" t="str">
        <f>IFERROR(__xludf.DUMMYFUNCTION("""COMPUTED_VALUE"""),"")</f>
        <v/>
      </c>
      <c r="C377" t="str">
        <f>IFERROR(__xludf.DUMMYFUNCTION("""COMPUTED_VALUE"""),"")</f>
        <v/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>
      <c r="A378" t="str">
        <f>IFERROR(__xludf.DUMMYFUNCTION("""COMPUTED_VALUE"""),"")</f>
        <v/>
      </c>
      <c r="B378" t="str">
        <f>IFERROR(__xludf.DUMMYFUNCTION("""COMPUTED_VALUE"""),"")</f>
        <v/>
      </c>
      <c r="C378" t="str">
        <f>IFERROR(__xludf.DUMMYFUNCTION("""COMPUTED_VALUE"""),"")</f>
        <v/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>
      <c r="A379" t="str">
        <f>IFERROR(__xludf.DUMMYFUNCTION("""COMPUTED_VALUE"""),"")</f>
        <v/>
      </c>
      <c r="B379" t="str">
        <f>IFERROR(__xludf.DUMMYFUNCTION("""COMPUTED_VALUE"""),"")</f>
        <v/>
      </c>
      <c r="C379" t="str">
        <f>IFERROR(__xludf.DUMMYFUNCTION("""COMPUTED_VALUE"""),"")</f>
        <v/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>
      <c r="A380" t="str">
        <f>IFERROR(__xludf.DUMMYFUNCTION("""COMPUTED_VALUE"""),"")</f>
        <v/>
      </c>
      <c r="B380" t="str">
        <f>IFERROR(__xludf.DUMMYFUNCTION("""COMPUTED_VALUE"""),"")</f>
        <v/>
      </c>
      <c r="C380" t="str">
        <f>IFERROR(__xludf.DUMMYFUNCTION("""COMPUTED_VALUE"""),"")</f>
        <v/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>
      <c r="A381" t="str">
        <f>IFERROR(__xludf.DUMMYFUNCTION("""COMPUTED_VALUE"""),"")</f>
        <v/>
      </c>
      <c r="B381" t="str">
        <f>IFERROR(__xludf.DUMMYFUNCTION("""COMPUTED_VALUE"""),"")</f>
        <v/>
      </c>
      <c r="C381" t="str">
        <f>IFERROR(__xludf.DUMMYFUNCTION("""COMPUTED_VALUE"""),"")</f>
        <v/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>
      <c r="A382" t="str">
        <f>IFERROR(__xludf.DUMMYFUNCTION("""COMPUTED_VALUE"""),"")</f>
        <v/>
      </c>
      <c r="B382" t="str">
        <f>IFERROR(__xludf.DUMMYFUNCTION("""COMPUTED_VALUE"""),"")</f>
        <v/>
      </c>
      <c r="C382" t="str">
        <f>IFERROR(__xludf.DUMMYFUNCTION("""COMPUTED_VALUE"""),"")</f>
        <v/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>
      <c r="A383" t="str">
        <f>IFERROR(__xludf.DUMMYFUNCTION("""COMPUTED_VALUE"""),"")</f>
        <v/>
      </c>
      <c r="B383" t="str">
        <f>IFERROR(__xludf.DUMMYFUNCTION("""COMPUTED_VALUE"""),"")</f>
        <v/>
      </c>
      <c r="C383" t="str">
        <f>IFERROR(__xludf.DUMMYFUNCTION("""COMPUTED_VALUE"""),"")</f>
        <v/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>
      <c r="A384" t="str">
        <f>IFERROR(__xludf.DUMMYFUNCTION("""COMPUTED_VALUE"""),"")</f>
        <v/>
      </c>
      <c r="B384" t="str">
        <f>IFERROR(__xludf.DUMMYFUNCTION("""COMPUTED_VALUE"""),"")</f>
        <v/>
      </c>
      <c r="C384" t="str">
        <f>IFERROR(__xludf.DUMMYFUNCTION("""COMPUTED_VALUE"""),"")</f>
        <v/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>
      <c r="A385" t="str">
        <f>IFERROR(__xludf.DUMMYFUNCTION("""COMPUTED_VALUE"""),"")</f>
        <v/>
      </c>
      <c r="B385" t="str">
        <f>IFERROR(__xludf.DUMMYFUNCTION("""COMPUTED_VALUE"""),"")</f>
        <v/>
      </c>
      <c r="C385" t="str">
        <f>IFERROR(__xludf.DUMMYFUNCTION("""COMPUTED_VALUE"""),"")</f>
        <v/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>
      <c r="A386" t="str">
        <f>IFERROR(__xludf.DUMMYFUNCTION("""COMPUTED_VALUE"""),"")</f>
        <v/>
      </c>
      <c r="B386" t="str">
        <f>IFERROR(__xludf.DUMMYFUNCTION("""COMPUTED_VALUE"""),"")</f>
        <v/>
      </c>
      <c r="C386" t="str">
        <f>IFERROR(__xludf.DUMMYFUNCTION("""COMPUTED_VALUE"""),"")</f>
        <v/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>
      <c r="A387" t="str">
        <f>IFERROR(__xludf.DUMMYFUNCTION("""COMPUTED_VALUE"""),"")</f>
        <v/>
      </c>
      <c r="B387" t="str">
        <f>IFERROR(__xludf.DUMMYFUNCTION("""COMPUTED_VALUE"""),"")</f>
        <v/>
      </c>
      <c r="C387" t="str">
        <f>IFERROR(__xludf.DUMMYFUNCTION("""COMPUTED_VALUE"""),"")</f>
        <v/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>
      <c r="A388" t="str">
        <f>IFERROR(__xludf.DUMMYFUNCTION("""COMPUTED_VALUE"""),"")</f>
        <v/>
      </c>
      <c r="B388" t="str">
        <f>IFERROR(__xludf.DUMMYFUNCTION("""COMPUTED_VALUE"""),"")</f>
        <v/>
      </c>
      <c r="C388" t="str">
        <f>IFERROR(__xludf.DUMMYFUNCTION("""COMPUTED_VALUE"""),"")</f>
        <v/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>
      <c r="A389" t="str">
        <f>IFERROR(__xludf.DUMMYFUNCTION("""COMPUTED_VALUE"""),"")</f>
        <v/>
      </c>
      <c r="B389" t="str">
        <f>IFERROR(__xludf.DUMMYFUNCTION("""COMPUTED_VALUE"""),"")</f>
        <v/>
      </c>
      <c r="C389" t="str">
        <f>IFERROR(__xludf.DUMMYFUNCTION("""COMPUTED_VALUE"""),"")</f>
        <v/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>
      <c r="A390" t="str">
        <f>IFERROR(__xludf.DUMMYFUNCTION("""COMPUTED_VALUE"""),"")</f>
        <v/>
      </c>
      <c r="B390" t="str">
        <f>IFERROR(__xludf.DUMMYFUNCTION("""COMPUTED_VALUE"""),"")</f>
        <v/>
      </c>
      <c r="C390" t="str">
        <f>IFERROR(__xludf.DUMMYFUNCTION("""COMPUTED_VALUE"""),"")</f>
        <v/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>
      <c r="A391" t="str">
        <f>IFERROR(__xludf.DUMMYFUNCTION("""COMPUTED_VALUE"""),"")</f>
        <v/>
      </c>
      <c r="B391" t="str">
        <f>IFERROR(__xludf.DUMMYFUNCTION("""COMPUTED_VALUE"""),"")</f>
        <v/>
      </c>
      <c r="C391" t="str">
        <f>IFERROR(__xludf.DUMMYFUNCTION("""COMPUTED_VALUE"""),"")</f>
        <v/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>
      <c r="A392" t="str">
        <f>IFERROR(__xludf.DUMMYFUNCTION("""COMPUTED_VALUE"""),"")</f>
        <v/>
      </c>
      <c r="B392" t="str">
        <f>IFERROR(__xludf.DUMMYFUNCTION("""COMPUTED_VALUE"""),"")</f>
        <v/>
      </c>
      <c r="C392" t="str">
        <f>IFERROR(__xludf.DUMMYFUNCTION("""COMPUTED_VALUE"""),"")</f>
        <v/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>
      <c r="A393" t="str">
        <f>IFERROR(__xludf.DUMMYFUNCTION("""COMPUTED_VALUE"""),"")</f>
        <v/>
      </c>
      <c r="B393" t="str">
        <f>IFERROR(__xludf.DUMMYFUNCTION("""COMPUTED_VALUE"""),"")</f>
        <v/>
      </c>
      <c r="C393" t="str">
        <f>IFERROR(__xludf.DUMMYFUNCTION("""COMPUTED_VALUE"""),"")</f>
        <v/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>
      <c r="A394" t="str">
        <f>IFERROR(__xludf.DUMMYFUNCTION("""COMPUTED_VALUE"""),"")</f>
        <v/>
      </c>
      <c r="B394" t="str">
        <f>IFERROR(__xludf.DUMMYFUNCTION("""COMPUTED_VALUE"""),"")</f>
        <v/>
      </c>
      <c r="C394" t="str">
        <f>IFERROR(__xludf.DUMMYFUNCTION("""COMPUTED_VALUE"""),"")</f>
        <v/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>
      <c r="A395" t="str">
        <f>IFERROR(__xludf.DUMMYFUNCTION("""COMPUTED_VALUE"""),"")</f>
        <v/>
      </c>
      <c r="B395" t="str">
        <f>IFERROR(__xludf.DUMMYFUNCTION("""COMPUTED_VALUE"""),"")</f>
        <v/>
      </c>
      <c r="C395" t="str">
        <f>IFERROR(__xludf.DUMMYFUNCTION("""COMPUTED_VALUE"""),"")</f>
        <v/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>
      <c r="A396" t="str">
        <f>IFERROR(__xludf.DUMMYFUNCTION("""COMPUTED_VALUE"""),"")</f>
        <v/>
      </c>
      <c r="B396" t="str">
        <f>IFERROR(__xludf.DUMMYFUNCTION("""COMPUTED_VALUE"""),"")</f>
        <v/>
      </c>
      <c r="C396" t="str">
        <f>IFERROR(__xludf.DUMMYFUNCTION("""COMPUTED_VALUE"""),"")</f>
        <v/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>
      <c r="A397" t="str">
        <f>IFERROR(__xludf.DUMMYFUNCTION("""COMPUTED_VALUE"""),"")</f>
        <v/>
      </c>
      <c r="B397" t="str">
        <f>IFERROR(__xludf.DUMMYFUNCTION("""COMPUTED_VALUE"""),"")</f>
        <v/>
      </c>
      <c r="C397" t="str">
        <f>IFERROR(__xludf.DUMMYFUNCTION("""COMPUTED_VALUE"""),"")</f>
        <v/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>
      <c r="A398" t="str">
        <f>IFERROR(__xludf.DUMMYFUNCTION("""COMPUTED_VALUE"""),"")</f>
        <v/>
      </c>
      <c r="B398" t="str">
        <f>IFERROR(__xludf.DUMMYFUNCTION("""COMPUTED_VALUE"""),"")</f>
        <v/>
      </c>
      <c r="C398" t="str">
        <f>IFERROR(__xludf.DUMMYFUNCTION("""COMPUTED_VALUE"""),"")</f>
        <v/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>
      <c r="A399" t="str">
        <f>IFERROR(__xludf.DUMMYFUNCTION("""COMPUTED_VALUE"""),"")</f>
        <v/>
      </c>
      <c r="B399" t="str">
        <f>IFERROR(__xludf.DUMMYFUNCTION("""COMPUTED_VALUE"""),"")</f>
        <v/>
      </c>
      <c r="C399" t="str">
        <f>IFERROR(__xludf.DUMMYFUNCTION("""COMPUTED_VALUE"""),"")</f>
        <v/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>
      <c r="A400" t="str">
        <f>IFERROR(__xludf.DUMMYFUNCTION("""COMPUTED_VALUE"""),"")</f>
        <v/>
      </c>
      <c r="B400" t="str">
        <f>IFERROR(__xludf.DUMMYFUNCTION("""COMPUTED_VALUE"""),"")</f>
        <v/>
      </c>
      <c r="C400" t="str">
        <f>IFERROR(__xludf.DUMMYFUNCTION("""COMPUTED_VALUE"""),"")</f>
        <v/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>
      <c r="A401" t="str">
        <f>IFERROR(__xludf.DUMMYFUNCTION("""COMPUTED_VALUE"""),"")</f>
        <v/>
      </c>
      <c r="B401" t="str">
        <f>IFERROR(__xludf.DUMMYFUNCTION("""COMPUTED_VALUE"""),"")</f>
        <v/>
      </c>
      <c r="C401" t="str">
        <f>IFERROR(__xludf.DUMMYFUNCTION("""COMPUTED_VALUE"""),"")</f>
        <v/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>
      <c r="A402" t="str">
        <f>IFERROR(__xludf.DUMMYFUNCTION("""COMPUTED_VALUE"""),"")</f>
        <v/>
      </c>
      <c r="B402" t="str">
        <f>IFERROR(__xludf.DUMMYFUNCTION("""COMPUTED_VALUE"""),"")</f>
        <v/>
      </c>
      <c r="C402" t="str">
        <f>IFERROR(__xludf.DUMMYFUNCTION("""COMPUTED_VALUE"""),"")</f>
        <v/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>
      <c r="A403" t="str">
        <f>IFERROR(__xludf.DUMMYFUNCTION("""COMPUTED_VALUE"""),"")</f>
        <v/>
      </c>
      <c r="B403" t="str">
        <f>IFERROR(__xludf.DUMMYFUNCTION("""COMPUTED_VALUE"""),"")</f>
        <v/>
      </c>
      <c r="C403" t="str">
        <f>IFERROR(__xludf.DUMMYFUNCTION("""COMPUTED_VALUE"""),"")</f>
        <v/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>
      <c r="A404" t="str">
        <f>IFERROR(__xludf.DUMMYFUNCTION("""COMPUTED_VALUE"""),"")</f>
        <v/>
      </c>
      <c r="B404" t="str">
        <f>IFERROR(__xludf.DUMMYFUNCTION("""COMPUTED_VALUE"""),"")</f>
        <v/>
      </c>
      <c r="C404" t="str">
        <f>IFERROR(__xludf.DUMMYFUNCTION("""COMPUTED_VALUE"""),"")</f>
        <v/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>
      <c r="A405" t="str">
        <f>IFERROR(__xludf.DUMMYFUNCTION("""COMPUTED_VALUE"""),"")</f>
        <v/>
      </c>
      <c r="B405" t="str">
        <f>IFERROR(__xludf.DUMMYFUNCTION("""COMPUTED_VALUE"""),"")</f>
        <v/>
      </c>
      <c r="C405" t="str">
        <f>IFERROR(__xludf.DUMMYFUNCTION("""COMPUTED_VALUE"""),"")</f>
        <v/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>
      <c r="A406" t="str">
        <f>IFERROR(__xludf.DUMMYFUNCTION("""COMPUTED_VALUE"""),"")</f>
        <v/>
      </c>
      <c r="B406" t="str">
        <f>IFERROR(__xludf.DUMMYFUNCTION("""COMPUTED_VALUE"""),"")</f>
        <v/>
      </c>
      <c r="C406" t="str">
        <f>IFERROR(__xludf.DUMMYFUNCTION("""COMPUTED_VALUE"""),"")</f>
        <v/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>
      <c r="A407" t="str">
        <f>IFERROR(__xludf.DUMMYFUNCTION("""COMPUTED_VALUE"""),"")</f>
        <v/>
      </c>
      <c r="B407" t="str">
        <f>IFERROR(__xludf.DUMMYFUNCTION("""COMPUTED_VALUE"""),"")</f>
        <v/>
      </c>
      <c r="C407" t="str">
        <f>IFERROR(__xludf.DUMMYFUNCTION("""COMPUTED_VALUE"""),"")</f>
        <v/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>
      <c r="A408" t="str">
        <f>IFERROR(__xludf.DUMMYFUNCTION("""COMPUTED_VALUE"""),"")</f>
        <v/>
      </c>
      <c r="B408" t="str">
        <f>IFERROR(__xludf.DUMMYFUNCTION("""COMPUTED_VALUE"""),"")</f>
        <v/>
      </c>
      <c r="C408" t="str">
        <f>IFERROR(__xludf.DUMMYFUNCTION("""COMPUTED_VALUE"""),"")</f>
        <v/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>
      <c r="A409" t="str">
        <f>IFERROR(__xludf.DUMMYFUNCTION("""COMPUTED_VALUE"""),"")</f>
        <v/>
      </c>
      <c r="B409" t="str">
        <f>IFERROR(__xludf.DUMMYFUNCTION("""COMPUTED_VALUE"""),"")</f>
        <v/>
      </c>
      <c r="C409" t="str">
        <f>IFERROR(__xludf.DUMMYFUNCTION("""COMPUTED_VALUE"""),"")</f>
        <v/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>
      <c r="A410" t="str">
        <f>IFERROR(__xludf.DUMMYFUNCTION("""COMPUTED_VALUE"""),"")</f>
        <v/>
      </c>
      <c r="B410" t="str">
        <f>IFERROR(__xludf.DUMMYFUNCTION("""COMPUTED_VALUE"""),"")</f>
        <v/>
      </c>
      <c r="C410" t="str">
        <f>IFERROR(__xludf.DUMMYFUNCTION("""COMPUTED_VALUE"""),"")</f>
        <v/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>
      <c r="A411" t="str">
        <f>IFERROR(__xludf.DUMMYFUNCTION("""COMPUTED_VALUE"""),"")</f>
        <v/>
      </c>
      <c r="B411" t="str">
        <f>IFERROR(__xludf.DUMMYFUNCTION("""COMPUTED_VALUE"""),"")</f>
        <v/>
      </c>
      <c r="C411" t="str">
        <f>IFERROR(__xludf.DUMMYFUNCTION("""COMPUTED_VALUE"""),"")</f>
        <v/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>
      <c r="A412" t="str">
        <f>IFERROR(__xludf.DUMMYFUNCTION("""COMPUTED_VALUE"""),"")</f>
        <v/>
      </c>
      <c r="B412" t="str">
        <f>IFERROR(__xludf.DUMMYFUNCTION("""COMPUTED_VALUE"""),"")</f>
        <v/>
      </c>
      <c r="C412" t="str">
        <f>IFERROR(__xludf.DUMMYFUNCTION("""COMPUTED_VALUE"""),"")</f>
        <v/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>
      <c r="A413" t="str">
        <f>IFERROR(__xludf.DUMMYFUNCTION("""COMPUTED_VALUE"""),"")</f>
        <v/>
      </c>
      <c r="B413" t="str">
        <f>IFERROR(__xludf.DUMMYFUNCTION("""COMPUTED_VALUE"""),"")</f>
        <v/>
      </c>
      <c r="C413" t="str">
        <f>IFERROR(__xludf.DUMMYFUNCTION("""COMPUTED_VALUE"""),"")</f>
        <v/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>
      <c r="A414" t="str">
        <f>IFERROR(__xludf.DUMMYFUNCTION("""COMPUTED_VALUE"""),"")</f>
        <v/>
      </c>
      <c r="B414" t="str">
        <f>IFERROR(__xludf.DUMMYFUNCTION("""COMPUTED_VALUE"""),"")</f>
        <v/>
      </c>
      <c r="C414" t="str">
        <f>IFERROR(__xludf.DUMMYFUNCTION("""COMPUTED_VALUE"""),"")</f>
        <v/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>
      <c r="A874" t="str">
        <f>IFERROR(__xludf.DUMMYFUNCTION("""COMPUTED_VALUE"""),"")</f>
        <v/>
      </c>
      <c r="B874" t="str">
        <f>IFERROR(__xludf.DUMMYFUNCTION("""COMPUTED_VALUE"""),"")</f>
        <v/>
      </c>
      <c r="C874" t="str">
        <f>IFERROR(__xludf.DUMMYFUNCTION("""COMPUTED_VALUE"""),"")</f>
        <v/>
      </c>
      <c r="D874" t="str">
        <f>IFERROR(__xludf.DUMMYFUNCTION("""COMPUTED_VALUE"""),"")</f>
        <v/>
      </c>
      <c r="E874" t="str">
        <f>IFERROR(__xludf.DUMMYFUNCTION("""COMPUTED_VALUE"""),"")</f>
        <v/>
      </c>
      <c r="F874" t="str">
        <f>IFERROR(__xludf.DUMMYFUNCTION("""COMPUTED_VALUE"""),"")</f>
        <v/>
      </c>
      <c r="G874" t="str">
        <f>IFERROR(__xludf.DUMMYFUNCTION("""COMPUTED_VALUE"""),"")</f>
        <v/>
      </c>
      <c r="H874" t="str">
        <f>IFERROR(__xludf.DUMMYFUNCTION("""COMPUTED_VALUE"""),"")</f>
        <v/>
      </c>
      <c r="I874" t="str">
        <f>IFERROR(__xludf.DUMMYFUNCTION("""COMPUTED_VALUE"""),"")</f>
        <v/>
      </c>
      <c r="J874" t="str">
        <f>IFERROR(__xludf.DUMMYFUNCTION("""COMPUTED_VALUE"""),"")</f>
        <v/>
      </c>
      <c r="K874" t="str">
        <f>IFERROR(__xludf.DUMMYFUNCTION("""COMPUTED_VALUE"""),"")</f>
        <v/>
      </c>
      <c r="L874" t="str">
        <f>IFERROR(__xludf.DUMMYFUNCTION("""COMPUTED_VALUE"""),"")</f>
        <v/>
      </c>
    </row>
    <row r="875">
      <c r="A875" t="str">
        <f>IFERROR(__xludf.DUMMYFUNCTION("""COMPUTED_VALUE"""),"")</f>
        <v/>
      </c>
      <c r="B875" t="str">
        <f>IFERROR(__xludf.DUMMYFUNCTION("""COMPUTED_VALUE"""),"")</f>
        <v/>
      </c>
      <c r="C875" t="str">
        <f>IFERROR(__xludf.DUMMYFUNCTION("""COMPUTED_VALUE"""),"")</f>
        <v/>
      </c>
      <c r="D875" t="str">
        <f>IFERROR(__xludf.DUMMYFUNCTION("""COMPUTED_VALUE"""),"")</f>
        <v/>
      </c>
      <c r="E875" t="str">
        <f>IFERROR(__xludf.DUMMYFUNCTION("""COMPUTED_VALUE"""),"")</f>
        <v/>
      </c>
      <c r="F875" t="str">
        <f>IFERROR(__xludf.DUMMYFUNCTION("""COMPUTED_VALUE"""),"")</f>
        <v/>
      </c>
      <c r="G875" t="str">
        <f>IFERROR(__xludf.DUMMYFUNCTION("""COMPUTED_VALUE"""),"")</f>
        <v/>
      </c>
      <c r="H875" t="str">
        <f>IFERROR(__xludf.DUMMYFUNCTION("""COMPUTED_VALUE"""),"")</f>
        <v/>
      </c>
      <c r="I875" t="str">
        <f>IFERROR(__xludf.DUMMYFUNCTION("""COMPUTED_VALUE"""),"")</f>
        <v/>
      </c>
      <c r="J875" t="str">
        <f>IFERROR(__xludf.DUMMYFUNCTION("""COMPUTED_VALUE"""),"")</f>
        <v/>
      </c>
      <c r="K875" t="str">
        <f>IFERROR(__xludf.DUMMYFUNCTION("""COMPUTED_VALUE"""),"")</f>
        <v/>
      </c>
      <c r="L875" t="str">
        <f>IFERROR(__xludf.DUMMYFUNCTION("""COMPUTED_VALUE"""),"")</f>
        <v/>
      </c>
    </row>
    <row r="876">
      <c r="A876" t="str">
        <f>IFERROR(__xludf.DUMMYFUNCTION("""COMPUTED_VALUE"""),"")</f>
        <v/>
      </c>
      <c r="B876" t="str">
        <f>IFERROR(__xludf.DUMMYFUNCTION("""COMPUTED_VALUE"""),"")</f>
        <v/>
      </c>
      <c r="C876" t="str">
        <f>IFERROR(__xludf.DUMMYFUNCTION("""COMPUTED_VALUE"""),"")</f>
        <v/>
      </c>
      <c r="D876" t="str">
        <f>IFERROR(__xludf.DUMMYFUNCTION("""COMPUTED_VALUE"""),"")</f>
        <v/>
      </c>
      <c r="E876" t="str">
        <f>IFERROR(__xludf.DUMMYFUNCTION("""COMPUTED_VALUE"""),"")</f>
        <v/>
      </c>
      <c r="F876" t="str">
        <f>IFERROR(__xludf.DUMMYFUNCTION("""COMPUTED_VALUE"""),"")</f>
        <v/>
      </c>
      <c r="G876" t="str">
        <f>IFERROR(__xludf.DUMMYFUNCTION("""COMPUTED_VALUE"""),"")</f>
        <v/>
      </c>
      <c r="H876" t="str">
        <f>IFERROR(__xludf.DUMMYFUNCTION("""COMPUTED_VALUE"""),"")</f>
        <v/>
      </c>
      <c r="I876" t="str">
        <f>IFERROR(__xludf.DUMMYFUNCTION("""COMPUTED_VALUE"""),"")</f>
        <v/>
      </c>
      <c r="J876" t="str">
        <f>IFERROR(__xludf.DUMMYFUNCTION("""COMPUTED_VALUE"""),"")</f>
        <v/>
      </c>
      <c r="K876" t="str">
        <f>IFERROR(__xludf.DUMMYFUNCTION("""COMPUTED_VALUE"""),"")</f>
        <v/>
      </c>
      <c r="L876" t="str">
        <f>IFERROR(__xludf.DUMMYFUNCTION("""COMPUTED_VALUE"""),"")</f>
        <v/>
      </c>
    </row>
    <row r="877">
      <c r="A877" t="str">
        <f>IFERROR(__xludf.DUMMYFUNCTION("""COMPUTED_VALUE"""),"")</f>
        <v/>
      </c>
      <c r="B877" t="str">
        <f>IFERROR(__xludf.DUMMYFUNCTION("""COMPUTED_VALUE"""),"")</f>
        <v/>
      </c>
      <c r="C877" t="str">
        <f>IFERROR(__xludf.DUMMYFUNCTION("""COMPUTED_VALUE"""),"")</f>
        <v/>
      </c>
      <c r="D877" t="str">
        <f>IFERROR(__xludf.DUMMYFUNCTION("""COMPUTED_VALUE"""),"")</f>
        <v/>
      </c>
      <c r="E877" t="str">
        <f>IFERROR(__xludf.DUMMYFUNCTION("""COMPUTED_VALUE"""),"")</f>
        <v/>
      </c>
      <c r="F877" t="str">
        <f>IFERROR(__xludf.DUMMYFUNCTION("""COMPUTED_VALUE"""),"")</f>
        <v/>
      </c>
      <c r="G877" t="str">
        <f>IFERROR(__xludf.DUMMYFUNCTION("""COMPUTED_VALUE"""),"")</f>
        <v/>
      </c>
      <c r="H877" t="str">
        <f>IFERROR(__xludf.DUMMYFUNCTION("""COMPUTED_VALUE"""),"")</f>
        <v/>
      </c>
      <c r="I877" t="str">
        <f>IFERROR(__xludf.DUMMYFUNCTION("""COMPUTED_VALUE"""),"")</f>
        <v/>
      </c>
      <c r="J877" t="str">
        <f>IFERROR(__xludf.DUMMYFUNCTION("""COMPUTED_VALUE"""),"")</f>
        <v/>
      </c>
      <c r="K877" t="str">
        <f>IFERROR(__xludf.DUMMYFUNCTION("""COMPUTED_VALUE"""),"")</f>
        <v/>
      </c>
      <c r="L877" t="str">
        <f>IFERROR(__xludf.DUMMYFUNCTION("""COMPUTED_VALUE"""),"")</f>
        <v/>
      </c>
    </row>
    <row r="878">
      <c r="A878" t="str">
        <f>IFERROR(__xludf.DUMMYFUNCTION("""COMPUTED_VALUE"""),"")</f>
        <v/>
      </c>
      <c r="B878" t="str">
        <f>IFERROR(__xludf.DUMMYFUNCTION("""COMPUTED_VALUE"""),"")</f>
        <v/>
      </c>
      <c r="C878" t="str">
        <f>IFERROR(__xludf.DUMMYFUNCTION("""COMPUTED_VALUE"""),"")</f>
        <v/>
      </c>
      <c r="D878" t="str">
        <f>IFERROR(__xludf.DUMMYFUNCTION("""COMPUTED_VALUE"""),"")</f>
        <v/>
      </c>
      <c r="E878" t="str">
        <f>IFERROR(__xludf.DUMMYFUNCTION("""COMPUTED_VALUE"""),"")</f>
        <v/>
      </c>
      <c r="F878" t="str">
        <f>IFERROR(__xludf.DUMMYFUNCTION("""COMPUTED_VALUE"""),"")</f>
        <v/>
      </c>
      <c r="G878" t="str">
        <f>IFERROR(__xludf.DUMMYFUNCTION("""COMPUTED_VALUE"""),"")</f>
        <v/>
      </c>
      <c r="H878" t="str">
        <f>IFERROR(__xludf.DUMMYFUNCTION("""COMPUTED_VALUE"""),"")</f>
        <v/>
      </c>
      <c r="I878" t="str">
        <f>IFERROR(__xludf.DUMMYFUNCTION("""COMPUTED_VALUE"""),"")</f>
        <v/>
      </c>
      <c r="J878" t="str">
        <f>IFERROR(__xludf.DUMMYFUNCTION("""COMPUTED_VALUE"""),"")</f>
        <v/>
      </c>
      <c r="K878" t="str">
        <f>IFERROR(__xludf.DUMMYFUNCTION("""COMPUTED_VALUE"""),"")</f>
        <v/>
      </c>
      <c r="L878" t="str">
        <f>IFERROR(__xludf.DUMMYFUNCTION("""COMPUTED_VALUE"""),"")</f>
        <v/>
      </c>
    </row>
    <row r="879">
      <c r="A879" t="str">
        <f>IFERROR(__xludf.DUMMYFUNCTION("""COMPUTED_VALUE"""),"")</f>
        <v/>
      </c>
      <c r="B879" t="str">
        <f>IFERROR(__xludf.DUMMYFUNCTION("""COMPUTED_VALUE"""),"")</f>
        <v/>
      </c>
      <c r="C879" t="str">
        <f>IFERROR(__xludf.DUMMYFUNCTION("""COMPUTED_VALUE"""),"")</f>
        <v/>
      </c>
      <c r="D879" t="str">
        <f>IFERROR(__xludf.DUMMYFUNCTION("""COMPUTED_VALUE"""),"")</f>
        <v/>
      </c>
      <c r="E879" t="str">
        <f>IFERROR(__xludf.DUMMYFUNCTION("""COMPUTED_VALUE"""),"")</f>
        <v/>
      </c>
      <c r="F879" t="str">
        <f>IFERROR(__xludf.DUMMYFUNCTION("""COMPUTED_VALUE"""),"")</f>
        <v/>
      </c>
      <c r="G879" t="str">
        <f>IFERROR(__xludf.DUMMYFUNCTION("""COMPUTED_VALUE"""),"")</f>
        <v/>
      </c>
      <c r="H879" t="str">
        <f>IFERROR(__xludf.DUMMYFUNCTION("""COMPUTED_VALUE"""),"")</f>
        <v/>
      </c>
      <c r="I879" t="str">
        <f>IFERROR(__xludf.DUMMYFUNCTION("""COMPUTED_VALUE"""),"")</f>
        <v/>
      </c>
      <c r="J879" t="str">
        <f>IFERROR(__xludf.DUMMYFUNCTION("""COMPUTED_VALUE"""),"")</f>
        <v/>
      </c>
      <c r="K879" t="str">
        <f>IFERROR(__xludf.DUMMYFUNCTION("""COMPUTED_VALUE"""),"")</f>
        <v/>
      </c>
      <c r="L879" t="str">
        <f>IFERROR(__xludf.DUMMYFUNCTION("""COMPUTED_VALUE"""),"")</f>
        <v/>
      </c>
    </row>
    <row r="880">
      <c r="A880" t="str">
        <f>IFERROR(__xludf.DUMMYFUNCTION("""COMPUTED_VALUE"""),"")</f>
        <v/>
      </c>
      <c r="B880" t="str">
        <f>IFERROR(__xludf.DUMMYFUNCTION("""COMPUTED_VALUE"""),"")</f>
        <v/>
      </c>
      <c r="C880" t="str">
        <f>IFERROR(__xludf.DUMMYFUNCTION("""COMPUTED_VALUE"""),"")</f>
        <v/>
      </c>
      <c r="D880" t="str">
        <f>IFERROR(__xludf.DUMMYFUNCTION("""COMPUTED_VALUE"""),"")</f>
        <v/>
      </c>
      <c r="E880" t="str">
        <f>IFERROR(__xludf.DUMMYFUNCTION("""COMPUTED_VALUE"""),"")</f>
        <v/>
      </c>
      <c r="F880" t="str">
        <f>IFERROR(__xludf.DUMMYFUNCTION("""COMPUTED_VALUE"""),"")</f>
        <v/>
      </c>
      <c r="G880" t="str">
        <f>IFERROR(__xludf.DUMMYFUNCTION("""COMPUTED_VALUE"""),"")</f>
        <v/>
      </c>
      <c r="H880" t="str">
        <f>IFERROR(__xludf.DUMMYFUNCTION("""COMPUTED_VALUE"""),"")</f>
        <v/>
      </c>
      <c r="I880" t="str">
        <f>IFERROR(__xludf.DUMMYFUNCTION("""COMPUTED_VALUE"""),"")</f>
        <v/>
      </c>
      <c r="J880" t="str">
        <f>IFERROR(__xludf.DUMMYFUNCTION("""COMPUTED_VALUE"""),"")</f>
        <v/>
      </c>
      <c r="K880" t="str">
        <f>IFERROR(__xludf.DUMMYFUNCTION("""COMPUTED_VALUE"""),"")</f>
        <v/>
      </c>
      <c r="L880" t="str">
        <f>IFERROR(__xludf.DUMMYFUNCTION("""COMPUTED_VALUE"""),"")</f>
        <v/>
      </c>
    </row>
    <row r="881">
      <c r="A881" t="str">
        <f>IFERROR(__xludf.DUMMYFUNCTION("""COMPUTED_VALUE"""),"")</f>
        <v/>
      </c>
      <c r="B881" t="str">
        <f>IFERROR(__xludf.DUMMYFUNCTION("""COMPUTED_VALUE"""),"")</f>
        <v/>
      </c>
      <c r="C881" t="str">
        <f>IFERROR(__xludf.DUMMYFUNCTION("""COMPUTED_VALUE"""),"")</f>
        <v/>
      </c>
      <c r="D881" t="str">
        <f>IFERROR(__xludf.DUMMYFUNCTION("""COMPUTED_VALUE"""),"")</f>
        <v/>
      </c>
      <c r="E881" t="str">
        <f>IFERROR(__xludf.DUMMYFUNCTION("""COMPUTED_VALUE"""),"")</f>
        <v/>
      </c>
      <c r="F881" t="str">
        <f>IFERROR(__xludf.DUMMYFUNCTION("""COMPUTED_VALUE"""),"")</f>
        <v/>
      </c>
      <c r="G881" t="str">
        <f>IFERROR(__xludf.DUMMYFUNCTION("""COMPUTED_VALUE"""),"")</f>
        <v/>
      </c>
      <c r="H881" t="str">
        <f>IFERROR(__xludf.DUMMYFUNCTION("""COMPUTED_VALUE"""),"")</f>
        <v/>
      </c>
      <c r="I881" t="str">
        <f>IFERROR(__xludf.DUMMYFUNCTION("""COMPUTED_VALUE"""),"")</f>
        <v/>
      </c>
      <c r="J881" t="str">
        <f>IFERROR(__xludf.DUMMYFUNCTION("""COMPUTED_VALUE"""),"")</f>
        <v/>
      </c>
      <c r="K881" t="str">
        <f>IFERROR(__xludf.DUMMYFUNCTION("""COMPUTED_VALUE"""),"")</f>
        <v/>
      </c>
      <c r="L881" t="str">
        <f>IFERROR(__xludf.DUMMYFUNCTION("""COMPUTED_VALUE"""),"")</f>
        <v/>
      </c>
    </row>
    <row r="882">
      <c r="A882" t="str">
        <f>IFERROR(__xludf.DUMMYFUNCTION("""COMPUTED_VALUE"""),"")</f>
        <v/>
      </c>
      <c r="B882" t="str">
        <f>IFERROR(__xludf.DUMMYFUNCTION("""COMPUTED_VALUE"""),"")</f>
        <v/>
      </c>
      <c r="C882" t="str">
        <f>IFERROR(__xludf.DUMMYFUNCTION("""COMPUTED_VALUE"""),"")</f>
        <v/>
      </c>
      <c r="D882" t="str">
        <f>IFERROR(__xludf.DUMMYFUNCTION("""COMPUTED_VALUE"""),"")</f>
        <v/>
      </c>
      <c r="E882" t="str">
        <f>IFERROR(__xludf.DUMMYFUNCTION("""COMPUTED_VALUE"""),"")</f>
        <v/>
      </c>
      <c r="F882" t="str">
        <f>IFERROR(__xludf.DUMMYFUNCTION("""COMPUTED_VALUE"""),"")</f>
        <v/>
      </c>
      <c r="G882" t="str">
        <f>IFERROR(__xludf.DUMMYFUNCTION("""COMPUTED_VALUE"""),"")</f>
        <v/>
      </c>
      <c r="H882" t="str">
        <f>IFERROR(__xludf.DUMMYFUNCTION("""COMPUTED_VALUE"""),"")</f>
        <v/>
      </c>
      <c r="I882" t="str">
        <f>IFERROR(__xludf.DUMMYFUNCTION("""COMPUTED_VALUE"""),"")</f>
        <v/>
      </c>
      <c r="J882" t="str">
        <f>IFERROR(__xludf.DUMMYFUNCTION("""COMPUTED_VALUE"""),"")</f>
        <v/>
      </c>
      <c r="K882" t="str">
        <f>IFERROR(__xludf.DUMMYFUNCTION("""COMPUTED_VALUE"""),"")</f>
        <v/>
      </c>
      <c r="L882" t="str">
        <f>IFERROR(__xludf.DUMMYFUNCTION("""COMPUTED_VALUE"""),"")</f>
        <v/>
      </c>
    </row>
    <row r="883">
      <c r="A883" t="str">
        <f>IFERROR(__xludf.DUMMYFUNCTION("""COMPUTED_VALUE"""),"")</f>
        <v/>
      </c>
      <c r="B883" t="str">
        <f>IFERROR(__xludf.DUMMYFUNCTION("""COMPUTED_VALUE"""),"")</f>
        <v/>
      </c>
      <c r="C883" t="str">
        <f>IFERROR(__xludf.DUMMYFUNCTION("""COMPUTED_VALUE"""),"")</f>
        <v/>
      </c>
      <c r="D883" t="str">
        <f>IFERROR(__xludf.DUMMYFUNCTION("""COMPUTED_VALUE"""),"")</f>
        <v/>
      </c>
      <c r="E883" t="str">
        <f>IFERROR(__xludf.DUMMYFUNCTION("""COMPUTED_VALUE"""),"")</f>
        <v/>
      </c>
      <c r="F883" t="str">
        <f>IFERROR(__xludf.DUMMYFUNCTION("""COMPUTED_VALUE"""),"")</f>
        <v/>
      </c>
      <c r="G883" t="str">
        <f>IFERROR(__xludf.DUMMYFUNCTION("""COMPUTED_VALUE"""),"")</f>
        <v/>
      </c>
      <c r="H883" t="str">
        <f>IFERROR(__xludf.DUMMYFUNCTION("""COMPUTED_VALUE"""),"")</f>
        <v/>
      </c>
      <c r="I883" t="str">
        <f>IFERROR(__xludf.DUMMYFUNCTION("""COMPUTED_VALUE"""),"")</f>
        <v/>
      </c>
      <c r="J883" t="str">
        <f>IFERROR(__xludf.DUMMYFUNCTION("""COMPUTED_VALUE"""),"")</f>
        <v/>
      </c>
      <c r="K883" t="str">
        <f>IFERROR(__xludf.DUMMYFUNCTION("""COMPUTED_VALUE"""),"")</f>
        <v/>
      </c>
      <c r="L883" t="str">
        <f>IFERROR(__xludf.DUMMYFUNCTION("""COMPUTED_VALUE"""),"")</f>
        <v/>
      </c>
    </row>
    <row r="884">
      <c r="A884" t="str">
        <f>IFERROR(__xludf.DUMMYFUNCTION("""COMPUTED_VALUE"""),"")</f>
        <v/>
      </c>
      <c r="B884" t="str">
        <f>IFERROR(__xludf.DUMMYFUNCTION("""COMPUTED_VALUE"""),"")</f>
        <v/>
      </c>
      <c r="C884" t="str">
        <f>IFERROR(__xludf.DUMMYFUNCTION("""COMPUTED_VALUE"""),"")</f>
        <v/>
      </c>
      <c r="D884" t="str">
        <f>IFERROR(__xludf.DUMMYFUNCTION("""COMPUTED_VALUE"""),"")</f>
        <v/>
      </c>
      <c r="E884" t="str">
        <f>IFERROR(__xludf.DUMMYFUNCTION("""COMPUTED_VALUE"""),"")</f>
        <v/>
      </c>
      <c r="F884" t="str">
        <f>IFERROR(__xludf.DUMMYFUNCTION("""COMPUTED_VALUE"""),"")</f>
        <v/>
      </c>
      <c r="G884" t="str">
        <f>IFERROR(__xludf.DUMMYFUNCTION("""COMPUTED_VALUE"""),"")</f>
        <v/>
      </c>
      <c r="H884" t="str">
        <f>IFERROR(__xludf.DUMMYFUNCTION("""COMPUTED_VALUE"""),"")</f>
        <v/>
      </c>
      <c r="I884" t="str">
        <f>IFERROR(__xludf.DUMMYFUNCTION("""COMPUTED_VALUE"""),"")</f>
        <v/>
      </c>
      <c r="J884" t="str">
        <f>IFERROR(__xludf.DUMMYFUNCTION("""COMPUTED_VALUE"""),"")</f>
        <v/>
      </c>
      <c r="K884" t="str">
        <f>IFERROR(__xludf.DUMMYFUNCTION("""COMPUTED_VALUE"""),"")</f>
        <v/>
      </c>
      <c r="L884" t="str">
        <f>IFERROR(__xludf.DUMMYFUNCTION("""COMPUTED_VALUE"""),"")</f>
        <v/>
      </c>
    </row>
    <row r="885">
      <c r="A885" t="str">
        <f>IFERROR(__xludf.DUMMYFUNCTION("""COMPUTED_VALUE"""),"")</f>
        <v/>
      </c>
      <c r="B885" t="str">
        <f>IFERROR(__xludf.DUMMYFUNCTION("""COMPUTED_VALUE"""),"")</f>
        <v/>
      </c>
      <c r="C885" t="str">
        <f>IFERROR(__xludf.DUMMYFUNCTION("""COMPUTED_VALUE"""),"")</f>
        <v/>
      </c>
      <c r="D885" t="str">
        <f>IFERROR(__xludf.DUMMYFUNCTION("""COMPUTED_VALUE"""),"")</f>
        <v/>
      </c>
      <c r="E885" t="str">
        <f>IFERROR(__xludf.DUMMYFUNCTION("""COMPUTED_VALUE"""),"")</f>
        <v/>
      </c>
      <c r="F885" t="str">
        <f>IFERROR(__xludf.DUMMYFUNCTION("""COMPUTED_VALUE"""),"")</f>
        <v/>
      </c>
      <c r="G885" t="str">
        <f>IFERROR(__xludf.DUMMYFUNCTION("""COMPUTED_VALUE"""),"")</f>
        <v/>
      </c>
      <c r="H885" t="str">
        <f>IFERROR(__xludf.DUMMYFUNCTION("""COMPUTED_VALUE"""),"")</f>
        <v/>
      </c>
      <c r="I885" t="str">
        <f>IFERROR(__xludf.DUMMYFUNCTION("""COMPUTED_VALUE"""),"")</f>
        <v/>
      </c>
      <c r="J885" t="str">
        <f>IFERROR(__xludf.DUMMYFUNCTION("""COMPUTED_VALUE"""),"")</f>
        <v/>
      </c>
      <c r="K885" t="str">
        <f>IFERROR(__xludf.DUMMYFUNCTION("""COMPUTED_VALUE"""),"")</f>
        <v/>
      </c>
      <c r="L885" t="str">
        <f>IFERROR(__xludf.DUMMYFUNCTION("""COMPUTED_VALUE"""),"")</f>
        <v/>
      </c>
    </row>
    <row r="886">
      <c r="A886" t="str">
        <f>IFERROR(__xludf.DUMMYFUNCTION("""COMPUTED_VALUE"""),"")</f>
        <v/>
      </c>
      <c r="B886" t="str">
        <f>IFERROR(__xludf.DUMMYFUNCTION("""COMPUTED_VALUE"""),"")</f>
        <v/>
      </c>
      <c r="C886" t="str">
        <f>IFERROR(__xludf.DUMMYFUNCTION("""COMPUTED_VALUE"""),"")</f>
        <v/>
      </c>
      <c r="D886" t="str">
        <f>IFERROR(__xludf.DUMMYFUNCTION("""COMPUTED_VALUE"""),"")</f>
        <v/>
      </c>
      <c r="E886" t="str">
        <f>IFERROR(__xludf.DUMMYFUNCTION("""COMPUTED_VALUE"""),"")</f>
        <v/>
      </c>
      <c r="F886" t="str">
        <f>IFERROR(__xludf.DUMMYFUNCTION("""COMPUTED_VALUE"""),"")</f>
        <v/>
      </c>
      <c r="G886" t="str">
        <f>IFERROR(__xludf.DUMMYFUNCTION("""COMPUTED_VALUE"""),"")</f>
        <v/>
      </c>
      <c r="H886" t="str">
        <f>IFERROR(__xludf.DUMMYFUNCTION("""COMPUTED_VALUE"""),"")</f>
        <v/>
      </c>
      <c r="I886" t="str">
        <f>IFERROR(__xludf.DUMMYFUNCTION("""COMPUTED_VALUE"""),"")</f>
        <v/>
      </c>
      <c r="J886" t="str">
        <f>IFERROR(__xludf.DUMMYFUNCTION("""COMPUTED_VALUE"""),"")</f>
        <v/>
      </c>
      <c r="K886" t="str">
        <f>IFERROR(__xludf.DUMMYFUNCTION("""COMPUTED_VALUE"""),"")</f>
        <v/>
      </c>
      <c r="L886" t="str">
        <f>IFERROR(__xludf.DUMMYFUNCTION("""COMPUTED_VALUE"""),"")</f>
        <v/>
      </c>
    </row>
    <row r="887">
      <c r="A887" t="str">
        <f>IFERROR(__xludf.DUMMYFUNCTION("""COMPUTED_VALUE"""),"")</f>
        <v/>
      </c>
      <c r="B887" t="str">
        <f>IFERROR(__xludf.DUMMYFUNCTION("""COMPUTED_VALUE"""),"")</f>
        <v/>
      </c>
      <c r="C887" t="str">
        <f>IFERROR(__xludf.DUMMYFUNCTION("""COMPUTED_VALUE"""),"")</f>
        <v/>
      </c>
      <c r="D887" t="str">
        <f>IFERROR(__xludf.DUMMYFUNCTION("""COMPUTED_VALUE"""),"")</f>
        <v/>
      </c>
      <c r="E887" t="str">
        <f>IFERROR(__xludf.DUMMYFUNCTION("""COMPUTED_VALUE"""),"")</f>
        <v/>
      </c>
      <c r="F887" t="str">
        <f>IFERROR(__xludf.DUMMYFUNCTION("""COMPUTED_VALUE"""),"")</f>
        <v/>
      </c>
      <c r="G887" t="str">
        <f>IFERROR(__xludf.DUMMYFUNCTION("""COMPUTED_VALUE"""),"")</f>
        <v/>
      </c>
      <c r="H887" t="str">
        <f>IFERROR(__xludf.DUMMYFUNCTION("""COMPUTED_VALUE"""),"")</f>
        <v/>
      </c>
      <c r="I887" t="str">
        <f>IFERROR(__xludf.DUMMYFUNCTION("""COMPUTED_VALUE"""),"")</f>
        <v/>
      </c>
      <c r="J887" t="str">
        <f>IFERROR(__xludf.DUMMYFUNCTION("""COMPUTED_VALUE"""),"")</f>
        <v/>
      </c>
      <c r="K887" t="str">
        <f>IFERROR(__xludf.DUMMYFUNCTION("""COMPUTED_VALUE"""),"")</f>
        <v/>
      </c>
      <c r="L887" t="str">
        <f>IFERROR(__xludf.DUMMYFUNCTION("""COMPUTED_VALUE"""),"")</f>
        <v/>
      </c>
    </row>
    <row r="888">
      <c r="A888" t="str">
        <f>IFERROR(__xludf.DUMMYFUNCTION("""COMPUTED_VALUE"""),"")</f>
        <v/>
      </c>
      <c r="B888" t="str">
        <f>IFERROR(__xludf.DUMMYFUNCTION("""COMPUTED_VALUE"""),"")</f>
        <v/>
      </c>
      <c r="C888" t="str">
        <f>IFERROR(__xludf.DUMMYFUNCTION("""COMPUTED_VALUE"""),"")</f>
        <v/>
      </c>
      <c r="D888" t="str">
        <f>IFERROR(__xludf.DUMMYFUNCTION("""COMPUTED_VALUE"""),"")</f>
        <v/>
      </c>
      <c r="E888" t="str">
        <f>IFERROR(__xludf.DUMMYFUNCTION("""COMPUTED_VALUE"""),"")</f>
        <v/>
      </c>
      <c r="F888" t="str">
        <f>IFERROR(__xludf.DUMMYFUNCTION("""COMPUTED_VALUE"""),"")</f>
        <v/>
      </c>
      <c r="G888" t="str">
        <f>IFERROR(__xludf.DUMMYFUNCTION("""COMPUTED_VALUE"""),"")</f>
        <v/>
      </c>
      <c r="H888" t="str">
        <f>IFERROR(__xludf.DUMMYFUNCTION("""COMPUTED_VALUE"""),"")</f>
        <v/>
      </c>
      <c r="I888" t="str">
        <f>IFERROR(__xludf.DUMMYFUNCTION("""COMPUTED_VALUE"""),"")</f>
        <v/>
      </c>
      <c r="J888" t="str">
        <f>IFERROR(__xludf.DUMMYFUNCTION("""COMPUTED_VALUE"""),"")</f>
        <v/>
      </c>
      <c r="K888" t="str">
        <f>IFERROR(__xludf.DUMMYFUNCTION("""COMPUTED_VALUE"""),"")</f>
        <v/>
      </c>
      <c r="L888" t="str">
        <f>IFERROR(__xludf.DUMMYFUNCTION("""COMPUTED_VALUE"""),"")</f>
        <v/>
      </c>
    </row>
    <row r="889">
      <c r="A889" t="str">
        <f>IFERROR(__xludf.DUMMYFUNCTION("""COMPUTED_VALUE"""),"")</f>
        <v/>
      </c>
      <c r="B889" t="str">
        <f>IFERROR(__xludf.DUMMYFUNCTION("""COMPUTED_VALUE"""),"")</f>
        <v/>
      </c>
      <c r="C889" t="str">
        <f>IFERROR(__xludf.DUMMYFUNCTION("""COMPUTED_VALUE"""),"")</f>
        <v/>
      </c>
      <c r="D889" t="str">
        <f>IFERROR(__xludf.DUMMYFUNCTION("""COMPUTED_VALUE"""),"")</f>
        <v/>
      </c>
      <c r="E889" t="str">
        <f>IFERROR(__xludf.DUMMYFUNCTION("""COMPUTED_VALUE"""),"")</f>
        <v/>
      </c>
      <c r="F889" t="str">
        <f>IFERROR(__xludf.DUMMYFUNCTION("""COMPUTED_VALUE"""),"")</f>
        <v/>
      </c>
      <c r="G889" t="str">
        <f>IFERROR(__xludf.DUMMYFUNCTION("""COMPUTED_VALUE"""),"")</f>
        <v/>
      </c>
      <c r="H889" t="str">
        <f>IFERROR(__xludf.DUMMYFUNCTION("""COMPUTED_VALUE"""),"")</f>
        <v/>
      </c>
      <c r="I889" t="str">
        <f>IFERROR(__xludf.DUMMYFUNCTION("""COMPUTED_VALUE"""),"")</f>
        <v/>
      </c>
      <c r="J889" t="str">
        <f>IFERROR(__xludf.DUMMYFUNCTION("""COMPUTED_VALUE"""),"")</f>
        <v/>
      </c>
      <c r="K889" t="str">
        <f>IFERROR(__xludf.DUMMYFUNCTION("""COMPUTED_VALUE"""),"")</f>
        <v/>
      </c>
      <c r="L889" t="str">
        <f>IFERROR(__xludf.DUMMYFUNCTION("""COMPUTED_VALUE"""),"")</f>
        <v/>
      </c>
    </row>
    <row r="890">
      <c r="A890" t="str">
        <f>IFERROR(__xludf.DUMMYFUNCTION("""COMPUTED_VALUE"""),"")</f>
        <v/>
      </c>
      <c r="B890" t="str">
        <f>IFERROR(__xludf.DUMMYFUNCTION("""COMPUTED_VALUE"""),"")</f>
        <v/>
      </c>
      <c r="C890" t="str">
        <f>IFERROR(__xludf.DUMMYFUNCTION("""COMPUTED_VALUE"""),"")</f>
        <v/>
      </c>
      <c r="D890" t="str">
        <f>IFERROR(__xludf.DUMMYFUNCTION("""COMPUTED_VALUE"""),"")</f>
        <v/>
      </c>
      <c r="E890" t="str">
        <f>IFERROR(__xludf.DUMMYFUNCTION("""COMPUTED_VALUE"""),"")</f>
        <v/>
      </c>
      <c r="F890" t="str">
        <f>IFERROR(__xludf.DUMMYFUNCTION("""COMPUTED_VALUE"""),"")</f>
        <v/>
      </c>
      <c r="G890" t="str">
        <f>IFERROR(__xludf.DUMMYFUNCTION("""COMPUTED_VALUE"""),"")</f>
        <v/>
      </c>
      <c r="H890" t="str">
        <f>IFERROR(__xludf.DUMMYFUNCTION("""COMPUTED_VALUE"""),"")</f>
        <v/>
      </c>
      <c r="I890" t="str">
        <f>IFERROR(__xludf.DUMMYFUNCTION("""COMPUTED_VALUE"""),"")</f>
        <v/>
      </c>
      <c r="J890" t="str">
        <f>IFERROR(__xludf.DUMMYFUNCTION("""COMPUTED_VALUE"""),"")</f>
        <v/>
      </c>
      <c r="K890" t="str">
        <f>IFERROR(__xludf.DUMMYFUNCTION("""COMPUTED_VALUE"""),"")</f>
        <v/>
      </c>
      <c r="L890" t="str">
        <f>IFERROR(__xludf.DUMMYFUNCTION("""COMPUTED_VALUE"""),"")</f>
        <v/>
      </c>
    </row>
    <row r="891">
      <c r="A891" t="str">
        <f>IFERROR(__xludf.DUMMYFUNCTION("""COMPUTED_VALUE"""),"")</f>
        <v/>
      </c>
      <c r="B891" t="str">
        <f>IFERROR(__xludf.DUMMYFUNCTION("""COMPUTED_VALUE"""),"")</f>
        <v/>
      </c>
      <c r="C891" t="str">
        <f>IFERROR(__xludf.DUMMYFUNCTION("""COMPUTED_VALUE"""),"")</f>
        <v/>
      </c>
      <c r="D891" t="str">
        <f>IFERROR(__xludf.DUMMYFUNCTION("""COMPUTED_VALUE"""),"")</f>
        <v/>
      </c>
      <c r="E891" t="str">
        <f>IFERROR(__xludf.DUMMYFUNCTION("""COMPUTED_VALUE"""),"")</f>
        <v/>
      </c>
      <c r="F891" t="str">
        <f>IFERROR(__xludf.DUMMYFUNCTION("""COMPUTED_VALUE"""),"")</f>
        <v/>
      </c>
      <c r="G891" t="str">
        <f>IFERROR(__xludf.DUMMYFUNCTION("""COMPUTED_VALUE"""),"")</f>
        <v/>
      </c>
      <c r="H891" t="str">
        <f>IFERROR(__xludf.DUMMYFUNCTION("""COMPUTED_VALUE"""),"")</f>
        <v/>
      </c>
      <c r="I891" t="str">
        <f>IFERROR(__xludf.DUMMYFUNCTION("""COMPUTED_VALUE"""),"")</f>
        <v/>
      </c>
      <c r="J891" t="str">
        <f>IFERROR(__xludf.DUMMYFUNCTION("""COMPUTED_VALUE"""),"")</f>
        <v/>
      </c>
      <c r="K891" t="str">
        <f>IFERROR(__xludf.DUMMYFUNCTION("""COMPUTED_VALUE"""),"")</f>
        <v/>
      </c>
      <c r="L891" t="str">
        <f>IFERROR(__xludf.DUMMYFUNCTION("""COMPUTED_VALUE"""),"")</f>
        <v/>
      </c>
    </row>
    <row r="892">
      <c r="A892" t="str">
        <f>IFERROR(__xludf.DUMMYFUNCTION("""COMPUTED_VALUE"""),"")</f>
        <v/>
      </c>
      <c r="B892" t="str">
        <f>IFERROR(__xludf.DUMMYFUNCTION("""COMPUTED_VALUE"""),"")</f>
        <v/>
      </c>
      <c r="C892" t="str">
        <f>IFERROR(__xludf.DUMMYFUNCTION("""COMPUTED_VALUE"""),"")</f>
        <v/>
      </c>
      <c r="D892" t="str">
        <f>IFERROR(__xludf.DUMMYFUNCTION("""COMPUTED_VALUE"""),"")</f>
        <v/>
      </c>
      <c r="E892" t="str">
        <f>IFERROR(__xludf.DUMMYFUNCTION("""COMPUTED_VALUE"""),"")</f>
        <v/>
      </c>
      <c r="F892" t="str">
        <f>IFERROR(__xludf.DUMMYFUNCTION("""COMPUTED_VALUE"""),"")</f>
        <v/>
      </c>
      <c r="G892" t="str">
        <f>IFERROR(__xludf.DUMMYFUNCTION("""COMPUTED_VALUE"""),"")</f>
        <v/>
      </c>
      <c r="H892" t="str">
        <f>IFERROR(__xludf.DUMMYFUNCTION("""COMPUTED_VALUE"""),"")</f>
        <v/>
      </c>
      <c r="I892" t="str">
        <f>IFERROR(__xludf.DUMMYFUNCTION("""COMPUTED_VALUE"""),"")</f>
        <v/>
      </c>
      <c r="J892" t="str">
        <f>IFERROR(__xludf.DUMMYFUNCTION("""COMPUTED_VALUE"""),"")</f>
        <v/>
      </c>
      <c r="K892" t="str">
        <f>IFERROR(__xludf.DUMMYFUNCTION("""COMPUTED_VALUE"""),"")</f>
        <v/>
      </c>
      <c r="L892" t="str">
        <f>IFERROR(__xludf.DUMMYFUNCTION("""COMPUTED_VALUE"""),"")</f>
        <v/>
      </c>
    </row>
    <row r="893">
      <c r="A893" t="str">
        <f>IFERROR(__xludf.DUMMYFUNCTION("""COMPUTED_VALUE"""),"")</f>
        <v/>
      </c>
      <c r="B893" t="str">
        <f>IFERROR(__xludf.DUMMYFUNCTION("""COMPUTED_VALUE"""),"")</f>
        <v/>
      </c>
      <c r="C893" t="str">
        <f>IFERROR(__xludf.DUMMYFUNCTION("""COMPUTED_VALUE"""),"")</f>
        <v/>
      </c>
      <c r="D893" t="str">
        <f>IFERROR(__xludf.DUMMYFUNCTION("""COMPUTED_VALUE"""),"")</f>
        <v/>
      </c>
      <c r="E893" t="str">
        <f>IFERROR(__xludf.DUMMYFUNCTION("""COMPUTED_VALUE"""),"")</f>
        <v/>
      </c>
      <c r="F893" t="str">
        <f>IFERROR(__xludf.DUMMYFUNCTION("""COMPUTED_VALUE"""),"")</f>
        <v/>
      </c>
      <c r="G893" t="str">
        <f>IFERROR(__xludf.DUMMYFUNCTION("""COMPUTED_VALUE"""),"")</f>
        <v/>
      </c>
      <c r="H893" t="str">
        <f>IFERROR(__xludf.DUMMYFUNCTION("""COMPUTED_VALUE"""),"")</f>
        <v/>
      </c>
      <c r="I893" t="str">
        <f>IFERROR(__xludf.DUMMYFUNCTION("""COMPUTED_VALUE"""),"")</f>
        <v/>
      </c>
      <c r="J893" t="str">
        <f>IFERROR(__xludf.DUMMYFUNCTION("""COMPUTED_VALUE"""),"")</f>
        <v/>
      </c>
      <c r="K893" t="str">
        <f>IFERROR(__xludf.DUMMYFUNCTION("""COMPUTED_VALUE"""),"")</f>
        <v/>
      </c>
      <c r="L893" t="str">
        <f>IFERROR(__xludf.DUMMYFUNCTION("""COMPUTED_VALUE"""),"")</f>
        <v/>
      </c>
    </row>
    <row r="894">
      <c r="A894" t="str">
        <f>IFERROR(__xludf.DUMMYFUNCTION("""COMPUTED_VALUE"""),"")</f>
        <v/>
      </c>
      <c r="B894" t="str">
        <f>IFERROR(__xludf.DUMMYFUNCTION("""COMPUTED_VALUE"""),"")</f>
        <v/>
      </c>
      <c r="C894" t="str">
        <f>IFERROR(__xludf.DUMMYFUNCTION("""COMPUTED_VALUE"""),"")</f>
        <v/>
      </c>
      <c r="D894" t="str">
        <f>IFERROR(__xludf.DUMMYFUNCTION("""COMPUTED_VALUE"""),"")</f>
        <v/>
      </c>
      <c r="E894" t="str">
        <f>IFERROR(__xludf.DUMMYFUNCTION("""COMPUTED_VALUE"""),"")</f>
        <v/>
      </c>
      <c r="F894" t="str">
        <f>IFERROR(__xludf.DUMMYFUNCTION("""COMPUTED_VALUE"""),"")</f>
        <v/>
      </c>
      <c r="G894" t="str">
        <f>IFERROR(__xludf.DUMMYFUNCTION("""COMPUTED_VALUE"""),"")</f>
        <v/>
      </c>
      <c r="H894" t="str">
        <f>IFERROR(__xludf.DUMMYFUNCTION("""COMPUTED_VALUE"""),"")</f>
        <v/>
      </c>
      <c r="I894" t="str">
        <f>IFERROR(__xludf.DUMMYFUNCTION("""COMPUTED_VALUE"""),"")</f>
        <v/>
      </c>
      <c r="J894" t="str">
        <f>IFERROR(__xludf.DUMMYFUNCTION("""COMPUTED_VALUE"""),"")</f>
        <v/>
      </c>
      <c r="K894" t="str">
        <f>IFERROR(__xludf.DUMMYFUNCTION("""COMPUTED_VALUE"""),"")</f>
        <v/>
      </c>
      <c r="L894" t="str">
        <f>IFERROR(__xludf.DUMMYFUNCTION("""COMPUTED_VALUE"""),"")</f>
        <v/>
      </c>
    </row>
    <row r="895">
      <c r="A895" t="str">
        <f>IFERROR(__xludf.DUMMYFUNCTION("""COMPUTED_VALUE"""),"")</f>
        <v/>
      </c>
      <c r="B895" t="str">
        <f>IFERROR(__xludf.DUMMYFUNCTION("""COMPUTED_VALUE"""),"")</f>
        <v/>
      </c>
      <c r="C895" t="str">
        <f>IFERROR(__xludf.DUMMYFUNCTION("""COMPUTED_VALUE"""),"")</f>
        <v/>
      </c>
      <c r="D895" t="str">
        <f>IFERROR(__xludf.DUMMYFUNCTION("""COMPUTED_VALUE"""),"")</f>
        <v/>
      </c>
      <c r="E895" t="str">
        <f>IFERROR(__xludf.DUMMYFUNCTION("""COMPUTED_VALUE"""),"")</f>
        <v/>
      </c>
      <c r="F895" t="str">
        <f>IFERROR(__xludf.DUMMYFUNCTION("""COMPUTED_VALUE"""),"")</f>
        <v/>
      </c>
      <c r="G895" t="str">
        <f>IFERROR(__xludf.DUMMYFUNCTION("""COMPUTED_VALUE"""),"")</f>
        <v/>
      </c>
      <c r="H895" t="str">
        <f>IFERROR(__xludf.DUMMYFUNCTION("""COMPUTED_VALUE"""),"")</f>
        <v/>
      </c>
      <c r="I895" t="str">
        <f>IFERROR(__xludf.DUMMYFUNCTION("""COMPUTED_VALUE"""),"")</f>
        <v/>
      </c>
      <c r="J895" t="str">
        <f>IFERROR(__xludf.DUMMYFUNCTION("""COMPUTED_VALUE"""),"")</f>
        <v/>
      </c>
      <c r="K895" t="str">
        <f>IFERROR(__xludf.DUMMYFUNCTION("""COMPUTED_VALUE"""),"")</f>
        <v/>
      </c>
      <c r="L895" t="str">
        <f>IFERROR(__xludf.DUMMYFUNCTION("""COMPUTED_VALUE"""),"")</f>
        <v/>
      </c>
    </row>
    <row r="896">
      <c r="A896" t="str">
        <f>IFERROR(__xludf.DUMMYFUNCTION("""COMPUTED_VALUE"""),"")</f>
        <v/>
      </c>
      <c r="B896" t="str">
        <f>IFERROR(__xludf.DUMMYFUNCTION("""COMPUTED_VALUE"""),"")</f>
        <v/>
      </c>
      <c r="C896" t="str">
        <f>IFERROR(__xludf.DUMMYFUNCTION("""COMPUTED_VALUE"""),"")</f>
        <v/>
      </c>
      <c r="D896" t="str">
        <f>IFERROR(__xludf.DUMMYFUNCTION("""COMPUTED_VALUE"""),"")</f>
        <v/>
      </c>
      <c r="E896" t="str">
        <f>IFERROR(__xludf.DUMMYFUNCTION("""COMPUTED_VALUE"""),"")</f>
        <v/>
      </c>
      <c r="F896" t="str">
        <f>IFERROR(__xludf.DUMMYFUNCTION("""COMPUTED_VALUE"""),"")</f>
        <v/>
      </c>
      <c r="G896" t="str">
        <f>IFERROR(__xludf.DUMMYFUNCTION("""COMPUTED_VALUE"""),"")</f>
        <v/>
      </c>
      <c r="H896" t="str">
        <f>IFERROR(__xludf.DUMMYFUNCTION("""COMPUTED_VALUE"""),"")</f>
        <v/>
      </c>
      <c r="I896" t="str">
        <f>IFERROR(__xludf.DUMMYFUNCTION("""COMPUTED_VALUE"""),"")</f>
        <v/>
      </c>
      <c r="J896" t="str">
        <f>IFERROR(__xludf.DUMMYFUNCTION("""COMPUTED_VALUE"""),"")</f>
        <v/>
      </c>
      <c r="K896" t="str">
        <f>IFERROR(__xludf.DUMMYFUNCTION("""COMPUTED_VALUE"""),"")</f>
        <v/>
      </c>
      <c r="L896" t="str">
        <f>IFERROR(__xludf.DUMMYFUNCTION("""COMPUTED_VALUE"""),"")</f>
        <v/>
      </c>
    </row>
    <row r="897">
      <c r="A897" t="str">
        <f>IFERROR(__xludf.DUMMYFUNCTION("""COMPUTED_VALUE"""),"")</f>
        <v/>
      </c>
      <c r="B897" t="str">
        <f>IFERROR(__xludf.DUMMYFUNCTION("""COMPUTED_VALUE"""),"")</f>
        <v/>
      </c>
      <c r="C897" t="str">
        <f>IFERROR(__xludf.DUMMYFUNCTION("""COMPUTED_VALUE"""),"")</f>
        <v/>
      </c>
      <c r="D897" t="str">
        <f>IFERROR(__xludf.DUMMYFUNCTION("""COMPUTED_VALUE"""),"")</f>
        <v/>
      </c>
      <c r="E897" t="str">
        <f>IFERROR(__xludf.DUMMYFUNCTION("""COMPUTED_VALUE"""),"")</f>
        <v/>
      </c>
      <c r="F897" t="str">
        <f>IFERROR(__xludf.DUMMYFUNCTION("""COMPUTED_VALUE"""),"")</f>
        <v/>
      </c>
      <c r="G897" t="str">
        <f>IFERROR(__xludf.DUMMYFUNCTION("""COMPUTED_VALUE"""),"")</f>
        <v/>
      </c>
      <c r="H897" t="str">
        <f>IFERROR(__xludf.DUMMYFUNCTION("""COMPUTED_VALUE"""),"")</f>
        <v/>
      </c>
      <c r="I897" t="str">
        <f>IFERROR(__xludf.DUMMYFUNCTION("""COMPUTED_VALUE"""),"")</f>
        <v/>
      </c>
      <c r="J897" t="str">
        <f>IFERROR(__xludf.DUMMYFUNCTION("""COMPUTED_VALUE"""),"")</f>
        <v/>
      </c>
      <c r="K897" t="str">
        <f>IFERROR(__xludf.DUMMYFUNCTION("""COMPUTED_VALUE"""),"")</f>
        <v/>
      </c>
      <c r="L897" t="str">
        <f>IFERROR(__xludf.DUMMYFUNCTION("""COMPUTED_VALUE"""),"")</f>
        <v/>
      </c>
    </row>
    <row r="898">
      <c r="A898" t="str">
        <f>IFERROR(__xludf.DUMMYFUNCTION("""COMPUTED_VALUE"""),"")</f>
        <v/>
      </c>
      <c r="B898" t="str">
        <f>IFERROR(__xludf.DUMMYFUNCTION("""COMPUTED_VALUE"""),"")</f>
        <v/>
      </c>
      <c r="C898" t="str">
        <f>IFERROR(__xludf.DUMMYFUNCTION("""COMPUTED_VALUE"""),"")</f>
        <v/>
      </c>
      <c r="D898" t="str">
        <f>IFERROR(__xludf.DUMMYFUNCTION("""COMPUTED_VALUE"""),"")</f>
        <v/>
      </c>
      <c r="E898" t="str">
        <f>IFERROR(__xludf.DUMMYFUNCTION("""COMPUTED_VALUE"""),"")</f>
        <v/>
      </c>
      <c r="F898" t="str">
        <f>IFERROR(__xludf.DUMMYFUNCTION("""COMPUTED_VALUE"""),"")</f>
        <v/>
      </c>
      <c r="G898" t="str">
        <f>IFERROR(__xludf.DUMMYFUNCTION("""COMPUTED_VALUE"""),"")</f>
        <v/>
      </c>
      <c r="H898" t="str">
        <f>IFERROR(__xludf.DUMMYFUNCTION("""COMPUTED_VALUE"""),"")</f>
        <v/>
      </c>
      <c r="I898" t="str">
        <f>IFERROR(__xludf.DUMMYFUNCTION("""COMPUTED_VALUE"""),"")</f>
        <v/>
      </c>
      <c r="J898" t="str">
        <f>IFERROR(__xludf.DUMMYFUNCTION("""COMPUTED_VALUE"""),"")</f>
        <v/>
      </c>
      <c r="K898" t="str">
        <f>IFERROR(__xludf.DUMMYFUNCTION("""COMPUTED_VALUE"""),"")</f>
        <v/>
      </c>
      <c r="L898" t="str">
        <f>IFERROR(__xludf.DUMMYFUNCTION("""COMPUTED_VALUE"""),"")</f>
        <v/>
      </c>
    </row>
    <row r="899">
      <c r="A899" t="str">
        <f>IFERROR(__xludf.DUMMYFUNCTION("""COMPUTED_VALUE"""),"")</f>
        <v/>
      </c>
      <c r="B899" t="str">
        <f>IFERROR(__xludf.DUMMYFUNCTION("""COMPUTED_VALUE"""),"")</f>
        <v/>
      </c>
      <c r="C899" t="str">
        <f>IFERROR(__xludf.DUMMYFUNCTION("""COMPUTED_VALUE"""),"")</f>
        <v/>
      </c>
      <c r="D899" t="str">
        <f>IFERROR(__xludf.DUMMYFUNCTION("""COMPUTED_VALUE"""),"")</f>
        <v/>
      </c>
      <c r="E899" t="str">
        <f>IFERROR(__xludf.DUMMYFUNCTION("""COMPUTED_VALUE"""),"")</f>
        <v/>
      </c>
      <c r="F899" t="str">
        <f>IFERROR(__xludf.DUMMYFUNCTION("""COMPUTED_VALUE"""),"")</f>
        <v/>
      </c>
      <c r="G899" t="str">
        <f>IFERROR(__xludf.DUMMYFUNCTION("""COMPUTED_VALUE"""),"")</f>
        <v/>
      </c>
      <c r="H899" t="str">
        <f>IFERROR(__xludf.DUMMYFUNCTION("""COMPUTED_VALUE"""),"")</f>
        <v/>
      </c>
      <c r="I899" t="str">
        <f>IFERROR(__xludf.DUMMYFUNCTION("""COMPUTED_VALUE"""),"")</f>
        <v/>
      </c>
      <c r="J899" t="str">
        <f>IFERROR(__xludf.DUMMYFUNCTION("""COMPUTED_VALUE"""),"")</f>
        <v/>
      </c>
      <c r="K899" t="str">
        <f>IFERROR(__xludf.DUMMYFUNCTION("""COMPUTED_VALUE"""),"")</f>
        <v/>
      </c>
      <c r="L899" t="str">
        <f>IFERROR(__xludf.DUMMYFUNCTION("""COMPUTED_VALUE"""),"")</f>
        <v/>
      </c>
    </row>
    <row r="900">
      <c r="A900" t="str">
        <f>IFERROR(__xludf.DUMMYFUNCTION("""COMPUTED_VALUE"""),"")</f>
        <v/>
      </c>
      <c r="B900" t="str">
        <f>IFERROR(__xludf.DUMMYFUNCTION("""COMPUTED_VALUE"""),"")</f>
        <v/>
      </c>
      <c r="C900" t="str">
        <f>IFERROR(__xludf.DUMMYFUNCTION("""COMPUTED_VALUE"""),"")</f>
        <v/>
      </c>
      <c r="D900" t="str">
        <f>IFERROR(__xludf.DUMMYFUNCTION("""COMPUTED_VALUE"""),"")</f>
        <v/>
      </c>
      <c r="E900" t="str">
        <f>IFERROR(__xludf.DUMMYFUNCTION("""COMPUTED_VALUE"""),"")</f>
        <v/>
      </c>
      <c r="F900" t="str">
        <f>IFERROR(__xludf.DUMMYFUNCTION("""COMPUTED_VALUE"""),"")</f>
        <v/>
      </c>
      <c r="G900" t="str">
        <f>IFERROR(__xludf.DUMMYFUNCTION("""COMPUTED_VALUE"""),"")</f>
        <v/>
      </c>
      <c r="H900" t="str">
        <f>IFERROR(__xludf.DUMMYFUNCTION("""COMPUTED_VALUE"""),"")</f>
        <v/>
      </c>
      <c r="I900" t="str">
        <f>IFERROR(__xludf.DUMMYFUNCTION("""COMPUTED_VALUE"""),"")</f>
        <v/>
      </c>
      <c r="J900" t="str">
        <f>IFERROR(__xludf.DUMMYFUNCTION("""COMPUTED_VALUE"""),"")</f>
        <v/>
      </c>
      <c r="K900" t="str">
        <f>IFERROR(__xludf.DUMMYFUNCTION("""COMPUTED_VALUE"""),"")</f>
        <v/>
      </c>
      <c r="L900" t="str">
        <f>IFERROR(__xludf.DUMMYFUNCTION("""COMPUTED_VALUE"""),"")</f>
        <v/>
      </c>
    </row>
    <row r="901">
      <c r="A901" t="str">
        <f>IFERROR(__xludf.DUMMYFUNCTION("""COMPUTED_VALUE"""),"")</f>
        <v/>
      </c>
      <c r="B901" t="str">
        <f>IFERROR(__xludf.DUMMYFUNCTION("""COMPUTED_VALUE"""),"")</f>
        <v/>
      </c>
      <c r="C901" t="str">
        <f>IFERROR(__xludf.DUMMYFUNCTION("""COMPUTED_VALUE"""),"")</f>
        <v/>
      </c>
      <c r="D901" t="str">
        <f>IFERROR(__xludf.DUMMYFUNCTION("""COMPUTED_VALUE"""),"")</f>
        <v/>
      </c>
      <c r="E901" t="str">
        <f>IFERROR(__xludf.DUMMYFUNCTION("""COMPUTED_VALUE"""),"")</f>
        <v/>
      </c>
      <c r="F901" t="str">
        <f>IFERROR(__xludf.DUMMYFUNCTION("""COMPUTED_VALUE"""),"")</f>
        <v/>
      </c>
      <c r="G901" t="str">
        <f>IFERROR(__xludf.DUMMYFUNCTION("""COMPUTED_VALUE"""),"")</f>
        <v/>
      </c>
      <c r="H901" t="str">
        <f>IFERROR(__xludf.DUMMYFUNCTION("""COMPUTED_VALUE"""),"")</f>
        <v/>
      </c>
      <c r="I901" t="str">
        <f>IFERROR(__xludf.DUMMYFUNCTION("""COMPUTED_VALUE"""),"")</f>
        <v/>
      </c>
      <c r="J901" t="str">
        <f>IFERROR(__xludf.DUMMYFUNCTION("""COMPUTED_VALUE"""),"")</f>
        <v/>
      </c>
      <c r="K901" t="str">
        <f>IFERROR(__xludf.DUMMYFUNCTION("""COMPUTED_VALUE"""),"")</f>
        <v/>
      </c>
      <c r="L901" t="str">
        <f>IFERROR(__xludf.DUMMYFUNCTION("""COMPUTED_VALUE"""),"")</f>
        <v/>
      </c>
    </row>
    <row r="902">
      <c r="A902" t="str">
        <f>IFERROR(__xludf.DUMMYFUNCTION("""COMPUTED_VALUE"""),"")</f>
        <v/>
      </c>
      <c r="B902" t="str">
        <f>IFERROR(__xludf.DUMMYFUNCTION("""COMPUTED_VALUE"""),"")</f>
        <v/>
      </c>
      <c r="C902" t="str">
        <f>IFERROR(__xludf.DUMMYFUNCTION("""COMPUTED_VALUE"""),"")</f>
        <v/>
      </c>
      <c r="D902" t="str">
        <f>IFERROR(__xludf.DUMMYFUNCTION("""COMPUTED_VALUE"""),"")</f>
        <v/>
      </c>
      <c r="E902" t="str">
        <f>IFERROR(__xludf.DUMMYFUNCTION("""COMPUTED_VALUE"""),"")</f>
        <v/>
      </c>
      <c r="F902" t="str">
        <f>IFERROR(__xludf.DUMMYFUNCTION("""COMPUTED_VALUE"""),"")</f>
        <v/>
      </c>
      <c r="G902" t="str">
        <f>IFERROR(__xludf.DUMMYFUNCTION("""COMPUTED_VALUE"""),"")</f>
        <v/>
      </c>
      <c r="H902" t="str">
        <f>IFERROR(__xludf.DUMMYFUNCTION("""COMPUTED_VALUE"""),"")</f>
        <v/>
      </c>
      <c r="I902" t="str">
        <f>IFERROR(__xludf.DUMMYFUNCTION("""COMPUTED_VALUE"""),"")</f>
        <v/>
      </c>
      <c r="J902" t="str">
        <f>IFERROR(__xludf.DUMMYFUNCTION("""COMPUTED_VALUE"""),"")</f>
        <v/>
      </c>
      <c r="K902" t="str">
        <f>IFERROR(__xludf.DUMMYFUNCTION("""COMPUTED_VALUE"""),"")</f>
        <v/>
      </c>
      <c r="L902" t="str">
        <f>IFERROR(__xludf.DUMMYFUNCTION("""COMPUTED_VALUE"""),"")</f>
        <v/>
      </c>
    </row>
    <row r="903">
      <c r="A903" t="str">
        <f>IFERROR(__xludf.DUMMYFUNCTION("""COMPUTED_VALUE"""),"")</f>
        <v/>
      </c>
      <c r="B903" t="str">
        <f>IFERROR(__xludf.DUMMYFUNCTION("""COMPUTED_VALUE"""),"")</f>
        <v/>
      </c>
      <c r="C903" t="str">
        <f>IFERROR(__xludf.DUMMYFUNCTION("""COMPUTED_VALUE"""),"")</f>
        <v/>
      </c>
      <c r="D903" t="str">
        <f>IFERROR(__xludf.DUMMYFUNCTION("""COMPUTED_VALUE"""),"")</f>
        <v/>
      </c>
      <c r="E903" t="str">
        <f>IFERROR(__xludf.DUMMYFUNCTION("""COMPUTED_VALUE"""),"")</f>
        <v/>
      </c>
      <c r="F903" t="str">
        <f>IFERROR(__xludf.DUMMYFUNCTION("""COMPUTED_VALUE"""),"")</f>
        <v/>
      </c>
      <c r="G903" t="str">
        <f>IFERROR(__xludf.DUMMYFUNCTION("""COMPUTED_VALUE"""),"")</f>
        <v/>
      </c>
      <c r="H903" t="str">
        <f>IFERROR(__xludf.DUMMYFUNCTION("""COMPUTED_VALUE"""),"")</f>
        <v/>
      </c>
      <c r="I903" t="str">
        <f>IFERROR(__xludf.DUMMYFUNCTION("""COMPUTED_VALUE"""),"")</f>
        <v/>
      </c>
      <c r="J903" t="str">
        <f>IFERROR(__xludf.DUMMYFUNCTION("""COMPUTED_VALUE"""),"")</f>
        <v/>
      </c>
      <c r="K903" t="str">
        <f>IFERROR(__xludf.DUMMYFUNCTION("""COMPUTED_VALUE"""),"")</f>
        <v/>
      </c>
      <c r="L903" t="str">
        <f>IFERROR(__xludf.DUMMYFUNCTION("""COMPUTED_VALUE"""),"")</f>
        <v/>
      </c>
    </row>
    <row r="904">
      <c r="A904" t="str">
        <f>IFERROR(__xludf.DUMMYFUNCTION("""COMPUTED_VALUE"""),"")</f>
        <v/>
      </c>
      <c r="B904" t="str">
        <f>IFERROR(__xludf.DUMMYFUNCTION("""COMPUTED_VALUE"""),"")</f>
        <v/>
      </c>
      <c r="C904" t="str">
        <f>IFERROR(__xludf.DUMMYFUNCTION("""COMPUTED_VALUE"""),"")</f>
        <v/>
      </c>
      <c r="D904" t="str">
        <f>IFERROR(__xludf.DUMMYFUNCTION("""COMPUTED_VALUE"""),"")</f>
        <v/>
      </c>
      <c r="E904" t="str">
        <f>IFERROR(__xludf.DUMMYFUNCTION("""COMPUTED_VALUE"""),"")</f>
        <v/>
      </c>
      <c r="F904" t="str">
        <f>IFERROR(__xludf.DUMMYFUNCTION("""COMPUTED_VALUE"""),"")</f>
        <v/>
      </c>
      <c r="G904" t="str">
        <f>IFERROR(__xludf.DUMMYFUNCTION("""COMPUTED_VALUE"""),"")</f>
        <v/>
      </c>
      <c r="H904" t="str">
        <f>IFERROR(__xludf.DUMMYFUNCTION("""COMPUTED_VALUE"""),"")</f>
        <v/>
      </c>
      <c r="I904" t="str">
        <f>IFERROR(__xludf.DUMMYFUNCTION("""COMPUTED_VALUE"""),"")</f>
        <v/>
      </c>
      <c r="J904" t="str">
        <f>IFERROR(__xludf.DUMMYFUNCTION("""COMPUTED_VALUE"""),"")</f>
        <v/>
      </c>
      <c r="K904" t="str">
        <f>IFERROR(__xludf.DUMMYFUNCTION("""COMPUTED_VALUE"""),"")</f>
        <v/>
      </c>
      <c r="L904" t="str">
        <f>IFERROR(__xludf.DUMMYFUNCTION("""COMPUTED_VALUE"""),"")</f>
        <v/>
      </c>
    </row>
    <row r="905">
      <c r="A905" t="str">
        <f>IFERROR(__xludf.DUMMYFUNCTION("""COMPUTED_VALUE"""),"")</f>
        <v/>
      </c>
      <c r="B905" t="str">
        <f>IFERROR(__xludf.DUMMYFUNCTION("""COMPUTED_VALUE"""),"")</f>
        <v/>
      </c>
      <c r="C905" t="str">
        <f>IFERROR(__xludf.DUMMYFUNCTION("""COMPUTED_VALUE"""),"")</f>
        <v/>
      </c>
      <c r="D905" t="str">
        <f>IFERROR(__xludf.DUMMYFUNCTION("""COMPUTED_VALUE"""),"")</f>
        <v/>
      </c>
      <c r="E905" t="str">
        <f>IFERROR(__xludf.DUMMYFUNCTION("""COMPUTED_VALUE"""),"")</f>
        <v/>
      </c>
      <c r="F905" t="str">
        <f>IFERROR(__xludf.DUMMYFUNCTION("""COMPUTED_VALUE"""),"")</f>
        <v/>
      </c>
      <c r="G905" t="str">
        <f>IFERROR(__xludf.DUMMYFUNCTION("""COMPUTED_VALUE"""),"")</f>
        <v/>
      </c>
      <c r="H905" t="str">
        <f>IFERROR(__xludf.DUMMYFUNCTION("""COMPUTED_VALUE"""),"")</f>
        <v/>
      </c>
      <c r="I905" t="str">
        <f>IFERROR(__xludf.DUMMYFUNCTION("""COMPUTED_VALUE"""),"")</f>
        <v/>
      </c>
      <c r="J905" t="str">
        <f>IFERROR(__xludf.DUMMYFUNCTION("""COMPUTED_VALUE"""),"")</f>
        <v/>
      </c>
      <c r="K905" t="str">
        <f>IFERROR(__xludf.DUMMYFUNCTION("""COMPUTED_VALUE"""),"")</f>
        <v/>
      </c>
      <c r="L905" t="str">
        <f>IFERROR(__xludf.DUMMYFUNCTION("""COMPUTED_VALUE"""),"")</f>
        <v/>
      </c>
    </row>
    <row r="906">
      <c r="A906" t="str">
        <f>IFERROR(__xludf.DUMMYFUNCTION("""COMPUTED_VALUE"""),"")</f>
        <v/>
      </c>
      <c r="B906" t="str">
        <f>IFERROR(__xludf.DUMMYFUNCTION("""COMPUTED_VALUE"""),"")</f>
        <v/>
      </c>
      <c r="C906" t="str">
        <f>IFERROR(__xludf.DUMMYFUNCTION("""COMPUTED_VALUE"""),"")</f>
        <v/>
      </c>
      <c r="D906" t="str">
        <f>IFERROR(__xludf.DUMMYFUNCTION("""COMPUTED_VALUE"""),"")</f>
        <v/>
      </c>
      <c r="E906" t="str">
        <f>IFERROR(__xludf.DUMMYFUNCTION("""COMPUTED_VALUE"""),"")</f>
        <v/>
      </c>
      <c r="F906" t="str">
        <f>IFERROR(__xludf.DUMMYFUNCTION("""COMPUTED_VALUE"""),"")</f>
        <v/>
      </c>
      <c r="G906" t="str">
        <f>IFERROR(__xludf.DUMMYFUNCTION("""COMPUTED_VALUE"""),"")</f>
        <v/>
      </c>
      <c r="H906" t="str">
        <f>IFERROR(__xludf.DUMMYFUNCTION("""COMPUTED_VALUE"""),"")</f>
        <v/>
      </c>
      <c r="I906" t="str">
        <f>IFERROR(__xludf.DUMMYFUNCTION("""COMPUTED_VALUE"""),"")</f>
        <v/>
      </c>
      <c r="J906" t="str">
        <f>IFERROR(__xludf.DUMMYFUNCTION("""COMPUTED_VALUE"""),"")</f>
        <v/>
      </c>
      <c r="K906" t="str">
        <f>IFERROR(__xludf.DUMMYFUNCTION("""COMPUTED_VALUE"""),"")</f>
        <v/>
      </c>
      <c r="L906" t="str">
        <f>IFERROR(__xludf.DUMMYFUNCTION("""COMPUTED_VALUE"""),"")</f>
        <v/>
      </c>
    </row>
    <row r="907">
      <c r="A907" t="str">
        <f>IFERROR(__xludf.DUMMYFUNCTION("""COMPUTED_VALUE"""),"")</f>
        <v/>
      </c>
      <c r="B907" t="str">
        <f>IFERROR(__xludf.DUMMYFUNCTION("""COMPUTED_VALUE"""),"")</f>
        <v/>
      </c>
      <c r="C907" t="str">
        <f>IFERROR(__xludf.DUMMYFUNCTION("""COMPUTED_VALUE"""),"")</f>
        <v/>
      </c>
      <c r="D907" t="str">
        <f>IFERROR(__xludf.DUMMYFUNCTION("""COMPUTED_VALUE"""),"")</f>
        <v/>
      </c>
      <c r="E907" t="str">
        <f>IFERROR(__xludf.DUMMYFUNCTION("""COMPUTED_VALUE"""),"")</f>
        <v/>
      </c>
      <c r="F907" t="str">
        <f>IFERROR(__xludf.DUMMYFUNCTION("""COMPUTED_VALUE"""),"")</f>
        <v/>
      </c>
      <c r="G907" t="str">
        <f>IFERROR(__xludf.DUMMYFUNCTION("""COMPUTED_VALUE"""),"")</f>
        <v/>
      </c>
      <c r="H907" t="str">
        <f>IFERROR(__xludf.DUMMYFUNCTION("""COMPUTED_VALUE"""),"")</f>
        <v/>
      </c>
      <c r="I907" t="str">
        <f>IFERROR(__xludf.DUMMYFUNCTION("""COMPUTED_VALUE"""),"")</f>
        <v/>
      </c>
      <c r="J907" t="str">
        <f>IFERROR(__xludf.DUMMYFUNCTION("""COMPUTED_VALUE"""),"")</f>
        <v/>
      </c>
      <c r="K907" t="str">
        <f>IFERROR(__xludf.DUMMYFUNCTION("""COMPUTED_VALUE"""),"")</f>
        <v/>
      </c>
      <c r="L907" t="str">
        <f>IFERROR(__xludf.DUMMYFUNCTION("""COMPUTED_VALUE"""),"")</f>
        <v/>
      </c>
    </row>
    <row r="908">
      <c r="A908" t="str">
        <f>IFERROR(__xludf.DUMMYFUNCTION("""COMPUTED_VALUE"""),"")</f>
        <v/>
      </c>
      <c r="B908" t="str">
        <f>IFERROR(__xludf.DUMMYFUNCTION("""COMPUTED_VALUE"""),"")</f>
        <v/>
      </c>
      <c r="C908" t="str">
        <f>IFERROR(__xludf.DUMMYFUNCTION("""COMPUTED_VALUE"""),"")</f>
        <v/>
      </c>
      <c r="D908" t="str">
        <f>IFERROR(__xludf.DUMMYFUNCTION("""COMPUTED_VALUE"""),"")</f>
        <v/>
      </c>
      <c r="E908" t="str">
        <f>IFERROR(__xludf.DUMMYFUNCTION("""COMPUTED_VALUE"""),"")</f>
        <v/>
      </c>
      <c r="F908" t="str">
        <f>IFERROR(__xludf.DUMMYFUNCTION("""COMPUTED_VALUE"""),"")</f>
        <v/>
      </c>
      <c r="G908" t="str">
        <f>IFERROR(__xludf.DUMMYFUNCTION("""COMPUTED_VALUE"""),"")</f>
        <v/>
      </c>
      <c r="H908" t="str">
        <f>IFERROR(__xludf.DUMMYFUNCTION("""COMPUTED_VALUE"""),"")</f>
        <v/>
      </c>
      <c r="I908" t="str">
        <f>IFERROR(__xludf.DUMMYFUNCTION("""COMPUTED_VALUE"""),"")</f>
        <v/>
      </c>
      <c r="J908" t="str">
        <f>IFERROR(__xludf.DUMMYFUNCTION("""COMPUTED_VALUE"""),"")</f>
        <v/>
      </c>
      <c r="K908" t="str">
        <f>IFERROR(__xludf.DUMMYFUNCTION("""COMPUTED_VALUE"""),"")</f>
        <v/>
      </c>
      <c r="L908" t="str">
        <f>IFERROR(__xludf.DUMMYFUNCTION("""COMPUTED_VALUE"""),"")</f>
        <v/>
      </c>
    </row>
    <row r="909">
      <c r="A909" t="str">
        <f>IFERROR(__xludf.DUMMYFUNCTION("""COMPUTED_VALUE"""),"")</f>
        <v/>
      </c>
      <c r="B909" t="str">
        <f>IFERROR(__xludf.DUMMYFUNCTION("""COMPUTED_VALUE"""),"")</f>
        <v/>
      </c>
      <c r="C909" t="str">
        <f>IFERROR(__xludf.DUMMYFUNCTION("""COMPUTED_VALUE"""),"")</f>
        <v/>
      </c>
      <c r="D909" t="str">
        <f>IFERROR(__xludf.DUMMYFUNCTION("""COMPUTED_VALUE"""),"")</f>
        <v/>
      </c>
      <c r="E909" t="str">
        <f>IFERROR(__xludf.DUMMYFUNCTION("""COMPUTED_VALUE"""),"")</f>
        <v/>
      </c>
      <c r="F909" t="str">
        <f>IFERROR(__xludf.DUMMYFUNCTION("""COMPUTED_VALUE"""),"")</f>
        <v/>
      </c>
      <c r="G909" t="str">
        <f>IFERROR(__xludf.DUMMYFUNCTION("""COMPUTED_VALUE"""),"")</f>
        <v/>
      </c>
      <c r="H909" t="str">
        <f>IFERROR(__xludf.DUMMYFUNCTION("""COMPUTED_VALUE"""),"")</f>
        <v/>
      </c>
      <c r="I909" t="str">
        <f>IFERROR(__xludf.DUMMYFUNCTION("""COMPUTED_VALUE"""),"")</f>
        <v/>
      </c>
      <c r="J909" t="str">
        <f>IFERROR(__xludf.DUMMYFUNCTION("""COMPUTED_VALUE"""),"")</f>
        <v/>
      </c>
      <c r="K909" t="str">
        <f>IFERROR(__xludf.DUMMYFUNCTION("""COMPUTED_VALUE"""),"")</f>
        <v/>
      </c>
      <c r="L909" t="str">
        <f>IFERROR(__xludf.DUMMYFUNCTION("""COMPUTED_VALUE"""),"")</f>
        <v/>
      </c>
    </row>
    <row r="910">
      <c r="A910" t="str">
        <f>IFERROR(__xludf.DUMMYFUNCTION("""COMPUTED_VALUE"""),"")</f>
        <v/>
      </c>
      <c r="B910" t="str">
        <f>IFERROR(__xludf.DUMMYFUNCTION("""COMPUTED_VALUE"""),"")</f>
        <v/>
      </c>
      <c r="C910" t="str">
        <f>IFERROR(__xludf.DUMMYFUNCTION("""COMPUTED_VALUE"""),"")</f>
        <v/>
      </c>
      <c r="D910" t="str">
        <f>IFERROR(__xludf.DUMMYFUNCTION("""COMPUTED_VALUE"""),"")</f>
        <v/>
      </c>
      <c r="E910" t="str">
        <f>IFERROR(__xludf.DUMMYFUNCTION("""COMPUTED_VALUE"""),"")</f>
        <v/>
      </c>
      <c r="F910" t="str">
        <f>IFERROR(__xludf.DUMMYFUNCTION("""COMPUTED_VALUE"""),"")</f>
        <v/>
      </c>
      <c r="G910" t="str">
        <f>IFERROR(__xludf.DUMMYFUNCTION("""COMPUTED_VALUE"""),"")</f>
        <v/>
      </c>
      <c r="H910" t="str">
        <f>IFERROR(__xludf.DUMMYFUNCTION("""COMPUTED_VALUE"""),"")</f>
        <v/>
      </c>
      <c r="I910" t="str">
        <f>IFERROR(__xludf.DUMMYFUNCTION("""COMPUTED_VALUE"""),"")</f>
        <v/>
      </c>
      <c r="J910" t="str">
        <f>IFERROR(__xludf.DUMMYFUNCTION("""COMPUTED_VALUE"""),"")</f>
        <v/>
      </c>
      <c r="K910" t="str">
        <f>IFERROR(__xludf.DUMMYFUNCTION("""COMPUTED_VALUE"""),"")</f>
        <v/>
      </c>
      <c r="L910" t="str">
        <f>IFERROR(__xludf.DUMMYFUNCTION("""COMPUTED_VALUE"""),"")</f>
        <v/>
      </c>
    </row>
    <row r="911">
      <c r="A911" t="str">
        <f>IFERROR(__xludf.DUMMYFUNCTION("""COMPUTED_VALUE"""),"")</f>
        <v/>
      </c>
      <c r="B911" t="str">
        <f>IFERROR(__xludf.DUMMYFUNCTION("""COMPUTED_VALUE"""),"")</f>
        <v/>
      </c>
      <c r="C911" t="str">
        <f>IFERROR(__xludf.DUMMYFUNCTION("""COMPUTED_VALUE"""),"")</f>
        <v/>
      </c>
      <c r="D911" t="str">
        <f>IFERROR(__xludf.DUMMYFUNCTION("""COMPUTED_VALUE"""),"")</f>
        <v/>
      </c>
      <c r="E911" t="str">
        <f>IFERROR(__xludf.DUMMYFUNCTION("""COMPUTED_VALUE"""),"")</f>
        <v/>
      </c>
      <c r="F911" t="str">
        <f>IFERROR(__xludf.DUMMYFUNCTION("""COMPUTED_VALUE"""),"")</f>
        <v/>
      </c>
      <c r="G911" t="str">
        <f>IFERROR(__xludf.DUMMYFUNCTION("""COMPUTED_VALUE"""),"")</f>
        <v/>
      </c>
      <c r="H911" t="str">
        <f>IFERROR(__xludf.DUMMYFUNCTION("""COMPUTED_VALUE"""),"")</f>
        <v/>
      </c>
      <c r="I911" t="str">
        <f>IFERROR(__xludf.DUMMYFUNCTION("""COMPUTED_VALUE"""),"")</f>
        <v/>
      </c>
      <c r="J911" t="str">
        <f>IFERROR(__xludf.DUMMYFUNCTION("""COMPUTED_VALUE"""),"")</f>
        <v/>
      </c>
      <c r="K911" t="str">
        <f>IFERROR(__xludf.DUMMYFUNCTION("""COMPUTED_VALUE"""),"")</f>
        <v/>
      </c>
      <c r="L911" t="str">
        <f>IFERROR(__xludf.DUMMYFUNCTION("""COMPUTED_VALUE"""),"")</f>
        <v/>
      </c>
    </row>
    <row r="912">
      <c r="A912" t="str">
        <f>IFERROR(__xludf.DUMMYFUNCTION("""COMPUTED_VALUE"""),"")</f>
        <v/>
      </c>
      <c r="B912" t="str">
        <f>IFERROR(__xludf.DUMMYFUNCTION("""COMPUTED_VALUE"""),"")</f>
        <v/>
      </c>
      <c r="C912" t="str">
        <f>IFERROR(__xludf.DUMMYFUNCTION("""COMPUTED_VALUE"""),"")</f>
        <v/>
      </c>
      <c r="D912" t="str">
        <f>IFERROR(__xludf.DUMMYFUNCTION("""COMPUTED_VALUE"""),"")</f>
        <v/>
      </c>
      <c r="E912" t="str">
        <f>IFERROR(__xludf.DUMMYFUNCTION("""COMPUTED_VALUE"""),"")</f>
        <v/>
      </c>
      <c r="F912" t="str">
        <f>IFERROR(__xludf.DUMMYFUNCTION("""COMPUTED_VALUE"""),"")</f>
        <v/>
      </c>
      <c r="G912" t="str">
        <f>IFERROR(__xludf.DUMMYFUNCTION("""COMPUTED_VALUE"""),"")</f>
        <v/>
      </c>
      <c r="H912" t="str">
        <f>IFERROR(__xludf.DUMMYFUNCTION("""COMPUTED_VALUE"""),"")</f>
        <v/>
      </c>
      <c r="I912" t="str">
        <f>IFERROR(__xludf.DUMMYFUNCTION("""COMPUTED_VALUE"""),"")</f>
        <v/>
      </c>
      <c r="J912" t="str">
        <f>IFERROR(__xludf.DUMMYFUNCTION("""COMPUTED_VALUE"""),"")</f>
        <v/>
      </c>
      <c r="K912" t="str">
        <f>IFERROR(__xludf.DUMMYFUNCTION("""COMPUTED_VALUE"""),"")</f>
        <v/>
      </c>
      <c r="L912" t="str">
        <f>IFERROR(__xludf.DUMMYFUNCTION("""COMPUTED_VALUE"""),"")</f>
        <v/>
      </c>
    </row>
    <row r="913">
      <c r="A913" t="str">
        <f>IFERROR(__xludf.DUMMYFUNCTION("""COMPUTED_VALUE"""),"")</f>
        <v/>
      </c>
      <c r="B913" t="str">
        <f>IFERROR(__xludf.DUMMYFUNCTION("""COMPUTED_VALUE"""),"")</f>
        <v/>
      </c>
      <c r="C913" t="str">
        <f>IFERROR(__xludf.DUMMYFUNCTION("""COMPUTED_VALUE"""),"")</f>
        <v/>
      </c>
      <c r="D913" t="str">
        <f>IFERROR(__xludf.DUMMYFUNCTION("""COMPUTED_VALUE"""),"")</f>
        <v/>
      </c>
      <c r="E913" t="str">
        <f>IFERROR(__xludf.DUMMYFUNCTION("""COMPUTED_VALUE"""),"")</f>
        <v/>
      </c>
      <c r="F913" t="str">
        <f>IFERROR(__xludf.DUMMYFUNCTION("""COMPUTED_VALUE"""),"")</f>
        <v/>
      </c>
      <c r="G913" t="str">
        <f>IFERROR(__xludf.DUMMYFUNCTION("""COMPUTED_VALUE"""),"")</f>
        <v/>
      </c>
      <c r="H913" t="str">
        <f>IFERROR(__xludf.DUMMYFUNCTION("""COMPUTED_VALUE"""),"")</f>
        <v/>
      </c>
      <c r="I913" t="str">
        <f>IFERROR(__xludf.DUMMYFUNCTION("""COMPUTED_VALUE"""),"")</f>
        <v/>
      </c>
      <c r="J913" t="str">
        <f>IFERROR(__xludf.DUMMYFUNCTION("""COMPUTED_VALUE"""),"")</f>
        <v/>
      </c>
      <c r="K913" t="str">
        <f>IFERROR(__xludf.DUMMYFUNCTION("""COMPUTED_VALUE"""),"")</f>
        <v/>
      </c>
      <c r="L913" t="str">
        <f>IFERROR(__xludf.DUMMYFUNCTION("""COMPUTED_VALUE"""),"")</f>
        <v/>
      </c>
    </row>
    <row r="914">
      <c r="A914" t="str">
        <f>IFERROR(__xludf.DUMMYFUNCTION("""COMPUTED_VALUE"""),"")</f>
        <v/>
      </c>
      <c r="B914" t="str">
        <f>IFERROR(__xludf.DUMMYFUNCTION("""COMPUTED_VALUE"""),"")</f>
        <v/>
      </c>
      <c r="C914" t="str">
        <f>IFERROR(__xludf.DUMMYFUNCTION("""COMPUTED_VALUE"""),"")</f>
        <v/>
      </c>
      <c r="D914" t="str">
        <f>IFERROR(__xludf.DUMMYFUNCTION("""COMPUTED_VALUE"""),"")</f>
        <v/>
      </c>
      <c r="E914" t="str">
        <f>IFERROR(__xludf.DUMMYFUNCTION("""COMPUTED_VALUE"""),"")</f>
        <v/>
      </c>
      <c r="F914" t="str">
        <f>IFERROR(__xludf.DUMMYFUNCTION("""COMPUTED_VALUE"""),"")</f>
        <v/>
      </c>
      <c r="G914" t="str">
        <f>IFERROR(__xludf.DUMMYFUNCTION("""COMPUTED_VALUE"""),"")</f>
        <v/>
      </c>
      <c r="H914" t="str">
        <f>IFERROR(__xludf.DUMMYFUNCTION("""COMPUTED_VALUE"""),"")</f>
        <v/>
      </c>
      <c r="I914" t="str">
        <f>IFERROR(__xludf.DUMMYFUNCTION("""COMPUTED_VALUE"""),"")</f>
        <v/>
      </c>
      <c r="J914" t="str">
        <f>IFERROR(__xludf.DUMMYFUNCTION("""COMPUTED_VALUE"""),"")</f>
        <v/>
      </c>
      <c r="K914" t="str">
        <f>IFERROR(__xludf.DUMMYFUNCTION("""COMPUTED_VALUE"""),"")</f>
        <v/>
      </c>
      <c r="L914" t="str">
        <f>IFERROR(__xludf.DUMMYFUNCTION("""COMPUTED_VALUE"""),"")</f>
        <v/>
      </c>
    </row>
    <row r="915">
      <c r="A915" t="str">
        <f>IFERROR(__xludf.DUMMYFUNCTION("""COMPUTED_VALUE"""),"")</f>
        <v/>
      </c>
      <c r="B915" t="str">
        <f>IFERROR(__xludf.DUMMYFUNCTION("""COMPUTED_VALUE"""),"")</f>
        <v/>
      </c>
      <c r="C915" t="str">
        <f>IFERROR(__xludf.DUMMYFUNCTION("""COMPUTED_VALUE"""),"")</f>
        <v/>
      </c>
      <c r="D915" t="str">
        <f>IFERROR(__xludf.DUMMYFUNCTION("""COMPUTED_VALUE"""),"")</f>
        <v/>
      </c>
      <c r="E915" t="str">
        <f>IFERROR(__xludf.DUMMYFUNCTION("""COMPUTED_VALUE"""),"")</f>
        <v/>
      </c>
      <c r="F915" t="str">
        <f>IFERROR(__xludf.DUMMYFUNCTION("""COMPUTED_VALUE"""),"")</f>
        <v/>
      </c>
      <c r="G915" t="str">
        <f>IFERROR(__xludf.DUMMYFUNCTION("""COMPUTED_VALUE"""),"")</f>
        <v/>
      </c>
      <c r="H915" t="str">
        <f>IFERROR(__xludf.DUMMYFUNCTION("""COMPUTED_VALUE"""),"")</f>
        <v/>
      </c>
      <c r="I915" t="str">
        <f>IFERROR(__xludf.DUMMYFUNCTION("""COMPUTED_VALUE"""),"")</f>
        <v/>
      </c>
      <c r="J915" t="str">
        <f>IFERROR(__xludf.DUMMYFUNCTION("""COMPUTED_VALUE"""),"")</f>
        <v/>
      </c>
      <c r="K915" t="str">
        <f>IFERROR(__xludf.DUMMYFUNCTION("""COMPUTED_VALUE"""),"")</f>
        <v/>
      </c>
      <c r="L915" t="str">
        <f>IFERROR(__xludf.DUMMYFUNCTION("""COMPUTED_VALUE"""),"")</f>
        <v/>
      </c>
    </row>
    <row r="916">
      <c r="A916" t="str">
        <f>IFERROR(__xludf.DUMMYFUNCTION("""COMPUTED_VALUE"""),"")</f>
        <v/>
      </c>
      <c r="B916" t="str">
        <f>IFERROR(__xludf.DUMMYFUNCTION("""COMPUTED_VALUE"""),"")</f>
        <v/>
      </c>
      <c r="C916" t="str">
        <f>IFERROR(__xludf.DUMMYFUNCTION("""COMPUTED_VALUE"""),"")</f>
        <v/>
      </c>
      <c r="D916" t="str">
        <f>IFERROR(__xludf.DUMMYFUNCTION("""COMPUTED_VALUE"""),"")</f>
        <v/>
      </c>
      <c r="E916" t="str">
        <f>IFERROR(__xludf.DUMMYFUNCTION("""COMPUTED_VALUE"""),"")</f>
        <v/>
      </c>
      <c r="F916" t="str">
        <f>IFERROR(__xludf.DUMMYFUNCTION("""COMPUTED_VALUE"""),"")</f>
        <v/>
      </c>
      <c r="G916" t="str">
        <f>IFERROR(__xludf.DUMMYFUNCTION("""COMPUTED_VALUE"""),"")</f>
        <v/>
      </c>
      <c r="H916" t="str">
        <f>IFERROR(__xludf.DUMMYFUNCTION("""COMPUTED_VALUE"""),"")</f>
        <v/>
      </c>
      <c r="I916" t="str">
        <f>IFERROR(__xludf.DUMMYFUNCTION("""COMPUTED_VALUE"""),"")</f>
        <v/>
      </c>
      <c r="J916" t="str">
        <f>IFERROR(__xludf.DUMMYFUNCTION("""COMPUTED_VALUE"""),"")</f>
        <v/>
      </c>
      <c r="K916" t="str">
        <f>IFERROR(__xludf.DUMMYFUNCTION("""COMPUTED_VALUE"""),"")</f>
        <v/>
      </c>
      <c r="L916" t="str">
        <f>IFERROR(__xludf.DUMMYFUNCTION("""COMPUTED_VALUE"""),"")</f>
        <v/>
      </c>
    </row>
    <row r="917">
      <c r="A917" t="str">
        <f>IFERROR(__xludf.DUMMYFUNCTION("""COMPUTED_VALUE"""),"")</f>
        <v/>
      </c>
      <c r="B917" t="str">
        <f>IFERROR(__xludf.DUMMYFUNCTION("""COMPUTED_VALUE"""),"")</f>
        <v/>
      </c>
      <c r="C917" t="str">
        <f>IFERROR(__xludf.DUMMYFUNCTION("""COMPUTED_VALUE"""),"")</f>
        <v/>
      </c>
      <c r="D917" t="str">
        <f>IFERROR(__xludf.DUMMYFUNCTION("""COMPUTED_VALUE"""),"")</f>
        <v/>
      </c>
      <c r="E917" t="str">
        <f>IFERROR(__xludf.DUMMYFUNCTION("""COMPUTED_VALUE"""),"")</f>
        <v/>
      </c>
      <c r="F917" t="str">
        <f>IFERROR(__xludf.DUMMYFUNCTION("""COMPUTED_VALUE"""),"")</f>
        <v/>
      </c>
      <c r="G917" t="str">
        <f>IFERROR(__xludf.DUMMYFUNCTION("""COMPUTED_VALUE"""),"")</f>
        <v/>
      </c>
      <c r="H917" t="str">
        <f>IFERROR(__xludf.DUMMYFUNCTION("""COMPUTED_VALUE"""),"")</f>
        <v/>
      </c>
      <c r="I917" t="str">
        <f>IFERROR(__xludf.DUMMYFUNCTION("""COMPUTED_VALUE"""),"")</f>
        <v/>
      </c>
      <c r="J917" t="str">
        <f>IFERROR(__xludf.DUMMYFUNCTION("""COMPUTED_VALUE"""),"")</f>
        <v/>
      </c>
      <c r="K917" t="str">
        <f>IFERROR(__xludf.DUMMYFUNCTION("""COMPUTED_VALUE"""),"")</f>
        <v/>
      </c>
      <c r="L917" t="str">
        <f>IFERROR(__xludf.DUMMYFUNCTION("""COMPUTED_VALUE"""),"")</f>
        <v/>
      </c>
    </row>
    <row r="918">
      <c r="A918" t="str">
        <f>IFERROR(__xludf.DUMMYFUNCTION("""COMPUTED_VALUE"""),"")</f>
        <v/>
      </c>
      <c r="B918" t="str">
        <f>IFERROR(__xludf.DUMMYFUNCTION("""COMPUTED_VALUE"""),"")</f>
        <v/>
      </c>
      <c r="C918" t="str">
        <f>IFERROR(__xludf.DUMMYFUNCTION("""COMPUTED_VALUE"""),"")</f>
        <v/>
      </c>
      <c r="D918" t="str">
        <f>IFERROR(__xludf.DUMMYFUNCTION("""COMPUTED_VALUE"""),"")</f>
        <v/>
      </c>
      <c r="E918" t="str">
        <f>IFERROR(__xludf.DUMMYFUNCTION("""COMPUTED_VALUE"""),"")</f>
        <v/>
      </c>
      <c r="F918" t="str">
        <f>IFERROR(__xludf.DUMMYFUNCTION("""COMPUTED_VALUE"""),"")</f>
        <v/>
      </c>
      <c r="G918" t="str">
        <f>IFERROR(__xludf.DUMMYFUNCTION("""COMPUTED_VALUE"""),"")</f>
        <v/>
      </c>
      <c r="H918" t="str">
        <f>IFERROR(__xludf.DUMMYFUNCTION("""COMPUTED_VALUE"""),"")</f>
        <v/>
      </c>
      <c r="I918" t="str">
        <f>IFERROR(__xludf.DUMMYFUNCTION("""COMPUTED_VALUE"""),"")</f>
        <v/>
      </c>
      <c r="J918" t="str">
        <f>IFERROR(__xludf.DUMMYFUNCTION("""COMPUTED_VALUE"""),"")</f>
        <v/>
      </c>
      <c r="K918" t="str">
        <f>IFERROR(__xludf.DUMMYFUNCTION("""COMPUTED_VALUE"""),"")</f>
        <v/>
      </c>
      <c r="L918" t="str">
        <f>IFERROR(__xludf.DUMMYFUNCTION("""COMPUTED_VALUE"""),"")</f>
        <v/>
      </c>
    </row>
    <row r="919">
      <c r="A919" t="str">
        <f>IFERROR(__xludf.DUMMYFUNCTION("""COMPUTED_VALUE"""),"")</f>
        <v/>
      </c>
      <c r="B919" t="str">
        <f>IFERROR(__xludf.DUMMYFUNCTION("""COMPUTED_VALUE"""),"")</f>
        <v/>
      </c>
      <c r="C919" t="str">
        <f>IFERROR(__xludf.DUMMYFUNCTION("""COMPUTED_VALUE"""),"")</f>
        <v/>
      </c>
      <c r="D919" t="str">
        <f>IFERROR(__xludf.DUMMYFUNCTION("""COMPUTED_VALUE"""),"")</f>
        <v/>
      </c>
      <c r="E919" t="str">
        <f>IFERROR(__xludf.DUMMYFUNCTION("""COMPUTED_VALUE"""),"")</f>
        <v/>
      </c>
      <c r="F919" t="str">
        <f>IFERROR(__xludf.DUMMYFUNCTION("""COMPUTED_VALUE"""),"")</f>
        <v/>
      </c>
      <c r="G919" t="str">
        <f>IFERROR(__xludf.DUMMYFUNCTION("""COMPUTED_VALUE"""),"")</f>
        <v/>
      </c>
      <c r="H919" t="str">
        <f>IFERROR(__xludf.DUMMYFUNCTION("""COMPUTED_VALUE"""),"")</f>
        <v/>
      </c>
      <c r="I919" t="str">
        <f>IFERROR(__xludf.DUMMYFUNCTION("""COMPUTED_VALUE"""),"")</f>
        <v/>
      </c>
      <c r="J919" t="str">
        <f>IFERROR(__xludf.DUMMYFUNCTION("""COMPUTED_VALUE"""),"")</f>
        <v/>
      </c>
      <c r="K919" t="str">
        <f>IFERROR(__xludf.DUMMYFUNCTION("""COMPUTED_VALUE"""),"")</f>
        <v/>
      </c>
      <c r="L919" t="str">
        <f>IFERROR(__xludf.DUMMYFUNCTION("""COMPUTED_VALUE"""),"")</f>
        <v/>
      </c>
    </row>
    <row r="920">
      <c r="A920" t="str">
        <f>IFERROR(__xludf.DUMMYFUNCTION("""COMPUTED_VALUE"""),"")</f>
        <v/>
      </c>
      <c r="B920" t="str">
        <f>IFERROR(__xludf.DUMMYFUNCTION("""COMPUTED_VALUE"""),"")</f>
        <v/>
      </c>
      <c r="C920" t="str">
        <f>IFERROR(__xludf.DUMMYFUNCTION("""COMPUTED_VALUE"""),"")</f>
        <v/>
      </c>
      <c r="D920" t="str">
        <f>IFERROR(__xludf.DUMMYFUNCTION("""COMPUTED_VALUE"""),"")</f>
        <v/>
      </c>
      <c r="E920" t="str">
        <f>IFERROR(__xludf.DUMMYFUNCTION("""COMPUTED_VALUE"""),"")</f>
        <v/>
      </c>
      <c r="F920" t="str">
        <f>IFERROR(__xludf.DUMMYFUNCTION("""COMPUTED_VALUE"""),"")</f>
        <v/>
      </c>
      <c r="G920" t="str">
        <f>IFERROR(__xludf.DUMMYFUNCTION("""COMPUTED_VALUE"""),"")</f>
        <v/>
      </c>
      <c r="H920" t="str">
        <f>IFERROR(__xludf.DUMMYFUNCTION("""COMPUTED_VALUE"""),"")</f>
        <v/>
      </c>
      <c r="I920" t="str">
        <f>IFERROR(__xludf.DUMMYFUNCTION("""COMPUTED_VALUE"""),"")</f>
        <v/>
      </c>
      <c r="J920" t="str">
        <f>IFERROR(__xludf.DUMMYFUNCTION("""COMPUTED_VALUE"""),"")</f>
        <v/>
      </c>
      <c r="K920" t="str">
        <f>IFERROR(__xludf.DUMMYFUNCTION("""COMPUTED_VALUE"""),"")</f>
        <v/>
      </c>
      <c r="L920" t="str">
        <f>IFERROR(__xludf.DUMMYFUNCTION("""COMPUTED_VALUE"""),"")</f>
        <v/>
      </c>
    </row>
    <row r="921">
      <c r="A921" t="str">
        <f>IFERROR(__xludf.DUMMYFUNCTION("""COMPUTED_VALUE"""),"")</f>
        <v/>
      </c>
      <c r="B921" t="str">
        <f>IFERROR(__xludf.DUMMYFUNCTION("""COMPUTED_VALUE"""),"")</f>
        <v/>
      </c>
      <c r="C921" t="str">
        <f>IFERROR(__xludf.DUMMYFUNCTION("""COMPUTED_VALUE"""),"")</f>
        <v/>
      </c>
      <c r="D921" t="str">
        <f>IFERROR(__xludf.DUMMYFUNCTION("""COMPUTED_VALUE"""),"")</f>
        <v/>
      </c>
      <c r="E921" t="str">
        <f>IFERROR(__xludf.DUMMYFUNCTION("""COMPUTED_VALUE"""),"")</f>
        <v/>
      </c>
      <c r="F921" t="str">
        <f>IFERROR(__xludf.DUMMYFUNCTION("""COMPUTED_VALUE"""),"")</f>
        <v/>
      </c>
      <c r="G921" t="str">
        <f>IFERROR(__xludf.DUMMYFUNCTION("""COMPUTED_VALUE"""),"")</f>
        <v/>
      </c>
      <c r="H921" t="str">
        <f>IFERROR(__xludf.DUMMYFUNCTION("""COMPUTED_VALUE"""),"")</f>
        <v/>
      </c>
      <c r="I921" t="str">
        <f>IFERROR(__xludf.DUMMYFUNCTION("""COMPUTED_VALUE"""),"")</f>
        <v/>
      </c>
      <c r="J921" t="str">
        <f>IFERROR(__xludf.DUMMYFUNCTION("""COMPUTED_VALUE"""),"")</f>
        <v/>
      </c>
      <c r="K921" t="str">
        <f>IFERROR(__xludf.DUMMYFUNCTION("""COMPUTED_VALUE"""),"")</f>
        <v/>
      </c>
      <c r="L921" t="str">
        <f>IFERROR(__xludf.DUMMYFUNCTION("""COMPUTED_VALUE"""),"")</f>
        <v/>
      </c>
    </row>
    <row r="922">
      <c r="A922" t="str">
        <f>IFERROR(__xludf.DUMMYFUNCTION("""COMPUTED_VALUE"""),"")</f>
        <v/>
      </c>
      <c r="B922" t="str">
        <f>IFERROR(__xludf.DUMMYFUNCTION("""COMPUTED_VALUE"""),"")</f>
        <v/>
      </c>
      <c r="C922" t="str">
        <f>IFERROR(__xludf.DUMMYFUNCTION("""COMPUTED_VALUE"""),"")</f>
        <v/>
      </c>
      <c r="D922" t="str">
        <f>IFERROR(__xludf.DUMMYFUNCTION("""COMPUTED_VALUE"""),"")</f>
        <v/>
      </c>
      <c r="E922" t="str">
        <f>IFERROR(__xludf.DUMMYFUNCTION("""COMPUTED_VALUE"""),"")</f>
        <v/>
      </c>
      <c r="F922" t="str">
        <f>IFERROR(__xludf.DUMMYFUNCTION("""COMPUTED_VALUE"""),"")</f>
        <v/>
      </c>
      <c r="G922" t="str">
        <f>IFERROR(__xludf.DUMMYFUNCTION("""COMPUTED_VALUE"""),"")</f>
        <v/>
      </c>
      <c r="H922" t="str">
        <f>IFERROR(__xludf.DUMMYFUNCTION("""COMPUTED_VALUE"""),"")</f>
        <v/>
      </c>
      <c r="I922" t="str">
        <f>IFERROR(__xludf.DUMMYFUNCTION("""COMPUTED_VALUE"""),"")</f>
        <v/>
      </c>
      <c r="J922" t="str">
        <f>IFERROR(__xludf.DUMMYFUNCTION("""COMPUTED_VALUE"""),"")</f>
        <v/>
      </c>
      <c r="K922" t="str">
        <f>IFERROR(__xludf.DUMMYFUNCTION("""COMPUTED_VALUE"""),"")</f>
        <v/>
      </c>
      <c r="L922" t="str">
        <f>IFERROR(__xludf.DUMMYFUNCTION("""COMPUTED_VALUE"""),"")</f>
        <v/>
      </c>
    </row>
    <row r="923">
      <c r="A923" t="str">
        <f>IFERROR(__xludf.DUMMYFUNCTION("""COMPUTED_VALUE"""),"")</f>
        <v/>
      </c>
      <c r="B923" t="str">
        <f>IFERROR(__xludf.DUMMYFUNCTION("""COMPUTED_VALUE"""),"")</f>
        <v/>
      </c>
      <c r="C923" t="str">
        <f>IFERROR(__xludf.DUMMYFUNCTION("""COMPUTED_VALUE"""),"")</f>
        <v/>
      </c>
      <c r="D923" t="str">
        <f>IFERROR(__xludf.DUMMYFUNCTION("""COMPUTED_VALUE"""),"")</f>
        <v/>
      </c>
      <c r="E923" t="str">
        <f>IFERROR(__xludf.DUMMYFUNCTION("""COMPUTED_VALUE"""),"")</f>
        <v/>
      </c>
      <c r="F923" t="str">
        <f>IFERROR(__xludf.DUMMYFUNCTION("""COMPUTED_VALUE"""),"")</f>
        <v/>
      </c>
      <c r="G923" t="str">
        <f>IFERROR(__xludf.DUMMYFUNCTION("""COMPUTED_VALUE"""),"")</f>
        <v/>
      </c>
      <c r="H923" t="str">
        <f>IFERROR(__xludf.DUMMYFUNCTION("""COMPUTED_VALUE"""),"")</f>
        <v/>
      </c>
      <c r="I923" t="str">
        <f>IFERROR(__xludf.DUMMYFUNCTION("""COMPUTED_VALUE"""),"")</f>
        <v/>
      </c>
      <c r="J923" t="str">
        <f>IFERROR(__xludf.DUMMYFUNCTION("""COMPUTED_VALUE"""),"")</f>
        <v/>
      </c>
      <c r="K923" t="str">
        <f>IFERROR(__xludf.DUMMYFUNCTION("""COMPUTED_VALUE"""),"")</f>
        <v/>
      </c>
      <c r="L923" t="str">
        <f>IFERROR(__xludf.DUMMYFUNCTION("""COMPUTED_VALUE"""),"")</f>
        <v/>
      </c>
    </row>
    <row r="924">
      <c r="A924" t="str">
        <f>IFERROR(__xludf.DUMMYFUNCTION("""COMPUTED_VALUE"""),"")</f>
        <v/>
      </c>
      <c r="B924" t="str">
        <f>IFERROR(__xludf.DUMMYFUNCTION("""COMPUTED_VALUE"""),"")</f>
        <v/>
      </c>
      <c r="C924" t="str">
        <f>IFERROR(__xludf.DUMMYFUNCTION("""COMPUTED_VALUE"""),"")</f>
        <v/>
      </c>
      <c r="D924" t="str">
        <f>IFERROR(__xludf.DUMMYFUNCTION("""COMPUTED_VALUE"""),"")</f>
        <v/>
      </c>
      <c r="E924" t="str">
        <f>IFERROR(__xludf.DUMMYFUNCTION("""COMPUTED_VALUE"""),"")</f>
        <v/>
      </c>
      <c r="F924" t="str">
        <f>IFERROR(__xludf.DUMMYFUNCTION("""COMPUTED_VALUE"""),"")</f>
        <v/>
      </c>
      <c r="G924" t="str">
        <f>IFERROR(__xludf.DUMMYFUNCTION("""COMPUTED_VALUE"""),"")</f>
        <v/>
      </c>
      <c r="H924" t="str">
        <f>IFERROR(__xludf.DUMMYFUNCTION("""COMPUTED_VALUE"""),"")</f>
        <v/>
      </c>
      <c r="I924" t="str">
        <f>IFERROR(__xludf.DUMMYFUNCTION("""COMPUTED_VALUE"""),"")</f>
        <v/>
      </c>
      <c r="J924" t="str">
        <f>IFERROR(__xludf.DUMMYFUNCTION("""COMPUTED_VALUE"""),"")</f>
        <v/>
      </c>
      <c r="K924" t="str">
        <f>IFERROR(__xludf.DUMMYFUNCTION("""COMPUTED_VALUE"""),"")</f>
        <v/>
      </c>
      <c r="L924" t="str">
        <f>IFERROR(__xludf.DUMMYFUNCTION("""COMPUTED_VALUE"""),"")</f>
        <v/>
      </c>
    </row>
    <row r="925">
      <c r="A925" t="str">
        <f>IFERROR(__xludf.DUMMYFUNCTION("""COMPUTED_VALUE"""),"")</f>
        <v/>
      </c>
      <c r="B925" t="str">
        <f>IFERROR(__xludf.DUMMYFUNCTION("""COMPUTED_VALUE"""),"")</f>
        <v/>
      </c>
      <c r="C925" t="str">
        <f>IFERROR(__xludf.DUMMYFUNCTION("""COMPUTED_VALUE"""),"")</f>
        <v/>
      </c>
      <c r="D925" t="str">
        <f>IFERROR(__xludf.DUMMYFUNCTION("""COMPUTED_VALUE"""),"")</f>
        <v/>
      </c>
      <c r="E925" t="str">
        <f>IFERROR(__xludf.DUMMYFUNCTION("""COMPUTED_VALUE"""),"")</f>
        <v/>
      </c>
      <c r="F925" t="str">
        <f>IFERROR(__xludf.DUMMYFUNCTION("""COMPUTED_VALUE"""),"")</f>
        <v/>
      </c>
      <c r="G925" t="str">
        <f>IFERROR(__xludf.DUMMYFUNCTION("""COMPUTED_VALUE"""),"")</f>
        <v/>
      </c>
      <c r="H925" t="str">
        <f>IFERROR(__xludf.DUMMYFUNCTION("""COMPUTED_VALUE"""),"")</f>
        <v/>
      </c>
      <c r="I925" t="str">
        <f>IFERROR(__xludf.DUMMYFUNCTION("""COMPUTED_VALUE"""),"")</f>
        <v/>
      </c>
      <c r="J925" t="str">
        <f>IFERROR(__xludf.DUMMYFUNCTION("""COMPUTED_VALUE"""),"")</f>
        <v/>
      </c>
      <c r="K925" t="str">
        <f>IFERROR(__xludf.DUMMYFUNCTION("""COMPUTED_VALUE"""),"")</f>
        <v/>
      </c>
      <c r="L925" t="str">
        <f>IFERROR(__xludf.DUMMYFUNCTION("""COMPUTED_VALUE"""),"")</f>
        <v/>
      </c>
    </row>
    <row r="926">
      <c r="A926" t="str">
        <f>IFERROR(__xludf.DUMMYFUNCTION("""COMPUTED_VALUE"""),"")</f>
        <v/>
      </c>
      <c r="B926" t="str">
        <f>IFERROR(__xludf.DUMMYFUNCTION("""COMPUTED_VALUE"""),"")</f>
        <v/>
      </c>
      <c r="C926" t="str">
        <f>IFERROR(__xludf.DUMMYFUNCTION("""COMPUTED_VALUE"""),"")</f>
        <v/>
      </c>
      <c r="D926" t="str">
        <f>IFERROR(__xludf.DUMMYFUNCTION("""COMPUTED_VALUE"""),"")</f>
        <v/>
      </c>
      <c r="E926" t="str">
        <f>IFERROR(__xludf.DUMMYFUNCTION("""COMPUTED_VALUE"""),"")</f>
        <v/>
      </c>
      <c r="F926" t="str">
        <f>IFERROR(__xludf.DUMMYFUNCTION("""COMPUTED_VALUE"""),"")</f>
        <v/>
      </c>
      <c r="G926" t="str">
        <f>IFERROR(__xludf.DUMMYFUNCTION("""COMPUTED_VALUE"""),"")</f>
        <v/>
      </c>
      <c r="H926" t="str">
        <f>IFERROR(__xludf.DUMMYFUNCTION("""COMPUTED_VALUE"""),"")</f>
        <v/>
      </c>
      <c r="I926" t="str">
        <f>IFERROR(__xludf.DUMMYFUNCTION("""COMPUTED_VALUE"""),"")</f>
        <v/>
      </c>
      <c r="J926" t="str">
        <f>IFERROR(__xludf.DUMMYFUNCTION("""COMPUTED_VALUE"""),"")</f>
        <v/>
      </c>
      <c r="K926" t="str">
        <f>IFERROR(__xludf.DUMMYFUNCTION("""COMPUTED_VALUE"""),"")</f>
        <v/>
      </c>
      <c r="L926" t="str">
        <f>IFERROR(__xludf.DUMMYFUNCTION("""COMPUTED_VALUE"""),"")</f>
        <v/>
      </c>
    </row>
    <row r="927">
      <c r="A927" t="str">
        <f>IFERROR(__xludf.DUMMYFUNCTION("""COMPUTED_VALUE"""),"")</f>
        <v/>
      </c>
      <c r="B927" t="str">
        <f>IFERROR(__xludf.DUMMYFUNCTION("""COMPUTED_VALUE"""),"")</f>
        <v/>
      </c>
      <c r="C927" t="str">
        <f>IFERROR(__xludf.DUMMYFUNCTION("""COMPUTED_VALUE"""),"")</f>
        <v/>
      </c>
      <c r="D927" t="str">
        <f>IFERROR(__xludf.DUMMYFUNCTION("""COMPUTED_VALUE"""),"")</f>
        <v/>
      </c>
      <c r="E927" t="str">
        <f>IFERROR(__xludf.DUMMYFUNCTION("""COMPUTED_VALUE"""),"")</f>
        <v/>
      </c>
      <c r="F927" t="str">
        <f>IFERROR(__xludf.DUMMYFUNCTION("""COMPUTED_VALUE"""),"")</f>
        <v/>
      </c>
      <c r="G927" t="str">
        <f>IFERROR(__xludf.DUMMYFUNCTION("""COMPUTED_VALUE"""),"")</f>
        <v/>
      </c>
      <c r="H927" t="str">
        <f>IFERROR(__xludf.DUMMYFUNCTION("""COMPUTED_VALUE"""),"")</f>
        <v/>
      </c>
      <c r="I927" t="str">
        <f>IFERROR(__xludf.DUMMYFUNCTION("""COMPUTED_VALUE"""),"")</f>
        <v/>
      </c>
      <c r="J927" t="str">
        <f>IFERROR(__xludf.DUMMYFUNCTION("""COMPUTED_VALUE"""),"")</f>
        <v/>
      </c>
      <c r="K927" t="str">
        <f>IFERROR(__xludf.DUMMYFUNCTION("""COMPUTED_VALUE"""),"")</f>
        <v/>
      </c>
      <c r="L927" t="str">
        <f>IFERROR(__xludf.DUMMYFUNCTION("""COMPUTED_VALUE"""),"")</f>
        <v/>
      </c>
    </row>
    <row r="928">
      <c r="A928" t="str">
        <f>IFERROR(__xludf.DUMMYFUNCTION("""COMPUTED_VALUE"""),"")</f>
        <v/>
      </c>
      <c r="B928" t="str">
        <f>IFERROR(__xludf.DUMMYFUNCTION("""COMPUTED_VALUE"""),"")</f>
        <v/>
      </c>
      <c r="C928" t="str">
        <f>IFERROR(__xludf.DUMMYFUNCTION("""COMPUTED_VALUE"""),"")</f>
        <v/>
      </c>
      <c r="D928" t="str">
        <f>IFERROR(__xludf.DUMMYFUNCTION("""COMPUTED_VALUE"""),"")</f>
        <v/>
      </c>
      <c r="E928" t="str">
        <f>IFERROR(__xludf.DUMMYFUNCTION("""COMPUTED_VALUE"""),"")</f>
        <v/>
      </c>
      <c r="F928" t="str">
        <f>IFERROR(__xludf.DUMMYFUNCTION("""COMPUTED_VALUE"""),"")</f>
        <v/>
      </c>
      <c r="G928" t="str">
        <f>IFERROR(__xludf.DUMMYFUNCTION("""COMPUTED_VALUE"""),"")</f>
        <v/>
      </c>
      <c r="H928" t="str">
        <f>IFERROR(__xludf.DUMMYFUNCTION("""COMPUTED_VALUE"""),"")</f>
        <v/>
      </c>
      <c r="I928" t="str">
        <f>IFERROR(__xludf.DUMMYFUNCTION("""COMPUTED_VALUE"""),"")</f>
        <v/>
      </c>
      <c r="J928" t="str">
        <f>IFERROR(__xludf.DUMMYFUNCTION("""COMPUTED_VALUE"""),"")</f>
        <v/>
      </c>
      <c r="K928" t="str">
        <f>IFERROR(__xludf.DUMMYFUNCTION("""COMPUTED_VALUE"""),"")</f>
        <v/>
      </c>
      <c r="L928" t="str">
        <f>IFERROR(__xludf.DUMMYFUNCTION("""COMPUTED_VALUE"""),"")</f>
        <v/>
      </c>
    </row>
    <row r="929">
      <c r="A929" t="str">
        <f>IFERROR(__xludf.DUMMYFUNCTION("""COMPUTED_VALUE"""),"")</f>
        <v/>
      </c>
      <c r="B929" t="str">
        <f>IFERROR(__xludf.DUMMYFUNCTION("""COMPUTED_VALUE"""),"")</f>
        <v/>
      </c>
      <c r="C929" t="str">
        <f>IFERROR(__xludf.DUMMYFUNCTION("""COMPUTED_VALUE"""),"")</f>
        <v/>
      </c>
      <c r="D929" t="str">
        <f>IFERROR(__xludf.DUMMYFUNCTION("""COMPUTED_VALUE"""),"")</f>
        <v/>
      </c>
      <c r="E929" t="str">
        <f>IFERROR(__xludf.DUMMYFUNCTION("""COMPUTED_VALUE"""),"")</f>
        <v/>
      </c>
      <c r="F929" t="str">
        <f>IFERROR(__xludf.DUMMYFUNCTION("""COMPUTED_VALUE"""),"")</f>
        <v/>
      </c>
      <c r="G929" t="str">
        <f>IFERROR(__xludf.DUMMYFUNCTION("""COMPUTED_VALUE"""),"")</f>
        <v/>
      </c>
      <c r="H929" t="str">
        <f>IFERROR(__xludf.DUMMYFUNCTION("""COMPUTED_VALUE"""),"")</f>
        <v/>
      </c>
      <c r="I929" t="str">
        <f>IFERROR(__xludf.DUMMYFUNCTION("""COMPUTED_VALUE"""),"")</f>
        <v/>
      </c>
      <c r="J929" t="str">
        <f>IFERROR(__xludf.DUMMYFUNCTION("""COMPUTED_VALUE"""),"")</f>
        <v/>
      </c>
      <c r="K929" t="str">
        <f>IFERROR(__xludf.DUMMYFUNCTION("""COMPUTED_VALUE"""),"")</f>
        <v/>
      </c>
      <c r="L929" t="str">
        <f>IFERROR(__xludf.DUMMYFUNCTION("""COMPUTED_VALUE"""),"")</f>
        <v/>
      </c>
    </row>
    <row r="930">
      <c r="A930" t="str">
        <f>IFERROR(__xludf.DUMMYFUNCTION("""COMPUTED_VALUE"""),"")</f>
        <v/>
      </c>
      <c r="B930" t="str">
        <f>IFERROR(__xludf.DUMMYFUNCTION("""COMPUTED_VALUE"""),"")</f>
        <v/>
      </c>
      <c r="C930" t="str">
        <f>IFERROR(__xludf.DUMMYFUNCTION("""COMPUTED_VALUE"""),"")</f>
        <v/>
      </c>
      <c r="D930" t="str">
        <f>IFERROR(__xludf.DUMMYFUNCTION("""COMPUTED_VALUE"""),"")</f>
        <v/>
      </c>
      <c r="E930" t="str">
        <f>IFERROR(__xludf.DUMMYFUNCTION("""COMPUTED_VALUE"""),"")</f>
        <v/>
      </c>
      <c r="F930" t="str">
        <f>IFERROR(__xludf.DUMMYFUNCTION("""COMPUTED_VALUE"""),"")</f>
        <v/>
      </c>
      <c r="G930" t="str">
        <f>IFERROR(__xludf.DUMMYFUNCTION("""COMPUTED_VALUE"""),"")</f>
        <v/>
      </c>
      <c r="H930" t="str">
        <f>IFERROR(__xludf.DUMMYFUNCTION("""COMPUTED_VALUE"""),"")</f>
        <v/>
      </c>
      <c r="I930" t="str">
        <f>IFERROR(__xludf.DUMMYFUNCTION("""COMPUTED_VALUE"""),"")</f>
        <v/>
      </c>
      <c r="J930" t="str">
        <f>IFERROR(__xludf.DUMMYFUNCTION("""COMPUTED_VALUE"""),"")</f>
        <v/>
      </c>
      <c r="K930" t="str">
        <f>IFERROR(__xludf.DUMMYFUNCTION("""COMPUTED_VALUE"""),"")</f>
        <v/>
      </c>
      <c r="L930" t="str">
        <f>IFERROR(__xludf.DUMMYFUNCTION("""COMPUTED_VALUE"""),"")</f>
        <v/>
      </c>
    </row>
    <row r="931">
      <c r="A931" t="str">
        <f>IFERROR(__xludf.DUMMYFUNCTION("""COMPUTED_VALUE"""),"")</f>
        <v/>
      </c>
      <c r="B931" t="str">
        <f>IFERROR(__xludf.DUMMYFUNCTION("""COMPUTED_VALUE"""),"")</f>
        <v/>
      </c>
      <c r="C931" t="str">
        <f>IFERROR(__xludf.DUMMYFUNCTION("""COMPUTED_VALUE"""),"")</f>
        <v/>
      </c>
      <c r="D931" t="str">
        <f>IFERROR(__xludf.DUMMYFUNCTION("""COMPUTED_VALUE"""),"")</f>
        <v/>
      </c>
      <c r="E931" t="str">
        <f>IFERROR(__xludf.DUMMYFUNCTION("""COMPUTED_VALUE"""),"")</f>
        <v/>
      </c>
      <c r="F931" t="str">
        <f>IFERROR(__xludf.DUMMYFUNCTION("""COMPUTED_VALUE"""),"")</f>
        <v/>
      </c>
      <c r="G931" t="str">
        <f>IFERROR(__xludf.DUMMYFUNCTION("""COMPUTED_VALUE"""),"")</f>
        <v/>
      </c>
      <c r="H931" t="str">
        <f>IFERROR(__xludf.DUMMYFUNCTION("""COMPUTED_VALUE"""),"")</f>
        <v/>
      </c>
      <c r="I931" t="str">
        <f>IFERROR(__xludf.DUMMYFUNCTION("""COMPUTED_VALUE"""),"")</f>
        <v/>
      </c>
      <c r="J931" t="str">
        <f>IFERROR(__xludf.DUMMYFUNCTION("""COMPUTED_VALUE"""),"")</f>
        <v/>
      </c>
      <c r="K931" t="str">
        <f>IFERROR(__xludf.DUMMYFUNCTION("""COMPUTED_VALUE"""),"")</f>
        <v/>
      </c>
      <c r="L931" t="str">
        <f>IFERROR(__xludf.DUMMYFUNCTION("""COMPUTED_VALUE"""),"")</f>
        <v/>
      </c>
    </row>
    <row r="932">
      <c r="A932" t="str">
        <f>IFERROR(__xludf.DUMMYFUNCTION("""COMPUTED_VALUE"""),"")</f>
        <v/>
      </c>
      <c r="B932" t="str">
        <f>IFERROR(__xludf.DUMMYFUNCTION("""COMPUTED_VALUE"""),"")</f>
        <v/>
      </c>
      <c r="C932" t="str">
        <f>IFERROR(__xludf.DUMMYFUNCTION("""COMPUTED_VALUE"""),"")</f>
        <v/>
      </c>
      <c r="D932" t="str">
        <f>IFERROR(__xludf.DUMMYFUNCTION("""COMPUTED_VALUE"""),"")</f>
        <v/>
      </c>
      <c r="E932" t="str">
        <f>IFERROR(__xludf.DUMMYFUNCTION("""COMPUTED_VALUE"""),"")</f>
        <v/>
      </c>
      <c r="F932" t="str">
        <f>IFERROR(__xludf.DUMMYFUNCTION("""COMPUTED_VALUE"""),"")</f>
        <v/>
      </c>
      <c r="G932" t="str">
        <f>IFERROR(__xludf.DUMMYFUNCTION("""COMPUTED_VALUE"""),"")</f>
        <v/>
      </c>
      <c r="H932" t="str">
        <f>IFERROR(__xludf.DUMMYFUNCTION("""COMPUTED_VALUE"""),"")</f>
        <v/>
      </c>
      <c r="I932" t="str">
        <f>IFERROR(__xludf.DUMMYFUNCTION("""COMPUTED_VALUE"""),"")</f>
        <v/>
      </c>
      <c r="J932" t="str">
        <f>IFERROR(__xludf.DUMMYFUNCTION("""COMPUTED_VALUE"""),"")</f>
        <v/>
      </c>
      <c r="K932" t="str">
        <f>IFERROR(__xludf.DUMMYFUNCTION("""COMPUTED_VALUE"""),"")</f>
        <v/>
      </c>
      <c r="L932" t="str">
        <f>IFERROR(__xludf.DUMMYFUNCTION("""COMPUTED_VALUE"""),"")</f>
        <v/>
      </c>
    </row>
    <row r="933">
      <c r="A933" t="str">
        <f>IFERROR(__xludf.DUMMYFUNCTION("""COMPUTED_VALUE"""),"")</f>
        <v/>
      </c>
      <c r="B933" t="str">
        <f>IFERROR(__xludf.DUMMYFUNCTION("""COMPUTED_VALUE"""),"")</f>
        <v/>
      </c>
      <c r="C933" t="str">
        <f>IFERROR(__xludf.DUMMYFUNCTION("""COMPUTED_VALUE"""),"")</f>
        <v/>
      </c>
      <c r="D933" t="str">
        <f>IFERROR(__xludf.DUMMYFUNCTION("""COMPUTED_VALUE"""),"")</f>
        <v/>
      </c>
      <c r="E933" t="str">
        <f>IFERROR(__xludf.DUMMYFUNCTION("""COMPUTED_VALUE"""),"")</f>
        <v/>
      </c>
      <c r="F933" t="str">
        <f>IFERROR(__xludf.DUMMYFUNCTION("""COMPUTED_VALUE"""),"")</f>
        <v/>
      </c>
      <c r="G933" t="str">
        <f>IFERROR(__xludf.DUMMYFUNCTION("""COMPUTED_VALUE"""),"")</f>
        <v/>
      </c>
      <c r="H933" t="str">
        <f>IFERROR(__xludf.DUMMYFUNCTION("""COMPUTED_VALUE"""),"")</f>
        <v/>
      </c>
      <c r="I933" t="str">
        <f>IFERROR(__xludf.DUMMYFUNCTION("""COMPUTED_VALUE"""),"")</f>
        <v/>
      </c>
      <c r="J933" t="str">
        <f>IFERROR(__xludf.DUMMYFUNCTION("""COMPUTED_VALUE"""),"")</f>
        <v/>
      </c>
      <c r="K933" t="str">
        <f>IFERROR(__xludf.DUMMYFUNCTION("""COMPUTED_VALUE"""),"")</f>
        <v/>
      </c>
      <c r="L933" t="str">
        <f>IFERROR(__xludf.DUMMYFUNCTION("""COMPUTED_VALUE"""),"")</f>
        <v/>
      </c>
    </row>
    <row r="934">
      <c r="A934" t="str">
        <f>IFERROR(__xludf.DUMMYFUNCTION("""COMPUTED_VALUE"""),"")</f>
        <v/>
      </c>
      <c r="B934" t="str">
        <f>IFERROR(__xludf.DUMMYFUNCTION("""COMPUTED_VALUE"""),"")</f>
        <v/>
      </c>
      <c r="C934" t="str">
        <f>IFERROR(__xludf.DUMMYFUNCTION("""COMPUTED_VALUE"""),"")</f>
        <v/>
      </c>
      <c r="D934" t="str">
        <f>IFERROR(__xludf.DUMMYFUNCTION("""COMPUTED_VALUE"""),"")</f>
        <v/>
      </c>
      <c r="E934" t="str">
        <f>IFERROR(__xludf.DUMMYFUNCTION("""COMPUTED_VALUE"""),"")</f>
        <v/>
      </c>
      <c r="F934" t="str">
        <f>IFERROR(__xludf.DUMMYFUNCTION("""COMPUTED_VALUE"""),"")</f>
        <v/>
      </c>
      <c r="G934" t="str">
        <f>IFERROR(__xludf.DUMMYFUNCTION("""COMPUTED_VALUE"""),"")</f>
        <v/>
      </c>
      <c r="H934" t="str">
        <f>IFERROR(__xludf.DUMMYFUNCTION("""COMPUTED_VALUE"""),"")</f>
        <v/>
      </c>
      <c r="I934" t="str">
        <f>IFERROR(__xludf.DUMMYFUNCTION("""COMPUTED_VALUE"""),"")</f>
        <v/>
      </c>
      <c r="J934" t="str">
        <f>IFERROR(__xludf.DUMMYFUNCTION("""COMPUTED_VALUE"""),"")</f>
        <v/>
      </c>
      <c r="K934" t="str">
        <f>IFERROR(__xludf.DUMMYFUNCTION("""COMPUTED_VALUE"""),"")</f>
        <v/>
      </c>
      <c r="L934" t="str">
        <f>IFERROR(__xludf.DUMMYFUNCTION("""COMPUTED_VALUE"""),"")</f>
        <v/>
      </c>
    </row>
    <row r="935">
      <c r="A935" t="str">
        <f>IFERROR(__xludf.DUMMYFUNCTION("""COMPUTED_VALUE"""),"")</f>
        <v/>
      </c>
      <c r="B935" t="str">
        <f>IFERROR(__xludf.DUMMYFUNCTION("""COMPUTED_VALUE"""),"")</f>
        <v/>
      </c>
      <c r="C935" t="str">
        <f>IFERROR(__xludf.DUMMYFUNCTION("""COMPUTED_VALUE"""),"")</f>
        <v/>
      </c>
      <c r="D935" t="str">
        <f>IFERROR(__xludf.DUMMYFUNCTION("""COMPUTED_VALUE"""),"")</f>
        <v/>
      </c>
      <c r="E935" t="str">
        <f>IFERROR(__xludf.DUMMYFUNCTION("""COMPUTED_VALUE"""),"")</f>
        <v/>
      </c>
      <c r="F935" t="str">
        <f>IFERROR(__xludf.DUMMYFUNCTION("""COMPUTED_VALUE"""),"")</f>
        <v/>
      </c>
      <c r="G935" t="str">
        <f>IFERROR(__xludf.DUMMYFUNCTION("""COMPUTED_VALUE"""),"")</f>
        <v/>
      </c>
      <c r="H935" t="str">
        <f>IFERROR(__xludf.DUMMYFUNCTION("""COMPUTED_VALUE"""),"")</f>
        <v/>
      </c>
      <c r="I935" t="str">
        <f>IFERROR(__xludf.DUMMYFUNCTION("""COMPUTED_VALUE"""),"")</f>
        <v/>
      </c>
      <c r="J935" t="str">
        <f>IFERROR(__xludf.DUMMYFUNCTION("""COMPUTED_VALUE"""),"")</f>
        <v/>
      </c>
      <c r="K935" t="str">
        <f>IFERROR(__xludf.DUMMYFUNCTION("""COMPUTED_VALUE"""),"")</f>
        <v/>
      </c>
      <c r="L935" t="str">
        <f>IFERROR(__xludf.DUMMYFUNCTION("""COMPUTED_VALUE"""),"")</f>
        <v/>
      </c>
    </row>
    <row r="936">
      <c r="A936" t="str">
        <f>IFERROR(__xludf.DUMMYFUNCTION("""COMPUTED_VALUE"""),"")</f>
        <v/>
      </c>
      <c r="B936" t="str">
        <f>IFERROR(__xludf.DUMMYFUNCTION("""COMPUTED_VALUE"""),"")</f>
        <v/>
      </c>
      <c r="C936" t="str">
        <f>IFERROR(__xludf.DUMMYFUNCTION("""COMPUTED_VALUE"""),"")</f>
        <v/>
      </c>
      <c r="D936" t="str">
        <f>IFERROR(__xludf.DUMMYFUNCTION("""COMPUTED_VALUE"""),"")</f>
        <v/>
      </c>
      <c r="E936" t="str">
        <f>IFERROR(__xludf.DUMMYFUNCTION("""COMPUTED_VALUE"""),"")</f>
        <v/>
      </c>
      <c r="F936" t="str">
        <f>IFERROR(__xludf.DUMMYFUNCTION("""COMPUTED_VALUE"""),"")</f>
        <v/>
      </c>
      <c r="G936" t="str">
        <f>IFERROR(__xludf.DUMMYFUNCTION("""COMPUTED_VALUE"""),"")</f>
        <v/>
      </c>
      <c r="H936" t="str">
        <f>IFERROR(__xludf.DUMMYFUNCTION("""COMPUTED_VALUE"""),"")</f>
        <v/>
      </c>
      <c r="I936" t="str">
        <f>IFERROR(__xludf.DUMMYFUNCTION("""COMPUTED_VALUE"""),"")</f>
        <v/>
      </c>
      <c r="J936" t="str">
        <f>IFERROR(__xludf.DUMMYFUNCTION("""COMPUTED_VALUE"""),"")</f>
        <v/>
      </c>
      <c r="K936" t="str">
        <f>IFERROR(__xludf.DUMMYFUNCTION("""COMPUTED_VALUE"""),"")</f>
        <v/>
      </c>
      <c r="L936" t="str">
        <f>IFERROR(__xludf.DUMMYFUNCTION("""COMPUTED_VALUE"""),"")</f>
        <v/>
      </c>
    </row>
    <row r="937">
      <c r="A937" t="str">
        <f>IFERROR(__xludf.DUMMYFUNCTION("""COMPUTED_VALUE"""),"")</f>
        <v/>
      </c>
      <c r="B937" t="str">
        <f>IFERROR(__xludf.DUMMYFUNCTION("""COMPUTED_VALUE"""),"")</f>
        <v/>
      </c>
      <c r="C937" t="str">
        <f>IFERROR(__xludf.DUMMYFUNCTION("""COMPUTED_VALUE"""),"")</f>
        <v/>
      </c>
      <c r="D937" t="str">
        <f>IFERROR(__xludf.DUMMYFUNCTION("""COMPUTED_VALUE"""),"")</f>
        <v/>
      </c>
      <c r="E937" t="str">
        <f>IFERROR(__xludf.DUMMYFUNCTION("""COMPUTED_VALUE"""),"")</f>
        <v/>
      </c>
      <c r="F937" t="str">
        <f>IFERROR(__xludf.DUMMYFUNCTION("""COMPUTED_VALUE"""),"")</f>
        <v/>
      </c>
      <c r="G937" t="str">
        <f>IFERROR(__xludf.DUMMYFUNCTION("""COMPUTED_VALUE"""),"")</f>
        <v/>
      </c>
      <c r="H937" t="str">
        <f>IFERROR(__xludf.DUMMYFUNCTION("""COMPUTED_VALUE"""),"")</f>
        <v/>
      </c>
      <c r="I937" t="str">
        <f>IFERROR(__xludf.DUMMYFUNCTION("""COMPUTED_VALUE"""),"")</f>
        <v/>
      </c>
      <c r="J937" t="str">
        <f>IFERROR(__xludf.DUMMYFUNCTION("""COMPUTED_VALUE"""),"")</f>
        <v/>
      </c>
      <c r="K937" t="str">
        <f>IFERROR(__xludf.DUMMYFUNCTION("""COMPUTED_VALUE"""),"")</f>
        <v/>
      </c>
      <c r="L937" t="str">
        <f>IFERROR(__xludf.DUMMYFUNCTION("""COMPUTED_VALUE"""),"")</f>
        <v/>
      </c>
    </row>
    <row r="938">
      <c r="A938" t="str">
        <f>IFERROR(__xludf.DUMMYFUNCTION("""COMPUTED_VALUE"""),"")</f>
        <v/>
      </c>
      <c r="B938" t="str">
        <f>IFERROR(__xludf.DUMMYFUNCTION("""COMPUTED_VALUE"""),"")</f>
        <v/>
      </c>
      <c r="C938" t="str">
        <f>IFERROR(__xludf.DUMMYFUNCTION("""COMPUTED_VALUE"""),"")</f>
        <v/>
      </c>
      <c r="D938" t="str">
        <f>IFERROR(__xludf.DUMMYFUNCTION("""COMPUTED_VALUE"""),"")</f>
        <v/>
      </c>
      <c r="E938" t="str">
        <f>IFERROR(__xludf.DUMMYFUNCTION("""COMPUTED_VALUE"""),"")</f>
        <v/>
      </c>
      <c r="F938" t="str">
        <f>IFERROR(__xludf.DUMMYFUNCTION("""COMPUTED_VALUE"""),"")</f>
        <v/>
      </c>
      <c r="G938" t="str">
        <f>IFERROR(__xludf.DUMMYFUNCTION("""COMPUTED_VALUE"""),"")</f>
        <v/>
      </c>
      <c r="H938" t="str">
        <f>IFERROR(__xludf.DUMMYFUNCTION("""COMPUTED_VALUE"""),"")</f>
        <v/>
      </c>
      <c r="I938" t="str">
        <f>IFERROR(__xludf.DUMMYFUNCTION("""COMPUTED_VALUE"""),"")</f>
        <v/>
      </c>
      <c r="J938" t="str">
        <f>IFERROR(__xludf.DUMMYFUNCTION("""COMPUTED_VALUE"""),"")</f>
        <v/>
      </c>
      <c r="K938" t="str">
        <f>IFERROR(__xludf.DUMMYFUNCTION("""COMPUTED_VALUE"""),"")</f>
        <v/>
      </c>
      <c r="L938" t="str">
        <f>IFERROR(__xludf.DUMMYFUNCTION("""COMPUTED_VALUE"""),"")</f>
        <v/>
      </c>
    </row>
    <row r="939">
      <c r="A939" t="str">
        <f>IFERROR(__xludf.DUMMYFUNCTION("""COMPUTED_VALUE"""),"")</f>
        <v/>
      </c>
      <c r="B939" t="str">
        <f>IFERROR(__xludf.DUMMYFUNCTION("""COMPUTED_VALUE"""),"")</f>
        <v/>
      </c>
      <c r="C939" t="str">
        <f>IFERROR(__xludf.DUMMYFUNCTION("""COMPUTED_VALUE"""),"")</f>
        <v/>
      </c>
      <c r="D939" t="str">
        <f>IFERROR(__xludf.DUMMYFUNCTION("""COMPUTED_VALUE"""),"")</f>
        <v/>
      </c>
      <c r="E939" t="str">
        <f>IFERROR(__xludf.DUMMYFUNCTION("""COMPUTED_VALUE"""),"")</f>
        <v/>
      </c>
      <c r="F939" t="str">
        <f>IFERROR(__xludf.DUMMYFUNCTION("""COMPUTED_VALUE"""),"")</f>
        <v/>
      </c>
      <c r="G939" t="str">
        <f>IFERROR(__xludf.DUMMYFUNCTION("""COMPUTED_VALUE"""),"")</f>
        <v/>
      </c>
      <c r="H939" t="str">
        <f>IFERROR(__xludf.DUMMYFUNCTION("""COMPUTED_VALUE"""),"")</f>
        <v/>
      </c>
      <c r="I939" t="str">
        <f>IFERROR(__xludf.DUMMYFUNCTION("""COMPUTED_VALUE"""),"")</f>
        <v/>
      </c>
      <c r="J939" t="str">
        <f>IFERROR(__xludf.DUMMYFUNCTION("""COMPUTED_VALUE"""),"")</f>
        <v/>
      </c>
      <c r="K939" t="str">
        <f>IFERROR(__xludf.DUMMYFUNCTION("""COMPUTED_VALUE"""),"")</f>
        <v/>
      </c>
      <c r="L939" t="str">
        <f>IFERROR(__xludf.DUMMYFUNCTION("""COMPUTED_VALUE"""),"")</f>
        <v/>
      </c>
    </row>
    <row r="940">
      <c r="A940" t="str">
        <f>IFERROR(__xludf.DUMMYFUNCTION("""COMPUTED_VALUE"""),"")</f>
        <v/>
      </c>
      <c r="B940" t="str">
        <f>IFERROR(__xludf.DUMMYFUNCTION("""COMPUTED_VALUE"""),"")</f>
        <v/>
      </c>
      <c r="C940" t="str">
        <f>IFERROR(__xludf.DUMMYFUNCTION("""COMPUTED_VALUE"""),"")</f>
        <v/>
      </c>
      <c r="D940" t="str">
        <f>IFERROR(__xludf.DUMMYFUNCTION("""COMPUTED_VALUE"""),"")</f>
        <v/>
      </c>
      <c r="E940" t="str">
        <f>IFERROR(__xludf.DUMMYFUNCTION("""COMPUTED_VALUE"""),"")</f>
        <v/>
      </c>
      <c r="F940" t="str">
        <f>IFERROR(__xludf.DUMMYFUNCTION("""COMPUTED_VALUE"""),"")</f>
        <v/>
      </c>
      <c r="G940" t="str">
        <f>IFERROR(__xludf.DUMMYFUNCTION("""COMPUTED_VALUE"""),"")</f>
        <v/>
      </c>
      <c r="H940" t="str">
        <f>IFERROR(__xludf.DUMMYFUNCTION("""COMPUTED_VALUE"""),"")</f>
        <v/>
      </c>
      <c r="I940" t="str">
        <f>IFERROR(__xludf.DUMMYFUNCTION("""COMPUTED_VALUE"""),"")</f>
        <v/>
      </c>
      <c r="J940" t="str">
        <f>IFERROR(__xludf.DUMMYFUNCTION("""COMPUTED_VALUE"""),"")</f>
        <v/>
      </c>
      <c r="K940" t="str">
        <f>IFERROR(__xludf.DUMMYFUNCTION("""COMPUTED_VALUE"""),"")</f>
        <v/>
      </c>
      <c r="L940" t="str">
        <f>IFERROR(__xludf.DUMMYFUNCTION("""COMPUTED_VALUE"""),"")</f>
        <v/>
      </c>
    </row>
    <row r="941">
      <c r="A941" t="str">
        <f>IFERROR(__xludf.DUMMYFUNCTION("""COMPUTED_VALUE"""),"")</f>
        <v/>
      </c>
      <c r="B941" t="str">
        <f>IFERROR(__xludf.DUMMYFUNCTION("""COMPUTED_VALUE"""),"")</f>
        <v/>
      </c>
      <c r="C941" t="str">
        <f>IFERROR(__xludf.DUMMYFUNCTION("""COMPUTED_VALUE"""),"")</f>
        <v/>
      </c>
      <c r="D941" t="str">
        <f>IFERROR(__xludf.DUMMYFUNCTION("""COMPUTED_VALUE"""),"")</f>
        <v/>
      </c>
      <c r="E941" t="str">
        <f>IFERROR(__xludf.DUMMYFUNCTION("""COMPUTED_VALUE"""),"")</f>
        <v/>
      </c>
      <c r="F941" t="str">
        <f>IFERROR(__xludf.DUMMYFUNCTION("""COMPUTED_VALUE"""),"")</f>
        <v/>
      </c>
      <c r="G941" t="str">
        <f>IFERROR(__xludf.DUMMYFUNCTION("""COMPUTED_VALUE"""),"")</f>
        <v/>
      </c>
      <c r="H941" t="str">
        <f>IFERROR(__xludf.DUMMYFUNCTION("""COMPUTED_VALUE"""),"")</f>
        <v/>
      </c>
      <c r="I941" t="str">
        <f>IFERROR(__xludf.DUMMYFUNCTION("""COMPUTED_VALUE"""),"")</f>
        <v/>
      </c>
      <c r="J941" t="str">
        <f>IFERROR(__xludf.DUMMYFUNCTION("""COMPUTED_VALUE"""),"")</f>
        <v/>
      </c>
      <c r="K941" t="str">
        <f>IFERROR(__xludf.DUMMYFUNCTION("""COMPUTED_VALUE"""),"")</f>
        <v/>
      </c>
      <c r="L941" t="str">
        <f>IFERROR(__xludf.DUMMYFUNCTION("""COMPUTED_VALUE"""),"")</f>
        <v/>
      </c>
    </row>
    <row r="942">
      <c r="A942" t="str">
        <f>IFERROR(__xludf.DUMMYFUNCTION("""COMPUTED_VALUE"""),"")</f>
        <v/>
      </c>
      <c r="B942" t="str">
        <f>IFERROR(__xludf.DUMMYFUNCTION("""COMPUTED_VALUE"""),"")</f>
        <v/>
      </c>
      <c r="C942" t="str">
        <f>IFERROR(__xludf.DUMMYFUNCTION("""COMPUTED_VALUE"""),"")</f>
        <v/>
      </c>
      <c r="D942" t="str">
        <f>IFERROR(__xludf.DUMMYFUNCTION("""COMPUTED_VALUE"""),"")</f>
        <v/>
      </c>
      <c r="E942" t="str">
        <f>IFERROR(__xludf.DUMMYFUNCTION("""COMPUTED_VALUE"""),"")</f>
        <v/>
      </c>
      <c r="F942" t="str">
        <f>IFERROR(__xludf.DUMMYFUNCTION("""COMPUTED_VALUE"""),"")</f>
        <v/>
      </c>
      <c r="G942" t="str">
        <f>IFERROR(__xludf.DUMMYFUNCTION("""COMPUTED_VALUE"""),"")</f>
        <v/>
      </c>
      <c r="H942" t="str">
        <f>IFERROR(__xludf.DUMMYFUNCTION("""COMPUTED_VALUE"""),"")</f>
        <v/>
      </c>
      <c r="I942" t="str">
        <f>IFERROR(__xludf.DUMMYFUNCTION("""COMPUTED_VALUE"""),"")</f>
        <v/>
      </c>
      <c r="J942" t="str">
        <f>IFERROR(__xludf.DUMMYFUNCTION("""COMPUTED_VALUE"""),"")</f>
        <v/>
      </c>
      <c r="K942" t="str">
        <f>IFERROR(__xludf.DUMMYFUNCTION("""COMPUTED_VALUE"""),"")</f>
        <v/>
      </c>
      <c r="L942" t="str">
        <f>IFERROR(__xludf.DUMMYFUNCTION("""COMPUTED_VALUE"""),"")</f>
        <v/>
      </c>
    </row>
    <row r="943">
      <c r="A943" t="str">
        <f>IFERROR(__xludf.DUMMYFUNCTION("""COMPUTED_VALUE"""),"")</f>
        <v/>
      </c>
      <c r="B943" t="str">
        <f>IFERROR(__xludf.DUMMYFUNCTION("""COMPUTED_VALUE"""),"")</f>
        <v/>
      </c>
      <c r="C943" t="str">
        <f>IFERROR(__xludf.DUMMYFUNCTION("""COMPUTED_VALUE"""),"")</f>
        <v/>
      </c>
      <c r="D943" t="str">
        <f>IFERROR(__xludf.DUMMYFUNCTION("""COMPUTED_VALUE"""),"")</f>
        <v/>
      </c>
      <c r="E943" t="str">
        <f>IFERROR(__xludf.DUMMYFUNCTION("""COMPUTED_VALUE"""),"")</f>
        <v/>
      </c>
      <c r="F943" t="str">
        <f>IFERROR(__xludf.DUMMYFUNCTION("""COMPUTED_VALUE"""),"")</f>
        <v/>
      </c>
      <c r="G943" t="str">
        <f>IFERROR(__xludf.DUMMYFUNCTION("""COMPUTED_VALUE"""),"")</f>
        <v/>
      </c>
      <c r="H943" t="str">
        <f>IFERROR(__xludf.DUMMYFUNCTION("""COMPUTED_VALUE"""),"")</f>
        <v/>
      </c>
      <c r="I943" t="str">
        <f>IFERROR(__xludf.DUMMYFUNCTION("""COMPUTED_VALUE"""),"")</f>
        <v/>
      </c>
      <c r="J943" t="str">
        <f>IFERROR(__xludf.DUMMYFUNCTION("""COMPUTED_VALUE"""),"")</f>
        <v/>
      </c>
      <c r="K943" t="str">
        <f>IFERROR(__xludf.DUMMYFUNCTION("""COMPUTED_VALUE"""),"")</f>
        <v/>
      </c>
      <c r="L943" t="str">
        <f>IFERROR(__xludf.DUMMYFUNCTION("""COMPUTED_VALUE"""),"")</f>
        <v/>
      </c>
    </row>
    <row r="944">
      <c r="A944" t="str">
        <f>IFERROR(__xludf.DUMMYFUNCTION("""COMPUTED_VALUE"""),"")</f>
        <v/>
      </c>
      <c r="B944" t="str">
        <f>IFERROR(__xludf.DUMMYFUNCTION("""COMPUTED_VALUE"""),"")</f>
        <v/>
      </c>
      <c r="C944" t="str">
        <f>IFERROR(__xludf.DUMMYFUNCTION("""COMPUTED_VALUE"""),"")</f>
        <v/>
      </c>
      <c r="D944" t="str">
        <f>IFERROR(__xludf.DUMMYFUNCTION("""COMPUTED_VALUE"""),"")</f>
        <v/>
      </c>
      <c r="E944" t="str">
        <f>IFERROR(__xludf.DUMMYFUNCTION("""COMPUTED_VALUE"""),"")</f>
        <v/>
      </c>
      <c r="F944" t="str">
        <f>IFERROR(__xludf.DUMMYFUNCTION("""COMPUTED_VALUE"""),"")</f>
        <v/>
      </c>
      <c r="G944" t="str">
        <f>IFERROR(__xludf.DUMMYFUNCTION("""COMPUTED_VALUE"""),"")</f>
        <v/>
      </c>
      <c r="H944" t="str">
        <f>IFERROR(__xludf.DUMMYFUNCTION("""COMPUTED_VALUE"""),"")</f>
        <v/>
      </c>
      <c r="I944" t="str">
        <f>IFERROR(__xludf.DUMMYFUNCTION("""COMPUTED_VALUE"""),"")</f>
        <v/>
      </c>
      <c r="J944" t="str">
        <f>IFERROR(__xludf.DUMMYFUNCTION("""COMPUTED_VALUE"""),"")</f>
        <v/>
      </c>
      <c r="K944" t="str">
        <f>IFERROR(__xludf.DUMMYFUNCTION("""COMPUTED_VALUE"""),"")</f>
        <v/>
      </c>
      <c r="L944" t="str">
        <f>IFERROR(__xludf.DUMMYFUNCTION("""COMPUTED_VALUE"""),"")</f>
        <v/>
      </c>
    </row>
    <row r="945">
      <c r="A945" t="str">
        <f>IFERROR(__xludf.DUMMYFUNCTION("""COMPUTED_VALUE"""),"")</f>
        <v/>
      </c>
      <c r="B945" t="str">
        <f>IFERROR(__xludf.DUMMYFUNCTION("""COMPUTED_VALUE"""),"")</f>
        <v/>
      </c>
      <c r="C945" t="str">
        <f>IFERROR(__xludf.DUMMYFUNCTION("""COMPUTED_VALUE"""),"")</f>
        <v/>
      </c>
      <c r="D945" t="str">
        <f>IFERROR(__xludf.DUMMYFUNCTION("""COMPUTED_VALUE"""),"")</f>
        <v/>
      </c>
      <c r="E945" t="str">
        <f>IFERROR(__xludf.DUMMYFUNCTION("""COMPUTED_VALUE"""),"")</f>
        <v/>
      </c>
      <c r="F945" t="str">
        <f>IFERROR(__xludf.DUMMYFUNCTION("""COMPUTED_VALUE"""),"")</f>
        <v/>
      </c>
      <c r="G945" t="str">
        <f>IFERROR(__xludf.DUMMYFUNCTION("""COMPUTED_VALUE"""),"")</f>
        <v/>
      </c>
      <c r="H945" t="str">
        <f>IFERROR(__xludf.DUMMYFUNCTION("""COMPUTED_VALUE"""),"")</f>
        <v/>
      </c>
      <c r="I945" t="str">
        <f>IFERROR(__xludf.DUMMYFUNCTION("""COMPUTED_VALUE"""),"")</f>
        <v/>
      </c>
      <c r="J945" t="str">
        <f>IFERROR(__xludf.DUMMYFUNCTION("""COMPUTED_VALUE"""),"")</f>
        <v/>
      </c>
      <c r="K945" t="str">
        <f>IFERROR(__xludf.DUMMYFUNCTION("""COMPUTED_VALUE"""),"")</f>
        <v/>
      </c>
      <c r="L945" t="str">
        <f>IFERROR(__xludf.DUMMYFUNCTION("""COMPUTED_VALUE"""),"")</f>
        <v/>
      </c>
    </row>
    <row r="946">
      <c r="A946" t="str">
        <f>IFERROR(__xludf.DUMMYFUNCTION("""COMPUTED_VALUE"""),"")</f>
        <v/>
      </c>
      <c r="B946" t="str">
        <f>IFERROR(__xludf.DUMMYFUNCTION("""COMPUTED_VALUE"""),"")</f>
        <v/>
      </c>
      <c r="C946" t="str">
        <f>IFERROR(__xludf.DUMMYFUNCTION("""COMPUTED_VALUE"""),"")</f>
        <v/>
      </c>
      <c r="D946" t="str">
        <f>IFERROR(__xludf.DUMMYFUNCTION("""COMPUTED_VALUE"""),"")</f>
        <v/>
      </c>
      <c r="E946" t="str">
        <f>IFERROR(__xludf.DUMMYFUNCTION("""COMPUTED_VALUE"""),"")</f>
        <v/>
      </c>
      <c r="F946" t="str">
        <f>IFERROR(__xludf.DUMMYFUNCTION("""COMPUTED_VALUE"""),"")</f>
        <v/>
      </c>
      <c r="G946" t="str">
        <f>IFERROR(__xludf.DUMMYFUNCTION("""COMPUTED_VALUE"""),"")</f>
        <v/>
      </c>
      <c r="H946" t="str">
        <f>IFERROR(__xludf.DUMMYFUNCTION("""COMPUTED_VALUE"""),"")</f>
        <v/>
      </c>
      <c r="I946" t="str">
        <f>IFERROR(__xludf.DUMMYFUNCTION("""COMPUTED_VALUE"""),"")</f>
        <v/>
      </c>
      <c r="J946" t="str">
        <f>IFERROR(__xludf.DUMMYFUNCTION("""COMPUTED_VALUE"""),"")</f>
        <v/>
      </c>
      <c r="K946" t="str">
        <f>IFERROR(__xludf.DUMMYFUNCTION("""COMPUTED_VALUE"""),"")</f>
        <v/>
      </c>
      <c r="L946" t="str">
        <f>IFERROR(__xludf.DUMMYFUNCTION("""COMPUTED_VALUE"""),"")</f>
        <v/>
      </c>
    </row>
    <row r="947">
      <c r="A947" t="str">
        <f>IFERROR(__xludf.DUMMYFUNCTION("""COMPUTED_VALUE"""),"")</f>
        <v/>
      </c>
      <c r="B947" t="str">
        <f>IFERROR(__xludf.DUMMYFUNCTION("""COMPUTED_VALUE"""),"")</f>
        <v/>
      </c>
      <c r="C947" t="str">
        <f>IFERROR(__xludf.DUMMYFUNCTION("""COMPUTED_VALUE"""),"")</f>
        <v/>
      </c>
      <c r="D947" t="str">
        <f>IFERROR(__xludf.DUMMYFUNCTION("""COMPUTED_VALUE"""),"")</f>
        <v/>
      </c>
      <c r="E947" t="str">
        <f>IFERROR(__xludf.DUMMYFUNCTION("""COMPUTED_VALUE"""),"")</f>
        <v/>
      </c>
      <c r="F947" t="str">
        <f>IFERROR(__xludf.DUMMYFUNCTION("""COMPUTED_VALUE"""),"")</f>
        <v/>
      </c>
      <c r="G947" t="str">
        <f>IFERROR(__xludf.DUMMYFUNCTION("""COMPUTED_VALUE"""),"")</f>
        <v/>
      </c>
      <c r="H947" t="str">
        <f>IFERROR(__xludf.DUMMYFUNCTION("""COMPUTED_VALUE"""),"")</f>
        <v/>
      </c>
      <c r="I947" t="str">
        <f>IFERROR(__xludf.DUMMYFUNCTION("""COMPUTED_VALUE"""),"")</f>
        <v/>
      </c>
      <c r="J947" t="str">
        <f>IFERROR(__xludf.DUMMYFUNCTION("""COMPUTED_VALUE"""),"")</f>
        <v/>
      </c>
      <c r="K947" t="str">
        <f>IFERROR(__xludf.DUMMYFUNCTION("""COMPUTED_VALUE"""),"")</f>
        <v/>
      </c>
      <c r="L947" t="str">
        <f>IFERROR(__xludf.DUMMYFUNCTION("""COMPUTED_VALUE"""),"")</f>
        <v/>
      </c>
    </row>
    <row r="948">
      <c r="A948" t="str">
        <f>IFERROR(__xludf.DUMMYFUNCTION("""COMPUTED_VALUE"""),"")</f>
        <v/>
      </c>
      <c r="B948" t="str">
        <f>IFERROR(__xludf.DUMMYFUNCTION("""COMPUTED_VALUE"""),"")</f>
        <v/>
      </c>
      <c r="C948" t="str">
        <f>IFERROR(__xludf.DUMMYFUNCTION("""COMPUTED_VALUE"""),"")</f>
        <v/>
      </c>
      <c r="D948" t="str">
        <f>IFERROR(__xludf.DUMMYFUNCTION("""COMPUTED_VALUE"""),"")</f>
        <v/>
      </c>
      <c r="E948" t="str">
        <f>IFERROR(__xludf.DUMMYFUNCTION("""COMPUTED_VALUE"""),"")</f>
        <v/>
      </c>
      <c r="F948" t="str">
        <f>IFERROR(__xludf.DUMMYFUNCTION("""COMPUTED_VALUE"""),"")</f>
        <v/>
      </c>
      <c r="G948" t="str">
        <f>IFERROR(__xludf.DUMMYFUNCTION("""COMPUTED_VALUE"""),"")</f>
        <v/>
      </c>
      <c r="H948" t="str">
        <f>IFERROR(__xludf.DUMMYFUNCTION("""COMPUTED_VALUE"""),"")</f>
        <v/>
      </c>
      <c r="I948" t="str">
        <f>IFERROR(__xludf.DUMMYFUNCTION("""COMPUTED_VALUE"""),"")</f>
        <v/>
      </c>
      <c r="J948" t="str">
        <f>IFERROR(__xludf.DUMMYFUNCTION("""COMPUTED_VALUE"""),"")</f>
        <v/>
      </c>
      <c r="K948" t="str">
        <f>IFERROR(__xludf.DUMMYFUNCTION("""COMPUTED_VALUE"""),"")</f>
        <v/>
      </c>
      <c r="L948" t="str">
        <f>IFERROR(__xludf.DUMMYFUNCTION("""COMPUTED_VALUE"""),"")</f>
        <v/>
      </c>
    </row>
    <row r="949">
      <c r="A949" t="str">
        <f>IFERROR(__xludf.DUMMYFUNCTION("""COMPUTED_VALUE"""),"")</f>
        <v/>
      </c>
      <c r="B949" t="str">
        <f>IFERROR(__xludf.DUMMYFUNCTION("""COMPUTED_VALUE"""),"")</f>
        <v/>
      </c>
      <c r="C949" t="str">
        <f>IFERROR(__xludf.DUMMYFUNCTION("""COMPUTED_VALUE"""),"")</f>
        <v/>
      </c>
      <c r="D949" t="str">
        <f>IFERROR(__xludf.DUMMYFUNCTION("""COMPUTED_VALUE"""),"")</f>
        <v/>
      </c>
      <c r="E949" t="str">
        <f>IFERROR(__xludf.DUMMYFUNCTION("""COMPUTED_VALUE"""),"")</f>
        <v/>
      </c>
      <c r="F949" t="str">
        <f>IFERROR(__xludf.DUMMYFUNCTION("""COMPUTED_VALUE"""),"")</f>
        <v/>
      </c>
      <c r="G949" t="str">
        <f>IFERROR(__xludf.DUMMYFUNCTION("""COMPUTED_VALUE"""),"")</f>
        <v/>
      </c>
      <c r="H949" t="str">
        <f>IFERROR(__xludf.DUMMYFUNCTION("""COMPUTED_VALUE"""),"")</f>
        <v/>
      </c>
      <c r="I949" t="str">
        <f>IFERROR(__xludf.DUMMYFUNCTION("""COMPUTED_VALUE"""),"")</f>
        <v/>
      </c>
      <c r="J949" t="str">
        <f>IFERROR(__xludf.DUMMYFUNCTION("""COMPUTED_VALUE"""),"")</f>
        <v/>
      </c>
      <c r="K949" t="str">
        <f>IFERROR(__xludf.DUMMYFUNCTION("""COMPUTED_VALUE"""),"")</f>
        <v/>
      </c>
      <c r="L949" t="str">
        <f>IFERROR(__xludf.DUMMYFUNCTION("""COMPUTED_VALUE"""),"")</f>
        <v/>
      </c>
    </row>
    <row r="950">
      <c r="A950" t="str">
        <f>IFERROR(__xludf.DUMMYFUNCTION("""COMPUTED_VALUE"""),"")</f>
        <v/>
      </c>
      <c r="B950" t="str">
        <f>IFERROR(__xludf.DUMMYFUNCTION("""COMPUTED_VALUE"""),"")</f>
        <v/>
      </c>
      <c r="C950" t="str">
        <f>IFERROR(__xludf.DUMMYFUNCTION("""COMPUTED_VALUE"""),"")</f>
        <v/>
      </c>
      <c r="D950" t="str">
        <f>IFERROR(__xludf.DUMMYFUNCTION("""COMPUTED_VALUE"""),"")</f>
        <v/>
      </c>
      <c r="E950" t="str">
        <f>IFERROR(__xludf.DUMMYFUNCTION("""COMPUTED_VALUE"""),"")</f>
        <v/>
      </c>
      <c r="F950" t="str">
        <f>IFERROR(__xludf.DUMMYFUNCTION("""COMPUTED_VALUE"""),"")</f>
        <v/>
      </c>
      <c r="G950" t="str">
        <f>IFERROR(__xludf.DUMMYFUNCTION("""COMPUTED_VALUE"""),"")</f>
        <v/>
      </c>
      <c r="H950" t="str">
        <f>IFERROR(__xludf.DUMMYFUNCTION("""COMPUTED_VALUE"""),"")</f>
        <v/>
      </c>
      <c r="I950" t="str">
        <f>IFERROR(__xludf.DUMMYFUNCTION("""COMPUTED_VALUE"""),"")</f>
        <v/>
      </c>
      <c r="J950" t="str">
        <f>IFERROR(__xludf.DUMMYFUNCTION("""COMPUTED_VALUE"""),"")</f>
        <v/>
      </c>
      <c r="K950" t="str">
        <f>IFERROR(__xludf.DUMMYFUNCTION("""COMPUTED_VALUE"""),"")</f>
        <v/>
      </c>
      <c r="L950" t="str">
        <f>IFERROR(__xludf.DUMMYFUNCTION("""COMPUTED_VALUE"""),"")</f>
        <v/>
      </c>
    </row>
    <row r="951">
      <c r="A951" t="str">
        <f>IFERROR(__xludf.DUMMYFUNCTION("""COMPUTED_VALUE"""),"")</f>
        <v/>
      </c>
      <c r="B951" t="str">
        <f>IFERROR(__xludf.DUMMYFUNCTION("""COMPUTED_VALUE"""),"")</f>
        <v/>
      </c>
      <c r="C951" t="str">
        <f>IFERROR(__xludf.DUMMYFUNCTION("""COMPUTED_VALUE"""),"")</f>
        <v/>
      </c>
      <c r="D951" t="str">
        <f>IFERROR(__xludf.DUMMYFUNCTION("""COMPUTED_VALUE"""),"")</f>
        <v/>
      </c>
      <c r="E951" t="str">
        <f>IFERROR(__xludf.DUMMYFUNCTION("""COMPUTED_VALUE"""),"")</f>
        <v/>
      </c>
      <c r="F951" t="str">
        <f>IFERROR(__xludf.DUMMYFUNCTION("""COMPUTED_VALUE"""),"")</f>
        <v/>
      </c>
      <c r="G951" t="str">
        <f>IFERROR(__xludf.DUMMYFUNCTION("""COMPUTED_VALUE"""),"")</f>
        <v/>
      </c>
      <c r="H951" t="str">
        <f>IFERROR(__xludf.DUMMYFUNCTION("""COMPUTED_VALUE"""),"")</f>
        <v/>
      </c>
      <c r="I951" t="str">
        <f>IFERROR(__xludf.DUMMYFUNCTION("""COMPUTED_VALUE"""),"")</f>
        <v/>
      </c>
      <c r="J951" t="str">
        <f>IFERROR(__xludf.DUMMYFUNCTION("""COMPUTED_VALUE"""),"")</f>
        <v/>
      </c>
      <c r="K951" t="str">
        <f>IFERROR(__xludf.DUMMYFUNCTION("""COMPUTED_VALUE"""),"")</f>
        <v/>
      </c>
      <c r="L951" t="str">
        <f>IFERROR(__xludf.DUMMYFUNCTION("""COMPUTED_VALUE"""),"")</f>
        <v/>
      </c>
    </row>
    <row r="952">
      <c r="A952" t="str">
        <f>IFERROR(__xludf.DUMMYFUNCTION("""COMPUTED_VALUE"""),"")</f>
        <v/>
      </c>
      <c r="B952" t="str">
        <f>IFERROR(__xludf.DUMMYFUNCTION("""COMPUTED_VALUE"""),"")</f>
        <v/>
      </c>
      <c r="C952" t="str">
        <f>IFERROR(__xludf.DUMMYFUNCTION("""COMPUTED_VALUE"""),"")</f>
        <v/>
      </c>
      <c r="D952" t="str">
        <f>IFERROR(__xludf.DUMMYFUNCTION("""COMPUTED_VALUE"""),"")</f>
        <v/>
      </c>
      <c r="E952" t="str">
        <f>IFERROR(__xludf.DUMMYFUNCTION("""COMPUTED_VALUE"""),"")</f>
        <v/>
      </c>
      <c r="F952" t="str">
        <f>IFERROR(__xludf.DUMMYFUNCTION("""COMPUTED_VALUE"""),"")</f>
        <v/>
      </c>
      <c r="G952" t="str">
        <f>IFERROR(__xludf.DUMMYFUNCTION("""COMPUTED_VALUE"""),"")</f>
        <v/>
      </c>
      <c r="H952" t="str">
        <f>IFERROR(__xludf.DUMMYFUNCTION("""COMPUTED_VALUE"""),"")</f>
        <v/>
      </c>
      <c r="I952" t="str">
        <f>IFERROR(__xludf.DUMMYFUNCTION("""COMPUTED_VALUE"""),"")</f>
        <v/>
      </c>
      <c r="J952" t="str">
        <f>IFERROR(__xludf.DUMMYFUNCTION("""COMPUTED_VALUE"""),"")</f>
        <v/>
      </c>
      <c r="K952" t="str">
        <f>IFERROR(__xludf.DUMMYFUNCTION("""COMPUTED_VALUE"""),"")</f>
        <v/>
      </c>
      <c r="L952" t="str">
        <f>IFERROR(__xludf.DUMMYFUNCTION("""COMPUTED_VALUE"""),"")</f>
        <v/>
      </c>
    </row>
    <row r="953">
      <c r="A953" t="str">
        <f>IFERROR(__xludf.DUMMYFUNCTION("""COMPUTED_VALUE"""),"")</f>
        <v/>
      </c>
      <c r="B953" t="str">
        <f>IFERROR(__xludf.DUMMYFUNCTION("""COMPUTED_VALUE"""),"")</f>
        <v/>
      </c>
      <c r="C953" t="str">
        <f>IFERROR(__xludf.DUMMYFUNCTION("""COMPUTED_VALUE"""),"")</f>
        <v/>
      </c>
      <c r="D953" t="str">
        <f>IFERROR(__xludf.DUMMYFUNCTION("""COMPUTED_VALUE"""),"")</f>
        <v/>
      </c>
      <c r="E953" t="str">
        <f>IFERROR(__xludf.DUMMYFUNCTION("""COMPUTED_VALUE"""),"")</f>
        <v/>
      </c>
      <c r="F953" t="str">
        <f>IFERROR(__xludf.DUMMYFUNCTION("""COMPUTED_VALUE"""),"")</f>
        <v/>
      </c>
      <c r="G953" t="str">
        <f>IFERROR(__xludf.DUMMYFUNCTION("""COMPUTED_VALUE"""),"")</f>
        <v/>
      </c>
      <c r="H953" t="str">
        <f>IFERROR(__xludf.DUMMYFUNCTION("""COMPUTED_VALUE"""),"")</f>
        <v/>
      </c>
      <c r="I953" t="str">
        <f>IFERROR(__xludf.DUMMYFUNCTION("""COMPUTED_VALUE"""),"")</f>
        <v/>
      </c>
      <c r="J953" t="str">
        <f>IFERROR(__xludf.DUMMYFUNCTION("""COMPUTED_VALUE"""),"")</f>
        <v/>
      </c>
      <c r="K953" t="str">
        <f>IFERROR(__xludf.DUMMYFUNCTION("""COMPUTED_VALUE"""),"")</f>
        <v/>
      </c>
      <c r="L953" t="str">
        <f>IFERROR(__xludf.DUMMYFUNCTION("""COMPUTED_VALUE"""),"")</f>
        <v/>
      </c>
    </row>
    <row r="954">
      <c r="A954" t="str">
        <f>IFERROR(__xludf.DUMMYFUNCTION("""COMPUTED_VALUE"""),"")</f>
        <v/>
      </c>
      <c r="B954" t="str">
        <f>IFERROR(__xludf.DUMMYFUNCTION("""COMPUTED_VALUE"""),"")</f>
        <v/>
      </c>
      <c r="C954" t="str">
        <f>IFERROR(__xludf.DUMMYFUNCTION("""COMPUTED_VALUE"""),"")</f>
        <v/>
      </c>
      <c r="D954" t="str">
        <f>IFERROR(__xludf.DUMMYFUNCTION("""COMPUTED_VALUE"""),"")</f>
        <v/>
      </c>
      <c r="E954" t="str">
        <f>IFERROR(__xludf.DUMMYFUNCTION("""COMPUTED_VALUE"""),"")</f>
        <v/>
      </c>
      <c r="F954" t="str">
        <f>IFERROR(__xludf.DUMMYFUNCTION("""COMPUTED_VALUE"""),"")</f>
        <v/>
      </c>
      <c r="G954" t="str">
        <f>IFERROR(__xludf.DUMMYFUNCTION("""COMPUTED_VALUE"""),"")</f>
        <v/>
      </c>
      <c r="H954" t="str">
        <f>IFERROR(__xludf.DUMMYFUNCTION("""COMPUTED_VALUE"""),"")</f>
        <v/>
      </c>
      <c r="I954" t="str">
        <f>IFERROR(__xludf.DUMMYFUNCTION("""COMPUTED_VALUE"""),"")</f>
        <v/>
      </c>
      <c r="J954" t="str">
        <f>IFERROR(__xludf.DUMMYFUNCTION("""COMPUTED_VALUE"""),"")</f>
        <v/>
      </c>
      <c r="K954" t="str">
        <f>IFERROR(__xludf.DUMMYFUNCTION("""COMPUTED_VALUE"""),"")</f>
        <v/>
      </c>
      <c r="L954" t="str">
        <f>IFERROR(__xludf.DUMMYFUNCTION("""COMPUTED_VALUE"""),"")</f>
        <v/>
      </c>
    </row>
    <row r="955">
      <c r="A955" t="str">
        <f>IFERROR(__xludf.DUMMYFUNCTION("""COMPUTED_VALUE"""),"")</f>
        <v/>
      </c>
      <c r="B955" t="str">
        <f>IFERROR(__xludf.DUMMYFUNCTION("""COMPUTED_VALUE"""),"")</f>
        <v/>
      </c>
      <c r="C955" t="str">
        <f>IFERROR(__xludf.DUMMYFUNCTION("""COMPUTED_VALUE"""),"")</f>
        <v/>
      </c>
      <c r="D955" t="str">
        <f>IFERROR(__xludf.DUMMYFUNCTION("""COMPUTED_VALUE"""),"")</f>
        <v/>
      </c>
      <c r="E955" t="str">
        <f>IFERROR(__xludf.DUMMYFUNCTION("""COMPUTED_VALUE"""),"")</f>
        <v/>
      </c>
      <c r="F955" t="str">
        <f>IFERROR(__xludf.DUMMYFUNCTION("""COMPUTED_VALUE"""),"")</f>
        <v/>
      </c>
      <c r="G955" t="str">
        <f>IFERROR(__xludf.DUMMYFUNCTION("""COMPUTED_VALUE"""),"")</f>
        <v/>
      </c>
      <c r="H955" t="str">
        <f>IFERROR(__xludf.DUMMYFUNCTION("""COMPUTED_VALUE"""),"")</f>
        <v/>
      </c>
      <c r="I955" t="str">
        <f>IFERROR(__xludf.DUMMYFUNCTION("""COMPUTED_VALUE"""),"")</f>
        <v/>
      </c>
      <c r="J955" t="str">
        <f>IFERROR(__xludf.DUMMYFUNCTION("""COMPUTED_VALUE"""),"")</f>
        <v/>
      </c>
      <c r="K955" t="str">
        <f>IFERROR(__xludf.DUMMYFUNCTION("""COMPUTED_VALUE"""),"")</f>
        <v/>
      </c>
      <c r="L955" t="str">
        <f>IFERROR(__xludf.DUMMYFUNCTION("""COMPUTED_VALUE"""),"")</f>
        <v/>
      </c>
    </row>
    <row r="956">
      <c r="A956" t="str">
        <f>IFERROR(__xludf.DUMMYFUNCTION("""COMPUTED_VALUE"""),"")</f>
        <v/>
      </c>
      <c r="B956" t="str">
        <f>IFERROR(__xludf.DUMMYFUNCTION("""COMPUTED_VALUE"""),"")</f>
        <v/>
      </c>
      <c r="C956" t="str">
        <f>IFERROR(__xludf.DUMMYFUNCTION("""COMPUTED_VALUE"""),"")</f>
        <v/>
      </c>
      <c r="D956" t="str">
        <f>IFERROR(__xludf.DUMMYFUNCTION("""COMPUTED_VALUE"""),"")</f>
        <v/>
      </c>
      <c r="E956" t="str">
        <f>IFERROR(__xludf.DUMMYFUNCTION("""COMPUTED_VALUE"""),"")</f>
        <v/>
      </c>
      <c r="F956" t="str">
        <f>IFERROR(__xludf.DUMMYFUNCTION("""COMPUTED_VALUE"""),"")</f>
        <v/>
      </c>
      <c r="G956" t="str">
        <f>IFERROR(__xludf.DUMMYFUNCTION("""COMPUTED_VALUE"""),"")</f>
        <v/>
      </c>
      <c r="H956" t="str">
        <f>IFERROR(__xludf.DUMMYFUNCTION("""COMPUTED_VALUE"""),"")</f>
        <v/>
      </c>
      <c r="I956" t="str">
        <f>IFERROR(__xludf.DUMMYFUNCTION("""COMPUTED_VALUE"""),"")</f>
        <v/>
      </c>
      <c r="J956" t="str">
        <f>IFERROR(__xludf.DUMMYFUNCTION("""COMPUTED_VALUE"""),"")</f>
        <v/>
      </c>
      <c r="K956" t="str">
        <f>IFERROR(__xludf.DUMMYFUNCTION("""COMPUTED_VALUE"""),"")</f>
        <v/>
      </c>
      <c r="L956" t="str">
        <f>IFERROR(__xludf.DUMMYFUNCTION("""COMPUTED_VALUE"""),"")</f>
        <v/>
      </c>
    </row>
    <row r="957">
      <c r="A957" t="str">
        <f>IFERROR(__xludf.DUMMYFUNCTION("""COMPUTED_VALUE"""),"")</f>
        <v/>
      </c>
      <c r="B957" t="str">
        <f>IFERROR(__xludf.DUMMYFUNCTION("""COMPUTED_VALUE"""),"")</f>
        <v/>
      </c>
      <c r="C957" t="str">
        <f>IFERROR(__xludf.DUMMYFUNCTION("""COMPUTED_VALUE"""),"")</f>
        <v/>
      </c>
      <c r="D957" t="str">
        <f>IFERROR(__xludf.DUMMYFUNCTION("""COMPUTED_VALUE"""),"")</f>
        <v/>
      </c>
      <c r="E957" t="str">
        <f>IFERROR(__xludf.DUMMYFUNCTION("""COMPUTED_VALUE"""),"")</f>
        <v/>
      </c>
      <c r="F957" t="str">
        <f>IFERROR(__xludf.DUMMYFUNCTION("""COMPUTED_VALUE"""),"")</f>
        <v/>
      </c>
      <c r="G957" t="str">
        <f>IFERROR(__xludf.DUMMYFUNCTION("""COMPUTED_VALUE"""),"")</f>
        <v/>
      </c>
      <c r="H957" t="str">
        <f>IFERROR(__xludf.DUMMYFUNCTION("""COMPUTED_VALUE"""),"")</f>
        <v/>
      </c>
      <c r="I957" t="str">
        <f>IFERROR(__xludf.DUMMYFUNCTION("""COMPUTED_VALUE"""),"")</f>
        <v/>
      </c>
      <c r="J957" t="str">
        <f>IFERROR(__xludf.DUMMYFUNCTION("""COMPUTED_VALUE"""),"")</f>
        <v/>
      </c>
      <c r="K957" t="str">
        <f>IFERROR(__xludf.DUMMYFUNCTION("""COMPUTED_VALUE"""),"")</f>
        <v/>
      </c>
      <c r="L957" t="str">
        <f>IFERROR(__xludf.DUMMYFUNCTION("""COMPUTED_VALUE"""),"")</f>
        <v/>
      </c>
    </row>
    <row r="958">
      <c r="A958" t="str">
        <f>IFERROR(__xludf.DUMMYFUNCTION("""COMPUTED_VALUE"""),"")</f>
        <v/>
      </c>
      <c r="B958" t="str">
        <f>IFERROR(__xludf.DUMMYFUNCTION("""COMPUTED_VALUE"""),"")</f>
        <v/>
      </c>
      <c r="C958" t="str">
        <f>IFERROR(__xludf.DUMMYFUNCTION("""COMPUTED_VALUE"""),"")</f>
        <v/>
      </c>
      <c r="D958" t="str">
        <f>IFERROR(__xludf.DUMMYFUNCTION("""COMPUTED_VALUE"""),"")</f>
        <v/>
      </c>
      <c r="E958" t="str">
        <f>IFERROR(__xludf.DUMMYFUNCTION("""COMPUTED_VALUE"""),"")</f>
        <v/>
      </c>
      <c r="F958" t="str">
        <f>IFERROR(__xludf.DUMMYFUNCTION("""COMPUTED_VALUE"""),"")</f>
        <v/>
      </c>
      <c r="G958" t="str">
        <f>IFERROR(__xludf.DUMMYFUNCTION("""COMPUTED_VALUE"""),"")</f>
        <v/>
      </c>
      <c r="H958" t="str">
        <f>IFERROR(__xludf.DUMMYFUNCTION("""COMPUTED_VALUE"""),"")</f>
        <v/>
      </c>
      <c r="I958" t="str">
        <f>IFERROR(__xludf.DUMMYFUNCTION("""COMPUTED_VALUE"""),"")</f>
        <v/>
      </c>
      <c r="J958" t="str">
        <f>IFERROR(__xludf.DUMMYFUNCTION("""COMPUTED_VALUE"""),"")</f>
        <v/>
      </c>
      <c r="K958" t="str">
        <f>IFERROR(__xludf.DUMMYFUNCTION("""COMPUTED_VALUE"""),"")</f>
        <v/>
      </c>
      <c r="L958" t="str">
        <f>IFERROR(__xludf.DUMMYFUNCTION("""COMPUTED_VALUE"""),"")</f>
        <v/>
      </c>
    </row>
    <row r="959">
      <c r="A959" t="str">
        <f>IFERROR(__xludf.DUMMYFUNCTION("""COMPUTED_VALUE"""),"")</f>
        <v/>
      </c>
      <c r="B959" t="str">
        <f>IFERROR(__xludf.DUMMYFUNCTION("""COMPUTED_VALUE"""),"")</f>
        <v/>
      </c>
      <c r="C959" t="str">
        <f>IFERROR(__xludf.DUMMYFUNCTION("""COMPUTED_VALUE"""),"")</f>
        <v/>
      </c>
      <c r="D959" t="str">
        <f>IFERROR(__xludf.DUMMYFUNCTION("""COMPUTED_VALUE"""),"")</f>
        <v/>
      </c>
      <c r="E959" t="str">
        <f>IFERROR(__xludf.DUMMYFUNCTION("""COMPUTED_VALUE"""),"")</f>
        <v/>
      </c>
      <c r="F959" t="str">
        <f>IFERROR(__xludf.DUMMYFUNCTION("""COMPUTED_VALUE"""),"")</f>
        <v/>
      </c>
      <c r="G959" t="str">
        <f>IFERROR(__xludf.DUMMYFUNCTION("""COMPUTED_VALUE"""),"")</f>
        <v/>
      </c>
      <c r="H959" t="str">
        <f>IFERROR(__xludf.DUMMYFUNCTION("""COMPUTED_VALUE"""),"")</f>
        <v/>
      </c>
      <c r="I959" t="str">
        <f>IFERROR(__xludf.DUMMYFUNCTION("""COMPUTED_VALUE"""),"")</f>
        <v/>
      </c>
      <c r="J959" t="str">
        <f>IFERROR(__xludf.DUMMYFUNCTION("""COMPUTED_VALUE"""),"")</f>
        <v/>
      </c>
      <c r="K959" t="str">
        <f>IFERROR(__xludf.DUMMYFUNCTION("""COMPUTED_VALUE"""),"")</f>
        <v/>
      </c>
      <c r="L959" t="str">
        <f>IFERROR(__xludf.DUMMYFUNCTION("""COMPUTED_VALUE"""),"")</f>
        <v/>
      </c>
    </row>
    <row r="960">
      <c r="A960" t="str">
        <f>IFERROR(__xludf.DUMMYFUNCTION("""COMPUTED_VALUE"""),"")</f>
        <v/>
      </c>
      <c r="B960" t="str">
        <f>IFERROR(__xludf.DUMMYFUNCTION("""COMPUTED_VALUE"""),"")</f>
        <v/>
      </c>
      <c r="C960" t="str">
        <f>IFERROR(__xludf.DUMMYFUNCTION("""COMPUTED_VALUE"""),"")</f>
        <v/>
      </c>
      <c r="D960" t="str">
        <f>IFERROR(__xludf.DUMMYFUNCTION("""COMPUTED_VALUE"""),"")</f>
        <v/>
      </c>
      <c r="E960" t="str">
        <f>IFERROR(__xludf.DUMMYFUNCTION("""COMPUTED_VALUE"""),"")</f>
        <v/>
      </c>
      <c r="F960" t="str">
        <f>IFERROR(__xludf.DUMMYFUNCTION("""COMPUTED_VALUE"""),"")</f>
        <v/>
      </c>
      <c r="G960" t="str">
        <f>IFERROR(__xludf.DUMMYFUNCTION("""COMPUTED_VALUE"""),"")</f>
        <v/>
      </c>
      <c r="H960" t="str">
        <f>IFERROR(__xludf.DUMMYFUNCTION("""COMPUTED_VALUE"""),"")</f>
        <v/>
      </c>
      <c r="I960" t="str">
        <f>IFERROR(__xludf.DUMMYFUNCTION("""COMPUTED_VALUE"""),"")</f>
        <v/>
      </c>
      <c r="J960" t="str">
        <f>IFERROR(__xludf.DUMMYFUNCTION("""COMPUTED_VALUE"""),"")</f>
        <v/>
      </c>
      <c r="K960" t="str">
        <f>IFERROR(__xludf.DUMMYFUNCTION("""COMPUTED_VALUE"""),"")</f>
        <v/>
      </c>
      <c r="L960" t="str">
        <f>IFERROR(__xludf.DUMMYFUNCTION("""COMPUTED_VALUE"""),"")</f>
        <v/>
      </c>
    </row>
    <row r="961">
      <c r="A961" t="str">
        <f>IFERROR(__xludf.DUMMYFUNCTION("""COMPUTED_VALUE"""),"")</f>
        <v/>
      </c>
      <c r="B961" t="str">
        <f>IFERROR(__xludf.DUMMYFUNCTION("""COMPUTED_VALUE"""),"")</f>
        <v/>
      </c>
      <c r="C961" t="str">
        <f>IFERROR(__xludf.DUMMYFUNCTION("""COMPUTED_VALUE"""),"")</f>
        <v/>
      </c>
      <c r="D961" t="str">
        <f>IFERROR(__xludf.DUMMYFUNCTION("""COMPUTED_VALUE"""),"")</f>
        <v/>
      </c>
      <c r="E961" t="str">
        <f>IFERROR(__xludf.DUMMYFUNCTION("""COMPUTED_VALUE"""),"")</f>
        <v/>
      </c>
      <c r="F961" t="str">
        <f>IFERROR(__xludf.DUMMYFUNCTION("""COMPUTED_VALUE"""),"")</f>
        <v/>
      </c>
      <c r="G961" t="str">
        <f>IFERROR(__xludf.DUMMYFUNCTION("""COMPUTED_VALUE"""),"")</f>
        <v/>
      </c>
      <c r="H961" t="str">
        <f>IFERROR(__xludf.DUMMYFUNCTION("""COMPUTED_VALUE"""),"")</f>
        <v/>
      </c>
      <c r="I961" t="str">
        <f>IFERROR(__xludf.DUMMYFUNCTION("""COMPUTED_VALUE"""),"")</f>
        <v/>
      </c>
      <c r="J961" t="str">
        <f>IFERROR(__xludf.DUMMYFUNCTION("""COMPUTED_VALUE"""),"")</f>
        <v/>
      </c>
      <c r="K961" t="str">
        <f>IFERROR(__xludf.DUMMYFUNCTION("""COMPUTED_VALUE"""),"")</f>
        <v/>
      </c>
      <c r="L961" t="str">
        <f>IFERROR(__xludf.DUMMYFUNCTION("""COMPUTED_VALUE"""),"")</f>
        <v/>
      </c>
    </row>
    <row r="962">
      <c r="A962" t="str">
        <f>IFERROR(__xludf.DUMMYFUNCTION("""COMPUTED_VALUE"""),"")</f>
        <v/>
      </c>
      <c r="B962" t="str">
        <f>IFERROR(__xludf.DUMMYFUNCTION("""COMPUTED_VALUE"""),"")</f>
        <v/>
      </c>
      <c r="C962" t="str">
        <f>IFERROR(__xludf.DUMMYFUNCTION("""COMPUTED_VALUE"""),"")</f>
        <v/>
      </c>
      <c r="D962" t="str">
        <f>IFERROR(__xludf.DUMMYFUNCTION("""COMPUTED_VALUE"""),"")</f>
        <v/>
      </c>
      <c r="E962" t="str">
        <f>IFERROR(__xludf.DUMMYFUNCTION("""COMPUTED_VALUE"""),"")</f>
        <v/>
      </c>
      <c r="F962" t="str">
        <f>IFERROR(__xludf.DUMMYFUNCTION("""COMPUTED_VALUE"""),"")</f>
        <v/>
      </c>
      <c r="G962" t="str">
        <f>IFERROR(__xludf.DUMMYFUNCTION("""COMPUTED_VALUE"""),"")</f>
        <v/>
      </c>
      <c r="H962" t="str">
        <f>IFERROR(__xludf.DUMMYFUNCTION("""COMPUTED_VALUE"""),"")</f>
        <v/>
      </c>
      <c r="I962" t="str">
        <f>IFERROR(__xludf.DUMMYFUNCTION("""COMPUTED_VALUE"""),"")</f>
        <v/>
      </c>
      <c r="J962" t="str">
        <f>IFERROR(__xludf.DUMMYFUNCTION("""COMPUTED_VALUE"""),"")</f>
        <v/>
      </c>
      <c r="K962" t="str">
        <f>IFERROR(__xludf.DUMMYFUNCTION("""COMPUTED_VALUE"""),"")</f>
        <v/>
      </c>
      <c r="L962" t="str">
        <f>IFERROR(__xludf.DUMMYFUNCTION("""COMPUTED_VALUE"""),"")</f>
        <v/>
      </c>
    </row>
    <row r="963">
      <c r="A963" t="str">
        <f>IFERROR(__xludf.DUMMYFUNCTION("""COMPUTED_VALUE"""),"")</f>
        <v/>
      </c>
      <c r="B963" t="str">
        <f>IFERROR(__xludf.DUMMYFUNCTION("""COMPUTED_VALUE"""),"")</f>
        <v/>
      </c>
      <c r="C963" t="str">
        <f>IFERROR(__xludf.DUMMYFUNCTION("""COMPUTED_VALUE"""),"")</f>
        <v/>
      </c>
      <c r="D963" t="str">
        <f>IFERROR(__xludf.DUMMYFUNCTION("""COMPUTED_VALUE"""),"")</f>
        <v/>
      </c>
      <c r="E963" t="str">
        <f>IFERROR(__xludf.DUMMYFUNCTION("""COMPUTED_VALUE"""),"")</f>
        <v/>
      </c>
      <c r="F963" t="str">
        <f>IFERROR(__xludf.DUMMYFUNCTION("""COMPUTED_VALUE"""),"")</f>
        <v/>
      </c>
      <c r="G963" t="str">
        <f>IFERROR(__xludf.DUMMYFUNCTION("""COMPUTED_VALUE"""),"")</f>
        <v/>
      </c>
      <c r="H963" t="str">
        <f>IFERROR(__xludf.DUMMYFUNCTION("""COMPUTED_VALUE"""),"")</f>
        <v/>
      </c>
      <c r="I963" t="str">
        <f>IFERROR(__xludf.DUMMYFUNCTION("""COMPUTED_VALUE"""),"")</f>
        <v/>
      </c>
      <c r="J963" t="str">
        <f>IFERROR(__xludf.DUMMYFUNCTION("""COMPUTED_VALUE"""),"")</f>
        <v/>
      </c>
      <c r="K963" t="str">
        <f>IFERROR(__xludf.DUMMYFUNCTION("""COMPUTED_VALUE"""),"")</f>
        <v/>
      </c>
      <c r="L963" t="str">
        <f>IFERROR(__xludf.DUMMYFUNCTION("""COMPUTED_VALUE"""),"")</f>
        <v/>
      </c>
    </row>
    <row r="964">
      <c r="A964" t="str">
        <f>IFERROR(__xludf.DUMMYFUNCTION("""COMPUTED_VALUE"""),"")</f>
        <v/>
      </c>
      <c r="B964" t="str">
        <f>IFERROR(__xludf.DUMMYFUNCTION("""COMPUTED_VALUE"""),"")</f>
        <v/>
      </c>
      <c r="C964" t="str">
        <f>IFERROR(__xludf.DUMMYFUNCTION("""COMPUTED_VALUE"""),"")</f>
        <v/>
      </c>
      <c r="D964" t="str">
        <f>IFERROR(__xludf.DUMMYFUNCTION("""COMPUTED_VALUE"""),"")</f>
        <v/>
      </c>
      <c r="E964" t="str">
        <f>IFERROR(__xludf.DUMMYFUNCTION("""COMPUTED_VALUE"""),"")</f>
        <v/>
      </c>
      <c r="F964" t="str">
        <f>IFERROR(__xludf.DUMMYFUNCTION("""COMPUTED_VALUE"""),"")</f>
        <v/>
      </c>
      <c r="G964" t="str">
        <f>IFERROR(__xludf.DUMMYFUNCTION("""COMPUTED_VALUE"""),"")</f>
        <v/>
      </c>
      <c r="H964" t="str">
        <f>IFERROR(__xludf.DUMMYFUNCTION("""COMPUTED_VALUE"""),"")</f>
        <v/>
      </c>
      <c r="I964" t="str">
        <f>IFERROR(__xludf.DUMMYFUNCTION("""COMPUTED_VALUE"""),"")</f>
        <v/>
      </c>
      <c r="J964" t="str">
        <f>IFERROR(__xludf.DUMMYFUNCTION("""COMPUTED_VALUE"""),"")</f>
        <v/>
      </c>
      <c r="K964" t="str">
        <f>IFERROR(__xludf.DUMMYFUNCTION("""COMPUTED_VALUE"""),"")</f>
        <v/>
      </c>
      <c r="L964" t="str">
        <f>IFERROR(__xludf.DUMMYFUNCTION("""COMPUTED_VALUE"""),"")</f>
        <v/>
      </c>
    </row>
    <row r="965">
      <c r="A965" t="str">
        <f>IFERROR(__xludf.DUMMYFUNCTION("""COMPUTED_VALUE"""),"")</f>
        <v/>
      </c>
      <c r="B965" t="str">
        <f>IFERROR(__xludf.DUMMYFUNCTION("""COMPUTED_VALUE"""),"")</f>
        <v/>
      </c>
      <c r="C965" t="str">
        <f>IFERROR(__xludf.DUMMYFUNCTION("""COMPUTED_VALUE"""),"")</f>
        <v/>
      </c>
      <c r="D965" t="str">
        <f>IFERROR(__xludf.DUMMYFUNCTION("""COMPUTED_VALUE"""),"")</f>
        <v/>
      </c>
      <c r="E965" t="str">
        <f>IFERROR(__xludf.DUMMYFUNCTION("""COMPUTED_VALUE"""),"")</f>
        <v/>
      </c>
      <c r="F965" t="str">
        <f>IFERROR(__xludf.DUMMYFUNCTION("""COMPUTED_VALUE"""),"")</f>
        <v/>
      </c>
      <c r="G965" t="str">
        <f>IFERROR(__xludf.DUMMYFUNCTION("""COMPUTED_VALUE"""),"")</f>
        <v/>
      </c>
      <c r="H965" t="str">
        <f>IFERROR(__xludf.DUMMYFUNCTION("""COMPUTED_VALUE"""),"")</f>
        <v/>
      </c>
      <c r="I965" t="str">
        <f>IFERROR(__xludf.DUMMYFUNCTION("""COMPUTED_VALUE"""),"")</f>
        <v/>
      </c>
      <c r="J965" t="str">
        <f>IFERROR(__xludf.DUMMYFUNCTION("""COMPUTED_VALUE"""),"")</f>
        <v/>
      </c>
      <c r="K965" t="str">
        <f>IFERROR(__xludf.DUMMYFUNCTION("""COMPUTED_VALUE"""),"")</f>
        <v/>
      </c>
      <c r="L965" t="str">
        <f>IFERROR(__xludf.DUMMYFUNCTION("""COMPUTED_VALUE"""),"")</f>
        <v/>
      </c>
    </row>
    <row r="966">
      <c r="A966" t="str">
        <f>IFERROR(__xludf.DUMMYFUNCTION("""COMPUTED_VALUE"""),"")</f>
        <v/>
      </c>
      <c r="B966" t="str">
        <f>IFERROR(__xludf.DUMMYFUNCTION("""COMPUTED_VALUE"""),"")</f>
        <v/>
      </c>
      <c r="C966" t="str">
        <f>IFERROR(__xludf.DUMMYFUNCTION("""COMPUTED_VALUE"""),"")</f>
        <v/>
      </c>
      <c r="D966" t="str">
        <f>IFERROR(__xludf.DUMMYFUNCTION("""COMPUTED_VALUE"""),"")</f>
        <v/>
      </c>
      <c r="E966" t="str">
        <f>IFERROR(__xludf.DUMMYFUNCTION("""COMPUTED_VALUE"""),"")</f>
        <v/>
      </c>
      <c r="F966" t="str">
        <f>IFERROR(__xludf.DUMMYFUNCTION("""COMPUTED_VALUE"""),"")</f>
        <v/>
      </c>
      <c r="G966" t="str">
        <f>IFERROR(__xludf.DUMMYFUNCTION("""COMPUTED_VALUE"""),"")</f>
        <v/>
      </c>
      <c r="H966" t="str">
        <f>IFERROR(__xludf.DUMMYFUNCTION("""COMPUTED_VALUE"""),"")</f>
        <v/>
      </c>
      <c r="I966" t="str">
        <f>IFERROR(__xludf.DUMMYFUNCTION("""COMPUTED_VALUE"""),"")</f>
        <v/>
      </c>
      <c r="J966" t="str">
        <f>IFERROR(__xludf.DUMMYFUNCTION("""COMPUTED_VALUE"""),"")</f>
        <v/>
      </c>
      <c r="K966" t="str">
        <f>IFERROR(__xludf.DUMMYFUNCTION("""COMPUTED_VALUE"""),"")</f>
        <v/>
      </c>
      <c r="L966" t="str">
        <f>IFERROR(__xludf.DUMMYFUNCTION("""COMPUTED_VALUE"""),"")</f>
        <v/>
      </c>
    </row>
    <row r="967">
      <c r="A967" t="str">
        <f>IFERROR(__xludf.DUMMYFUNCTION("""COMPUTED_VALUE"""),"")</f>
        <v/>
      </c>
      <c r="B967" t="str">
        <f>IFERROR(__xludf.DUMMYFUNCTION("""COMPUTED_VALUE"""),"")</f>
        <v/>
      </c>
      <c r="C967" t="str">
        <f>IFERROR(__xludf.DUMMYFUNCTION("""COMPUTED_VALUE"""),"")</f>
        <v/>
      </c>
      <c r="D967" t="str">
        <f>IFERROR(__xludf.DUMMYFUNCTION("""COMPUTED_VALUE"""),"")</f>
        <v/>
      </c>
      <c r="E967" t="str">
        <f>IFERROR(__xludf.DUMMYFUNCTION("""COMPUTED_VALUE"""),"")</f>
        <v/>
      </c>
      <c r="F967" t="str">
        <f>IFERROR(__xludf.DUMMYFUNCTION("""COMPUTED_VALUE"""),"")</f>
        <v/>
      </c>
      <c r="G967" t="str">
        <f>IFERROR(__xludf.DUMMYFUNCTION("""COMPUTED_VALUE"""),"")</f>
        <v/>
      </c>
      <c r="H967" t="str">
        <f>IFERROR(__xludf.DUMMYFUNCTION("""COMPUTED_VALUE"""),"")</f>
        <v/>
      </c>
      <c r="I967" t="str">
        <f>IFERROR(__xludf.DUMMYFUNCTION("""COMPUTED_VALUE"""),"")</f>
        <v/>
      </c>
      <c r="J967" t="str">
        <f>IFERROR(__xludf.DUMMYFUNCTION("""COMPUTED_VALUE"""),"")</f>
        <v/>
      </c>
      <c r="K967" t="str">
        <f>IFERROR(__xludf.DUMMYFUNCTION("""COMPUTED_VALUE"""),"")</f>
        <v/>
      </c>
      <c r="L967" t="str">
        <f>IFERROR(__xludf.DUMMYFUNCTION("""COMPUTED_VALUE"""),"")</f>
        <v/>
      </c>
    </row>
    <row r="968">
      <c r="A968" t="str">
        <f>IFERROR(__xludf.DUMMYFUNCTION("""COMPUTED_VALUE"""),"")</f>
        <v/>
      </c>
      <c r="B968" t="str">
        <f>IFERROR(__xludf.DUMMYFUNCTION("""COMPUTED_VALUE"""),"")</f>
        <v/>
      </c>
      <c r="C968" t="str">
        <f>IFERROR(__xludf.DUMMYFUNCTION("""COMPUTED_VALUE"""),"")</f>
        <v/>
      </c>
      <c r="D968" t="str">
        <f>IFERROR(__xludf.DUMMYFUNCTION("""COMPUTED_VALUE"""),"")</f>
        <v/>
      </c>
      <c r="E968" t="str">
        <f>IFERROR(__xludf.DUMMYFUNCTION("""COMPUTED_VALUE"""),"")</f>
        <v/>
      </c>
      <c r="F968" t="str">
        <f>IFERROR(__xludf.DUMMYFUNCTION("""COMPUTED_VALUE"""),"")</f>
        <v/>
      </c>
      <c r="G968" t="str">
        <f>IFERROR(__xludf.DUMMYFUNCTION("""COMPUTED_VALUE"""),"")</f>
        <v/>
      </c>
      <c r="H968" t="str">
        <f>IFERROR(__xludf.DUMMYFUNCTION("""COMPUTED_VALUE"""),"")</f>
        <v/>
      </c>
      <c r="I968" t="str">
        <f>IFERROR(__xludf.DUMMYFUNCTION("""COMPUTED_VALUE"""),"")</f>
        <v/>
      </c>
      <c r="J968" t="str">
        <f>IFERROR(__xludf.DUMMYFUNCTION("""COMPUTED_VALUE"""),"")</f>
        <v/>
      </c>
      <c r="K968" t="str">
        <f>IFERROR(__xludf.DUMMYFUNCTION("""COMPUTED_VALUE"""),"")</f>
        <v/>
      </c>
      <c r="L968" t="str">
        <f>IFERROR(__xludf.DUMMYFUNCTION("""COMPUTED_VALUE"""),"")</f>
        <v/>
      </c>
    </row>
    <row r="969">
      <c r="A969" t="str">
        <f>IFERROR(__xludf.DUMMYFUNCTION("""COMPUTED_VALUE"""),"")</f>
        <v/>
      </c>
      <c r="B969" t="str">
        <f>IFERROR(__xludf.DUMMYFUNCTION("""COMPUTED_VALUE"""),"")</f>
        <v/>
      </c>
      <c r="C969" t="str">
        <f>IFERROR(__xludf.DUMMYFUNCTION("""COMPUTED_VALUE"""),"")</f>
        <v/>
      </c>
      <c r="D969" t="str">
        <f>IFERROR(__xludf.DUMMYFUNCTION("""COMPUTED_VALUE"""),"")</f>
        <v/>
      </c>
      <c r="E969" t="str">
        <f>IFERROR(__xludf.DUMMYFUNCTION("""COMPUTED_VALUE"""),"")</f>
        <v/>
      </c>
      <c r="F969" t="str">
        <f>IFERROR(__xludf.DUMMYFUNCTION("""COMPUTED_VALUE"""),"")</f>
        <v/>
      </c>
      <c r="G969" t="str">
        <f>IFERROR(__xludf.DUMMYFUNCTION("""COMPUTED_VALUE"""),"")</f>
        <v/>
      </c>
      <c r="H969" t="str">
        <f>IFERROR(__xludf.DUMMYFUNCTION("""COMPUTED_VALUE"""),"")</f>
        <v/>
      </c>
      <c r="I969" t="str">
        <f>IFERROR(__xludf.DUMMYFUNCTION("""COMPUTED_VALUE"""),"")</f>
        <v/>
      </c>
      <c r="J969" t="str">
        <f>IFERROR(__xludf.DUMMYFUNCTION("""COMPUTED_VALUE"""),"")</f>
        <v/>
      </c>
      <c r="K969" t="str">
        <f>IFERROR(__xludf.DUMMYFUNCTION("""COMPUTED_VALUE"""),"")</f>
        <v/>
      </c>
      <c r="L969" t="str">
        <f>IFERROR(__xludf.DUMMYFUNCTION("""COMPUTED_VALUE"""),"")</f>
        <v/>
      </c>
    </row>
    <row r="970">
      <c r="A970" t="str">
        <f>IFERROR(__xludf.DUMMYFUNCTION("""COMPUTED_VALUE"""),"")</f>
        <v/>
      </c>
      <c r="B970" t="str">
        <f>IFERROR(__xludf.DUMMYFUNCTION("""COMPUTED_VALUE"""),"")</f>
        <v/>
      </c>
      <c r="C970" t="str">
        <f>IFERROR(__xludf.DUMMYFUNCTION("""COMPUTED_VALUE"""),"")</f>
        <v/>
      </c>
      <c r="D970" t="str">
        <f>IFERROR(__xludf.DUMMYFUNCTION("""COMPUTED_VALUE"""),"")</f>
        <v/>
      </c>
      <c r="E970" t="str">
        <f>IFERROR(__xludf.DUMMYFUNCTION("""COMPUTED_VALUE"""),"")</f>
        <v/>
      </c>
      <c r="F970" t="str">
        <f>IFERROR(__xludf.DUMMYFUNCTION("""COMPUTED_VALUE"""),"")</f>
        <v/>
      </c>
      <c r="G970" t="str">
        <f>IFERROR(__xludf.DUMMYFUNCTION("""COMPUTED_VALUE"""),"")</f>
        <v/>
      </c>
      <c r="H970" t="str">
        <f>IFERROR(__xludf.DUMMYFUNCTION("""COMPUTED_VALUE"""),"")</f>
        <v/>
      </c>
      <c r="I970" t="str">
        <f>IFERROR(__xludf.DUMMYFUNCTION("""COMPUTED_VALUE"""),"")</f>
        <v/>
      </c>
      <c r="J970" t="str">
        <f>IFERROR(__xludf.DUMMYFUNCTION("""COMPUTED_VALUE"""),"")</f>
        <v/>
      </c>
      <c r="K970" t="str">
        <f>IFERROR(__xludf.DUMMYFUNCTION("""COMPUTED_VALUE"""),"")</f>
        <v/>
      </c>
      <c r="L970" t="str">
        <f>IFERROR(__xludf.DUMMYFUNCTION("""COMPUTED_VALUE"""),"")</f>
        <v/>
      </c>
    </row>
    <row r="971">
      <c r="A971" t="str">
        <f>IFERROR(__xludf.DUMMYFUNCTION("""COMPUTED_VALUE"""),"")</f>
        <v/>
      </c>
      <c r="B971" t="str">
        <f>IFERROR(__xludf.DUMMYFUNCTION("""COMPUTED_VALUE"""),"")</f>
        <v/>
      </c>
      <c r="C971" t="str">
        <f>IFERROR(__xludf.DUMMYFUNCTION("""COMPUTED_VALUE"""),"")</f>
        <v/>
      </c>
      <c r="D971" t="str">
        <f>IFERROR(__xludf.DUMMYFUNCTION("""COMPUTED_VALUE"""),"")</f>
        <v/>
      </c>
      <c r="E971" t="str">
        <f>IFERROR(__xludf.DUMMYFUNCTION("""COMPUTED_VALUE"""),"")</f>
        <v/>
      </c>
      <c r="F971" t="str">
        <f>IFERROR(__xludf.DUMMYFUNCTION("""COMPUTED_VALUE"""),"")</f>
        <v/>
      </c>
      <c r="G971" t="str">
        <f>IFERROR(__xludf.DUMMYFUNCTION("""COMPUTED_VALUE"""),"")</f>
        <v/>
      </c>
      <c r="H971" t="str">
        <f>IFERROR(__xludf.DUMMYFUNCTION("""COMPUTED_VALUE"""),"")</f>
        <v/>
      </c>
      <c r="I971" t="str">
        <f>IFERROR(__xludf.DUMMYFUNCTION("""COMPUTED_VALUE"""),"")</f>
        <v/>
      </c>
      <c r="J971" t="str">
        <f>IFERROR(__xludf.DUMMYFUNCTION("""COMPUTED_VALUE"""),"")</f>
        <v/>
      </c>
      <c r="K971" t="str">
        <f>IFERROR(__xludf.DUMMYFUNCTION("""COMPUTED_VALUE"""),"")</f>
        <v/>
      </c>
      <c r="L971" t="str">
        <f>IFERROR(__xludf.DUMMYFUNCTION("""COMPUTED_VALUE"""),"")</f>
        <v/>
      </c>
    </row>
    <row r="972">
      <c r="A972" t="str">
        <f>IFERROR(__xludf.DUMMYFUNCTION("""COMPUTED_VALUE"""),"")</f>
        <v/>
      </c>
      <c r="B972" t="str">
        <f>IFERROR(__xludf.DUMMYFUNCTION("""COMPUTED_VALUE"""),"")</f>
        <v/>
      </c>
      <c r="C972" t="str">
        <f>IFERROR(__xludf.DUMMYFUNCTION("""COMPUTED_VALUE"""),"")</f>
        <v/>
      </c>
      <c r="D972" t="str">
        <f>IFERROR(__xludf.DUMMYFUNCTION("""COMPUTED_VALUE"""),"")</f>
        <v/>
      </c>
      <c r="E972" t="str">
        <f>IFERROR(__xludf.DUMMYFUNCTION("""COMPUTED_VALUE"""),"")</f>
        <v/>
      </c>
      <c r="F972" t="str">
        <f>IFERROR(__xludf.DUMMYFUNCTION("""COMPUTED_VALUE"""),"")</f>
        <v/>
      </c>
      <c r="G972" t="str">
        <f>IFERROR(__xludf.DUMMYFUNCTION("""COMPUTED_VALUE"""),"")</f>
        <v/>
      </c>
      <c r="H972" t="str">
        <f>IFERROR(__xludf.DUMMYFUNCTION("""COMPUTED_VALUE"""),"")</f>
        <v/>
      </c>
      <c r="I972" t="str">
        <f>IFERROR(__xludf.DUMMYFUNCTION("""COMPUTED_VALUE"""),"")</f>
        <v/>
      </c>
      <c r="J972" t="str">
        <f>IFERROR(__xludf.DUMMYFUNCTION("""COMPUTED_VALUE"""),"")</f>
        <v/>
      </c>
      <c r="K972" t="str">
        <f>IFERROR(__xludf.DUMMYFUNCTION("""COMPUTED_VALUE"""),"")</f>
        <v/>
      </c>
      <c r="L972" t="str">
        <f>IFERROR(__xludf.DUMMYFUNCTION("""COMPUTED_VALUE"""),"")</f>
        <v/>
      </c>
    </row>
    <row r="973">
      <c r="A973" t="str">
        <f>IFERROR(__xludf.DUMMYFUNCTION("""COMPUTED_VALUE"""),"")</f>
        <v/>
      </c>
      <c r="B973" t="str">
        <f>IFERROR(__xludf.DUMMYFUNCTION("""COMPUTED_VALUE"""),"")</f>
        <v/>
      </c>
      <c r="C973" t="str">
        <f>IFERROR(__xludf.DUMMYFUNCTION("""COMPUTED_VALUE"""),"")</f>
        <v/>
      </c>
      <c r="D973" t="str">
        <f>IFERROR(__xludf.DUMMYFUNCTION("""COMPUTED_VALUE"""),"")</f>
        <v/>
      </c>
      <c r="E973" t="str">
        <f>IFERROR(__xludf.DUMMYFUNCTION("""COMPUTED_VALUE"""),"")</f>
        <v/>
      </c>
      <c r="F973" t="str">
        <f>IFERROR(__xludf.DUMMYFUNCTION("""COMPUTED_VALUE"""),"")</f>
        <v/>
      </c>
      <c r="G973" t="str">
        <f>IFERROR(__xludf.DUMMYFUNCTION("""COMPUTED_VALUE"""),"")</f>
        <v/>
      </c>
      <c r="H973" t="str">
        <f>IFERROR(__xludf.DUMMYFUNCTION("""COMPUTED_VALUE"""),"")</f>
        <v/>
      </c>
      <c r="I973" t="str">
        <f>IFERROR(__xludf.DUMMYFUNCTION("""COMPUTED_VALUE"""),"")</f>
        <v/>
      </c>
      <c r="J973" t="str">
        <f>IFERROR(__xludf.DUMMYFUNCTION("""COMPUTED_VALUE"""),"")</f>
        <v/>
      </c>
      <c r="K973" t="str">
        <f>IFERROR(__xludf.DUMMYFUNCTION("""COMPUTED_VALUE"""),"")</f>
        <v/>
      </c>
      <c r="L973" t="str">
        <f>IFERROR(__xludf.DUMMYFUNCTION("""COMPUTED_VALUE"""),"")</f>
        <v/>
      </c>
    </row>
    <row r="974">
      <c r="A974" t="str">
        <f>IFERROR(__xludf.DUMMYFUNCTION("""COMPUTED_VALUE"""),"")</f>
        <v/>
      </c>
      <c r="B974" t="str">
        <f>IFERROR(__xludf.DUMMYFUNCTION("""COMPUTED_VALUE"""),"")</f>
        <v/>
      </c>
      <c r="C974" t="str">
        <f>IFERROR(__xludf.DUMMYFUNCTION("""COMPUTED_VALUE"""),"")</f>
        <v/>
      </c>
      <c r="D974" t="str">
        <f>IFERROR(__xludf.DUMMYFUNCTION("""COMPUTED_VALUE"""),"")</f>
        <v/>
      </c>
      <c r="E974" t="str">
        <f>IFERROR(__xludf.DUMMYFUNCTION("""COMPUTED_VALUE"""),"")</f>
        <v/>
      </c>
      <c r="F974" t="str">
        <f>IFERROR(__xludf.DUMMYFUNCTION("""COMPUTED_VALUE"""),"")</f>
        <v/>
      </c>
      <c r="G974" t="str">
        <f>IFERROR(__xludf.DUMMYFUNCTION("""COMPUTED_VALUE"""),"")</f>
        <v/>
      </c>
      <c r="H974" t="str">
        <f>IFERROR(__xludf.DUMMYFUNCTION("""COMPUTED_VALUE"""),"")</f>
        <v/>
      </c>
      <c r="I974" t="str">
        <f>IFERROR(__xludf.DUMMYFUNCTION("""COMPUTED_VALUE"""),"")</f>
        <v/>
      </c>
      <c r="J974" t="str">
        <f>IFERROR(__xludf.DUMMYFUNCTION("""COMPUTED_VALUE"""),"")</f>
        <v/>
      </c>
      <c r="K974" t="str">
        <f>IFERROR(__xludf.DUMMYFUNCTION("""COMPUTED_VALUE"""),"")</f>
        <v/>
      </c>
      <c r="L974" t="str">
        <f>IFERROR(__xludf.DUMMYFUNCTION("""COMPUTED_VALUE"""),"")</f>
        <v/>
      </c>
    </row>
    <row r="975">
      <c r="A975" t="str">
        <f>IFERROR(__xludf.DUMMYFUNCTION("""COMPUTED_VALUE"""),"")</f>
        <v/>
      </c>
      <c r="B975" t="str">
        <f>IFERROR(__xludf.DUMMYFUNCTION("""COMPUTED_VALUE"""),"")</f>
        <v/>
      </c>
      <c r="C975" t="str">
        <f>IFERROR(__xludf.DUMMYFUNCTION("""COMPUTED_VALUE"""),"")</f>
        <v/>
      </c>
      <c r="D975" t="str">
        <f>IFERROR(__xludf.DUMMYFUNCTION("""COMPUTED_VALUE"""),"")</f>
        <v/>
      </c>
      <c r="E975" t="str">
        <f>IFERROR(__xludf.DUMMYFUNCTION("""COMPUTED_VALUE"""),"")</f>
        <v/>
      </c>
      <c r="F975" t="str">
        <f>IFERROR(__xludf.DUMMYFUNCTION("""COMPUTED_VALUE"""),"")</f>
        <v/>
      </c>
      <c r="G975" t="str">
        <f>IFERROR(__xludf.DUMMYFUNCTION("""COMPUTED_VALUE"""),"")</f>
        <v/>
      </c>
      <c r="H975" t="str">
        <f>IFERROR(__xludf.DUMMYFUNCTION("""COMPUTED_VALUE"""),"")</f>
        <v/>
      </c>
      <c r="I975" t="str">
        <f>IFERROR(__xludf.DUMMYFUNCTION("""COMPUTED_VALUE"""),"")</f>
        <v/>
      </c>
      <c r="J975" t="str">
        <f>IFERROR(__xludf.DUMMYFUNCTION("""COMPUTED_VALUE"""),"")</f>
        <v/>
      </c>
      <c r="K975" t="str">
        <f>IFERROR(__xludf.DUMMYFUNCTION("""COMPUTED_VALUE"""),"")</f>
        <v/>
      </c>
      <c r="L975" t="str">
        <f>IFERROR(__xludf.DUMMYFUNCTION("""COMPUTED_VALUE"""),"")</f>
        <v/>
      </c>
    </row>
    <row r="976">
      <c r="A976" t="str">
        <f>IFERROR(__xludf.DUMMYFUNCTION("""COMPUTED_VALUE"""),"")</f>
        <v/>
      </c>
      <c r="B976" t="str">
        <f>IFERROR(__xludf.DUMMYFUNCTION("""COMPUTED_VALUE"""),"")</f>
        <v/>
      </c>
      <c r="C976" t="str">
        <f>IFERROR(__xludf.DUMMYFUNCTION("""COMPUTED_VALUE"""),"")</f>
        <v/>
      </c>
      <c r="D976" t="str">
        <f>IFERROR(__xludf.DUMMYFUNCTION("""COMPUTED_VALUE"""),"")</f>
        <v/>
      </c>
      <c r="E976" t="str">
        <f>IFERROR(__xludf.DUMMYFUNCTION("""COMPUTED_VALUE"""),"")</f>
        <v/>
      </c>
      <c r="F976" t="str">
        <f>IFERROR(__xludf.DUMMYFUNCTION("""COMPUTED_VALUE"""),"")</f>
        <v/>
      </c>
      <c r="G976" t="str">
        <f>IFERROR(__xludf.DUMMYFUNCTION("""COMPUTED_VALUE"""),"")</f>
        <v/>
      </c>
      <c r="H976" t="str">
        <f>IFERROR(__xludf.DUMMYFUNCTION("""COMPUTED_VALUE"""),"")</f>
        <v/>
      </c>
      <c r="I976" t="str">
        <f>IFERROR(__xludf.DUMMYFUNCTION("""COMPUTED_VALUE"""),"")</f>
        <v/>
      </c>
      <c r="J976" t="str">
        <f>IFERROR(__xludf.DUMMYFUNCTION("""COMPUTED_VALUE"""),"")</f>
        <v/>
      </c>
      <c r="K976" t="str">
        <f>IFERROR(__xludf.DUMMYFUNCTION("""COMPUTED_VALUE"""),"")</f>
        <v/>
      </c>
      <c r="L976" t="str">
        <f>IFERROR(__xludf.DUMMYFUNCTION("""COMPUTED_VALUE"""),"")</f>
        <v/>
      </c>
    </row>
    <row r="977">
      <c r="A977" t="str">
        <f>IFERROR(__xludf.DUMMYFUNCTION("""COMPUTED_VALUE"""),"")</f>
        <v/>
      </c>
      <c r="B977" t="str">
        <f>IFERROR(__xludf.DUMMYFUNCTION("""COMPUTED_VALUE"""),"")</f>
        <v/>
      </c>
      <c r="C977" t="str">
        <f>IFERROR(__xludf.DUMMYFUNCTION("""COMPUTED_VALUE"""),"")</f>
        <v/>
      </c>
      <c r="D977" t="str">
        <f>IFERROR(__xludf.DUMMYFUNCTION("""COMPUTED_VALUE"""),"")</f>
        <v/>
      </c>
      <c r="E977" t="str">
        <f>IFERROR(__xludf.DUMMYFUNCTION("""COMPUTED_VALUE"""),"")</f>
        <v/>
      </c>
      <c r="F977" t="str">
        <f>IFERROR(__xludf.DUMMYFUNCTION("""COMPUTED_VALUE"""),"")</f>
        <v/>
      </c>
      <c r="G977" t="str">
        <f>IFERROR(__xludf.DUMMYFUNCTION("""COMPUTED_VALUE"""),"")</f>
        <v/>
      </c>
      <c r="H977" t="str">
        <f>IFERROR(__xludf.DUMMYFUNCTION("""COMPUTED_VALUE"""),"")</f>
        <v/>
      </c>
      <c r="I977" t="str">
        <f>IFERROR(__xludf.DUMMYFUNCTION("""COMPUTED_VALUE"""),"")</f>
        <v/>
      </c>
      <c r="J977" t="str">
        <f>IFERROR(__xludf.DUMMYFUNCTION("""COMPUTED_VALUE"""),"")</f>
        <v/>
      </c>
      <c r="K977" t="str">
        <f>IFERROR(__xludf.DUMMYFUNCTION("""COMPUTED_VALUE"""),"")</f>
        <v/>
      </c>
      <c r="L977" t="str">
        <f>IFERROR(__xludf.DUMMYFUNCTION("""COMPUTED_VALUE"""),"")</f>
        <v/>
      </c>
    </row>
    <row r="978">
      <c r="A978" t="str">
        <f>IFERROR(__xludf.DUMMYFUNCTION("""COMPUTED_VALUE"""),"")</f>
        <v/>
      </c>
      <c r="B978" t="str">
        <f>IFERROR(__xludf.DUMMYFUNCTION("""COMPUTED_VALUE"""),"")</f>
        <v/>
      </c>
      <c r="C978" t="str">
        <f>IFERROR(__xludf.DUMMYFUNCTION("""COMPUTED_VALUE"""),"")</f>
        <v/>
      </c>
      <c r="D978" t="str">
        <f>IFERROR(__xludf.DUMMYFUNCTION("""COMPUTED_VALUE"""),"")</f>
        <v/>
      </c>
      <c r="E978" t="str">
        <f>IFERROR(__xludf.DUMMYFUNCTION("""COMPUTED_VALUE"""),"")</f>
        <v/>
      </c>
      <c r="F978" t="str">
        <f>IFERROR(__xludf.DUMMYFUNCTION("""COMPUTED_VALUE"""),"")</f>
        <v/>
      </c>
      <c r="G978" t="str">
        <f>IFERROR(__xludf.DUMMYFUNCTION("""COMPUTED_VALUE"""),"")</f>
        <v/>
      </c>
      <c r="H978" t="str">
        <f>IFERROR(__xludf.DUMMYFUNCTION("""COMPUTED_VALUE"""),"")</f>
        <v/>
      </c>
      <c r="I978" t="str">
        <f>IFERROR(__xludf.DUMMYFUNCTION("""COMPUTED_VALUE"""),"")</f>
        <v/>
      </c>
      <c r="J978" t="str">
        <f>IFERROR(__xludf.DUMMYFUNCTION("""COMPUTED_VALUE"""),"")</f>
        <v/>
      </c>
      <c r="K978" t="str">
        <f>IFERROR(__xludf.DUMMYFUNCTION("""COMPUTED_VALUE"""),"")</f>
        <v/>
      </c>
      <c r="L978" t="str">
        <f>IFERROR(__xludf.DUMMYFUNCTION("""COMPUTED_VALUE"""),"")</f>
        <v/>
      </c>
    </row>
    <row r="979">
      <c r="A979" t="str">
        <f>IFERROR(__xludf.DUMMYFUNCTION("""COMPUTED_VALUE"""),"")</f>
        <v/>
      </c>
      <c r="B979" t="str">
        <f>IFERROR(__xludf.DUMMYFUNCTION("""COMPUTED_VALUE"""),"")</f>
        <v/>
      </c>
      <c r="C979" t="str">
        <f>IFERROR(__xludf.DUMMYFUNCTION("""COMPUTED_VALUE"""),"")</f>
        <v/>
      </c>
      <c r="D979" t="str">
        <f>IFERROR(__xludf.DUMMYFUNCTION("""COMPUTED_VALUE"""),"")</f>
        <v/>
      </c>
      <c r="E979" t="str">
        <f>IFERROR(__xludf.DUMMYFUNCTION("""COMPUTED_VALUE"""),"")</f>
        <v/>
      </c>
      <c r="F979" t="str">
        <f>IFERROR(__xludf.DUMMYFUNCTION("""COMPUTED_VALUE"""),"")</f>
        <v/>
      </c>
      <c r="G979" t="str">
        <f>IFERROR(__xludf.DUMMYFUNCTION("""COMPUTED_VALUE"""),"")</f>
        <v/>
      </c>
      <c r="H979" t="str">
        <f>IFERROR(__xludf.DUMMYFUNCTION("""COMPUTED_VALUE"""),"")</f>
        <v/>
      </c>
      <c r="I979" t="str">
        <f>IFERROR(__xludf.DUMMYFUNCTION("""COMPUTED_VALUE"""),"")</f>
        <v/>
      </c>
      <c r="J979" t="str">
        <f>IFERROR(__xludf.DUMMYFUNCTION("""COMPUTED_VALUE"""),"")</f>
        <v/>
      </c>
      <c r="K979" t="str">
        <f>IFERROR(__xludf.DUMMYFUNCTION("""COMPUTED_VALUE"""),"")</f>
        <v/>
      </c>
      <c r="L979" t="str">
        <f>IFERROR(__xludf.DUMMYFUNCTION("""COMPUTED_VALUE"""),"")</f>
        <v/>
      </c>
    </row>
    <row r="980">
      <c r="A980" t="str">
        <f>IFERROR(__xludf.DUMMYFUNCTION("""COMPUTED_VALUE"""),"")</f>
        <v/>
      </c>
      <c r="B980" t="str">
        <f>IFERROR(__xludf.DUMMYFUNCTION("""COMPUTED_VALUE"""),"")</f>
        <v/>
      </c>
      <c r="C980" t="str">
        <f>IFERROR(__xludf.DUMMYFUNCTION("""COMPUTED_VALUE"""),"")</f>
        <v/>
      </c>
      <c r="D980" t="str">
        <f>IFERROR(__xludf.DUMMYFUNCTION("""COMPUTED_VALUE"""),"")</f>
        <v/>
      </c>
      <c r="E980" t="str">
        <f>IFERROR(__xludf.DUMMYFUNCTION("""COMPUTED_VALUE"""),"")</f>
        <v/>
      </c>
      <c r="F980" t="str">
        <f>IFERROR(__xludf.DUMMYFUNCTION("""COMPUTED_VALUE"""),"")</f>
        <v/>
      </c>
      <c r="G980" t="str">
        <f>IFERROR(__xludf.DUMMYFUNCTION("""COMPUTED_VALUE"""),"")</f>
        <v/>
      </c>
      <c r="H980" t="str">
        <f>IFERROR(__xludf.DUMMYFUNCTION("""COMPUTED_VALUE"""),"")</f>
        <v/>
      </c>
      <c r="I980" t="str">
        <f>IFERROR(__xludf.DUMMYFUNCTION("""COMPUTED_VALUE"""),"")</f>
        <v/>
      </c>
      <c r="J980" t="str">
        <f>IFERROR(__xludf.DUMMYFUNCTION("""COMPUTED_VALUE"""),"")</f>
        <v/>
      </c>
      <c r="K980" t="str">
        <f>IFERROR(__xludf.DUMMYFUNCTION("""COMPUTED_VALUE"""),"")</f>
        <v/>
      </c>
      <c r="L980" t="str">
        <f>IFERROR(__xludf.DUMMYFUNCTION("""COMPUTED_VALUE"""),"")</f>
        <v/>
      </c>
    </row>
    <row r="981">
      <c r="A981" t="str">
        <f>IFERROR(__xludf.DUMMYFUNCTION("""COMPUTED_VALUE"""),"")</f>
        <v/>
      </c>
      <c r="B981" t="str">
        <f>IFERROR(__xludf.DUMMYFUNCTION("""COMPUTED_VALUE"""),"")</f>
        <v/>
      </c>
      <c r="C981" t="str">
        <f>IFERROR(__xludf.DUMMYFUNCTION("""COMPUTED_VALUE"""),"")</f>
        <v/>
      </c>
      <c r="D981" t="str">
        <f>IFERROR(__xludf.DUMMYFUNCTION("""COMPUTED_VALUE"""),"")</f>
        <v/>
      </c>
      <c r="E981" t="str">
        <f>IFERROR(__xludf.DUMMYFUNCTION("""COMPUTED_VALUE"""),"")</f>
        <v/>
      </c>
      <c r="F981" t="str">
        <f>IFERROR(__xludf.DUMMYFUNCTION("""COMPUTED_VALUE"""),"")</f>
        <v/>
      </c>
      <c r="G981" t="str">
        <f>IFERROR(__xludf.DUMMYFUNCTION("""COMPUTED_VALUE"""),"")</f>
        <v/>
      </c>
      <c r="H981" t="str">
        <f>IFERROR(__xludf.DUMMYFUNCTION("""COMPUTED_VALUE"""),"")</f>
        <v/>
      </c>
      <c r="I981" t="str">
        <f>IFERROR(__xludf.DUMMYFUNCTION("""COMPUTED_VALUE"""),"")</f>
        <v/>
      </c>
      <c r="J981" t="str">
        <f>IFERROR(__xludf.DUMMYFUNCTION("""COMPUTED_VALUE"""),"")</f>
        <v/>
      </c>
      <c r="K981" t="str">
        <f>IFERROR(__xludf.DUMMYFUNCTION("""COMPUTED_VALUE"""),"")</f>
        <v/>
      </c>
      <c r="L981" t="str">
        <f>IFERROR(__xludf.DUMMYFUNCTION("""COMPUTED_VALUE"""),"")</f>
        <v/>
      </c>
    </row>
    <row r="982">
      <c r="A982" t="str">
        <f>IFERROR(__xludf.DUMMYFUNCTION("""COMPUTED_VALUE"""),"")</f>
        <v/>
      </c>
      <c r="B982" t="str">
        <f>IFERROR(__xludf.DUMMYFUNCTION("""COMPUTED_VALUE"""),"")</f>
        <v/>
      </c>
      <c r="C982" t="str">
        <f>IFERROR(__xludf.DUMMYFUNCTION("""COMPUTED_VALUE"""),"")</f>
        <v/>
      </c>
      <c r="D982" t="str">
        <f>IFERROR(__xludf.DUMMYFUNCTION("""COMPUTED_VALUE"""),"")</f>
        <v/>
      </c>
      <c r="E982" t="str">
        <f>IFERROR(__xludf.DUMMYFUNCTION("""COMPUTED_VALUE"""),"")</f>
        <v/>
      </c>
      <c r="F982" t="str">
        <f>IFERROR(__xludf.DUMMYFUNCTION("""COMPUTED_VALUE"""),"")</f>
        <v/>
      </c>
      <c r="G982" t="str">
        <f>IFERROR(__xludf.DUMMYFUNCTION("""COMPUTED_VALUE"""),"")</f>
        <v/>
      </c>
      <c r="H982" t="str">
        <f>IFERROR(__xludf.DUMMYFUNCTION("""COMPUTED_VALUE"""),"")</f>
        <v/>
      </c>
      <c r="I982" t="str">
        <f>IFERROR(__xludf.DUMMYFUNCTION("""COMPUTED_VALUE"""),"")</f>
        <v/>
      </c>
      <c r="J982" t="str">
        <f>IFERROR(__xludf.DUMMYFUNCTION("""COMPUTED_VALUE"""),"")</f>
        <v/>
      </c>
      <c r="K982" t="str">
        <f>IFERROR(__xludf.DUMMYFUNCTION("""COMPUTED_VALUE"""),"")</f>
        <v/>
      </c>
      <c r="L982" t="str">
        <f>IFERROR(__xludf.DUMMYFUNCTION("""COMPUTED_VALUE"""),"")</f>
        <v/>
      </c>
    </row>
    <row r="983">
      <c r="A983" t="str">
        <f>IFERROR(__xludf.DUMMYFUNCTION("""COMPUTED_VALUE"""),"")</f>
        <v/>
      </c>
      <c r="B983" t="str">
        <f>IFERROR(__xludf.DUMMYFUNCTION("""COMPUTED_VALUE"""),"")</f>
        <v/>
      </c>
      <c r="C983" t="str">
        <f>IFERROR(__xludf.DUMMYFUNCTION("""COMPUTED_VALUE"""),"")</f>
        <v/>
      </c>
      <c r="D983" t="str">
        <f>IFERROR(__xludf.DUMMYFUNCTION("""COMPUTED_VALUE"""),"")</f>
        <v/>
      </c>
      <c r="E983" t="str">
        <f>IFERROR(__xludf.DUMMYFUNCTION("""COMPUTED_VALUE"""),"")</f>
        <v/>
      </c>
      <c r="F983" t="str">
        <f>IFERROR(__xludf.DUMMYFUNCTION("""COMPUTED_VALUE"""),"")</f>
        <v/>
      </c>
      <c r="G983" t="str">
        <f>IFERROR(__xludf.DUMMYFUNCTION("""COMPUTED_VALUE"""),"")</f>
        <v/>
      </c>
      <c r="H983" t="str">
        <f>IFERROR(__xludf.DUMMYFUNCTION("""COMPUTED_VALUE"""),"")</f>
        <v/>
      </c>
      <c r="I983" t="str">
        <f>IFERROR(__xludf.DUMMYFUNCTION("""COMPUTED_VALUE"""),"")</f>
        <v/>
      </c>
      <c r="J983" t="str">
        <f>IFERROR(__xludf.DUMMYFUNCTION("""COMPUTED_VALUE"""),"")</f>
        <v/>
      </c>
      <c r="K983" t="str">
        <f>IFERROR(__xludf.DUMMYFUNCTION("""COMPUTED_VALUE"""),"")</f>
        <v/>
      </c>
      <c r="L983" t="str">
        <f>IFERROR(__xludf.DUMMYFUNCTION("""COMPUTED_VALUE"""),"")</f>
        <v/>
      </c>
    </row>
    <row r="984">
      <c r="A984" t="str">
        <f>IFERROR(__xludf.DUMMYFUNCTION("""COMPUTED_VALUE"""),"")</f>
        <v/>
      </c>
      <c r="B984" t="str">
        <f>IFERROR(__xludf.DUMMYFUNCTION("""COMPUTED_VALUE"""),"")</f>
        <v/>
      </c>
      <c r="C984" t="str">
        <f>IFERROR(__xludf.DUMMYFUNCTION("""COMPUTED_VALUE"""),"")</f>
        <v/>
      </c>
      <c r="D984" t="str">
        <f>IFERROR(__xludf.DUMMYFUNCTION("""COMPUTED_VALUE"""),"")</f>
        <v/>
      </c>
      <c r="E984" t="str">
        <f>IFERROR(__xludf.DUMMYFUNCTION("""COMPUTED_VALUE"""),"")</f>
        <v/>
      </c>
      <c r="F984" t="str">
        <f>IFERROR(__xludf.DUMMYFUNCTION("""COMPUTED_VALUE"""),"")</f>
        <v/>
      </c>
      <c r="G984" t="str">
        <f>IFERROR(__xludf.DUMMYFUNCTION("""COMPUTED_VALUE"""),"")</f>
        <v/>
      </c>
      <c r="H984" t="str">
        <f>IFERROR(__xludf.DUMMYFUNCTION("""COMPUTED_VALUE"""),"")</f>
        <v/>
      </c>
      <c r="I984" t="str">
        <f>IFERROR(__xludf.DUMMYFUNCTION("""COMPUTED_VALUE"""),"")</f>
        <v/>
      </c>
      <c r="J984" t="str">
        <f>IFERROR(__xludf.DUMMYFUNCTION("""COMPUTED_VALUE"""),"")</f>
        <v/>
      </c>
      <c r="K984" t="str">
        <f>IFERROR(__xludf.DUMMYFUNCTION("""COMPUTED_VALUE"""),"")</f>
        <v/>
      </c>
      <c r="L984" t="str">
        <f>IFERROR(__xludf.DUMMYFUNCTION("""COMPUTED_VALUE"""),"")</f>
        <v/>
      </c>
    </row>
    <row r="985">
      <c r="A985" t="str">
        <f>IFERROR(__xludf.DUMMYFUNCTION("""COMPUTED_VALUE"""),"")</f>
        <v/>
      </c>
      <c r="B985" t="str">
        <f>IFERROR(__xludf.DUMMYFUNCTION("""COMPUTED_VALUE"""),"")</f>
        <v/>
      </c>
      <c r="C985" t="str">
        <f>IFERROR(__xludf.DUMMYFUNCTION("""COMPUTED_VALUE"""),"")</f>
        <v/>
      </c>
      <c r="D985" t="str">
        <f>IFERROR(__xludf.DUMMYFUNCTION("""COMPUTED_VALUE"""),"")</f>
        <v/>
      </c>
      <c r="E985" t="str">
        <f>IFERROR(__xludf.DUMMYFUNCTION("""COMPUTED_VALUE"""),"")</f>
        <v/>
      </c>
      <c r="F985" t="str">
        <f>IFERROR(__xludf.DUMMYFUNCTION("""COMPUTED_VALUE"""),"")</f>
        <v/>
      </c>
      <c r="G985" t="str">
        <f>IFERROR(__xludf.DUMMYFUNCTION("""COMPUTED_VALUE"""),"")</f>
        <v/>
      </c>
      <c r="H985" t="str">
        <f>IFERROR(__xludf.DUMMYFUNCTION("""COMPUTED_VALUE"""),"")</f>
        <v/>
      </c>
      <c r="I985" t="str">
        <f>IFERROR(__xludf.DUMMYFUNCTION("""COMPUTED_VALUE"""),"")</f>
        <v/>
      </c>
      <c r="J985" t="str">
        <f>IFERROR(__xludf.DUMMYFUNCTION("""COMPUTED_VALUE"""),"")</f>
        <v/>
      </c>
      <c r="K985" t="str">
        <f>IFERROR(__xludf.DUMMYFUNCTION("""COMPUTED_VALUE"""),"")</f>
        <v/>
      </c>
      <c r="L985" t="str">
        <f>IFERROR(__xludf.DUMMYFUNCTION("""COMPUTED_VALUE"""),"")</f>
        <v/>
      </c>
    </row>
    <row r="986">
      <c r="A986" t="str">
        <f>IFERROR(__xludf.DUMMYFUNCTION("""COMPUTED_VALUE"""),"")</f>
        <v/>
      </c>
      <c r="B986" t="str">
        <f>IFERROR(__xludf.DUMMYFUNCTION("""COMPUTED_VALUE"""),"")</f>
        <v/>
      </c>
      <c r="C986" t="str">
        <f>IFERROR(__xludf.DUMMYFUNCTION("""COMPUTED_VALUE"""),"")</f>
        <v/>
      </c>
      <c r="D986" t="str">
        <f>IFERROR(__xludf.DUMMYFUNCTION("""COMPUTED_VALUE"""),"")</f>
        <v/>
      </c>
      <c r="E986" t="str">
        <f>IFERROR(__xludf.DUMMYFUNCTION("""COMPUTED_VALUE"""),"")</f>
        <v/>
      </c>
      <c r="F986" t="str">
        <f>IFERROR(__xludf.DUMMYFUNCTION("""COMPUTED_VALUE"""),"")</f>
        <v/>
      </c>
      <c r="G986" t="str">
        <f>IFERROR(__xludf.DUMMYFUNCTION("""COMPUTED_VALUE"""),"")</f>
        <v/>
      </c>
      <c r="H986" t="str">
        <f>IFERROR(__xludf.DUMMYFUNCTION("""COMPUTED_VALUE"""),"")</f>
        <v/>
      </c>
      <c r="I986" t="str">
        <f>IFERROR(__xludf.DUMMYFUNCTION("""COMPUTED_VALUE"""),"")</f>
        <v/>
      </c>
      <c r="J986" t="str">
        <f>IFERROR(__xludf.DUMMYFUNCTION("""COMPUTED_VALUE"""),"")</f>
        <v/>
      </c>
      <c r="K986" t="str">
        <f>IFERROR(__xludf.DUMMYFUNCTION("""COMPUTED_VALUE"""),"")</f>
        <v/>
      </c>
      <c r="L986" t="str">
        <f>IFERROR(__xludf.DUMMYFUNCTION("""COMPUTED_VALUE"""),"")</f>
        <v/>
      </c>
    </row>
    <row r="987">
      <c r="A987" t="str">
        <f>IFERROR(__xludf.DUMMYFUNCTION("""COMPUTED_VALUE"""),"")</f>
        <v/>
      </c>
      <c r="B987" t="str">
        <f>IFERROR(__xludf.DUMMYFUNCTION("""COMPUTED_VALUE"""),"")</f>
        <v/>
      </c>
      <c r="C987" t="str">
        <f>IFERROR(__xludf.DUMMYFUNCTION("""COMPUTED_VALUE"""),"")</f>
        <v/>
      </c>
      <c r="D987" t="str">
        <f>IFERROR(__xludf.DUMMYFUNCTION("""COMPUTED_VALUE"""),"")</f>
        <v/>
      </c>
      <c r="E987" t="str">
        <f>IFERROR(__xludf.DUMMYFUNCTION("""COMPUTED_VALUE"""),"")</f>
        <v/>
      </c>
      <c r="F987" t="str">
        <f>IFERROR(__xludf.DUMMYFUNCTION("""COMPUTED_VALUE"""),"")</f>
        <v/>
      </c>
      <c r="G987" t="str">
        <f>IFERROR(__xludf.DUMMYFUNCTION("""COMPUTED_VALUE"""),"")</f>
        <v/>
      </c>
      <c r="H987" t="str">
        <f>IFERROR(__xludf.DUMMYFUNCTION("""COMPUTED_VALUE"""),"")</f>
        <v/>
      </c>
      <c r="I987" t="str">
        <f>IFERROR(__xludf.DUMMYFUNCTION("""COMPUTED_VALUE"""),"")</f>
        <v/>
      </c>
      <c r="J987" t="str">
        <f>IFERROR(__xludf.DUMMYFUNCTION("""COMPUTED_VALUE"""),"")</f>
        <v/>
      </c>
      <c r="K987" t="str">
        <f>IFERROR(__xludf.DUMMYFUNCTION("""COMPUTED_VALUE"""),"")</f>
        <v/>
      </c>
      <c r="L987" t="str">
        <f>IFERROR(__xludf.DUMMYFUNCTION("""COMPUTED_VALUE"""),"")</f>
        <v/>
      </c>
    </row>
    <row r="988">
      <c r="A988" t="str">
        <f>IFERROR(__xludf.DUMMYFUNCTION("""COMPUTED_VALUE"""),"")</f>
        <v/>
      </c>
      <c r="B988" t="str">
        <f>IFERROR(__xludf.DUMMYFUNCTION("""COMPUTED_VALUE"""),"")</f>
        <v/>
      </c>
      <c r="C988" t="str">
        <f>IFERROR(__xludf.DUMMYFUNCTION("""COMPUTED_VALUE"""),"")</f>
        <v/>
      </c>
      <c r="D988" t="str">
        <f>IFERROR(__xludf.DUMMYFUNCTION("""COMPUTED_VALUE"""),"")</f>
        <v/>
      </c>
      <c r="E988" t="str">
        <f>IFERROR(__xludf.DUMMYFUNCTION("""COMPUTED_VALUE"""),"")</f>
        <v/>
      </c>
      <c r="F988" t="str">
        <f>IFERROR(__xludf.DUMMYFUNCTION("""COMPUTED_VALUE"""),"")</f>
        <v/>
      </c>
      <c r="G988" t="str">
        <f>IFERROR(__xludf.DUMMYFUNCTION("""COMPUTED_VALUE"""),"")</f>
        <v/>
      </c>
      <c r="H988" t="str">
        <f>IFERROR(__xludf.DUMMYFUNCTION("""COMPUTED_VALUE"""),"")</f>
        <v/>
      </c>
      <c r="I988" t="str">
        <f>IFERROR(__xludf.DUMMYFUNCTION("""COMPUTED_VALUE"""),"")</f>
        <v/>
      </c>
      <c r="J988" t="str">
        <f>IFERROR(__xludf.DUMMYFUNCTION("""COMPUTED_VALUE"""),"")</f>
        <v/>
      </c>
      <c r="K988" t="str">
        <f>IFERROR(__xludf.DUMMYFUNCTION("""COMPUTED_VALUE"""),"")</f>
        <v/>
      </c>
      <c r="L988" t="str">
        <f>IFERROR(__xludf.DUMMYFUNCTION("""COMPUTED_VALUE"""),"")</f>
        <v/>
      </c>
    </row>
    <row r="989">
      <c r="A989" t="str">
        <f>IFERROR(__xludf.DUMMYFUNCTION("""COMPUTED_VALUE"""),"")</f>
        <v/>
      </c>
      <c r="B989" t="str">
        <f>IFERROR(__xludf.DUMMYFUNCTION("""COMPUTED_VALUE"""),"")</f>
        <v/>
      </c>
      <c r="C989" t="str">
        <f>IFERROR(__xludf.DUMMYFUNCTION("""COMPUTED_VALUE"""),"")</f>
        <v/>
      </c>
      <c r="D989" t="str">
        <f>IFERROR(__xludf.DUMMYFUNCTION("""COMPUTED_VALUE"""),"")</f>
        <v/>
      </c>
      <c r="E989" t="str">
        <f>IFERROR(__xludf.DUMMYFUNCTION("""COMPUTED_VALUE"""),"")</f>
        <v/>
      </c>
      <c r="F989" t="str">
        <f>IFERROR(__xludf.DUMMYFUNCTION("""COMPUTED_VALUE"""),"")</f>
        <v/>
      </c>
      <c r="G989" t="str">
        <f>IFERROR(__xludf.DUMMYFUNCTION("""COMPUTED_VALUE"""),"")</f>
        <v/>
      </c>
      <c r="H989" t="str">
        <f>IFERROR(__xludf.DUMMYFUNCTION("""COMPUTED_VALUE"""),"")</f>
        <v/>
      </c>
      <c r="I989" t="str">
        <f>IFERROR(__xludf.DUMMYFUNCTION("""COMPUTED_VALUE"""),"")</f>
        <v/>
      </c>
      <c r="J989" t="str">
        <f>IFERROR(__xludf.DUMMYFUNCTION("""COMPUTED_VALUE"""),"")</f>
        <v/>
      </c>
      <c r="K989" t="str">
        <f>IFERROR(__xludf.DUMMYFUNCTION("""COMPUTED_VALUE"""),"")</f>
        <v/>
      </c>
      <c r="L989" t="str">
        <f>IFERROR(__xludf.DUMMYFUNCTION("""COMPUTED_VALUE"""),"")</f>
        <v/>
      </c>
    </row>
    <row r="990">
      <c r="A990" t="str">
        <f>IFERROR(__xludf.DUMMYFUNCTION("""COMPUTED_VALUE"""),"")</f>
        <v/>
      </c>
      <c r="B990" t="str">
        <f>IFERROR(__xludf.DUMMYFUNCTION("""COMPUTED_VALUE"""),"")</f>
        <v/>
      </c>
      <c r="C990" t="str">
        <f>IFERROR(__xludf.DUMMYFUNCTION("""COMPUTED_VALUE"""),"")</f>
        <v/>
      </c>
      <c r="D990" t="str">
        <f>IFERROR(__xludf.DUMMYFUNCTION("""COMPUTED_VALUE"""),"")</f>
        <v/>
      </c>
      <c r="E990" t="str">
        <f>IFERROR(__xludf.DUMMYFUNCTION("""COMPUTED_VALUE"""),"")</f>
        <v/>
      </c>
      <c r="F990" t="str">
        <f>IFERROR(__xludf.DUMMYFUNCTION("""COMPUTED_VALUE"""),"")</f>
        <v/>
      </c>
      <c r="G990" t="str">
        <f>IFERROR(__xludf.DUMMYFUNCTION("""COMPUTED_VALUE"""),"")</f>
        <v/>
      </c>
      <c r="H990" t="str">
        <f>IFERROR(__xludf.DUMMYFUNCTION("""COMPUTED_VALUE"""),"")</f>
        <v/>
      </c>
      <c r="I990" t="str">
        <f>IFERROR(__xludf.DUMMYFUNCTION("""COMPUTED_VALUE"""),"")</f>
        <v/>
      </c>
      <c r="J990" t="str">
        <f>IFERROR(__xludf.DUMMYFUNCTION("""COMPUTED_VALUE"""),"")</f>
        <v/>
      </c>
      <c r="K990" t="str">
        <f>IFERROR(__xludf.DUMMYFUNCTION("""COMPUTED_VALUE"""),"")</f>
        <v/>
      </c>
      <c r="L990" t="str">
        <f>IFERROR(__xludf.DUMMYFUNCTION("""COMPUTED_VALUE"""),"")</f>
        <v/>
      </c>
    </row>
    <row r="991">
      <c r="A991" t="str">
        <f>IFERROR(__xludf.DUMMYFUNCTION("""COMPUTED_VALUE"""),"")</f>
        <v/>
      </c>
      <c r="B991" t="str">
        <f>IFERROR(__xludf.DUMMYFUNCTION("""COMPUTED_VALUE"""),"")</f>
        <v/>
      </c>
      <c r="C991" t="str">
        <f>IFERROR(__xludf.DUMMYFUNCTION("""COMPUTED_VALUE"""),"")</f>
        <v/>
      </c>
      <c r="D991" t="str">
        <f>IFERROR(__xludf.DUMMYFUNCTION("""COMPUTED_VALUE"""),"")</f>
        <v/>
      </c>
      <c r="E991" t="str">
        <f>IFERROR(__xludf.DUMMYFUNCTION("""COMPUTED_VALUE"""),"")</f>
        <v/>
      </c>
      <c r="F991" t="str">
        <f>IFERROR(__xludf.DUMMYFUNCTION("""COMPUTED_VALUE"""),"")</f>
        <v/>
      </c>
      <c r="G991" t="str">
        <f>IFERROR(__xludf.DUMMYFUNCTION("""COMPUTED_VALUE"""),"")</f>
        <v/>
      </c>
      <c r="H991" t="str">
        <f>IFERROR(__xludf.DUMMYFUNCTION("""COMPUTED_VALUE"""),"")</f>
        <v/>
      </c>
      <c r="I991" t="str">
        <f>IFERROR(__xludf.DUMMYFUNCTION("""COMPUTED_VALUE"""),"")</f>
        <v/>
      </c>
      <c r="J991" t="str">
        <f>IFERROR(__xludf.DUMMYFUNCTION("""COMPUTED_VALUE"""),"")</f>
        <v/>
      </c>
      <c r="K991" t="str">
        <f>IFERROR(__xludf.DUMMYFUNCTION("""COMPUTED_VALUE"""),"")</f>
        <v/>
      </c>
      <c r="L991" t="str">
        <f>IFERROR(__xludf.DUMMYFUNCTION("""COMPUTED_VALUE"""),"")</f>
        <v/>
      </c>
    </row>
    <row r="992">
      <c r="A992" t="str">
        <f>IFERROR(__xludf.DUMMYFUNCTION("""COMPUTED_VALUE"""),"")</f>
        <v/>
      </c>
      <c r="B992" t="str">
        <f>IFERROR(__xludf.DUMMYFUNCTION("""COMPUTED_VALUE"""),"")</f>
        <v/>
      </c>
      <c r="C992" t="str">
        <f>IFERROR(__xludf.DUMMYFUNCTION("""COMPUTED_VALUE"""),"")</f>
        <v/>
      </c>
      <c r="D992" t="str">
        <f>IFERROR(__xludf.DUMMYFUNCTION("""COMPUTED_VALUE"""),"")</f>
        <v/>
      </c>
      <c r="E992" t="str">
        <f>IFERROR(__xludf.DUMMYFUNCTION("""COMPUTED_VALUE"""),"")</f>
        <v/>
      </c>
      <c r="F992" t="str">
        <f>IFERROR(__xludf.DUMMYFUNCTION("""COMPUTED_VALUE"""),"")</f>
        <v/>
      </c>
      <c r="G992" t="str">
        <f>IFERROR(__xludf.DUMMYFUNCTION("""COMPUTED_VALUE"""),"")</f>
        <v/>
      </c>
      <c r="H992" t="str">
        <f>IFERROR(__xludf.DUMMYFUNCTION("""COMPUTED_VALUE"""),"")</f>
        <v/>
      </c>
      <c r="I992" t="str">
        <f>IFERROR(__xludf.DUMMYFUNCTION("""COMPUTED_VALUE"""),"")</f>
        <v/>
      </c>
      <c r="J992" t="str">
        <f>IFERROR(__xludf.DUMMYFUNCTION("""COMPUTED_VALUE"""),"")</f>
        <v/>
      </c>
      <c r="K992" t="str">
        <f>IFERROR(__xludf.DUMMYFUNCTION("""COMPUTED_VALUE"""),"")</f>
        <v/>
      </c>
      <c r="L992" t="str">
        <f>IFERROR(__xludf.DUMMYFUNCTION("""COMPUTED_VALUE"""),"")</f>
        <v/>
      </c>
    </row>
    <row r="993">
      <c r="A993" t="str">
        <f>IFERROR(__xludf.DUMMYFUNCTION("""COMPUTED_VALUE"""),"")</f>
        <v/>
      </c>
      <c r="B993" t="str">
        <f>IFERROR(__xludf.DUMMYFUNCTION("""COMPUTED_VALUE"""),"")</f>
        <v/>
      </c>
      <c r="C993" t="str">
        <f>IFERROR(__xludf.DUMMYFUNCTION("""COMPUTED_VALUE"""),"")</f>
        <v/>
      </c>
      <c r="D993" t="str">
        <f>IFERROR(__xludf.DUMMYFUNCTION("""COMPUTED_VALUE"""),"")</f>
        <v/>
      </c>
      <c r="E993" t="str">
        <f>IFERROR(__xludf.DUMMYFUNCTION("""COMPUTED_VALUE"""),"")</f>
        <v/>
      </c>
      <c r="F993" t="str">
        <f>IFERROR(__xludf.DUMMYFUNCTION("""COMPUTED_VALUE"""),"")</f>
        <v/>
      </c>
      <c r="G993" t="str">
        <f>IFERROR(__xludf.DUMMYFUNCTION("""COMPUTED_VALUE"""),"")</f>
        <v/>
      </c>
      <c r="H993" t="str">
        <f>IFERROR(__xludf.DUMMYFUNCTION("""COMPUTED_VALUE"""),"")</f>
        <v/>
      </c>
      <c r="I993" t="str">
        <f>IFERROR(__xludf.DUMMYFUNCTION("""COMPUTED_VALUE"""),"")</f>
        <v/>
      </c>
      <c r="J993" t="str">
        <f>IFERROR(__xludf.DUMMYFUNCTION("""COMPUTED_VALUE"""),"")</f>
        <v/>
      </c>
      <c r="K993" t="str">
        <f>IFERROR(__xludf.DUMMYFUNCTION("""COMPUTED_VALUE"""),"")</f>
        <v/>
      </c>
      <c r="L993" t="str">
        <f>IFERROR(__xludf.DUMMYFUNCTION("""COMPUTED_VALUE"""),"")</f>
        <v/>
      </c>
    </row>
    <row r="994">
      <c r="A994" t="str">
        <f>IFERROR(__xludf.DUMMYFUNCTION("""COMPUTED_VALUE"""),"")</f>
        <v/>
      </c>
      <c r="B994" t="str">
        <f>IFERROR(__xludf.DUMMYFUNCTION("""COMPUTED_VALUE"""),"")</f>
        <v/>
      </c>
      <c r="C994" t="str">
        <f>IFERROR(__xludf.DUMMYFUNCTION("""COMPUTED_VALUE"""),"")</f>
        <v/>
      </c>
      <c r="D994" t="str">
        <f>IFERROR(__xludf.DUMMYFUNCTION("""COMPUTED_VALUE"""),"")</f>
        <v/>
      </c>
      <c r="E994" t="str">
        <f>IFERROR(__xludf.DUMMYFUNCTION("""COMPUTED_VALUE"""),"")</f>
        <v/>
      </c>
      <c r="F994" t="str">
        <f>IFERROR(__xludf.DUMMYFUNCTION("""COMPUTED_VALUE"""),"")</f>
        <v/>
      </c>
      <c r="G994" t="str">
        <f>IFERROR(__xludf.DUMMYFUNCTION("""COMPUTED_VALUE"""),"")</f>
        <v/>
      </c>
      <c r="H994" t="str">
        <f>IFERROR(__xludf.DUMMYFUNCTION("""COMPUTED_VALUE"""),"")</f>
        <v/>
      </c>
      <c r="I994" t="str">
        <f>IFERROR(__xludf.DUMMYFUNCTION("""COMPUTED_VALUE"""),"")</f>
        <v/>
      </c>
      <c r="J994" t="str">
        <f>IFERROR(__xludf.DUMMYFUNCTION("""COMPUTED_VALUE"""),"")</f>
        <v/>
      </c>
      <c r="K994" t="str">
        <f>IFERROR(__xludf.DUMMYFUNCTION("""COMPUTED_VALUE"""),"")</f>
        <v/>
      </c>
      <c r="L994" t="str">
        <f>IFERROR(__xludf.DUMMYFUNCTION("""COMPUTED_VALUE"""),"")</f>
        <v/>
      </c>
    </row>
    <row r="995">
      <c r="A995" t="str">
        <f>IFERROR(__xludf.DUMMYFUNCTION("""COMPUTED_VALUE"""),"")</f>
        <v/>
      </c>
      <c r="B995" t="str">
        <f>IFERROR(__xludf.DUMMYFUNCTION("""COMPUTED_VALUE"""),"")</f>
        <v/>
      </c>
      <c r="C995" t="str">
        <f>IFERROR(__xludf.DUMMYFUNCTION("""COMPUTED_VALUE"""),"")</f>
        <v/>
      </c>
      <c r="D995" t="str">
        <f>IFERROR(__xludf.DUMMYFUNCTION("""COMPUTED_VALUE"""),"")</f>
        <v/>
      </c>
      <c r="E995" t="str">
        <f>IFERROR(__xludf.DUMMYFUNCTION("""COMPUTED_VALUE"""),"")</f>
        <v/>
      </c>
      <c r="F995" t="str">
        <f>IFERROR(__xludf.DUMMYFUNCTION("""COMPUTED_VALUE"""),"")</f>
        <v/>
      </c>
      <c r="G995" t="str">
        <f>IFERROR(__xludf.DUMMYFUNCTION("""COMPUTED_VALUE"""),"")</f>
        <v/>
      </c>
      <c r="H995" t="str">
        <f>IFERROR(__xludf.DUMMYFUNCTION("""COMPUTED_VALUE"""),"")</f>
        <v/>
      </c>
      <c r="I995" t="str">
        <f>IFERROR(__xludf.DUMMYFUNCTION("""COMPUTED_VALUE"""),"")</f>
        <v/>
      </c>
      <c r="J995" t="str">
        <f>IFERROR(__xludf.DUMMYFUNCTION("""COMPUTED_VALUE"""),"")</f>
        <v/>
      </c>
      <c r="K995" t="str">
        <f>IFERROR(__xludf.DUMMYFUNCTION("""COMPUTED_VALUE"""),"")</f>
        <v/>
      </c>
      <c r="L995" t="str">
        <f>IFERROR(__xludf.DUMMYFUNCTION("""COMPUTED_VALUE"""),"")</f>
        <v/>
      </c>
    </row>
    <row r="996">
      <c r="A996" t="str">
        <f>IFERROR(__xludf.DUMMYFUNCTION("""COMPUTED_VALUE"""),"")</f>
        <v/>
      </c>
      <c r="B996" t="str">
        <f>IFERROR(__xludf.DUMMYFUNCTION("""COMPUTED_VALUE"""),"")</f>
        <v/>
      </c>
      <c r="C996" t="str">
        <f>IFERROR(__xludf.DUMMYFUNCTION("""COMPUTED_VALUE"""),"")</f>
        <v/>
      </c>
      <c r="D996" t="str">
        <f>IFERROR(__xludf.DUMMYFUNCTION("""COMPUTED_VALUE"""),"")</f>
        <v/>
      </c>
      <c r="E996" t="str">
        <f>IFERROR(__xludf.DUMMYFUNCTION("""COMPUTED_VALUE"""),"")</f>
        <v/>
      </c>
      <c r="F996" t="str">
        <f>IFERROR(__xludf.DUMMYFUNCTION("""COMPUTED_VALUE"""),"")</f>
        <v/>
      </c>
      <c r="G996" t="str">
        <f>IFERROR(__xludf.DUMMYFUNCTION("""COMPUTED_VALUE"""),"")</f>
        <v/>
      </c>
      <c r="H996" t="str">
        <f>IFERROR(__xludf.DUMMYFUNCTION("""COMPUTED_VALUE"""),"")</f>
        <v/>
      </c>
      <c r="I996" t="str">
        <f>IFERROR(__xludf.DUMMYFUNCTION("""COMPUTED_VALUE"""),"")</f>
        <v/>
      </c>
      <c r="J996" t="str">
        <f>IFERROR(__xludf.DUMMYFUNCTION("""COMPUTED_VALUE"""),"")</f>
        <v/>
      </c>
      <c r="K996" t="str">
        <f>IFERROR(__xludf.DUMMYFUNCTION("""COMPUTED_VALUE"""),"")</f>
        <v/>
      </c>
      <c r="L996" t="str">
        <f>IFERROR(__xludf.DUMMYFUNCTION("""COMPUTED_VALUE"""),"")</f>
        <v/>
      </c>
    </row>
    <row r="997">
      <c r="A997" t="str">
        <f>IFERROR(__xludf.DUMMYFUNCTION("""COMPUTED_VALUE"""),"")</f>
        <v/>
      </c>
      <c r="B997" t="str">
        <f>IFERROR(__xludf.DUMMYFUNCTION("""COMPUTED_VALUE"""),"")</f>
        <v/>
      </c>
      <c r="C997" t="str">
        <f>IFERROR(__xludf.DUMMYFUNCTION("""COMPUTED_VALUE"""),"")</f>
        <v/>
      </c>
      <c r="D997" t="str">
        <f>IFERROR(__xludf.DUMMYFUNCTION("""COMPUTED_VALUE"""),"")</f>
        <v/>
      </c>
      <c r="E997" t="str">
        <f>IFERROR(__xludf.DUMMYFUNCTION("""COMPUTED_VALUE"""),"")</f>
        <v/>
      </c>
      <c r="F997" t="str">
        <f>IFERROR(__xludf.DUMMYFUNCTION("""COMPUTED_VALUE"""),"")</f>
        <v/>
      </c>
      <c r="G997" t="str">
        <f>IFERROR(__xludf.DUMMYFUNCTION("""COMPUTED_VALUE"""),"")</f>
        <v/>
      </c>
      <c r="H997" t="str">
        <f>IFERROR(__xludf.DUMMYFUNCTION("""COMPUTED_VALUE"""),"")</f>
        <v/>
      </c>
      <c r="I997" t="str">
        <f>IFERROR(__xludf.DUMMYFUNCTION("""COMPUTED_VALUE"""),"")</f>
        <v/>
      </c>
      <c r="J997" t="str">
        <f>IFERROR(__xludf.DUMMYFUNCTION("""COMPUTED_VALUE"""),"")</f>
        <v/>
      </c>
      <c r="K997" t="str">
        <f>IFERROR(__xludf.DUMMYFUNCTION("""COMPUTED_VALUE"""),"")</f>
        <v/>
      </c>
      <c r="L997" t="str">
        <f>IFERROR(__xludf.DUMMYFUNCTION("""COMPUTED_VALUE"""),"")</f>
        <v/>
      </c>
    </row>
    <row r="998">
      <c r="A998" t="str">
        <f>IFERROR(__xludf.DUMMYFUNCTION("""COMPUTED_VALUE"""),"")</f>
        <v/>
      </c>
      <c r="B998" t="str">
        <f>IFERROR(__xludf.DUMMYFUNCTION("""COMPUTED_VALUE"""),"")</f>
        <v/>
      </c>
      <c r="C998" t="str">
        <f>IFERROR(__xludf.DUMMYFUNCTION("""COMPUTED_VALUE"""),"")</f>
        <v/>
      </c>
      <c r="D998" t="str">
        <f>IFERROR(__xludf.DUMMYFUNCTION("""COMPUTED_VALUE"""),"")</f>
        <v/>
      </c>
      <c r="E998" t="str">
        <f>IFERROR(__xludf.DUMMYFUNCTION("""COMPUTED_VALUE"""),"")</f>
        <v/>
      </c>
      <c r="F998" t="str">
        <f>IFERROR(__xludf.DUMMYFUNCTION("""COMPUTED_VALUE"""),"")</f>
        <v/>
      </c>
      <c r="G998" t="str">
        <f>IFERROR(__xludf.DUMMYFUNCTION("""COMPUTED_VALUE"""),"")</f>
        <v/>
      </c>
      <c r="H998" t="str">
        <f>IFERROR(__xludf.DUMMYFUNCTION("""COMPUTED_VALUE"""),"")</f>
        <v/>
      </c>
      <c r="I998" t="str">
        <f>IFERROR(__xludf.DUMMYFUNCTION("""COMPUTED_VALUE"""),"")</f>
        <v/>
      </c>
      <c r="J998" t="str">
        <f>IFERROR(__xludf.DUMMYFUNCTION("""COMPUTED_VALUE"""),"")</f>
        <v/>
      </c>
      <c r="K998" t="str">
        <f>IFERROR(__xludf.DUMMYFUNCTION("""COMPUTED_VALUE"""),"")</f>
        <v/>
      </c>
      <c r="L998" t="str">
        <f>IFERROR(__xludf.DUMMYFUNCTION("""COMPUTED_VALUE"""),"")</f>
        <v/>
      </c>
    </row>
    <row r="999">
      <c r="A999" t="str">
        <f>IFERROR(__xludf.DUMMYFUNCTION("""COMPUTED_VALUE"""),"")</f>
        <v/>
      </c>
      <c r="B999" t="str">
        <f>IFERROR(__xludf.DUMMYFUNCTION("""COMPUTED_VALUE"""),"")</f>
        <v/>
      </c>
      <c r="C999" t="str">
        <f>IFERROR(__xludf.DUMMYFUNCTION("""COMPUTED_VALUE"""),"")</f>
        <v/>
      </c>
      <c r="D999" t="str">
        <f>IFERROR(__xludf.DUMMYFUNCTION("""COMPUTED_VALUE"""),"")</f>
        <v/>
      </c>
      <c r="E999" t="str">
        <f>IFERROR(__xludf.DUMMYFUNCTION("""COMPUTED_VALUE"""),"")</f>
        <v/>
      </c>
      <c r="F999" t="str">
        <f>IFERROR(__xludf.DUMMYFUNCTION("""COMPUTED_VALUE"""),"")</f>
        <v/>
      </c>
      <c r="G999" t="str">
        <f>IFERROR(__xludf.DUMMYFUNCTION("""COMPUTED_VALUE"""),"")</f>
        <v/>
      </c>
      <c r="H999" t="str">
        <f>IFERROR(__xludf.DUMMYFUNCTION("""COMPUTED_VALUE"""),"")</f>
        <v/>
      </c>
      <c r="I999" t="str">
        <f>IFERROR(__xludf.DUMMYFUNCTION("""COMPUTED_VALUE"""),"")</f>
        <v/>
      </c>
      <c r="J999" t="str">
        <f>IFERROR(__xludf.DUMMYFUNCTION("""COMPUTED_VALUE"""),"")</f>
        <v/>
      </c>
      <c r="K999" t="str">
        <f>IFERROR(__xludf.DUMMYFUNCTION("""COMPUTED_VALUE"""),"")</f>
        <v/>
      </c>
      <c r="L999" t="str">
        <f>IFERROR(__xludf.DUMMYFUNCTION("""COMPUTED_VALUE"""),"")</f>
        <v/>
      </c>
    </row>
    <row r="1000">
      <c r="A1000" t="str">
        <f>IFERROR(__xludf.DUMMYFUNCTION("""COMPUTED_VALUE"""),"")</f>
        <v/>
      </c>
      <c r="B1000" t="str">
        <f>IFERROR(__xludf.DUMMYFUNCTION("""COMPUTED_VALUE"""),"")</f>
        <v/>
      </c>
      <c r="C1000" t="str">
        <f>IFERROR(__xludf.DUMMYFUNCTION("""COMPUTED_VALUE"""),"")</f>
        <v/>
      </c>
      <c r="D1000" t="str">
        <f>IFERROR(__xludf.DUMMYFUNCTION("""COMPUTED_VALUE"""),"")</f>
        <v/>
      </c>
      <c r="E1000" t="str">
        <f>IFERROR(__xludf.DUMMYFUNCTION("""COMPUTED_VALUE"""),"")</f>
        <v/>
      </c>
      <c r="F1000" t="str">
        <f>IFERROR(__xludf.DUMMYFUNCTION("""COMPUTED_VALUE"""),"")</f>
        <v/>
      </c>
      <c r="G1000" t="str">
        <f>IFERROR(__xludf.DUMMYFUNCTION("""COMPUTED_VALUE"""),"")</f>
        <v/>
      </c>
      <c r="H1000" t="str">
        <f>IFERROR(__xludf.DUMMYFUNCTION("""COMPUTED_VALUE"""),"")</f>
        <v/>
      </c>
      <c r="I1000" t="str">
        <f>IFERROR(__xludf.DUMMYFUNCTION("""COMPUTED_VALUE"""),"")</f>
        <v/>
      </c>
      <c r="J1000" t="str">
        <f>IFERROR(__xludf.DUMMYFUNCTION("""COMPUTED_VALUE"""),"")</f>
        <v/>
      </c>
      <c r="K1000" t="str">
        <f>IFERROR(__xludf.DUMMYFUNCTION("""COMPUTED_VALUE"""),"")</f>
        <v/>
      </c>
      <c r="L1000" t="str">
        <f>IFERROR(__xludf.DUMMYFUNCTION("""COMPUTED_VALUE"""),"")</f>
        <v/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12</v>
      </c>
      <c r="D3" s="8" t="s">
        <v>8</v>
      </c>
      <c r="E3" s="21" t="s">
        <v>13</v>
      </c>
      <c r="F3" s="8" t="s">
        <v>14</v>
      </c>
      <c r="G3" s="16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IFERROR(__xludf.DUMMYFUNCTION("""COMPUTED_VALUE"""),"Select Date")</f>
        <v>Select Date</v>
      </c>
      <c r="C5" s="26" t="str">
        <f>IFERROR(__xludf.DUMMYFUNCTION("""COMPUTED_VALUE"""),"Copy From")</f>
        <v>Copy From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9"/>
      <c r="B6" s="29">
        <f t="shared" ref="B6:C6" si="1">today()-1</f>
        <v>43796</v>
      </c>
      <c r="C6" s="29">
        <f t="shared" si="1"/>
        <v>43796</v>
      </c>
      <c r="D6" s="9"/>
      <c r="E6" s="30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12</v>
      </c>
      <c r="D3" s="8" t="s">
        <v>8</v>
      </c>
      <c r="E3" s="21" t="s">
        <v>16</v>
      </c>
      <c r="F3" s="8" t="s">
        <v>14</v>
      </c>
      <c r="G3" s="16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IFERROR(__xludf.DUMMYFUNCTION("""COMPUTED_VALUE"""),"Local Currency")</f>
        <v>Local Currency</v>
      </c>
      <c r="D5" s="26" t="str">
        <f>IFERROR(__xludf.DUMMYFUNCTION("""COMPUTED_VALUE"""),"Cash Value Local")</f>
        <v>Cash Value Local</v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9"/>
      <c r="B6" s="32" t="s">
        <v>17</v>
      </c>
      <c r="C6" s="33" t="s">
        <v>18</v>
      </c>
      <c r="D6" s="34">
        <v>108900.0</v>
      </c>
      <c r="E6" s="30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UpdateDailyCash!$4:$4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1b5S4Xpp4fgZ1ez6cK92QFnVBylqz8jhwxdAyEvwDqUI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19</v>
      </c>
      <c r="D3" s="8" t="s">
        <v>8</v>
      </c>
      <c r="E3" s="21" t="s">
        <v>20</v>
      </c>
      <c r="F3" s="8" t="s">
        <v>14</v>
      </c>
      <c r="G3" s="16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IFERROR(__xludf.DUMMYFUNCTION("IF(C3="""","""",Transpose(IMPORTRANGE('_Settings'!$B$3,C3&amp;""!A4:A1000"")))"),"OpenTTFromPST")</f>
        <v>OpenTTFromPST</v>
      </c>
      <c r="C4" s="23" t="str">
        <f>IFERROR(__xludf.DUMMYFUNCTION("""COMPUTED_VALUE"""),"EnterDetailsOnTT")</f>
        <v>EnterDetailsOnTT</v>
      </c>
      <c r="D4" s="23" t="str">
        <f>IFERROR(__xludf.DUMMYFUNCTION("""COMPUTED_VALUE"""),"ValidateSymbolTT")</f>
        <v>ValidateSymbolTT</v>
      </c>
      <c r="E4" s="23" t="str">
        <f>IFERROR(__xludf.DUMMYFUNCTION("""COMPUTED_VALUE"""),"VerifyDataTT")</f>
        <v>VerifyDataTT</v>
      </c>
      <c r="F4" s="23" t="str">
        <f>IFERROR(__xludf.DUMMYFUNCTION("""COMPUTED_VALUE"""),"SetUIPreferencesTT")</f>
        <v>SetUIPreferencesTT</v>
      </c>
      <c r="G4" s="23" t="str">
        <f>IFERROR(__xludf.DUMMYFUNCTION("""COMPUTED_VALUE"""),"SetBrokerWisePreferencesTT")</f>
        <v>SetBrokerWisePreferencesTT</v>
      </c>
      <c r="H4" s="23" t="str">
        <f>IFERROR(__xludf.DUMMYFUNCTION("""COMPUTED_VALUE"""),"TradeNewSub")</f>
        <v>TradeNewSub</v>
      </c>
      <c r="I4" s="23" t="str">
        <f>IFERROR(__xludf.DUMMYFUNCTION("""COMPUTED_VALUE"""),"CreateStageOrder")</f>
        <v>CreateStageOrder</v>
      </c>
      <c r="J4" s="23" t="str">
        <f>IFERROR(__xludf.DUMMYFUNCTION("""COMPUTED_VALUE"""),"CreateReplaceOrder")</f>
        <v>CreateReplaceOrder</v>
      </c>
      <c r="K4" s="23" t="str">
        <f>IFERROR(__xludf.DUMMYFUNCTION("""COMPUTED_VALUE"""),"SetGeneralPreference")</f>
        <v>SetGeneralPreference</v>
      </c>
      <c r="L4" s="23" t="str">
        <f>IFERROR(__xludf.DUMMYFUNCTION("""COMPUTED_VALUE"""),"CreateDoneAwayOrder")</f>
        <v>CreateDoneAwayOrder</v>
      </c>
      <c r="M4" s="23" t="str">
        <f>IFERROR(__xludf.DUMMYFUNCTION("""COMPUTED_VALUE"""),"CreateNewSubOrder")</f>
        <v>CreateNewSubOrder</v>
      </c>
      <c r="N4" s="23" t="str">
        <f>IFERROR(__xludf.DUMMYFUNCTION("""COMPUTED_VALUE"""),"TradeBloomberg")</f>
        <v>TradeBloomberg</v>
      </c>
      <c r="O4" s="23" t="str">
        <f>IFERROR(__xludf.DUMMYFUNCTION("""COMPUTED_VALUE"""),"ClickSymbolLookup")</f>
        <v>ClickSymbolLookup</v>
      </c>
      <c r="P4" s="24" t="str">
        <f>IFERROR(__xludf.DUMMYFUNCTION("""COMPUTED_VALUE"""),"VerifyTT")</f>
        <v>VerifyTT</v>
      </c>
      <c r="Q4" s="24" t="str">
        <f>IFERROR(__xludf.DUMMYFUNCTION("""COMPUTED_VALUE"""),"CreateLiveOrder")</f>
        <v>CreateLiveOrder</v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IFERROR(__xludf.DUMMYFUNCTION("""COMPUTED_VALUE"""),"Order Side")</f>
        <v>Order Side</v>
      </c>
      <c r="D5" s="26" t="str">
        <f>IFERROR(__xludf.DUMMYFUNCTION("""COMPUTED_VALUE"""),"Quantity")</f>
        <v>Quantity</v>
      </c>
      <c r="E5" s="26" t="str">
        <f>IFERROR(__xludf.DUMMYFUNCTION("""COMPUTED_VALUE"""),"TargetQuantityIn")</f>
        <v>TargetQuantityIn</v>
      </c>
      <c r="F5" s="27" t="str">
        <f>IFERROR(__xludf.DUMMYFUNCTION("""COMPUTED_VALUE"""),"AllocationMethod")</f>
        <v>AllocationMethod</v>
      </c>
      <c r="G5" s="26" t="str">
        <f>IFERROR(__xludf.DUMMYFUNCTION("""COMPUTED_VALUE"""),"Broker")</f>
        <v>Broker</v>
      </c>
      <c r="H5" s="26" t="str">
        <f>IFERROR(__xludf.DUMMYFUNCTION("""COMPUTED_VALUE"""),"TIF")</f>
        <v>TIF</v>
      </c>
      <c r="I5" s="26" t="str">
        <f>IFERROR(__xludf.DUMMYFUNCTION("""COMPUTED_VALUE"""),"Order Type")</f>
        <v>Order Type</v>
      </c>
      <c r="J5" s="26" t="str">
        <f>IFERROR(__xludf.DUMMYFUNCTION("""COMPUTED_VALUE"""),"Price")</f>
        <v>Price</v>
      </c>
      <c r="K5" s="26" t="str">
        <f>IFERROR(__xludf.DUMMYFUNCTION("""COMPUTED_VALUE"""),"Stop")</f>
        <v>Stop</v>
      </c>
      <c r="L5" s="26" t="str">
        <f>IFERROR(__xludf.DUMMYFUNCTION("""COMPUTED_VALUE"""),"Limit")</f>
        <v>Limit</v>
      </c>
      <c r="M5" s="26" t="str">
        <f>IFERROR(__xludf.DUMMYFUNCTION("""COMPUTED_VALUE"""),"Strategy")</f>
        <v>Strategy</v>
      </c>
      <c r="N5" s="26" t="str">
        <f>IFERROR(__xludf.DUMMYFUNCTION("""COMPUTED_VALUE"""),"Trade Date")</f>
        <v>Trade Date</v>
      </c>
      <c r="O5" s="26" t="str">
        <f>IFERROR(__xludf.DUMMYFUNCTION("""COMPUTED_VALUE"""),"FxRate")</f>
        <v>FxRate</v>
      </c>
      <c r="P5" s="26" t="str">
        <f>IFERROR(__xludf.DUMMYFUNCTION("""COMPUTED_VALUE"""),"Notes")</f>
        <v>Notes</v>
      </c>
      <c r="Q5" s="26" t="str">
        <f>IFERROR(__xludf.DUMMYFUNCTION("""COMPUTED_VALUE"""),"Broker Notes")</f>
        <v>Broker Notes</v>
      </c>
      <c r="R5" s="26" t="str">
        <f>IFERROR(__xludf.DUMMYFUNCTION("""COMPUTED_VALUE"""),"CommissionBasis")</f>
        <v>CommissionBasis</v>
      </c>
      <c r="S5" s="26" t="str">
        <f>IFERROR(__xludf.DUMMYFUNCTION("""COMPUTED_VALUE"""),"CommissionRate")</f>
        <v>CommissionRate</v>
      </c>
      <c r="T5" s="28" t="str">
        <f>IFERROR(__xludf.DUMMYFUNCTION("""COMPUTED_VALUE"""),"SoftBasis")</f>
        <v>SoftBasis</v>
      </c>
      <c r="U5" s="28" t="str">
        <f>IFERROR(__xludf.DUMMYFUNCTION("""COMPUTED_VALUE"""),"SoftRate")</f>
        <v>SoftRate</v>
      </c>
      <c r="V5" s="28" t="str">
        <f>IFERROR(__xludf.DUMMYFUNCTION("""COMPUTED_VALUE"""),"TradeAttribute1")</f>
        <v>TradeAttribute1</v>
      </c>
      <c r="W5" s="28" t="str">
        <f>IFERROR(__xludf.DUMMYFUNCTION("""COMPUTED_VALUE"""),"TradeAttribute2")</f>
        <v>TradeAttribute2</v>
      </c>
      <c r="X5" s="28" t="str">
        <f>IFERROR(__xludf.DUMMYFUNCTION("""COMPUTED_VALUE"""),"TradeAttribute3")</f>
        <v>TradeAttribute3</v>
      </c>
      <c r="Y5" s="28" t="str">
        <f>IFERROR(__xludf.DUMMYFUNCTION("""COMPUTED_VALUE"""),"TradeAttribute4")</f>
        <v>TradeAttribute4</v>
      </c>
      <c r="Z5" s="28" t="str">
        <f>IFERROR(__xludf.DUMMYFUNCTION("""COMPUTED_VALUE"""),"TradeAttribute5")</f>
        <v>TradeAttribute5</v>
      </c>
      <c r="AA5" s="28" t="str">
        <f>IFERROR(__xludf.DUMMYFUNCTION("""COMPUTED_VALUE"""),"TradeAttribute6")</f>
        <v>TradeAttribute6</v>
      </c>
      <c r="AB5" s="28" t="str">
        <f>IFERROR(__xludf.DUMMYFUNCTION("""COMPUTED_VALUE"""),"Venue")</f>
        <v>Venue</v>
      </c>
      <c r="AC5" s="28" t="str">
        <f>IFERROR(__xludf.DUMMYFUNCTION("""COMPUTED_VALUE"""),"ExecutionInstructions")</f>
        <v>ExecutionInstructions</v>
      </c>
      <c r="AD5" s="28" t="str">
        <f>IFERROR(__xludf.DUMMYFUNCTION("""COMPUTED_VALUE"""),"HandlingInstructions")</f>
        <v>HandlingInstructions</v>
      </c>
      <c r="AE5" s="28" t="str">
        <f>IFERROR(__xludf.DUMMYFUNCTION("""COMPUTED_VALUE"""),"Trader")</f>
        <v>Trader</v>
      </c>
      <c r="AF5" s="28" t="str">
        <f>IFERROR(__xludf.DUMMYFUNCTION("""COMPUTED_VALUE"""),"SettlementCurrency")</f>
        <v>SettlementCurrency</v>
      </c>
      <c r="AG5" s="28" t="str">
        <f>IFERROR(__xludf.DUMMYFUNCTION("""COMPUTED_VALUE"""),"SettlementFXRate")</f>
        <v>SettlementFXRate</v>
      </c>
      <c r="AH5" s="28" t="str">
        <f>IFERROR(__xludf.DUMMYFUNCTION("""COMPUTED_VALUE"""),"SettlementAmount")</f>
        <v>SettlementAmount</v>
      </c>
      <c r="AI5" s="28" t="str">
        <f>IFERROR(__xludf.DUMMYFUNCTION("""COMPUTED_VALUE"""),"SettlementFXOperator")</f>
        <v>SettlementFXOperator</v>
      </c>
      <c r="AJ5" s="28" t="str">
        <f>IFERROR(__xludf.DUMMYFUNCTION("""COMPUTED_VALUE"""),"SettleByBroker")</f>
        <v>SettleByBroker</v>
      </c>
      <c r="AK5" s="28" t="str">
        <f>IFERROR(__xludf.DUMMYFUNCTION("""COMPUTED_VALUE"""),"Account")</f>
        <v>Account</v>
      </c>
      <c r="AL5" s="28" t="str">
        <f>IFERROR(__xludf.DUMMYFUNCTION("""COMPUTED_VALUE"""),"Account %")</f>
        <v>Account %</v>
      </c>
      <c r="AM5" s="28" t="str">
        <f>IFERROR(__xludf.DUMMYFUNCTION("""COMPUTED_VALUE"""),"Deal In")</f>
        <v>Deal In</v>
      </c>
      <c r="AN5" s="28" t="str">
        <f>IFERROR(__xludf.DUMMYFUNCTION("""COMPUTED_VALUE"""),"ChkBoxBookAsSwap")</f>
        <v>ChkBoxBookAsSwap</v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35"/>
      <c r="B6" s="36" t="s">
        <v>21</v>
      </c>
      <c r="C6" s="37" t="s">
        <v>22</v>
      </c>
      <c r="D6" s="38">
        <v>197.0</v>
      </c>
      <c r="E6" s="38">
        <v>197.0</v>
      </c>
      <c r="F6" s="39" t="s">
        <v>17</v>
      </c>
      <c r="G6" s="37"/>
      <c r="H6" s="37"/>
      <c r="I6" s="37"/>
      <c r="J6" s="40">
        <v>100.0</v>
      </c>
      <c r="K6" s="37"/>
      <c r="L6" s="37"/>
      <c r="M6" s="6"/>
      <c r="N6" s="6"/>
      <c r="O6" s="6"/>
    </row>
    <row r="7" ht="15.75" customHeight="1">
      <c r="A7" s="41"/>
      <c r="B7" s="42" t="s">
        <v>23</v>
      </c>
      <c r="C7" s="43" t="s">
        <v>22</v>
      </c>
      <c r="D7" s="44">
        <v>198.0</v>
      </c>
      <c r="E7" s="44">
        <v>198.0</v>
      </c>
      <c r="F7" s="42" t="s">
        <v>17</v>
      </c>
      <c r="G7" s="43"/>
      <c r="H7" s="43"/>
      <c r="I7" s="43"/>
      <c r="J7" s="45">
        <v>100.0</v>
      </c>
      <c r="K7" s="43"/>
      <c r="L7" s="43"/>
      <c r="M7" s="6"/>
      <c r="N7" s="6"/>
      <c r="O7" s="6"/>
    </row>
    <row r="8" ht="15.75" customHeight="1">
      <c r="A8" s="41"/>
      <c r="B8" s="42" t="s">
        <v>24</v>
      </c>
      <c r="C8" s="43" t="s">
        <v>22</v>
      </c>
      <c r="D8" s="44">
        <v>248.0</v>
      </c>
      <c r="E8" s="44">
        <v>248.0</v>
      </c>
      <c r="F8" s="42" t="s">
        <v>17</v>
      </c>
      <c r="G8" s="43"/>
      <c r="H8" s="43"/>
      <c r="I8" s="43"/>
      <c r="J8" s="45">
        <v>100.0</v>
      </c>
      <c r="K8" s="43"/>
      <c r="L8" s="43"/>
      <c r="M8" s="6"/>
      <c r="N8" s="6"/>
      <c r="O8" s="6"/>
    </row>
    <row r="9" ht="15.75" customHeight="1">
      <c r="A9" s="41"/>
      <c r="B9" s="42" t="s">
        <v>25</v>
      </c>
      <c r="C9" s="43" t="s">
        <v>22</v>
      </c>
      <c r="D9" s="46">
        <v>248.0</v>
      </c>
      <c r="E9" s="46">
        <v>248.0</v>
      </c>
      <c r="F9" s="42" t="s">
        <v>17</v>
      </c>
      <c r="G9" s="43"/>
      <c r="H9" s="43"/>
      <c r="I9" s="43"/>
      <c r="J9" s="45">
        <v>100.0</v>
      </c>
      <c r="K9" s="43"/>
      <c r="L9" s="43"/>
      <c r="M9" s="6"/>
      <c r="N9" s="6"/>
      <c r="O9" s="6"/>
    </row>
    <row r="10" ht="15.75" customHeight="1">
      <c r="A10" s="41"/>
      <c r="B10" s="42" t="s">
        <v>26</v>
      </c>
      <c r="C10" s="43" t="s">
        <v>22</v>
      </c>
      <c r="D10" s="44">
        <v>98.0</v>
      </c>
      <c r="E10" s="44">
        <v>98.0</v>
      </c>
      <c r="F10" s="42" t="s">
        <v>17</v>
      </c>
      <c r="G10" s="43"/>
      <c r="H10" s="43"/>
      <c r="I10" s="43"/>
      <c r="J10" s="45">
        <v>100.0</v>
      </c>
      <c r="K10" s="43"/>
      <c r="L10" s="43"/>
      <c r="M10" s="6"/>
      <c r="N10" s="6"/>
      <c r="O10" s="6"/>
    </row>
    <row r="11" ht="15.75" customHeight="1">
      <c r="A11" s="43"/>
      <c r="B11" s="43" t="s">
        <v>27</v>
      </c>
      <c r="C11" s="43" t="s">
        <v>22</v>
      </c>
      <c r="D11" s="46">
        <v>1.0</v>
      </c>
      <c r="E11" s="46">
        <v>1.0</v>
      </c>
      <c r="F11" s="42" t="s">
        <v>28</v>
      </c>
      <c r="G11" s="43"/>
      <c r="H11" s="43"/>
      <c r="I11" s="43"/>
      <c r="J11" s="45">
        <v>8.0</v>
      </c>
      <c r="K11" s="43"/>
      <c r="L11" s="43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29</v>
      </c>
      <c r="D3" s="8" t="s">
        <v>8</v>
      </c>
      <c r="E3" s="21" t="s">
        <v>29</v>
      </c>
      <c r="F3" s="8" t="s">
        <v>14</v>
      </c>
      <c r="G3" s="16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IFERROR(__xludf.DUMMYFUNCTION("IF(C3="""","""",Transpose(IMPORTRANGE('_Settings'!$B$3,C3&amp;""!A4:A1000"")))"),"PricingInput")</f>
        <v>PricingInput</v>
      </c>
      <c r="C4" s="23" t="str">
        <f>IFERROR(__xludf.DUMMYFUNCTION("""COMPUTED_VALUE"""),"UpdateSharesOutstanding")</f>
        <v>UpdateSharesOutstanding</v>
      </c>
      <c r="D4" s="23" t="str">
        <f>IFERROR(__xludf.DUMMYFUNCTION("""COMPUTED_VALUE"""),"EODTPreferences")</f>
        <v>EODTPreferences</v>
      </c>
      <c r="E4" s="23" t="str">
        <f>IFERROR(__xludf.DUMMYFUNCTION("""COMPUTED_VALUE"""),"LiveData")</f>
        <v>LiveData</v>
      </c>
      <c r="F4" s="23" t="str">
        <f>IFERROR(__xludf.DUMMYFUNCTION("""COMPUTED_VALUE"""),"")</f>
        <v/>
      </c>
      <c r="G4" s="23" t="str">
        <f>IFERROR(__xludf.DUMMYFUNCTION("""COMPUTED_VALUE"""),"")</f>
        <v/>
      </c>
      <c r="H4" s="23" t="str">
        <f>IFERROR(__xludf.DUMMYFUNCTION("""COMPUTED_VALUE"""),"")</f>
        <v/>
      </c>
      <c r="I4" s="23" t="str">
        <f>IFERROR(__xludf.DUMMYFUNCTION("""COMPUTED_VALUE"""),"")</f>
        <v/>
      </c>
      <c r="J4" s="23" t="str">
        <f>IFERROR(__xludf.DUMMYFUNCTION("""COMPUTED_VALUE"""),"")</f>
        <v/>
      </c>
      <c r="K4" s="23" t="str">
        <f>IFERROR(__xludf.DUMMYFUNCTION("""COMPUTED_VALUE"""),"")</f>
        <v/>
      </c>
      <c r="L4" s="23" t="str">
        <f>IFERROR(__xludf.DUMMYFUNCTION("""COMPUTED_VALUE"""),"")</f>
        <v/>
      </c>
      <c r="M4" s="23" t="str">
        <f>IFERROR(__xludf.DUMMYFUNCTION("""COMPUTED_VALUE"""),"")</f>
        <v/>
      </c>
      <c r="N4" s="23" t="str">
        <f>IFERROR(__xludf.DUMMYFUNCTION("""COMPUTED_VALUE"""),"")</f>
        <v/>
      </c>
      <c r="O4" s="23" t="str">
        <f>IFERROR(__xludf.DUMMYFUNCTION("""COMPUTED_VALUE"""),"")</f>
        <v/>
      </c>
      <c r="P4" s="24" t="str">
        <f>IFERROR(__xludf.DUMMYFUNCTION("""COMPUTED_VALUE"""),"")</f>
        <v/>
      </c>
      <c r="Q4" s="24" t="str">
        <f>IFERROR(__xludf.DUMMYFUNCTION("""COMPUTED_VALUE"""),"")</f>
        <v/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IFERROR(__xludf.DUMMYFUNCTION("""COMPUTED_VALUE"""),"User Px")</f>
        <v>User Px</v>
      </c>
      <c r="D5" s="26" t="str">
        <f>IFERROR(__xludf.DUMMYFUNCTION("""COMPUTED_VALUE"""),"Asset Class")</f>
        <v>Asset Class</v>
      </c>
      <c r="E5" s="26" t="str">
        <f>IFERROR(__xludf.DUMMYFUNCTION("""COMPUTED_VALUE"""),"Volatility(%)")</f>
        <v>Volatility(%)</v>
      </c>
      <c r="F5" s="27" t="str">
        <f>IFERROR(__xludf.DUMMYFUNCTION("""COMPUTED_VALUE"""),"Historical Volatility")</f>
        <v>Historical Volatility</v>
      </c>
      <c r="G5" s="26" t="str">
        <f>IFERROR(__xludf.DUMMYFUNCTION("""COMPUTED_VALUE"""),"User Volatility")</f>
        <v>User Volatility</v>
      </c>
      <c r="H5" s="26" t="str">
        <f>IFERROR(__xludf.DUMMYFUNCTION("""COMPUTED_VALUE"""),"Interest Rate")</f>
        <v>Interest Rate</v>
      </c>
      <c r="I5" s="26" t="str">
        <f>IFERROR(__xludf.DUMMYFUNCTION("""COMPUTED_VALUE"""),"User Interest Rate")</f>
        <v>User Interest Rate</v>
      </c>
      <c r="J5" s="26" t="str">
        <f>IFERROR(__xludf.DUMMYFUNCTION("""COMPUTED_VALUE"""),"Dividend Yield")</f>
        <v>Dividend Yield</v>
      </c>
      <c r="K5" s="26" t="str">
        <f>IFERROR(__xludf.DUMMYFUNCTION("""COMPUTED_VALUE"""),"User Dividend Yield")</f>
        <v>User Dividend Yield</v>
      </c>
      <c r="L5" s="26" t="str">
        <f>IFERROR(__xludf.DUMMYFUNCTION("""COMPUTED_VALUE"""),"Actual Delta")</f>
        <v>Actual Delta</v>
      </c>
      <c r="M5" s="26" t="str">
        <f>IFERROR(__xludf.DUMMYFUNCTION("""COMPUTED_VALUE"""),"User Delta")</f>
        <v>User Delta</v>
      </c>
      <c r="N5" s="26" t="str">
        <f>IFERROR(__xludf.DUMMYFUNCTION("""COMPUTED_VALUE"""),"Selected Px")</f>
        <v>Selected Px</v>
      </c>
      <c r="O5" s="26" t="str">
        <f>IFERROR(__xludf.DUMMYFUNCTION("""COMPUTED_VALUE"""),"Forward Points")</f>
        <v>Forward Points</v>
      </c>
      <c r="P5" s="26" t="str">
        <f>IFERROR(__xludf.DUMMYFUNCTION("""COMPUTED_VALUE"""),"Shares Outstanding")</f>
        <v>Shares Outstanding</v>
      </c>
      <c r="Q5" s="26" t="str">
        <f>IFERROR(__xludf.DUMMYFUNCTION("""COMPUTED_VALUE"""),"User Shares Outstanding")</f>
        <v>User Shares Outstanding</v>
      </c>
      <c r="R5" s="26" t="str">
        <f>IFERROR(__xludf.DUMMYFUNCTION("""COMPUTED_VALUE"""),"LastPriceUsed")</f>
        <v>LastPriceUsed</v>
      </c>
      <c r="S5" s="26" t="str">
        <f>IFERROR(__xludf.DUMMYFUNCTION("""COMPUTED_VALUE"""),"VolatilityUsed")</f>
        <v>VolatilityUsed</v>
      </c>
      <c r="T5" s="28" t="str">
        <f>IFERROR(__xludf.DUMMYFUNCTION("""COMPUTED_VALUE"""),"IntRateUsed")</f>
        <v>IntRateUsed</v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9"/>
      <c r="B6" s="47" t="s">
        <v>21</v>
      </c>
      <c r="C6" s="40">
        <v>100.0</v>
      </c>
      <c r="D6" s="9"/>
      <c r="E6" s="30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48" t="s">
        <v>23</v>
      </c>
      <c r="C7" s="45">
        <v>100.0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48" t="s">
        <v>24</v>
      </c>
      <c r="C8" s="45">
        <v>100.0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48" t="s">
        <v>25</v>
      </c>
      <c r="C9" s="45">
        <v>100.0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48" t="s">
        <v>26</v>
      </c>
      <c r="C10" s="45">
        <v>100.0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49" t="s">
        <v>27</v>
      </c>
      <c r="C11" s="45">
        <v>8.0</v>
      </c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30</v>
      </c>
      <c r="D3" s="8" t="s">
        <v>8</v>
      </c>
      <c r="E3" s="21" t="s">
        <v>31</v>
      </c>
      <c r="F3" s="8" t="s">
        <v>14</v>
      </c>
      <c r="G3" s="16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IFERROR(__xludf.DUMMYFUNCTION("IF(C3="""","""",Transpose(IMPORTRANGE('_Settings'!$B$3,C3&amp;""!A4:A1000"")))"),"FetchAccountPositions")</f>
        <v>FetchAccountPositions</v>
      </c>
      <c r="C4" s="23" t="str">
        <f>IFERROR(__xludf.DUMMYFUNCTION("""COMPUTED_VALUE"""),"AddCash")</f>
        <v>AddCash</v>
      </c>
      <c r="D4" s="23" t="str">
        <f>IFERROR(__xludf.DUMMYFUNCTION("""COMPUTED_VALUE"""),"VerifyGridData")</f>
        <v>VerifyGridData</v>
      </c>
      <c r="E4" s="23" t="str">
        <f>IFERROR(__xludf.DUMMYFUNCTION("""COMPUTED_VALUE"""),"RunRebalance")</f>
        <v>RunRebalance</v>
      </c>
      <c r="F4" s="23" t="str">
        <f>IFERROR(__xludf.DUMMYFUNCTION("""COMPUTED_VALUE"""),"RebalanceAcrossSecurities")</f>
        <v>RebalanceAcrossSecurities</v>
      </c>
      <c r="G4" s="23" t="str">
        <f>IFERROR(__xludf.DUMMYFUNCTION("""COMPUTED_VALUE"""),"ModifyRebalance")</f>
        <v>ModifyRebalance</v>
      </c>
      <c r="H4" s="23" t="str">
        <f>IFERROR(__xludf.DUMMYFUNCTION("""COMPUTED_VALUE"""),"ClearCalculations")</f>
        <v>ClearCalculations</v>
      </c>
      <c r="I4" s="23" t="str">
        <f>IFERROR(__xludf.DUMMYFUNCTION("""COMPUTED_VALUE"""),"ModelPortfolio")</f>
        <v>ModelPortfolio</v>
      </c>
      <c r="J4" s="23" t="str">
        <f>IFERROR(__xludf.DUMMYFUNCTION("""COMPUTED_VALUE"""),"")</f>
        <v/>
      </c>
      <c r="K4" s="23" t="str">
        <f>IFERROR(__xludf.DUMMYFUNCTION("""COMPUTED_VALUE"""),"")</f>
        <v/>
      </c>
      <c r="L4" s="23" t="str">
        <f>IFERROR(__xludf.DUMMYFUNCTION("""COMPUTED_VALUE"""),"")</f>
        <v/>
      </c>
      <c r="M4" s="23" t="str">
        <f>IFERROR(__xludf.DUMMYFUNCTION("""COMPUTED_VALUE"""),"")</f>
        <v/>
      </c>
      <c r="N4" s="23" t="str">
        <f>IFERROR(__xludf.DUMMYFUNCTION("""COMPUTED_VALUE"""),"")</f>
        <v/>
      </c>
      <c r="O4" s="23" t="str">
        <f>IFERROR(__xludf.DUMMYFUNCTION("""COMPUTED_VALUE"""),"")</f>
        <v/>
      </c>
      <c r="P4" s="24" t="str">
        <f>IFERROR(__xludf.DUMMYFUNCTION("""COMPUTED_VALUE"""),"")</f>
        <v/>
      </c>
      <c r="Q4" s="24" t="str">
        <f>IFERROR(__xludf.DUMMYFUNCTION("""COMPUTED_VALUE"""),"")</f>
        <v/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IFERROR(__xludf.DUMMYFUNCTION("""COMPUTED_VALUE"""),"Account/Groups")</f>
        <v>Account/Groups</v>
      </c>
      <c r="C5" s="26" t="str">
        <f>IFERROR(__xludf.DUMMYFUNCTION("""COMPUTED_VALUE"""),"Account Positions")</f>
        <v>Account Positions</v>
      </c>
      <c r="D5" s="26" t="str">
        <f>IFERROR(__xludf.DUMMYFUNCTION("""COMPUTED_VALUE"""),"Calculation Level")</f>
        <v>Calculation Level</v>
      </c>
      <c r="E5" s="26" t="str">
        <f>IFERROR(__xludf.DUMMYFUNCTION("""COMPUTED_VALUE"""),"Refresh")</f>
        <v>Refresh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9"/>
      <c r="B6" s="32" t="s">
        <v>17</v>
      </c>
      <c r="C6" s="50" t="s">
        <v>32</v>
      </c>
      <c r="D6" s="9"/>
      <c r="E6" s="30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FetchAccountPositions!$4:$4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30</v>
      </c>
      <c r="D3" s="8" t="s">
        <v>8</v>
      </c>
      <c r="E3" s="21" t="s">
        <v>33</v>
      </c>
      <c r="F3" s="8" t="s">
        <v>14</v>
      </c>
      <c r="G3" s="16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IFERROR(__xludf.DUMMYFUNCTION("IF(C3="""","""",Transpose(IMPORTRANGE('_Settings'!$B$3,C3&amp;""!A4:A1000"")))"),"FetchAccountPositions")</f>
        <v>FetchAccountPositions</v>
      </c>
      <c r="C4" s="23" t="str">
        <f>IFERROR(__xludf.DUMMYFUNCTION("""COMPUTED_VALUE"""),"AddCash")</f>
        <v>AddCash</v>
      </c>
      <c r="D4" s="23" t="str">
        <f>IFERROR(__xludf.DUMMYFUNCTION("""COMPUTED_VALUE"""),"VerifyGridData")</f>
        <v>VerifyGridData</v>
      </c>
      <c r="E4" s="23" t="str">
        <f>IFERROR(__xludf.DUMMYFUNCTION("""COMPUTED_VALUE"""),"RunRebalance")</f>
        <v>RunRebalance</v>
      </c>
      <c r="F4" s="23" t="str">
        <f>IFERROR(__xludf.DUMMYFUNCTION("""COMPUTED_VALUE"""),"RebalanceAcrossSecurities")</f>
        <v>RebalanceAcrossSecurities</v>
      </c>
      <c r="G4" s="23" t="str">
        <f>IFERROR(__xludf.DUMMYFUNCTION("""COMPUTED_VALUE"""),"ModifyRebalance")</f>
        <v>ModifyRebalance</v>
      </c>
      <c r="H4" s="23" t="str">
        <f>IFERROR(__xludf.DUMMYFUNCTION("""COMPUTED_VALUE"""),"ClearCalculations")</f>
        <v>ClearCalculations</v>
      </c>
      <c r="I4" s="23" t="str">
        <f>IFERROR(__xludf.DUMMYFUNCTION("""COMPUTED_VALUE"""),"ModelPortfolio")</f>
        <v>ModelPortfolio</v>
      </c>
      <c r="J4" s="23" t="str">
        <f>IFERROR(__xludf.DUMMYFUNCTION("""COMPUTED_VALUE"""),"")</f>
        <v/>
      </c>
      <c r="K4" s="23" t="str">
        <f>IFERROR(__xludf.DUMMYFUNCTION("""COMPUTED_VALUE"""),"")</f>
        <v/>
      </c>
      <c r="L4" s="23" t="str">
        <f>IFERROR(__xludf.DUMMYFUNCTION("""COMPUTED_VALUE"""),"")</f>
        <v/>
      </c>
      <c r="M4" s="23" t="str">
        <f>IFERROR(__xludf.DUMMYFUNCTION("""COMPUTED_VALUE"""),"")</f>
        <v/>
      </c>
      <c r="N4" s="23" t="str">
        <f>IFERROR(__xludf.DUMMYFUNCTION("""COMPUTED_VALUE"""),"")</f>
        <v/>
      </c>
      <c r="O4" s="23" t="str">
        <f>IFERROR(__xludf.DUMMYFUNCTION("""COMPUTED_VALUE"""),"")</f>
        <v/>
      </c>
      <c r="P4" s="24" t="str">
        <f>IFERROR(__xludf.DUMMYFUNCTION("""COMPUTED_VALUE"""),"")</f>
        <v/>
      </c>
      <c r="Q4" s="24" t="str">
        <f>IFERROR(__xludf.DUMMYFUNCTION("""COMPUTED_VALUE"""),"")</f>
        <v/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IFERROR(__xludf.DUMMYFUNCTION("""COMPUTED_VALUE"""),"Cash Flow(USD)")</f>
        <v>Cash Flow(USD)</v>
      </c>
      <c r="C5" s="26" t="str">
        <f>IFERROR(__xludf.DUMMYFUNCTION("""COMPUTED_VALUE"""),"Cash Flow Impact on NAV")</f>
        <v>Cash Flow Impact on NAV</v>
      </c>
      <c r="D5" s="26" t="str">
        <f>IFERROR(__xludf.DUMMYFUNCTION("""COMPUTED_VALUE"""),"Select Model")</f>
        <v>Select Model</v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9"/>
      <c r="B6" s="34">
        <v>10000.0</v>
      </c>
      <c r="C6" s="33" t="s">
        <v>34</v>
      </c>
      <c r="D6" s="32" t="s">
        <v>35</v>
      </c>
      <c r="E6" s="30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30</v>
      </c>
      <c r="D3" s="8" t="s">
        <v>8</v>
      </c>
      <c r="E3" s="21" t="s">
        <v>36</v>
      </c>
      <c r="F3" s="8" t="s">
        <v>14</v>
      </c>
      <c r="G3" s="16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IFERROR(__xludf.DUMMYFUNCTION("IF(C3="""","""",Transpose(IMPORTRANGE('_Settings'!$B$3,C3&amp;""!A4:A1000"")))"),"FetchAccountPositions")</f>
        <v>FetchAccountPositions</v>
      </c>
      <c r="C4" s="23" t="str">
        <f>IFERROR(__xludf.DUMMYFUNCTION("""COMPUTED_VALUE"""),"AddCash")</f>
        <v>AddCash</v>
      </c>
      <c r="D4" s="23" t="str">
        <f>IFERROR(__xludf.DUMMYFUNCTION("""COMPUTED_VALUE"""),"VerifyGridData")</f>
        <v>VerifyGridData</v>
      </c>
      <c r="E4" s="23" t="str">
        <f>IFERROR(__xludf.DUMMYFUNCTION("""COMPUTED_VALUE"""),"RunRebalance")</f>
        <v>RunRebalance</v>
      </c>
      <c r="F4" s="23" t="str">
        <f>IFERROR(__xludf.DUMMYFUNCTION("""COMPUTED_VALUE"""),"RebalanceAcrossSecurities")</f>
        <v>RebalanceAcrossSecurities</v>
      </c>
      <c r="G4" s="23" t="str">
        <f>IFERROR(__xludf.DUMMYFUNCTION("""COMPUTED_VALUE"""),"ModifyRebalance")</f>
        <v>ModifyRebalance</v>
      </c>
      <c r="H4" s="23" t="str">
        <f>IFERROR(__xludf.DUMMYFUNCTION("""COMPUTED_VALUE"""),"ClearCalculations")</f>
        <v>ClearCalculations</v>
      </c>
      <c r="I4" s="23" t="str">
        <f>IFERROR(__xludf.DUMMYFUNCTION("""COMPUTED_VALUE"""),"ModelPortfolio")</f>
        <v>ModelPortfolio</v>
      </c>
      <c r="J4" s="23" t="str">
        <f>IFERROR(__xludf.DUMMYFUNCTION("""COMPUTED_VALUE"""),"")</f>
        <v/>
      </c>
      <c r="K4" s="23" t="str">
        <f>IFERROR(__xludf.DUMMYFUNCTION("""COMPUTED_VALUE"""),"")</f>
        <v/>
      </c>
      <c r="L4" s="23" t="str">
        <f>IFERROR(__xludf.DUMMYFUNCTION("""COMPUTED_VALUE"""),"")</f>
        <v/>
      </c>
      <c r="M4" s="23" t="str">
        <f>IFERROR(__xludf.DUMMYFUNCTION("""COMPUTED_VALUE"""),"")</f>
        <v/>
      </c>
      <c r="N4" s="23" t="str">
        <f>IFERROR(__xludf.DUMMYFUNCTION("""COMPUTED_VALUE"""),"")</f>
        <v/>
      </c>
      <c r="O4" s="23" t="str">
        <f>IFERROR(__xludf.DUMMYFUNCTION("""COMPUTED_VALUE"""),"")</f>
        <v/>
      </c>
      <c r="P4" s="24" t="str">
        <f>IFERROR(__xludf.DUMMYFUNCTION("""COMPUTED_VALUE"""),"")</f>
        <v/>
      </c>
      <c r="Q4" s="24" t="str">
        <f>IFERROR(__xludf.DUMMYFUNCTION("""COMPUTED_VALUE"""),"")</f>
        <v/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IFERROR(__xludf.DUMMYFUNCTION("""COMPUTED_VALUE"""),"Ticker")</f>
        <v>Ticker</v>
      </c>
      <c r="C5" s="26" t="str">
        <f>IFERROR(__xludf.DUMMYFUNCTION("""COMPUTED_VALUE"""),"Set/Inc/Dec")</f>
        <v>Set/Inc/Dec</v>
      </c>
      <c r="D5" s="26" t="str">
        <f>IFERROR(__xludf.DUMMYFUNCTION("""COMPUTED_VALUE"""),"Target%")</f>
        <v>Target%</v>
      </c>
      <c r="E5" s="26" t="str">
        <f>IFERROR(__xludf.DUMMYFUNCTION("""COMPUTED_VALUE"""),"Account/Group")</f>
        <v>Account/Group</v>
      </c>
      <c r="F5" s="27" t="str">
        <f>IFERROR(__xludf.DUMMYFUNCTION("""COMPUTED_VALUE"""),"ReinvestCash")</f>
        <v>ReinvestCash</v>
      </c>
      <c r="G5" s="26" t="str">
        <f>IFERROR(__xludf.DUMMYFUNCTION("""COMPUTED_VALUE"""),"SellToRaiseCash")</f>
        <v>SellToRaiseCash</v>
      </c>
      <c r="H5" s="26" t="str">
        <f>IFERROR(__xludf.DUMMYFUNCTION("""COMPUTED_VALUE"""),"AllowNegCash")</f>
        <v>AllowNegCash</v>
      </c>
      <c r="I5" s="26" t="str">
        <f>IFERROR(__xludf.DUMMYFUNCTION("""COMPUTED_VALUE"""),"NoShortning")</f>
        <v>NoShortning</v>
      </c>
      <c r="J5" s="26" t="str">
        <f>IFERROR(__xludf.DUMMYFUNCTION("""COMPUTED_VALUE"""),"Price")</f>
        <v>Price</v>
      </c>
      <c r="K5" s="26" t="str">
        <f>IFERROR(__xludf.DUMMYFUNCTION("""COMPUTED_VALUE"""),"Fx")</f>
        <v>Fx</v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9"/>
      <c r="B6" s="9"/>
      <c r="C6" s="6"/>
      <c r="D6" s="9"/>
      <c r="E6" s="30"/>
      <c r="F6" s="6"/>
      <c r="G6" s="9" t="s">
        <v>37</v>
      </c>
      <c r="H6" s="6"/>
      <c r="I6" s="9" t="s">
        <v>37</v>
      </c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RebalanceAcrossSecurities!$4:$4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30</v>
      </c>
      <c r="D3" s="8" t="s">
        <v>8</v>
      </c>
      <c r="E3" s="21" t="s">
        <v>38</v>
      </c>
      <c r="F3" s="8" t="s">
        <v>14</v>
      </c>
      <c r="G3" s="16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IFERROR(__xludf.DUMMYFUNCTION("IF(C3="""","""",Transpose(IMPORTRANGE('_Settings'!$B$3,C3&amp;""!A4:A1000"")))"),"FetchAccountPositions")</f>
        <v>FetchAccountPositions</v>
      </c>
      <c r="C4" s="23" t="str">
        <f>IFERROR(__xludf.DUMMYFUNCTION("""COMPUTED_VALUE"""),"AddCash")</f>
        <v>AddCash</v>
      </c>
      <c r="D4" s="23" t="str">
        <f>IFERROR(__xludf.DUMMYFUNCTION("""COMPUTED_VALUE"""),"VerifyGridData")</f>
        <v>VerifyGridData</v>
      </c>
      <c r="E4" s="23" t="str">
        <f>IFERROR(__xludf.DUMMYFUNCTION("""COMPUTED_VALUE"""),"RunRebalance")</f>
        <v>RunRebalance</v>
      </c>
      <c r="F4" s="23" t="str">
        <f>IFERROR(__xludf.DUMMYFUNCTION("""COMPUTED_VALUE"""),"RebalanceAcrossSecurities")</f>
        <v>RebalanceAcrossSecurities</v>
      </c>
      <c r="G4" s="23" t="str">
        <f>IFERROR(__xludf.DUMMYFUNCTION("""COMPUTED_VALUE"""),"ModifyRebalance")</f>
        <v>ModifyRebalance</v>
      </c>
      <c r="H4" s="23" t="str">
        <f>IFERROR(__xludf.DUMMYFUNCTION("""COMPUTED_VALUE"""),"ClearCalculations")</f>
        <v>ClearCalculations</v>
      </c>
      <c r="I4" s="23" t="str">
        <f>IFERROR(__xludf.DUMMYFUNCTION("""COMPUTED_VALUE"""),"ModelPortfolio")</f>
        <v>ModelPortfolio</v>
      </c>
      <c r="J4" s="23" t="str">
        <f>IFERROR(__xludf.DUMMYFUNCTION("""COMPUTED_VALUE"""),"")</f>
        <v/>
      </c>
      <c r="K4" s="23" t="str">
        <f>IFERROR(__xludf.DUMMYFUNCTION("""COMPUTED_VALUE"""),"")</f>
        <v/>
      </c>
      <c r="L4" s="23" t="str">
        <f>IFERROR(__xludf.DUMMYFUNCTION("""COMPUTED_VALUE"""),"")</f>
        <v/>
      </c>
      <c r="M4" s="23" t="str">
        <f>IFERROR(__xludf.DUMMYFUNCTION("""COMPUTED_VALUE"""),"")</f>
        <v/>
      </c>
      <c r="N4" s="23" t="str">
        <f>IFERROR(__xludf.DUMMYFUNCTION("""COMPUTED_VALUE"""),"")</f>
        <v/>
      </c>
      <c r="O4" s="23" t="str">
        <f>IFERROR(__xludf.DUMMYFUNCTION("""COMPUTED_VALUE"""),"")</f>
        <v/>
      </c>
      <c r="P4" s="24" t="str">
        <f>IFERROR(__xludf.DUMMYFUNCTION("""COMPUTED_VALUE"""),"")</f>
        <v/>
      </c>
      <c r="Q4" s="24" t="str">
        <f>IFERROR(__xludf.DUMMYFUNCTION("""COMPUTED_VALUE"""),"")</f>
        <v/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IFERROR(__xludf.DUMMYFUNCTION("""COMPUTED_VALUE"""),"Rounding Type")</f>
        <v>Rounding Type</v>
      </c>
      <c r="C5" s="26" t="str">
        <f>IFERROR(__xludf.DUMMYFUNCTION("""COMPUTED_VALUE"""),"Rebalance")</f>
        <v>Rebalance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9"/>
      <c r="B6" s="9" t="s">
        <v>39</v>
      </c>
      <c r="C6" s="6"/>
      <c r="D6" s="9"/>
      <c r="E6" s="30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30</v>
      </c>
      <c r="D3" s="8" t="s">
        <v>8</v>
      </c>
      <c r="E3" s="21" t="s">
        <v>40</v>
      </c>
      <c r="F3" s="8" t="s">
        <v>14</v>
      </c>
      <c r="G3" s="16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IFERROR(__xludf.DUMMYFUNCTION("IF(C3="""","""",Transpose(IMPORTRANGE('_Settings'!$B$3,C3&amp;""!A4:A1000"")))"),"FetchAccountPositions")</f>
        <v>FetchAccountPositions</v>
      </c>
      <c r="C4" s="23" t="str">
        <f>IFERROR(__xludf.DUMMYFUNCTION("""COMPUTED_VALUE"""),"AddCash")</f>
        <v>AddCash</v>
      </c>
      <c r="D4" s="23" t="str">
        <f>IFERROR(__xludf.DUMMYFUNCTION("""COMPUTED_VALUE"""),"VerifyGridData")</f>
        <v>VerifyGridData</v>
      </c>
      <c r="E4" s="23" t="str">
        <f>IFERROR(__xludf.DUMMYFUNCTION("""COMPUTED_VALUE"""),"RunRebalance")</f>
        <v>RunRebalance</v>
      </c>
      <c r="F4" s="23" t="str">
        <f>IFERROR(__xludf.DUMMYFUNCTION("""COMPUTED_VALUE"""),"RebalanceAcrossSecurities")</f>
        <v>RebalanceAcrossSecurities</v>
      </c>
      <c r="G4" s="23" t="str">
        <f>IFERROR(__xludf.DUMMYFUNCTION("""COMPUTED_VALUE"""),"ModifyRebalance")</f>
        <v>ModifyRebalance</v>
      </c>
      <c r="H4" s="23" t="str">
        <f>IFERROR(__xludf.DUMMYFUNCTION("""COMPUTED_VALUE"""),"ClearCalculations")</f>
        <v>ClearCalculations</v>
      </c>
      <c r="I4" s="23" t="str">
        <f>IFERROR(__xludf.DUMMYFUNCTION("""COMPUTED_VALUE"""),"ModelPortfolio")</f>
        <v>ModelPortfolio</v>
      </c>
      <c r="J4" s="23" t="str">
        <f>IFERROR(__xludf.DUMMYFUNCTION("""COMPUTED_VALUE"""),"")</f>
        <v/>
      </c>
      <c r="K4" s="23" t="str">
        <f>IFERROR(__xludf.DUMMYFUNCTION("""COMPUTED_VALUE"""),"")</f>
        <v/>
      </c>
      <c r="L4" s="23" t="str">
        <f>IFERROR(__xludf.DUMMYFUNCTION("""COMPUTED_VALUE"""),"")</f>
        <v/>
      </c>
      <c r="M4" s="23" t="str">
        <f>IFERROR(__xludf.DUMMYFUNCTION("""COMPUTED_VALUE"""),"")</f>
        <v/>
      </c>
      <c r="N4" s="23" t="str">
        <f>IFERROR(__xludf.DUMMYFUNCTION("""COMPUTED_VALUE"""),"")</f>
        <v/>
      </c>
      <c r="O4" s="23" t="str">
        <f>IFERROR(__xludf.DUMMYFUNCTION("""COMPUTED_VALUE"""),"")</f>
        <v/>
      </c>
      <c r="P4" s="24" t="str">
        <f>IFERROR(__xludf.DUMMYFUNCTION("""COMPUTED_VALUE"""),"")</f>
        <v/>
      </c>
      <c r="Q4" s="24" t="str">
        <f>IFERROR(__xludf.DUMMYFUNCTION("""COMPUTED_VALUE"""),"")</f>
        <v/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IFERROR(__xludf.DUMMYFUNCTION("""COMPUTED_VALUE"""),"Lock/Unlock")</f>
        <v>Lock/Unlock</v>
      </c>
      <c r="C5" s="26" t="str">
        <f>IFERROR(__xludf.DUMMYFUNCTION("""COMPUTED_VALUE"""),"Account")</f>
        <v>Account</v>
      </c>
      <c r="D5" s="26" t="str">
        <f>IFERROR(__xludf.DUMMYFUNCTION("""COMPUTED_VALUE"""),"Symbol")</f>
        <v>Symbol</v>
      </c>
      <c r="E5" s="26" t="str">
        <f>IFERROR(__xludf.DUMMYFUNCTION("""COMPUTED_VALUE"""),"Asset")</f>
        <v>Asset</v>
      </c>
      <c r="F5" s="27" t="str">
        <f>IFERROR(__xludf.DUMMYFUNCTION("""COMPUTED_VALUE"""),"Side")</f>
        <v>Side</v>
      </c>
      <c r="G5" s="26" t="str">
        <f>IFERROR(__xludf.DUMMYFUNCTION("""COMPUTED_VALUE"""),"Price (Local)")</f>
        <v>Price (Local)</v>
      </c>
      <c r="H5" s="26" t="str">
        <f>IFERROR(__xludf.DUMMYFUNCTION("""COMPUTED_VALUE"""),"Price")</f>
        <v>Price</v>
      </c>
      <c r="I5" s="26" t="str">
        <f>IFERROR(__xludf.DUMMYFUNCTION("""COMPUTED_VALUE"""),"FX Rate")</f>
        <v>FX Rate</v>
      </c>
      <c r="J5" s="26" t="str">
        <f>IFERROR(__xludf.DUMMYFUNCTION("""COMPUTED_VALUE"""),"Current %")</f>
        <v>Current %</v>
      </c>
      <c r="K5" s="26" t="str">
        <f>IFERROR(__xludf.DUMMYFUNCTION("""COMPUTED_VALUE"""),"Current Position")</f>
        <v>Current Position</v>
      </c>
      <c r="L5" s="26" t="str">
        <f>IFERROR(__xludf.DUMMYFUNCTION("""COMPUTED_VALUE"""),"Current Market Value (Local)")</f>
        <v>Current Market Value (Local)</v>
      </c>
      <c r="M5" s="26" t="str">
        <f>IFERROR(__xludf.DUMMYFUNCTION("""COMPUTED_VALUE"""),"Current Market Value")</f>
        <v>Current Market Value</v>
      </c>
      <c r="N5" s="26" t="str">
        <f>IFERROR(__xludf.DUMMYFUNCTION("""COMPUTED_VALUE"""),"Target %")</f>
        <v>Target %</v>
      </c>
      <c r="O5" s="26" t="str">
        <f>IFERROR(__xludf.DUMMYFUNCTION("""COMPUTED_VALUE"""),"Target Position")</f>
        <v>Target Position</v>
      </c>
      <c r="P5" s="26" t="str">
        <f>IFERROR(__xludf.DUMMYFUNCTION("""COMPUTED_VALUE"""),"Target Market Value (Local)")</f>
        <v>Target Market Value (Local)</v>
      </c>
      <c r="Q5" s="26" t="str">
        <f>IFERROR(__xludf.DUMMYFUNCTION("""COMPUTED_VALUE"""),"Target Market Value")</f>
        <v>Target Market Value</v>
      </c>
      <c r="R5" s="26" t="str">
        <f>IFERROR(__xludf.DUMMYFUNCTION("""COMPUTED_VALUE"""),"Buy/Sell Qty")</f>
        <v>Buy/Sell Qty</v>
      </c>
      <c r="S5" s="26" t="str">
        <f>IFERROR(__xludf.DUMMYFUNCTION("""COMPUTED_VALUE"""),"Buy/Sell Value")</f>
        <v>Buy/Sell Value</v>
      </c>
      <c r="T5" s="28" t="str">
        <f>IFERROR(__xludf.DUMMYFUNCTION("""COMPUTED_VALUE"""),"Sector")</f>
        <v>Sector</v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9"/>
      <c r="B6" s="9"/>
      <c r="C6" s="39" t="s">
        <v>17</v>
      </c>
      <c r="D6" s="51" t="s">
        <v>21</v>
      </c>
      <c r="E6" s="36"/>
      <c r="F6" s="9"/>
      <c r="G6" s="6"/>
      <c r="H6" s="6"/>
      <c r="I6" s="6"/>
      <c r="J6" s="52"/>
      <c r="K6" s="52">
        <v>197.0</v>
      </c>
      <c r="L6" s="6"/>
      <c r="M6" s="6"/>
      <c r="N6" s="6"/>
      <c r="O6" s="52">
        <v>254.0</v>
      </c>
      <c r="S6" s="53">
        <v>5700.0</v>
      </c>
    </row>
    <row r="7" ht="15.75" customHeight="1">
      <c r="A7" s="6"/>
      <c r="B7" s="6"/>
      <c r="C7" s="42" t="s">
        <v>17</v>
      </c>
      <c r="D7" s="54" t="s">
        <v>23</v>
      </c>
      <c r="E7" s="42"/>
      <c r="F7" s="6"/>
      <c r="G7" s="6"/>
      <c r="H7" s="6"/>
      <c r="I7" s="6"/>
      <c r="J7" s="52"/>
      <c r="K7" s="52">
        <v>198.0</v>
      </c>
      <c r="L7" s="6"/>
      <c r="M7" s="6"/>
      <c r="N7" s="6"/>
      <c r="O7" s="52">
        <v>210.0</v>
      </c>
      <c r="S7" s="53">
        <v>1200.0</v>
      </c>
    </row>
    <row r="8" ht="15.75" customHeight="1">
      <c r="A8" s="6"/>
      <c r="B8" s="6"/>
      <c r="C8" s="42" t="s">
        <v>17</v>
      </c>
      <c r="D8" s="54" t="s">
        <v>24</v>
      </c>
      <c r="E8" s="42"/>
      <c r="F8" s="6"/>
      <c r="G8" s="6"/>
      <c r="H8" s="6"/>
      <c r="I8" s="6"/>
      <c r="J8" s="52"/>
      <c r="K8" s="52">
        <v>248.0</v>
      </c>
      <c r="L8" s="6"/>
      <c r="M8" s="6"/>
      <c r="N8" s="6"/>
      <c r="O8" s="52">
        <v>270.0</v>
      </c>
      <c r="S8" s="53">
        <v>2200.0</v>
      </c>
    </row>
    <row r="9" ht="15.75" customHeight="1">
      <c r="A9" s="6"/>
      <c r="B9" s="6"/>
      <c r="C9" s="42" t="s">
        <v>17</v>
      </c>
      <c r="D9" s="54" t="s">
        <v>27</v>
      </c>
      <c r="E9" s="42"/>
      <c r="F9" s="6"/>
      <c r="G9" s="6"/>
      <c r="H9" s="6"/>
      <c r="I9" s="6"/>
      <c r="J9" s="52"/>
      <c r="K9" s="52">
        <v>0.0</v>
      </c>
      <c r="L9" s="6"/>
      <c r="M9" s="6"/>
      <c r="N9" s="6"/>
      <c r="O9" s="52">
        <v>0.0</v>
      </c>
      <c r="S9" s="53">
        <v>0.0</v>
      </c>
    </row>
    <row r="10" ht="15.75" customHeight="1">
      <c r="A10" s="6"/>
      <c r="B10" s="6"/>
      <c r="C10" s="42" t="s">
        <v>17</v>
      </c>
      <c r="D10" s="54" t="s">
        <v>25</v>
      </c>
      <c r="E10" s="42"/>
      <c r="F10" s="6"/>
      <c r="G10" s="6"/>
      <c r="H10" s="6"/>
      <c r="I10" s="6"/>
      <c r="J10" s="52"/>
      <c r="K10" s="52">
        <v>248.0</v>
      </c>
      <c r="L10" s="6"/>
      <c r="M10" s="6"/>
      <c r="N10" s="6"/>
      <c r="O10" s="52">
        <v>260.0</v>
      </c>
      <c r="S10" s="53">
        <v>1200.0</v>
      </c>
    </row>
    <row r="11" ht="15.75" customHeight="1">
      <c r="A11" s="6"/>
      <c r="B11" s="6"/>
      <c r="C11" s="55" t="s">
        <v>17</v>
      </c>
      <c r="D11" s="54" t="s">
        <v>26</v>
      </c>
      <c r="E11" s="43"/>
      <c r="F11" s="6"/>
      <c r="G11" s="6"/>
      <c r="H11" s="6"/>
      <c r="I11" s="6"/>
      <c r="J11" s="52"/>
      <c r="K11" s="52">
        <v>98.0</v>
      </c>
      <c r="L11" s="6"/>
      <c r="M11" s="6"/>
      <c r="N11" s="6"/>
      <c r="O11" s="52">
        <v>97.0</v>
      </c>
      <c r="S11" s="53">
        <v>-100.0</v>
      </c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VerifyGridData!$4:$4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