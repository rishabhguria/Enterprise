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alculatePTT" sheetId="4" r:id="rId7"/>
    <sheet state="visible" name="SavePageView" sheetId="5" r:id="rId8"/>
    <sheet state="visible" name="SetUIPreferencesTT" sheetId="6" r:id="rId9"/>
    <sheet state="visible" name="SetPTTPreference" sheetId="7" r:id="rId10"/>
    <sheet state="visible" name="ValidateSymbolTT" sheetId="8" r:id="rId11"/>
    <sheet state="visible" name="VerifyTT" sheetId="9" r:id="rId12"/>
    <sheet state="visible" name="CustomOrderTT" sheetId="10" r:id="rId13"/>
    <sheet state="visible" name="VerifyTT1" sheetId="11" r:id="rId14"/>
    <sheet state="visible" name="ActionOnPageFromSearch" sheetId="12" r:id="rId15"/>
    <sheet state="visible" name="CalculatePTT1" sheetId="13" r:id="rId16"/>
    <sheet state="visible" name="VerifyPTT" sheetId="14" r:id="rId17"/>
  </sheets>
  <definedNames/>
  <calcPr/>
  <extLst>
    <ext uri="GoogleSheetsCustomDataVersion2">
      <go:sheetsCustomData xmlns:go="http://customooxmlschemas.google.com/" r:id="rId18" roundtripDataChecksum="DlLAeG8G/mHdOYjC9c0oha08gYDF+g3v2jhWXUIEwBM="/>
    </ext>
  </extLst>
</workbook>
</file>

<file path=xl/sharedStrings.xml><?xml version="1.0" encoding="utf-8"?>
<sst xmlns="http://schemas.openxmlformats.org/spreadsheetml/2006/main" count="105" uniqueCount="37">
  <si>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</si>
  <si>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</si>
  <si>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</si>
  <si>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</si>
  <si>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</si>
  <si>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</si>
  <si>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</si>
  <si>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</si>
  <si>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</si>
  <si>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</si>
  <si>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</si>
  <si>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</si>
  <si>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</si>
  <si>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</si>
  <si>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</si>
  <si>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</si>
  <si>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</si>
  <si>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OpenFin</t>
  </si>
  <si>
    <t>SavePageView</t>
  </si>
  <si>
    <t>Trading Ticket</t>
  </si>
  <si>
    <t>PTT1</t>
  </si>
  <si>
    <t>TradingTicket</t>
  </si>
  <si>
    <t>SetUIPreferencesTT</t>
  </si>
  <si>
    <t>Allocation2</t>
  </si>
  <si>
    <t>SetPTTPreference</t>
  </si>
  <si>
    <t>Decrease</t>
  </si>
  <si>
    <t>BasisPoints</t>
  </si>
  <si>
    <t>Yes</t>
  </si>
  <si>
    <t>Allocation1</t>
  </si>
  <si>
    <t>ValidateSymbolTT</t>
  </si>
  <si>
    <t>VerifyTT</t>
  </si>
  <si>
    <t>CustomOrderTT</t>
  </si>
  <si>
    <t>Qty</t>
  </si>
  <si>
    <t>CreateDoneAwayOrder</t>
  </si>
  <si>
    <t>Unallocated</t>
  </si>
  <si>
    <t>ActionOnPageFromSearch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</si>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</sst>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IFERROR(__xludf.DUMMYFUNCTION("""COMPUTED_VALUE"""),"Master Funds")</f>
        <v>Master Funds</v>
      </c>
      <c r="K5" s="22" t="str">
        <f>IFERROR(__xludf.DUMMYFUNCTION("""COMPUTED_VALUE"""),"Round Lots")</f>
        <v>Round Lots</v>
      </c>
      <c r="L5" s="22" t="str">
        <f>IFERROR(__xludf.DUMMYFUNCTION("""COMPUTED_VALUE"""),"Use Custodian Broker")</f>
        <v>Use Custodian Broker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16</v>
      </c>
      <c r="C6" s="6"/>
      <c r="D6" s="24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17</v>
      </c>
      <c r="D3" s="4" t="s">
        <v>9</v>
      </c>
      <c r="E3" s="11" t="s">
        <v>18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ht="15.75" customHeight="1">
      <c r="A4" s="19"/>
      <c r="B4" s="19" t="str">
        <f>IFERROR(__xludf.DUMMYFUNCTION("IF(C3="""","""",Transpose(IMPORTRANGE('_Settings'!$B$3,C3&amp;""!A4:A1000"")))"),"CheckOpenFinWindowName")</f>
        <v>CheckOpenFinWindowName</v>
      </c>
      <c r="C4" s="19" t="str">
        <f>IFERROR(__xludf.DUMMYFUNCTION("""COMPUTED_VALUE"""),"OpenWindowFromSearch")</f>
        <v>OpenWindowFromSearch</v>
      </c>
      <c r="D4" s="19" t="str">
        <f>IFERROR(__xludf.DUMMYFUNCTION("""COMPUTED_VALUE"""),"VerifyColour")</f>
        <v>VerifyColour</v>
      </c>
      <c r="E4" s="19" t="str">
        <f>IFERROR(__xludf.DUMMYFUNCTION("""COMPUTED_VALUE"""),"OpenReleaseClient")</f>
        <v>OpenReleaseClient</v>
      </c>
      <c r="F4" s="19" t="str">
        <f>IFERROR(__xludf.DUMMYFUNCTION("""COMPUTED_VALUE"""),"ActionOnPageFromSearch")</f>
        <v>ActionOnPageFromSearch</v>
      </c>
      <c r="G4" s="19" t="str">
        <f>IFERROR(__xludf.DUMMYFUNCTION("""COMPUTED_VALUE"""),"SavePageView")</f>
        <v>SavePageView</v>
      </c>
      <c r="H4" s="19" t="str">
        <f>IFERROR(__xludf.DUMMYFUNCTION("""COMPUTED_VALUE"""),"ChangeThemeOnModule")</f>
        <v>ChangeThemeOnModule</v>
      </c>
      <c r="I4" s="19" t="str">
        <f>IFERROR(__xludf.DUMMYFUNCTION("""COMPUTED_VALUE"""),"CloseService")</f>
        <v>CloseService</v>
      </c>
      <c r="J4" s="19" t="str">
        <f>IFERROR(__xludf.DUMMYFUNCTION("""COMPUTED_VALUE"""),"LogOutSamsara")</f>
        <v>LogOutSamsara</v>
      </c>
      <c r="K4" s="19" t="str">
        <f>IFERROR(__xludf.DUMMYFUNCTION("""COMPUTED_VALUE"""),"ResizeEnsure")</f>
        <v>ResizeEnsure</v>
      </c>
      <c r="L4" s="19" t="str">
        <f>IFERROR(__xludf.DUMMYFUNCTION("""COMPUTED_VALUE"""),"VerifyNotification")</f>
        <v>VerifyNotification</v>
      </c>
      <c r="M4" s="19" t="str">
        <f>IFERROR(__xludf.DUMMYFUNCTION("""COMPUTED_VALUE"""),"LockUnlockModule")</f>
        <v>LockUnlockModule</v>
      </c>
      <c r="N4" s="19" t="str">
        <f>IFERROR(__xludf.DUMMYFUNCTION("""COMPUTED_VALUE"""),"OpenModuleFromDock")</f>
        <v>OpenModuleFromDock</v>
      </c>
      <c r="O4" s="19" t="str">
        <f>IFERROR(__xludf.DUMMYFUNCTION("""COMPUTED_VALUE"""),"SavePageRTPNL")</f>
        <v>SavePageRTPNL</v>
      </c>
      <c r="P4" s="20" t="str">
        <f>IFERROR(__xludf.DUMMYFUNCTION("""COMPUTED_VALUE"""),"VerifyToastMessage")</f>
        <v>VerifyToastMessage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IFERROR(__xludf.DUMMYFUNCTION("""COMPUTED_VALUE"""),"TabName")</f>
        <v>TabName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ht="15.75" customHeight="1">
      <c r="A6" s="6"/>
      <c r="B6" s="25" t="s">
        <v>19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IFERROR(__xludf.DUMMYFUNCTION("""COMPUTED_VALUE"""),"Broker")</f>
        <v>Broker</v>
      </c>
      <c r="C5" s="22" t="str">
        <f>IFERROR(__xludf.DUMMYFUNCTION("""COMPUTED_VALUE"""),"Venue")</f>
        <v>Venue</v>
      </c>
      <c r="D5" s="22" t="str">
        <f>IFERROR(__xludf.DUMMYFUNCTION("""COMPUTED_VALUE"""),"Order Type")</f>
        <v>Order Type</v>
      </c>
      <c r="E5" s="22" t="str">
        <f>IFERROR(__xludf.DUMMYFUNCTION("""COMPUTED_VALUE"""),"TIF")</f>
        <v>TIF</v>
      </c>
      <c r="F5" s="22" t="str">
        <f>IFERROR(__xludf.DUMMYFUNCTION("""COMPUTED_VALUE"""),"Handling Instruction")</f>
        <v>Handling Instruction</v>
      </c>
      <c r="G5" s="22" t="str">
        <f>IFERROR(__xludf.DUMMYFUNCTION("""COMPUTED_VALUE"""),"Execution Instruction")</f>
        <v>Execution Instruction</v>
      </c>
      <c r="H5" s="22" t="str">
        <f>IFERROR(__xludf.DUMMYFUNCTION("""COMPUTED_VALUE"""),"Strategy")</f>
        <v>Strategy</v>
      </c>
      <c r="I5" s="22" t="str">
        <f>IFERROR(__xludf.DUMMYFUNCTION("""COMPUTED_VALUE"""),"Account")</f>
        <v>Account</v>
      </c>
      <c r="J5" s="22" t="str">
        <f>IFERROR(__xludf.DUMMYFUNCTION("""COMPUTED_VALUE"""),"Settlement Currency")</f>
        <v>Settlement Currency</v>
      </c>
      <c r="K5" s="22" t="str">
        <f>IFERROR(__xludf.DUMMYFUNCTION("""COMPUTED_VALUE"""),"Trader")</f>
        <v>Trader</v>
      </c>
      <c r="L5" s="22" t="str">
        <f>IFERROR(__xludf.DUMMYFUNCTION("""COMPUTED_VALUE"""),"Default Quantity")</f>
        <v>Default Quantity</v>
      </c>
      <c r="M5" s="22" t="str">
        <f>IFERROR(__xludf.DUMMYFUNCTION("""COMPUTED_VALUE"""),"Apply Round Lots")</f>
        <v>Apply Round Lots</v>
      </c>
      <c r="N5" s="22" t="str">
        <f>IFERROR(__xludf.DUMMYFUNCTION("""COMPUTED_VALUE"""),"Quantity")</f>
        <v>Quantity</v>
      </c>
      <c r="O5" s="22" t="str">
        <f>IFERROR(__xludf.DUMMYFUNCTION("""COMPUTED_VALUE"""),"Increase On Quantity")</f>
        <v>Increase On Quantity</v>
      </c>
      <c r="P5" s="22" t="str">
        <f>IFERROR(__xludf.DUMMYFUNCTION("""COMPUTED_VALUE"""),"Increase On Stop")</f>
        <v>Increase On Stop</v>
      </c>
      <c r="Q5" s="22" t="str">
        <f>IFERROR(__xludf.DUMMYFUNCTION("""COMPUTED_VALUE"""),"Increase On Limit")</f>
        <v>Increase On Limit</v>
      </c>
      <c r="R5" s="22" t="str">
        <f>IFERROR(__xludf.DUMMYFUNCTION("""COMPUTED_VALUE"""),"Broker_Enable?")</f>
        <v>Broker_Enable?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/>
      <c r="C6" s="6"/>
      <c r="D6" s="6"/>
      <c r="E6" s="6"/>
      <c r="F6" s="6"/>
      <c r="G6" s="6"/>
      <c r="H6" s="6"/>
      <c r="I6" s="24" t="s">
        <v>23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IFERROR(__xludf.DUMMYFUNCTION("""COMPUTED_VALUE"""),"Add/Subtract/Set")</f>
        <v>Add/Subtract/Set</v>
      </c>
      <c r="C5" s="22" t="str">
        <f>IFERROR(__xludf.DUMMYFUNCTION("""COMPUTED_VALUE"""),"Type")</f>
        <v>Type</v>
      </c>
      <c r="D5" s="22" t="str">
        <f>IFERROR(__xludf.DUMMYFUNCTION("""COMPUTED_VALUE"""),"Combined Account Total")</f>
        <v>Combined Account Total</v>
      </c>
      <c r="E5" s="22" t="str">
        <f>IFERROR(__xludf.DUMMYFUNCTION("""COMPUTED_VALUE"""),"MasterFund/Account")</f>
        <v>MasterFund/Account</v>
      </c>
      <c r="F5" s="22" t="str">
        <f>IFERROR(__xludf.DUMMYFUNCTION("""COMPUTED_VALUE"""),"Accounts")</f>
        <v>Accounts</v>
      </c>
      <c r="G5" s="22" t="str">
        <f>IFERROR(__xludf.DUMMYFUNCTION("""COMPUTED_VALUE"""),"Increase Decimal Digits")</f>
        <v>Increase Decimal Digits</v>
      </c>
      <c r="H5" s="22" t="str">
        <f>IFERROR(__xludf.DUMMYFUNCTION("""COMPUTED_VALUE"""),"ChkRemoveAccountsWithZeroNAV")</f>
        <v>ChkRemoveAccountsWithZeroNAV</v>
      </c>
      <c r="I5" s="22" t="str">
        <f>IFERROR(__xludf.DUMMYFUNCTION("""COMPUTED_VALUE"""),"Default Symbology")</f>
        <v>Default Symbology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25</v>
      </c>
      <c r="C6" s="6" t="s">
        <v>26</v>
      </c>
      <c r="D6" s="6" t="s">
        <v>27</v>
      </c>
      <c r="E6" s="6"/>
      <c r="F6" s="24" t="s">
        <v>28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30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IFERROR(__xludf.DUMMYFUNCTION("""COMPUTED_VALUE"""),"MasterFund")</f>
        <v>MasterFund</v>
      </c>
      <c r="AG5" s="23" t="str">
        <f>IFERROR(__xludf.DUMMYFUNCTION("""COMPUTED_VALUE"""),"RoundLotStrip")</f>
        <v>RoundLotStrip</v>
      </c>
      <c r="AH5" s="23" t="str">
        <f>IFERROR(__xludf.DUMMYFUNCTION("""COMPUTED_VALUE"""),"Round Lots")</f>
        <v>Round Lots</v>
      </c>
      <c r="AI5" s="23" t="str">
        <f>IFERROR(__xludf.DUMMYFUNCTION("""COMPUTED_VALUE"""),"Button_Status")</f>
        <v>Button_Status</v>
      </c>
      <c r="AJ5" s="23" t="str">
        <f>IFERROR(__xludf.DUMMYFUNCTION("""COMPUTED_VALUE"""),"Position")</f>
        <v>Position</v>
      </c>
      <c r="AK5" s="23" t="str">
        <f>IFERROR(__xludf.DUMMYFUNCTION("""COMPUTED_VALUE"""),"Symbol Name")</f>
        <v>Symbol Name</v>
      </c>
      <c r="AL5" s="23" t="str">
        <f>IFERROR(__xludf.DUMMYFUNCTION("""COMPUTED_VALUE"""),"Last")</f>
        <v>Last</v>
      </c>
      <c r="AM5" s="23" t="str">
        <f>IFERROR(__xludf.DUMMYFUNCTION("""COMPUTED_VALUE"""),"Change")</f>
        <v>Change</v>
      </c>
      <c r="AN5" s="23" t="str">
        <f>IFERROR(__xludf.DUMMYFUNCTION("""COMPUTED_VALUE"""),"Bid")</f>
        <v>Bid</v>
      </c>
      <c r="AO5" s="23" t="str">
        <f>IFERROR(__xludf.DUMMYFUNCTION("""COMPUTED_VALUE"""),"Ask")</f>
        <v>Ask</v>
      </c>
      <c r="AP5" s="23" t="str">
        <f>IFERROR(__xludf.DUMMYFUNCTION("""COMPUTED_VALUE"""),"Notional(Base)")</f>
        <v>Notional(Base)</v>
      </c>
      <c r="AQ5" s="23" t="str">
        <f>IFERROR(__xludf.DUMMYFUNCTION("""COMPUTED_VALUE"""),"Notional(Local)")</f>
        <v>Notional(Local)</v>
      </c>
      <c r="AR5" s="23" t="str">
        <f>IFERROR(__xludf.DUMMYFUNCTION("""COMPUTED_VALUE"""),"Exposure")</f>
        <v>Exposure</v>
      </c>
      <c r="AS5" s="23" t="str">
        <f>IFERROR(__xludf.DUMMYFUNCTION("""COMPUTED_VALUE"""),"Day P&amp;L")</f>
        <v>Day P&amp;L</v>
      </c>
      <c r="AT5" s="23" t="str">
        <f>IFERROR(__xludf.DUMMYFUNCTION("""COMPUTED_VALUE"""),"VerifyDisableVenue")</f>
        <v>VerifyDisableVenue</v>
      </c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/>
      <c r="D6" s="6"/>
      <c r="E6" s="6"/>
      <c r="F6" s="24" t="s">
        <v>23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31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/>
      <c r="C6" s="6"/>
      <c r="D6" s="6"/>
      <c r="E6" s="6"/>
      <c r="F6" s="6"/>
      <c r="G6" s="24" t="b">
        <v>1</v>
      </c>
      <c r="H6" s="6"/>
      <c r="I6" s="6"/>
      <c r="J6" s="6"/>
      <c r="K6" s="6"/>
      <c r="L6" s="6"/>
      <c r="M6" s="6"/>
      <c r="N6" s="6"/>
      <c r="O6" s="6"/>
      <c r="AH6" s="8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21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IFERROR(__xludf.DUMMYFUNCTION("""COMPUTED_VALUE"""),"ChkBoxBookAsSwap")</f>
        <v>ChkBoxBookAsSwap</v>
      </c>
      <c r="AO5" s="23" t="str">
        <f>IFERROR(__xludf.DUMMYFUNCTION("""COMPUTED_VALUE"""),"PopUpQuantity")</f>
        <v>PopUpQuantity</v>
      </c>
      <c r="AP5" s="23" t="str">
        <f>IFERROR(__xludf.DUMMYFUNCTION("""COMPUTED_VALUE"""),"ShortLocate")</f>
        <v>ShortLocate</v>
      </c>
      <c r="AQ5" s="23" t="str">
        <f>IFERROR(__xludf.DUMMYFUNCTION("""COMPUTED_VALUE"""),"AllowTrade")</f>
        <v>AllowTrade</v>
      </c>
      <c r="AR5" s="23" t="str">
        <f>IFERROR(__xludf.DUMMYFUNCTION("""COMPUTED_VALUE"""),"SharesOutstandingPopUpQty")</f>
        <v>SharesOutstandingPopUpQty</v>
      </c>
      <c r="AS5" s="23" t="str">
        <f>IFERROR(__xludf.DUMMYFUNCTION("""COMPUTED_VALUE"""),"SharesOutstandingPopUp")</f>
        <v>SharesOutstandingPopUp</v>
      </c>
      <c r="AT5" s="23" t="str">
        <f>IFERROR(__xludf.DUMMYFUNCTION("""COMPUTED_VALUE"""),"ResAllowedListPopUp")</f>
        <v>ResAllowedListPopUp</v>
      </c>
      <c r="AU5" s="23" t="str">
        <f>IFERROR(__xludf.DUMMYFUNCTION("""COMPUTED_VALUE"""),"Rate(%)")</f>
        <v>Rate(%)</v>
      </c>
      <c r="AV5" s="23" t="str">
        <f>IFERROR(__xludf.DUMMYFUNCTION("""COMPUTED_VALUE"""),"Interest Rate")</f>
        <v>Interest Rate</v>
      </c>
      <c r="AW5" s="23" t="str">
        <f>IFERROR(__xludf.DUMMYFUNCTION("""COMPUTED_VALUE"""),"SelectAlgoStrategy")</f>
        <v>SelectAlgoStrategy</v>
      </c>
      <c r="AX5" s="23" t="str">
        <f>IFERROR(__xludf.DUMMYFUNCTION("""COMPUTED_VALUE"""),"Increase/Decrease Quantity")</f>
        <v>Increase/Decrease Quantity</v>
      </c>
      <c r="AY5" s="23" t="str">
        <f>IFERROR(__xludf.DUMMYFUNCTION("""COMPUTED_VALUE"""),"Master Funds")</f>
        <v>Master Funds</v>
      </c>
      <c r="AZ5" s="23" t="str">
        <f>IFERROR(__xludf.DUMMYFUNCTION("""COMPUTED_VALUE"""),"TRVAccountName")</f>
        <v>TRVAccountName</v>
      </c>
      <c r="BA5" s="23" t="str">
        <f>IFERROR(__xludf.DUMMYFUNCTION("""COMPUTED_VALUE"""),"TRVTradeQuantity")</f>
        <v>TRVTradeQuantity</v>
      </c>
      <c r="BB5" s="23" t="str">
        <f>IFERROR(__xludf.DUMMYFUNCTION("""COMPUTED_VALUE"""),"TRVCurrentPosition")</f>
        <v>TRVCurrentPosition</v>
      </c>
      <c r="BC5" s="23" t="str">
        <f>IFERROR(__xludf.DUMMYFUNCTION("""COMPUTED_VALUE"""),"TRVNav")</f>
        <v>TRVNav</v>
      </c>
      <c r="BD5" s="23" t="str">
        <f>IFERROR(__xludf.DUMMYFUNCTION("""COMPUTED_VALUE"""),"Account QTY")</f>
        <v>Account QTY</v>
      </c>
      <c r="BE5" s="23" t="str">
        <f>IFERROR(__xludf.DUMMYFUNCTION("""COMPUTED_VALUE"""),"DoneAwayClickOnNO")</f>
        <v>DoneAwayClickOnNO</v>
      </c>
      <c r="BF5" s="23" t="str">
        <f>IFERROR(__xludf.DUMMYFUNCTION("""COMPUTED_VALUE"""),"HotbuttonQty")</f>
        <v>HotbuttonQty</v>
      </c>
      <c r="BG5" s="23" t="str">
        <f>IFERROR(__xludf.DUMMYFUNCTION("""COMPUTED_VALUE"""),"HotButtonPrice")</f>
        <v>HotButtonPrice</v>
      </c>
      <c r="BH5" s="23" t="str">
        <f>IFERROR(__xludf.DUMMYFUNCTION("""COMPUTED_VALUE"""),"HotButtonLimit")</f>
        <v>HotButtonLimit</v>
      </c>
      <c r="BI5" s="23" t="str">
        <f>IFERROR(__xludf.DUMMYFUNCTION("""COMPUTED_VALUE"""),"HotButtonStop")</f>
        <v>HotButtonStop</v>
      </c>
      <c r="BJ5" s="23" t="str">
        <f>IFERROR(__xludf.DUMMYFUNCTION("""COMPUTED_VALUE"""),"Broker PadLock")</f>
        <v>Broker PadLock</v>
      </c>
      <c r="BK5" s="23" t="str">
        <f>IFERROR(__xludf.DUMMYFUNCTION("""COMPUTED_VALUE"""),"TradeBy")</f>
        <v>TradeBy</v>
      </c>
      <c r="BL5" s="23" t="str">
        <f>IFERROR(__xludf.DUMMYFUNCTION("""COMPUTED_VALUE"""),"PendingApprovalPopUp")</f>
        <v>PendingApprovalPopUp</v>
      </c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</row>
    <row r="6" ht="15.75" customHeight="1">
      <c r="A6" s="6"/>
      <c r="B6" s="6" t="s">
        <v>16</v>
      </c>
      <c r="C6" s="6"/>
      <c r="D6" s="6"/>
      <c r="E6" s="6"/>
      <c r="F6" s="6" t="s">
        <v>34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17</v>
      </c>
      <c r="D3" s="4" t="s">
        <v>9</v>
      </c>
      <c r="E3" s="11" t="s">
        <v>35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ht="15.75" customHeight="1">
      <c r="A4" s="19"/>
      <c r="B4" s="19" t="str">
        <f>IFERROR(__xludf.DUMMYFUNCTION("IF(C3="""","""",Transpose(IMPORTRANGE('_Settings'!$B$3,C3&amp;""!A4:A1000"")))"),"CheckOpenFinWindowName")</f>
        <v>CheckOpenFinWindowName</v>
      </c>
      <c r="C4" s="19" t="str">
        <f>IFERROR(__xludf.DUMMYFUNCTION("""COMPUTED_VALUE"""),"OpenWindowFromSearch")</f>
        <v>OpenWindowFromSearch</v>
      </c>
      <c r="D4" s="19" t="str">
        <f>IFERROR(__xludf.DUMMYFUNCTION("""COMPUTED_VALUE"""),"VerifyColour")</f>
        <v>VerifyColour</v>
      </c>
      <c r="E4" s="19" t="str">
        <f>IFERROR(__xludf.DUMMYFUNCTION("""COMPUTED_VALUE"""),"OpenReleaseClient")</f>
        <v>OpenReleaseClient</v>
      </c>
      <c r="F4" s="19" t="str">
        <f>IFERROR(__xludf.DUMMYFUNCTION("""COMPUTED_VALUE"""),"ActionOnPageFromSearch")</f>
        <v>ActionOnPageFromSearch</v>
      </c>
      <c r="G4" s="19" t="str">
        <f>IFERROR(__xludf.DUMMYFUNCTION("""COMPUTED_VALUE"""),"SavePageView")</f>
        <v>SavePageView</v>
      </c>
      <c r="H4" s="19" t="str">
        <f>IFERROR(__xludf.DUMMYFUNCTION("""COMPUTED_VALUE"""),"ChangeThemeOnModule")</f>
        <v>ChangeThemeOnModule</v>
      </c>
      <c r="I4" s="19" t="str">
        <f>IFERROR(__xludf.DUMMYFUNCTION("""COMPUTED_VALUE"""),"CloseService")</f>
        <v>CloseService</v>
      </c>
      <c r="J4" s="19" t="str">
        <f>IFERROR(__xludf.DUMMYFUNCTION("""COMPUTED_VALUE"""),"LogOutSamsara")</f>
        <v>LogOutSamsara</v>
      </c>
      <c r="K4" s="19" t="str">
        <f>IFERROR(__xludf.DUMMYFUNCTION("""COMPUTED_VALUE"""),"ResizeEnsure")</f>
        <v>ResizeEnsure</v>
      </c>
      <c r="L4" s="19" t="str">
        <f>IFERROR(__xludf.DUMMYFUNCTION("""COMPUTED_VALUE"""),"VerifyNotification")</f>
        <v>VerifyNotification</v>
      </c>
      <c r="M4" s="19" t="str">
        <f>IFERROR(__xludf.DUMMYFUNCTION("""COMPUTED_VALUE"""),"LockUnlockModule")</f>
        <v>LockUnlockModule</v>
      </c>
      <c r="N4" s="19" t="str">
        <f>IFERROR(__xludf.DUMMYFUNCTION("""COMPUTED_VALUE"""),"OpenModuleFromDock")</f>
        <v>OpenModuleFromDock</v>
      </c>
      <c r="O4" s="19" t="str">
        <f>IFERROR(__xludf.DUMMYFUNCTION("""COMPUTED_VALUE"""),"SavePageRTPNL")</f>
        <v>SavePageRTPNL</v>
      </c>
      <c r="P4" s="20" t="str">
        <f>IFERROR(__xludf.DUMMYFUNCTION("""COMPUTED_VALUE"""),"VerifyToastMessage")</f>
        <v>VerifyToastMessage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IFERROR(__xludf.DUMMYFUNCTION("""COMPUTED_VALUE"""),"Action")</f>
        <v>Action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ht="15.75" customHeight="1">
      <c r="A6" s="6"/>
      <c r="B6" s="6" t="s">
        <v>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IFERROR(__xludf.DUMMYFUNCTION("""COMPUTED_VALUE"""),"Master Funds")</f>
        <v>Master Funds</v>
      </c>
      <c r="K5" s="22" t="str">
        <f>IFERROR(__xludf.DUMMYFUNCTION("""COMPUTED_VALUE"""),"Round Lots")</f>
        <v>Round Lots</v>
      </c>
      <c r="L5" s="22" t="str">
        <f>IFERROR(__xludf.DUMMYFUNCTION("""COMPUTED_VALUE"""),"Use Custodian Broker")</f>
        <v>Use Custodian Broker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16</v>
      </c>
      <c r="C6" s="6"/>
      <c r="D6" s="6"/>
      <c r="E6" s="6">
        <v>10.0</v>
      </c>
      <c r="F6" s="6">
        <v>10.0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36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IFERROR(__xludf.DUMMYFUNCTION("""COMPUTED_VALUE"""),"Account NAV")</f>
        <v>Account NAV</v>
      </c>
      <c r="D5" s="22" t="str">
        <f>IFERROR(__xludf.DUMMYFUNCTION("""COMPUTED_VALUE"""),"Starting Position")</f>
        <v>Starting Position</v>
      </c>
      <c r="E5" s="22" t="str">
        <f>IFERROR(__xludf.DUMMYFUNCTION("""COMPUTED_VALUE"""),"Starting Value")</f>
        <v>Starting Value</v>
      </c>
      <c r="F5" s="22" t="str">
        <f>IFERROR(__xludf.DUMMYFUNCTION("""COMPUTED_VALUE"""),"Starting %")</f>
        <v>Starting %</v>
      </c>
      <c r="G5" s="22" t="str">
        <f>IFERROR(__xludf.DUMMYFUNCTION("""COMPUTED_VALUE"""),"% Change")</f>
        <v>% Change</v>
      </c>
      <c r="H5" s="22" t="str">
        <f>IFERROR(__xludf.DUMMYFUNCTION("""COMPUTED_VALUE"""),"Ending %")</f>
        <v>Ending %</v>
      </c>
      <c r="I5" s="22" t="str">
        <f>IFERROR(__xludf.DUMMYFUNCTION("""COMPUTED_VALUE"""),"Trade Quantity")</f>
        <v>Trade Quantity</v>
      </c>
      <c r="J5" s="22" t="str">
        <f>IFERROR(__xludf.DUMMYFUNCTION("""COMPUTED_VALUE"""),"Ending Position")</f>
        <v>Ending Position</v>
      </c>
      <c r="K5" s="22" t="str">
        <f>IFERROR(__xludf.DUMMYFUNCTION("""COMPUTED_VALUE"""),"Ending Value")</f>
        <v>Ending Value</v>
      </c>
      <c r="L5" s="22" t="str">
        <f>IFERROR(__xludf.DUMMYFUNCTION("""COMPUTED_VALUE"""),"% Allocation")</f>
        <v>% Allocation</v>
      </c>
      <c r="M5" s="22" t="str">
        <f>IFERROR(__xludf.DUMMYFUNCTION("""COMPUTED_VALUE"""),"Fx Rate")</f>
        <v>Fx Rate</v>
      </c>
      <c r="N5" s="22" t="str">
        <f>IFERROR(__xludf.DUMMYFUNCTION("""COMPUTED_VALUE"""),"Starting BP")</f>
        <v>Starting BP</v>
      </c>
      <c r="O5" s="22" t="str">
        <f>IFERROR(__xludf.DUMMYFUNCTION("""COMPUTED_VALUE"""),"BP Change")</f>
        <v>BP Change</v>
      </c>
      <c r="P5" s="22" t="str">
        <f>IFERROR(__xludf.DUMMYFUNCTION("""COMPUTED_VALUE"""),"Ending BP")</f>
        <v>Ending BP</v>
      </c>
      <c r="Q5" s="22" t="str">
        <f>IFERROR(__xludf.DUMMYFUNCTION("""COMPUTED_VALUE"""),"MasterFund Name")</f>
        <v>MasterFund Name</v>
      </c>
      <c r="R5" s="22" t="str">
        <f>IFERROR(__xludf.DUMMYFUNCTION("""COMPUTED_VALUE"""),"Order Side")</f>
        <v>Order Side</v>
      </c>
      <c r="S5" s="22" t="str">
        <f>IFERROR(__xludf.DUMMYFUNCTION("""COMPUTED_VALUE"""),"Round Lots")</f>
        <v>Round Lots</v>
      </c>
      <c r="T5" s="23" t="str">
        <f>IFERROR(__xludf.DUMMYFUNCTION("""COMPUTED_VALUE"""),"Verify RoundLots In Input Parameters")</f>
        <v>Verify RoundLots In Input Parameters</v>
      </c>
      <c r="U5" s="23" t="str">
        <f>IFERROR(__xludf.DUMMYFUNCTION("""COMPUTED_VALUE"""),"Change Amt")</f>
        <v>Change Amt</v>
      </c>
      <c r="V5" s="23" t="str">
        <f>IFERROR(__xludf.DUMMYFUNCTION("""COMPUTED_VALUE"""),"Group")</f>
        <v>Group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24" t="s">
        <v>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