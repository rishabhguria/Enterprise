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GetOpeningBalanceData" sheetId="6" r:id="rId8"/>
    <sheet state="visible" name="VerifyNonTradingTransaction" sheetId="7" r:id="rId9"/>
  </sheets>
  <definedNames/>
  <calcPr/>
</workbook>
</file>

<file path=xl/sharedStrings.xml><?xml version="1.0" encoding="utf-8"?>
<sst xmlns="http://schemas.openxmlformats.org/spreadsheetml/2006/main" count="78" uniqueCount="34">
  <si>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</si>
  <si>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</si>
  <si>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</si>
  <si>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</si>
  <si>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</si>
  <si>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</si>
  <si>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</si>
  <si>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</si>
  <si>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</si>
  <si>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</si>
  <si>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</si>
  <si>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</si>
  <si>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</si>
  <si>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</si>
  <si>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</si>
  <si>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Allocation1</t>
  </si>
  <si>
    <t>\\192.168.2.108\DistributedAutomation_Master\Import Cases\SWAPS+COLLATERAL+083118.csv</t>
  </si>
  <si>
    <t>USB</t>
  </si>
  <si>
    <t>Double Entry Cash</t>
  </si>
  <si>
    <t>SelectAllOnImport</t>
  </si>
  <si>
    <t>Double Entry Journal Import</t>
  </si>
  <si>
    <t>GeneralLedger</t>
  </si>
  <si>
    <t>GetOpeningBalanceData</t>
  </si>
  <si>
    <t>1/1/1800</t>
  </si>
  <si>
    <t>VerifyNonTradingTransaction</t>
  </si>
  <si>
    <t>USD</t>
  </si>
  <si>
    <t>jpearce</t>
  </si>
  <si>
    <t>M</t>
  </si>
  <si>
    <t>DR</t>
  </si>
  <si>
    <t>Importable &amp; Editable Data</t>
  </si>
  <si>
    <t>Swap Collateral Accrual Aug</t>
  </si>
  <si>
    <t>CR</t>
  </si>
  <si>
    <t>EUR</t>
  </si>
  <si>
    <t>Swap Collateral Reversal Jul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</si>
</sst>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&quot;Segoe UI&quot;"/>
    </font>
    <font>
      <sz val="9.0"/>
      <color rgb="FFE7E8E9"/>
      <name val="&quot;Segoe UI&quot;"/>
    </font>
    <font>
      <sz val="9.0"/>
      <color rgb="FF868686"/>
      <name val="&quot;Segoe UI&quot;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6" fontId="13" numFmtId="164" xfId="0" applyAlignment="1" applyFill="1" applyFont="1" applyNumberForma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shrinkToFit="0" wrapText="0"/>
    </xf>
    <xf borderId="0" fillId="6" fontId="15" numFmtId="0" xfId="0" applyAlignment="1" applyFont="1">
      <alignment horizontal="right" readingOrder="0" shrinkToFit="0" wrapText="0"/>
    </xf>
    <xf borderId="0" fillId="7" fontId="14" numFmtId="0" xfId="0" applyAlignment="1" applyFill="1" applyFont="1">
      <alignment horizontal="right" shrinkToFit="0" wrapText="0"/>
    </xf>
    <xf borderId="0" fillId="7" fontId="16" numFmtId="0" xfId="0" applyAlignment="1" applyFont="1">
      <alignment horizontal="right" readingOrder="0" shrinkToFit="0" wrapText="0"/>
    </xf>
    <xf borderId="0" fillId="7" fontId="14" numFmtId="0" xfId="0" applyAlignment="1" applyFont="1">
      <alignment horizontal="righ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15</v>
      </c>
      <c r="C6" s="13" t="b">
        <v>0</v>
      </c>
      <c r="D6" s="13"/>
      <c r="E6" s="13" t="s">
        <v>16</v>
      </c>
      <c r="F6" s="13" t="s">
        <v>17</v>
      </c>
      <c r="G6" s="13" t="s">
        <v>18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IFERROR(__xludf.DUMMYFUNCTION("""COMPUTED_VALUE"""),"From")</f>
        <v>From</v>
      </c>
      <c r="E5" s="28" t="str">
        <f>IFERROR(__xludf.DUMMYFUNCTION("""COMPUTED_VALUE"""),"To")</f>
        <v>To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 t="s">
        <v>15</v>
      </c>
      <c r="D6" s="35" t="s">
        <v>23</v>
      </c>
      <c r="E6" s="36">
        <f>today()</f>
        <v>44537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GetOpeningBalanceData!$4:$4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IFERROR(__xludf.DUMMYFUNCTION("""COMPUTED_VALUE"""),"Currency")</f>
        <v>Currency</v>
      </c>
      <c r="F5" s="29" t="str">
        <f>IFERROR(__xludf.DUMMYFUNCTION("""COMPUTED_VALUE"""),"Cash Sub-Account")</f>
        <v>Cash Sub-Account</v>
      </c>
      <c r="G5" s="28" t="str">
        <f>IFERROR(__xludf.DUMMYFUNCTION("""COMPUTED_VALUE"""),"DR")</f>
        <v>DR</v>
      </c>
      <c r="H5" s="28" t="str">
        <f>IFERROR(__xludf.DUMMYFUNCTION("""COMPUTED_VALUE"""),"CR")</f>
        <v>CR</v>
      </c>
      <c r="I5" s="28" t="str">
        <f>IFERROR(__xludf.DUMMYFUNCTION("""COMPUTED_VALUE"""),"Modify Date")</f>
        <v>Modify Date</v>
      </c>
      <c r="J5" s="28" t="str">
        <f>IFERROR(__xludf.DUMMYFUNCTION("""COMPUTED_VALUE"""),"Entry Date")</f>
        <v>Entry Date</v>
      </c>
      <c r="K5" s="28" t="str">
        <f>IFERROR(__xludf.DUMMYFUNCTION("""COMPUTED_VALUE"""),"User")</f>
        <v>User</v>
      </c>
      <c r="L5" s="28" t="str">
        <f>IFERROR(__xludf.DUMMYFUNCTION("""COMPUTED_VALUE"""),"Fx Rate")</f>
        <v>Fx Rate</v>
      </c>
      <c r="M5" s="28" t="str">
        <f>IFERROR(__xludf.DUMMYFUNCTION("""COMPUTED_VALUE"""),"FX Conversion Method Operator")</f>
        <v>FX Conversion Method Operator</v>
      </c>
      <c r="N5" s="28" t="str">
        <f>IFERROR(__xludf.DUMMYFUNCTION("""COMPUTED_VALUE"""),"Account Side")</f>
        <v>Account Side</v>
      </c>
      <c r="O5" s="28" t="str">
        <f>IFERROR(__xludf.DUMMYFUNCTION("""COMPUTED_VALUE"""),"TransactionSource")</f>
        <v>TransactionSource</v>
      </c>
      <c r="P5" s="28" t="str">
        <f>IFERROR(__xludf.DUMMYFUNCTION("""COMPUTED_VALUE"""),"Base Currency")</f>
        <v>Base Currency</v>
      </c>
      <c r="Q5" s="28" t="str">
        <f>IFERROR(__xludf.DUMMYFUNCTION("""COMPUTED_VALUE"""),"Description")</f>
        <v>Description</v>
      </c>
      <c r="R5" s="28" t="str">
        <f>IFERROR(__xludf.DUMMYFUNCTION("""COMPUTED_VALUE"""),"DR (Base)")</f>
        <v>DR (Base)</v>
      </c>
      <c r="S5" s="28" t="str">
        <f>IFERROR(__xludf.DUMMYFUNCTION("""COMPUTED_VALUE"""),"CR (Base)")</f>
        <v>CR (Base)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v>43343.0</v>
      </c>
      <c r="C6" s="39" t="s">
        <v>15</v>
      </c>
      <c r="D6" s="13"/>
      <c r="E6" s="39" t="s">
        <v>25</v>
      </c>
      <c r="F6" s="40"/>
      <c r="G6" s="39">
        <v>83698.36</v>
      </c>
      <c r="H6" s="41">
        <v>0.0</v>
      </c>
      <c r="I6" s="41"/>
      <c r="J6" s="39"/>
      <c r="K6" s="39" t="s">
        <v>26</v>
      </c>
      <c r="L6" s="39">
        <v>1.0</v>
      </c>
      <c r="M6" s="39" t="s">
        <v>27</v>
      </c>
      <c r="N6" s="39" t="s">
        <v>28</v>
      </c>
      <c r="O6" s="39" t="s">
        <v>29</v>
      </c>
      <c r="P6" s="39" t="s">
        <v>25</v>
      </c>
      <c r="Q6" s="39" t="s">
        <v>30</v>
      </c>
      <c r="R6" s="39">
        <v>83698.36</v>
      </c>
      <c r="S6" s="39">
        <v>0.0</v>
      </c>
    </row>
    <row r="7" ht="15.75" customHeight="1">
      <c r="A7" s="8"/>
      <c r="B7" s="38">
        <v>43343.0</v>
      </c>
      <c r="C7" s="39" t="s">
        <v>15</v>
      </c>
      <c r="D7" s="8"/>
      <c r="E7" s="39" t="s">
        <v>25</v>
      </c>
      <c r="F7" s="42"/>
      <c r="G7" s="43">
        <v>0.0</v>
      </c>
      <c r="H7" s="44">
        <v>83698.36</v>
      </c>
      <c r="I7" s="44"/>
      <c r="J7" s="39"/>
      <c r="K7" s="44" t="s">
        <v>26</v>
      </c>
      <c r="L7" s="44">
        <v>1.0</v>
      </c>
      <c r="M7" s="44" t="s">
        <v>27</v>
      </c>
      <c r="N7" s="44" t="s">
        <v>31</v>
      </c>
      <c r="O7" s="44" t="s">
        <v>29</v>
      </c>
      <c r="P7" s="44" t="s">
        <v>25</v>
      </c>
      <c r="Q7" s="39" t="s">
        <v>30</v>
      </c>
      <c r="R7" s="44">
        <v>0.0</v>
      </c>
      <c r="S7" s="44">
        <v>83698.36</v>
      </c>
    </row>
    <row r="8" ht="15.75" customHeight="1">
      <c r="A8" s="8"/>
      <c r="B8" s="38">
        <v>43343.0</v>
      </c>
      <c r="C8" s="39" t="s">
        <v>15</v>
      </c>
      <c r="D8" s="8"/>
      <c r="E8" s="39" t="s">
        <v>32</v>
      </c>
      <c r="F8" s="40"/>
      <c r="G8" s="39">
        <v>48127.14</v>
      </c>
      <c r="H8" s="41">
        <v>0.0</v>
      </c>
      <c r="I8" s="41"/>
      <c r="J8" s="39"/>
      <c r="K8" s="39" t="s">
        <v>26</v>
      </c>
      <c r="L8" s="39">
        <v>1.2</v>
      </c>
      <c r="M8" s="39" t="s">
        <v>27</v>
      </c>
      <c r="N8" s="39" t="s">
        <v>28</v>
      </c>
      <c r="O8" s="39" t="s">
        <v>29</v>
      </c>
      <c r="P8" s="39" t="s">
        <v>25</v>
      </c>
      <c r="Q8" s="39" t="s">
        <v>33</v>
      </c>
      <c r="R8" s="45">
        <v>57752.57</v>
      </c>
      <c r="S8" s="39">
        <v>0.0</v>
      </c>
    </row>
    <row r="9" ht="15.75" customHeight="1">
      <c r="A9" s="8"/>
      <c r="B9" s="38">
        <v>43343.0</v>
      </c>
      <c r="C9" s="39" t="s">
        <v>15</v>
      </c>
      <c r="D9" s="8"/>
      <c r="E9" s="39" t="s">
        <v>32</v>
      </c>
      <c r="F9" s="42"/>
      <c r="G9" s="43">
        <v>0.0</v>
      </c>
      <c r="H9" s="44">
        <v>48127.14</v>
      </c>
      <c r="I9" s="44"/>
      <c r="J9" s="39"/>
      <c r="K9" s="44" t="s">
        <v>26</v>
      </c>
      <c r="L9" s="44">
        <v>1.2</v>
      </c>
      <c r="M9" s="44" t="s">
        <v>27</v>
      </c>
      <c r="N9" s="44" t="s">
        <v>31</v>
      </c>
      <c r="O9" s="44" t="s">
        <v>29</v>
      </c>
      <c r="P9" s="44" t="s">
        <v>25</v>
      </c>
      <c r="Q9" s="39" t="s">
        <v>33</v>
      </c>
      <c r="R9" s="44">
        <v>0.0</v>
      </c>
      <c r="S9" s="46">
        <v>57752.57</v>
      </c>
    </row>
    <row r="10" ht="15.75" customHeight="1">
      <c r="A10" s="8"/>
      <c r="B10" s="47"/>
      <c r="C10" s="47"/>
      <c r="D10" s="8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Q10" s="47"/>
      <c r="R10" s="47"/>
      <c r="S10" s="47"/>
    </row>
    <row r="11" ht="15.75" customHeight="1">
      <c r="A11" s="8"/>
      <c r="B11" s="8"/>
      <c r="C11" s="8"/>
      <c r="D11" s="8"/>
      <c r="E11" s="47"/>
      <c r="F11" s="47"/>
      <c r="G11" s="47"/>
      <c r="H11" s="47"/>
      <c r="I11" s="47"/>
      <c r="J11" s="47"/>
      <c r="K11" s="8"/>
      <c r="L11" s="8"/>
      <c r="M11" s="8"/>
      <c r="N11" s="8"/>
      <c r="O11" s="8"/>
      <c r="R11" s="47"/>
      <c r="S11" s="4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