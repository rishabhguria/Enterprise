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2.xml"/>
  <Override ContentType="application/vnd.openxmlformats-officedocument.spreadsheetml.worksheet+xml" PartName="/xl/worksheets/sheet2.xml"/>
  <Override ContentType="application/vnd.openxmlformats-officedocument.spreadsheetml.worksheet+xml" PartName="/xl/worksheets/sheet6.xml"/>
  <Override ContentType="application/vnd.openxmlformats-officedocument.spreadsheetml.worksheet+xml" PartName="/xl/worksheets/sheet8.xml"/>
  <Override ContentType="application/vnd.openxmlformats-officedocument.spreadsheetml.worksheet+xml" PartName="/xl/worksheets/sheet5.xml"/>
  <Override ContentType="application/vnd.openxmlformats-officedocument.spreadsheetml.worksheet+xml" PartName="/xl/worksheets/sheet11.xml"/>
  <Override ContentType="application/vnd.openxmlformats-officedocument.spreadsheetml.worksheet+xml" PartName="/xl/worksheets/sheet14.xml"/>
  <Override ContentType="application/vnd.openxmlformats-officedocument.spreadsheetml.worksheet+xml" PartName="/xl/worksheets/sheet13.xml"/>
  <Override ContentType="application/vnd.openxmlformats-officedocument.spreadsheetml.worksheet+xml" PartName="/xl/worksheets/sheet1.xml"/>
  <Override ContentType="application/vnd.openxmlformats-officedocument.spreadsheetml.worksheet+xml" PartName="/xl/worksheets/sheet3.xml"/>
  <Override ContentType="application/vnd.openxmlformats-officedocument.spreadsheetml.worksheet+xml" PartName="/xl/worksheets/sheet9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13.xml"/>
  <Override ContentType="application/vnd.openxmlformats-officedocument.drawing+xml" PartName="/xl/drawings/drawing6.xml"/>
  <Override ContentType="application/vnd.openxmlformats-officedocument.drawing+xml" PartName="/xl/drawings/drawing1.xml"/>
  <Override ContentType="application/vnd.openxmlformats-officedocument.drawing+xml" PartName="/xl/drawings/drawing12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14.xml"/>
  <Override ContentType="application/vnd.openxmlformats-officedocument.drawing+xml" PartName="/xl/drawings/drawing5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1.xml"/>
  <Override ContentType="application/vnd.openxmlformats-officedocument.spreadsheetml.styles+xml" PartName="/xl/styles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_Modules" sheetId="1" r:id="rId3"/>
    <sheet state="visible" name="_Settings" sheetId="2" r:id="rId4"/>
    <sheet state="visible" name="_MasterData" sheetId="3" r:id="rId5"/>
    <sheet state="visible" name="SetTTUIAdminPreferences" sheetId="4" r:id="rId6"/>
    <sheet state="visible" name="SetBrokerWisePreferencesTT" sheetId="5" r:id="rId7"/>
    <sheet state="visible" name="CreateStageOrder" sheetId="6" r:id="rId8"/>
    <sheet state="visible" name="MultiTradingTicketFromBlotter" sheetId="7" r:id="rId9"/>
    <sheet state="visible" name="SelectTradeUsingMTT" sheetId="8" r:id="rId10"/>
    <sheet state="visible" name="EditTradeUsingMTT" sheetId="9" r:id="rId11"/>
    <sheet state="visible" name="SelectTradeUsingMTT1" sheetId="10" r:id="rId12"/>
    <sheet state="visible" name="EditTradeUsingMTT1" sheetId="11" r:id="rId13"/>
    <sheet state="visible" name="DoneAwayUsingMTT" sheetId="12" r:id="rId14"/>
    <sheet state="visible" name="VerifyOrder" sheetId="13" r:id="rId15"/>
    <sheet state="visible" name="VerifyWorkingSubs" sheetId="14" r:id="rId16"/>
  </sheets>
  <definedNames/>
  <calcPr/>
</workbook>
</file>

<file path=xl/sharedStrings.xml><?xml version="1.0" encoding="utf-8"?>
<sst xmlns="http://schemas.openxmlformats.org/spreadsheetml/2006/main" count="144" uniqueCount="36">
  <si>
    <t>Modules Info</t>
  </si>
  <si>
    <t>Modules</t>
  </si>
  <si>
    <t>Settings</t>
  </si>
  <si>
    <t>Module Step Setting File</t>
  </si>
  <si>
    <t>1s8Tugp9tltXlrflnMpJQZAK_8xohzWlqShomllKwg98</t>
  </si>
  <si>
    <t>Master Data Settings File</t>
  </si>
  <si>
    <t>16ToEbuvGu5ULnNFKOMTFrT9KWOcXxJTnSbDbsSXIfZo</t>
  </si>
  <si>
    <t>Master Data Info</t>
  </si>
  <si>
    <t>Module</t>
  </si>
  <si>
    <t>Step</t>
  </si>
  <si>
    <t>Master Data Sheet</t>
  </si>
  <si>
    <t>Data</t>
  </si>
  <si>
    <t>Admin</t>
  </si>
  <si>
    <t>SetTTUIAdminPreferences</t>
  </si>
  <si>
    <t>Data Format</t>
  </si>
  <si>
    <t>Input Format</t>
  </si>
  <si>
    <t>NULL</t>
  </si>
  <si>
    <t>TradingTicket</t>
  </si>
  <si>
    <t>SetBrokerWisePreferencesTT</t>
  </si>
  <si>
    <t>MS</t>
  </si>
  <si>
    <t>NASDAQ</t>
  </si>
  <si>
    <t>CreateStageOrder</t>
  </si>
  <si>
    <t>AAPL</t>
  </si>
  <si>
    <t>Buy</t>
  </si>
  <si>
    <t>Allocation1</t>
  </si>
  <si>
    <t>MSFT</t>
  </si>
  <si>
    <t>Blotter</t>
  </si>
  <si>
    <t>MultiTradingTicketFromBlotter</t>
  </si>
  <si>
    <t>New</t>
  </si>
  <si>
    <t>MultiTradingTicket</t>
  </si>
  <si>
    <t>SelectTradeUsingMTT</t>
  </si>
  <si>
    <t>EditTradeUsingMTT</t>
  </si>
  <si>
    <t>DoneAwayUsingMTT</t>
  </si>
  <si>
    <t>VerifyOrder</t>
  </si>
  <si>
    <t>Filled</t>
  </si>
  <si>
    <t>VerifyWorkingSubs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</si>
</sst>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3">
    <font>
      <sz val="10.0"/>
      <color rgb="FF000000"/>
      <name val="Arial"/>
    </font>
    <font>
      <b/>
      <sz val="14.0"/>
      <color rgb="FFFFFFFF"/>
      <name val="Calibri"/>
    </font>
    <font/>
    <font>
      <name val="Arial"/>
    </font>
    <font>
      <b/>
      <color rgb="FFFFFFFF"/>
      <name val="Calibri"/>
    </font>
    <font>
      <name val="Calibri"/>
    </font>
    <font>
      <sz val="14.0"/>
      <color rgb="FFFFFFFF"/>
      <name val="Calibri"/>
    </font>
    <font>
      <color rgb="FFFFFFFF"/>
      <name val="Calibri"/>
    </font>
    <font>
      <b/>
      <color rgb="FFFFFFFF"/>
      <name val="Arial"/>
    </font>
    <font>
      <b/>
      <color rgb="FFFFFFFF"/>
    </font>
    <font>
      <color rgb="FFFFFFFF"/>
    </font>
    <font>
      <color rgb="FFD9D9D9"/>
      <name val="Calibri"/>
    </font>
    <font>
      <color rgb="FFD9D9D9"/>
    </font>
  </fonts>
  <fills count="6">
    <fill>
      <patternFill patternType="none"/>
    </fill>
    <fill>
      <patternFill patternType="lightGray"/>
    </fill>
    <fill>
      <patternFill patternType="solid">
        <fgColor rgb="FF5B0F00"/>
        <bgColor rgb="FF5B0F00"/>
      </patternFill>
    </fill>
    <fill>
      <patternFill patternType="solid">
        <fgColor rgb="FF000000"/>
        <bgColor rgb="FF000000"/>
      </patternFill>
    </fill>
    <fill>
      <patternFill patternType="solid">
        <fgColor rgb="FFD9D9D9"/>
        <bgColor rgb="FFD9D9D9"/>
      </patternFill>
    </fill>
    <fill>
      <patternFill patternType="solid">
        <fgColor rgb="FF666666"/>
        <bgColor rgb="FF666666"/>
      </patternFill>
    </fill>
  </fills>
  <borders count="5">
    <border/>
    <border>
      <left/>
      <top/>
      <bottom/>
    </border>
    <border>
      <top/>
      <bottom/>
    </border>
    <border>
      <right/>
      <top/>
      <bottom/>
    </border>
    <border>
      <left/>
      <right/>
      <top/>
      <bottom/>
    </border>
  </borders>
  <cellStyleXfs count="1">
    <xf borderId="0" fillId="0" fontId="0" numFmtId="0" applyAlignment="1" applyFont="1"/>
  </cellStyleXfs>
  <cellXfs count="32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shrinkToFit="0" wrapText="0"/>
    </xf>
    <xf borderId="2" fillId="0" fontId="2" numFmtId="0" xfId="0" applyBorder="1" applyFont="1"/>
    <xf borderId="3" fillId="0" fontId="2" numFmtId="0" xfId="0" applyBorder="1" applyFont="1"/>
    <xf borderId="0" fillId="0" fontId="3" numFmtId="0" xfId="0" applyAlignment="1" applyFont="1">
      <alignment shrinkToFit="0" wrapText="0"/>
    </xf>
    <xf borderId="4" fillId="3" fontId="4" numFmtId="0" xfId="0" applyAlignment="1" applyBorder="1" applyFill="1" applyFont="1">
      <alignment shrinkToFit="0" wrapText="0"/>
    </xf>
    <xf borderId="4" fillId="3" fontId="3" numFmtId="0" xfId="0" applyAlignment="1" applyBorder="1" applyFont="1">
      <alignment readingOrder="0" shrinkToFit="0" wrapText="0"/>
    </xf>
    <xf borderId="4" fillId="3" fontId="3" numFmtId="0" xfId="0" applyAlignment="1" applyBorder="1" applyFont="1">
      <alignment shrinkToFit="0" wrapText="0"/>
    </xf>
    <xf borderId="0" fillId="0" fontId="5" numFmtId="0" xfId="0" applyAlignment="1" applyFont="1">
      <alignment shrinkToFit="0" wrapText="0"/>
    </xf>
    <xf borderId="0" fillId="0" fontId="2" numFmtId="0" xfId="0" applyAlignment="1" applyFont="1">
      <alignment readingOrder="0"/>
    </xf>
    <xf borderId="1" fillId="2" fontId="6" numFmtId="0" xfId="0" applyAlignment="1" applyBorder="1" applyFont="1">
      <alignment horizontal="center" shrinkToFit="0" wrapText="0"/>
    </xf>
    <xf borderId="0" fillId="0" fontId="5" numFmtId="0" xfId="0" applyAlignment="1" applyFont="1">
      <alignment readingOrder="0" shrinkToFit="0" vertical="bottom" wrapText="0"/>
    </xf>
    <xf borderId="4" fillId="3" fontId="4" numFmtId="0" xfId="0" applyAlignment="1" applyBorder="1" applyFont="1">
      <alignment readingOrder="0" shrinkToFit="0" wrapText="0"/>
    </xf>
    <xf borderId="0" fillId="0" fontId="5" numFmtId="0" xfId="0" applyAlignment="1" applyFont="1">
      <alignment readingOrder="0" shrinkToFit="0" wrapText="0"/>
    </xf>
    <xf borderId="4" fillId="3" fontId="7" numFmtId="0" xfId="0" applyAlignment="1" applyBorder="1" applyFont="1">
      <alignment shrinkToFit="0" wrapText="0"/>
    </xf>
    <xf borderId="1" fillId="2" fontId="1" numFmtId="0" xfId="0" applyAlignment="1" applyBorder="1" applyFont="1">
      <alignment horizontal="center" readingOrder="0" shrinkToFit="0" wrapText="0"/>
    </xf>
    <xf borderId="4" fillId="3" fontId="8" numFmtId="0" xfId="0" applyAlignment="1" applyBorder="1" applyFont="1">
      <alignment readingOrder="0" shrinkToFit="0" wrapText="0"/>
    </xf>
    <xf borderId="4" fillId="3" fontId="8" numFmtId="0" xfId="0" applyAlignment="1" applyBorder="1" applyFont="1">
      <alignment shrinkToFit="0" wrapText="0"/>
    </xf>
    <xf borderId="0" fillId="0" fontId="9" numFmtId="0" xfId="0" applyFont="1"/>
    <xf borderId="0" fillId="2" fontId="1" numFmtId="0" xfId="0" applyAlignment="1" applyFont="1">
      <alignment horizontal="center" shrinkToFit="0" wrapText="0"/>
    </xf>
    <xf borderId="0" fillId="2" fontId="2" numFmtId="0" xfId="0" applyFont="1"/>
    <xf borderId="0" fillId="0" fontId="7" numFmtId="0" xfId="0" applyAlignment="1" applyFont="1">
      <alignment shrinkToFit="0" wrapText="0"/>
    </xf>
    <xf borderId="0" fillId="3" fontId="4" numFmtId="0" xfId="0" applyAlignment="1" applyFont="1">
      <alignment shrinkToFit="0" wrapText="0"/>
    </xf>
    <xf borderId="4" fillId="3" fontId="7" numFmtId="0" xfId="0" applyAlignment="1" applyBorder="1" applyFont="1">
      <alignment readingOrder="0" shrinkToFit="0" wrapText="0"/>
    </xf>
    <xf borderId="0" fillId="3" fontId="10" numFmtId="0" xfId="0" applyFont="1"/>
    <xf borderId="0" fillId="4" fontId="11" numFmtId="0" xfId="0" applyAlignment="1" applyFill="1" applyFont="1">
      <alignment shrinkToFit="0" wrapText="0"/>
    </xf>
    <xf borderId="0" fillId="4" fontId="12" numFmtId="0" xfId="0" applyFont="1"/>
    <xf borderId="0" fillId="5" fontId="4" numFmtId="0" xfId="0" applyAlignment="1" applyFill="1" applyFont="1">
      <alignment shrinkToFit="0" wrapText="0"/>
    </xf>
    <xf borderId="4" fillId="5" fontId="4" numFmtId="0" xfId="0" applyAlignment="1" applyBorder="1" applyFont="1">
      <alignment shrinkToFit="0" wrapText="0"/>
    </xf>
    <xf borderId="4" fillId="5" fontId="4" numFmtId="0" xfId="0" applyAlignment="1" applyBorder="1" applyFont="1">
      <alignment readingOrder="0" shrinkToFit="0" wrapText="0"/>
    </xf>
    <xf borderId="0" fillId="5" fontId="10" numFmtId="0" xfId="0" applyFont="1"/>
    <xf borderId="0" fillId="0" fontId="5" numFmtId="0" xfId="0" applyAlignment="1" applyFont="1">
      <alignment readingOrder="0" shrinkToFit="0" wrapText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1" Type="http://schemas.openxmlformats.org/officeDocument/2006/relationships/worksheet" Target="worksheets/sheet9.xml"/><Relationship Id="rId10" Type="http://schemas.openxmlformats.org/officeDocument/2006/relationships/worksheet" Target="worksheets/sheet8.xml"/><Relationship Id="rId13" Type="http://schemas.openxmlformats.org/officeDocument/2006/relationships/worksheet" Target="worksheets/sheet11.xml"/><Relationship Id="rId12" Type="http://schemas.openxmlformats.org/officeDocument/2006/relationships/worksheet" Target="worksheets/sheet10.xml"/><Relationship Id="rId1" Type="http://schemas.openxmlformats.org/officeDocument/2006/relationships/styles" Target="styles.xml"/><Relationship Id="rId2" Type="http://schemas.openxmlformats.org/officeDocument/2006/relationships/sharedStrings" Target="sharedString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9" Type="http://schemas.openxmlformats.org/officeDocument/2006/relationships/worksheet" Target="worksheets/sheet7.xml"/><Relationship Id="rId15" Type="http://schemas.openxmlformats.org/officeDocument/2006/relationships/worksheet" Target="worksheets/sheet13.xml"/><Relationship Id="rId14" Type="http://schemas.openxmlformats.org/officeDocument/2006/relationships/worksheet" Target="worksheets/sheet12.xml"/><Relationship Id="rId16" Type="http://schemas.openxmlformats.org/officeDocument/2006/relationships/worksheet" Target="worksheets/sheet14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/Relationships>
</file>

<file path=xl/drawings/_rels/drawing4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16.png"/></Relationships>
</file>

<file path=xl/drawings/_rels/drawing5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5.png"/></Relationships>
</file>

<file path=xl/drawings/_rels/drawing6.xml.rels><?xml version="1.0" encoding="UTF-8" standalone="yes"?><Relationships xmlns="http://schemas.openxmlformats.org/package/2006/relationships"><Relationship Id="rId1" Type="http://schemas.openxmlformats.org/officeDocument/2006/relationships/image" Target="../media/image4.png"/><Relationship Id="rId2" Type="http://schemas.openxmlformats.org/officeDocument/2006/relationships/image" Target="../media/image10.png"/></Relationships>
</file>

<file path=xl/drawings/_rels/drawing7.xml.rels><?xml version="1.0" encoding="UTF-8" standalone="yes"?><Relationships xmlns="http://schemas.openxmlformats.org/package/2006/relationships"><Relationship Id="rId1" Type="http://schemas.openxmlformats.org/officeDocument/2006/relationships/image" Target="../media/image8.png"/><Relationship Id="rId2" Type="http://schemas.openxmlformats.org/officeDocument/2006/relationships/image" Target="../media/image9.png"/></Relationships>
</file>

<file path=xl/drawings/_rels/drawing8.xml.rels><?xml version="1.0" encoding="UTF-8" standalone="yes"?><Relationships xmlns="http://schemas.openxmlformats.org/package/2006/relationships"><Relationship Id="rId1" Type="http://schemas.openxmlformats.org/officeDocument/2006/relationships/image" Target="../media/image17.png"/><Relationship Id="rId2" Type="http://schemas.openxmlformats.org/officeDocument/2006/relationships/image" Target="../media/image13.png"/></Relationships>
</file>

<file path=xl/drawings/_rels/drawing9.xml.rels><?xml version="1.0" encoding="UTF-8" standalone="yes"?><Relationships xmlns="http://schemas.openxmlformats.org/package/2006/relationships"><Relationship Id="rId1" Type="http://schemas.openxmlformats.org/officeDocument/2006/relationships/image" Target="../media/image20.png"/><Relationship Id="rId2" Type="http://schemas.openxmlformats.org/officeDocument/2006/relationships/image" Target="../media/image19.png"/></Relationships>
</file>

<file path=xl/drawings/_rels/drawing10.xml.rels><?xml version="1.0" encoding="UTF-8" standalone="yes"?><Relationships xmlns="http://schemas.openxmlformats.org/package/2006/relationships"><Relationship Id="rId1" Type="http://schemas.openxmlformats.org/officeDocument/2006/relationships/image" Target="../media/image6.png"/><Relationship Id="rId2" Type="http://schemas.openxmlformats.org/officeDocument/2006/relationships/image" Target="../media/image3.png"/></Relationships>
</file>

<file path=xl/drawings/_rels/drawing11.xml.rels><?xml version="1.0" encoding="UTF-8" standalone="yes"?><Relationships xmlns="http://schemas.openxmlformats.org/package/2006/relationships"><Relationship Id="rId1" Type="http://schemas.openxmlformats.org/officeDocument/2006/relationships/image" Target="../media/image15.png"/><Relationship Id="rId2" Type="http://schemas.openxmlformats.org/officeDocument/2006/relationships/image" Target="../media/image7.png"/></Relationships>
</file>

<file path=xl/drawings/_rels/drawing12.xml.rels><?xml version="1.0" encoding="UTF-8" standalone="yes"?><Relationships xmlns="http://schemas.openxmlformats.org/package/2006/relationships"><Relationship Id="rId1" Type="http://schemas.openxmlformats.org/officeDocument/2006/relationships/image" Target="../media/image14.png"/><Relationship Id="rId2" Type="http://schemas.openxmlformats.org/officeDocument/2006/relationships/image" Target="../media/image21.png"/></Relationships>
</file>

<file path=xl/drawings/_rels/drawing13.xml.rels><?xml version="1.0" encoding="UTF-8" standalone="yes"?><Relationships xmlns="http://schemas.openxmlformats.org/package/2006/relationships"><Relationship Id="rId1" Type="http://schemas.openxmlformats.org/officeDocument/2006/relationships/image" Target="../media/image12.png"/><Relationship Id="rId2" Type="http://schemas.openxmlformats.org/officeDocument/2006/relationships/image" Target="../media/image18.png"/></Relationships>
</file>

<file path=xl/drawings/_rels/drawing14.xml.rels><?xml version="1.0" encoding="UTF-8" standalone="yes"?><Relationships xmlns="http://schemas.openxmlformats.org/package/2006/relationships"><Relationship Id="rId1" Type="http://schemas.openxmlformats.org/officeDocument/2006/relationships/image" Target="../media/image22.png"/><Relationship Id="rId2" Type="http://schemas.openxmlformats.org/officeDocument/2006/relationships/image" Target="../media/image11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6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5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4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0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8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9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7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3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0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9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6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3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5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7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4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8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3.xml"/></Relationships>
</file>

<file path=xl/worksheets/_rels/sheet1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4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18.71"/>
    <col customWidth="1" min="2" max="2" width="26.86"/>
    <col customWidth="1" min="3" max="3" width="50.43"/>
    <col customWidth="1" min="4" max="26" width="14.43"/>
  </cols>
  <sheetData>
    <row r="1" ht="15.75" customHeight="1">
      <c r="A1" s="1" t="s">
        <v>0</v>
      </c>
      <c r="B1" s="2"/>
      <c r="C1" s="2"/>
      <c r="D1" s="2"/>
      <c r="E1" s="2"/>
      <c r="F1" s="3"/>
    </row>
    <row r="2" ht="15.75" customHeight="1">
      <c r="A2" s="4"/>
      <c r="B2" s="4"/>
      <c r="C2" s="4"/>
      <c r="D2" s="4"/>
      <c r="E2" s="4"/>
      <c r="F2" s="4"/>
    </row>
    <row r="3" ht="15.75" customHeight="1">
      <c r="A3" s="5" t="s">
        <v>1</v>
      </c>
      <c r="B3" s="6"/>
      <c r="C3" s="7"/>
      <c r="D3" s="7"/>
      <c r="E3" s="7"/>
      <c r="F3" s="7"/>
    </row>
    <row r="4" ht="15.75" customHeight="1">
      <c r="A4" s="8" t="str">
        <f>IFERROR(__xludf.DUMMYFUNCTION("IMPORTRANGE('_Settings'!B3,""Modules!A4:L1000"")"),"Allocation")</f>
        <v>Allocation</v>
      </c>
      <c r="B4" s="4" t="str">
        <f>IFERROR(__xludf.DUMMYFUNCTION("""COMPUTED_VALUE"""),"Allocate")</f>
        <v>Allocate</v>
      </c>
      <c r="C4" s="4" t="str">
        <f>IFERROR(__xludf.DUMMYFUNCTION("""COMPUTED_VALUE"""),"undefined")</f>
        <v>undefined</v>
      </c>
      <c r="D4" s="4"/>
      <c r="E4" s="4"/>
      <c r="F4" s="4"/>
    </row>
    <row r="5" ht="15.75" customHeight="1">
      <c r="A5" s="8" t="str">
        <f>IFERROR(__xludf.DUMMYFUNCTION("""COMPUTED_VALUE"""),"Allocation")</f>
        <v>Allocation</v>
      </c>
      <c r="B5" s="4" t="str">
        <f>IFERROR(__xludf.DUMMYFUNCTION("""COMPUTED_VALUE"""),"CheckAllocatedGroups")</f>
        <v>CheckAllocatedGroups</v>
      </c>
      <c r="C5" s="4" t="str">
        <f>IFERROR(__xludf.DUMMYFUNCTION("""COMPUTED_VALUE"""),"17_QBMicEOUihB2C-6dtz1DG3VfJj05Sk118TBLigcGQ")</f>
        <v>17_QBMicEOUihB2C-6dtz1DG3VfJj05Sk118TBLigcGQ</v>
      </c>
      <c r="D5" s="4"/>
      <c r="E5" s="4"/>
      <c r="F5" s="4"/>
    </row>
    <row r="6" ht="15.75" customHeight="1">
      <c r="A6" s="4" t="str">
        <f>IFERROR(__xludf.DUMMYFUNCTION("""COMPUTED_VALUE"""),"Allocation")</f>
        <v>Allocation</v>
      </c>
      <c r="B6" s="4" t="str">
        <f>IFERROR(__xludf.DUMMYFUNCTION("""COMPUTED_VALUE"""),"GetDataAllocation")</f>
        <v>GetDataAllocation</v>
      </c>
      <c r="C6" s="4" t="str">
        <f>IFERROR(__xludf.DUMMYFUNCTION("""COMPUTED_VALUE"""),"1hVcm2AM6tpl7LAL1inbzLF7lPKrzoS8Hf_xEf0r0QvU")</f>
        <v>1hVcm2AM6tpl7LAL1inbzLF7lPKrzoS8Hf_xEf0r0QvU</v>
      </c>
      <c r="D6" s="4"/>
      <c r="E6" s="4"/>
      <c r="F6" s="4"/>
    </row>
    <row r="7" ht="15.75" customHeight="1">
      <c r="A7" s="4" t="str">
        <f>IFERROR(__xludf.DUMMYFUNCTION("""COMPUTED_VALUE"""),"Allocation")</f>
        <v>Allocation</v>
      </c>
      <c r="B7" s="4" t="str">
        <f>IFERROR(__xludf.DUMMYFUNCTION("""COMPUTED_VALUE"""),"SelectAllocatedGroup")</f>
        <v>SelectAllocatedGroup</v>
      </c>
      <c r="C7" s="4" t="str">
        <f>IFERROR(__xludf.DUMMYFUNCTION("""COMPUTED_VALUE"""),"1xln1FAf_biSADXIchn7RxBiBbGXPZU2Qmiafzz63n_s")</f>
        <v>1xln1FAf_biSADXIchn7RxBiBbGXPZU2Qmiafzz63n_s</v>
      </c>
      <c r="D7" s="4"/>
      <c r="E7" s="4"/>
      <c r="F7" s="4"/>
    </row>
    <row r="8" ht="15.75" customHeight="1">
      <c r="A8" s="4" t="str">
        <f>IFERROR(__xludf.DUMMYFUNCTION("""COMPUTED_VALUE"""),"Allocation")</f>
        <v>Allocation</v>
      </c>
      <c r="B8" s="4" t="str">
        <f>IFERROR(__xludf.DUMMYFUNCTION("""COMPUTED_VALUE"""),"EditTradesAllocated")</f>
        <v>EditTradesAllocated</v>
      </c>
      <c r="C8" s="4" t="str">
        <f>IFERROR(__xludf.DUMMYFUNCTION("""COMPUTED_VALUE"""),"1ZJZn5gs7a2MhaEr-ryFvr-6l8Lrpw49ZtdxRjUmj2lE")</f>
        <v>1ZJZn5gs7a2MhaEr-ryFvr-6l8Lrpw49ZtdxRjUmj2lE</v>
      </c>
      <c r="D8" s="4"/>
      <c r="E8" s="4"/>
      <c r="F8" s="4"/>
    </row>
    <row r="9" ht="15.75" customHeight="1">
      <c r="A9" s="4" t="str">
        <f>IFERROR(__xludf.DUMMYFUNCTION("""COMPUTED_VALUE"""),"Allocation")</f>
        <v>Allocation</v>
      </c>
      <c r="B9" s="4" t="str">
        <f>IFERROR(__xludf.DUMMYFUNCTION("""COMPUTED_VALUE"""),"EditTradesUnallocated")</f>
        <v>EditTradesUnallocated</v>
      </c>
      <c r="C9" s="4" t="str">
        <f>IFERROR(__xludf.DUMMYFUNCTION("""COMPUTED_VALUE"""),"1OCGMVOHt03_eCmO7qiby_rf8bEME9TovKxz3Ntf7vgg")</f>
        <v>1OCGMVOHt03_eCmO7qiby_rf8bEME9TovKxz3Ntf7vgg</v>
      </c>
      <c r="D9" s="4"/>
      <c r="E9" s="4"/>
      <c r="F9" s="4"/>
    </row>
    <row r="10" ht="15.75" customHeight="1">
      <c r="A10" s="4" t="str">
        <f>IFERROR(__xludf.DUMMYFUNCTION("""COMPUTED_VALUE"""),"Allocation")</f>
        <v>Allocation</v>
      </c>
      <c r="B10" s="4" t="str">
        <f>IFERROR(__xludf.DUMMYFUNCTION("""COMPUTED_VALUE"""),"Reallocate")</f>
        <v>Reallocate</v>
      </c>
      <c r="C10" s="4" t="str">
        <f>IFERROR(__xludf.DUMMYFUNCTION("""COMPUTED_VALUE"""),"undefined")</f>
        <v>undefined</v>
      </c>
      <c r="D10" s="4"/>
      <c r="E10" s="4"/>
      <c r="F10" s="4"/>
    </row>
    <row r="11" ht="15.75" customHeight="1">
      <c r="A11" s="4" t="str">
        <f>IFERROR(__xludf.DUMMYFUNCTION("""COMPUTED_VALUE"""),"Blotter")</f>
        <v>Blotter</v>
      </c>
      <c r="B11" s="4" t="str">
        <f>IFERROR(__xludf.DUMMYFUNCTION("""COMPUTED_VALUE"""),"ReplaceFillsOnBlotter")</f>
        <v>ReplaceFillsOnBlotter</v>
      </c>
      <c r="C11" s="4" t="str">
        <f>IFERROR(__xludf.DUMMYFUNCTION("""COMPUTED_VALUE"""),"undefined")</f>
        <v>undefined</v>
      </c>
      <c r="D11" s="4"/>
      <c r="E11" s="4"/>
      <c r="F11" s="4"/>
    </row>
    <row r="12" ht="15.75" customHeight="1">
      <c r="A12" s="4" t="str">
        <f>IFERROR(__xludf.DUMMYFUNCTION("""COMPUTED_VALUE"""),"Blotter")</f>
        <v>Blotter</v>
      </c>
      <c r="B12" s="4" t="str">
        <f>IFERROR(__xludf.DUMMYFUNCTION("""COMPUTED_VALUE"""),"CheckBlotter")</f>
        <v>CheckBlotter</v>
      </c>
      <c r="C12" s="4" t="str">
        <f>IFERROR(__xludf.DUMMYFUNCTION("""COMPUTED_VALUE"""),"11MUm_Wks-ynsuzwq0ucx9YCmN_Dlux4joQTI9V_vxSQ")</f>
        <v>11MUm_Wks-ynsuzwq0ucx9YCmN_Dlux4joQTI9V_vxSQ</v>
      </c>
      <c r="D12" s="4"/>
      <c r="E12" s="4"/>
      <c r="F12" s="4"/>
    </row>
    <row r="13" ht="15.75" customHeight="1">
      <c r="A13" s="4" t="str">
        <f>IFERROR(__xludf.DUMMYFUNCTION("""COMPUTED_VALUE"""),"GeneralLedger")</f>
        <v>GeneralLedger</v>
      </c>
      <c r="B13" s="4" t="str">
        <f>IFERROR(__xludf.DUMMYFUNCTION("""COMPUTED_VALUE"""),"GetDataCash")</f>
        <v>GetDataCash</v>
      </c>
      <c r="C13" s="4" t="str">
        <f>IFERROR(__xludf.DUMMYFUNCTION("""COMPUTED_VALUE"""),"1HibVHHcuFf3loa0fNI6zJwXL0glRkLz9BQwFMwolEWs")</f>
        <v>1HibVHHcuFf3loa0fNI6zJwXL0glRkLz9BQwFMwolEWs</v>
      </c>
      <c r="D13" s="4"/>
      <c r="E13" s="4"/>
      <c r="F13" s="4"/>
    </row>
    <row r="14" ht="15.75" customHeight="1">
      <c r="A14" s="4" t="str">
        <f>IFERROR(__xludf.DUMMYFUNCTION("""COMPUTED_VALUE"""),"GeneralLedger")</f>
        <v>GeneralLedger</v>
      </c>
      <c r="B14" s="4" t="str">
        <f>IFERROR(__xludf.DUMMYFUNCTION("""COMPUTED_VALUE"""),"EnterCashDividends")</f>
        <v>EnterCashDividends</v>
      </c>
      <c r="C14" s="4" t="str">
        <f>IFERROR(__xludf.DUMMYFUNCTION("""COMPUTED_VALUE"""),"1v_MUqtv78nxjsN8Cecn_LuQEABNjfo6irXnL4E327-E")</f>
        <v>1v_MUqtv78nxjsN8Cecn_LuQEABNjfo6irXnL4E327-E</v>
      </c>
      <c r="D14" s="4"/>
      <c r="E14" s="4"/>
      <c r="F14" s="4"/>
    </row>
    <row r="15" ht="15.75" customHeight="1">
      <c r="A15" s="4" t="str">
        <f>IFERROR(__xludf.DUMMYFUNCTION("""COMPUTED_VALUE"""),"GeneralLedger")</f>
        <v>GeneralLedger</v>
      </c>
      <c r="B15" s="4" t="str">
        <f>IFERROR(__xludf.DUMMYFUNCTION("""COMPUTED_VALUE"""),"EnterNonTradingTransaction")</f>
        <v>EnterNonTradingTransaction</v>
      </c>
      <c r="C15" s="4" t="str">
        <f>IFERROR(__xludf.DUMMYFUNCTION("""COMPUTED_VALUE"""),"175-JCUqdn62shwwTBrtayS4sAfQdJI1es-MdB_afiEU")</f>
        <v>175-JCUqdn62shwwTBrtayS4sAfQdJI1es-MdB_afiEU</v>
      </c>
      <c r="D15" s="4"/>
      <c r="E15" s="4"/>
      <c r="F15" s="4"/>
    </row>
    <row r="16" ht="15.75" customHeight="1">
      <c r="A16" s="4" t="str">
        <f>IFERROR(__xludf.DUMMYFUNCTION("""COMPUTED_VALUE"""),"GeneralLedger")</f>
        <v>GeneralLedger</v>
      </c>
      <c r="B16" s="4" t="str">
        <f>IFERROR(__xludf.DUMMYFUNCTION("""COMPUTED_VALUE"""),"VerifyCash")</f>
        <v>VerifyCash</v>
      </c>
      <c r="C16" s="4" t="str">
        <f>IFERROR(__xludf.DUMMYFUNCTION("""COMPUTED_VALUE"""),"17eDimySFNF45ncJKZNMN1WafcCPlObqPuWpiaELn4XI")</f>
        <v>17eDimySFNF45ncJKZNMN1WafcCPlObqPuWpiaELn4XI</v>
      </c>
      <c r="D16" s="4"/>
      <c r="E16" s="4"/>
      <c r="F16" s="4"/>
    </row>
    <row r="17" ht="15.75" customHeight="1">
      <c r="A17" s="4" t="str">
        <f>IFERROR(__xludf.DUMMYFUNCTION("""COMPUTED_VALUE"""),"GeneralLedger")</f>
        <v>GeneralLedger</v>
      </c>
      <c r="B17" s="4" t="str">
        <f>IFERROR(__xludf.DUMMYFUNCTION("""COMPUTED_VALUE"""),"VerifyActivity")</f>
        <v>VerifyActivity</v>
      </c>
      <c r="C17" s="4" t="str">
        <f>IFERROR(__xludf.DUMMYFUNCTION("""COMPUTED_VALUE"""),"1Pfyi8724AHHPSpjL28hJwa2o4mQbLhWDX3ERQDqoMjM")</f>
        <v>1Pfyi8724AHHPSpjL28hJwa2o4mQbLhWDX3ERQDqoMjM</v>
      </c>
      <c r="D17" s="4"/>
      <c r="E17" s="4"/>
      <c r="F17" s="4"/>
    </row>
    <row r="18" ht="15.75" customHeight="1">
      <c r="A18" s="4" t="str">
        <f>IFERROR(__xludf.DUMMYFUNCTION("""COMPUTED_VALUE"""),"GeneralLedger")</f>
        <v>GeneralLedger</v>
      </c>
      <c r="B18" s="4" t="str">
        <f>IFERROR(__xludf.DUMMYFUNCTION("""COMPUTED_VALUE"""),"VerifyTradingTransaction")</f>
        <v>VerifyTradingTransaction</v>
      </c>
      <c r="C18" s="4" t="str">
        <f>IFERROR(__xludf.DUMMYFUNCTION("""COMPUTED_VALUE"""),"1YVs2pxOwqxSOoRvY-L6RFBNX-V1Iq7YCTlJJjcZGOrk")</f>
        <v>1YVs2pxOwqxSOoRvY-L6RFBNX-V1Iq7YCTlJJjcZGOrk</v>
      </c>
      <c r="D18" s="4"/>
      <c r="E18" s="4"/>
      <c r="F18" s="4"/>
    </row>
    <row r="19" ht="15.75" customHeight="1">
      <c r="A19" s="4" t="str">
        <f>IFERROR(__xludf.DUMMYFUNCTION("""COMPUTED_VALUE"""),"GeneralLedger")</f>
        <v>GeneralLedger</v>
      </c>
      <c r="B19" s="4" t="str">
        <f>IFERROR(__xludf.DUMMYFUNCTION("""COMPUTED_VALUE"""),"VerifyRevaluationData")</f>
        <v>VerifyRevaluationData</v>
      </c>
      <c r="C19" s="4" t="str">
        <f>IFERROR(__xludf.DUMMYFUNCTION("""COMPUTED_VALUE"""),"1B8hcujE70thHD0YsedA4IBNf7vn0AyfU4JVfJ_wJt20")</f>
        <v>1B8hcujE70thHD0YsedA4IBNf7vn0AyfU4JVfJ_wJt20</v>
      </c>
      <c r="D19" s="4"/>
      <c r="E19" s="4"/>
      <c r="F19" s="4"/>
    </row>
    <row r="20" ht="15.75" customHeight="1">
      <c r="A20" s="4" t="str">
        <f>IFERROR(__xludf.DUMMYFUNCTION("""COMPUTED_VALUE"""),"CorporateAction")</f>
        <v>CorporateAction</v>
      </c>
      <c r="B20" s="4" t="str">
        <f>IFERROR(__xludf.DUMMYFUNCTION("""COMPUTED_VALUE"""),"CorporateAction")</f>
        <v>CorporateAction</v>
      </c>
      <c r="C20" s="4" t="str">
        <f>IFERROR(__xludf.DUMMYFUNCTION("""COMPUTED_VALUE"""),"1-W-RmffTnEi0hw7mazbNadwwiSRGoy1wrw8PHkuofYY")</f>
        <v>1-W-RmffTnEi0hw7mazbNadwwiSRGoy1wrw8PHkuofYY</v>
      </c>
      <c r="D20" s="4"/>
      <c r="E20" s="4"/>
      <c r="F20" s="4"/>
    </row>
    <row r="21" ht="15.75" customHeight="1">
      <c r="A21" s="4" t="str">
        <f>IFERROR(__xludf.DUMMYFUNCTION("""COMPUTED_VALUE"""),"CreateTransaction")</f>
        <v>CreateTransaction</v>
      </c>
      <c r="B21" s="4" t="str">
        <f>IFERROR(__xludf.DUMMYFUNCTION("""COMPUTED_VALUE"""),"CreateTransaction")</f>
        <v>CreateTransaction</v>
      </c>
      <c r="C21" s="4" t="str">
        <f>IFERROR(__xludf.DUMMYFUNCTION("""COMPUTED_VALUE"""),"1esoF-RnVyz6ko5JWW7n-M62RtAdH_oBEGryr3tVxBD0")</f>
        <v>1esoF-RnVyz6ko5JWW7n-M62RtAdH_oBEGryr3tVxBD0</v>
      </c>
      <c r="D21" s="4"/>
      <c r="E21" s="4"/>
      <c r="F21" s="4"/>
    </row>
    <row r="22" ht="15.75" customHeight="1">
      <c r="A22" s="4" t="str">
        <f>IFERROR(__xludf.DUMMYFUNCTION("""COMPUTED_VALUE"""),"DailyValuation")</f>
        <v>DailyValuation</v>
      </c>
      <c r="B22" s="4" t="str">
        <f>IFERROR(__xludf.DUMMYFUNCTION("""COMPUTED_VALUE"""),"UpdateBeta")</f>
        <v>UpdateBeta</v>
      </c>
      <c r="C22" s="4" t="str">
        <f>IFERROR(__xludf.DUMMYFUNCTION("""COMPUTED_VALUE"""),"1e5P2Fpj6vybIn_paB2b7Fy1UWvvzM_QLBcFFEnG_Sog")</f>
        <v>1e5P2Fpj6vybIn_paB2b7Fy1UWvvzM_QLBcFFEnG_Sog</v>
      </c>
      <c r="D22" s="4"/>
      <c r="E22" s="4"/>
      <c r="F22" s="4"/>
    </row>
    <row r="23" ht="15.75" customHeight="1">
      <c r="A23" s="4" t="str">
        <f>IFERROR(__xludf.DUMMYFUNCTION("""COMPUTED_VALUE"""),"DailyValuation")</f>
        <v>DailyValuation</v>
      </c>
      <c r="B23" s="4" t="str">
        <f>IFERROR(__xludf.DUMMYFUNCTION("""COMPUTED_VALUE"""),"UpdateDailyCash")</f>
        <v>UpdateDailyCash</v>
      </c>
      <c r="C23" s="4" t="str">
        <f>IFERROR(__xludf.DUMMYFUNCTION("""COMPUTED_VALUE"""),"17wP7K35BVS-mcToVvypH9kFnKwLPjhX5cgZessf5L3U")</f>
        <v>17wP7K35BVS-mcToVvypH9kFnKwLPjhX5cgZessf5L3U</v>
      </c>
      <c r="D23" s="4"/>
      <c r="E23" s="4"/>
      <c r="F23" s="4"/>
    </row>
    <row r="24" ht="15.75" customHeight="1">
      <c r="A24" s="4" t="str">
        <f>IFERROR(__xludf.DUMMYFUNCTION("""COMPUTED_VALUE"""),"DailyValuation")</f>
        <v>DailyValuation</v>
      </c>
      <c r="B24" s="4" t="str">
        <f>IFERROR(__xludf.DUMMYFUNCTION("""COMPUTED_VALUE"""),"UpdateForexConversion")</f>
        <v>UpdateForexConversion</v>
      </c>
      <c r="C24" s="4" t="str">
        <f>IFERROR(__xludf.DUMMYFUNCTION("""COMPUTED_VALUE"""),"1MhtifEhyzplKiAJ2B7ZBGDQykTLhDMrJnLNmWidmDfo")</f>
        <v>1MhtifEhyzplKiAJ2B7ZBGDQykTLhDMrJnLNmWidmDfo</v>
      </c>
      <c r="D24" s="4"/>
      <c r="E24" s="4"/>
      <c r="F24" s="4"/>
    </row>
    <row r="25" ht="15.75" customHeight="1">
      <c r="A25" s="4" t="str">
        <f>IFERROR(__xludf.DUMMYFUNCTION("""COMPUTED_VALUE"""),"DailyValuation")</f>
        <v>DailyValuation</v>
      </c>
      <c r="B25" s="4" t="str">
        <f>IFERROR(__xludf.DUMMYFUNCTION("""COMPUTED_VALUE"""),"UpdateMarkPrice")</f>
        <v>UpdateMarkPrice</v>
      </c>
      <c r="C25" s="4" t="str">
        <f>IFERROR(__xludf.DUMMYFUNCTION("""COMPUTED_VALUE"""),"14ykotElrdKk_65x7FoOo3uy_l0cCpWTItQ6NjoPCFto")</f>
        <v>14ykotElrdKk_65x7FoOo3uy_l0cCpWTItQ6NjoPCFto</v>
      </c>
      <c r="D25" s="4"/>
      <c r="E25" s="4"/>
      <c r="F25" s="4"/>
    </row>
    <row r="26" ht="15.75" customHeight="1">
      <c r="A26" s="4" t="str">
        <f>IFERROR(__xludf.DUMMYFUNCTION("""COMPUTED_VALUE"""),"Import")</f>
        <v>Import</v>
      </c>
      <c r="B26" s="4" t="str">
        <f>IFERROR(__xludf.DUMMYFUNCTION("""COMPUTED_VALUE"""),"Import")</f>
        <v>Import</v>
      </c>
      <c r="C26" s="4" t="str">
        <f>IFERROR(__xludf.DUMMYFUNCTION("""COMPUTED_VALUE"""),"16g9Kf7Sel1N9rpDdDYebIoVnUvEmGkdOIDvOEX1x5rs")</f>
        <v>16g9Kf7Sel1N9rpDdDYebIoVnUvEmGkdOIDvOEX1x5rs</v>
      </c>
      <c r="D26" s="4"/>
      <c r="E26" s="4"/>
      <c r="F26" s="4"/>
    </row>
    <row r="27" ht="15.75" customHeight="1">
      <c r="A27" s="4" t="str">
        <f>IFERROR(__xludf.DUMMYFUNCTION("""COMPUTED_VALUE"""),"PortfolioManagement")</f>
        <v>PortfolioManagement</v>
      </c>
      <c r="B27" s="4" t="str">
        <f>IFERROR(__xludf.DUMMYFUNCTION("""COMPUTED_VALUE"""),"CheckDashboardPM")</f>
        <v>CheckDashboardPM</v>
      </c>
      <c r="C27" s="4" t="str">
        <f>IFERROR(__xludf.DUMMYFUNCTION("""COMPUTED_VALUE"""),"1dCUqkFToxbHWLcuEsup6xul17t7dk0JWXjsF_NqJWLs")</f>
        <v>1dCUqkFToxbHWLcuEsup6xul17t7dk0JWXjsF_NqJWLs</v>
      </c>
      <c r="D27" s="4"/>
      <c r="E27" s="4"/>
      <c r="F27" s="4"/>
    </row>
    <row r="28" ht="15.75" customHeight="1">
      <c r="A28" s="4" t="str">
        <f>IFERROR(__xludf.DUMMYFUNCTION("""COMPUTED_VALUE"""),"PortfolioManagement")</f>
        <v>PortfolioManagement</v>
      </c>
      <c r="B28" s="4" t="str">
        <f>IFERROR(__xludf.DUMMYFUNCTION("""COMPUTED_VALUE"""),"CheckPortfolioManagement")</f>
        <v>CheckPortfolioManagement</v>
      </c>
      <c r="C28" s="4" t="str">
        <f>IFERROR(__xludf.DUMMYFUNCTION("""COMPUTED_VALUE"""),"1WrLR2m07rC0_5QRVRBEKQH-92mAfrcXJUuuIwELno2g")</f>
        <v>1WrLR2m07rC0_5QRVRBEKQH-92mAfrcXJUuuIwELno2g</v>
      </c>
      <c r="D28" s="4"/>
      <c r="E28" s="4"/>
      <c r="F28" s="4"/>
    </row>
    <row r="29" ht="15.75" customHeight="1">
      <c r="A29" s="4" t="str">
        <f>IFERROR(__xludf.DUMMYFUNCTION("""COMPUTED_VALUE"""),"PricingInput")</f>
        <v>PricingInput</v>
      </c>
      <c r="B29" s="4" t="str">
        <f>IFERROR(__xludf.DUMMYFUNCTION("""COMPUTED_VALUE"""),"PricingInput")</f>
        <v>PricingInput</v>
      </c>
      <c r="C29" s="4" t="str">
        <f>IFERROR(__xludf.DUMMYFUNCTION("""COMPUTED_VALUE"""),"16EMowOhNWCoGHg3C_AEEGTB-3SXFMg5x63-S3irnai0")</f>
        <v>16EMowOhNWCoGHg3C_AEEGTB-3SXFMg5x63-S3irnai0</v>
      </c>
      <c r="D29" s="4"/>
      <c r="E29" s="4"/>
      <c r="F29" s="4"/>
    </row>
    <row r="30" ht="15.75" customHeight="1">
      <c r="A30" s="4" t="str">
        <f>IFERROR(__xludf.DUMMYFUNCTION("""COMPUTED_VALUE"""),"PricingInput")</f>
        <v>PricingInput</v>
      </c>
      <c r="B30" s="4" t="str">
        <f>IFERROR(__xludf.DUMMYFUNCTION("""COMPUTED_VALUE"""),"UpdateSharesOutstanding")</f>
        <v>UpdateSharesOutstanding</v>
      </c>
      <c r="C30" s="4" t="str">
        <f>IFERROR(__xludf.DUMMYFUNCTION("""COMPUTED_VALUE"""),"1q9dRSKiXfUcfgc5w_m-vMSRuUWcHC5mxzB_SFqqFzJk")</f>
        <v>1q9dRSKiXfUcfgc5w_m-vMSRuUWcHC5mxzB_SFqqFzJk</v>
      </c>
      <c r="D30" s="4"/>
      <c r="E30" s="4"/>
      <c r="F30" s="4"/>
    </row>
    <row r="31" ht="15.75" customHeight="1">
      <c r="A31" s="4" t="str">
        <f>IFERROR(__xludf.DUMMYFUNCTION("""COMPUTED_VALUE"""),"SymbolLookup")</f>
        <v>SymbolLookup</v>
      </c>
      <c r="B31" s="4" t="str">
        <f>IFERROR(__xludf.DUMMYFUNCTION("""COMPUTED_VALUE"""),"VerifySymbolLookUp")</f>
        <v>VerifySymbolLookUp</v>
      </c>
      <c r="C31" s="4" t="str">
        <f>IFERROR(__xludf.DUMMYFUNCTION("""COMPUTED_VALUE"""),"1lP1jJVwyLgSReroORPW2qHMX-c1ylMBmX8jxb7m4wfI")</f>
        <v>1lP1jJVwyLgSReroORPW2qHMX-c1ylMBmX8jxb7m4wfI</v>
      </c>
      <c r="D31" s="4"/>
      <c r="E31" s="4"/>
      <c r="F31" s="4"/>
    </row>
    <row r="32" ht="15.75" customHeight="1">
      <c r="A32" s="4" t="str">
        <f>IFERROR(__xludf.DUMMYFUNCTION("""COMPUTED_VALUE"""),"SymbolLookup")</f>
        <v>SymbolLookup</v>
      </c>
      <c r="B32" s="4" t="str">
        <f>IFERROR(__xludf.DUMMYFUNCTION("""COMPUTED_VALUE"""),"SymbolLookupFromTT")</f>
        <v>SymbolLookupFromTT</v>
      </c>
      <c r="C32" s="4" t="str">
        <f>IFERROR(__xludf.DUMMYFUNCTION("""COMPUTED_VALUE"""),"1Ws0Hw39H3ULaKM5Cl_p6p-caLwRm8T0L43ngVqjHMnM")</f>
        <v>1Ws0Hw39H3ULaKM5Cl_p6p-caLwRm8T0L43ngVqjHMnM</v>
      </c>
      <c r="D32" s="4"/>
      <c r="E32" s="4"/>
      <c r="F32" s="4"/>
    </row>
    <row r="33" ht="15.75" customHeight="1">
      <c r="A33" s="4" t="str">
        <f>IFERROR(__xludf.DUMMYFUNCTION("""COMPUTED_VALUE"""),"SymbolLookup")</f>
        <v>SymbolLookup</v>
      </c>
      <c r="B33" s="4" t="str">
        <f>IFERROR(__xludf.DUMMYFUNCTION("""COMPUTED_VALUE"""),"UpdateUDA")</f>
        <v>UpdateUDA</v>
      </c>
      <c r="C33" s="4" t="str">
        <f>IFERROR(__xludf.DUMMYFUNCTION("""COMPUTED_VALUE"""),"18ZefsYffctRJZetWSPUYeTMEPqefQ72fJ-dT_WrQO6E")</f>
        <v>18ZefsYffctRJZetWSPUYeTMEPqefQ72fJ-dT_WrQO6E</v>
      </c>
      <c r="D33" s="4"/>
      <c r="E33" s="4"/>
      <c r="F33" s="4"/>
    </row>
    <row r="34" ht="15.75" customHeight="1">
      <c r="A34" t="str">
        <f>IFERROR(__xludf.DUMMYFUNCTION("""COMPUTED_VALUE"""),"SymbolLookup")</f>
        <v>SymbolLookup</v>
      </c>
      <c r="B34" t="str">
        <f>IFERROR(__xludf.DUMMYFUNCTION("""COMPUTED_VALUE"""),"GetSymbol")</f>
        <v>GetSymbol</v>
      </c>
      <c r="C34" t="str">
        <f>IFERROR(__xludf.DUMMYFUNCTION("""COMPUTED_VALUE"""),"1dif0H2pSx6MyuJJaFo3yMy9Wk3FCmwjhqFUYJ2ddE_U")</f>
        <v>1dif0H2pSx6MyuJJaFo3yMy9Wk3FCmwjhqFUYJ2ddE_U</v>
      </c>
    </row>
    <row r="35" ht="15.75" customHeight="1">
      <c r="A35" t="str">
        <f>IFERROR(__xludf.DUMMYFUNCTION("""COMPUTED_VALUE"""),"SymbolLookup")</f>
        <v>SymbolLookup</v>
      </c>
      <c r="B35" t="str">
        <f>IFERROR(__xludf.DUMMYFUNCTION("""COMPUTED_VALUE"""),"GetDataSymbolLookup")</f>
        <v>GetDataSymbolLookup</v>
      </c>
      <c r="C35" t="str">
        <f>IFERROR(__xludf.DUMMYFUNCTION("""COMPUTED_VALUE"""),"1yyYt9T19EoP8LoCWHfuC6030yvu3xeuFdL76BzHEg-w")</f>
        <v>1yyYt9T19EoP8LoCWHfuC6030yvu3xeuFdL76BzHEg-w</v>
      </c>
    </row>
    <row r="36" ht="15.75" customHeight="1">
      <c r="A36" t="str">
        <f>IFERROR(__xludf.DUMMYFUNCTION("""COMPUTED_VALUE"""),"ThirdParty")</f>
        <v>ThirdParty</v>
      </c>
      <c r="B36" t="str">
        <f>IFERROR(__xludf.DUMMYFUNCTION("""COMPUTED_VALUE"""),"GenerateThirdParty")</f>
        <v>GenerateThirdParty</v>
      </c>
      <c r="C36" t="str">
        <f>IFERROR(__xludf.DUMMYFUNCTION("""COMPUTED_VALUE"""),"1HZrcr_WdBT1EQ4GhHDXyM17ms7JDfsPpIGlJKkgrmq8")</f>
        <v>1HZrcr_WdBT1EQ4GhHDXyM17ms7JDfsPpIGlJKkgrmq8</v>
      </c>
    </row>
    <row r="37" ht="15.75" customHeight="1">
      <c r="A37" t="str">
        <f>IFERROR(__xludf.DUMMYFUNCTION("""COMPUTED_VALUE"""),"ThirdParty")</f>
        <v>ThirdParty</v>
      </c>
      <c r="B37" t="str">
        <f>IFERROR(__xludf.DUMMYFUNCTION("""COMPUTED_VALUE"""),"SendThirdParty")</f>
        <v>SendThirdParty</v>
      </c>
      <c r="C37" t="str">
        <f>IFERROR(__xludf.DUMMYFUNCTION("""COMPUTED_VALUE"""),"1cffrrRSmuiuoUyakOnIguFzrQ7nNvPrbSqLosFmTWwE")</f>
        <v>1cffrrRSmuiuoUyakOnIguFzrQ7nNvPrbSqLosFmTWwE</v>
      </c>
    </row>
    <row r="38" ht="15.75" customHeight="1">
      <c r="A38" t="str">
        <f>IFERROR(__xludf.DUMMYFUNCTION("""COMPUTED_VALUE"""),"ThirdParty")</f>
        <v>ThirdParty</v>
      </c>
      <c r="B38" t="str">
        <f>IFERROR(__xludf.DUMMYFUNCTION("""COMPUTED_VALUE"""),"ViewThirdParty")</f>
        <v>ViewThirdParty</v>
      </c>
      <c r="C38" t="str">
        <f>IFERROR(__xludf.DUMMYFUNCTION("""COMPUTED_VALUE"""),"1ZfIgMPS9NpuMtE47suVwo-kA1KXMaKf-ADsjK3-OiFk")</f>
        <v>1ZfIgMPS9NpuMtE47suVwo-kA1KXMaKf-ADsjK3-OiFk</v>
      </c>
    </row>
    <row r="39" ht="15.75" customHeight="1">
      <c r="A39" t="str">
        <f>IFERROR(__xludf.DUMMYFUNCTION("""COMPUTED_VALUE"""),"ThirdParty")</f>
        <v>ThirdParty</v>
      </c>
      <c r="B39" t="str">
        <f>IFERROR(__xludf.DUMMYFUNCTION("""COMPUTED_VALUE"""),"SelectThirdPartyName")</f>
        <v>SelectThirdPartyName</v>
      </c>
      <c r="C39" t="str">
        <f>IFERROR(__xludf.DUMMYFUNCTION("""COMPUTED_VALUE"""),"1lg0qbs6p5xqUSr7LDug4K3vG1m9N739nMZUVLjObX4A")</f>
        <v>1lg0qbs6p5xqUSr7LDug4K3vG1m9N739nMZUVLjObX4A</v>
      </c>
    </row>
    <row r="40" ht="15.75" customHeight="1">
      <c r="A40" t="str">
        <f>IFERROR(__xludf.DUMMYFUNCTION("""COMPUTED_VALUE"""),"ThirdParty")</f>
        <v>ThirdParty</v>
      </c>
      <c r="B40" t="str">
        <f>IFERROR(__xludf.DUMMYFUNCTION("""COMPUTED_VALUE"""),"VerifyThirdPartyData")</f>
        <v>VerifyThirdPartyData</v>
      </c>
      <c r="C40" t="str">
        <f>IFERROR(__xludf.DUMMYFUNCTION("""COMPUTED_VALUE"""),"1jAOYY9bW9KnKph1c40HVkfDUBh6ICZ5j3laR_Nfw-EY")</f>
        <v>1jAOYY9bW9KnKph1c40HVkfDUBh6ICZ5j3laR_Nfw-EY</v>
      </c>
    </row>
    <row r="41" ht="15.75" customHeight="1">
      <c r="A41" t="str">
        <f>IFERROR(__xludf.DUMMYFUNCTION("""COMPUTED_VALUE"""),"CorporateAction")</f>
        <v>CorporateAction</v>
      </c>
      <c r="B41" t="str">
        <f>IFERROR(__xludf.DUMMYFUNCTION("""COMPUTED_VALUE"""),"CleanUp")</f>
        <v>CleanUp</v>
      </c>
      <c r="C41" t="str">
        <f>IFERROR(__xludf.DUMMYFUNCTION("""COMPUTED_VALUE"""),"undefined")</f>
        <v>undefined</v>
      </c>
    </row>
    <row r="42" ht="15.75" customHeight="1">
      <c r="A42" t="str">
        <f>IFERROR(__xludf.DUMMYFUNCTION("""COMPUTED_VALUE"""),"PST")</f>
        <v>PST</v>
      </c>
      <c r="B42" t="str">
        <f>IFERROR(__xludf.DUMMYFUNCTION("""COMPUTED_VALUE"""),"RunPST")</f>
        <v>RunPST</v>
      </c>
      <c r="C42" t="str">
        <f>IFERROR(__xludf.DUMMYFUNCTION("""COMPUTED_VALUE"""),"1A0xAaBFDf7biWsKuUhbcuji1EhTqQ4YA19pe1eIhgPQ")</f>
        <v>1A0xAaBFDf7biWsKuUhbcuji1EhTqQ4YA19pe1eIhgPQ</v>
      </c>
    </row>
    <row r="43" ht="15.75" customHeight="1">
      <c r="A43" t="str">
        <f>IFERROR(__xludf.DUMMYFUNCTION("""COMPUTED_VALUE"""),"PST")</f>
        <v>PST</v>
      </c>
      <c r="B43" t="str">
        <f>IFERROR(__xludf.DUMMYFUNCTION("""COMPUTED_VALUE"""),"PSTInputData")</f>
        <v>PSTInputData</v>
      </c>
      <c r="C43" t="str">
        <f>IFERROR(__xludf.DUMMYFUNCTION("""COMPUTED_VALUE"""),"1AjthyKZG60SFOO_oG5D4uAVdcMlvnmNeOIBuZzfu9Zc")</f>
        <v>1AjthyKZG60SFOO_oG5D4uAVdcMlvnmNeOIBuZzfu9Zc</v>
      </c>
    </row>
    <row r="44" ht="15.75" customHeight="1">
      <c r="A44" t="str">
        <f>IFERROR(__xludf.DUMMYFUNCTION("""COMPUTED_VALUE"""),"PST")</f>
        <v>PST</v>
      </c>
      <c r="B44" t="str">
        <f>IFERROR(__xludf.DUMMYFUNCTION("""COMPUTED_VALUE"""),"PSTVerifyData")</f>
        <v>PSTVerifyData</v>
      </c>
      <c r="C44" t="str">
        <f>IFERROR(__xludf.DUMMYFUNCTION("""COMPUTED_VALUE"""),"1hwVNf3Bz_kRxkr47npaHLD4RFYfHlCWjpAVEp3p0Tv0")</f>
        <v>1hwVNf3Bz_kRxkr47npaHLD4RFYfHlCWjpAVEp3p0Tv0</v>
      </c>
    </row>
    <row r="45" ht="15.75" customHeight="1">
      <c r="A45" t="str">
        <f>IFERROR(__xludf.DUMMYFUNCTION("""COMPUTED_VALUE"""),"PST")</f>
        <v>PST</v>
      </c>
      <c r="B45" t="str">
        <f>IFERROR(__xludf.DUMMYFUNCTION("""COMPUTED_VALUE"""),"PSTFunctionalities")</f>
        <v>PSTFunctionalities</v>
      </c>
      <c r="C45" t="str">
        <f>IFERROR(__xludf.DUMMYFUNCTION("""COMPUTED_VALUE"""),"1YNyk8pT-yjAygOSu8ntnhSz0mlyLVTKf5ZElZkGlRAk")</f>
        <v>1YNyk8pT-yjAygOSu8ntnhSz0mlyLVTKf5ZElZkGlRAk</v>
      </c>
    </row>
    <row r="46" ht="15.75" customHeight="1">
      <c r="A46" t="str">
        <f>IFERROR(__xludf.DUMMYFUNCTION("""COMPUTED_VALUE"""),"PortfolioManagement")</f>
        <v>PortfolioManagement</v>
      </c>
      <c r="B46" t="str">
        <f>IFERROR(__xludf.DUMMYFUNCTION("""COMPUTED_VALUE"""),"OpenPSTFromPM")</f>
        <v>OpenPSTFromPM</v>
      </c>
      <c r="C46" t="str">
        <f>IFERROR(__xludf.DUMMYFUNCTION("""COMPUTED_VALUE"""),"1e_Wdtbtw83ryT5L0L8pewVQPI8LIJvnU1qbvQEuQTWA")</f>
        <v>1e_Wdtbtw83ryT5L0L8pewVQPI8LIJvnU1qbvQEuQTWA</v>
      </c>
    </row>
    <row r="47" ht="15.75" customHeight="1">
      <c r="A47" t="str">
        <f>IFERROR(__xludf.DUMMYFUNCTION("""COMPUTED_VALUE"""),"TradingTicket")</f>
        <v>TradingTicket</v>
      </c>
      <c r="B47" t="str">
        <f>IFERROR(__xludf.DUMMYFUNCTION("""COMPUTED_VALUE"""),"OpenTTFromPST")</f>
        <v>OpenTTFromPST</v>
      </c>
      <c r="C47" t="str">
        <f>IFERROR(__xludf.DUMMYFUNCTION("""COMPUTED_VALUE"""),"1s-2AvOwlucwT40O8TI72EGsH95mesUqNXS7T87p_cjk")</f>
        <v>1s-2AvOwlucwT40O8TI72EGsH95mesUqNXS7T87p_cjk</v>
      </c>
    </row>
    <row r="48" ht="15.75" customHeight="1">
      <c r="A48" t="str">
        <f>IFERROR(__xludf.DUMMYFUNCTION("""COMPUTED_VALUE"""),"CorporateAction")</f>
        <v>CorporateAction</v>
      </c>
      <c r="B48" t="str">
        <f>IFERROR(__xludf.DUMMYFUNCTION("""COMPUTED_VALUE"""),"CashDividend")</f>
        <v>CashDividend</v>
      </c>
      <c r="C48" t="str">
        <f>IFERROR(__xludf.DUMMYFUNCTION("""COMPUTED_VALUE"""),"undefined")</f>
        <v>undefined</v>
      </c>
    </row>
    <row r="49" ht="15.75" customHeight="1">
      <c r="A49" t="str">
        <f>IFERROR(__xludf.DUMMYFUNCTION("""COMPUTED_VALUE"""),"CorporateAction")</f>
        <v>CorporateAction</v>
      </c>
      <c r="B49" t="str">
        <f>IFERROR(__xludf.DUMMYFUNCTION("""COMPUTED_VALUE"""),"Exchange")</f>
        <v>Exchange</v>
      </c>
      <c r="C49" t="str">
        <f>IFERROR(__xludf.DUMMYFUNCTION("""COMPUTED_VALUE"""),"undefined")</f>
        <v>undefined</v>
      </c>
    </row>
    <row r="50" ht="15.75" customHeight="1">
      <c r="A50" t="str">
        <f>IFERROR(__xludf.DUMMYFUNCTION("""COMPUTED_VALUE"""),"CorporateAction")</f>
        <v>CorporateAction</v>
      </c>
      <c r="B50" t="str">
        <f>IFERROR(__xludf.DUMMYFUNCTION("""COMPUTED_VALUE"""),"Merger")</f>
        <v>Merger</v>
      </c>
      <c r="C50" t="str">
        <f>IFERROR(__xludf.DUMMYFUNCTION("""COMPUTED_VALUE"""),"undefined")</f>
        <v>undefined</v>
      </c>
    </row>
    <row r="51" ht="15.75" customHeight="1">
      <c r="A51" t="str">
        <f>IFERROR(__xludf.DUMMYFUNCTION("""COMPUTED_VALUE"""),"CorporateAction")</f>
        <v>CorporateAction</v>
      </c>
      <c r="B51" t="str">
        <f>IFERROR(__xludf.DUMMYFUNCTION("""COMPUTED_VALUE"""),"NameChange")</f>
        <v>NameChange</v>
      </c>
      <c r="C51" t="str">
        <f>IFERROR(__xludf.DUMMYFUNCTION("""COMPUTED_VALUE"""),"undefined")</f>
        <v>undefined</v>
      </c>
    </row>
    <row r="52" ht="15.75" customHeight="1">
      <c r="A52" t="str">
        <f>IFERROR(__xludf.DUMMYFUNCTION("""COMPUTED_VALUE"""),"CorporateAction")</f>
        <v>CorporateAction</v>
      </c>
      <c r="B52" t="str">
        <f>IFERROR(__xludf.DUMMYFUNCTION("""COMPUTED_VALUE"""),"SpinOff")</f>
        <v>SpinOff</v>
      </c>
      <c r="C52" t="str">
        <f>IFERROR(__xludf.DUMMYFUNCTION("""COMPUTED_VALUE"""),"12NHD4_EIq5g0C_fIQVy3RpmKC95ayNQ1iXyceR4Wo-I")</f>
        <v>12NHD4_EIq5g0C_fIQVy3RpmKC95ayNQ1iXyceR4Wo-I</v>
      </c>
    </row>
    <row r="53" ht="15.75" customHeight="1">
      <c r="A53" t="str">
        <f>IFERROR(__xludf.DUMMYFUNCTION("""COMPUTED_VALUE"""),"CorporateAction")</f>
        <v>CorporateAction</v>
      </c>
      <c r="B53" t="str">
        <f>IFERROR(__xludf.DUMMYFUNCTION("""COMPUTED_VALUE"""),"Split")</f>
        <v>Split</v>
      </c>
      <c r="C53" t="str">
        <f>IFERROR(__xludf.DUMMYFUNCTION("""COMPUTED_VALUE"""),"undefined")</f>
        <v>undefined</v>
      </c>
    </row>
    <row r="54" ht="15.75" customHeight="1">
      <c r="A54" t="str">
        <f>IFERROR(__xludf.DUMMYFUNCTION("""COMPUTED_VALUE"""),"CorporateAction")</f>
        <v>CorporateAction</v>
      </c>
      <c r="B54" t="str">
        <f>IFERROR(__xludf.DUMMYFUNCTION("""COMPUTED_VALUE"""),"StockDividend")</f>
        <v>StockDividend</v>
      </c>
      <c r="C54" t="str">
        <f>IFERROR(__xludf.DUMMYFUNCTION("""COMPUTED_VALUE"""),"undefined")</f>
        <v>undefined</v>
      </c>
    </row>
    <row r="55" ht="15.75" customHeight="1">
      <c r="A55" t="str">
        <f>IFERROR(__xludf.DUMMYFUNCTION("""COMPUTED_VALUE"""),"TradingTicket")</f>
        <v>TradingTicket</v>
      </c>
      <c r="B55" t="str">
        <f>IFERROR(__xludf.DUMMYFUNCTION("""COMPUTED_VALUE"""),"EnterDetailsOnTT")</f>
        <v>EnterDetailsOnTT</v>
      </c>
      <c r="C55" t="str">
        <f>IFERROR(__xludf.DUMMYFUNCTION("""COMPUTED_VALUE"""),"1MmUcBXbxfb38HOE1cHEKyuIz8n3EosbGD7Apj5fCCyI")</f>
        <v>1MmUcBXbxfb38HOE1cHEKyuIz8n3EosbGD7Apj5fCCyI</v>
      </c>
    </row>
    <row r="56" ht="15.75" customHeight="1">
      <c r="A56" t="str">
        <f>IFERROR(__xludf.DUMMYFUNCTION("""COMPUTED_VALUE"""),"DailyValuation")</f>
        <v>DailyValuation</v>
      </c>
      <c r="B56" t="str">
        <f>IFERROR(__xludf.DUMMYFUNCTION("""COMPUTED_VALUE"""),"CleanUp")</f>
        <v>CleanUp</v>
      </c>
      <c r="C56" t="str">
        <f>IFERROR(__xludf.DUMMYFUNCTION("""COMPUTED_VALUE"""),"undefined")</f>
        <v>undefined</v>
      </c>
    </row>
    <row r="57" ht="15.75" customHeight="1">
      <c r="A57" t="str">
        <f>IFERROR(__xludf.DUMMYFUNCTION("""COMPUTED_VALUE"""),"Allocation")</f>
        <v>Allocation</v>
      </c>
      <c r="B57" t="str">
        <f>IFERROR(__xludf.DUMMYFUNCTION("""COMPUTED_VALUE"""),"EditUnallocatedGroupSidePanel")</f>
        <v>EditUnallocatedGroupSidePanel</v>
      </c>
      <c r="C57" t="str">
        <f>IFERROR(__xludf.DUMMYFUNCTION("""COMPUTED_VALUE"""),"1I3vKgbFVmpKcE4CquiIjVUNQQng6mCvIX8Nb6O3tYSM")</f>
        <v>1I3vKgbFVmpKcE4CquiIjVUNQQng6mCvIX8Nb6O3tYSM</v>
      </c>
    </row>
    <row r="58" ht="15.75" customHeight="1">
      <c r="A58" t="str">
        <f>IFERROR(__xludf.DUMMYFUNCTION("""COMPUTED_VALUE"""),"Allocation")</f>
        <v>Allocation</v>
      </c>
      <c r="B58" t="str">
        <f>IFERROR(__xludf.DUMMYFUNCTION("""COMPUTED_VALUE"""),"TradeAttributeBulkChange")</f>
        <v>TradeAttributeBulkChange</v>
      </c>
      <c r="C58" t="str">
        <f>IFERROR(__xludf.DUMMYFUNCTION("""COMPUTED_VALUE"""),"1X1pt4p00mNPwCJcz91pYRbRgzeh7fysIjHER0IOdjZc")</f>
        <v>1X1pt4p00mNPwCJcz91pYRbRgzeh7fysIjHER0IOdjZc</v>
      </c>
    </row>
    <row r="59" ht="15.75" customHeight="1">
      <c r="A59" t="str">
        <f>IFERROR(__xludf.DUMMYFUNCTION("""COMPUTED_VALUE"""),"Allocation")</f>
        <v>Allocation</v>
      </c>
      <c r="B59" t="str">
        <f>IFERROR(__xludf.DUMMYFUNCTION("""COMPUTED_VALUE"""),"ApplyBulkUpdateOnGroups")</f>
        <v>ApplyBulkUpdateOnGroups</v>
      </c>
      <c r="C59" t="str">
        <f>IFERROR(__xludf.DUMMYFUNCTION("""COMPUTED_VALUE"""),"1EXHDEnb-AqeKckyKJ2AQIPPFYOz1qJ0NXgdSnRlwd_8")</f>
        <v>1EXHDEnb-AqeKckyKJ2AQIPPFYOz1qJ0NXgdSnRlwd_8</v>
      </c>
    </row>
    <row r="60" ht="15.75" customHeight="1">
      <c r="A60" t="str">
        <f>IFERROR(__xludf.DUMMYFUNCTION("""COMPUTED_VALUE"""),"Allocation")</f>
        <v>Allocation</v>
      </c>
      <c r="B60" t="str">
        <f>IFERROR(__xludf.DUMMYFUNCTION("""COMPUTED_VALUE"""),"ApplyPrefetchFilters")</f>
        <v>ApplyPrefetchFilters</v>
      </c>
      <c r="C60" t="str">
        <f>IFERROR(__xludf.DUMMYFUNCTION("""COMPUTED_VALUE"""),"1NbR7ZH2mQ_UhhsVJW1kvt8h2b6ar1yEiIRP11pLNMCA")</f>
        <v>1NbR7ZH2mQ_UhhsVJW1kvt8h2b6ar1yEiIRP11pLNMCA</v>
      </c>
    </row>
    <row r="61" ht="15.75" customHeight="1">
      <c r="A61" t="str">
        <f>IFERROR(__xludf.DUMMYFUNCTION("""COMPUTED_VALUE"""),"Allocation")</f>
        <v>Allocation</v>
      </c>
      <c r="B61" t="str">
        <f>IFERROR(__xludf.DUMMYFUNCTION("""COMPUTED_VALUE"""),"GeneralPreferencesDefaultRule")</f>
        <v>GeneralPreferencesDefaultRule</v>
      </c>
      <c r="C61" t="str">
        <f>IFERROR(__xludf.DUMMYFUNCTION("""COMPUTED_VALUE"""),"1X6zGMIbPMGDNJBFVyEbhy8JzB-DF3VL8Ecx1KZsTvww")</f>
        <v>1X6zGMIbPMGDNJBFVyEbhy8JzB-DF3VL8Ecx1KZsTvww</v>
      </c>
    </row>
    <row r="62" ht="15.75" customHeight="1">
      <c r="A62" t="str">
        <f>IFERROR(__xludf.DUMMYFUNCTION("""COMPUTED_VALUE"""),"Allocation")</f>
        <v>Allocation</v>
      </c>
      <c r="B62" t="str">
        <f>IFERROR(__xludf.DUMMYFUNCTION("""COMPUTED_VALUE"""),"GeneralPrefCompanyUserWise")</f>
        <v>GeneralPrefCompanyUserWise</v>
      </c>
      <c r="C62" t="str">
        <f>IFERROR(__xludf.DUMMYFUNCTION("""COMPUTED_VALUE"""),"1DwoiiMTfEI25sIuSyzjcNHieJZZSgvmRbbztMJektzw")</f>
        <v>1DwoiiMTfEI25sIuSyzjcNHieJZZSgvmRbbztMJektzw</v>
      </c>
    </row>
    <row r="63" ht="15.75" customHeight="1">
      <c r="A63" t="str">
        <f>IFERROR(__xludf.DUMMYFUNCTION("""COMPUTED_VALUE"""),"Allocation")</f>
        <v>Allocation</v>
      </c>
      <c r="B63" t="str">
        <f>IFERROR(__xludf.DUMMYFUNCTION("""COMPUTED_VALUE"""),"RenameTradeAttributes")</f>
        <v>RenameTradeAttributes</v>
      </c>
      <c r="C63" t="str">
        <f>IFERROR(__xludf.DUMMYFUNCTION("""COMPUTED_VALUE"""),"10Wi9aLWsES9e12Jsk7J5zbAdCX0LcFslEPqxr6NuGao")</f>
        <v>10Wi9aLWsES9e12Jsk7J5zbAdCX0LcFslEPqxr6NuGao</v>
      </c>
    </row>
    <row r="64" ht="15.75" customHeight="1">
      <c r="A64" t="str">
        <f>IFERROR(__xludf.DUMMYFUNCTION("""COMPUTED_VALUE"""),"Allocation")</f>
        <v>Allocation</v>
      </c>
      <c r="B64" t="str">
        <f>IFERROR(__xludf.DUMMYFUNCTION("""COMPUTED_VALUE"""),"SetGroupingRules")</f>
        <v>SetGroupingRules</v>
      </c>
      <c r="C64" t="str">
        <f>IFERROR(__xludf.DUMMYFUNCTION("""COMPUTED_VALUE"""),"1BpgmUI6OY9ROYfJW7yhtd3v_H2DoCND4DfDkif1fTnE")</f>
        <v>1BpgmUI6OY9ROYfJW7yhtd3v_H2DoCND4DfDkif1fTnE</v>
      </c>
    </row>
    <row r="65" ht="15.75" customHeight="1">
      <c r="A65" t="str">
        <f>IFERROR(__xludf.DUMMYFUNCTION("""COMPUTED_VALUE"""),"Allocation")</f>
        <v>Allocation</v>
      </c>
      <c r="B65" t="str">
        <f>IFERROR(__xludf.DUMMYFUNCTION("""COMPUTED_VALUE"""),"SetMasterFundRatio")</f>
        <v>SetMasterFundRatio</v>
      </c>
      <c r="C65" t="str">
        <f>IFERROR(__xludf.DUMMYFUNCTION("""COMPUTED_VALUE"""),"1A4Zcxi0xYN4fi6cUaxJyYATjWcFN9ph5TOCiIwYlDx4")</f>
        <v>1A4Zcxi0xYN4fi6cUaxJyYATjWcFN9ph5TOCiIwYlDx4</v>
      </c>
    </row>
    <row r="66" ht="15.75" customHeight="1">
      <c r="A66" t="str">
        <f>IFERROR(__xludf.DUMMYFUNCTION("""COMPUTED_VALUE"""),"Allocation")</f>
        <v>Allocation</v>
      </c>
      <c r="B66" t="str">
        <f>IFERROR(__xludf.DUMMYFUNCTION("""COMPUTED_VALUE"""),"CheckFixedPreference")</f>
        <v>CheckFixedPreference</v>
      </c>
      <c r="C66" t="str">
        <f>IFERROR(__xludf.DUMMYFUNCTION("""COMPUTED_VALUE"""),"1d74faC5HiET8v5WuA0k4mDVxwUlRgwb7jwKIuaw0hrA")</f>
        <v>1d74faC5HiET8v5WuA0k4mDVxwUlRgwb7jwKIuaw0hrA</v>
      </c>
    </row>
    <row r="67" ht="15.75" customHeight="1">
      <c r="A67" t="str">
        <f>IFERROR(__xludf.DUMMYFUNCTION("""COMPUTED_VALUE"""),"Allocation")</f>
        <v>Allocation</v>
      </c>
      <c r="B67" t="str">
        <f>IFERROR(__xludf.DUMMYFUNCTION("""COMPUTED_VALUE"""),"GetFixedPreference")</f>
        <v>GetFixedPreference</v>
      </c>
      <c r="C67" t="str">
        <f>IFERROR(__xludf.DUMMYFUNCTION("""COMPUTED_VALUE"""),"1DAAkn_hOGEgqSEZMlHZCgTAE2AkAscU0wBpmiODj7LM")</f>
        <v>1DAAkn_hOGEgqSEZMlHZCgTAE2AkAscU0wBpmiODj7LM</v>
      </c>
    </row>
    <row r="68" ht="15.75" customHeight="1">
      <c r="A68" t="str">
        <f>IFERROR(__xludf.DUMMYFUNCTION("""COMPUTED_VALUE"""),"Allocation")</f>
        <v>Allocation</v>
      </c>
      <c r="B68" t="str">
        <f>IFERROR(__xludf.DUMMYFUNCTION("""COMPUTED_VALUE"""),"AddCalculatedPreferences")</f>
        <v>AddCalculatedPreferences</v>
      </c>
      <c r="C68" t="str">
        <f>IFERROR(__xludf.DUMMYFUNCTION("""COMPUTED_VALUE"""),"1AaR_RyCJodiVQTw2a8Tr7ixTHn3k5JcJErdCIP0TnWU")</f>
        <v>1AaR_RyCJodiVQTw2a8Tr7ixTHn3k5JcJErdCIP0TnWU</v>
      </c>
    </row>
    <row r="69" ht="15.75" customHeight="1">
      <c r="A69" t="str">
        <f>IFERROR(__xludf.DUMMYFUNCTION("""COMPUTED_VALUE"""),"Allocation")</f>
        <v>Allocation</v>
      </c>
      <c r="B69" t="str">
        <f>IFERROR(__xludf.DUMMYFUNCTION("""COMPUTED_VALUE"""),"BulkChangeCalculatedPreferences")</f>
        <v>BulkChangeCalculatedPreferences</v>
      </c>
      <c r="C69" t="str">
        <f>IFERROR(__xludf.DUMMYFUNCTION("""COMPUTED_VALUE"""),"1Bn5ufuuddBVWtP0XJckkEgs1Q8qPNBXf3Q3UoOlAdmo")</f>
        <v>1Bn5ufuuddBVWtP0XJckkEgs1Q8qPNBXf3Q3UoOlAdmo</v>
      </c>
    </row>
    <row r="70" ht="15.75" customHeight="1">
      <c r="A70" t="str">
        <f>IFERROR(__xludf.DUMMYFUNCTION("""COMPUTED_VALUE"""),"Allocation")</f>
        <v>Allocation</v>
      </c>
      <c r="B70" t="str">
        <f>IFERROR(__xludf.DUMMYFUNCTION("""COMPUTED_VALUE"""),"DeleteCalculatedPreferences")</f>
        <v>DeleteCalculatedPreferences</v>
      </c>
      <c r="C70" t="str">
        <f>IFERROR(__xludf.DUMMYFUNCTION("""COMPUTED_VALUE"""),"1oScszM1N5AICz6efQqqcZ9rMBX6viS3Dv4Ye34RXN78")</f>
        <v>1oScszM1N5AICz6efQqqcZ9rMBX6viS3Dv4Ye34RXN78</v>
      </c>
    </row>
    <row r="71" ht="15.75" customHeight="1">
      <c r="A71" t="str">
        <f>IFERROR(__xludf.DUMMYFUNCTION("""COMPUTED_VALUE"""),"Allocation")</f>
        <v>Allocation</v>
      </c>
      <c r="B71" t="str">
        <f>IFERROR(__xludf.DUMMYFUNCTION("""COMPUTED_VALUE"""),"RenameCalculatedPreferences")</f>
        <v>RenameCalculatedPreferences</v>
      </c>
      <c r="C71" t="str">
        <f>IFERROR(__xludf.DUMMYFUNCTION("""COMPUTED_VALUE"""),"1DfGmIk1AC9u6iD7HJ5eoIhkH2zXKH6qkYG72ke3Qm8s")</f>
        <v>1DfGmIk1AC9u6iD7HJ5eoIhkH2zXKH6qkYG72ke3Qm8s</v>
      </c>
    </row>
    <row r="72" ht="15.75" customHeight="1">
      <c r="A72" t="str">
        <f>IFERROR(__xludf.DUMMYFUNCTION("""COMPUTED_VALUE"""),"Allocation")</f>
        <v>Allocation</v>
      </c>
      <c r="B72" t="str">
        <f>IFERROR(__xludf.DUMMYFUNCTION("""COMPUTED_VALUE"""),"CopyCalculatedPreferences")</f>
        <v>CopyCalculatedPreferences</v>
      </c>
      <c r="C72" t="str">
        <f>IFERROR(__xludf.DUMMYFUNCTION("""COMPUTED_VALUE"""),"1camqMJj9T6DujVoKWjLCRM_t5c9Gjas2RvonTiEIeqc")</f>
        <v>1camqMJj9T6DujVoKWjLCRM_t5c9Gjas2RvonTiEIeqc</v>
      </c>
    </row>
    <row r="73" ht="15.75" customHeight="1">
      <c r="A73" t="str">
        <f>IFERROR(__xludf.DUMMYFUNCTION("""COMPUTED_VALUE"""),"Allocation")</f>
        <v>Allocation</v>
      </c>
      <c r="B73" t="str">
        <f>IFERROR(__xludf.DUMMYFUNCTION("""COMPUTED_VALUE"""),"RunAutoGroup")</f>
        <v>RunAutoGroup</v>
      </c>
      <c r="C73" t="str">
        <f>IFERROR(__xludf.DUMMYFUNCTION("""COMPUTED_VALUE"""),"15eV6FwmLzaX2dpXX8JvKiyeHioNqbWSErNbij1TUs3U")</f>
        <v>15eV6FwmLzaX2dpXX8JvKiyeHioNqbWSErNbij1TUs3U</v>
      </c>
    </row>
    <row r="74" ht="15.75" customHeight="1">
      <c r="A74" t="str">
        <f>IFERROR(__xludf.DUMMYFUNCTION("""COMPUTED_VALUE"""),"Allocation")</f>
        <v>Allocation</v>
      </c>
      <c r="B74" t="str">
        <f>IFERROR(__xludf.DUMMYFUNCTION("""COMPUTED_VALUE"""),"BookOrUpdateSwap")</f>
        <v>BookOrUpdateSwap</v>
      </c>
      <c r="C74" t="str">
        <f>IFERROR(__xludf.DUMMYFUNCTION("""COMPUTED_VALUE"""),"1WGyYC9JD2kkJ7R-DfYfXWJbxk7gGthQxpZL5FZDts-Y")</f>
        <v>1WGyYC9JD2kkJ7R-DfYfXWJbxk7gGthQxpZL5FZDts-Y</v>
      </c>
    </row>
    <row r="75" ht="15.75" customHeight="1">
      <c r="A75" t="str">
        <f>IFERROR(__xludf.DUMMYFUNCTION("""COMPUTED_VALUE"""),"Allocation")</f>
        <v>Allocation</v>
      </c>
      <c r="B75" t="str">
        <f>IFERROR(__xludf.DUMMYFUNCTION("""COMPUTED_VALUE"""),"RunProrata")</f>
        <v>RunProrata</v>
      </c>
      <c r="C75" t="str">
        <f>IFERROR(__xludf.DUMMYFUNCTION("""COMPUTED_VALUE"""),"1-1uFNoTRPBEA8enYV9Nnn2-zdmLXS4X3BoS5v7Ex68Q")</f>
        <v>1-1uFNoTRPBEA8enYV9Nnn2-zdmLXS4X3BoS5v7Ex68Q</v>
      </c>
    </row>
    <row r="76" ht="15.75" customHeight="1">
      <c r="A76" t="str">
        <f>IFERROR(__xludf.DUMMYFUNCTION("""COMPUTED_VALUE"""),"Allocation")</f>
        <v>Allocation</v>
      </c>
      <c r="B76" t="str">
        <f>IFERROR(__xludf.DUMMYFUNCTION("""COMPUTED_VALUE"""),"SetDefaultRuleCalculatedPref")</f>
        <v>SetDefaultRuleCalculatedPref</v>
      </c>
      <c r="C76" t="str">
        <f>IFERROR(__xludf.DUMMYFUNCTION("""COMPUTED_VALUE"""),"1NuKdFiqCo2nzr6TUap0D2JZ2tFl3idlS8OadDR3jAoA")</f>
        <v>1NuKdFiqCo2nzr6TUap0D2JZ2tFl3idlS8OadDR3jAoA</v>
      </c>
    </row>
    <row r="77" ht="15.75" customHeight="1">
      <c r="A77" t="str">
        <f>IFERROR(__xludf.DUMMYFUNCTION("""COMPUTED_VALUE"""),"Admin")</f>
        <v>Admin</v>
      </c>
      <c r="B77" t="str">
        <f>IFERROR(__xludf.DUMMYFUNCTION("""COMPUTED_VALUE"""),"SetTTUIPreferences")</f>
        <v>SetTTUIPreferences</v>
      </c>
      <c r="C77" t="str">
        <f>IFERROR(__xludf.DUMMYFUNCTION("""COMPUTED_VALUE"""),"1gDmo_2KemfqbOwUv5B7uMrGycNq8KZk_nAt9ZH3GqFc")</f>
        <v>1gDmo_2KemfqbOwUv5B7uMrGycNq8KZk_nAt9ZH3GqFc</v>
      </c>
    </row>
    <row r="78" ht="15.75" customHeight="1">
      <c r="A78" t="str">
        <f>IFERROR(__xludf.DUMMYFUNCTION("""COMPUTED_VALUE"""),"Admin")</f>
        <v>Admin</v>
      </c>
      <c r="B78" t="str">
        <f>IFERROR(__xludf.DUMMYFUNCTION("""COMPUTED_VALUE"""),"TTPermissionLevel")</f>
        <v>TTPermissionLevel</v>
      </c>
      <c r="C78" t="str">
        <f>IFERROR(__xludf.DUMMYFUNCTION("""COMPUTED_VALUE"""),"1Wlib1X9xwZWLV6LdliEcdluK6uREPBsHMLu5IpRcpNU")</f>
        <v>1Wlib1X9xwZWLV6LdliEcdluK6uREPBsHMLu5IpRcpNU</v>
      </c>
    </row>
    <row r="79" ht="15.75" customHeight="1">
      <c r="A79" t="str">
        <f>IFERROR(__xludf.DUMMYFUNCTION("""COMPUTED_VALUE"""),"TradingTicket")</f>
        <v>TradingTicket</v>
      </c>
      <c r="B79" t="str">
        <f>IFERROR(__xludf.DUMMYFUNCTION("""COMPUTED_VALUE"""),"ValidateSymbolTT")</f>
        <v>ValidateSymbolTT</v>
      </c>
      <c r="C79" t="str">
        <f>IFERROR(__xludf.DUMMYFUNCTION("""COMPUTED_VALUE"""),"1qKU4yNOCU3BJyg8bfwbgEKR_FyiCXmF0ZgLSrokFASY")</f>
        <v>1qKU4yNOCU3BJyg8bfwbgEKR_FyiCXmF0ZgLSrokFASY</v>
      </c>
    </row>
    <row r="80" ht="15.75" customHeight="1">
      <c r="A80" t="str">
        <f>IFERROR(__xludf.DUMMYFUNCTION("""COMPUTED_VALUE"""),"TradingTicket")</f>
        <v>TradingTicket</v>
      </c>
      <c r="B80" t="str">
        <f>IFERROR(__xludf.DUMMYFUNCTION("""COMPUTED_VALUE"""),"VerifyDataTT")</f>
        <v>VerifyDataTT</v>
      </c>
      <c r="C80" t="str">
        <f>IFERROR(__xludf.DUMMYFUNCTION("""COMPUTED_VALUE"""),"undefined")</f>
        <v>undefined</v>
      </c>
    </row>
    <row r="81" ht="15.75" customHeight="1">
      <c r="A81" t="str">
        <f>IFERROR(__xludf.DUMMYFUNCTION("""COMPUTED_VALUE"""),"TradingTicket")</f>
        <v>TradingTicket</v>
      </c>
      <c r="B81" t="str">
        <f>IFERROR(__xludf.DUMMYFUNCTION("""COMPUTED_VALUE"""),"SetUIPreferencesTT")</f>
        <v>SetUIPreferencesTT</v>
      </c>
      <c r="C81" t="str">
        <f>IFERROR(__xludf.DUMMYFUNCTION("""COMPUTED_VALUE"""),"15PfVFcRxvxjCBZUN8HsjX4ev7xsG4SuA5Qr4_S-nChE")</f>
        <v>15PfVFcRxvxjCBZUN8HsjX4ev7xsG4SuA5Qr4_S-nChE</v>
      </c>
    </row>
    <row r="82" ht="15.75" customHeight="1">
      <c r="A82" t="str">
        <f>IFERROR(__xludf.DUMMYFUNCTION("""COMPUTED_VALUE"""),"TradingTicket")</f>
        <v>TradingTicket</v>
      </c>
      <c r="B82" t="str">
        <f>IFERROR(__xludf.DUMMYFUNCTION("""COMPUTED_VALUE"""),"SetBrokerWisePreferencesTT")</f>
        <v>SetBrokerWisePreferencesTT</v>
      </c>
      <c r="C82" t="str">
        <f>IFERROR(__xludf.DUMMYFUNCTION("""COMPUTED_VALUE"""),"1NJR9Eau1YPKGjqptQlj-xOtU0oQWuvCcy7rkAGtHcZA")</f>
        <v>1NJR9Eau1YPKGjqptQlj-xOtU0oQWuvCcy7rkAGtHcZA</v>
      </c>
    </row>
    <row r="83" ht="15.75" customHeight="1">
      <c r="A83" t="str">
        <f>IFERROR(__xludf.DUMMYFUNCTION("""COMPUTED_VALUE"""),"Blotter")</f>
        <v>Blotter</v>
      </c>
      <c r="B83" t="str">
        <f>IFERROR(__xludf.DUMMYFUNCTION("""COMPUTED_VALUE"""),"BlotterFunctionalities")</f>
        <v>BlotterFunctionalities</v>
      </c>
      <c r="C83" t="str">
        <f>IFERROR(__xludf.DUMMYFUNCTION("""COMPUTED_VALUE"""),"1RevbrhSlj1b6tvF2zO-7JRLXGmCZ8Amkw_CKqIoz_f4")</f>
        <v>1RevbrhSlj1b6tvF2zO-7JRLXGmCZ8Amkw_CKqIoz_f4</v>
      </c>
    </row>
    <row r="84" ht="15.75" customHeight="1">
      <c r="A84" t="str">
        <f>IFERROR(__xludf.DUMMYFUNCTION("""COMPUTED_VALUE"""),"TradingTicket")</f>
        <v>TradingTicket</v>
      </c>
      <c r="B84" t="str">
        <f>IFERROR(__xludf.DUMMYFUNCTION("""COMPUTED_VALUE"""),"TradeNewSub")</f>
        <v>TradeNewSub</v>
      </c>
      <c r="C84" t="str">
        <f>IFERROR(__xludf.DUMMYFUNCTION("""COMPUTED_VALUE"""),"1MSOnvrmTBiNZezoksqc-GDtZpuomkT2J8b0SHsautEA")</f>
        <v>1MSOnvrmTBiNZezoksqc-GDtZpuomkT2J8b0SHsautEA</v>
      </c>
    </row>
    <row r="85" ht="15.75" customHeight="1">
      <c r="A85" t="str">
        <f>IFERROR(__xludf.DUMMYFUNCTION("""COMPUTED_VALUE"""),"GeneralLedger")</f>
        <v>GeneralLedger</v>
      </c>
      <c r="B85" t="str">
        <f>IFERROR(__xludf.DUMMYFUNCTION("""COMPUTED_VALUE"""),"GetTradingTransaction")</f>
        <v>GetTradingTransaction</v>
      </c>
      <c r="C85" t="str">
        <f>IFERROR(__xludf.DUMMYFUNCTION("""COMPUTED_VALUE"""),"109Go2V2YwfSKfHYvonDAK1uj_VR1VOufaT_bCzMIvzo")</f>
        <v>109Go2V2YwfSKfHYvonDAK1uj_VR1VOufaT_bCzMIvzo</v>
      </c>
    </row>
    <row r="86" ht="15.75" customHeight="1">
      <c r="A86" t="str">
        <f>IFERROR(__xludf.DUMMYFUNCTION("""COMPUTED_VALUE"""),"GeneralLedger")</f>
        <v>GeneralLedger</v>
      </c>
      <c r="B86" t="str">
        <f>IFERROR(__xludf.DUMMYFUNCTION("""COMPUTED_VALUE"""),"GetActivityData")</f>
        <v>GetActivityData</v>
      </c>
      <c r="C86" t="str">
        <f>IFERROR(__xludf.DUMMYFUNCTION("""COMPUTED_VALUE"""),"1Ln-U03mETPrqNnkYuxQ6h11p3QV_Z1JnLi1E4j-w3NA")</f>
        <v>1Ln-U03mETPrqNnkYuxQ6h11p3QV_Z1JnLi1E4j-w3NA</v>
      </c>
    </row>
    <row r="87" ht="15.75" customHeight="1">
      <c r="A87" t="str">
        <f>IFERROR(__xludf.DUMMYFUNCTION("""COMPUTED_VALUE"""),"Allocation")</f>
        <v>Allocation</v>
      </c>
      <c r="B87" t="str">
        <f>IFERROR(__xludf.DUMMYFUNCTION("""COMPUTED_VALUE"""),"SetAccountValueCalculatedPref")</f>
        <v>SetAccountValueCalculatedPref</v>
      </c>
      <c r="C87" t="str">
        <f>IFERROR(__xludf.DUMMYFUNCTION("""COMPUTED_VALUE"""),"1XKiYhfC16nqn0tutfxlX4Z1y5h_i5-gFnMM1Bf2O5tQ")</f>
        <v>1XKiYhfC16nqn0tutfxlX4Z1y5h_i5-gFnMM1Bf2O5tQ</v>
      </c>
    </row>
    <row r="88" ht="15.75" customHeight="1">
      <c r="A88" t="str">
        <f>IFERROR(__xludf.DUMMYFUNCTION("""COMPUTED_VALUE"""),"Allocation")</f>
        <v>Allocation</v>
      </c>
      <c r="B88" t="str">
        <f>IFERROR(__xludf.DUMMYFUNCTION("""COMPUTED_VALUE"""),"TradeAttributeBulkChangeGroups")</f>
        <v>TradeAttributeBulkChangeGroups</v>
      </c>
      <c r="C88" t="str">
        <f>IFERROR(__xludf.DUMMYFUNCTION("""COMPUTED_VALUE"""),"1rGT3yXke_M8OcDUPaTifbDDANsxMS_IVwXClwqyIWkk")</f>
        <v>1rGT3yXke_M8OcDUPaTifbDDANsxMS_IVwXClwqyIWkk</v>
      </c>
    </row>
    <row r="89" ht="15.75" customHeight="1">
      <c r="A89" t="str">
        <f>IFERROR(__xludf.DUMMYFUNCTION("""COMPUTED_VALUE"""),"Allocation")</f>
        <v>Allocation</v>
      </c>
      <c r="B89" t="str">
        <f>IFERROR(__xludf.DUMMYFUNCTION("""COMPUTED_VALUE"""),"TradeAttributeBulkChangeTaxlots")</f>
        <v>TradeAttributeBulkChangeTaxlots</v>
      </c>
      <c r="C89" t="str">
        <f>IFERROR(__xludf.DUMMYFUNCTION("""COMPUTED_VALUE"""),"1aUOpv7tAA0Tsw-vGOZVTd6Huv3VM_XnIj2_z2iXivNw")</f>
        <v>1aUOpv7tAA0Tsw-vGOZVTd6Huv3VM_XnIj2_z2iXivNw</v>
      </c>
    </row>
    <row r="90" ht="15.75" customHeight="1">
      <c r="A90" t="str">
        <f>IFERROR(__xludf.DUMMYFUNCTION("""COMPUTED_VALUE"""),"Allocation")</f>
        <v>Allocation</v>
      </c>
      <c r="B90" t="str">
        <f>IFERROR(__xludf.DUMMYFUNCTION("""COMPUTED_VALUE"""),"AddCalculatedPreferenceToolbar")</f>
        <v>AddCalculatedPreferenceToolbar</v>
      </c>
      <c r="C90" t="str">
        <f>IFERROR(__xludf.DUMMYFUNCTION("""COMPUTED_VALUE"""),"18EbIbeJ3rxi7HxmLURD_Cvf8ojc3lGGfTxVrpwYiWl0")</f>
        <v>18EbIbeJ3rxi7HxmLURD_Cvf8ojc3lGGfTxVrpwYiWl0</v>
      </c>
    </row>
    <row r="91" ht="15.75" customHeight="1">
      <c r="A91" t="str">
        <f>IFERROR(__xludf.DUMMYFUNCTION("""COMPUTED_VALUE"""),"GeneralLedger")</f>
        <v>GeneralLedger</v>
      </c>
      <c r="B91" t="str">
        <f>IFERROR(__xludf.DUMMYFUNCTION("""COMPUTED_VALUE"""),"GetRevaluationData")</f>
        <v>GetRevaluationData</v>
      </c>
      <c r="C91" t="str">
        <f>IFERROR(__xludf.DUMMYFUNCTION("""COMPUTED_VALUE"""),"1Falj7RLDHYNIdqRp7f6PqgSPQ2YuSu2fiBV79INXS5w")</f>
        <v>1Falj7RLDHYNIdqRp7f6PqgSPQ2YuSu2fiBV79INXS5w</v>
      </c>
    </row>
    <row r="92" ht="15.75" customHeight="1">
      <c r="A92" t="str">
        <f>IFERROR(__xludf.DUMMYFUNCTION("""COMPUTED_VALUE"""),"Allocation")</f>
        <v>Allocation</v>
      </c>
      <c r="B92" t="str">
        <f>IFERROR(__xludf.DUMMYFUNCTION("""COMPUTED_VALUE"""),"SetStrategyValueCalculatedPref")</f>
        <v>SetStrategyValueCalculatedPref</v>
      </c>
      <c r="C92" t="str">
        <f>IFERROR(__xludf.DUMMYFUNCTION("""COMPUTED_VALUE"""),"1_JOfNQ-ZrOdSeM3rD-_yZHrf2uNlO2rttEJ1uHh18Xc")</f>
        <v>1_JOfNQ-ZrOdSeM3rD-_yZHrf2uNlO2rttEJ1uHh18Xc</v>
      </c>
    </row>
    <row r="93" ht="15.75" customHeight="1">
      <c r="A93" t="str">
        <f>IFERROR(__xludf.DUMMYFUNCTION("""COMPUTED_VALUE"""),"GeneralLedger")</f>
        <v>GeneralLedger</v>
      </c>
      <c r="B93" t="str">
        <f>IFERROR(__xludf.DUMMYFUNCTION("""COMPUTED_VALUE"""),"GetAccountDetails")</f>
        <v>GetAccountDetails</v>
      </c>
      <c r="C93" t="str">
        <f>IFERROR(__xludf.DUMMYFUNCTION("""COMPUTED_VALUE"""),"1x2kiQWm0s39VQr6bQ-OVrzt3FcLQTY2DLkVd69g27u0")</f>
        <v>1x2kiQWm0s39VQr6bQ-OVrzt3FcLQTY2DLkVd69g27u0</v>
      </c>
    </row>
    <row r="94" ht="15.75" customHeight="1">
      <c r="A94" t="str">
        <f>IFERROR(__xludf.DUMMYFUNCTION("""COMPUTED_VALUE"""),"Allocation")</f>
        <v>Allocation</v>
      </c>
      <c r="B94" t="str">
        <f>IFERROR(__xludf.DUMMYFUNCTION("""COMPUTED_VALUE"""),"ApplyBulkUpdateOnTaxlots")</f>
        <v>ApplyBulkUpdateOnTaxlots</v>
      </c>
      <c r="C94" t="str">
        <f>IFERROR(__xludf.DUMMYFUNCTION("""COMPUTED_VALUE"""),"1lFN67Trddb_gO0N5EMToTpn1Xc1W8qN9I2LPO6sj00c")</f>
        <v>1lFN67Trddb_gO0N5EMToTpn1Xc1W8qN9I2LPO6sj00c</v>
      </c>
    </row>
    <row r="95" ht="15.75" customHeight="1">
      <c r="A95" t="str">
        <f>IFERROR(__xludf.DUMMYFUNCTION("""COMPUTED_VALUE"""),"GeneralLedger")</f>
        <v>GeneralLedger</v>
      </c>
      <c r="B95" t="str">
        <f>IFERROR(__xludf.DUMMYFUNCTION("""COMPUTED_VALUE"""),"GetNonTradingTransaction")</f>
        <v>GetNonTradingTransaction</v>
      </c>
      <c r="C95" t="str">
        <f>IFERROR(__xludf.DUMMYFUNCTION("""COMPUTED_VALUE"""),"1iBu56wQyfSyw3QYU3BXabV7ZYAC_HtWKcOfyFdtHsbQ")</f>
        <v>1iBu56wQyfSyw3QYU3BXabV7ZYAC_HtWKcOfyFdtHsbQ</v>
      </c>
    </row>
    <row r="96" ht="15.75" customHeight="1">
      <c r="A96" t="str">
        <f>IFERROR(__xludf.DUMMYFUNCTION("""COMPUTED_VALUE"""),"Allocation")</f>
        <v>Allocation</v>
      </c>
      <c r="B96" t="str">
        <f>IFERROR(__xludf.DUMMYFUNCTION("""COMPUTED_VALUE"""),"CommissionBulkChangeOnGroups")</f>
        <v>CommissionBulkChangeOnGroups</v>
      </c>
      <c r="C96" t="str">
        <f>IFERROR(__xludf.DUMMYFUNCTION("""COMPUTED_VALUE"""),"1LUyDKHoCZOWXqpzm3WjlGPHceDFNX86Y30-jd1ZjMuc")</f>
        <v>1LUyDKHoCZOWXqpzm3WjlGPHceDFNX86Y30-jd1ZjMuc</v>
      </c>
    </row>
    <row r="97" ht="15.75" customHeight="1">
      <c r="A97" t="str">
        <f>IFERROR(__xludf.DUMMYFUNCTION("""COMPUTED_VALUE"""),"GeneralLedger")</f>
        <v>GeneralLedger</v>
      </c>
      <c r="B97" t="str">
        <f>IFERROR(__xludf.DUMMYFUNCTION("""COMPUTED_VALUE"""),"GetDividendData")</f>
        <v>GetDividendData</v>
      </c>
      <c r="C97" t="str">
        <f>IFERROR(__xludf.DUMMYFUNCTION("""COMPUTED_VALUE"""),"1zrbru5N141eVCqtHIZr12j2foO7MIasWPLZK3i5Q1Vo")</f>
        <v>1zrbru5N141eVCqtHIZr12j2foO7MIasWPLZK3i5Q1Vo</v>
      </c>
    </row>
    <row r="98" ht="15.75" customHeight="1">
      <c r="A98" t="str">
        <f>IFERROR(__xludf.DUMMYFUNCTION("""COMPUTED_VALUE"""),"Allocation")</f>
        <v>Allocation</v>
      </c>
      <c r="B98" t="str">
        <f>IFERROR(__xludf.DUMMYFUNCTION("""COMPUTED_VALUE"""),"CommissionBulkChangeOnTaxlots")</f>
        <v>CommissionBulkChangeOnTaxlots</v>
      </c>
      <c r="C98" t="str">
        <f>IFERROR(__xludf.DUMMYFUNCTION("""COMPUTED_VALUE"""),"1Sy9_GuITxTVwRhLFyTVa06wA5il658xOrEEqX_satKM")</f>
        <v>1Sy9_GuITxTVwRhLFyTVa06wA5il658xOrEEqX_satKM</v>
      </c>
    </row>
    <row r="99" ht="15.75" customHeight="1">
      <c r="A99" t="str">
        <f>IFERROR(__xludf.DUMMYFUNCTION("""COMPUTED_VALUE"""),"GeneralLedger")</f>
        <v>GeneralLedger</v>
      </c>
      <c r="B99" t="str">
        <f>IFERROR(__xludf.DUMMYFUNCTION("""COMPUTED_VALUE"""),"VerifyNonTradingTransaction")</f>
        <v>VerifyNonTradingTransaction</v>
      </c>
      <c r="C99" t="str">
        <f>IFERROR(__xludf.DUMMYFUNCTION("""COMPUTED_VALUE"""),"1HmbyBzi3LJNAYcYyEuR5dCc7c2551Lq78DrEgBDWmlQ")</f>
        <v>1HmbyBzi3LJNAYcYyEuR5dCc7c2551Lq78DrEgBDWmlQ</v>
      </c>
    </row>
    <row r="100" ht="15.75" customHeight="1">
      <c r="A100" t="str">
        <f>IFERROR(__xludf.DUMMYFUNCTION("""COMPUTED_VALUE"""),"Allocation")</f>
        <v>Allocation</v>
      </c>
      <c r="B100" t="str">
        <f>IFERROR(__xludf.DUMMYFUNCTION("""COMPUTED_VALUE"""),"SelectUnallocatedGroup")</f>
        <v>SelectUnallocatedGroup</v>
      </c>
      <c r="C100" t="str">
        <f>IFERROR(__xludf.DUMMYFUNCTION("""COMPUTED_VALUE"""),"1qZ0PLkGqvsAvGy_byCEHcoZ5j19-2TqZ7lUj_ZMWp2Y")</f>
        <v>1qZ0PLkGqvsAvGy_byCEHcoZ5j19-2TqZ7lUj_ZMWp2Y</v>
      </c>
    </row>
    <row r="101" ht="15.75" customHeight="1">
      <c r="A101" t="str">
        <f>IFERROR(__xludf.DUMMYFUNCTION("""COMPUTED_VALUE"""),"GeneralLedger")</f>
        <v>GeneralLedger</v>
      </c>
      <c r="B101" t="str">
        <f>IFERROR(__xludf.DUMMYFUNCTION("""COMPUTED_VALUE"""),"VerifyDividend")</f>
        <v>VerifyDividend</v>
      </c>
      <c r="C101" t="str">
        <f>IFERROR(__xludf.DUMMYFUNCTION("""COMPUTED_VALUE"""),"183aFv-FjM5kO1GZzBKJEnefZpvKTD2al_8jxj57A74I")</f>
        <v>183aFv-FjM5kO1GZzBKJEnefZpvKTD2al_8jxj57A74I</v>
      </c>
    </row>
    <row r="102" ht="15.75" customHeight="1">
      <c r="A102" t="str">
        <f>IFERROR(__xludf.DUMMYFUNCTION("""COMPUTED_VALUE"""),"Allocation")</f>
        <v>Allocation</v>
      </c>
      <c r="B102" t="str">
        <f>IFERROR(__xludf.DUMMYFUNCTION("""COMPUTED_VALUE"""),"EnterAccountValuesToAllocate")</f>
        <v>EnterAccountValuesToAllocate</v>
      </c>
      <c r="C102" t="str">
        <f>IFERROR(__xludf.DUMMYFUNCTION("""COMPUTED_VALUE"""),"1zvUXhUtasv68F_5jqPPfi5PZjybFsZtVFeNt7Wcbak0")</f>
        <v>1zvUXhUtasv68F_5jqPPfi5PZjybFsZtVFeNt7Wcbak0</v>
      </c>
    </row>
    <row r="103" ht="15.75" customHeight="1">
      <c r="A103" t="str">
        <f>IFERROR(__xludf.DUMMYFUNCTION("""COMPUTED_VALUE"""),"GeneralLedger")</f>
        <v>GeneralLedger</v>
      </c>
      <c r="B103" t="str">
        <f>IFERROR(__xludf.DUMMYFUNCTION("""COMPUTED_VALUE"""),"GetOpeningBalanceData")</f>
        <v>GetOpeningBalanceData</v>
      </c>
      <c r="C103" t="str">
        <f>IFERROR(__xludf.DUMMYFUNCTION("""COMPUTED_VALUE"""),"13JxrHcuIEL34cY8bWhcwkysiatDmxBrbggzvueoDRpA")</f>
        <v>13JxrHcuIEL34cY8bWhcwkysiatDmxBrbggzvueoDRpA</v>
      </c>
    </row>
    <row r="104" ht="15.75" customHeight="1">
      <c r="A104" t="str">
        <f>IFERROR(__xludf.DUMMYFUNCTION("""COMPUTED_VALUE"""),"Allocation")</f>
        <v>Allocation</v>
      </c>
      <c r="B104" t="str">
        <f>IFERROR(__xludf.DUMMYFUNCTION("""COMPUTED_VALUE"""),"EnterAllocatePreference")</f>
        <v>EnterAllocatePreference</v>
      </c>
      <c r="C104" t="str">
        <f>IFERROR(__xludf.DUMMYFUNCTION("""COMPUTED_VALUE"""),"1ueJPlmKs0VCty9rqy3bof7OwkTE6pIF5M06JcL_bc-8")</f>
        <v>1ueJPlmKs0VCty9rqy3bof7OwkTE6pIF5M06JcL_bc-8</v>
      </c>
    </row>
    <row r="105" ht="15.75" customHeight="1">
      <c r="A105" t="str">
        <f>IFERROR(__xludf.DUMMYFUNCTION("""COMPUTED_VALUE"""),"GeneralLedger")</f>
        <v>GeneralLedger</v>
      </c>
      <c r="B105" t="str">
        <f>IFERROR(__xludf.DUMMYFUNCTION("""COMPUTED_VALUE"""),"GetAccountBalance")</f>
        <v>GetAccountBalance</v>
      </c>
      <c r="C105" t="str">
        <f>IFERROR(__xludf.DUMMYFUNCTION("""COMPUTED_VALUE"""),"1yuc7DZkXEgHVIHU4UmYY87IPbtWqR3MjoIMrjfrGfas")</f>
        <v>1yuc7DZkXEgHVIHU4UmYY87IPbtWqR3MjoIMrjfrGfas</v>
      </c>
    </row>
    <row r="106" ht="15.75" customHeight="1">
      <c r="A106" t="str">
        <f>IFERROR(__xludf.DUMMYFUNCTION("""COMPUTED_VALUE"""),"Expnl")</f>
        <v>Expnl</v>
      </c>
      <c r="B106" t="str">
        <f>IFERROR(__xludf.DUMMYFUNCTION("""COMPUTED_VALUE"""),"RestartExpnl")</f>
        <v>RestartExpnl</v>
      </c>
      <c r="C106" t="str">
        <f>IFERROR(__xludf.DUMMYFUNCTION("""COMPUTED_VALUE"""),"19BOmuUEhcyH_577PjpNKNdTn_MisNEkIkn9rDB9B_WM")</f>
        <v>19BOmuUEhcyH_577PjpNKNdTn_MisNEkIkn9rDB9B_WM</v>
      </c>
    </row>
    <row r="107" ht="15.75" customHeight="1">
      <c r="A107" t="str">
        <f>IFERROR(__xludf.DUMMYFUNCTION("""COMPUTED_VALUE"""),"PortfolioManagement")</f>
        <v>PortfolioManagement</v>
      </c>
      <c r="B107" t="str">
        <f>IFERROR(__xludf.DUMMYFUNCTION("""COMPUTED_VALUE"""),"ClosePM")</f>
        <v>ClosePM</v>
      </c>
      <c r="C107" t="str">
        <f>IFERROR(__xludf.DUMMYFUNCTION("""COMPUTED_VALUE"""),"undefined")</f>
        <v>undefined</v>
      </c>
    </row>
    <row r="108" ht="15.75" customHeight="1">
      <c r="A108" t="str">
        <f>IFERROR(__xludf.DUMMYFUNCTION("""COMPUTED_VALUE"""),"Allocation")</f>
        <v>Allocation</v>
      </c>
      <c r="B108" t="str">
        <f>IFERROR(__xludf.DUMMYFUNCTION("""COMPUTED_VALUE"""),"EnterStrategyValuesToAllocate")</f>
        <v>EnterStrategyValuesToAllocate</v>
      </c>
      <c r="C108" t="str">
        <f>IFERROR(__xludf.DUMMYFUNCTION("""COMPUTED_VALUE"""),"1rYld2OwIVg_rNpqCSkF4qBjswgUc0VyMTMBp_Fby-BQ")</f>
        <v>1rYld2OwIVg_rNpqCSkF4qBjswgUc0VyMTMBp_Fby-BQ</v>
      </c>
    </row>
    <row r="109" ht="15.75" customHeight="1">
      <c r="A109" t="str">
        <f>IFERROR(__xludf.DUMMYFUNCTION("""COMPUTED_VALUE"""),"GeneralLedger")</f>
        <v>GeneralLedger</v>
      </c>
      <c r="B109" t="str">
        <f>IFERROR(__xludf.DUMMYFUNCTION("""COMPUTED_VALUE"""),"SelectNonTradingTransaction")</f>
        <v>SelectNonTradingTransaction</v>
      </c>
      <c r="C109" t="str">
        <f>IFERROR(__xludf.DUMMYFUNCTION("""COMPUTED_VALUE"""),"156kazERWxtkEF970K6P2WK7faWBTZ-C0sOqejHpzIx4")</f>
        <v>156kazERWxtkEF970K6P2WK7faWBTZ-C0sOqejHpzIx4</v>
      </c>
    </row>
    <row r="110" ht="15.75" customHeight="1">
      <c r="A110" t="str">
        <f>IFERROR(__xludf.DUMMYFUNCTION("""COMPUTED_VALUE"""),"GeneralLedger")</f>
        <v>GeneralLedger</v>
      </c>
      <c r="B110" t="str">
        <f>IFERROR(__xludf.DUMMYFUNCTION("""COMPUTED_VALUE"""),"SelectNonTradingTranItem")</f>
        <v>SelectNonTradingTranItem</v>
      </c>
      <c r="C110" t="str">
        <f>IFERROR(__xludf.DUMMYFUNCTION("""COMPUTED_VALUE"""),"1iEACuwmKMC6ArJAAAaSMwW0omralf4T3B9CCBWEN4rI")</f>
        <v>1iEACuwmKMC6ArJAAAaSMwW0omralf4T3B9CCBWEN4rI</v>
      </c>
    </row>
    <row r="111" ht="15.75" customHeight="1">
      <c r="A111" t="str">
        <f>IFERROR(__xludf.DUMMYFUNCTION("""COMPUTED_VALUE"""),"Allocation")</f>
        <v>Allocation</v>
      </c>
      <c r="B111" t="str">
        <f>IFERROR(__xludf.DUMMYFUNCTION("""COMPUTED_VALUE"""),"CopyCalculatedPreferenceToolbar")</f>
        <v>CopyCalculatedPreferenceToolbar</v>
      </c>
      <c r="C111" t="str">
        <f>IFERROR(__xludf.DUMMYFUNCTION("""COMPUTED_VALUE"""),"1wykeQebkUjjXVgIljYXtFNMq64V4Q7hecCH_Nwn9t-8")</f>
        <v>1wykeQebkUjjXVgIljYXtFNMq64V4Q7hecCH_Nwn9t-8</v>
      </c>
    </row>
    <row r="112" ht="15.75" customHeight="1">
      <c r="A112" t="str">
        <f>IFERROR(__xludf.DUMMYFUNCTION("""COMPUTED_VALUE"""),"Allocation")</f>
        <v>Allocation</v>
      </c>
      <c r="B112" t="str">
        <f>IFERROR(__xludf.DUMMYFUNCTION("""COMPUTED_VALUE"""),"SetGeneralRuleCalculatedPref")</f>
        <v>SetGeneralRuleCalculatedPref</v>
      </c>
      <c r="C112" t="str">
        <f>IFERROR(__xludf.DUMMYFUNCTION("""COMPUTED_VALUE"""),"1kSDMTHsH0NdwDZXP8SX7lbTFzx3hjjjUfAhRUG8vOtM")</f>
        <v>1kSDMTHsH0NdwDZXP8SX7lbTFzx3hjjjUfAhRUG8vOtM</v>
      </c>
    </row>
    <row r="113" ht="15.75" customHeight="1">
      <c r="A113" t="str">
        <f>IFERROR(__xludf.DUMMYFUNCTION("""COMPUTED_VALUE"""),"GeneralLedger")</f>
        <v>GeneralLedger</v>
      </c>
      <c r="B113" t="str">
        <f>IFERROR(__xludf.DUMMYFUNCTION("""COMPUTED_VALUE"""),"DeleteNonTradingTransaction")</f>
        <v>DeleteNonTradingTransaction</v>
      </c>
      <c r="C113" t="str">
        <f>IFERROR(__xludf.DUMMYFUNCTION("""COMPUTED_VALUE"""),"19ZFvXx_RoHoOsSB6TeydqIKZBiC2XS1c5e_oEpNdp1c")</f>
        <v>19ZFvXx_RoHoOsSB6TeydqIKZBiC2XS1c5e_oEpNdp1c</v>
      </c>
    </row>
    <row r="114" ht="15.75" customHeight="1">
      <c r="A114" t="str">
        <f>IFERROR(__xludf.DUMMYFUNCTION("""COMPUTED_VALUE"""),"GeneralLedger")</f>
        <v>GeneralLedger</v>
      </c>
      <c r="B114" t="str">
        <f>IFERROR(__xludf.DUMMYFUNCTION("""COMPUTED_VALUE"""),"DeleteNonTradingTranItem")</f>
        <v>DeleteNonTradingTranItem</v>
      </c>
      <c r="C114" t="str">
        <f>IFERROR(__xludf.DUMMYFUNCTION("""COMPUTED_VALUE"""),"1bImpGl2YZz3w_D5Fl_EkwuQUAufBZpjwndJVqWd_JNs")</f>
        <v>1bImpGl2YZz3w_D5Fl_EkwuQUAufBZpjwndJVqWd_JNs</v>
      </c>
    </row>
    <row r="115" ht="15.75" customHeight="1">
      <c r="A115" t="str">
        <f>IFERROR(__xludf.DUMMYFUNCTION("""COMPUTED_VALUE"""),"Allocation")</f>
        <v>Allocation</v>
      </c>
      <c r="B115" t="str">
        <f>IFERROR(__xludf.DUMMYFUNCTION("""COMPUTED_VALUE"""),"ExportAllCalculatedPreferences")</f>
        <v>ExportAllCalculatedPreferences</v>
      </c>
      <c r="C115" t="str">
        <f>IFERROR(__xludf.DUMMYFUNCTION("""COMPUTED_VALUE"""),"1akCKlMIVAD1ZKQkcud9brqjjb1oKR18AWsFwWat-RD4")</f>
        <v>1akCKlMIVAD1ZKQkcud9brqjjb1oKR18AWsFwWat-RD4</v>
      </c>
    </row>
    <row r="116" ht="15.75" customHeight="1">
      <c r="A116" t="str">
        <f>IFERROR(__xludf.DUMMYFUNCTION("""COMPUTED_VALUE"""),"GeneralLedger")</f>
        <v>GeneralLedger</v>
      </c>
      <c r="B116" t="str">
        <f>IFERROR(__xludf.DUMMYFUNCTION("""COMPUTED_VALUE"""),"AddNonTradingTransaction")</f>
        <v>AddNonTradingTransaction</v>
      </c>
      <c r="C116" t="str">
        <f>IFERROR(__xludf.DUMMYFUNCTION("""COMPUTED_VALUE"""),"1651Q6t8B_K2B_3NiVnMG8yw2HgQ1FHfSIxFGnGFWArM")</f>
        <v>1651Q6t8B_K2B_3NiVnMG8yw2HgQ1FHfSIxFGnGFWArM</v>
      </c>
    </row>
    <row r="117" ht="15.75" customHeight="1">
      <c r="A117" t="str">
        <f>IFERROR(__xludf.DUMMYFUNCTION("""COMPUTED_VALUE"""),"GeneralLedger")</f>
        <v>GeneralLedger</v>
      </c>
      <c r="B117" t="str">
        <f>IFERROR(__xludf.DUMMYFUNCTION("""COMPUTED_VALUE"""),"AddNonTradingTranItem")</f>
        <v>AddNonTradingTranItem</v>
      </c>
      <c r="C117" t="str">
        <f>IFERROR(__xludf.DUMMYFUNCTION("""COMPUTED_VALUE"""),"1uXPSsuhLCXvRYEK8X7lvRfV-oeKYWAM5Q5YKhAktY1k")</f>
        <v>1uXPSsuhLCXvRYEK8X7lvRfV-oeKYWAM5Q5YKhAktY1k</v>
      </c>
    </row>
    <row r="118" ht="15.75" customHeight="1">
      <c r="A118" s="9" t="str">
        <f>IFERROR(__xludf.DUMMYFUNCTION("""COMPUTED_VALUE"""),"Allocation")</f>
        <v>Allocation</v>
      </c>
      <c r="B118" t="str">
        <f>IFERROR(__xludf.DUMMYFUNCTION("""COMPUTED_VALUE"""),"SaveCalculatedPreferences")</f>
        <v>SaveCalculatedPreferences</v>
      </c>
      <c r="C118" t="str">
        <f>IFERROR(__xludf.DUMMYFUNCTION("""COMPUTED_VALUE"""),"udefined")</f>
        <v>udefined</v>
      </c>
    </row>
    <row r="119" ht="15.75" customHeight="1">
      <c r="A119" t="str">
        <f>IFERROR(__xludf.DUMMYFUNCTION("""COMPUTED_VALUE"""),"GeneralLedger")</f>
        <v>GeneralLedger</v>
      </c>
      <c r="B119" t="str">
        <f>IFERROR(__xludf.DUMMYFUNCTION("""COMPUTED_VALUE"""),"VerifyOpeningBalanceData")</f>
        <v>VerifyOpeningBalanceData</v>
      </c>
      <c r="C119" t="str">
        <f>IFERROR(__xludf.DUMMYFUNCTION("""COMPUTED_VALUE"""),"1I1BEPw4MXvOJiKqrL7gZCYickKmcFPcTWcI3aTuykAM")</f>
        <v>1I1BEPw4MXvOJiKqrL7gZCYickKmcFPcTWcI3aTuykAM</v>
      </c>
    </row>
    <row r="120" ht="15.75" customHeight="1">
      <c r="A120" t="str">
        <f>IFERROR(__xludf.DUMMYFUNCTION("""COMPUTED_VALUE"""),"GeneralLedger")</f>
        <v>GeneralLedger</v>
      </c>
      <c r="B120" t="str">
        <f>IFERROR(__xludf.DUMMYFUNCTION("""COMPUTED_VALUE"""),"SelectOpeningBalanceTransaction")</f>
        <v>SelectOpeningBalanceTransaction</v>
      </c>
      <c r="C120" t="str">
        <f>IFERROR(__xludf.DUMMYFUNCTION("""COMPUTED_VALUE"""),"1-8gtRm7KdwXxY17qAqiHpJVHZ2RNImft-xqX_LrF1dc")</f>
        <v>1-8gtRm7KdwXxY17qAqiHpJVHZ2RNImft-xqX_LrF1dc</v>
      </c>
    </row>
    <row r="121" ht="15.75" customHeight="1">
      <c r="A121" t="str">
        <f>IFERROR(__xludf.DUMMYFUNCTION("""COMPUTED_VALUE"""),"TradingTicket")</f>
        <v>TradingTicket</v>
      </c>
      <c r="B121" t="str">
        <f>IFERROR(__xludf.DUMMYFUNCTION("""COMPUTED_VALUE"""),"CreateStageOrder ")</f>
        <v>CreateStageOrder </v>
      </c>
      <c r="C121" t="str">
        <f>IFERROR(__xludf.DUMMYFUNCTION("""COMPUTED_VALUE"""),"19pPwXNzv9n5s3VxqHrFkTa5-sTx9CsDdmcEpXBg_h-E")</f>
        <v>19pPwXNzv9n5s3VxqHrFkTa5-sTx9CsDdmcEpXBg_h-E</v>
      </c>
    </row>
    <row r="122" ht="15.75" customHeight="1">
      <c r="A122" t="str">
        <f>IFERROR(__xludf.DUMMYFUNCTION("""COMPUTED_VALUE"""),"Blotter")</f>
        <v>Blotter</v>
      </c>
      <c r="B122" t="str">
        <f>IFERROR(__xludf.DUMMYFUNCTION("""COMPUTED_VALUE"""),"TransferToUserWorkingSubs")</f>
        <v>TransferToUserWorkingSubs</v>
      </c>
      <c r="C122" t="str">
        <f>IFERROR(__xludf.DUMMYFUNCTION("""COMPUTED_VALUE"""),"1CUK_ZAXi6kJC96I3_00exdznJ4Oeo2U-xkOPfNnEZ8M")</f>
        <v>1CUK_ZAXi6kJC96I3_00exdznJ4Oeo2U-xkOPfNnEZ8M</v>
      </c>
    </row>
    <row r="123" ht="15.75" customHeight="1">
      <c r="A123" t="str">
        <f>IFERROR(__xludf.DUMMYFUNCTION("""COMPUTED_VALUE"""),"Blotter")</f>
        <v>Blotter</v>
      </c>
      <c r="B123" t="str">
        <f>IFERROR(__xludf.DUMMYFUNCTION("""COMPUTED_VALUE"""),"CancelWorkingSubs")</f>
        <v>CancelWorkingSubs</v>
      </c>
      <c r="C123" t="str">
        <f>IFERROR(__xludf.DUMMYFUNCTION("""COMPUTED_VALUE"""),"1Fh4UjwxY8P8SUCZ4If7xTCvJ-n5eluHKowOpmnufius")</f>
        <v>1Fh4UjwxY8P8SUCZ4If7xTCvJ-n5eluHKowOpmnufius</v>
      </c>
    </row>
    <row r="124" ht="15.75" customHeight="1">
      <c r="A124" t="str">
        <f>IFERROR(__xludf.DUMMYFUNCTION("""COMPUTED_VALUE"""),"Blotter")</f>
        <v>Blotter</v>
      </c>
      <c r="B124" t="str">
        <f>IFERROR(__xludf.DUMMYFUNCTION("""COMPUTED_VALUE"""),"ReplaceWorkingSubs")</f>
        <v>ReplaceWorkingSubs</v>
      </c>
      <c r="C124" t="str">
        <f>IFERROR(__xludf.DUMMYFUNCTION("""COMPUTED_VALUE"""),"19CQJlgjKT5Lwtf6Dbm862WLoOU4cUuDcsuWNOK_3KM0")</f>
        <v>19CQJlgjKT5Lwtf6Dbm862WLoOU4cUuDcsuWNOK_3KM0</v>
      </c>
    </row>
    <row r="125" ht="15.75" customHeight="1">
      <c r="A125" t="str">
        <f>IFERROR(__xludf.DUMMYFUNCTION("""COMPUTED_VALUE"""),"Expnl")</f>
        <v>Expnl</v>
      </c>
      <c r="B125" t="str">
        <f>IFERROR(__xludf.DUMMYFUNCTION("""COMPUTED_VALUE"""),"UpdateExpnlConfig")</f>
        <v>UpdateExpnlConfig</v>
      </c>
      <c r="C125" t="str">
        <f>IFERROR(__xludf.DUMMYFUNCTION("""COMPUTED_VALUE"""),"1ALtyniAAP6ahYROdYlvK0FprtGuU8NbeHdecFNpHnow")</f>
        <v>1ALtyniAAP6ahYROdYlvK0FprtGuU8NbeHdecFNpHnow</v>
      </c>
    </row>
    <row r="126" ht="15.75" customHeight="1">
      <c r="A126" t="str">
        <f>IFERROR(__xludf.DUMMYFUNCTION("""COMPUTED_VALUE"""),"Blotter")</f>
        <v>Blotter</v>
      </c>
      <c r="B126" t="str">
        <f>IFERROR(__xludf.DUMMYFUNCTION("""COMPUTED_VALUE"""),"ViewAllocationDetailsWorkingSub")</f>
        <v>ViewAllocationDetailsWorkingSub</v>
      </c>
      <c r="C126" t="str">
        <f>IFERROR(__xludf.DUMMYFUNCTION("""COMPUTED_VALUE"""),"1hhoDSGwPzwNc_Ry_yrM3PRgBE8omobwG-cC28I4a8E4")</f>
        <v>1hhoDSGwPzwNc_Ry_yrM3PRgBE8omobwG-cC28I4a8E4</v>
      </c>
    </row>
    <row r="127" ht="15.75" customHeight="1">
      <c r="A127" t="str">
        <f>IFERROR(__xludf.DUMMYFUNCTION("""COMPUTED_VALUE"""),"Blotter")</f>
        <v>Blotter</v>
      </c>
      <c r="B127" t="str">
        <f>IFERROR(__xludf.DUMMYFUNCTION("""COMPUTED_VALUE"""),"SelectTradeOnOrderGrid")</f>
        <v>SelectTradeOnOrderGrid</v>
      </c>
      <c r="C127" t="str">
        <f>IFERROR(__xludf.DUMMYFUNCTION("""COMPUTED_VALUE"""),"1WzMWGdAjFGlmoqlWMu9CkwyjPz5rsP4p9iM2TrdSYAg")</f>
        <v>1WzMWGdAjFGlmoqlWMu9CkwyjPz5rsP4p9iM2TrdSYAg</v>
      </c>
    </row>
    <row r="128" ht="15.75" customHeight="1">
      <c r="A128" t="str">
        <f>IFERROR(__xludf.DUMMYFUNCTION("""COMPUTED_VALUE"""),"Blotter")</f>
        <v>Blotter</v>
      </c>
      <c r="B128" t="str">
        <f>IFERROR(__xludf.DUMMYFUNCTION("""COMPUTED_VALUE"""),"ShowDetailsForAlgoTradeSubOrder")</f>
        <v>ShowDetailsForAlgoTradeSubOrder</v>
      </c>
      <c r="C128" t="str">
        <f>IFERROR(__xludf.DUMMYFUNCTION("""COMPUTED_VALUE"""),"162Te7eWeyaqrl5jT2DPhynk193PZ4hkFEO4DJKzrLfY")</f>
        <v>162Te7eWeyaqrl5jT2DPhynk193PZ4hkFEO4DJKzrLfY</v>
      </c>
    </row>
    <row r="129" ht="15.75" customHeight="1">
      <c r="A129" t="str">
        <f>IFERROR(__xludf.DUMMYFUNCTION("""COMPUTED_VALUE"""),"Blotter")</f>
        <v>Blotter</v>
      </c>
      <c r="B129" t="str">
        <f>IFERROR(__xludf.DUMMYFUNCTION("""COMPUTED_VALUE"""),"SelectTradeOrderBlotter")</f>
        <v>SelectTradeOrderBlotter</v>
      </c>
      <c r="C129" t="str">
        <f>IFERROR(__xludf.DUMMYFUNCTION("""COMPUTED_VALUE"""),"146-eh2wv-YJ49kR7Vy_mnqUYnl9sBIflrTQV86OVEs4")</f>
        <v>146-eh2wv-YJ49kR7Vy_mnqUYnl9sBIflrTQV86OVEs4</v>
      </c>
    </row>
    <row r="130" ht="15.75" customHeight="1">
      <c r="A130" t="str">
        <f>IFERROR(__xludf.DUMMYFUNCTION("""COMPUTED_VALUE"""),"Blotter")</f>
        <v>Blotter</v>
      </c>
      <c r="B130" t="str">
        <f>IFERROR(__xludf.DUMMYFUNCTION("""COMPUTED_VALUE"""),"AddFillsWorkingSubs")</f>
        <v>AddFillsWorkingSubs</v>
      </c>
      <c r="C130" t="str">
        <f>IFERROR(__xludf.DUMMYFUNCTION("""COMPUTED_VALUE"""),"1mMQYKI9Rq6DghoV4QOgsQKOk1BLLKkoJGiMO3Pw1Btg")</f>
        <v>1mMQYKI9Rq6DghoV4QOgsQKOk1BLLKkoJGiMO3Pw1Btg</v>
      </c>
    </row>
    <row r="131" ht="15.75" customHeight="1">
      <c r="A131" t="str">
        <f>IFERROR(__xludf.DUMMYFUNCTION("""COMPUTED_VALUE"""),"Blotter")</f>
        <v>Blotter</v>
      </c>
      <c r="B131" t="str">
        <f>IFERROR(__xludf.DUMMYFUNCTION("""COMPUTED_VALUE"""),"EditAddFillsDetails")</f>
        <v>EditAddFillsDetails</v>
      </c>
      <c r="C131" t="str">
        <f>IFERROR(__xludf.DUMMYFUNCTION("""COMPUTED_VALUE"""),"1F034atMzxswvWV7pPfWfg9ZIq9rYRAjVEefWj9gTyQ0")</f>
        <v>1F034atMzxswvWV7pPfWfg9ZIq9rYRAjVEefWj9gTyQ0</v>
      </c>
    </row>
    <row r="132" ht="15.75" customHeight="1">
      <c r="A132" t="str">
        <f>IFERROR(__xludf.DUMMYFUNCTION("""COMPUTED_VALUE"""),"Blotter")</f>
        <v>Blotter</v>
      </c>
      <c r="B132" t="str">
        <f>IFERROR(__xludf.DUMMYFUNCTION("""COMPUTED_VALUE"""),"ShowDetailsForAlgoTradeWorkingSubs")</f>
        <v>ShowDetailsForAlgoTradeWorkingSubs</v>
      </c>
      <c r="C132" t="str">
        <f>IFERROR(__xludf.DUMMYFUNCTION("""COMPUTED_VALUE"""),"1PeaZgjNk8-BscnMVhu7EP0Uzyt8QTKcKu7GDaccohos")</f>
        <v>1PeaZgjNk8-BscnMVhu7EP0Uzyt8QTKcKu7GDaccohos</v>
      </c>
    </row>
    <row r="133" ht="15.75" customHeight="1">
      <c r="A133" t="str">
        <f>IFERROR(__xludf.DUMMYFUNCTION("""COMPUTED_VALUE"""),"Closing")</f>
        <v>Closing</v>
      </c>
      <c r="B133" t="str">
        <f>IFERROR(__xludf.DUMMYFUNCTION("""COMPUTED_VALUE"""),"SwapExpire")</f>
        <v>SwapExpire</v>
      </c>
      <c r="C133" t="str">
        <f>IFERROR(__xludf.DUMMYFUNCTION("""COMPUTED_VALUE"""),"1OH-wAFF1VTun24XmawHlbGMs8NMsZ4gsFJ8tDgp1nf0")</f>
        <v>1OH-wAFF1VTun24XmawHlbGMs8NMsZ4gsFJ8tDgp1nf0</v>
      </c>
    </row>
    <row r="134" ht="15.75" customHeight="1">
      <c r="A134" t="str">
        <f>IFERROR(__xludf.DUMMYFUNCTION("""COMPUTED_VALUE"""),"Blotter")</f>
        <v>Blotter</v>
      </c>
      <c r="B134" t="str">
        <f>IFERROR(__xludf.DUMMYFUNCTION("""COMPUTED_VALUE"""),"VerifyWorkingSubs")</f>
        <v>VerifyWorkingSubs</v>
      </c>
      <c r="C134" t="str">
        <f>IFERROR(__xludf.DUMMYFUNCTION("""COMPUTED_VALUE"""),"1G8HIOu40_hEJG25rfuFgS_G3uI_qoZIqaByaKZkVX_8")</f>
        <v>1G8HIOu40_hEJG25rfuFgS_G3uI_qoZIqaByaKZkVX_8</v>
      </c>
    </row>
    <row r="135" ht="15.75" customHeight="1">
      <c r="A135" t="str">
        <f>IFERROR(__xludf.DUMMYFUNCTION("""COMPUTED_VALUE"""),"Blotter")</f>
        <v>Blotter</v>
      </c>
      <c r="B135" t="str">
        <f>IFERROR(__xludf.DUMMYFUNCTION("""COMPUTED_VALUE"""),"TransferToUserOrder")</f>
        <v>TransferToUserOrder</v>
      </c>
      <c r="C135" t="str">
        <f>IFERROR(__xludf.DUMMYFUNCTION("""COMPUTED_VALUE"""),"1XLfQF5jY1GeCeWu1dE9N6E-lCCAKF16dNYVxt4k-9SQ")</f>
        <v>1XLfQF5jY1GeCeWu1dE9N6E-lCCAKF16dNYVxt4k-9SQ</v>
      </c>
    </row>
    <row r="136" ht="15.75" customHeight="1">
      <c r="A136" t="str">
        <f>IFERROR(__xludf.DUMMYFUNCTION("""COMPUTED_VALUE"""),"Allocation")</f>
        <v>Allocation</v>
      </c>
      <c r="B136" t="str">
        <f>IFERROR(__xludf.DUMMYFUNCTION("""COMPUTED_VALUE"""),"CloseCalculatedPreferences")</f>
        <v>CloseCalculatedPreferences</v>
      </c>
      <c r="C136" t="str">
        <f>IFERROR(__xludf.DUMMYFUNCTION("""COMPUTED_VALUE"""),"undefined")</f>
        <v>undefined</v>
      </c>
    </row>
    <row r="137" ht="15.75" customHeight="1">
      <c r="A137" t="str">
        <f>IFERROR(__xludf.DUMMYFUNCTION("""COMPUTED_VALUE"""),"TradingTicket")</f>
        <v>TradingTicket</v>
      </c>
      <c r="B137" t="str">
        <f>IFERROR(__xludf.DUMMYFUNCTION("""COMPUTED_VALUE"""),"CreateReplaceOrder")</f>
        <v>CreateReplaceOrder</v>
      </c>
      <c r="C137" t="str">
        <f>IFERROR(__xludf.DUMMYFUNCTION("""COMPUTED_VALUE"""),"1gT2hqZeR3HgAGbNHrjwN8GmMPivOMw3R0wwaTW-99qE")</f>
        <v>1gT2hqZeR3HgAGbNHrjwN8GmMPivOMw3R0wwaTW-99qE</v>
      </c>
    </row>
    <row r="138" ht="15.75" customHeight="1">
      <c r="A138" t="str">
        <f>IFERROR(__xludf.DUMMYFUNCTION("""COMPUTED_VALUE"""),"Blotter")</f>
        <v>Blotter</v>
      </c>
      <c r="B138" t="str">
        <f>IFERROR(__xludf.DUMMYFUNCTION("""COMPUTED_VALUE"""),"EditOrder")</f>
        <v>EditOrder</v>
      </c>
      <c r="C138" t="str">
        <f>IFERROR(__xludf.DUMMYFUNCTION("""COMPUTED_VALUE"""),"1DIHr63KqB-VKKsxO2wiLpMaw8FAcbACS3u1E1Ucz8xg")</f>
        <v>1DIHr63KqB-VKKsxO2wiLpMaw8FAcbACS3u1E1Ucz8xg</v>
      </c>
    </row>
    <row r="139" ht="15.75" customHeight="1">
      <c r="A139" t="str">
        <f>IFERROR(__xludf.DUMMYFUNCTION("""COMPUTED_VALUE"""),"Blotter")</f>
        <v>Blotter</v>
      </c>
      <c r="B139" t="str">
        <f>IFERROR(__xludf.DUMMYFUNCTION("""COMPUTED_VALUE"""),"SelectTradeSubOrderBlotter")</f>
        <v>SelectTradeSubOrderBlotter</v>
      </c>
      <c r="C139" t="str">
        <f>IFERROR(__xludf.DUMMYFUNCTION("""COMPUTED_VALUE"""),"12aieBZMCqRWerKf-xThc6PG3oj2Rm2oAyptjWtEwUgs")</f>
        <v>12aieBZMCqRWerKf-xThc6PG3oj2Rm2oAyptjWtEwUgs</v>
      </c>
    </row>
    <row r="140" ht="15.75" customHeight="1">
      <c r="A140" t="str">
        <f>IFERROR(__xludf.DUMMYFUNCTION("""COMPUTED_VALUE"""),"Blotter")</f>
        <v>Blotter</v>
      </c>
      <c r="B140" t="str">
        <f>IFERROR(__xludf.DUMMYFUNCTION("""COMPUTED_VALUE"""),"VerifyOrder")</f>
        <v>VerifyOrder</v>
      </c>
      <c r="C140" t="str">
        <f>IFERROR(__xludf.DUMMYFUNCTION("""COMPUTED_VALUE"""),"1PujhuHm_Ni9-h5rvdjQ0PChoeQgEf8ApNJCHwrLFWyo")</f>
        <v>1PujhuHm_Ni9-h5rvdjQ0PChoeQgEf8ApNJCHwrLFWyo</v>
      </c>
    </row>
    <row r="141" ht="15.75" customHeight="1">
      <c r="A141" t="str">
        <f>IFERROR(__xludf.DUMMYFUNCTION("""COMPUTED_VALUE"""),"Blotter")</f>
        <v>Blotter</v>
      </c>
      <c r="B141" t="str">
        <f>IFERROR(__xludf.DUMMYFUNCTION("""COMPUTED_VALUE"""),"VerifySubOrder")</f>
        <v>VerifySubOrder</v>
      </c>
      <c r="C141" t="str">
        <f>IFERROR(__xludf.DUMMYFUNCTION("""COMPUTED_VALUE"""),"1LCM4yYwJP8UcMl_W1k3gqYt4JkfaRT3lrxr1JZGE0dM")</f>
        <v>1LCM4yYwJP8UcMl_W1k3gqYt4JkfaRT3lrxr1JZGE0dM</v>
      </c>
    </row>
    <row r="142" ht="15.75" customHeight="1">
      <c r="A142" t="str">
        <f>IFERROR(__xludf.DUMMYFUNCTION("""COMPUTED_VALUE"""),"Blotter")</f>
        <v>Blotter</v>
      </c>
      <c r="B142" t="str">
        <f>IFERROR(__xludf.DUMMYFUNCTION("""COMPUTED_VALUE"""),"RemoveSelectedOrders")</f>
        <v>RemoveSelectedOrders</v>
      </c>
      <c r="C142" t="str">
        <f>IFERROR(__xludf.DUMMYFUNCTION("""COMPUTED_VALUE"""),"1RWF2vERO_DfivxtOLg-qwAs6YxUWhjTevj3Q2ApUh5U")</f>
        <v>1RWF2vERO_DfivxtOLg-qwAs6YxUWhjTevj3Q2ApUh5U</v>
      </c>
    </row>
    <row r="143" ht="15.75" customHeight="1">
      <c r="A143" t="str">
        <f>IFERROR(__xludf.DUMMYFUNCTION("""COMPUTED_VALUE"""),"Blotter")</f>
        <v>Blotter</v>
      </c>
      <c r="B143" t="str">
        <f>IFERROR(__xludf.DUMMYFUNCTION("""COMPUTED_VALUE"""),"CancelAllSelectedSubs")</f>
        <v>CancelAllSelectedSubs</v>
      </c>
      <c r="C143" t="str">
        <f>IFERROR(__xludf.DUMMYFUNCTION("""COMPUTED_VALUE"""),"1ttF9_OgGg0I0s5BgdggXAjal4yM9TMHLF5f7X_OjoEQ")</f>
        <v>1ttF9_OgGg0I0s5BgdggXAjal4yM9TMHLF5f7X_OjoEQ</v>
      </c>
    </row>
    <row r="144" ht="15.75" customHeight="1">
      <c r="A144" t="str">
        <f>IFERROR(__xludf.DUMMYFUNCTION("""COMPUTED_VALUE"""),"Blotter")</f>
        <v>Blotter</v>
      </c>
      <c r="B144" t="str">
        <f>IFERROR(__xludf.DUMMYFUNCTION("""COMPUTED_VALUE"""),"MultiTradingTicket")</f>
        <v>MultiTradingTicket</v>
      </c>
      <c r="C144" t="str">
        <f>IFERROR(__xludf.DUMMYFUNCTION("""COMPUTED_VALUE"""),"16ipwj8pbJt24RtrNN8bsR1AZllKtUVKCGm7OpBdellA")</f>
        <v>16ipwj8pbJt24RtrNN8bsR1AZllKtUVKCGm7OpBdellA</v>
      </c>
    </row>
    <row r="145" ht="15.75" customHeight="1">
      <c r="A145" t="str">
        <f>IFERROR(__xludf.DUMMYFUNCTION("""COMPUTED_VALUE"""),"Blotter")</f>
        <v>Blotter</v>
      </c>
      <c r="B145" t="str">
        <f>IFERROR(__xludf.DUMMYFUNCTION("""COMPUTED_VALUE"""),"AuditTrailOrderBlotter")</f>
        <v>AuditTrailOrderBlotter</v>
      </c>
      <c r="C145" t="str">
        <f>IFERROR(__xludf.DUMMYFUNCTION("""COMPUTED_VALUE"""),"1REdqPHZcn4KjjichOPdYyfZ9PNOGx-yj5JIu39q3F0M")</f>
        <v>1REdqPHZcn4KjjichOPdYyfZ9PNOGx-yj5JIu39q3F0M</v>
      </c>
    </row>
    <row r="146" ht="15.75" customHeight="1">
      <c r="A146" t="str">
        <f>IFERROR(__xludf.DUMMYFUNCTION("""COMPUTED_VALUE"""),"Blotter")</f>
        <v>Blotter</v>
      </c>
      <c r="B146" t="str">
        <f>IFERROR(__xludf.DUMMYFUNCTION("""COMPUTED_VALUE"""),"TradeNewSubOrder")</f>
        <v>TradeNewSubOrder</v>
      </c>
      <c r="C146" t="str">
        <f>IFERROR(__xludf.DUMMYFUNCTION("""COMPUTED_VALUE"""),"10sXWgGgwNLwtfX1Izn43lW5IWP07nYKkOgaq4wnul1o")</f>
        <v>10sXWgGgwNLwtfX1Izn43lW5IWP07nYKkOgaq4wnul1o</v>
      </c>
    </row>
    <row r="147" ht="15.75" customHeight="1">
      <c r="A147" t="str">
        <f>IFERROR(__xludf.DUMMYFUNCTION("""COMPUTED_VALUE"""),"Blotter")</f>
        <v>Blotter</v>
      </c>
      <c r="B147" t="str">
        <f>IFERROR(__xludf.DUMMYFUNCTION("""COMPUTED_VALUE"""),"RemoveStageOrder")</f>
        <v>RemoveStageOrder</v>
      </c>
      <c r="C147" t="str">
        <f>IFERROR(__xludf.DUMMYFUNCTION("""COMPUTED_VALUE"""),"1C1s1dZvfkap4gEVdqoyWEefNpGlTxSjB80YjX3dhMEY")</f>
        <v>1C1s1dZvfkap4gEVdqoyWEefNpGlTxSjB80YjX3dhMEY</v>
      </c>
    </row>
    <row r="148" ht="15.75" customHeight="1">
      <c r="A148" t="str">
        <f>IFERROR(__xludf.DUMMYFUNCTION("""COMPUTED_VALUE"""),"TradingTicket")</f>
        <v>TradingTicket</v>
      </c>
      <c r="B148" t="str">
        <f>IFERROR(__xludf.DUMMYFUNCTION("""COMPUTED_VALUE"""),"SetGeneralPreference")</f>
        <v>SetGeneralPreference</v>
      </c>
      <c r="C148" t="str">
        <f>IFERROR(__xludf.DUMMYFUNCTION("""COMPUTED_VALUE"""),"1OPvnSFT_UcRWLGqoiNFpgkKfrE_GpmFrGf5oa5NFQbI")</f>
        <v>1OPvnSFT_UcRWLGqoiNFpgkKfrE_GpmFrGf5oa5NFQbI</v>
      </c>
    </row>
    <row r="149" ht="15.75" customHeight="1">
      <c r="A149" t="str">
        <f>IFERROR(__xludf.DUMMYFUNCTION("""COMPUTED_VALUE"""),"Allocation")</f>
        <v>Allocation</v>
      </c>
      <c r="B149" t="str">
        <f>IFERROR(__xludf.DUMMYFUNCTION("""COMPUTED_VALUE"""),"ExportCalculatedPreference")</f>
        <v>ExportCalculatedPreference</v>
      </c>
      <c r="C149" t="str">
        <f>IFERROR(__xludf.DUMMYFUNCTION("""COMPUTED_VALUE"""),"1qnQIRYilqvNrQbduql5shmM4EKluNEJzN-F5EGvjhzc")</f>
        <v>1qnQIRYilqvNrQbduql5shmM4EKluNEJzN-F5EGvjhzc</v>
      </c>
    </row>
    <row r="150" ht="15.75" customHeight="1">
      <c r="A150" t="str">
        <f>IFERROR(__xludf.DUMMYFUNCTION("""COMPUTED_VALUE"""),"GeneralLedger")</f>
        <v>GeneralLedger</v>
      </c>
      <c r="B150" t="str">
        <f>IFERROR(__xludf.DUMMYFUNCTION("""COMPUTED_VALUE"""),"SelectOpeningBalanceTranItem")</f>
        <v>SelectOpeningBalanceTranItem</v>
      </c>
      <c r="C150" t="str">
        <f>IFERROR(__xludf.DUMMYFUNCTION("""COMPUTED_VALUE"""),"1xRsjH1dcas95tYR5xbXxJWOuz4qSQltdNVA7-kAD9_U")</f>
        <v>1xRsjH1dcas95tYR5xbXxJWOuz4qSQltdNVA7-kAD9_U</v>
      </c>
    </row>
    <row r="151" ht="15.75" customHeight="1">
      <c r="A151" t="str">
        <f>IFERROR(__xludf.DUMMYFUNCTION("""COMPUTED_VALUE"""),"PricingInput")</f>
        <v>PricingInput</v>
      </c>
      <c r="B151" t="str">
        <f>IFERROR(__xludf.DUMMYFUNCTION("""COMPUTED_VALUE"""),"EODTPreferences")</f>
        <v>EODTPreferences</v>
      </c>
      <c r="C151" t="str">
        <f>IFERROR(__xludf.DUMMYFUNCTION("""COMPUTED_VALUE"""),"1dtaca-dYNMx68u2lPJtT-3SViaJ76nx1xP860PAe9O0")</f>
        <v>1dtaca-dYNMx68u2lPJtT-3SViaJ76nx1xP860PAe9O0</v>
      </c>
    </row>
    <row r="152" ht="15.75" customHeight="1">
      <c r="A152" t="str">
        <f>IFERROR(__xludf.DUMMYFUNCTION("""COMPUTED_VALUE"""),"PricingInput")</f>
        <v>PricingInput</v>
      </c>
      <c r="B152" t="str">
        <f>IFERROR(__xludf.DUMMYFUNCTION("""COMPUTED_VALUE"""),"LiveData")</f>
        <v>LiveData</v>
      </c>
      <c r="C152" t="str">
        <f>IFERROR(__xludf.DUMMYFUNCTION("""COMPUTED_VALUE"""),"1LqTlqz6ZfT46HKwdIZ9c8a7aoq67zGcpdX6bfGQABC8")</f>
        <v>1LqTlqz6ZfT46HKwdIZ9c8a7aoq67zGcpdX6bfGQABC8</v>
      </c>
    </row>
    <row r="153" ht="15.75" customHeight="1">
      <c r="A153" t="str">
        <f>IFERROR(__xludf.DUMMYFUNCTION("""COMPUTED_VALUE"""),"GeneralLedger")</f>
        <v>GeneralLedger</v>
      </c>
      <c r="B153" t="str">
        <f>IFERROR(__xludf.DUMMYFUNCTION("""COMPUTED_VALUE"""),"EditNonTradingTransaction")</f>
        <v>EditNonTradingTransaction</v>
      </c>
      <c r="C153" t="str">
        <f>IFERROR(__xludf.DUMMYFUNCTION("""COMPUTED_VALUE"""),"17NCXtORBQGdjGYNhahTMN3GSh7mEEiivMzuhqXyJikc")</f>
        <v>17NCXtORBQGdjGYNhahTMN3GSh7mEEiivMzuhqXyJikc</v>
      </c>
    </row>
    <row r="154" ht="15.75" customHeight="1">
      <c r="A154" t="str">
        <f>IFERROR(__xludf.DUMMYFUNCTION("""COMPUTED_VALUE"""),"GeneralLedger")</f>
        <v>GeneralLedger</v>
      </c>
      <c r="B154" t="str">
        <f>IFERROR(__xludf.DUMMYFUNCTION("""COMPUTED_VALUE"""),"EditNonTradingTranItem")</f>
        <v>EditNonTradingTranItem</v>
      </c>
      <c r="C154" t="str">
        <f>IFERROR(__xludf.DUMMYFUNCTION("""COMPUTED_VALUE"""),"1aymZC-yz-Pr8sJFx-ScFtHoADtIbKIjEJUYy_cNJvT8")</f>
        <v>1aymZC-yz-Pr8sJFx-ScFtHoADtIbKIjEJUYy_cNJvT8</v>
      </c>
    </row>
    <row r="155" ht="15.75" customHeight="1">
      <c r="A155" t="str">
        <f>IFERROR(__xludf.DUMMYFUNCTION("""COMPUTED_VALUE"""),"GeneralLedger")</f>
        <v>GeneralLedger</v>
      </c>
      <c r="B155" t="str">
        <f>IFERROR(__xludf.DUMMYFUNCTION("""COMPUTED_VALUE"""),"DeleteOpeningBalanceTransaction")</f>
        <v>DeleteOpeningBalanceTransaction</v>
      </c>
      <c r="C155" t="str">
        <f>IFERROR(__xludf.DUMMYFUNCTION("""COMPUTED_VALUE"""),"1xZZW2LMilqZbN_SkzEV1JqOH-IFtsJukrfBTBGYTcF4")</f>
        <v>1xZZW2LMilqZbN_SkzEV1JqOH-IFtsJukrfBTBGYTcF4</v>
      </c>
    </row>
    <row r="156" ht="15.75" customHeight="1">
      <c r="A156" t="str">
        <f>IFERROR(__xludf.DUMMYFUNCTION("""COMPUTED_VALUE"""),"GeneralLedger")</f>
        <v>GeneralLedger</v>
      </c>
      <c r="B156" t="str">
        <f>IFERROR(__xludf.DUMMYFUNCTION("""COMPUTED_VALUE"""),"DeleteOpeningBalanceTranItem")</f>
        <v>DeleteOpeningBalanceTranItem</v>
      </c>
      <c r="C156" t="str">
        <f>IFERROR(__xludf.DUMMYFUNCTION("""COMPUTED_VALUE"""),"1VU_8LrBFmn3xYuy2dig4kP2zAm2ach8NXEt3fHHR9UY")</f>
        <v>1VU_8LrBFmn3xYuy2dig4kP2zAm2ach8NXEt3fHHR9UY</v>
      </c>
    </row>
    <row r="157" ht="15.75" customHeight="1">
      <c r="A157" t="str">
        <f>IFERROR(__xludf.DUMMYFUNCTION("""COMPUTED_VALUE"""),"Allocation")</f>
        <v>Allocation</v>
      </c>
      <c r="B157" t="str">
        <f>IFERROR(__xludf.DUMMYFUNCTION("""COMPUTED_VALUE"""),"ImportCalculatedPreferences")</f>
        <v>ImportCalculatedPreferences</v>
      </c>
      <c r="C157" t="str">
        <f>IFERROR(__xludf.DUMMYFUNCTION("""COMPUTED_VALUE"""),"1p1Ooj_bnGAhvfN4FINxkIOeO3DupwY8P6ELvUAHEriE")</f>
        <v>1p1Ooj_bnGAhvfN4FINxkIOeO3DupwY8P6ELvUAHEriE</v>
      </c>
    </row>
    <row r="158" ht="15.75" customHeight="1">
      <c r="A158" t="str">
        <f>IFERROR(__xludf.DUMMYFUNCTION("""COMPUTED_VALUE"""),"GeneralLedger")</f>
        <v>GeneralLedger</v>
      </c>
      <c r="B158" t="str">
        <f>IFERROR(__xludf.DUMMYFUNCTION("""COMPUTED_VALUE"""),"GetDayEndCash")</f>
        <v>GetDayEndCash</v>
      </c>
      <c r="C158" t="str">
        <f>IFERROR(__xludf.DUMMYFUNCTION("""COMPUTED_VALUE"""),"1spreJhh5qxmL8zMnI0JR2xnqRsk3_D2LLfmQUs6czpE")</f>
        <v>1spreJhh5qxmL8zMnI0JR2xnqRsk3_D2LLfmQUs6czpE</v>
      </c>
    </row>
    <row r="159" ht="15.75" customHeight="1">
      <c r="A159" t="str">
        <f>IFERROR(__xludf.DUMMYFUNCTION("""COMPUTED_VALUE"""),"GeneralLedger")</f>
        <v>GeneralLedger</v>
      </c>
      <c r="B159" t="str">
        <f>IFERROR(__xludf.DUMMYFUNCTION("""COMPUTED_VALUE"""),"VerifyDayEndCash")</f>
        <v>VerifyDayEndCash</v>
      </c>
      <c r="C159" t="str">
        <f>IFERROR(__xludf.DUMMYFUNCTION("""COMPUTED_VALUE"""),"1tkOwJ5iAMKkvaeCTlOGhcNpoFYbV8oVuu2VWMSIlHcg")</f>
        <v>1tkOwJ5iAMKkvaeCTlOGhcNpoFYbV8oVuu2VWMSIlHcg</v>
      </c>
    </row>
    <row r="160" ht="15.75" customHeight="1">
      <c r="A160" t="str">
        <f>IFERROR(__xludf.DUMMYFUNCTION("""COMPUTED_VALUE"""),"Allocation")</f>
        <v>Allocation</v>
      </c>
      <c r="B160" t="str">
        <f>IFERROR(__xludf.DUMMYFUNCTION("""COMPUTED_VALUE"""),"OpenAuditTrailUnallocatedGroup")</f>
        <v>OpenAuditTrailUnallocatedGroup</v>
      </c>
      <c r="C160" t="str">
        <f>IFERROR(__xludf.DUMMYFUNCTION("""COMPUTED_VALUE"""),"1Y0k7om8CfyJDAVaQny6RJM2FOaczI_9_CeMmKLHXEPs")</f>
        <v>1Y0k7om8CfyJDAVaQny6RJM2FOaczI_9_CeMmKLHXEPs</v>
      </c>
    </row>
    <row r="161" ht="15.75" customHeight="1">
      <c r="A161" t="str">
        <f>IFERROR(__xludf.DUMMYFUNCTION("""COMPUTED_VALUE"""),"Allocation")</f>
        <v>Allocation</v>
      </c>
      <c r="B161" t="str">
        <f>IFERROR(__xludf.DUMMYFUNCTION("""COMPUTED_VALUE"""),"DeleteCalculatedPreferencesTool")</f>
        <v>DeleteCalculatedPreferencesTool</v>
      </c>
      <c r="C161" t="str">
        <f>IFERROR(__xludf.DUMMYFUNCTION("""COMPUTED_VALUE"""),"1Zf1vOB3JXSBJLqOKJFUHHcDurDxRn5wJ-0Dscz38M_0")</f>
        <v>1Zf1vOB3JXSBJLqOKJFUHHcDurDxRn5wJ-0Dscz38M_0</v>
      </c>
    </row>
    <row r="162" ht="15.75" customHeight="1">
      <c r="A162" t="str">
        <f>IFERROR(__xludf.DUMMYFUNCTION("""COMPUTED_VALUE"""),"Allocation")</f>
        <v>Allocation</v>
      </c>
      <c r="B162" t="str">
        <f>IFERROR(__xludf.DUMMYFUNCTION("""COMPUTED_VALUE"""),"ImportCalculatedPreferencesTool")</f>
        <v>ImportCalculatedPreferencesTool</v>
      </c>
      <c r="C162" t="str">
        <f>IFERROR(__xludf.DUMMYFUNCTION("""COMPUTED_VALUE"""),"1cE4Njh1GV5ltDh3an8b9LC6j3j2CFoqyxA71Ppa6r6Q")</f>
        <v>1cE4Njh1GV5ltDh3an8b9LC6j3j2CFoqyxA71Ppa6r6Q</v>
      </c>
    </row>
    <row r="163" ht="15.75" customHeight="1">
      <c r="A163" t="str">
        <f>IFERROR(__xludf.DUMMYFUNCTION("""COMPUTED_VALUE"""),"GeneralLedger")</f>
        <v>GeneralLedger</v>
      </c>
      <c r="B163" t="str">
        <f>IFERROR(__xludf.DUMMYFUNCTION("""COMPUTED_VALUE"""),"RunRevaluation")</f>
        <v>RunRevaluation</v>
      </c>
      <c r="C163" t="str">
        <f>IFERROR(__xludf.DUMMYFUNCTION("""COMPUTED_VALUE"""),"1jzfiPUeEshd-5NkNUXsy-7PEcse4TglcSbsrp_Dc8HU")</f>
        <v>1jzfiPUeEshd-5NkNUXsy-7PEcse4TglcSbsrp_Dc8HU</v>
      </c>
    </row>
    <row r="164" ht="15.75" customHeight="1">
      <c r="A164" t="str">
        <f>IFERROR(__xludf.DUMMYFUNCTION("""COMPUTED_VALUE"""),"GeneralLedger")</f>
        <v>GeneralLedger</v>
      </c>
      <c r="B164" t="str">
        <f>IFERROR(__xludf.DUMMYFUNCTION("""COMPUTED_VALUE"""),"CalculateDayEndCash")</f>
        <v>CalculateDayEndCash</v>
      </c>
      <c r="C164" t="str">
        <f>IFERROR(__xludf.DUMMYFUNCTION("""COMPUTED_VALUE"""),"undefined")</f>
        <v>undefined</v>
      </c>
    </row>
    <row r="165" ht="15.75" customHeight="1">
      <c r="A165" t="str">
        <f>IFERROR(__xludf.DUMMYFUNCTION("""COMPUTED_VALUE"""),"Allocation")</f>
        <v>Allocation</v>
      </c>
      <c r="B165" t="str">
        <f>IFERROR(__xludf.DUMMYFUNCTION("""COMPUTED_VALUE"""),"ExportAllCalculatedPreferTool")</f>
        <v>ExportAllCalculatedPreferTool</v>
      </c>
      <c r="C165" t="str">
        <f>IFERROR(__xludf.DUMMYFUNCTION("""COMPUTED_VALUE"""),"1euE_u3GY1blYYXNf6RKZVwdD8spyRt853jsUlIwTOw0")</f>
        <v>1euE_u3GY1blYYXNf6RKZVwdD8spyRt853jsUlIwTOw0</v>
      </c>
    </row>
    <row r="166" ht="15.75" customHeight="1">
      <c r="A166" t="str">
        <f>IFERROR(__xludf.DUMMYFUNCTION("""COMPUTED_VALUE"""),"Allocation")</f>
        <v>Allocation</v>
      </c>
      <c r="B166" t="str">
        <f>IFERROR(__xludf.DUMMYFUNCTION("""COMPUTED_VALUE"""),"OpenAuditTrailAllocatedGroup")</f>
        <v>OpenAuditTrailAllocatedGroup</v>
      </c>
      <c r="C166" t="str">
        <f>IFERROR(__xludf.DUMMYFUNCTION("""COMPUTED_VALUE"""),"10xkvvILLWxjyviOPnf_WK9ROWAqVGeSQkCOEpeJmvUg")</f>
        <v>10xkvvILLWxjyviOPnf_WK9ROWAqVGeSQkCOEpeJmvUg</v>
      </c>
    </row>
    <row r="167" ht="15.75" customHeight="1">
      <c r="A167" t="str">
        <f>IFERROR(__xludf.DUMMYFUNCTION("""COMPUTED_VALUE"""),"Allocation")</f>
        <v>Allocation</v>
      </c>
      <c r="B167" t="str">
        <f>IFERROR(__xludf.DUMMYFUNCTION("""COMPUTED_VALUE"""),"OpenSymbolLookupUnallocateGroup")</f>
        <v>OpenSymbolLookupUnallocateGroup</v>
      </c>
      <c r="C167" t="str">
        <f>IFERROR(__xludf.DUMMYFUNCTION("""COMPUTED_VALUE"""),"1P5R2FYDlwHaxxt12yp5VDCc9rtTrQYox51Q8B9lAEwE")</f>
        <v>1P5R2FYDlwHaxxt12yp5VDCc9rtTrQYox51Q8B9lAEwE</v>
      </c>
    </row>
    <row r="168" ht="15.75" customHeight="1">
      <c r="A168" t="str">
        <f>IFERROR(__xludf.DUMMYFUNCTION("""COMPUTED_VALUE"""),"Allocation")</f>
        <v>Allocation</v>
      </c>
      <c r="B168" t="str">
        <f>IFERROR(__xludf.DUMMYFUNCTION("""COMPUTED_VALUE"""),"OpenSymbolLookupAllocatedGroup")</f>
        <v>OpenSymbolLookupAllocatedGroup</v>
      </c>
      <c r="C168" t="str">
        <f>IFERROR(__xludf.DUMMYFUNCTION("""COMPUTED_VALUE"""),"1dWiU5yiJ45sV3M7GzO2U5fuFeWx4uZYWFc3g69wicCM")</f>
        <v>1dWiU5yiJ45sV3M7GzO2U5fuFeWx4uZYWFc3g69wicCM</v>
      </c>
    </row>
    <row r="169" ht="15.75" customHeight="1">
      <c r="A169" t="str">
        <f>IFERROR(__xludf.DUMMYFUNCTION("""COMPUTED_VALUE"""),"Allocation")</f>
        <v>Allocation</v>
      </c>
      <c r="B169" t="str">
        <f>IFERROR(__xludf.DUMMYFUNCTION("""COMPUTED_VALUE"""),"DeleteFixedPreference")</f>
        <v>DeleteFixedPreference</v>
      </c>
      <c r="C169" t="str">
        <f>IFERROR(__xludf.DUMMYFUNCTION("""COMPUTED_VALUE"""),"10Fv19cOj3bnosZSwoQYrQSqzJX3hkCYv9DMeIiNaNJU")</f>
        <v>10Fv19cOj3bnosZSwoQYrQSqzJX3hkCYv9DMeIiNaNJU</v>
      </c>
    </row>
    <row r="170" ht="15.75" customHeight="1">
      <c r="A170" t="str">
        <f>IFERROR(__xludf.DUMMYFUNCTION("""COMPUTED_VALUE"""),"Blotter")</f>
        <v>Blotter</v>
      </c>
      <c r="B170" t="str">
        <f>IFERROR(__xludf.DUMMYFUNCTION("""COMPUTED_VALUE"""),"TransferToUserSubOrder")</f>
        <v>TransferToUserSubOrder</v>
      </c>
      <c r="C170" t="str">
        <f>IFERROR(__xludf.DUMMYFUNCTION("""COMPUTED_VALUE"""),"15-OVgVqDG2Em79pxq7YJDAL6-d6MUtFGTzENqQCiVMc")</f>
        <v>15-OVgVqDG2Em79pxq7YJDAL6-d6MUtFGTzENqQCiVMc</v>
      </c>
    </row>
    <row r="171" ht="15.75" customHeight="1">
      <c r="A171" t="str">
        <f>IFERROR(__xludf.DUMMYFUNCTION("""COMPUTED_VALUE"""),"Blotter")</f>
        <v>Blotter</v>
      </c>
      <c r="B171" t="str">
        <f>IFERROR(__xludf.DUMMYFUNCTION("""COMPUTED_VALUE"""),"DetailsForAlgoTradeOrder")</f>
        <v>DetailsForAlgoTradeOrder</v>
      </c>
      <c r="C171" t="str">
        <f>IFERROR(__xludf.DUMMYFUNCTION("""COMPUTED_VALUE"""),"1ck3szsOznKcX8uczcNnuD3FUMd9fJohIehaAkka70h8")</f>
        <v>1ck3szsOznKcX8uczcNnuD3FUMd9fJohIehaAkka70h8</v>
      </c>
    </row>
    <row r="172" ht="15.75" customHeight="1">
      <c r="A172" t="str">
        <f>IFERROR(__xludf.DUMMYFUNCTION("""COMPUTED_VALUE"""),"Blotter")</f>
        <v>Blotter</v>
      </c>
      <c r="B172" t="str">
        <f>IFERROR(__xludf.DUMMYFUNCTION("""COMPUTED_VALUE"""),"AddFillsSubOrder")</f>
        <v>AddFillsSubOrder</v>
      </c>
      <c r="C172" t="str">
        <f>IFERROR(__xludf.DUMMYFUNCTION("""COMPUTED_VALUE"""),"1MT54QWk68ppoZlAmPewiWRHmLvfcjAI7PC5aw2W3UVo")</f>
        <v>1MT54QWk68ppoZlAmPewiWRHmLvfcjAI7PC5aw2W3UVo</v>
      </c>
    </row>
    <row r="173" ht="15.75" customHeight="1">
      <c r="A173" t="str">
        <f>IFERROR(__xludf.DUMMYFUNCTION("""COMPUTED_VALUE"""),"Blotter")</f>
        <v>Blotter</v>
      </c>
      <c r="B173" t="str">
        <f>IFERROR(__xludf.DUMMYFUNCTION("""COMPUTED_VALUE"""),"ViewAllocationDetailsSubOrder")</f>
        <v>ViewAllocationDetailsSubOrder</v>
      </c>
      <c r="C173" t="str">
        <f>IFERROR(__xludf.DUMMYFUNCTION("""COMPUTED_VALUE"""),"1Lkr5MAwp3hErcyNYcw1_ShXvs11WPRHNEssVy9zfi_w")</f>
        <v>1Lkr5MAwp3hErcyNYcw1_ShXvs11WPRHNEssVy9zfi_w</v>
      </c>
    </row>
    <row r="174" ht="15.75" customHeight="1">
      <c r="A174" t="str">
        <f>IFERROR(__xludf.DUMMYFUNCTION("""COMPUTED_VALUE"""),"GeneralLedger")</f>
        <v>GeneralLedger</v>
      </c>
      <c r="B174" t="str">
        <f>IFERROR(__xludf.DUMMYFUNCTION("""COMPUTED_VALUE"""),"GetCashTransaction")</f>
        <v>GetCashTransaction</v>
      </c>
      <c r="C174" t="str">
        <f>IFERROR(__xludf.DUMMYFUNCTION("""COMPUTED_VALUE"""),"1gWsZu6P8fdTeLcSwKqEpKs23oukXfrI2NnDFhQJ5SL8")</f>
        <v>1gWsZu6P8fdTeLcSwKqEpKs23oukXfrI2NnDFhQJ5SL8</v>
      </c>
    </row>
    <row r="175" ht="15.75" customHeight="1">
      <c r="A175" t="str">
        <f>IFERROR(__xludf.DUMMYFUNCTION("""COMPUTED_VALUE"""),"GeneralLedger")</f>
        <v>GeneralLedger</v>
      </c>
      <c r="B175" t="str">
        <f>IFERROR(__xludf.DUMMYFUNCTION("""COMPUTED_VALUE"""),"SelectCashTransaction")</f>
        <v>SelectCashTransaction</v>
      </c>
      <c r="C175" t="str">
        <f>IFERROR(__xludf.DUMMYFUNCTION("""COMPUTED_VALUE"""),"1iCsiy6EsAlpJ4AhDasW2XCUMA8sqkhY1YKL6VFO-mik")</f>
        <v>1iCsiy6EsAlpJ4AhDasW2XCUMA8sqkhY1YKL6VFO-mik</v>
      </c>
    </row>
    <row r="176" ht="15.75" customHeight="1">
      <c r="A176" t="str">
        <f>IFERROR(__xludf.DUMMYFUNCTION("""COMPUTED_VALUE"""),"GeneralLedger")</f>
        <v>GeneralLedger</v>
      </c>
      <c r="B176" t="str">
        <f>IFERROR(__xludf.DUMMYFUNCTION("""COMPUTED_VALUE"""),"DeleteCashTransaction")</f>
        <v>DeleteCashTransaction</v>
      </c>
      <c r="C176" t="str">
        <f>IFERROR(__xludf.DUMMYFUNCTION("""COMPUTED_VALUE"""),"1p5zM_6V1jp6W72AjDncDlcjNCGEydWFHE9Q6C7_UNJs")</f>
        <v>1p5zM_6V1jp6W72AjDncDlcjNCGEydWFHE9Q6C7_UNJs</v>
      </c>
    </row>
    <row r="177" ht="15.75" customHeight="1">
      <c r="A177" t="str">
        <f>IFERROR(__xludf.DUMMYFUNCTION("""COMPUTED_VALUE"""),"GeneralLedger")</f>
        <v>GeneralLedger</v>
      </c>
      <c r="B177" t="str">
        <f>IFERROR(__xludf.DUMMYFUNCTION("""COMPUTED_VALUE"""),"EditCashTransaction")</f>
        <v>EditCashTransaction</v>
      </c>
      <c r="C177" t="str">
        <f>IFERROR(__xludf.DUMMYFUNCTION("""COMPUTED_VALUE"""),"1Fj5RI9KJs9fyvxlJ-x5CLX7Me-Y8JRBPLaKMbkGbJP4")</f>
        <v>1Fj5RI9KJs9fyvxlJ-x5CLX7Me-Y8JRBPLaKMbkGbJP4</v>
      </c>
    </row>
    <row r="178" ht="15.75" customHeight="1">
      <c r="A178" t="str">
        <f>IFERROR(__xludf.DUMMYFUNCTION("""COMPUTED_VALUE"""),"GeneralLedger")</f>
        <v>GeneralLedger</v>
      </c>
      <c r="B178" t="str">
        <f>IFERROR(__xludf.DUMMYFUNCTION("""COMPUTED_VALUE"""),"AddCashTransaction")</f>
        <v>AddCashTransaction</v>
      </c>
      <c r="C178" t="str">
        <f>IFERROR(__xludf.DUMMYFUNCTION("""COMPUTED_VALUE"""),"1UJAijL5ov_iwtuasZZT7bxW5X_n9tcQvSAdHL9noFr4")</f>
        <v>1UJAijL5ov_iwtuasZZT7bxW5X_n9tcQvSAdHL9noFr4</v>
      </c>
    </row>
    <row r="179" ht="15.75" customHeight="1">
      <c r="A179" t="str">
        <f>IFERROR(__xludf.DUMMYFUNCTION("""COMPUTED_VALUE"""),"Allocation")</f>
        <v>Allocation</v>
      </c>
      <c r="B179" t="str">
        <f>IFERROR(__xludf.DUMMYFUNCTION("""COMPUTED_VALUE"""),"EditAllocatedGroupSidePanel")</f>
        <v>EditAllocatedGroupSidePanel</v>
      </c>
      <c r="C179" t="str">
        <f>IFERROR(__xludf.DUMMYFUNCTION("""COMPUTED_VALUE"""),"1n9BXSuRyrVvzLYXquxBPqlqIEEVaTzV-_x_w3e-i5Ls")</f>
        <v>1n9BXSuRyrVvzLYXquxBPqlqIEEVaTzV-_x_w3e-i5Ls</v>
      </c>
    </row>
    <row r="180" ht="15.75" customHeight="1">
      <c r="A180" t="str">
        <f>IFERROR(__xludf.DUMMYFUNCTION("""COMPUTED_VALUE"""),"DailyValuation")</f>
        <v>DailyValuation</v>
      </c>
      <c r="B180" t="str">
        <f>IFERROR(__xludf.DUMMYFUNCTION("""COMPUTED_VALUE"""),"GetMarkPriceData")</f>
        <v>GetMarkPriceData</v>
      </c>
      <c r="C180" t="str">
        <f>IFERROR(__xludf.DUMMYFUNCTION("""COMPUTED_VALUE"""),"1YeFHGDFK4nbHi9Rs47h9AAx2lalv9HhsD69zV3csGy8")</f>
        <v>1YeFHGDFK4nbHi9Rs47h9AAx2lalv9HhsD69zV3csGy8</v>
      </c>
    </row>
    <row r="181" ht="15.75" customHeight="1">
      <c r="A181" t="str">
        <f>IFERROR(__xludf.DUMMYFUNCTION("""COMPUTED_VALUE"""),"DailyValuation")</f>
        <v>DailyValuation</v>
      </c>
      <c r="B181" t="str">
        <f>IFERROR(__xludf.DUMMYFUNCTION("""COMPUTED_VALUE"""),"GetForwardPoints")</f>
        <v>GetForwardPoints</v>
      </c>
      <c r="C181" t="str">
        <f>IFERROR(__xludf.DUMMYFUNCTION("""COMPUTED_VALUE"""),"1MiGrZTSXutmd7cujyYNd0UqnGibLOPyRrnLMgP4Sr6o")</f>
        <v>1MiGrZTSXutmd7cujyYNd0UqnGibLOPyRrnLMgP4Sr6o</v>
      </c>
    </row>
    <row r="182" ht="15.75" customHeight="1">
      <c r="A182" t="str">
        <f>IFERROR(__xludf.DUMMYFUNCTION("""COMPUTED_VALUE"""),"DailyValuation")</f>
        <v>DailyValuation</v>
      </c>
      <c r="B182" t="str">
        <f>IFERROR(__xludf.DUMMYFUNCTION("""COMPUTED_VALUE"""),"UpdateForwardPoints")</f>
        <v>UpdateForwardPoints</v>
      </c>
      <c r="C182" t="str">
        <f>IFERROR(__xludf.DUMMYFUNCTION("""COMPUTED_VALUE"""),"13YvpTYbNmo3NThVihGZE2Kw0PUae2MHq-qjJOu3wxvU")</f>
        <v>13YvpTYbNmo3NThVihGZE2Kw0PUae2MHq-qjJOu3wxvU</v>
      </c>
    </row>
    <row r="183" ht="15.75" customHeight="1">
      <c r="A183" t="str">
        <f>IFERROR(__xludf.DUMMYFUNCTION("""COMPUTED_VALUE"""),"DailyValuation")</f>
        <v>DailyValuation</v>
      </c>
      <c r="B183" t="str">
        <f>IFERROR(__xludf.DUMMYFUNCTION("""COMPUTED_VALUE"""),"GetForexConversion")</f>
        <v>GetForexConversion</v>
      </c>
      <c r="C183" t="str">
        <f>IFERROR(__xludf.DUMMYFUNCTION("""COMPUTED_VALUE"""),"1KKxuPcmDmDXhFUPaCFFbPF6RwxycCavtqm7S16KEg5Y")</f>
        <v>1KKxuPcmDmDXhFUPaCFFbPF6RwxycCavtqm7S16KEg5Y</v>
      </c>
    </row>
    <row r="184" ht="15.75" customHeight="1">
      <c r="A184" t="str">
        <f>IFERROR(__xludf.DUMMYFUNCTION("""COMPUTED_VALUE"""),"DailyValuation")</f>
        <v>DailyValuation</v>
      </c>
      <c r="B184" t="str">
        <f>IFERROR(__xludf.DUMMYFUNCTION("""COMPUTED_VALUE"""),"DeleteNAV")</f>
        <v>DeleteNAV</v>
      </c>
      <c r="C184" t="str">
        <f>IFERROR(__xludf.DUMMYFUNCTION("""COMPUTED_VALUE"""),"17Zycs069RWng1ieYt4n6O_NZ6ceVd43tU8G9g0-fN8I")</f>
        <v>17Zycs069RWng1ieYt4n6O_NZ6ceVd43tU8G9g0-fN8I</v>
      </c>
    </row>
    <row r="185" ht="15.75" customHeight="1">
      <c r="A185" t="str">
        <f>IFERROR(__xludf.DUMMYFUNCTION("""COMPUTED_VALUE"""),"Allocation")</f>
        <v>Allocation</v>
      </c>
      <c r="B185" t="str">
        <f>IFERROR(__xludf.DUMMYFUNCTION("""COMPUTED_VALUE"""),"CheckUnallocatedGroups")</f>
        <v>CheckUnallocatedGroups</v>
      </c>
      <c r="C185" t="str">
        <f>IFERROR(__xludf.DUMMYFUNCTION("""COMPUTED_VALUE"""),"1j0MZKaTBHe2pQDFZ05nHEEGvfvlI52Alywtq5yhH70s")</f>
        <v>1j0MZKaTBHe2pQDFZ05nHEEGvfvlI52Alywtq5yhH70s</v>
      </c>
    </row>
    <row r="186" ht="15.75" customHeight="1">
      <c r="A186" t="str">
        <f>IFERROR(__xludf.DUMMYFUNCTION("""COMPUTED_VALUE"""),"DailyValuation")</f>
        <v>DailyValuation</v>
      </c>
      <c r="B186" t="str">
        <f>IFERROR(__xludf.DUMMYFUNCTION("""COMPUTED_VALUE"""),"GetDailyCash")</f>
        <v>GetDailyCash</v>
      </c>
      <c r="C186" t="str">
        <f>IFERROR(__xludf.DUMMYFUNCTION("""COMPUTED_VALUE"""),"1oKO0dtODYJio_gXq_EzmSE6Q2rkYTxWRmQ7IN0CHRa4")</f>
        <v>1oKO0dtODYJio_gXq_EzmSE6Q2rkYTxWRmQ7IN0CHRa4</v>
      </c>
    </row>
    <row r="187" ht="15.75" customHeight="1">
      <c r="A187" t="str">
        <f>IFERROR(__xludf.DUMMYFUNCTION("""COMPUTED_VALUE"""),"Allocation")</f>
        <v>Allocation</v>
      </c>
      <c r="B187" t="str">
        <f>IFERROR(__xludf.DUMMYFUNCTION("""COMPUTED_VALUE"""),"SetGeneralPreferences")</f>
        <v>SetGeneralPreferences</v>
      </c>
      <c r="C187" t="str">
        <f>IFERROR(__xludf.DUMMYFUNCTION("""COMPUTED_VALUE"""),"18W3DK31N2RdU0CYRRdvWw5nNRe3GaSCO0hU0sxw-H4U")</f>
        <v>18W3DK31N2RdU0CYRRdvWw5nNRe3GaSCO0hU0sxw-H4U</v>
      </c>
    </row>
    <row r="188" ht="15.75" customHeight="1">
      <c r="A188" t="str">
        <f>IFERROR(__xludf.DUMMYFUNCTION("""COMPUTED_VALUE"""),"DailyValuation")</f>
        <v>DailyValuation</v>
      </c>
      <c r="B188" t="str">
        <f>IFERROR(__xludf.DUMMYFUNCTION("""COMPUTED_VALUE"""),"GetDailyBeta")</f>
        <v>GetDailyBeta</v>
      </c>
      <c r="C188" t="str">
        <f>IFERROR(__xludf.DUMMYFUNCTION("""COMPUTED_VALUE"""),"175lBA_MAWFmudJaoBeId0gWkm7igxqbkXeb1PtlSDoA")</f>
        <v>175lBA_MAWFmudJaoBeId0gWkm7igxqbkXeb1PtlSDoA</v>
      </c>
    </row>
    <row r="189" ht="15.75" customHeight="1">
      <c r="A189" t="str">
        <f>IFERROR(__xludf.DUMMYFUNCTION("""COMPUTED_VALUE"""),"DailyValuation")</f>
        <v>DailyValuation</v>
      </c>
      <c r="B189" t="str">
        <f>IFERROR(__xludf.DUMMYFUNCTION("""COMPUTED_VALUE"""),"GetDailyVolatility")</f>
        <v>GetDailyVolatility</v>
      </c>
      <c r="C189" t="str">
        <f>IFERROR(__xludf.DUMMYFUNCTION("""COMPUTED_VALUE"""),"1sQKTr-JDOFjue2JmgR8y8eR2IEjTDxZjM1tRp8rfVZ4")</f>
        <v>1sQKTr-JDOFjue2JmgR8y8eR2IEjTDxZjM1tRp8rfVZ4</v>
      </c>
    </row>
    <row r="190" ht="15.75" customHeight="1">
      <c r="A190" t="str">
        <f>IFERROR(__xludf.DUMMYFUNCTION("""COMPUTED_VALUE"""),"DailyValuation")</f>
        <v>DailyValuation</v>
      </c>
      <c r="B190" t="str">
        <f>IFERROR(__xludf.DUMMYFUNCTION("""COMPUTED_VALUE"""),"GetDailyDividendYield")</f>
        <v>GetDailyDividendYield</v>
      </c>
      <c r="C190" t="str">
        <f>IFERROR(__xludf.DUMMYFUNCTION("""COMPUTED_VALUE"""),"18LZI70z0zRkOHzZ-aFNo6pUkePW7ThyhbXRWqCIG-N8")</f>
        <v>18LZI70z0zRkOHzZ-aFNo6pUkePW7ThyhbXRWqCIG-N8</v>
      </c>
    </row>
    <row r="191" ht="15.75" customHeight="1">
      <c r="A191" t="str">
        <f>IFERROR(__xludf.DUMMYFUNCTION("""COMPUTED_VALUE"""),"DailyValuation")</f>
        <v>DailyValuation</v>
      </c>
      <c r="B191" t="str">
        <f>IFERROR(__xludf.DUMMYFUNCTION("""COMPUTED_VALUE"""),"GetDailyTradingVolume")</f>
        <v>GetDailyTradingVolume</v>
      </c>
      <c r="C191" t="str">
        <f>IFERROR(__xludf.DUMMYFUNCTION("""COMPUTED_VALUE"""),"1gQFPTtbtlQbHtL6Y-Dbb7k0ZWw6IOVgkyG0cQHk3P1k")</f>
        <v>1gQFPTtbtlQbHtL6Y-Dbb7k0ZWw6IOVgkyG0cQHk3P1k</v>
      </c>
    </row>
    <row r="192" ht="15.75" customHeight="1">
      <c r="A192" t="str">
        <f>IFERROR(__xludf.DUMMYFUNCTION("""COMPUTED_VALUE"""),"DailyValuation")</f>
        <v>DailyValuation</v>
      </c>
      <c r="B192" t="str">
        <f>IFERROR(__xludf.DUMMYFUNCTION("""COMPUTED_VALUE"""),"GetDailyOutstandings")</f>
        <v>GetDailyOutstandings</v>
      </c>
      <c r="C192" t="str">
        <f>IFERROR(__xludf.DUMMYFUNCTION("""COMPUTED_VALUE"""),"1P2ZvDCpcJTPA7yutZIal5f3PGC6e6_xYvPjsIIfGwno")</f>
        <v>1P2ZvDCpcJTPA7yutZIal5f3PGC6e6_xYvPjsIIfGwno</v>
      </c>
    </row>
    <row r="193" ht="15.75" customHeight="1">
      <c r="A193" t="str">
        <f>IFERROR(__xludf.DUMMYFUNCTION("""COMPUTED_VALUE"""),"Allocation")</f>
        <v>Allocation</v>
      </c>
      <c r="B193" t="str">
        <f>IFERROR(__xludf.DUMMYFUNCTION("""COMPUTED_VALUE"""),"GroupTrades")</f>
        <v>GroupTrades</v>
      </c>
      <c r="C193" t="str">
        <f>IFERROR(__xludf.DUMMYFUNCTION("""COMPUTED_VALUE"""),"1DVVPwFtUbivhOmLl_-Ke87upmLsIjYCmPCpyqQQL7GE")</f>
        <v>1DVVPwFtUbivhOmLl_-Ke87upmLsIjYCmPCpyqQQL7GE</v>
      </c>
    </row>
    <row r="194" ht="15.75" customHeight="1">
      <c r="A194" t="str">
        <f>IFERROR(__xludf.DUMMYFUNCTION("""COMPUTED_VALUE"""),"Allocation")</f>
        <v>Allocation</v>
      </c>
      <c r="B194" t="str">
        <f>IFERROR(__xludf.DUMMYFUNCTION("""COMPUTED_VALUE"""),"UngroupTrades")</f>
        <v>UngroupTrades</v>
      </c>
      <c r="C194" t="str">
        <f>IFERROR(__xludf.DUMMYFUNCTION("""COMPUTED_VALUE"""),"14uwsyYP_hNAmpjAa9P4MPLYLein3u1E10CkcVdFlJ-s")</f>
        <v>14uwsyYP_hNAmpjAa9P4MPLYLein3u1E10CkcVdFlJ-s</v>
      </c>
    </row>
    <row r="195" ht="15.75" customHeight="1">
      <c r="A195" t="str">
        <f>IFERROR(__xludf.DUMMYFUNCTION("""COMPUTED_VALUE"""),"Allocation")</f>
        <v>Allocation</v>
      </c>
      <c r="B195" t="str">
        <f>IFERROR(__xludf.DUMMYFUNCTION("""COMPUTED_VALUE"""),"DeleteGroup")</f>
        <v>DeleteGroup</v>
      </c>
      <c r="C195" t="str">
        <f>IFERROR(__xludf.DUMMYFUNCTION("""COMPUTED_VALUE"""),"13QtG3gZH45PkqubENv0lSqP68CbF05IB4dM27NtKl3o")</f>
        <v>13QtG3gZH45PkqubENv0lSqP68CbF05IB4dM27NtKl3o</v>
      </c>
    </row>
    <row r="196" ht="15.75" customHeight="1">
      <c r="A196" t="str">
        <f>IFERROR(__xludf.DUMMYFUNCTION("""COMPUTED_VALUE"""),"Allocation")</f>
        <v>Allocation</v>
      </c>
      <c r="B196" t="str">
        <f>IFERROR(__xludf.DUMMYFUNCTION("""COMPUTED_VALUE"""),"CloseOrder")</f>
        <v>CloseOrder</v>
      </c>
      <c r="C196" t="str">
        <f>IFERROR(__xludf.DUMMYFUNCTION("""COMPUTED_VALUE"""),"18xh-lBAS89YQ--EIjTatfp-D1Kwq9U4UxJNZyYDZGtc")</f>
        <v>18xh-lBAS89YQ--EIjTatfp-D1Kwq9U4UxJNZyYDZGtc</v>
      </c>
    </row>
    <row r="197" ht="15.75" customHeight="1">
      <c r="A197" t="str">
        <f>IFERROR(__xludf.DUMMYFUNCTION("""COMPUTED_VALUE"""),"Allocation")</f>
        <v>Allocation</v>
      </c>
      <c r="B197" t="str">
        <f>IFERROR(__xludf.DUMMYFUNCTION("""COMPUTED_VALUE"""),"Unallocate")</f>
        <v>Unallocate</v>
      </c>
      <c r="C197" t="str">
        <f>IFERROR(__xludf.DUMMYFUNCTION("""COMPUTED_VALUE"""),"1U4wXJzuxI444D3KBBkErR3jujPNFIeOXqzTcjs7uFk4")</f>
        <v>1U4wXJzuxI444D3KBBkErR3jujPNFIeOXqzTcjs7uFk4</v>
      </c>
    </row>
    <row r="198" ht="15.75" customHeight="1">
      <c r="A198" t="str">
        <f>IFERROR(__xludf.DUMMYFUNCTION("""COMPUTED_VALUE"""),"DailyValuation")</f>
        <v>DailyValuation</v>
      </c>
      <c r="B198" t="str">
        <f>IFERROR(__xludf.DUMMYFUNCTION("""COMPUTED_VALUE"""),"GetDailyDelta")</f>
        <v>GetDailyDelta</v>
      </c>
      <c r="C198" t="str">
        <f>IFERROR(__xludf.DUMMYFUNCTION("""COMPUTED_VALUE"""),"1EvVjoTD032TySfzJXw9gVNA5t-mn99j3tqeMXnXxoLo")</f>
        <v>1EvVjoTD032TySfzJXw9gVNA5t-mn99j3tqeMXnXxoLo</v>
      </c>
    </row>
    <row r="199" ht="15.75" customHeight="1">
      <c r="A199" t="str">
        <f>IFERROR(__xludf.DUMMYFUNCTION("""COMPUTED_VALUE"""),"DailyValuation")</f>
        <v>DailyValuation</v>
      </c>
      <c r="B199" t="str">
        <f>IFERROR(__xludf.DUMMYFUNCTION("""COMPUTED_VALUE"""),"UpdateDailyVolatility")</f>
        <v>UpdateDailyVolatility</v>
      </c>
      <c r="C199" t="str">
        <f>IFERROR(__xludf.DUMMYFUNCTION("""COMPUTED_VALUE"""),"1uo0qBFSjypCkvQFFO_xyPzzor9bEFiGOx2kCB7eZtc0")</f>
        <v>1uo0qBFSjypCkvQFFO_xyPzzor9bEFiGOx2kCB7eZtc0</v>
      </c>
    </row>
    <row r="200" ht="15.75" customHeight="1">
      <c r="A200" t="str">
        <f>IFERROR(__xludf.DUMMYFUNCTION("""COMPUTED_VALUE"""),"GeneralLedger")</f>
        <v>GeneralLedger</v>
      </c>
      <c r="B200" t="str">
        <f>IFERROR(__xludf.DUMMYFUNCTION("""COMPUTED_VALUE"""),"AddOpeningBalanceTransaction")</f>
        <v>AddOpeningBalanceTransaction</v>
      </c>
      <c r="C200" t="str">
        <f>IFERROR(__xludf.DUMMYFUNCTION("""COMPUTED_VALUE"""),"15lt-nTUfSNjgvlEflxa4N8HdBSjUq2aSfcorYolBUAs")</f>
        <v>15lt-nTUfSNjgvlEflxa4N8HdBSjUq2aSfcorYolBUAs</v>
      </c>
    </row>
    <row r="201" ht="15.75" customHeight="1">
      <c r="A201" t="str">
        <f>IFERROR(__xludf.DUMMYFUNCTION("""COMPUTED_VALUE"""),"GeneralLedger")</f>
        <v>GeneralLedger</v>
      </c>
      <c r="B201" t="str">
        <f>IFERROR(__xludf.DUMMYFUNCTION("""COMPUTED_VALUE"""),"AddOpeningBalanceTranItem")</f>
        <v>AddOpeningBalanceTranItem</v>
      </c>
      <c r="C201" t="str">
        <f>IFERROR(__xludf.DUMMYFUNCTION("""COMPUTED_VALUE"""),"1DH8m8i4Qq1FRMeP1xeY5NPN2003TNy7bMleHo7w9vpI")</f>
        <v>1DH8m8i4Qq1FRMeP1xeY5NPN2003TNy7bMleHo7w9vpI</v>
      </c>
    </row>
    <row r="202" ht="15.75" customHeight="1">
      <c r="A202" t="str">
        <f>IFERROR(__xludf.DUMMYFUNCTION("""COMPUTED_VALUE"""),"Blotter")</f>
        <v>Blotter</v>
      </c>
      <c r="B202" t="str">
        <f>IFERROR(__xludf.DUMMYFUNCTION("""COMPUTED_VALUE"""),"CancelAllSubs")</f>
        <v>CancelAllSubs</v>
      </c>
      <c r="C202" t="str">
        <f>IFERROR(__xludf.DUMMYFUNCTION("""COMPUTED_VALUE"""),"1bYjRsTDybpFVpmrR8hrMTWz443Y9xS0smrogdLmz8jU")</f>
        <v>1bYjRsTDybpFVpmrR8hrMTWz443Y9xS0smrogdLmz8jU</v>
      </c>
    </row>
    <row r="203" ht="15.75" customHeight="1">
      <c r="A203" t="str">
        <f>IFERROR(__xludf.DUMMYFUNCTION("""COMPUTED_VALUE"""),"Blotter")</f>
        <v>Blotter</v>
      </c>
      <c r="B203" t="str">
        <f>IFERROR(__xludf.DUMMYFUNCTION("""COMPUTED_VALUE"""),"CancelSubOrder")</f>
        <v>CancelSubOrder</v>
      </c>
      <c r="C203" t="str">
        <f>IFERROR(__xludf.DUMMYFUNCTION("""COMPUTED_VALUE"""),"1Aog2FKNXledg-NmWJRe94eWJeWxyZa9CMG3_TwF2hSA")</f>
        <v>1Aog2FKNXledg-NmWJRe94eWJeWxyZa9CMG3_TwF2hSA</v>
      </c>
    </row>
    <row r="204" ht="15.75" customHeight="1">
      <c r="A204" t="str">
        <f>IFERROR(__xludf.DUMMYFUNCTION("""COMPUTED_VALUE"""),"Blotter")</f>
        <v>Blotter</v>
      </c>
      <c r="B204" t="str">
        <f>IFERROR(__xludf.DUMMYFUNCTION("""COMPUTED_VALUE"""),"EditStageOrder")</f>
        <v>EditStageOrder</v>
      </c>
      <c r="C204" t="str">
        <f>IFERROR(__xludf.DUMMYFUNCTION("""COMPUTED_VALUE"""),"1Q75ZXDUBIQ-EYCXJzcayoOZnyEvR7Te7R6YiiBrn4Fw")</f>
        <v>1Q75ZXDUBIQ-EYCXJzcayoOZnyEvR7Te7R6YiiBrn4Fw</v>
      </c>
    </row>
    <row r="205" ht="15.75" customHeight="1">
      <c r="A205" t="str">
        <f>IFERROR(__xludf.DUMMYFUNCTION("""COMPUTED_VALUE"""),"Blotter")</f>
        <v>Blotter</v>
      </c>
      <c r="B205" t="str">
        <f>IFERROR(__xludf.DUMMYFUNCTION("""COMPUTED_VALUE"""),"ReplaceSubOrder")</f>
        <v>ReplaceSubOrder</v>
      </c>
      <c r="C205" t="str">
        <f>IFERROR(__xludf.DUMMYFUNCTION("""COMPUTED_VALUE"""),"17VYB1TUXW6ptwR8v_a2tyrxMyJYSdLT3E20OaTqLis4")</f>
        <v>17VYB1TUXW6ptwR8v_a2tyrxMyJYSdLT3E20OaTqLis4</v>
      </c>
    </row>
    <row r="206" ht="15.75" customHeight="1">
      <c r="A206" t="str">
        <f>IFERROR(__xludf.DUMMYFUNCTION("""COMPUTED_VALUE"""),"Blotter")</f>
        <v>Blotter</v>
      </c>
      <c r="B206" t="str">
        <f>IFERROR(__xludf.DUMMYFUNCTION("""COMPUTED_VALUE"""),"SelectTradeWorkingSubsBlotter")</f>
        <v>SelectTradeWorkingSubsBlotter</v>
      </c>
      <c r="C206" t="str">
        <f>IFERROR(__xludf.DUMMYFUNCTION("""COMPUTED_VALUE"""),"1zuz4WFM4veTzlIk0hPFaED7NShVVtV3M3H96aH707tk")</f>
        <v>1zuz4WFM4veTzlIk0hPFaED7NShVVtV3M3H96aH707tk</v>
      </c>
    </row>
    <row r="207" ht="15.75" customHeight="1">
      <c r="A207" t="str">
        <f>IFERROR(__xludf.DUMMYFUNCTION("""COMPUTED_VALUE"""),"Blotter")</f>
        <v>Blotter</v>
      </c>
      <c r="B207" t="str">
        <f>IFERROR(__xludf.DUMMYFUNCTION("""COMPUTED_VALUE"""),"VerifyAlgoDetails")</f>
        <v>VerifyAlgoDetails</v>
      </c>
      <c r="C207" t="str">
        <f>IFERROR(__xludf.DUMMYFUNCTION("""COMPUTED_VALUE"""),"1_GQFckcT00jBYdR7a8rSRFHMJjWiv0KEDGAeJ-jcKKE")</f>
        <v>1_GQFckcT00jBYdR7a8rSRFHMJjWiv0KEDGAeJ-jcKKE</v>
      </c>
    </row>
    <row r="208" ht="15.75" customHeight="1">
      <c r="A208" t="str">
        <f>IFERROR(__xludf.DUMMYFUNCTION("""COMPUTED_VALUE"""),"Blotter")</f>
        <v>Blotter</v>
      </c>
      <c r="B208" t="str">
        <f>IFERROR(__xludf.DUMMYFUNCTION("""COMPUTED_VALUE"""),"VerifyTransferToUserOrder")</f>
        <v>VerifyTransferToUserOrder</v>
      </c>
      <c r="C208" t="str">
        <f>IFERROR(__xludf.DUMMYFUNCTION("""COMPUTED_VALUE"""),"1KXa8gITpSjwlX1JvvOAW0jDfGIy5UnQx3sJN6gJrcBg")</f>
        <v>1KXa8gITpSjwlX1JvvOAW0jDfGIy5UnQx3sJN6gJrcBg</v>
      </c>
    </row>
    <row r="209" ht="15.75" customHeight="1">
      <c r="A209" t="str">
        <f>IFERROR(__xludf.DUMMYFUNCTION("""COMPUTED_VALUE"""),"Blotter")</f>
        <v>Blotter</v>
      </c>
      <c r="B209" t="str">
        <f>IFERROR(__xludf.DUMMYFUNCTION("""COMPUTED_VALUE"""),"VerifyTransferToUserSubOdr")</f>
        <v>VerifyTransferToUserSubOdr</v>
      </c>
      <c r="C209" t="str">
        <f>IFERROR(__xludf.DUMMYFUNCTION("""COMPUTED_VALUE"""),"1jB8z3I5yMthH4XtX4HbKhklvniCAeFbyrWTpzZ9XKvc")</f>
        <v>1jB8z3I5yMthH4XtX4HbKhklvniCAeFbyrWTpzZ9XKvc</v>
      </c>
    </row>
    <row r="210" ht="15.75" customHeight="1">
      <c r="A210" t="str">
        <f>IFERROR(__xludf.DUMMYFUNCTION("""COMPUTED_VALUE"""),"Blotter")</f>
        <v>Blotter</v>
      </c>
      <c r="B210" t="str">
        <f>IFERROR(__xludf.DUMMYFUNCTION("""COMPUTED_VALUE"""),"VerifyTransferToUserWorkSub")</f>
        <v>VerifyTransferToUserWorkSub</v>
      </c>
      <c r="C210" t="str">
        <f>IFERROR(__xludf.DUMMYFUNCTION("""COMPUTED_VALUE"""),"1fq83kzKCDhFT0Fi9dgsfQKMuNpAc3v4gV1Qbsldz3h8")</f>
        <v>1fq83kzKCDhFT0Fi9dgsfQKMuNpAc3v4gV1Qbsldz3h8</v>
      </c>
    </row>
    <row r="211" ht="15.75" customHeight="1">
      <c r="A211" t="str">
        <f>IFERROR(__xludf.DUMMYFUNCTION("""COMPUTED_VALUE"""),"Blotter")</f>
        <v>Blotter</v>
      </c>
      <c r="B211" t="str">
        <f>IFERROR(__xludf.DUMMYFUNCTION("""COMPUTED_VALUE"""),"SaveLayoutOrderGrid")</f>
        <v>SaveLayoutOrderGrid</v>
      </c>
      <c r="C211" t="str">
        <f>IFERROR(__xludf.DUMMYFUNCTION("""COMPUTED_VALUE"""),"1JYODO_uKPLBSeaxw5rmQVcUuWB2imU7o869smQvOuxU")</f>
        <v>1JYODO_uKPLBSeaxw5rmQVcUuWB2imU7o869smQvOuxU</v>
      </c>
    </row>
    <row r="212" ht="15.75" customHeight="1">
      <c r="A212" t="str">
        <f>IFERROR(__xludf.DUMMYFUNCTION("""COMPUTED_VALUE"""),"DailyValuation")</f>
        <v>DailyValuation</v>
      </c>
      <c r="B212" t="str">
        <f>IFERROR(__xludf.DUMMYFUNCTION("""COMPUTED_VALUE"""),"UpdateDividendYield")</f>
        <v>UpdateDividendYield</v>
      </c>
      <c r="C212" t="str">
        <f>IFERROR(__xludf.DUMMYFUNCTION("""COMPUTED_VALUE"""),"1weOZeHVOJsLyIZM3dZs2ACjYrRO49tWQkWIQsAU8fTE")</f>
        <v>1weOZeHVOJsLyIZM3dZs2ACjYrRO49tWQkWIQsAU8fTE</v>
      </c>
    </row>
    <row r="213" ht="15.75" customHeight="1">
      <c r="A213" t="str">
        <f>IFERROR(__xludf.DUMMYFUNCTION("""COMPUTED_VALUE"""),"DailyValuation")</f>
        <v>DailyValuation</v>
      </c>
      <c r="B213" t="str">
        <f>IFERROR(__xludf.DUMMYFUNCTION("""COMPUTED_VALUE"""),"UpdateTradingVolume")</f>
        <v>UpdateTradingVolume</v>
      </c>
      <c r="C213" t="str">
        <f>IFERROR(__xludf.DUMMYFUNCTION("""COMPUTED_VALUE"""),"1ZESR_kMepfUvTmpE2qynJgfXoxake4l0VcC4pNO8LzA")</f>
        <v>1ZESR_kMepfUvTmpE2qynJgfXoxake4l0VcC4pNO8LzA</v>
      </c>
    </row>
    <row r="214" ht="15.75" customHeight="1">
      <c r="A214" t="str">
        <f>IFERROR(__xludf.DUMMYFUNCTION("""COMPUTED_VALUE"""),"DailyValuation")</f>
        <v>DailyValuation</v>
      </c>
      <c r="B214" t="str">
        <f>IFERROR(__xludf.DUMMYFUNCTION("""COMPUTED_VALUE"""),"UpdateDailyDelta")</f>
        <v>UpdateDailyDelta</v>
      </c>
      <c r="C214" t="str">
        <f>IFERROR(__xludf.DUMMYFUNCTION("""COMPUTED_VALUE"""),"1r0PvMKr873S1yfp9cHKySnwrldippMPMVoZdf43rqK8")</f>
        <v>1r0PvMKr873S1yfp9cHKySnwrldippMPMVoZdf43rqK8</v>
      </c>
    </row>
    <row r="215" ht="15.75" customHeight="1">
      <c r="A215" t="str">
        <f>IFERROR(__xludf.DUMMYFUNCTION("""COMPUTED_VALUE"""),"DailyValuation")</f>
        <v>DailyValuation</v>
      </c>
      <c r="B215" t="str">
        <f>IFERROR(__xludf.DUMMYFUNCTION("""COMPUTED_VALUE"""),"UpdateDailyOutstandings")</f>
        <v>UpdateDailyOutstandings</v>
      </c>
      <c r="C215" t="str">
        <f>IFERROR(__xludf.DUMMYFUNCTION("""COMPUTED_VALUE"""),"1SnAbZP1_-LHY3PpvSSjTJMIbe_8gsQXRLKEyiUygPg4")</f>
        <v>1SnAbZP1_-LHY3PpvSSjTJMIbe_8gsQXRLKEyiUygPg4</v>
      </c>
    </row>
    <row r="216" ht="15.75" customHeight="1">
      <c r="A216" t="str">
        <f>IFERROR(__xludf.DUMMYFUNCTION("""COMPUTED_VALUE"""),"Closing")</f>
        <v>Closing</v>
      </c>
      <c r="B216" t="str">
        <f>IFERROR(__xludf.DUMMYFUNCTION("""COMPUTED_VALUE"""),"GetDataClosing")</f>
        <v>GetDataClosing</v>
      </c>
      <c r="C216" t="str">
        <f>IFERROR(__xludf.DUMMYFUNCTION("""COMPUTED_VALUE"""),"1fXCOGRVd7ctz9NiTkQBLLoiX3nSlZKgoic2xkW0v684")</f>
        <v>1fXCOGRVd7ctz9NiTkQBLLoiX3nSlZKgoic2xkW0v684</v>
      </c>
    </row>
    <row r="217" ht="15.75" customHeight="1">
      <c r="A217" t="str">
        <f>IFERROR(__xludf.DUMMYFUNCTION("""COMPUTED_VALUE"""),"Closing")</f>
        <v>Closing</v>
      </c>
      <c r="B217" t="str">
        <f>IFERROR(__xludf.DUMMYFUNCTION("""COMPUTED_VALUE"""),"ManualClosing")</f>
        <v>ManualClosing</v>
      </c>
      <c r="C217" t="str">
        <f>IFERROR(__xludf.DUMMYFUNCTION("""COMPUTED_VALUE"""),"1V4YXKd8h8921rDajwTrmF9IS6TyYiIfoXghpclUszxk")</f>
        <v>1V4YXKd8h8921rDajwTrmF9IS6TyYiIfoXghpclUszxk</v>
      </c>
    </row>
    <row r="218" ht="15.75" customHeight="1">
      <c r="A218" t="str">
        <f>IFERROR(__xludf.DUMMYFUNCTION("""COMPUTED_VALUE"""),"Closing")</f>
        <v>Closing</v>
      </c>
      <c r="B218" t="str">
        <f>IFERROR(__xludf.DUMMYFUNCTION("""COMPUTED_VALUE"""),"AutomaticClosing")</f>
        <v>AutomaticClosing</v>
      </c>
      <c r="C218" t="str">
        <f>IFERROR(__xludf.DUMMYFUNCTION("""COMPUTED_VALUE"""),"11Fj2b-qpUUOR9FXVXVEd8W6NpSSLN1xH3ue_KLVLUXE")</f>
        <v>11Fj2b-qpUUOR9FXVXVEd8W6NpSSLN1xH3ue_KLVLUXE</v>
      </c>
    </row>
    <row r="219" ht="15.75" customHeight="1">
      <c r="A219" t="str">
        <f>IFERROR(__xludf.DUMMYFUNCTION("""COMPUTED_VALUE"""),"Closing")</f>
        <v>Closing</v>
      </c>
      <c r="B219" t="str">
        <f>IFERROR(__xludf.DUMMYFUNCTION("""COMPUTED_VALUE"""),"UnwindClosing")</f>
        <v>UnwindClosing</v>
      </c>
      <c r="C219" t="str">
        <f>IFERROR(__xludf.DUMMYFUNCTION("""COMPUTED_VALUE"""),"1fWFBM-fAcfCHGLGmZ05e7b-33SZ0WHV69e-2UjgnGew")</f>
        <v>1fWFBM-fAcfCHGLGmZ05e7b-33SZ0WHV69e-2UjgnGew</v>
      </c>
    </row>
    <row r="220" ht="15.75" customHeight="1">
      <c r="A220" t="str">
        <f>IFERROR(__xludf.DUMMYFUNCTION("""COMPUTED_VALUE"""),"Closing")</f>
        <v>Closing</v>
      </c>
      <c r="B220" t="str">
        <f>IFERROR(__xludf.DUMMYFUNCTION("""COMPUTED_VALUE"""),"VerifyClosedTrades")</f>
        <v>VerifyClosedTrades</v>
      </c>
      <c r="C220" t="str">
        <f>IFERROR(__xludf.DUMMYFUNCTION("""COMPUTED_VALUE"""),"1ukV644mYAZQ5cCmM_xHU1TlCSxw7YhF_op2JRldIO1Y")</f>
        <v>1ukV644mYAZQ5cCmM_xHU1TlCSxw7YhF_op2JRldIO1Y</v>
      </c>
    </row>
    <row r="221" ht="15.75" customHeight="1">
      <c r="A221" t="str">
        <f>IFERROR(__xludf.DUMMYFUNCTION("""COMPUTED_VALUE"""),"Closing")</f>
        <v>Closing</v>
      </c>
      <c r="B221" t="str">
        <f>IFERROR(__xludf.DUMMYFUNCTION("""COMPUTED_VALUE"""),"VerifyLongPositionsGrid")</f>
        <v>VerifyLongPositionsGrid</v>
      </c>
      <c r="C221" t="str">
        <f>IFERROR(__xludf.DUMMYFUNCTION("""COMPUTED_VALUE"""),"1ejWWHYHX79GNeqnpEIv1pY3fHEtH3w2SxCklunau7pU")</f>
        <v>1ejWWHYHX79GNeqnpEIv1pY3fHEtH3w2SxCklunau7pU</v>
      </c>
    </row>
    <row r="222" ht="15.75" customHeight="1">
      <c r="A222" t="str">
        <f>IFERROR(__xludf.DUMMYFUNCTION("""COMPUTED_VALUE"""),"Closing")</f>
        <v>Closing</v>
      </c>
      <c r="B222" t="str">
        <f>IFERROR(__xludf.DUMMYFUNCTION("""COMPUTED_VALUE"""),"VerifyShortPositionsGrid")</f>
        <v>VerifyShortPositionsGrid</v>
      </c>
      <c r="C222" t="str">
        <f>IFERROR(__xludf.DUMMYFUNCTION("""COMPUTED_VALUE"""),"1C9nr9UaSw19k3RlZOh6C32ihCaOsw9e8EzB5exzVqdI")</f>
        <v>1C9nr9UaSw19k3RlZOh6C32ihCaOsw9e8EzB5exzVqdI</v>
      </c>
    </row>
    <row r="223" ht="15.75" customHeight="1">
      <c r="A223" t="str">
        <f>IFERROR(__xludf.DUMMYFUNCTION("""COMPUTED_VALUE"""),"Closing")</f>
        <v>Closing</v>
      </c>
      <c r="B223" t="str">
        <f>IFERROR(__xludf.DUMMYFUNCTION("""COMPUTED_VALUE"""),"SelectTradeUnexpiredUnsettled")</f>
        <v>SelectTradeUnexpiredUnsettled</v>
      </c>
      <c r="C223" t="str">
        <f>IFERROR(__xludf.DUMMYFUNCTION("""COMPUTED_VALUE"""),"1zpJ5COKg0t3DKjAupe3b9VWJWwFOshN0jcUXXcmwOCY")</f>
        <v>1zpJ5COKg0t3DKjAupe3b9VWJWwFOshN0jcUXXcmwOCY</v>
      </c>
    </row>
    <row r="224" ht="15.75" customHeight="1">
      <c r="A224" t="str">
        <f>IFERROR(__xludf.DUMMYFUNCTION("""COMPUTED_VALUE"""),"Closing")</f>
        <v>Closing</v>
      </c>
      <c r="B224" t="str">
        <f>IFERROR(__xludf.DUMMYFUNCTION("""COMPUTED_VALUE"""),"CashSettlementAtCost")</f>
        <v>CashSettlementAtCost</v>
      </c>
      <c r="C224" t="str">
        <f>IFERROR(__xludf.DUMMYFUNCTION("""COMPUTED_VALUE"""),"1BRf1AxKf-ZXo6cETDcf1qs9hsphlkZWn3nC_UQ8uulE")</f>
        <v>1BRf1AxKf-ZXo6cETDcf1qs9hsphlkZWn3nC_UQ8uulE</v>
      </c>
    </row>
    <row r="225" ht="15.75" customHeight="1">
      <c r="A225" t="str">
        <f>IFERROR(__xludf.DUMMYFUNCTION("""COMPUTED_VALUE"""),"Closing")</f>
        <v>Closing</v>
      </c>
      <c r="B225" t="str">
        <f>IFERROR(__xludf.DUMMYFUNCTION("""COMPUTED_VALUE"""),"CashSettlementAtZeroPrice")</f>
        <v>CashSettlementAtZeroPrice</v>
      </c>
      <c r="C225" t="str">
        <f>IFERROR(__xludf.DUMMYFUNCTION("""COMPUTED_VALUE"""),"1Z1Ooq9Bs8nqmf2xqnglXRlccDJnbGAIOB06M9ekj2rs")</f>
        <v>1Z1Ooq9Bs8nqmf2xqnglXRlccDJnbGAIOB06M9ekj2rs</v>
      </c>
    </row>
    <row r="226" ht="15.75" customHeight="1">
      <c r="A226" t="str">
        <f>IFERROR(__xludf.DUMMYFUNCTION("""COMPUTED_VALUE"""),"Closing")</f>
        <v>Closing</v>
      </c>
      <c r="B226" t="str">
        <f>IFERROR(__xludf.DUMMYFUNCTION("""COMPUTED_VALUE"""),"CashSettlementAtClosingDtSpotPx")</f>
        <v>CashSettlementAtClosingDtSpotPx</v>
      </c>
      <c r="C226" t="str">
        <f>IFERROR(__xludf.DUMMYFUNCTION("""COMPUTED_VALUE"""),"1g2BlDzMuPLqY5xVnCrcfbtfe9kWQV3CgE6JfSKlxSzg")</f>
        <v>1g2BlDzMuPLqY5xVnCrcfbtfe9kWQV3CgE6JfSKlxSzg</v>
      </c>
    </row>
    <row r="227" ht="15.75" customHeight="1">
      <c r="A227" t="str">
        <f>IFERROR(__xludf.DUMMYFUNCTION("""COMPUTED_VALUE"""),"Closing")</f>
        <v>Closing</v>
      </c>
      <c r="B227" t="str">
        <f>IFERROR(__xludf.DUMMYFUNCTION("""COMPUTED_VALUE"""),"PhysicalSettlement")</f>
        <v>PhysicalSettlement</v>
      </c>
      <c r="C227" t="str">
        <f>IFERROR(__xludf.DUMMYFUNCTION("""COMPUTED_VALUE"""),"1desQWnGI98GIc1vxX0YFAvK6eM6Up2OfO7mDBlu8DyE")</f>
        <v>1desQWnGI98GIc1vxX0YFAvK6eM6Up2OfO7mDBlu8DyE</v>
      </c>
    </row>
    <row r="228" ht="15.75" customHeight="1">
      <c r="A228" t="str">
        <f>IFERROR(__xludf.DUMMYFUNCTION("""COMPUTED_VALUE"""),"Closing")</f>
        <v>Closing</v>
      </c>
      <c r="B228" t="str">
        <f>IFERROR(__xludf.DUMMYFUNCTION("""COMPUTED_VALUE"""),"Expire")</f>
        <v>Expire</v>
      </c>
      <c r="C228" t="str">
        <f>IFERROR(__xludf.DUMMYFUNCTION("""COMPUTED_VALUE"""),"1VWFe_7Bzpo4sOh0lngtoR43fbAhailkC7sT-1MShuLo")</f>
        <v>1VWFe_7Bzpo4sOh0lngtoR43fbAhailkC7sT-1MShuLo</v>
      </c>
    </row>
    <row r="229" ht="15.75" customHeight="1">
      <c r="A229" t="str">
        <f>IFERROR(__xludf.DUMMYFUNCTION("""COMPUTED_VALUE"""),"Closing")</f>
        <v>Closing</v>
      </c>
      <c r="B229" t="str">
        <f>IFERROR(__xludf.DUMMYFUNCTION("""COMPUTED_VALUE"""),"ExerciseAssignment")</f>
        <v>ExerciseAssignment</v>
      </c>
      <c r="C229" t="str">
        <f>IFERROR(__xludf.DUMMYFUNCTION("""COMPUTED_VALUE"""),"1DQNjGNN_8R1Id_RNxpiXZmk1V3qnXnTg-7JWhtLHIOM")</f>
        <v>1DQNjGNN_8R1Id_RNxpiXZmk1V3qnXnTg-7JWhtLHIOM</v>
      </c>
    </row>
    <row r="230" ht="15.75" customHeight="1">
      <c r="A230" t="str">
        <f>IFERROR(__xludf.DUMMYFUNCTION("""COMPUTED_VALUE"""),"Closing")</f>
        <v>Closing</v>
      </c>
      <c r="B230" t="str">
        <f>IFERROR(__xludf.DUMMYFUNCTION("""COMPUTED_VALUE"""),"ExerciseAssignmentAtZero")</f>
        <v>ExerciseAssignmentAtZero</v>
      </c>
      <c r="C230" t="str">
        <f>IFERROR(__xludf.DUMMYFUNCTION("""COMPUTED_VALUE"""),"1UCVBiqZ-hQHZCTT2TvmNRmPPUYAp6soMftJvf3IJb-U")</f>
        <v>1UCVBiqZ-hQHZCTT2TvmNRmPPUYAp6soMftJvf3IJb-U</v>
      </c>
    </row>
    <row r="231" ht="15.75" customHeight="1">
      <c r="A231" t="str">
        <f>IFERROR(__xludf.DUMMYFUNCTION("""COMPUTED_VALUE"""),"Closing")</f>
        <v>Closing</v>
      </c>
      <c r="B231" t="str">
        <f>IFERROR(__xludf.DUMMYFUNCTION("""COMPUTED_VALUE"""),"SwapExpireAndRollover")</f>
        <v>SwapExpireAndRollover</v>
      </c>
      <c r="C231" t="str">
        <f>IFERROR(__xludf.DUMMYFUNCTION("""COMPUTED_VALUE"""),"1Wys20XtOSKAzbhZ6D_ru6oNOCYqcpyBFkLMGVYyy2WM")</f>
        <v>1Wys20XtOSKAzbhZ6D_ru6oNOCYqcpyBFkLMGVYyy2WM</v>
      </c>
    </row>
    <row r="232" ht="15.75" customHeight="1">
      <c r="A232" t="str">
        <f>IFERROR(__xludf.DUMMYFUNCTION("""COMPUTED_VALUE"""),"Closing")</f>
        <v>Closing</v>
      </c>
      <c r="B232" t="str">
        <f>IFERROR(__xludf.DUMMYFUNCTION("""COMPUTED_VALUE"""),"SwapExpire")</f>
        <v>SwapExpire</v>
      </c>
      <c r="C232" t="str">
        <f>IFERROR(__xludf.DUMMYFUNCTION("""COMPUTED_VALUE"""),"1OH-wAFF1VTun24XmawHlbGMs8NMsZ4gsFJ8tDgp1nf0")</f>
        <v>1OH-wAFF1VTun24XmawHlbGMs8NMsZ4gsFJ8tDgp1nf0</v>
      </c>
    </row>
    <row r="233" ht="15.75" customHeight="1">
      <c r="A233" t="str">
        <f>IFERROR(__xludf.DUMMYFUNCTION("""COMPUTED_VALUE"""),"Closing")</f>
        <v>Closing</v>
      </c>
      <c r="B233" t="str">
        <f>IFERROR(__xludf.DUMMYFUNCTION("""COMPUTED_VALUE"""),"VerifyExpiredSettledGrid")</f>
        <v>VerifyExpiredSettledGrid</v>
      </c>
      <c r="C233" t="str">
        <f>IFERROR(__xludf.DUMMYFUNCTION("""COMPUTED_VALUE"""),"1u62Kj38ddSce6mjA7g4i_1lPA5fUScW985zdMGo3BYA")</f>
        <v>1u62Kj38ddSce6mjA7g4i_1lPA5fUScW985zdMGo3BYA</v>
      </c>
    </row>
    <row r="234" ht="15.75" customHeight="1">
      <c r="A234" t="str">
        <f>IFERROR(__xludf.DUMMYFUNCTION("""COMPUTED_VALUE"""),"Closing")</f>
        <v>Closing</v>
      </c>
      <c r="B234" t="str">
        <f>IFERROR(__xludf.DUMMYFUNCTION("""COMPUTED_VALUE"""),"VerifyUnExpiredUnSettledGrid")</f>
        <v>VerifyUnExpiredUnSettledGrid</v>
      </c>
      <c r="C234" t="str">
        <f>IFERROR(__xludf.DUMMYFUNCTION("""COMPUTED_VALUE"""),"1G__9tJvjvOtaGer3XqVAzGCQYG07hudOPpD60H34Zy8")</f>
        <v>1G__9tJvjvOtaGer3XqVAzGCQYG07hudOPpD60H34Zy8</v>
      </c>
    </row>
    <row r="235" ht="15.75" customHeight="1">
      <c r="A235" t="str">
        <f>IFERROR(__xludf.DUMMYFUNCTION("""COMPUTED_VALUE"""),"Closing")</f>
        <v>Closing</v>
      </c>
      <c r="B235" t="str">
        <f>IFERROR(__xludf.DUMMYFUNCTION("""COMPUTED_VALUE"""),"UnWindTradeSettlement")</f>
        <v>UnWindTradeSettlement</v>
      </c>
      <c r="C235" t="str">
        <f>IFERROR(__xludf.DUMMYFUNCTION("""COMPUTED_VALUE"""),"1-9bwCgsl5N95i-RvKiMEwupZhEFD-V_V4UhaUwW08HM")</f>
        <v>1-9bwCgsl5N95i-RvKiMEwupZhEFD-V_V4UhaUwW08HM</v>
      </c>
    </row>
    <row r="236" ht="15.75" customHeight="1">
      <c r="A236" t="str">
        <f>IFERROR(__xludf.DUMMYFUNCTION("""COMPUTED_VALUE"""),"Closing")</f>
        <v>Closing</v>
      </c>
      <c r="B236" t="str">
        <f>IFERROR(__xludf.DUMMYFUNCTION("""COMPUTED_VALUE"""),"CloseOrder")</f>
        <v>CloseOrder</v>
      </c>
      <c r="C236" t="str">
        <f>IFERROR(__xludf.DUMMYFUNCTION("""COMPUTED_VALUE"""),"1VvSSs3QJ14ONF-H8UJY0IQjVFEXjPDyORsnnG-MIOVQ")</f>
        <v>1VvSSs3QJ14ONF-H8UJY0IQjVFEXjPDyORsnnG-MIOVQ</v>
      </c>
    </row>
    <row r="237" ht="15.75" customHeight="1">
      <c r="A237" t="str">
        <f>IFERROR(__xludf.DUMMYFUNCTION("""COMPUTED_VALUE"""),"Closing")</f>
        <v>Closing</v>
      </c>
      <c r="B237" t="str">
        <f>IFERROR(__xludf.DUMMYFUNCTION("""COMPUTED_VALUE"""),"VerifyCloseOrder")</f>
        <v>VerifyCloseOrder</v>
      </c>
      <c r="C237" t="str">
        <f>IFERROR(__xludf.DUMMYFUNCTION("""COMPUTED_VALUE"""),"1VpvDYDtLzzQKU6zRrnt43oSdSe1jDGhYuKyFkWXgl0M")</f>
        <v>1VpvDYDtLzzQKU6zRrnt43oSdSe1jDGhYuKyFkWXgl0M</v>
      </c>
    </row>
    <row r="238" ht="15.75" customHeight="1">
      <c r="A238" t="str">
        <f>IFERROR(__xludf.DUMMYFUNCTION("""COMPUTED_VALUE"""),"Closing")</f>
        <v>Closing</v>
      </c>
      <c r="B238" t="str">
        <f>IFERROR(__xludf.DUMMYFUNCTION("""COMPUTED_VALUE"""),"UnWindCloseOrder")</f>
        <v>UnWindCloseOrder</v>
      </c>
      <c r="C238" t="str">
        <f>IFERROR(__xludf.DUMMYFUNCTION("""COMPUTED_VALUE"""),"1xwDU0wEY5ygG38Ymyteoy-b7VhKEgDgPur5SneK5DOc")</f>
        <v>1xwDU0wEY5ygG38Ymyteoy-b7VhKEgDgPur5SneK5DOc</v>
      </c>
    </row>
    <row r="239" ht="15.75" customHeight="1">
      <c r="A239" t="str">
        <f>IFERROR(__xludf.DUMMYFUNCTION("""COMPUTED_VALUE"""),"Closing")</f>
        <v>Closing</v>
      </c>
      <c r="B239" t="str">
        <f>IFERROR(__xludf.DUMMYFUNCTION("""COMPUTED_VALUE"""),"ClosingCleanUp")</f>
        <v>ClosingCleanUp</v>
      </c>
      <c r="C239" t="str">
        <f>IFERROR(__xludf.DUMMYFUNCTION("""COMPUTED_VALUE"""),"1rhbgybK8UToNxMXDOZxwk3lnAdVPNaXMj69toF42Xwo")</f>
        <v>1rhbgybK8UToNxMXDOZxwk3lnAdVPNaXMj69toF42Xwo</v>
      </c>
    </row>
    <row r="240" ht="15.75" customHeight="1">
      <c r="A240" t="str">
        <f>IFERROR(__xludf.DUMMYFUNCTION("""COMPUTED_VALUE"""),"Closing")</f>
        <v>Closing</v>
      </c>
      <c r="B240" t="str">
        <f>IFERROR(__xludf.DUMMYFUNCTION("""COMPUTED_VALUE"""),"CloseClosingUI")</f>
        <v>CloseClosingUI</v>
      </c>
      <c r="C240" t="str">
        <f>IFERROR(__xludf.DUMMYFUNCTION("""COMPUTED_VALUE"""),"11yE3pKzcv-wtNP-iR3X7bRfy6MLIOsu-qcNla8FkfvE")</f>
        <v>11yE3pKzcv-wtNP-iR3X7bRfy6MLIOsu-qcNla8FkfvE</v>
      </c>
    </row>
    <row r="241" ht="15.75" customHeight="1">
      <c r="A241" t="str">
        <f>IFERROR(__xludf.DUMMYFUNCTION("""COMPUTED_VALUE"""),"GeneralLedger")</f>
        <v>GeneralLedger</v>
      </c>
      <c r="B241" t="str">
        <f>IFERROR(__xludf.DUMMYFUNCTION("""COMPUTED_VALUE"""),"GetDailyCalculationsData")</f>
        <v>GetDailyCalculationsData</v>
      </c>
      <c r="C241" t="str">
        <f>IFERROR(__xludf.DUMMYFUNCTION("""COMPUTED_VALUE"""),"1RGxd6BFK5bdonfIWcSSPdrNFPAQirhzZqSCkmKziVHc")</f>
        <v>1RGxd6BFK5bdonfIWcSSPdrNFPAQirhzZqSCkmKziVHc</v>
      </c>
    </row>
    <row r="242" ht="15.75" customHeight="1">
      <c r="A242" t="str">
        <f>IFERROR(__xludf.DUMMYFUNCTION("""COMPUTED_VALUE"""),"GeneralLedger")</f>
        <v>GeneralLedger</v>
      </c>
      <c r="B242" t="str">
        <f>IFERROR(__xludf.DUMMYFUNCTION("""COMPUTED_VALUE"""),"CalculateDailyCalculations")</f>
        <v>CalculateDailyCalculations</v>
      </c>
      <c r="C242" t="str">
        <f>IFERROR(__xludf.DUMMYFUNCTION("""COMPUTED_VALUE"""),"undefined")</f>
        <v>undefined</v>
      </c>
    </row>
    <row r="243" ht="15.75" customHeight="1">
      <c r="A243" t="str">
        <f>IFERROR(__xludf.DUMMYFUNCTION("""COMPUTED_VALUE"""),"GeneralLedger")</f>
        <v>GeneralLedger</v>
      </c>
      <c r="B243" t="str">
        <f>IFERROR(__xludf.DUMMYFUNCTION("""COMPUTED_VALUE"""),"EditOpeningBalanceTransaction")</f>
        <v>EditOpeningBalanceTransaction</v>
      </c>
      <c r="C243" t="str">
        <f>IFERROR(__xludf.DUMMYFUNCTION("""COMPUTED_VALUE"""),"185FY-wExfE4jMT_4yTVjOUr49VHzbH6ICdX9HndSaTM")</f>
        <v>185FY-wExfE4jMT_4yTVjOUr49VHzbH6ICdX9HndSaTM</v>
      </c>
    </row>
    <row r="244" ht="15.75" customHeight="1">
      <c r="A244" t="str">
        <f>IFERROR(__xludf.DUMMYFUNCTION("""COMPUTED_VALUE"""),"GeneralLedger")</f>
        <v>GeneralLedger</v>
      </c>
      <c r="B244" t="str">
        <f>IFERROR(__xludf.DUMMYFUNCTION("""COMPUTED_VALUE"""),"EditOpeningBalanceTranItem")</f>
        <v>EditOpeningBalanceTranItem</v>
      </c>
      <c r="C244" t="str">
        <f>IFERROR(__xludf.DUMMYFUNCTION("""COMPUTED_VALUE"""),"1JQ1sH3BSkeS63QmSdGmR2uX_wHxLSUJdkAtqU0BIVl4")</f>
        <v>1JQ1sH3BSkeS63QmSdGmR2uX_wHxLSUJdkAtqU0BIVl4</v>
      </c>
    </row>
    <row r="245" ht="15.75" customHeight="1">
      <c r="A245" t="str">
        <f>IFERROR(__xludf.DUMMYFUNCTION("""COMPUTED_VALUE"""),"DailyValuation")</f>
        <v>DailyValuation</v>
      </c>
      <c r="B245" t="str">
        <f>IFERROR(__xludf.DUMMYFUNCTION("""COMPUTED_VALUE"""),"UpdateBeta")</f>
        <v>UpdateBeta</v>
      </c>
      <c r="C245" t="str">
        <f>IFERROR(__xludf.DUMMYFUNCTION("""COMPUTED_VALUE"""),"1e5P2Fpj6vybIn_paB2b7Fy1UWvvzM_QLBcFFEnG_Sog")</f>
        <v>1e5P2Fpj6vybIn_paB2b7Fy1UWvvzM_QLBcFFEnG_Sog</v>
      </c>
    </row>
    <row r="246" ht="15.75" customHeight="1">
      <c r="A246" t="str">
        <f>IFERROR(__xludf.DUMMYFUNCTION("""COMPUTED_VALUE"""),"DailyValuation")</f>
        <v>DailyValuation</v>
      </c>
      <c r="B246" t="str">
        <f>IFERROR(__xludf.DUMMYFUNCTION("""COMPUTED_VALUE"""),"UpdateNAV")</f>
        <v>UpdateNAV</v>
      </c>
      <c r="C246" t="str">
        <f>IFERROR(__xludf.DUMMYFUNCTION("""COMPUTED_VALUE"""),"1Hl-bDiK5QR2zP8Xl8o2qKBLjoh6RGDS1UZGDYAqP4oQ")</f>
        <v>1Hl-bDiK5QR2zP8Xl8o2qKBLjoh6RGDS1UZGDYAqP4oQ</v>
      </c>
    </row>
    <row r="247" ht="15.75" customHeight="1">
      <c r="A247" t="str">
        <f>IFERROR(__xludf.DUMMYFUNCTION("""COMPUTED_VALUE"""),"DailyValuation")</f>
        <v>DailyValuation</v>
      </c>
      <c r="B247" t="str">
        <f>IFERROR(__xludf.DUMMYFUNCTION("""COMPUTED_VALUE"""),"UpdateDailyCash")</f>
        <v>UpdateDailyCash</v>
      </c>
      <c r="C247" t="str">
        <f>IFERROR(__xludf.DUMMYFUNCTION("""COMPUTED_VALUE"""),"17wP7K35BVS-mcToVvypH9kFnKwLPjhX5cgZessf5L3U")</f>
        <v>17wP7K35BVS-mcToVvypH9kFnKwLPjhX5cgZessf5L3U</v>
      </c>
    </row>
    <row r="248" ht="15.75" customHeight="1">
      <c r="A248" t="str">
        <f>IFERROR(__xludf.DUMMYFUNCTION("""COMPUTED_VALUE"""),"GeneralLedger")</f>
        <v>GeneralLedger</v>
      </c>
      <c r="B248" t="str">
        <f>IFERROR(__xludf.DUMMYFUNCTION("""COMPUTED_VALUE"""),"VerifyDailyCalTransactions")</f>
        <v>VerifyDailyCalTransactions</v>
      </c>
      <c r="C248" t="str">
        <f>IFERROR(__xludf.DUMMYFUNCTION("""COMPUTED_VALUE"""),"1-ih35UufsuBdP0hoxZ-4l-12Rq-zYst8RspaOVUizJc")</f>
        <v>1-ih35UufsuBdP0hoxZ-4l-12Rq-zYst8RspaOVUizJc</v>
      </c>
    </row>
    <row r="249" ht="15.75" customHeight="1">
      <c r="A249" t="str">
        <f>IFERROR(__xludf.DUMMYFUNCTION("""COMPUTED_VALUE"""),"DailyValuation")</f>
        <v>DailyValuation</v>
      </c>
      <c r="B249" t="str">
        <f>IFERROR(__xludf.DUMMYFUNCTION("""COMPUTED_VALUE"""),"UpdateDailyCreditLimt")</f>
        <v>UpdateDailyCreditLimt</v>
      </c>
      <c r="C249" t="str">
        <f>IFERROR(__xludf.DUMMYFUNCTION("""COMPUTED_VALUE"""),"1xyZdNq5NSQNp450_Gc1FWk1hVNNJBJwHxsqN70MtZLU")</f>
        <v>1xyZdNq5NSQNp450_Gc1FWk1hVNNJBJwHxsqN70MtZLU</v>
      </c>
    </row>
    <row r="250" ht="15.75" customHeight="1">
      <c r="A250" t="str">
        <f>IFERROR(__xludf.DUMMYFUNCTION("""COMPUTED_VALUE"""),"DailyValuation")</f>
        <v>DailyValuation</v>
      </c>
      <c r="B250" t="str">
        <f>IFERROR(__xludf.DUMMYFUNCTION("""COMPUTED_VALUE"""),"RemoveDailyCreditLimit")</f>
        <v>RemoveDailyCreditLimit</v>
      </c>
      <c r="C250" t="str">
        <f>IFERROR(__xludf.DUMMYFUNCTION("""COMPUTED_VALUE"""),"1EvfgveHhX8XFzsj7Fy7Yi6C9pY-aewJRJyPh3yuRejY")</f>
        <v>1EvfgveHhX8XFzsj7Fy7Yi6C9pY-aewJRJyPh3yuRejY</v>
      </c>
    </row>
    <row r="251" ht="15.75" customHeight="1">
      <c r="A251" t="str">
        <f>IFERROR(__xludf.DUMMYFUNCTION("""COMPUTED_VALUE"""),"DailyValuation")</f>
        <v>DailyValuation</v>
      </c>
      <c r="B251" t="str">
        <f>IFERROR(__xludf.DUMMYFUNCTION("""COMPUTED_VALUE"""),"RemoveDailyCash")</f>
        <v>RemoveDailyCash</v>
      </c>
      <c r="C251" t="str">
        <f>IFERROR(__xludf.DUMMYFUNCTION("""COMPUTED_VALUE"""),"1k7xJ6kz4kMqQWK18SURBsIq7RJIBYbtYRz2nKI4obIs")</f>
        <v>1k7xJ6kz4kMqQWK18SURBsIq7RJIBYbtYRz2nKI4obIs</v>
      </c>
    </row>
    <row r="252" ht="15.75" customHeight="1">
      <c r="A252" t="str">
        <f>IFERROR(__xludf.DUMMYFUNCTION("""COMPUTED_VALUE"""),"DailyValuation")</f>
        <v>DailyValuation</v>
      </c>
      <c r="B252" t="str">
        <f>IFERROR(__xludf.DUMMYFUNCTION("""COMPUTED_VALUE"""),"RemoveNAV")</f>
        <v>RemoveNAV</v>
      </c>
      <c r="C252" t="str">
        <f>IFERROR(__xludf.DUMMYFUNCTION("""COMPUTED_VALUE"""),"1h4gMGiy1GVAsiDN_3s7laxEQ8QIiMM11jjlepyiWEFw")</f>
        <v>1h4gMGiy1GVAsiDN_3s7laxEQ8QIiMM11jjlepyiWEFw</v>
      </c>
    </row>
    <row r="253" ht="15.75" customHeight="1">
      <c r="A253" t="str">
        <f>IFERROR(__xludf.DUMMYFUNCTION("""COMPUTED_VALUE"""),"PortfolioManagement")</f>
        <v>PortfolioManagement</v>
      </c>
      <c r="B253" t="str">
        <f>IFERROR(__xludf.DUMMYFUNCTION("""COMPUTED_VALUE"""),"FilterPM")</f>
        <v>FilterPM</v>
      </c>
      <c r="C253" t="str">
        <f>IFERROR(__xludf.DUMMYFUNCTION("""COMPUTED_VALUE"""),"1555eBTfW3pZgygX6zpaPQiMcmfrnNsubsj7N0H4mAzE")</f>
        <v>1555eBTfW3pZgygX6zpaPQiMcmfrnNsubsj7N0H4mAzE</v>
      </c>
    </row>
    <row r="254" ht="15.75" customHeight="1">
      <c r="A254" t="str">
        <f>IFERROR(__xludf.DUMMYFUNCTION("""COMPUTED_VALUE"""),"PortfolioManagement")</f>
        <v>PortfolioManagement</v>
      </c>
      <c r="B254" t="str">
        <f>IFERROR(__xludf.DUMMYFUNCTION("""COMPUTED_VALUE"""),"GroupRowPM")</f>
        <v>GroupRowPM</v>
      </c>
      <c r="C254" t="str">
        <f>IFERROR(__xludf.DUMMYFUNCTION("""COMPUTED_VALUE"""),"13SBB21Z9FVCuAXFJukuoDKtIn_jkAQg7H8URkrwJeeI")</f>
        <v>13SBB21Z9FVCuAXFJukuoDKtIn_jkAQg7H8URkrwJeeI</v>
      </c>
    </row>
    <row r="255" ht="15.75" customHeight="1">
      <c r="A255" t="str">
        <f>IFERROR(__xludf.DUMMYFUNCTION("""COMPUTED_VALUE"""),"Allocation")</f>
        <v>Allocation</v>
      </c>
      <c r="B255" t="str">
        <f>IFERROR(__xludf.DUMMYFUNCTION("""COMPUTED_VALUE"""),"CloseAllocation")</f>
        <v>CloseAllocation</v>
      </c>
      <c r="C255" t="str">
        <f>IFERROR(__xludf.DUMMYFUNCTION("""COMPUTED_VALUE"""),"undefined")</f>
        <v>undefined</v>
      </c>
    </row>
    <row r="256" ht="15.75" customHeight="1">
      <c r="A256" t="str">
        <f>IFERROR(__xludf.DUMMYFUNCTION("""COMPUTED_VALUE"""),"PortfolioManagement")</f>
        <v>PortfolioManagement</v>
      </c>
      <c r="B256" t="str">
        <f>IFERROR(__xludf.DUMMYFUNCTION("""COMPUTED_VALUE"""),"CheckDashboardWithPM")</f>
        <v>CheckDashboardWithPM</v>
      </c>
      <c r="C256" t="str">
        <f>IFERROR(__xludf.DUMMYFUNCTION("""COMPUTED_VALUE"""),"undefined")</f>
        <v>undefined</v>
      </c>
    </row>
    <row r="257" ht="15.75" customHeight="1">
      <c r="A257" t="str">
        <f>IFERROR(__xludf.DUMMYFUNCTION("""COMPUTED_VALUE"""),"PortfolioManagement")</f>
        <v>PortfolioManagement</v>
      </c>
      <c r="B257" t="str">
        <f>IFERROR(__xludf.DUMMYFUNCTION("""COMPUTED_VALUE"""),"RemoveFilterPM")</f>
        <v>RemoveFilterPM</v>
      </c>
      <c r="C257" t="str">
        <f>IFERROR(__xludf.DUMMYFUNCTION("""COMPUTED_VALUE"""),"undefined")</f>
        <v>undefined</v>
      </c>
    </row>
    <row r="258" ht="15.75" customHeight="1">
      <c r="A258" t="str">
        <f>IFERROR(__xludf.DUMMYFUNCTION("""COMPUTED_VALUE"""),"PortfolioManagement")</f>
        <v>PortfolioManagement</v>
      </c>
      <c r="B258" t="str">
        <f>IFERROR(__xludf.DUMMYFUNCTION("""COMPUTED_VALUE"""),"CheckSummaryRowsPM")</f>
        <v>CheckSummaryRowsPM</v>
      </c>
      <c r="C258" t="str">
        <f>IFERROR(__xludf.DUMMYFUNCTION("""COMPUTED_VALUE"""),"1QYD14pNRFunvjaSxygVhv7DYj8TvS2fjXDJc9Zg9Mw8")</f>
        <v>1QYD14pNRFunvjaSxygVhv7DYj8TvS2fjXDJc9Zg9Mw8</v>
      </c>
    </row>
    <row r="259" ht="15.75" customHeight="1">
      <c r="A259" t="str">
        <f>IFERROR(__xludf.DUMMYFUNCTION("""COMPUTED_VALUE"""),"GeneralLedger")</f>
        <v>GeneralLedger</v>
      </c>
      <c r="B259" t="str">
        <f>IFERROR(__xludf.DUMMYFUNCTION("""COMPUTED_VALUE"""),"CloseGeneralLedger")</f>
        <v>CloseGeneralLedger</v>
      </c>
      <c r="C259" t="str">
        <f>IFERROR(__xludf.DUMMYFUNCTION("""COMPUTED_VALUE"""),"undefined")</f>
        <v>undefined</v>
      </c>
    </row>
    <row r="260" ht="15.75" customHeight="1">
      <c r="A260" t="str">
        <f>IFERROR(__xludf.DUMMYFUNCTION("""COMPUTED_VALUE"""),"Blotter")</f>
        <v>Blotter</v>
      </c>
      <c r="B260" t="str">
        <f>IFERROR(__xludf.DUMMYFUNCTION("""COMPUTED_VALUE"""),"ReplaceStageOrder")</f>
        <v>ReplaceStageOrder</v>
      </c>
      <c r="C260" t="str">
        <f>IFERROR(__xludf.DUMMYFUNCTION("""COMPUTED_VALUE"""),"1b8x6RjtQjtXxwQEPvkKbxuNrqT2um8DTratJi6LLMkE")</f>
        <v>1b8x6RjtQjtXxwQEPvkKbxuNrqT2um8DTratJi6LLMkE</v>
      </c>
    </row>
    <row r="261" ht="15.75" customHeight="1">
      <c r="A261" t="str">
        <f>IFERROR(__xludf.DUMMYFUNCTION("""COMPUTED_VALUE"""),"GeneralLedger")</f>
        <v>GeneralLedger</v>
      </c>
      <c r="B261" t="str">
        <f>IFERROR(__xludf.DUMMYFUNCTION("""COMPUTED_VALUE"""),"VerifyAccountDetails")</f>
        <v>VerifyAccountDetails</v>
      </c>
      <c r="C261" t="str">
        <f>IFERROR(__xludf.DUMMYFUNCTION("""COMPUTED_VALUE"""),"18ZLKMuYELpFF8igusiA1YPM1roRHrNcfmsVVoNq6h6s")</f>
        <v>18ZLKMuYELpFF8igusiA1YPM1roRHrNcfmsVVoNq6h6s</v>
      </c>
    </row>
    <row r="262" ht="15.75" customHeight="1">
      <c r="A262" t="str">
        <f>IFERROR(__xludf.DUMMYFUNCTION("""COMPUTED_VALUE"""),"TradingTicket")</f>
        <v>TradingTicket</v>
      </c>
      <c r="B262" t="str">
        <f>IFERROR(__xludf.DUMMYFUNCTION("""COMPUTED_VALUE"""),"CreateNewSubOrder")</f>
        <v>CreateNewSubOrder</v>
      </c>
      <c r="C262" t="str">
        <f>IFERROR(__xludf.DUMMYFUNCTION("""COMPUTED_VALUE"""),"1wguu6CJ1W1WXxjb_KxnFlOegfYbfanXuyO-oZAt2m7U")</f>
        <v>1wguu6CJ1W1WXxjb_KxnFlOegfYbfanXuyO-oZAt2m7U</v>
      </c>
    </row>
    <row r="263" ht="15.75" customHeight="1">
      <c r="A263" t="str">
        <f>IFERROR(__xludf.DUMMYFUNCTION("""COMPUTED_VALUE"""),"CreateTransaction")</f>
        <v>CreateTransaction</v>
      </c>
      <c r="B263" t="str">
        <f>IFERROR(__xludf.DUMMYFUNCTION("""COMPUTED_VALUE"""),"AddNewTransaction")</f>
        <v>AddNewTransaction</v>
      </c>
      <c r="C263" t="str">
        <f>IFERROR(__xludf.DUMMYFUNCTION("""COMPUTED_VALUE"""),"1o-FBBuQHxjtFK6FrVr69erSNvwKFefznt7EpoR-TUMo")</f>
        <v>1o-FBBuQHxjtFK6FrVr69erSNvwKFefznt7EpoR-TUMo</v>
      </c>
    </row>
    <row r="264" ht="15.75" customHeight="1">
      <c r="A264" t="str">
        <f>IFERROR(__xludf.DUMMYFUNCTION("""COMPUTED_VALUE"""),"TradingTicket")</f>
        <v>TradingTicket</v>
      </c>
      <c r="B264" t="str">
        <f>IFERROR(__xludf.DUMMYFUNCTION("""COMPUTED_VALUE"""),"TradeBloomberg")</f>
        <v>TradeBloomberg</v>
      </c>
      <c r="C264" t="str">
        <f>IFERROR(__xludf.DUMMYFUNCTION("""COMPUTED_VALUE"""),"1NPaQ5SsIbAw-Qf-hqCpOtIXsinQoikQedLQjmpcEf2w")</f>
        <v>1NPaQ5SsIbAw-Qf-hqCpOtIXsinQoikQedLQjmpcEf2w</v>
      </c>
    </row>
    <row r="265" ht="15.75" customHeight="1">
      <c r="A265" t="str">
        <f>IFERROR(__xludf.DUMMYFUNCTION("""COMPUTED_VALUE"""),"TradingTicket")</f>
        <v>TradingTicket</v>
      </c>
      <c r="B265" t="str">
        <f>IFERROR(__xludf.DUMMYFUNCTION("""COMPUTED_VALUE"""),"ClickSymbolLookup")</f>
        <v>ClickSymbolLookup</v>
      </c>
      <c r="C265" t="str">
        <f>IFERROR(__xludf.DUMMYFUNCTION("""COMPUTED_VALUE"""),"1oRJt2apb45iHCVxOMoKsVCBE0tayi72K_dpkArgaYNI")</f>
        <v>1oRJt2apb45iHCVxOMoKsVCBE0tayi72K_dpkArgaYNI</v>
      </c>
    </row>
    <row r="266" ht="15.75" customHeight="1">
      <c r="A266" t="str">
        <f>IFERROR(__xludf.DUMMYFUNCTION("""COMPUTED_VALUE"""),"PricingServer")</f>
        <v>PricingServer</v>
      </c>
      <c r="B266" t="str">
        <f>IFERROR(__xludf.DUMMYFUNCTION("""COMPUTED_VALUE"""),"RestartPricingServer")</f>
        <v>RestartPricingServer</v>
      </c>
      <c r="C266" t="str">
        <f>IFERROR(__xludf.DUMMYFUNCTION("""COMPUTED_VALUE"""),"1agqTy8ODsUfNuR8A2GzGp3_Gb5oKxa04ZxPCTZ4jQEE")</f>
        <v>1agqTy8ODsUfNuR8A2GzGp3_Gb5oKxa04ZxPCTZ4jQEE</v>
      </c>
    </row>
    <row r="267" ht="15.75" customHeight="1">
      <c r="A267" t="str">
        <f>IFERROR(__xludf.DUMMYFUNCTION("""COMPUTED_VALUE"""),"TradeServer")</f>
        <v>TradeServer</v>
      </c>
      <c r="B267" t="str">
        <f>IFERROR(__xludf.DUMMYFUNCTION("""COMPUTED_VALUE"""),"RestartServer")</f>
        <v>RestartServer</v>
      </c>
      <c r="C267" t="str">
        <f>IFERROR(__xludf.DUMMYFUNCTION("""COMPUTED_VALUE"""),"1bxIll2-_r6nIdBU5BDupSdTWZM-4ZIgSxN2lDwPlyV0")</f>
        <v>1bxIll2-_r6nIdBU5BDupSdTWZM-4ZIgSxN2lDwPlyV0</v>
      </c>
    </row>
    <row r="268" ht="15.75" customHeight="1">
      <c r="A268" t="str">
        <f>IFERROR(__xludf.DUMMYFUNCTION("""COMPUTED_VALUE"""),"PranaClient")</f>
        <v>PranaClient</v>
      </c>
      <c r="B268" t="str">
        <f>IFERROR(__xludf.DUMMYFUNCTION("""COMPUTED_VALUE"""),"RestartClient")</f>
        <v>RestartClient</v>
      </c>
      <c r="C268" t="str">
        <f>IFERROR(__xludf.DUMMYFUNCTION("""COMPUTED_VALUE"""),"1VbNnoezmSIsbkZrumDKpPBQV7dd2w_tXh_5KZD1fS1g")</f>
        <v>1VbNnoezmSIsbkZrumDKpPBQV7dd2w_tXh_5KZD1fS1g</v>
      </c>
    </row>
    <row r="269" ht="15.75" customHeight="1">
      <c r="A269" t="str">
        <f>IFERROR(__xludf.DUMMYFUNCTION("""COMPUTED_VALUE"""),"PTT")</f>
        <v>PTT</v>
      </c>
      <c r="B269" t="str">
        <f>IFERROR(__xludf.DUMMYFUNCTION("""COMPUTED_VALUE"""),"CalculatePTT")</f>
        <v>CalculatePTT</v>
      </c>
      <c r="C269" t="str">
        <f>IFERROR(__xludf.DUMMYFUNCTION("""COMPUTED_VALUE"""),"1nlzyKt77FsFAQVk5JnD-eRJd0GhkFyyq22Np46z4LBQ")</f>
        <v>1nlzyKt77FsFAQVk5JnD-eRJd0GhkFyyq22Np46z4LBQ</v>
      </c>
    </row>
    <row r="270" ht="15.75" customHeight="1">
      <c r="A270" t="str">
        <f>IFERROR(__xludf.DUMMYFUNCTION("""COMPUTED_VALUE"""),"PTT")</f>
        <v>PTT</v>
      </c>
      <c r="B270" t="str">
        <f>IFERROR(__xludf.DUMMYFUNCTION("""COMPUTED_VALUE"""),"TradeUsingPTT")</f>
        <v>TradeUsingPTT</v>
      </c>
      <c r="C270" t="str">
        <f>IFERROR(__xludf.DUMMYFUNCTION("""COMPUTED_VALUE"""),"10dzEbmMqSEFoyEQpGvfRBGkGUrZT9nMgCEU9mLlrjXc")</f>
        <v>10dzEbmMqSEFoyEQpGvfRBGkGUrZT9nMgCEU9mLlrjXc</v>
      </c>
    </row>
    <row r="271" ht="15.75" customHeight="1">
      <c r="A271" t="str">
        <f>IFERROR(__xludf.DUMMYFUNCTION("""COMPUTED_VALUE"""),"PTT")</f>
        <v>PTT</v>
      </c>
      <c r="B271" t="str">
        <f>IFERROR(__xludf.DUMMYFUNCTION("""COMPUTED_VALUE"""),"StageOrderUsingPTT")</f>
        <v>StageOrderUsingPTT</v>
      </c>
      <c r="C271" t="str">
        <f>IFERROR(__xludf.DUMMYFUNCTION("""COMPUTED_VALUE"""),"1QiPkyR6XoPva-Y8Gr2o5tuIKxzA8YGA-Bi26TT3QwUM")</f>
        <v>1QiPkyR6XoPva-Y8Gr2o5tuIKxzA8YGA-Bi26TT3QwUM</v>
      </c>
    </row>
    <row r="272" ht="15.75" customHeight="1">
      <c r="A272" t="str">
        <f>IFERROR(__xludf.DUMMYFUNCTION("""COMPUTED_VALUE"""),"PTT")</f>
        <v>PTT</v>
      </c>
      <c r="B272" t="str">
        <f>IFERROR(__xludf.DUMMYFUNCTION("""COMPUTED_VALUE"""),"CreateOrderPTT")</f>
        <v>CreateOrderPTT</v>
      </c>
      <c r="C272" t="str">
        <f>IFERROR(__xludf.DUMMYFUNCTION("""COMPUTED_VALUE"""),"1_H_v-FL2GL1VYRQfF102TJK8lcPuFLC2dcFfpVsrOyA")</f>
        <v>1_H_v-FL2GL1VYRQfF102TJK8lcPuFLC2dcFfpVsrOyA</v>
      </c>
    </row>
    <row r="273" ht="15.75" customHeight="1">
      <c r="A273" t="str">
        <f>IFERROR(__xludf.DUMMYFUNCTION("""COMPUTED_VALUE"""),"PTT")</f>
        <v>PTT</v>
      </c>
      <c r="B273" t="str">
        <f>IFERROR(__xludf.DUMMYFUNCTION("""COMPUTED_VALUE"""),"TradePTT")</f>
        <v>TradePTT</v>
      </c>
      <c r="C273" t="str">
        <f>IFERROR(__xludf.DUMMYFUNCTION("""COMPUTED_VALUE"""),"1_FK3luW0u1bVUl_-uuhjD3pjwJIEAlKxRSV9t7lDgUU")</f>
        <v>1_FK3luW0u1bVUl_-uuhjD3pjwJIEAlKxRSV9t7lDgUU</v>
      </c>
    </row>
    <row r="274" ht="15.75" customHeight="1">
      <c r="A274" t="str">
        <f>IFERROR(__xludf.DUMMYFUNCTION("""COMPUTED_VALUE"""),"PTT")</f>
        <v>PTT</v>
      </c>
      <c r="B274" t="str">
        <f>IFERROR(__xludf.DUMMYFUNCTION("""COMPUTED_VALUE"""),"VerifyPTT")</f>
        <v>VerifyPTT</v>
      </c>
      <c r="C274" t="str">
        <f>IFERROR(__xludf.DUMMYFUNCTION("""COMPUTED_VALUE"""),"12dAzLg9OkaQ3A4alK8t63FnQc47Y0DtLXmwjEZn8CSw")</f>
        <v>12dAzLg9OkaQ3A4alK8t63FnQc47Y0DtLXmwjEZn8CSw</v>
      </c>
    </row>
    <row r="275" ht="15.75" customHeight="1">
      <c r="A275" t="str">
        <f>IFERROR(__xludf.DUMMYFUNCTION("""COMPUTED_VALUE"""),"PortfolioManagement")</f>
        <v>PortfolioManagement</v>
      </c>
      <c r="B275" t="str">
        <f>IFERROR(__xludf.DUMMYFUNCTION("""COMPUTED_VALUE"""),"OpenPTTFromPM")</f>
        <v>OpenPTTFromPM</v>
      </c>
      <c r="C275" t="str">
        <f>IFERROR(__xludf.DUMMYFUNCTION("""COMPUTED_VALUE"""),"19v7mgj_xrXR2b9J5hjpqub6H625ytQdJy5zpbsnIFH4")</f>
        <v>19v7mgj_xrXR2b9J5hjpqub6H625ytQdJy5zpbsnIFH4</v>
      </c>
    </row>
    <row r="276" ht="15.75" customHeight="1">
      <c r="A276" t="str">
        <f>IFERROR(__xludf.DUMMYFUNCTION("""COMPUTED_VALUE"""),"PTT")</f>
        <v>PTT</v>
      </c>
      <c r="B276" t="str">
        <f>IFERROR(__xludf.DUMMYFUNCTION("""COMPUTED_VALUE"""),"OpenMultiTTFromPTT")</f>
        <v>OpenMultiTTFromPTT</v>
      </c>
      <c r="C276" t="str">
        <f>IFERROR(__xludf.DUMMYFUNCTION("""COMPUTED_VALUE"""),"1ZIFQW7-ZFHpYjXIplTSB3w5c7JkPAmMEZWZbDpwxjZo")</f>
        <v>1ZIFQW7-ZFHpYjXIplTSB3w5c7JkPAmMEZWZbDpwxjZo</v>
      </c>
    </row>
    <row r="277" ht="15.75" customHeight="1">
      <c r="A277" t="str">
        <f>IFERROR(__xludf.DUMMYFUNCTION("""COMPUTED_VALUE"""),"PTT")</f>
        <v>PTT</v>
      </c>
      <c r="B277" t="str">
        <f>IFERROR(__xludf.DUMMYFUNCTION("""COMPUTED_VALUE"""),"SelectMultiTT")</f>
        <v>SelectMultiTT</v>
      </c>
      <c r="C277" t="str">
        <f>IFERROR(__xludf.DUMMYFUNCTION("""COMPUTED_VALUE"""),"1JjHe2mZGs8SAE4eN3h87nS9KazhAoVJpI6j0AX_oubY")</f>
        <v>1JjHe2mZGs8SAE4eN3h87nS9KazhAoVJpI6j0AX_oubY</v>
      </c>
    </row>
    <row r="278" ht="15.75" customHeight="1">
      <c r="A278" t="str">
        <f>IFERROR(__xludf.DUMMYFUNCTION("""COMPUTED_VALUE"""),"PTT")</f>
        <v>PTT</v>
      </c>
      <c r="B278" t="str">
        <f>IFERROR(__xludf.DUMMYFUNCTION("""COMPUTED_VALUE"""),"EditMultiTT")</f>
        <v>EditMultiTT</v>
      </c>
      <c r="C278" t="str">
        <f>IFERROR(__xludf.DUMMYFUNCTION("""COMPUTED_VALUE"""),"1ykZ4MIm4DO4OhMcn3zzi6zmFtHasVXbVlOjaDs3-tq4")</f>
        <v>1ykZ4MIm4DO4OhMcn3zzi6zmFtHasVXbVlOjaDs3-tq4</v>
      </c>
    </row>
    <row r="279" ht="15.75" customHeight="1">
      <c r="A279" t="str">
        <f>IFERROR(__xludf.DUMMYFUNCTION("""COMPUTED_VALUE"""),"MultiTradingTicket")</f>
        <v>MultiTradingTicket</v>
      </c>
      <c r="B279" t="str">
        <f>IFERROR(__xludf.DUMMYFUNCTION("""COMPUTED_VALUE"""),"EditTradeUsingMTT")</f>
        <v>EditTradeUsingMTT</v>
      </c>
      <c r="C279" t="str">
        <f>IFERROR(__xludf.DUMMYFUNCTION("""COMPUTED_VALUE"""),"16apla3tEdh0I55JbktufeygtzLD6sU2RLBlpNGPo6jU")</f>
        <v>16apla3tEdh0I55JbktufeygtzLD6sU2RLBlpNGPo6jU</v>
      </c>
    </row>
    <row r="280" ht="15.75" customHeight="1">
      <c r="A280" t="str">
        <f>IFERROR(__xludf.DUMMYFUNCTION("""COMPUTED_VALUE"""),"MultiTradingTicket")</f>
        <v>MultiTradingTicket</v>
      </c>
      <c r="B280" t="str">
        <f>IFERROR(__xludf.DUMMYFUNCTION("""COMPUTED_VALUE"""),"SelectTradeUsingMTT")</f>
        <v>SelectTradeUsingMTT</v>
      </c>
      <c r="C280" t="str">
        <f>IFERROR(__xludf.DUMMYFUNCTION("""COMPUTED_VALUE"""),"1XPVuFci2z8Xs5bHgq7R4GP5O-nMmceuB3GqwX3XUbMs")</f>
        <v>1XPVuFci2z8Xs5bHgq7R4GP5O-nMmceuB3GqwX3XUbMs</v>
      </c>
    </row>
    <row r="281" ht="15.75" customHeight="1">
      <c r="A281" t="str">
        <f>IFERROR(__xludf.DUMMYFUNCTION("""COMPUTED_VALUE"""),"MultiTradingTicket")</f>
        <v>MultiTradingTicket</v>
      </c>
      <c r="B281" t="str">
        <f>IFERROR(__xludf.DUMMYFUNCTION("""COMPUTED_VALUE"""),"GetPriceUsingMTT")</f>
        <v>GetPriceUsingMTT</v>
      </c>
      <c r="C281" t="str">
        <f>IFERROR(__xludf.DUMMYFUNCTION("""COMPUTED_VALUE"""),"1ykMuKT7G3fZay84WDR96P4BQAMkqahw_GnQUsNX6CUs")</f>
        <v>1ykMuKT7G3fZay84WDR96P4BQAMkqahw_GnQUsNX6CUs</v>
      </c>
    </row>
    <row r="282" ht="15.75" customHeight="1">
      <c r="A282" t="str">
        <f>IFERROR(__xludf.DUMMYFUNCTION("""COMPUTED_VALUE"""),"MultiTradingTicket")</f>
        <v>MultiTradingTicket</v>
      </c>
      <c r="B282" t="str">
        <f>IFERROR(__xludf.DUMMYFUNCTION("""COMPUTED_VALUE"""),"DoneAwayUsingMTT")</f>
        <v>DoneAwayUsingMTT</v>
      </c>
      <c r="C282" t="str">
        <f>IFERROR(__xludf.DUMMYFUNCTION("""COMPUTED_VALUE"""),"12Jx4NXByLH6uo6cPIxdMtXDCyjjQWME89tyeXROMOEI")</f>
        <v>12Jx4NXByLH6uo6cPIxdMtXDCyjjQWME89tyeXROMOEI</v>
      </c>
    </row>
    <row r="283" ht="15.75" customHeight="1">
      <c r="A283" t="str">
        <f>IFERROR(__xludf.DUMMYFUNCTION("""COMPUTED_VALUE"""),"MultiTradingTicket")</f>
        <v>MultiTradingTicket</v>
      </c>
      <c r="B283" t="str">
        <f>IFERROR(__xludf.DUMMYFUNCTION("""COMPUTED_VALUE"""),"SendOrderUsingMTT")</f>
        <v>SendOrderUsingMTT</v>
      </c>
      <c r="C283" t="str">
        <f>IFERROR(__xludf.DUMMYFUNCTION("""COMPUTED_VALUE"""),"15lHiiD5KNoqjZ_E7zX2pdw18IuAiYsL-UDVc6jfQ3XA")</f>
        <v>15lHiiD5KNoqjZ_E7zX2pdw18IuAiYsL-UDVc6jfQ3XA</v>
      </c>
    </row>
    <row r="284" ht="15.75" customHeight="1">
      <c r="A284" t="str">
        <f>IFERROR(__xludf.DUMMYFUNCTION("""COMPUTED_VALUE"""),"Allocation")</f>
        <v>Allocation</v>
      </c>
      <c r="B284" t="str">
        <f>IFERROR(__xludf.DUMMYFUNCTION("""COMPUTED_VALUE"""),"UpdateGRAccountValue")</f>
        <v>UpdateGRAccountValue</v>
      </c>
      <c r="C284" t="str">
        <f>IFERROR(__xludf.DUMMYFUNCTION("""COMPUTED_VALUE"""),"1ziZg3lBx_aPu8TPjMl_etXMuscnllJoJ-hKOa19ozD8")</f>
        <v>1ziZg3lBx_aPu8TPjMl_etXMuscnllJoJ-hKOa19ozD8</v>
      </c>
    </row>
    <row r="285" ht="15.75" customHeight="1">
      <c r="A285" t="str">
        <f>IFERROR(__xludf.DUMMYFUNCTION("""COMPUTED_VALUE"""),"MultiTradingTicket")</f>
        <v>MultiTradingTicket</v>
      </c>
      <c r="B285" t="str">
        <f>IFERROR(__xludf.DUMMYFUNCTION("""COMPUTED_VALUE"""),"BulkChangeTradeDoneAway")</f>
        <v>BulkChangeTradeDoneAway</v>
      </c>
      <c r="C285" t="str">
        <f>IFERROR(__xludf.DUMMYFUNCTION("""COMPUTED_VALUE"""),"1deZMQypRUScM3WPe16oDMBJHXNPOEE6OdOQVZzCgqlg")</f>
        <v>1deZMQypRUScM3WPe16oDMBJHXNPOEE6OdOQVZzCgqlg</v>
      </c>
    </row>
    <row r="286" ht="15.75" customHeight="1">
      <c r="A286" t="str">
        <f>IFERROR(__xludf.DUMMYFUNCTION("""COMPUTED_VALUE"""),"Allocation")</f>
        <v>Allocation</v>
      </c>
      <c r="B286" t="str">
        <f>IFERROR(__xludf.DUMMYFUNCTION("""COMPUTED_VALUE"""),"UpdateGRStrategyValue")</f>
        <v>UpdateGRStrategyValue</v>
      </c>
      <c r="C286" t="str">
        <f>IFERROR(__xludf.DUMMYFUNCTION("""COMPUTED_VALUE"""),"1m8KITORxMaLAk_kTE9RoRrZGpX_RqAvqHaJaPvAMN1k")</f>
        <v>1m8KITORxMaLAk_kTE9RoRrZGpX_RqAvqHaJaPvAMN1k</v>
      </c>
    </row>
    <row r="287" ht="15.75" customHeight="1">
      <c r="A287" t="str">
        <f>IFERROR(__xludf.DUMMYFUNCTION("""COMPUTED_VALUE"""),"Allocation")</f>
        <v>Allocation</v>
      </c>
      <c r="B287" t="str">
        <f>IFERROR(__xludf.DUMMYFUNCTION("""COMPUTED_VALUE"""),"UpdateGRDefaultRule")</f>
        <v>UpdateGRDefaultRule</v>
      </c>
      <c r="C287" t="str">
        <f>IFERROR(__xludf.DUMMYFUNCTION("""COMPUTED_VALUE"""),"1pBql_NGTQ6e2Tp98WnKsZdd2-EmEgzai_fwgSes2nfA")</f>
        <v>1pBql_NGTQ6e2Tp98WnKsZdd2-EmEgzai_fwgSes2nfA</v>
      </c>
    </row>
    <row r="288" ht="15.75" customHeight="1">
      <c r="A288" t="str">
        <f>IFERROR(__xludf.DUMMYFUNCTION("""COMPUTED_VALUE"""),"Allocation")</f>
        <v>Allocation</v>
      </c>
      <c r="B288" t="str">
        <f>IFERROR(__xludf.DUMMYFUNCTION("""COMPUTED_VALUE"""),"UpdateGeneralRulePref")</f>
        <v>UpdateGeneralRulePref</v>
      </c>
      <c r="C288" t="str">
        <f>IFERROR(__xludf.DUMMYFUNCTION("""COMPUTED_VALUE"""),"undefined")</f>
        <v>undefined</v>
      </c>
    </row>
    <row r="289" ht="15.75" customHeight="1">
      <c r="A289" t="str">
        <f>IFERROR(__xludf.DUMMYFUNCTION("""COMPUTED_VALUE"""),"Blotter")</f>
        <v>Blotter</v>
      </c>
      <c r="B289" t="str">
        <f>IFERROR(__xludf.DUMMYFUNCTION("""COMPUTED_VALUE"""),"MultiTradingTicketFromBlotter")</f>
        <v>MultiTradingTicketFromBlotter</v>
      </c>
      <c r="C289" t="str">
        <f>IFERROR(__xludf.DUMMYFUNCTION("""COMPUTED_VALUE"""),"1el2vWtad5wFUgZD-G2vhj_JEQpXWHjJ20TsLR5e5LPs")</f>
        <v>1el2vWtad5wFUgZD-G2vhj_JEQpXWHjJ20TsLR5e5LPs</v>
      </c>
    </row>
    <row r="290" ht="15.75" customHeight="1">
      <c r="A290" t="str">
        <f>IFERROR(__xludf.DUMMYFUNCTION("""COMPUTED_VALUE"""),"CleanUp")</f>
        <v>CleanUp</v>
      </c>
      <c r="B290" t="str">
        <f>IFERROR(__xludf.DUMMYFUNCTION("""COMPUTED_VALUE"""),"DeleteClientData")</f>
        <v>DeleteClientData</v>
      </c>
      <c r="C290" t="str">
        <f>IFERROR(__xludf.DUMMYFUNCTION("""COMPUTED_VALUE"""),"1gOBL7LK5RLxmH5-hs1IHMpTADwDAYXAONJ6KgNVLtDs")</f>
        <v>1gOBL7LK5RLxmH5-hs1IHMpTADwDAYXAONJ6KgNVLtDs</v>
      </c>
    </row>
    <row r="291" ht="15.75" customHeight="1">
      <c r="A291" t="str">
        <f>IFERROR(__xludf.DUMMYFUNCTION("""COMPUTED_VALUE"""),"Allocation")</f>
        <v>Allocation</v>
      </c>
      <c r="B291" t="str">
        <f>IFERROR(__xludf.DUMMYFUNCTION("""COMPUTED_VALUE"""),"ModifyGRPreferenceValues")</f>
        <v>ModifyGRPreferenceValues</v>
      </c>
      <c r="C291" t="str">
        <f>IFERROR(__xludf.DUMMYFUNCTION("""COMPUTED_VALUE"""),"undefined")</f>
        <v>undefined</v>
      </c>
    </row>
    <row r="292" ht="15.75" customHeight="1">
      <c r="A292" t="str">
        <f>IFERROR(__xludf.DUMMYFUNCTION("""COMPUTED_VALUE"""),"Allocation")</f>
        <v>Allocation</v>
      </c>
      <c r="B292" t="str">
        <f>IFERROR(__xludf.DUMMYFUNCTION("""COMPUTED_VALUE"""),"AddMFPreferences")</f>
        <v>AddMFPreferences</v>
      </c>
      <c r="C292" t="str">
        <f>IFERROR(__xludf.DUMMYFUNCTION("""COMPUTED_VALUE"""),"1yg-Xv6suVFcIrKHhZALMgS9t4msvFsDbvs7wNuoGR3I")</f>
        <v>1yg-Xv6suVFcIrKHhZALMgS9t4msvFsDbvs7wNuoGR3I</v>
      </c>
    </row>
    <row r="293" ht="15.75" customHeight="1">
      <c r="A293" t="str">
        <f>IFERROR(__xludf.DUMMYFUNCTION("""COMPUTED_VALUE"""),"Allocation")</f>
        <v>Allocation</v>
      </c>
      <c r="B293" t="str">
        <f>IFERROR(__xludf.DUMMYFUNCTION("""COMPUTED_VALUE"""),"AddMFPreferenceToolbar")</f>
        <v>AddMFPreferenceToolbar</v>
      </c>
      <c r="C293" t="str">
        <f>IFERROR(__xludf.DUMMYFUNCTION("""COMPUTED_VALUE"""),"1-cH_lnOgKQ1kVk7m6ulPrC1FoXeCqZ4vubHVYxrwQpk")</f>
        <v>1-cH_lnOgKQ1kVk7m6ulPrC1FoXeCqZ4vubHVYxrwQpk</v>
      </c>
    </row>
    <row r="294" ht="15.75" customHeight="1">
      <c r="A294" t="str">
        <f>IFERROR(__xludf.DUMMYFUNCTION("""COMPUTED_VALUE"""),"Allocation")</f>
        <v>Allocation</v>
      </c>
      <c r="B294" t="str">
        <f>IFERROR(__xludf.DUMMYFUNCTION("""COMPUTED_VALUE"""),"DeleteMFPreferences")</f>
        <v>DeleteMFPreferences</v>
      </c>
      <c r="C294" t="str">
        <f>IFERROR(__xludf.DUMMYFUNCTION("""COMPUTED_VALUE"""),"14mYs8ZnER2nYec1-jsXJ6oDp-Vw4B_Jq1BBaYBTraJQ")</f>
        <v>14mYs8ZnER2nYec1-jsXJ6oDp-Vw4B_Jq1BBaYBTraJQ</v>
      </c>
    </row>
    <row r="295" ht="15.75" customHeight="1">
      <c r="A295" t="str">
        <f>IFERROR(__xludf.DUMMYFUNCTION("""COMPUTED_VALUE"""),"Allocation")</f>
        <v>Allocation</v>
      </c>
      <c r="B295" t="str">
        <f>IFERROR(__xludf.DUMMYFUNCTION("""COMPUTED_VALUE"""),"DeleteMFPreferenceToolbar")</f>
        <v>DeleteMFPreferenceToolbar</v>
      </c>
      <c r="C295" t="str">
        <f>IFERROR(__xludf.DUMMYFUNCTION("""COMPUTED_VALUE"""),"1p2gNYBHk_zK7IVosy1KF26530YQABTpkgHuzRoHEtrE")</f>
        <v>1p2gNYBHk_zK7IVosy1KF26530YQABTpkgHuzRoHEtrE</v>
      </c>
    </row>
    <row r="296" ht="15.75" customHeight="1">
      <c r="A296" t="str">
        <f>IFERROR(__xludf.DUMMYFUNCTION("""COMPUTED_VALUE"""),"Allocation")</f>
        <v>Allocation</v>
      </c>
      <c r="B296" t="str">
        <f>IFERROR(__xludf.DUMMYFUNCTION("""COMPUTED_VALUE"""),"RenameMFPreferences")</f>
        <v>RenameMFPreferences</v>
      </c>
      <c r="C296" t="str">
        <f>IFERROR(__xludf.DUMMYFUNCTION("""COMPUTED_VALUE"""),"1-fTs6_RktuYpTbjZRrT_FVnPuHToyVZ28RezlVOilDQ")</f>
        <v>1-fTs6_RktuYpTbjZRrT_FVnPuHToyVZ28RezlVOilDQ</v>
      </c>
    </row>
    <row r="297" ht="15.75" customHeight="1">
      <c r="A297" t="str">
        <f>IFERROR(__xludf.DUMMYFUNCTION("""COMPUTED_VALUE"""),"Allocation")</f>
        <v>Allocation</v>
      </c>
      <c r="B297" t="str">
        <f>IFERROR(__xludf.DUMMYFUNCTION("""COMPUTED_VALUE"""),"SaveCloseMFPreference")</f>
        <v>SaveCloseMFPreference</v>
      </c>
      <c r="C297" t="str">
        <f>IFERROR(__xludf.DUMMYFUNCTION("""COMPUTED_VALUE"""),"undefined")</f>
        <v>undefined</v>
      </c>
    </row>
    <row r="298" ht="15.75" customHeight="1">
      <c r="A298" t="str">
        <f>IFERROR(__xludf.DUMMYFUNCTION("""COMPUTED_VALUE"""),"Allocation")</f>
        <v>Allocation</v>
      </c>
      <c r="B298" t="str">
        <f>IFERROR(__xludf.DUMMYFUNCTION("""COMPUTED_VALUE"""),"SetMFPrefAccountValues")</f>
        <v>SetMFPrefAccountValues</v>
      </c>
      <c r="C298" t="str">
        <f>IFERROR(__xludf.DUMMYFUNCTION("""COMPUTED_VALUE"""),"1fsW3FLBLQSnAB1FTWbZOYZ1c8y_T0pXdchJoJKojQ5U")</f>
        <v>1fsW3FLBLQSnAB1FTWbZOYZ1c8y_T0pXdchJoJKojQ5U</v>
      </c>
    </row>
    <row r="299" ht="15.75" customHeight="1">
      <c r="A299" t="str">
        <f>IFERROR(__xludf.DUMMYFUNCTION("""COMPUTED_VALUE"""),"Allocation")</f>
        <v>Allocation</v>
      </c>
      <c r="B299" t="str">
        <f>IFERROR(__xludf.DUMMYFUNCTION("""COMPUTED_VALUE"""),"ModifyMFPrefGeneralRuleValues")</f>
        <v>ModifyMFPrefGeneralRuleValues</v>
      </c>
      <c r="C299" t="str">
        <f>IFERROR(__xludf.DUMMYFUNCTION("""COMPUTED_VALUE"""),"undefined")</f>
        <v>undefined</v>
      </c>
    </row>
    <row r="300" ht="15.75" customHeight="1">
      <c r="A300" t="str">
        <f>IFERROR(__xludf.DUMMYFUNCTION("""COMPUTED_VALUE"""),"Allocation")</f>
        <v>Allocation</v>
      </c>
      <c r="B300" t="str">
        <f>IFERROR(__xludf.DUMMYFUNCTION("""COMPUTED_VALUE"""),"SetMFPrefStrategyValues")</f>
        <v>SetMFPrefStrategyValues</v>
      </c>
      <c r="C300" t="str">
        <f>IFERROR(__xludf.DUMMYFUNCTION("""COMPUTED_VALUE"""),"1RdLSqhBlKnI7H96oYs9VsGECGlykHpR2OqPkN9FwCpA")</f>
        <v>1RdLSqhBlKnI7H96oYs9VsGECGlykHpR2OqPkN9FwCpA</v>
      </c>
    </row>
    <row r="301" ht="15.75" customHeight="1">
      <c r="A301" t="str">
        <f>IFERROR(__xludf.DUMMYFUNCTION("""COMPUTED_VALUE"""),"Allocation")</f>
        <v>Allocation</v>
      </c>
      <c r="B301" t="str">
        <f>IFERROR(__xludf.DUMMYFUNCTION("""COMPUTED_VALUE"""),"SetMFPrefGeneralRule")</f>
        <v>SetMFPrefGeneralRule</v>
      </c>
      <c r="C301" t="str">
        <f>IFERROR(__xludf.DUMMYFUNCTION("""COMPUTED_VALUE"""),"1IJ0ITE6kAXc0SGfd95PYFTvX-K-fjbi9rjfbaVF_8_o")</f>
        <v>1IJ0ITE6kAXc0SGfd95PYFTvX-K-fjbi9rjfbaVF_8_o</v>
      </c>
    </row>
    <row r="302" ht="15.75" customHeight="1">
      <c r="A302" t="str">
        <f>IFERROR(__xludf.DUMMYFUNCTION("""COMPUTED_VALUE"""),"Allocation")</f>
        <v>Allocation</v>
      </c>
      <c r="B302" t="str">
        <f>IFERROR(__xludf.DUMMYFUNCTION("""COMPUTED_VALUE"""),"SetMFPrefFundDistribution")</f>
        <v>SetMFPrefFundDistribution</v>
      </c>
      <c r="C302" t="str">
        <f>IFERROR(__xludf.DUMMYFUNCTION("""COMPUTED_VALUE"""),"1JXgefFxiOZYiu3nvqHgqGC5961DevvA1p-zE8Q1gFmQ")</f>
        <v>1JXgefFxiOZYiu3nvqHgqGC5961DevvA1p-zE8Q1gFmQ</v>
      </c>
    </row>
    <row r="303" ht="15.75" customHeight="1">
      <c r="A303" t="str">
        <f>IFERROR(__xludf.DUMMYFUNCTION("""COMPUTED_VALUE"""),"Allocation")</f>
        <v>Allocation</v>
      </c>
      <c r="B303" t="str">
        <f>IFERROR(__xludf.DUMMYFUNCTION("""COMPUTED_VALUE"""),"SetMFPreferencesDefaultRule")</f>
        <v>SetMFPreferencesDefaultRule</v>
      </c>
      <c r="C303" t="str">
        <f>IFERROR(__xludf.DUMMYFUNCTION("""COMPUTED_VALUE"""),"1FaRUR8eAdOKdosN0J6gNT494O3LIUjOW6UENL8-QaqI")</f>
        <v>1FaRUR8eAdOKdosN0J6gNT494O3LIUjOW6UENL8-QaqI</v>
      </c>
    </row>
    <row r="304" ht="15.75" customHeight="1">
      <c r="A304" t="str">
        <f>IFERROR(__xludf.DUMMYFUNCTION("""COMPUTED_VALUE"""),"Allocation")</f>
        <v>Allocation</v>
      </c>
      <c r="B304" t="str">
        <f>IFERROR(__xludf.DUMMYFUNCTION("""COMPUTED_VALUE"""),"SetMFPrefFundDefaultRule")</f>
        <v>SetMFPrefFundDefaultRule</v>
      </c>
      <c r="C304" t="str">
        <f>IFERROR(__xludf.DUMMYFUNCTION("""COMPUTED_VALUE"""),"1aTAOxKd-OKfDMtOkbD2qjNA7heK3JaL80oWOPJWR-m4")</f>
        <v>1aTAOxKd-OKfDMtOkbD2qjNA7heK3JaL80oWOPJWR-m4</v>
      </c>
    </row>
    <row r="305" ht="15.75" customHeight="1">
      <c r="A305" t="str">
        <f>IFERROR(__xludf.DUMMYFUNCTION("""COMPUTED_VALUE"""),"PTT")</f>
        <v>PTT</v>
      </c>
      <c r="B305" t="str">
        <f>IFERROR(__xludf.DUMMYFUNCTION("""COMPUTED_VALUE"""),"SetAccountFactor")</f>
        <v>SetAccountFactor</v>
      </c>
      <c r="C305" t="str">
        <f>IFERROR(__xludf.DUMMYFUNCTION("""COMPUTED_VALUE"""),"1iC5h3lmVz1lkFi3hXF5Nay_GLbs1D6oy7-RHYXL-GIo")</f>
        <v>1iC5h3lmVz1lkFi3hXF5Nay_GLbs1D6oy7-RHYXL-GIo</v>
      </c>
    </row>
    <row r="306" ht="15.75" customHeight="1">
      <c r="A306" t="str">
        <f>IFERROR(__xludf.DUMMYFUNCTION("""COMPUTED_VALUE"""),"Allocation")</f>
        <v>Allocation</v>
      </c>
      <c r="B306" t="str">
        <f>IFERROR(__xludf.DUMMYFUNCTION("""COMPUTED_VALUE"""),"ClearPrefetchFilters")</f>
        <v>ClearPrefetchFilters</v>
      </c>
      <c r="C306" t="str">
        <f>IFERROR(__xludf.DUMMYFUNCTION("""COMPUTED_VALUE"""),"undefined")</f>
        <v>undefined</v>
      </c>
    </row>
    <row r="307" ht="15.75" customHeight="1">
      <c r="A307" t="str">
        <f>IFERROR(__xludf.DUMMYFUNCTION("""COMPUTED_VALUE"""),"Allocation")</f>
        <v>Allocation</v>
      </c>
      <c r="B307" t="str">
        <f>IFERROR(__xludf.DUMMYFUNCTION("""COMPUTED_VALUE"""),"ExpandCollapseAllUnallocated")</f>
        <v>ExpandCollapseAllUnallocated</v>
      </c>
      <c r="C307" t="str">
        <f>IFERROR(__xludf.DUMMYFUNCTION("""COMPUTED_VALUE"""),"1aaU_cMiBcryIk1mv61Bk8nzw1uuGyeojYzruzun4vn4")</f>
        <v>1aaU_cMiBcryIk1mv61Bk8nzw1uuGyeojYzruzun4vn4</v>
      </c>
    </row>
    <row r="308" ht="15.75" customHeight="1">
      <c r="A308" t="str">
        <f>IFERROR(__xludf.DUMMYFUNCTION("""COMPUTED_VALUE"""),"Allocation")</f>
        <v>Allocation</v>
      </c>
      <c r="B308" t="str">
        <f>IFERROR(__xludf.DUMMYFUNCTION("""COMPUTED_VALUE"""),"ExpandCollapseAllAllocated")</f>
        <v>ExpandCollapseAllAllocated</v>
      </c>
      <c r="C308" t="str">
        <f>IFERROR(__xludf.DUMMYFUNCTION("""COMPUTED_VALUE"""),"15Ue38beZCcRwHWaVV0RfQpiUhL8BQtHdJOWFk8Vn8nU")</f>
        <v>15Ue38beZCcRwHWaVV0RfQpiUhL8BQtHdJOWFk8Vn8nU</v>
      </c>
    </row>
    <row r="309" ht="15.75" customHeight="1">
      <c r="A309" t="str">
        <f>IFERROR(__xludf.DUMMYFUNCTION("""COMPUTED_VALUE"""),"Allocation")</f>
        <v>Allocation</v>
      </c>
      <c r="B309" t="str">
        <f>IFERROR(__xludf.DUMMYFUNCTION("""COMPUTED_VALUE"""),"GenerateCashTransaction")</f>
        <v>GenerateCashTransaction</v>
      </c>
      <c r="C309" t="str">
        <f>IFERROR(__xludf.DUMMYFUNCTION("""COMPUTED_VALUE"""),"17KJQ2JG3exSQFsCEREc0fo3OlCzwQ87QrIrxDvJOTL0")</f>
        <v>17KJQ2JG3exSQFsCEREc0fo3OlCzwQ87QrIrxDvJOTL0</v>
      </c>
    </row>
    <row r="310" ht="15.75" customHeight="1">
      <c r="A310" t="str">
        <f>IFERROR(__xludf.DUMMYFUNCTION("""COMPUTED_VALUE"""),"Allocation")</f>
        <v>Allocation</v>
      </c>
      <c r="B310" t="str">
        <f>IFERROR(__xludf.DUMMYFUNCTION("""COMPUTED_VALUE"""),"SaveAllocation")</f>
        <v>SaveAllocation</v>
      </c>
      <c r="C310" t="str">
        <f>IFERROR(__xludf.DUMMYFUNCTION("""COMPUTED_VALUE"""),"undefined")</f>
        <v>undefined</v>
      </c>
    </row>
    <row r="311" ht="15.75" customHeight="1">
      <c r="A311" t="str">
        <f>IFERROR(__xludf.DUMMYFUNCTION("""COMPUTED_VALUE"""),"Allocation")</f>
        <v>Allocation</v>
      </c>
      <c r="B311" t="str">
        <f>IFERROR(__xludf.DUMMYFUNCTION("""COMPUTED_VALUE"""),"UnallocateWithOutSave")</f>
        <v>UnallocateWithOutSave</v>
      </c>
      <c r="C311" t="str">
        <f>IFERROR(__xludf.DUMMYFUNCTION("""COMPUTED_VALUE"""),"1BBuNgcMvzUvD-gZVr3XXF6T3_SSkXRMD323rt_wpPKQ")</f>
        <v>1BBuNgcMvzUvD-gZVr3XXF6T3_SSkXRMD323rt_wpPKQ</v>
      </c>
    </row>
    <row r="312" ht="15.75" customHeight="1">
      <c r="A312" t="str">
        <f>IFERROR(__xludf.DUMMYFUNCTION("""COMPUTED_VALUE"""),"TradeServer")</f>
        <v>TradeServer</v>
      </c>
      <c r="B312" t="str">
        <f>IFERROR(__xludf.DUMMYFUNCTION("""COMPUTED_VALUE"""),"UpdateServerConfig")</f>
        <v>UpdateServerConfig</v>
      </c>
      <c r="C312" t="str">
        <f>IFERROR(__xludf.DUMMYFUNCTION("""COMPUTED_VALUE"""),"1MPicLh4_cRx3ynhn68KNyk7US2TRsT--AJ1FJ5xfra0")</f>
        <v>1MPicLh4_cRx3ynhn68KNyk7US2TRsT--AJ1FJ5xfra0</v>
      </c>
    </row>
    <row r="313" ht="15.75" customHeight="1">
      <c r="A313" t="str">
        <f>IFERROR(__xludf.DUMMYFUNCTION("""COMPUTED_VALUE"""),"PricingServer")</f>
        <v>PricingServer</v>
      </c>
      <c r="B313" t="str">
        <f>IFERROR(__xludf.DUMMYFUNCTION("""COMPUTED_VALUE"""),"UpdatePricingConfig")</f>
        <v>UpdatePricingConfig</v>
      </c>
      <c r="C313" t="str">
        <f>IFERROR(__xludf.DUMMYFUNCTION("""COMPUTED_VALUE"""),"1zJpo_fvgHnAOKIroxu4Yg4YOEDG9ihIiNdRpdZkyouY")</f>
        <v>1zJpo_fvgHnAOKIroxu4Yg4YOEDG9ihIiNdRpdZkyouY</v>
      </c>
    </row>
    <row r="314" ht="15.75" customHeight="1">
      <c r="A314" t="str">
        <f>IFERROR(__xludf.DUMMYFUNCTION("""COMPUTED_VALUE"""),"PranaClient")</f>
        <v>PranaClient</v>
      </c>
      <c r="B314" t="str">
        <f>IFERROR(__xludf.DUMMYFUNCTION("""COMPUTED_VALUE"""),"UpdateClientConfig")</f>
        <v>UpdateClientConfig</v>
      </c>
      <c r="C314" t="str">
        <f>IFERROR(__xludf.DUMMYFUNCTION("""COMPUTED_VALUE"""),"1rclWjN3ooT5nL8wJDLv7VJcrOapNKjyFsXn1lWIijgU")</f>
        <v>1rclWjN3ooT5nL8wJDLv7VJcrOapNKjyFsXn1lWIijgU</v>
      </c>
    </row>
    <row r="315" ht="15.75" customHeight="1">
      <c r="A315" t="str">
        <f>IFERROR(__xludf.DUMMYFUNCTION("""COMPUTED_VALUE"""),"PortfolioManagement")</f>
        <v>PortfolioManagement</v>
      </c>
      <c r="B315" t="str">
        <f>IFERROR(__xludf.DUMMYFUNCTION("""COMPUTED_VALUE"""),"OpenClosingFromPM")</f>
        <v>OpenClosingFromPM</v>
      </c>
      <c r="C315" t="str">
        <f>IFERROR(__xludf.DUMMYFUNCTION("""COMPUTED_VALUE"""),"undefined")</f>
        <v>undefined</v>
      </c>
    </row>
    <row r="316" ht="15.75" customHeight="1">
      <c r="A316" t="str">
        <f>IFERROR(__xludf.DUMMYFUNCTION("""COMPUTED_VALUE"""),"PortfolioManagement")</f>
        <v>PortfolioManagement</v>
      </c>
      <c r="B316" t="str">
        <f>IFERROR(__xludf.DUMMYFUNCTION("""COMPUTED_VALUE"""),"OpenCorporateActionFromPM")</f>
        <v>OpenCorporateActionFromPM</v>
      </c>
      <c r="C316" t="str">
        <f>IFERROR(__xludf.DUMMYFUNCTION("""COMPUTED_VALUE"""),"undefined")</f>
        <v>undefined</v>
      </c>
    </row>
    <row r="317" ht="15.75" customHeight="1">
      <c r="A317" t="str">
        <f>IFERROR(__xludf.DUMMYFUNCTION("""COMPUTED_VALUE"""),"PortfolioManagement")</f>
        <v>PortfolioManagement</v>
      </c>
      <c r="B317" t="str">
        <f>IFERROR(__xludf.DUMMYFUNCTION("""COMPUTED_VALUE"""),"OpenDailyValuationFromPM")</f>
        <v>OpenDailyValuationFromPM</v>
      </c>
      <c r="C317" t="str">
        <f>IFERROR(__xludf.DUMMYFUNCTION("""COMPUTED_VALUE"""),"undefined")</f>
        <v>undefined</v>
      </c>
    </row>
    <row r="318" ht="15.75" customHeight="1">
      <c r="A318" t="str">
        <f>IFERROR(__xludf.DUMMYFUNCTION("""COMPUTED_VALUE"""),"PortfolioManagement")</f>
        <v>PortfolioManagement</v>
      </c>
      <c r="B318" t="str">
        <f>IFERROR(__xludf.DUMMYFUNCTION("""COMPUTED_VALUE"""),"ClosePositionFromPM")</f>
        <v>ClosePositionFromPM</v>
      </c>
      <c r="C318" t="str">
        <f>IFERROR(__xludf.DUMMYFUNCTION("""COMPUTED_VALUE"""),"1eVMpcX298QLEFSZ68GvnaqAVsPnc1_WsBBr6lGLL_xk")</f>
        <v>1eVMpcX298QLEFSZ68GvnaqAVsPnc1_WsBBr6lGLL_xk</v>
      </c>
    </row>
    <row r="319" ht="15.75" customHeight="1">
      <c r="A319" t="str">
        <f>IFERROR(__xludf.DUMMYFUNCTION("""COMPUTED_VALUE"""),"PortfolioManagement")</f>
        <v>PortfolioManagement</v>
      </c>
      <c r="B319" t="str">
        <f>IFERROR(__xludf.DUMMYFUNCTION("""COMPUTED_VALUE"""),"ShowSummaryToolFromPM")</f>
        <v>ShowSummaryToolFromPM</v>
      </c>
      <c r="C319" t="str">
        <f>IFERROR(__xludf.DUMMYFUNCTION("""COMPUTED_VALUE"""),"undefined")</f>
        <v>undefined</v>
      </c>
    </row>
    <row r="320" ht="15.75" customHeight="1">
      <c r="A320" t="str">
        <f>IFERROR(__xludf.DUMMYFUNCTION("""COMPUTED_VALUE"""),"PortfolioManagement")</f>
        <v>PortfolioManagement</v>
      </c>
      <c r="B320" t="str">
        <f>IFERROR(__xludf.DUMMYFUNCTION("""COMPUTED_VALUE"""),"HideSummaryToolFromPM")</f>
        <v>HideSummaryToolFromPM</v>
      </c>
      <c r="C320" t="str">
        <f>IFERROR(__xludf.DUMMYFUNCTION("""COMPUTED_VALUE"""),"undefined")</f>
        <v>undefined</v>
      </c>
    </row>
    <row r="321" ht="15.75" customHeight="1">
      <c r="A321" t="str">
        <f>IFERROR(__xludf.DUMMYFUNCTION("""COMPUTED_VALUE"""),"PortfolioManagement")</f>
        <v>PortfolioManagement</v>
      </c>
      <c r="B321" t="str">
        <f>IFERROR(__xludf.DUMMYFUNCTION("""COMPUTED_VALUE"""),"CloseAccountPositionFromPM")</f>
        <v>CloseAccountPositionFromPM</v>
      </c>
      <c r="C321" t="str">
        <f>IFERROR(__xludf.DUMMYFUNCTION("""COMPUTED_VALUE"""),"1G7aw6OsfKe48YJ4wZlpaiwUF7EyEmGjzKmTHSnLwsjM")</f>
        <v>1G7aw6OsfKe48YJ4wZlpaiwUF7EyEmGjzKmTHSnLwsjM</v>
      </c>
    </row>
    <row r="322" ht="15.75" customHeight="1">
      <c r="A322" t="str">
        <f>IFERROR(__xludf.DUMMYFUNCTION("""COMPUTED_VALUE"""),"PortfolioManagement")</f>
        <v>PortfolioManagement</v>
      </c>
      <c r="B322" t="str">
        <f>IFERROR(__xludf.DUMMYFUNCTION("""COMPUTED_VALUE"""),"CloseSelectedTaxlotsFromPM")</f>
        <v>CloseSelectedTaxlotsFromPM</v>
      </c>
      <c r="C322" t="str">
        <f>IFERROR(__xludf.DUMMYFUNCTION("""COMPUTED_VALUE"""),"1YDZT2-LkX-MtNExlMwysopJtKzIHr8GDRqmX7oNqceY")</f>
        <v>1YDZT2-LkX-MtNExlMwysopJtKzIHr8GDRqmX7oNqceY</v>
      </c>
    </row>
    <row r="323" ht="15.75" customHeight="1">
      <c r="A323" t="str">
        <f>IFERROR(__xludf.DUMMYFUNCTION("""COMPUTED_VALUE"""),"PortfolioManagement")</f>
        <v>PortfolioManagement</v>
      </c>
      <c r="B323" t="str">
        <f>IFERROR(__xludf.DUMMYFUNCTION("""COMPUTED_VALUE"""),"ExpandCollapsePM")</f>
        <v>ExpandCollapsePM</v>
      </c>
      <c r="C323" t="str">
        <f>IFERROR(__xludf.DUMMYFUNCTION("""COMPUTED_VALUE"""),"1M7t0Pc0QArtvID6fnn4iOri5a5SS5W6RhUNxDg4qxyM")</f>
        <v>1M7t0Pc0QArtvID6fnn4iOri5a5SS5W6RhUNxDg4qxyM</v>
      </c>
    </row>
    <row r="324" ht="15.75" customHeight="1">
      <c r="A324" t="str">
        <f>IFERROR(__xludf.DUMMYFUNCTION("""COMPUTED_VALUE"""),"PortfolioManagement")</f>
        <v>PortfolioManagement</v>
      </c>
      <c r="B324" t="str">
        <f>IFERROR(__xludf.DUMMYFUNCTION("""COMPUTED_VALUE"""),"AddCustomViewPM")</f>
        <v>AddCustomViewPM</v>
      </c>
      <c r="C324" t="str">
        <f>IFERROR(__xludf.DUMMYFUNCTION("""COMPUTED_VALUE"""),"13piHoSaVK7A8I4KAXLsA5Men3ngoqvqpTG-lZD_1KUo")</f>
        <v>13piHoSaVK7A8I4KAXLsA5Men3ngoqvqpTG-lZD_1KUo</v>
      </c>
    </row>
    <row r="325" ht="15.75" customHeight="1">
      <c r="A325" t="str">
        <f>IFERROR(__xludf.DUMMYFUNCTION("""COMPUTED_VALUE"""),"PortfolioManagement")</f>
        <v>PortfolioManagement</v>
      </c>
      <c r="B325" t="str">
        <f>IFERROR(__xludf.DUMMYFUNCTION("""COMPUTED_VALUE"""),"AddCustomViewRightClickPM")</f>
        <v>AddCustomViewRightClickPM</v>
      </c>
      <c r="C325" t="str">
        <f>IFERROR(__xludf.DUMMYFUNCTION("""COMPUTED_VALUE"""),"1k8C-LBwz3GlNV3C5E3QvzqBFewYG5vG9ugiipS-_zD4")</f>
        <v>1k8C-LBwz3GlNV3C5E3QvzqBFewYG5vG9ugiipS-_zD4</v>
      </c>
    </row>
    <row r="326" ht="15.75" customHeight="1">
      <c r="A326" t="str">
        <f>IFERROR(__xludf.DUMMYFUNCTION("""COMPUTED_VALUE"""),"PortfolioManagement")</f>
        <v>PortfolioManagement</v>
      </c>
      <c r="B326" t="str">
        <f>IFERROR(__xludf.DUMMYFUNCTION("""COMPUTED_VALUE"""),"RenameCustomViewPM")</f>
        <v>RenameCustomViewPM</v>
      </c>
      <c r="C326" t="str">
        <f>IFERROR(__xludf.DUMMYFUNCTION("""COMPUTED_VALUE"""),"1ncl7te4f_dGYzCuZzxcRCwr4yZrX3tLKvh23s23mlUQ")</f>
        <v>1ncl7te4f_dGYzCuZzxcRCwr4yZrX3tLKvh23s23mlUQ</v>
      </c>
    </row>
    <row r="327" ht="15.75" customHeight="1">
      <c r="A327" t="str">
        <f>IFERROR(__xludf.DUMMYFUNCTION("""COMPUTED_VALUE"""),"PortfolioManagement")</f>
        <v>PortfolioManagement</v>
      </c>
      <c r="B327" t="str">
        <f>IFERROR(__xludf.DUMMYFUNCTION("""COMPUTED_VALUE"""),"DeleteCustomViewPM")</f>
        <v>DeleteCustomViewPM</v>
      </c>
      <c r="C327" t="str">
        <f>IFERROR(__xludf.DUMMYFUNCTION("""COMPUTED_VALUE"""),"1vAN2zxByVTbuFRgUg-THlwpw7k28QMwQHGoxf_n8Ges")</f>
        <v>1vAN2zxByVTbuFRgUg-THlwpw7k28QMwQHGoxf_n8Ges</v>
      </c>
    </row>
    <row r="328" ht="15.75" customHeight="1">
      <c r="A328" t="str">
        <f>IFERROR(__xludf.DUMMYFUNCTION("""COMPUTED_VALUE"""),"Closing")</f>
        <v>Closing</v>
      </c>
      <c r="B328" t="str">
        <f>IFERROR(__xludf.DUMMYFUNCTION("""COMPUTED_VALUE"""),"SetClosingPreference")</f>
        <v>SetClosingPreference</v>
      </c>
      <c r="C328" t="str">
        <f>IFERROR(__xludf.DUMMYFUNCTION("""COMPUTED_VALUE"""),"1oTTQbLhHic8oL_svmQ0qdjBVLpJCcQnyu-u9b8rHbtE")</f>
        <v>1oTTQbLhHic8oL_svmQ0qdjBVLpJCcQnyu-u9b8rHbtE</v>
      </c>
    </row>
    <row r="329" ht="15.75" customHeight="1">
      <c r="A329" t="str">
        <f>IFERROR(__xludf.DUMMYFUNCTION("""COMPUTED_VALUE"""),"CreateTransaction")</f>
        <v>CreateTransaction</v>
      </c>
      <c r="B329" t="str">
        <f>IFERROR(__xludf.DUMMYFUNCTION("""COMPUTED_VALUE"""),"SaveTransaction")</f>
        <v>SaveTransaction</v>
      </c>
      <c r="C329" t="str">
        <f>IFERROR(__xludf.DUMMYFUNCTION("""COMPUTED_VALUE"""),"undefined")</f>
        <v>undefined</v>
      </c>
    </row>
    <row r="330" ht="15.75" customHeight="1">
      <c r="A330" t="str">
        <f>IFERROR(__xludf.DUMMYFUNCTION("""COMPUTED_VALUE"""),"Allocation")</f>
        <v>Allocation</v>
      </c>
      <c r="B330" t="str">
        <f>IFERROR(__xludf.DUMMYFUNCTION("""COMPUTED_VALUE"""),"EditUnallocatedGrid")</f>
        <v>EditUnallocatedGrid</v>
      </c>
      <c r="C330" t="str">
        <f>IFERROR(__xludf.DUMMYFUNCTION("""COMPUTED_VALUE"""),"1Eg48tr0_jcvY-tLu_SbsvR2u64NRBp2N6ZODjJbPWF0")</f>
        <v>1Eg48tr0_jcvY-tLu_SbsvR2u64NRBp2N6ZODjJbPWF0</v>
      </c>
    </row>
    <row r="331" ht="15.75" customHeight="1">
      <c r="A331" t="str">
        <f>IFERROR(__xludf.DUMMYFUNCTION("""COMPUTED_VALUE"""),"Allocation")</f>
        <v>Allocation</v>
      </c>
      <c r="B331" t="str">
        <f>IFERROR(__xludf.DUMMYFUNCTION("""COMPUTED_VALUE"""),"EditAllocatedGrid")</f>
        <v>EditAllocatedGrid</v>
      </c>
      <c r="C331" t="str">
        <f>IFERROR(__xludf.DUMMYFUNCTION("""COMPUTED_VALUE"""),"1jumsAa4jYebpWTdXyCrsYPMpgMy3AAAb0E6m3pq9zfQ")</f>
        <v>1jumsAa4jYebpWTdXyCrsYPMpgMy3AAAb0E6m3pq9zfQ</v>
      </c>
    </row>
    <row r="332" ht="15.75" customHeight="1">
      <c r="A332" t="str">
        <f>IFERROR(__xludf.DUMMYFUNCTION("""COMPUTED_VALUE"""),"PTT")</f>
        <v>PTT</v>
      </c>
      <c r="B332" t="str">
        <f>IFERROR(__xludf.DUMMYFUNCTION("""COMPUTED_VALUE"""),"SetPTTPreference")</f>
        <v>SetPTTPreference</v>
      </c>
      <c r="C332" t="str">
        <f>IFERROR(__xludf.DUMMYFUNCTION("""COMPUTED_VALUE"""),"1IWThU1tr1c83LHshXuPtQhnsEDrVfBxHlVdCTs3_gI0")</f>
        <v>1IWThU1tr1c83LHshXuPtQhnsEDrVfBxHlVdCTs3_gI0</v>
      </c>
    </row>
    <row r="333" ht="15.75" customHeight="1">
      <c r="A333" t="str">
        <f>IFERROR(__xludf.DUMMYFUNCTION("""COMPUTED_VALUE"""),"PTT")</f>
        <v>PTT</v>
      </c>
      <c r="B333" t="str">
        <f>IFERROR(__xludf.DUMMYFUNCTION("""COMPUTED_VALUE"""),"SetLongShortPTTPreference")</f>
        <v>SetLongShortPTTPreference</v>
      </c>
      <c r="C333" t="str">
        <f>IFERROR(__xludf.DUMMYFUNCTION("""COMPUTED_VALUE"""),"18YN65KpXjKBHvfHbcTAJVt8VQ29ANoekyOrzV_UinlU")</f>
        <v>18YN65KpXjKBHvfHbcTAJVt8VQ29ANoekyOrzV_UinlU</v>
      </c>
    </row>
    <row r="334" ht="15.75" customHeight="1">
      <c r="A334" t="str">
        <f>IFERROR(__xludf.DUMMYFUNCTION("""COMPUTED_VALUE"""),"TradingTicket")</f>
        <v>TradingTicket</v>
      </c>
      <c r="B334" t="str">
        <f>IFERROR(__xludf.DUMMYFUNCTION("""COMPUTED_VALUE"""),"VerifyTT")</f>
        <v>VerifyTT</v>
      </c>
      <c r="C334" t="str">
        <f>IFERROR(__xludf.DUMMYFUNCTION("""COMPUTED_VALUE"""),"1aAKrLLBUkdPmY-u1TvvBjiwsLoIqEjpaZv0vuuwgDXc")</f>
        <v>1aAKrLLBUkdPmY-u1TvvBjiwsLoIqEjpaZv0vuuwgDXc</v>
      </c>
    </row>
    <row r="335" ht="15.75" customHeight="1">
      <c r="A335" t="str">
        <f>IFERROR(__xludf.DUMMYFUNCTION("""COMPUTED_VALUE"""),"Allocation")</f>
        <v>Allocation</v>
      </c>
      <c r="B335" t="str">
        <f>IFERROR(__xludf.DUMMYFUNCTION("""COMPUTED_VALUE"""),"SaveLayoutAllocatedGrid")</f>
        <v>SaveLayoutAllocatedGrid</v>
      </c>
      <c r="C335" t="str">
        <f>IFERROR(__xludf.DUMMYFUNCTION("""COMPUTED_VALUE"""),"1STRhvXDmA77-EUfXkerb9M6KavHQa6ufPlKbKQFnacs")</f>
        <v>1STRhvXDmA77-EUfXkerb9M6KavHQa6ufPlKbKQFnacs</v>
      </c>
    </row>
    <row r="336" ht="15.75" customHeight="1">
      <c r="A336" t="str">
        <f>IFERROR(__xludf.DUMMYFUNCTION("""COMPUTED_VALUE"""),"Allocation")</f>
        <v>Allocation</v>
      </c>
      <c r="B336" t="str">
        <f>IFERROR(__xludf.DUMMYFUNCTION("""COMPUTED_VALUE"""),"SaveLayoutUnallocatedGrid")</f>
        <v>SaveLayoutUnallocatedGrid</v>
      </c>
      <c r="C336" t="str">
        <f>IFERROR(__xludf.DUMMYFUNCTION("""COMPUTED_VALUE"""),"1eQ3bSd8sNOPS2QEo6_h1dSmrCHItkDjuQE6HDsmi2A4")</f>
        <v>1eQ3bSd8sNOPS2QEo6_h1dSmrCHItkDjuQE6HDsmi2A4</v>
      </c>
    </row>
    <row r="337" ht="15.75" customHeight="1">
      <c r="A337" t="str">
        <f>IFERROR(__xludf.DUMMYFUNCTION("""COMPUTED_VALUE"""),"Allocation")</f>
        <v>Allocation</v>
      </c>
      <c r="B337" t="str">
        <f>IFERROR(__xludf.DUMMYFUNCTION("""COMPUTED_VALUE"""),"SaveLayoutAllocationUI")</f>
        <v>SaveLayoutAllocationUI</v>
      </c>
      <c r="C337" t="str">
        <f>IFERROR(__xludf.DUMMYFUNCTION("""COMPUTED_VALUE"""),"12FTcBcbaShH13w8bkrZeiFv_kNMJJP9FHGmxLKHRaus")</f>
        <v>12FTcBcbaShH13w8bkrZeiFv_kNMJJP9FHGmxLKHRaus</v>
      </c>
    </row>
    <row r="338" ht="15.75" customHeight="1">
      <c r="A338" t="str">
        <f>IFERROR(__xludf.DUMMYFUNCTION("""COMPUTED_VALUE"""),"Allocation")</f>
        <v>Allocation</v>
      </c>
      <c r="B338" t="str">
        <f>IFERROR(__xludf.DUMMYFUNCTION("""COMPUTED_VALUE"""),"ClearFiltersAllocatedGrid")</f>
        <v>ClearFiltersAllocatedGrid</v>
      </c>
      <c r="C338" t="str">
        <f>IFERROR(__xludf.DUMMYFUNCTION("""COMPUTED_VALUE"""),"undefined")</f>
        <v>undefined</v>
      </c>
    </row>
    <row r="339" ht="15.75" customHeight="1">
      <c r="A339" t="str">
        <f>IFERROR(__xludf.DUMMYFUNCTION("""COMPUTED_VALUE"""),"Allocation")</f>
        <v>Allocation</v>
      </c>
      <c r="B339" t="str">
        <f>IFERROR(__xludf.DUMMYFUNCTION("""COMPUTED_VALUE"""),"ClearFiltersUnallocatedGrid")</f>
        <v>ClearFiltersUnallocatedGrid</v>
      </c>
      <c r="C339" t="str">
        <f>IFERROR(__xludf.DUMMYFUNCTION("""COMPUTED_VALUE"""),"undefined")</f>
        <v>undefined</v>
      </c>
    </row>
    <row r="340" ht="15.75" customHeight="1">
      <c r="A340" t="str">
        <f>IFERROR(__xludf.DUMMYFUNCTION("""COMPUTED_VALUE"""),"Allocation")</f>
        <v>Allocation</v>
      </c>
      <c r="B340" t="str">
        <f>IFERROR(__xludf.DUMMYFUNCTION("""COMPUTED_VALUE"""),"VerifyLayoutAllocatedGrid")</f>
        <v>VerifyLayoutAllocatedGrid</v>
      </c>
      <c r="C340" t="str">
        <f>IFERROR(__xludf.DUMMYFUNCTION("""COMPUTED_VALUE"""),"1CwPykEk7zMYYVBkEvkTfslvYso3Klr69YGyT7h7jC8g")</f>
        <v>1CwPykEk7zMYYVBkEvkTfslvYso3Klr69YGyT7h7jC8g</v>
      </c>
    </row>
    <row r="341" ht="15.75" customHeight="1">
      <c r="A341" t="str">
        <f>IFERROR(__xludf.DUMMYFUNCTION("""COMPUTED_VALUE"""),"Allocation")</f>
        <v>Allocation</v>
      </c>
      <c r="B341" t="str">
        <f>IFERROR(__xludf.DUMMYFUNCTION("""COMPUTED_VALUE"""),"VerifyLayoutUnallocatedGrid")</f>
        <v>VerifyLayoutUnallocatedGrid</v>
      </c>
      <c r="C341" t="str">
        <f>IFERROR(__xludf.DUMMYFUNCTION("""COMPUTED_VALUE"""),"1yX-FUpbSMuYg2jkSUK8wa37Ri2EzHCqLAyUV1GkKGxQ")</f>
        <v>1yX-FUpbSMuYg2jkSUK8wa37Ri2EzHCqLAyUV1GkKGxQ</v>
      </c>
    </row>
    <row r="342" ht="15.75" customHeight="1">
      <c r="A342" t="str">
        <f>IFERROR(__xludf.DUMMYFUNCTION("""COMPUTED_VALUE"""),"DailyValuation")</f>
        <v>DailyValuation</v>
      </c>
      <c r="B342" t="str">
        <f>IFERROR(__xludf.DUMMYFUNCTION("""COMPUTED_VALUE"""),"UpdateForexConversionMonthly")</f>
        <v>UpdateForexConversionMonthly</v>
      </c>
      <c r="C342" t="str">
        <f>IFERROR(__xludf.DUMMYFUNCTION("""COMPUTED_VALUE"""),"1AUGavKEtSuKHgAjuYtsiF071G0-SoUFfzD6Y42IYV7g")</f>
        <v>1AUGavKEtSuKHgAjuYtsiF071G0-SoUFfzD6Y42IYV7g</v>
      </c>
    </row>
    <row r="343" ht="15.75" customHeight="1">
      <c r="A343" t="str">
        <f>IFERROR(__xludf.DUMMYFUNCTION("""COMPUTED_VALUE"""),"GeneralLedger")</f>
        <v>GeneralLedger</v>
      </c>
      <c r="B343" t="str">
        <f>IFERROR(__xludf.DUMMYFUNCTION("""COMPUTED_VALUE"""),"SaveTransaction")</f>
        <v>SaveTransaction</v>
      </c>
      <c r="C343" t="str">
        <f>IFERROR(__xludf.DUMMYFUNCTION("""COMPUTED_VALUE"""),"undefined")</f>
        <v>undefined</v>
      </c>
    </row>
    <row r="344" ht="15.75" customHeight="1">
      <c r="A344" t="str">
        <f>IFERROR(__xludf.DUMMYFUNCTION("""COMPUTED_VALUE"""),"DailyValuation")</f>
        <v>DailyValuation</v>
      </c>
      <c r="B344" t="str">
        <f>IFERROR(__xludf.DUMMYFUNCTION("""COMPUTED_VALUE"""),"UpdateMarkPriceMonthly")</f>
        <v>UpdateMarkPriceMonthly</v>
      </c>
      <c r="C344" t="str">
        <f>IFERROR(__xludf.DUMMYFUNCTION("""COMPUTED_VALUE"""),"1bdWChE4lhNkRFvBKdaIRusR869a1vAjS5u0gpQB83gg")</f>
        <v>1bdWChE4lhNkRFvBKdaIRusR869a1vAjS5u0gpQB83gg</v>
      </c>
    </row>
    <row r="345" ht="15.75" customHeight="1">
      <c r="A345" t="str">
        <f>IFERROR(__xludf.DUMMYFUNCTION("""COMPUTED_VALUE"""),"Allocation")</f>
        <v>Allocation</v>
      </c>
      <c r="B345" t="str">
        <f>IFERROR(__xludf.DUMMYFUNCTION("""COMPUTED_VALUE"""),"CleanUp")</f>
        <v>CleanUp</v>
      </c>
      <c r="C345" t="str">
        <f>IFERROR(__xludf.DUMMYFUNCTION("""COMPUTED_VALUE"""),"1wpP_Any4jtABxcsXGPSKAO7xmt0PgI3SAKvkYdj0XNk")</f>
        <v>1wpP_Any4jtABxcsXGPSKAO7xmt0PgI3SAKvkYdj0XNk</v>
      </c>
    </row>
    <row r="346" ht="15.75" customHeight="1">
      <c r="A346" t="str">
        <f>IFERROR(__xludf.DUMMYFUNCTION("""COMPUTED_VALUE"""),"Allocation")</f>
        <v>Allocation</v>
      </c>
      <c r="B346" t="str">
        <f>IFERROR(__xludf.DUMMYFUNCTION("""COMPUTED_VALUE"""),"CheckAllocatedTaxlots")</f>
        <v>CheckAllocatedTaxlots</v>
      </c>
      <c r="C346" t="str">
        <f>IFERROR(__xludf.DUMMYFUNCTION("""COMPUTED_VALUE"""),"1YqC1JbdGvSDN-uKdsTx8E6wcPDlCy33jsQ4uTHe1Ea0")</f>
        <v>1YqC1JbdGvSDN-uKdsTx8E6wcPDlCy33jsQ4uTHe1Ea0</v>
      </c>
    </row>
    <row r="347" ht="15.75" customHeight="1">
      <c r="A347" t="str">
        <f>IFERROR(__xludf.DUMMYFUNCTION("""COMPUTED_VALUE"""),"Closing")</f>
        <v>Closing</v>
      </c>
      <c r="B347" t="str">
        <f>IFERROR(__xludf.DUMMYFUNCTION("""COMPUTED_VALUE"""),"EditTradeUnexpiredUnsettled")</f>
        <v>EditTradeUnexpiredUnsettled</v>
      </c>
      <c r="C347" t="str">
        <f>IFERROR(__xludf.DUMMYFUNCTION("""COMPUTED_VALUE"""),"1BgKv-LW3Zj48Qo2Ee7DjbP2A-k7zRQ6Y25DwtcXod04")</f>
        <v>1BgKv-LW3Zj48Qo2Ee7DjbP2A-k7zRQ6Y25DwtcXod04</v>
      </c>
    </row>
    <row r="348" ht="15.75" customHeight="1">
      <c r="A348" t="str">
        <f>IFERROR(__xludf.DUMMYFUNCTION("""COMPUTED_VALUE"""),"ThirdParty")</f>
        <v>ThirdParty</v>
      </c>
      <c r="B348" t="str">
        <f>IFERROR(__xludf.DUMMYFUNCTION("""COMPUTED_VALUE"""),"VerifyThirdPartyView")</f>
        <v>VerifyThirdPartyView</v>
      </c>
      <c r="C348" t="str">
        <f>IFERROR(__xludf.DUMMYFUNCTION("""COMPUTED_VALUE"""),"1Bhq-a_LzI2roHS4ah4FyrUJ2yYXN7T16HEPh2paEGp8")</f>
        <v>1Bhq-a_LzI2roHS4ah4FyrUJ2yYXN7T16HEPh2paEGp8</v>
      </c>
    </row>
    <row r="349" ht="15.75" customHeight="1">
      <c r="A349" t="str">
        <f>IFERROR(__xludf.DUMMYFUNCTION("""COMPUTED_VALUE"""),"Compliance")</f>
        <v>Compliance</v>
      </c>
      <c r="B349" t="str">
        <f>IFERROR(__xludf.DUMMYFUNCTION("""COMPUTED_VALUE"""),"CheckCompliance")</f>
        <v>CheckCompliance</v>
      </c>
      <c r="C349" t="str">
        <f>IFERROR(__xludf.DUMMYFUNCTION("""COMPUTED_VALUE"""),"1y0uDmVZUA0KssyJ6ayaDJLLsFJ-XstBpZASkuWd6Kvw")</f>
        <v>1y0uDmVZUA0KssyJ6ayaDJLLsFJ-XstBpZASkuWd6Kvw</v>
      </c>
    </row>
    <row r="350" ht="15.75" customHeight="1">
      <c r="A350" t="str">
        <f>IFERROR(__xludf.DUMMYFUNCTION("""COMPUTED_VALUE"""),"Compliance")</f>
        <v>Compliance</v>
      </c>
      <c r="B350" t="str">
        <f>IFERROR(__xludf.DUMMYFUNCTION("""COMPUTED_VALUE"""),"VerifyAccountDivisorWindow")</f>
        <v>VerifyAccountDivisorWindow</v>
      </c>
      <c r="C350" t="str">
        <f>IFERROR(__xludf.DUMMYFUNCTION("""COMPUTED_VALUE"""),"1wA9--G72aVEWqaqmqr86HqJaqyM523Pt40dw38mxM0I")</f>
        <v>1wA9--G72aVEWqaqmqr86HqJaqyM523Pt40dw38mxM0I</v>
      </c>
    </row>
    <row r="351" ht="15.75" customHeight="1">
      <c r="A351" t="str">
        <f>IFERROR(__xludf.DUMMYFUNCTION("""COMPUTED_VALUE"""),"Compliance")</f>
        <v>Compliance</v>
      </c>
      <c r="B351" t="str">
        <f>IFERROR(__xludf.DUMMYFUNCTION("""COMPUTED_VALUE"""),"VerifyAccountSymbolDivisorWindow")</f>
        <v>VerifyAccountSymbolDivisorWindow</v>
      </c>
      <c r="C351" t="str">
        <f>IFERROR(__xludf.DUMMYFUNCTION("""COMPUTED_VALUE"""),"1z0feEuKarwoE0a0VhYLSs24xA2zNHnyVITHLS2bPy7c")</f>
        <v>1z0feEuKarwoE0a0VhYLSs24xA2zNHnyVITHLS2bPy7c</v>
      </c>
    </row>
    <row r="352" ht="15.75" customHeight="1">
      <c r="A352" t="str">
        <f>IFERROR(__xludf.DUMMYFUNCTION("""COMPUTED_VALUE"""),"Compliance")</f>
        <v>Compliance</v>
      </c>
      <c r="B352" t="str">
        <f>IFERROR(__xludf.DUMMYFUNCTION("""COMPUTED_VALUE"""),"VerifyAggregationAccountSymbolWithNav")</f>
        <v>VerifyAggregationAccountSymbolWithNav</v>
      </c>
      <c r="C352" t="str">
        <f>IFERROR(__xludf.DUMMYFUNCTION("""COMPUTED_VALUE"""),"1xCLqu3szSvwk7DiskB14PZD-kHv3CU4mXgzWmrhfoTU")</f>
        <v>1xCLqu3szSvwk7DiskB14PZD-kHv3CU4mXgzWmrhfoTU</v>
      </c>
    </row>
    <row r="353" ht="15.75" customHeight="1">
      <c r="A353" t="str">
        <f>IFERROR(__xludf.DUMMYFUNCTION("""COMPUTED_VALUE"""),"Compliance")</f>
        <v>Compliance</v>
      </c>
      <c r="B353" t="str">
        <f>IFERROR(__xludf.DUMMYFUNCTION("""COMPUTED_VALUE"""),"VerifyAggregationAccountWithNav")</f>
        <v>VerifyAggregationAccountWithNav</v>
      </c>
      <c r="C353" t="str">
        <f>IFERROR(__xludf.DUMMYFUNCTION("""COMPUTED_VALUE"""),"1G_Uk8JTVlSprGyR-gsarPm44MVSB-m__w9gx5dz8g3s")</f>
        <v>1G_Uk8JTVlSprGyR-gsarPm44MVSB-m__w9gx5dz8g3s</v>
      </c>
    </row>
    <row r="354" ht="15.75" customHeight="1">
      <c r="A354" t="str">
        <f>IFERROR(__xludf.DUMMYFUNCTION("""COMPUTED_VALUE"""),"Compliance")</f>
        <v>Compliance</v>
      </c>
      <c r="B354" t="str">
        <f>IFERROR(__xludf.DUMMYFUNCTION("""COMPUTED_VALUE"""),"VerifyAggregationMasterFundSymbolWithNav")</f>
        <v>VerifyAggregationMasterFundSymbolWithNav</v>
      </c>
      <c r="C354" t="str">
        <f>IFERROR(__xludf.DUMMYFUNCTION("""COMPUTED_VALUE"""),"1b8KJ45vuNWv0h-8vF72b3PqTJGjKgmQdgVHyXoLISM8")</f>
        <v>1b8KJ45vuNWv0h-8vF72b3PqTJGjKgmQdgVHyXoLISM8</v>
      </c>
    </row>
    <row r="355" ht="15.75" customHeight="1">
      <c r="A355" t="str">
        <f>IFERROR(__xludf.DUMMYFUNCTION("""COMPUTED_VALUE"""),"Compliance")</f>
        <v>Compliance</v>
      </c>
      <c r="B355" t="str">
        <f>IFERROR(__xludf.DUMMYFUNCTION("""COMPUTED_VALUE"""),"VerifyAggregationMasterFundUnderlyingSymbolWithNav")</f>
        <v>VerifyAggregationMasterFundUnderlyingSymbolWithNav</v>
      </c>
      <c r="C355" t="str">
        <f>IFERROR(__xludf.DUMMYFUNCTION("""COMPUTED_VALUE"""),"1jbQw_xeWwzEkaaG_HDlLasp2Ti0S1Fb7R8MXW7PQWjY")</f>
        <v>1jbQw_xeWwzEkaaG_HDlLasp2Ti0S1Fb7R8MXW7PQWjY</v>
      </c>
    </row>
    <row r="356" ht="15.75" customHeight="1">
      <c r="A356" t="str">
        <f>IFERROR(__xludf.DUMMYFUNCTION("""COMPUTED_VALUE"""),"Compliance")</f>
        <v>Compliance</v>
      </c>
      <c r="B356" t="str">
        <f>IFERROR(__xludf.DUMMYFUNCTION("""COMPUTED_VALUE"""),"VerifyAggregationMasterFundWithNav")</f>
        <v>VerifyAggregationMasterFundWithNav</v>
      </c>
      <c r="C356" t="str">
        <f>IFERROR(__xludf.DUMMYFUNCTION("""COMPUTED_VALUE"""),"1tpmrgkVmPSPSg99RKo6LwLAhQ8M3eONGctKXc_537qE")</f>
        <v>1tpmrgkVmPSPSg99RKo6LwLAhQ8M3eONGctKXc_537qE</v>
      </c>
    </row>
    <row r="357" ht="15.75" customHeight="1">
      <c r="A357" t="str">
        <f>IFERROR(__xludf.DUMMYFUNCTION("""COMPUTED_VALUE"""),"Compliance")</f>
        <v>Compliance</v>
      </c>
      <c r="B357" t="str">
        <f>IFERROR(__xludf.DUMMYFUNCTION("""COMPUTED_VALUE"""),"VerifyAggregationSectorWithNav")</f>
        <v>VerifyAggregationSectorWithNav</v>
      </c>
      <c r="C357" t="str">
        <f>IFERROR(__xludf.DUMMYFUNCTION("""COMPUTED_VALUE"""),"1Ps79IPxJ5FGHg7xZORovz5nFqA4B-gG5zxYXyju8o0Y")</f>
        <v>1Ps79IPxJ5FGHg7xZORovz5nFqA4B-gG5zxYXyju8o0Y</v>
      </c>
    </row>
    <row r="358" ht="15.75" customHeight="1">
      <c r="A358" t="str">
        <f>IFERROR(__xludf.DUMMYFUNCTION("""COMPUTED_VALUE"""),"Compliance")</f>
        <v>Compliance</v>
      </c>
      <c r="B358" t="str">
        <f>IFERROR(__xludf.DUMMYFUNCTION("""COMPUTED_VALUE"""),"VerifyAggregationUnderlyingSymbolWithNav")</f>
        <v>VerifyAggregationUnderlyingSymbolWithNav</v>
      </c>
      <c r="C358" t="str">
        <f>IFERROR(__xludf.DUMMYFUNCTION("""COMPUTED_VALUE"""),"1MKg6U1zZlssS3MzoDjqF0yoSDf9NnReKcSlKOdmPSa0")</f>
        <v>1MKg6U1zZlssS3MzoDjqF0yoSDf9NnReKcSlKOdmPSa0</v>
      </c>
    </row>
    <row r="359" ht="15.75" customHeight="1">
      <c r="A359" t="str">
        <f>IFERROR(__xludf.DUMMYFUNCTION("""COMPUTED_VALUE"""),"Compliance")</f>
        <v>Compliance</v>
      </c>
      <c r="B359" t="str">
        <f>IFERROR(__xludf.DUMMYFUNCTION("""COMPUTED_VALUE"""),"VerifyAuecWindow")</f>
        <v>VerifyAuecWindow</v>
      </c>
      <c r="C359" t="str">
        <f>IFERROR(__xludf.DUMMYFUNCTION("""COMPUTED_VALUE"""),"13uphyNpV-lIcdnnRCDD0ufiubKQK77lTDMmRb4aZUH8")</f>
        <v>13uphyNpV-lIcdnnRCDD0ufiubKQK77lTDMmRb4aZUH8</v>
      </c>
    </row>
    <row r="360" ht="15.75" customHeight="1">
      <c r="A360" t="str">
        <f>IFERROR(__xludf.DUMMYFUNCTION("""COMPUTED_VALUE"""),"Compliance")</f>
        <v>Compliance</v>
      </c>
      <c r="B360" t="str">
        <f>IFERROR(__xludf.DUMMYFUNCTION("""COMPUTED_VALUE"""),"VerifyBetaWindow")</f>
        <v>VerifyBetaWindow</v>
      </c>
      <c r="C360" t="str">
        <f>IFERROR(__xludf.DUMMYFUNCTION("""COMPUTED_VALUE"""),"1G7Ye63Sk3lyG-vcaryo0GGGqUkzHGGzGt2O3FNdECro")</f>
        <v>1G7Ye63Sk3lyG-vcaryo0GGGqUkzHGGzGt2O3FNdECro</v>
      </c>
    </row>
    <row r="361" ht="15.75" customHeight="1">
      <c r="A361" t="str">
        <f>IFERROR(__xludf.DUMMYFUNCTION("""COMPUTED_VALUE"""),"Compliance")</f>
        <v>Compliance</v>
      </c>
      <c r="B361" t="str">
        <f>IFERROR(__xludf.DUMMYFUNCTION("""COMPUTED_VALUE"""),"VerifyCustomSymbolDataWindow")</f>
        <v>VerifyCustomSymbolDataWindow</v>
      </c>
      <c r="C361" t="str">
        <f>IFERROR(__xludf.DUMMYFUNCTION("""COMPUTED_VALUE"""),"1X9ZLs6zkOiyry8bzRkBLkxA8dDiRH1dhu8licsT5kTk")</f>
        <v>1X9ZLs6zkOiyry8bzRkBLkxA8dDiRH1dhu8licsT5kTk</v>
      </c>
    </row>
    <row r="362" ht="15.75" customHeight="1">
      <c r="A362" t="str">
        <f>IFERROR(__xludf.DUMMYFUNCTION("""COMPUTED_VALUE"""),"Compliance")</f>
        <v>Compliance</v>
      </c>
      <c r="B362" t="str">
        <f>IFERROR(__xludf.DUMMYFUNCTION("""COMPUTED_VALUE"""),"VerifyDayEndCashAccountWindow")</f>
        <v>VerifyDayEndCashAccountWindow</v>
      </c>
      <c r="C362" t="str">
        <f>IFERROR(__xludf.DUMMYFUNCTION("""COMPUTED_VALUE"""),"1eZXt6er6ekDW3vEUci-S-LNDowWjzf-SH9znUNtFyzg")</f>
        <v>1eZXt6er6ekDW3vEUci-S-LNDowWjzf-SH9znUNtFyzg</v>
      </c>
    </row>
    <row r="363" ht="15.75" customHeight="1">
      <c r="A363" t="str">
        <f>IFERROR(__xludf.DUMMYFUNCTION("""COMPUTED_VALUE"""),"Compliance")</f>
        <v>Compliance</v>
      </c>
      <c r="B363" t="str">
        <f>IFERROR(__xludf.DUMMYFUNCTION("""COMPUTED_VALUE"""),"VerifyDbNavWindow")</f>
        <v>VerifyDbNavWindow</v>
      </c>
      <c r="C363" t="str">
        <f>IFERROR(__xludf.DUMMYFUNCTION("""COMPUTED_VALUE"""),"1Z7OOAb9FwPIKp3RjfxeFrnTdJVfMLbCrmS-3obeYxxg")</f>
        <v>1Z7OOAb9FwPIKp3RjfxeFrnTdJVfMLbCrmS-3obeYxxg</v>
      </c>
    </row>
    <row r="364" ht="15.75" customHeight="1">
      <c r="A364" t="str">
        <f>IFERROR(__xludf.DUMMYFUNCTION("""COMPUTED_VALUE"""),"Compliance")</f>
        <v>Compliance</v>
      </c>
      <c r="B364" t="str">
        <f>IFERROR(__xludf.DUMMYFUNCTION("""COMPUTED_VALUE"""),"VerifyGlobalDivisorWindow")</f>
        <v>VerifyGlobalDivisorWindow</v>
      </c>
      <c r="C364" t="str">
        <f>IFERROR(__xludf.DUMMYFUNCTION("""COMPUTED_VALUE"""),"18xmdZqLW5pnA6FkxzF2PF2hG7bGqwTKhy-Mn_UAyi2w")</f>
        <v>18xmdZqLW5pnA6FkxzF2PF2hG7bGqwTKhy-Mn_UAyi2w</v>
      </c>
    </row>
    <row r="365" ht="15.75" customHeight="1">
      <c r="A365" t="str">
        <f>IFERROR(__xludf.DUMMYFUNCTION("""COMPUTED_VALUE"""),"Compliance")</f>
        <v>Compliance</v>
      </c>
      <c r="B365" t="str">
        <f>IFERROR(__xludf.DUMMYFUNCTION("""COMPUTED_VALUE"""),"VerifyPmCalculationPreferenceWindow")</f>
        <v>VerifyPmCalculationPreferenceWindow</v>
      </c>
      <c r="C365" t="str">
        <f>IFERROR(__xludf.DUMMYFUNCTION("""COMPUTED_VALUE"""),"1KwYK5wCdNK4x9Nb2ODpwqlIRF15bF5lm33yF-rE0E88")</f>
        <v>1KwYK5wCdNK4x9Nb2ODpwqlIRF15bF5lm33yF-rE0E88</v>
      </c>
    </row>
    <row r="366" ht="15.75" customHeight="1">
      <c r="A366" t="str">
        <f>IFERROR(__xludf.DUMMYFUNCTION("""COMPUTED_VALUE"""),"Compliance")</f>
        <v>Compliance</v>
      </c>
      <c r="B366" t="str">
        <f>IFERROR(__xludf.DUMMYFUNCTION("""COMPUTED_VALUE"""),"VerifyRowCalculationBaseWindow")</f>
        <v>VerifyRowCalculationBaseWindow</v>
      </c>
      <c r="C366" t="str">
        <f>IFERROR(__xludf.DUMMYFUNCTION("""COMPUTED_VALUE"""),"1EYkSaFCb1-cfMdhGTqVQ93F1B1fAGibLJGFBaO4IKK8")</f>
        <v>1EYkSaFCb1-cfMdhGTqVQ93F1B1fAGibLJGFBaO4IKK8</v>
      </c>
    </row>
    <row r="367" ht="15.75" customHeight="1">
      <c r="A367" t="str">
        <f>IFERROR(__xludf.DUMMYFUNCTION("""COMPUTED_VALUE"""),"Compliance")</f>
        <v>Compliance</v>
      </c>
      <c r="B367" t="str">
        <f>IFERROR(__xludf.DUMMYFUNCTION("""COMPUTED_VALUE"""),"VerifySecurityWindow")</f>
        <v>VerifySecurityWindow</v>
      </c>
      <c r="C367" t="str">
        <f>IFERROR(__xludf.DUMMYFUNCTION("""COMPUTED_VALUE"""),"1NTrrGa3uWN4TviPU6osMMGTU2_Pzk0cTaF7B9fuF1Zc")</f>
        <v>1NTrrGa3uWN4TviPU6osMMGTU2_Pzk0cTaF7B9fuF1Zc</v>
      </c>
    </row>
    <row r="368" ht="15.75" customHeight="1">
      <c r="A368" t="str">
        <f>IFERROR(__xludf.DUMMYFUNCTION("""COMPUTED_VALUE"""),"Compliance")</f>
        <v>Compliance</v>
      </c>
      <c r="B368" t="str">
        <f>IFERROR(__xludf.DUMMYFUNCTION("""COMPUTED_VALUE"""),"VerifySymbolDataWindow")</f>
        <v>VerifySymbolDataWindow</v>
      </c>
      <c r="C368" t="str">
        <f>IFERROR(__xludf.DUMMYFUNCTION("""COMPUTED_VALUE"""),"1Jz-1DjEIXVhNWL1-97QH77oH1Zaxtvi3jXe39t48nXM")</f>
        <v>1Jz-1DjEIXVhNWL1-97QH77oH1Zaxtvi3jXe39t48nXM</v>
      </c>
    </row>
    <row r="369" ht="15.75" customHeight="1">
      <c r="A369" t="str">
        <f>IFERROR(__xludf.DUMMYFUNCTION("""COMPUTED_VALUE"""),"Compliance")</f>
        <v>Compliance</v>
      </c>
      <c r="B369" t="str">
        <f>IFERROR(__xludf.DUMMYFUNCTION("""COMPUTED_VALUE"""),"VerifySymbolDivisorWindow")</f>
        <v>VerifySymbolDivisorWindow</v>
      </c>
      <c r="C369" t="str">
        <f>IFERROR(__xludf.DUMMYFUNCTION("""COMPUTED_VALUE"""),"1_BAhdKmc47MhjFQ82axBd5g9A4h_olwLQzwkxxBFlSA")</f>
        <v>1_BAhdKmc47MhjFQ82axBd5g9A4h_olwLQzwkxxBFlSA</v>
      </c>
    </row>
    <row r="370" ht="15.75" customHeight="1">
      <c r="A370" t="str">
        <f>IFERROR(__xludf.DUMMYFUNCTION("""COMPUTED_VALUE"""),"Compliance")</f>
        <v>Compliance</v>
      </c>
      <c r="B370" t="str">
        <f>IFERROR(__xludf.DUMMYFUNCTION("""COMPUTED_VALUE"""),"VerifyTaxlotWindow")</f>
        <v>VerifyTaxlotWindow</v>
      </c>
      <c r="C370" t="str">
        <f>IFERROR(__xludf.DUMMYFUNCTION("""COMPUTED_VALUE"""),"1NLRYNwnDa02qeea2mvWlimsdnr_FnF-9zA3yQfPGpNk")</f>
        <v>1NLRYNwnDa02qeea2mvWlimsdnr_FnF-9zA3yQfPGpNk</v>
      </c>
    </row>
    <row r="371" ht="15.75" customHeight="1">
      <c r="A371" t="str">
        <f>IFERROR(__xludf.DUMMYFUNCTION("""COMPUTED_VALUE"""),"Compliance")</f>
        <v>Compliance</v>
      </c>
      <c r="B371" t="str">
        <f>IFERROR(__xludf.DUMMYFUNCTION("""COMPUTED_VALUE"""),"RestartEsper")</f>
        <v>RestartEsper</v>
      </c>
      <c r="C371" t="str">
        <f>IFERROR(__xludf.DUMMYFUNCTION("""COMPUTED_VALUE"""),"undefined")</f>
        <v>undefined</v>
      </c>
    </row>
    <row r="372" ht="15.75" customHeight="1">
      <c r="A372" t="str">
        <f>IFERROR(__xludf.DUMMYFUNCTION("""COMPUTED_VALUE"""),"Compliance")</f>
        <v>Compliance</v>
      </c>
      <c r="B372" t="str">
        <f>IFERROR(__xludf.DUMMYFUNCTION("""COMPUTED_VALUE"""),"VerifyAccountNavPreferenceWindow")</f>
        <v>VerifyAccountNavPreferenceWindow</v>
      </c>
      <c r="C372" t="str">
        <f>IFERROR(__xludf.DUMMYFUNCTION("""COMPUTED_VALUE"""),"19w_Ks_xSuyS2DhQ4ueygTaw8a-fX6Zv_NRtSNtkeJcw")</f>
        <v>19w_Ks_xSuyS2DhQ4ueygTaw8a-fX6Zv_NRtSNtkeJcw</v>
      </c>
    </row>
    <row r="373" ht="15.75" customHeight="1">
      <c r="A373" t="str">
        <f>IFERROR(__xludf.DUMMYFUNCTION("""COMPUTED_VALUE"""),"Compliance")</f>
        <v>Compliance</v>
      </c>
      <c r="B373" t="str">
        <f>IFERROR(__xludf.DUMMYFUNCTION("""COMPUTED_VALUE""")," VerifyAggregationAccountUnderlyingSymbolWithNav")</f>
        <v> VerifyAggregationAccountUnderlyingSymbolWithNav</v>
      </c>
      <c r="C373" t="str">
        <f>IFERROR(__xludf.DUMMYFUNCTION("""COMPUTED_VALUE"""),"1UYQAxEz0yKJ_n6eK0MJTVwXlv21-STgSHETQUy3An8w")</f>
        <v>1UYQAxEz0yKJ_n6eK0MJTVwXlv21-STgSHETQUy3An8w</v>
      </c>
    </row>
    <row r="374" ht="15.75" customHeight="1">
      <c r="A374" t="str">
        <f>IFERROR(__xludf.DUMMYFUNCTION("""COMPUTED_VALUE"""),"Compliance")</f>
        <v>Compliance</v>
      </c>
      <c r="B374" t="str">
        <f>IFERROR(__xludf.DUMMYFUNCTION("""COMPUTED_VALUE"""),"VerifyAggregationAssetWithNav")</f>
        <v>VerifyAggregationAssetWithNav</v>
      </c>
      <c r="C374" t="str">
        <f>IFERROR(__xludf.DUMMYFUNCTION("""COMPUTED_VALUE"""),"1dKfTnjNHlB-imf6ZI2iECsJdz-r-aLBTFIKoPO_nLU8")</f>
        <v>1dKfTnjNHlB-imf6ZI2iECsJdz-r-aLBTFIKoPO_nLU8</v>
      </c>
    </row>
    <row r="375" ht="15.75" customHeight="1">
      <c r="A375" t="str">
        <f>IFERROR(__xludf.DUMMYFUNCTION("""COMPUTED_VALUE"""),"Compliance")</f>
        <v>Compliance</v>
      </c>
      <c r="B375" t="str">
        <f>IFERROR(__xludf.DUMMYFUNCTION("""COMPUTED_VALUE"""),"VerifyAggregationSymbolWithNav")</f>
        <v>VerifyAggregationSymbolWithNav</v>
      </c>
      <c r="C375" t="str">
        <f>IFERROR(__xludf.DUMMYFUNCTION("""COMPUTED_VALUE"""),"17wpuicUWWz3ldMURoDLDbJRohRCnjcpTGhocntZfKsc")</f>
        <v>17wpuicUWWz3ldMURoDLDbJRohRCnjcpTGhocntZfKsc</v>
      </c>
    </row>
    <row r="376" ht="15.75" customHeight="1">
      <c r="A376" t="str">
        <f>IFERROR(__xludf.DUMMYFUNCTION("""COMPUTED_VALUE"""),"Compliance")</f>
        <v>Compliance</v>
      </c>
      <c r="B376" t="str">
        <f>IFERROR(__xludf.DUMMYFUNCTION("""COMPUTED_VALUE"""),"VerifyAggregationSubSectorWithNav")</f>
        <v>VerifyAggregationSubSectorWithNav</v>
      </c>
      <c r="C376" t="str">
        <f>IFERROR(__xludf.DUMMYFUNCTION("""COMPUTED_VALUE"""),"1QfJsdf4NGj4Dj0YIxbSTXTjhynFG2X_qswbZp4VEBo4")</f>
        <v>1QfJsdf4NGj4Dj0YIxbSTXTjhynFG2X_qswbZp4VEBo4</v>
      </c>
    </row>
    <row r="377" ht="15.75" customHeight="1">
      <c r="A377" t="str">
        <f>IFERROR(__xludf.DUMMYFUNCTION("""COMPUTED_VALUE"""),"Compliance")</f>
        <v>Compliance</v>
      </c>
      <c r="B377" t="str">
        <f>IFERROR(__xludf.DUMMYFUNCTION("""COMPUTED_VALUE"""),"VerifyAggregationGlobalWithNav")</f>
        <v>VerifyAggregationGlobalWithNav</v>
      </c>
      <c r="C377" t="str">
        <f>IFERROR(__xludf.DUMMYFUNCTION("""COMPUTED_VALUE"""),"10ZNA5DvAU__HVHWvyAxsJMI8GemQ7y3ryoI2yFrCc5s")</f>
        <v>10ZNA5DvAU__HVHWvyAxsJMI8GemQ7y3ryoI2yFrCc5s</v>
      </c>
    </row>
    <row r="378" ht="15.75" customHeight="1">
      <c r="A378" t="str">
        <f>IFERROR(__xludf.DUMMYFUNCTION("""COMPUTED_VALUE"""),"Compliance")</f>
        <v>Compliance</v>
      </c>
      <c r="B378" t="str">
        <f>IFERROR(__xludf.DUMMYFUNCTION("""COMPUTED_VALUE""")," VerifyAggregationGlobalWithNav")</f>
        <v> VerifyAggregationGlobalWithNav</v>
      </c>
      <c r="C378" t="str">
        <f>IFERROR(__xludf.DUMMYFUNCTION("""COMPUTED_VALUE"""),"10ZNA5DvAU__HVHWvyAxsJMI8GemQ7y3ryoI2yFrCc5s")</f>
        <v>10ZNA5DvAU__HVHWvyAxsJMI8GemQ7y3ryoI2yFrCc5s</v>
      </c>
    </row>
    <row r="379" ht="15.75" customHeight="1">
      <c r="A379" t="str">
        <f>IFERROR(__xludf.DUMMYFUNCTION("""COMPUTED_VALUE"""),"Compliance")</f>
        <v>Compliance</v>
      </c>
      <c r="B379" t="str">
        <f>IFERROR(__xludf.DUMMYFUNCTION("""COMPUTED_VALUE"""),"VerifyGlobalDivisorWindow")</f>
        <v>VerifyGlobalDivisorWindow</v>
      </c>
      <c r="C379" t="str">
        <f>IFERROR(__xludf.DUMMYFUNCTION("""COMPUTED_VALUE"""),"18xmdZqLW5pnA6FkxzF2PF2hG7bGqwTKhy-Mn_UAyi2w")</f>
        <v>18xmdZqLW5pnA6FkxzF2PF2hG7bGqwTKhy-Mn_UAyi2w</v>
      </c>
    </row>
    <row r="380" ht="15.75" customHeight="1">
      <c r="A380" t="str">
        <f>IFERROR(__xludf.DUMMYFUNCTION("""COMPUTED_VALUE"""),"Compliance")</f>
        <v>Compliance</v>
      </c>
      <c r="B380" t="str">
        <f>IFERROR(__xludf.DUMMYFUNCTION("""COMPUTED_VALUE""")," VerifyAccrualForAccountWindow")</f>
        <v> VerifyAccrualForAccountWindow</v>
      </c>
      <c r="C380" t="str">
        <f>IFERROR(__xludf.DUMMYFUNCTION("""COMPUTED_VALUE"""),"15sEcD0nSlwM0bIlhN_Z36hpeQYWbVL5d5AK5kVqm1m8")</f>
        <v>15sEcD0nSlwM0bIlhN_Z36hpeQYWbVL5d5AK5kVqm1m8</v>
      </c>
    </row>
    <row r="381" ht="15.75" customHeight="1">
      <c r="A381" t="str">
        <f>IFERROR(__xludf.DUMMYFUNCTION("""COMPUTED_VALUE"""),"Compliance")</f>
        <v>Compliance</v>
      </c>
      <c r="B381" t="str">
        <f>IFERROR(__xludf.DUMMYFUNCTION("""COMPUTED_VALUE"""),"VerifyGlobalDivisorWindow")</f>
        <v>VerifyGlobalDivisorWindow</v>
      </c>
      <c r="C381" t="str">
        <f>IFERROR(__xludf.DUMMYFUNCTION("""COMPUTED_VALUE"""),"18xmdZqLW5pnA6FkxzF2PF2hG7bGqwTKhy-Mn_UAyi2w")</f>
        <v>18xmdZqLW5pnA6FkxzF2PF2hG7bGqwTKhy-Mn_UAyi2w</v>
      </c>
    </row>
    <row r="382" ht="15.75" customHeight="1">
      <c r="A382" t="str">
        <f>IFERROR(__xludf.DUMMYFUNCTION("""COMPUTED_VALUE"""),"Compliance")</f>
        <v>Compliance</v>
      </c>
      <c r="B382" t="str">
        <f>IFERROR(__xludf.DUMMYFUNCTION("""COMPUTED_VALUE"""),"VerifyMasterFundDivisorWindow")</f>
        <v>VerifyMasterFundDivisorWindow</v>
      </c>
      <c r="C382" t="str">
        <f>IFERROR(__xludf.DUMMYFUNCTION("""COMPUTED_VALUE"""),"1eShiZeHy6PMki2w9zAroJwtcU8DJAD3rGlyetDKwNsQ")</f>
        <v>1eShiZeHy6PMki2w9zAroJwtcU8DJAD3rGlyetDKwNsQ</v>
      </c>
    </row>
    <row r="383" ht="15.75" customHeight="1">
      <c r="A383" t="str">
        <f>IFERROR(__xludf.DUMMYFUNCTION("""COMPUTED_VALUE"""),"Compliance")</f>
        <v>Compliance</v>
      </c>
      <c r="B383" t="str">
        <f>IFERROR(__xludf.DUMMYFUNCTION("""COMPUTED_VALUE"""),"VerifyMasterFundSymbolDivisorWindow")</f>
        <v>VerifyMasterFundSymbolDivisorWindow</v>
      </c>
      <c r="C383" t="str">
        <f>IFERROR(__xludf.DUMMYFUNCTION("""COMPUTED_VALUE"""),"1--BWTsPeHeaUWrFxnJJ4Hxg1RMHz7TMg9PNL6IG--bQ")</f>
        <v>1--BWTsPeHeaUWrFxnJJ4Hxg1RMHz7TMg9PNL6IG--bQ</v>
      </c>
    </row>
    <row r="384" ht="15.75" customHeight="1">
      <c r="A384" t="str">
        <f>IFERROR(__xludf.DUMMYFUNCTION("""COMPUTED_VALUE"""),"Rebalancer")</f>
        <v>Rebalancer</v>
      </c>
      <c r="B384" t="str">
        <f>IFERROR(__xludf.DUMMYFUNCTION("""COMPUTED_VALUE"""),"FetchAccountPositions")</f>
        <v>FetchAccountPositions</v>
      </c>
      <c r="C384" t="str">
        <f>IFERROR(__xludf.DUMMYFUNCTION("""COMPUTED_VALUE"""),"1XcSN66s5Sbt3BBDBESO_MzCX19JEubK7C7JEhc1P6Dg")</f>
        <v>1XcSN66s5Sbt3BBDBESO_MzCX19JEubK7C7JEhc1P6Dg</v>
      </c>
    </row>
    <row r="385" ht="15.75" customHeight="1">
      <c r="A385" t="str">
        <f>IFERROR(__xludf.DUMMYFUNCTION("""COMPUTED_VALUE"""),"Rebalancer")</f>
        <v>Rebalancer</v>
      </c>
      <c r="B385" t="str">
        <f>IFERROR(__xludf.DUMMYFUNCTION("""COMPUTED_VALUE"""),"AddCash")</f>
        <v>AddCash</v>
      </c>
      <c r="C385" t="str">
        <f>IFERROR(__xludf.DUMMYFUNCTION("""COMPUTED_VALUE"""),"1Hsk7z4Hl0qfkVqTQ-ho4nDmWzTS7QuBrYDmVZp2fyfU")</f>
        <v>1Hsk7z4Hl0qfkVqTQ-ho4nDmWzTS7QuBrYDmVZp2fyfU</v>
      </c>
    </row>
    <row r="386" ht="15.75" customHeight="1">
      <c r="A386" t="str">
        <f>IFERROR(__xludf.DUMMYFUNCTION("""COMPUTED_VALUE"""),"Rebalancer")</f>
        <v>Rebalancer</v>
      </c>
      <c r="B386" t="str">
        <f>IFERROR(__xludf.DUMMYFUNCTION("""COMPUTED_VALUE"""),"VerifyGridData")</f>
        <v>VerifyGridData</v>
      </c>
      <c r="C386" t="str">
        <f>IFERROR(__xludf.DUMMYFUNCTION("""COMPUTED_VALUE"""),"1kZ0HZFDzYAoCBydDBtPNqvOI-eyPeqVxEOYYndrkOKY")</f>
        <v>1kZ0HZFDzYAoCBydDBtPNqvOI-eyPeqVxEOYYndrkOKY</v>
      </c>
    </row>
    <row r="387" ht="15.75" customHeight="1">
      <c r="A387" t="str">
        <f>IFERROR(__xludf.DUMMYFUNCTION("""COMPUTED_VALUE"""),"Rebalancer")</f>
        <v>Rebalancer</v>
      </c>
      <c r="B387" t="str">
        <f>IFERROR(__xludf.DUMMYFUNCTION("""COMPUTED_VALUE"""),"RunRebalance")</f>
        <v>RunRebalance</v>
      </c>
      <c r="C387" t="str">
        <f>IFERROR(__xludf.DUMMYFUNCTION("""COMPUTED_VALUE"""),"1PYDvpEzlMfU1DsvGlSfmKshHxHyMHpl_Zb58SSDakb8")</f>
        <v>1PYDvpEzlMfU1DsvGlSfmKshHxHyMHpl_Zb58SSDakb8</v>
      </c>
    </row>
    <row r="388" ht="15.75" customHeight="1">
      <c r="A388" t="str">
        <f>IFERROR(__xludf.DUMMYFUNCTION("""COMPUTED_VALUE"""),"Simulator")</f>
        <v>Simulator</v>
      </c>
      <c r="B388" t="str">
        <f>IFERROR(__xludf.DUMMYFUNCTION("""COMPUTED_VALUE"""),"SelectTrade")</f>
        <v>SelectTrade</v>
      </c>
      <c r="C388" t="str">
        <f>IFERROR(__xludf.DUMMYFUNCTION("""COMPUTED_VALUE"""),"1cNt_QPH0xThwJY57mw3JMlkf6u0xY_Xhs2hcsg54wKs")</f>
        <v>1cNt_QPH0xThwJY57mw3JMlkf6u0xY_Xhs2hcsg54wKs</v>
      </c>
    </row>
    <row r="389" ht="15.75" customHeight="1">
      <c r="A389" t="str">
        <f>IFERROR(__xludf.DUMMYFUNCTION("""COMPUTED_VALUE"""),"Simulator")</f>
        <v>Simulator</v>
      </c>
      <c r="B389" t="str">
        <f>IFERROR(__xludf.DUMMYFUNCTION("""COMPUTED_VALUE"""),"AcknowledgeTrade")</f>
        <v>AcknowledgeTrade</v>
      </c>
      <c r="C389" t="str">
        <f>IFERROR(__xludf.DUMMYFUNCTION("""COMPUTED_VALUE"""),"1kgv7MgVOFU-SgqnnvM5c1KY2c35xLXsCrPpr7YcOqvA")</f>
        <v>1kgv7MgVOFU-SgqnnvM5c1KY2c35xLXsCrPpr7YcOqvA</v>
      </c>
    </row>
    <row r="390" ht="15.75" customHeight="1">
      <c r="A390" t="str">
        <f>IFERROR(__xludf.DUMMYFUNCTION("""COMPUTED_VALUE"""),"Simulator")</f>
        <v>Simulator</v>
      </c>
      <c r="B390" t="str">
        <f>IFERROR(__xludf.DUMMYFUNCTION("""COMPUTED_VALUE"""),"RejectTrade")</f>
        <v>RejectTrade</v>
      </c>
      <c r="C390" t="str">
        <f>IFERROR(__xludf.DUMMYFUNCTION("""COMPUTED_VALUE"""),"1BFMeTTBAJUjY8UWwoGYx5d_suxQqoXCu2AtVXDs2DI8")</f>
        <v>1BFMeTTBAJUjY8UWwoGYx5d_suxQqoXCu2AtVXDs2DI8</v>
      </c>
    </row>
    <row r="391" ht="15.75" customHeight="1">
      <c r="A391" t="str">
        <f>IFERROR(__xludf.DUMMYFUNCTION("""COMPUTED_VALUE"""),"Simulator")</f>
        <v>Simulator</v>
      </c>
      <c r="B391" t="str">
        <f>IFERROR(__xludf.DUMMYFUNCTION("""COMPUTED_VALUE"""),"ExecuteTrade")</f>
        <v>ExecuteTrade</v>
      </c>
      <c r="C391" t="str">
        <f>IFERROR(__xludf.DUMMYFUNCTION("""COMPUTED_VALUE"""),"1CJZHfIxDvKYXPM4TcwOIjmKY8kzg4_zJFRj4pZloBg0")</f>
        <v>1CJZHfIxDvKYXPM4TcwOIjmKY8kzg4_zJFRj4pZloBg0</v>
      </c>
    </row>
    <row r="392" ht="15.75" customHeight="1">
      <c r="A392" t="str">
        <f>IFERROR(__xludf.DUMMYFUNCTION("""COMPUTED_VALUE"""),"Simulator")</f>
        <v>Simulator</v>
      </c>
      <c r="B392" t="str">
        <f>IFERROR(__xludf.DUMMYFUNCTION("""COMPUTED_VALUE"""),"CancelTrade")</f>
        <v>CancelTrade</v>
      </c>
      <c r="C392" t="str">
        <f>IFERROR(__xludf.DUMMYFUNCTION("""COMPUTED_VALUE"""),"1Ec0_nwlu5YKn069vknmktkFStzY4YdPEFRwMqViwG-k")</f>
        <v>1Ec0_nwlu5YKn069vknmktkFStzY4YdPEFRwMqViwG-k</v>
      </c>
    </row>
    <row r="393" ht="15.75" customHeight="1">
      <c r="A393" t="str">
        <f>IFERROR(__xludf.DUMMYFUNCTION("""COMPUTED_VALUE"""),"Simulator")</f>
        <v>Simulator</v>
      </c>
      <c r="B393" t="str">
        <f>IFERROR(__xludf.DUMMYFUNCTION("""COMPUTED_VALUE"""),"OpenLiveTT")</f>
        <v>OpenLiveTT</v>
      </c>
      <c r="C393" t="str">
        <f>IFERROR(__xludf.DUMMYFUNCTION("""COMPUTED_VALUE"""),"1Y8No6h6-FS0LbyDQM9oxk7_oi9yfsEmLLN_JqCjSctE")</f>
        <v>1Y8No6h6-FS0LbyDQM9oxk7_oi9yfsEmLLN_JqCjSctE</v>
      </c>
    </row>
    <row r="394" ht="15.75" customHeight="1">
      <c r="A394" t="str">
        <f>IFERROR(__xludf.DUMMYFUNCTION("""COMPUTED_VALUE"""),"TradingTicket")</f>
        <v>TradingTicket</v>
      </c>
      <c r="B394" t="str">
        <f>IFERROR(__xludf.DUMMYFUNCTION("""COMPUTED_VALUE"""),"CreateLiveOrder")</f>
        <v>CreateLiveOrder</v>
      </c>
      <c r="C394" t="str">
        <f>IFERROR(__xludf.DUMMYFUNCTION("""COMPUTED_VALUE"""),"10BNZLMtk4R3em8SD0JoDVdQl_KjTinG0m3lpnUVi1yw")</f>
        <v>10BNZLMtk4R3em8SD0JoDVdQl_KjTinG0m3lpnUVi1yw</v>
      </c>
    </row>
    <row r="395" ht="15.75" customHeight="1">
      <c r="A395" t="str">
        <f>IFERROR(__xludf.DUMMYFUNCTION("""COMPUTED_VALUE"""),"Simulator")</f>
        <v>Simulator</v>
      </c>
      <c r="B395" t="str">
        <f>IFERROR(__xludf.DUMMYFUNCTION("""COMPUTED_VALUE"""),"SetManualResponse ")</f>
        <v>SetManualResponse </v>
      </c>
      <c r="C395" t="str">
        <f>IFERROR(__xludf.DUMMYFUNCTION("""COMPUTED_VALUE"""),"11NutoTY7szRH7Ii8fI1SJm0EiZnCQW4E_GzEoR2IX7g")</f>
        <v>11NutoTY7szRH7Ii8fI1SJm0EiZnCQW4E_GzEoR2IX7g</v>
      </c>
    </row>
    <row r="396" ht="15.75" customHeight="1">
      <c r="A396" t="str">
        <f>IFERROR(__xludf.DUMMYFUNCTION("""COMPUTED_VALUE"""),"Simulator")</f>
        <v>Simulator</v>
      </c>
      <c r="B396" t="str">
        <f>IFERROR(__xludf.DUMMYFUNCTION("""COMPUTED_VALUE"""),"ClearUI")</f>
        <v>ClearUI</v>
      </c>
      <c r="C396" t="str">
        <f>IFERROR(__xludf.DUMMYFUNCTION("""COMPUTED_VALUE"""),"1OWSBdhy6y8XGJ0saWSWhIG9VTKIREEL_6c14b5Suo8s")</f>
        <v>1OWSBdhy6y8XGJ0saWSWhIG9VTKIREEL_6c14b5Suo8s</v>
      </c>
    </row>
    <row r="397" ht="15.75" customHeight="1">
      <c r="A397" t="str">
        <f>IFERROR(__xludf.DUMMYFUNCTION("""COMPUTED_VALUE"""),"Rebalancer")</f>
        <v>Rebalancer</v>
      </c>
      <c r="B397" t="str">
        <f>IFERROR(__xludf.DUMMYFUNCTION("""COMPUTED_VALUE"""),"RebalanceAcrossSecurities")</f>
        <v>RebalanceAcrossSecurities</v>
      </c>
      <c r="C397" t="str">
        <f>IFERROR(__xludf.DUMMYFUNCTION("""COMPUTED_VALUE"""),"1j62jfW0WnlPy6Si0tJH2NI89M1AlLAIFxvhoySEfcNA")</f>
        <v>1j62jfW0WnlPy6Si0tJH2NI89M1AlLAIFxvhoySEfcNA</v>
      </c>
    </row>
    <row r="398" ht="15.75" customHeight="1">
      <c r="A398" t="str">
        <f>IFERROR(__xludf.DUMMYFUNCTION("""COMPUTED_VALUE"""),"Rebalancer")</f>
        <v>Rebalancer</v>
      </c>
      <c r="B398" t="str">
        <f>IFERROR(__xludf.DUMMYFUNCTION("""COMPUTED_VALUE"""),"ClearCalculations")</f>
        <v>ClearCalculations</v>
      </c>
      <c r="C398" t="str">
        <f>IFERROR(__xludf.DUMMYFUNCTION("""COMPUTED_VALUE"""),"1oMi0q843iNKIPgczycexiZ4cleEBD7cCoDEyD8lNclE")</f>
        <v>1oMi0q843iNKIPgczycexiZ4cleEBD7cCoDEyD8lNclE</v>
      </c>
    </row>
    <row r="399" ht="15.75" customHeight="1">
      <c r="A399" t="str">
        <f>IFERROR(__xludf.DUMMYFUNCTION("""COMPUTED_VALUE"""),"Rebalancer")</f>
        <v>Rebalancer</v>
      </c>
      <c r="B399" t="str">
        <f>IFERROR(__xludf.DUMMYFUNCTION("""COMPUTED_VALUE"""),"ModifyRebalance")</f>
        <v>ModifyRebalance</v>
      </c>
      <c r="C399" t="str">
        <f>IFERROR(__xludf.DUMMYFUNCTION("""COMPUTED_VALUE"""),"124Iufd2K3SWQjqbZ8ImMaHsn7IVbVolzLSUNj2xuCag")</f>
        <v>124Iufd2K3SWQjqbZ8ImMaHsn7IVbVolzLSUNj2xuCag</v>
      </c>
    </row>
    <row r="400" ht="15.75" customHeight="1">
      <c r="A400" t="str">
        <f>IFERROR(__xludf.DUMMYFUNCTION("""COMPUTED_VALUE"""),"ThirdParty")</f>
        <v>ThirdParty</v>
      </c>
      <c r="B400" t="str">
        <f>IFERROR(__xludf.DUMMYFUNCTION("""COMPUTED_VALUE"""),"SelectThirdParty")</f>
        <v>SelectThirdParty</v>
      </c>
      <c r="C400" t="str">
        <f>IFERROR(__xludf.DUMMYFUNCTION("""COMPUTED_VALUE"""),"17RhtcYRrs_YN-vBidOyMUbbAxKnGeQ-2JIt8vs9rE5o")</f>
        <v>17RhtcYRrs_YN-vBidOyMUbbAxKnGeQ-2JIt8vs9rE5o</v>
      </c>
    </row>
    <row r="401" ht="15.75" customHeight="1">
      <c r="A401" t="str">
        <f>IFERROR(__xludf.DUMMYFUNCTION("""COMPUTED_VALUE"""),"ThirdParty")</f>
        <v>ThirdParty</v>
      </c>
      <c r="B401" t="str">
        <f>IFERROR(__xludf.DUMMYFUNCTION("""COMPUTED_VALUE"""),"ViewThirdParty")</f>
        <v>ViewThirdParty</v>
      </c>
      <c r="C401" t="str">
        <f>IFERROR(__xludf.DUMMYFUNCTION("""COMPUTED_VALUE"""),"1ZfIgMPS9NpuMtE47suVwo-kA1KXMaKf-ADsjK3-OiFk")</f>
        <v>1ZfIgMPS9NpuMtE47suVwo-kA1KXMaKf-ADsjK3-OiFk</v>
      </c>
    </row>
    <row r="402" ht="15.75" customHeight="1">
      <c r="A402" t="str">
        <f>IFERROR(__xludf.DUMMYFUNCTION("""COMPUTED_VALUE"""),"ThirdParty")</f>
        <v>ThirdParty</v>
      </c>
      <c r="B402" t="str">
        <f>IFERROR(__xludf.DUMMYFUNCTION("""COMPUTED_VALUE"""),"ThirdPartyGenerate")</f>
        <v>ThirdPartyGenerate</v>
      </c>
      <c r="C402" t="str">
        <f>IFERROR(__xludf.DUMMYFUNCTION("""COMPUTED_VALUE"""),"18YSGcykX6msu9uJFtoPx85HXHvQ-faE6GL1h89yp0fE")</f>
        <v>18YSGcykX6msu9uJFtoPx85HXHvQ-faE6GL1h89yp0fE</v>
      </c>
    </row>
    <row r="403" ht="15.75" customHeight="1">
      <c r="A403" t="str">
        <f>IFERROR(__xludf.DUMMYFUNCTION("""COMPUTED_VALUE"""),"ThirdParty")</f>
        <v>ThirdParty</v>
      </c>
      <c r="B403" t="str">
        <f>IFERROR(__xludf.DUMMYFUNCTION("""COMPUTED_VALUE"""),"VerifyThirdPartyView")</f>
        <v>VerifyThirdPartyView</v>
      </c>
      <c r="C403" t="str">
        <f>IFERROR(__xludf.DUMMYFUNCTION("""COMPUTED_VALUE"""),"1Bhq-a_LzI2roHS4ah4FyrUJ2yYXN7T16HEPh2paEGp8")</f>
        <v>1Bhq-a_LzI2roHS4ah4FyrUJ2yYXN7T16HEPh2paEGp8</v>
      </c>
    </row>
    <row r="404" ht="15.75" customHeight="1">
      <c r="A404" t="str">
        <f>IFERROR(__xludf.DUMMYFUNCTION("""COMPUTED_VALUE"""),"ThirdParty")</f>
        <v>ThirdParty</v>
      </c>
      <c r="B404" t="str">
        <f>IFERROR(__xludf.DUMMYFUNCTION("""COMPUTED_VALUE"""),"VerifyThirdPartyGenerate")</f>
        <v>VerifyThirdPartyGenerate</v>
      </c>
      <c r="C404" t="str">
        <f>IFERROR(__xludf.DUMMYFUNCTION("""COMPUTED_VALUE"""),"1KiJe0t8f-Z3sMbprzhIS2_jGwhE9yeai46VmZqqyF84")</f>
        <v>1KiJe0t8f-Z3sMbprzhIS2_jGwhE9yeai46VmZqqyF84</v>
      </c>
    </row>
    <row r="405" ht="15.75" customHeight="1">
      <c r="A405" t="str">
        <f>IFERROR(__xludf.DUMMYFUNCTION("""COMPUTED_VALUE"""),"ThirdParty")</f>
        <v>ThirdParty</v>
      </c>
      <c r="B405" t="str">
        <f>IFERROR(__xludf.DUMMYFUNCTION("""COMPUTED_VALUE"""),"VerifyThirdPartySend")</f>
        <v>VerifyThirdPartySend</v>
      </c>
      <c r="C405" t="str">
        <f>IFERROR(__xludf.DUMMYFUNCTION("""COMPUTED_VALUE"""),"1ZMM3Z5j3worIFB7Wt8pYTm9vtKAiVyUiBNGIHZsfUVU")</f>
        <v>1ZMM3Z5j3worIFB7Wt8pYTm9vtKAiVyUiBNGIHZsfUVU</v>
      </c>
    </row>
    <row r="406" ht="15.75" customHeight="1">
      <c r="A406" t="str">
        <f>IFERROR(__xludf.DUMMYFUNCTION("""COMPUTED_VALUE"""),"ThirdParty")</f>
        <v>ThirdParty</v>
      </c>
      <c r="B406" t="str">
        <f>IFERROR(__xludf.DUMMYFUNCTION("""COMPUTED_VALUE"""),"ThirdPartySend")</f>
        <v>ThirdPartySend</v>
      </c>
      <c r="C406" t="str">
        <f>IFERROR(__xludf.DUMMYFUNCTION("""COMPUTED_VALUE"""),"1fwDymVh1YPwRLS0OVzxhYbkeKbRpUl4prFO7SRyV_hA")</f>
        <v>1fwDymVh1YPwRLS0OVzxhYbkeKbRpUl4prFO7SRyV_hA</v>
      </c>
    </row>
    <row r="407" ht="15.75" customHeight="1">
      <c r="A407" t="str">
        <f>IFERROR(__xludf.DUMMYFUNCTION("""COMPUTED_VALUE"""),"Blotter")</f>
        <v>Blotter</v>
      </c>
      <c r="B407" t="str">
        <f>IFERROR(__xludf.DUMMYFUNCTION("""COMPUTED_VALUE"""),"VerifyViewAllocationDetails")</f>
        <v>VerifyViewAllocationDetails</v>
      </c>
      <c r="C407" t="str">
        <f>IFERROR(__xludf.DUMMYFUNCTION("""COMPUTED_VALUE"""),"1bam3UDAybELVmpnYwPQATi99nl9DpQ99A7IjE7vdsi8")</f>
        <v>1bam3UDAybELVmpnYwPQATi99nl9DpQ99A7IjE7vdsi8</v>
      </c>
    </row>
    <row r="408" ht="15.75" customHeight="1">
      <c r="A408" t="str">
        <f>IFERROR(__xludf.DUMMYFUNCTION("""COMPUTED_VALUE"""),"PTT")</f>
        <v>PTT</v>
      </c>
      <c r="B408" t="str">
        <f>IFERROR(__xludf.DUMMYFUNCTION("""COMPUTED_VALUE"""),"SelectPTTRecord")</f>
        <v>SelectPTTRecord</v>
      </c>
      <c r="C408" t="str">
        <f>IFERROR(__xludf.DUMMYFUNCTION("""COMPUTED_VALUE"""),"1xJ7gTQfVMeCflKCHTwKYrNQ-Tcf0AYboaATXwHNAslk")</f>
        <v>1xJ7gTQfVMeCflKCHTwKYrNQ-Tcf0AYboaATXwHNAslk</v>
      </c>
    </row>
    <row r="409" ht="15.75" customHeight="1">
      <c r="A409" t="str">
        <f>IFERROR(__xludf.DUMMYFUNCTION("""COMPUTED_VALUE"""),"PTT")</f>
        <v>PTT</v>
      </c>
      <c r="B409" t="str">
        <f>IFERROR(__xludf.DUMMYFUNCTION("""COMPUTED_VALUE"""),"EditPTTRecord")</f>
        <v>EditPTTRecord</v>
      </c>
      <c r="C409" t="str">
        <f>IFERROR(__xludf.DUMMYFUNCTION("""COMPUTED_VALUE"""),"1WdCxXHsuQ3erH24MGTT104a5o2YheSROQebMeF3i0aI")</f>
        <v>1WdCxXHsuQ3erH24MGTT104a5o2YheSROQebMeF3i0aI</v>
      </c>
    </row>
    <row r="410" ht="15.75" customHeight="1">
      <c r="A410" t="str">
        <f>IFERROR(__xludf.DUMMYFUNCTION("""COMPUTED_VALUE"""),"Blotter")</f>
        <v>Blotter</v>
      </c>
      <c r="B410" t="str">
        <f>IFERROR(__xludf.DUMMYFUNCTION("""COMPUTED_VALUE"""),"GoToAllocation")</f>
        <v>GoToAllocation</v>
      </c>
      <c r="C410" t="str">
        <f>IFERROR(__xludf.DUMMYFUNCTION("""COMPUTED_VALUE"""),"1daWmaCLtl5-u8RrR38duUYZoUwwRdmQNmQUk-UFSbh8")</f>
        <v>1daWmaCLtl5-u8RrR38duUYZoUwwRdmQNmQUk-UFSbh8</v>
      </c>
    </row>
    <row r="411" ht="15.75" customHeight="1">
      <c r="A411" t="str">
        <f>IFERROR(__xludf.DUMMYFUNCTION("""COMPUTED_VALUE"""),"Simulator")</f>
        <v>Simulator</v>
      </c>
      <c r="B411" t="str">
        <f>IFERROR(__xludf.DUMMYFUNCTION("""COMPUTED_VALUE"""),"CloseSimulator")</f>
        <v>CloseSimulator</v>
      </c>
      <c r="C411" t="str">
        <f>IFERROR(__xludf.DUMMYFUNCTION("""COMPUTED_VALUE"""),"undefined")</f>
        <v>undefined</v>
      </c>
    </row>
    <row r="412" ht="15.75" customHeight="1">
      <c r="A412" t="str">
        <f>IFERROR(__xludf.DUMMYFUNCTION("""COMPUTED_VALUE"""),"GeneralLedger")</f>
        <v>GeneralLedger</v>
      </c>
      <c r="B412" t="str">
        <f>IFERROR(__xludf.DUMMYFUNCTION("""COMPUTED_VALUE"""),"VerifyCashTransaction")</f>
        <v>VerifyCashTransaction</v>
      </c>
      <c r="C412" t="str">
        <f>IFERROR(__xludf.DUMMYFUNCTION("""COMPUTED_VALUE"""),"1gPMin1udTRZeqwLV9tSHt5nU8vpqc3NVx2Q0Tg0-p7Y")</f>
        <v>1gPMin1udTRZeqwLV9tSHt5nU8vpqc3NVx2Q0Tg0-p7Y</v>
      </c>
    </row>
    <row r="413" ht="15.75" customHeight="1">
      <c r="A413" t="str">
        <f>IFERROR(__xludf.DUMMYFUNCTION("""COMPUTED_VALUE"""),"Rebalancer")</f>
        <v>Rebalancer</v>
      </c>
      <c r="B413" t="str">
        <f>IFERROR(__xludf.DUMMYFUNCTION("""COMPUTED_VALUE"""),"ModelPortfolio")</f>
        <v>ModelPortfolio</v>
      </c>
      <c r="C413" t="str">
        <f>IFERROR(__xludf.DUMMYFUNCTION("""COMPUTED_VALUE"""),"12-zLeaphbhmHtw8rRK5ThIs7me8PklDclwlNwfPbXK4")</f>
        <v>12-zLeaphbhmHtw8rRK5ThIs7me8PklDclwlNwfPbXK4</v>
      </c>
    </row>
    <row r="414" ht="15.75" customHeight="1">
      <c r="A414" t="str">
        <f>IFERROR(__xludf.DUMMYFUNCTION("""COMPUTED_VALUE"""),"DailyValuation")</f>
        <v>DailyValuation</v>
      </c>
      <c r="B414" t="str">
        <f>IFERROR(__xludf.DUMMYFUNCTION("""COMPUTED_VALUE"""),"VerifyDailyCash")</f>
        <v>VerifyDailyCash</v>
      </c>
      <c r="C414" t="str">
        <f>IFERROR(__xludf.DUMMYFUNCTION("""COMPUTED_VALUE"""),"1PQwArcRUuaOQiz5S2jeaenwj9qNZTWgzfhAlHT-Pd1E")</f>
        <v>1PQwArcRUuaOQiz5S2jeaenwj9qNZTWgzfhAlHT-Pd1E</v>
      </c>
    </row>
    <row r="415" ht="15.75" customHeight="1">
      <c r="A415" t="str">
        <f>IFERROR(__xludf.DUMMYFUNCTION("""COMPUTED_VALUE"""),"Admin")</f>
        <v>Admin</v>
      </c>
      <c r="B415" t="str">
        <f>IFERROR(__xludf.DUMMYFUNCTION("""COMPUTED_VALUE"""),"SetCheckSide")</f>
        <v>SetCheckSide</v>
      </c>
      <c r="C415" t="str">
        <f>IFERROR(__xludf.DUMMYFUNCTION("""COMPUTED_VALUE"""),"18KFx8YJjXeehMrsrxPVrAlsqv5cDNM4sL10WRca5NKM")</f>
        <v>18KFx8YJjXeehMrsrxPVrAlsqv5cDNM4sL10WRca5NKM</v>
      </c>
    </row>
    <row r="416" ht="15.75" customHeight="1">
      <c r="A416" t="str">
        <f>IFERROR(__xludf.DUMMYFUNCTION("""COMPUTED_VALUE"""),"CorporateAction")</f>
        <v>CorporateAction</v>
      </c>
      <c r="B416" t="str">
        <f>IFERROR(__xludf.DUMMYFUNCTION("""COMPUTED_VALUE"""),"OpenSpinOff")</f>
        <v>OpenSpinOff</v>
      </c>
      <c r="C416" t="str">
        <f>IFERROR(__xludf.DUMMYFUNCTION("""COMPUTED_VALUE"""),"1rmMKHzR6LMbriTLpSwsWo5h7qfkUwKO5MIi-cWWx8-k")</f>
        <v>1rmMKHzR6LMbriTLpSwsWo5h7qfkUwKO5MIi-cWWx8-k</v>
      </c>
    </row>
    <row r="417" ht="15.75" customHeight="1">
      <c r="A417" t="str">
        <f>IFERROR(__xludf.DUMMYFUNCTION("""COMPUTED_VALUE"""),"CorporateAction")</f>
        <v>CorporateAction</v>
      </c>
      <c r="B417" t="str">
        <f>IFERROR(__xludf.DUMMYFUNCTION("""COMPUTED_VALUE"""),"VerifyAndApplyCorpAction")</f>
        <v>VerifyAndApplyCorpAction</v>
      </c>
      <c r="C417" t="str">
        <f>IFERROR(__xludf.DUMMYFUNCTION("""COMPUTED_VALUE"""),"1QwZRlBhhx0osi-B1PdxvO3P3W3BAXkDzM2yrJmnO__c")</f>
        <v>1QwZRlBhhx0osi-B1PdxvO3P3W3BAXkDzM2yrJmnO__c</v>
      </c>
    </row>
    <row r="418" ht="15.75" customHeight="1">
      <c r="A418" t="str">
        <f>IFERROR(__xludf.DUMMYFUNCTION("""COMPUTED_VALUE"""),"CorporateAction ")</f>
        <v>CorporateAction </v>
      </c>
      <c r="B418" t="str">
        <f>IFERROR(__xludf.DUMMYFUNCTION("""COMPUTED_VALUE"""),"VerifyAndSaveCorpAction")</f>
        <v>VerifyAndSaveCorpAction</v>
      </c>
      <c r="C418" t="str">
        <f>IFERROR(__xludf.DUMMYFUNCTION("""COMPUTED_VALUE"""),"146PST8sP3dOm_SLLf4EP05WMQk8v95fnGk_VMEIiZeQ")</f>
        <v>146PST8sP3dOm_SLLf4EP05WMQk8v95fnGk_VMEIiZeQ</v>
      </c>
    </row>
    <row r="419" ht="15.75" customHeight="1">
      <c r="A419" t="str">
        <f>IFERROR(__xludf.DUMMYFUNCTION("""COMPUTED_VALUE"""),"Allocation")</f>
        <v>Allocation</v>
      </c>
      <c r="B419" t="str">
        <f>IFERROR(__xludf.DUMMYFUNCTION("""COMPUTED_VALUE"""),"DisableChecksideForAsset")</f>
        <v>DisableChecksideForAsset</v>
      </c>
      <c r="C419" t="str">
        <f>IFERROR(__xludf.DUMMYFUNCTION("""COMPUTED_VALUE"""),"17MMLrGtrNy7Qk2KDYSM_5mxeBqL4fj27RTyoqb753r4")</f>
        <v>17MMLrGtrNy7Qk2KDYSM_5mxeBqL4fj27RTyoqb753r4</v>
      </c>
    </row>
    <row r="420" ht="15.75" customHeight="1">
      <c r="A420" t="str">
        <f>IFERROR(__xludf.DUMMYFUNCTION("""COMPUTED_VALUE"""),"Allocation")</f>
        <v>Allocation</v>
      </c>
      <c r="B420" t="str">
        <f>IFERROR(__xludf.DUMMYFUNCTION("""COMPUTED_VALUE"""),"DisableChecksideForAccount")</f>
        <v>DisableChecksideForAccount</v>
      </c>
      <c r="C420" t="str">
        <f>IFERROR(__xludf.DUMMYFUNCTION("""COMPUTED_VALUE"""),"12YzpBbctXJ7tt5Rs3yVMyYiFexSCsLCSFZxRmOTGAnA")</f>
        <v>12YzpBbctXJ7tt5Rs3yVMyYiFexSCsLCSFZxRmOTGAnA</v>
      </c>
    </row>
    <row r="421" ht="15.75" customHeight="1">
      <c r="A421" t="str">
        <f>IFERROR(__xludf.DUMMYFUNCTION("""COMPUTED_VALUE"""),"Allocation")</f>
        <v>Allocation</v>
      </c>
      <c r="B421" t="str">
        <f>IFERROR(__xludf.DUMMYFUNCTION("""COMPUTED_VALUE"""),"DisableChecksideForCounterParty")</f>
        <v>DisableChecksideForCounterParty</v>
      </c>
      <c r="C421" t="str">
        <f>IFERROR(__xludf.DUMMYFUNCTION("""COMPUTED_VALUE"""),"11h9NAV7B59X8ff2awrMfG6bGhrk-CohPIDGmN5O1Z0s")</f>
        <v>11h9NAV7B59X8ff2awrMfG6bGhrk-CohPIDGmN5O1Z0s</v>
      </c>
    </row>
    <row r="422" ht="15.75" customHeight="1">
      <c r="A422" t="str">
        <f>IFERROR(__xludf.DUMMYFUNCTION("""COMPUTED_VALUE"""),"Allocation")</f>
        <v>Allocation</v>
      </c>
      <c r="B422" t="str">
        <f>IFERROR(__xludf.DUMMYFUNCTION("""COMPUTED_VALUE"""),"DisableCheckside")</f>
        <v>DisableCheckside</v>
      </c>
      <c r="C422" t="str">
        <f>IFERROR(__xludf.DUMMYFUNCTION("""COMPUTED_VALUE"""),"1NIGFq7xyMD3dCAzBn7Aybj88-zVYS-uQkEl_uOTRFLk")</f>
        <v>1NIGFq7xyMD3dCAzBn7Aybj88-zVYS-uQkEl_uOTRFLk</v>
      </c>
    </row>
    <row r="423" ht="15.75" customHeight="1">
      <c r="A423" t="str">
        <f>IFERROR(__xludf.DUMMYFUNCTION("""COMPUTED_VALUE"""),"Allocation")</f>
        <v>Allocation</v>
      </c>
      <c r="B423" t="str">
        <f>IFERROR(__xludf.DUMMYFUNCTION("""COMPUTED_VALUE"""),"ApplyMasterFundFilter")</f>
        <v>ApplyMasterFundFilter</v>
      </c>
      <c r="C423" t="str">
        <f>IFERROR(__xludf.DUMMYFUNCTION("""COMPUTED_VALUE"""),"1uyEgk_IU7WhZZ2gCVbVNLBNZhgXB_2p-G9ibtBRvqYE")</f>
        <v>1uyEgk_IU7WhZZ2gCVbVNLBNZhgXB_2p-G9ibtBRvqYE</v>
      </c>
    </row>
    <row r="424" ht="15.75" customHeight="1">
      <c r="A424" t="str">
        <f>IFERROR(__xludf.DUMMYFUNCTION("""COMPUTED_VALUE"""),"TradingTicket")</f>
        <v>TradingTicket</v>
      </c>
      <c r="B424" t="str">
        <f>IFERROR(__xludf.DUMMYFUNCTION("""COMPUTED_VALUE"""),"UpdateMasterFundOnTT")</f>
        <v>UpdateMasterFundOnTT</v>
      </c>
      <c r="C424" t="str">
        <f>IFERROR(__xludf.DUMMYFUNCTION("""COMPUTED_VALUE"""),"15GaszFrxEJPxL05WiuB3JgAc-7Uig-iyDZRrmgpAvyQ")</f>
        <v>15GaszFrxEJPxL05WiuB3JgAc-7Uig-iyDZRrmgpAvyQ</v>
      </c>
    </row>
    <row r="425" ht="15.75" customHeight="1">
      <c r="A425" t="str">
        <f>IFERROR(__xludf.DUMMYFUNCTION("""COMPUTED_VALUE"""),"Allocation")</f>
        <v>Allocation</v>
      </c>
      <c r="B425" t="str">
        <f>IFERROR(__xludf.DUMMYFUNCTION("""COMPUTED_VALUE"""),"ShowMasterFundOnTT")</f>
        <v>ShowMasterFundOnTT</v>
      </c>
      <c r="C425" t="str">
        <f>IFERROR(__xludf.DUMMYFUNCTION("""COMPUTED_VALUE"""),"1H3NF3ekEB_jtnQ6nAPayaHaGtx_2kLuKvJ9qyzd2I2I")</f>
        <v>1H3NF3ekEB_jtnQ6nAPayaHaGtx_2kLuKvJ9qyzd2I2I</v>
      </c>
    </row>
    <row r="426" ht="15.75" customHeight="1">
      <c r="A426" t="str">
        <f>IFERROR(__xludf.DUMMYFUNCTION("""COMPUTED_VALUE"""),"Allocation")</f>
        <v>Allocation</v>
      </c>
      <c r="B426" t="str">
        <f>IFERROR(__xludf.DUMMYFUNCTION("""COMPUTED_VALUE"""),"ShowMasterFundAsClient")</f>
        <v>ShowMasterFundAsClient</v>
      </c>
      <c r="C426" t="str">
        <f>IFERROR(__xludf.DUMMYFUNCTION("""COMPUTED_VALUE"""),"1sBgTfLxjF-eLDEQovNIQXxVdy87Sx0Cb24sVDh10pXM")</f>
        <v>1sBgTfLxjF-eLDEQovNIQXxVdy87Sx0Cb24sVDh10pXM</v>
      </c>
    </row>
    <row r="427" ht="15.75" customHeight="1">
      <c r="A427" t="str">
        <f>IFERROR(__xludf.DUMMYFUNCTION("""COMPUTED_VALUE"""),"Allocation")</f>
        <v>Allocation</v>
      </c>
      <c r="B427" t="str">
        <f>IFERROR(__xludf.DUMMYFUNCTION("""COMPUTED_VALUE"""),"SetBrokerAccountMapping")</f>
        <v>SetBrokerAccountMapping</v>
      </c>
      <c r="C427" t="str">
        <f>IFERROR(__xludf.DUMMYFUNCTION("""COMPUTED_VALUE"""),"1n-h3PT-RQ62N_5RLlf__-_nBt6pX6gTeokAqyHCUydw")</f>
        <v>1n-h3PT-RQ62N_5RLlf__-_nBt6pX6gTeokAqyHCUydw</v>
      </c>
    </row>
    <row r="428" ht="15.75" customHeight="1">
      <c r="A428" t="str">
        <f>IFERROR(__xludf.DUMMYFUNCTION("""COMPUTED_VALUE"""),"Allocation")</f>
        <v>Allocation</v>
      </c>
      <c r="B428" t="str">
        <f>IFERROR(__xludf.DUMMYFUNCTION("""COMPUTED_VALUE"""),"EditUnallocatedGridWPF")</f>
        <v>EditUnallocatedGridWPF</v>
      </c>
      <c r="C428" t="str">
        <f>IFERROR(__xludf.DUMMYFUNCTION("""COMPUTED_VALUE"""),"1bL3Mc9ko2ABUfRaygcH05a75HlVgOJoZg1ZR8VFCx2s")</f>
        <v>1bL3Mc9ko2ABUfRaygcH05a75HlVgOJoZg1ZR8VFCx2s</v>
      </c>
    </row>
    <row r="429" ht="15.75" customHeight="1">
      <c r="A429" t="str">
        <f>IFERROR(__xludf.DUMMYFUNCTION("""COMPUTED_VALUE"""),"Allocation")</f>
        <v>Allocation</v>
      </c>
      <c r="B429" t="str">
        <f>IFERROR(__xludf.DUMMYFUNCTION("""COMPUTED_VALUE"""),"EditAllocatedGridWPF")</f>
        <v>EditAllocatedGridWPF</v>
      </c>
      <c r="C429" t="str">
        <f>IFERROR(__xludf.DUMMYFUNCTION("""COMPUTED_VALUE"""),"1p3N5fuIHZooLiXra7t901Un-5BX1Dub2GwRau5xmnzY")</f>
        <v>1p3N5fuIHZooLiXra7t901Un-5BX1Dub2GwRau5xmnzY</v>
      </c>
    </row>
    <row r="430" ht="15.75" customHeight="1">
      <c r="A430" t="str">
        <f>IFERROR(__xludf.DUMMYFUNCTION("""COMPUTED_VALUE"""),"Admin")</f>
        <v>Admin</v>
      </c>
      <c r="B430" t="str">
        <f>IFERROR(__xludf.DUMMYFUNCTION("""COMPUTED_VALUE"""),"SetRollover")</f>
        <v>SetRollover</v>
      </c>
      <c r="C430" t="str">
        <f>IFERROR(__xludf.DUMMYFUNCTION("""COMPUTED_VALUE"""),"1g8yHX3NgTZ69qR9sJuH4OwZDcdDQ4zNzTUIz8i9c8Wc")</f>
        <v>1g8yHX3NgTZ69qR9sJuH4OwZDcdDQ4zNzTUIz8i9c8Wc</v>
      </c>
    </row>
    <row r="431" ht="15.75" customHeight="1">
      <c r="A431" t="str">
        <f>IFERROR(__xludf.DUMMYFUNCTION("""COMPUTED_VALUE"""),"Blotter")</f>
        <v>Blotter</v>
      </c>
      <c r="B431" t="str">
        <f>IFERROR(__xludf.DUMMYFUNCTION("""COMPUTED_VALUE"""),"VerifyRollover")</f>
        <v>VerifyRollover</v>
      </c>
      <c r="C431" t="str">
        <f>IFERROR(__xludf.DUMMYFUNCTION("""COMPUTED_VALUE"""),"1YmNAq8VlKqlQdZW8Qb-4HKEvna5uWGWWZ257kBzZ3g8")</f>
        <v>1YmNAq8VlKqlQdZW8Qb-4HKEvna5uWGWWZ257kBzZ3g8</v>
      </c>
    </row>
    <row r="432" ht="15.75" customHeight="1">
      <c r="A432" t="str">
        <f>IFERROR(__xludf.DUMMYFUNCTION("""COMPUTED_VALUE"""),"Allocation")</f>
        <v>Allocation</v>
      </c>
      <c r="B432" t="str">
        <f>IFERROR(__xludf.DUMMYFUNCTION("""COMPUTED_VALUE"""),"EditAllocatedGridTaxlot")</f>
        <v>EditAllocatedGridTaxlot</v>
      </c>
      <c r="C432" t="str">
        <f>IFERROR(__xludf.DUMMYFUNCTION("""COMPUTED_VALUE"""),"1aoefQ2rn_ekQSQ5w1OA5dDn-kkC5Mhjygz9lUK_INpw")</f>
        <v>1aoefQ2rn_ekQSQ5w1OA5dDn-kkC5Mhjygz9lUK_INpw</v>
      </c>
    </row>
    <row r="433" ht="15.75" customHeight="1">
      <c r="A433" t="str">
        <f>IFERROR(__xludf.DUMMYFUNCTION("""COMPUTED_VALUE"""),"Allocation")</f>
        <v>Allocation</v>
      </c>
      <c r="B433" t="str">
        <f>IFERROR(__xludf.DUMMYFUNCTION("""COMPUTED_VALUE"""),"ExpandCollapseAllocatedGrid")</f>
        <v>ExpandCollapseAllocatedGrid</v>
      </c>
      <c r="C433" t="str">
        <f>IFERROR(__xludf.DUMMYFUNCTION("""COMPUTED_VALUE"""),"1zLKKBGrkdJnOK0je8SVf7FNy8N74M1Y58Ijeg4-2PoM")</f>
        <v>1zLKKBGrkdJnOK0je8SVf7FNy8N74M1Y58Ijeg4-2PoM</v>
      </c>
    </row>
    <row r="434" ht="15.75" customHeight="1">
      <c r="A434" t="str">
        <f>IFERROR(__xludf.DUMMYFUNCTION("""COMPUTED_VALUE"""),"Allocation")</f>
        <v>Allocation</v>
      </c>
      <c r="B434" t="str">
        <f>IFERROR(__xludf.DUMMYFUNCTION("""COMPUTED_VALUE"""),"ExpandCollapseUnallocatedGrid")</f>
        <v>ExpandCollapseUnallocatedGrid</v>
      </c>
      <c r="C434" t="str">
        <f>IFERROR(__xludf.DUMMYFUNCTION("""COMPUTED_VALUE"""),"1yl-Ggnzc6WlzcJkjk53PzqzifLSUFBSUWedGjO2j1sI")</f>
        <v>1yl-Ggnzc6WlzcJkjk53PzqzifLSUFBSUWedGjO2j1sI</v>
      </c>
    </row>
    <row r="435" ht="15.75" customHeight="1">
      <c r="A435" t="str">
        <f>IFERROR(__xludf.DUMMYFUNCTION("""COMPUTED_VALUE"""),"Blotter")</f>
        <v>Blotter</v>
      </c>
      <c r="B435" t="str">
        <f>IFERROR(__xludf.DUMMYFUNCTION("""COMPUTED_VALUE"""),"VerifySubOrderAfterRollover")</f>
        <v>VerifySubOrderAfterRollover</v>
      </c>
      <c r="C435" t="str">
        <f>IFERROR(__xludf.DUMMYFUNCTION("""COMPUTED_VALUE"""),"1BioDAFgRK9uBg8Ftw35Xfp5pj4WxwmmYzwIJBuO-DwQ")</f>
        <v>1BioDAFgRK9uBg8Ftw35Xfp5pj4WxwmmYzwIJBuO-DwQ</v>
      </c>
    </row>
    <row r="436" ht="15.75" customHeight="1">
      <c r="A436" t="str">
        <f>IFERROR(__xludf.DUMMYFUNCTION("""COMPUTED_VALUE"""),"Import")</f>
        <v>Import</v>
      </c>
      <c r="B436" t="str">
        <f>IFERROR(__xludf.DUMMYFUNCTION("""COMPUTED_VALUE"""),"SelectTransactionImportType")</f>
        <v>SelectTransactionImportType</v>
      </c>
      <c r="C436" t="str">
        <f>IFERROR(__xludf.DUMMYFUNCTION("""COMPUTED_VALUE"""),"16Qb8L4YsI0WqV4SeARzc48bRpwR2V4Z0MV8OYoCFGhk")</f>
        <v>16Qb8L4YsI0WqV4SeARzc48bRpwR2V4Z0MV8OYoCFGhk</v>
      </c>
    </row>
    <row r="437" ht="15.75" customHeight="1">
      <c r="A437" t="str">
        <f>IFERROR(__xludf.DUMMYFUNCTION("""COMPUTED_VALUE"""),"Import")</f>
        <v>Import</v>
      </c>
      <c r="B437" t="str">
        <f>IFERROR(__xludf.DUMMYFUNCTION("""COMPUTED_VALUE"""),"SelectAllOnImport")</f>
        <v>SelectAllOnImport</v>
      </c>
      <c r="C437" t="str">
        <f>IFERROR(__xludf.DUMMYFUNCTION("""COMPUTED_VALUE"""),"1DTWgrx0dU8hFuUe5pmBqyj4Lg5WTlhIj6qkrNZ9ICjk")</f>
        <v>1DTWgrx0dU8hFuUe5pmBqyj4Lg5WTlhIj6qkrNZ9ICjk</v>
      </c>
    </row>
    <row r="438" ht="15.75" customHeight="1">
      <c r="A438" t="str">
        <f>IFERROR(__xludf.DUMMYFUNCTION("""COMPUTED_VALUE"""),"Import")</f>
        <v>Import</v>
      </c>
      <c r="B438" t="str">
        <f>IFERROR(__xludf.DUMMYFUNCTION("""COMPUTED_VALUE"""),"SelectMarkPriceImportType")</f>
        <v>SelectMarkPriceImportType</v>
      </c>
      <c r="C438" t="str">
        <f>IFERROR(__xludf.DUMMYFUNCTION("""COMPUTED_VALUE"""),"15i1dY6hiW1m4QYwSjhx4JAOW2WLNuZU-m8pp-a1afIc")</f>
        <v>15i1dY6hiW1m4QYwSjhx4JAOW2WLNuZU-m8pp-a1afIc</v>
      </c>
    </row>
    <row r="439" ht="15.75" customHeight="1">
      <c r="A439" t="str">
        <f>IFERROR(__xludf.DUMMYFUNCTION("""COMPUTED_VALUE"""),"Import")</f>
        <v>Import</v>
      </c>
      <c r="B439" t="str">
        <f>IFERROR(__xludf.DUMMYFUNCTION("""COMPUTED_VALUE"""),"SelectForexImportType")</f>
        <v>SelectForexImportType</v>
      </c>
      <c r="C439" t="str">
        <f>IFERROR(__xludf.DUMMYFUNCTION("""COMPUTED_VALUE"""),"1FoMj8Y6YQKmNanRt2lm2Bh_abv6-z3QHsKHrSZf0fzk")</f>
        <v>1FoMj8Y6YQKmNanRt2lm2Bh_abv6-z3QHsKHrSZf0fzk</v>
      </c>
    </row>
    <row r="440" ht="15.75" customHeight="1">
      <c r="A440" t="str">
        <f>IFERROR(__xludf.DUMMYFUNCTION("""COMPUTED_VALUE"""),"Import")</f>
        <v>Import</v>
      </c>
      <c r="B440" t="str">
        <f>IFERROR(__xludf.DUMMYFUNCTION("""COMPUTED_VALUE"""),"SelectDoubleEntryCashImportType")</f>
        <v>SelectDoubleEntryCashImportType</v>
      </c>
      <c r="C440" t="str">
        <f>IFERROR(__xludf.DUMMYFUNCTION("""COMPUTED_VALUE"""),"1kJHggZBmha8GLtaL5ZV_B3BS4Gwe7Lz8xw9VxE7dOZo")</f>
        <v>1kJHggZBmha8GLtaL5ZV_B3BS4Gwe7Lz8xw9VxE7dOZo</v>
      </c>
    </row>
    <row r="441" ht="15.75" customHeight="1">
      <c r="A441" t="str">
        <f>IFERROR(__xludf.DUMMYFUNCTION("""COMPUTED_VALUE"""),"Import")</f>
        <v>Import</v>
      </c>
      <c r="B441" t="str">
        <f>IFERROR(__xludf.DUMMYFUNCTION("""COMPUTED_VALUE"""),"SelectActivitiesImportType")</f>
        <v>SelectActivitiesImportType</v>
      </c>
      <c r="C441" t="str">
        <f>IFERROR(__xludf.DUMMYFUNCTION("""COMPUTED_VALUE"""),"1oXhOfdNQe4jyRJ2C0rhWTdFRGTIOV39EEnimfabEDfg")</f>
        <v>1oXhOfdNQe4jyRJ2C0rhWTdFRGTIOV39EEnimfabEDfg</v>
      </c>
    </row>
    <row r="442" ht="15.75" customHeight="1">
      <c r="A442" t="str">
        <f>IFERROR(__xludf.DUMMYFUNCTION("""COMPUTED_VALUE"""),"TradingTicket")</f>
        <v>TradingTicket</v>
      </c>
      <c r="B442" t="str">
        <f>IFERROR(__xludf.DUMMYFUNCTION("""COMPUTED_VALUE"""),"SetTTCompliancePreference")</f>
        <v>SetTTCompliancePreference</v>
      </c>
      <c r="C442" t="str">
        <f>IFERROR(__xludf.DUMMYFUNCTION("""COMPUTED_VALUE"""),"1oCioVWRpfyuyVxfO16G2yJ720gXGkma0qGlK4ZyrYg4")</f>
        <v>1oCioVWRpfyuyVxfO16G2yJ720gXGkma0qGlK4ZyrYg4</v>
      </c>
    </row>
    <row r="443" ht="15.75" customHeight="1">
      <c r="A443" t="str">
        <f>IFERROR(__xludf.DUMMYFUNCTION("""COMPUTED_VALUE"""),"Rebalancer")</f>
        <v>Rebalancer</v>
      </c>
      <c r="B443" t="str">
        <f>IFERROR(__xludf.DUMMYFUNCTION("""COMPUTED_VALUE"""),"LockandUnlockGridData")</f>
        <v>LockandUnlockGridData</v>
      </c>
      <c r="C443" t="str">
        <f>IFERROR(__xludf.DUMMYFUNCTION("""COMPUTED_VALUE"""),"10uiIcQww3gObeTuZg8B6hz4zaM4MJICGafz7PPnEHAs")</f>
        <v>10uiIcQww3gObeTuZg8B6hz4zaM4MJICGafz7PPnEHAs</v>
      </c>
    </row>
    <row r="444" ht="15.75" customHeight="1">
      <c r="A444" t="str">
        <f>IFERROR(__xludf.DUMMYFUNCTION("""COMPUTED_VALUE"""),"Allocation")</f>
        <v>Allocation</v>
      </c>
      <c r="B444" t="str">
        <f>IFERROR(__xludf.DUMMYFUNCTION("""COMPUTED_VALUE"""),"SetTradeAttributePreferences")</f>
        <v>SetTradeAttributePreferences</v>
      </c>
      <c r="C444" t="str">
        <f>IFERROR(__xludf.DUMMYFUNCTION("""COMPUTED_VALUE"""),"18Q05MSktNTIHVgTsRKNrAGtMDLi69cwqazVhf_5vGUs")</f>
        <v>18Q05MSktNTIHVgTsRKNrAGtMDLi69cwqazVhf_5vGUs</v>
      </c>
    </row>
    <row r="445" ht="15.75" customHeight="1">
      <c r="A445" t="str">
        <f>IFERROR(__xludf.DUMMYFUNCTION("""COMPUTED_VALUE"""),"GeneralLedger")</f>
        <v>GeneralLedger</v>
      </c>
      <c r="B445" t="str">
        <f>IFERROR(__xludf.DUMMYFUNCTION("""COMPUTED_VALUE"""),"VerifyAccountBalances")</f>
        <v>VerifyAccountBalances</v>
      </c>
      <c r="C445" t="str">
        <f>IFERROR(__xludf.DUMMYFUNCTION("""COMPUTED_VALUE"""),"1lE_cU-tlZ7oe5H_dwFeCKyUTo0QAax5WNCxb0aT0h3k")</f>
        <v>1lE_cU-tlZ7oe5H_dwFeCKyUTo0QAax5WNCxb0aT0h3k</v>
      </c>
    </row>
    <row r="446" ht="15.75" customHeight="1">
      <c r="A446" t="str">
        <f>IFERROR(__xludf.DUMMYFUNCTION("""COMPUTED_VALUE"""),"Rebalancer")</f>
        <v>Rebalancer</v>
      </c>
      <c r="B446" t="str">
        <f>IFERROR(__xludf.DUMMYFUNCTION("""COMPUTED_VALUE"""),"RefreshGridData")</f>
        <v>RefreshGridData</v>
      </c>
      <c r="C446" t="str">
        <f>IFERROR(__xludf.DUMMYFUNCTION("""COMPUTED_VALUE"""),"1d_eucCmN5G9f8_NiLaxsLdEikfWW-iKoCQ7vev7O0zU")</f>
        <v>1d_eucCmN5G9f8_NiLaxsLdEikfWW-iKoCQ7vev7O0zU</v>
      </c>
    </row>
    <row r="447" ht="15.75" customHeight="1">
      <c r="A447" t="str">
        <f>IFERROR(__xludf.DUMMYFUNCTION("""COMPUTED_VALUE"""),"GeneralLedger")</f>
        <v>GeneralLedger</v>
      </c>
      <c r="B447" t="str">
        <f>IFERROR(__xludf.DUMMYFUNCTION("""COMPUTED_VALUE"""),"AddMultipleOpeningBalTranItem")</f>
        <v>AddMultipleOpeningBalTranItem</v>
      </c>
      <c r="C447" t="str">
        <f>IFERROR(__xludf.DUMMYFUNCTION("""COMPUTED_VALUE"""),"1o5yFjfxSDwUZg4TV7tpFK_WjNSoNTnfL0wboLVCUm1c")</f>
        <v>1o5yFjfxSDwUZg4TV7tpFK_WjNSoNTnfL0wboLVCUm1c</v>
      </c>
    </row>
    <row r="448" ht="15.75" customHeight="1">
      <c r="A448" t="str">
        <f>IFERROR(__xludf.DUMMYFUNCTION("""COMPUTED_VALUE"""),"Import")</f>
        <v>Import</v>
      </c>
      <c r="B448" t="str">
        <f>IFERROR(__xludf.DUMMYFUNCTION("""COMPUTED_VALUE"""),"ApplyFilterOnImport")</f>
        <v>ApplyFilterOnImport</v>
      </c>
      <c r="C448" t="str">
        <f>IFERROR(__xludf.DUMMYFUNCTION("""COMPUTED_VALUE"""),"1bucapBjYv7lpkviHI-0ZpKwEa06hE9XLTYxCAkiqv1Y")</f>
        <v>1bucapBjYv7lpkviHI-0ZpKwEa06hE9XLTYxCAkiqv1Y</v>
      </c>
    </row>
    <row r="449" ht="15.75" customHeight="1">
      <c r="A449" t="str">
        <f>IFERROR(__xludf.DUMMYFUNCTION("""COMPUTED_VALUE"""),"Rebalancer")</f>
        <v>Rebalancer</v>
      </c>
      <c r="B449" t="str">
        <f>IFERROR(__xludf.DUMMYFUNCTION("""COMPUTED_VALUE"""),"SendtoStaging")</f>
        <v>SendtoStaging</v>
      </c>
      <c r="C449" t="str">
        <f>IFERROR(__xludf.DUMMYFUNCTION("""COMPUTED_VALUE"""),"1wpKxeuT5ngykDq8oxD8v-gkl_lDsqPEk3FXZl1BBGNU")</f>
        <v>1wpKxeuT5ngykDq8oxD8v-gkl_lDsqPEk3FXZl1BBGNU</v>
      </c>
    </row>
    <row r="450" ht="15.75" customHeight="1">
      <c r="A450" t="str">
        <f>IFERROR(__xludf.DUMMYFUNCTION("""COMPUTED_VALUE"""),"PTT")</f>
        <v>PTT</v>
      </c>
      <c r="B450" t="str">
        <f>IFERROR(__xludf.DUMMYFUNCTION("""COMPUTED_VALUE"""),"SetDefaultSymbology")</f>
        <v>SetDefaultSymbology</v>
      </c>
      <c r="C450" t="str">
        <f>IFERROR(__xludf.DUMMYFUNCTION("""COMPUTED_VALUE"""),"1QjBxJ-nrJcTpAkTasi94_sVisBgMGti7OMQXSW2qseQ")</f>
        <v>1QjBxJ-nrJcTpAkTasi94_sVisBgMGti7OMQXSW2qseQ</v>
      </c>
    </row>
    <row r="451" ht="15.75" customHeight="1">
      <c r="A451" t="str">
        <f>IFERROR(__xludf.DUMMYFUNCTION("""COMPUTED_VALUE"""),"Allocation")</f>
        <v>Allocation</v>
      </c>
      <c r="B451" t="str">
        <f>IFERROR(__xludf.DUMMYFUNCTION("""COMPUTED_VALUE"""),"EnterCustomAllocatePreference")</f>
        <v>EnterCustomAllocatePreference</v>
      </c>
      <c r="C451" t="str">
        <f>IFERROR(__xludf.DUMMYFUNCTION("""COMPUTED_VALUE"""),"1AQwPv2q79wcTa3HlFCQkHG7umwMKlkwPJ1HUBORVfsc")</f>
        <v>1AQwPv2q79wcTa3HlFCQkHG7umwMKlkwPJ1HUBORVfsc</v>
      </c>
    </row>
    <row r="452" ht="15.75" customHeight="1">
      <c r="A452" t="str">
        <f>IFERROR(__xludf.DUMMYFUNCTION("""COMPUTED_VALUE"""),"PTT")</f>
        <v>PTT</v>
      </c>
      <c r="B452" t="str">
        <f>IFERROR(__xludf.DUMMYFUNCTION("""COMPUTED_VALUE"""),"EditPTTAccountLevelWPF")</f>
        <v>EditPTTAccountLevelWPF</v>
      </c>
      <c r="C452" t="str">
        <f>IFERROR(__xludf.DUMMYFUNCTION("""COMPUTED_VALUE"""),"1HyQP4Vrh5_w30EPDJEhjFufpoV-ySJfmHbrzDDK_XLA")</f>
        <v>1HyQP4Vrh5_w30EPDJEhjFufpoV-ySJfmHbrzDDK_XLA</v>
      </c>
    </row>
    <row r="453" ht="15.75" customHeight="1">
      <c r="A453" t="str">
        <f>IFERROR(__xludf.DUMMYFUNCTION("""COMPUTED_VALUE"""),"PortfolioManagement")</f>
        <v>PortfolioManagement</v>
      </c>
      <c r="B453" t="str">
        <f>IFERROR(__xludf.DUMMYFUNCTION("""COMPUTED_VALUE"""),"OpenCreateTransactionFromPM")</f>
        <v>OpenCreateTransactionFromPM</v>
      </c>
      <c r="C453" t="str">
        <f>IFERROR(__xludf.DUMMYFUNCTION("""COMPUTED_VALUE"""),"1-86nRBAwVMofYmwMdMDgXGJGcmif9ZGSu6dQcsjk8mA")</f>
        <v>1-86nRBAwVMofYmwMdMDgXGJGcmif9ZGSu6dQcsjk8mA</v>
      </c>
    </row>
    <row r="454" ht="15.75" customHeight="1">
      <c r="A454" t="str">
        <f>IFERROR(__xludf.DUMMYFUNCTION("""COMPUTED_VALUE"""),"Allocation")</f>
        <v>Allocation</v>
      </c>
      <c r="B454" t="str">
        <f>IFERROR(__xludf.DUMMYFUNCTION("""COMPUTED_VALUE"""),"SetAutoGroupingPreferences")</f>
        <v>SetAutoGroupingPreferences</v>
      </c>
      <c r="C454" t="str">
        <f>IFERROR(__xludf.DUMMYFUNCTION("""COMPUTED_VALUE"""),"1Te-cBRFv_FKkvhELasch4HdUPvbgmGvyaL6GSm8rfJ8")</f>
        <v>1Te-cBRFv_FKkvhELasch4HdUPvbgmGvyaL6GSm8rfJ8</v>
      </c>
    </row>
    <row r="455" ht="15.75" customHeight="1">
      <c r="A455" t="str">
        <f>IFERROR(__xludf.DUMMYFUNCTION("""COMPUTED_VALUE"""),"Allocation")</f>
        <v>Allocation</v>
      </c>
      <c r="B455" t="str">
        <f>IFERROR(__xludf.DUMMYFUNCTION("""COMPUTED_VALUE"""),"SetAutoGroupingAccount")</f>
        <v>SetAutoGroupingAccount</v>
      </c>
      <c r="C455" t="str">
        <f>IFERROR(__xludf.DUMMYFUNCTION("""COMPUTED_VALUE"""),"1dJTHiT90Stsu7bgBQnfHKxlF7IvmTIhNFC2w3EdJlw0")</f>
        <v>1dJTHiT90Stsu7bgBQnfHKxlF7IvmTIhNFC2w3EdJlw0</v>
      </c>
    </row>
    <row r="456" ht="15.75" customHeight="1">
      <c r="A456" t="str">
        <f>IFERROR(__xludf.DUMMYFUNCTION("""COMPUTED_VALUE"""),"Allocation")</f>
        <v>Allocation</v>
      </c>
      <c r="B456" t="str">
        <f>IFERROR(__xludf.DUMMYFUNCTION("""COMPUTED_VALUE"""),"SetAvgPriceRounding")</f>
        <v>SetAvgPriceRounding</v>
      </c>
      <c r="C456" t="str">
        <f>IFERROR(__xludf.DUMMYFUNCTION("""COMPUTED_VALUE"""),"1euGFLIds_3eA9FuJ69reigrp7frEDEtKK3dBvh99T0k")</f>
        <v>1euGFLIds_3eA9FuJ69reigrp7frEDEtKK3dBvh99T0k</v>
      </c>
    </row>
    <row r="457" ht="15.75" customHeight="1">
      <c r="A457" t="str">
        <f>IFERROR(__xludf.DUMMYFUNCTION("""COMPUTED_VALUE"""),"Admin")</f>
        <v>Admin</v>
      </c>
      <c r="B457" t="str">
        <f>IFERROR(__xludf.DUMMYFUNCTION("""COMPUTED_VALUE"""),"SetActive")</f>
        <v>SetActive</v>
      </c>
      <c r="C457" t="str">
        <f>IFERROR(__xludf.DUMMYFUNCTION("""COMPUTED_VALUE"""),"1wafvyb438EvqeluBWDpXJE8X9Q8gOn3Ijw3caT3wgio")</f>
        <v>1wafvyb438EvqeluBWDpXJE8X9Q8gOn3Ijw3caT3wgio</v>
      </c>
    </row>
    <row r="458" ht="15.75" customHeight="1">
      <c r="A458" t="str">
        <f>IFERROR(__xludf.DUMMYFUNCTION("""COMPUTED_VALUE"""),"Admin")</f>
        <v>Admin</v>
      </c>
      <c r="B458" t="str">
        <f>IFERROR(__xludf.DUMMYFUNCTION("""COMPUTED_VALUE"""),"SetThirdPartyFormat")</f>
        <v>SetThirdPartyFormat</v>
      </c>
      <c r="C458" t="str">
        <f>IFERROR(__xludf.DUMMYFUNCTION("""COMPUTED_VALUE"""),"1l4Egceegv_mDnvE4M_HcBbuAgQh8NhlmPu_10KloWAg")</f>
        <v>1l4Egceegv_mDnvE4M_HcBbuAgQh8NhlmPu_10KloWAg</v>
      </c>
    </row>
    <row r="459" ht="15.75" customHeight="1">
      <c r="A459" t="str">
        <f>IFERROR(__xludf.DUMMYFUNCTION("""COMPUTED_VALUE"""),"Rebalancer")</f>
        <v>Rebalancer</v>
      </c>
      <c r="B459" t="str">
        <f>IFERROR(__xludf.DUMMYFUNCTION("""COMPUTED_VALUE"""),"RebalanceViaBloomberg")</f>
        <v>RebalanceViaBloomberg</v>
      </c>
      <c r="C459" t="str">
        <f>IFERROR(__xludf.DUMMYFUNCTION("""COMPUTED_VALUE"""),"19Yxtc0mG-kYgx9XiMj2EmICwIzmI7MHhVW5H8sXjfqc")</f>
        <v>19Yxtc0mG-kYgx9XiMj2EmICwIzmI7MHhVW5H8sXjfqc</v>
      </c>
    </row>
    <row r="460" ht="15.75" customHeight="1">
      <c r="A460" t="str">
        <f>IFERROR(__xludf.DUMMYFUNCTION("""COMPUTED_VALUE"""),"ThirdParty")</f>
        <v>ThirdParty</v>
      </c>
      <c r="B460" t="str">
        <f>IFERROR(__xludf.DUMMYFUNCTION("""COMPUTED_VALUE"""),"RefreshThirdParty")</f>
        <v>RefreshThirdParty</v>
      </c>
      <c r="C460" t="str">
        <f>IFERROR(__xludf.DUMMYFUNCTION("""COMPUTED_VALUE"""),"1leOcJPhSPuUZuc26liYTUkBEgS0ZkyPgfsQ2q70vYYU")</f>
        <v>1leOcJPhSPuUZuc26liYTUkBEgS0ZkyPgfsQ2q70vYYU</v>
      </c>
    </row>
    <row r="461" ht="15.75" customHeight="1">
      <c r="A461" t="str">
        <f>IFERROR(__xludf.DUMMYFUNCTION("""COMPUTED_VALUE"""),"Rebalancer")</f>
        <v>Rebalancer</v>
      </c>
      <c r="B461" t="str">
        <f>IFERROR(__xludf.DUMMYFUNCTION("""COMPUTED_VALUE"""),"AddUserAdjustedNAV")</f>
        <v>AddUserAdjustedNAV</v>
      </c>
      <c r="C461" t="str">
        <f>IFERROR(__xludf.DUMMYFUNCTION("""COMPUTED_VALUE"""),"1EV6M1kdYbGffiAWDGUsHZDUm9EMHjyVnQif2Bq_w5YQ")</f>
        <v>1EV6M1kdYbGffiAWDGUsHZDUm9EMHjyVnQif2Bq_w5YQ</v>
      </c>
    </row>
    <row r="462" ht="15.75" customHeight="1">
      <c r="A462" t="str">
        <f>IFERROR(__xludf.DUMMYFUNCTION("""COMPUTED_VALUE"""),"Allocation")</f>
        <v>Allocation</v>
      </c>
      <c r="B462" t="str">
        <f>IFERROR(__xludf.DUMMYFUNCTION("""COMPUTED_VALUE"""),"IsAllocationOpen")</f>
        <v>IsAllocationOpen</v>
      </c>
      <c r="C462" t="str">
        <f>IFERROR(__xludf.DUMMYFUNCTION("""COMPUTED_VALUE"""),"1NWy1tNLHXUklTVeScryRsYAkdc5-LJ3oDBhQkv8WT8M")</f>
        <v>1NWy1tNLHXUklTVeScryRsYAkdc5-LJ3oDBhQkv8WT8M</v>
      </c>
    </row>
    <row r="463" ht="15.75" customHeight="1">
      <c r="A463" t="str">
        <f>IFERROR(__xludf.DUMMYFUNCTION("""COMPUTED_VALUE"""),"ShortLocate")</f>
        <v>ShortLocate</v>
      </c>
      <c r="B463" t="str">
        <f>IFERROR(__xludf.DUMMYFUNCTION("""COMPUTED_VALUE"""),"ImportOnShortLocate")</f>
        <v>ImportOnShortLocate</v>
      </c>
      <c r="C463" t="str">
        <f>IFERROR(__xludf.DUMMYFUNCTION("""COMPUTED_VALUE"""),"1bVPxA0zNj_p7pg9E8mTgLU7yGIrp_WO7jQMtzLb9etg")</f>
        <v>1bVPxA0zNj_p7pg9E8mTgLU7yGIrp_WO7jQMtzLb9etg</v>
      </c>
    </row>
    <row r="464" ht="15.75" customHeight="1">
      <c r="A464" t="str">
        <f>IFERROR(__xludf.DUMMYFUNCTION("""COMPUTED_VALUE"""),"ShortLocate")</f>
        <v>ShortLocate</v>
      </c>
      <c r="B464" t="str">
        <f>IFERROR(__xludf.DUMMYFUNCTION("""COMPUTED_VALUE"""),"ApplyFilterOnShortLocate")</f>
        <v>ApplyFilterOnShortLocate</v>
      </c>
      <c r="C464" t="str">
        <f>IFERROR(__xludf.DUMMYFUNCTION("""COMPUTED_VALUE"""),"1pI0OFiaN7-udDb32hud9I-wifPd3OsRMQPJXWrVRGYE")</f>
        <v>1pI0OFiaN7-udDb32hud9I-wifPd3OsRMQPJXWrVRGYE</v>
      </c>
    </row>
    <row r="465" ht="15.75" customHeight="1">
      <c r="A465" t="str">
        <f>IFERROR(__xludf.DUMMYFUNCTION("""COMPUTED_VALUE"""),"ShortLocate")</f>
        <v>ShortLocate</v>
      </c>
      <c r="B465" t="str">
        <f>IFERROR(__xludf.DUMMYFUNCTION("""COMPUTED_VALUE"""),"OpenTTFromShortLocate")</f>
        <v>OpenTTFromShortLocate</v>
      </c>
      <c r="C465" t="str">
        <f>IFERROR(__xludf.DUMMYFUNCTION("""COMPUTED_VALUE"""),"1MR0CqV87GTUrjVmW-u4lucv_hu_DKW9AesdoirhhPoE")</f>
        <v>1MR0CqV87GTUrjVmW-u4lucv_hu_DKW9AesdoirhhPoE</v>
      </c>
    </row>
    <row r="466" ht="15.75" customHeight="1">
      <c r="A466" t="str">
        <f>IFERROR(__xludf.DUMMYFUNCTION("""COMPUTED_VALUE"""),"PortfolioManagement")</f>
        <v>PortfolioManagement</v>
      </c>
      <c r="B466" t="str">
        <f>IFERROR(__xludf.DUMMYFUNCTION("""COMPUTED_VALUE"""),"RemoveGroupingFromPM")</f>
        <v>RemoveGroupingFromPM</v>
      </c>
      <c r="C466" t="str">
        <f>IFERROR(__xludf.DUMMYFUNCTION("""COMPUTED_VALUE"""),"1VZd-w4B9IFs_jtM2q4yseIyXmK7riLhK8i1YlvU3OJ4")</f>
        <v>1VZd-w4B9IFs_jtM2q4yseIyXmK7riLhK8i1YlvU3OJ4</v>
      </c>
    </row>
    <row r="467" ht="15.75" customHeight="1">
      <c r="A467" t="str">
        <f>IFERROR(__xludf.DUMMYFUNCTION("""COMPUTED_VALUE"""),"Watchlist")</f>
        <v>Watchlist</v>
      </c>
      <c r="B467" t="str">
        <f>IFERROR(__xludf.DUMMYFUNCTION("""COMPUTED_VALUE"""),"AddTabOnWatchlist")</f>
        <v>AddTabOnWatchlist</v>
      </c>
      <c r="C467" t="str">
        <f>IFERROR(__xludf.DUMMYFUNCTION("""COMPUTED_VALUE"""),"1kyDKqBSEYxIlVdn2RdP-ZHnw5fK3SeBCqbpEqQfktbQ")</f>
        <v>1kyDKqBSEYxIlVdn2RdP-ZHnw5fK3SeBCqbpEqQfktbQ</v>
      </c>
    </row>
    <row r="468" ht="15.75" customHeight="1">
      <c r="A468" t="str">
        <f>IFERROR(__xludf.DUMMYFUNCTION("""COMPUTED_VALUE"""),"Watchlist")</f>
        <v>Watchlist</v>
      </c>
      <c r="B468" t="str">
        <f>IFERROR(__xludf.DUMMYFUNCTION("""COMPUTED_VALUE"""),"DeleteTabOnWatchlist")</f>
        <v>DeleteTabOnWatchlist</v>
      </c>
      <c r="C468" t="str">
        <f>IFERROR(__xludf.DUMMYFUNCTION("""COMPUTED_VALUE"""),"1dFUyUk6aFrwRW0TKRMWTlK9vFTp49OVXBqXSHz95DkI")</f>
        <v>1dFUyUk6aFrwRW0TKRMWTlK9vFTp49OVXBqXSHz95DkI</v>
      </c>
    </row>
    <row r="469" ht="15.75" customHeight="1">
      <c r="A469" t="str">
        <f>IFERROR(__xludf.DUMMYFUNCTION("""COMPUTED_VALUE"""),"ShortLocate")</f>
        <v>ShortLocate</v>
      </c>
      <c r="B469" t="str">
        <f>IFERROR(__xludf.DUMMYFUNCTION("""COMPUTED_VALUE"""),"Upload")</f>
        <v>Upload</v>
      </c>
      <c r="C469" t="str">
        <f>IFERROR(__xludf.DUMMYFUNCTION("""COMPUTED_VALUE"""),"1-xB5jbzgNDsYwxNItM2igLx6ybosKhYJDG45Cf1B00s")</f>
        <v>1-xB5jbzgNDsYwxNItM2igLx6ybosKhYJDG45Cf1B00s</v>
      </c>
    </row>
    <row r="470" ht="15.75" customHeight="1">
      <c r="A470" t="str">
        <f>IFERROR(__xludf.DUMMYFUNCTION("""COMPUTED_VALUE"""),"Recon")</f>
        <v>Recon</v>
      </c>
      <c r="B470" t="str">
        <f>IFERROR(__xludf.DUMMYFUNCTION("""COMPUTED_VALUE"""),"ViewDataOnRecon")</f>
        <v>ViewDataOnRecon</v>
      </c>
      <c r="C470" t="str">
        <f>IFERROR(__xludf.DUMMYFUNCTION("""COMPUTED_VALUE"""),"1j3XobpWhCBX14E7l14SxsGfD41uorXKq0Dzi78xEAl0")</f>
        <v>1j3XobpWhCBX14E7l14SxsGfD41uorXKq0Dzi78xEAl0</v>
      </c>
    </row>
    <row r="471" ht="15.75" customHeight="1">
      <c r="A471" t="str">
        <f>IFERROR(__xludf.DUMMYFUNCTION("""COMPUTED_VALUE"""),"Recon")</f>
        <v>Recon</v>
      </c>
      <c r="B471" t="str">
        <f>IFERROR(__xludf.DUMMYFUNCTION("""COMPUTED_VALUE"""),"RunRecon")</f>
        <v>RunRecon</v>
      </c>
      <c r="C471" t="str">
        <f>IFERROR(__xludf.DUMMYFUNCTION("""COMPUTED_VALUE"""),"1CGteHSn0TR35mDibHM_mvLDac-OHhb53IYGxYOU4O8c")</f>
        <v>1CGteHSn0TR35mDibHM_mvLDac-OHhb53IYGxYOU4O8c</v>
      </c>
    </row>
    <row r="472" ht="15.75" customHeight="1">
      <c r="A472" t="str">
        <f>IFERROR(__xludf.DUMMYFUNCTION("""COMPUTED_VALUE"""),"Recon")</f>
        <v>Recon</v>
      </c>
      <c r="B472" t="str">
        <f>IFERROR(__xludf.DUMMYFUNCTION("""COMPUTED_VALUE"""),"GenerateExceptionReport")</f>
        <v>GenerateExceptionReport</v>
      </c>
      <c r="C472" t="str">
        <f>IFERROR(__xludf.DUMMYFUNCTION("""COMPUTED_VALUE"""),"1N8yfRgpk29yJ2RajAJrKlhzej1Vm_fg2kmJVyjXLrvg")</f>
        <v>1N8yfRgpk29yJ2RajAJrKlhzej1Vm_fg2kmJVyjXLrvg</v>
      </c>
    </row>
    <row r="473" ht="15.75" customHeight="1">
      <c r="A473" t="str">
        <f>IFERROR(__xludf.DUMMYFUNCTION("""COMPUTED_VALUE"""),"Recon")</f>
        <v>Recon</v>
      </c>
      <c r="B473" t="str">
        <f>IFERROR(__xludf.DUMMYFUNCTION("""COMPUTED_VALUE"""),"ImportDataOnRecon")</f>
        <v>ImportDataOnRecon</v>
      </c>
      <c r="C473" t="str">
        <f>IFERROR(__xludf.DUMMYFUNCTION("""COMPUTED_VALUE"""),"1cUNtTiujid_O-E1ZKZwAgG6FILaEpJPyU8e7KNenYXI")</f>
        <v>1cUNtTiujid_O-E1ZKZwAgG6FILaEpJPyU8e7KNenYXI</v>
      </c>
    </row>
    <row r="474" ht="15.75" customHeight="1">
      <c r="A474" t="str">
        <f>IFERROR(__xludf.DUMMYFUNCTION("""COMPUTED_VALUE"""),"ShortLocate")</f>
        <v>ShortLocate</v>
      </c>
      <c r="B474" t="str">
        <f>IFERROR(__xludf.DUMMYFUNCTION("""COMPUTED_VALUE"""),"VerifyShortLocateGrid")</f>
        <v>VerifyShortLocateGrid</v>
      </c>
      <c r="C474" t="str">
        <f>IFERROR(__xludf.DUMMYFUNCTION("""COMPUTED_VALUE"""),"1WxElTsVLEdnCe639nqI7szGn5lHG-xxKjGMKw890Nxs")</f>
        <v>1WxElTsVLEdnCe639nqI7szGn5lHG-xxKjGMKw890Nxs</v>
      </c>
    </row>
    <row r="475" ht="15.75" customHeight="1">
      <c r="A475" t="str">
        <f>IFERROR(__xludf.DUMMYFUNCTION("""COMPUTED_VALUE"""),"Recon")</f>
        <v>Recon</v>
      </c>
      <c r="B475" t="str">
        <f>IFERROR(__xludf.DUMMYFUNCTION("""COMPUTED_VALUE"""),"VerifyApplicationData")</f>
        <v>VerifyApplicationData</v>
      </c>
      <c r="C475" t="str">
        <f>IFERROR(__xludf.DUMMYFUNCTION("""COMPUTED_VALUE"""),"1gMSDalyxsP_enjWpKNvUKpnf9DVP87AgNzPibA-eyb0")</f>
        <v>1gMSDalyxsP_enjWpKNvUKpnf9DVP87AgNzPibA-eyb0</v>
      </c>
    </row>
    <row r="476" ht="15.75" customHeight="1">
      <c r="A476" t="str">
        <f>IFERROR(__xludf.DUMMYFUNCTION("""COMPUTED_VALUE"""),"Recon")</f>
        <v>Recon</v>
      </c>
      <c r="B476" t="str">
        <f>IFERROR(__xludf.DUMMYFUNCTION("""COMPUTED_VALUE"""),"VerifyExceptionReport")</f>
        <v>VerifyExceptionReport</v>
      </c>
      <c r="C476" t="str">
        <f>IFERROR(__xludf.DUMMYFUNCTION("""COMPUTED_VALUE"""),"1XgMq7YXIsXKsvwpomSkKrDlipk4Y-ffMAHhllAES020")</f>
        <v>1XgMq7YXIsXKsvwpomSkKrDlipk4Y-ffMAHhllAES020</v>
      </c>
    </row>
    <row r="477" ht="15.75" customHeight="1">
      <c r="A477" t="str">
        <f>IFERROR(__xludf.DUMMYFUNCTION("""COMPUTED_VALUE"""),"Recon")</f>
        <v>Recon</v>
      </c>
      <c r="B477" t="str">
        <f>IFERROR(__xludf.DUMMYFUNCTION("""COMPUTED_VALUE"""),"VerifyPrimeBrokerData")</f>
        <v>VerifyPrimeBrokerData</v>
      </c>
      <c r="C477" t="str">
        <f>IFERROR(__xludf.DUMMYFUNCTION("""COMPUTED_VALUE"""),"1Ovwt1TBMu4eX_5xPIErUMp0szT3pOQv-xpOMc_u8oTQ")</f>
        <v>1Ovwt1TBMu4eX_5xPIErUMp0szT3pOQv-xpOMc_u8oTQ</v>
      </c>
    </row>
    <row r="478" ht="15.75" customHeight="1">
      <c r="A478" t="str">
        <f>IFERROR(__xludf.DUMMYFUNCTION("""COMPUTED_VALUE"""),"Admin")</f>
        <v>Admin</v>
      </c>
      <c r="B478" t="str">
        <f>IFERROR(__xludf.DUMMYFUNCTION("""COMPUTED_VALUE"""),"SetTradingComplianceRules")</f>
        <v>SetTradingComplianceRules</v>
      </c>
      <c r="C478" t="str">
        <f>IFERROR(__xludf.DUMMYFUNCTION("""COMPUTED_VALUE"""),"1MffewIlf1S9vLrAIh3aiDyNp7gGbrYIPJ5afHeDrnVY")</f>
        <v>1MffewIlf1S9vLrAIh3aiDyNp7gGbrYIPJ5afHeDrnVY</v>
      </c>
    </row>
    <row r="479" ht="15.75" customHeight="1">
      <c r="A479" t="str">
        <f>IFERROR(__xludf.DUMMYFUNCTION("""COMPUTED_VALUE"""),"TradingTicket")</f>
        <v>TradingTicket</v>
      </c>
      <c r="B479" t="str">
        <f>IFERROR(__xludf.DUMMYFUNCTION("""COMPUTED_VALUE"""),"ImportSymbol")</f>
        <v>ImportSymbol</v>
      </c>
      <c r="C479" t="str">
        <f>IFERROR(__xludf.DUMMYFUNCTION("""COMPUTED_VALUE"""),"1g5KDLoyLmVz3yEiZzqea5rWpYDsJy0U5SKzio29JwFw")</f>
        <v>1g5KDLoyLmVz3yEiZzqea5rWpYDsJy0U5SKzio29JwFw</v>
      </c>
    </row>
    <row r="480" ht="15.75" customHeight="1">
      <c r="A480" t="str">
        <f>IFERROR(__xludf.DUMMYFUNCTION("""COMPUTED_VALUE"""),"TradingTicket")</f>
        <v>TradingTicket</v>
      </c>
      <c r="B480" t="str">
        <f>IFERROR(__xludf.DUMMYFUNCTION("""COMPUTED_VALUE"""),"ExportSymbolFromRAList")</f>
        <v>ExportSymbolFromRAList</v>
      </c>
      <c r="C480" t="str">
        <f>IFERROR(__xludf.DUMMYFUNCTION("""COMPUTED_VALUE"""),"1OmAaisxsenYaDlJ4dEuvm14OJefiALIjp5WHk5BiW4M")</f>
        <v>1OmAaisxsenYaDlJ4dEuvm14OJefiALIjp5WHk5BiW4M</v>
      </c>
    </row>
    <row r="481" ht="15.75" customHeight="1">
      <c r="A481" t="str">
        <f>IFERROR(__xludf.DUMMYFUNCTION("""COMPUTED_VALUE"""),"TradingTicket")</f>
        <v>TradingTicket</v>
      </c>
      <c r="B481" t="str">
        <f>IFERROR(__xludf.DUMMYFUNCTION("""COMPUTED_VALUE""")," CheckPendingNewOrderAlert")</f>
        <v> CheckPendingNewOrderAlert</v>
      </c>
      <c r="C481" t="str">
        <f>IFERROR(__xludf.DUMMYFUNCTION("""COMPUTED_VALUE"""),"1u5co1GxTETT-t-Y-D0bp3gH4_470l1tV19b2Ge9cabM")</f>
        <v>1u5co1GxTETT-t-Y-D0bp3gH4_470l1tV19b2Ge9cabM</v>
      </c>
    </row>
    <row r="482" ht="15.75" customHeight="1">
      <c r="A482" t="str">
        <f>IFERROR(__xludf.DUMMYFUNCTION("""COMPUTED_VALUE"""),"TradingTicket")</f>
        <v>TradingTicket</v>
      </c>
      <c r="B482" t="str">
        <f>IFERROR(__xludf.DUMMYFUNCTION("""COMPUTED_VALUE"""),"AddSymbolOnRAList")</f>
        <v>AddSymbolOnRAList</v>
      </c>
      <c r="C482" t="str">
        <f>IFERROR(__xludf.DUMMYFUNCTION("""COMPUTED_VALUE"""),"1Q0qEAvdybmeczJnkPdgP8k0_TaW0HOeRFexMckMR-18")</f>
        <v>1Q0qEAvdybmeczJnkPdgP8k0_TaW0HOeRFexMckMR-18</v>
      </c>
    </row>
    <row r="483" ht="15.75" customHeight="1">
      <c r="A483" t="str">
        <f>IFERROR(__xludf.DUMMYFUNCTION("""COMPUTED_VALUE"""),"TradingTicket")</f>
        <v>TradingTicket</v>
      </c>
      <c r="B483" t="str">
        <f>IFERROR(__xludf.DUMMYFUNCTION("""COMPUTED_VALUE"""),"DeleteSymbolListFromRA")</f>
        <v>DeleteSymbolListFromRA</v>
      </c>
      <c r="C483" t="str">
        <f>IFERROR(__xludf.DUMMYFUNCTION("""COMPUTED_VALUE"""),"1_wE7yP7PUnttaLCmZoDnxxzk_PFNSFCOma_pC4ViU6E")</f>
        <v>1_wE7yP7PUnttaLCmZoDnxxzk_PFNSFCOma_pC4ViU6E</v>
      </c>
    </row>
    <row r="484" ht="15.75" customHeight="1">
      <c r="A484" t="str">
        <f>IFERROR(__xludf.DUMMYFUNCTION("""COMPUTED_VALUE"""),"TradingTicket")</f>
        <v>TradingTicket</v>
      </c>
      <c r="B484" t="str">
        <f>IFERROR(__xludf.DUMMYFUNCTION("""COMPUTED_VALUE"""),"RemoveSymbolFromRAList")</f>
        <v>RemoveSymbolFromRAList</v>
      </c>
      <c r="C484" t="str">
        <f>IFERROR(__xludf.DUMMYFUNCTION("""COMPUTED_VALUE"""),"1JxgHW7rNshltHJ_tYhcbx1WTeF-Ge0ipf7IzTYHWuGc")</f>
        <v>1JxgHW7rNshltHJ_tYhcbx1WTeF-Ge0ipf7IzTYHWuGc</v>
      </c>
    </row>
    <row r="485" ht="15.75" customHeight="1">
      <c r="A485" t="str">
        <f>IFERROR(__xludf.DUMMYFUNCTION("""COMPUTED_VALUE"""),"Report")</f>
        <v>Report</v>
      </c>
      <c r="B485" t="str">
        <f>IFERROR(__xludf.DUMMYFUNCTION("""COMPUTED_VALUE"""),"ReportMatching")</f>
        <v>ReportMatching</v>
      </c>
      <c r="C485" t="str">
        <f>IFERROR(__xludf.DUMMYFUNCTION("""COMPUTED_VALUE"""),"1EfN5-n0Flku86UC55Hrfb0fwDOOr0WS_pPckzAO-Nuk")</f>
        <v>1EfN5-n0Flku86UC55Hrfb0fwDOOr0WS_pPckzAO-Nuk</v>
      </c>
    </row>
    <row r="486" ht="15.75" customHeight="1">
      <c r="A486" t="str">
        <f>IFERROR(__xludf.DUMMYFUNCTION("""COMPUTED_VALUE"""),"Admin")</f>
        <v>Admin</v>
      </c>
      <c r="B486" t="str">
        <f>IFERROR(__xludf.DUMMYFUNCTION("""COMPUTED_VALUE"""),"EnableBreakdownRealizedPNL")</f>
        <v>EnableBreakdownRealizedPNL</v>
      </c>
      <c r="C486" t="str">
        <f>IFERROR(__xludf.DUMMYFUNCTION("""COMPUTED_VALUE"""),"1rtkxweRxmt7T-ctvx_6DrnlqP57bpTIP6Ieul7_mP6A")</f>
        <v>1rtkxweRxmt7T-ctvx_6DrnlqP57bpTIP6Ieul7_mP6A</v>
      </c>
    </row>
    <row r="487" ht="15.75" customHeight="1">
      <c r="A487" t="str">
        <f>IFERROR(__xludf.DUMMYFUNCTION("""COMPUTED_VALUE"""),"Admin")</f>
        <v>Admin</v>
      </c>
      <c r="B487" t="str">
        <f>IFERROR(__xludf.DUMMYFUNCTION("""COMPUTED_VALUE"""),"SetTTGeneralPreferences")</f>
        <v>SetTTGeneralPreferences</v>
      </c>
      <c r="C487" t="str">
        <f>IFERROR(__xludf.DUMMYFUNCTION("""COMPUTED_VALUE"""),"1bYrBAoKW9vS-yV7iY_o_bSeBsS4YGKCqurg8f5zUrJ8")</f>
        <v>1bYrBAoKW9vS-yV7iY_o_bSeBsS4YGKCqurg8f5zUrJ8</v>
      </c>
    </row>
    <row r="488" ht="15.75" customHeight="1">
      <c r="A488" t="str">
        <f>IFERROR(__xludf.DUMMYFUNCTION("""COMPUTED_VALUE"""),"Blotter")</f>
        <v>Blotter</v>
      </c>
      <c r="B488" t="str">
        <f>IFERROR(__xludf.DUMMYFUNCTION("""COMPUTED_VALUE"""),"OpenBlotter")</f>
        <v>OpenBlotter</v>
      </c>
      <c r="C488" t="str">
        <f>IFERROR(__xludf.DUMMYFUNCTION("""COMPUTED_VALUE"""),"1jh-uMffIi0EiSv0QmaxSeDY5pD0Bo-YUzVPlNlIB5sk")</f>
        <v>1jh-uMffIi0EiSv0QmaxSeDY5pD0Bo-YUzVPlNlIB5sk</v>
      </c>
    </row>
    <row r="489" ht="15.75" customHeight="1">
      <c r="A489" t="str">
        <f>IFERROR(__xludf.DUMMYFUNCTION("""COMPUTED_VALUE"""),"ExeExecutor")</f>
        <v>ExeExecutor</v>
      </c>
      <c r="B489" t="str">
        <f>IFERROR(__xludf.DUMMYFUNCTION("""COMPUTED_VALUE"""),"CallExeExecutor")</f>
        <v>CallExeExecutor</v>
      </c>
      <c r="C489" t="str">
        <f>IFERROR(__xludf.DUMMYFUNCTION("""COMPUTED_VALUE"""),"18prvJHsrb-rcZzLiFugnRouMTG2v1w23-4XsA6vdq28")</f>
        <v>18prvJHsrb-rcZzLiFugnRouMTG2v1w23-4XsA6vdq28</v>
      </c>
    </row>
    <row r="490" ht="15.75" customHeight="1">
      <c r="A490" t="str">
        <f>IFERROR(__xludf.DUMMYFUNCTION("""COMPUTED_VALUE"""),"TradingTicket")</f>
        <v>TradingTicket</v>
      </c>
      <c r="B490" t="str">
        <f>IFERROR(__xludf.DUMMYFUNCTION("""COMPUTED_VALUE"""),"ToggleBlombergOnRA")</f>
        <v>ToggleBlombergOnRA</v>
      </c>
      <c r="C490" t="str">
        <f>IFERROR(__xludf.DUMMYFUNCTION("""COMPUTED_VALUE"""),"10Qkq27hhdOEj1Wsc8HDmoaYNRjZvZz3hYs_g-o2srD4")</f>
        <v>10Qkq27hhdOEj1Wsc8HDmoaYNRjZvZz3hYs_g-o2srD4</v>
      </c>
    </row>
    <row r="491" ht="15.75" customHeight="1">
      <c r="A491" t="str">
        <f>IFERROR(__xludf.DUMMYFUNCTION("""COMPUTED_VALUE"""),"Blotter")</f>
        <v>Blotter</v>
      </c>
      <c r="B491" t="str">
        <f>IFERROR(__xludf.DUMMYFUNCTION("""COMPUTED_VALUE"""),"RemoveManualExecution")</f>
        <v>RemoveManualExecution</v>
      </c>
      <c r="C491" t="str">
        <f>IFERROR(__xludf.DUMMYFUNCTION("""COMPUTED_VALUE"""),"12JlWbwTibBQxTu6k-LfAtZm3Ge3zv_5pTxfwGMUw41Y")</f>
        <v>12JlWbwTibBQxTu6k-LfAtZm3Ge3zv_5pTxfwGMUw41Y</v>
      </c>
    </row>
    <row r="492" ht="15.75" customHeight="1">
      <c r="A492" t="str">
        <f>IFERROR(__xludf.DUMMYFUNCTION("""COMPUTED_VALUE"""),"Blotter")</f>
        <v>Blotter</v>
      </c>
      <c r="B492" t="str">
        <f>IFERROR(__xludf.DUMMYFUNCTION("""COMPUTED_VALUE"""),"RemoveExecutionWorkingSubs")</f>
        <v>RemoveExecutionWorkingSubs</v>
      </c>
      <c r="C492" t="str">
        <f>IFERROR(__xludf.DUMMYFUNCTION("""COMPUTED_VALUE"""),"1y-8IjqY0F-JaHDEQlN0WPEnzbLFvyaXbrTNH8_TVTks")</f>
        <v>1y-8IjqY0F-JaHDEQlN0WPEnzbLFvyaXbrTNH8_TVTks</v>
      </c>
    </row>
    <row r="493" ht="15.75" customHeight="1">
      <c r="A493" t="str">
        <f>IFERROR(__xludf.DUMMYFUNCTION("""COMPUTED_VALUE"""),"Dropcopy")</f>
        <v>Dropcopy</v>
      </c>
      <c r="B493" t="str">
        <f>IFERROR(__xludf.DUMMYFUNCTION("""COMPUTED_VALUE"""),"UploadDropcopyFile")</f>
        <v>UploadDropcopyFile</v>
      </c>
      <c r="C493" t="str">
        <f>IFERROR(__xludf.DUMMYFUNCTION("""COMPUTED_VALUE"""),"1nR5JdSa_bHe_xGX50gs4EzgjOu_OvNU3Jr03lpqD0xw")</f>
        <v>1nR5JdSa_bHe_xGX50gs4EzgjOu_OvNU3Jr03lpqD0xw</v>
      </c>
    </row>
    <row r="494" ht="15.75" customHeight="1">
      <c r="A494" t="str">
        <f>IFERROR(__xludf.DUMMYFUNCTION("""COMPUTED_VALUE"""),"TradeServer")</f>
        <v>TradeServer</v>
      </c>
      <c r="B494" t="str">
        <f>IFERROR(__xludf.DUMMYFUNCTION("""COMPUTED_VALUE"""),"StartTradeServer")</f>
        <v>StartTradeServer</v>
      </c>
      <c r="C494" t="str">
        <f>IFERROR(__xludf.DUMMYFUNCTION("""COMPUTED_VALUE"""),"1y76YUxz2PJo3dkDwBM0DtU6wDkbeltscHEvWIbis6PU")</f>
        <v>1y76YUxz2PJo3dkDwBM0DtU6wDkbeltscHEvWIbis6PU</v>
      </c>
    </row>
    <row r="495" ht="15.75" customHeight="1">
      <c r="A495" t="str">
        <f>IFERROR(__xludf.DUMMYFUNCTION("""COMPUTED_VALUE"""),"TradeServer")</f>
        <v>TradeServer</v>
      </c>
      <c r="B495" t="str">
        <f>IFERROR(__xludf.DUMMYFUNCTION("""COMPUTED_VALUE"""),"CloseTradeServer ")</f>
        <v>CloseTradeServer </v>
      </c>
      <c r="C495" t="str">
        <f>IFERROR(__xludf.DUMMYFUNCTION("""COMPUTED_VALUE"""),"1yt7YEJD5SbOmQGT4lGjpllft89GAxVsEpZGz0MjiwoE")</f>
        <v>1yt7YEJD5SbOmQGT4lGjpllft89GAxVsEpZGz0MjiwoE</v>
      </c>
    </row>
    <row r="496" ht="15.75" customHeight="1">
      <c r="A496" t="str">
        <f>IFERROR(__xludf.DUMMYFUNCTION("""COMPUTED_VALUE"""),"Blotter")</f>
        <v>Blotter</v>
      </c>
      <c r="B496" t="str">
        <f>IFERROR(__xludf.DUMMYFUNCTION("""COMPUTED_VALUE"""),"GetExecutionReportOrders")</f>
        <v>GetExecutionReportOrders</v>
      </c>
      <c r="C496" t="str">
        <f>IFERROR(__xludf.DUMMYFUNCTION("""COMPUTED_VALUE"""),"1NAb2WMfxxO3WY8IHkZpmM2CEoQJdLSaSUKkJGXbMhpM")</f>
        <v>1NAb2WMfxxO3WY8IHkZpmM2CEoQJdLSaSUKkJGXbMhpM</v>
      </c>
    </row>
    <row r="497" ht="15.75" customHeight="1">
      <c r="A497" t="str">
        <f>IFERROR(__xludf.DUMMYFUNCTION("""COMPUTED_VALUE"""),"Blotter")</f>
        <v>Blotter</v>
      </c>
      <c r="B497" t="str">
        <f>IFERROR(__xludf.DUMMYFUNCTION("""COMPUTED_VALUE"""),"GetExecutionReportDetails")</f>
        <v>GetExecutionReportDetails</v>
      </c>
      <c r="C497" t="str">
        <f>IFERROR(__xludf.DUMMYFUNCTION("""COMPUTED_VALUE"""),"1jzzm_gfQ-iQdhfat681yxboDYvsF3ICqvTE6xBuUuPw")</f>
        <v>1jzzm_gfQ-iQdhfat681yxboDYvsF3ICqvTE6xBuUuPw</v>
      </c>
    </row>
    <row r="498" ht="15.75" customHeight="1">
      <c r="A498" t="str">
        <f>IFERROR(__xludf.DUMMYFUNCTION("""COMPUTED_VALUE"""),"Blotter")</f>
        <v>Blotter</v>
      </c>
      <c r="B498" t="str">
        <f>IFERROR(__xludf.DUMMYFUNCTION("""COMPUTED_VALUE"""),"ExportExecutionReportData")</f>
        <v>ExportExecutionReportData</v>
      </c>
      <c r="C498" t="str">
        <f>IFERROR(__xludf.DUMMYFUNCTION("""COMPUTED_VALUE"""),"1QDVVpmU4OpSVy0QKxTmM6zg2QX4-s7c-SloWYxSfj2I")</f>
        <v>1QDVVpmU4OpSVy0QKxTmM6zg2QX4-s7c-SloWYxSfj2I</v>
      </c>
    </row>
    <row r="499" ht="15.75" customHeight="1">
      <c r="A499" t="str">
        <f>IFERROR(__xludf.DUMMYFUNCTION("""COMPUTED_VALUE"""),"Blotter")</f>
        <v>Blotter</v>
      </c>
      <c r="B499" t="str">
        <f>IFERROR(__xludf.DUMMYFUNCTION("""COMPUTED_VALUE"""),"VerifyExecutionReport")</f>
        <v>VerifyExecutionReport</v>
      </c>
      <c r="C499" t="str">
        <f>IFERROR(__xludf.DUMMYFUNCTION("""COMPUTED_VALUE"""),"1r_n-pmrLMgF_C8aeuNDr7tWOA0Y7GBcfWpC4prA7BYY")</f>
        <v>1r_n-pmrLMgF_C8aeuNDr7tWOA0Y7GBcfWpC4prA7BYY</v>
      </c>
    </row>
    <row r="500" ht="15.75" customHeight="1">
      <c r="A500" t="str">
        <f>IFERROR(__xludf.DUMMYFUNCTION("""COMPUTED_VALUE"""),"Blotter")</f>
        <v>Blotter</v>
      </c>
      <c r="B500" t="str">
        <f>IFERROR(__xludf.DUMMYFUNCTION("""COMPUTED_VALUE"""),"BlotterExecutionReportSnapshot")</f>
        <v>BlotterExecutionReportSnapshot</v>
      </c>
      <c r="C500" t="str">
        <f>IFERROR(__xludf.DUMMYFUNCTION("""COMPUTED_VALUE"""),"1CpQZAB4vlNmqvzO989xcBSpzc0NPLej2NvhLbdUyWTQ")</f>
        <v>1CpQZAB4vlNmqvzO989xcBSpzc0NPLej2NvhLbdUyWTQ</v>
      </c>
    </row>
    <row r="501" ht="15.75" customHeight="1">
      <c r="A501" t="str">
        <f>IFERROR(__xludf.DUMMYFUNCTION("""COMPUTED_VALUE"""),"Admin")</f>
        <v>Admin</v>
      </c>
      <c r="B501" t="str">
        <f>IFERROR(__xludf.DUMMYFUNCTION("""COMPUTED_VALUE"""),"SetDollarAmountPermission")</f>
        <v>SetDollarAmountPermission</v>
      </c>
      <c r="C501" t="str">
        <f>IFERROR(__xludf.DUMMYFUNCTION("""COMPUTED_VALUE"""),"14X5jPuAG23EQhbOfO3DylrVujon3mSElP-txsSkRnA8")</f>
        <v>14X5jPuAG23EQhbOfO3DylrVujon3mSElP-txsSkRnA8</v>
      </c>
    </row>
    <row r="502" ht="15.75" customHeight="1">
      <c r="A502" t="str">
        <f>IFERROR(__xludf.DUMMYFUNCTION("""COMPUTED_VALUE"""),"Admin")</f>
        <v>Admin</v>
      </c>
      <c r="B502" t="str">
        <f>IFERROR(__xludf.DUMMYFUNCTION("""COMPUTED_VALUE"""),"EnableDisableModule")</f>
        <v>EnableDisableModule</v>
      </c>
      <c r="C502" t="str">
        <f>IFERROR(__xludf.DUMMYFUNCTION("""COMPUTED_VALUE"""),"1Nhl_j0HYixYX2VQ1rak-5gFIBhJ4VoCwaftlalTj1bk")</f>
        <v>1Nhl_j0HYixYX2VQ1rak-5gFIBhJ4VoCwaftlalTj1bk</v>
      </c>
    </row>
    <row r="503" ht="15.75" customHeight="1">
      <c r="A503" t="str">
        <f>IFERROR(__xludf.DUMMYFUNCTION("""COMPUTED_VALUE"""),"Blotter")</f>
        <v>Blotter</v>
      </c>
      <c r="B503" t="str">
        <f>IFERROR(__xludf.DUMMYFUNCTION("""COMPUTED_VALUE"""),"MultipleTradeTransferToUser")</f>
        <v>MultipleTradeTransferToUser</v>
      </c>
      <c r="C503" t="str">
        <f>IFERROR(__xludf.DUMMYFUNCTION("""COMPUTED_VALUE"""),"18edwL6Y0tYzP2zrxa0QRcpYxjVV6krJxukXjossj_MM")</f>
        <v>18edwL6Y0tYzP2zrxa0QRcpYxjVV6krJxukXjossj_MM</v>
      </c>
    </row>
    <row r="504" ht="15.75" customHeight="1">
      <c r="A504" t="str">
        <f>IFERROR(__xludf.DUMMYFUNCTION("""COMPUTED_VALUE"""),"Admin")</f>
        <v>Admin</v>
      </c>
      <c r="B504" t="str">
        <f>IFERROR(__xludf.DUMMYFUNCTION("""COMPUTED_VALUE"""),"IsImportOverrideOnShortLocate")</f>
        <v>IsImportOverrideOnShortLocate</v>
      </c>
      <c r="C504" t="str">
        <f>IFERROR(__xludf.DUMMYFUNCTION("""COMPUTED_VALUE"""),"1rXpxTwvAlfhYJ9c_7pzI4e6qsq11B1glzjELJaxdM78")</f>
        <v>1rXpxTwvAlfhYJ9c_7pzI4e6qsq11B1glzjELJaxdM78</v>
      </c>
    </row>
    <row r="505" ht="15.75" customHeight="1">
      <c r="A505" t="str">
        <f>IFERROR(__xludf.DUMMYFUNCTION("""COMPUTED_VALUE"""),"Admin")</f>
        <v>Admin</v>
      </c>
      <c r="B505" t="str">
        <f>IFERROR(__xludf.DUMMYFUNCTION("""COMPUTED_VALUE"""),"SetShortLocateStructures")</f>
        <v>SetShortLocateStructures</v>
      </c>
      <c r="C505" t="str">
        <f>IFERROR(__xludf.DUMMYFUNCTION("""COMPUTED_VALUE"""),"1Ysz8uKnxRqT6F3_Q057BzV3ZZSVUtxBeQC04LlklMkA")</f>
        <v>1Ysz8uKnxRqT6F3_Q057BzV3ZZSVUtxBeQC04LlklMkA</v>
      </c>
    </row>
    <row r="506" ht="15.75" customHeight="1">
      <c r="A506" t="str">
        <f>IFERROR(__xludf.DUMMYFUNCTION("""COMPUTED_VALUE"""),"ShortLocate")</f>
        <v>ShortLocate</v>
      </c>
      <c r="B506" t="str">
        <f>IFERROR(__xludf.DUMMYFUNCTION("""COMPUTED_VALUE"""),"DownloadFile")</f>
        <v>DownloadFile</v>
      </c>
      <c r="C506" t="str">
        <f>IFERROR(__xludf.DUMMYFUNCTION("""COMPUTED_VALUE"""),"1Lo2aHDGLaNwTN4R8-xwG0BQ40lg7UQinHAGEpxz69js")</f>
        <v>1Lo2aHDGLaNwTN4R8-xwG0BQ40lg7UQinHAGEpxz69js</v>
      </c>
    </row>
    <row r="507" ht="15.75" customHeight="1">
      <c r="A507" t="str">
        <f>IFERROR(__xludf.DUMMYFUNCTION("""COMPUTED_VALUE"""),"ShortLocate")</f>
        <v>ShortLocate</v>
      </c>
      <c r="B507" t="str">
        <f>IFERROR(__xludf.DUMMYFUNCTION("""COMPUTED_VALUE"""),"SearchShortLocateUI")</f>
        <v>SearchShortLocateUI</v>
      </c>
      <c r="C507" t="str">
        <f>IFERROR(__xludf.DUMMYFUNCTION("""COMPUTED_VALUE"""),"1U6qgMqp1MPriWKxHsZuuHuHlmM-rJxqIxG5W7SUpFSg")</f>
        <v>1U6qgMqp1MPriWKxHsZuuHuHlmM-rJxqIxG5W7SUpFSg</v>
      </c>
    </row>
    <row r="508" ht="15.75" customHeight="1">
      <c r="A508" t="str">
        <f>IFERROR(__xludf.DUMMYFUNCTION("""COMPUTED_VALUE"""),"TradingTicket")</f>
        <v>TradingTicket</v>
      </c>
      <c r="B508" t="str">
        <f>IFERROR(__xludf.DUMMYFUNCTION("""COMPUTED_VALUE"""),"CreateDoneAwayOrder")</f>
        <v>CreateDoneAwayOrder</v>
      </c>
      <c r="C508" t="str">
        <f>IFERROR(__xludf.DUMMYFUNCTION("""COMPUTED_VALUE"""),"1PYf32wTc6i8YjkRz-Q53X6MYDiD5LoHyy9NsZwpOwGc")</f>
        <v>1PYf32wTc6i8YjkRz-Q53X6MYDiD5LoHyy9NsZwpOwGc</v>
      </c>
    </row>
    <row r="509" ht="15.75" customHeight="1">
      <c r="A509" t="str">
        <f>IFERROR(__xludf.DUMMYFUNCTION("""COMPUTED_VALUE"""),"Simulator")</f>
        <v>Simulator</v>
      </c>
      <c r="B509" t="str">
        <f>IFERROR(__xludf.DUMMYFUNCTION("""COMPUTED_VALUE"""),"VerifyTrades")</f>
        <v>VerifyTrades</v>
      </c>
      <c r="C509" t="str">
        <f>IFERROR(__xludf.DUMMYFUNCTION("""COMPUTED_VALUE"""),"1931c1Bd7mkuw8ktAOnJ1wXHqdWYL0uX2gQ9uIP2NnkI")</f>
        <v>1931c1Bd7mkuw8ktAOnJ1wXHqdWYL0uX2gQ9uIP2NnkI</v>
      </c>
    </row>
    <row r="510" ht="15.75" customHeight="1">
      <c r="A510" t="str">
        <f>IFERROR(__xludf.DUMMYFUNCTION("""COMPUTED_VALUE"""),"ShortLocate")</f>
        <v>ShortLocate</v>
      </c>
      <c r="B510" t="str">
        <f>IFERROR(__xludf.DUMMYFUNCTION("""COMPUTED_VALUE"""),"SetShortLocatePreferences")</f>
        <v>SetShortLocatePreferences</v>
      </c>
      <c r="C510" t="str">
        <f>IFERROR(__xludf.DUMMYFUNCTION("""COMPUTED_VALUE"""),"1nr3BA7Flp5cWiyNKfvlxJQEbl_IdNqrIInUcX8x159M")</f>
        <v>1nr3BA7Flp5cWiyNKfvlxJQEbl_IdNqrIInUcX8x159M</v>
      </c>
    </row>
    <row r="511" ht="15.75" customHeight="1">
      <c r="A511" t="str">
        <f>IFERROR(__xludf.DUMMYFUNCTION("""COMPUTED_VALUE"""),"SecurityMaster")</f>
        <v>SecurityMaster</v>
      </c>
      <c r="B511" t="str">
        <f>IFERROR(__xludf.DUMMYFUNCTION("""COMPUTED_VALUE"""),"GetSymbolData")</f>
        <v>GetSymbolData</v>
      </c>
      <c r="C511" t="str">
        <f>IFERROR(__xludf.DUMMYFUNCTION("""COMPUTED_VALUE"""),"1Jhbk5bZEf1nNxzsfiuLvF70SiNRDu-1THAWzNNwbi4Y")</f>
        <v>1Jhbk5bZEf1nNxzsfiuLvF70SiNRDu-1THAWzNNwbi4Y</v>
      </c>
    </row>
    <row r="512" ht="15.75" customHeight="1">
      <c r="A512" t="str">
        <f>IFERROR(__xludf.DUMMYFUNCTION("""COMPUTED_VALUE"""),"SecurityMaster")</f>
        <v>SecurityMaster</v>
      </c>
      <c r="B512" t="str">
        <f>IFERROR(__xludf.DUMMYFUNCTION("""COMPUTED_VALUE"""),"EditSMData")</f>
        <v>EditSMData</v>
      </c>
      <c r="C512" t="str">
        <f>IFERROR(__xludf.DUMMYFUNCTION("""COMPUTED_VALUE"""),"162dD8bZg-298j6PezrW145xv1_C6x4Isd0rGv85ZCII")</f>
        <v>162dD8bZg-298j6PezrW145xv1_C6x4Isd0rGv85ZCII</v>
      </c>
    </row>
    <row r="513" ht="15.75" customHeight="1">
      <c r="A513" t="str">
        <f>IFERROR(__xludf.DUMMYFUNCTION("""COMPUTED_VALUE"""),"Compliance")</f>
        <v>Compliance</v>
      </c>
      <c r="B513" t="str">
        <f>IFERROR(__xludf.DUMMYFUNCTION("""COMPUTED_VALUE"""),"RestartRuleMediator")</f>
        <v>RestartRuleMediator</v>
      </c>
      <c r="C513" t="str">
        <f>IFERROR(__xludf.DUMMYFUNCTION("""COMPUTED_VALUE"""),"1dZ1FWxsWVvPQ6jyA-ksyvErraF0tisehi5j1I2FOkRw")</f>
        <v>1dZ1FWxsWVvPQ6jyA-ksyvErraF0tisehi5j1I2FOkRw</v>
      </c>
    </row>
    <row r="514" ht="15.75" customHeight="1">
      <c r="A514" t="str">
        <f>IFERROR(__xludf.DUMMYFUNCTION("""COMPUTED_VALUE"""),"Compliance")</f>
        <v>Compliance</v>
      </c>
      <c r="B514" t="str">
        <f>IFERROR(__xludf.DUMMYFUNCTION("""COMPUTED_VALUE"""),"VerifyAggAccountSymbolWithNav")</f>
        <v>VerifyAggAccountSymbolWithNav</v>
      </c>
      <c r="C514" t="str">
        <f>IFERROR(__xludf.DUMMYFUNCTION("""COMPUTED_VALUE"""),"11jhyREfVfPzaKHLxIklzEiVpo7QOG5knwgpEA7Hkzto")</f>
        <v>11jhyREfVfPzaKHLxIklzEiVpo7QOG5knwgpEA7Hkzto</v>
      </c>
    </row>
    <row r="515" ht="15.75" customHeight="1">
      <c r="A515" t="str">
        <f>IFERROR(__xludf.DUMMYFUNCTION("""COMPUTED_VALUE"""),"Admin")</f>
        <v>Admin</v>
      </c>
      <c r="B515" t="str">
        <f>IFERROR(__xludf.DUMMYFUNCTION("""COMPUTED_VALUE"""),"SetComplianceAlert")</f>
        <v>SetComplianceAlert</v>
      </c>
      <c r="C515" t="str">
        <f>IFERROR(__xludf.DUMMYFUNCTION("""COMPUTED_VALUE"""),"12x8yk-qXOBJRoW8RyxDDfI4tsK-lzo85opA2CvzjQoA")</f>
        <v>12x8yk-qXOBJRoW8RyxDDfI4tsK-lzo85opA2CvzjQoA</v>
      </c>
    </row>
    <row r="516" ht="15.75" customHeight="1">
      <c r="A516" t="str">
        <f>IFERROR(__xludf.DUMMYFUNCTION("""COMPUTED_VALUE"""),"Blotter")</f>
        <v>Blotter</v>
      </c>
      <c r="B516" t="str">
        <f>IFERROR(__xludf.DUMMYFUNCTION("""COMPUTED_VALUE"""),"ReloadOrderFromBlotter")</f>
        <v>ReloadOrderFromBlotter</v>
      </c>
      <c r="C516" t="str">
        <f>IFERROR(__xludf.DUMMYFUNCTION("""COMPUTED_VALUE"""),"1KTgBgigwVrlQbk-675Krfsd2QqH49pqRvlWifYUtQ5g")</f>
        <v>1KTgBgigwVrlQbk-675Krfsd2QqH49pqRvlWifYUtQ5g</v>
      </c>
    </row>
    <row r="517" ht="15.75" customHeight="1">
      <c r="A517" t="str">
        <f>IFERROR(__xludf.DUMMYFUNCTION("""COMPUTED_VALUE"""),"Blotter")</f>
        <v>Blotter</v>
      </c>
      <c r="B517" t="str">
        <f>IFERROR(__xludf.DUMMYFUNCTION("""COMPUTED_VALUE"""),"ReloadOrderFromSubOrder")</f>
        <v>ReloadOrderFromSubOrder</v>
      </c>
      <c r="C517" t="str">
        <f>IFERROR(__xludf.DUMMYFUNCTION("""COMPUTED_VALUE"""),"1a8denPrrrZ6CU7m_5pyvuX8v3Z1WPbnkCQZRqkPZEj8")</f>
        <v>1a8denPrrrZ6CU7m_5pyvuX8v3Z1WPbnkCQZRqkPZEj8</v>
      </c>
    </row>
    <row r="518" ht="15.75" customHeight="1">
      <c r="A518" t="str">
        <f>IFERROR(__xludf.DUMMYFUNCTION("""COMPUTED_VALUE"""),"Blotter")</f>
        <v>Blotter</v>
      </c>
      <c r="B518" t="str">
        <f>IFERROR(__xludf.DUMMYFUNCTION("""COMPUTED_VALUE"""),"ReloadOrderFromWorkingSubs")</f>
        <v>ReloadOrderFromWorkingSubs</v>
      </c>
      <c r="C518" t="str">
        <f>IFERROR(__xludf.DUMMYFUNCTION("""COMPUTED_VALUE"""),"1Qy10BJ2vPY3GZqXNi1sf4HN4-VBeDTN2tZbIrlL9_tM")</f>
        <v>1Qy10BJ2vPY3GZqXNi1sf4HN4-VBeDTN2tZbIrlL9_tM</v>
      </c>
    </row>
    <row r="519" ht="15.75" customHeight="1">
      <c r="A519" t="str">
        <f>IFERROR(__xludf.DUMMYFUNCTION("""COMPUTED_VALUE"""),"Closing")</f>
        <v>Closing</v>
      </c>
      <c r="B519" t="str">
        <f>IFERROR(__xludf.DUMMYFUNCTION("""COMPUTED_VALUE"""),"AutoExercise")</f>
        <v>AutoExercise</v>
      </c>
      <c r="C519" t="str">
        <f>IFERROR(__xludf.DUMMYFUNCTION("""COMPUTED_VALUE"""),"1VkyCG4QZGXFJyz0uDReEN_PMiHJtUbU9MzJ18dR7djs")</f>
        <v>1VkyCG4QZGXFJyz0uDReEN_PMiHJtUbU9MzJ18dR7djs</v>
      </c>
    </row>
    <row r="520" ht="15.75" customHeight="1">
      <c r="A520" t="str">
        <f>IFERROR(__xludf.DUMMYFUNCTION("""COMPUTED_VALUE"""),"PortfolioManagement")</f>
        <v>PortfolioManagement</v>
      </c>
      <c r="B520" t="str">
        <f>IFERROR(__xludf.DUMMYFUNCTION("""COMPUTED_VALUE"""),"IncreasePositionFromPM")</f>
        <v>IncreasePositionFromPM</v>
      </c>
      <c r="C520" t="str">
        <f>IFERROR(__xludf.DUMMYFUNCTION("""COMPUTED_VALUE"""),"1xln3IHIAQBsFIP_BTRt6nFOFbhoLbe-sRdYWCguKd7k")</f>
        <v>1xln3IHIAQBsFIP_BTRt6nFOFbhoLbe-sRdYWCguKd7k</v>
      </c>
    </row>
    <row r="521" ht="15.75" customHeight="1">
      <c r="A521" t="str">
        <f>IFERROR(__xludf.DUMMYFUNCTION("""COMPUTED_VALUE"""),"TradingTicket")</f>
        <v>TradingTicket</v>
      </c>
      <c r="B521" t="str">
        <f>IFERROR(__xludf.DUMMYFUNCTION("""COMPUTED_VALUE"""),"AddOptionTrade")</f>
        <v>AddOptionTrade</v>
      </c>
      <c r="C521" t="str">
        <f>IFERROR(__xludf.DUMMYFUNCTION("""COMPUTED_VALUE"""),"1zk0UoVrMV0oINBkU2tXEcmh42lo2poOp5V2voemUQOc")</f>
        <v>1zk0UoVrMV0oINBkU2tXEcmh42lo2poOp5V2voemUQOc</v>
      </c>
    </row>
    <row r="522" ht="15.75" customHeight="1">
      <c r="A522" t="str">
        <f>IFERROR(__xludf.DUMMYFUNCTION("""COMPUTED_VALUE"""),"TradingTicket")</f>
        <v>TradingTicket</v>
      </c>
      <c r="B522" t="str">
        <f>IFERROR(__xludf.DUMMYFUNCTION("""COMPUTED_VALUE"""),"SendLiveBloomberg")</f>
        <v>SendLiveBloomberg</v>
      </c>
      <c r="C522" t="str">
        <f>IFERROR(__xludf.DUMMYFUNCTION("""COMPUTED_VALUE"""),"1YDY4PrQHIwjAVV7ZS5FxsT9X35VMSfx9lUFZ6KS0TT4")</f>
        <v>1YDY4PrQHIwjAVV7ZS5FxsT9X35VMSfx9lUFZ6KS0TT4</v>
      </c>
    </row>
    <row r="523" ht="15.75" customHeight="1">
      <c r="A523" t="str">
        <f>IFERROR(__xludf.DUMMYFUNCTION("""COMPUTED_VALUE"""),"Admin")</f>
        <v>Admin</v>
      </c>
      <c r="B523" t="str">
        <f>IFERROR(__xludf.DUMMYFUNCTION("""COMPUTED_VALUE"""),"UpdateExpirationDate")</f>
        <v>UpdateExpirationDate</v>
      </c>
      <c r="C523" t="str">
        <f>IFERROR(__xludf.DUMMYFUNCTION("""COMPUTED_VALUE"""),"1m5emwEeVJWl1_OB8Nsr7sbSKCTBM_edzEbP7vtPiImU")</f>
        <v>1m5emwEeVJWl1_OB8Nsr7sbSKCTBM_edzEbP7vtPiImU</v>
      </c>
    </row>
    <row r="524" ht="15.75" customHeight="1">
      <c r="A524" t="str">
        <f>IFERROR(__xludf.DUMMYFUNCTION("""COMPUTED_VALUE"""),"PricingInput")</f>
        <v>PricingInput</v>
      </c>
      <c r="B524" t="str">
        <f>IFERROR(__xludf.DUMMYFUNCTION("""COMPUTED_VALUE"""),"UncheckDividendYield")</f>
        <v>UncheckDividendYield</v>
      </c>
      <c r="C524" t="str">
        <f>IFERROR(__xludf.DUMMYFUNCTION("""COMPUTED_VALUE"""),"1siER4KgCo3rya7jG6bOEOQMJ5jolS_sgeWzVIaXVnOA")</f>
        <v>1siER4KgCo3rya7jG6bOEOQMJ5jolS_sgeWzVIaXVnOA</v>
      </c>
    </row>
    <row r="525" ht="15.75" customHeight="1">
      <c r="A525" t="str">
        <f>IFERROR(__xludf.DUMMYFUNCTION("""COMPUTED_VALUE"""),"Admin")</f>
        <v>Admin</v>
      </c>
      <c r="B525" t="str">
        <f>IFERROR(__xludf.DUMMYFUNCTION("""COMPUTED_VALUE"""),"RenameMasterStrategy")</f>
        <v>RenameMasterStrategy</v>
      </c>
      <c r="C525" t="str">
        <f>IFERROR(__xludf.DUMMYFUNCTION("""COMPUTED_VALUE"""),"17O0fiItP8De4QvAabOMWsJRuFVwYQ4vcaWY9LIrA4AM")</f>
        <v>17O0fiItP8De4QvAabOMWsJRuFVwYQ4vcaWY9LIrA4AM</v>
      </c>
    </row>
    <row r="526" ht="15.75" customHeight="1">
      <c r="A526" t="str">
        <f>IFERROR(__xludf.DUMMYFUNCTION("""COMPUTED_VALUE"""),"Blotter")</f>
        <v>Blotter</v>
      </c>
      <c r="B526" t="str">
        <f>IFERROR(__xludf.DUMMYFUNCTION("""COMPUTED_VALUE"""),"SelectFills")</f>
        <v>SelectFills</v>
      </c>
      <c r="C526" t="str">
        <f>IFERROR(__xludf.DUMMYFUNCTION("""COMPUTED_VALUE"""),"1KmDGWLo9fXILo47E7QiLk8PcgyXyPWDYLSmlv1U7OEI")</f>
        <v>1KmDGWLo9fXILo47E7QiLk8PcgyXyPWDYLSmlv1U7OEI</v>
      </c>
    </row>
    <row r="527" ht="15.75" customHeight="1">
      <c r="A527" t="str">
        <f>IFERROR(__xludf.DUMMYFUNCTION("""COMPUTED_VALUE"""),"Blotter")</f>
        <v>Blotter</v>
      </c>
      <c r="B527" t="str">
        <f>IFERROR(__xludf.DUMMYFUNCTION("""COMPUTED_VALUE"""),"ModifyFills")</f>
        <v>ModifyFills</v>
      </c>
      <c r="C527" t="str">
        <f>IFERROR(__xludf.DUMMYFUNCTION("""COMPUTED_VALUE"""),"1kjhDPh6h17F_qQ5SR_vaGjeQJ54-Cnj0LAluw9XRR9E")</f>
        <v>1kjhDPh6h17F_qQ5SR_vaGjeQJ54-Cnj0LAluw9XRR9E</v>
      </c>
    </row>
    <row r="528" ht="15.75" customHeight="1">
      <c r="A528" t="str">
        <f>IFERROR(__xludf.DUMMYFUNCTION("""COMPUTED_VALUE"""),"PranaClient")</f>
        <v>PranaClient</v>
      </c>
      <c r="B528" t="str">
        <f>IFERROR(__xludf.DUMMYFUNCTION("""COMPUTED_VALUE"""),"LoginClient")</f>
        <v>LoginClient</v>
      </c>
      <c r="C528" t="str">
        <f>IFERROR(__xludf.DUMMYFUNCTION("""COMPUTED_VALUE"""),"1oOEnrCswh1E2gMB7QLb7Kzwn1g_U9MdoUM8ZuU4xpqM")</f>
        <v>1oOEnrCswh1E2gMB7QLb7Kzwn1g_U9MdoUM8ZuU4xpqM</v>
      </c>
    </row>
    <row r="529" ht="15.75" customHeight="1">
      <c r="A529" t="str">
        <f>IFERROR(__xludf.DUMMYFUNCTION("""COMPUTED_VALUE"""),"Closing")</f>
        <v>Closing</v>
      </c>
      <c r="B529" t="str">
        <f>IFERROR(__xludf.DUMMYFUNCTION("""COMPUTED_VALUE"""),"EditMultipleCloseQuantity")</f>
        <v>EditMultipleCloseQuantity</v>
      </c>
      <c r="C529" t="str">
        <f>IFERROR(__xludf.DUMMYFUNCTION("""COMPUTED_VALUE"""),"1GFVJ-sKAde1ojd0Fe4n6uFMFg_t5ihjSGwIRBDNxnSQ")</f>
        <v>1GFVJ-sKAde1ojd0Fe4n6uFMFg_t5ihjSGwIRBDNxnSQ</v>
      </c>
    </row>
    <row r="530" ht="15.75" customHeight="1">
      <c r="A530" t="str">
        <f>IFERROR(__xludf.DUMMYFUNCTION("""COMPUTED_VALUE"""),"Closing")</f>
        <v>Closing</v>
      </c>
      <c r="B530" t="str">
        <f>IFERROR(__xludf.DUMMYFUNCTION("""COMPUTED_VALUE"""),"ManualCloseOrder")</f>
        <v>ManualCloseOrder</v>
      </c>
      <c r="C530" t="str">
        <f>IFERROR(__xludf.DUMMYFUNCTION("""COMPUTED_VALUE"""),"1fZ_P02eEi4GavSkUo3cpan_Jh4xz0OQjidMUwzCMms8")</f>
        <v>1fZ_P02eEi4GavSkUo3cpan_Jh4xz0OQjidMUwzCMms8</v>
      </c>
    </row>
    <row r="531" ht="15.75" customHeight="1">
      <c r="A531" t="str">
        <f>IFERROR(__xludf.DUMMYFUNCTION("""COMPUTED_VALUE"""),"Admin")</f>
        <v>Admin</v>
      </c>
      <c r="B531" t="str">
        <f>IFERROR(__xludf.DUMMYFUNCTION("""COMPUTED_VALUE"""),"SetTTUIAdminPreferences")</f>
        <v>SetTTUIAdminPreferences</v>
      </c>
      <c r="C531" t="str">
        <f>IFERROR(__xludf.DUMMYFUNCTION("""COMPUTED_VALUE"""),"1XGzqnk2nunw7F--MNGHLzH3F0YYmIumyegAncIZZB6k")</f>
        <v>1XGzqnk2nunw7F--MNGHLzH3F0YYmIumyegAncIZZB6k</v>
      </c>
    </row>
    <row r="532" ht="15.75" customHeight="1">
      <c r="A532" t="str">
        <f>IFERROR(__xludf.DUMMYFUNCTION("""COMPUTED_VALUE"""),"Closing")</f>
        <v>Closing</v>
      </c>
      <c r="B532" t="str">
        <f>IFERROR(__xludf.DUMMYFUNCTION("""COMPUTED_VALUE"""),"PreviewDataWithFilters")</f>
        <v>PreviewDataWithFilters</v>
      </c>
      <c r="C532" t="str">
        <f>IFERROR(__xludf.DUMMYFUNCTION("""COMPUTED_VALUE"""),"1QufyUdyJ0hiResW8bLzTI1qcoXAtWh2TTAg4KNj2kv4")</f>
        <v>1QufyUdyJ0hiResW8bLzTI1qcoXAtWh2TTAg4KNj2kv4</v>
      </c>
    </row>
    <row r="533" ht="15.75" customHeight="1">
      <c r="A533" t="str">
        <f>IFERROR(__xludf.DUMMYFUNCTION("""COMPUTED_VALUE"""),"TradingTicket")</f>
        <v>TradingTicket</v>
      </c>
      <c r="B533" t="str">
        <f>IFERROR(__xludf.DUMMYFUNCTION("""COMPUTED_VALUE"""),"ViewAllocation")</f>
        <v>ViewAllocation</v>
      </c>
      <c r="C533" t="str">
        <f>IFERROR(__xludf.DUMMYFUNCTION("""COMPUTED_VALUE"""),"1qQcdc8yQuKhwDznJZ6pFksOXC_DRFeEcZJNoYabCqoo")</f>
        <v>1qQcdc8yQuKhwDznJZ6pFksOXC_DRFeEcZJNoYabCqoo</v>
      </c>
    </row>
    <row r="534" ht="15.75" customHeight="1">
      <c r="A534" t="str">
        <f>IFERROR(__xludf.DUMMYFUNCTION("""COMPUTED_VALUE"""),"Admin")</f>
        <v>Admin</v>
      </c>
      <c r="B534" t="str">
        <f>IFERROR(__xludf.DUMMYFUNCTION("""COMPUTED_VALUE"""),"UpdateSecFee")</f>
        <v>UpdateSecFee</v>
      </c>
      <c r="C534" t="str">
        <f>IFERROR(__xludf.DUMMYFUNCTION("""COMPUTED_VALUE"""),"165ONyZgtypA9enxNYG1RIGJ0QQBpn60s9uk-ZFwfAQI")</f>
        <v>165ONyZgtypA9enxNYG1RIGJ0QQBpn60s9uk-ZFwfAQI</v>
      </c>
    </row>
    <row r="535" ht="15.75" customHeight="1">
      <c r="A535" t="str">
        <f>IFERROR(__xludf.DUMMYFUNCTION("""COMPUTED_VALUE"""),"Closing")</f>
        <v>Closing</v>
      </c>
      <c r="B535" t="str">
        <f>IFERROR(__xludf.DUMMYFUNCTION("""COMPUTED_VALUE"""),"CreateClosingTemplate")</f>
        <v>CreateClosingTemplate</v>
      </c>
      <c r="C535" t="str">
        <f>IFERROR(__xludf.DUMMYFUNCTION("""COMPUTED_VALUE"""),"1dO0ymjm2QUZjeMDVWKonhU6YqesW2cr7p8PLsR8JxaA")</f>
        <v>1dO0ymjm2QUZjeMDVWKonhU6YqesW2cr7p8PLsR8JxaA</v>
      </c>
    </row>
    <row r="536" ht="15.75" customHeight="1">
      <c r="A536" t="str">
        <f>IFERROR(__xludf.DUMMYFUNCTION("""COMPUTED_VALUE"""),"Closing")</f>
        <v>Closing</v>
      </c>
      <c r="B536" t="str">
        <f>IFERROR(__xludf.DUMMYFUNCTION("""COMPUTED_VALUE"""),"CreateUnwindingTemplate")</f>
        <v>CreateUnwindingTemplate</v>
      </c>
      <c r="C536" t="str">
        <f>IFERROR(__xludf.DUMMYFUNCTION("""COMPUTED_VALUE"""),"1elBNb12z0vBYbY9P3ZtJ0q2SWz7SHF34zwW-QQZxQH0")</f>
        <v>1elBNb12z0vBYbY9P3ZtJ0q2SWz7SHF34zwW-QQZxQH0</v>
      </c>
    </row>
    <row r="537" ht="15.75" customHeight="1">
      <c r="A537" t="str">
        <f>IFERROR(__xludf.DUMMYFUNCTION("""COMPUTED_VALUE"""),"Closing")</f>
        <v>Closing</v>
      </c>
      <c r="B537" t="str">
        <f>IFERROR(__xludf.DUMMYFUNCTION("""COMPUTED_VALUE"""),"EditTemplate")</f>
        <v>EditTemplate</v>
      </c>
      <c r="C537" t="str">
        <f>IFERROR(__xludf.DUMMYFUNCTION("""COMPUTED_VALUE"""),"1ZmcENUuCOmbgT4qA2jopXrJlm_NQ2yxiHmw457oO6Ks")</f>
        <v>1ZmcENUuCOmbgT4qA2jopXrJlm_NQ2yxiHmw457oO6Ks</v>
      </c>
    </row>
    <row r="538" ht="15.75" customHeight="1">
      <c r="A538" t="str">
        <f>IFERROR(__xludf.DUMMYFUNCTION("""COMPUTED_VALUE"""),"Closing")</f>
        <v>Closing</v>
      </c>
      <c r="B538" t="str">
        <f>IFERROR(__xludf.DUMMYFUNCTION("""COMPUTED_VALUE"""),"DeleteTemplate")</f>
        <v>DeleteTemplate</v>
      </c>
      <c r="C538" t="str">
        <f>IFERROR(__xludf.DUMMYFUNCTION("""COMPUTED_VALUE"""),"1kB5ouEy35PLGrGH3P7q6zhj1lAakSOshbaFfRSxUYuI")</f>
        <v>1kB5ouEy35PLGrGH3P7q6zhj1lAakSOshbaFfRSxUYuI</v>
      </c>
    </row>
    <row r="539" ht="15.75" customHeight="1">
      <c r="A539" t="str">
        <f>IFERROR(__xludf.DUMMYFUNCTION("""COMPUTED_VALUE"""),"Allocation")</f>
        <v>Allocation</v>
      </c>
      <c r="B539" t="str">
        <f>IFERROR(__xludf.DUMMYFUNCTION("""COMPUTED_VALUE"""),"AllocationAuditTrail")</f>
        <v>AllocationAuditTrail</v>
      </c>
      <c r="C539" t="str">
        <f>IFERROR(__xludf.DUMMYFUNCTION("""COMPUTED_VALUE"""),"1cWbQrLhcx-DBTt83fk27awIMhSdKtj7wh0dnffqkyEg")</f>
        <v>1cWbQrLhcx-DBTt83fk27awIMhSdKtj7wh0dnffqkyEg</v>
      </c>
    </row>
    <row r="540" ht="15.75" customHeight="1">
      <c r="A540" t="str">
        <f>IFERROR(__xludf.DUMMYFUNCTION("""COMPUTED_VALUE"""),"Allocation")</f>
        <v>Allocation</v>
      </c>
      <c r="B540" t="str">
        <f>IFERROR(__xludf.DUMMYFUNCTION("""COMPUTED_VALUE"""),"GetAuditTrailData")</f>
        <v>GetAuditTrailData</v>
      </c>
      <c r="C540" t="str">
        <f>IFERROR(__xludf.DUMMYFUNCTION("""COMPUTED_VALUE"""),"1atfQajSO79BpNABHuWDu-qwEpzSPXeTPKhLrVf3qAJQ")</f>
        <v>1atfQajSO79BpNABHuWDu-qwEpzSPXeTPKhLrVf3qAJQ</v>
      </c>
    </row>
    <row r="541" ht="15.75" customHeight="1">
      <c r="A541" t="str">
        <f>IFERROR(__xludf.DUMMYFUNCTION("""COMPUTED_VALUE"""),"Allocation")</f>
        <v>Allocation</v>
      </c>
      <c r="B541" t="str">
        <f>IFERROR(__xludf.DUMMYFUNCTION("""COMPUTED_VALUE"""),"CheckAuditTrailData")</f>
        <v>CheckAuditTrailData</v>
      </c>
      <c r="C541" t="str">
        <f>IFERROR(__xludf.DUMMYFUNCTION("""COMPUTED_VALUE"""),"1ynZmQFpgGOcXlnL_2G1gIugXpfbDTFt91dNyM50VdQI")</f>
        <v>1ynZmQFpgGOcXlnL_2G1gIugXpfbDTFt91dNyM50VdQI</v>
      </c>
    </row>
    <row r="542" ht="15.75" customHeight="1">
      <c r="A542" t="str">
        <f>IFERROR(__xludf.DUMMYFUNCTION("""COMPUTED_VALUE"""),"Closing")</f>
        <v>Closing</v>
      </c>
      <c r="B542" t="str">
        <f>IFERROR(__xludf.DUMMYFUNCTION("""COMPUTED_VALUE"""),"RunTemplate")</f>
        <v>RunTemplate</v>
      </c>
      <c r="C542" t="str">
        <f>IFERROR(__xludf.DUMMYFUNCTION("""COMPUTED_VALUE"""),"1iWCPXe0tXJ4PIDbwGLtBOVNSJ2s7YN4z8ZTJcr0Wuw4")</f>
        <v>1iWCPXe0tXJ4PIDbwGLtBOVNSJ2s7YN4z8ZTJcr0Wuw4</v>
      </c>
    </row>
    <row r="543" ht="15.75" customHeight="1">
      <c r="A543" t="str">
        <f>IFERROR(__xludf.DUMMYFUNCTION("""COMPUTED_VALUE"""),"SymbolLookup")</f>
        <v>SymbolLookup</v>
      </c>
      <c r="B543" t="str">
        <f>IFERROR(__xludf.DUMMYFUNCTION("""COMPUTED_VALUE"""),"EnterEquity")</f>
        <v>EnterEquity</v>
      </c>
      <c r="C543" t="str">
        <f>IFERROR(__xludf.DUMMYFUNCTION("""COMPUTED_VALUE"""),"1fz65nnl1EeQopbyOQst6wzPdLRIHU1-7mjW2sgFXCAo")</f>
        <v>1fz65nnl1EeQopbyOQst6wzPdLRIHU1-7mjW2sgFXCAo</v>
      </c>
    </row>
    <row r="544" ht="15.75" customHeight="1">
      <c r="A544" t="str">
        <f>IFERROR(__xludf.DUMMYFUNCTION("""COMPUTED_VALUE"""),"SymbolLookup")</f>
        <v>SymbolLookup</v>
      </c>
      <c r="B544" t="str">
        <f>IFERROR(__xludf.DUMMYFUNCTION("""COMPUTED_VALUE"""),"UpdateSecurityInfoOnSM")</f>
        <v>UpdateSecurityInfoOnSM</v>
      </c>
      <c r="C544" t="str">
        <f>IFERROR(__xludf.DUMMYFUNCTION("""COMPUTED_VALUE"""),"1I1mDhfrVnKfVAYMK9kcg_A-0IZoCrTMjPsHzeC_QRU8")</f>
        <v>1I1mDhfrVnKfVAYMK9kcg_A-0IZoCrTMjPsHzeC_QRU8</v>
      </c>
    </row>
    <row r="545" ht="15.75" customHeight="1">
      <c r="A545" t="str">
        <f>IFERROR(__xludf.DUMMYFUNCTION("""COMPUTED_VALUE"""),"Blotter")</f>
        <v>Blotter</v>
      </c>
      <c r="B545" t="str">
        <f>IFERROR(__xludf.DUMMYFUNCTION("""COMPUTED_VALUE"""),"AllocateFromBlotter")</f>
        <v>AllocateFromBlotter</v>
      </c>
      <c r="C545" t="str">
        <f>IFERROR(__xludf.DUMMYFUNCTION("""COMPUTED_VALUE"""),"1oly-GUleCLstbhsLqb5z_nrN6IcuRDzo7dau3mRro2g")</f>
        <v>1oly-GUleCLstbhsLqb5z_nrN6IcuRDzo7dau3mRro2g</v>
      </c>
    </row>
    <row r="546" ht="15.75" customHeight="1">
      <c r="A546" t="str">
        <f>IFERROR(__xludf.DUMMYFUNCTION("""COMPUTED_VALUE"""),"Admin")</f>
        <v>Admin</v>
      </c>
      <c r="B546" t="str">
        <f>IFERROR(__xludf.DUMMYFUNCTION("""COMPUTED_VALUE"""),"UpdateFee")</f>
        <v>UpdateFee</v>
      </c>
      <c r="C546" t="str">
        <f>IFERROR(__xludf.DUMMYFUNCTION("""COMPUTED_VALUE"""),"19Rcvs50oHXGL5FsIW3nGsIY2a3BShYxifQZnyCdj5YI")</f>
        <v>19Rcvs50oHXGL5FsIW3nGsIY2a3BShYxifQZnyCdj5YI</v>
      </c>
    </row>
    <row r="547" ht="15.75" customHeight="1">
      <c r="A547" t="str">
        <f>IFERROR(__xludf.DUMMYFUNCTION("""COMPUTED_VALUE"""),"Allocation")</f>
        <v>Allocation</v>
      </c>
      <c r="B547" t="str">
        <f>IFERROR(__xludf.DUMMYFUNCTION("""COMPUTED_VALUE"""),"DeleteGroupWithOutSave")</f>
        <v>DeleteGroupWithOutSave</v>
      </c>
      <c r="C547" t="str">
        <f>IFERROR(__xludf.DUMMYFUNCTION("""COMPUTED_VALUE"""),"1bAgsLuM31eH3FHZF-8cUfrnOajQpP_RsuaUUeL6eYHU")</f>
        <v>1bAgsLuM31eH3FHZF-8cUfrnOajQpP_RsuaUUeL6eYHU</v>
      </c>
    </row>
    <row r="548" ht="15.75" customHeight="1">
      <c r="A548" t="str">
        <f>IFERROR(__xludf.DUMMYFUNCTION("""COMPUTED_VALUE"""),"Allocation")</f>
        <v>Allocation</v>
      </c>
      <c r="B548" t="str">
        <f>IFERROR(__xludf.DUMMYFUNCTION("""COMPUTED_VALUE"""),"CheckPreferences")</f>
        <v>CheckPreferences</v>
      </c>
      <c r="C548" t="str">
        <f>IFERROR(__xludf.DUMMYFUNCTION("""COMPUTED_VALUE"""),"19LWAFgtJK8TJic3Bigl3vokyu1yraGt63a_sVpP1MUU")</f>
        <v>19LWAFgtJK8TJic3Bigl3vokyu1yraGt63a_sVpP1MUU</v>
      </c>
    </row>
    <row r="549" ht="15.75" customHeight="1">
      <c r="A549" t="str">
        <f>IFERROR(__xludf.DUMMYFUNCTION("""COMPUTED_VALUE"""),"Rebalancer")</f>
        <v>Rebalancer</v>
      </c>
      <c r="B549" t="str">
        <f>IFERROR(__xludf.DUMMYFUNCTION("""COMPUTED_VALUE"""),"SymbologyChangeRB")</f>
        <v>SymbologyChangeRB</v>
      </c>
      <c r="C549" t="str">
        <f>IFERROR(__xludf.DUMMYFUNCTION("""COMPUTED_VALUE"""),"Undefined")</f>
        <v>Undefined</v>
      </c>
    </row>
    <row r="550" ht="15.75" customHeight="1">
      <c r="A550" t="str">
        <f>IFERROR(__xludf.DUMMYFUNCTION("""COMPUTED_VALUE"""),"TradingTicket")</f>
        <v>TradingTicket</v>
      </c>
      <c r="B550" t="str">
        <f>IFERROR(__xludf.DUMMYFUNCTION("""COMPUTED_VALUE"""),"CreateReplaceLiveOrder")</f>
        <v>CreateReplaceLiveOrder</v>
      </c>
      <c r="C550" t="str">
        <f>IFERROR(__xludf.DUMMYFUNCTION("""COMPUTED_VALUE"""),"1WKdqwN3CzS__R4r-J0QXkrMVzdcNg8eJuijQ4dJIXSU")</f>
        <v>1WKdqwN3CzS__R4r-J0QXkrMVzdcNg8eJuijQ4dJIXSU</v>
      </c>
    </row>
    <row r="551" ht="15.75" customHeight="1">
      <c r="A551" t="str">
        <f>IFERROR(__xludf.DUMMYFUNCTION("""COMPUTED_VALUE"""),"Admin")</f>
        <v>Admin</v>
      </c>
      <c r="B551" t="str">
        <f>IFERROR(__xludf.DUMMYFUNCTION("""COMPUTED_VALUE"""),"RevertingSMSharesOutValue")</f>
        <v>RevertingSMSharesOutValue</v>
      </c>
      <c r="C551" t="str">
        <f>IFERROR(__xludf.DUMMYFUNCTION("""COMPUTED_VALUE"""),"1TMvyzuvaXNvx9qH4tERqEMaAM8IhUKVHedPNcqMqnso")</f>
        <v>1TMvyzuvaXNvx9qH4tERqEMaAM8IhUKVHedPNcqMqnso</v>
      </c>
    </row>
    <row r="552" ht="15.75" customHeight="1">
      <c r="A552" t="str">
        <f>IFERROR(__xludf.DUMMYFUNCTION("""COMPUTED_VALUE"""),"SymbolLookup")</f>
        <v>SymbolLookup</v>
      </c>
      <c r="B552" t="str">
        <f>IFERROR(__xludf.DUMMYFUNCTION("""COMPUTED_VALUE"""),"TradeSymbolFromSM")</f>
        <v>TradeSymbolFromSM</v>
      </c>
      <c r="C552" t="str">
        <f>IFERROR(__xludf.DUMMYFUNCTION("""COMPUTED_VALUE"""),"1-CEopEQMGMoXLU6RCzJz5EPF9dIkT0gUSqvavHcsYis")</f>
        <v>1-CEopEQMGMoXLU6RCzJz5EPF9dIkT0gUSqvavHcsYis</v>
      </c>
    </row>
    <row r="553" ht="15.75" customHeight="1">
      <c r="A553" t="str">
        <f>IFERROR(__xludf.DUMMYFUNCTION("""COMPUTED_VALUE"""),"Closing")</f>
        <v>Closing</v>
      </c>
      <c r="B553" t="str">
        <f>IFERROR(__xludf.DUMMYFUNCTION("""COMPUTED_VALUE"""),"SelectAccountWiseAsset")</f>
        <v>SelectAccountWiseAsset</v>
      </c>
      <c r="C553" t="str">
        <f>IFERROR(__xludf.DUMMYFUNCTION("""COMPUTED_VALUE"""),"1T8QT8BlZU5hSthOscwYVMb0pI8jbsslQ3q_iqR9NEvo")</f>
        <v>1T8QT8BlZU5hSthOscwYVMb0pI8jbsslQ3q_iqR9NEvo</v>
      </c>
    </row>
    <row r="554" ht="15.75" customHeight="1">
      <c r="A554" t="str">
        <f>IFERROR(__xludf.DUMMYFUNCTION("""COMPUTED_VALUE"""),"Closing")</f>
        <v>Closing</v>
      </c>
      <c r="B554" t="str">
        <f>IFERROR(__xludf.DUMMYFUNCTION("""COMPUTED_VALUE"""),"VerifyCTData")</f>
        <v>VerifyCTData</v>
      </c>
      <c r="C554" t="str">
        <f>IFERROR(__xludf.DUMMYFUNCTION("""COMPUTED_VALUE"""),"1_n2-hA1ZHyO0Vk19SbEjEAgktcqBciHeshI2fRJE9_c")</f>
        <v>1_n2-hA1ZHyO0Vk19SbEjEAgktcqBciHeshI2fRJE9_c</v>
      </c>
    </row>
    <row r="555" ht="15.75" customHeight="1">
      <c r="A555" t="str">
        <f>IFERROR(__xludf.DUMMYFUNCTION("""COMPUTED_VALUE"""),"Closing")</f>
        <v>Closing</v>
      </c>
      <c r="B555" t="str">
        <f>IFERROR(__xludf.DUMMYFUNCTION("""COMPUTED_VALUE"""),"ExerciseAssignmentWithOutSave")</f>
        <v>ExerciseAssignmentWithOutSave</v>
      </c>
      <c r="C555" t="str">
        <f>IFERROR(__xludf.DUMMYFUNCTION("""COMPUTED_VALUE"""),"1k7fmIQoUvoS3gScp7H0vdlqboqJE2NBh67-wxIIzjXI")</f>
        <v>1k7fmIQoUvoS3gScp7H0vdlqboqJE2NBh67-wxIIzjXI</v>
      </c>
    </row>
    <row r="556" ht="15.75" customHeight="1">
      <c r="A556" t="str">
        <f>IFERROR(__xludf.DUMMYFUNCTION("""COMPUTED_VALUE"""),"Closing")</f>
        <v>Closing</v>
      </c>
      <c r="B556" t="str">
        <f>IFERROR(__xludf.DUMMYFUNCTION("""COMPUTED_VALUE"""),"SaveCTData")</f>
        <v>SaveCTData</v>
      </c>
      <c r="C556" t="str">
        <f>IFERROR(__xludf.DUMMYFUNCTION("""COMPUTED_VALUE"""),"127jo001wzv8UVwRReX1UnxrYxQVoXUcKy8RlV0rBbzE")</f>
        <v>127jo001wzv8UVwRReX1UnxrYxQVoXUcKy8RlV0rBbzE</v>
      </c>
    </row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F1"/>
  </mergeCell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24.29"/>
    <col customWidth="1" min="2" max="2" width="48.71"/>
    <col customWidth="1" min="3" max="23" width="14.43"/>
  </cols>
  <sheetData>
    <row r="1" ht="15.75" customHeight="1">
      <c r="A1" s="10" t="s">
        <v>2</v>
      </c>
      <c r="B1" s="2"/>
      <c r="C1" s="3"/>
    </row>
    <row r="2" ht="15.75" customHeight="1">
      <c r="A2" s="8"/>
      <c r="B2" s="8"/>
      <c r="C2" s="8"/>
    </row>
    <row r="3" ht="15.75" customHeight="1">
      <c r="A3" s="5" t="s">
        <v>3</v>
      </c>
      <c r="B3" s="11" t="s">
        <v>4</v>
      </c>
      <c r="C3" s="8"/>
    </row>
    <row r="4" ht="15.75" customHeight="1">
      <c r="A4" s="12" t="s">
        <v>5</v>
      </c>
      <c r="B4" s="13" t="s">
        <v>6</v>
      </c>
      <c r="C4" s="8"/>
    </row>
    <row r="5" ht="15.75" customHeight="1">
      <c r="A5" s="14"/>
      <c r="B5" s="8"/>
      <c r="C5" s="8"/>
    </row>
    <row r="6" ht="15.75" customHeight="1">
      <c r="A6" s="14"/>
      <c r="B6" s="8"/>
      <c r="C6" s="8"/>
    </row>
    <row r="7" ht="15.75" customHeight="1">
      <c r="A7" s="14"/>
      <c r="B7" s="8"/>
      <c r="C7" s="8"/>
    </row>
    <row r="8" ht="15.75" customHeight="1">
      <c r="A8" s="14"/>
      <c r="B8" s="8"/>
      <c r="C8" s="8"/>
    </row>
    <row r="9" ht="15.75" customHeight="1">
      <c r="A9" s="14"/>
      <c r="B9" s="8"/>
      <c r="C9" s="8"/>
    </row>
    <row r="10" ht="15.75" customHeight="1">
      <c r="A10" s="14"/>
      <c r="B10" s="8"/>
      <c r="C10" s="8"/>
    </row>
    <row r="11" ht="15.75" customHeight="1">
      <c r="A11" s="14"/>
      <c r="B11" s="8"/>
      <c r="C11" s="8"/>
    </row>
    <row r="12" ht="15.75" customHeight="1">
      <c r="A12" s="14"/>
      <c r="B12" s="8"/>
      <c r="C12" s="8"/>
    </row>
    <row r="13" ht="15.75" customHeight="1">
      <c r="A13" s="14"/>
      <c r="B13" s="8"/>
      <c r="C13" s="8"/>
    </row>
    <row r="14" ht="15.75" customHeight="1">
      <c r="A14" s="14"/>
      <c r="B14" s="8"/>
      <c r="C14" s="8"/>
    </row>
    <row r="15" ht="15.75" customHeight="1">
      <c r="A15" s="14"/>
      <c r="B15" s="8"/>
      <c r="C15" s="8"/>
    </row>
    <row r="16" ht="15.75" customHeight="1">
      <c r="A16" s="14"/>
      <c r="B16" s="8"/>
      <c r="C16" s="8"/>
    </row>
    <row r="17" ht="15.75" customHeight="1">
      <c r="A17" s="14"/>
      <c r="B17" s="8"/>
      <c r="C17" s="8"/>
    </row>
    <row r="18" ht="15.75" customHeight="1">
      <c r="A18" s="14"/>
      <c r="B18" s="8"/>
      <c r="C18" s="8"/>
    </row>
    <row r="19" ht="15.75" customHeight="1">
      <c r="A19" s="14"/>
      <c r="B19" s="8"/>
      <c r="C19" s="8"/>
    </row>
    <row r="20" ht="15.75" customHeight="1">
      <c r="A20" s="14"/>
      <c r="B20" s="8"/>
      <c r="C20" s="8"/>
    </row>
    <row r="21" ht="15.75" customHeight="1">
      <c r="A21" s="14"/>
      <c r="B21" s="8"/>
      <c r="C21" s="8"/>
    </row>
    <row r="22" ht="15.75" customHeight="1">
      <c r="A22" s="14"/>
      <c r="B22" s="8"/>
      <c r="C22" s="8"/>
    </row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C1"/>
  </mergeCell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4" max="4" width="38.43"/>
  </cols>
  <sheetData>
    <row r="1">
      <c r="A1" s="15" t="s">
        <v>7</v>
      </c>
      <c r="B1" s="2"/>
      <c r="C1" s="2"/>
      <c r="D1" s="2"/>
      <c r="E1" s="2"/>
      <c r="F1" s="3"/>
    </row>
    <row r="2">
      <c r="A2" s="4"/>
      <c r="B2" s="4"/>
      <c r="C2" s="4"/>
      <c r="D2" s="4"/>
      <c r="E2" s="4"/>
      <c r="F2" s="4"/>
    </row>
    <row r="3">
      <c r="A3" s="12" t="s">
        <v>8</v>
      </c>
      <c r="B3" s="16" t="s">
        <v>9</v>
      </c>
      <c r="C3" s="16" t="s">
        <v>10</v>
      </c>
      <c r="D3" s="17"/>
      <c r="E3" s="17"/>
      <c r="F3" s="17"/>
      <c r="G3" s="18"/>
      <c r="H3" s="18"/>
      <c r="I3" s="18"/>
      <c r="J3" s="18"/>
      <c r="K3" s="18"/>
      <c r="L3" s="18"/>
      <c r="M3" s="18"/>
      <c r="N3" s="18"/>
      <c r="O3" s="18"/>
      <c r="P3" s="18"/>
      <c r="Q3" s="18"/>
      <c r="R3" s="18"/>
      <c r="S3" s="18"/>
      <c r="T3" s="18"/>
      <c r="U3" s="18"/>
      <c r="V3" s="18"/>
      <c r="W3" s="18"/>
      <c r="X3" s="18"/>
      <c r="Y3" s="18"/>
      <c r="Z3" s="18"/>
    </row>
    <row r="4">
      <c r="A4" t="str">
        <f>IFERROR(__xludf.DUMMYFUNCTION("IMPORTRANGE('_Settings'!B4,""Master Data!A4:L1000"")"),"TradingTicket")</f>
        <v>TradingTicket</v>
      </c>
      <c r="B4" t="str">
        <f>IFERROR(__xludf.DUMMYFUNCTION("""COMPUTED_VALUE"""),"TradeUsingTT")</f>
        <v>TradeUsingTT</v>
      </c>
      <c r="C4" t="str">
        <f>IFERROR(__xludf.DUMMYFUNCTION("""COMPUTED_VALUE"""),"TTTrades")</f>
        <v>TTTrades</v>
      </c>
      <c r="D4" t="str">
        <f>IFERROR(__xludf.DUMMYFUNCTION("""COMPUTED_VALUE"""),"1Q0knOJ8odySzW9kzE5w8PdOc44G2QBZUfKg5ZvUx-xw")</f>
        <v>1Q0knOJ8odySzW9kzE5w8PdOc44G2QBZUfKg5ZvUx-xw</v>
      </c>
    </row>
    <row r="5">
      <c r="A5" t="str">
        <f>IFERROR(__xludf.DUMMYFUNCTION("""COMPUTED_VALUE"""),"Allocation")</f>
        <v>Allocation</v>
      </c>
      <c r="B5" t="str">
        <f>IFERROR(__xludf.DUMMYFUNCTION("""COMPUTED_VALUE"""),"SelectAllocatedGroup")</f>
        <v>SelectAllocatedGroup</v>
      </c>
      <c r="C5" t="str">
        <f>IFERROR(__xludf.DUMMYFUNCTION("""COMPUTED_VALUE"""),"TradesForAllocation")</f>
        <v>TradesForAllocation</v>
      </c>
      <c r="D5" t="str">
        <f>IFERROR(__xludf.DUMMYFUNCTION("""COMPUTED_VALUE"""),"1-RJhOo2E5PhyqaiMEjsPi8RpfYBuiSqE9fj_-bRpkKw")</f>
        <v>1-RJhOo2E5PhyqaiMEjsPi8RpfYBuiSqE9fj_-bRpkKw</v>
      </c>
    </row>
    <row r="6">
      <c r="A6" t="str">
        <f>IFERROR(__xludf.DUMMYFUNCTION("""COMPUTED_VALUE"""),"Allocation")</f>
        <v>Allocation</v>
      </c>
      <c r="B6" t="str">
        <f>IFERROR(__xludf.DUMMYFUNCTION("""COMPUTED_VALUE"""),"SelectUnallocatedGroup")</f>
        <v>SelectUnallocatedGroup</v>
      </c>
      <c r="C6" t="str">
        <f>IFERROR(__xludf.DUMMYFUNCTION("""COMPUTED_VALUE"""),"TradesForAllocation")</f>
        <v>TradesForAllocation</v>
      </c>
      <c r="D6" t="str">
        <f>IFERROR(__xludf.DUMMYFUNCTION("""COMPUTED_VALUE"""),"1-RJhOo2E5PhyqaiMEjsPi8RpfYBuiSqE9fj_-bRpkKw")</f>
        <v>1-RJhOo2E5PhyqaiMEjsPi8RpfYBuiSqE9fj_-bRpkKw</v>
      </c>
    </row>
    <row r="7">
      <c r="A7" t="str">
        <f>IFERROR(__xludf.DUMMYFUNCTION("""COMPUTED_VALUE"""),"TradingTicket")</f>
        <v>TradingTicket</v>
      </c>
      <c r="B7" t="str">
        <f>IFERROR(__xludf.DUMMYFUNCTION("""COMPUTED_VALUE"""),"CreateDoneAwayOrder")</f>
        <v>CreateDoneAwayOrder</v>
      </c>
      <c r="C7" t="str">
        <f>IFERROR(__xludf.DUMMYFUNCTION("""COMPUTED_VALUE"""),"TTInput")</f>
        <v>TTInput</v>
      </c>
      <c r="D7" t="str">
        <f>IFERROR(__xludf.DUMMYFUNCTION("""COMPUTED_VALUE"""),"1b5S4Xpp4fgZ1ez6cK92QFnVBylqz8jhwxdAyEvwDqUI")</f>
        <v>1b5S4Xpp4fgZ1ez6cK92QFnVBylqz8jhwxdAyEvwDqUI</v>
      </c>
    </row>
    <row r="8">
      <c r="A8" t="str">
        <f>IFERROR(__xludf.DUMMYFUNCTION("""COMPUTED_VALUE"""),"Allocation")</f>
        <v>Allocation</v>
      </c>
      <c r="B8" t="str">
        <f>IFERROR(__xludf.DUMMYFUNCTION("""COMPUTED_VALUE"""),"SetGroupingRules")</f>
        <v>SetGroupingRules</v>
      </c>
      <c r="C8" t="str">
        <f>IFERROR(__xludf.DUMMYFUNCTION("""COMPUTED_VALUE"""),"GroupingRules")</f>
        <v>GroupingRules</v>
      </c>
      <c r="D8" t="str">
        <f>IFERROR(__xludf.DUMMYFUNCTION("""COMPUTED_VALUE"""),"1oiITP7kpTv6Zgm5fpjzHWhIjzPRoRqS_CIZxqoxWRkA")</f>
        <v>1oiITP7kpTv6Zgm5fpjzHWhIjzPRoRqS_CIZxqoxWRkA</v>
      </c>
    </row>
    <row r="9">
      <c r="A9" t="str">
        <f>IFERROR(__xludf.DUMMYFUNCTION("""COMPUTED_VALUE"""),"Allocation")</f>
        <v>Allocation</v>
      </c>
      <c r="B9" t="str">
        <f>IFERROR(__xludf.DUMMYFUNCTION("""COMPUTED_VALUE"""),"CheckUnallocatedGroups")</f>
        <v>CheckUnallocatedGroups</v>
      </c>
      <c r="C9" t="str">
        <f>IFERROR(__xludf.DUMMYFUNCTION("""COMPUTED_VALUE"""),"UnallocatedGroupCheck")</f>
        <v>UnallocatedGroupCheck</v>
      </c>
      <c r="D9" t="str">
        <f>IFERROR(__xludf.DUMMYFUNCTION("""COMPUTED_VALUE"""),"1c7aP-E18Fb8lEVGiXac03BLoNVdUNRzodD2Xjn-9pzU")</f>
        <v>1c7aP-E18Fb8lEVGiXac03BLoNVdUNRzodD2Xjn-9pzU</v>
      </c>
    </row>
    <row r="10">
      <c r="A10" t="str">
        <f>IFERROR(__xludf.DUMMYFUNCTION("""COMPUTED_VALUE"""),"GeneralLedger")</f>
        <v>GeneralLedger</v>
      </c>
      <c r="B10" t="str">
        <f>IFERROR(__xludf.DUMMYFUNCTION("""COMPUTED_VALUE"""),"GetTradingTransaction")</f>
        <v>GetTradingTransaction</v>
      </c>
      <c r="C10" t="str">
        <f>IFERROR(__xludf.DUMMYFUNCTION("""COMPUTED_VALUE"""),"GetTradingTransaction")</f>
        <v>GetTradingTransaction</v>
      </c>
      <c r="D10" t="str">
        <f>IFERROR(__xludf.DUMMYFUNCTION("""COMPUTED_VALUE"""),"1IuJkgEDoDUSnmXhZVZdA_x-3VnlMPyzRsUMpf_eRTTQ")</f>
        <v>1IuJkgEDoDUSnmXhZVZdA_x-3VnlMPyzRsUMpf_eRTTQ</v>
      </c>
    </row>
    <row r="11">
      <c r="A11" t="str">
        <f>IFERROR(__xludf.DUMMYFUNCTION("""COMPUTED_VALUE"""),"TradingTicket")</f>
        <v>TradingTicket</v>
      </c>
      <c r="B11" t="str">
        <f>IFERROR(__xludf.DUMMYFUNCTION("""COMPUTED_VALUE"""),"CreateDoneAwayOrder")</f>
        <v>CreateDoneAwayOrder</v>
      </c>
      <c r="C11" t="str">
        <f>IFERROR(__xludf.DUMMYFUNCTION("""COMPUTED_VALUE"""),"CreateDoneAwayOrder")</f>
        <v>CreateDoneAwayOrder</v>
      </c>
      <c r="D11" t="str">
        <f>IFERROR(__xludf.DUMMYFUNCTION("""COMPUTED_VALUE"""),"1Wybl1BX2sjPWI0uYzeN6KZO-tnk3-pf5NWNrZR7m_8I")</f>
        <v>1Wybl1BX2sjPWI0uYzeN6KZO-tnk3-pf5NWNrZR7m_8I</v>
      </c>
    </row>
    <row r="12">
      <c r="A12" t="str">
        <f>IFERROR(__xludf.DUMMYFUNCTION("""COMPUTED_VALUE"""),"Allocation")</f>
        <v>Allocation</v>
      </c>
      <c r="B12" t="str">
        <f>IFERROR(__xludf.DUMMYFUNCTION("""COMPUTED_VALUE"""),"GeneralPreferencesDefaultRule")</f>
        <v>GeneralPreferencesDefaultRule</v>
      </c>
      <c r="C12" t="str">
        <f>IFERROR(__xludf.DUMMYFUNCTION("""COMPUTED_VALUE"""),"GeneralPreferencesDefualtRules")</f>
        <v>GeneralPreferencesDefualtRules</v>
      </c>
      <c r="D12" t="str">
        <f>IFERROR(__xludf.DUMMYFUNCTION("""COMPUTED_VALUE"""),"1t-y8DW-cux-RoCJhMs9d4iDbW4QOQ-BXfiT1GYQBvbw")</f>
        <v>1t-y8DW-cux-RoCJhMs9d4iDbW4QOQ-BXfiT1GYQBvbw</v>
      </c>
    </row>
    <row r="13">
      <c r="A13" t="str">
        <f>IFERROR(__xludf.DUMMYFUNCTION("""COMPUTED_VALUE"""),"Allocation")</f>
        <v>Allocation</v>
      </c>
      <c r="B13" t="str">
        <f>IFERROR(__xludf.DUMMYFUNCTION("""COMPUTED_VALUE"""),"GeneralPrefCompanyUserWise")</f>
        <v>GeneralPrefCompanyUserWise</v>
      </c>
      <c r="C13" t="str">
        <f>IFERROR(__xludf.DUMMYFUNCTION("""COMPUTED_VALUE"""),"GeneralPrefCoUserRules")</f>
        <v>GeneralPrefCoUserRules</v>
      </c>
      <c r="D13" t="str">
        <f>IFERROR(__xludf.DUMMYFUNCTION("""COMPUTED_VALUE"""),"154-ES2jrM9C4VoMik8t5SCjN2LjvQHLPe8ANoIosIcc")</f>
        <v>154-ES2jrM9C4VoMik8t5SCjN2LjvQHLPe8ANoIosIcc</v>
      </c>
    </row>
    <row r="14">
      <c r="A14" t="str">
        <f>IFERROR(__xludf.DUMMYFUNCTION("""COMPUTED_VALUE"""),"Allocation")</f>
        <v>Allocation</v>
      </c>
      <c r="B14" t="str">
        <f>IFERROR(__xludf.DUMMYFUNCTION("""COMPUTED_VALUE"""),"EnterAccountValuesToAllocate")</f>
        <v>EnterAccountValuesToAllocate</v>
      </c>
      <c r="C14" t="str">
        <f>IFERROR(__xludf.DUMMYFUNCTION("""COMPUTED_VALUE"""),"AccountValues")</f>
        <v>AccountValues</v>
      </c>
      <c r="D14" t="str">
        <f>IFERROR(__xludf.DUMMYFUNCTION("""COMPUTED_VALUE"""),"1mOtszotVOdqHquQTLi-4CBnAUrtAF2MEABuvYJh_hzw")</f>
        <v>1mOtszotVOdqHquQTLi-4CBnAUrtAF2MEABuvYJh_hzw</v>
      </c>
    </row>
    <row r="15">
      <c r="A15" t="str">
        <f>IFERROR(__xludf.DUMMYFUNCTION("""COMPUTED_VALUE"""),"Allocation")</f>
        <v>Allocation</v>
      </c>
      <c r="B15" t="str">
        <f>IFERROR(__xludf.DUMMYFUNCTION("""COMPUTED_VALUE"""),"CheckFixedPreference")</f>
        <v>CheckFixedPreference</v>
      </c>
      <c r="C15" t="str">
        <f>IFERROR(__xludf.DUMMYFUNCTION("""COMPUTED_VALUE"""),"CheckFixedPreference")</f>
        <v>CheckFixedPreference</v>
      </c>
      <c r="D15" t="str">
        <f>IFERROR(__xludf.DUMMYFUNCTION("""COMPUTED_VALUE"""),"1RNofLIplBOnX_vwsD6AecMNF72I9x58kWSMHVy9EgsM")</f>
        <v>1RNofLIplBOnX_vwsD6AecMNF72I9x58kWSMHVy9EgsM</v>
      </c>
    </row>
    <row r="16">
      <c r="A16" t="str">
        <f>IFERROR(__xludf.DUMMYFUNCTION("""COMPUTED_VALUE"""),"Allocation")</f>
        <v>Allocation</v>
      </c>
      <c r="B16" t="str">
        <f>IFERROR(__xludf.DUMMYFUNCTION("""COMPUTED_VALUE"""),"SetAccountValueCalculatedPref")</f>
        <v>SetAccountValueCalculatedPref</v>
      </c>
      <c r="C16" t="str">
        <f>IFERROR(__xludf.DUMMYFUNCTION("""COMPUTED_VALUE"""),"AccountValueCalculatePref")</f>
        <v>AccountValueCalculatePref</v>
      </c>
      <c r="D16" t="str">
        <f>IFERROR(__xludf.DUMMYFUNCTION("""COMPUTED_VALUE"""),"1svq-61dzaRHeNDz1TSSUPXQbbN3Mi4bhNQabvGVoz2c")</f>
        <v>1svq-61dzaRHeNDz1TSSUPXQbbN3Mi4bhNQabvGVoz2c</v>
      </c>
    </row>
    <row r="17">
      <c r="A17" t="str">
        <f>IFERROR(__xludf.DUMMYFUNCTION("""COMPUTED_VALUE"""),"Allocation")</f>
        <v>Allocation</v>
      </c>
      <c r="B17" t="str">
        <f>IFERROR(__xludf.DUMMYFUNCTION("""COMPUTED_VALUE"""),"SetDefaultRuleCalculatedPref")</f>
        <v>SetDefaultRuleCalculatedPref</v>
      </c>
      <c r="C17" t="str">
        <f>IFERROR(__xludf.DUMMYFUNCTION("""COMPUTED_VALUE"""),"DefaultRuleCalculatePref")</f>
        <v>DefaultRuleCalculatePref</v>
      </c>
      <c r="D17" t="str">
        <f>IFERROR(__xludf.DUMMYFUNCTION("""COMPUTED_VALUE"""),"1j6MD8nFEuJNo52Mp8uXbXRmrJs802rnEIiTOEuZFdWA")</f>
        <v>1j6MD8nFEuJNo52Mp8uXbXRmrJs802rnEIiTOEuZFdWA</v>
      </c>
    </row>
    <row r="18">
      <c r="A18" t="str">
        <f>IFERROR(__xludf.DUMMYFUNCTION("""COMPUTED_VALUE"""),"Allocation")</f>
        <v>Allocation</v>
      </c>
      <c r="B18" t="str">
        <f>IFERROR(__xludf.DUMMYFUNCTION("""COMPUTED_VALUE"""),"SetStrategyValueCalculatedPref")</f>
        <v>SetStrategyValueCalculatedPref</v>
      </c>
      <c r="C18" t="str">
        <f>IFERROR(__xludf.DUMMYFUNCTION("""COMPUTED_VALUE"""),"StrategyValueCalculatedPref")</f>
        <v>StrategyValueCalculatedPref</v>
      </c>
      <c r="D18" t="str">
        <f>IFERROR(__xludf.DUMMYFUNCTION("""COMPUTED_VALUE"""),"1rt8inh4u7qHUhCAFSaa2kmPKLkqeh3uljucYajdto60")</f>
        <v>1rt8inh4u7qHUhCAFSaa2kmPKLkqeh3uljucYajdto60</v>
      </c>
    </row>
    <row r="19">
      <c r="A19" t="str">
        <f>IFERROR(__xludf.DUMMYFUNCTION("""COMPUTED_VALUE"""),"Allocation")</f>
        <v>Allocation</v>
      </c>
      <c r="B19" t="str">
        <f>IFERROR(__xludf.DUMMYFUNCTION("""COMPUTED_VALUE"""),"SetGeneralPreferences")</f>
        <v>SetGeneralPreferences</v>
      </c>
      <c r="C19" t="str">
        <f>IFERROR(__xludf.DUMMYFUNCTION("""COMPUTED_VALUE"""),"GeneralPreferences")</f>
        <v>GeneralPreferences</v>
      </c>
      <c r="D19" t="str">
        <f>IFERROR(__xludf.DUMMYFUNCTION("""COMPUTED_VALUE"""),"1lI4loUxqzsE3IjuxIjsVY3cB4J_eTKFPPDuXngut4FE")</f>
        <v>1lI4loUxqzsE3IjuxIjsVY3cB4J_eTKFPPDuXngut4FE</v>
      </c>
    </row>
    <row r="20">
      <c r="A20" t="str">
        <f>IFERROR(__xludf.DUMMYFUNCTION("""COMPUTED_VALUE"""),"Closing")</f>
        <v>Closing</v>
      </c>
      <c r="B20" t="str">
        <f>IFERROR(__xludf.DUMMYFUNCTION("""COMPUTED_VALUE"""),"AutomaticClosing")</f>
        <v>AutomaticClosing</v>
      </c>
      <c r="C20" t="str">
        <f>IFERROR(__xludf.DUMMYFUNCTION("""COMPUTED_VALUE"""),"AutomaticClosingMasterData")</f>
        <v>AutomaticClosingMasterData</v>
      </c>
      <c r="D20" t="str">
        <f>IFERROR(__xludf.DUMMYFUNCTION("""COMPUTED_VALUE"""),"1zwv-aZp-DRCpq8bqLR0XRiyt0av-GAm0ORqbhnV-FKI")</f>
        <v>1zwv-aZp-DRCpq8bqLR0XRiyt0av-GAm0ORqbhnV-FKI</v>
      </c>
    </row>
  </sheetData>
  <mergeCells count="1">
    <mergeCell ref="A1:F1"/>
  </mergeCell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12</v>
      </c>
      <c r="D3" s="5" t="s">
        <v>9</v>
      </c>
      <c r="E3" s="23" t="s">
        <v>13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IFERROR(__xludf.DUMMYFUNCTION("IF(C3="""","""",Transpose(IMPORTRANGE('_Settings'!$B$3,C3&amp;""!A4:A1000"")))"),"SetTTUIPreferences")</f>
        <v>SetTTUIPreferences</v>
      </c>
      <c r="C4" s="25" t="str">
        <f>IFERROR(__xludf.DUMMYFUNCTION("""COMPUTED_VALUE"""),"TTPermissionLevel")</f>
        <v>TTPermissionLevel</v>
      </c>
      <c r="D4" s="25" t="str">
        <f>IFERROR(__xludf.DUMMYFUNCTION("""COMPUTED_VALUE"""),"SetCheckSide")</f>
        <v>SetCheckSide</v>
      </c>
      <c r="E4" s="25" t="str">
        <f>IFERROR(__xludf.DUMMYFUNCTION("""COMPUTED_VALUE"""),"SetRollover")</f>
        <v>SetRollover</v>
      </c>
      <c r="F4" s="25" t="str">
        <f>IFERROR(__xludf.DUMMYFUNCTION("""COMPUTED_VALUE"""),"SetActive")</f>
        <v>SetActive</v>
      </c>
      <c r="G4" s="25" t="str">
        <f>IFERROR(__xludf.DUMMYFUNCTION("""COMPUTED_VALUE"""),"SetThirdPartyFormat")</f>
        <v>SetThirdPartyFormat</v>
      </c>
      <c r="H4" s="25" t="str">
        <f>IFERROR(__xludf.DUMMYFUNCTION("""COMPUTED_VALUE"""),"SetTradingComplianceRules")</f>
        <v>SetTradingComplianceRules</v>
      </c>
      <c r="I4" s="25" t="str">
        <f>IFERROR(__xludf.DUMMYFUNCTION("""COMPUTED_VALUE"""),"EnableBreakdownRealizedPNL")</f>
        <v>EnableBreakdownRealizedPNL</v>
      </c>
      <c r="J4" s="25" t="str">
        <f>IFERROR(__xludf.DUMMYFUNCTION("""COMPUTED_VALUE"""),"SetTTGeneralPreferences")</f>
        <v>SetTTGeneralPreferences</v>
      </c>
      <c r="K4" s="25" t="str">
        <f>IFERROR(__xludf.DUMMYFUNCTION("""COMPUTED_VALUE"""),"SetDollarAmountPermission")</f>
        <v>SetDollarAmountPermission</v>
      </c>
      <c r="L4" s="25" t="str">
        <f>IFERROR(__xludf.DUMMYFUNCTION("""COMPUTED_VALUE"""),"EnableDisableModule")</f>
        <v>EnableDisableModule</v>
      </c>
      <c r="M4" s="25" t="str">
        <f>IFERROR(__xludf.DUMMYFUNCTION("""COMPUTED_VALUE"""),"IsImportOverrideOnShortLocate")</f>
        <v>IsImportOverrideOnShortLocate</v>
      </c>
      <c r="N4" s="25" t="str">
        <f>IFERROR(__xludf.DUMMYFUNCTION("""COMPUTED_VALUE"""),"SetShortLocateStructures")</f>
        <v>SetShortLocateStructures</v>
      </c>
      <c r="O4" s="25" t="str">
        <f>IFERROR(__xludf.DUMMYFUNCTION("""COMPUTED_VALUE"""),"SetComplianceAlert")</f>
        <v>SetComplianceAlert</v>
      </c>
      <c r="P4" s="26" t="str">
        <f>IFERROR(__xludf.DUMMYFUNCTION("""COMPUTED_VALUE"""),"UpdateExpirationDate")</f>
        <v>UpdateExpirationDate</v>
      </c>
      <c r="Q4" s="26" t="str">
        <f>IFERROR(__xludf.DUMMYFUNCTION("""COMPUTED_VALUE"""),"RenameMasterStrategy")</f>
        <v>RenameMasterStrategy</v>
      </c>
      <c r="R4" s="26" t="str">
        <f>IFERROR(__xludf.DUMMYFUNCTION("""COMPUTED_VALUE"""),"SetTTUIAdminPreferences")</f>
        <v>SetTTUIAdminPreferences</v>
      </c>
      <c r="S4" s="26" t="str">
        <f>IFERROR(__xludf.DUMMYFUNCTION("""COMPUTED_VALUE"""),"UpdateSecFee")</f>
        <v>UpdateSecFee</v>
      </c>
      <c r="T4" s="26" t="str">
        <f>IFERROR(__xludf.DUMMYFUNCTION("""COMPUTED_VALUE"""),"UpdateFee")</f>
        <v>UpdateFee</v>
      </c>
      <c r="U4" s="26" t="str">
        <f>IFERROR(__xludf.DUMMYFUNCTION("""COMPUTED_VALUE"""),"RevertingSMSharesOutValue")</f>
        <v>RevertingSMSharesOutValue</v>
      </c>
      <c r="V4" s="26" t="str">
        <f>IFERROR(__xludf.DUMMYFUNCTION("""COMPUTED_VALUE"""),"SetTTUIAdminPreferences")</f>
        <v>SetTTUIAdminPreferences</v>
      </c>
      <c r="W4" s="26"/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IFERROR(__xludf.DUMMYFUNCTION("""COMPUTED_VALUE"""),"Broker")</f>
        <v>Broker</v>
      </c>
      <c r="C5" s="28" t="str">
        <f>IFERROR(__xludf.DUMMYFUNCTION("""COMPUTED_VALUE"""),"Venue")</f>
        <v>Venue</v>
      </c>
      <c r="D5" s="28"/>
      <c r="E5" s="28"/>
      <c r="F5" s="29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 t="s">
        <v>16</v>
      </c>
      <c r="C6" s="13" t="s">
        <v>16</v>
      </c>
      <c r="D6" s="13"/>
      <c r="E6" s="31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SetTTUIAdminPreferences!$4:$4</formula1>
    </dataValidation>
    <dataValidation type="list" allowBlank="1" showInputMessage="1" showErrorMessage="1" prompt="Choose a format for current sheet" sqref="G3">
      <formula1>"Input Format,Output Format"</formula1>
    </dataValidation>
  </dataValidations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17</v>
      </c>
      <c r="D3" s="5" t="s">
        <v>9</v>
      </c>
      <c r="E3" s="23" t="s">
        <v>18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IFERROR(__xludf.DUMMYFUNCTION("IF(C3="""","""",Transpose(IMPORTRANGE('_Settings'!$B$3,C3&amp;""!A4:A1000"")))"),"OpenTTFromPST")</f>
        <v>OpenTTFromPST</v>
      </c>
      <c r="C4" s="25" t="str">
        <f>IFERROR(__xludf.DUMMYFUNCTION("""COMPUTED_VALUE"""),"EnterDetailsOnTT")</f>
        <v>EnterDetailsOnTT</v>
      </c>
      <c r="D4" s="25" t="str">
        <f>IFERROR(__xludf.DUMMYFUNCTION("""COMPUTED_VALUE"""),"ValidateSymbolTT")</f>
        <v>ValidateSymbolTT</v>
      </c>
      <c r="E4" s="25" t="str">
        <f>IFERROR(__xludf.DUMMYFUNCTION("""COMPUTED_VALUE"""),"VerifyDataTT")</f>
        <v>VerifyDataTT</v>
      </c>
      <c r="F4" s="25" t="str">
        <f>IFERROR(__xludf.DUMMYFUNCTION("""COMPUTED_VALUE"""),"SetUIPreferencesTT")</f>
        <v>SetUIPreferencesTT</v>
      </c>
      <c r="G4" s="25" t="str">
        <f>IFERROR(__xludf.DUMMYFUNCTION("""COMPUTED_VALUE"""),"SetBrokerWisePreferencesTT")</f>
        <v>SetBrokerWisePreferencesTT</v>
      </c>
      <c r="H4" s="25" t="str">
        <f>IFERROR(__xludf.DUMMYFUNCTION("""COMPUTED_VALUE"""),"TradeNewSub")</f>
        <v>TradeNewSub</v>
      </c>
      <c r="I4" s="25" t="str">
        <f>IFERROR(__xludf.DUMMYFUNCTION("""COMPUTED_VALUE"""),"CreateStageOrder")</f>
        <v>CreateStageOrder</v>
      </c>
      <c r="J4" s="25" t="str">
        <f>IFERROR(__xludf.DUMMYFUNCTION("""COMPUTED_VALUE"""),"CreateReplaceOrder")</f>
        <v>CreateReplaceOrder</v>
      </c>
      <c r="K4" s="25" t="str">
        <f>IFERROR(__xludf.DUMMYFUNCTION("""COMPUTED_VALUE"""),"SetGeneralPreference")</f>
        <v>SetGeneralPreference</v>
      </c>
      <c r="L4" s="25" t="str">
        <f>IFERROR(__xludf.DUMMYFUNCTION("""COMPUTED_VALUE"""),"CreateNewSubOrder")</f>
        <v>CreateNewSubOrder</v>
      </c>
      <c r="M4" s="25" t="str">
        <f>IFERROR(__xludf.DUMMYFUNCTION("""COMPUTED_VALUE"""),"TradeBloomberg")</f>
        <v>TradeBloomberg</v>
      </c>
      <c r="N4" s="25" t="str">
        <f>IFERROR(__xludf.DUMMYFUNCTION("""COMPUTED_VALUE"""),"ClickSymbolLookup")</f>
        <v>ClickSymbolLookup</v>
      </c>
      <c r="O4" s="25" t="str">
        <f>IFERROR(__xludf.DUMMYFUNCTION("""COMPUTED_VALUE"""),"VerifyTT")</f>
        <v>VerifyTT</v>
      </c>
      <c r="P4" s="26" t="str">
        <f>IFERROR(__xludf.DUMMYFUNCTION("""COMPUTED_VALUE"""),"CreateLiveOrder")</f>
        <v>CreateLiveOrder</v>
      </c>
      <c r="Q4" s="26" t="str">
        <f>IFERROR(__xludf.DUMMYFUNCTION("""COMPUTED_VALUE"""),"UpdateMasterFundOnTT")</f>
        <v>UpdateMasterFundOnTT</v>
      </c>
      <c r="R4" s="26" t="str">
        <f>IFERROR(__xludf.DUMMYFUNCTION("""COMPUTED_VALUE"""),"SetTTCompliancePreference")</f>
        <v>SetTTCompliancePreference</v>
      </c>
      <c r="S4" s="26" t="str">
        <f>IFERROR(__xludf.DUMMYFUNCTION("""COMPUTED_VALUE"""),"ImportSymbol")</f>
        <v>ImportSymbol</v>
      </c>
      <c r="T4" s="26" t="str">
        <f>IFERROR(__xludf.DUMMYFUNCTION("""COMPUTED_VALUE"""),"ExportSymbolFromRAList")</f>
        <v>ExportSymbolFromRAList</v>
      </c>
      <c r="U4" s="26" t="str">
        <f>IFERROR(__xludf.DUMMYFUNCTION("""COMPUTED_VALUE"""),"CheckPendingNewOrderAlert")</f>
        <v>CheckPendingNewOrderAlert</v>
      </c>
      <c r="V4" s="26" t="str">
        <f>IFERROR(__xludf.DUMMYFUNCTION("""COMPUTED_VALUE"""),"AddSymbolOnRAList")</f>
        <v>AddSymbolOnRAList</v>
      </c>
      <c r="W4" s="26" t="str">
        <f>IFERROR(__xludf.DUMMYFUNCTION("""COMPUTED_VALUE"""),"DeleteSymbolListFromRA")</f>
        <v>DeleteSymbolListFromRA</v>
      </c>
      <c r="X4" s="26" t="str">
        <f>IFERROR(__xludf.DUMMYFUNCTION("""COMPUTED_VALUE"""),"RemoveSymbolFromRAList")</f>
        <v>RemoveSymbolFromRAList</v>
      </c>
      <c r="Y4" s="26" t="str">
        <f>IFERROR(__xludf.DUMMYFUNCTION("""COMPUTED_VALUE"""),"ToggleBlombergOnRA")</f>
        <v>ToggleBlombergOnRA</v>
      </c>
      <c r="Z4" s="26" t="str">
        <f>IFERROR(__xludf.DUMMYFUNCTION("""COMPUTED_VALUE"""),"CreateDoneAwayOrder")</f>
        <v>CreateDoneAwayOrder</v>
      </c>
      <c r="AA4" s="26" t="str">
        <f>IFERROR(__xludf.DUMMYFUNCTION("""COMPUTED_VALUE"""),"AddOptionTrade")</f>
        <v>AddOptionTrade</v>
      </c>
      <c r="AB4" s="26" t="str">
        <f>IFERROR(__xludf.DUMMYFUNCTION("""COMPUTED_VALUE"""),"SendLiveBloomberg")</f>
        <v>SendLiveBloomberg</v>
      </c>
      <c r="AC4" s="26" t="str">
        <f>IFERROR(__xludf.DUMMYFUNCTION("""COMPUTED_VALUE"""),"ViewAllocation")</f>
        <v>ViewAllocation</v>
      </c>
      <c r="AD4" s="26" t="str">
        <f>IFERROR(__xludf.DUMMYFUNCTION("""COMPUTED_VALUE"""),"CreateReplaceLiveOrder")</f>
        <v>CreateReplaceLiveOrder</v>
      </c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IFERROR(__xludf.DUMMYFUNCTION("""COMPUTED_VALUE"""),"Broker")</f>
        <v>Broker</v>
      </c>
      <c r="C5" s="28" t="str">
        <f>IFERROR(__xludf.DUMMYFUNCTION("""COMPUTED_VALUE"""),"Commission Basis")</f>
        <v>Commission Basis</v>
      </c>
      <c r="D5" s="28" t="str">
        <f>IFERROR(__xludf.DUMMYFUNCTION("""COMPUTED_VALUE"""),"Soft Commission Basis")</f>
        <v>Soft Commission Basis</v>
      </c>
      <c r="E5" s="28" t="str">
        <f>IFERROR(__xludf.DUMMYFUNCTION("""COMPUTED_VALUE"""),"Execution Instruction")</f>
        <v>Execution Instruction</v>
      </c>
      <c r="F5" s="29" t="str">
        <f>IFERROR(__xludf.DUMMYFUNCTION("""COMPUTED_VALUE"""),"Venue")</f>
        <v>Venue</v>
      </c>
      <c r="G5" s="28" t="str">
        <f>IFERROR(__xludf.DUMMYFUNCTION("""COMPUTED_VALUE"""),"Algo Type")</f>
        <v>Algo Type</v>
      </c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 t="s">
        <v>19</v>
      </c>
      <c r="C6" s="8"/>
      <c r="D6" s="13"/>
      <c r="E6" s="31"/>
      <c r="F6" s="13" t="s">
        <v>20</v>
      </c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SetBrokerWisePreferencesTT!$4:$4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 format for current sheet" sqref="G3">
      <formula1>"Input Format,Output Format"</formula1>
    </dataValidation>
  </dataValidations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17</v>
      </c>
      <c r="D3" s="5" t="s">
        <v>9</v>
      </c>
      <c r="E3" s="23" t="s">
        <v>21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IFERROR(__xludf.DUMMYFUNCTION("IF(C3="""","""",Transpose(IMPORTRANGE('_Settings'!$B$3,C3&amp;""!A4:A1000"")))"),"OpenTTFromPST")</f>
        <v>OpenTTFromPST</v>
      </c>
      <c r="C4" s="25" t="str">
        <f>IFERROR(__xludf.DUMMYFUNCTION("""COMPUTED_VALUE"""),"EnterDetailsOnTT")</f>
        <v>EnterDetailsOnTT</v>
      </c>
      <c r="D4" s="25" t="str">
        <f>IFERROR(__xludf.DUMMYFUNCTION("""COMPUTED_VALUE"""),"ValidateSymbolTT")</f>
        <v>ValidateSymbolTT</v>
      </c>
      <c r="E4" s="25" t="str">
        <f>IFERROR(__xludf.DUMMYFUNCTION("""COMPUTED_VALUE"""),"VerifyDataTT")</f>
        <v>VerifyDataTT</v>
      </c>
      <c r="F4" s="25" t="str">
        <f>IFERROR(__xludf.DUMMYFUNCTION("""COMPUTED_VALUE"""),"SetUIPreferencesTT")</f>
        <v>SetUIPreferencesTT</v>
      </c>
      <c r="G4" s="25" t="str">
        <f>IFERROR(__xludf.DUMMYFUNCTION("""COMPUTED_VALUE"""),"SetBrokerWisePreferencesTT")</f>
        <v>SetBrokerWisePreferencesTT</v>
      </c>
      <c r="H4" s="25" t="str">
        <f>IFERROR(__xludf.DUMMYFUNCTION("""COMPUTED_VALUE"""),"TradeNewSub")</f>
        <v>TradeNewSub</v>
      </c>
      <c r="I4" s="25" t="str">
        <f>IFERROR(__xludf.DUMMYFUNCTION("""COMPUTED_VALUE"""),"CreateStageOrder")</f>
        <v>CreateStageOrder</v>
      </c>
      <c r="J4" s="25" t="str">
        <f>IFERROR(__xludf.DUMMYFUNCTION("""COMPUTED_VALUE"""),"CreateReplaceOrder")</f>
        <v>CreateReplaceOrder</v>
      </c>
      <c r="K4" s="25" t="str">
        <f>IFERROR(__xludf.DUMMYFUNCTION("""COMPUTED_VALUE"""),"SetGeneralPreference")</f>
        <v>SetGeneralPreference</v>
      </c>
      <c r="L4" s="25" t="str">
        <f>IFERROR(__xludf.DUMMYFUNCTION("""COMPUTED_VALUE"""),"CreateNewSubOrder")</f>
        <v>CreateNewSubOrder</v>
      </c>
      <c r="M4" s="25" t="str">
        <f>IFERROR(__xludf.DUMMYFUNCTION("""COMPUTED_VALUE"""),"TradeBloomberg")</f>
        <v>TradeBloomberg</v>
      </c>
      <c r="N4" s="25" t="str">
        <f>IFERROR(__xludf.DUMMYFUNCTION("""COMPUTED_VALUE"""),"ClickSymbolLookup")</f>
        <v>ClickSymbolLookup</v>
      </c>
      <c r="O4" s="25" t="str">
        <f>IFERROR(__xludf.DUMMYFUNCTION("""COMPUTED_VALUE"""),"VerifyTT")</f>
        <v>VerifyTT</v>
      </c>
      <c r="P4" s="26" t="str">
        <f>IFERROR(__xludf.DUMMYFUNCTION("""COMPUTED_VALUE"""),"CreateLiveOrder")</f>
        <v>CreateLiveOrder</v>
      </c>
      <c r="Q4" s="26" t="str">
        <f>IFERROR(__xludf.DUMMYFUNCTION("""COMPUTED_VALUE"""),"UpdateMasterFundOnTT")</f>
        <v>UpdateMasterFundOnTT</v>
      </c>
      <c r="R4" s="26" t="str">
        <f>IFERROR(__xludf.DUMMYFUNCTION("""COMPUTED_VALUE"""),"SetTTCompliancePreference")</f>
        <v>SetTTCompliancePreference</v>
      </c>
      <c r="S4" s="26" t="str">
        <f>IFERROR(__xludf.DUMMYFUNCTION("""COMPUTED_VALUE"""),"ImportSymbol")</f>
        <v>ImportSymbol</v>
      </c>
      <c r="T4" s="26" t="str">
        <f>IFERROR(__xludf.DUMMYFUNCTION("""COMPUTED_VALUE"""),"ExportSymbolFromRAList")</f>
        <v>ExportSymbolFromRAList</v>
      </c>
      <c r="U4" s="26" t="str">
        <f>IFERROR(__xludf.DUMMYFUNCTION("""COMPUTED_VALUE"""),"CheckPendingNewOrderAlert")</f>
        <v>CheckPendingNewOrderAlert</v>
      </c>
      <c r="V4" s="26" t="str">
        <f>IFERROR(__xludf.DUMMYFUNCTION("""COMPUTED_VALUE"""),"AddSymbolOnRAList")</f>
        <v>AddSymbolOnRAList</v>
      </c>
      <c r="W4" s="26" t="str">
        <f>IFERROR(__xludf.DUMMYFUNCTION("""COMPUTED_VALUE"""),"DeleteSymbolListFromRA")</f>
        <v>DeleteSymbolListFromRA</v>
      </c>
      <c r="X4" s="26" t="str">
        <f>IFERROR(__xludf.DUMMYFUNCTION("""COMPUTED_VALUE"""),"RemoveSymbolFromRAList")</f>
        <v>RemoveSymbolFromRAList</v>
      </c>
      <c r="Y4" s="26" t="str">
        <f>IFERROR(__xludf.DUMMYFUNCTION("""COMPUTED_VALUE"""),"ToggleBlombergOnRA")</f>
        <v>ToggleBlombergOnRA</v>
      </c>
      <c r="Z4" s="26" t="str">
        <f>IFERROR(__xludf.DUMMYFUNCTION("""COMPUTED_VALUE"""),"CreateDoneAwayOrder")</f>
        <v>CreateDoneAwayOrder</v>
      </c>
      <c r="AA4" s="26" t="str">
        <f>IFERROR(__xludf.DUMMYFUNCTION("""COMPUTED_VALUE"""),"AddOptionTrade")</f>
        <v>AddOptionTrade</v>
      </c>
      <c r="AB4" s="26" t="str">
        <f>IFERROR(__xludf.DUMMYFUNCTION("""COMPUTED_VALUE"""),"SendLiveBloomberg")</f>
        <v>SendLiveBloomberg</v>
      </c>
      <c r="AC4" s="26" t="str">
        <f>IFERROR(__xludf.DUMMYFUNCTION("""COMPUTED_VALUE"""),"ViewAllocation")</f>
        <v>ViewAllocation</v>
      </c>
      <c r="AD4" s="26" t="str">
        <f>IFERROR(__xludf.DUMMYFUNCTION("""COMPUTED_VALUE"""),"CreateReplaceLiveOrder")</f>
        <v>CreateReplaceLiveOrder</v>
      </c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IFERROR(__xludf.DUMMYFUNCTION("""COMPUTED_VALUE"""),"Symbol")</f>
        <v>Symbol</v>
      </c>
      <c r="C5" s="28" t="str">
        <f>IFERROR(__xludf.DUMMYFUNCTION("""COMPUTED_VALUE"""),"Order Side")</f>
        <v>Order Side</v>
      </c>
      <c r="D5" s="28" t="str">
        <f>IFERROR(__xludf.DUMMYFUNCTION("""COMPUTED_VALUE"""),"Quantity")</f>
        <v>Quantity</v>
      </c>
      <c r="E5" s="28" t="str">
        <f>IFERROR(__xludf.DUMMYFUNCTION("""COMPUTED_VALUE"""),"TargetQuantityIn")</f>
        <v>TargetQuantityIn</v>
      </c>
      <c r="F5" s="29" t="str">
        <f>IFERROR(__xludf.DUMMYFUNCTION("""COMPUTED_VALUE"""),"AllocationMethod")</f>
        <v>AllocationMethod</v>
      </c>
      <c r="G5" s="28" t="str">
        <f>IFERROR(__xludf.DUMMYFUNCTION("""COMPUTED_VALUE"""),"Broker")</f>
        <v>Broker</v>
      </c>
      <c r="H5" s="28" t="str">
        <f>IFERROR(__xludf.DUMMYFUNCTION("""COMPUTED_VALUE"""),"TIF")</f>
        <v>TIF</v>
      </c>
      <c r="I5" s="28" t="str">
        <f>IFERROR(__xludf.DUMMYFUNCTION("""COMPUTED_VALUE"""),"Order Type")</f>
        <v>Order Type</v>
      </c>
      <c r="J5" s="28" t="str">
        <f>IFERROR(__xludf.DUMMYFUNCTION("""COMPUTED_VALUE"""),"Price")</f>
        <v>Price</v>
      </c>
      <c r="K5" s="28" t="str">
        <f>IFERROR(__xludf.DUMMYFUNCTION("""COMPUTED_VALUE"""),"Stop")</f>
        <v>Stop</v>
      </c>
      <c r="L5" s="28" t="str">
        <f>IFERROR(__xludf.DUMMYFUNCTION("""COMPUTED_VALUE"""),"Limit")</f>
        <v>Limit</v>
      </c>
      <c r="M5" s="28" t="str">
        <f>IFERROR(__xludf.DUMMYFUNCTION("""COMPUTED_VALUE"""),"Strategy")</f>
        <v>Strategy</v>
      </c>
      <c r="N5" s="28" t="str">
        <f>IFERROR(__xludf.DUMMYFUNCTION("""COMPUTED_VALUE"""),"Trade Date")</f>
        <v>Trade Date</v>
      </c>
      <c r="O5" s="28" t="str">
        <f>IFERROR(__xludf.DUMMYFUNCTION("""COMPUTED_VALUE"""),"FxRate")</f>
        <v>FxRate</v>
      </c>
      <c r="P5" s="28" t="str">
        <f>IFERROR(__xludf.DUMMYFUNCTION("""COMPUTED_VALUE"""),"Notes")</f>
        <v>Notes</v>
      </c>
      <c r="Q5" s="28" t="str">
        <f>IFERROR(__xludf.DUMMYFUNCTION("""COMPUTED_VALUE"""),"Broker Notes")</f>
        <v>Broker Notes</v>
      </c>
      <c r="R5" s="28" t="str">
        <f>IFERROR(__xludf.DUMMYFUNCTION("""COMPUTED_VALUE"""),"CommissionBasis")</f>
        <v>CommissionBasis</v>
      </c>
      <c r="S5" s="28" t="str">
        <f>IFERROR(__xludf.DUMMYFUNCTION("""COMPUTED_VALUE"""),"CommissionRate")</f>
        <v>CommissionRate</v>
      </c>
      <c r="T5" s="30" t="str">
        <f>IFERROR(__xludf.DUMMYFUNCTION("""COMPUTED_VALUE"""),"SoftBasis")</f>
        <v>SoftBasis</v>
      </c>
      <c r="U5" s="30" t="str">
        <f>IFERROR(__xludf.DUMMYFUNCTION("""COMPUTED_VALUE"""),"SoftRate")</f>
        <v>SoftRate</v>
      </c>
      <c r="V5" s="30" t="str">
        <f>IFERROR(__xludf.DUMMYFUNCTION("""COMPUTED_VALUE"""),"TradeAttribute1")</f>
        <v>TradeAttribute1</v>
      </c>
      <c r="W5" s="30" t="str">
        <f>IFERROR(__xludf.DUMMYFUNCTION("""COMPUTED_VALUE"""),"TradeAttribute2")</f>
        <v>TradeAttribute2</v>
      </c>
      <c r="X5" s="30" t="str">
        <f>IFERROR(__xludf.DUMMYFUNCTION("""COMPUTED_VALUE"""),"TradeAttribute3")</f>
        <v>TradeAttribute3</v>
      </c>
      <c r="Y5" s="30" t="str">
        <f>IFERROR(__xludf.DUMMYFUNCTION("""COMPUTED_VALUE"""),"TradeAttribute4")</f>
        <v>TradeAttribute4</v>
      </c>
      <c r="Z5" s="30" t="str">
        <f>IFERROR(__xludf.DUMMYFUNCTION("""COMPUTED_VALUE"""),"TradeAttribute5")</f>
        <v>TradeAttribute5</v>
      </c>
      <c r="AA5" s="30" t="str">
        <f>IFERROR(__xludf.DUMMYFUNCTION("""COMPUTED_VALUE"""),"TradeAttribute6")</f>
        <v>TradeAttribute6</v>
      </c>
      <c r="AB5" s="30" t="str">
        <f>IFERROR(__xludf.DUMMYFUNCTION("""COMPUTED_VALUE"""),"Venue")</f>
        <v>Venue</v>
      </c>
      <c r="AC5" s="30" t="str">
        <f>IFERROR(__xludf.DUMMYFUNCTION("""COMPUTED_VALUE"""),"ExecutionInstructions")</f>
        <v>ExecutionInstructions</v>
      </c>
      <c r="AD5" s="30" t="str">
        <f>IFERROR(__xludf.DUMMYFUNCTION("""COMPUTED_VALUE"""),"HandlingInstructions")</f>
        <v>HandlingInstructions</v>
      </c>
      <c r="AE5" s="30" t="str">
        <f>IFERROR(__xludf.DUMMYFUNCTION("""COMPUTED_VALUE"""),"Trader")</f>
        <v>Trader</v>
      </c>
      <c r="AF5" s="30" t="str">
        <f>IFERROR(__xludf.DUMMYFUNCTION("""COMPUTED_VALUE"""),"SettlementCurrency")</f>
        <v>SettlementCurrency</v>
      </c>
      <c r="AG5" s="30" t="str">
        <f>IFERROR(__xludf.DUMMYFUNCTION("""COMPUTED_VALUE"""),"SettlementFXRate")</f>
        <v>SettlementFXRate</v>
      </c>
      <c r="AH5" s="30" t="str">
        <f>IFERROR(__xludf.DUMMYFUNCTION("""COMPUTED_VALUE"""),"SettlementAmount")</f>
        <v>SettlementAmount</v>
      </c>
      <c r="AI5" s="30" t="str">
        <f>IFERROR(__xludf.DUMMYFUNCTION("""COMPUTED_VALUE"""),"SettlementFXOperator")</f>
        <v>SettlementFXOperator</v>
      </c>
      <c r="AJ5" s="30" t="str">
        <f>IFERROR(__xludf.DUMMYFUNCTION("""COMPUTED_VALUE"""),"SettleByBroker")</f>
        <v>SettleByBroker</v>
      </c>
      <c r="AK5" s="30" t="str">
        <f>IFERROR(__xludf.DUMMYFUNCTION("""COMPUTED_VALUE"""),"Account")</f>
        <v>Account</v>
      </c>
      <c r="AL5" s="30" t="str">
        <f>IFERROR(__xludf.DUMMYFUNCTION("""COMPUTED_VALUE"""),"Account %")</f>
        <v>Account %</v>
      </c>
      <c r="AM5" s="30" t="str">
        <f>IFERROR(__xludf.DUMMYFUNCTION("""COMPUTED_VALUE"""),"Deal In")</f>
        <v>Deal In</v>
      </c>
      <c r="AN5" s="30" t="str">
        <f>IFERROR(__xludf.DUMMYFUNCTION("""COMPUTED_VALUE"""),"EditOrder")</f>
        <v>EditOrder</v>
      </c>
      <c r="AO5" s="30" t="str">
        <f>IFERROR(__xludf.DUMMYFUNCTION("""COMPUTED_VALUE"""),"ShortLocate")</f>
        <v>ShortLocate</v>
      </c>
      <c r="AP5" s="30" t="str">
        <f>IFERROR(__xludf.DUMMYFUNCTION("""COMPUTED_VALUE"""),"ChkBoxBookAsSwap")</f>
        <v>ChkBoxBookAsSwap</v>
      </c>
      <c r="AQ5" s="30" t="str">
        <f>IFERROR(__xludf.DUMMYFUNCTION("""COMPUTED_VALUE"""),"Interest Rate")</f>
        <v>Interest Rate</v>
      </c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 t="s">
        <v>22</v>
      </c>
      <c r="C6" s="13" t="s">
        <v>23</v>
      </c>
      <c r="D6" s="13">
        <v>100.0</v>
      </c>
      <c r="E6" s="31"/>
      <c r="F6" s="13" t="s">
        <v>24</v>
      </c>
      <c r="G6" s="8"/>
      <c r="H6" s="8"/>
      <c r="I6" s="8"/>
      <c r="J6" s="13">
        <v>10.0</v>
      </c>
      <c r="K6" s="8"/>
      <c r="L6" s="8"/>
      <c r="M6" s="8"/>
      <c r="N6" s="8"/>
      <c r="O6" s="8"/>
    </row>
    <row r="7" ht="15.75" customHeight="1">
      <c r="A7" s="8"/>
      <c r="B7" s="13" t="s">
        <v>25</v>
      </c>
      <c r="C7" s="13" t="s">
        <v>23</v>
      </c>
      <c r="D7" s="13">
        <v>200.0</v>
      </c>
      <c r="E7" s="8"/>
      <c r="F7" s="13" t="s">
        <v>24</v>
      </c>
      <c r="G7" s="8"/>
      <c r="H7" s="8"/>
      <c r="I7" s="8"/>
      <c r="J7" s="13">
        <v>11.0</v>
      </c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CreateStageOrder!$4:$4</formula1>
    </dataValidation>
  </dataValidations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26</v>
      </c>
      <c r="D3" s="5" t="s">
        <v>9</v>
      </c>
      <c r="E3" s="23" t="s">
        <v>27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IFERROR(__xludf.DUMMYFUNCTION("IF(C3="""","""",Transpose(IMPORTRANGE('_Settings'!$B$3,C3&amp;""!A4:A1000"")))"),"ReplaceFillsOnBlotter")</f>
        <v>ReplaceFillsOnBlotter</v>
      </c>
      <c r="C4" s="25" t="str">
        <f>IFERROR(__xludf.DUMMYFUNCTION("""COMPUTED_VALUE"""),"CheckBlotter")</f>
        <v>CheckBlotter</v>
      </c>
      <c r="D4" s="25" t="str">
        <f>IFERROR(__xludf.DUMMYFUNCTION("""COMPUTED_VALUE"""),"BlotterFunctionalities")</f>
        <v>BlotterFunctionalities</v>
      </c>
      <c r="E4" s="25" t="str">
        <f>IFERROR(__xludf.DUMMYFUNCTION("""COMPUTED_VALUE"""),"TransferToUserWorkingSubs")</f>
        <v>TransferToUserWorkingSubs</v>
      </c>
      <c r="F4" s="25" t="str">
        <f>IFERROR(__xludf.DUMMYFUNCTION("""COMPUTED_VALUE"""),"CancelWorkingSubs")</f>
        <v>CancelWorkingSubs</v>
      </c>
      <c r="G4" s="25" t="str">
        <f>IFERROR(__xludf.DUMMYFUNCTION("""COMPUTED_VALUE"""),"ReplaceWorkingSubs")</f>
        <v>ReplaceWorkingSubs</v>
      </c>
      <c r="H4" s="25" t="str">
        <f>IFERROR(__xludf.DUMMYFUNCTION("""COMPUTED_VALUE"""),"ViewAllocationDetailsWorkingSub")</f>
        <v>ViewAllocationDetailsWorkingSub</v>
      </c>
      <c r="I4" s="25" t="str">
        <f>IFERROR(__xludf.DUMMYFUNCTION("""COMPUTED_VALUE"""),"SelectTradeOnOrderGrid")</f>
        <v>SelectTradeOnOrderGrid</v>
      </c>
      <c r="J4" s="25" t="str">
        <f>IFERROR(__xludf.DUMMYFUNCTION("""COMPUTED_VALUE"""),"ShowDetailsForAlgoTradeSubOrder")</f>
        <v>ShowDetailsForAlgoTradeSubOrder</v>
      </c>
      <c r="K4" s="25" t="str">
        <f>IFERROR(__xludf.DUMMYFUNCTION("""COMPUTED_VALUE"""),"SelectTradeOrderBlotter")</f>
        <v>SelectTradeOrderBlotter</v>
      </c>
      <c r="L4" s="25" t="str">
        <f>IFERROR(__xludf.DUMMYFUNCTION("""COMPUTED_VALUE"""),"AddFillsWorkingSubs")</f>
        <v>AddFillsWorkingSubs</v>
      </c>
      <c r="M4" s="25" t="str">
        <f>IFERROR(__xludf.DUMMYFUNCTION("""COMPUTED_VALUE"""),"EditAddFillsDetails")</f>
        <v>EditAddFillsDetails</v>
      </c>
      <c r="N4" s="25" t="str">
        <f>IFERROR(__xludf.DUMMYFUNCTION("""COMPUTED_VALUE"""),"ShowDetailsForAlgoTradeWorkingSubs")</f>
        <v>ShowDetailsForAlgoTradeWorkingSubs</v>
      </c>
      <c r="O4" s="25" t="str">
        <f>IFERROR(__xludf.DUMMYFUNCTION("""COMPUTED_VALUE"""),"VerifyWorkingSubs")</f>
        <v>VerifyWorkingSubs</v>
      </c>
      <c r="P4" s="26" t="str">
        <f>IFERROR(__xludf.DUMMYFUNCTION("""COMPUTED_VALUE"""),"TransferToUserOrder")</f>
        <v>TransferToUserOrder</v>
      </c>
      <c r="Q4" s="26" t="str">
        <f>IFERROR(__xludf.DUMMYFUNCTION("""COMPUTED_VALUE"""),"EditOrder")</f>
        <v>EditOrder</v>
      </c>
      <c r="R4" s="26" t="str">
        <f>IFERROR(__xludf.DUMMYFUNCTION("""COMPUTED_VALUE"""),"SelectTradeSubOrderBlotter")</f>
        <v>SelectTradeSubOrderBlotter</v>
      </c>
      <c r="S4" s="26" t="str">
        <f>IFERROR(__xludf.DUMMYFUNCTION("""COMPUTED_VALUE"""),"VerifyOrder")</f>
        <v>VerifyOrder</v>
      </c>
      <c r="T4" s="26" t="str">
        <f>IFERROR(__xludf.DUMMYFUNCTION("""COMPUTED_VALUE"""),"VerifySubOrder")</f>
        <v>VerifySubOrder</v>
      </c>
      <c r="U4" s="26" t="str">
        <f>IFERROR(__xludf.DUMMYFUNCTION("""COMPUTED_VALUE"""),"RemoveSelectedOrders")</f>
        <v>RemoveSelectedOrders</v>
      </c>
      <c r="V4" s="26" t="str">
        <f>IFERROR(__xludf.DUMMYFUNCTION("""COMPUTED_VALUE"""),"CancelAllSelectedSubs")</f>
        <v>CancelAllSelectedSubs</v>
      </c>
      <c r="W4" s="26" t="str">
        <f>IFERROR(__xludf.DUMMYFUNCTION("""COMPUTED_VALUE"""),"MultiTradingTicket")</f>
        <v>MultiTradingTicket</v>
      </c>
      <c r="X4" s="26" t="str">
        <f>IFERROR(__xludf.DUMMYFUNCTION("""COMPUTED_VALUE"""),"AuditTrailOrderBlotter")</f>
        <v>AuditTrailOrderBlotter</v>
      </c>
      <c r="Y4" s="26" t="str">
        <f>IFERROR(__xludf.DUMMYFUNCTION("""COMPUTED_VALUE"""),"TradeNewSubOrder")</f>
        <v>TradeNewSubOrder</v>
      </c>
      <c r="Z4" s="26" t="str">
        <f>IFERROR(__xludf.DUMMYFUNCTION("""COMPUTED_VALUE"""),"RemoveStageOrder")</f>
        <v>RemoveStageOrder</v>
      </c>
      <c r="AA4" s="26" t="str">
        <f>IFERROR(__xludf.DUMMYFUNCTION("""COMPUTED_VALUE"""),"TransferToUserSubOrder")</f>
        <v>TransferToUserSubOrder</v>
      </c>
      <c r="AB4" s="26" t="str">
        <f>IFERROR(__xludf.DUMMYFUNCTION("""COMPUTED_VALUE"""),"DetailsForAlgoTradeOrder")</f>
        <v>DetailsForAlgoTradeOrder</v>
      </c>
      <c r="AC4" s="26" t="str">
        <f>IFERROR(__xludf.DUMMYFUNCTION("""COMPUTED_VALUE"""),"AddFillsSubOrder")</f>
        <v>AddFillsSubOrder</v>
      </c>
      <c r="AD4" s="26" t="str">
        <f>IFERROR(__xludf.DUMMYFUNCTION("""COMPUTED_VALUE"""),"ViewAllocationDetailsSubOrder")</f>
        <v>ViewAllocationDetailsSubOrder</v>
      </c>
      <c r="AE4" s="26" t="str">
        <f>IFERROR(__xludf.DUMMYFUNCTION("""COMPUTED_VALUE"""),"CancelAllSubs")</f>
        <v>CancelAllSubs</v>
      </c>
      <c r="AF4" s="26" t="str">
        <f>IFERROR(__xludf.DUMMYFUNCTION("""COMPUTED_VALUE"""),"CancelSubOrder")</f>
        <v>CancelSubOrder</v>
      </c>
      <c r="AG4" s="26" t="str">
        <f>IFERROR(__xludf.DUMMYFUNCTION("""COMPUTED_VALUE"""),"EditStageOrder")</f>
        <v>EditStageOrder</v>
      </c>
      <c r="AH4" s="26" t="str">
        <f>IFERROR(__xludf.DUMMYFUNCTION("""COMPUTED_VALUE"""),"ReplaceSubOrder")</f>
        <v>ReplaceSubOrder</v>
      </c>
      <c r="AI4" s="26" t="str">
        <f>IFERROR(__xludf.DUMMYFUNCTION("""COMPUTED_VALUE"""),"SelectTradeWorkingSubsBlotter")</f>
        <v>SelectTradeWorkingSubsBlotter</v>
      </c>
      <c r="AJ4" s="26" t="str">
        <f>IFERROR(__xludf.DUMMYFUNCTION("""COMPUTED_VALUE"""),"VerifyAlgoDetails")</f>
        <v>VerifyAlgoDetails</v>
      </c>
      <c r="AK4" s="26" t="str">
        <f>IFERROR(__xludf.DUMMYFUNCTION("""COMPUTED_VALUE"""),"VerifyTransferToUserOrder")</f>
        <v>VerifyTransferToUserOrder</v>
      </c>
      <c r="AL4" s="26" t="str">
        <f>IFERROR(__xludf.DUMMYFUNCTION("""COMPUTED_VALUE"""),"VerifyTransferToUserSubOdr")</f>
        <v>VerifyTransferToUserSubOdr</v>
      </c>
      <c r="AM4" s="26" t="str">
        <f>IFERROR(__xludf.DUMMYFUNCTION("""COMPUTED_VALUE"""),"VerifyTransferToUserWorkSub")</f>
        <v>VerifyTransferToUserWorkSub</v>
      </c>
      <c r="AN4" s="26" t="str">
        <f>IFERROR(__xludf.DUMMYFUNCTION("""COMPUTED_VALUE"""),"SaveLayoutOrderGrid")</f>
        <v>SaveLayoutOrderGrid</v>
      </c>
      <c r="AO4" s="26" t="str">
        <f>IFERROR(__xludf.DUMMYFUNCTION("""COMPUTED_VALUE"""),"ReplaceStageOrder")</f>
        <v>ReplaceStageOrder</v>
      </c>
      <c r="AP4" s="26" t="str">
        <f>IFERROR(__xludf.DUMMYFUNCTION("""COMPUTED_VALUE"""),"MultiTradingTicketFromBlotter")</f>
        <v>MultiTradingTicketFromBlotter</v>
      </c>
      <c r="AQ4" s="26" t="str">
        <f>IFERROR(__xludf.DUMMYFUNCTION("""COMPUTED_VALUE"""),"VerifyViewAllocationDetails")</f>
        <v>VerifyViewAllocationDetails</v>
      </c>
      <c r="AR4" s="26" t="str">
        <f>IFERROR(__xludf.DUMMYFUNCTION("""COMPUTED_VALUE"""),"GoToAllocation")</f>
        <v>GoToAllocation</v>
      </c>
      <c r="AS4" s="26" t="str">
        <f>IFERROR(__xludf.DUMMYFUNCTION("""COMPUTED_VALUE"""),"VerifyRollover")</f>
        <v>VerifyRollover</v>
      </c>
      <c r="AT4" s="26" t="str">
        <f>IFERROR(__xludf.DUMMYFUNCTION("""COMPUTED_VALUE"""),"VerifySubOrderAfterRollover")</f>
        <v>VerifySubOrderAfterRollover</v>
      </c>
      <c r="AU4" s="26" t="str">
        <f>IFERROR(__xludf.DUMMYFUNCTION("""COMPUTED_VALUE"""),"OpenBlotter")</f>
        <v>OpenBlotter</v>
      </c>
      <c r="AV4" s="26" t="str">
        <f>IFERROR(__xludf.DUMMYFUNCTION("""COMPUTED_VALUE"""),"RemoveManualExecution")</f>
        <v>RemoveManualExecution</v>
      </c>
      <c r="AW4" s="26" t="str">
        <f>IFERROR(__xludf.DUMMYFUNCTION("""COMPUTED_VALUE"""),"RemoveExecutionWorkingSubs")</f>
        <v>RemoveExecutionWorkingSubs</v>
      </c>
      <c r="AX4" s="26" t="str">
        <f>IFERROR(__xludf.DUMMYFUNCTION("""COMPUTED_VALUE"""),"GetExecutionReportOrders")</f>
        <v>GetExecutionReportOrders</v>
      </c>
      <c r="AY4" s="26" t="str">
        <f>IFERROR(__xludf.DUMMYFUNCTION("""COMPUTED_VALUE"""),"GetExecutionReportDetails")</f>
        <v>GetExecutionReportDetails</v>
      </c>
      <c r="AZ4" s="26" t="str">
        <f>IFERROR(__xludf.DUMMYFUNCTION("""COMPUTED_VALUE"""),"ExportExecutionReportData")</f>
        <v>ExportExecutionReportData</v>
      </c>
      <c r="BA4" s="26" t="str">
        <f>IFERROR(__xludf.DUMMYFUNCTION("""COMPUTED_VALUE"""),"VerifyExecutionReport")</f>
        <v>VerifyExecutionReport</v>
      </c>
      <c r="BB4" s="26" t="str">
        <f>IFERROR(__xludf.DUMMYFUNCTION("""COMPUTED_VALUE"""),"BlotterExecutionReportSnapshot")</f>
        <v>BlotterExecutionReportSnapshot</v>
      </c>
      <c r="BC4" s="26" t="str">
        <f>IFERROR(__xludf.DUMMYFUNCTION("""COMPUTED_VALUE"""),"MultipleTradeTransferToUser")</f>
        <v>MultipleTradeTransferToUser</v>
      </c>
      <c r="BD4" s="26" t="str">
        <f>IFERROR(__xludf.DUMMYFUNCTION("""COMPUTED_VALUE"""),"CheckBlotter")</f>
        <v>CheckBlotter</v>
      </c>
      <c r="BE4" s="26" t="str">
        <f>IFERROR(__xludf.DUMMYFUNCTION("""COMPUTED_VALUE"""),"ReloadOrderFromBlotter")</f>
        <v>ReloadOrderFromBlotter</v>
      </c>
      <c r="BF4" s="26" t="str">
        <f>IFERROR(__xludf.DUMMYFUNCTION("""COMPUTED_VALUE"""),"ReloadOrderFromSubOrder")</f>
        <v>ReloadOrderFromSubOrder</v>
      </c>
      <c r="BG4" s="26" t="str">
        <f>IFERROR(__xludf.DUMMYFUNCTION("""COMPUTED_VALUE"""),"ReloadOrderFromWorkingSubs")</f>
        <v>ReloadOrderFromWorkingSubs</v>
      </c>
      <c r="BH4" s="26" t="str">
        <f>IFERROR(__xludf.DUMMYFUNCTION("""COMPUTED_VALUE"""),"SelectFills")</f>
        <v>SelectFills</v>
      </c>
      <c r="BI4" s="26" t="str">
        <f>IFERROR(__xludf.DUMMYFUNCTION("""COMPUTED_VALUE"""),"ModifyFills")</f>
        <v>ModifyFills</v>
      </c>
      <c r="BJ4" s="26" t="str">
        <f>IFERROR(__xludf.DUMMYFUNCTION("""COMPUTED_VALUE"""),"AllocateFromBlotter")</f>
        <v>AllocateFromBlotter</v>
      </c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IFERROR(__xludf.DUMMYFUNCTION("""COMPUTED_VALUE"""),"Transaction Time")</f>
        <v>Transaction Time</v>
      </c>
      <c r="C5" s="28" t="str">
        <f>IFERROR(__xludf.DUMMYFUNCTION("""COMPUTED_VALUE"""),"Algo")</f>
        <v>Algo</v>
      </c>
      <c r="D5" s="28" t="str">
        <f>IFERROR(__xludf.DUMMYFUNCTION("""COMPUTED_VALUE"""),"Avg Fill Price (Base)")</f>
        <v>Avg Fill Price (Base)</v>
      </c>
      <c r="E5" s="28" t="str">
        <f>IFERROR(__xludf.DUMMYFUNCTION("""COMPUTED_VALUE"""),"Bloomberg Symbol")</f>
        <v>Bloomberg Symbol</v>
      </c>
      <c r="F5" s="29" t="str">
        <f>IFERROR(__xludf.DUMMYFUNCTION("""COMPUTED_VALUE"""),"Limit Price")</f>
        <v>Limit Price</v>
      </c>
      <c r="G5" s="28" t="str">
        <f>IFERROR(__xludf.DUMMYFUNCTION("""COMPUTED_VALUE"""),"Working Qty")</f>
        <v>Working Qty</v>
      </c>
      <c r="H5" s="28" t="str">
        <f>IFERROR(__xludf.DUMMYFUNCTION("""COMPUTED_VALUE"""),"Venue")</f>
        <v>Venue</v>
      </c>
      <c r="I5" s="28" t="str">
        <f>IFERROR(__xludf.DUMMYFUNCTION("""COMPUTED_VALUE"""),"User")</f>
        <v>User</v>
      </c>
      <c r="J5" s="28" t="str">
        <f>IFERROR(__xludf.DUMMYFUNCTION("""COMPUTED_VALUE"""),"Underlying Symbol")</f>
        <v>Underlying Symbol</v>
      </c>
      <c r="K5" s="28" t="str">
        <f>IFERROR(__xludf.DUMMYFUNCTION("""COMPUTED_VALUE"""),"Underlying Country")</f>
        <v>Underlying Country</v>
      </c>
      <c r="L5" s="28" t="str">
        <f>IFERROR(__xludf.DUMMYFUNCTION("""COMPUTED_VALUE"""),"Trader")</f>
        <v>Trader</v>
      </c>
      <c r="M5" s="28" t="str">
        <f>IFERROR(__xludf.DUMMYFUNCTION("""COMPUTED_VALUE"""),"Trade Attribute 6")</f>
        <v>Trade Attribute 6</v>
      </c>
      <c r="N5" s="28" t="str">
        <f>IFERROR(__xludf.DUMMYFUNCTION("""COMPUTED_VALUE"""),"Trade Attribute 5")</f>
        <v>Trade Attribute 5</v>
      </c>
      <c r="O5" s="28" t="str">
        <f>IFERROR(__xludf.DUMMYFUNCTION("""COMPUTED_VALUE"""),"Trade Attribute 4")</f>
        <v>Trade Attribute 4</v>
      </c>
      <c r="P5" s="28" t="str">
        <f>IFERROR(__xludf.DUMMYFUNCTION("""COMPUTED_VALUE"""),"Trade Attribute 3")</f>
        <v>Trade Attribute 3</v>
      </c>
      <c r="Q5" s="28" t="str">
        <f>IFERROR(__xludf.DUMMYFUNCTION("""COMPUTED_VALUE"""),"Trade Attribute 1")</f>
        <v>Trade Attribute 1</v>
      </c>
      <c r="R5" s="28" t="str">
        <f>IFERROR(__xludf.DUMMYFUNCTION("""COMPUTED_VALUE"""),"Trade Attribute 2")</f>
        <v>Trade Attribute 2</v>
      </c>
      <c r="S5" s="28" t="str">
        <f>IFERROR(__xludf.DUMMYFUNCTION("""COMPUTED_VALUE"""),"Strike Price")</f>
        <v>Strike Price</v>
      </c>
      <c r="T5" s="30" t="str">
        <f>IFERROR(__xludf.DUMMYFUNCTION("""COMPUTED_VALUE"""),"Stop Price")</f>
        <v>Stop Price</v>
      </c>
      <c r="U5" s="30" t="str">
        <f>IFERROR(__xludf.DUMMYFUNCTION("""COMPUTED_VALUE"""),"Settlement Currency")</f>
        <v>Settlement Currency</v>
      </c>
      <c r="V5" s="30" t="str">
        <f>IFERROR(__xludf.DUMMYFUNCTION("""COMPUTED_VALUE"""),"Put/Call")</f>
        <v>Put/Call</v>
      </c>
      <c r="W5" s="30" t="str">
        <f>IFERROR(__xludf.DUMMYFUNCTION("""COMPUTED_VALUE"""),"Process Date")</f>
        <v>Process Date</v>
      </c>
      <c r="X5" s="30" t="str">
        <f>IFERROR(__xludf.DUMMYFUNCTION("""COMPUTED_VALUE"""),"Peg")</f>
        <v>Peg</v>
      </c>
      <c r="Y5" s="30" t="str">
        <f>IFERROR(__xludf.DUMMYFUNCTION("""COMPUTED_VALUE"""),"ParentClOrderID")</f>
        <v>ParentClOrderID</v>
      </c>
      <c r="Z5" s="30" t="str">
        <f>IFERROR(__xludf.DUMMYFUNCTION("""COMPUTED_VALUE"""),"OrderID")</f>
        <v>OrderID</v>
      </c>
      <c r="AA5" s="30" t="str">
        <f>IFERROR(__xludf.DUMMYFUNCTION("""COMPUTED_VALUE"""),"Master Fund")</f>
        <v>Master Fund</v>
      </c>
      <c r="AB5" s="30" t="str">
        <f>IFERROR(__xludf.DUMMYFUNCTION("""COMPUTED_VALUE"""),"Last Shares")</f>
        <v>Last Shares</v>
      </c>
      <c r="AC5" s="30" t="str">
        <f>IFERROR(__xludf.DUMMYFUNCTION("""COMPUTED_VALUE"""),"Internal Comments")</f>
        <v>Internal Comments</v>
      </c>
      <c r="AD5" s="30" t="str">
        <f>IFERROR(__xludf.DUMMYFUNCTION("""COMPUTED_VALUE"""),"FX Rate")</f>
        <v>FX Rate</v>
      </c>
      <c r="AE5" s="30" t="str">
        <f>IFERROR(__xludf.DUMMYFUNCTION("""COMPUTED_VALUE"""),"Imported File Name")</f>
        <v>Imported File Name</v>
      </c>
      <c r="AF5" s="30" t="str">
        <f>IFERROR(__xludf.DUMMYFUNCTION("""COMPUTED_VALUE"""),"FX Conversion Operator")</f>
        <v>FX Conversion Operator</v>
      </c>
      <c r="AG5" s="30" t="str">
        <f>IFERROR(__xludf.DUMMYFUNCTION("""COMPUTED_VALUE"""),"Day Average Price")</f>
        <v>Day Average Price</v>
      </c>
      <c r="AH5" s="30" t="str">
        <f>IFERROR(__xludf.DUMMYFUNCTION("""COMPUTED_VALUE"""),"Asset Class")</f>
        <v>Asset Class</v>
      </c>
      <c r="AI5" s="30" t="str">
        <f>IFERROR(__xludf.DUMMYFUNCTION("""COMPUTED_VALUE"""),"Symbol")</f>
        <v>Symbol</v>
      </c>
      <c r="AJ5" s="30" t="str">
        <f>IFERROR(__xludf.DUMMYFUNCTION("""COMPUTED_VALUE"""),"Side")</f>
        <v>Side</v>
      </c>
      <c r="AK5" s="30" t="str">
        <f>IFERROR(__xludf.DUMMYFUNCTION("""COMPUTED_VALUE"""),"Status")</f>
        <v>Status</v>
      </c>
      <c r="AL5" s="30" t="str">
        <f>IFERROR(__xludf.DUMMYFUNCTION("""COMPUTED_VALUE"""),"Target Qty")</f>
        <v>Target Qty</v>
      </c>
      <c r="AM5" s="30" t="str">
        <f>IFERROR(__xludf.DUMMYFUNCTION("""COMPUTED_VALUE"""),"Total Executed Qty")</f>
        <v>Total Executed Qty</v>
      </c>
      <c r="AN5" s="30" t="str">
        <f>IFERROR(__xludf.DUMMYFUNCTION("""COMPUTED_VALUE"""),"% Executed")</f>
        <v>% Executed</v>
      </c>
      <c r="AO5" s="30" t="str">
        <f>IFERROR(__xludf.DUMMYFUNCTION("""COMPUTED_VALUE"""),"Day Executed Qty")</f>
        <v>Day Executed Qty</v>
      </c>
      <c r="AP5" s="30" t="str">
        <f>IFERROR(__xludf.DUMMYFUNCTION("""COMPUTED_VALUE"""),"Uncommitted Qty")</f>
        <v>Uncommitted Qty</v>
      </c>
      <c r="AQ5" s="30" t="str">
        <f>IFERROR(__xludf.DUMMYFUNCTION("""COMPUTED_VALUE"""),"Last Fill Price (Local)")</f>
        <v>Last Fill Price (Local)</v>
      </c>
      <c r="AR5" s="30" t="str">
        <f>IFERROR(__xludf.DUMMYFUNCTION("""COMPUTED_VALUE"""),"Avg Fill Price (Local)")</f>
        <v>Avg Fill Price (Local)</v>
      </c>
      <c r="AS5" s="30" t="str">
        <f>IFERROR(__xludf.DUMMYFUNCTION("""COMPUTED_VALUE"""),"Broker")</f>
        <v>Broker</v>
      </c>
      <c r="AT5" s="30" t="str">
        <f>IFERROR(__xludf.DUMMYFUNCTION("""COMPUTED_VALUE"""),"Account")</f>
        <v>Account</v>
      </c>
      <c r="AU5" s="30" t="str">
        <f>IFERROR(__xludf.DUMMYFUNCTION("""COMPUTED_VALUE"""),"Order Type")</f>
        <v>Order Type</v>
      </c>
      <c r="AV5" s="30" t="str">
        <f>IFERROR(__xludf.DUMMYFUNCTION("""COMPUTED_VALUE"""),"Principal Amount (Local)")</f>
        <v>Principal Amount (Local)</v>
      </c>
      <c r="AW5" s="30" t="str">
        <f>IFERROR(__xludf.DUMMYFUNCTION("""COMPUTED_VALUE"""),"Principal Amount (Base)")</f>
        <v>Principal Amount (Base)</v>
      </c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/>
      <c r="C6" s="8"/>
      <c r="D6" s="13"/>
      <c r="E6" s="31"/>
      <c r="F6" s="8"/>
      <c r="G6" s="8"/>
      <c r="H6" s="8"/>
      <c r="I6" s="8"/>
      <c r="J6" s="8"/>
      <c r="K6" s="8"/>
      <c r="L6" s="8"/>
      <c r="M6" s="8"/>
      <c r="N6" s="8"/>
      <c r="O6" s="8"/>
      <c r="AI6" s="9" t="s">
        <v>22</v>
      </c>
      <c r="AJ6" s="9" t="s">
        <v>23</v>
      </c>
      <c r="AK6" s="9" t="s">
        <v>28</v>
      </c>
      <c r="AL6" s="9">
        <v>100.0</v>
      </c>
    </row>
    <row r="7" ht="15.75" customHeight="1">
      <c r="A7" s="8"/>
      <c r="B7" s="8"/>
      <c r="C7" s="8"/>
      <c r="D7" s="13"/>
      <c r="E7" s="8"/>
      <c r="F7" s="8"/>
      <c r="G7" s="8"/>
      <c r="H7" s="8"/>
      <c r="I7" s="8"/>
      <c r="J7" s="8"/>
      <c r="K7" s="8"/>
      <c r="L7" s="8"/>
      <c r="M7" s="8"/>
      <c r="N7" s="8"/>
      <c r="O7" s="8"/>
      <c r="AI7" s="9" t="s">
        <v>25</v>
      </c>
      <c r="AJ7" s="9" t="s">
        <v>23</v>
      </c>
      <c r="AK7" s="9" t="s">
        <v>28</v>
      </c>
      <c r="AL7" s="9">
        <v>200.0</v>
      </c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MultiTradingTicketFromBlotter!$4:$4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 format for current sheet" sqref="G3">
      <formula1>"Input Format,Output Format"</formula1>
    </dataValidation>
  </dataValidations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29</v>
      </c>
      <c r="D3" s="5" t="s">
        <v>9</v>
      </c>
      <c r="E3" s="23" t="s">
        <v>30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IFERROR(__xludf.DUMMYFUNCTION("IF(C3="""","""",Transpose(IMPORTRANGE('_Settings'!$B$3,C3&amp;""!A4:A1000"")))"),"EditTradeUsingMTT")</f>
        <v>EditTradeUsingMTT</v>
      </c>
      <c r="C4" s="25" t="str">
        <f>IFERROR(__xludf.DUMMYFUNCTION("""COMPUTED_VALUE"""),"SelectTradeUsingMTT")</f>
        <v>SelectTradeUsingMTT</v>
      </c>
      <c r="D4" s="25" t="str">
        <f>IFERROR(__xludf.DUMMYFUNCTION("""COMPUTED_VALUE"""),"GetPriceUsingMTT")</f>
        <v>GetPriceUsingMTT</v>
      </c>
      <c r="E4" s="25" t="str">
        <f>IFERROR(__xludf.DUMMYFUNCTION("""COMPUTED_VALUE"""),"DoneAwayUsingMTT")</f>
        <v>DoneAwayUsingMTT</v>
      </c>
      <c r="F4" s="25" t="str">
        <f>IFERROR(__xludf.DUMMYFUNCTION("""COMPUTED_VALUE"""),"SendOrderUsingMTT")</f>
        <v>SendOrderUsingMTT</v>
      </c>
      <c r="G4" s="25" t="str">
        <f>IFERROR(__xludf.DUMMYFUNCTION("""COMPUTED_VALUE"""),"BulkChangeTradeDoneAway")</f>
        <v>BulkChangeTradeDoneAway</v>
      </c>
      <c r="H4" s="25"/>
      <c r="I4" s="25"/>
      <c r="J4" s="25"/>
      <c r="K4" s="25"/>
      <c r="L4" s="25"/>
      <c r="M4" s="25"/>
      <c r="N4" s="25"/>
      <c r="O4" s="25"/>
      <c r="P4" s="26"/>
      <c r="Q4" s="26"/>
      <c r="R4" s="26"/>
      <c r="S4" s="26"/>
      <c r="T4" s="26"/>
      <c r="U4" s="26"/>
      <c r="V4" s="26"/>
      <c r="W4" s="26"/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IFERROR(__xludf.DUMMYFUNCTION("""COMPUTED_VALUE"""),"Symbol")</f>
        <v>Symbol</v>
      </c>
      <c r="C5" s="28" t="str">
        <f>IFERROR(__xludf.DUMMYFUNCTION("""COMPUTED_VALUE"""),"Order Side")</f>
        <v>Order Side</v>
      </c>
      <c r="D5" s="28" t="str">
        <f>IFERROR(__xludf.DUMMYFUNCTION("""COMPUTED_VALUE"""),"Quantity")</f>
        <v>Quantity</v>
      </c>
      <c r="E5" s="28" t="str">
        <f>IFERROR(__xludf.DUMMYFUNCTION("""COMPUTED_VALUE"""),"Target Quantity")</f>
        <v>Target Quantity</v>
      </c>
      <c r="F5" s="29" t="str">
        <f>IFERROR(__xludf.DUMMYFUNCTION("""COMPUTED_VALUE"""),"Allocation")</f>
        <v>Allocation</v>
      </c>
      <c r="G5" s="28" t="str">
        <f>IFERROR(__xludf.DUMMYFUNCTION("""COMPUTED_VALUE"""),"Broker")</f>
        <v>Broker</v>
      </c>
      <c r="H5" s="28" t="str">
        <f>IFERROR(__xludf.DUMMYFUNCTION("""COMPUTED_VALUE"""),"TIF")</f>
        <v>TIF</v>
      </c>
      <c r="I5" s="28" t="str">
        <f>IFERROR(__xludf.DUMMYFUNCTION("""COMPUTED_VALUE"""),"Order Type")</f>
        <v>Order Type</v>
      </c>
      <c r="J5" s="28" t="str">
        <f>IFERROR(__xludf.DUMMYFUNCTION("""COMPUTED_VALUE"""),"Price")</f>
        <v>Price</v>
      </c>
      <c r="K5" s="28" t="str">
        <f>IFERROR(__xludf.DUMMYFUNCTION("""COMPUTED_VALUE"""),"Stop")</f>
        <v>Stop</v>
      </c>
      <c r="L5" s="28" t="str">
        <f>IFERROR(__xludf.DUMMYFUNCTION("""COMPUTED_VALUE"""),"Limit")</f>
        <v>Limit</v>
      </c>
      <c r="M5" s="28" t="str">
        <f>IFERROR(__xludf.DUMMYFUNCTION("""COMPUTED_VALUE"""),"Strategy")</f>
        <v>Strategy</v>
      </c>
      <c r="N5" s="28" t="str">
        <f>IFERROR(__xludf.DUMMYFUNCTION("""COMPUTED_VALUE"""),"Trade Date")</f>
        <v>Trade Date</v>
      </c>
      <c r="O5" s="28" t="str">
        <f>IFERROR(__xludf.DUMMYFUNCTION("""COMPUTED_VALUE"""),"FX Rate")</f>
        <v>FX Rate</v>
      </c>
      <c r="P5" s="28" t="str">
        <f>IFERROR(__xludf.DUMMYFUNCTION("""COMPUTED_VALUE"""),"Notes")</f>
        <v>Notes</v>
      </c>
      <c r="Q5" s="28" t="str">
        <f>IFERROR(__xludf.DUMMYFUNCTION("""COMPUTED_VALUE"""),"Broker Notes")</f>
        <v>Broker Notes</v>
      </c>
      <c r="R5" s="28" t="str">
        <f>IFERROR(__xludf.DUMMYFUNCTION("""COMPUTED_VALUE"""),"Commission Basis")</f>
        <v>Commission Basis</v>
      </c>
      <c r="S5" s="28" t="str">
        <f>IFERROR(__xludf.DUMMYFUNCTION("""COMPUTED_VALUE"""),"Commission Rate")</f>
        <v>Commission Rate</v>
      </c>
      <c r="T5" s="30" t="str">
        <f>IFERROR(__xludf.DUMMYFUNCTION("""COMPUTED_VALUE"""),"Soft Basis")</f>
        <v>Soft Basis</v>
      </c>
      <c r="U5" s="30" t="str">
        <f>IFERROR(__xludf.DUMMYFUNCTION("""COMPUTED_VALUE"""),"Soft Rate")</f>
        <v>Soft Rate</v>
      </c>
      <c r="V5" s="30" t="str">
        <f>IFERROR(__xludf.DUMMYFUNCTION("""COMPUTED_VALUE"""),"Trade Attribute 1")</f>
        <v>Trade Attribute 1</v>
      </c>
      <c r="W5" s="30" t="str">
        <f>IFERROR(__xludf.DUMMYFUNCTION("""COMPUTED_VALUE"""),"Trade Attribute 2")</f>
        <v>Trade Attribute 2</v>
      </c>
      <c r="X5" s="30" t="str">
        <f>IFERROR(__xludf.DUMMYFUNCTION("""COMPUTED_VALUE"""),"Trade Attribute 3")</f>
        <v>Trade Attribute 3</v>
      </c>
      <c r="Y5" s="30" t="str">
        <f>IFERROR(__xludf.DUMMYFUNCTION("""COMPUTED_VALUE"""),"Trade Attribute 4")</f>
        <v>Trade Attribute 4</v>
      </c>
      <c r="Z5" s="30" t="str">
        <f>IFERROR(__xludf.DUMMYFUNCTION("""COMPUTED_VALUE"""),"Trade Attribute 5")</f>
        <v>Trade Attribute 5</v>
      </c>
      <c r="AA5" s="30" t="str">
        <f>IFERROR(__xludf.DUMMYFUNCTION("""COMPUTED_VALUE"""),"Trade Attribute 6")</f>
        <v>Trade Attribute 6</v>
      </c>
      <c r="AB5" s="30" t="str">
        <f>IFERROR(__xludf.DUMMYFUNCTION("""COMPUTED_VALUE"""),"Venue")</f>
        <v>Venue</v>
      </c>
      <c r="AC5" s="30" t="str">
        <f>IFERROR(__xludf.DUMMYFUNCTION("""COMPUTED_VALUE"""),"Execution Instructions")</f>
        <v>Execution Instructions</v>
      </c>
      <c r="AD5" s="30" t="str">
        <f>IFERROR(__xludf.DUMMYFUNCTION("""COMPUTED_VALUE"""),"Handling Instructions")</f>
        <v>Handling Instructions</v>
      </c>
      <c r="AE5" s="30" t="str">
        <f>IFERROR(__xludf.DUMMYFUNCTION("""COMPUTED_VALUE"""),"Trader")</f>
        <v>Trader</v>
      </c>
      <c r="AF5" s="30" t="str">
        <f>IFERROR(__xludf.DUMMYFUNCTION("""COMPUTED_VALUE"""),"Settlement Currency")</f>
        <v>Settlement Currency</v>
      </c>
      <c r="AG5" s="30" t="str">
        <f>IFERROR(__xludf.DUMMYFUNCTION("""COMPUTED_VALUE"""),"Settlement Fx Rate")</f>
        <v>Settlement Fx Rate</v>
      </c>
      <c r="AH5" s="30" t="str">
        <f>IFERROR(__xludf.DUMMYFUNCTION("""COMPUTED_VALUE"""),"Settlement Amount")</f>
        <v>Settlement Amount</v>
      </c>
      <c r="AI5" s="30" t="str">
        <f>IFERROR(__xludf.DUMMYFUNCTION("""COMPUTED_VALUE"""),"Settlement Fx Operator")</f>
        <v>Settlement Fx Operator</v>
      </c>
      <c r="AJ5" s="30" t="str">
        <f>IFERROR(__xludf.DUMMYFUNCTION("""COMPUTED_VALUE"""),"ImportFileName")</f>
        <v>ImportFileName</v>
      </c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 t="s">
        <v>22</v>
      </c>
      <c r="C6" s="13" t="s">
        <v>23</v>
      </c>
      <c r="D6" s="13">
        <v>100.0</v>
      </c>
      <c r="E6" s="31"/>
      <c r="F6" s="13" t="s">
        <v>24</v>
      </c>
      <c r="G6" s="8"/>
      <c r="H6" s="8"/>
      <c r="I6" s="8"/>
      <c r="J6" s="13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SelectTradeUsingMTT!$4:$4</formula1>
    </dataValidation>
  </dataValidations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29</v>
      </c>
      <c r="D3" s="5" t="s">
        <v>9</v>
      </c>
      <c r="E3" s="23" t="s">
        <v>31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IFERROR(__xludf.DUMMYFUNCTION("IF(C3="""","""",Transpose(IMPORTRANGE('_Settings'!$B$3,C3&amp;""!A4:A1000"")))"),"EditTradeUsingMTT")</f>
        <v>EditTradeUsingMTT</v>
      </c>
      <c r="C4" s="25" t="str">
        <f>IFERROR(__xludf.DUMMYFUNCTION("""COMPUTED_VALUE"""),"SelectTradeUsingMTT")</f>
        <v>SelectTradeUsingMTT</v>
      </c>
      <c r="D4" s="25" t="str">
        <f>IFERROR(__xludf.DUMMYFUNCTION("""COMPUTED_VALUE"""),"GetPriceUsingMTT")</f>
        <v>GetPriceUsingMTT</v>
      </c>
      <c r="E4" s="25" t="str">
        <f>IFERROR(__xludf.DUMMYFUNCTION("""COMPUTED_VALUE"""),"DoneAwayUsingMTT")</f>
        <v>DoneAwayUsingMTT</v>
      </c>
      <c r="F4" s="25" t="str">
        <f>IFERROR(__xludf.DUMMYFUNCTION("""COMPUTED_VALUE"""),"SendOrderUsingMTT")</f>
        <v>SendOrderUsingMTT</v>
      </c>
      <c r="G4" s="25" t="str">
        <f>IFERROR(__xludf.DUMMYFUNCTION("""COMPUTED_VALUE"""),"BulkChangeTradeDoneAway")</f>
        <v>BulkChangeTradeDoneAway</v>
      </c>
      <c r="H4" s="25"/>
      <c r="I4" s="25"/>
      <c r="J4" s="25"/>
      <c r="K4" s="25"/>
      <c r="L4" s="25"/>
      <c r="M4" s="25"/>
      <c r="N4" s="25"/>
      <c r="O4" s="25"/>
      <c r="P4" s="26"/>
      <c r="Q4" s="26"/>
      <c r="R4" s="26"/>
      <c r="S4" s="26"/>
      <c r="T4" s="26"/>
      <c r="U4" s="26"/>
      <c r="V4" s="26"/>
      <c r="W4" s="26"/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IFERROR(__xludf.DUMMYFUNCTION("""COMPUTED_VALUE"""),"Symbol")</f>
        <v>Symbol</v>
      </c>
      <c r="C5" s="28" t="str">
        <f>IFERROR(__xludf.DUMMYFUNCTION("""COMPUTED_VALUE"""),"Order Side")</f>
        <v>Order Side</v>
      </c>
      <c r="D5" s="28" t="str">
        <f>IFERROR(__xludf.DUMMYFUNCTION("""COMPUTED_VALUE"""),"Quantity")</f>
        <v>Quantity</v>
      </c>
      <c r="E5" s="28" t="str">
        <f>IFERROR(__xludf.DUMMYFUNCTION("""COMPUTED_VALUE"""),"Target Quantity")</f>
        <v>Target Quantity</v>
      </c>
      <c r="F5" s="29" t="str">
        <f>IFERROR(__xludf.DUMMYFUNCTION("""COMPUTED_VALUE"""),"Allocation")</f>
        <v>Allocation</v>
      </c>
      <c r="G5" s="28" t="str">
        <f>IFERROR(__xludf.DUMMYFUNCTION("""COMPUTED_VALUE"""),"Broker")</f>
        <v>Broker</v>
      </c>
      <c r="H5" s="28" t="str">
        <f>IFERROR(__xludf.DUMMYFUNCTION("""COMPUTED_VALUE"""),"TIF")</f>
        <v>TIF</v>
      </c>
      <c r="I5" s="28" t="str">
        <f>IFERROR(__xludf.DUMMYFUNCTION("""COMPUTED_VALUE"""),"Order Type")</f>
        <v>Order Type</v>
      </c>
      <c r="J5" s="28" t="str">
        <f>IFERROR(__xludf.DUMMYFUNCTION("""COMPUTED_VALUE"""),"Price")</f>
        <v>Price</v>
      </c>
      <c r="K5" s="28" t="str">
        <f>IFERROR(__xludf.DUMMYFUNCTION("""COMPUTED_VALUE"""),"Stop")</f>
        <v>Stop</v>
      </c>
      <c r="L5" s="28" t="str">
        <f>IFERROR(__xludf.DUMMYFUNCTION("""COMPUTED_VALUE"""),"Limit")</f>
        <v>Limit</v>
      </c>
      <c r="M5" s="28" t="str">
        <f>IFERROR(__xludf.DUMMYFUNCTION("""COMPUTED_VALUE"""),"Strategy")</f>
        <v>Strategy</v>
      </c>
      <c r="N5" s="28" t="str">
        <f>IFERROR(__xludf.DUMMYFUNCTION("""COMPUTED_VALUE"""),"Trade Date")</f>
        <v>Trade Date</v>
      </c>
      <c r="O5" s="28" t="str">
        <f>IFERROR(__xludf.DUMMYFUNCTION("""COMPUTED_VALUE"""),"FX Rate")</f>
        <v>FX Rate</v>
      </c>
      <c r="P5" s="28" t="str">
        <f>IFERROR(__xludf.DUMMYFUNCTION("""COMPUTED_VALUE"""),"Notes")</f>
        <v>Notes</v>
      </c>
      <c r="Q5" s="28" t="str">
        <f>IFERROR(__xludf.DUMMYFUNCTION("""COMPUTED_VALUE"""),"Broker Notes")</f>
        <v>Broker Notes</v>
      </c>
      <c r="R5" s="28" t="str">
        <f>IFERROR(__xludf.DUMMYFUNCTION("""COMPUTED_VALUE"""),"Commission Basis")</f>
        <v>Commission Basis</v>
      </c>
      <c r="S5" s="28" t="str">
        <f>IFERROR(__xludf.DUMMYFUNCTION("""COMPUTED_VALUE"""),"Commission Rate")</f>
        <v>Commission Rate</v>
      </c>
      <c r="T5" s="30" t="str">
        <f>IFERROR(__xludf.DUMMYFUNCTION("""COMPUTED_VALUE"""),"Soft Basis")</f>
        <v>Soft Basis</v>
      </c>
      <c r="U5" s="30" t="str">
        <f>IFERROR(__xludf.DUMMYFUNCTION("""COMPUTED_VALUE"""),"Soft Rate")</f>
        <v>Soft Rate</v>
      </c>
      <c r="V5" s="30" t="str">
        <f>IFERROR(__xludf.DUMMYFUNCTION("""COMPUTED_VALUE"""),"Trade Attribute 1")</f>
        <v>Trade Attribute 1</v>
      </c>
      <c r="W5" s="30" t="str">
        <f>IFERROR(__xludf.DUMMYFUNCTION("""COMPUTED_VALUE"""),"Trade Attribute 2")</f>
        <v>Trade Attribute 2</v>
      </c>
      <c r="X5" s="30" t="str">
        <f>IFERROR(__xludf.DUMMYFUNCTION("""COMPUTED_VALUE"""),"Trade Attribute 3")</f>
        <v>Trade Attribute 3</v>
      </c>
      <c r="Y5" s="30" t="str">
        <f>IFERROR(__xludf.DUMMYFUNCTION("""COMPUTED_VALUE"""),"Trade Attribute 4")</f>
        <v>Trade Attribute 4</v>
      </c>
      <c r="Z5" s="30" t="str">
        <f>IFERROR(__xludf.DUMMYFUNCTION("""COMPUTED_VALUE"""),"Trade Attribute 5")</f>
        <v>Trade Attribute 5</v>
      </c>
      <c r="AA5" s="30" t="str">
        <f>IFERROR(__xludf.DUMMYFUNCTION("""COMPUTED_VALUE"""),"Trade Attribute 6")</f>
        <v>Trade Attribute 6</v>
      </c>
      <c r="AB5" s="30" t="str">
        <f>IFERROR(__xludf.DUMMYFUNCTION("""COMPUTED_VALUE"""),"Venue")</f>
        <v>Venue</v>
      </c>
      <c r="AC5" s="30" t="str">
        <f>IFERROR(__xludf.DUMMYFUNCTION("""COMPUTED_VALUE"""),"Execution Instructions")</f>
        <v>Execution Instructions</v>
      </c>
      <c r="AD5" s="30" t="str">
        <f>IFERROR(__xludf.DUMMYFUNCTION("""COMPUTED_VALUE"""),"Handling Instructions")</f>
        <v>Handling Instructions</v>
      </c>
      <c r="AE5" s="30" t="str">
        <f>IFERROR(__xludf.DUMMYFUNCTION("""COMPUTED_VALUE"""),"Trader")</f>
        <v>Trader</v>
      </c>
      <c r="AF5" s="30" t="str">
        <f>IFERROR(__xludf.DUMMYFUNCTION("""COMPUTED_VALUE"""),"Settlement Currency")</f>
        <v>Settlement Currency</v>
      </c>
      <c r="AG5" s="30" t="str">
        <f>IFERROR(__xludf.DUMMYFUNCTION("""COMPUTED_VALUE"""),"Settlement Fx Rate")</f>
        <v>Settlement Fx Rate</v>
      </c>
      <c r="AH5" s="30" t="str">
        <f>IFERROR(__xludf.DUMMYFUNCTION("""COMPUTED_VALUE"""),"Settlement Amount")</f>
        <v>Settlement Amount</v>
      </c>
      <c r="AI5" s="30" t="str">
        <f>IFERROR(__xludf.DUMMYFUNCTION("""COMPUTED_VALUE"""),"Settlement Fx Operator")</f>
        <v>Settlement Fx Operator</v>
      </c>
      <c r="AJ5" s="30" t="str">
        <f>IFERROR(__xludf.DUMMYFUNCTION("""COMPUTED_VALUE"""),"ImportFileName")</f>
        <v>ImportFileName</v>
      </c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/>
      <c r="C6" s="8"/>
      <c r="D6" s="13"/>
      <c r="E6" s="31"/>
      <c r="F6" s="8"/>
      <c r="G6" s="13" t="s">
        <v>19</v>
      </c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EditTradeUsingMTT!$4:$4</formula1>
    </dataValidation>
  </dataValidations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29</v>
      </c>
      <c r="D3" s="5" t="s">
        <v>9</v>
      </c>
      <c r="E3" s="23" t="s">
        <v>30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IFERROR(__xludf.DUMMYFUNCTION("IF(C3="""","""",Transpose(IMPORTRANGE('_Settings'!$B$3,C3&amp;""!A4:A1000"")))"),"EditTradeUsingMTT")</f>
        <v>EditTradeUsingMTT</v>
      </c>
      <c r="C4" s="25" t="str">
        <f>IFERROR(__xludf.DUMMYFUNCTION("""COMPUTED_VALUE"""),"SelectTradeUsingMTT")</f>
        <v>SelectTradeUsingMTT</v>
      </c>
      <c r="D4" s="25" t="str">
        <f>IFERROR(__xludf.DUMMYFUNCTION("""COMPUTED_VALUE"""),"GetPriceUsingMTT")</f>
        <v>GetPriceUsingMTT</v>
      </c>
      <c r="E4" s="25" t="str">
        <f>IFERROR(__xludf.DUMMYFUNCTION("""COMPUTED_VALUE"""),"DoneAwayUsingMTT")</f>
        <v>DoneAwayUsingMTT</v>
      </c>
      <c r="F4" s="25" t="str">
        <f>IFERROR(__xludf.DUMMYFUNCTION("""COMPUTED_VALUE"""),"SendOrderUsingMTT")</f>
        <v>SendOrderUsingMTT</v>
      </c>
      <c r="G4" s="25" t="str">
        <f>IFERROR(__xludf.DUMMYFUNCTION("""COMPUTED_VALUE"""),"BulkChangeTradeDoneAway")</f>
        <v>BulkChangeTradeDoneAway</v>
      </c>
      <c r="H4" s="25"/>
      <c r="I4" s="25"/>
      <c r="J4" s="25"/>
      <c r="K4" s="25"/>
      <c r="L4" s="25"/>
      <c r="M4" s="25"/>
      <c r="N4" s="25"/>
      <c r="O4" s="25"/>
      <c r="P4" s="26"/>
      <c r="Q4" s="26"/>
      <c r="R4" s="26"/>
      <c r="S4" s="26"/>
      <c r="T4" s="26"/>
      <c r="U4" s="26"/>
      <c r="V4" s="26"/>
      <c r="W4" s="26"/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IFERROR(__xludf.DUMMYFUNCTION("""COMPUTED_VALUE"""),"Symbol")</f>
        <v>Symbol</v>
      </c>
      <c r="C5" s="28" t="str">
        <f>IFERROR(__xludf.DUMMYFUNCTION("""COMPUTED_VALUE"""),"Order Side")</f>
        <v>Order Side</v>
      </c>
      <c r="D5" s="28" t="str">
        <f>IFERROR(__xludf.DUMMYFUNCTION("""COMPUTED_VALUE"""),"Quantity")</f>
        <v>Quantity</v>
      </c>
      <c r="E5" s="28" t="str">
        <f>IFERROR(__xludf.DUMMYFUNCTION("""COMPUTED_VALUE"""),"Target Quantity")</f>
        <v>Target Quantity</v>
      </c>
      <c r="F5" s="29" t="str">
        <f>IFERROR(__xludf.DUMMYFUNCTION("""COMPUTED_VALUE"""),"Allocation")</f>
        <v>Allocation</v>
      </c>
      <c r="G5" s="28" t="str">
        <f>IFERROR(__xludf.DUMMYFUNCTION("""COMPUTED_VALUE"""),"Broker")</f>
        <v>Broker</v>
      </c>
      <c r="H5" s="28" t="str">
        <f>IFERROR(__xludf.DUMMYFUNCTION("""COMPUTED_VALUE"""),"TIF")</f>
        <v>TIF</v>
      </c>
      <c r="I5" s="28" t="str">
        <f>IFERROR(__xludf.DUMMYFUNCTION("""COMPUTED_VALUE"""),"Order Type")</f>
        <v>Order Type</v>
      </c>
      <c r="J5" s="28" t="str">
        <f>IFERROR(__xludf.DUMMYFUNCTION("""COMPUTED_VALUE"""),"Price")</f>
        <v>Price</v>
      </c>
      <c r="K5" s="28" t="str">
        <f>IFERROR(__xludf.DUMMYFUNCTION("""COMPUTED_VALUE"""),"Stop")</f>
        <v>Stop</v>
      </c>
      <c r="L5" s="28" t="str">
        <f>IFERROR(__xludf.DUMMYFUNCTION("""COMPUTED_VALUE"""),"Limit")</f>
        <v>Limit</v>
      </c>
      <c r="M5" s="28" t="str">
        <f>IFERROR(__xludf.DUMMYFUNCTION("""COMPUTED_VALUE"""),"Strategy")</f>
        <v>Strategy</v>
      </c>
      <c r="N5" s="28" t="str">
        <f>IFERROR(__xludf.DUMMYFUNCTION("""COMPUTED_VALUE"""),"Trade Date")</f>
        <v>Trade Date</v>
      </c>
      <c r="O5" s="28" t="str">
        <f>IFERROR(__xludf.DUMMYFUNCTION("""COMPUTED_VALUE"""),"FX Rate")</f>
        <v>FX Rate</v>
      </c>
      <c r="P5" s="28" t="str">
        <f>IFERROR(__xludf.DUMMYFUNCTION("""COMPUTED_VALUE"""),"Notes")</f>
        <v>Notes</v>
      </c>
      <c r="Q5" s="28" t="str">
        <f>IFERROR(__xludf.DUMMYFUNCTION("""COMPUTED_VALUE"""),"Broker Notes")</f>
        <v>Broker Notes</v>
      </c>
      <c r="R5" s="28" t="str">
        <f>IFERROR(__xludf.DUMMYFUNCTION("""COMPUTED_VALUE"""),"Commission Basis")</f>
        <v>Commission Basis</v>
      </c>
      <c r="S5" s="28" t="str">
        <f>IFERROR(__xludf.DUMMYFUNCTION("""COMPUTED_VALUE"""),"Commission Rate")</f>
        <v>Commission Rate</v>
      </c>
      <c r="T5" s="30" t="str">
        <f>IFERROR(__xludf.DUMMYFUNCTION("""COMPUTED_VALUE"""),"Soft Basis")</f>
        <v>Soft Basis</v>
      </c>
      <c r="U5" s="30" t="str">
        <f>IFERROR(__xludf.DUMMYFUNCTION("""COMPUTED_VALUE"""),"Soft Rate")</f>
        <v>Soft Rate</v>
      </c>
      <c r="V5" s="30" t="str">
        <f>IFERROR(__xludf.DUMMYFUNCTION("""COMPUTED_VALUE"""),"Trade Attribute 1")</f>
        <v>Trade Attribute 1</v>
      </c>
      <c r="W5" s="30" t="str">
        <f>IFERROR(__xludf.DUMMYFUNCTION("""COMPUTED_VALUE"""),"Trade Attribute 2")</f>
        <v>Trade Attribute 2</v>
      </c>
      <c r="X5" s="30" t="str">
        <f>IFERROR(__xludf.DUMMYFUNCTION("""COMPUTED_VALUE"""),"Trade Attribute 3")</f>
        <v>Trade Attribute 3</v>
      </c>
      <c r="Y5" s="30" t="str">
        <f>IFERROR(__xludf.DUMMYFUNCTION("""COMPUTED_VALUE"""),"Trade Attribute 4")</f>
        <v>Trade Attribute 4</v>
      </c>
      <c r="Z5" s="30" t="str">
        <f>IFERROR(__xludf.DUMMYFUNCTION("""COMPUTED_VALUE"""),"Trade Attribute 5")</f>
        <v>Trade Attribute 5</v>
      </c>
      <c r="AA5" s="30" t="str">
        <f>IFERROR(__xludf.DUMMYFUNCTION("""COMPUTED_VALUE"""),"Trade Attribute 6")</f>
        <v>Trade Attribute 6</v>
      </c>
      <c r="AB5" s="30" t="str">
        <f>IFERROR(__xludf.DUMMYFUNCTION("""COMPUTED_VALUE"""),"Venue")</f>
        <v>Venue</v>
      </c>
      <c r="AC5" s="30" t="str">
        <f>IFERROR(__xludf.DUMMYFUNCTION("""COMPUTED_VALUE"""),"Execution Instructions")</f>
        <v>Execution Instructions</v>
      </c>
      <c r="AD5" s="30" t="str">
        <f>IFERROR(__xludf.DUMMYFUNCTION("""COMPUTED_VALUE"""),"Handling Instructions")</f>
        <v>Handling Instructions</v>
      </c>
      <c r="AE5" s="30" t="str">
        <f>IFERROR(__xludf.DUMMYFUNCTION("""COMPUTED_VALUE"""),"Trader")</f>
        <v>Trader</v>
      </c>
      <c r="AF5" s="30" t="str">
        <f>IFERROR(__xludf.DUMMYFUNCTION("""COMPUTED_VALUE"""),"Settlement Currency")</f>
        <v>Settlement Currency</v>
      </c>
      <c r="AG5" s="30" t="str">
        <f>IFERROR(__xludf.DUMMYFUNCTION("""COMPUTED_VALUE"""),"Settlement Fx Rate")</f>
        <v>Settlement Fx Rate</v>
      </c>
      <c r="AH5" s="30" t="str">
        <f>IFERROR(__xludf.DUMMYFUNCTION("""COMPUTED_VALUE"""),"Settlement Amount")</f>
        <v>Settlement Amount</v>
      </c>
      <c r="AI5" s="30" t="str">
        <f>IFERROR(__xludf.DUMMYFUNCTION("""COMPUTED_VALUE"""),"Settlement Fx Operator")</f>
        <v>Settlement Fx Operator</v>
      </c>
      <c r="AJ5" s="30" t="str">
        <f>IFERROR(__xludf.DUMMYFUNCTION("""COMPUTED_VALUE"""),"ImportFileName")</f>
        <v>ImportFileName</v>
      </c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 t="s">
        <v>25</v>
      </c>
      <c r="C6" s="13" t="s">
        <v>23</v>
      </c>
      <c r="D6" s="13">
        <v>200.0</v>
      </c>
      <c r="E6" s="31"/>
      <c r="F6" s="13" t="s">
        <v>24</v>
      </c>
      <c r="G6" s="8"/>
      <c r="H6" s="8"/>
      <c r="I6" s="8"/>
      <c r="J6" s="13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SelectTradeUsingMTT1!$4:$4</formula1>
    </dataValidation>
    <dataValidation type="list" allowBlank="1" showInputMessage="1" showErrorMessage="1" prompt="Choose a format for current sheet" sqref="G3">
      <formula1>"Input Format,Output Format"</formula1>
    </dataValidation>
  </dataValidations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29</v>
      </c>
      <c r="D3" s="5" t="s">
        <v>9</v>
      </c>
      <c r="E3" s="23" t="s">
        <v>31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IFERROR(__xludf.DUMMYFUNCTION("IF(C3="""","""",Transpose(IMPORTRANGE('_Settings'!$B$3,C3&amp;""!A4:A1000"")))"),"EditTradeUsingMTT")</f>
        <v>EditTradeUsingMTT</v>
      </c>
      <c r="C4" s="25" t="str">
        <f>IFERROR(__xludf.DUMMYFUNCTION("""COMPUTED_VALUE"""),"SelectTradeUsingMTT")</f>
        <v>SelectTradeUsingMTT</v>
      </c>
      <c r="D4" s="25" t="str">
        <f>IFERROR(__xludf.DUMMYFUNCTION("""COMPUTED_VALUE"""),"GetPriceUsingMTT")</f>
        <v>GetPriceUsingMTT</v>
      </c>
      <c r="E4" s="25" t="str">
        <f>IFERROR(__xludf.DUMMYFUNCTION("""COMPUTED_VALUE"""),"DoneAwayUsingMTT")</f>
        <v>DoneAwayUsingMTT</v>
      </c>
      <c r="F4" s="25" t="str">
        <f>IFERROR(__xludf.DUMMYFUNCTION("""COMPUTED_VALUE"""),"SendOrderUsingMTT")</f>
        <v>SendOrderUsingMTT</v>
      </c>
      <c r="G4" s="25" t="str">
        <f>IFERROR(__xludf.DUMMYFUNCTION("""COMPUTED_VALUE"""),"BulkChangeTradeDoneAway")</f>
        <v>BulkChangeTradeDoneAway</v>
      </c>
      <c r="H4" s="25"/>
      <c r="I4" s="25"/>
      <c r="J4" s="25"/>
      <c r="K4" s="25"/>
      <c r="L4" s="25"/>
      <c r="M4" s="25"/>
      <c r="N4" s="25"/>
      <c r="O4" s="25"/>
      <c r="P4" s="26"/>
      <c r="Q4" s="26"/>
      <c r="R4" s="26"/>
      <c r="S4" s="26"/>
      <c r="T4" s="26"/>
      <c r="U4" s="26"/>
      <c r="V4" s="26"/>
      <c r="W4" s="26"/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IFERROR(__xludf.DUMMYFUNCTION("""COMPUTED_VALUE"""),"Symbol")</f>
        <v>Symbol</v>
      </c>
      <c r="C5" s="28" t="str">
        <f>IFERROR(__xludf.DUMMYFUNCTION("""COMPUTED_VALUE"""),"Order Side")</f>
        <v>Order Side</v>
      </c>
      <c r="D5" s="28" t="str">
        <f>IFERROR(__xludf.DUMMYFUNCTION("""COMPUTED_VALUE"""),"Quantity")</f>
        <v>Quantity</v>
      </c>
      <c r="E5" s="28" t="str">
        <f>IFERROR(__xludf.DUMMYFUNCTION("""COMPUTED_VALUE"""),"Target Quantity")</f>
        <v>Target Quantity</v>
      </c>
      <c r="F5" s="29" t="str">
        <f>IFERROR(__xludf.DUMMYFUNCTION("""COMPUTED_VALUE"""),"Allocation")</f>
        <v>Allocation</v>
      </c>
      <c r="G5" s="28" t="str">
        <f>IFERROR(__xludf.DUMMYFUNCTION("""COMPUTED_VALUE"""),"Broker")</f>
        <v>Broker</v>
      </c>
      <c r="H5" s="28" t="str">
        <f>IFERROR(__xludf.DUMMYFUNCTION("""COMPUTED_VALUE"""),"TIF")</f>
        <v>TIF</v>
      </c>
      <c r="I5" s="28" t="str">
        <f>IFERROR(__xludf.DUMMYFUNCTION("""COMPUTED_VALUE"""),"Order Type")</f>
        <v>Order Type</v>
      </c>
      <c r="J5" s="28" t="str">
        <f>IFERROR(__xludf.DUMMYFUNCTION("""COMPUTED_VALUE"""),"Price")</f>
        <v>Price</v>
      </c>
      <c r="K5" s="28" t="str">
        <f>IFERROR(__xludf.DUMMYFUNCTION("""COMPUTED_VALUE"""),"Stop")</f>
        <v>Stop</v>
      </c>
      <c r="L5" s="28" t="str">
        <f>IFERROR(__xludf.DUMMYFUNCTION("""COMPUTED_VALUE"""),"Limit")</f>
        <v>Limit</v>
      </c>
      <c r="M5" s="28" t="str">
        <f>IFERROR(__xludf.DUMMYFUNCTION("""COMPUTED_VALUE"""),"Strategy")</f>
        <v>Strategy</v>
      </c>
      <c r="N5" s="28" t="str">
        <f>IFERROR(__xludf.DUMMYFUNCTION("""COMPUTED_VALUE"""),"Trade Date")</f>
        <v>Trade Date</v>
      </c>
      <c r="O5" s="28" t="str">
        <f>IFERROR(__xludf.DUMMYFUNCTION("""COMPUTED_VALUE"""),"FX Rate")</f>
        <v>FX Rate</v>
      </c>
      <c r="P5" s="28" t="str">
        <f>IFERROR(__xludf.DUMMYFUNCTION("""COMPUTED_VALUE"""),"Notes")</f>
        <v>Notes</v>
      </c>
      <c r="Q5" s="28" t="str">
        <f>IFERROR(__xludf.DUMMYFUNCTION("""COMPUTED_VALUE"""),"Broker Notes")</f>
        <v>Broker Notes</v>
      </c>
      <c r="R5" s="28" t="str">
        <f>IFERROR(__xludf.DUMMYFUNCTION("""COMPUTED_VALUE"""),"Commission Basis")</f>
        <v>Commission Basis</v>
      </c>
      <c r="S5" s="28" t="str">
        <f>IFERROR(__xludf.DUMMYFUNCTION("""COMPUTED_VALUE"""),"Commission Rate")</f>
        <v>Commission Rate</v>
      </c>
      <c r="T5" s="30" t="str">
        <f>IFERROR(__xludf.DUMMYFUNCTION("""COMPUTED_VALUE"""),"Soft Basis")</f>
        <v>Soft Basis</v>
      </c>
      <c r="U5" s="30" t="str">
        <f>IFERROR(__xludf.DUMMYFUNCTION("""COMPUTED_VALUE"""),"Soft Rate")</f>
        <v>Soft Rate</v>
      </c>
      <c r="V5" s="30" t="str">
        <f>IFERROR(__xludf.DUMMYFUNCTION("""COMPUTED_VALUE"""),"Trade Attribute 1")</f>
        <v>Trade Attribute 1</v>
      </c>
      <c r="W5" s="30" t="str">
        <f>IFERROR(__xludf.DUMMYFUNCTION("""COMPUTED_VALUE"""),"Trade Attribute 2")</f>
        <v>Trade Attribute 2</v>
      </c>
      <c r="X5" s="30" t="str">
        <f>IFERROR(__xludf.DUMMYFUNCTION("""COMPUTED_VALUE"""),"Trade Attribute 3")</f>
        <v>Trade Attribute 3</v>
      </c>
      <c r="Y5" s="30" t="str">
        <f>IFERROR(__xludf.DUMMYFUNCTION("""COMPUTED_VALUE"""),"Trade Attribute 4")</f>
        <v>Trade Attribute 4</v>
      </c>
      <c r="Z5" s="30" t="str">
        <f>IFERROR(__xludf.DUMMYFUNCTION("""COMPUTED_VALUE"""),"Trade Attribute 5")</f>
        <v>Trade Attribute 5</v>
      </c>
      <c r="AA5" s="30" t="str">
        <f>IFERROR(__xludf.DUMMYFUNCTION("""COMPUTED_VALUE"""),"Trade Attribute 6")</f>
        <v>Trade Attribute 6</v>
      </c>
      <c r="AB5" s="30" t="str">
        <f>IFERROR(__xludf.DUMMYFUNCTION("""COMPUTED_VALUE"""),"Venue")</f>
        <v>Venue</v>
      </c>
      <c r="AC5" s="30" t="str">
        <f>IFERROR(__xludf.DUMMYFUNCTION("""COMPUTED_VALUE"""),"Execution Instructions")</f>
        <v>Execution Instructions</v>
      </c>
      <c r="AD5" s="30" t="str">
        <f>IFERROR(__xludf.DUMMYFUNCTION("""COMPUTED_VALUE"""),"Handling Instructions")</f>
        <v>Handling Instructions</v>
      </c>
      <c r="AE5" s="30" t="str">
        <f>IFERROR(__xludf.DUMMYFUNCTION("""COMPUTED_VALUE"""),"Trader")</f>
        <v>Trader</v>
      </c>
      <c r="AF5" s="30" t="str">
        <f>IFERROR(__xludf.DUMMYFUNCTION("""COMPUTED_VALUE"""),"Settlement Currency")</f>
        <v>Settlement Currency</v>
      </c>
      <c r="AG5" s="30" t="str">
        <f>IFERROR(__xludf.DUMMYFUNCTION("""COMPUTED_VALUE"""),"Settlement Fx Rate")</f>
        <v>Settlement Fx Rate</v>
      </c>
      <c r="AH5" s="30" t="str">
        <f>IFERROR(__xludf.DUMMYFUNCTION("""COMPUTED_VALUE"""),"Settlement Amount")</f>
        <v>Settlement Amount</v>
      </c>
      <c r="AI5" s="30" t="str">
        <f>IFERROR(__xludf.DUMMYFUNCTION("""COMPUTED_VALUE"""),"Settlement Fx Operator")</f>
        <v>Settlement Fx Operator</v>
      </c>
      <c r="AJ5" s="30" t="str">
        <f>IFERROR(__xludf.DUMMYFUNCTION("""COMPUTED_VALUE"""),"ImportFileName")</f>
        <v>ImportFileName</v>
      </c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/>
      <c r="C6" s="8"/>
      <c r="D6" s="13"/>
      <c r="E6" s="31"/>
      <c r="F6" s="8"/>
      <c r="G6" s="13" t="s">
        <v>19</v>
      </c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EditTradeUsingMTT1!$4:$4</formula1>
    </dataValidation>
  </dataValidations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29</v>
      </c>
      <c r="D3" s="5" t="s">
        <v>9</v>
      </c>
      <c r="E3" s="23" t="s">
        <v>32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IFERROR(__xludf.DUMMYFUNCTION("IF(C3="""","""",Transpose(IMPORTRANGE('_Settings'!$B$3,C3&amp;""!A4:A1000"")))"),"EditTradeUsingMTT")</f>
        <v>EditTradeUsingMTT</v>
      </c>
      <c r="C4" s="25" t="str">
        <f>IFERROR(__xludf.DUMMYFUNCTION("""COMPUTED_VALUE"""),"SelectTradeUsingMTT")</f>
        <v>SelectTradeUsingMTT</v>
      </c>
      <c r="D4" s="25" t="str">
        <f>IFERROR(__xludf.DUMMYFUNCTION("""COMPUTED_VALUE"""),"GetPriceUsingMTT")</f>
        <v>GetPriceUsingMTT</v>
      </c>
      <c r="E4" s="25" t="str">
        <f>IFERROR(__xludf.DUMMYFUNCTION("""COMPUTED_VALUE"""),"DoneAwayUsingMTT")</f>
        <v>DoneAwayUsingMTT</v>
      </c>
      <c r="F4" s="25" t="str">
        <f>IFERROR(__xludf.DUMMYFUNCTION("""COMPUTED_VALUE"""),"SendOrderUsingMTT")</f>
        <v>SendOrderUsingMTT</v>
      </c>
      <c r="G4" s="25" t="str">
        <f>IFERROR(__xludf.DUMMYFUNCTION("""COMPUTED_VALUE"""),"BulkChangeTradeDoneAway")</f>
        <v>BulkChangeTradeDoneAway</v>
      </c>
      <c r="H4" s="25"/>
      <c r="I4" s="25"/>
      <c r="J4" s="25"/>
      <c r="K4" s="25"/>
      <c r="L4" s="25"/>
      <c r="M4" s="25"/>
      <c r="N4" s="25"/>
      <c r="O4" s="25"/>
      <c r="P4" s="26"/>
      <c r="Q4" s="26"/>
      <c r="R4" s="26"/>
      <c r="S4" s="26"/>
      <c r="T4" s="26"/>
      <c r="U4" s="26"/>
      <c r="V4" s="26"/>
      <c r="W4" s="26"/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IFERROR(__xludf.DUMMYFUNCTION("""COMPUTED_VALUE"""),"Symbol")</f>
        <v>Symbol</v>
      </c>
      <c r="C5" s="28" t="str">
        <f>IFERROR(__xludf.DUMMYFUNCTION("""COMPUTED_VALUE"""),"Order Side")</f>
        <v>Order Side</v>
      </c>
      <c r="D5" s="28" t="str">
        <f>IFERROR(__xludf.DUMMYFUNCTION("""COMPUTED_VALUE"""),"Quantity")</f>
        <v>Quantity</v>
      </c>
      <c r="E5" s="28" t="str">
        <f>IFERROR(__xludf.DUMMYFUNCTION("""COMPUTED_VALUE"""),"Target Quantity")</f>
        <v>Target Quantity</v>
      </c>
      <c r="F5" s="29" t="str">
        <f>IFERROR(__xludf.DUMMYFUNCTION("""COMPUTED_VALUE"""),"Allocation")</f>
        <v>Allocation</v>
      </c>
      <c r="G5" s="28" t="str">
        <f>IFERROR(__xludf.DUMMYFUNCTION("""COMPUTED_VALUE"""),"Broker")</f>
        <v>Broker</v>
      </c>
      <c r="H5" s="28" t="str">
        <f>IFERROR(__xludf.DUMMYFUNCTION("""COMPUTED_VALUE"""),"TIF")</f>
        <v>TIF</v>
      </c>
      <c r="I5" s="28" t="str">
        <f>IFERROR(__xludf.DUMMYFUNCTION("""COMPUTED_VALUE"""),"Order Type")</f>
        <v>Order Type</v>
      </c>
      <c r="J5" s="28" t="str">
        <f>IFERROR(__xludf.DUMMYFUNCTION("""COMPUTED_VALUE"""),"Price")</f>
        <v>Price</v>
      </c>
      <c r="K5" s="28" t="str">
        <f>IFERROR(__xludf.DUMMYFUNCTION("""COMPUTED_VALUE"""),"Stop")</f>
        <v>Stop</v>
      </c>
      <c r="L5" s="28" t="str">
        <f>IFERROR(__xludf.DUMMYFUNCTION("""COMPUTED_VALUE"""),"Limit")</f>
        <v>Limit</v>
      </c>
      <c r="M5" s="28" t="str">
        <f>IFERROR(__xludf.DUMMYFUNCTION("""COMPUTED_VALUE"""),"Strategy")</f>
        <v>Strategy</v>
      </c>
      <c r="N5" s="28" t="str">
        <f>IFERROR(__xludf.DUMMYFUNCTION("""COMPUTED_VALUE"""),"Trade Date")</f>
        <v>Trade Date</v>
      </c>
      <c r="O5" s="28" t="str">
        <f>IFERROR(__xludf.DUMMYFUNCTION("""COMPUTED_VALUE"""),"FX Rate")</f>
        <v>FX Rate</v>
      </c>
      <c r="P5" s="28" t="str">
        <f>IFERROR(__xludf.DUMMYFUNCTION("""COMPUTED_VALUE"""),"Notes")</f>
        <v>Notes</v>
      </c>
      <c r="Q5" s="28" t="str">
        <f>IFERROR(__xludf.DUMMYFUNCTION("""COMPUTED_VALUE"""),"Broker Notes")</f>
        <v>Broker Notes</v>
      </c>
      <c r="R5" s="28" t="str">
        <f>IFERROR(__xludf.DUMMYFUNCTION("""COMPUTED_VALUE"""),"Commission Basis")</f>
        <v>Commission Basis</v>
      </c>
      <c r="S5" s="28" t="str">
        <f>IFERROR(__xludf.DUMMYFUNCTION("""COMPUTED_VALUE"""),"Commission Rate")</f>
        <v>Commission Rate</v>
      </c>
      <c r="T5" s="30" t="str">
        <f>IFERROR(__xludf.DUMMYFUNCTION("""COMPUTED_VALUE"""),"Soft Basis")</f>
        <v>Soft Basis</v>
      </c>
      <c r="U5" s="30" t="str">
        <f>IFERROR(__xludf.DUMMYFUNCTION("""COMPUTED_VALUE"""),"Soft Rate")</f>
        <v>Soft Rate</v>
      </c>
      <c r="V5" s="30" t="str">
        <f>IFERROR(__xludf.DUMMYFUNCTION("""COMPUTED_VALUE"""),"Trade Attribute 1")</f>
        <v>Trade Attribute 1</v>
      </c>
      <c r="W5" s="30" t="str">
        <f>IFERROR(__xludf.DUMMYFUNCTION("""COMPUTED_VALUE"""),"Trade Attribute 2")</f>
        <v>Trade Attribute 2</v>
      </c>
      <c r="X5" s="30" t="str">
        <f>IFERROR(__xludf.DUMMYFUNCTION("""COMPUTED_VALUE"""),"Trade Attribute 3")</f>
        <v>Trade Attribute 3</v>
      </c>
      <c r="Y5" s="30" t="str">
        <f>IFERROR(__xludf.DUMMYFUNCTION("""COMPUTED_VALUE"""),"Trade Attribute 4")</f>
        <v>Trade Attribute 4</v>
      </c>
      <c r="Z5" s="30" t="str">
        <f>IFERROR(__xludf.DUMMYFUNCTION("""COMPUTED_VALUE"""),"Trade Attribute 5")</f>
        <v>Trade Attribute 5</v>
      </c>
      <c r="AA5" s="30" t="str">
        <f>IFERROR(__xludf.DUMMYFUNCTION("""COMPUTED_VALUE"""),"Trade Attribute 6")</f>
        <v>Trade Attribute 6</v>
      </c>
      <c r="AB5" s="30" t="str">
        <f>IFERROR(__xludf.DUMMYFUNCTION("""COMPUTED_VALUE"""),"Venue")</f>
        <v>Venue</v>
      </c>
      <c r="AC5" s="30" t="str">
        <f>IFERROR(__xludf.DUMMYFUNCTION("""COMPUTED_VALUE"""),"Execution Instructions")</f>
        <v>Execution Instructions</v>
      </c>
      <c r="AD5" s="30" t="str">
        <f>IFERROR(__xludf.DUMMYFUNCTION("""COMPUTED_VALUE"""),"Handling Instructions")</f>
        <v>Handling Instructions</v>
      </c>
      <c r="AE5" s="30" t="str">
        <f>IFERROR(__xludf.DUMMYFUNCTION("""COMPUTED_VALUE"""),"Trader")</f>
        <v>Trader</v>
      </c>
      <c r="AF5" s="30" t="str">
        <f>IFERROR(__xludf.DUMMYFUNCTION("""COMPUTED_VALUE"""),"Settlement Currency")</f>
        <v>Settlement Currency</v>
      </c>
      <c r="AG5" s="30" t="str">
        <f>IFERROR(__xludf.DUMMYFUNCTION("""COMPUTED_VALUE"""),"Settlement Fx Rate")</f>
        <v>Settlement Fx Rate</v>
      </c>
      <c r="AH5" s="30" t="str">
        <f>IFERROR(__xludf.DUMMYFUNCTION("""COMPUTED_VALUE"""),"Settlement Amount")</f>
        <v>Settlement Amount</v>
      </c>
      <c r="AI5" s="30" t="str">
        <f>IFERROR(__xludf.DUMMYFUNCTION("""COMPUTED_VALUE"""),"Settlement Fx Operator")</f>
        <v>Settlement Fx Operator</v>
      </c>
      <c r="AJ5" s="30" t="str">
        <f>IFERROR(__xludf.DUMMYFUNCTION("""COMPUTED_VALUE"""),"ImportFileName")</f>
        <v>ImportFileName</v>
      </c>
      <c r="AK5" s="30" t="str">
        <f>IFERROR(__xludf.DUMMYFUNCTION("""COMPUTED_VALUE"""),"SharesOutstandingPopUp")</f>
        <v>SharesOutstandingPopUp</v>
      </c>
      <c r="AL5" s="30" t="str">
        <f>IFERROR(__xludf.DUMMYFUNCTION("""COMPUTED_VALUE"""),"PopUpQuantity")</f>
        <v>PopUpQuantity</v>
      </c>
      <c r="AM5" s="30" t="str">
        <f>IFERROR(__xludf.DUMMYFUNCTION("""COMPUTED_VALUE"""),"ResAllowedListPopUp")</f>
        <v>ResAllowedListPopUp</v>
      </c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 t="s">
        <v>22</v>
      </c>
      <c r="C6" s="13" t="s">
        <v>23</v>
      </c>
      <c r="D6" s="13">
        <v>100.0</v>
      </c>
      <c r="E6" s="31"/>
      <c r="F6" s="13" t="s">
        <v>24</v>
      </c>
      <c r="G6" s="13" t="s">
        <v>19</v>
      </c>
      <c r="H6" s="8"/>
      <c r="I6" s="8"/>
      <c r="J6" s="8"/>
      <c r="K6" s="8"/>
      <c r="L6" s="8"/>
      <c r="M6" s="8"/>
      <c r="N6" s="8"/>
      <c r="O6" s="8"/>
      <c r="AB6" s="9" t="s">
        <v>20</v>
      </c>
    </row>
    <row r="7" ht="15.75" customHeight="1">
      <c r="A7" s="8"/>
      <c r="B7" s="13" t="s">
        <v>25</v>
      </c>
      <c r="C7" s="13" t="s">
        <v>23</v>
      </c>
      <c r="D7" s="13">
        <v>200.0</v>
      </c>
      <c r="E7" s="8"/>
      <c r="F7" s="13" t="s">
        <v>24</v>
      </c>
      <c r="G7" s="13" t="s">
        <v>19</v>
      </c>
      <c r="H7" s="8"/>
      <c r="I7" s="8"/>
      <c r="J7" s="8"/>
      <c r="K7" s="8"/>
      <c r="L7" s="8"/>
      <c r="M7" s="8"/>
      <c r="N7" s="8"/>
      <c r="O7" s="8"/>
      <c r="AB7" s="9" t="s">
        <v>20</v>
      </c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DoneAwayUsingMTT!$4:$4</formula1>
    </dataValidation>
  </dataValidations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26</v>
      </c>
      <c r="D3" s="5" t="s">
        <v>9</v>
      </c>
      <c r="E3" s="23" t="s">
        <v>33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IFERROR(__xludf.DUMMYFUNCTION("IF(C3="""","""",Transpose(IMPORTRANGE('_Settings'!$B$3,C3&amp;""!A4:A1000"")))"),"ReplaceFillsOnBlotter")</f>
        <v>ReplaceFillsOnBlotter</v>
      </c>
      <c r="C4" s="25" t="str">
        <f>IFERROR(__xludf.DUMMYFUNCTION("""COMPUTED_VALUE"""),"CheckBlotter")</f>
        <v>CheckBlotter</v>
      </c>
      <c r="D4" s="25" t="str">
        <f>IFERROR(__xludf.DUMMYFUNCTION("""COMPUTED_VALUE"""),"BlotterFunctionalities")</f>
        <v>BlotterFunctionalities</v>
      </c>
      <c r="E4" s="25" t="str">
        <f>IFERROR(__xludf.DUMMYFUNCTION("""COMPUTED_VALUE"""),"TransferToUserWorkingSubs")</f>
        <v>TransferToUserWorkingSubs</v>
      </c>
      <c r="F4" s="25" t="str">
        <f>IFERROR(__xludf.DUMMYFUNCTION("""COMPUTED_VALUE"""),"CancelWorkingSubs")</f>
        <v>CancelWorkingSubs</v>
      </c>
      <c r="G4" s="25" t="str">
        <f>IFERROR(__xludf.DUMMYFUNCTION("""COMPUTED_VALUE"""),"ReplaceWorkingSubs")</f>
        <v>ReplaceWorkingSubs</v>
      </c>
      <c r="H4" s="25" t="str">
        <f>IFERROR(__xludf.DUMMYFUNCTION("""COMPUTED_VALUE"""),"ViewAllocationDetailsWorkingSub")</f>
        <v>ViewAllocationDetailsWorkingSub</v>
      </c>
      <c r="I4" s="25" t="str">
        <f>IFERROR(__xludf.DUMMYFUNCTION("""COMPUTED_VALUE"""),"SelectTradeOnOrderGrid")</f>
        <v>SelectTradeOnOrderGrid</v>
      </c>
      <c r="J4" s="25" t="str">
        <f>IFERROR(__xludf.DUMMYFUNCTION("""COMPUTED_VALUE"""),"ShowDetailsForAlgoTradeSubOrder")</f>
        <v>ShowDetailsForAlgoTradeSubOrder</v>
      </c>
      <c r="K4" s="25" t="str">
        <f>IFERROR(__xludf.DUMMYFUNCTION("""COMPUTED_VALUE"""),"SelectTradeOrderBlotter")</f>
        <v>SelectTradeOrderBlotter</v>
      </c>
      <c r="L4" s="25" t="str">
        <f>IFERROR(__xludf.DUMMYFUNCTION("""COMPUTED_VALUE"""),"AddFillsWorkingSubs")</f>
        <v>AddFillsWorkingSubs</v>
      </c>
      <c r="M4" s="25" t="str">
        <f>IFERROR(__xludf.DUMMYFUNCTION("""COMPUTED_VALUE"""),"EditAddFillsDetails")</f>
        <v>EditAddFillsDetails</v>
      </c>
      <c r="N4" s="25" t="str">
        <f>IFERROR(__xludf.DUMMYFUNCTION("""COMPUTED_VALUE"""),"ShowDetailsForAlgoTradeWorkingSubs")</f>
        <v>ShowDetailsForAlgoTradeWorkingSubs</v>
      </c>
      <c r="O4" s="25" t="str">
        <f>IFERROR(__xludf.DUMMYFUNCTION("""COMPUTED_VALUE"""),"VerifyWorkingSubs")</f>
        <v>VerifyWorkingSubs</v>
      </c>
      <c r="P4" s="26" t="str">
        <f>IFERROR(__xludf.DUMMYFUNCTION("""COMPUTED_VALUE"""),"TransferToUserOrder")</f>
        <v>TransferToUserOrder</v>
      </c>
      <c r="Q4" s="26" t="str">
        <f>IFERROR(__xludf.DUMMYFUNCTION("""COMPUTED_VALUE"""),"EditOrder")</f>
        <v>EditOrder</v>
      </c>
      <c r="R4" s="26" t="str">
        <f>IFERROR(__xludf.DUMMYFUNCTION("""COMPUTED_VALUE"""),"SelectTradeSubOrderBlotter")</f>
        <v>SelectTradeSubOrderBlotter</v>
      </c>
      <c r="S4" s="26" t="str">
        <f>IFERROR(__xludf.DUMMYFUNCTION("""COMPUTED_VALUE"""),"VerifyOrder")</f>
        <v>VerifyOrder</v>
      </c>
      <c r="T4" s="26" t="str">
        <f>IFERROR(__xludf.DUMMYFUNCTION("""COMPUTED_VALUE"""),"VerifySubOrder")</f>
        <v>VerifySubOrder</v>
      </c>
      <c r="U4" s="26" t="str">
        <f>IFERROR(__xludf.DUMMYFUNCTION("""COMPUTED_VALUE"""),"RemoveSelectedOrders")</f>
        <v>RemoveSelectedOrders</v>
      </c>
      <c r="V4" s="26" t="str">
        <f>IFERROR(__xludf.DUMMYFUNCTION("""COMPUTED_VALUE"""),"CancelAllSelectedSubs")</f>
        <v>CancelAllSelectedSubs</v>
      </c>
      <c r="W4" s="26" t="str">
        <f>IFERROR(__xludf.DUMMYFUNCTION("""COMPUTED_VALUE"""),"MultiTradingTicket")</f>
        <v>MultiTradingTicket</v>
      </c>
      <c r="X4" s="26" t="str">
        <f>IFERROR(__xludf.DUMMYFUNCTION("""COMPUTED_VALUE"""),"AuditTrailOrderBlotter")</f>
        <v>AuditTrailOrderBlotter</v>
      </c>
      <c r="Y4" s="26" t="str">
        <f>IFERROR(__xludf.DUMMYFUNCTION("""COMPUTED_VALUE"""),"TradeNewSubOrder")</f>
        <v>TradeNewSubOrder</v>
      </c>
      <c r="Z4" s="26" t="str">
        <f>IFERROR(__xludf.DUMMYFUNCTION("""COMPUTED_VALUE"""),"RemoveStageOrder")</f>
        <v>RemoveStageOrder</v>
      </c>
      <c r="AA4" s="26" t="str">
        <f>IFERROR(__xludf.DUMMYFUNCTION("""COMPUTED_VALUE"""),"TransferToUserSubOrder")</f>
        <v>TransferToUserSubOrder</v>
      </c>
      <c r="AB4" s="26" t="str">
        <f>IFERROR(__xludf.DUMMYFUNCTION("""COMPUTED_VALUE"""),"DetailsForAlgoTradeOrder")</f>
        <v>DetailsForAlgoTradeOrder</v>
      </c>
      <c r="AC4" s="26" t="str">
        <f>IFERROR(__xludf.DUMMYFUNCTION("""COMPUTED_VALUE"""),"AddFillsSubOrder")</f>
        <v>AddFillsSubOrder</v>
      </c>
      <c r="AD4" s="26" t="str">
        <f>IFERROR(__xludf.DUMMYFUNCTION("""COMPUTED_VALUE"""),"ViewAllocationDetailsSubOrder")</f>
        <v>ViewAllocationDetailsSubOrder</v>
      </c>
      <c r="AE4" s="26" t="str">
        <f>IFERROR(__xludf.DUMMYFUNCTION("""COMPUTED_VALUE"""),"CancelAllSubs")</f>
        <v>CancelAllSubs</v>
      </c>
      <c r="AF4" s="26" t="str">
        <f>IFERROR(__xludf.DUMMYFUNCTION("""COMPUTED_VALUE"""),"CancelSubOrder")</f>
        <v>CancelSubOrder</v>
      </c>
      <c r="AG4" s="26" t="str">
        <f>IFERROR(__xludf.DUMMYFUNCTION("""COMPUTED_VALUE"""),"EditStageOrder")</f>
        <v>EditStageOrder</v>
      </c>
      <c r="AH4" s="26" t="str">
        <f>IFERROR(__xludf.DUMMYFUNCTION("""COMPUTED_VALUE"""),"ReplaceSubOrder")</f>
        <v>ReplaceSubOrder</v>
      </c>
      <c r="AI4" s="26" t="str">
        <f>IFERROR(__xludf.DUMMYFUNCTION("""COMPUTED_VALUE"""),"SelectTradeWorkingSubsBlotter")</f>
        <v>SelectTradeWorkingSubsBlotter</v>
      </c>
      <c r="AJ4" s="26" t="str">
        <f>IFERROR(__xludf.DUMMYFUNCTION("""COMPUTED_VALUE"""),"VerifyAlgoDetails")</f>
        <v>VerifyAlgoDetails</v>
      </c>
      <c r="AK4" s="26" t="str">
        <f>IFERROR(__xludf.DUMMYFUNCTION("""COMPUTED_VALUE"""),"VerifyTransferToUserOrder")</f>
        <v>VerifyTransferToUserOrder</v>
      </c>
      <c r="AL4" s="26" t="str">
        <f>IFERROR(__xludf.DUMMYFUNCTION("""COMPUTED_VALUE"""),"VerifyTransferToUserSubOdr")</f>
        <v>VerifyTransferToUserSubOdr</v>
      </c>
      <c r="AM4" s="26" t="str">
        <f>IFERROR(__xludf.DUMMYFUNCTION("""COMPUTED_VALUE"""),"VerifyTransferToUserWorkSub")</f>
        <v>VerifyTransferToUserWorkSub</v>
      </c>
      <c r="AN4" s="26" t="str">
        <f>IFERROR(__xludf.DUMMYFUNCTION("""COMPUTED_VALUE"""),"SaveLayoutOrderGrid")</f>
        <v>SaveLayoutOrderGrid</v>
      </c>
      <c r="AO4" s="26" t="str">
        <f>IFERROR(__xludf.DUMMYFUNCTION("""COMPUTED_VALUE"""),"ReplaceStageOrder")</f>
        <v>ReplaceStageOrder</v>
      </c>
      <c r="AP4" s="26" t="str">
        <f>IFERROR(__xludf.DUMMYFUNCTION("""COMPUTED_VALUE"""),"MultiTradingTicketFromBlotter")</f>
        <v>MultiTradingTicketFromBlotter</v>
      </c>
      <c r="AQ4" s="26" t="str">
        <f>IFERROR(__xludf.DUMMYFUNCTION("""COMPUTED_VALUE"""),"VerifyViewAllocationDetails")</f>
        <v>VerifyViewAllocationDetails</v>
      </c>
      <c r="AR4" s="26" t="str">
        <f>IFERROR(__xludf.DUMMYFUNCTION("""COMPUTED_VALUE"""),"GoToAllocation")</f>
        <v>GoToAllocation</v>
      </c>
      <c r="AS4" s="26" t="str">
        <f>IFERROR(__xludf.DUMMYFUNCTION("""COMPUTED_VALUE"""),"VerifyRollover")</f>
        <v>VerifyRollover</v>
      </c>
      <c r="AT4" s="26" t="str">
        <f>IFERROR(__xludf.DUMMYFUNCTION("""COMPUTED_VALUE"""),"VerifySubOrderAfterRollover")</f>
        <v>VerifySubOrderAfterRollover</v>
      </c>
      <c r="AU4" s="26" t="str">
        <f>IFERROR(__xludf.DUMMYFUNCTION("""COMPUTED_VALUE"""),"OpenBlotter")</f>
        <v>OpenBlotter</v>
      </c>
      <c r="AV4" s="26" t="str">
        <f>IFERROR(__xludf.DUMMYFUNCTION("""COMPUTED_VALUE"""),"RemoveManualExecution")</f>
        <v>RemoveManualExecution</v>
      </c>
      <c r="AW4" s="26" t="str">
        <f>IFERROR(__xludf.DUMMYFUNCTION("""COMPUTED_VALUE"""),"RemoveExecutionWorkingSubs")</f>
        <v>RemoveExecutionWorkingSubs</v>
      </c>
      <c r="AX4" s="26" t="str">
        <f>IFERROR(__xludf.DUMMYFUNCTION("""COMPUTED_VALUE"""),"GetExecutionReportOrders")</f>
        <v>GetExecutionReportOrders</v>
      </c>
      <c r="AY4" s="26" t="str">
        <f>IFERROR(__xludf.DUMMYFUNCTION("""COMPUTED_VALUE"""),"GetExecutionReportDetails")</f>
        <v>GetExecutionReportDetails</v>
      </c>
      <c r="AZ4" s="26" t="str">
        <f>IFERROR(__xludf.DUMMYFUNCTION("""COMPUTED_VALUE"""),"ExportExecutionReportData")</f>
        <v>ExportExecutionReportData</v>
      </c>
      <c r="BA4" s="26" t="str">
        <f>IFERROR(__xludf.DUMMYFUNCTION("""COMPUTED_VALUE"""),"VerifyExecutionReport")</f>
        <v>VerifyExecutionReport</v>
      </c>
      <c r="BB4" s="26" t="str">
        <f>IFERROR(__xludf.DUMMYFUNCTION("""COMPUTED_VALUE"""),"BlotterExecutionReportSnapshot")</f>
        <v>BlotterExecutionReportSnapshot</v>
      </c>
      <c r="BC4" s="26" t="str">
        <f>IFERROR(__xludf.DUMMYFUNCTION("""COMPUTED_VALUE"""),"MultipleTradeTransferToUser")</f>
        <v>MultipleTradeTransferToUser</v>
      </c>
      <c r="BD4" s="26" t="str">
        <f>IFERROR(__xludf.DUMMYFUNCTION("""COMPUTED_VALUE"""),"CheckBlotter")</f>
        <v>CheckBlotter</v>
      </c>
      <c r="BE4" s="26" t="str">
        <f>IFERROR(__xludf.DUMMYFUNCTION("""COMPUTED_VALUE"""),"ReloadOrderFromBlotter")</f>
        <v>ReloadOrderFromBlotter</v>
      </c>
      <c r="BF4" s="26" t="str">
        <f>IFERROR(__xludf.DUMMYFUNCTION("""COMPUTED_VALUE"""),"ReloadOrderFromSubOrder")</f>
        <v>ReloadOrderFromSubOrder</v>
      </c>
      <c r="BG4" s="26" t="str">
        <f>IFERROR(__xludf.DUMMYFUNCTION("""COMPUTED_VALUE"""),"ReloadOrderFromWorkingSubs")</f>
        <v>ReloadOrderFromWorkingSubs</v>
      </c>
      <c r="BH4" s="26" t="str">
        <f>IFERROR(__xludf.DUMMYFUNCTION("""COMPUTED_VALUE"""),"SelectFills")</f>
        <v>SelectFills</v>
      </c>
      <c r="BI4" s="26" t="str">
        <f>IFERROR(__xludf.DUMMYFUNCTION("""COMPUTED_VALUE"""),"ModifyFills")</f>
        <v>ModifyFills</v>
      </c>
      <c r="BJ4" s="26" t="str">
        <f>IFERROR(__xludf.DUMMYFUNCTION("""COMPUTED_VALUE"""),"AllocateFromBlotter")</f>
        <v>AllocateFromBlotter</v>
      </c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IFERROR(__xludf.DUMMYFUNCTION("""COMPUTED_VALUE"""),"Transaction Time")</f>
        <v>Transaction Time</v>
      </c>
      <c r="C5" s="28" t="str">
        <f>IFERROR(__xludf.DUMMYFUNCTION("""COMPUTED_VALUE"""),"Algo")</f>
        <v>Algo</v>
      </c>
      <c r="D5" s="28" t="str">
        <f>IFERROR(__xludf.DUMMYFUNCTION("""COMPUTED_VALUE"""),"Avg Fill Price (Base)")</f>
        <v>Avg Fill Price (Base)</v>
      </c>
      <c r="E5" s="28" t="str">
        <f>IFERROR(__xludf.DUMMYFUNCTION("""COMPUTED_VALUE"""),"Bloomberg Symbol")</f>
        <v>Bloomberg Symbol</v>
      </c>
      <c r="F5" s="29" t="str">
        <f>IFERROR(__xludf.DUMMYFUNCTION("""COMPUTED_VALUE"""),"Limit Price")</f>
        <v>Limit Price</v>
      </c>
      <c r="G5" s="28" t="str">
        <f>IFERROR(__xludf.DUMMYFUNCTION("""COMPUTED_VALUE"""),"Working Qty")</f>
        <v>Working Qty</v>
      </c>
      <c r="H5" s="28" t="str">
        <f>IFERROR(__xludf.DUMMYFUNCTION("""COMPUTED_VALUE"""),"Venue")</f>
        <v>Venue</v>
      </c>
      <c r="I5" s="28" t="str">
        <f>IFERROR(__xludf.DUMMYFUNCTION("""COMPUTED_VALUE"""),"Current User")</f>
        <v>Current User</v>
      </c>
      <c r="J5" s="28" t="str">
        <f>IFERROR(__xludf.DUMMYFUNCTION("""COMPUTED_VALUE"""),"Underlying Symbol")</f>
        <v>Underlying Symbol</v>
      </c>
      <c r="K5" s="28" t="str">
        <f>IFERROR(__xludf.DUMMYFUNCTION("""COMPUTED_VALUE"""),"Underlying Country")</f>
        <v>Underlying Country</v>
      </c>
      <c r="L5" s="28" t="str">
        <f>IFERROR(__xludf.DUMMYFUNCTION("""COMPUTED_VALUE"""),"Trader")</f>
        <v>Trader</v>
      </c>
      <c r="M5" s="28" t="str">
        <f>IFERROR(__xludf.DUMMYFUNCTION("""COMPUTED_VALUE"""),"Trade Attribute 6")</f>
        <v>Trade Attribute 6</v>
      </c>
      <c r="N5" s="28" t="str">
        <f>IFERROR(__xludf.DUMMYFUNCTION("""COMPUTED_VALUE"""),"Trade Attribute 5")</f>
        <v>Trade Attribute 5</v>
      </c>
      <c r="O5" s="28" t="str">
        <f>IFERROR(__xludf.DUMMYFUNCTION("""COMPUTED_VALUE"""),"Trade Attribute 4")</f>
        <v>Trade Attribute 4</v>
      </c>
      <c r="P5" s="28" t="str">
        <f>IFERROR(__xludf.DUMMYFUNCTION("""COMPUTED_VALUE"""),"Trade Attribute 3")</f>
        <v>Trade Attribute 3</v>
      </c>
      <c r="Q5" s="28" t="str">
        <f>IFERROR(__xludf.DUMMYFUNCTION("""COMPUTED_VALUE"""),"Trade Attribute 1")</f>
        <v>Trade Attribute 1</v>
      </c>
      <c r="R5" s="28" t="str">
        <f>IFERROR(__xludf.DUMMYFUNCTION("""COMPUTED_VALUE"""),"Trade Attribute 2")</f>
        <v>Trade Attribute 2</v>
      </c>
      <c r="S5" s="28" t="str">
        <f>IFERROR(__xludf.DUMMYFUNCTION("""COMPUTED_VALUE"""),"Strike Price")</f>
        <v>Strike Price</v>
      </c>
      <c r="T5" s="30" t="str">
        <f>IFERROR(__xludf.DUMMYFUNCTION("""COMPUTED_VALUE"""),"Stop Price")</f>
        <v>Stop Price</v>
      </c>
      <c r="U5" s="30" t="str">
        <f>IFERROR(__xludf.DUMMYFUNCTION("""COMPUTED_VALUE"""),"Settlement Currency")</f>
        <v>Settlement Currency</v>
      </c>
      <c r="V5" s="30" t="str">
        <f>IFERROR(__xludf.DUMMYFUNCTION("""COMPUTED_VALUE"""),"Put/Call")</f>
        <v>Put/Call</v>
      </c>
      <c r="W5" s="30" t="str">
        <f>IFERROR(__xludf.DUMMYFUNCTION("""COMPUTED_VALUE"""),"Process Date")</f>
        <v>Process Date</v>
      </c>
      <c r="X5" s="30" t="str">
        <f>IFERROR(__xludf.DUMMYFUNCTION("""COMPUTED_VALUE"""),"Peg")</f>
        <v>Peg</v>
      </c>
      <c r="Y5" s="30" t="str">
        <f>IFERROR(__xludf.DUMMYFUNCTION("""COMPUTED_VALUE"""),"ParentClOrderID")</f>
        <v>ParentClOrderID</v>
      </c>
      <c r="Z5" s="30" t="str">
        <f>IFERROR(__xludf.DUMMYFUNCTION("""COMPUTED_VALUE"""),"OrderID")</f>
        <v>OrderID</v>
      </c>
      <c r="AA5" s="30" t="str">
        <f>IFERROR(__xludf.DUMMYFUNCTION("""COMPUTED_VALUE"""),"Master Fund")</f>
        <v>Master Fund</v>
      </c>
      <c r="AB5" s="30" t="str">
        <f>IFERROR(__xludf.DUMMYFUNCTION("""COMPUTED_VALUE"""),"Last Shares")</f>
        <v>Last Shares</v>
      </c>
      <c r="AC5" s="30" t="str">
        <f>IFERROR(__xludf.DUMMYFUNCTION("""COMPUTED_VALUE"""),"Internal Comments")</f>
        <v>Internal Comments</v>
      </c>
      <c r="AD5" s="30" t="str">
        <f>IFERROR(__xludf.DUMMYFUNCTION("""COMPUTED_VALUE"""),"FX Rate")</f>
        <v>FX Rate</v>
      </c>
      <c r="AE5" s="30" t="str">
        <f>IFERROR(__xludf.DUMMYFUNCTION("""COMPUTED_VALUE"""),"Imported File Name")</f>
        <v>Imported File Name</v>
      </c>
      <c r="AF5" s="30" t="str">
        <f>IFERROR(__xludf.DUMMYFUNCTION("""COMPUTED_VALUE"""),"FX Conversion Operator")</f>
        <v>FX Conversion Operator</v>
      </c>
      <c r="AG5" s="30" t="str">
        <f>IFERROR(__xludf.DUMMYFUNCTION("""COMPUTED_VALUE"""),"Day Average Price")</f>
        <v>Day Average Price</v>
      </c>
      <c r="AH5" s="30" t="str">
        <f>IFERROR(__xludf.DUMMYFUNCTION("""COMPUTED_VALUE"""),"Asset Class")</f>
        <v>Asset Class</v>
      </c>
      <c r="AI5" s="30" t="str">
        <f>IFERROR(__xludf.DUMMYFUNCTION("""COMPUTED_VALUE"""),"Symbol")</f>
        <v>Symbol</v>
      </c>
      <c r="AJ5" s="30" t="str">
        <f>IFERROR(__xludf.DUMMYFUNCTION("""COMPUTED_VALUE"""),"Side")</f>
        <v>Side</v>
      </c>
      <c r="AK5" s="30" t="str">
        <f>IFERROR(__xludf.DUMMYFUNCTION("""COMPUTED_VALUE"""),"Status")</f>
        <v>Status</v>
      </c>
      <c r="AL5" s="30" t="str">
        <f>IFERROR(__xludf.DUMMYFUNCTION("""COMPUTED_VALUE"""),"Target Qty")</f>
        <v>Target Qty</v>
      </c>
      <c r="AM5" s="30" t="str">
        <f>IFERROR(__xludf.DUMMYFUNCTION("""COMPUTED_VALUE"""),"Total Executed Qty")</f>
        <v>Total Executed Qty</v>
      </c>
      <c r="AN5" s="30" t="str">
        <f>IFERROR(__xludf.DUMMYFUNCTION("""COMPUTED_VALUE"""),"% Executed")</f>
        <v>% Executed</v>
      </c>
      <c r="AO5" s="30" t="str">
        <f>IFERROR(__xludf.DUMMYFUNCTION("""COMPUTED_VALUE"""),"Day Executed Qty")</f>
        <v>Day Executed Qty</v>
      </c>
      <c r="AP5" s="30" t="str">
        <f>IFERROR(__xludf.DUMMYFUNCTION("""COMPUTED_VALUE"""),"Uncommitted Qty")</f>
        <v>Uncommitted Qty</v>
      </c>
      <c r="AQ5" s="30" t="str">
        <f>IFERROR(__xludf.DUMMYFUNCTION("""COMPUTED_VALUE"""),"Last Fill Price (Local)")</f>
        <v>Last Fill Price (Local)</v>
      </c>
      <c r="AR5" s="30" t="str">
        <f>IFERROR(__xludf.DUMMYFUNCTION("""COMPUTED_VALUE"""),"Avg Fill Price (Local)")</f>
        <v>Avg Fill Price (Local)</v>
      </c>
      <c r="AS5" s="30" t="str">
        <f>IFERROR(__xludf.DUMMYFUNCTION("""COMPUTED_VALUE"""),"Broker")</f>
        <v>Broker</v>
      </c>
      <c r="AT5" s="30" t="str">
        <f>IFERROR(__xludf.DUMMYFUNCTION("""COMPUTED_VALUE"""),"Account")</f>
        <v>Account</v>
      </c>
      <c r="AU5" s="30" t="str">
        <f>IFERROR(__xludf.DUMMYFUNCTION("""COMPUTED_VALUE"""),"Order Type")</f>
        <v>Order Type</v>
      </c>
      <c r="AV5" s="30" t="str">
        <f>IFERROR(__xludf.DUMMYFUNCTION("""COMPUTED_VALUE"""),"Principal Amount (Local)")</f>
        <v>Principal Amount (Local)</v>
      </c>
      <c r="AW5" s="30" t="str">
        <f>IFERROR(__xludf.DUMMYFUNCTION("""COMPUTED_VALUE"""),"Principal Amount (Base)")</f>
        <v>Principal Amount (Base)</v>
      </c>
      <c r="AX5" s="30" t="str">
        <f>IFERROR(__xludf.DUMMYFUNCTION("""COMPUTED_VALUE"""),"Allocation Scheme Name")</f>
        <v>Allocation Scheme Name</v>
      </c>
      <c r="AY5" s="30" t="str">
        <f>IFERROR(__xludf.DUMMYFUNCTION("""COMPUTED_VALUE"""),"Start of Day Qty")</f>
        <v>Start of Day Qty</v>
      </c>
      <c r="AZ5" s="30" t="str">
        <f>IFERROR(__xludf.DUMMYFUNCTION("""COMPUTED_VALUE"""),"Leaves")</f>
        <v>Leaves</v>
      </c>
      <c r="BA5" s="30" t="str">
        <f>IFERROR(__xludf.DUMMYFUNCTION("""COMPUTED_VALUE"""),"Actual User")</f>
        <v>Actual User</v>
      </c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/>
      <c r="C6" s="8"/>
      <c r="D6" s="13"/>
      <c r="E6" s="31"/>
      <c r="F6" s="8"/>
      <c r="G6" s="8"/>
      <c r="H6" s="8"/>
      <c r="I6" s="8"/>
      <c r="J6" s="8"/>
      <c r="K6" s="8"/>
      <c r="L6" s="8"/>
      <c r="M6" s="8"/>
      <c r="N6" s="8"/>
      <c r="O6" s="8"/>
      <c r="AI6" s="9" t="s">
        <v>22</v>
      </c>
      <c r="AJ6" s="9" t="s">
        <v>23</v>
      </c>
      <c r="AK6" s="9" t="s">
        <v>34</v>
      </c>
      <c r="AL6" s="9">
        <v>100.0</v>
      </c>
      <c r="AM6" s="9">
        <v>100.0</v>
      </c>
      <c r="AS6" s="9" t="s">
        <v>19</v>
      </c>
      <c r="AT6" s="9" t="s">
        <v>24</v>
      </c>
    </row>
    <row r="7" ht="15.75" customHeight="1">
      <c r="A7" s="13"/>
      <c r="B7" s="13"/>
      <c r="C7" s="8"/>
      <c r="D7" s="13"/>
      <c r="E7" s="31"/>
      <c r="F7" s="8"/>
      <c r="G7" s="8"/>
      <c r="H7" s="8"/>
      <c r="I7" s="8"/>
      <c r="J7" s="8"/>
      <c r="K7" s="8"/>
      <c r="L7" s="8"/>
      <c r="M7" s="8"/>
      <c r="N7" s="8"/>
      <c r="O7" s="8"/>
      <c r="AI7" s="9" t="s">
        <v>25</v>
      </c>
      <c r="AJ7" s="9" t="s">
        <v>23</v>
      </c>
      <c r="AK7" s="9" t="s">
        <v>34</v>
      </c>
      <c r="AL7" s="9">
        <v>200.0</v>
      </c>
      <c r="AM7" s="9">
        <v>200.0</v>
      </c>
      <c r="AS7" s="9" t="s">
        <v>19</v>
      </c>
      <c r="AT7" s="9" t="s">
        <v>24</v>
      </c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VerifyOrder!$4:$4</formula1>
    </dataValidation>
    <dataValidation type="list" allowBlank="1" showInputMessage="1" showErrorMessage="1" prompt="Choose a format for current sheet" sqref="G3">
      <formula1>"Input Format,Output Format"</formula1>
    </dataValidation>
  </dataValidations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26</v>
      </c>
      <c r="D3" s="5" t="s">
        <v>9</v>
      </c>
      <c r="E3" s="23" t="s">
        <v>35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IFERROR(__xludf.DUMMYFUNCTION("IF(C3="""","""",Transpose(IMPORTRANGE('_Settings'!$B$3,C3&amp;""!A4:A1000"")))"),"ReplaceFillsOnBlotter")</f>
        <v>ReplaceFillsOnBlotter</v>
      </c>
      <c r="C4" s="25" t="str">
        <f>IFERROR(__xludf.DUMMYFUNCTION("""COMPUTED_VALUE"""),"CheckBlotter")</f>
        <v>CheckBlotter</v>
      </c>
      <c r="D4" s="25" t="str">
        <f>IFERROR(__xludf.DUMMYFUNCTION("""COMPUTED_VALUE"""),"BlotterFunctionalities")</f>
        <v>BlotterFunctionalities</v>
      </c>
      <c r="E4" s="25" t="str">
        <f>IFERROR(__xludf.DUMMYFUNCTION("""COMPUTED_VALUE"""),"TransferToUserWorkingSubs")</f>
        <v>TransferToUserWorkingSubs</v>
      </c>
      <c r="F4" s="25" t="str">
        <f>IFERROR(__xludf.DUMMYFUNCTION("""COMPUTED_VALUE"""),"CancelWorkingSubs")</f>
        <v>CancelWorkingSubs</v>
      </c>
      <c r="G4" s="25" t="str">
        <f>IFERROR(__xludf.DUMMYFUNCTION("""COMPUTED_VALUE"""),"ReplaceWorkingSubs")</f>
        <v>ReplaceWorkingSubs</v>
      </c>
      <c r="H4" s="25" t="str">
        <f>IFERROR(__xludf.DUMMYFUNCTION("""COMPUTED_VALUE"""),"ViewAllocationDetailsWorkingSub")</f>
        <v>ViewAllocationDetailsWorkingSub</v>
      </c>
      <c r="I4" s="25" t="str">
        <f>IFERROR(__xludf.DUMMYFUNCTION("""COMPUTED_VALUE"""),"SelectTradeOnOrderGrid")</f>
        <v>SelectTradeOnOrderGrid</v>
      </c>
      <c r="J4" s="25" t="str">
        <f>IFERROR(__xludf.DUMMYFUNCTION("""COMPUTED_VALUE"""),"ShowDetailsForAlgoTradeSubOrder")</f>
        <v>ShowDetailsForAlgoTradeSubOrder</v>
      </c>
      <c r="K4" s="25" t="str">
        <f>IFERROR(__xludf.DUMMYFUNCTION("""COMPUTED_VALUE"""),"SelectTradeOrderBlotter")</f>
        <v>SelectTradeOrderBlotter</v>
      </c>
      <c r="L4" s="25" t="str">
        <f>IFERROR(__xludf.DUMMYFUNCTION("""COMPUTED_VALUE"""),"AddFillsWorkingSubs")</f>
        <v>AddFillsWorkingSubs</v>
      </c>
      <c r="M4" s="25" t="str">
        <f>IFERROR(__xludf.DUMMYFUNCTION("""COMPUTED_VALUE"""),"EditAddFillsDetails")</f>
        <v>EditAddFillsDetails</v>
      </c>
      <c r="N4" s="25" t="str">
        <f>IFERROR(__xludf.DUMMYFUNCTION("""COMPUTED_VALUE"""),"ShowDetailsForAlgoTradeWorkingSubs")</f>
        <v>ShowDetailsForAlgoTradeWorkingSubs</v>
      </c>
      <c r="O4" s="25" t="str">
        <f>IFERROR(__xludf.DUMMYFUNCTION("""COMPUTED_VALUE"""),"VerifyWorkingSubs")</f>
        <v>VerifyWorkingSubs</v>
      </c>
      <c r="P4" s="26" t="str">
        <f>IFERROR(__xludf.DUMMYFUNCTION("""COMPUTED_VALUE"""),"TransferToUserOrder")</f>
        <v>TransferToUserOrder</v>
      </c>
      <c r="Q4" s="26" t="str">
        <f>IFERROR(__xludf.DUMMYFUNCTION("""COMPUTED_VALUE"""),"EditOrder")</f>
        <v>EditOrder</v>
      </c>
      <c r="R4" s="26" t="str">
        <f>IFERROR(__xludf.DUMMYFUNCTION("""COMPUTED_VALUE"""),"SelectTradeSubOrderBlotter")</f>
        <v>SelectTradeSubOrderBlotter</v>
      </c>
      <c r="S4" s="26" t="str">
        <f>IFERROR(__xludf.DUMMYFUNCTION("""COMPUTED_VALUE"""),"VerifyOrder")</f>
        <v>VerifyOrder</v>
      </c>
      <c r="T4" s="26" t="str">
        <f>IFERROR(__xludf.DUMMYFUNCTION("""COMPUTED_VALUE"""),"VerifySubOrder")</f>
        <v>VerifySubOrder</v>
      </c>
      <c r="U4" s="26" t="str">
        <f>IFERROR(__xludf.DUMMYFUNCTION("""COMPUTED_VALUE"""),"RemoveSelectedOrders")</f>
        <v>RemoveSelectedOrders</v>
      </c>
      <c r="V4" s="26" t="str">
        <f>IFERROR(__xludf.DUMMYFUNCTION("""COMPUTED_VALUE"""),"CancelAllSelectedSubs")</f>
        <v>CancelAllSelectedSubs</v>
      </c>
      <c r="W4" s="26" t="str">
        <f>IFERROR(__xludf.DUMMYFUNCTION("""COMPUTED_VALUE"""),"MultiTradingTicket")</f>
        <v>MultiTradingTicket</v>
      </c>
      <c r="X4" s="26" t="str">
        <f>IFERROR(__xludf.DUMMYFUNCTION("""COMPUTED_VALUE"""),"AuditTrailOrderBlotter")</f>
        <v>AuditTrailOrderBlotter</v>
      </c>
      <c r="Y4" s="26" t="str">
        <f>IFERROR(__xludf.DUMMYFUNCTION("""COMPUTED_VALUE"""),"TradeNewSubOrder")</f>
        <v>TradeNewSubOrder</v>
      </c>
      <c r="Z4" s="26" t="str">
        <f>IFERROR(__xludf.DUMMYFUNCTION("""COMPUTED_VALUE"""),"RemoveStageOrder")</f>
        <v>RemoveStageOrder</v>
      </c>
      <c r="AA4" s="26" t="str">
        <f>IFERROR(__xludf.DUMMYFUNCTION("""COMPUTED_VALUE"""),"TransferToUserSubOrder")</f>
        <v>TransferToUserSubOrder</v>
      </c>
      <c r="AB4" s="26" t="str">
        <f>IFERROR(__xludf.DUMMYFUNCTION("""COMPUTED_VALUE"""),"DetailsForAlgoTradeOrder")</f>
        <v>DetailsForAlgoTradeOrder</v>
      </c>
      <c r="AC4" s="26" t="str">
        <f>IFERROR(__xludf.DUMMYFUNCTION("""COMPUTED_VALUE"""),"AddFillsSubOrder")</f>
        <v>AddFillsSubOrder</v>
      </c>
      <c r="AD4" s="26" t="str">
        <f>IFERROR(__xludf.DUMMYFUNCTION("""COMPUTED_VALUE"""),"ViewAllocationDetailsSubOrder")</f>
        <v>ViewAllocationDetailsSubOrder</v>
      </c>
      <c r="AE4" s="26" t="str">
        <f>IFERROR(__xludf.DUMMYFUNCTION("""COMPUTED_VALUE"""),"CancelAllSubs")</f>
        <v>CancelAllSubs</v>
      </c>
      <c r="AF4" s="26" t="str">
        <f>IFERROR(__xludf.DUMMYFUNCTION("""COMPUTED_VALUE"""),"CancelSubOrder")</f>
        <v>CancelSubOrder</v>
      </c>
      <c r="AG4" s="26" t="str">
        <f>IFERROR(__xludf.DUMMYFUNCTION("""COMPUTED_VALUE"""),"EditStageOrder")</f>
        <v>EditStageOrder</v>
      </c>
      <c r="AH4" s="26" t="str">
        <f>IFERROR(__xludf.DUMMYFUNCTION("""COMPUTED_VALUE"""),"ReplaceSubOrder")</f>
        <v>ReplaceSubOrder</v>
      </c>
      <c r="AI4" s="26" t="str">
        <f>IFERROR(__xludf.DUMMYFUNCTION("""COMPUTED_VALUE"""),"SelectTradeWorkingSubsBlotter")</f>
        <v>SelectTradeWorkingSubsBlotter</v>
      </c>
      <c r="AJ4" s="26" t="str">
        <f>IFERROR(__xludf.DUMMYFUNCTION("""COMPUTED_VALUE"""),"VerifyAlgoDetails")</f>
        <v>VerifyAlgoDetails</v>
      </c>
      <c r="AK4" s="26" t="str">
        <f>IFERROR(__xludf.DUMMYFUNCTION("""COMPUTED_VALUE"""),"VerifyTransferToUserOrder")</f>
        <v>VerifyTransferToUserOrder</v>
      </c>
      <c r="AL4" s="26" t="str">
        <f>IFERROR(__xludf.DUMMYFUNCTION("""COMPUTED_VALUE"""),"VerifyTransferToUserSubOdr")</f>
        <v>VerifyTransferToUserSubOdr</v>
      </c>
      <c r="AM4" s="26" t="str">
        <f>IFERROR(__xludf.DUMMYFUNCTION("""COMPUTED_VALUE"""),"VerifyTransferToUserWorkSub")</f>
        <v>VerifyTransferToUserWorkSub</v>
      </c>
      <c r="AN4" s="26" t="str">
        <f>IFERROR(__xludf.DUMMYFUNCTION("""COMPUTED_VALUE"""),"SaveLayoutOrderGrid")</f>
        <v>SaveLayoutOrderGrid</v>
      </c>
      <c r="AO4" s="26" t="str">
        <f>IFERROR(__xludf.DUMMYFUNCTION("""COMPUTED_VALUE"""),"ReplaceStageOrder")</f>
        <v>ReplaceStageOrder</v>
      </c>
      <c r="AP4" s="26" t="str">
        <f>IFERROR(__xludf.DUMMYFUNCTION("""COMPUTED_VALUE"""),"MultiTradingTicketFromBlotter")</f>
        <v>MultiTradingTicketFromBlotter</v>
      </c>
      <c r="AQ4" s="26" t="str">
        <f>IFERROR(__xludf.DUMMYFUNCTION("""COMPUTED_VALUE"""),"VerifyViewAllocationDetails")</f>
        <v>VerifyViewAllocationDetails</v>
      </c>
      <c r="AR4" s="26" t="str">
        <f>IFERROR(__xludf.DUMMYFUNCTION("""COMPUTED_VALUE"""),"GoToAllocation")</f>
        <v>GoToAllocation</v>
      </c>
      <c r="AS4" s="26" t="str">
        <f>IFERROR(__xludf.DUMMYFUNCTION("""COMPUTED_VALUE"""),"VerifyRollover")</f>
        <v>VerifyRollover</v>
      </c>
      <c r="AT4" s="26" t="str">
        <f>IFERROR(__xludf.DUMMYFUNCTION("""COMPUTED_VALUE"""),"VerifySubOrderAfterRollover")</f>
        <v>VerifySubOrderAfterRollover</v>
      </c>
      <c r="AU4" s="26" t="str">
        <f>IFERROR(__xludf.DUMMYFUNCTION("""COMPUTED_VALUE"""),"OpenBlotter")</f>
        <v>OpenBlotter</v>
      </c>
      <c r="AV4" s="26" t="str">
        <f>IFERROR(__xludf.DUMMYFUNCTION("""COMPUTED_VALUE"""),"RemoveManualExecution")</f>
        <v>RemoveManualExecution</v>
      </c>
      <c r="AW4" s="26" t="str">
        <f>IFERROR(__xludf.DUMMYFUNCTION("""COMPUTED_VALUE"""),"RemoveExecutionWorkingSubs")</f>
        <v>RemoveExecutionWorkingSubs</v>
      </c>
      <c r="AX4" s="26" t="str">
        <f>IFERROR(__xludf.DUMMYFUNCTION("""COMPUTED_VALUE"""),"GetExecutionReportOrders")</f>
        <v>GetExecutionReportOrders</v>
      </c>
      <c r="AY4" s="26" t="str">
        <f>IFERROR(__xludf.DUMMYFUNCTION("""COMPUTED_VALUE"""),"GetExecutionReportDetails")</f>
        <v>GetExecutionReportDetails</v>
      </c>
      <c r="AZ4" s="26" t="str">
        <f>IFERROR(__xludf.DUMMYFUNCTION("""COMPUTED_VALUE"""),"ExportExecutionReportData")</f>
        <v>ExportExecutionReportData</v>
      </c>
      <c r="BA4" s="26" t="str">
        <f>IFERROR(__xludf.DUMMYFUNCTION("""COMPUTED_VALUE"""),"VerifyExecutionReport")</f>
        <v>VerifyExecutionReport</v>
      </c>
      <c r="BB4" s="26" t="str">
        <f>IFERROR(__xludf.DUMMYFUNCTION("""COMPUTED_VALUE"""),"BlotterExecutionReportSnapshot")</f>
        <v>BlotterExecutionReportSnapshot</v>
      </c>
      <c r="BC4" s="26" t="str">
        <f>IFERROR(__xludf.DUMMYFUNCTION("""COMPUTED_VALUE"""),"MultipleTradeTransferToUser")</f>
        <v>MultipleTradeTransferToUser</v>
      </c>
      <c r="BD4" s="26" t="str">
        <f>IFERROR(__xludf.DUMMYFUNCTION("""COMPUTED_VALUE"""),"CheckBlotter")</f>
        <v>CheckBlotter</v>
      </c>
      <c r="BE4" s="26" t="str">
        <f>IFERROR(__xludf.DUMMYFUNCTION("""COMPUTED_VALUE"""),"ReloadOrderFromBlotter")</f>
        <v>ReloadOrderFromBlotter</v>
      </c>
      <c r="BF4" s="26" t="str">
        <f>IFERROR(__xludf.DUMMYFUNCTION("""COMPUTED_VALUE"""),"ReloadOrderFromSubOrder")</f>
        <v>ReloadOrderFromSubOrder</v>
      </c>
      <c r="BG4" s="26" t="str">
        <f>IFERROR(__xludf.DUMMYFUNCTION("""COMPUTED_VALUE"""),"ReloadOrderFromWorkingSubs")</f>
        <v>ReloadOrderFromWorkingSubs</v>
      </c>
      <c r="BH4" s="26" t="str">
        <f>IFERROR(__xludf.DUMMYFUNCTION("""COMPUTED_VALUE"""),"SelectFills")</f>
        <v>SelectFills</v>
      </c>
      <c r="BI4" s="26" t="str">
        <f>IFERROR(__xludf.DUMMYFUNCTION("""COMPUTED_VALUE"""),"ModifyFills")</f>
        <v>ModifyFills</v>
      </c>
      <c r="BJ4" s="26" t="str">
        <f>IFERROR(__xludf.DUMMYFUNCTION("""COMPUTED_VALUE"""),"AllocateFromBlotter")</f>
        <v>AllocateFromBlotter</v>
      </c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IFERROR(__xludf.DUMMYFUNCTION("""COMPUTED_VALUE"""),"Symbol")</f>
        <v>Symbol</v>
      </c>
      <c r="C5" s="28" t="str">
        <f>IFERROR(__xludf.DUMMYFUNCTION("""COMPUTED_VALUE"""),"Side")</f>
        <v>Side</v>
      </c>
      <c r="D5" s="28" t="str">
        <f>IFERROR(__xludf.DUMMYFUNCTION("""COMPUTED_VALUE"""),"Quantity")</f>
        <v>Quantity</v>
      </c>
      <c r="E5" s="28" t="str">
        <f>IFERROR(__xludf.DUMMYFUNCTION("""COMPUTED_VALUE"""),"Executed Qty")</f>
        <v>Executed Qty</v>
      </c>
      <c r="F5" s="29" t="str">
        <f>IFERROR(__xludf.DUMMYFUNCTION("""COMPUTED_VALUE"""),"Unexecuted Qty")</f>
        <v>Unexecuted Qty</v>
      </c>
      <c r="G5" s="28" t="str">
        <f>IFERROR(__xludf.DUMMYFUNCTION("""COMPUTED_VALUE"""),"Status")</f>
        <v>Status</v>
      </c>
      <c r="H5" s="28" t="str">
        <f>IFERROR(__xludf.DUMMYFUNCTION("""COMPUTED_VALUE"""),"Last Shares")</f>
        <v>Last Shares</v>
      </c>
      <c r="I5" s="28" t="str">
        <f>IFERROR(__xludf.DUMMYFUNCTION("""COMPUTED_VALUE"""),"Last Fill Price (Local)")</f>
        <v>Last Fill Price (Local)</v>
      </c>
      <c r="J5" s="28" t="str">
        <f>IFERROR(__xludf.DUMMYFUNCTION("""COMPUTED_VALUE"""),"Avg Fill Price (Local)")</f>
        <v>Avg Fill Price (Local)</v>
      </c>
      <c r="K5" s="28" t="str">
        <f>IFERROR(__xludf.DUMMYFUNCTION("""COMPUTED_VALUE"""),"Broker")</f>
        <v>Broker</v>
      </c>
      <c r="L5" s="28" t="str">
        <f>IFERROR(__xludf.DUMMYFUNCTION("""COMPUTED_VALUE"""),"Account")</f>
        <v>Account</v>
      </c>
      <c r="M5" s="28" t="str">
        <f>IFERROR(__xludf.DUMMYFUNCTION("""COMPUTED_VALUE"""),"Order Type")</f>
        <v>Order Type</v>
      </c>
      <c r="N5" s="28" t="str">
        <f>IFERROR(__xludf.DUMMYFUNCTION("""COMPUTED_VALUE"""),"OrderStatus")</f>
        <v>OrderStatus</v>
      </c>
      <c r="O5" s="28" t="str">
        <f>IFERROR(__xludf.DUMMYFUNCTION("""COMPUTED_VALUE"""),"Avg Fill Price (Base)")</f>
        <v>Avg Fill Price (Base)</v>
      </c>
      <c r="P5" s="28" t="str">
        <f>IFERROR(__xludf.DUMMYFUNCTION("""COMPUTED_VALUE"""),"Limit Price")</f>
        <v>Limit Price</v>
      </c>
      <c r="Q5" s="28" t="str">
        <f>IFERROR(__xludf.DUMMYFUNCTION("""COMPUTED_VALUE"""),"Stop Price")</f>
        <v>Stop Price</v>
      </c>
      <c r="R5" s="28" t="str">
        <f>IFERROR(__xludf.DUMMYFUNCTION("""COMPUTED_VALUE"""),"Actual User")</f>
        <v>Actual User</v>
      </c>
      <c r="S5" s="28" t="str">
        <f>IFERROR(__xludf.DUMMYFUNCTION("""COMPUTED_VALUE"""),"Bloomberg Symbol")</f>
        <v>Bloomberg Symbol</v>
      </c>
      <c r="T5" s="30" t="str">
        <f>IFERROR(__xludf.DUMMYFUNCTION("""COMPUTED_VALUE"""),"Algo")</f>
        <v>Algo</v>
      </c>
      <c r="U5" s="30" t="str">
        <f>IFERROR(__xludf.DUMMYFUNCTION("""COMPUTED_VALUE"""),"Allocation Scheme Name")</f>
        <v>Allocation Scheme Name</v>
      </c>
      <c r="V5" s="30" t="str">
        <f>IFERROR(__xludf.DUMMYFUNCTION("""COMPUTED_VALUE"""),"Allocation Status")</f>
        <v>Allocation Status</v>
      </c>
      <c r="W5" s="30" t="str">
        <f>IFERROR(__xludf.DUMMYFUNCTION("""COMPUTED_VALUE"""),"Asset Class")</f>
        <v>Asset Class</v>
      </c>
      <c r="X5" s="30" t="str">
        <f>IFERROR(__xludf.DUMMYFUNCTION("""COMPUTED_VALUE"""),"FX Conversion Operator")</f>
        <v>FX Conversion Operator</v>
      </c>
      <c r="Y5" s="30" t="str">
        <f>IFERROR(__xludf.DUMMYFUNCTION("""COMPUTED_VALUE"""),"FX Rate")</f>
        <v>FX Rate</v>
      </c>
      <c r="Z5" s="30" t="str">
        <f>IFERROR(__xludf.DUMMYFUNCTION("""COMPUTED_VALUE"""),"Imported File Name")</f>
        <v>Imported File Name</v>
      </c>
      <c r="AA5" s="30" t="str">
        <f>IFERROR(__xludf.DUMMYFUNCTION("""COMPUTED_VALUE"""),"Internal Comments")</f>
        <v>Internal Comments</v>
      </c>
      <c r="AB5" s="30" t="str">
        <f>IFERROR(__xludf.DUMMYFUNCTION("""COMPUTED_VALUE"""),"Peg")</f>
        <v>Peg</v>
      </c>
      <c r="AC5" s="30" t="str">
        <f>IFERROR(__xludf.DUMMYFUNCTION("""COMPUTED_VALUE"""),"Principal Amount (Base)")</f>
        <v>Principal Amount (Base)</v>
      </c>
      <c r="AD5" s="30" t="str">
        <f>IFERROR(__xludf.DUMMYFUNCTION("""COMPUTED_VALUE"""),"Principal Amount (Local)")</f>
        <v>Principal Amount (Local)</v>
      </c>
      <c r="AE5" s="30" t="str">
        <f>IFERROR(__xludf.DUMMYFUNCTION("""COMPUTED_VALUE"""),"Process Date")</f>
        <v>Process Date</v>
      </c>
      <c r="AF5" s="30" t="str">
        <f>IFERROR(__xludf.DUMMYFUNCTION("""COMPUTED_VALUE"""),"Put/Call")</f>
        <v>Put/Call</v>
      </c>
      <c r="AG5" s="30" t="str">
        <f>IFERROR(__xludf.DUMMYFUNCTION("""COMPUTED_VALUE"""),"Settlement Currency")</f>
        <v>Settlement Currency</v>
      </c>
      <c r="AH5" s="30" t="str">
        <f>IFERROR(__xludf.DUMMYFUNCTION("""COMPUTED_VALUE"""),"Source")</f>
        <v>Source</v>
      </c>
      <c r="AI5" s="30" t="str">
        <f>IFERROR(__xludf.DUMMYFUNCTION("""COMPUTED_VALUE"""),"Status (With Rollover)")</f>
        <v>Status (With Rollover)</v>
      </c>
      <c r="AJ5" s="30" t="str">
        <f>IFERROR(__xludf.DUMMYFUNCTION("""COMPUTED_VALUE"""),"Strategy")</f>
        <v>Strategy</v>
      </c>
      <c r="AK5" s="30" t="str">
        <f>IFERROR(__xludf.DUMMYFUNCTION("""COMPUTED_VALUE"""),"Strike Price")</f>
        <v>Strike Price</v>
      </c>
      <c r="AL5" s="30" t="str">
        <f>IFERROR(__xludf.DUMMYFUNCTION("""COMPUTED_VALUE"""),"Trade Attribute 1")</f>
        <v>Trade Attribute 1</v>
      </c>
      <c r="AM5" s="30" t="str">
        <f>IFERROR(__xludf.DUMMYFUNCTION("""COMPUTED_VALUE"""),"Trade Attribute 2")</f>
        <v>Trade Attribute 2</v>
      </c>
      <c r="AN5" s="30" t="str">
        <f>IFERROR(__xludf.DUMMYFUNCTION("""COMPUTED_VALUE"""),"Trade Attribute 3")</f>
        <v>Trade Attribute 3</v>
      </c>
      <c r="AO5" s="30" t="str">
        <f>IFERROR(__xludf.DUMMYFUNCTION("""COMPUTED_VALUE"""),"Trade Attribute 4")</f>
        <v>Trade Attribute 4</v>
      </c>
      <c r="AP5" s="30" t="str">
        <f>IFERROR(__xludf.DUMMYFUNCTION("""COMPUTED_VALUE"""),"Trade Attribute 5")</f>
        <v>Trade Attribute 5</v>
      </c>
      <c r="AQ5" s="30" t="str">
        <f>IFERROR(__xludf.DUMMYFUNCTION("""COMPUTED_VALUE"""),"Trade Attribute 6")</f>
        <v>Trade Attribute 6</v>
      </c>
      <c r="AR5" s="30" t="str">
        <f>IFERROR(__xludf.DUMMYFUNCTION("""COMPUTED_VALUE"""),"Trader")</f>
        <v>Trader</v>
      </c>
      <c r="AS5" s="30" t="str">
        <f>IFERROR(__xludf.DUMMYFUNCTION("""COMPUTED_VALUE"""),"Transaction Time")</f>
        <v>Transaction Time</v>
      </c>
      <c r="AT5" s="30" t="str">
        <f>IFERROR(__xludf.DUMMYFUNCTION("""COMPUTED_VALUE"""),"Underlying Country")</f>
        <v>Underlying Country</v>
      </c>
      <c r="AU5" s="30" t="str">
        <f>IFERROR(__xludf.DUMMYFUNCTION("""COMPUTED_VALUE"""),"Underlying Symbol")</f>
        <v>Underlying Symbol</v>
      </c>
      <c r="AV5" s="30" t="str">
        <f>IFERROR(__xludf.DUMMYFUNCTION("""COMPUTED_VALUE"""),"Venue")</f>
        <v>Venue</v>
      </c>
      <c r="AW5" s="30" t="str">
        <f>IFERROR(__xludf.DUMMYFUNCTION("""COMPUTED_VALUE"""),"Working Qty")</f>
        <v>Working Qty</v>
      </c>
      <c r="AX5" s="30" t="str">
        <f>IFERROR(__xludf.DUMMYFUNCTION("""COMPUTED_VALUE"""),"Client")</f>
        <v>Client</v>
      </c>
      <c r="AY5" s="30" t="str">
        <f>IFERROR(__xludf.DUMMYFUNCTION("""COMPUTED_VALUE"""),"OrderID")</f>
        <v>OrderID</v>
      </c>
      <c r="AZ5" s="30" t="str">
        <f>IFERROR(__xludf.DUMMYFUNCTION("""COMPUTED_VALUE"""),"ParentClOrderID")</f>
        <v>ParentClOrderID</v>
      </c>
      <c r="BA5" s="30" t="str">
        <f>IFERROR(__xludf.DUMMYFUNCTION("""COMPUTED_VALUE"""),"Master Fund")</f>
        <v>Master Fund</v>
      </c>
      <c r="BB5" s="30" t="str">
        <f>IFERROR(__xludf.DUMMYFUNCTION("""COMPUTED_VALUE"""),"Current User")</f>
        <v>Current User</v>
      </c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 t="s">
        <v>25</v>
      </c>
      <c r="C6" s="13" t="s">
        <v>23</v>
      </c>
      <c r="D6" s="13">
        <v>200.0</v>
      </c>
      <c r="E6" s="13">
        <v>200.0</v>
      </c>
      <c r="F6" s="8"/>
      <c r="G6" s="13" t="s">
        <v>34</v>
      </c>
      <c r="H6" s="8"/>
      <c r="I6" s="8"/>
      <c r="J6" s="8"/>
      <c r="K6" s="13" t="s">
        <v>19</v>
      </c>
      <c r="L6" s="13" t="s">
        <v>24</v>
      </c>
      <c r="M6" s="8"/>
      <c r="N6" s="8"/>
      <c r="O6" s="8"/>
      <c r="AV6" s="9" t="s">
        <v>20</v>
      </c>
    </row>
    <row r="7" ht="15.75" customHeight="1">
      <c r="A7" s="13"/>
      <c r="B7" s="13" t="s">
        <v>22</v>
      </c>
      <c r="C7" s="13" t="s">
        <v>23</v>
      </c>
      <c r="D7" s="13">
        <v>100.0</v>
      </c>
      <c r="E7" s="13">
        <v>100.0</v>
      </c>
      <c r="F7" s="8"/>
      <c r="G7" s="13" t="s">
        <v>34</v>
      </c>
      <c r="H7" s="8"/>
      <c r="I7" s="8"/>
      <c r="J7" s="8"/>
      <c r="K7" s="13" t="s">
        <v>19</v>
      </c>
      <c r="L7" s="13" t="s">
        <v>24</v>
      </c>
      <c r="M7" s="8"/>
      <c r="N7" s="8"/>
      <c r="O7" s="8"/>
      <c r="AV7" s="9" t="s">
        <v>20</v>
      </c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VerifyWorkingSubs!$4:$4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 format for current sheet" sqref="G3">
      <formula1>"Input Format,Output Format"</formula1>
    </dataValidation>
  </dataValidations>
  <drawing r:id="rId1"/>
</worksheet>
</file>