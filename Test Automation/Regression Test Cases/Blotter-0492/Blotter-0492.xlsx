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SelectTradeOnOrderGrid" sheetId="9" r:id="rId11"/>
    <sheet state="visible" name="CancelSubOrder" sheetId="10" r:id="rId12"/>
    <sheet state="visible" name="SelectTrade1" sheetId="11" r:id="rId13"/>
    <sheet state="visible" name="AcknowledgeTrade1" sheetId="12" r:id="rId14"/>
    <sheet state="visible" name="TradeNewSubOrder" sheetId="13" r:id="rId15"/>
    <sheet state="visible" name="CustomOrderTT" sheetId="14" r:id="rId16"/>
    <sheet state="visible" name="CreateNewSubLiveOrder" sheetId="15" r:id="rId17"/>
    <sheet state="visible" name="SelectTrade2" sheetId="16" r:id="rId18"/>
    <sheet state="visible" name="AcknowledgeTrade2" sheetId="17" r:id="rId19"/>
    <sheet state="visible" name="ExecuteTrade3" sheetId="18" r:id="rId20"/>
    <sheet state="visible" name="SelectTradeOnOrderGrid1" sheetId="19" r:id="rId21"/>
    <sheet state="visible" name="VerifySubOrder" sheetId="20" r:id="rId22"/>
    <sheet state="visible" name="CheckAllocatedGroups" sheetId="21" r:id="rId23"/>
    <sheet state="visible" name="CheckPortfolioManagement" sheetId="22" r:id="rId24"/>
  </sheets>
  <definedNames/>
  <calcPr/>
</workbook>
</file>

<file path=xl/sharedStrings.xml><?xml version="1.0" encoding="utf-8"?>
<sst xmlns="http://schemas.openxmlformats.org/spreadsheetml/2006/main" count="509" uniqueCount="70">
  <si>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</si>
  <si>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</si>
  <si>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</si>
  <si>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</si>
  <si>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</si>
  <si>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</si>
  <si>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</si>
  <si>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</si>
  <si>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</si>
  <si>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</si>
  <si>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</si>
  <si>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</si>
  <si>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</si>
  <si>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</si>
  <si>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</si>
  <si>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</si>
  <si>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</si>
  <si>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</si>
  <si>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</si>
  <si>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MS</t>
  </si>
  <si>
    <t>CreateLiveOrder</t>
  </si>
  <si>
    <t>GTC</t>
  </si>
  <si>
    <t>Simulator</t>
  </si>
  <si>
    <t>SelectTrade</t>
  </si>
  <si>
    <t>AcknowledgeTrade</t>
  </si>
  <si>
    <t>ExecuteTrade</t>
  </si>
  <si>
    <t>Blotter</t>
  </si>
  <si>
    <t>SelectTradeOnOrderGrid</t>
  </si>
  <si>
    <t>PartiallyFilled</t>
  </si>
  <si>
    <t>CancelSubOrder</t>
  </si>
  <si>
    <t>TradeNewSubOrder</t>
  </si>
  <si>
    <t>CustomOrderTT</t>
  </si>
  <si>
    <t>Send</t>
  </si>
  <si>
    <t>CreateNewSubLiveOrder</t>
  </si>
  <si>
    <t>VerifySubOrder</t>
  </si>
  <si>
    <t/>
  </si>
  <si>
    <t>USD</t>
  </si>
  <si>
    <t>DefaultNotes</t>
  </si>
  <si>
    <t>Cancelled</t>
  </si>
  <si>
    <t>Manual</t>
  </si>
  <si>
    <t>jpearce</t>
  </si>
  <si>
    <t>Allocation</t>
  </si>
  <si>
    <t>CheckAllocatedGroups</t>
  </si>
  <si>
    <t>Actual_365</t>
  </si>
  <si>
    <t>Equity</t>
  </si>
  <si>
    <t>AAPL US EQUITY</t>
  </si>
  <si>
    <t>Treasury</t>
  </si>
  <si>
    <t>Open</t>
  </si>
  <si>
    <t>APPLE</t>
  </si>
  <si>
    <t>NASDAQ</t>
  </si>
  <si>
    <t>M</t>
  </si>
  <si>
    <t>None</t>
  </si>
  <si>
    <t>InternalOrder</t>
  </si>
  <si>
    <t>Strategy Unallocated</t>
  </si>
  <si>
    <t>GCCAP1</t>
  </si>
  <si>
    <t>US</t>
  </si>
  <si>
    <t>NONE</t>
  </si>
  <si>
    <t>NewMF</t>
  </si>
  <si>
    <t>PortfolioManagement</t>
  </si>
  <si>
    <t>CheckPortfolioManagement</t>
  </si>
  <si>
    <t>Long</t>
  </si>
  <si>
    <t>FIMAT</t>
  </si>
  <si>
    <t>New Hedge</t>
  </si>
  <si>
    <t>Small Cap</t>
  </si>
  <si>
    <t>Default</t>
  </si>
  <si>
    <t>Undefined</t>
  </si>
  <si>
    <t>test1</t>
  </si>
  <si>
    <t>india</t>
  </si>
  <si>
    <t>test 1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</si>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</sst>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24" Type="http://schemas.openxmlformats.org/officeDocument/2006/relationships/worksheet" Target="worksheets/sheet22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>
      <c r="A682" t="str">
        <f>IFERROR(__xludf.DUMMYFUNCTION("""COMPUTED_VALUE"""),"Blotter")</f>
        <v>Blotter</v>
      </c>
      <c r="B682" t="str">
        <f>IFERROR(__xludf.DUMMYFUNCTION("""COMPUTED_VALUE"""),"AddOrRemoveColumnFromBlotter")</f>
        <v>AddOrRemoveColumnFromBlotter</v>
      </c>
      <c r="C682" t="str">
        <f>IFERROR(__xludf.DUMMYFUNCTION("""COMPUTED_VALUE"""),"1AImtOGYKAeR3YFeq_UoGYWtzjfmt90mMudYE0gCcfuY")</f>
        <v>1AImtOGYKAeR3YFeq_UoGYWtzjfmt90mMudYE0gCcfuY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IFERROR(__xludf.DUMMYFUNCTION("""COMPUTED_VALUE"""),"ApplyFilterOnBlotter")</f>
        <v>ApplyFilterOnBlotter</v>
      </c>
      <c r="C683" t="str">
        <f>IFERROR(__xludf.DUMMYFUNCTION("""COMPUTED_VALUE"""),"1HwDVyMvyOdl2-ZD1QqhAZuwUuRJSMW_PlBPxaE_76EI")</f>
        <v>1HwDVyMvyOdl2-ZD1QqhAZuwUuRJSMW_PlBPxaE_76EI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IFERROR(__xludf.DUMMYFUNCTION("""COMPUTED_VALUE"""),"SortGridOnBlotter")</f>
        <v>SortGridOnBlotter</v>
      </c>
      <c r="C684" t="str">
        <f>IFERROR(__xludf.DUMMYFUNCTION("""COMPUTED_VALUE"""),"1MvLrWPS7fBH0YzOrBIt5TdlPdCiRTwsVXBfvicm6qvY")</f>
        <v>1MvLrWPS7fBH0YzOrBIt5TdlPdCiRTwsVXBfvicm6qvY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IFERROR(__xludf.DUMMYFUNCTION("""COMPUTED_VALUE"""),"VerifyDataIndexWise")</f>
        <v>VerifyDataIndexWise</v>
      </c>
      <c r="C685" t="str">
        <f>IFERROR(__xludf.DUMMYFUNCTION("""COMPUTED_VALUE"""),"18hzviv5ObHcdclDM2TEFd2OQL7r5vS4oemcrzjwtOSk")</f>
        <v>18hzviv5ObHcdclDM2TEFd2OQL7r5vS4oemcrzjwtOSk</v>
      </c>
    </row>
    <row r="686" ht="15.75" customHeight="1">
      <c r="A686" t="str">
        <f>IFERROR(__xludf.DUMMYFUNCTION("""COMPUTED_VALUE"""),"RTPNL")</f>
        <v>RTPNL</v>
      </c>
      <c r="B686" t="str">
        <f>IFERROR(__xludf.DUMMYFUNCTION("""COMPUTED_VALUE"""),"SavePage")</f>
        <v>SavePage</v>
      </c>
      <c r="C686" t="str">
        <f>IFERROR(__xludf.DUMMYFUNCTION("""COMPUTED_VALUE"""),"1_uQYVoc5DS6NYv0EYGKjax2jWsfgKobFEjxJkQjLL3w")</f>
        <v>1_uQYVoc5DS6NYv0EYGKjax2jWsfgKobFEjxJkQjLL3w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IFERROR(__xludf.DUMMYFUNCTION("""COMPUTED_VALUE"""),"SaveLayoutBlotter")</f>
        <v>SaveLayoutBlotter</v>
      </c>
      <c r="C687" t="str">
        <f>IFERROR(__xludf.DUMMYFUNCTION("""COMPUTED_VALUE"""),"Undefined")</f>
        <v>Undefined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IFERROR(__xludf.DUMMYFUNCTION("""COMPUTED_VALUE"""),"ConfigureWidget")</f>
        <v>ConfigureWidget</v>
      </c>
      <c r="C688" t="str">
        <f>IFERROR(__xludf.DUMMYFUNCTION("""COMPUTED_VALUE"""),"1W6yBhMOu0wchoi8WJBVKvPLgngkTy6xSOF5JPGpCiJM")</f>
        <v>1W6yBhMOu0wchoi8WJBVKvPLgngkTy6xSOF5JPGpCiJM</v>
      </c>
    </row>
    <row r="689" ht="15.75" customHeight="1">
      <c r="A689" t="str">
        <f>IFERROR(__xludf.DUMMYFUNCTION("""COMPUTED_VALUE"""),"CreateTransaction")</f>
        <v>CreateTransaction</v>
      </c>
      <c r="B689" t="str">
        <f>IFERROR(__xludf.DUMMYFUNCTION("""COMPUTED_VALUE"""),"VerifyCTNavLockPopup")</f>
        <v>VerifyCTNavLockPopup</v>
      </c>
      <c r="C689" t="str">
        <f>IFERROR(__xludf.DUMMYFUNCTION("""COMPUTED_VALUE"""),"144sdIKvp1IYBLo1BR5xnXjJV08MEYXOtOle_BzmZysU")</f>
        <v>144sdIKvp1IYBLo1BR5xnXjJV08MEYXOtOle_BzmZysU</v>
      </c>
    </row>
    <row r="690" ht="15.75" customHeight="1">
      <c r="A690" t="str">
        <f>IFERROR(__xludf.DUMMYFUNCTION("""COMPUTED_VALUE"""),"DailyValuation")</f>
        <v>DailyValuation</v>
      </c>
      <c r="B690" t="str">
        <f>IFERROR(__xludf.DUMMYFUNCTION("""COMPUTED_VALUE"""),"VerifyDVNavLockPopup")</f>
        <v>VerifyDVNavLockPopup</v>
      </c>
      <c r="C690" t="str">
        <f>IFERROR(__xludf.DUMMYFUNCTION("""COMPUTED_VALUE"""),"1rXDKRADphBVDpGsYUs6Jq5ugHFrpJ_qRur3VkVbGwV4")</f>
        <v>1rXDKRADphBVDpGsYUs6Jq5ugHFrpJ_qRur3VkVbGwV4</v>
      </c>
    </row>
    <row r="691" ht="15.75" customHeight="1">
      <c r="A691" t="str">
        <f>IFERROR(__xludf.DUMMYFUNCTION("""COMPUTED_VALUE"""),"GeneralLedger")</f>
        <v>GeneralLedger</v>
      </c>
      <c r="B691" t="str">
        <f>IFERROR(__xludf.DUMMYFUNCTION("""COMPUTED_VALUE"""),"VerifyGLNavLockPopup")</f>
        <v>VerifyGLNavLockPopup</v>
      </c>
      <c r="C691" t="str">
        <f>IFERROR(__xludf.DUMMYFUNCTION("""COMPUTED_VALUE"""),"13qCmJnkjFZw_O4n_dVKtJg-5eOkymkypG_MjQGuuNAo")</f>
        <v>13qCmJnkjFZw_O4n_dVKtJg-5eOkymkypG_MjQGuuNAo</v>
      </c>
    </row>
    <row r="692" ht="15.75" customHeight="1">
      <c r="A692" t="str">
        <f>IFERROR(__xludf.DUMMYFUNCTION("""COMPUTED_VALUE"""),"Import")</f>
        <v>Import</v>
      </c>
      <c r="B692" t="str">
        <f>IFERROR(__xludf.DUMMYFUNCTION("""COMPUTED_VALUE"""),"VerifyImportNavLockPopup")</f>
        <v>VerifyImportNavLockPopup</v>
      </c>
      <c r="C692" t="str">
        <f>IFERROR(__xludf.DUMMYFUNCTION("""COMPUTED_VALUE"""),"1pXdTBlTEvtcQUfX_APkVY3rRe3gVlj4Sk_Jyd6F4sNM")</f>
        <v>1pXdTBlTEvtcQUfX_APkVY3rRe3gVlj4Sk_Jyd6F4sNM</v>
      </c>
    </row>
    <row r="693" ht="15.75" customHeight="1">
      <c r="A693" t="str">
        <f>IFERROR(__xludf.DUMMYFUNCTION("""COMPUTED_VALUE"""),"MultiTradingTicket")</f>
        <v>MultiTradingTicket</v>
      </c>
      <c r="B693" t="str">
        <f>IFERROR(__xludf.DUMMYFUNCTION("""COMPUTED_VALUE"""),"VerifyMTTNavLockPopup")</f>
        <v>VerifyMTTNavLockPopup</v>
      </c>
      <c r="C693" t="str">
        <f>IFERROR(__xludf.DUMMYFUNCTION("""COMPUTED_VALUE"""),"1hzuWfGgMcTuN77JdNWDiNq95xYqAIxYrqdk47goXdlc")</f>
        <v>1hzuWfGgMcTuN77JdNWDiNq95xYqAIxYrqdk47goXdlc</v>
      </c>
    </row>
    <row r="694" ht="15.75" customHeight="1">
      <c r="A694" t="str">
        <f>IFERROR(__xludf.DUMMYFUNCTION("""COMPUTED_VALUE"""),"PricingInput")</f>
        <v>PricingInput</v>
      </c>
      <c r="B694" t="str">
        <f>IFERROR(__xludf.DUMMYFUNCTION("""COMPUTED_VALUE"""),"VerifyPINavLockPopup")</f>
        <v>VerifyPINavLockPopup</v>
      </c>
      <c r="C694" t="str">
        <f>IFERROR(__xludf.DUMMYFUNCTION("""COMPUTED_VALUE"""),"1MqKw1Z4nex0wIRjcW-Lhchpv8ZsSNuruz2cszeIP01M")</f>
        <v>1MqKw1Z4nex0wIRjcW-Lhchpv8ZsSNuruz2cszeIP01M</v>
      </c>
    </row>
    <row r="695" ht="15.75" customHeight="1">
      <c r="A695" t="str">
        <f>IFERROR(__xludf.DUMMYFUNCTION("""COMPUTED_VALUE"""),"ShortLocate")</f>
        <v>ShortLocate</v>
      </c>
      <c r="B695" t="str">
        <f>IFERROR(__xludf.DUMMYFUNCTION("""COMPUTED_VALUE"""),"VerifySLNavLockPopup")</f>
        <v>VerifySLNavLockPopup</v>
      </c>
      <c r="C695" t="str">
        <f>IFERROR(__xludf.DUMMYFUNCTION("""COMPUTED_VALUE"""),"1sBI9JpwaQW2KTgfDWaY7h3xdvzXzeqjaP8_Vml6QbTo")</f>
        <v>1sBI9JpwaQW2KTgfDWaY7h3xdvzXzeqjaP8_Vml6QbTo</v>
      </c>
    </row>
    <row r="696" ht="15.75" customHeight="1">
      <c r="A696" t="str">
        <f>IFERROR(__xludf.DUMMYFUNCTION("""COMPUTED_VALUE"""),"TradingTicket")</f>
        <v>TradingTicket</v>
      </c>
      <c r="B696" t="str">
        <f>IFERROR(__xludf.DUMMYFUNCTION("""COMPUTED_VALUE"""),"VerifyTTNavLockPopup")</f>
        <v>VerifyTTNavLockPopup</v>
      </c>
      <c r="C696" t="str">
        <f>IFERROR(__xludf.DUMMYFUNCTION("""COMPUTED_VALUE"""),"15lRx1SPPsy7nykR6nVYUadOnwKG80Q6OfxTDuQ_dvXI")</f>
        <v>15lRx1SPPsy7nykR6nVYUadOnwKG80Q6OfxTDuQ_dvXI</v>
      </c>
    </row>
    <row r="697" ht="15.75" customHeight="1">
      <c r="A697" t="str">
        <f>IFERROR(__xludf.DUMMYFUNCTION("""COMPUTED_VALUE"""),"Blotter")</f>
        <v>Blotter</v>
      </c>
      <c r="B697" t="str">
        <f>IFERROR(__xludf.DUMMYFUNCTION("""COMPUTED_VALUE"""),"VerifyBlotterNavLockPopup")</f>
        <v>VerifyBlotterNavLockPopup</v>
      </c>
      <c r="C697" t="str">
        <f>IFERROR(__xludf.DUMMYFUNCTION("""COMPUTED_VALUE"""),"1NXDngJ54gfiJxrqVxgbEYZ7hW3c4kquifXR6Lg7EK5Y")</f>
        <v>1NXDngJ54gfiJxrqVxgbEYZ7hW3c4kquifXR6Lg7EK5Y</v>
      </c>
    </row>
    <row r="698" ht="15.75" customHeight="1">
      <c r="A698" t="str">
        <f>IFERROR(__xludf.DUMMYFUNCTION("""COMPUTED_VALUE"""),"Closing")</f>
        <v>Closing</v>
      </c>
      <c r="B698" t="str">
        <f>IFERROR(__xludf.DUMMYFUNCTION("""COMPUTED_VALUE"""),"VerifyClosingNavLockPopup")</f>
        <v>VerifyClosingNavLockPopup</v>
      </c>
      <c r="C698" t="str">
        <f>IFERROR(__xludf.DUMMYFUNCTION("""COMPUTED_VALUE"""),"1AR0JbTGvV_W-vRVG60LJNAab-sFlfdBFwEtZpVYEMPo")</f>
        <v>1AR0JbTGvV_W-vRVG60LJNAab-sFlfdBFwEtZpVYEMPo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IFERROR(__xludf.DUMMYFUNCTION("""COMPUTED_VALUE"""),"ChangeWidgetView")</f>
        <v>ChangeWidgetView</v>
      </c>
      <c r="C699" t="str">
        <f>IFERROR(__xludf.DUMMYFUNCTION("""COMPUTED_VALUE"""),"1PKf_qqqp1j7_MkyduQmNqqaKdDFTgjuq1ApwaDumMj0")</f>
        <v>1PKf_qqqp1j7_MkyduQmNqqaKdDFTgjuq1ApwaDumMj0</v>
      </c>
    </row>
    <row r="700" ht="15.75" customHeight="1">
      <c r="A700" t="str">
        <f>IFERROR(__xludf.DUMMYFUNCTION("""COMPUTED_VALUE"""),"Blotter")</f>
        <v>Blotter</v>
      </c>
      <c r="B700" t="str">
        <f>IFERROR(__xludf.DUMMYFUNCTION("""COMPUTED_VALUE"""),"CustomTabActions")</f>
        <v>CustomTabActions</v>
      </c>
      <c r="C700" t="str">
        <f>IFERROR(__xludf.DUMMYFUNCTION("""COMPUTED_VALUE"""),"163hnSm9KTeABqdRxsfyyCsrxGVcrGd0nCGT4WqLsJ9Q")</f>
        <v>163hnSm9KTeABqdRxsfyyCsrxGVcrGd0nCGT4WqLsJ9Q</v>
      </c>
    </row>
    <row r="701" ht="15.75" customHeight="1">
      <c r="A701" t="str">
        <f>IFERROR(__xludf.DUMMYFUNCTION("""COMPUTED_VALUE"""),"Blotter")</f>
        <v>Blotter</v>
      </c>
      <c r="B701" t="str">
        <f>IFERROR(__xludf.DUMMYFUNCTION("""COMPUTED_VALUE"""),"VerifyAllocationWindow")</f>
        <v>VerifyAllocationWindow</v>
      </c>
      <c r="C701" t="str">
        <f>IFERROR(__xludf.DUMMYFUNCTION("""COMPUTED_VALUE"""),"1DUwxSUq_47EK60XmK3LOdCXa1fkWqWJE9bLuGS3ccv4")</f>
        <v>1DUwxSUq_47EK60XmK3LOdCXa1fkWqWJE9bLuGS3ccv4</v>
      </c>
    </row>
    <row r="702" ht="15.75" customHeight="1">
      <c r="A702" t="str">
        <f>IFERROR(__xludf.DUMMYFUNCTION("""COMPUTED_VALUE"""),"OpenFin")</f>
        <v>OpenFin</v>
      </c>
      <c r="B702" t="str">
        <f>IFERROR(__xludf.DUMMYFUNCTION("""COMPUTED_VALUE"""),"SavePageView")</f>
        <v>SavePageView</v>
      </c>
      <c r="C702" t="str">
        <f>IFERROR(__xludf.DUMMYFUNCTION("""COMPUTED_VALUE"""),"1wFFzsxWBm8VT5o4pz2dFosHS72pEaQuVZFVkiVeZE9w")</f>
        <v>1wFFzsxWBm8VT5o4pz2dFosHS72pEaQuVZFVkiVeZE9w</v>
      </c>
    </row>
    <row r="703" ht="15.75" customHeight="1">
      <c r="A703" t="str">
        <f>IFERROR(__xludf.DUMMYFUNCTION("""COMPUTED_VALUE"""),"OpenFin")</f>
        <v>OpenFin</v>
      </c>
      <c r="B703" t="str">
        <f>IFERROR(__xludf.DUMMYFUNCTION("""COMPUTED_VALUE"""),"ActionOnPageFromSearch")</f>
        <v>ActionOnPageFromSearch</v>
      </c>
      <c r="C703" t="str">
        <f>IFERROR(__xludf.DUMMYFUNCTION("""COMPUTED_VALUE"""),"1jCpG4ETPp9dfvh-Ymdex8Mb3Taz9sYrOR-1uBd5Ceyc")</f>
        <v>1jCpG4ETPp9dfvh-Ymdex8Mb3Taz9sYrOR-1uBd5Ceyc</v>
      </c>
    </row>
    <row r="704" ht="15.75" customHeight="1">
      <c r="A704" t="str">
        <f>IFERROR(__xludf.DUMMYFUNCTION("""COMPUTED_VALUE"""),"OpenFin")</f>
        <v>OpenFin</v>
      </c>
      <c r="B704" t="str">
        <f>IFERROR(__xludf.DUMMYFUNCTION("""COMPUTED_VALUE"""),"ChangeThemeOnModule")</f>
        <v>ChangeThemeOnModule</v>
      </c>
      <c r="C704" t="str">
        <f>IFERROR(__xludf.DUMMYFUNCTION("""COMPUTED_VALUE"""),"1KKiVG313VPgZZadw3-GZ4Cbt7wTwEPpmyGsp3MHFp9Q")</f>
        <v>1KKiVG313VPgZZadw3-GZ4Cbt7wTwEPpmyGsp3MHFp9Q</v>
      </c>
    </row>
    <row r="705" ht="15.75" customHeight="1">
      <c r="A705" t="str">
        <f>IFERROR(__xludf.DUMMYFUNCTION("""COMPUTED_VALUE"""),"OpenFin")</f>
        <v>OpenFin</v>
      </c>
      <c r="B705" t="str">
        <f>IFERROR(__xludf.DUMMYFUNCTION("""COMPUTED_VALUE"""),"CloseService")</f>
        <v>CloseService</v>
      </c>
      <c r="C705" t="str">
        <f>IFERROR(__xludf.DUMMYFUNCTION("""COMPUTED_VALUE"""),"1YXPx62dgEZ9yV5qKkFLgWipyvziAW1SJVEqhiNHEONM")</f>
        <v>1YXPx62dgEZ9yV5qKkFLgWipyvziAW1SJVEqhiNHEONM</v>
      </c>
    </row>
    <row r="706" ht="15.75" customHeight="1">
      <c r="A706" t="str">
        <f>IFERROR(__xludf.DUMMYFUNCTION("""COMPUTED_VALUE"""),"OpenFin")</f>
        <v>OpenFin</v>
      </c>
      <c r="B706" t="str">
        <f>IFERROR(__xludf.DUMMYFUNCTION("""COMPUTED_VALUE"""),"LogOutSamsara")</f>
        <v>LogOutSamsara</v>
      </c>
      <c r="C706" t="str">
        <f>IFERROR(__xludf.DUMMYFUNCTION("""COMPUTED_VALUE"""),"1AHqtQRX4cdwOByK5Ip_T2FJlZFaU23rmiDk0afFhfaY")</f>
        <v>1AHqtQRX4cdwOByK5Ip_T2FJlZFaU23rmiDk0afFhfaY</v>
      </c>
    </row>
    <row r="707" ht="15.75" customHeight="1">
      <c r="A707" t="str">
        <f>IFERROR(__xludf.DUMMYFUNCTION("""COMPUTED_VALUE"""),"QTT")</f>
        <v>QTT</v>
      </c>
      <c r="B707" t="str">
        <f>IFERROR(__xludf.DUMMYFUNCTION("""COMPUTED_VALUE"""),"TradeQTT")</f>
        <v>TradeQTT</v>
      </c>
      <c r="C707" t="str">
        <f>IFERROR(__xludf.DUMMYFUNCTION("""COMPUTED_VALUE"""),"1-5lKqkX57JBaCsmy3TeMGKEVsjNdXnqCttYvBHsfJ14")</f>
        <v>1-5lKqkX57JBaCsmy3TeMGKEVsjNdXnqCttYvBHsfJ14</v>
      </c>
    </row>
    <row r="708" ht="15.75" customHeight="1">
      <c r="A708" t="str">
        <f>IFERROR(__xludf.DUMMYFUNCTION("""COMPUTED_VALUE"""),"QTT")</f>
        <v>QTT</v>
      </c>
      <c r="B708" t="str">
        <f>IFERROR(__xludf.DUMMYFUNCTION("""COMPUTED_VALUE"""),"UseOrVerifyHotKeys")</f>
        <v>UseOrVerifyHotKeys</v>
      </c>
      <c r="C708" t="str">
        <f>IFERROR(__xludf.DUMMYFUNCTION("""COMPUTED_VALUE"""),"1ajjcbjqpEui4y62RzfJ-6ARI0W8GAhrdUmWCOsG_ovE")</f>
        <v>1ajjcbjqpEui4y62RzfJ-6ARI0W8GAhrdUmWCOsG_ovE</v>
      </c>
    </row>
    <row r="709" ht="15.75" customHeight="1">
      <c r="A709" t="str">
        <f>IFERROR(__xludf.DUMMYFUNCTION("""COMPUTED_VALUE"""),"QTT")</f>
        <v>QTT</v>
      </c>
      <c r="B709" t="str">
        <f>IFERROR(__xludf.DUMMYFUNCTION("""COMPUTED_VALUE"""),"BookmarkOrVerifyHotKeyinHamberg")</f>
        <v>BookmarkOrVerifyHotKeyinHamberg</v>
      </c>
      <c r="C709" t="str">
        <f>IFERROR(__xludf.DUMMYFUNCTION("""COMPUTED_VALUE"""),"1fqeJETrWs5bkb8u-VXsfp35T-5kIzPjT669RuSWt6gg")</f>
        <v>1fqeJETrWs5bkb8u-VXsfp35T-5kIzPjT669RuSWt6gg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IFERROR(__xludf.DUMMYFUNCTION("""COMPUTED_VALUE"""),"ShortLocateFromTT")</f>
        <v>ShortLocateFromTT</v>
      </c>
      <c r="C710" t="str">
        <f>IFERROR(__xludf.DUMMYFUNCTION("""COMPUTED_VALUE"""),"1saPgjE09_MBiqASRTSQboRMwRdUlFv6nzTocBZeFm-I")</f>
        <v>1saPgjE09_MBiqASRTSQboRMwRdUlFv6nzTocBZeFm-I</v>
      </c>
    </row>
    <row r="711" ht="15.75" customHeight="1">
      <c r="A711" t="str">
        <f>IFERROR(__xludf.DUMMYFUNCTION("""COMPUTED_VALUE"""),"TradingTicket")</f>
        <v>TradingTicket</v>
      </c>
      <c r="B711" t="str">
        <f>IFERROR(__xludf.DUMMYFUNCTION("""COMPUTED_VALUE"""),"VerifyShortLocateWindowOnTT")</f>
        <v>VerifyShortLocateWindowOnTT</v>
      </c>
      <c r="C711" t="str">
        <f>IFERROR(__xludf.DUMMYFUNCTION("""COMPUTED_VALUE"""),"1ljyVPm21FKmOvEmG0-JvPMTBuyG89a_7EGFToCoHgI4")</f>
        <v>1ljyVPm21FKmOvEmG0-JvPMTBuyG89a_7EGFToCoHgI4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IFERROR(__xludf.DUMMYFUNCTION("""COMPUTED_VALUE"""),"RenameTabs")</f>
        <v>RenameTabs</v>
      </c>
      <c r="C712" t="str">
        <f>IFERROR(__xludf.DUMMYFUNCTION("""COMPUTED_VALUE"""),"1K7LcioEl1sTwLRhqHc9go_7jNmUIRZNy9zBQLMgtBw8")</f>
        <v>1K7LcioEl1sTwLRhqHc9go_7jNmUIRZNy9zBQLMgtBw8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IFERROR(__xludf.DUMMYFUNCTION("""COMPUTED_VALUE"""),"ResizeEnsure")</f>
        <v>ResizeEnsure</v>
      </c>
      <c r="C713" t="str">
        <f>IFERROR(__xludf.DUMMYFUNCTION("""COMPUTED_VALUE"""),"1-peVyQ_nIwd8owwmtDtNW-yx12KQx2nHeYee6duB46M")</f>
        <v>1-peVyQ_nIwd8owwmtDtNW-yx12KQx2nHeYee6duB46M</v>
      </c>
    </row>
    <row r="714" ht="15.75" customHeight="1">
      <c r="A714" t="str">
        <f>IFERROR(__xludf.DUMMYFUNCTION("""COMPUTED_VALUE"""),"Admin")</f>
        <v>Admin</v>
      </c>
      <c r="B714" t="str">
        <f>IFERROR(__xludf.DUMMYFUNCTION("""COMPUTED_VALUE"""),"ClearRTPNLtabs")</f>
        <v>ClearRTPNLtabs</v>
      </c>
      <c r="C714" t="str">
        <f>IFERROR(__xludf.DUMMYFUNCTION("""COMPUTED_VALUE"""),"Undefined")</f>
        <v>Undefined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IFERROR(__xludf.DUMMYFUNCTION("""COMPUTED_VALUE"""),"AddTabRTPNL")</f>
        <v>AddTabRTPNL</v>
      </c>
      <c r="C715" t="str">
        <f>IFERROR(__xludf.DUMMYFUNCTION("""COMPUTED_VALUE"""),"18kG7vS-CfSLW8Q-ho416lyPlP36XJPPHA0cRbCk3vjU")</f>
        <v>18kG7vS-CfSLW8Q-ho416lyPlP36XJPPHA0cRbCk3vjU</v>
      </c>
    </row>
    <row r="716" ht="15.75" customHeight="1">
      <c r="A716" t="str">
        <f>IFERROR(__xludf.DUMMYFUNCTION("""COMPUTED_VALUE"""),"PortfolioManagement")</f>
        <v>PortfolioManagement</v>
      </c>
      <c r="B716" t="str">
        <f>IFERROR(__xludf.DUMMYFUNCTION("""COMPUTED_VALUE"""),"SelectTradeOnPM")</f>
        <v>SelectTradeOnPM</v>
      </c>
      <c r="C716" t="str">
        <f>IFERROR(__xludf.DUMMYFUNCTION("""COMPUTED_VALUE"""),"1_tBJjps2mULQyHra_AnC6BBvPbOko3FAY-kc11l7eTg")</f>
        <v>1_tBJjps2mULQyHra_AnC6BBvPbOko3FAY-kc11l7eTg</v>
      </c>
    </row>
    <row r="717" ht="15.75" customHeight="1">
      <c r="A717" t="str">
        <f>IFERROR(__xludf.DUMMYFUNCTION("""COMPUTED_VALUE"""),"Unknown")</f>
        <v>Unknown</v>
      </c>
      <c r="B717" t="str">
        <f>IFERROR(__xludf.DUMMYFUNCTION("""COMPUTED_VALUE"""),"RightClickOperations")</f>
        <v>RightClickOperations</v>
      </c>
      <c r="C717" t="str">
        <f>IFERROR(__xludf.DUMMYFUNCTION("""COMPUTED_VALUE"""),"17jhCujI-0V0U3n5lzlkc-azSuwCa7rf-4KwcSInm9ts")</f>
        <v>17jhCujI-0V0U3n5lzlkc-azSuwCa7rf-4KwcSInm9ts</v>
      </c>
    </row>
    <row r="718" ht="15.75" customHeight="1">
      <c r="A718" t="str">
        <f>IFERROR(__xludf.DUMMYFUNCTION("""COMPUTED_VALUE"""),"Unknown")</f>
        <v>Unknown</v>
      </c>
      <c r="B718" t="str">
        <f>IFERROR(__xludf.DUMMYFUNCTION("""COMPUTED_VALUE"""),"RightClickAndClickOperations")</f>
        <v>RightClickAndClickOperations</v>
      </c>
      <c r="C718" t="str">
        <f>IFERROR(__xludf.DUMMYFUNCTION("""COMPUTED_VALUE"""),"1e9jtl9r57SkbYm3S4wbHtvkeG2KExZEiFSIkkRSaq-8")</f>
        <v>1e9jtl9r57SkbYm3S4wbHtvkeG2KExZEiFSIkkRSaq-8</v>
      </c>
    </row>
    <row r="719" ht="15.75" customHeight="1">
      <c r="A719" t="str">
        <f>IFERROR(__xludf.DUMMYFUNCTION("""COMPUTED_VALUE"""),"Blotter")</f>
        <v>Blotter</v>
      </c>
      <c r="B719" t="str">
        <f>IFERROR(__xludf.DUMMYFUNCTION("""COMPUTED_VALUE"""),"BlotterToolBarAction")</f>
        <v>BlotterToolBarAction</v>
      </c>
      <c r="C719" t="str">
        <f>IFERROR(__xludf.DUMMYFUNCTION("""COMPUTED_VALUE"""),"1bI1kIBxH6qy8zi5tx46rN3vNgbmxbdwtAo1inrXDALs")</f>
        <v>1bI1kIBxH6qy8zi5tx46rN3vNgbmxbdwtAo1inrXDALs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IFERROR(__xludf.DUMMYFUNCTION("""COMPUTED_VALUE"""),"MergeTT")</f>
        <v>MergeTT</v>
      </c>
      <c r="C720" t="str">
        <f>IFERROR(__xludf.DUMMYFUNCTION("""COMPUTED_VALUE"""),"1BEiRPdwHXsXVZ0ioude04Me5qSQ_YU6xh1ZwMWgExVU")</f>
        <v>1BEiRPdwHXsXVZ0ioude04Me5qSQ_YU6xh1ZwMWgExVU</v>
      </c>
    </row>
    <row r="721" ht="15.75" customHeight="1">
      <c r="A721" t="str">
        <f>IFERROR(__xludf.DUMMYFUNCTION("""COMPUTED_VALUE"""),"PortfolioManagement")</f>
        <v>PortfolioManagement</v>
      </c>
      <c r="B721" t="str">
        <f>IFERROR(__xludf.DUMMYFUNCTION("""COMPUTED_VALUE"""),"OperationsonPM")</f>
        <v>OperationsonPM</v>
      </c>
      <c r="C721" t="str">
        <f>IFERROR(__xludf.DUMMYFUNCTION("""COMPUTED_VALUE"""),"13hKVogBv66c752V1EGUyqXp4dGESQOZLmMqIB56fbAs")</f>
        <v>13hKVogBv66c752V1EGUyqXp4dGESQOZLmMqIB56fbAs</v>
      </c>
    </row>
    <row r="722" ht="15.75" customHeight="1">
      <c r="A722" t="str">
        <f>IFERROR(__xludf.DUMMYFUNCTION("""COMPUTED_VALUE"""),"Rebalancer")</f>
        <v>Rebalancer</v>
      </c>
      <c r="B722" t="str">
        <f>IFERROR(__xludf.DUMMYFUNCTION("""COMPUTED_VALUE"""),"CreateOrViewModelPortfolio")</f>
        <v>CreateOrViewModelPortfolio</v>
      </c>
      <c r="C722" t="str">
        <f>IFERROR(__xludf.DUMMYFUNCTION("""COMPUTED_VALUE"""),"1vejknW_QiO0r5pMzMjOGCCsgwLVes4a3Ubx1l-0Mg1k")</f>
        <v>1vejknW_QiO0r5pMzMjOGCCsgwLVes4a3Ubx1l-0Mg1k</v>
      </c>
    </row>
    <row r="723" ht="15.75" customHeight="1">
      <c r="A723" t="str">
        <f>IFERROR(__xludf.DUMMYFUNCTION("""COMPUTED_VALUE"""),"Rebalancer")</f>
        <v>Rebalancer</v>
      </c>
      <c r="B723" t="str">
        <f>IFERROR(__xludf.DUMMYFUNCTION("""COMPUTED_VALUE"""),"VerifyModelPortfolio")</f>
        <v>VerifyModelPortfolio</v>
      </c>
      <c r="C723" t="str">
        <f>IFERROR(__xludf.DUMMYFUNCTION("""COMPUTED_VALUE"""),"1Tza5cx7NJ2J8vr_f6DC-KPhnXCzf7l1m0EERc6z_T-U")</f>
        <v>1Tza5cx7NJ2J8vr_f6DC-KPhnXCzf7l1m0EERc6z_T-U</v>
      </c>
    </row>
    <row r="724" ht="15.75" customHeight="1">
      <c r="A724" t="str">
        <f>IFERROR(__xludf.DUMMYFUNCTION("""COMPUTED_VALUE"""),"Allocation")</f>
        <v>Allocation</v>
      </c>
      <c r="B724" t="str">
        <f>IFERROR(__xludf.DUMMYFUNCTION("""COMPUTED_VALUE"""),"ReviewExistingPositions")</f>
        <v>ReviewExistingPositions</v>
      </c>
      <c r="C724" t="str">
        <f>IFERROR(__xludf.DUMMYFUNCTION("""COMPUTED_VALUE"""),"1KwYoTdpeW6LDhzloVKHp5buZqc8IjXEShjwnUx45Ql8")</f>
        <v>1KwYoTdpeW6LDhzloVKHp5buZqc8IjXEShjwnUx45Ql8</v>
      </c>
    </row>
    <row r="725" ht="15.75" customHeight="1">
      <c r="A725" t="str">
        <f>IFERROR(__xludf.DUMMYFUNCTION("""COMPUTED_VALUE"""),"PTT")</f>
        <v>PTT</v>
      </c>
      <c r="B725" t="str">
        <f>IFERROR(__xludf.DUMMYFUNCTION("""COMPUTED_VALUE"""),"OperationsonPTT")</f>
        <v>OperationsonPTT</v>
      </c>
      <c r="C725" t="str">
        <f>IFERROR(__xludf.DUMMYFUNCTION("""COMPUTED_VALUE"""),"1J40rCXEDilLEF_x0Wkeeg1lwGfejucV1VSY9UcyeSlw")</f>
        <v>1J40rCXEDilLEF_x0Wkeeg1lwGfejucV1VSY9UcyeSlw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IFERROR(__xludf.DUMMYFUNCTION("""COMPUTED_VALUE"""),"CheckSummaryDashboard")</f>
        <v>CheckSummaryDashboard</v>
      </c>
      <c r="C726" t="str">
        <f>IFERROR(__xludf.DUMMYFUNCTION("""COMPUTED_VALUE"""),"19yZ--qYnhGSO8AdhnHqcmGmViOWMDkup5wR8bA3T2Os")</f>
        <v>19yZ--qYnhGSO8AdhnHqcmGmViOWMDkup5wR8bA3T2Os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IFERROR(__xludf.DUMMYFUNCTION("""COMPUTED_VALUE"""),"CheckFundLevelAggregation")</f>
        <v>CheckFundLevelAggregation</v>
      </c>
      <c r="C727" t="str">
        <f>IFERROR(__xludf.DUMMYFUNCTION("""COMPUTED_VALUE"""),"1onoHaI0svf2S0wDmLkCePbLXTpyPt2uzhxg7tVdRMeI")</f>
        <v>1onoHaI0svf2S0wDmLkCePbLXTpyPt2uzhxg7tVdRMeI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IFERROR(__xludf.DUMMYFUNCTION("""COMPUTED_VALUE"""),"CheckAccountLevelAggregation")</f>
        <v>CheckAccountLevelAggregation</v>
      </c>
      <c r="C728" t="str">
        <f>IFERROR(__xludf.DUMMYFUNCTION("""COMPUTED_VALUE"""),"1wpk-GXi0GZ8cadXtuW18V6GfYany_8NjDMShh2aobZ4")</f>
        <v>1wpk-GXi0GZ8cadXtuW18V6GfYany_8NjDMShh2aobZ4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IFERROR(__xludf.DUMMYFUNCTION("""COMPUTED_VALUE"""),"CheckSymbolLevelAggregation")</f>
        <v>CheckSymbolLevelAggregation</v>
      </c>
      <c r="C729" t="str">
        <f>IFERROR(__xludf.DUMMYFUNCTION("""COMPUTED_VALUE"""),"1j6_k8vwocZ8wAvUMMfdx9IKldUmmqzRN2HCaaoFysqc")</f>
        <v>1j6_k8vwocZ8wAvUMMfdx9IKldUmmqzRN2HCaaoFysqc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IFERROR(__xludf.DUMMYFUNCTION("""COMPUTED_VALUE"""),"CheckRealTimeSymbolFundMonitor")</f>
        <v>CheckRealTimeSymbolFundMonitor</v>
      </c>
      <c r="C730" t="str">
        <f>IFERROR(__xludf.DUMMYFUNCTION("""COMPUTED_VALUE"""),"1YeAroYmlm8GLwEhMTsKLli9Lc6cZEoPatK76WOit8ho")</f>
        <v>1YeAroYmlm8GLwEhMTsKLli9Lc6cZEoPatK76WOit8ho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IFERROR(__xludf.DUMMYFUNCTION("""COMPUTED_VALUE"""),"CheckRealTimeSymAccountMonitor")</f>
        <v>CheckRealTimeSymAccountMonitor</v>
      </c>
      <c r="C731" t="str">
        <f>IFERROR(__xludf.DUMMYFUNCTION("""COMPUTED_VALUE"""),"1YWIN_lFXkJFac_sw0d58YkjeJOr7Xa3JotKO9BAEG3Q")</f>
        <v>1YWIN_lFXkJFac_sw0d58YkjeJOr7Xa3JotKO9BAEG3Q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IFERROR(__xludf.DUMMYFUNCTION("""COMPUTED_VALUE"""),"OpenRTPNL")</f>
        <v>OpenRTPNL</v>
      </c>
      <c r="C732" t="str">
        <f>IFERROR(__xludf.DUMMYFUNCTION("""COMPUTED_VALUE"""),"1j-FWEidBpUuPYcE4AbSAw08LdLumr0SQSFYFcyX2SkM")</f>
        <v>1j-FWEidBpUuPYcE4AbSAw08LdLumr0SQSFYFcyX2SkM</v>
      </c>
    </row>
    <row r="733" ht="15.75" customHeight="1">
      <c r="A733" t="str">
        <f>IFERROR(__xludf.DUMMYFUNCTION("""COMPUTED_VALUE"""),"PricingInput")</f>
        <v>PricingInput</v>
      </c>
      <c r="B733" t="str">
        <f>IFERROR(__xludf.DUMMYFUNCTION("""COMPUTED_VALUE"""),"UpdatePricingInput")</f>
        <v>UpdatePricingInput</v>
      </c>
      <c r="C733" t="str">
        <f>IFERROR(__xludf.DUMMYFUNCTION("""COMPUTED_VALUE"""),"1CG9iYOkRKzlGEsKh7QuEyMdGRQea_W4KDWwlnjE2BdE")</f>
        <v>1CG9iYOkRKzlGEsKh7QuEyMdGRQea_W4KDWwlnjE2BdE</v>
      </c>
    </row>
    <row r="734" ht="15.75" customHeight="1">
      <c r="A734" t="str">
        <f>IFERROR(__xludf.DUMMYFUNCTION("""COMPUTED_VALUE"""),"DailyValuation")</f>
        <v>DailyValuation</v>
      </c>
      <c r="B734" t="str">
        <f>IFERROR(__xludf.DUMMYFUNCTION("""COMPUTED_VALUE"""),"UpdateMPAndFC")</f>
        <v>UpdateMPAndFC</v>
      </c>
      <c r="C734" t="str">
        <f>IFERROR(__xludf.DUMMYFUNCTION("""COMPUTED_VALUE"""),"1UCNfZng94LprScqCmSKImRjCwiKlLQU_e1kY1tum91I")</f>
        <v>1UCNfZng94LprScqCmSKImRjCwiKlLQU_e1kY1tum91I</v>
      </c>
    </row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10.0</v>
      </c>
      <c r="E6" s="12">
        <v>10.0</v>
      </c>
      <c r="F6" s="12" t="s">
        <v>18</v>
      </c>
      <c r="G6" s="12" t="s">
        <v>19</v>
      </c>
      <c r="H6" s="12"/>
      <c r="I6" s="8"/>
      <c r="J6" s="12">
        <v>15.0</v>
      </c>
      <c r="K6" s="8"/>
      <c r="L6" s="12">
        <v>10.0</v>
      </c>
      <c r="M6" s="8"/>
      <c r="N6" s="30">
        <f>today()-1</f>
        <v>45854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50.0</v>
      </c>
      <c r="E6" s="12">
        <v>50.0</v>
      </c>
      <c r="F6" s="12" t="s">
        <v>18</v>
      </c>
      <c r="G6" s="12" t="s">
        <v>19</v>
      </c>
      <c r="H6" s="12" t="s">
        <v>21</v>
      </c>
      <c r="I6" s="8"/>
      <c r="J6" s="12">
        <v>15.0</v>
      </c>
      <c r="K6" s="8"/>
      <c r="L6" s="12">
        <v>50.0</v>
      </c>
      <c r="M6" s="8"/>
      <c r="N6" s="30">
        <f>today()</f>
        <v>45855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16</v>
      </c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16</v>
      </c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15.0</v>
      </c>
      <c r="C6" s="12">
        <v>10.0</v>
      </c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1"/>
      <c r="F6" s="12" t="s">
        <v>17</v>
      </c>
      <c r="G6" s="12" t="s">
        <v>28</v>
      </c>
      <c r="H6" s="12">
        <v>50.0</v>
      </c>
      <c r="I6" s="8"/>
      <c r="J6" s="8"/>
      <c r="K6" s="8"/>
      <c r="L6" s="8"/>
      <c r="M6" s="8"/>
      <c r="N6" s="8"/>
      <c r="O6" s="8"/>
      <c r="Q6" s="9" t="s">
        <v>19</v>
      </c>
      <c r="R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 t="str">
        <f>IFERROR(__xludf.DUMMYFUNCTION("""COMPUTED_VALUE"""),"CancelOrderPopup(Yes/No)")</f>
        <v>CancelOrderPopup(Yes/No)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28</v>
      </c>
      <c r="AL6" s="9">
        <v>50.0</v>
      </c>
      <c r="AS6" s="9" t="s">
        <v>19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CancelSubOrder!$4:$4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16</v>
      </c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16</v>
      </c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28</v>
      </c>
      <c r="AL6" s="9">
        <v>50.0</v>
      </c>
      <c r="AS6" s="9" t="s">
        <v>19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12" t="s">
        <v>32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/>
      <c r="E6" s="31"/>
      <c r="F6" s="8"/>
      <c r="G6" s="12" t="s">
        <v>19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16</v>
      </c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16</v>
      </c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15.0</v>
      </c>
      <c r="C6" s="12">
        <v>40.0</v>
      </c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1"/>
      <c r="F6" s="12" t="s">
        <v>17</v>
      </c>
      <c r="G6" s="12" t="s">
        <v>28</v>
      </c>
      <c r="H6" s="12">
        <v>50.0</v>
      </c>
      <c r="I6" s="12"/>
      <c r="J6" s="8"/>
      <c r="K6" s="8"/>
      <c r="L6" s="8"/>
      <c r="M6" s="8"/>
      <c r="N6" s="8"/>
      <c r="O6" s="8"/>
      <c r="Q6" s="9" t="s">
        <v>19</v>
      </c>
      <c r="R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2" t="s">
        <v>35</v>
      </c>
      <c r="B6" s="32"/>
      <c r="C6" s="33" t="s">
        <v>35</v>
      </c>
      <c r="D6" s="34">
        <v>15.0</v>
      </c>
      <c r="E6" s="33" t="s">
        <v>35</v>
      </c>
      <c r="F6" s="33" t="s">
        <v>35</v>
      </c>
      <c r="G6" s="33"/>
      <c r="H6" s="33" t="s">
        <v>35</v>
      </c>
      <c r="I6" s="33" t="s">
        <v>35</v>
      </c>
      <c r="J6" s="35" t="s">
        <v>16</v>
      </c>
      <c r="K6" s="33" t="s">
        <v>35</v>
      </c>
      <c r="L6" s="33" t="s">
        <v>35</v>
      </c>
      <c r="M6" s="33"/>
      <c r="N6" s="33"/>
      <c r="O6" s="33"/>
      <c r="P6" s="33"/>
      <c r="Q6" s="33" t="s">
        <v>35</v>
      </c>
      <c r="R6" s="33" t="s">
        <v>35</v>
      </c>
      <c r="S6" s="33"/>
      <c r="T6" s="33" t="s">
        <v>35</v>
      </c>
      <c r="U6" s="33" t="s">
        <v>36</v>
      </c>
      <c r="V6" s="33"/>
      <c r="W6" s="33" t="s">
        <v>35</v>
      </c>
      <c r="X6" s="33" t="s">
        <v>35</v>
      </c>
      <c r="Y6" s="33" t="s">
        <v>35</v>
      </c>
      <c r="Z6" s="33" t="s">
        <v>35</v>
      </c>
      <c r="AA6" s="33" t="s">
        <v>35</v>
      </c>
      <c r="AB6" s="33" t="s">
        <v>35</v>
      </c>
      <c r="AC6" s="33" t="s">
        <v>37</v>
      </c>
      <c r="AD6" s="33" t="s">
        <v>35</v>
      </c>
      <c r="AE6" s="33" t="s">
        <v>35</v>
      </c>
      <c r="AF6" s="33" t="s">
        <v>35</v>
      </c>
      <c r="AG6" s="36">
        <v>15.0</v>
      </c>
      <c r="AH6" s="33" t="s">
        <v>35</v>
      </c>
      <c r="AI6" s="33" t="s">
        <v>16</v>
      </c>
      <c r="AJ6" s="33" t="s">
        <v>17</v>
      </c>
      <c r="AK6" s="33" t="s">
        <v>38</v>
      </c>
      <c r="AL6" s="36">
        <v>50.0</v>
      </c>
      <c r="AM6" s="33"/>
      <c r="AN6" s="33"/>
      <c r="AO6" s="33"/>
      <c r="AP6" s="33"/>
      <c r="AQ6" s="33" t="s">
        <v>19</v>
      </c>
      <c r="AR6" s="33" t="s">
        <v>18</v>
      </c>
      <c r="AS6" s="33"/>
      <c r="AT6" s="36">
        <v>150.0</v>
      </c>
      <c r="AU6" s="36">
        <v>150.0</v>
      </c>
      <c r="AV6" s="33" t="s">
        <v>39</v>
      </c>
      <c r="AW6" s="33" t="s">
        <v>35</v>
      </c>
      <c r="AX6" s="33" t="s">
        <v>35</v>
      </c>
      <c r="AY6" s="33" t="s">
        <v>35</v>
      </c>
      <c r="AZ6" s="33" t="s">
        <v>40</v>
      </c>
      <c r="BA6" s="36">
        <v>100.0</v>
      </c>
      <c r="BB6" s="33" t="s">
        <v>35</v>
      </c>
      <c r="BC6" s="33" t="s">
        <v>35</v>
      </c>
      <c r="BD6" s="33" t="s">
        <v>35</v>
      </c>
      <c r="BE6" s="33" t="s">
        <v>35</v>
      </c>
      <c r="BF6" s="33" t="s">
        <v>35</v>
      </c>
      <c r="BG6" s="33" t="s">
        <v>35</v>
      </c>
      <c r="BH6" s="33" t="s">
        <v>35</v>
      </c>
      <c r="BI6" s="33" t="s">
        <v>35</v>
      </c>
      <c r="BJ6" s="33" t="s">
        <v>35</v>
      </c>
      <c r="BK6" s="33" t="s">
        <v>35</v>
      </c>
      <c r="BL6" s="33" t="s">
        <v>35</v>
      </c>
      <c r="BM6" s="33" t="s">
        <v>35</v>
      </c>
      <c r="BN6" s="33" t="s">
        <v>35</v>
      </c>
      <c r="BO6" s="33" t="s">
        <v>35</v>
      </c>
      <c r="BP6" s="33" t="s">
        <v>35</v>
      </c>
      <c r="BQ6" s="33" t="s">
        <v>35</v>
      </c>
      <c r="BR6" s="33" t="s">
        <v>35</v>
      </c>
      <c r="BS6" s="33" t="s">
        <v>35</v>
      </c>
      <c r="BT6" s="33" t="s">
        <v>35</v>
      </c>
      <c r="BU6" s="33" t="s">
        <v>35</v>
      </c>
      <c r="BV6" s="33" t="s">
        <v>35</v>
      </c>
      <c r="BW6" s="33" t="s">
        <v>35</v>
      </c>
      <c r="BX6" s="33" t="s">
        <v>35</v>
      </c>
      <c r="BY6" s="33" t="s">
        <v>35</v>
      </c>
      <c r="BZ6" s="33" t="s">
        <v>35</v>
      </c>
      <c r="CA6" s="33" t="s">
        <v>35</v>
      </c>
      <c r="CB6" s="33" t="s">
        <v>35</v>
      </c>
      <c r="CC6" s="33" t="s">
        <v>35</v>
      </c>
      <c r="CD6" s="33" t="s">
        <v>35</v>
      </c>
      <c r="CE6" s="33" t="s">
        <v>35</v>
      </c>
      <c r="CF6" s="33" t="s">
        <v>35</v>
      </c>
      <c r="CG6" s="33" t="s">
        <v>35</v>
      </c>
      <c r="CH6" s="33" t="s">
        <v>35</v>
      </c>
      <c r="CI6" s="33" t="s">
        <v>35</v>
      </c>
      <c r="CJ6" s="33" t="s">
        <v>35</v>
      </c>
      <c r="CK6" s="33" t="s">
        <v>35</v>
      </c>
      <c r="CL6" s="33" t="s">
        <v>35</v>
      </c>
      <c r="CM6" s="33" t="s">
        <v>35</v>
      </c>
      <c r="CN6" s="33" t="s">
        <v>35</v>
      </c>
      <c r="CO6" s="33" t="s">
        <v>35</v>
      </c>
      <c r="CP6" s="33" t="s">
        <v>35</v>
      </c>
      <c r="CQ6" s="33" t="s">
        <v>35</v>
      </c>
      <c r="CR6" s="33" t="s">
        <v>35</v>
      </c>
      <c r="CS6" s="33" t="s">
        <v>35</v>
      </c>
      <c r="CT6" s="33" t="s">
        <v>35</v>
      </c>
      <c r="CU6" s="33" t="s">
        <v>35</v>
      </c>
      <c r="CV6" s="33" t="s">
        <v>35</v>
      </c>
      <c r="CW6" s="33" t="s">
        <v>35</v>
      </c>
      <c r="CX6" s="33" t="s">
        <v>35</v>
      </c>
      <c r="CY6" s="33" t="s">
        <v>35</v>
      </c>
      <c r="CZ6" s="33" t="s">
        <v>35</v>
      </c>
      <c r="DA6" s="33" t="s">
        <v>35</v>
      </c>
      <c r="DB6" s="33" t="s">
        <v>35</v>
      </c>
      <c r="DC6" s="33" t="s">
        <v>35</v>
      </c>
      <c r="DD6" s="33" t="s">
        <v>35</v>
      </c>
      <c r="DE6" s="33" t="s">
        <v>35</v>
      </c>
      <c r="DF6" s="33" t="s">
        <v>35</v>
      </c>
      <c r="DG6" s="33" t="s">
        <v>35</v>
      </c>
      <c r="DH6" s="33" t="s">
        <v>35</v>
      </c>
      <c r="DI6" s="33" t="s">
        <v>35</v>
      </c>
      <c r="DJ6" s="33" t="s">
        <v>35</v>
      </c>
      <c r="DK6" s="33" t="s">
        <v>35</v>
      </c>
      <c r="DL6" s="33" t="s">
        <v>35</v>
      </c>
      <c r="DM6" s="33" t="s">
        <v>35</v>
      </c>
      <c r="DN6" s="33" t="s">
        <v>35</v>
      </c>
      <c r="DO6" s="33" t="s">
        <v>35</v>
      </c>
      <c r="DP6" s="33" t="s">
        <v>35</v>
      </c>
      <c r="DQ6" s="33" t="s">
        <v>35</v>
      </c>
      <c r="DR6" s="33" t="s">
        <v>35</v>
      </c>
      <c r="DS6" s="33" t="s">
        <v>35</v>
      </c>
      <c r="DT6" s="33" t="s">
        <v>35</v>
      </c>
      <c r="DU6" s="33" t="s">
        <v>35</v>
      </c>
      <c r="DV6" s="33" t="s">
        <v>35</v>
      </c>
      <c r="DW6" s="33" t="s">
        <v>35</v>
      </c>
      <c r="DX6" s="33" t="s">
        <v>35</v>
      </c>
      <c r="DY6" s="33" t="s">
        <v>35</v>
      </c>
      <c r="DZ6" s="33" t="s">
        <v>35</v>
      </c>
      <c r="EA6" s="33" t="s">
        <v>35</v>
      </c>
      <c r="EB6" s="33" t="s">
        <v>35</v>
      </c>
      <c r="EC6" s="33" t="s">
        <v>35</v>
      </c>
      <c r="ED6" s="33" t="s">
        <v>35</v>
      </c>
      <c r="EE6" s="33" t="s">
        <v>35</v>
      </c>
      <c r="EF6" s="33" t="s">
        <v>35</v>
      </c>
      <c r="EG6" s="33" t="s">
        <v>35</v>
      </c>
      <c r="EH6" s="33" t="s">
        <v>35</v>
      </c>
      <c r="EI6" s="33" t="s">
        <v>35</v>
      </c>
      <c r="EJ6" s="33" t="s">
        <v>35</v>
      </c>
      <c r="EK6" s="33" t="s">
        <v>35</v>
      </c>
      <c r="EL6" s="33" t="s">
        <v>35</v>
      </c>
      <c r="EM6" s="33" t="s">
        <v>35</v>
      </c>
      <c r="EN6" s="33" t="s">
        <v>35</v>
      </c>
      <c r="EO6" s="33" t="s">
        <v>35</v>
      </c>
      <c r="EP6" s="33" t="s">
        <v>35</v>
      </c>
      <c r="EQ6" s="33" t="s">
        <v>35</v>
      </c>
      <c r="ER6" s="33" t="s">
        <v>35</v>
      </c>
      <c r="ES6" s="33" t="s">
        <v>35</v>
      </c>
      <c r="ET6" s="33" t="s">
        <v>35</v>
      </c>
      <c r="EU6" s="33" t="s">
        <v>35</v>
      </c>
      <c r="EV6" s="33" t="s">
        <v>35</v>
      </c>
      <c r="EW6" s="33" t="s">
        <v>35</v>
      </c>
      <c r="EX6" s="33" t="s">
        <v>35</v>
      </c>
      <c r="EY6" s="33" t="s">
        <v>35</v>
      </c>
      <c r="EZ6" s="33" t="s">
        <v>35</v>
      </c>
      <c r="FA6" s="33" t="s">
        <v>35</v>
      </c>
      <c r="FB6" s="33" t="s">
        <v>35</v>
      </c>
      <c r="FC6" s="33" t="s">
        <v>35</v>
      </c>
      <c r="FD6" s="33" t="s">
        <v>35</v>
      </c>
      <c r="FE6" s="33" t="s">
        <v>35</v>
      </c>
      <c r="FF6" s="33" t="s">
        <v>35</v>
      </c>
      <c r="FG6" s="33" t="s">
        <v>35</v>
      </c>
      <c r="FH6" s="33" t="s">
        <v>35</v>
      </c>
      <c r="FI6" s="33" t="s">
        <v>35</v>
      </c>
      <c r="FJ6" s="33"/>
      <c r="FK6" s="33" t="s">
        <v>35</v>
      </c>
      <c r="FL6" s="33" t="s">
        <v>35</v>
      </c>
      <c r="FM6" s="33" t="s">
        <v>35</v>
      </c>
      <c r="FN6" s="33" t="s">
        <v>35</v>
      </c>
      <c r="FO6" s="33" t="s">
        <v>35</v>
      </c>
      <c r="FP6" s="33" t="s">
        <v>35</v>
      </c>
      <c r="FQ6" s="33" t="s">
        <v>35</v>
      </c>
      <c r="FR6" s="37"/>
      <c r="FS6" s="37"/>
      <c r="FT6" s="37"/>
      <c r="FU6" s="37"/>
      <c r="FV6" s="37"/>
      <c r="FW6" s="37"/>
      <c r="FX6" s="37"/>
      <c r="FY6" s="37"/>
      <c r="FZ6" s="37"/>
      <c r="GA6" s="37"/>
      <c r="GB6" s="37"/>
      <c r="GC6" s="37"/>
      <c r="GD6" s="37"/>
      <c r="GE6" s="37"/>
      <c r="GF6" s="37"/>
      <c r="GG6" s="37"/>
      <c r="GH6" s="37"/>
      <c r="GI6" s="37"/>
      <c r="GJ6" s="37"/>
      <c r="GK6" s="37"/>
      <c r="GL6" s="37"/>
      <c r="GM6" s="37"/>
      <c r="GN6" s="37"/>
      <c r="GO6" s="37"/>
      <c r="GP6" s="37"/>
      <c r="GQ6" s="37"/>
      <c r="GR6" s="37"/>
      <c r="GS6" s="37"/>
      <c r="GT6" s="37"/>
      <c r="GU6" s="37"/>
      <c r="GV6" s="37"/>
      <c r="GW6" s="37"/>
      <c r="GX6" s="37"/>
      <c r="GY6" s="37"/>
      <c r="GZ6" s="37"/>
      <c r="HA6" s="37"/>
      <c r="HB6" s="37"/>
      <c r="HC6" s="37"/>
      <c r="HD6" s="37"/>
      <c r="HE6" s="37"/>
      <c r="HF6" s="37"/>
      <c r="HG6" s="37"/>
      <c r="HH6" s="37"/>
      <c r="HI6" s="37"/>
      <c r="HJ6" s="37"/>
      <c r="HK6" s="37"/>
      <c r="HL6" s="37"/>
      <c r="HM6" s="37"/>
      <c r="HN6" s="37"/>
      <c r="HO6" s="37"/>
      <c r="HP6" s="37"/>
      <c r="HQ6" s="37"/>
      <c r="HR6" s="37"/>
      <c r="HS6" s="37"/>
      <c r="HT6" s="37"/>
      <c r="HU6" s="37"/>
      <c r="HV6" s="37"/>
      <c r="HW6" s="37"/>
      <c r="HX6" s="37"/>
      <c r="HY6" s="37"/>
      <c r="HZ6" s="37"/>
      <c r="IA6" s="37"/>
      <c r="IB6" s="37"/>
      <c r="IC6" s="37"/>
      <c r="ID6" s="37"/>
      <c r="IE6" s="37"/>
      <c r="IF6" s="37"/>
      <c r="IG6" s="37"/>
      <c r="IH6" s="37"/>
      <c r="II6" s="37"/>
      <c r="IJ6" s="37"/>
      <c r="IK6" s="37"/>
      <c r="IL6" s="37"/>
      <c r="IM6" s="37"/>
      <c r="IN6" s="37"/>
      <c r="IO6" s="37"/>
      <c r="IP6" s="37"/>
      <c r="IQ6" s="37"/>
      <c r="IR6" s="37"/>
      <c r="IS6" s="37"/>
      <c r="IT6" s="37"/>
      <c r="IU6" s="37"/>
      <c r="IV6" s="37"/>
      <c r="IW6" s="37"/>
      <c r="IX6" s="37"/>
      <c r="IY6" s="37"/>
      <c r="IZ6" s="37"/>
      <c r="JA6" s="37"/>
      <c r="JB6" s="37"/>
      <c r="JC6" s="37"/>
      <c r="JD6" s="37"/>
      <c r="JE6" s="37"/>
      <c r="JF6" s="37"/>
      <c r="JG6" s="37"/>
      <c r="JH6" s="37"/>
      <c r="JI6" s="37"/>
      <c r="JJ6" s="37"/>
      <c r="JK6" s="37"/>
      <c r="JL6" s="37"/>
      <c r="JM6" s="37"/>
      <c r="JN6" s="37"/>
      <c r="JO6" s="37"/>
      <c r="JP6" s="37"/>
      <c r="JQ6" s="37"/>
      <c r="JR6" s="37"/>
      <c r="JS6" s="37"/>
      <c r="JT6" s="37"/>
      <c r="JU6" s="37"/>
      <c r="JV6" s="37"/>
      <c r="JW6" s="37"/>
      <c r="JX6" s="37"/>
      <c r="JY6" s="37"/>
      <c r="JZ6" s="37"/>
      <c r="KA6" s="37"/>
      <c r="KB6" s="37"/>
      <c r="KC6" s="37"/>
      <c r="KD6" s="37"/>
      <c r="KE6" s="37"/>
      <c r="KF6" s="37"/>
      <c r="KG6" s="37"/>
      <c r="KH6" s="37"/>
      <c r="KI6" s="37"/>
      <c r="KJ6" s="37"/>
      <c r="KK6" s="37"/>
      <c r="KL6" s="37"/>
      <c r="KM6" s="37"/>
      <c r="KN6" s="37"/>
      <c r="KO6" s="37"/>
      <c r="KP6" s="37"/>
      <c r="KQ6" s="37"/>
      <c r="KR6" s="37"/>
      <c r="KS6" s="37"/>
      <c r="KT6" s="37"/>
      <c r="KU6" s="37"/>
      <c r="KV6" s="37"/>
      <c r="KW6" s="37"/>
      <c r="KX6" s="37"/>
      <c r="KY6" s="37"/>
      <c r="KZ6" s="37"/>
      <c r="LA6" s="37"/>
      <c r="LB6" s="37"/>
      <c r="LC6" s="37"/>
      <c r="LD6" s="37"/>
      <c r="LE6" s="37"/>
      <c r="LF6" s="37"/>
      <c r="LG6" s="37"/>
      <c r="LH6" s="37"/>
      <c r="LI6" s="37"/>
      <c r="LJ6" s="37"/>
      <c r="LK6" s="37"/>
      <c r="LL6" s="37"/>
      <c r="LM6" s="37"/>
      <c r="LN6" s="37"/>
      <c r="LO6" s="37"/>
      <c r="LP6" s="37"/>
      <c r="LQ6" s="37"/>
      <c r="LR6" s="37"/>
      <c r="LS6" s="37"/>
      <c r="LT6" s="37"/>
      <c r="LU6" s="37"/>
      <c r="LV6" s="37"/>
      <c r="LW6" s="37"/>
      <c r="LX6" s="37"/>
      <c r="LY6" s="37"/>
      <c r="LZ6" s="37"/>
      <c r="MA6" s="37"/>
      <c r="MB6" s="37"/>
      <c r="MC6" s="37"/>
      <c r="MD6" s="37"/>
      <c r="ME6" s="37"/>
      <c r="MF6" s="37"/>
      <c r="MG6" s="37"/>
      <c r="MH6" s="37"/>
      <c r="MI6" s="37"/>
      <c r="MJ6" s="37"/>
      <c r="MK6" s="37"/>
      <c r="ML6" s="37"/>
      <c r="MM6" s="37"/>
      <c r="MN6" s="37"/>
      <c r="MO6" s="37"/>
      <c r="MP6" s="37"/>
      <c r="MQ6" s="37"/>
      <c r="MR6" s="37"/>
      <c r="MS6" s="37"/>
      <c r="MT6" s="37"/>
      <c r="MU6" s="37"/>
      <c r="MV6" s="37"/>
      <c r="MW6" s="37"/>
      <c r="MX6" s="37"/>
      <c r="MY6" s="37"/>
      <c r="MZ6" s="37"/>
      <c r="NA6" s="37"/>
      <c r="NB6" s="37"/>
      <c r="NC6" s="37"/>
      <c r="ND6" s="37"/>
      <c r="NE6" s="37"/>
      <c r="NF6" s="37"/>
      <c r="NG6" s="37"/>
      <c r="NH6" s="37"/>
      <c r="NI6" s="37"/>
      <c r="NJ6" s="37"/>
      <c r="NK6" s="37"/>
      <c r="NL6" s="37"/>
      <c r="NM6" s="37"/>
      <c r="NN6" s="37"/>
      <c r="NO6" s="37"/>
      <c r="NP6" s="37"/>
      <c r="NQ6" s="37"/>
      <c r="NR6" s="37"/>
      <c r="NS6" s="37"/>
      <c r="NT6" s="37"/>
      <c r="NU6" s="37"/>
      <c r="NV6" s="37"/>
      <c r="NW6" s="37"/>
      <c r="NX6" s="37"/>
      <c r="NY6" s="37"/>
      <c r="NZ6" s="37"/>
      <c r="OA6" s="37"/>
      <c r="OB6" s="37"/>
      <c r="OC6" s="37"/>
      <c r="OD6" s="37"/>
      <c r="OE6" s="37"/>
      <c r="OF6" s="37"/>
      <c r="OG6" s="37"/>
      <c r="OH6" s="37"/>
      <c r="OI6" s="37"/>
      <c r="OJ6" s="37"/>
      <c r="OK6" s="37"/>
      <c r="OL6" s="37"/>
      <c r="OM6" s="37"/>
      <c r="ON6" s="37"/>
      <c r="OO6" s="37"/>
      <c r="OP6" s="37"/>
      <c r="OQ6" s="37"/>
      <c r="OR6" s="37"/>
      <c r="OS6" s="37"/>
      <c r="OT6" s="37"/>
      <c r="OU6" s="37"/>
      <c r="OV6" s="37"/>
      <c r="OW6" s="37"/>
      <c r="OX6" s="37"/>
      <c r="OY6" s="37"/>
      <c r="OZ6" s="37"/>
      <c r="PA6" s="37"/>
      <c r="PB6" s="37"/>
      <c r="PC6" s="37"/>
      <c r="PD6" s="37"/>
      <c r="PE6" s="37"/>
      <c r="PF6" s="37"/>
      <c r="PG6" s="37"/>
      <c r="PH6" s="37"/>
      <c r="PI6" s="37"/>
      <c r="PJ6" s="37"/>
      <c r="PK6" s="37"/>
      <c r="PL6" s="37"/>
      <c r="PM6" s="37"/>
      <c r="PN6" s="37"/>
      <c r="PO6" s="37"/>
      <c r="PP6" s="37"/>
      <c r="PQ6" s="37"/>
      <c r="PR6" s="37"/>
      <c r="PS6" s="37"/>
      <c r="PT6" s="37"/>
      <c r="PU6" s="37"/>
      <c r="PV6" s="37"/>
      <c r="PW6" s="37"/>
      <c r="PX6" s="37"/>
      <c r="PY6" s="37"/>
      <c r="PZ6" s="37"/>
      <c r="QA6" s="37"/>
      <c r="QB6" s="37"/>
      <c r="QC6" s="37"/>
      <c r="QD6" s="37"/>
      <c r="QE6" s="37"/>
      <c r="QF6" s="37"/>
      <c r="QG6" s="37"/>
      <c r="QH6" s="37"/>
      <c r="QI6" s="37"/>
      <c r="QJ6" s="37"/>
      <c r="QK6" s="37"/>
      <c r="QL6" s="37"/>
      <c r="QM6" s="37"/>
      <c r="QN6" s="37"/>
      <c r="QO6" s="37"/>
      <c r="QP6" s="37"/>
      <c r="QQ6" s="37"/>
      <c r="QR6" s="37"/>
      <c r="QS6" s="37"/>
      <c r="QT6" s="37"/>
      <c r="QU6" s="37"/>
      <c r="QV6" s="37"/>
      <c r="QW6" s="37"/>
      <c r="QX6" s="37"/>
      <c r="QY6" s="37"/>
      <c r="QZ6" s="37"/>
      <c r="RA6" s="37"/>
      <c r="RB6" s="37"/>
      <c r="RC6" s="37"/>
      <c r="RD6" s="37"/>
      <c r="RE6" s="37"/>
      <c r="RF6" s="37"/>
      <c r="RG6" s="37"/>
      <c r="RH6" s="37"/>
      <c r="RI6" s="37"/>
      <c r="RJ6" s="37"/>
      <c r="RK6" s="37"/>
      <c r="RL6" s="37"/>
      <c r="RM6" s="37"/>
      <c r="RN6" s="37"/>
      <c r="RO6" s="37"/>
      <c r="RP6" s="37"/>
      <c r="RQ6" s="37"/>
      <c r="RR6" s="37"/>
      <c r="RS6" s="37"/>
      <c r="RT6" s="37"/>
      <c r="RU6" s="37"/>
      <c r="RV6" s="37"/>
      <c r="RW6" s="37"/>
      <c r="RX6" s="37"/>
      <c r="RY6" s="37"/>
      <c r="RZ6" s="37"/>
      <c r="SA6" s="37"/>
      <c r="SB6" s="37"/>
      <c r="SC6" s="37"/>
      <c r="SD6" s="37"/>
      <c r="SE6" s="37"/>
      <c r="SF6" s="37"/>
      <c r="SG6" s="37"/>
      <c r="SH6" s="37"/>
      <c r="SI6" s="37"/>
      <c r="SJ6" s="37"/>
      <c r="SK6" s="37"/>
      <c r="SL6" s="37"/>
      <c r="SM6" s="37"/>
      <c r="SN6" s="37"/>
      <c r="SO6" s="37"/>
      <c r="SP6" s="37"/>
      <c r="SQ6" s="37"/>
      <c r="SR6" s="37"/>
      <c r="SS6" s="37"/>
      <c r="ST6" s="37"/>
      <c r="SU6" s="37"/>
      <c r="SV6" s="37"/>
      <c r="SW6" s="37"/>
      <c r="SX6" s="37"/>
      <c r="SY6" s="37"/>
      <c r="SZ6" s="37"/>
      <c r="TA6" s="37"/>
      <c r="TB6" s="37"/>
      <c r="TC6" s="37"/>
      <c r="TD6" s="37"/>
      <c r="TE6" s="37"/>
      <c r="TF6" s="37"/>
      <c r="TG6" s="37"/>
      <c r="TH6" s="37"/>
      <c r="TI6" s="37"/>
      <c r="TJ6" s="37"/>
      <c r="TK6" s="37"/>
      <c r="TL6" s="37"/>
      <c r="TM6" s="37"/>
      <c r="TN6" s="37"/>
      <c r="TO6" s="37"/>
      <c r="TP6" s="37"/>
      <c r="TQ6" s="37"/>
      <c r="TR6" s="37"/>
      <c r="TS6" s="37"/>
      <c r="TT6" s="37"/>
      <c r="TU6" s="37"/>
      <c r="TV6" s="37"/>
      <c r="TW6" s="37"/>
      <c r="TX6" s="37"/>
      <c r="TY6" s="37"/>
      <c r="TZ6" s="37"/>
      <c r="UA6" s="37"/>
      <c r="UB6" s="37"/>
      <c r="UC6" s="37"/>
      <c r="UD6" s="37"/>
      <c r="UE6" s="37"/>
      <c r="UF6" s="37"/>
      <c r="UG6" s="37"/>
      <c r="UH6" s="37"/>
      <c r="UI6" s="37"/>
      <c r="UJ6" s="37"/>
      <c r="UK6" s="37"/>
      <c r="UL6" s="37"/>
      <c r="UM6" s="37"/>
      <c r="UN6" s="37"/>
      <c r="UO6" s="37"/>
      <c r="UP6" s="37"/>
      <c r="UQ6" s="37"/>
      <c r="UR6" s="37"/>
      <c r="US6" s="37"/>
      <c r="UT6" s="37"/>
      <c r="UU6" s="37"/>
      <c r="UV6" s="37"/>
      <c r="UW6" s="37"/>
      <c r="UX6" s="37"/>
      <c r="UY6" s="37"/>
      <c r="UZ6" s="37"/>
      <c r="VA6" s="37"/>
      <c r="VB6" s="37"/>
      <c r="VC6" s="37"/>
      <c r="VD6" s="37"/>
      <c r="VE6" s="37"/>
      <c r="VF6" s="37"/>
      <c r="VG6" s="37"/>
      <c r="VH6" s="37"/>
      <c r="VI6" s="37"/>
      <c r="VJ6" s="37"/>
      <c r="VK6" s="37"/>
      <c r="VL6" s="37"/>
      <c r="VM6" s="37"/>
      <c r="VN6" s="37"/>
      <c r="VO6" s="37"/>
      <c r="VP6" s="37"/>
      <c r="VQ6" s="37"/>
      <c r="VR6" s="37"/>
      <c r="VS6" s="37"/>
      <c r="VT6" s="37"/>
      <c r="VU6" s="37"/>
      <c r="VV6" s="37"/>
      <c r="VW6" s="37"/>
      <c r="VX6" s="37"/>
      <c r="VY6" s="37"/>
      <c r="VZ6" s="37"/>
      <c r="WA6" s="37"/>
      <c r="WB6" s="37"/>
      <c r="WC6" s="37"/>
      <c r="WD6" s="37"/>
      <c r="WE6" s="37"/>
      <c r="WF6" s="37"/>
      <c r="WG6" s="37"/>
      <c r="WH6" s="37"/>
      <c r="WI6" s="37"/>
      <c r="WJ6" s="37"/>
      <c r="WK6" s="37"/>
      <c r="WL6" s="37"/>
      <c r="WM6" s="37"/>
      <c r="WN6" s="37"/>
      <c r="WO6" s="37"/>
      <c r="WP6" s="37"/>
      <c r="WQ6" s="37"/>
      <c r="WR6" s="37"/>
      <c r="WS6" s="37"/>
      <c r="WT6" s="37"/>
      <c r="WU6" s="37"/>
      <c r="WV6" s="37"/>
      <c r="WW6" s="37"/>
      <c r="WX6" s="37"/>
      <c r="WY6" s="37"/>
      <c r="WZ6" s="37"/>
      <c r="XA6" s="37"/>
      <c r="XB6" s="37"/>
      <c r="XC6" s="37"/>
      <c r="XD6" s="37"/>
      <c r="XE6" s="37"/>
      <c r="XF6" s="37"/>
      <c r="XG6" s="37"/>
      <c r="XH6" s="37"/>
      <c r="XI6" s="37"/>
      <c r="XJ6" s="37"/>
      <c r="XK6" s="37"/>
      <c r="XL6" s="37"/>
      <c r="XM6" s="37"/>
      <c r="XN6" s="37"/>
      <c r="XO6" s="37"/>
      <c r="XP6" s="37"/>
      <c r="XQ6" s="37"/>
      <c r="XR6" s="37"/>
      <c r="XS6" s="37"/>
      <c r="XT6" s="37"/>
      <c r="XU6" s="37"/>
      <c r="XV6" s="37"/>
      <c r="XW6" s="37"/>
      <c r="XX6" s="37"/>
      <c r="XY6" s="37"/>
      <c r="XZ6" s="37"/>
      <c r="YA6" s="37"/>
      <c r="YB6" s="37"/>
      <c r="YC6" s="37"/>
      <c r="YD6" s="37"/>
      <c r="YE6" s="37"/>
      <c r="YF6" s="37"/>
      <c r="YG6" s="37"/>
      <c r="YH6" s="37"/>
      <c r="YI6" s="37"/>
      <c r="YJ6" s="37"/>
      <c r="YK6" s="37"/>
      <c r="YL6" s="37"/>
      <c r="YM6" s="37"/>
      <c r="YN6" s="37"/>
      <c r="YO6" s="37"/>
      <c r="YP6" s="37"/>
      <c r="YQ6" s="37"/>
      <c r="YR6" s="37"/>
      <c r="YS6" s="37"/>
      <c r="YT6" s="37"/>
      <c r="YU6" s="37"/>
      <c r="YV6" s="37"/>
      <c r="YW6" s="37"/>
      <c r="YX6" s="37"/>
      <c r="YY6" s="37"/>
      <c r="YZ6" s="37"/>
      <c r="ZA6" s="37"/>
      <c r="ZB6" s="37"/>
      <c r="ZC6" s="37"/>
      <c r="ZD6" s="37"/>
      <c r="ZE6" s="37"/>
      <c r="ZF6" s="37"/>
      <c r="ZG6" s="37"/>
      <c r="ZH6" s="37"/>
      <c r="ZI6" s="37"/>
      <c r="ZJ6" s="37"/>
      <c r="ZK6" s="37"/>
      <c r="ZL6" s="37"/>
      <c r="ZM6" s="37"/>
      <c r="ZN6" s="37"/>
      <c r="ZO6" s="37"/>
      <c r="ZP6" s="37"/>
      <c r="ZQ6" s="37"/>
      <c r="ZR6" s="37"/>
      <c r="ZS6" s="37"/>
      <c r="ZT6" s="37"/>
      <c r="ZU6" s="37"/>
      <c r="ZV6" s="37"/>
      <c r="ZW6" s="37"/>
      <c r="ZX6" s="37"/>
      <c r="ZY6" s="37"/>
      <c r="ZZ6" s="37"/>
      <c r="AAA6" s="37"/>
      <c r="AAB6" s="37"/>
      <c r="AAC6" s="37"/>
      <c r="AAD6" s="37"/>
      <c r="AAE6" s="37"/>
      <c r="AAF6" s="37"/>
      <c r="AAG6" s="37"/>
      <c r="AAH6" s="37"/>
      <c r="AAI6" s="37"/>
      <c r="AAJ6" s="37"/>
      <c r="AAK6" s="37"/>
      <c r="AAL6" s="37"/>
      <c r="AAM6" s="37"/>
      <c r="AAN6" s="37"/>
      <c r="AAO6" s="37"/>
      <c r="AAP6" s="37"/>
      <c r="AAQ6" s="37"/>
      <c r="AAR6" s="37"/>
      <c r="AAS6" s="37"/>
      <c r="AAT6" s="37"/>
      <c r="AAU6" s="37"/>
      <c r="AAV6" s="37"/>
      <c r="AAW6" s="37"/>
      <c r="AAX6" s="37"/>
      <c r="AAY6" s="37"/>
      <c r="AAZ6" s="37"/>
      <c r="ABA6" s="37"/>
      <c r="ABB6" s="37"/>
      <c r="ABC6" s="37"/>
      <c r="ABD6" s="37"/>
      <c r="ABE6" s="37"/>
      <c r="ABF6" s="37"/>
      <c r="ABG6" s="37"/>
      <c r="ABH6" s="37"/>
      <c r="ABI6" s="37"/>
      <c r="ABJ6" s="37"/>
      <c r="ABK6" s="37"/>
      <c r="ABL6" s="37"/>
      <c r="ABM6" s="37"/>
      <c r="ABN6" s="37"/>
      <c r="ABO6" s="37"/>
      <c r="ABP6" s="37"/>
      <c r="ABQ6" s="37"/>
      <c r="ABR6" s="37"/>
      <c r="ABS6" s="37"/>
      <c r="ABT6" s="37"/>
      <c r="ABU6" s="37"/>
      <c r="ABV6" s="37"/>
      <c r="ABW6" s="37"/>
      <c r="ABX6" s="37"/>
      <c r="ABY6" s="37"/>
      <c r="ABZ6" s="37"/>
      <c r="ACA6" s="37"/>
      <c r="ACB6" s="37"/>
      <c r="ACC6" s="37"/>
      <c r="ACD6" s="37"/>
      <c r="ACE6" s="37"/>
      <c r="ACF6" s="37"/>
      <c r="ACG6" s="37"/>
      <c r="ACH6" s="37"/>
      <c r="ACI6" s="37"/>
      <c r="ACJ6" s="37"/>
      <c r="ACK6" s="37"/>
      <c r="ACL6" s="37"/>
      <c r="ACM6" s="37"/>
      <c r="ACN6" s="37"/>
      <c r="ACO6" s="37"/>
      <c r="ACP6" s="37"/>
      <c r="ACQ6" s="37"/>
      <c r="ACR6" s="37"/>
      <c r="ACS6" s="37"/>
      <c r="ACT6" s="37"/>
      <c r="ACU6" s="37"/>
      <c r="ACV6" s="37"/>
      <c r="ACW6" s="37"/>
      <c r="ACX6" s="37"/>
      <c r="ACY6" s="37"/>
      <c r="ACZ6" s="37"/>
      <c r="ADA6" s="37"/>
      <c r="ADB6" s="37"/>
      <c r="ADC6" s="37"/>
      <c r="ADD6" s="37"/>
      <c r="ADE6" s="37"/>
      <c r="ADF6" s="37"/>
      <c r="ADG6" s="37"/>
      <c r="ADH6" s="37"/>
      <c r="ADI6" s="37"/>
      <c r="ADJ6" s="37"/>
      <c r="ADK6" s="37"/>
      <c r="ADL6" s="37"/>
      <c r="ADM6" s="37"/>
      <c r="ADN6" s="37"/>
      <c r="ADO6" s="37"/>
      <c r="ADP6" s="37"/>
      <c r="ADQ6" s="37"/>
      <c r="ADR6" s="37"/>
      <c r="ADS6" s="37"/>
      <c r="ADT6" s="37"/>
      <c r="ADU6" s="37"/>
      <c r="ADV6" s="37"/>
      <c r="ADW6" s="37"/>
      <c r="ADX6" s="37"/>
      <c r="ADY6" s="37"/>
      <c r="ADZ6" s="37"/>
      <c r="AEA6" s="37"/>
      <c r="AEB6" s="37"/>
      <c r="AEC6" s="37"/>
      <c r="AED6" s="37"/>
      <c r="AEE6" s="37"/>
      <c r="AEF6" s="37"/>
      <c r="AEG6" s="37"/>
      <c r="AEH6" s="37"/>
      <c r="AEI6" s="37"/>
      <c r="AEJ6" s="37"/>
      <c r="AEK6" s="37"/>
      <c r="AEL6" s="37"/>
      <c r="AEM6" s="37"/>
      <c r="AEN6" s="37"/>
      <c r="AEO6" s="37"/>
      <c r="AEP6" s="37"/>
      <c r="AEQ6" s="37"/>
      <c r="AER6" s="37"/>
      <c r="AES6" s="37"/>
      <c r="AET6" s="37"/>
      <c r="AEU6" s="37"/>
      <c r="AEV6" s="37"/>
      <c r="AEW6" s="37"/>
      <c r="AEX6" s="37"/>
      <c r="AEY6" s="37"/>
      <c r="AEZ6" s="37"/>
      <c r="AFA6" s="37"/>
      <c r="AFB6" s="37"/>
      <c r="AFC6" s="37"/>
      <c r="AFD6" s="37"/>
      <c r="AFE6" s="37"/>
      <c r="AFF6" s="37"/>
      <c r="AFG6" s="37"/>
      <c r="AFH6" s="37"/>
      <c r="AFI6" s="37"/>
      <c r="AFJ6" s="37"/>
      <c r="AFK6" s="37"/>
      <c r="AFL6" s="37"/>
      <c r="AFM6" s="37"/>
      <c r="AFN6" s="37"/>
      <c r="AFO6" s="37"/>
      <c r="AFP6" s="37"/>
      <c r="AFQ6" s="37"/>
      <c r="AFR6" s="37"/>
      <c r="AFS6" s="37"/>
      <c r="AFT6" s="37"/>
      <c r="AFU6" s="37"/>
      <c r="AFV6" s="37"/>
      <c r="AFW6" s="37"/>
      <c r="AFX6" s="37"/>
      <c r="AFY6" s="37"/>
      <c r="AFZ6" s="37"/>
      <c r="AGA6" s="37"/>
      <c r="AGB6" s="37"/>
      <c r="AGC6" s="37"/>
      <c r="AGD6" s="37"/>
      <c r="AGE6" s="37"/>
      <c r="AGF6" s="37"/>
      <c r="AGG6" s="37"/>
      <c r="AGH6" s="37"/>
      <c r="AGI6" s="37"/>
      <c r="AGJ6" s="37"/>
      <c r="AGK6" s="37"/>
      <c r="AGL6" s="37"/>
      <c r="AGM6" s="37"/>
      <c r="AGN6" s="37"/>
      <c r="AGO6" s="37"/>
      <c r="AGP6" s="37"/>
      <c r="AGQ6" s="37"/>
      <c r="AGR6" s="37"/>
      <c r="AGS6" s="37"/>
      <c r="AGT6" s="37"/>
      <c r="AGU6" s="37"/>
      <c r="AGV6" s="37"/>
      <c r="AGW6" s="37"/>
      <c r="AGX6" s="37"/>
      <c r="AGY6" s="37"/>
      <c r="AGZ6" s="37"/>
      <c r="AHA6" s="37"/>
      <c r="AHB6" s="37"/>
      <c r="AHC6" s="37"/>
      <c r="AHD6" s="37"/>
      <c r="AHE6" s="37"/>
      <c r="AHF6" s="37"/>
      <c r="AHG6" s="37"/>
      <c r="AHH6" s="37"/>
      <c r="AHI6" s="37"/>
      <c r="AHJ6" s="37"/>
      <c r="AHK6" s="37"/>
      <c r="AHL6" s="37"/>
      <c r="AHM6" s="37"/>
      <c r="AHN6" s="37"/>
      <c r="AHO6" s="37"/>
      <c r="AHP6" s="37"/>
      <c r="AHQ6" s="37"/>
      <c r="AHR6" s="37"/>
      <c r="AHS6" s="37"/>
      <c r="AHT6" s="37"/>
      <c r="AHU6" s="37"/>
      <c r="AHV6" s="37"/>
      <c r="AHW6" s="37"/>
      <c r="AHX6" s="37"/>
      <c r="AHY6" s="37"/>
      <c r="AHZ6" s="37"/>
      <c r="AIA6" s="37"/>
      <c r="AIB6" s="37"/>
      <c r="AIC6" s="37"/>
      <c r="AID6" s="37"/>
      <c r="AIE6" s="37"/>
      <c r="AIF6" s="37"/>
      <c r="AIG6" s="37"/>
      <c r="AIH6" s="37"/>
      <c r="AII6" s="37"/>
      <c r="AIJ6" s="37"/>
      <c r="AIK6" s="37"/>
      <c r="AIL6" s="37"/>
      <c r="AIM6" s="37"/>
      <c r="AIN6" s="37"/>
      <c r="AIO6" s="37"/>
      <c r="AIP6" s="37"/>
      <c r="AIQ6" s="37"/>
      <c r="AIR6" s="37"/>
      <c r="AIS6" s="37"/>
      <c r="AIT6" s="37"/>
      <c r="AIU6" s="37"/>
      <c r="AIV6" s="37"/>
      <c r="AIW6" s="37"/>
      <c r="AIX6" s="37"/>
      <c r="AIY6" s="37"/>
      <c r="AIZ6" s="37"/>
      <c r="AJA6" s="37"/>
      <c r="AJB6" s="37"/>
      <c r="AJC6" s="37"/>
      <c r="AJD6" s="37"/>
      <c r="AJE6" s="37"/>
      <c r="AJF6" s="37"/>
      <c r="AJG6" s="37"/>
      <c r="AJH6" s="37"/>
      <c r="AJI6" s="37"/>
      <c r="AJJ6" s="37"/>
      <c r="AJK6" s="37"/>
      <c r="AJL6" s="37"/>
      <c r="AJM6" s="37"/>
      <c r="AJN6" s="37"/>
      <c r="AJO6" s="37"/>
      <c r="AJP6" s="37"/>
      <c r="AJQ6" s="37"/>
      <c r="AJR6" s="37"/>
      <c r="AJS6" s="37"/>
      <c r="AJT6" s="37"/>
      <c r="AJU6" s="37"/>
      <c r="AJV6" s="37"/>
      <c r="AJW6" s="37"/>
      <c r="AJX6" s="37"/>
      <c r="AJY6" s="37"/>
      <c r="AJZ6" s="37"/>
      <c r="AKA6" s="37"/>
      <c r="AKB6" s="37"/>
      <c r="AKC6" s="37"/>
      <c r="AKD6" s="37"/>
      <c r="AKE6" s="37"/>
      <c r="AKF6" s="37"/>
      <c r="AKG6" s="37"/>
      <c r="AKH6" s="37"/>
      <c r="AKI6" s="37"/>
      <c r="AKJ6" s="37"/>
      <c r="AKK6" s="37"/>
      <c r="AKL6" s="37"/>
      <c r="AKM6" s="37"/>
      <c r="AKN6" s="37"/>
      <c r="AKO6" s="37"/>
      <c r="AKP6" s="37"/>
      <c r="AKQ6" s="37"/>
      <c r="AKR6" s="37"/>
      <c r="AKS6" s="37"/>
      <c r="AKT6" s="37"/>
      <c r="AKU6" s="37"/>
      <c r="AKV6" s="37"/>
      <c r="AKW6" s="37"/>
      <c r="AKX6" s="37"/>
      <c r="AKY6" s="37"/>
      <c r="AKZ6" s="37"/>
      <c r="ALA6" s="37"/>
      <c r="ALB6" s="37"/>
      <c r="ALC6" s="37"/>
      <c r="ALD6" s="37"/>
      <c r="ALE6" s="37"/>
      <c r="ALF6" s="37"/>
      <c r="ALG6" s="37"/>
      <c r="ALH6" s="37"/>
      <c r="ALI6" s="37"/>
      <c r="ALJ6" s="37"/>
      <c r="ALK6" s="37"/>
      <c r="ALL6" s="37"/>
      <c r="ALM6" s="37"/>
      <c r="ALN6" s="37"/>
      <c r="ALO6" s="37"/>
      <c r="ALP6" s="37"/>
      <c r="ALQ6" s="37"/>
      <c r="ALR6" s="37"/>
      <c r="ALS6" s="37"/>
      <c r="ALT6" s="37"/>
      <c r="ALU6" s="37"/>
      <c r="ALV6" s="37"/>
      <c r="ALW6" s="37"/>
      <c r="ALX6" s="37"/>
      <c r="ALY6" s="37"/>
      <c r="ALZ6" s="37"/>
      <c r="AMA6" s="37"/>
      <c r="AMB6" s="37"/>
      <c r="AMC6" s="37"/>
      <c r="AMD6" s="37"/>
      <c r="AME6" s="37"/>
      <c r="AMF6" s="37"/>
      <c r="AMG6" s="37"/>
      <c r="AMH6" s="37"/>
      <c r="AMI6" s="37"/>
      <c r="AMJ6" s="37"/>
      <c r="AMK6" s="37"/>
      <c r="AML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2" t="s">
        <v>35</v>
      </c>
      <c r="B6" s="38" t="s">
        <v>18</v>
      </c>
      <c r="C6" s="35" t="s">
        <v>43</v>
      </c>
      <c r="D6" s="34">
        <v>0.0</v>
      </c>
      <c r="E6" s="39">
        <v>10.0</v>
      </c>
      <c r="F6" s="35" t="s">
        <v>39</v>
      </c>
      <c r="G6" s="35" t="s">
        <v>44</v>
      </c>
      <c r="H6" s="39">
        <v>4.0</v>
      </c>
      <c r="I6" s="39">
        <v>5.0</v>
      </c>
      <c r="J6" s="39">
        <v>1.0</v>
      </c>
      <c r="K6" s="39">
        <v>15.0</v>
      </c>
      <c r="L6" s="39">
        <v>15.0</v>
      </c>
      <c r="M6" s="35" t="s">
        <v>45</v>
      </c>
      <c r="N6" s="35" t="s">
        <v>46</v>
      </c>
      <c r="O6" s="35" t="s">
        <v>19</v>
      </c>
      <c r="P6" s="33"/>
      <c r="Q6" s="36">
        <v>3.0</v>
      </c>
      <c r="R6" s="36">
        <v>0.0</v>
      </c>
      <c r="S6" s="33" t="s">
        <v>47</v>
      </c>
      <c r="T6" s="36">
        <v>0.0</v>
      </c>
      <c r="U6" s="36">
        <v>0.0</v>
      </c>
      <c r="V6" s="33" t="s">
        <v>48</v>
      </c>
      <c r="W6" s="36">
        <v>1.0</v>
      </c>
      <c r="X6" s="36">
        <v>0.0</v>
      </c>
      <c r="Y6" s="33" t="s">
        <v>35</v>
      </c>
      <c r="Z6" s="33" t="s">
        <v>36</v>
      </c>
      <c r="AA6" s="33" t="s">
        <v>16</v>
      </c>
      <c r="AB6" s="36">
        <v>1.0</v>
      </c>
      <c r="AC6" s="33"/>
      <c r="AD6" s="33" t="s">
        <v>49</v>
      </c>
      <c r="AE6" s="36">
        <v>10.0</v>
      </c>
      <c r="AF6" s="33" t="s">
        <v>35</v>
      </c>
      <c r="AG6" s="33"/>
      <c r="AH6" s="33" t="s">
        <v>50</v>
      </c>
      <c r="AI6" s="36">
        <v>1.0</v>
      </c>
      <c r="AJ6" s="33" t="s">
        <v>51</v>
      </c>
      <c r="AK6" s="33"/>
      <c r="AL6" s="33"/>
      <c r="AM6" s="33" t="s">
        <v>37</v>
      </c>
      <c r="AN6" s="40" t="b">
        <v>0</v>
      </c>
      <c r="AO6" s="33"/>
      <c r="AP6" s="40" t="b">
        <v>0</v>
      </c>
      <c r="AQ6" s="40" t="b">
        <v>0</v>
      </c>
      <c r="AR6" s="40" t="b">
        <v>1</v>
      </c>
      <c r="AS6" s="36">
        <v>0.0</v>
      </c>
      <c r="AT6" s="36">
        <v>164.0001</v>
      </c>
      <c r="AU6" s="36">
        <v>164.0001</v>
      </c>
      <c r="AV6" s="33"/>
      <c r="AW6" s="36">
        <v>0.0</v>
      </c>
      <c r="AX6" s="36">
        <v>0.0</v>
      </c>
      <c r="AY6" s="33"/>
      <c r="AZ6" s="36">
        <v>0.0</v>
      </c>
      <c r="BA6" s="33"/>
      <c r="BB6" s="33"/>
      <c r="BC6" s="36">
        <v>0.0</v>
      </c>
      <c r="BD6" s="33" t="s">
        <v>52</v>
      </c>
      <c r="BE6" s="36">
        <v>150.0</v>
      </c>
      <c r="BF6" s="36">
        <v>150.0</v>
      </c>
      <c r="BG6" s="33"/>
      <c r="BH6" s="33"/>
      <c r="BI6" s="33"/>
      <c r="BJ6" s="36">
        <v>50.0</v>
      </c>
      <c r="BK6" s="36">
        <v>0.0</v>
      </c>
      <c r="BL6" s="33" t="s">
        <v>35</v>
      </c>
      <c r="BM6" s="33" t="s">
        <v>36</v>
      </c>
      <c r="BN6" s="33"/>
      <c r="BO6" s="33" t="s">
        <v>17</v>
      </c>
      <c r="BP6" s="36">
        <v>0.0</v>
      </c>
      <c r="BQ6" s="36">
        <v>0.0</v>
      </c>
      <c r="BR6" s="36">
        <v>1.0E-4</v>
      </c>
      <c r="BS6" s="33" t="s">
        <v>53</v>
      </c>
      <c r="BT6" s="33" t="s">
        <v>16</v>
      </c>
      <c r="BU6" s="36">
        <v>3.0</v>
      </c>
      <c r="BV6" s="36">
        <v>0.0</v>
      </c>
      <c r="BW6" s="36">
        <v>14.0001</v>
      </c>
      <c r="BX6" s="36">
        <v>0.0</v>
      </c>
      <c r="BY6" s="33"/>
      <c r="BZ6" s="33"/>
      <c r="CA6" s="33"/>
      <c r="CB6" s="33"/>
      <c r="CC6" s="33"/>
      <c r="CD6" s="33"/>
      <c r="CE6" s="33"/>
      <c r="CF6" s="33" t="s">
        <v>54</v>
      </c>
      <c r="CG6" s="36">
        <v>2.0</v>
      </c>
      <c r="CH6" s="9" t="s">
        <v>12</v>
      </c>
      <c r="CI6" s="33" t="s">
        <v>17</v>
      </c>
      <c r="CJ6" s="36">
        <v>0.0</v>
      </c>
      <c r="CK6" s="33" t="s">
        <v>55</v>
      </c>
      <c r="CL6" s="36">
        <v>1.0</v>
      </c>
      <c r="CM6" s="33" t="s">
        <v>16</v>
      </c>
      <c r="CN6" s="33"/>
      <c r="CO6" s="33" t="s">
        <v>49</v>
      </c>
      <c r="CP6" s="33" t="s">
        <v>56</v>
      </c>
      <c r="CQ6" s="33"/>
      <c r="CR6" s="33"/>
      <c r="CS6" s="33" t="s">
        <v>35</v>
      </c>
      <c r="CT6" s="33"/>
      <c r="CU6" s="33"/>
      <c r="CV6" s="33"/>
      <c r="CW6" s="36">
        <v>0.0</v>
      </c>
      <c r="CX6" s="33" t="s">
        <v>57</v>
      </c>
      <c r="CY6" s="40" t="b">
        <v>1</v>
      </c>
      <c r="CZ6" s="33" t="s">
        <v>35</v>
      </c>
      <c r="DA6" s="33" t="s">
        <v>35</v>
      </c>
      <c r="DB6" s="33" t="s">
        <v>35</v>
      </c>
      <c r="DC6" s="33" t="s">
        <v>35</v>
      </c>
      <c r="DD6" s="33" t="s">
        <v>35</v>
      </c>
      <c r="DE6" s="33" t="s">
        <v>35</v>
      </c>
      <c r="DF6" s="33" t="s">
        <v>35</v>
      </c>
      <c r="DG6" s="33" t="s">
        <v>35</v>
      </c>
      <c r="DH6" s="33" t="s">
        <v>35</v>
      </c>
      <c r="DI6" s="33" t="s">
        <v>35</v>
      </c>
      <c r="DJ6" s="33" t="s">
        <v>35</v>
      </c>
      <c r="DK6" s="33" t="s">
        <v>35</v>
      </c>
      <c r="DL6" s="33" t="s">
        <v>35</v>
      </c>
      <c r="DM6" s="33" t="s">
        <v>35</v>
      </c>
      <c r="DN6" s="33" t="s">
        <v>35</v>
      </c>
      <c r="DO6" s="33" t="s">
        <v>35</v>
      </c>
      <c r="DP6" s="33" t="s">
        <v>35</v>
      </c>
      <c r="DQ6" s="33" t="s">
        <v>35</v>
      </c>
      <c r="DR6" s="33" t="s">
        <v>35</v>
      </c>
      <c r="DS6" s="33" t="s">
        <v>35</v>
      </c>
      <c r="DT6" s="33" t="s">
        <v>35</v>
      </c>
      <c r="DU6" s="33" t="s">
        <v>35</v>
      </c>
      <c r="DV6" s="33" t="s">
        <v>35</v>
      </c>
      <c r="DW6" s="33" t="s">
        <v>35</v>
      </c>
      <c r="DX6" s="33" t="s">
        <v>35</v>
      </c>
      <c r="DY6" s="33" t="s">
        <v>35</v>
      </c>
      <c r="DZ6" s="33" t="s">
        <v>35</v>
      </c>
      <c r="EA6" s="33" t="s">
        <v>35</v>
      </c>
      <c r="EB6" s="33" t="s">
        <v>35</v>
      </c>
      <c r="EC6" s="33" t="s">
        <v>35</v>
      </c>
      <c r="ED6" s="33" t="s">
        <v>35</v>
      </c>
      <c r="EE6" s="33" t="s">
        <v>35</v>
      </c>
      <c r="EF6" s="33" t="s">
        <v>35</v>
      </c>
      <c r="EG6" s="33" t="s">
        <v>35</v>
      </c>
      <c r="EH6" s="33" t="s">
        <v>35</v>
      </c>
      <c r="EI6" s="33" t="s">
        <v>35</v>
      </c>
      <c r="EJ6" s="33" t="s">
        <v>35</v>
      </c>
      <c r="EK6" s="33" t="s">
        <v>35</v>
      </c>
      <c r="EL6" s="33" t="s">
        <v>35</v>
      </c>
      <c r="EM6" s="33" t="s">
        <v>35</v>
      </c>
      <c r="EN6" s="33" t="s">
        <v>35</v>
      </c>
      <c r="EO6" s="33" t="s">
        <v>35</v>
      </c>
      <c r="EP6" s="33" t="s">
        <v>35</v>
      </c>
      <c r="EQ6" s="33" t="s">
        <v>35</v>
      </c>
      <c r="ER6" s="33" t="s">
        <v>35</v>
      </c>
      <c r="ES6" s="33" t="s">
        <v>35</v>
      </c>
      <c r="ET6" s="33" t="s">
        <v>35</v>
      </c>
      <c r="EU6" s="33" t="s">
        <v>35</v>
      </c>
      <c r="EV6" s="33" t="s">
        <v>35</v>
      </c>
      <c r="EW6" s="33" t="s">
        <v>35</v>
      </c>
      <c r="EX6" s="33" t="s">
        <v>35</v>
      </c>
      <c r="EY6" s="33"/>
      <c r="EZ6" s="33"/>
      <c r="FA6" s="33" t="s">
        <v>35</v>
      </c>
      <c r="FB6" s="33" t="s">
        <v>35</v>
      </c>
      <c r="FC6" s="33" t="s">
        <v>35</v>
      </c>
      <c r="FD6" s="33" t="s">
        <v>35</v>
      </c>
      <c r="FE6" s="33" t="s">
        <v>35</v>
      </c>
      <c r="FF6" s="33" t="s">
        <v>35</v>
      </c>
      <c r="FG6" s="33" t="s">
        <v>35</v>
      </c>
      <c r="FH6" s="33" t="s">
        <v>35</v>
      </c>
      <c r="FI6" s="33" t="s">
        <v>35</v>
      </c>
      <c r="FJ6" s="33"/>
      <c r="FK6" s="33" t="s">
        <v>35</v>
      </c>
      <c r="FL6" s="33" t="s">
        <v>35</v>
      </c>
      <c r="FM6" s="33" t="s">
        <v>35</v>
      </c>
      <c r="FN6" s="33" t="s">
        <v>35</v>
      </c>
      <c r="FO6" s="33" t="s">
        <v>35</v>
      </c>
      <c r="FP6" s="33" t="s">
        <v>35</v>
      </c>
      <c r="FQ6" s="33" t="s">
        <v>35</v>
      </c>
      <c r="FR6" s="37"/>
      <c r="FS6" s="37"/>
      <c r="FT6" s="37"/>
      <c r="FU6" s="37"/>
      <c r="FV6" s="37"/>
      <c r="FW6" s="37"/>
      <c r="FX6" s="37"/>
      <c r="FY6" s="37"/>
      <c r="FZ6" s="37"/>
      <c r="GA6" s="37"/>
      <c r="GB6" s="37"/>
      <c r="GC6" s="37"/>
      <c r="GD6" s="37"/>
      <c r="GE6" s="37"/>
      <c r="GF6" s="37"/>
      <c r="GG6" s="37"/>
      <c r="GH6" s="37"/>
      <c r="GI6" s="37"/>
      <c r="GJ6" s="37"/>
      <c r="GK6" s="37"/>
      <c r="GL6" s="37"/>
      <c r="GM6" s="37"/>
      <c r="GN6" s="37"/>
      <c r="GO6" s="37"/>
      <c r="GP6" s="37"/>
      <c r="GQ6" s="37"/>
      <c r="GR6" s="37"/>
      <c r="GS6" s="37"/>
      <c r="GT6" s="37"/>
      <c r="GU6" s="37"/>
      <c r="GV6" s="37"/>
      <c r="GW6" s="37"/>
      <c r="GX6" s="37"/>
      <c r="GY6" s="37"/>
      <c r="GZ6" s="37"/>
      <c r="HA6" s="37"/>
      <c r="HB6" s="37"/>
      <c r="HC6" s="37"/>
      <c r="HD6" s="37"/>
      <c r="HE6" s="37"/>
      <c r="HF6" s="37"/>
      <c r="HG6" s="37"/>
      <c r="HH6" s="37"/>
      <c r="HI6" s="37"/>
      <c r="HJ6" s="37"/>
      <c r="HK6" s="37"/>
      <c r="HL6" s="37"/>
      <c r="HM6" s="37"/>
      <c r="HN6" s="37"/>
      <c r="HO6" s="37"/>
      <c r="HP6" s="37"/>
      <c r="HQ6" s="37"/>
      <c r="HR6" s="37"/>
      <c r="HS6" s="37"/>
      <c r="HT6" s="37"/>
      <c r="HU6" s="37"/>
      <c r="HV6" s="37"/>
      <c r="HW6" s="37"/>
      <c r="HX6" s="37"/>
      <c r="HY6" s="37"/>
      <c r="HZ6" s="37"/>
      <c r="IA6" s="37"/>
      <c r="IB6" s="37"/>
      <c r="IC6" s="37"/>
      <c r="ID6" s="37"/>
      <c r="IE6" s="37"/>
      <c r="IF6" s="37"/>
      <c r="IG6" s="37"/>
      <c r="IH6" s="37"/>
      <c r="II6" s="37"/>
      <c r="IJ6" s="37"/>
      <c r="IK6" s="37"/>
      <c r="IL6" s="37"/>
      <c r="IM6" s="37"/>
      <c r="IN6" s="37"/>
      <c r="IO6" s="37"/>
      <c r="IP6" s="37"/>
      <c r="IQ6" s="37"/>
      <c r="IR6" s="37"/>
      <c r="IS6" s="37"/>
      <c r="IT6" s="37"/>
      <c r="IU6" s="37"/>
      <c r="IV6" s="37"/>
      <c r="IW6" s="37"/>
      <c r="IX6" s="37"/>
      <c r="IY6" s="37"/>
      <c r="IZ6" s="37"/>
      <c r="JA6" s="37"/>
      <c r="JB6" s="37"/>
      <c r="JC6" s="37"/>
      <c r="JD6" s="37"/>
      <c r="JE6" s="37"/>
      <c r="JF6" s="37"/>
      <c r="JG6" s="37"/>
      <c r="JH6" s="37"/>
      <c r="JI6" s="37"/>
      <c r="JJ6" s="37"/>
      <c r="JK6" s="37"/>
      <c r="JL6" s="37"/>
      <c r="JM6" s="37"/>
      <c r="JN6" s="37"/>
      <c r="JO6" s="37"/>
      <c r="JP6" s="37"/>
      <c r="JQ6" s="37"/>
      <c r="JR6" s="37"/>
      <c r="JS6" s="37"/>
      <c r="JT6" s="37"/>
      <c r="JU6" s="37"/>
      <c r="JV6" s="37"/>
      <c r="JW6" s="37"/>
      <c r="JX6" s="37"/>
      <c r="JY6" s="37"/>
      <c r="JZ6" s="37"/>
      <c r="KA6" s="37"/>
      <c r="KB6" s="37"/>
      <c r="KC6" s="37"/>
      <c r="KD6" s="37"/>
      <c r="KE6" s="37"/>
      <c r="KF6" s="37"/>
      <c r="KG6" s="37"/>
      <c r="KH6" s="37"/>
      <c r="KI6" s="37"/>
      <c r="KJ6" s="37"/>
      <c r="KK6" s="37"/>
      <c r="KL6" s="37"/>
      <c r="KM6" s="37"/>
      <c r="KN6" s="37"/>
      <c r="KO6" s="37"/>
      <c r="KP6" s="37"/>
      <c r="KQ6" s="37"/>
      <c r="KR6" s="37"/>
      <c r="KS6" s="37"/>
      <c r="KT6" s="37"/>
      <c r="KU6" s="37"/>
      <c r="KV6" s="37"/>
      <c r="KW6" s="37"/>
      <c r="KX6" s="37"/>
      <c r="KY6" s="37"/>
      <c r="KZ6" s="37"/>
      <c r="LA6" s="37"/>
      <c r="LB6" s="37"/>
      <c r="LC6" s="37"/>
      <c r="LD6" s="37"/>
      <c r="LE6" s="37"/>
      <c r="LF6" s="37"/>
      <c r="LG6" s="37"/>
      <c r="LH6" s="37"/>
      <c r="LI6" s="37"/>
      <c r="LJ6" s="37"/>
      <c r="LK6" s="37"/>
      <c r="LL6" s="37"/>
      <c r="LM6" s="37"/>
      <c r="LN6" s="37"/>
      <c r="LO6" s="37"/>
      <c r="LP6" s="37"/>
      <c r="LQ6" s="37"/>
      <c r="LR6" s="37"/>
      <c r="LS6" s="37"/>
      <c r="LT6" s="37"/>
      <c r="LU6" s="37"/>
      <c r="LV6" s="37"/>
      <c r="LW6" s="37"/>
      <c r="LX6" s="37"/>
      <c r="LY6" s="37"/>
      <c r="LZ6" s="37"/>
      <c r="MA6" s="37"/>
      <c r="MB6" s="37"/>
      <c r="MC6" s="37"/>
      <c r="MD6" s="37"/>
      <c r="ME6" s="37"/>
      <c r="MF6" s="37"/>
      <c r="MG6" s="37"/>
      <c r="MH6" s="37"/>
      <c r="MI6" s="37"/>
      <c r="MJ6" s="37"/>
      <c r="MK6" s="37"/>
      <c r="ML6" s="37"/>
      <c r="MM6" s="37"/>
      <c r="MN6" s="37"/>
      <c r="MO6" s="37"/>
      <c r="MP6" s="37"/>
      <c r="MQ6" s="37"/>
      <c r="MR6" s="37"/>
      <c r="MS6" s="37"/>
      <c r="MT6" s="37"/>
      <c r="MU6" s="37"/>
      <c r="MV6" s="37"/>
      <c r="MW6" s="37"/>
      <c r="MX6" s="37"/>
      <c r="MY6" s="37"/>
      <c r="MZ6" s="37"/>
      <c r="NA6" s="37"/>
      <c r="NB6" s="37"/>
      <c r="NC6" s="37"/>
      <c r="ND6" s="37"/>
      <c r="NE6" s="37"/>
      <c r="NF6" s="37"/>
      <c r="NG6" s="37"/>
      <c r="NH6" s="37"/>
      <c r="NI6" s="37"/>
      <c r="NJ6" s="37"/>
      <c r="NK6" s="37"/>
      <c r="NL6" s="37"/>
      <c r="NM6" s="37"/>
      <c r="NN6" s="37"/>
      <c r="NO6" s="37"/>
      <c r="NP6" s="37"/>
      <c r="NQ6" s="37"/>
      <c r="NR6" s="37"/>
      <c r="NS6" s="37"/>
      <c r="NT6" s="37"/>
      <c r="NU6" s="37"/>
      <c r="NV6" s="37"/>
      <c r="NW6" s="37"/>
      <c r="NX6" s="37"/>
      <c r="NY6" s="37"/>
      <c r="NZ6" s="37"/>
      <c r="OA6" s="37"/>
      <c r="OB6" s="37"/>
      <c r="OC6" s="37"/>
      <c r="OD6" s="37"/>
      <c r="OE6" s="37"/>
      <c r="OF6" s="37"/>
      <c r="OG6" s="37"/>
      <c r="OH6" s="37"/>
      <c r="OI6" s="37"/>
      <c r="OJ6" s="37"/>
      <c r="OK6" s="37"/>
      <c r="OL6" s="37"/>
      <c r="OM6" s="37"/>
      <c r="ON6" s="37"/>
      <c r="OO6" s="37"/>
      <c r="OP6" s="37"/>
      <c r="OQ6" s="37"/>
      <c r="OR6" s="37"/>
      <c r="OS6" s="37"/>
      <c r="OT6" s="37"/>
      <c r="OU6" s="37"/>
      <c r="OV6" s="37"/>
      <c r="OW6" s="37"/>
      <c r="OX6" s="37"/>
      <c r="OY6" s="37"/>
      <c r="OZ6" s="37"/>
      <c r="PA6" s="37"/>
      <c r="PB6" s="37"/>
      <c r="PC6" s="37"/>
      <c r="PD6" s="37"/>
      <c r="PE6" s="37"/>
      <c r="PF6" s="37"/>
      <c r="PG6" s="37"/>
      <c r="PH6" s="37"/>
      <c r="PI6" s="37"/>
      <c r="PJ6" s="37"/>
      <c r="PK6" s="37"/>
      <c r="PL6" s="37"/>
      <c r="PM6" s="37"/>
      <c r="PN6" s="37"/>
      <c r="PO6" s="37"/>
      <c r="PP6" s="37"/>
      <c r="PQ6" s="37"/>
      <c r="PR6" s="37"/>
      <c r="PS6" s="37"/>
      <c r="PT6" s="37"/>
      <c r="PU6" s="37"/>
      <c r="PV6" s="37"/>
      <c r="PW6" s="37"/>
      <c r="PX6" s="37"/>
      <c r="PY6" s="37"/>
      <c r="PZ6" s="37"/>
      <c r="QA6" s="37"/>
      <c r="QB6" s="37"/>
      <c r="QC6" s="37"/>
      <c r="QD6" s="37"/>
      <c r="QE6" s="37"/>
      <c r="QF6" s="37"/>
      <c r="QG6" s="37"/>
      <c r="QH6" s="37"/>
      <c r="QI6" s="37"/>
      <c r="QJ6" s="37"/>
      <c r="QK6" s="37"/>
      <c r="QL6" s="37"/>
      <c r="QM6" s="37"/>
      <c r="QN6" s="37"/>
      <c r="QO6" s="37"/>
      <c r="QP6" s="37"/>
      <c r="QQ6" s="37"/>
      <c r="QR6" s="37"/>
      <c r="QS6" s="37"/>
      <c r="QT6" s="37"/>
      <c r="QU6" s="37"/>
      <c r="QV6" s="37"/>
      <c r="QW6" s="37"/>
      <c r="QX6" s="37"/>
      <c r="QY6" s="37"/>
      <c r="QZ6" s="37"/>
      <c r="RA6" s="37"/>
      <c r="RB6" s="37"/>
      <c r="RC6" s="37"/>
      <c r="RD6" s="37"/>
      <c r="RE6" s="37"/>
      <c r="RF6" s="37"/>
      <c r="RG6" s="37"/>
      <c r="RH6" s="37"/>
      <c r="RI6" s="37"/>
      <c r="RJ6" s="37"/>
      <c r="RK6" s="37"/>
      <c r="RL6" s="37"/>
      <c r="RM6" s="37"/>
      <c r="RN6" s="37"/>
      <c r="RO6" s="37"/>
      <c r="RP6" s="37"/>
      <c r="RQ6" s="37"/>
      <c r="RR6" s="37"/>
      <c r="RS6" s="37"/>
      <c r="RT6" s="37"/>
      <c r="RU6" s="37"/>
      <c r="RV6" s="37"/>
      <c r="RW6" s="37"/>
      <c r="RX6" s="37"/>
      <c r="RY6" s="37"/>
      <c r="RZ6" s="37"/>
      <c r="SA6" s="37"/>
      <c r="SB6" s="37"/>
      <c r="SC6" s="37"/>
      <c r="SD6" s="37"/>
      <c r="SE6" s="37"/>
      <c r="SF6" s="37"/>
      <c r="SG6" s="37"/>
      <c r="SH6" s="37"/>
      <c r="SI6" s="37"/>
      <c r="SJ6" s="37"/>
      <c r="SK6" s="37"/>
      <c r="SL6" s="37"/>
      <c r="SM6" s="37"/>
      <c r="SN6" s="37"/>
      <c r="SO6" s="37"/>
      <c r="SP6" s="37"/>
      <c r="SQ6" s="37"/>
      <c r="SR6" s="37"/>
      <c r="SS6" s="37"/>
      <c r="ST6" s="37"/>
      <c r="SU6" s="37"/>
      <c r="SV6" s="37"/>
      <c r="SW6" s="37"/>
      <c r="SX6" s="37"/>
      <c r="SY6" s="37"/>
      <c r="SZ6" s="37"/>
      <c r="TA6" s="37"/>
      <c r="TB6" s="37"/>
      <c r="TC6" s="37"/>
      <c r="TD6" s="37"/>
      <c r="TE6" s="37"/>
      <c r="TF6" s="37"/>
      <c r="TG6" s="37"/>
      <c r="TH6" s="37"/>
      <c r="TI6" s="37"/>
      <c r="TJ6" s="37"/>
      <c r="TK6" s="37"/>
      <c r="TL6" s="37"/>
      <c r="TM6" s="37"/>
      <c r="TN6" s="37"/>
      <c r="TO6" s="37"/>
      <c r="TP6" s="37"/>
      <c r="TQ6" s="37"/>
      <c r="TR6" s="37"/>
      <c r="TS6" s="37"/>
      <c r="TT6" s="37"/>
      <c r="TU6" s="37"/>
      <c r="TV6" s="37"/>
      <c r="TW6" s="37"/>
      <c r="TX6" s="37"/>
      <c r="TY6" s="37"/>
      <c r="TZ6" s="37"/>
      <c r="UA6" s="37"/>
      <c r="UB6" s="37"/>
      <c r="UC6" s="37"/>
      <c r="UD6" s="37"/>
      <c r="UE6" s="37"/>
      <c r="UF6" s="37"/>
      <c r="UG6" s="37"/>
      <c r="UH6" s="37"/>
      <c r="UI6" s="37"/>
      <c r="UJ6" s="37"/>
      <c r="UK6" s="37"/>
      <c r="UL6" s="37"/>
      <c r="UM6" s="37"/>
      <c r="UN6" s="37"/>
      <c r="UO6" s="37"/>
      <c r="UP6" s="37"/>
      <c r="UQ6" s="37"/>
      <c r="UR6" s="37"/>
      <c r="US6" s="37"/>
      <c r="UT6" s="37"/>
      <c r="UU6" s="37"/>
      <c r="UV6" s="37"/>
      <c r="UW6" s="37"/>
      <c r="UX6" s="37"/>
      <c r="UY6" s="37"/>
      <c r="UZ6" s="37"/>
      <c r="VA6" s="37"/>
      <c r="VB6" s="37"/>
      <c r="VC6" s="37"/>
      <c r="VD6" s="37"/>
      <c r="VE6" s="37"/>
      <c r="VF6" s="37"/>
      <c r="VG6" s="37"/>
      <c r="VH6" s="37"/>
      <c r="VI6" s="37"/>
      <c r="VJ6" s="37"/>
      <c r="VK6" s="37"/>
      <c r="VL6" s="37"/>
      <c r="VM6" s="37"/>
      <c r="VN6" s="37"/>
      <c r="VO6" s="37"/>
      <c r="VP6" s="37"/>
      <c r="VQ6" s="37"/>
      <c r="VR6" s="37"/>
      <c r="VS6" s="37"/>
      <c r="VT6" s="37"/>
      <c r="VU6" s="37"/>
      <c r="VV6" s="37"/>
      <c r="VW6" s="37"/>
      <c r="VX6" s="37"/>
      <c r="VY6" s="37"/>
      <c r="VZ6" s="37"/>
      <c r="WA6" s="37"/>
      <c r="WB6" s="37"/>
      <c r="WC6" s="37"/>
      <c r="WD6" s="37"/>
      <c r="WE6" s="37"/>
      <c r="WF6" s="37"/>
      <c r="WG6" s="37"/>
      <c r="WH6" s="37"/>
      <c r="WI6" s="37"/>
      <c r="WJ6" s="37"/>
      <c r="WK6" s="37"/>
      <c r="WL6" s="37"/>
      <c r="WM6" s="37"/>
      <c r="WN6" s="37"/>
      <c r="WO6" s="37"/>
      <c r="WP6" s="37"/>
      <c r="WQ6" s="37"/>
      <c r="WR6" s="37"/>
      <c r="WS6" s="37"/>
      <c r="WT6" s="37"/>
      <c r="WU6" s="37"/>
      <c r="WV6" s="37"/>
      <c r="WW6" s="37"/>
      <c r="WX6" s="37"/>
      <c r="WY6" s="37"/>
      <c r="WZ6" s="37"/>
      <c r="XA6" s="37"/>
      <c r="XB6" s="37"/>
      <c r="XC6" s="37"/>
      <c r="XD6" s="37"/>
      <c r="XE6" s="37"/>
      <c r="XF6" s="37"/>
      <c r="XG6" s="37"/>
      <c r="XH6" s="37"/>
      <c r="XI6" s="37"/>
      <c r="XJ6" s="37"/>
      <c r="XK6" s="37"/>
      <c r="XL6" s="37"/>
      <c r="XM6" s="37"/>
      <c r="XN6" s="37"/>
      <c r="XO6" s="37"/>
      <c r="XP6" s="37"/>
      <c r="XQ6" s="37"/>
      <c r="XR6" s="37"/>
      <c r="XS6" s="37"/>
      <c r="XT6" s="37"/>
      <c r="XU6" s="37"/>
      <c r="XV6" s="37"/>
      <c r="XW6" s="37"/>
      <c r="XX6" s="37"/>
      <c r="XY6" s="37"/>
      <c r="XZ6" s="37"/>
      <c r="YA6" s="37"/>
      <c r="YB6" s="37"/>
      <c r="YC6" s="37"/>
      <c r="YD6" s="37"/>
      <c r="YE6" s="37"/>
      <c r="YF6" s="37"/>
      <c r="YG6" s="37"/>
      <c r="YH6" s="37"/>
      <c r="YI6" s="37"/>
      <c r="YJ6" s="37"/>
      <c r="YK6" s="37"/>
      <c r="YL6" s="37"/>
      <c r="YM6" s="37"/>
      <c r="YN6" s="37"/>
      <c r="YO6" s="37"/>
      <c r="YP6" s="37"/>
      <c r="YQ6" s="37"/>
      <c r="YR6" s="37"/>
      <c r="YS6" s="37"/>
      <c r="YT6" s="37"/>
      <c r="YU6" s="37"/>
      <c r="YV6" s="37"/>
      <c r="YW6" s="37"/>
      <c r="YX6" s="37"/>
      <c r="YY6" s="37"/>
      <c r="YZ6" s="37"/>
      <c r="ZA6" s="37"/>
      <c r="ZB6" s="37"/>
      <c r="ZC6" s="37"/>
      <c r="ZD6" s="37"/>
      <c r="ZE6" s="37"/>
      <c r="ZF6" s="37"/>
      <c r="ZG6" s="37"/>
      <c r="ZH6" s="37"/>
      <c r="ZI6" s="37"/>
      <c r="ZJ6" s="37"/>
      <c r="ZK6" s="37"/>
      <c r="ZL6" s="37"/>
      <c r="ZM6" s="37"/>
      <c r="ZN6" s="37"/>
      <c r="ZO6" s="37"/>
      <c r="ZP6" s="37"/>
      <c r="ZQ6" s="37"/>
      <c r="ZR6" s="37"/>
      <c r="ZS6" s="37"/>
      <c r="ZT6" s="37"/>
      <c r="ZU6" s="37"/>
      <c r="ZV6" s="37"/>
      <c r="ZW6" s="37"/>
      <c r="ZX6" s="37"/>
      <c r="ZY6" s="37"/>
      <c r="ZZ6" s="37"/>
      <c r="AAA6" s="37"/>
      <c r="AAB6" s="37"/>
      <c r="AAC6" s="37"/>
      <c r="AAD6" s="37"/>
      <c r="AAE6" s="37"/>
      <c r="AAF6" s="37"/>
      <c r="AAG6" s="37"/>
      <c r="AAH6" s="37"/>
      <c r="AAI6" s="37"/>
      <c r="AAJ6" s="37"/>
      <c r="AAK6" s="37"/>
      <c r="AAL6" s="37"/>
      <c r="AAM6" s="37"/>
      <c r="AAN6" s="37"/>
      <c r="AAO6" s="37"/>
      <c r="AAP6" s="37"/>
      <c r="AAQ6" s="37"/>
      <c r="AAR6" s="37"/>
      <c r="AAS6" s="37"/>
      <c r="AAT6" s="37"/>
      <c r="AAU6" s="37"/>
      <c r="AAV6" s="37"/>
      <c r="AAW6" s="37"/>
      <c r="AAX6" s="37"/>
      <c r="AAY6" s="37"/>
      <c r="AAZ6" s="37"/>
      <c r="ABA6" s="37"/>
      <c r="ABB6" s="37"/>
      <c r="ABC6" s="37"/>
      <c r="ABD6" s="37"/>
      <c r="ABE6" s="37"/>
      <c r="ABF6" s="37"/>
      <c r="ABG6" s="37"/>
      <c r="ABH6" s="37"/>
      <c r="ABI6" s="37"/>
      <c r="ABJ6" s="37"/>
      <c r="ABK6" s="37"/>
      <c r="ABL6" s="37"/>
      <c r="ABM6" s="37"/>
      <c r="ABN6" s="37"/>
      <c r="ABO6" s="37"/>
      <c r="ABP6" s="37"/>
      <c r="ABQ6" s="37"/>
      <c r="ABR6" s="37"/>
      <c r="ABS6" s="37"/>
      <c r="ABT6" s="37"/>
      <c r="ABU6" s="37"/>
      <c r="ABV6" s="37"/>
      <c r="ABW6" s="37"/>
      <c r="ABX6" s="37"/>
      <c r="ABY6" s="37"/>
      <c r="ABZ6" s="37"/>
      <c r="ACA6" s="37"/>
      <c r="ACB6" s="37"/>
      <c r="ACC6" s="37"/>
      <c r="ACD6" s="37"/>
      <c r="ACE6" s="37"/>
      <c r="ACF6" s="37"/>
      <c r="ACG6" s="37"/>
      <c r="ACH6" s="37"/>
      <c r="ACI6" s="37"/>
      <c r="ACJ6" s="37"/>
      <c r="ACK6" s="37"/>
      <c r="ACL6" s="37"/>
      <c r="ACM6" s="37"/>
      <c r="ACN6" s="37"/>
      <c r="ACO6" s="37"/>
      <c r="ACP6" s="37"/>
      <c r="ACQ6" s="37"/>
      <c r="ACR6" s="37"/>
      <c r="ACS6" s="37"/>
      <c r="ACT6" s="37"/>
      <c r="ACU6" s="37"/>
      <c r="ACV6" s="37"/>
      <c r="ACW6" s="37"/>
      <c r="ACX6" s="37"/>
      <c r="ACY6" s="37"/>
      <c r="ACZ6" s="37"/>
      <c r="ADA6" s="37"/>
      <c r="ADB6" s="37"/>
      <c r="ADC6" s="37"/>
      <c r="ADD6" s="37"/>
      <c r="ADE6" s="37"/>
      <c r="ADF6" s="37"/>
      <c r="ADG6" s="37"/>
      <c r="ADH6" s="37"/>
      <c r="ADI6" s="37"/>
      <c r="ADJ6" s="37"/>
      <c r="ADK6" s="37"/>
      <c r="ADL6" s="37"/>
      <c r="ADM6" s="37"/>
      <c r="ADN6" s="37"/>
      <c r="ADO6" s="37"/>
      <c r="ADP6" s="37"/>
      <c r="ADQ6" s="37"/>
      <c r="ADR6" s="37"/>
      <c r="ADS6" s="37"/>
      <c r="ADT6" s="37"/>
      <c r="ADU6" s="37"/>
      <c r="ADV6" s="37"/>
      <c r="ADW6" s="37"/>
      <c r="ADX6" s="37"/>
      <c r="ADY6" s="37"/>
      <c r="ADZ6" s="37"/>
      <c r="AEA6" s="37"/>
      <c r="AEB6" s="37"/>
      <c r="AEC6" s="37"/>
      <c r="AED6" s="37"/>
      <c r="AEE6" s="37"/>
      <c r="AEF6" s="37"/>
      <c r="AEG6" s="37"/>
      <c r="AEH6" s="37"/>
      <c r="AEI6" s="37"/>
      <c r="AEJ6" s="37"/>
      <c r="AEK6" s="37"/>
      <c r="AEL6" s="37"/>
      <c r="AEM6" s="37"/>
      <c r="AEN6" s="37"/>
      <c r="AEO6" s="37"/>
      <c r="AEP6" s="37"/>
      <c r="AEQ6" s="37"/>
      <c r="AER6" s="37"/>
      <c r="AES6" s="37"/>
      <c r="AET6" s="37"/>
      <c r="AEU6" s="37"/>
      <c r="AEV6" s="37"/>
      <c r="AEW6" s="37"/>
      <c r="AEX6" s="37"/>
      <c r="AEY6" s="37"/>
      <c r="AEZ6" s="37"/>
      <c r="AFA6" s="37"/>
      <c r="AFB6" s="37"/>
      <c r="AFC6" s="37"/>
      <c r="AFD6" s="37"/>
      <c r="AFE6" s="37"/>
      <c r="AFF6" s="37"/>
      <c r="AFG6" s="37"/>
      <c r="AFH6" s="37"/>
      <c r="AFI6" s="37"/>
      <c r="AFJ6" s="37"/>
      <c r="AFK6" s="37"/>
      <c r="AFL6" s="37"/>
      <c r="AFM6" s="37"/>
      <c r="AFN6" s="37"/>
      <c r="AFO6" s="37"/>
      <c r="AFP6" s="37"/>
      <c r="AFQ6" s="37"/>
      <c r="AFR6" s="37"/>
      <c r="AFS6" s="37"/>
      <c r="AFT6" s="37"/>
      <c r="AFU6" s="37"/>
      <c r="AFV6" s="37"/>
      <c r="AFW6" s="37"/>
      <c r="AFX6" s="37"/>
      <c r="AFY6" s="37"/>
      <c r="AFZ6" s="37"/>
      <c r="AGA6" s="37"/>
      <c r="AGB6" s="37"/>
      <c r="AGC6" s="37"/>
      <c r="AGD6" s="37"/>
      <c r="AGE6" s="37"/>
      <c r="AGF6" s="37"/>
      <c r="AGG6" s="37"/>
      <c r="AGH6" s="37"/>
      <c r="AGI6" s="37"/>
      <c r="AGJ6" s="37"/>
      <c r="AGK6" s="37"/>
      <c r="AGL6" s="37"/>
      <c r="AGM6" s="37"/>
      <c r="AGN6" s="37"/>
      <c r="AGO6" s="37"/>
      <c r="AGP6" s="37"/>
      <c r="AGQ6" s="37"/>
      <c r="AGR6" s="37"/>
      <c r="AGS6" s="37"/>
      <c r="AGT6" s="37"/>
      <c r="AGU6" s="37"/>
      <c r="AGV6" s="37"/>
      <c r="AGW6" s="37"/>
      <c r="AGX6" s="37"/>
      <c r="AGY6" s="37"/>
      <c r="AGZ6" s="37"/>
      <c r="AHA6" s="37"/>
      <c r="AHB6" s="37"/>
      <c r="AHC6" s="37"/>
      <c r="AHD6" s="37"/>
      <c r="AHE6" s="37"/>
      <c r="AHF6" s="37"/>
      <c r="AHG6" s="37"/>
      <c r="AHH6" s="37"/>
      <c r="AHI6" s="37"/>
      <c r="AHJ6" s="37"/>
      <c r="AHK6" s="37"/>
      <c r="AHL6" s="37"/>
      <c r="AHM6" s="37"/>
      <c r="AHN6" s="37"/>
      <c r="AHO6" s="37"/>
      <c r="AHP6" s="37"/>
      <c r="AHQ6" s="37"/>
      <c r="AHR6" s="37"/>
      <c r="AHS6" s="37"/>
      <c r="AHT6" s="37"/>
      <c r="AHU6" s="37"/>
      <c r="AHV6" s="37"/>
      <c r="AHW6" s="37"/>
      <c r="AHX6" s="37"/>
      <c r="AHY6" s="37"/>
      <c r="AHZ6" s="37"/>
      <c r="AIA6" s="37"/>
      <c r="AIB6" s="37"/>
      <c r="AIC6" s="37"/>
      <c r="AID6" s="37"/>
      <c r="AIE6" s="37"/>
      <c r="AIF6" s="37"/>
      <c r="AIG6" s="37"/>
      <c r="AIH6" s="37"/>
      <c r="AII6" s="37"/>
      <c r="AIJ6" s="37"/>
      <c r="AIK6" s="37"/>
      <c r="AIL6" s="37"/>
      <c r="AIM6" s="37"/>
      <c r="AIN6" s="37"/>
      <c r="AIO6" s="37"/>
      <c r="AIP6" s="37"/>
      <c r="AIQ6" s="37"/>
      <c r="AIR6" s="37"/>
      <c r="AIS6" s="37"/>
      <c r="AIT6" s="37"/>
      <c r="AIU6" s="37"/>
      <c r="AIV6" s="37"/>
      <c r="AIW6" s="37"/>
      <c r="AIX6" s="37"/>
      <c r="AIY6" s="37"/>
      <c r="AIZ6" s="37"/>
      <c r="AJA6" s="37"/>
      <c r="AJB6" s="37"/>
      <c r="AJC6" s="37"/>
      <c r="AJD6" s="37"/>
      <c r="AJE6" s="37"/>
      <c r="AJF6" s="37"/>
      <c r="AJG6" s="37"/>
      <c r="AJH6" s="37"/>
      <c r="AJI6" s="37"/>
      <c r="AJJ6" s="37"/>
      <c r="AJK6" s="37"/>
      <c r="AJL6" s="37"/>
      <c r="AJM6" s="37"/>
      <c r="AJN6" s="37"/>
      <c r="AJO6" s="37"/>
      <c r="AJP6" s="37"/>
      <c r="AJQ6" s="37"/>
      <c r="AJR6" s="37"/>
      <c r="AJS6" s="37"/>
      <c r="AJT6" s="37"/>
      <c r="AJU6" s="37"/>
      <c r="AJV6" s="37"/>
      <c r="AJW6" s="37"/>
      <c r="AJX6" s="37"/>
      <c r="AJY6" s="37"/>
      <c r="AJZ6" s="37"/>
      <c r="AKA6" s="37"/>
      <c r="AKB6" s="37"/>
      <c r="AKC6" s="37"/>
      <c r="AKD6" s="37"/>
      <c r="AKE6" s="37"/>
      <c r="AKF6" s="37"/>
      <c r="AKG6" s="37"/>
      <c r="AKH6" s="37"/>
      <c r="AKI6" s="37"/>
      <c r="AKJ6" s="37"/>
      <c r="AKK6" s="37"/>
      <c r="AKL6" s="37"/>
      <c r="AKM6" s="37"/>
      <c r="AKN6" s="37"/>
      <c r="AKO6" s="37"/>
      <c r="AKP6" s="37"/>
      <c r="AKQ6" s="37"/>
      <c r="AKR6" s="37"/>
      <c r="AKS6" s="37"/>
      <c r="AKT6" s="37"/>
      <c r="AKU6" s="37"/>
      <c r="AKV6" s="37"/>
      <c r="AKW6" s="37"/>
      <c r="AKX6" s="37"/>
      <c r="AKY6" s="37"/>
      <c r="AKZ6" s="37"/>
      <c r="ALA6" s="37"/>
      <c r="ALB6" s="37"/>
      <c r="ALC6" s="37"/>
      <c r="ALD6" s="37"/>
      <c r="ALE6" s="37"/>
      <c r="ALF6" s="37"/>
      <c r="ALG6" s="37"/>
      <c r="ALH6" s="37"/>
      <c r="ALI6" s="37"/>
      <c r="ALJ6" s="37"/>
      <c r="ALK6" s="37"/>
      <c r="ALL6" s="37"/>
      <c r="ALM6" s="37"/>
      <c r="ALN6" s="37"/>
      <c r="ALO6" s="37"/>
      <c r="ALP6" s="37"/>
      <c r="ALQ6" s="37"/>
      <c r="ALR6" s="37"/>
      <c r="ALS6" s="37"/>
      <c r="ALT6" s="37"/>
      <c r="ALU6" s="37"/>
      <c r="ALV6" s="37"/>
      <c r="ALW6" s="37"/>
      <c r="ALX6" s="37"/>
      <c r="ALY6" s="37"/>
      <c r="ALZ6" s="37"/>
      <c r="AMA6" s="37"/>
      <c r="AMB6" s="37"/>
      <c r="AMC6" s="37"/>
      <c r="AMD6" s="37"/>
      <c r="AME6" s="37"/>
      <c r="AMF6" s="37"/>
      <c r="AMG6" s="37"/>
      <c r="AMH6" s="37"/>
      <c r="AMI6" s="37"/>
      <c r="AMJ6" s="37"/>
      <c r="AMK6" s="37"/>
      <c r="AML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61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  <c r="AMM1" s="19"/>
      <c r="AMN1" s="19"/>
      <c r="AMO1" s="19"/>
      <c r="AMP1" s="19"/>
      <c r="AMQ1" s="19"/>
      <c r="AMR1" s="19"/>
      <c r="AMS1" s="19"/>
      <c r="AMT1" s="19"/>
      <c r="AMU1" s="19"/>
      <c r="AMV1" s="19"/>
      <c r="AMW1" s="19"/>
      <c r="AMX1" s="19"/>
      <c r="AMY1" s="19"/>
      <c r="AMZ1" s="19"/>
      <c r="ANA1" s="19"/>
      <c r="ANB1" s="19"/>
      <c r="ANC1" s="19"/>
      <c r="AND1" s="19"/>
      <c r="ANE1" s="19"/>
      <c r="ANF1" s="19"/>
      <c r="ANG1" s="19"/>
      <c r="ANH1" s="19"/>
      <c r="ANI1" s="19"/>
      <c r="ANJ1" s="19"/>
      <c r="ANK1" s="19"/>
      <c r="ANL1" s="19"/>
      <c r="ANM1" s="19"/>
      <c r="ANN1" s="19"/>
      <c r="ANO1" s="19"/>
      <c r="ANP1" s="19"/>
      <c r="ANQ1" s="19"/>
      <c r="ANR1" s="19"/>
      <c r="ANS1" s="19"/>
      <c r="ANT1" s="19"/>
      <c r="ANU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58</v>
      </c>
      <c r="D3" s="5" t="s">
        <v>9</v>
      </c>
      <c r="E3" s="22" t="s">
        <v>59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  <c r="AMN3" s="23"/>
      <c r="AMO3" s="23"/>
      <c r="AMP3" s="23"/>
      <c r="AMQ3" s="23"/>
      <c r="AMR3" s="23"/>
      <c r="AMS3" s="23"/>
      <c r="AMT3" s="23"/>
      <c r="AMU3" s="23"/>
      <c r="AMV3" s="23"/>
      <c r="AMW3" s="23"/>
      <c r="AMX3" s="23"/>
      <c r="AMY3" s="23"/>
      <c r="AMZ3" s="23"/>
      <c r="ANA3" s="23"/>
      <c r="ANB3" s="23"/>
      <c r="ANC3" s="23"/>
      <c r="AND3" s="23"/>
      <c r="ANE3" s="23"/>
      <c r="ANF3" s="23"/>
      <c r="ANG3" s="23"/>
      <c r="ANH3" s="23"/>
      <c r="ANI3" s="23"/>
      <c r="ANJ3" s="23"/>
      <c r="ANK3" s="23"/>
      <c r="ANL3" s="23"/>
      <c r="ANM3" s="23"/>
      <c r="ANN3" s="23"/>
      <c r="ANO3" s="23"/>
      <c r="ANP3" s="23"/>
      <c r="ANQ3" s="23"/>
      <c r="ANR3" s="23"/>
      <c r="ANS3" s="23"/>
      <c r="ANT3" s="23"/>
      <c r="ANU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IFERROR(__xludf.DUMMYFUNCTION("""COMPUTED_VALUE"""),"OpenCustomView")</f>
        <v>OpenCustomView</v>
      </c>
      <c r="AH4" s="25" t="str">
        <f>IFERROR(__xludf.DUMMYFUNCTION("""COMPUTED_VALUE"""),"CheckCustomViewRowSummary")</f>
        <v>CheckCustomViewRowSummary</v>
      </c>
      <c r="AI4" s="25" t="str">
        <f>IFERROR(__xludf.DUMMYFUNCTION("""COMPUTED_VALUE"""),"OpenTaxlotDetails")</f>
        <v>OpenTaxlotDetails</v>
      </c>
      <c r="AJ4" s="25" t="str">
        <f>IFERROR(__xludf.DUMMYFUNCTION("""COMPUTED_VALUE"""),"CheckTaxlotDetails")</f>
        <v>CheckTaxlotDetails</v>
      </c>
      <c r="AK4" s="25" t="str">
        <f>IFERROR(__xludf.DUMMYFUNCTION("""COMPUTED_VALUE"""),"SelectTradeOnPM")</f>
        <v>SelectTradeOnPM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  <c r="AMM4" s="25"/>
      <c r="AMN4" s="25"/>
      <c r="AMO4" s="25"/>
      <c r="AMP4" s="25"/>
      <c r="AMQ4" s="25"/>
      <c r="AMR4" s="25"/>
      <c r="AMS4" s="25"/>
      <c r="AMT4" s="25"/>
      <c r="AMU4" s="25"/>
      <c r="AMV4" s="25"/>
      <c r="AMW4" s="25"/>
      <c r="AMX4" s="25"/>
      <c r="AMY4" s="25"/>
      <c r="AMZ4" s="25"/>
      <c r="ANA4" s="25"/>
      <c r="ANB4" s="25"/>
      <c r="ANC4" s="25"/>
      <c r="AND4" s="25"/>
      <c r="ANE4" s="25"/>
      <c r="ANF4" s="25"/>
      <c r="ANG4" s="25"/>
      <c r="ANH4" s="25"/>
      <c r="ANI4" s="25"/>
      <c r="ANJ4" s="25"/>
      <c r="ANK4" s="25"/>
      <c r="ANL4" s="25"/>
      <c r="ANM4" s="25"/>
      <c r="ANN4" s="25"/>
      <c r="ANO4" s="25"/>
      <c r="ANP4" s="25"/>
      <c r="ANQ4" s="25"/>
      <c r="ANR4" s="25"/>
      <c r="ANS4" s="25"/>
      <c r="ANT4" s="25"/>
      <c r="ANU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  <c r="AMM5" s="29"/>
      <c r="AMN5" s="29"/>
      <c r="AMO5" s="29"/>
      <c r="AMP5" s="29"/>
      <c r="AMQ5" s="29"/>
      <c r="AMR5" s="29"/>
      <c r="AMS5" s="29"/>
      <c r="AMT5" s="29"/>
      <c r="AMU5" s="29"/>
      <c r="AMV5" s="29"/>
      <c r="AMW5" s="29"/>
      <c r="AMX5" s="29"/>
      <c r="AMY5" s="29"/>
      <c r="AMZ5" s="29"/>
      <c r="ANA5" s="29"/>
      <c r="ANB5" s="29"/>
      <c r="ANC5" s="29"/>
      <c r="AND5" s="29"/>
      <c r="ANE5" s="29"/>
      <c r="ANF5" s="29"/>
      <c r="ANG5" s="29"/>
      <c r="ANH5" s="29"/>
      <c r="ANI5" s="29"/>
      <c r="ANJ5" s="29"/>
      <c r="ANK5" s="29"/>
      <c r="ANL5" s="29"/>
      <c r="ANM5" s="29"/>
      <c r="ANN5" s="29"/>
      <c r="ANO5" s="29"/>
      <c r="ANP5" s="29"/>
      <c r="ANQ5" s="29"/>
      <c r="ANR5" s="29"/>
      <c r="ANS5" s="29"/>
      <c r="ANT5" s="29"/>
      <c r="ANU5" s="29"/>
    </row>
    <row r="6" ht="15.75" customHeight="1">
      <c r="A6" s="32" t="s">
        <v>35</v>
      </c>
      <c r="B6" s="32"/>
      <c r="C6" s="33" t="s">
        <v>16</v>
      </c>
      <c r="D6" s="41">
        <v>10.0</v>
      </c>
      <c r="E6" s="33" t="s">
        <v>18</v>
      </c>
      <c r="F6" s="33" t="s">
        <v>57</v>
      </c>
      <c r="G6" s="36">
        <v>15.0</v>
      </c>
      <c r="H6" s="33" t="s">
        <v>60</v>
      </c>
      <c r="I6" s="33"/>
      <c r="J6" s="33"/>
      <c r="K6" s="33"/>
      <c r="L6" s="33"/>
      <c r="M6" s="33"/>
      <c r="N6" s="36">
        <v>-150.0</v>
      </c>
      <c r="O6" s="33" t="s">
        <v>48</v>
      </c>
      <c r="P6" s="33"/>
      <c r="Q6" s="36">
        <v>-150.0</v>
      </c>
      <c r="R6" s="33" t="s">
        <v>61</v>
      </c>
      <c r="S6" s="33" t="s">
        <v>53</v>
      </c>
      <c r="T6" s="33" t="s">
        <v>44</v>
      </c>
      <c r="U6" s="33" t="s">
        <v>55</v>
      </c>
      <c r="V6" s="33" t="s">
        <v>49</v>
      </c>
      <c r="W6" s="33" t="s">
        <v>36</v>
      </c>
      <c r="X6" s="36">
        <v>1.0</v>
      </c>
      <c r="Y6" s="36">
        <v>1.0</v>
      </c>
      <c r="Z6" s="33"/>
      <c r="AA6" s="33"/>
      <c r="AB6" s="33"/>
      <c r="AC6" s="33"/>
      <c r="AD6" s="33"/>
      <c r="AE6" s="33"/>
      <c r="AF6" s="36">
        <v>10.0</v>
      </c>
      <c r="AG6" s="33"/>
      <c r="AH6" s="33"/>
      <c r="AI6" s="33"/>
      <c r="AJ6" s="33"/>
      <c r="AK6" s="36">
        <v>-150.0</v>
      </c>
      <c r="AL6" s="36">
        <v>1.0</v>
      </c>
      <c r="AM6" s="36">
        <v>1.0</v>
      </c>
      <c r="AN6" s="33" t="s">
        <v>17</v>
      </c>
      <c r="AO6" s="33"/>
      <c r="AP6" s="33" t="s">
        <v>60</v>
      </c>
      <c r="AQ6" s="33" t="s">
        <v>16</v>
      </c>
      <c r="AR6" s="36">
        <v>0.0</v>
      </c>
      <c r="AS6" s="36">
        <v>1.0</v>
      </c>
      <c r="AT6" s="33"/>
      <c r="AU6" s="33" t="s">
        <v>37</v>
      </c>
      <c r="AV6" s="36">
        <v>1.0</v>
      </c>
      <c r="AW6" s="36">
        <v>-150.0</v>
      </c>
      <c r="AX6" s="33"/>
      <c r="AY6" s="33"/>
      <c r="AZ6" s="33"/>
      <c r="BA6" s="33"/>
      <c r="BB6" s="33"/>
      <c r="BC6" s="36">
        <v>1.0</v>
      </c>
      <c r="BD6" s="36">
        <v>-150.0</v>
      </c>
      <c r="BE6" s="33" t="s">
        <v>44</v>
      </c>
      <c r="BF6" s="33" t="s">
        <v>62</v>
      </c>
      <c r="BG6" s="33" t="s">
        <v>63</v>
      </c>
      <c r="BH6" s="33"/>
      <c r="BI6" s="36">
        <v>5.0</v>
      </c>
      <c r="BJ6" s="33"/>
      <c r="BK6" s="33"/>
      <c r="BL6" s="33"/>
      <c r="BM6" s="33"/>
      <c r="BN6" s="33"/>
      <c r="BO6" s="36">
        <v>-150.0</v>
      </c>
      <c r="BP6" s="36">
        <v>0.0</v>
      </c>
      <c r="BQ6" s="33" t="s">
        <v>40</v>
      </c>
      <c r="BR6" s="33" t="s">
        <v>19</v>
      </c>
      <c r="BS6" s="33"/>
      <c r="BT6" s="33"/>
      <c r="BU6" s="33" t="s">
        <v>44</v>
      </c>
      <c r="BV6" s="33"/>
      <c r="BW6" s="33"/>
      <c r="BX6" s="33"/>
      <c r="BY6" s="33"/>
      <c r="BZ6" s="33"/>
      <c r="CA6" s="33"/>
      <c r="CB6" s="33"/>
      <c r="CC6" s="33"/>
      <c r="CD6" s="36">
        <v>-150.0</v>
      </c>
      <c r="CE6" s="33"/>
      <c r="CF6" s="33"/>
      <c r="CG6" s="36">
        <v>-150.0</v>
      </c>
      <c r="CH6" s="36">
        <v>-100.0</v>
      </c>
      <c r="CI6" s="33"/>
      <c r="CJ6" s="33"/>
      <c r="CK6" s="40" t="b">
        <v>0</v>
      </c>
      <c r="CL6" s="33"/>
      <c r="CM6" s="33"/>
      <c r="CN6" s="33" t="s">
        <v>16</v>
      </c>
      <c r="CO6" s="33" t="s">
        <v>16</v>
      </c>
      <c r="CP6" s="42" t="s">
        <v>45</v>
      </c>
      <c r="CQ6" s="33"/>
      <c r="CR6" s="33"/>
      <c r="CS6" s="36">
        <v>15.0</v>
      </c>
      <c r="CT6" s="33"/>
      <c r="CU6" s="33"/>
      <c r="CV6" s="33"/>
      <c r="CW6" s="33"/>
      <c r="CX6" s="33"/>
      <c r="CY6" s="33" t="s">
        <v>51</v>
      </c>
      <c r="CZ6" s="33" t="s">
        <v>64</v>
      </c>
      <c r="DA6" s="33"/>
      <c r="DB6" s="33"/>
      <c r="DC6" s="33"/>
      <c r="DD6" s="36">
        <v>10.0</v>
      </c>
      <c r="DE6" s="33"/>
      <c r="DF6" s="33"/>
      <c r="DG6" s="33"/>
      <c r="DH6" s="33" t="s">
        <v>65</v>
      </c>
      <c r="DI6" s="36">
        <v>0.0</v>
      </c>
      <c r="DJ6" s="33" t="s">
        <v>17</v>
      </c>
      <c r="DK6" s="33"/>
      <c r="DL6" s="33"/>
      <c r="DM6" s="36">
        <v>1.0</v>
      </c>
      <c r="DN6" s="36">
        <v>0.0</v>
      </c>
      <c r="DO6" s="33"/>
      <c r="DP6" s="33" t="s">
        <v>60</v>
      </c>
      <c r="DQ6" s="33" t="s">
        <v>66</v>
      </c>
      <c r="DR6" s="33" t="s">
        <v>67</v>
      </c>
      <c r="DS6" s="33" t="s">
        <v>66</v>
      </c>
      <c r="DT6" s="33" t="s">
        <v>66</v>
      </c>
      <c r="DU6" s="33" t="s">
        <v>68</v>
      </c>
      <c r="DV6" s="33" t="s">
        <v>66</v>
      </c>
      <c r="DW6" s="33" t="s">
        <v>66</v>
      </c>
      <c r="DX6" s="33" t="s">
        <v>66</v>
      </c>
      <c r="DY6" s="33" t="s">
        <v>66</v>
      </c>
      <c r="DZ6" s="33" t="s">
        <v>48</v>
      </c>
      <c r="EA6" s="33" t="s">
        <v>68</v>
      </c>
      <c r="EB6" s="33" t="s">
        <v>66</v>
      </c>
      <c r="EC6" s="33" t="s">
        <v>66</v>
      </c>
      <c r="ED6" s="33" t="s">
        <v>36</v>
      </c>
      <c r="EE6" s="33" t="s">
        <v>69</v>
      </c>
      <c r="EF6" s="33"/>
      <c r="EG6" s="33"/>
      <c r="EH6" s="33"/>
      <c r="EI6" s="33"/>
      <c r="EJ6" s="33" t="s">
        <v>35</v>
      </c>
      <c r="EK6" s="33" t="s">
        <v>35</v>
      </c>
      <c r="EL6" s="33" t="s">
        <v>35</v>
      </c>
      <c r="EM6" s="33" t="s">
        <v>35</v>
      </c>
      <c r="EN6" s="33" t="s">
        <v>35</v>
      </c>
      <c r="EO6" s="33" t="s">
        <v>35</v>
      </c>
      <c r="EP6" s="33" t="s">
        <v>35</v>
      </c>
      <c r="EQ6" s="33" t="s">
        <v>35</v>
      </c>
      <c r="ER6" s="33" t="s">
        <v>35</v>
      </c>
      <c r="ES6" s="33" t="s">
        <v>35</v>
      </c>
      <c r="ET6" s="33" t="s">
        <v>35</v>
      </c>
      <c r="EU6" s="33" t="s">
        <v>35</v>
      </c>
      <c r="EV6" s="33" t="s">
        <v>35</v>
      </c>
      <c r="EW6" s="33" t="s">
        <v>35</v>
      </c>
      <c r="EX6" s="33" t="s">
        <v>35</v>
      </c>
      <c r="EY6" s="33" t="s">
        <v>35</v>
      </c>
      <c r="EZ6" s="33" t="s">
        <v>35</v>
      </c>
      <c r="FA6" s="33" t="s">
        <v>35</v>
      </c>
      <c r="FB6" s="33" t="s">
        <v>35</v>
      </c>
      <c r="FC6" s="33"/>
      <c r="FD6" s="33"/>
      <c r="FE6" s="33"/>
      <c r="FF6" s="33"/>
      <c r="FG6" s="33"/>
      <c r="FH6" s="36">
        <v>10.0</v>
      </c>
      <c r="FI6" s="33" t="s">
        <v>35</v>
      </c>
      <c r="FJ6" s="33"/>
      <c r="FK6" s="33" t="s">
        <v>35</v>
      </c>
      <c r="FL6" s="33" t="s">
        <v>35</v>
      </c>
      <c r="FM6" s="36">
        <v>0.0</v>
      </c>
      <c r="FN6" s="36">
        <v>0.0</v>
      </c>
      <c r="FO6" s="36">
        <v>0.0</v>
      </c>
      <c r="FP6" s="36">
        <v>0.0</v>
      </c>
      <c r="FQ6" s="36">
        <v>0.0</v>
      </c>
      <c r="FR6" s="37"/>
      <c r="FS6" s="37"/>
      <c r="FT6" s="37"/>
      <c r="FU6" s="37"/>
      <c r="FV6" s="37"/>
      <c r="FW6" s="37"/>
      <c r="FX6" s="37"/>
      <c r="FY6" s="37"/>
      <c r="FZ6" s="37"/>
      <c r="GA6" s="37"/>
      <c r="GB6" s="37"/>
      <c r="GC6" s="37"/>
      <c r="GD6" s="37"/>
      <c r="GE6" s="37"/>
      <c r="GF6" s="37"/>
      <c r="GG6" s="37"/>
      <c r="GH6" s="37"/>
      <c r="GI6" s="37"/>
      <c r="GJ6" s="37"/>
      <c r="GK6" s="37"/>
      <c r="GL6" s="37"/>
      <c r="GM6" s="37"/>
      <c r="GN6" s="37"/>
      <c r="GO6" s="37"/>
      <c r="GP6" s="37"/>
      <c r="GQ6" s="37"/>
      <c r="GR6" s="37"/>
      <c r="GS6" s="37"/>
      <c r="GT6" s="37"/>
      <c r="GU6" s="37"/>
      <c r="GV6" s="37"/>
      <c r="GW6" s="37"/>
      <c r="GX6" s="37"/>
      <c r="GY6" s="37"/>
      <c r="GZ6" s="37"/>
      <c r="HA6" s="37"/>
      <c r="HB6" s="37"/>
      <c r="HC6" s="37"/>
      <c r="HD6" s="37"/>
      <c r="HE6" s="37"/>
      <c r="HF6" s="37"/>
      <c r="HG6" s="37"/>
      <c r="HH6" s="37"/>
      <c r="HI6" s="37"/>
      <c r="HJ6" s="37"/>
      <c r="HK6" s="37"/>
      <c r="HL6" s="37"/>
      <c r="HM6" s="37"/>
      <c r="HN6" s="37"/>
      <c r="HO6" s="37"/>
      <c r="HP6" s="37"/>
      <c r="HQ6" s="37"/>
      <c r="HR6" s="37"/>
      <c r="HS6" s="37"/>
      <c r="HT6" s="37"/>
      <c r="HU6" s="37"/>
      <c r="HV6" s="37"/>
      <c r="HW6" s="37"/>
      <c r="HX6" s="37"/>
      <c r="HY6" s="37"/>
      <c r="HZ6" s="37"/>
      <c r="IA6" s="37"/>
      <c r="IB6" s="37"/>
      <c r="IC6" s="37"/>
      <c r="ID6" s="37"/>
      <c r="IE6" s="37"/>
      <c r="IF6" s="37"/>
      <c r="IG6" s="37"/>
      <c r="IH6" s="37"/>
      <c r="II6" s="37"/>
      <c r="IJ6" s="37"/>
      <c r="IK6" s="37"/>
      <c r="IL6" s="37"/>
      <c r="IM6" s="37"/>
      <c r="IN6" s="37"/>
      <c r="IO6" s="37"/>
      <c r="IP6" s="37"/>
      <c r="IQ6" s="37"/>
      <c r="IR6" s="37"/>
      <c r="IS6" s="37"/>
      <c r="IT6" s="37"/>
      <c r="IU6" s="37"/>
      <c r="IV6" s="37"/>
      <c r="IW6" s="37"/>
      <c r="IX6" s="37"/>
      <c r="IY6" s="37"/>
      <c r="IZ6" s="37"/>
      <c r="JA6" s="37"/>
      <c r="JB6" s="37"/>
      <c r="JC6" s="37"/>
      <c r="JD6" s="37"/>
      <c r="JE6" s="37"/>
      <c r="JF6" s="37"/>
      <c r="JG6" s="37"/>
      <c r="JH6" s="37"/>
      <c r="JI6" s="37"/>
      <c r="JJ6" s="37"/>
      <c r="JK6" s="37"/>
      <c r="JL6" s="37"/>
      <c r="JM6" s="37"/>
      <c r="JN6" s="37"/>
      <c r="JO6" s="37"/>
      <c r="JP6" s="37"/>
      <c r="JQ6" s="37"/>
      <c r="JR6" s="37"/>
      <c r="JS6" s="37"/>
      <c r="JT6" s="37"/>
      <c r="JU6" s="37"/>
      <c r="JV6" s="37"/>
      <c r="JW6" s="37"/>
      <c r="JX6" s="37"/>
      <c r="JY6" s="37"/>
      <c r="JZ6" s="37"/>
      <c r="KA6" s="37"/>
      <c r="KB6" s="37"/>
      <c r="KC6" s="37"/>
      <c r="KD6" s="37"/>
      <c r="KE6" s="37"/>
      <c r="KF6" s="37"/>
      <c r="KG6" s="37"/>
      <c r="KH6" s="37"/>
      <c r="KI6" s="37"/>
      <c r="KJ6" s="37"/>
      <c r="KK6" s="37"/>
      <c r="KL6" s="37"/>
      <c r="KM6" s="37"/>
      <c r="KN6" s="37"/>
      <c r="KO6" s="37"/>
      <c r="KP6" s="37"/>
      <c r="KQ6" s="37"/>
      <c r="KR6" s="37"/>
      <c r="KS6" s="37"/>
      <c r="KT6" s="37"/>
      <c r="KU6" s="37"/>
      <c r="KV6" s="37"/>
      <c r="KW6" s="37"/>
      <c r="KX6" s="37"/>
      <c r="KY6" s="37"/>
      <c r="KZ6" s="37"/>
      <c r="LA6" s="37"/>
      <c r="LB6" s="37"/>
      <c r="LC6" s="37"/>
      <c r="LD6" s="37"/>
      <c r="LE6" s="37"/>
      <c r="LF6" s="37"/>
      <c r="LG6" s="37"/>
      <c r="LH6" s="37"/>
      <c r="LI6" s="37"/>
      <c r="LJ6" s="37"/>
      <c r="LK6" s="37"/>
      <c r="LL6" s="37"/>
      <c r="LM6" s="37"/>
      <c r="LN6" s="37"/>
      <c r="LO6" s="37"/>
      <c r="LP6" s="37"/>
      <c r="LQ6" s="37"/>
      <c r="LR6" s="37"/>
      <c r="LS6" s="37"/>
      <c r="LT6" s="37"/>
      <c r="LU6" s="37"/>
      <c r="LV6" s="37"/>
      <c r="LW6" s="37"/>
      <c r="LX6" s="37"/>
      <c r="LY6" s="37"/>
      <c r="LZ6" s="37"/>
      <c r="MA6" s="37"/>
      <c r="MB6" s="37"/>
      <c r="MC6" s="37"/>
      <c r="MD6" s="37"/>
      <c r="ME6" s="37"/>
      <c r="MF6" s="37"/>
      <c r="MG6" s="37"/>
      <c r="MH6" s="37"/>
      <c r="MI6" s="37"/>
      <c r="MJ6" s="37"/>
      <c r="MK6" s="37"/>
      <c r="ML6" s="37"/>
      <c r="MM6" s="37"/>
      <c r="MN6" s="37"/>
      <c r="MO6" s="37"/>
      <c r="MP6" s="37"/>
      <c r="MQ6" s="37"/>
      <c r="MR6" s="37"/>
      <c r="MS6" s="37"/>
      <c r="MT6" s="37"/>
      <c r="MU6" s="37"/>
      <c r="MV6" s="37"/>
      <c r="MW6" s="37"/>
      <c r="MX6" s="37"/>
      <c r="MY6" s="37"/>
      <c r="MZ6" s="37"/>
      <c r="NA6" s="37"/>
      <c r="NB6" s="37"/>
      <c r="NC6" s="37"/>
      <c r="ND6" s="37"/>
      <c r="NE6" s="37"/>
      <c r="NF6" s="37"/>
      <c r="NG6" s="37"/>
      <c r="NH6" s="37"/>
      <c r="NI6" s="37"/>
      <c r="NJ6" s="37"/>
      <c r="NK6" s="37"/>
      <c r="NL6" s="37"/>
      <c r="NM6" s="37"/>
      <c r="NN6" s="37"/>
      <c r="NO6" s="37"/>
      <c r="NP6" s="37"/>
      <c r="NQ6" s="37"/>
      <c r="NR6" s="37"/>
      <c r="NS6" s="37"/>
      <c r="NT6" s="37"/>
      <c r="NU6" s="37"/>
      <c r="NV6" s="37"/>
      <c r="NW6" s="37"/>
      <c r="NX6" s="37"/>
      <c r="NY6" s="37"/>
      <c r="NZ6" s="37"/>
      <c r="OA6" s="37"/>
      <c r="OB6" s="37"/>
      <c r="OC6" s="37"/>
      <c r="OD6" s="37"/>
      <c r="OE6" s="37"/>
      <c r="OF6" s="37"/>
      <c r="OG6" s="37"/>
      <c r="OH6" s="37"/>
      <c r="OI6" s="37"/>
      <c r="OJ6" s="37"/>
      <c r="OK6" s="37"/>
      <c r="OL6" s="37"/>
      <c r="OM6" s="37"/>
      <c r="ON6" s="37"/>
      <c r="OO6" s="37"/>
      <c r="OP6" s="37"/>
      <c r="OQ6" s="37"/>
      <c r="OR6" s="37"/>
      <c r="OS6" s="37"/>
      <c r="OT6" s="37"/>
      <c r="OU6" s="37"/>
      <c r="OV6" s="37"/>
      <c r="OW6" s="37"/>
      <c r="OX6" s="37"/>
      <c r="OY6" s="37"/>
      <c r="OZ6" s="37"/>
      <c r="PA6" s="37"/>
      <c r="PB6" s="37"/>
      <c r="PC6" s="37"/>
      <c r="PD6" s="37"/>
      <c r="PE6" s="37"/>
      <c r="PF6" s="37"/>
      <c r="PG6" s="37"/>
      <c r="PH6" s="37"/>
      <c r="PI6" s="37"/>
      <c r="PJ6" s="37"/>
      <c r="PK6" s="37"/>
      <c r="PL6" s="37"/>
      <c r="PM6" s="37"/>
      <c r="PN6" s="37"/>
      <c r="PO6" s="37"/>
      <c r="PP6" s="37"/>
      <c r="PQ6" s="37"/>
      <c r="PR6" s="37"/>
      <c r="PS6" s="37"/>
      <c r="PT6" s="37"/>
      <c r="PU6" s="37"/>
      <c r="PV6" s="37"/>
      <c r="PW6" s="37"/>
      <c r="PX6" s="37"/>
      <c r="PY6" s="37"/>
      <c r="PZ6" s="37"/>
      <c r="QA6" s="37"/>
      <c r="QB6" s="37"/>
      <c r="QC6" s="37"/>
      <c r="QD6" s="37"/>
      <c r="QE6" s="37"/>
      <c r="QF6" s="37"/>
      <c r="QG6" s="37"/>
      <c r="QH6" s="37"/>
      <c r="QI6" s="37"/>
      <c r="QJ6" s="37"/>
      <c r="QK6" s="37"/>
      <c r="QL6" s="37"/>
      <c r="QM6" s="37"/>
      <c r="QN6" s="37"/>
      <c r="QO6" s="37"/>
      <c r="QP6" s="37"/>
      <c r="QQ6" s="37"/>
      <c r="QR6" s="37"/>
      <c r="QS6" s="37"/>
      <c r="QT6" s="37"/>
      <c r="QU6" s="37"/>
      <c r="QV6" s="37"/>
      <c r="QW6" s="37"/>
      <c r="QX6" s="37"/>
      <c r="QY6" s="37"/>
      <c r="QZ6" s="37"/>
      <c r="RA6" s="37"/>
      <c r="RB6" s="37"/>
      <c r="RC6" s="37"/>
      <c r="RD6" s="37"/>
      <c r="RE6" s="37"/>
      <c r="RF6" s="37"/>
      <c r="RG6" s="37"/>
      <c r="RH6" s="37"/>
      <c r="RI6" s="37"/>
      <c r="RJ6" s="37"/>
      <c r="RK6" s="37"/>
      <c r="RL6" s="37"/>
      <c r="RM6" s="37"/>
      <c r="RN6" s="37"/>
      <c r="RO6" s="37"/>
      <c r="RP6" s="37"/>
      <c r="RQ6" s="37"/>
      <c r="RR6" s="37"/>
      <c r="RS6" s="37"/>
      <c r="RT6" s="37"/>
      <c r="RU6" s="37"/>
      <c r="RV6" s="37"/>
      <c r="RW6" s="37"/>
      <c r="RX6" s="37"/>
      <c r="RY6" s="37"/>
      <c r="RZ6" s="37"/>
      <c r="SA6" s="37"/>
      <c r="SB6" s="37"/>
      <c r="SC6" s="37"/>
      <c r="SD6" s="37"/>
      <c r="SE6" s="37"/>
      <c r="SF6" s="37"/>
      <c r="SG6" s="37"/>
      <c r="SH6" s="37"/>
      <c r="SI6" s="37"/>
      <c r="SJ6" s="37"/>
      <c r="SK6" s="37"/>
      <c r="SL6" s="37"/>
      <c r="SM6" s="37"/>
      <c r="SN6" s="37"/>
      <c r="SO6" s="37"/>
      <c r="SP6" s="37"/>
      <c r="SQ6" s="37"/>
      <c r="SR6" s="37"/>
      <c r="SS6" s="37"/>
      <c r="ST6" s="37"/>
      <c r="SU6" s="37"/>
      <c r="SV6" s="37"/>
      <c r="SW6" s="37"/>
      <c r="SX6" s="37"/>
      <c r="SY6" s="37"/>
      <c r="SZ6" s="37"/>
      <c r="TA6" s="37"/>
      <c r="TB6" s="37"/>
      <c r="TC6" s="37"/>
      <c r="TD6" s="37"/>
      <c r="TE6" s="37"/>
      <c r="TF6" s="37"/>
      <c r="TG6" s="37"/>
      <c r="TH6" s="37"/>
      <c r="TI6" s="37"/>
      <c r="TJ6" s="37"/>
      <c r="TK6" s="37"/>
      <c r="TL6" s="37"/>
      <c r="TM6" s="37"/>
      <c r="TN6" s="37"/>
      <c r="TO6" s="37"/>
      <c r="TP6" s="37"/>
      <c r="TQ6" s="37"/>
      <c r="TR6" s="37"/>
      <c r="TS6" s="37"/>
      <c r="TT6" s="37"/>
      <c r="TU6" s="37"/>
      <c r="TV6" s="37"/>
      <c r="TW6" s="37"/>
      <c r="TX6" s="37"/>
      <c r="TY6" s="37"/>
      <c r="TZ6" s="37"/>
      <c r="UA6" s="37"/>
      <c r="UB6" s="37"/>
      <c r="UC6" s="37"/>
      <c r="UD6" s="37"/>
      <c r="UE6" s="37"/>
      <c r="UF6" s="37"/>
      <c r="UG6" s="37"/>
      <c r="UH6" s="37"/>
      <c r="UI6" s="37"/>
      <c r="UJ6" s="37"/>
      <c r="UK6" s="37"/>
      <c r="UL6" s="37"/>
      <c r="UM6" s="37"/>
      <c r="UN6" s="37"/>
      <c r="UO6" s="37"/>
      <c r="UP6" s="37"/>
      <c r="UQ6" s="37"/>
      <c r="UR6" s="37"/>
      <c r="US6" s="37"/>
      <c r="UT6" s="37"/>
      <c r="UU6" s="37"/>
      <c r="UV6" s="37"/>
      <c r="UW6" s="37"/>
      <c r="UX6" s="37"/>
      <c r="UY6" s="37"/>
      <c r="UZ6" s="37"/>
      <c r="VA6" s="37"/>
      <c r="VB6" s="37"/>
      <c r="VC6" s="37"/>
      <c r="VD6" s="37"/>
      <c r="VE6" s="37"/>
      <c r="VF6" s="37"/>
      <c r="VG6" s="37"/>
      <c r="VH6" s="37"/>
      <c r="VI6" s="37"/>
      <c r="VJ6" s="37"/>
      <c r="VK6" s="37"/>
      <c r="VL6" s="37"/>
      <c r="VM6" s="37"/>
      <c r="VN6" s="37"/>
      <c r="VO6" s="37"/>
      <c r="VP6" s="37"/>
      <c r="VQ6" s="37"/>
      <c r="VR6" s="37"/>
      <c r="VS6" s="37"/>
      <c r="VT6" s="37"/>
      <c r="VU6" s="37"/>
      <c r="VV6" s="37"/>
      <c r="VW6" s="37"/>
      <c r="VX6" s="37"/>
      <c r="VY6" s="37"/>
      <c r="VZ6" s="37"/>
      <c r="WA6" s="37"/>
      <c r="WB6" s="37"/>
      <c r="WC6" s="37"/>
      <c r="WD6" s="37"/>
      <c r="WE6" s="37"/>
      <c r="WF6" s="37"/>
      <c r="WG6" s="37"/>
      <c r="WH6" s="37"/>
      <c r="WI6" s="37"/>
      <c r="WJ6" s="37"/>
      <c r="WK6" s="37"/>
      <c r="WL6" s="37"/>
      <c r="WM6" s="37"/>
      <c r="WN6" s="37"/>
      <c r="WO6" s="37"/>
      <c r="WP6" s="37"/>
      <c r="WQ6" s="37"/>
      <c r="WR6" s="37"/>
      <c r="WS6" s="37"/>
      <c r="WT6" s="37"/>
      <c r="WU6" s="37"/>
      <c r="WV6" s="37"/>
      <c r="WW6" s="37"/>
      <c r="WX6" s="37"/>
      <c r="WY6" s="37"/>
      <c r="WZ6" s="37"/>
      <c r="XA6" s="37"/>
      <c r="XB6" s="37"/>
      <c r="XC6" s="37"/>
      <c r="XD6" s="37"/>
      <c r="XE6" s="37"/>
      <c r="XF6" s="37"/>
      <c r="XG6" s="37"/>
      <c r="XH6" s="37"/>
      <c r="XI6" s="37"/>
      <c r="XJ6" s="37"/>
      <c r="XK6" s="37"/>
      <c r="XL6" s="37"/>
      <c r="XM6" s="37"/>
      <c r="XN6" s="37"/>
      <c r="XO6" s="37"/>
      <c r="XP6" s="37"/>
      <c r="XQ6" s="37"/>
      <c r="XR6" s="37"/>
      <c r="XS6" s="37"/>
      <c r="XT6" s="37"/>
      <c r="XU6" s="37"/>
      <c r="XV6" s="37"/>
      <c r="XW6" s="37"/>
      <c r="XX6" s="37"/>
      <c r="XY6" s="37"/>
      <c r="XZ6" s="37"/>
      <c r="YA6" s="37"/>
      <c r="YB6" s="37"/>
      <c r="YC6" s="37"/>
      <c r="YD6" s="37"/>
      <c r="YE6" s="37"/>
      <c r="YF6" s="37"/>
      <c r="YG6" s="37"/>
      <c r="YH6" s="37"/>
      <c r="YI6" s="37"/>
      <c r="YJ6" s="37"/>
      <c r="YK6" s="37"/>
      <c r="YL6" s="37"/>
      <c r="YM6" s="37"/>
      <c r="YN6" s="37"/>
      <c r="YO6" s="37"/>
      <c r="YP6" s="37"/>
      <c r="YQ6" s="37"/>
      <c r="YR6" s="37"/>
      <c r="YS6" s="37"/>
      <c r="YT6" s="37"/>
      <c r="YU6" s="37"/>
      <c r="YV6" s="37"/>
      <c r="YW6" s="37"/>
      <c r="YX6" s="37"/>
      <c r="YY6" s="37"/>
      <c r="YZ6" s="37"/>
      <c r="ZA6" s="37"/>
      <c r="ZB6" s="37"/>
      <c r="ZC6" s="37"/>
      <c r="ZD6" s="37"/>
      <c r="ZE6" s="37"/>
      <c r="ZF6" s="37"/>
      <c r="ZG6" s="37"/>
      <c r="ZH6" s="37"/>
      <c r="ZI6" s="37"/>
      <c r="ZJ6" s="37"/>
      <c r="ZK6" s="37"/>
      <c r="ZL6" s="37"/>
      <c r="ZM6" s="37"/>
      <c r="ZN6" s="37"/>
      <c r="ZO6" s="37"/>
      <c r="ZP6" s="37"/>
      <c r="ZQ6" s="37"/>
      <c r="ZR6" s="37"/>
      <c r="ZS6" s="37"/>
      <c r="ZT6" s="37"/>
      <c r="ZU6" s="37"/>
      <c r="ZV6" s="37"/>
      <c r="ZW6" s="37"/>
      <c r="ZX6" s="37"/>
      <c r="ZY6" s="37"/>
      <c r="ZZ6" s="37"/>
      <c r="AAA6" s="37"/>
      <c r="AAB6" s="37"/>
      <c r="AAC6" s="37"/>
      <c r="AAD6" s="37"/>
      <c r="AAE6" s="37"/>
      <c r="AAF6" s="37"/>
      <c r="AAG6" s="37"/>
      <c r="AAH6" s="37"/>
      <c r="AAI6" s="37"/>
      <c r="AAJ6" s="37"/>
      <c r="AAK6" s="37"/>
      <c r="AAL6" s="37"/>
      <c r="AAM6" s="37"/>
      <c r="AAN6" s="37"/>
      <c r="AAO6" s="37"/>
      <c r="AAP6" s="37"/>
      <c r="AAQ6" s="37"/>
      <c r="AAR6" s="37"/>
      <c r="AAS6" s="37"/>
      <c r="AAT6" s="37"/>
      <c r="AAU6" s="37"/>
      <c r="AAV6" s="37"/>
      <c r="AAW6" s="37"/>
      <c r="AAX6" s="37"/>
      <c r="AAY6" s="37"/>
      <c r="AAZ6" s="37"/>
      <c r="ABA6" s="37"/>
      <c r="ABB6" s="37"/>
      <c r="ABC6" s="37"/>
      <c r="ABD6" s="37"/>
      <c r="ABE6" s="37"/>
      <c r="ABF6" s="37"/>
      <c r="ABG6" s="37"/>
      <c r="ABH6" s="37"/>
      <c r="ABI6" s="37"/>
      <c r="ABJ6" s="37"/>
      <c r="ABK6" s="37"/>
      <c r="ABL6" s="37"/>
      <c r="ABM6" s="37"/>
      <c r="ABN6" s="37"/>
      <c r="ABO6" s="37"/>
      <c r="ABP6" s="37"/>
      <c r="ABQ6" s="37"/>
      <c r="ABR6" s="37"/>
      <c r="ABS6" s="37"/>
      <c r="ABT6" s="37"/>
      <c r="ABU6" s="37"/>
      <c r="ABV6" s="37"/>
      <c r="ABW6" s="37"/>
      <c r="ABX6" s="37"/>
      <c r="ABY6" s="37"/>
      <c r="ABZ6" s="37"/>
      <c r="ACA6" s="37"/>
      <c r="ACB6" s="37"/>
      <c r="ACC6" s="37"/>
      <c r="ACD6" s="37"/>
      <c r="ACE6" s="37"/>
      <c r="ACF6" s="37"/>
      <c r="ACG6" s="37"/>
      <c r="ACH6" s="37"/>
      <c r="ACI6" s="37"/>
      <c r="ACJ6" s="37"/>
      <c r="ACK6" s="37"/>
      <c r="ACL6" s="37"/>
      <c r="ACM6" s="37"/>
      <c r="ACN6" s="37"/>
      <c r="ACO6" s="37"/>
      <c r="ACP6" s="37"/>
      <c r="ACQ6" s="37"/>
      <c r="ACR6" s="37"/>
      <c r="ACS6" s="37"/>
      <c r="ACT6" s="37"/>
      <c r="ACU6" s="37"/>
      <c r="ACV6" s="37"/>
      <c r="ACW6" s="37"/>
      <c r="ACX6" s="37"/>
      <c r="ACY6" s="37"/>
      <c r="ACZ6" s="37"/>
      <c r="ADA6" s="37"/>
      <c r="ADB6" s="37"/>
      <c r="ADC6" s="37"/>
      <c r="ADD6" s="37"/>
      <c r="ADE6" s="37"/>
      <c r="ADF6" s="37"/>
      <c r="ADG6" s="37"/>
      <c r="ADH6" s="37"/>
      <c r="ADI6" s="37"/>
      <c r="ADJ6" s="37"/>
      <c r="ADK6" s="37"/>
      <c r="ADL6" s="37"/>
      <c r="ADM6" s="37"/>
      <c r="ADN6" s="37"/>
      <c r="ADO6" s="37"/>
      <c r="ADP6" s="37"/>
      <c r="ADQ6" s="37"/>
      <c r="ADR6" s="37"/>
      <c r="ADS6" s="37"/>
      <c r="ADT6" s="37"/>
      <c r="ADU6" s="37"/>
      <c r="ADV6" s="37"/>
      <c r="ADW6" s="37"/>
      <c r="ADX6" s="37"/>
      <c r="ADY6" s="37"/>
      <c r="ADZ6" s="37"/>
      <c r="AEA6" s="37"/>
      <c r="AEB6" s="37"/>
      <c r="AEC6" s="37"/>
      <c r="AED6" s="37"/>
      <c r="AEE6" s="37"/>
      <c r="AEF6" s="37"/>
      <c r="AEG6" s="37"/>
      <c r="AEH6" s="37"/>
      <c r="AEI6" s="37"/>
      <c r="AEJ6" s="37"/>
      <c r="AEK6" s="37"/>
      <c r="AEL6" s="37"/>
      <c r="AEM6" s="37"/>
      <c r="AEN6" s="37"/>
      <c r="AEO6" s="37"/>
      <c r="AEP6" s="37"/>
      <c r="AEQ6" s="37"/>
      <c r="AER6" s="37"/>
      <c r="AES6" s="37"/>
      <c r="AET6" s="37"/>
      <c r="AEU6" s="37"/>
      <c r="AEV6" s="37"/>
      <c r="AEW6" s="37"/>
      <c r="AEX6" s="37"/>
      <c r="AEY6" s="37"/>
      <c r="AEZ6" s="37"/>
      <c r="AFA6" s="37"/>
      <c r="AFB6" s="37"/>
      <c r="AFC6" s="37"/>
      <c r="AFD6" s="37"/>
      <c r="AFE6" s="37"/>
      <c r="AFF6" s="37"/>
      <c r="AFG6" s="37"/>
      <c r="AFH6" s="37"/>
      <c r="AFI6" s="37"/>
      <c r="AFJ6" s="37"/>
      <c r="AFK6" s="37"/>
      <c r="AFL6" s="37"/>
      <c r="AFM6" s="37"/>
      <c r="AFN6" s="37"/>
      <c r="AFO6" s="37"/>
      <c r="AFP6" s="37"/>
      <c r="AFQ6" s="37"/>
      <c r="AFR6" s="37"/>
      <c r="AFS6" s="37"/>
      <c r="AFT6" s="37"/>
      <c r="AFU6" s="37"/>
      <c r="AFV6" s="37"/>
      <c r="AFW6" s="37"/>
      <c r="AFX6" s="37"/>
      <c r="AFY6" s="37"/>
      <c r="AFZ6" s="37"/>
      <c r="AGA6" s="37"/>
      <c r="AGB6" s="37"/>
      <c r="AGC6" s="37"/>
      <c r="AGD6" s="37"/>
      <c r="AGE6" s="37"/>
      <c r="AGF6" s="37"/>
      <c r="AGG6" s="37"/>
      <c r="AGH6" s="37"/>
      <c r="AGI6" s="37"/>
      <c r="AGJ6" s="37"/>
      <c r="AGK6" s="37"/>
      <c r="AGL6" s="37"/>
      <c r="AGM6" s="37"/>
      <c r="AGN6" s="37"/>
      <c r="AGO6" s="37"/>
      <c r="AGP6" s="37"/>
      <c r="AGQ6" s="37"/>
      <c r="AGR6" s="37"/>
      <c r="AGS6" s="37"/>
      <c r="AGT6" s="37"/>
      <c r="AGU6" s="37"/>
      <c r="AGV6" s="37"/>
      <c r="AGW6" s="37"/>
      <c r="AGX6" s="37"/>
      <c r="AGY6" s="37"/>
      <c r="AGZ6" s="37"/>
      <c r="AHA6" s="37"/>
      <c r="AHB6" s="37"/>
      <c r="AHC6" s="37"/>
      <c r="AHD6" s="37"/>
      <c r="AHE6" s="37"/>
      <c r="AHF6" s="37"/>
      <c r="AHG6" s="37"/>
      <c r="AHH6" s="37"/>
      <c r="AHI6" s="37"/>
      <c r="AHJ6" s="37"/>
      <c r="AHK6" s="37"/>
      <c r="AHL6" s="37"/>
      <c r="AHM6" s="37"/>
      <c r="AHN6" s="37"/>
      <c r="AHO6" s="37"/>
      <c r="AHP6" s="37"/>
      <c r="AHQ6" s="37"/>
      <c r="AHR6" s="37"/>
      <c r="AHS6" s="37"/>
      <c r="AHT6" s="37"/>
      <c r="AHU6" s="37"/>
      <c r="AHV6" s="37"/>
      <c r="AHW6" s="37"/>
      <c r="AHX6" s="37"/>
      <c r="AHY6" s="37"/>
      <c r="AHZ6" s="37"/>
      <c r="AIA6" s="37"/>
      <c r="AIB6" s="37"/>
      <c r="AIC6" s="37"/>
      <c r="AID6" s="37"/>
      <c r="AIE6" s="37"/>
      <c r="AIF6" s="37"/>
      <c r="AIG6" s="37"/>
      <c r="AIH6" s="37"/>
      <c r="AII6" s="37"/>
      <c r="AIJ6" s="37"/>
      <c r="AIK6" s="37"/>
      <c r="AIL6" s="37"/>
      <c r="AIM6" s="37"/>
      <c r="AIN6" s="37"/>
      <c r="AIO6" s="37"/>
      <c r="AIP6" s="37"/>
      <c r="AIQ6" s="37"/>
      <c r="AIR6" s="37"/>
      <c r="AIS6" s="37"/>
      <c r="AIT6" s="37"/>
      <c r="AIU6" s="37"/>
      <c r="AIV6" s="37"/>
      <c r="AIW6" s="37"/>
      <c r="AIX6" s="37"/>
      <c r="AIY6" s="37"/>
      <c r="AIZ6" s="37"/>
      <c r="AJA6" s="37"/>
      <c r="AJB6" s="37"/>
      <c r="AJC6" s="37"/>
      <c r="AJD6" s="37"/>
      <c r="AJE6" s="37"/>
      <c r="AJF6" s="37"/>
      <c r="AJG6" s="37"/>
      <c r="AJH6" s="37"/>
      <c r="AJI6" s="37"/>
      <c r="AJJ6" s="37"/>
      <c r="AJK6" s="37"/>
      <c r="AJL6" s="37"/>
      <c r="AJM6" s="37"/>
      <c r="AJN6" s="37"/>
      <c r="AJO6" s="37"/>
      <c r="AJP6" s="37"/>
      <c r="AJQ6" s="37"/>
      <c r="AJR6" s="37"/>
      <c r="AJS6" s="37"/>
      <c r="AJT6" s="37"/>
      <c r="AJU6" s="37"/>
      <c r="AJV6" s="37"/>
      <c r="AJW6" s="37"/>
      <c r="AJX6" s="37"/>
      <c r="AJY6" s="37"/>
      <c r="AJZ6" s="37"/>
      <c r="AKA6" s="37"/>
      <c r="AKB6" s="37"/>
      <c r="AKC6" s="37"/>
      <c r="AKD6" s="37"/>
      <c r="AKE6" s="37"/>
      <c r="AKF6" s="37"/>
      <c r="AKG6" s="37"/>
      <c r="AKH6" s="37"/>
      <c r="AKI6" s="37"/>
      <c r="AKJ6" s="37"/>
      <c r="AKK6" s="37"/>
      <c r="AKL6" s="37"/>
      <c r="AKM6" s="37"/>
      <c r="AKN6" s="37"/>
      <c r="AKO6" s="37"/>
      <c r="AKP6" s="37"/>
      <c r="AKQ6" s="37"/>
      <c r="AKR6" s="37"/>
      <c r="AKS6" s="37"/>
      <c r="AKT6" s="37"/>
      <c r="AKU6" s="37"/>
      <c r="AKV6" s="37"/>
      <c r="AKW6" s="37"/>
      <c r="AKX6" s="37"/>
      <c r="AKY6" s="37"/>
      <c r="AKZ6" s="37"/>
      <c r="ALA6" s="37"/>
      <c r="ALB6" s="37"/>
      <c r="ALC6" s="37"/>
      <c r="ALD6" s="37"/>
      <c r="ALE6" s="37"/>
      <c r="ALF6" s="37"/>
      <c r="ALG6" s="37"/>
      <c r="ALH6" s="37"/>
      <c r="ALI6" s="37"/>
      <c r="ALJ6" s="37"/>
      <c r="ALK6" s="37"/>
      <c r="ALL6" s="37"/>
      <c r="ALM6" s="37"/>
      <c r="ALN6" s="37"/>
      <c r="ALO6" s="37"/>
      <c r="ALP6" s="37"/>
      <c r="ALQ6" s="37"/>
      <c r="ALR6" s="37"/>
      <c r="ALS6" s="37"/>
      <c r="ALT6" s="37"/>
      <c r="ALU6" s="37"/>
      <c r="ALV6" s="37"/>
      <c r="ALW6" s="37"/>
      <c r="ALX6" s="37"/>
      <c r="ALY6" s="37"/>
      <c r="ALZ6" s="37"/>
      <c r="AMA6" s="37"/>
      <c r="AMB6" s="37"/>
      <c r="AMC6" s="37"/>
      <c r="AMD6" s="37"/>
      <c r="AME6" s="37"/>
      <c r="AMF6" s="37"/>
      <c r="AMG6" s="37"/>
      <c r="AMH6" s="37"/>
      <c r="AMI6" s="37"/>
      <c r="AMJ6" s="37"/>
      <c r="AMK6" s="37"/>
      <c r="AML6" s="37"/>
      <c r="AMM6" s="33"/>
      <c r="AMN6" s="33"/>
      <c r="AMO6" s="33"/>
      <c r="AMP6" s="33"/>
      <c r="AMQ6" s="33"/>
      <c r="AMR6" s="33"/>
      <c r="AMS6" s="33"/>
      <c r="AMT6" s="33"/>
      <c r="AMU6" s="33"/>
      <c r="AMV6" s="33"/>
      <c r="AMW6" s="33"/>
      <c r="AMX6" s="33"/>
      <c r="AMY6" s="33"/>
      <c r="AMZ6" s="33"/>
      <c r="ANA6" s="33"/>
      <c r="ANB6" s="33"/>
      <c r="ANC6" s="33"/>
      <c r="AND6" s="33"/>
      <c r="ANE6" s="33"/>
      <c r="ANF6" s="33"/>
      <c r="ANG6" s="33"/>
      <c r="ANH6" s="33"/>
      <c r="ANI6" s="33"/>
      <c r="ANJ6" s="33"/>
      <c r="ANK6" s="33"/>
      <c r="ANL6" s="33"/>
      <c r="ANM6" s="33"/>
      <c r="ANN6" s="33"/>
      <c r="ANO6" s="33"/>
      <c r="ANP6" s="33"/>
      <c r="ANQ6" s="33"/>
      <c r="ANR6" s="33"/>
      <c r="ANS6" s="33"/>
      <c r="ANT6" s="33"/>
      <c r="ANU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