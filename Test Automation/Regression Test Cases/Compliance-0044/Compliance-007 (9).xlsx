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28.xml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27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28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2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9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EnableDisableModule" sheetId="4" r:id="rId6"/>
    <sheet state="visible" name="CreateLiveOrder" sheetId="5" r:id="rId7"/>
    <sheet state="visible" name="SelectTrade" sheetId="6" r:id="rId8"/>
    <sheet state="visible" name="AcknowledgeTrade" sheetId="7" r:id="rId9"/>
    <sheet state="visible" name="ExecuteTrade" sheetId="8" r:id="rId10"/>
    <sheet state="visible" name="SelectTrade1" sheetId="9" r:id="rId11"/>
    <sheet state="visible" name="AcknowledgeTrade1" sheetId="10" r:id="rId12"/>
    <sheet state="visible" name="SelectTradeOnOrderGrid" sheetId="11" r:id="rId13"/>
    <sheet state="visible" name="ReplaceSubOrder" sheetId="12" r:id="rId14"/>
    <sheet state="visible" name="CreateReplaceOrder" sheetId="13" r:id="rId15"/>
    <sheet state="visible" name="SelectTradeOnOrderGrid1" sheetId="14" r:id="rId16"/>
    <sheet state="visible" name="CancelSubOrder" sheetId="15" r:id="rId17"/>
    <sheet state="visible" name="RejectTrade" sheetId="16" r:id="rId18"/>
    <sheet state="visible" name="VerifyTaxlotWindow" sheetId="17" r:id="rId19"/>
    <sheet state="visible" name="VerifyAggAccountSymbolWithNav" sheetId="18" r:id="rId20"/>
    <sheet state="visible" name="VerifySymbolDivisorWindow" sheetId="19" r:id="rId21"/>
    <sheet state="visible" name="VerifyRowCalculationBaseWindow" sheetId="20" r:id="rId22"/>
    <sheet state="visible" name="VerifyTaxlotWindow1" sheetId="21" r:id="rId23"/>
    <sheet state="visible" name="VerifyAggAccountSymbolWithNav1" sheetId="22" r:id="rId24"/>
    <sheet state="visible" name="VerifySymbolDivisorWindow1" sheetId="23" r:id="rId25"/>
    <sheet state="visible" name="VerifyRowCalculationBaseWindow1" sheetId="24" r:id="rId26"/>
    <sheet state="visible" name="VerifyOrder" sheetId="25" r:id="rId27"/>
    <sheet state="visible" name="CheckPortfolioManagement" sheetId="26" r:id="rId28"/>
    <sheet state="visible" name="EnableDisableModule1" sheetId="27" r:id="rId29"/>
    <sheet state="visible" name="RejectTrade1" sheetId="28" r:id="rId30"/>
    <sheet state="visible" name="VerifyWorkingSubs" sheetId="29" r:id="rId31"/>
  </sheets>
  <definedNames/>
  <calcPr/>
</workbook>
</file>

<file path=xl/sharedStrings.xml><?xml version="1.0" encoding="utf-8"?>
<sst xmlns="http://schemas.openxmlformats.org/spreadsheetml/2006/main" count="1150" uniqueCount="94">
  <si>
    <t>Modules Info</t>
  </si>
  <si>
    <t>Modules</t>
  </si>
  <si>
    <t>Settings</t>
  </si>
  <si>
    <t>Module Step Setting File</t>
  </si>
  <si>
    <t>1y12nxDe0q34orOtihd3Ea3KAAd0vlIgtofcFPW3C-CM</t>
  </si>
  <si>
    <t>Master Data Settings File</t>
  </si>
  <si>
    <t>1Nt_rf5DtgjbN9Ag4AMMlUkZYROxKZLH5m54YOl7tRT0</t>
  </si>
  <si>
    <t>Master Data Info</t>
  </si>
  <si>
    <t>Module</t>
  </si>
  <si>
    <t>Step</t>
  </si>
  <si>
    <t>Master Data Sheet</t>
  </si>
  <si>
    <t>Data</t>
  </si>
  <si>
    <t>Admin</t>
  </si>
  <si>
    <t>EnableDisableModule</t>
  </si>
  <si>
    <t>Data Format</t>
  </si>
  <si>
    <t>Input Format</t>
  </si>
  <si>
    <t>Compliance Pre Trade</t>
  </si>
  <si>
    <t>Compliance Post Trade</t>
  </si>
  <si>
    <t>Compliance Engine</t>
  </si>
  <si>
    <t>TradingTicket</t>
  </si>
  <si>
    <t>CreateDoneAwayOrder</t>
  </si>
  <si>
    <t>AAPL</t>
  </si>
  <si>
    <t>Buy</t>
  </si>
  <si>
    <t>Allocation1,Allocation2</t>
  </si>
  <si>
    <t>50,50</t>
  </si>
  <si>
    <t>Yes</t>
  </si>
  <si>
    <t>MSFT</t>
  </si>
  <si>
    <t>Simulator</t>
  </si>
  <si>
    <t>SelectTrade</t>
  </si>
  <si>
    <t>AcknowledgeTrade</t>
  </si>
  <si>
    <t>ExecuteTrade</t>
  </si>
  <si>
    <t>Blotter</t>
  </si>
  <si>
    <t>SelectTradeOnOrderGrid</t>
  </si>
  <si>
    <t>New</t>
  </si>
  <si>
    <t>MS</t>
  </si>
  <si>
    <t>Multiple</t>
  </si>
  <si>
    <t>Market</t>
  </si>
  <si>
    <t>MSFT US EQUITY</t>
  </si>
  <si>
    <t>Equity</t>
  </si>
  <si>
    <t>US</t>
  </si>
  <si>
    <t>GCCAP1</t>
  </si>
  <si>
    <t>NASDAQ</t>
  </si>
  <si>
    <t>ReplaceSubOrder</t>
  </si>
  <si>
    <t>M</t>
  </si>
  <si>
    <t>CreateReplaceOrder</t>
  </si>
  <si>
    <t>PartiallyFilled</t>
  </si>
  <si>
    <t>AAPL US EQUITY</t>
  </si>
  <si>
    <t>CancelSubOrder</t>
  </si>
  <si>
    <t xml:space="preserve">PartiallyFilled </t>
  </si>
  <si>
    <t>RejectTrade</t>
  </si>
  <si>
    <t>Compliance</t>
  </si>
  <si>
    <t>VerifyTaxlotWindow</t>
  </si>
  <si>
    <t>InTradeMarket</t>
  </si>
  <si>
    <t>TaxlotWindowEvent</t>
  </si>
  <si>
    <t>Post</t>
  </si>
  <si>
    <t>Taxlot</t>
  </si>
  <si>
    <t>VerifyAggAccountSymbolWithNav</t>
  </si>
  <si>
    <t>Account-Symbol</t>
  </si>
  <si>
    <t>Allocation2</t>
  </si>
  <si>
    <t>USD</t>
  </si>
  <si>
    <t>Small Cap</t>
  </si>
  <si>
    <t>Undefined</t>
  </si>
  <si>
    <t>New Hedge</t>
  </si>
  <si>
    <t>NewMF1</t>
  </si>
  <si>
    <t>APPLE</t>
  </si>
  <si>
    <t>india</t>
  </si>
  <si>
    <t>test1</t>
  </si>
  <si>
    <t>test 1</t>
  </si>
  <si>
    <t>Allocation1</t>
  </si>
  <si>
    <t>NewMF</t>
  </si>
  <si>
    <t>Information Technology</t>
  </si>
  <si>
    <t>Copper</t>
  </si>
  <si>
    <t>Equity General</t>
  </si>
  <si>
    <t>MICROSOFT INC</t>
  </si>
  <si>
    <t>UNITED STATES</t>
  </si>
  <si>
    <t>MSFT UDA1</t>
  </si>
  <si>
    <t>VerifySymbolDivisorWindow</t>
  </si>
  <si>
    <t>VerifyRowCalculationBaseWindow</t>
  </si>
  <si>
    <t>Unallocated</t>
  </si>
  <si>
    <t>USD-USD</t>
  </si>
  <si>
    <t>Strategy Unallocated</t>
  </si>
  <si>
    <t>Updated</t>
  </si>
  <si>
    <t>VerifyOrder</t>
  </si>
  <si>
    <t>jpearce</t>
  </si>
  <si>
    <t>PortfolioManagement</t>
  </si>
  <si>
    <t>CheckPortfolioManagement</t>
  </si>
  <si>
    <t>Long</t>
  </si>
  <si>
    <t>BrokerNotes</t>
  </si>
  <si>
    <t>DefaultNotes</t>
  </si>
  <si>
    <t>None</t>
  </si>
  <si>
    <t>Default</t>
  </si>
  <si>
    <t>FIMAT</t>
  </si>
  <si>
    <t>VerifyWorkingSubs</t>
  </si>
  <si>
    <t>PendingCancel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</si>
</sst>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17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color rgb="FF000000"/>
      <name val="&quot;Times New Roman&quot;"/>
    </font>
    <font>
      <color rgb="FF000000"/>
      <name val="Roboto"/>
    </font>
    <font>
      <sz val="11.0"/>
      <color rgb="FF000000"/>
      <name val="Calibri"/>
    </font>
    <font>
      <color rgb="FF333333"/>
    </font>
  </fonts>
  <fills count="9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CBD6E0"/>
        <bgColor rgb="FFCBD6E0"/>
      </patternFill>
    </fill>
    <fill>
      <patternFill patternType="solid">
        <fgColor rgb="FFE7E8E9"/>
        <bgColor rgb="FFE7E8E9"/>
      </patternFill>
    </fill>
    <fill>
      <patternFill patternType="solid">
        <fgColor rgb="FFFFFFFF"/>
        <bgColor rgb="FFFFFFFF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7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5" numFmtId="0" xfId="0" applyAlignment="1" applyFont="1">
      <alignment readingOrder="0" shrinkToFit="0" wrapText="0"/>
    </xf>
    <xf borderId="4" fillId="3" fontId="4" numFmtId="0" xfId="0" applyAlignment="1" applyBorder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5" fillId="0" fontId="5" numFmtId="0" xfId="0" applyAlignment="1" applyBorder="1" applyFont="1">
      <alignment horizontal="center" vertical="bottom"/>
    </xf>
    <xf borderId="5" fillId="0" fontId="5" numFmtId="0" xfId="0" applyAlignment="1" applyBorder="1" applyFont="1">
      <alignment shrinkToFit="0" vertical="bottom" wrapText="0"/>
    </xf>
    <xf borderId="0" fillId="0" fontId="5" numFmtId="0" xfId="0" applyAlignment="1" applyFont="1">
      <alignment readingOrder="0" shrinkToFit="0" wrapText="0"/>
    </xf>
    <xf borderId="5" fillId="0" fontId="5" numFmtId="0" xfId="0" applyAlignment="1" applyBorder="1" applyFont="1">
      <alignment horizontal="center" vertical="bottom"/>
    </xf>
    <xf borderId="0" fillId="0" fontId="3" numFmtId="0" xfId="0" applyAlignment="1" applyFont="1">
      <alignment vertical="bottom"/>
    </xf>
    <xf borderId="5" fillId="0" fontId="5" numFmtId="0" xfId="0" applyAlignment="1" applyBorder="1" applyFont="1">
      <alignment vertical="bottom"/>
    </xf>
    <xf borderId="5" fillId="0" fontId="5" numFmtId="0" xfId="0" applyAlignment="1" applyBorder="1" applyFont="1">
      <alignment vertical="bottom"/>
    </xf>
    <xf borderId="5" fillId="0" fontId="5" numFmtId="0" xfId="0" applyAlignment="1" applyBorder="1" applyFont="1">
      <alignment horizontal="right" vertical="bottom"/>
    </xf>
    <xf borderId="5" fillId="0" fontId="5" numFmtId="0" xfId="0" applyAlignment="1" applyBorder="1" applyFont="1">
      <alignment horizontal="right" vertical="bottom"/>
    </xf>
    <xf borderId="5" fillId="0" fontId="3" numFmtId="0" xfId="0" applyAlignment="1" applyBorder="1" applyFont="1">
      <alignment vertical="bottom"/>
    </xf>
    <xf borderId="5" fillId="0" fontId="5" numFmtId="14" xfId="0" applyAlignment="1" applyBorder="1" applyFont="1" applyNumberFormat="1">
      <alignment horizontal="right"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14" xfId="0" applyAlignment="1" applyFont="1" applyNumberFormat="1">
      <alignment horizontal="right" vertical="bottom"/>
    </xf>
    <xf borderId="5" fillId="0" fontId="3" numFmtId="0" xfId="0" applyAlignment="1" applyBorder="1" applyFont="1">
      <alignment vertical="bottom"/>
    </xf>
    <xf borderId="5" fillId="0" fontId="5" numFmtId="0" xfId="0" applyAlignment="1" applyBorder="1" applyFont="1">
      <alignment readingOrder="0" vertical="bottom"/>
    </xf>
    <xf borderId="5" fillId="0" fontId="5" numFmtId="0" xfId="0" applyAlignment="1" applyBorder="1" applyFont="1">
      <alignment horizontal="right" readingOrder="0" vertical="bottom"/>
    </xf>
    <xf borderId="5" fillId="0" fontId="3" numFmtId="0" xfId="0" applyAlignment="1" applyBorder="1" applyFont="1">
      <alignment readingOrder="0" vertical="bottom"/>
    </xf>
    <xf borderId="5" fillId="0" fontId="3" numFmtId="0" xfId="0" applyAlignment="1" applyBorder="1" applyFont="1">
      <alignment horizontal="right" readingOrder="0" vertical="bottom"/>
    </xf>
    <xf borderId="0" fillId="0" fontId="3" numFmtId="0" xfId="0" applyAlignment="1" applyFont="1">
      <alignment horizontal="right" vertical="bottom"/>
    </xf>
    <xf borderId="5" fillId="0" fontId="3" numFmtId="0" xfId="0" applyAlignment="1" applyBorder="1" applyFont="1">
      <alignment horizontal="right" vertical="bottom"/>
    </xf>
    <xf borderId="5" fillId="0" fontId="3" numFmtId="0" xfId="0" applyAlignment="1" applyBorder="1" applyFont="1">
      <alignment shrinkToFit="0" vertical="bottom" wrapText="0"/>
    </xf>
    <xf borderId="0" fillId="0" fontId="3" numFmtId="0" xfId="0" applyAlignment="1" applyFont="1">
      <alignment readingOrder="0" vertical="bottom"/>
    </xf>
    <xf borderId="0" fillId="0" fontId="3" numFmtId="0" xfId="0" applyAlignment="1" applyFont="1">
      <alignment horizontal="right" readingOrder="0" vertical="bottom"/>
    </xf>
    <xf borderId="5" fillId="0" fontId="3" numFmtId="0" xfId="0" applyAlignment="1" applyBorder="1" applyFont="1">
      <alignment readingOrder="0" shrinkToFit="0" vertical="bottom" wrapText="0"/>
    </xf>
    <xf borderId="0" fillId="0" fontId="2" numFmtId="0" xfId="0" applyAlignment="1" applyFont="1">
      <alignment horizontal="center"/>
    </xf>
    <xf borderId="0" fillId="0" fontId="2" numFmtId="0" xfId="0" applyAlignment="1" applyFont="1">
      <alignment horizontal="center"/>
    </xf>
    <xf borderId="0" fillId="0" fontId="2" numFmtId="164" xfId="0" applyAlignment="1" applyFont="1" applyNumberFormat="1">
      <alignment readingOrder="0"/>
    </xf>
    <xf borderId="0" fillId="6" fontId="13" numFmtId="0" xfId="0" applyAlignment="1" applyFill="1" applyFont="1">
      <alignment horizontal="right" vertical="top"/>
    </xf>
    <xf borderId="0" fillId="6" fontId="13" numFmtId="0" xfId="0" applyAlignment="1" applyFont="1">
      <alignment vertical="top"/>
    </xf>
    <xf borderId="0" fillId="7" fontId="13" numFmtId="0" xfId="0" applyAlignment="1" applyFill="1" applyFont="1">
      <alignment horizontal="right" vertical="top"/>
    </xf>
    <xf borderId="0" fillId="7" fontId="13" numFmtId="0" xfId="0" applyAlignment="1" applyFont="1">
      <alignment vertical="top"/>
    </xf>
    <xf borderId="5" fillId="7" fontId="13" numFmtId="0" xfId="0" applyAlignment="1" applyBorder="1" applyFont="1">
      <alignment vertical="top"/>
    </xf>
    <xf borderId="5" fillId="6" fontId="13" numFmtId="0" xfId="0" applyAlignment="1" applyBorder="1" applyFont="1">
      <alignment vertical="top"/>
    </xf>
    <xf borderId="5" fillId="8" fontId="14" numFmtId="0" xfId="0" applyAlignment="1" applyBorder="1" applyFill="1" applyFont="1">
      <alignment vertical="bottom"/>
    </xf>
    <xf borderId="0" fillId="0" fontId="5" numFmtId="0" xfId="0" applyAlignment="1" applyFont="1">
      <alignment horizontal="right" readingOrder="0" vertical="bottom"/>
    </xf>
    <xf borderId="0" fillId="0" fontId="15" numFmtId="0" xfId="0" applyAlignment="1" applyFont="1">
      <alignment readingOrder="0" shrinkToFit="0" vertical="bottom" wrapText="0"/>
    </xf>
    <xf borderId="0" fillId="0" fontId="15" numFmtId="0" xfId="0" applyAlignment="1" applyFont="1">
      <alignment horizontal="right" readingOrder="0" shrinkToFit="0" vertical="bottom" wrapText="0"/>
    </xf>
    <xf borderId="0" fillId="8" fontId="16" numFmtId="0" xfId="0" applyAlignment="1" applyFont="1">
      <alignment readingOrder="0" shrinkToFit="0" wrapText="1"/>
    </xf>
    <xf borderId="5" fillId="8" fontId="14" numFmtId="0" xfId="0" applyAlignment="1" applyBorder="1" applyFon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22" Type="http://schemas.openxmlformats.org/officeDocument/2006/relationships/worksheet" Target="worksheets/sheet20.xml"/><Relationship Id="rId21" Type="http://schemas.openxmlformats.org/officeDocument/2006/relationships/worksheet" Target="worksheets/sheet19.xml"/><Relationship Id="rId24" Type="http://schemas.openxmlformats.org/officeDocument/2006/relationships/worksheet" Target="worksheets/sheet22.xml"/><Relationship Id="rId23" Type="http://schemas.openxmlformats.org/officeDocument/2006/relationships/worksheet" Target="worksheets/sheet21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26" Type="http://schemas.openxmlformats.org/officeDocument/2006/relationships/worksheet" Target="worksheets/sheet24.xml"/><Relationship Id="rId25" Type="http://schemas.openxmlformats.org/officeDocument/2006/relationships/worksheet" Target="worksheets/sheet23.xml"/><Relationship Id="rId28" Type="http://schemas.openxmlformats.org/officeDocument/2006/relationships/worksheet" Target="worksheets/sheet26.xml"/><Relationship Id="rId27" Type="http://schemas.openxmlformats.org/officeDocument/2006/relationships/worksheet" Target="worksheets/sheet25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29" Type="http://schemas.openxmlformats.org/officeDocument/2006/relationships/worksheet" Target="worksheets/sheet27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31" Type="http://schemas.openxmlformats.org/officeDocument/2006/relationships/worksheet" Target="worksheets/sheet29.xml"/><Relationship Id="rId30" Type="http://schemas.openxmlformats.org/officeDocument/2006/relationships/worksheet" Target="worksheets/sheet28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19" Type="http://schemas.openxmlformats.org/officeDocument/2006/relationships/worksheet" Target="worksheets/sheet17.xml"/><Relationship Id="rId18" Type="http://schemas.openxmlformats.org/officeDocument/2006/relationships/worksheet" Target="worksheets/sheet1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9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7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16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18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5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23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3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14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20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25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21.png"/><Relationship Id="rId2" Type="http://schemas.openxmlformats.org/officeDocument/2006/relationships/image" Target="../media/image22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24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29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26.png"/><Relationship Id="rId2" Type="http://schemas.openxmlformats.org/officeDocument/2006/relationships/image" Target="../media/image27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34.png"/><Relationship Id="rId2" Type="http://schemas.openxmlformats.org/officeDocument/2006/relationships/image" Target="../media/image36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40.png"/><Relationship Id="rId2" Type="http://schemas.openxmlformats.org/officeDocument/2006/relationships/image" Target="../media/image39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28.png"/><Relationship Id="rId2" Type="http://schemas.openxmlformats.org/officeDocument/2006/relationships/image" Target="../media/image33.png"/></Relationships>
</file>

<file path=xl/drawings/_rels/drawing21.xml.rels><?xml version="1.0" encoding="UTF-8" standalone="yes"?><Relationships xmlns="http://schemas.openxmlformats.org/package/2006/relationships"><Relationship Id="rId1" Type="http://schemas.openxmlformats.org/officeDocument/2006/relationships/image" Target="../media/image30.png"/><Relationship Id="rId2" Type="http://schemas.openxmlformats.org/officeDocument/2006/relationships/image" Target="../media/image31.png"/></Relationships>
</file>

<file path=xl/drawings/_rels/drawing22.xml.rels><?xml version="1.0" encoding="UTF-8" standalone="yes"?><Relationships xmlns="http://schemas.openxmlformats.org/package/2006/relationships"><Relationship Id="rId1" Type="http://schemas.openxmlformats.org/officeDocument/2006/relationships/image" Target="../media/image48.png"/><Relationship Id="rId2" Type="http://schemas.openxmlformats.org/officeDocument/2006/relationships/image" Target="../media/image46.png"/></Relationships>
</file>

<file path=xl/drawings/_rels/drawing23.xml.rels><?xml version="1.0" encoding="UTF-8" standalone="yes"?><Relationships xmlns="http://schemas.openxmlformats.org/package/2006/relationships"><Relationship Id="rId1" Type="http://schemas.openxmlformats.org/officeDocument/2006/relationships/image" Target="../media/image41.png"/><Relationship Id="rId2" Type="http://schemas.openxmlformats.org/officeDocument/2006/relationships/image" Target="../media/image42.png"/></Relationships>
</file>

<file path=xl/drawings/_rels/drawing24.xml.rels><?xml version="1.0" encoding="UTF-8" standalone="yes"?><Relationships xmlns="http://schemas.openxmlformats.org/package/2006/relationships"><Relationship Id="rId1" Type="http://schemas.openxmlformats.org/officeDocument/2006/relationships/image" Target="../media/image38.png"/><Relationship Id="rId2" Type="http://schemas.openxmlformats.org/officeDocument/2006/relationships/image" Target="../media/image32.png"/></Relationships>
</file>

<file path=xl/drawings/_rels/drawing25.xml.rels><?xml version="1.0" encoding="UTF-8" standalone="yes"?><Relationships xmlns="http://schemas.openxmlformats.org/package/2006/relationships"><Relationship Id="rId1" Type="http://schemas.openxmlformats.org/officeDocument/2006/relationships/image" Target="../media/image44.png"/><Relationship Id="rId2" Type="http://schemas.openxmlformats.org/officeDocument/2006/relationships/image" Target="../media/image45.png"/></Relationships>
</file>

<file path=xl/drawings/_rels/drawing26.xml.rels><?xml version="1.0" encoding="UTF-8" standalone="yes"?><Relationships xmlns="http://schemas.openxmlformats.org/package/2006/relationships"><Relationship Id="rId1" Type="http://schemas.openxmlformats.org/officeDocument/2006/relationships/image" Target="../media/image43.png"/><Relationship Id="rId2" Type="http://schemas.openxmlformats.org/officeDocument/2006/relationships/image" Target="../media/image47.png"/></Relationships>
</file>

<file path=xl/drawings/_rels/drawing27.xml.rels><?xml version="1.0" encoding="UTF-8" standalone="yes"?><Relationships xmlns="http://schemas.openxmlformats.org/package/2006/relationships"><Relationship Id="rId1" Type="http://schemas.openxmlformats.org/officeDocument/2006/relationships/image" Target="../media/image50.png"/><Relationship Id="rId2" Type="http://schemas.openxmlformats.org/officeDocument/2006/relationships/image" Target="../media/image49.png"/></Relationships>
</file>

<file path=xl/drawings/_rels/drawing28.xml.rels><?xml version="1.0" encoding="UTF-8" standalone="yes"?><Relationships xmlns="http://schemas.openxmlformats.org/package/2006/relationships"><Relationship Id="rId1" Type="http://schemas.openxmlformats.org/officeDocument/2006/relationships/image" Target="../media/image35.png"/><Relationship Id="rId2" Type="http://schemas.openxmlformats.org/officeDocument/2006/relationships/image" Target="../media/image37.png"/></Relationships>
</file>

<file path=xl/drawings/_rels/drawing29.xml.rels><?xml version="1.0" encoding="UTF-8" standalone="yes"?><Relationships xmlns="http://schemas.openxmlformats.org/package/2006/relationships"><Relationship Id="rId1" Type="http://schemas.openxmlformats.org/officeDocument/2006/relationships/image" Target="../media/image51.png"/><Relationship Id="rId2" Type="http://schemas.openxmlformats.org/officeDocument/2006/relationships/image" Target="../media/image5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18.71"/>
    <col customWidth="1" min="2" max="2" width="26.86"/>
    <col customWidth="1" min="3" max="3" width="50.43"/>
    <col customWidth="1" min="4" max="26" width="14.4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IFERROR(__xludf.DUMMYFUNCTION("""COMPUTED_VALUE"""),"1aecq-HMDoDkIInONjPC11z5TBFHyJhv4ro66e2ZOphg")</f>
        <v>1aecq-HMDoDkIInONjPC11z5TBFHyJhv4ro66e2ZOphg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IFERROR(__xludf.DUMMYFUNCTION("""COMPUTED_VALUE"""),"Unallocate")</f>
        <v>Unallocate</v>
      </c>
      <c r="C6" s="4" t="str">
        <f>IFERROR(__xludf.DUMMYFUNCTION("""COMPUTED_VALUE"""),"1eDZq-_vllq4jwvwpk9qGnwQUhlb-sFvyFKPBriT2dA0")</f>
        <v>1eDZq-_vllq4jwvwpk9qGnwQUhlb-sFvyFKPBriT2dA0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IFERROR(__xludf.DUMMYFUNCTION("""COMPUTED_VALUE"""),"GetDataAllocation")</f>
        <v>GetDataAllocation</v>
      </c>
      <c r="C7" s="4" t="str">
        <f>IFERROR(__xludf.DUMMYFUNCTION("""COMPUTED_VALUE"""),"1FBTO3wCB7odq-jpQMbYHgSrAL5-rFO2_kp9Kr2iXqXE")</f>
        <v>1FBTO3wCB7odq-jpQMbYHgSrAL5-rFO2_kp9Kr2iXqXE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IFERROR(__xludf.DUMMYFUNCTION("""COMPUTED_VALUE"""),"SelectAllocatedGroup")</f>
        <v>SelectAllocatedGroup</v>
      </c>
      <c r="C8" s="4" t="str">
        <f>IFERROR(__xludf.DUMMYFUNCTION("""COMPUTED_VALUE"""),"1G0ZkXDrIDX_loGmAyLs_Shy8hExtTELtFXERbX-HdPo")</f>
        <v>1G0ZkXDrIDX_loGmAyLs_Shy8hExtTELtFXERbX-HdPo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IFERROR(__xludf.DUMMYFUNCTION("""COMPUTED_VALUE"""),"EditTradesAllocated")</f>
        <v>EditTradesAllocated</v>
      </c>
      <c r="C9" s="4" t="str">
        <f>IFERROR(__xludf.DUMMYFUNCTION("""COMPUTED_VALUE"""),"1YgVZ1jEVgjUF1Dp8FAj_W_zLEZCyqvNMlWJIg0Tmkq4")</f>
        <v>1YgVZ1jEVgjUF1Dp8FAj_W_zLEZCyqvNMlWJIg0Tmkq4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IFERROR(__xludf.DUMMYFUNCTION("""COMPUTED_VALUE"""),"EditTradesUnallocated")</f>
        <v>EditTradesUnallocated</v>
      </c>
      <c r="C10" s="4" t="str">
        <f>IFERROR(__xludf.DUMMYFUNCTION("""COMPUTED_VALUE"""),"1MyB61T39MDAUyQqCUJLATzUT2f5UlE8nFq4ltWy_DJ4")</f>
        <v>1MyB61T39MDAUyQqCUJLATzUT2f5UlE8nFq4ltWy_DJ4</v>
      </c>
      <c r="D10" s="4"/>
      <c r="E10" s="4"/>
      <c r="F10" s="4"/>
    </row>
    <row r="11" ht="15.75" customHeight="1">
      <c r="A11" s="4" t="str">
        <f>IFERROR(__xludf.DUMMYFUNCTION("""COMPUTED_VALUE"""),"Allocation")</f>
        <v>Allocation</v>
      </c>
      <c r="B11" s="4" t="str">
        <f>IFERROR(__xludf.DUMMYFUNCTION("""COMPUTED_VALUE"""),"Reallocate")</f>
        <v>Reallocate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IFERROR(__xludf.DUMMYFUNCTION("""COMPUTED_VALUE"""),"ReplaceFillsOnBlotter")</f>
        <v>ReplaceFillsOnBlotter</v>
      </c>
      <c r="C12" s="4" t="str">
        <f>IFERROR(__xludf.DUMMYFUNCTION("""COMPUTED_VALUE"""),"undefined")</f>
        <v>undefined</v>
      </c>
      <c r="D12" s="4"/>
      <c r="E12" s="4"/>
      <c r="F12" s="4"/>
    </row>
    <row r="13" ht="15.75" customHeight="1">
      <c r="A13" s="4" t="str">
        <f>IFERROR(__xludf.DUMMYFUNCTION("""COMPUTED_VALUE"""),"Blotter")</f>
        <v>Blotter</v>
      </c>
      <c r="B13" s="4" t="str">
        <f>IFERROR(__xludf.DUMMYFUNCTION("""COMPUTED_VALUE"""),"CheckBlotter")</f>
        <v>CheckBlotter</v>
      </c>
      <c r="C13" s="4" t="str">
        <f>IFERROR(__xludf.DUMMYFUNCTION("""COMPUTED_VALUE"""),"16qheLbvgC92hKxalWDlpWfHBMyDDVqHERUCc7bQiO2A")</f>
        <v>16qheLbvgC92hKxalWDlpWfHBMyDDVqHERUCc7bQiO2A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IFERROR(__xludf.DUMMYFUNCTION("""COMPUTED_VALUE"""),"GetDataCash")</f>
        <v>GetDataCash</v>
      </c>
      <c r="C14" s="4" t="str">
        <f>IFERROR(__xludf.DUMMYFUNCTION("""COMPUTED_VALUE"""),"1zLd3ju-mV8f6PZiQUYLU-cAgAUwLwyoIAKuu0WgG2zI")</f>
        <v>1zLd3ju-mV8f6PZiQUYLU-cAgAUwLwyoIAKuu0WgG2zI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IFERROR(__xludf.DUMMYFUNCTION("""COMPUTED_VALUE"""),"EnterCashDividends")</f>
        <v>EnterCashDividends</v>
      </c>
      <c r="C15" s="4" t="str">
        <f>IFERROR(__xludf.DUMMYFUNCTION("""COMPUTED_VALUE"""),"1sjDsI5FIL_l_G6osMJQ7e8auBgYd3R3JDaKWKV_8Og0")</f>
        <v>1sjDsI5FIL_l_G6osMJQ7e8auBgYd3R3JDaKWKV_8Og0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IFERROR(__xludf.DUMMYFUNCTION("""COMPUTED_VALUE"""),"EnterNonTradingTransaction")</f>
        <v>EnterNonTradingTransaction</v>
      </c>
      <c r="C16" s="4" t="str">
        <f>IFERROR(__xludf.DUMMYFUNCTION("""COMPUTED_VALUE"""),"1xn1P_Z-3N4d2BC1SUPly2HiVZazly5ZQcS18BfaTyho")</f>
        <v>1xn1P_Z-3N4d2BC1SUPly2HiVZazly5ZQcS18BfaTyho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IFERROR(__xludf.DUMMYFUNCTION("""COMPUTED_VALUE"""),"VerifyCash")</f>
        <v>VerifyCash</v>
      </c>
      <c r="C17" s="4" t="str">
        <f>IFERROR(__xludf.DUMMYFUNCTION("""COMPUTED_VALUE"""),"1vlvYPsiFAWjsnFrbkGn_fAvkwF00V3e7htalalU6QN4")</f>
        <v>1vlvYPsiFAWjsnFrbkGn_fAvkwF00V3e7htalalU6QN4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IFERROR(__xludf.DUMMYFUNCTION("""COMPUTED_VALUE"""),"VerifyActivity")</f>
        <v>VerifyActivity</v>
      </c>
      <c r="C18" s="4" t="str">
        <f>IFERROR(__xludf.DUMMYFUNCTION("""COMPUTED_VALUE"""),"1o2rCg2FuoAOT5Pl8i4iFP_TwpPm0UB1dd49GbpkytfM")</f>
        <v>1o2rCg2FuoAOT5Pl8i4iFP_TwpPm0UB1dd49GbpkytfM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IFERROR(__xludf.DUMMYFUNCTION("""COMPUTED_VALUE"""),"VerifyTradingTransaction")</f>
        <v>VerifyTradingTransaction</v>
      </c>
      <c r="C19" s="4" t="str">
        <f>IFERROR(__xludf.DUMMYFUNCTION("""COMPUTED_VALUE"""),"1_v2niCJ9VGNvgEBpvz030BFqEISSUhYRHyWcAJAn_Eg")</f>
        <v>1_v2niCJ9VGNvgEBpvz030BFqEISSUhYRHyWcAJAn_Eg</v>
      </c>
      <c r="D19" s="4"/>
      <c r="E19" s="4"/>
      <c r="F19" s="4"/>
    </row>
    <row r="20" ht="15.75" customHeight="1">
      <c r="A20" s="4" t="str">
        <f>IFERROR(__xludf.DUMMYFUNCTION("""COMPUTED_VALUE"""),"GeneralLedger")</f>
        <v>GeneralLedger</v>
      </c>
      <c r="B20" s="4" t="str">
        <f>IFERROR(__xludf.DUMMYFUNCTION("""COMPUTED_VALUE"""),"VerifyRevaluationData")</f>
        <v>VerifyRevaluationData</v>
      </c>
      <c r="C20" s="4" t="str">
        <f>IFERROR(__xludf.DUMMYFUNCTION("""COMPUTED_VALUE"""),"1hsRs1-LY0akTrMe91ArnbLtk6GUy_bKxVwMYCaiMs-8")</f>
        <v>1hsRs1-LY0akTrMe91ArnbLtk6GUy_bKxVwMYCaiMs-8</v>
      </c>
      <c r="D20" s="4"/>
      <c r="E20" s="4"/>
      <c r="F20" s="4"/>
    </row>
    <row r="21" ht="15.75" customHeight="1">
      <c r="A21" s="4" t="str">
        <f>IFERROR(__xludf.DUMMYFUNCTION("""COMPUTED_VALUE"""),"CorporateAction")</f>
        <v>CorporateAction</v>
      </c>
      <c r="B21" s="4" t="str">
        <f>IFERROR(__xludf.DUMMYFUNCTION("""COMPUTED_VALUE"""),"CorporateAction")</f>
        <v>CorporateAction</v>
      </c>
      <c r="C21" s="4" t="str">
        <f>IFERROR(__xludf.DUMMYFUNCTION("""COMPUTED_VALUE"""),"14rwUHTx4auE_hf60WN-tNOx3atNg7QGvErWNwVQIRqE")</f>
        <v>14rwUHTx4auE_hf60WN-tNOx3atNg7QGvErWNwVQIRqE</v>
      </c>
      <c r="D21" s="4"/>
      <c r="E21" s="4"/>
      <c r="F21" s="4"/>
    </row>
    <row r="22" ht="15.75" customHeight="1">
      <c r="A22" s="4" t="str">
        <f>IFERROR(__xludf.DUMMYFUNCTION("""COMPUTED_VALUE"""),"CreateTransaction")</f>
        <v>CreateTransaction</v>
      </c>
      <c r="B22" s="4" t="str">
        <f>IFERROR(__xludf.DUMMYFUNCTION("""COMPUTED_VALUE"""),"CreateTransaction")</f>
        <v>CreateTransaction</v>
      </c>
      <c r="C22" s="4" t="str">
        <f>IFERROR(__xludf.DUMMYFUNCTION("""COMPUTED_VALUE"""),"1amshi8Ns36lsDpccBK0y_9bL_pQ2rHdGNYypcgzceUg")</f>
        <v>1amshi8Ns36lsDpccBK0y_9bL_pQ2rHdGNYypcgzceUg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IFERROR(__xludf.DUMMYFUNCTION("""COMPUTED_VALUE"""),"UpdateBeta")</f>
        <v>UpdateBeta</v>
      </c>
      <c r="C23" s="4" t="str">
        <f>IFERROR(__xludf.DUMMYFUNCTION("""COMPUTED_VALUE"""),"1YKttwHsdIskNDoo0Sl7HF2DWikROW-KA05qfT3GLIyI")</f>
        <v>1YKttwHsdIskNDoo0Sl7HF2DWikROW-KA05qfT3GLIyI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IFERROR(__xludf.DUMMYFUNCTION("""COMPUTED_VALUE"""),"UpdateDailyCash")</f>
        <v>UpdateDailyCash</v>
      </c>
      <c r="C24" s="4" t="str">
        <f>IFERROR(__xludf.DUMMYFUNCTION("""COMPUTED_VALUE"""),"1YJ2rTp-OqQTGjubvs_cBC6fl0l94pyHI2eaLJzbddS4")</f>
        <v>1YJ2rTp-OqQTGjubvs_cBC6fl0l94pyHI2eaLJzbddS4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IFERROR(__xludf.DUMMYFUNCTION("""COMPUTED_VALUE"""),"1mLyEfNTVFd65cnE6GfgCRD6TdpKg1BgqNIDjHCFzyO4")</f>
        <v>1mLyEfNTVFd65cnE6GfgCRD6TdpKg1BgqNIDjHCFzyO4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IFERROR(__xludf.DUMMYFUNCTION("""COMPUTED_VALUE"""),"1M8d9TyOhMnA65NSIYvS6dR68SH5RL6oKahd6uz7yp6c")</f>
        <v>1M8d9TyOhMnA65NSIYvS6dR68SH5RL6oKahd6uz7yp6c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IFERROR(__xludf.DUMMYFUNCTION("""COMPUTED_VALUE"""),"1Q5uOVYo1NMRks6hQRJuV8XWMPb6VFEAbSzpgP1dot1I")</f>
        <v>1Q5uOVYo1NMRks6hQRJuV8XWMPb6VFEAbSzpgP1dot1I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IFERROR(__xludf.DUMMYFUNCTION("""COMPUTED_VALUE"""),"1iqfUyYqyebXIeNBGljH7-T8whBcywTlkBBU3dBZV06s")</f>
        <v>1iqfUyYqyebXIeNBGljH7-T8whBcywTlkBBU3dBZV06s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IFERROR(__xludf.DUMMYFUNCTION("""COMPUTED_VALUE"""),"1u0XMlZJy_Slp7uXMwirinW7StOOdTcWD-D8V07sO0VA")</f>
        <v>1u0XMlZJy_Slp7uXMwirinW7StOOdTcWD-D8V07sO0VA</v>
      </c>
      <c r="D29" s="4"/>
      <c r="E29" s="4"/>
      <c r="F29" s="4"/>
    </row>
    <row r="30" ht="15.75" customHeight="1">
      <c r="A30" s="4" t="str">
        <f>IFERROR(__xludf.DUMMYFUNCTION("""COMPUTED_VALUE"""),"PricingInput")</f>
        <v>PricingInput</v>
      </c>
      <c r="B30" s="4" t="str">
        <f>IFERROR(__xludf.DUMMYFUNCTION("""COMPUTED_VALUE"""),"PricingInput")</f>
        <v>PricingInput</v>
      </c>
      <c r="C30" s="4" t="str">
        <f>IFERROR(__xludf.DUMMYFUNCTION("""COMPUTED_VALUE"""),"1mh3Z5PifhJ3yzX8TPeoc3H3nteNiA0V2tWFse0rVChE")</f>
        <v>1mh3Z5PifhJ3yzX8TPeoc3H3nteNiA0V2tWFse0rVChE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IFERROR(__xludf.DUMMYFUNCTION("""COMPUTED_VALUE"""),"UpdateSharesOutstanding")</f>
        <v>UpdateSharesOutstanding</v>
      </c>
      <c r="C31" s="4" t="str">
        <f>IFERROR(__xludf.DUMMYFUNCTION("""COMPUTED_VALUE"""),"1vmZ6v1OyZ8SSi8bqqjK3ap3KtM_yPA_SEcIQgYiRInY")</f>
        <v>1vmZ6v1OyZ8SSi8bqqjK3ap3KtM_yPA_SEcIQgYiRInY</v>
      </c>
      <c r="D31" s="4"/>
      <c r="E31" s="4"/>
      <c r="F31" s="4"/>
    </row>
    <row r="32" ht="15.75" customHeight="1">
      <c r="A32" s="4" t="str">
        <f>IFERROR(__xludf.DUMMYFUNCTION("""COMPUTED_VALUE"""),"SymbolLookup")</f>
        <v>SymbolLookup</v>
      </c>
      <c r="B32" s="4" t="str">
        <f>IFERROR(__xludf.DUMMYFUNCTION("""COMPUTED_VALUE"""),"VerifySymbolLookUp")</f>
        <v>VerifySymbolLookUp</v>
      </c>
      <c r="C32" s="4" t="str">
        <f>IFERROR(__xludf.DUMMYFUNCTION("""COMPUTED_VALUE"""),"1OiI1Pi_JAFOFi8ByMaD3_qqEXSv6yQMo_u6aGTozbl8")</f>
        <v>1OiI1Pi_JAFOFi8ByMaD3_qqEXSv6yQMo_u6aGTozbl8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IFERROR(__xludf.DUMMYFUNCTION("""COMPUTED_VALUE"""),"SymbolLookupFromTT")</f>
        <v>SymbolLookupFromTT</v>
      </c>
      <c r="C33" s="4" t="str">
        <f>IFERROR(__xludf.DUMMYFUNCTION("""COMPUTED_VALUE"""),"1ubfvE9sHq5KpJ9NazeH96CrVMJqAuol5Ya9GPjxWrgI")</f>
        <v>1ubfvE9sHq5KpJ9NazeH96CrVMJqAuol5Ya9GPjxWrgI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IFERROR(__xludf.DUMMYFUNCTION("""COMPUTED_VALUE"""),"UpdateUDA")</f>
        <v>UpdateUDA</v>
      </c>
      <c r="C34" t="str">
        <f>IFERROR(__xludf.DUMMYFUNCTION("""COMPUTED_VALUE"""),"1z-v5fau00-VNexaHPo1P5yXblBk8HuV3oCrs4RhqBoY")</f>
        <v>1z-v5fau00-VNexaHPo1P5yXblBk8HuV3oCrs4RhqBoY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IFERROR(__xludf.DUMMYFUNCTION("""COMPUTED_VALUE"""),"GetSymbol")</f>
        <v>GetSymbol</v>
      </c>
      <c r="C35" t="str">
        <f>IFERROR(__xludf.DUMMYFUNCTION("""COMPUTED_VALUE"""),"1mnpQnmAXV4LAGLZzV_thhANJkhIO7Z79eOSMXbWHZnQ")</f>
        <v>1mnpQnmAXV4LAGLZzV_thhANJkhIO7Z79eOSMXbWHZnQ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IFERROR(__xludf.DUMMYFUNCTION("""COMPUTED_VALUE"""),"GetDataSymbolLookup")</f>
        <v>GetDataSymbolLookup</v>
      </c>
      <c r="C36" t="str">
        <f>IFERROR(__xludf.DUMMYFUNCTION("""COMPUTED_VALUE"""),"1uj2DKQ9zv-AbDIqeVKVIvkCejmmkExoWg37J8Cod6cA")</f>
        <v>1uj2DKQ9zv-AbDIqeVKVIvkCejmmkExoWg37J8Cod6cA</v>
      </c>
    </row>
    <row r="37" ht="15.75" customHeight="1">
      <c r="A37" t="str">
        <f>IFERROR(__xludf.DUMMYFUNCTION("""COMPUTED_VALUE"""),"ThirdParty")</f>
        <v>ThirdParty</v>
      </c>
      <c r="B37" t="str">
        <f>IFERROR(__xludf.DUMMYFUNCTION("""COMPUTED_VALUE"""),"GenerateThirdParty")</f>
        <v>GenerateThirdParty</v>
      </c>
      <c r="C37" t="str">
        <f>IFERROR(__xludf.DUMMYFUNCTION("""COMPUTED_VALUE"""),"1hwH2b4Fpcasavb79bj5bZgWjFhBpZLb25MELejv-3gs")</f>
        <v>1hwH2b4Fpcasavb79bj5bZgWjFhBpZLb25MELejv-3gs</v>
      </c>
    </row>
    <row r="38" ht="15.75" customHeight="1">
      <c r="A38" t="str">
        <f>IFERROR(__xludf.DUMMYFUNCTION("""COMPUTED_VALUE"""),"ThirdParty")</f>
        <v>ThirdParty</v>
      </c>
      <c r="B38" t="str">
        <f>IFERROR(__xludf.DUMMYFUNCTION("""COMPUTED_VALUE"""),"SendThirdParty")</f>
        <v>SendThirdParty</v>
      </c>
      <c r="C38" t="str">
        <f>IFERROR(__xludf.DUMMYFUNCTION("""COMPUTED_VALUE"""),"1kUti4bRPwJsQ6vfIX6TNDiq0h5TNyus7b8_3xx50eAo")</f>
        <v>1kUti4bRPwJsQ6vfIX6TNDiq0h5TNyus7b8_3xx50eAo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IFERROR(__xludf.DUMMYFUNCTION("""COMPUTED_VALUE"""),"ViewThirdParty")</f>
        <v>ViewThirdParty</v>
      </c>
      <c r="C39" t="str">
        <f>IFERROR(__xludf.DUMMYFUNCTION("""COMPUTED_VALUE"""),"1L-T9YKEKNm_ncTLX6p563fxmzW1DvdfOn3fW5ZhQiKs")</f>
        <v>1L-T9YKEKNm_ncTLX6p563fxmzW1DvdfOn3fW5ZhQiKs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IFERROR(__xludf.DUMMYFUNCTION("""COMPUTED_VALUE"""),"SelectThirdPartyName")</f>
        <v>SelectThirdPartyName</v>
      </c>
      <c r="C40" t="str">
        <f>IFERROR(__xludf.DUMMYFUNCTION("""COMPUTED_VALUE"""),"1IDJnBcUTbSBdY9ib5g47fCpNwOJbrIdJqCXwjOG6uio")</f>
        <v>1IDJnBcUTbSBdY9ib5g47fCpNwOJbrIdJqCXwjOG6uio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IFERROR(__xludf.DUMMYFUNCTION("""COMPUTED_VALUE"""),"VerifyThirdPartyData")</f>
        <v>VerifyThirdPartyData</v>
      </c>
      <c r="C41" t="str">
        <f>IFERROR(__xludf.DUMMYFUNCTION("""COMPUTED_VALUE"""),"1Ut6wPoLPLqNX_jzI6wNy6077COb7nVQI8PVkhplQkPQ")</f>
        <v>1Ut6wPoLPLqNX_jzI6wNy6077COb7nVQI8PVkhplQkPQ</v>
      </c>
    </row>
    <row r="42" ht="15.75" customHeight="1">
      <c r="A42" t="str">
        <f>IFERROR(__xludf.DUMMYFUNCTION("""COMPUTED_VALUE"""),"CorporateAction")</f>
        <v>CorporateAction</v>
      </c>
      <c r="B42" t="str">
        <f>IFERROR(__xludf.DUMMYFUNCTION("""COMPUTED_VALUE"""),"CleanUp")</f>
        <v>CleanUp</v>
      </c>
      <c r="C42" t="str">
        <f>IFERROR(__xludf.DUMMYFUNCTION("""COMPUTED_VALUE"""),"undefined")</f>
        <v>undefined</v>
      </c>
    </row>
    <row r="43" ht="15.75" customHeight="1">
      <c r="A43" t="str">
        <f>IFERROR(__xludf.DUMMYFUNCTION("""COMPUTED_VALUE"""),"PST")</f>
        <v>PST</v>
      </c>
      <c r="B43" t="str">
        <f>IFERROR(__xludf.DUMMYFUNCTION("""COMPUTED_VALUE"""),"RunPST")</f>
        <v>RunPST</v>
      </c>
      <c r="C43" t="str">
        <f>IFERROR(__xludf.DUMMYFUNCTION("""COMPUTED_VALUE"""),"1V4MJ7hYnKgrk9TG1Uooxjqd4HthKQbhHrDy-WG-2_zg")</f>
        <v>1V4MJ7hYnKgrk9TG1Uooxjqd4HthKQbhHrDy-WG-2_zg</v>
      </c>
    </row>
    <row r="44" ht="15.75" customHeight="1">
      <c r="A44" t="str">
        <f>IFERROR(__xludf.DUMMYFUNCTION("""COMPUTED_VALUE"""),"PST")</f>
        <v>PST</v>
      </c>
      <c r="B44" t="str">
        <f>IFERROR(__xludf.DUMMYFUNCTION("""COMPUTED_VALUE"""),"PSTInputData")</f>
        <v>PSTInputData</v>
      </c>
      <c r="C44" t="str">
        <f>IFERROR(__xludf.DUMMYFUNCTION("""COMPUTED_VALUE"""),"1uopHJeJ5SwbAHXh20r-UtAPD6PHi_u54hjNbpPwEwBc")</f>
        <v>1uopHJeJ5SwbAHXh20r-UtAPD6PHi_u54hjNbpPwEwBc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IFERROR(__xludf.DUMMYFUNCTION("""COMPUTED_VALUE"""),"PSTVerifyData")</f>
        <v>PSTVerifyData</v>
      </c>
      <c r="C45" t="str">
        <f>IFERROR(__xludf.DUMMYFUNCTION("""COMPUTED_VALUE"""),"1dlI4iRnpbN0Jp3SmI8H8j7cAWjtmx26kYKGl9T8zMt8")</f>
        <v>1dlI4iRnpbN0Jp3SmI8H8j7cAWjtmx26kYKGl9T8zMt8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IFERROR(__xludf.DUMMYFUNCTION("""COMPUTED_VALUE"""),"PSTFunctionalities")</f>
        <v>PSTFunctionalities</v>
      </c>
      <c r="C46" t="str">
        <f>IFERROR(__xludf.DUMMYFUNCTION("""COMPUTED_VALUE"""),"1gNJJpt5h8WueDYaccxMYcUsJSg-vrHkd7wCdN9BERNk")</f>
        <v>1gNJJpt5h8WueDYaccxMYcUsJSg-vrHkd7wCdN9BERNk</v>
      </c>
    </row>
    <row r="47" ht="15.75" customHeight="1">
      <c r="A47" t="str">
        <f>IFERROR(__xludf.DUMMYFUNCTION("""COMPUTED_VALUE"""),"PortfolioManagement")</f>
        <v>PortfolioManagement</v>
      </c>
      <c r="B47" t="str">
        <f>IFERROR(__xludf.DUMMYFUNCTION("""COMPUTED_VALUE"""),"OpenPSTFromPM")</f>
        <v>OpenPSTFromPM</v>
      </c>
      <c r="C47" t="str">
        <f>IFERROR(__xludf.DUMMYFUNCTION("""COMPUTED_VALUE"""),"1CRUOvrZHxYJa8JWZVSNaKMTuiFgsPoHl4ZOp9CVArA4")</f>
        <v>1CRUOvrZHxYJa8JWZVSNaKMTuiFgsPoHl4ZOp9CVArA4</v>
      </c>
    </row>
    <row r="48" ht="15.75" customHeight="1">
      <c r="A48" t="str">
        <f>IFERROR(__xludf.DUMMYFUNCTION("""COMPUTED_VALUE"""),"TradingTicket")</f>
        <v>TradingTicket</v>
      </c>
      <c r="B48" t="str">
        <f>IFERROR(__xludf.DUMMYFUNCTION("""COMPUTED_VALUE"""),"OpenTTFromPST")</f>
        <v>OpenTTFromPST</v>
      </c>
      <c r="C48" t="str">
        <f>IFERROR(__xludf.DUMMYFUNCTION("""COMPUTED_VALUE"""),"1_NKxF1nvm7wWZjOkz9Rwq1O9gTMVrgrh8Fd3-4T-lNs")</f>
        <v>1_NKxF1nvm7wWZjOkz9Rwq1O9gTMVrgrh8Fd3-4T-lNs</v>
      </c>
    </row>
    <row r="49" ht="15.75" customHeight="1">
      <c r="A49" t="str">
        <f>IFERROR(__xludf.DUMMYFUNCTION("""COMPUTED_VALUE"""),"CorporateAction")</f>
        <v>CorporateAction</v>
      </c>
      <c r="B49" t="str">
        <f>IFERROR(__xludf.DUMMYFUNCTION("""COMPUTED_VALUE"""),"CashDividend")</f>
        <v>CashDividend</v>
      </c>
      <c r="C49" t="str">
        <f>IFERROR(__xludf.DUMMYFUNCTION("""COMPUTED_VALUE"""),"undefined")</f>
        <v>undefined</v>
      </c>
    </row>
    <row r="50" ht="15.75" customHeight="1">
      <c r="A50" t="str">
        <f>IFERROR(__xludf.DUMMYFUNCTION("""COMPUTED_VALUE"""),"CorporateAction")</f>
        <v>CorporateAction</v>
      </c>
      <c r="B50" t="str">
        <f>IFERROR(__xludf.DUMMYFUNCTION("""COMPUTED_VALUE"""),"Exchange")</f>
        <v>Exchange</v>
      </c>
      <c r="C50" t="str">
        <f>IFERROR(__xludf.DUMMYFUNCTION("""COMPUTED_VALUE"""),"undefined")</f>
        <v>undefined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IFERROR(__xludf.DUMMYFUNCTION("""COMPUTED_VALUE"""),"Merger")</f>
        <v>Merger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IFERROR(__xludf.DUMMYFUNCTION("""COMPUTED_VALUE"""),"NameChange")</f>
        <v>NameChange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IFERROR(__xludf.DUMMYFUNCTION("""COMPUTED_VALUE"""),"SpinOff")</f>
        <v>SpinOff</v>
      </c>
      <c r="C53" t="str">
        <f>IFERROR(__xludf.DUMMYFUNCTION("""COMPUTED_VALUE"""),"1i0qWRFtQLJXnQxsmIWjSFvV43s1Z3GiQphTVGrc__kM")</f>
        <v>1i0qWRFtQLJXnQxsmIWjSFvV43s1Z3GiQphTVGrc__kM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IFERROR(__xludf.DUMMYFUNCTION("""COMPUTED_VALUE"""),"Split")</f>
        <v>Split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IFERROR(__xludf.DUMMYFUNCTION("""COMPUTED_VALUE"""),"StockDividend")</f>
        <v>StockDividend</v>
      </c>
      <c r="C55" t="str">
        <f>IFERROR(__xludf.DUMMYFUNCTION("""COMPUTED_VALUE"""),"undefined")</f>
        <v>undefined</v>
      </c>
    </row>
    <row r="56" ht="15.75" customHeight="1">
      <c r="A56" t="str">
        <f>IFERROR(__xludf.DUMMYFUNCTION("""COMPUTED_VALUE"""),"TradingTicket")</f>
        <v>TradingTicket</v>
      </c>
      <c r="B56" t="str">
        <f>IFERROR(__xludf.DUMMYFUNCTION("""COMPUTED_VALUE"""),"EnterDetailsOnTT")</f>
        <v>EnterDetailsOnTT</v>
      </c>
      <c r="C56" t="str">
        <f>IFERROR(__xludf.DUMMYFUNCTION("""COMPUTED_VALUE"""),"10WzKYh5eXbqzEkPbJP3rrQoE0yxm4eJARpOYZCaK4Nw")</f>
        <v>10WzKYh5eXbqzEkPbJP3rrQoE0yxm4eJARpOYZCaK4Nw</v>
      </c>
    </row>
    <row r="57" ht="15.75" customHeight="1">
      <c r="A57" t="str">
        <f>IFERROR(__xludf.DUMMYFUNCTION("""COMPUTED_VALUE"""),"DailyValuation")</f>
        <v>DailyValuation</v>
      </c>
      <c r="B57" t="str">
        <f>IFERROR(__xludf.DUMMYFUNCTION("""COMPUTED_VALUE"""),"CleanUp")</f>
        <v>CleanUp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IFERROR(__xludf.DUMMYFUNCTION("""COMPUTED_VALUE"""),"Allocation")</f>
        <v>Allocation</v>
      </c>
      <c r="B58" t="str">
        <f>IFERROR(__xludf.DUMMYFUNCTION("""COMPUTED_VALUE"""),"EditUnallocatedGroupSidePanel")</f>
        <v>EditUnallocatedGroupSidePanel</v>
      </c>
      <c r="C58" t="str">
        <f>IFERROR(__xludf.DUMMYFUNCTION("""COMPUTED_VALUE"""),"178GP7cyhQzXtg9SJcKtRdz2mYVeJ1mw5u608HlVU07A")</f>
        <v>178GP7cyhQzXtg9SJcKtRdz2mYVeJ1mw5u608HlVU07A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IFERROR(__xludf.DUMMYFUNCTION("""COMPUTED_VALUE"""),"TradeAttributeBulkChange")</f>
        <v>TradeAttributeBulkChange</v>
      </c>
      <c r="C59" t="str">
        <f>IFERROR(__xludf.DUMMYFUNCTION("""COMPUTED_VALUE"""),"1l0GLpYQmV88pL7ql-_LklRMvNzv9DoG0nhtT0l7qu4Y")</f>
        <v>1l0GLpYQmV88pL7ql-_LklRMvNzv9DoG0nhtT0l7qu4Y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IFERROR(__xludf.DUMMYFUNCTION("""COMPUTED_VALUE"""),"ApplyBulkUpdateOnGroups")</f>
        <v>ApplyBulkUpdateOnGroups</v>
      </c>
      <c r="C60" t="str">
        <f>IFERROR(__xludf.DUMMYFUNCTION("""COMPUTED_VALUE"""),"1_mxt8Noz_OS5yWWFelEqvL_L00Cc7kr9y0ugx9ThGKc")</f>
        <v>1_mxt8Noz_OS5yWWFelEqvL_L00Cc7kr9y0ugx9ThGKc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IFERROR(__xludf.DUMMYFUNCTION("""COMPUTED_VALUE"""),"ApplyPrefetchFilters")</f>
        <v>ApplyPrefetchFilters</v>
      </c>
      <c r="C61" t="str">
        <f>IFERROR(__xludf.DUMMYFUNCTION("""COMPUTED_VALUE"""),"1LhzE_fO-OMLchyuCvQ9jomS7cBWTJyqLQZxh8Hq0XV8")</f>
        <v>1LhzE_fO-OMLchyuCvQ9jomS7cBWTJyqLQZxh8Hq0XV8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IFERROR(__xludf.DUMMYFUNCTION("""COMPUTED_VALUE"""),"GeneralPreferencesDefaultRule")</f>
        <v>GeneralPreferencesDefaultRule</v>
      </c>
      <c r="C62" t="str">
        <f>IFERROR(__xludf.DUMMYFUNCTION("""COMPUTED_VALUE"""),"19mCdLRcMdkGYF-EvyCA_GGApPeWZp305-Ln5INbQDcU")</f>
        <v>19mCdLRcMdkGYF-EvyCA_GGApPeWZp305-Ln5INbQDcU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IFERROR(__xludf.DUMMYFUNCTION("""COMPUTED_VALUE"""),"GeneralPrefCompanyUserWise")</f>
        <v>GeneralPrefCompanyUserWise</v>
      </c>
      <c r="C63" t="str">
        <f>IFERROR(__xludf.DUMMYFUNCTION("""COMPUTED_VALUE"""),"1619J_-xPH3Z3ewyjI4EUU0nEP8jsYxyahZ2FqN4ZN8U")</f>
        <v>1619J_-xPH3Z3ewyjI4EUU0nEP8jsYxyahZ2FqN4ZN8U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IFERROR(__xludf.DUMMYFUNCTION("""COMPUTED_VALUE"""),"RenameTradeAttributes")</f>
        <v>RenameTradeAttributes</v>
      </c>
      <c r="C64" t="str">
        <f>IFERROR(__xludf.DUMMYFUNCTION("""COMPUTED_VALUE"""),"1mUdADs9UwZEQq1foIWwVUPO8p46DB_BnhQxGeytDfno")</f>
        <v>1mUdADs9UwZEQq1foIWwVUPO8p46DB_BnhQxGeytDfno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IFERROR(__xludf.DUMMYFUNCTION("""COMPUTED_VALUE"""),"SetGroupingRules")</f>
        <v>SetGroupingRules</v>
      </c>
      <c r="C65" t="str">
        <f>IFERROR(__xludf.DUMMYFUNCTION("""COMPUTED_VALUE"""),"1KHli8V3xI67r36Z7aNtbOupws6XQPJVKxxL5siCMRzM")</f>
        <v>1KHli8V3xI67r36Z7aNtbOupws6XQPJVKxxL5siCMRzM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IFERROR(__xludf.DUMMYFUNCTION("""COMPUTED_VALUE"""),"SetMasterFundRatio")</f>
        <v>SetMasterFundRatio</v>
      </c>
      <c r="C66" t="str">
        <f>IFERROR(__xludf.DUMMYFUNCTION("""COMPUTED_VALUE"""),"1dYL7kIfNPFydrt-0Ve0Z3s6gYNVOJaJrJWAKo1BQ_WI")</f>
        <v>1dYL7kIfNPFydrt-0Ve0Z3s6gYNVOJaJrJWAKo1BQ_WI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IFERROR(__xludf.DUMMYFUNCTION("""COMPUTED_VALUE"""),"CheckFixedPreference")</f>
        <v>CheckFixedPreference</v>
      </c>
      <c r="C67" t="str">
        <f>IFERROR(__xludf.DUMMYFUNCTION("""COMPUTED_VALUE"""),"1bdAQJg2FxDkjzX_TP1xXWcnRwEi5n9FJC8J3-KSR7wA")</f>
        <v>1bdAQJg2FxDkjzX_TP1xXWcnRwEi5n9FJC8J3-KSR7wA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IFERROR(__xludf.DUMMYFUNCTION("""COMPUTED_VALUE"""),"GetFixedPreference")</f>
        <v>GetFixedPreference</v>
      </c>
      <c r="C68" t="str">
        <f>IFERROR(__xludf.DUMMYFUNCTION("""COMPUTED_VALUE"""),"1PJiW9whzOakCeEtKLSW7C5zAs3Tx4K5S6mcsAEGGUu8")</f>
        <v>1PJiW9whzOakCeEtKLSW7C5zAs3Tx4K5S6mcsAEGGUu8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IFERROR(__xludf.DUMMYFUNCTION("""COMPUTED_VALUE"""),"AddCalculatedPreferences")</f>
        <v>AddCalculatedPreferences</v>
      </c>
      <c r="C69" t="str">
        <f>IFERROR(__xludf.DUMMYFUNCTION("""COMPUTED_VALUE"""),"10zXvFYXyHQ90X3wK2HSQJ2lqexR-0RC4bzzSp-JbQHc")</f>
        <v>10zXvFYXyHQ90X3wK2HSQJ2lqexR-0RC4bzzSp-JbQHc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IFERROR(__xludf.DUMMYFUNCTION("""COMPUTED_VALUE"""),"BulkChangeCalculatedPreferences")</f>
        <v>BulkChangeCalculatedPreferences</v>
      </c>
      <c r="C70" t="str">
        <f>IFERROR(__xludf.DUMMYFUNCTION("""COMPUTED_VALUE"""),"1F3fwfjIS9SMV6_m3lIgREUlXVMb9IFfERaVHuvM4CBk")</f>
        <v>1F3fwfjIS9SMV6_m3lIgREUlXVMb9IFfERaVHuvM4CBk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IFERROR(__xludf.DUMMYFUNCTION("""COMPUTED_VALUE"""),"DeleteCalculatedPreferences")</f>
        <v>DeleteCalculatedPreferences</v>
      </c>
      <c r="C71" t="str">
        <f>IFERROR(__xludf.DUMMYFUNCTION("""COMPUTED_VALUE"""),"1ZrgQvtI8X_--Dm9l-kzaJ6Gq_5caMWFPo51fjH3KXzo")</f>
        <v>1ZrgQvtI8X_--Dm9l-kzaJ6Gq_5caMWFPo51fjH3KXzo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IFERROR(__xludf.DUMMYFUNCTION("""COMPUTED_VALUE"""),"RenameCalculatedPreferences")</f>
        <v>RenameCalculatedPreferences</v>
      </c>
      <c r="C72" t="str">
        <f>IFERROR(__xludf.DUMMYFUNCTION("""COMPUTED_VALUE"""),"1KyE_QUvvDlsCZU6IlWexw9odmHdRfeThdOO3QSFbjEw")</f>
        <v>1KyE_QUvvDlsCZU6IlWexw9odmHdRfeThdOO3QSFbjEw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IFERROR(__xludf.DUMMYFUNCTION("""COMPUTED_VALUE"""),"CopyCalculatedPreferences")</f>
        <v>CopyCalculatedPreferences</v>
      </c>
      <c r="C73" t="str">
        <f>IFERROR(__xludf.DUMMYFUNCTION("""COMPUTED_VALUE"""),"1N_mkJ4fiEkH9pVZnh0eddUxy48N1y6MC54GUQ8pEyD0")</f>
        <v>1N_mkJ4fiEkH9pVZnh0eddUxy48N1y6MC54GUQ8pEyD0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IFERROR(__xludf.DUMMYFUNCTION("""COMPUTED_VALUE"""),"RunAutoGroup")</f>
        <v>RunAutoGroup</v>
      </c>
      <c r="C74" t="str">
        <f>IFERROR(__xludf.DUMMYFUNCTION("""COMPUTED_VALUE"""),"1qJnzyguLCsfOoRf5I-UQhNBKHsviE3qy4iemC-E0u78")</f>
        <v>1qJnzyguLCsfOoRf5I-UQhNBKHsviE3qy4iemC-E0u78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IFERROR(__xludf.DUMMYFUNCTION("""COMPUTED_VALUE"""),"BookOrUpdateSwap")</f>
        <v>BookOrUpdateSwap</v>
      </c>
      <c r="C75" t="str">
        <f>IFERROR(__xludf.DUMMYFUNCTION("""COMPUTED_VALUE"""),"1QwpQZecM_2zXkA_4PTwvbVR2onbYBD7qQ70nPae5Hd8")</f>
        <v>1QwpQZecM_2zXkA_4PTwvbVR2onbYBD7qQ70nPae5Hd8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IFERROR(__xludf.DUMMYFUNCTION("""COMPUTED_VALUE"""),"RunProrata")</f>
        <v>RunProrata</v>
      </c>
      <c r="C76" t="str">
        <f>IFERROR(__xludf.DUMMYFUNCTION("""COMPUTED_VALUE"""),"1GeVqKzbpnvjpPFLRelOOBbYDGCA2uxzXUEw0T4w2DI0")</f>
        <v>1GeVqKzbpnvjpPFLRelOOBbYDGCA2uxzXUEw0T4w2DI0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IFERROR(__xludf.DUMMYFUNCTION("""COMPUTED_VALUE"""),"SetDefaultRuleCalculatedPref")</f>
        <v>SetDefaultRuleCalculatedPref</v>
      </c>
      <c r="C77" t="str">
        <f>IFERROR(__xludf.DUMMYFUNCTION("""COMPUTED_VALUE"""),"1exPe1oyvv2PJwTNbdKlHi_YCtxd_P0QTqPlWt1f8rCw")</f>
        <v>1exPe1oyvv2PJwTNbdKlHi_YCtxd_P0QTqPlWt1f8rCw</v>
      </c>
    </row>
    <row r="78" ht="15.75" customHeight="1">
      <c r="A78" t="str">
        <f>IFERROR(__xludf.DUMMYFUNCTION("""COMPUTED_VALUE"""),"Admin")</f>
        <v>Admin</v>
      </c>
      <c r="B78" t="str">
        <f>IFERROR(__xludf.DUMMYFUNCTION("""COMPUTED_VALUE"""),"SetTTUIPreferences")</f>
        <v>SetTTUIPreferences</v>
      </c>
      <c r="C78" t="str">
        <f>IFERROR(__xludf.DUMMYFUNCTION("""COMPUTED_VALUE"""),"1hUpf-J1dPldZKufA83WUPjGDyPfkFo9yOetwMzj7d-g")</f>
        <v>1hUpf-J1dPldZKufA83WUPjGDyPfkFo9yOetwMzj7d-g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IFERROR(__xludf.DUMMYFUNCTION("""COMPUTED_VALUE"""),"TTPermissionLevel")</f>
        <v>TTPermissionLevel</v>
      </c>
      <c r="C79" t="str">
        <f>IFERROR(__xludf.DUMMYFUNCTION("""COMPUTED_VALUE"""),"1JsRZ2cANl5oVEs1-lVguknbnNPMons5j_Eea5VKiLF0")</f>
        <v>1JsRZ2cANl5oVEs1-lVguknbnNPMons5j_Eea5VKiLF0</v>
      </c>
    </row>
    <row r="80" ht="15.75" customHeight="1">
      <c r="A80" t="str">
        <f>IFERROR(__xludf.DUMMYFUNCTION("""COMPUTED_VALUE"""),"TradingTicket")</f>
        <v>TradingTicket</v>
      </c>
      <c r="B80" t="str">
        <f>IFERROR(__xludf.DUMMYFUNCTION("""COMPUTED_VALUE"""),"ValidateSymbolTT")</f>
        <v>ValidateSymbolTT</v>
      </c>
      <c r="C80" t="str">
        <f>IFERROR(__xludf.DUMMYFUNCTION("""COMPUTED_VALUE"""),"1f277s4HcqX7OU-cfFuRVZG9QztzbXbtZYthvXtOl4Qs")</f>
        <v>1f277s4HcqX7OU-cfFuRVZG9QztzbXbtZYthvXtOl4Qs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IFERROR(__xludf.DUMMYFUNCTION("""COMPUTED_VALUE"""),"VerifyDataTT")</f>
        <v>VerifyDataTT</v>
      </c>
      <c r="C81" t="str">
        <f>IFERROR(__xludf.DUMMYFUNCTION("""COMPUTED_VALUE"""),"undefined")</f>
        <v>undefined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IFERROR(__xludf.DUMMYFUNCTION("""COMPUTED_VALUE"""),"SetUIPreferencesTT")</f>
        <v>SetUIPreferencesTT</v>
      </c>
      <c r="C82" t="str">
        <f>IFERROR(__xludf.DUMMYFUNCTION("""COMPUTED_VALUE"""),"1I42JZcIqmR2ZwBjh16PY-zP5wD_2ffz27NiQ-gXK5UI")</f>
        <v>1I42JZcIqmR2ZwBjh16PY-zP5wD_2ffz27NiQ-gXK5UI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IFERROR(__xludf.DUMMYFUNCTION("""COMPUTED_VALUE"""),"SetBrokerWisePreferencesTT")</f>
        <v>SetBrokerWisePreferencesTT</v>
      </c>
      <c r="C83" t="str">
        <f>IFERROR(__xludf.DUMMYFUNCTION("""COMPUTED_VALUE"""),"1T1zs2xPlO_bempQSBbahSbQZleB7jg5NbLYVIfLQ8iw")</f>
        <v>1T1zs2xPlO_bempQSBbahSbQZleB7jg5NbLYVIfLQ8iw</v>
      </c>
    </row>
    <row r="84" ht="15.75" customHeight="1">
      <c r="A84" t="str">
        <f>IFERROR(__xludf.DUMMYFUNCTION("""COMPUTED_VALUE"""),"Blotter")</f>
        <v>Blotter</v>
      </c>
      <c r="B84" t="str">
        <f>IFERROR(__xludf.DUMMYFUNCTION("""COMPUTED_VALUE"""),"BlotterFunctionalities")</f>
        <v>BlotterFunctionalities</v>
      </c>
      <c r="C84" t="str">
        <f>IFERROR(__xludf.DUMMYFUNCTION("""COMPUTED_VALUE"""),"1ebU-3uw_6S0IpC6uTA_Mp2EVmf10wUPzQSvBVFHYO8U")</f>
        <v>1ebU-3uw_6S0IpC6uTA_Mp2EVmf10wUPzQSvBVFHYO8U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IFERROR(__xludf.DUMMYFUNCTION("""COMPUTED_VALUE"""),"TradeNewSub")</f>
        <v>TradeNewSub</v>
      </c>
      <c r="C85" t="str">
        <f>IFERROR(__xludf.DUMMYFUNCTION("""COMPUTED_VALUE"""),"1XBTRABStUhotz6RcDu4QU-JBdy8qwgAbwJklr6y-evA")</f>
        <v>1XBTRABStUhotz6RcDu4QU-JBdy8qwgAbwJklr6y-evA</v>
      </c>
    </row>
    <row r="86" ht="15.75" customHeight="1">
      <c r="A86" t="str">
        <f>IFERROR(__xludf.DUMMYFUNCTION("""COMPUTED_VALUE"""),"GeneralLedger")</f>
        <v>GeneralLedger</v>
      </c>
      <c r="B86" t="str">
        <f>IFERROR(__xludf.DUMMYFUNCTION("""COMPUTED_VALUE"""),"GetTradingTransaction")</f>
        <v>GetTradingTransaction</v>
      </c>
      <c r="C86" t="str">
        <f>IFERROR(__xludf.DUMMYFUNCTION("""COMPUTED_VALUE"""),"1Xs49hRrRPS-kKb4VS6sYxwkeaGRbgYuCcvhpDWsKbMA")</f>
        <v>1Xs49hRrRPS-kKb4VS6sYxwkeaGRbgYuCcvhpDWsKbMA</v>
      </c>
    </row>
    <row r="87" ht="15.75" customHeight="1">
      <c r="A87" t="str">
        <f>IFERROR(__xludf.DUMMYFUNCTION("""COMPUTED_VALUE"""),"GeneralLedger")</f>
        <v>GeneralLedger</v>
      </c>
      <c r="B87" t="str">
        <f>IFERROR(__xludf.DUMMYFUNCTION("""COMPUTED_VALUE"""),"GetActivityData")</f>
        <v>GetActivityData</v>
      </c>
      <c r="C87" t="str">
        <f>IFERROR(__xludf.DUMMYFUNCTION("""COMPUTED_VALUE"""),"1kEUHVUls6lwK7p1_yZ_-_dENblEgVVnKh1gpjWk9Ojo")</f>
        <v>1kEUHVUls6lwK7p1_yZ_-_dENblEgVVnKh1gpjWk9Ojo</v>
      </c>
    </row>
    <row r="88" ht="15.75" customHeight="1">
      <c r="A88" t="str">
        <f>IFERROR(__xludf.DUMMYFUNCTION("""COMPUTED_VALUE"""),"Allocation")</f>
        <v>Allocation</v>
      </c>
      <c r="B88" t="str">
        <f>IFERROR(__xludf.DUMMYFUNCTION("""COMPUTED_VALUE"""),"SetAccountValueCalculatedPref")</f>
        <v>SetAccountValueCalculatedPref</v>
      </c>
      <c r="C88" t="str">
        <f>IFERROR(__xludf.DUMMYFUNCTION("""COMPUTED_VALUE"""),"1He7OaCqcTteg4Y7VysnV3LECPyIPe82phCbijgaQfkI")</f>
        <v>1He7OaCqcTteg4Y7VysnV3LECPyIPe82phCbijgaQfkI</v>
      </c>
    </row>
    <row r="89" ht="15.75" customHeight="1">
      <c r="A89" t="str">
        <f>IFERROR(__xludf.DUMMYFUNCTION("""COMPUTED_VALUE"""),"Allocation")</f>
        <v>Allocation</v>
      </c>
      <c r="B89" t="str">
        <f>IFERROR(__xludf.DUMMYFUNCTION("""COMPUTED_VALUE"""),"TradeAttributeBulkChangeGroups")</f>
        <v>TradeAttributeBulkChangeGroups</v>
      </c>
      <c r="C89" t="str">
        <f>IFERROR(__xludf.DUMMYFUNCTION("""COMPUTED_VALUE"""),"1p2knaANkAjU6Rc29dsSlBDCuCvHpDGbGJr7q0pzKc8E")</f>
        <v>1p2knaANkAjU6Rc29dsSlBDCuCvHpDGbGJr7q0pzKc8E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IFERROR(__xludf.DUMMYFUNCTION("""COMPUTED_VALUE"""),"TradeAttributeBulkChangeTaxlots")</f>
        <v>TradeAttributeBulkChangeTaxlots</v>
      </c>
      <c r="C90" t="str">
        <f>IFERROR(__xludf.DUMMYFUNCTION("""COMPUTED_VALUE"""),"12NNklHNZeOf4DXcxau3v_UVy3az1s9M6DRCiiyPWoig")</f>
        <v>12NNklHNZeOf4DXcxau3v_UVy3az1s9M6DRCiiyPWoig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IFERROR(__xludf.DUMMYFUNCTION("""COMPUTED_VALUE"""),"AddCalculatedPreferenceToolbar")</f>
        <v>AddCalculatedPreferenceToolbar</v>
      </c>
      <c r="C91" t="str">
        <f>IFERROR(__xludf.DUMMYFUNCTION("""COMPUTED_VALUE"""),"1jToWnRYLXnjcRiBBUrDCD9ZiiENiwUgzNwKAKK45ZwQ")</f>
        <v>1jToWnRYLXnjcRiBBUrDCD9ZiiENiwUgzNwKAKK45ZwQ</v>
      </c>
    </row>
    <row r="92" ht="15.75" customHeight="1">
      <c r="A92" t="str">
        <f>IFERROR(__xludf.DUMMYFUNCTION("""COMPUTED_VALUE"""),"GeneralLedger")</f>
        <v>GeneralLedger</v>
      </c>
      <c r="B92" t="str">
        <f>IFERROR(__xludf.DUMMYFUNCTION("""COMPUTED_VALUE"""),"GetRevaluationData")</f>
        <v>GetRevaluationData</v>
      </c>
      <c r="C92" t="str">
        <f>IFERROR(__xludf.DUMMYFUNCTION("""COMPUTED_VALUE"""),"1dC5aTXlbVB5i99RaMQttsvBjOnY9xbMXrPkPyO6Mw_s")</f>
        <v>1dC5aTXlbVB5i99RaMQttsvBjOnY9xbMXrPkPyO6Mw_s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IFERROR(__xludf.DUMMYFUNCTION("""COMPUTED_VALUE"""),"SetStrategyValueCalculatedPref")</f>
        <v>SetStrategyValueCalculatedPref</v>
      </c>
      <c r="C93" t="str">
        <f>IFERROR(__xludf.DUMMYFUNCTION("""COMPUTED_VALUE"""),"1oOgyWmcwuTgl5RKZuPWL6r5A9gPRpasPoKJDwdzkY4M")</f>
        <v>1oOgyWmcwuTgl5RKZuPWL6r5A9gPRpasPoKJDwdzkY4M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IFERROR(__xludf.DUMMYFUNCTION("""COMPUTED_VALUE"""),"GetAccountDetails")</f>
        <v>GetAccountDetails</v>
      </c>
      <c r="C94" t="str">
        <f>IFERROR(__xludf.DUMMYFUNCTION("""COMPUTED_VALUE"""),"1_SFoR_bVR9O3JYJJrHz5WF2D-1iQlGtr16zI5pzKMgg")</f>
        <v>1_SFoR_bVR9O3JYJJrHz5WF2D-1iQlGtr16zI5pzKMgg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IFERROR(__xludf.DUMMYFUNCTION("""COMPUTED_VALUE"""),"ApplyBulkUpdateOnTaxlots")</f>
        <v>ApplyBulkUpdateOnTaxlots</v>
      </c>
      <c r="C95" t="str">
        <f>IFERROR(__xludf.DUMMYFUNCTION("""COMPUTED_VALUE"""),"1K04OHbJs6f4ZdmjyymHxFPkQcn3IA-y4foV0iLFJ67Y")</f>
        <v>1K04OHbJs6f4ZdmjyymHxFPkQcn3IA-y4foV0iLFJ67Y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IFERROR(__xludf.DUMMYFUNCTION("""COMPUTED_VALUE"""),"GetNonTradingTransaction")</f>
        <v>GetNonTradingTransaction</v>
      </c>
      <c r="C96" t="str">
        <f>IFERROR(__xludf.DUMMYFUNCTION("""COMPUTED_VALUE"""),"1iMjLB9SegpXSDLjvPduiXyxCbMybdHOw5xdlRvZUAV8")</f>
        <v>1iMjLB9SegpXSDLjvPduiXyxCbMybdHOw5xdlRvZUAV8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IFERROR(__xludf.DUMMYFUNCTION("""COMPUTED_VALUE"""),"CommissionBulkChangeOnGroups")</f>
        <v>CommissionBulkChangeOnGroups</v>
      </c>
      <c r="C97" t="str">
        <f>IFERROR(__xludf.DUMMYFUNCTION("""COMPUTED_VALUE"""),"1XQPv2grnv0IYVhlFYZ4lE9A7UtuFlaUTLAOJ_2UTWWQ")</f>
        <v>1XQPv2grnv0IYVhlFYZ4lE9A7UtuFlaUTLAOJ_2UTWWQ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IFERROR(__xludf.DUMMYFUNCTION("""COMPUTED_VALUE"""),"GetDividendData")</f>
        <v>GetDividendData</v>
      </c>
      <c r="C98" t="str">
        <f>IFERROR(__xludf.DUMMYFUNCTION("""COMPUTED_VALUE"""),"1KL8ZVRHcKobZctbKd9lwMQ4zh6Wdgp4vgNvp8ibzO80")</f>
        <v>1KL8ZVRHcKobZctbKd9lwMQ4zh6Wdgp4vgNvp8ibzO80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IFERROR(__xludf.DUMMYFUNCTION("""COMPUTED_VALUE"""),"CommissionBulkChangeOnTaxlots")</f>
        <v>CommissionBulkChangeOnTaxlots</v>
      </c>
      <c r="C99" t="str">
        <f>IFERROR(__xludf.DUMMYFUNCTION("""COMPUTED_VALUE"""),"1tB4vDtU-wRVb6b4GFjJjG8sLFBFGSiTiY0_szJ6NPFU")</f>
        <v>1tB4vDtU-wRVb6b4GFjJjG8sLFBFGSiTiY0_szJ6NPFU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IFERROR(__xludf.DUMMYFUNCTION("""COMPUTED_VALUE"""),"VerifyNonTradingTransaction")</f>
        <v>VerifyNonTradingTransaction</v>
      </c>
      <c r="C100" t="str">
        <f>IFERROR(__xludf.DUMMYFUNCTION("""COMPUTED_VALUE"""),"1JBjk0ge-XlqS6mSlf5AYF60USBciqBN9-2EL9HqWU4g")</f>
        <v>1JBjk0ge-XlqS6mSlf5AYF60USBciqBN9-2EL9HqWU4g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IFERROR(__xludf.DUMMYFUNCTION("""COMPUTED_VALUE"""),"SelectUnallocatedGroup")</f>
        <v>SelectUnallocatedGroup</v>
      </c>
      <c r="C101" t="str">
        <f>IFERROR(__xludf.DUMMYFUNCTION("""COMPUTED_VALUE"""),"1y3VGhGGfKV33adXqWj6UkUUjAATUt1kMIZMDLTwvnQU")</f>
        <v>1y3VGhGGfKV33adXqWj6UkUUjAATUt1kMIZMDLTwvnQU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IFERROR(__xludf.DUMMYFUNCTION("""COMPUTED_VALUE"""),"VerifyDividend")</f>
        <v>VerifyDividend</v>
      </c>
      <c r="C102" t="str">
        <f>IFERROR(__xludf.DUMMYFUNCTION("""COMPUTED_VALUE"""),"1113QVQN1UZN7nq6bejta4XAN7YgfJr4Nfm9YCKiUBvg")</f>
        <v>1113QVQN1UZN7nq6bejta4XAN7YgfJr4Nfm9YCKiUBvg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IFERROR(__xludf.DUMMYFUNCTION("""COMPUTED_VALUE"""),"EnterAccountValuesToAllocate")</f>
        <v>EnterAccountValuesToAllocate</v>
      </c>
      <c r="C103" t="str">
        <f>IFERROR(__xludf.DUMMYFUNCTION("""COMPUTED_VALUE"""),"1oekpnmI5KdgoXC072l1Zz1mX6fBTBnVdYbYH-PN_hb4")</f>
        <v>1oekpnmI5KdgoXC072l1Zz1mX6fBTBnVdYbYH-PN_hb4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IFERROR(__xludf.DUMMYFUNCTION("""COMPUTED_VALUE"""),"GetOpeningBalanceData")</f>
        <v>GetOpeningBalanceData</v>
      </c>
      <c r="C104" t="str">
        <f>IFERROR(__xludf.DUMMYFUNCTION("""COMPUTED_VALUE"""),"1pp2kdmzY_gMqY91wHyTsX-K1_EsosECT7sZDR4KVAdo")</f>
        <v>1pp2kdmzY_gMqY91wHyTsX-K1_EsosECT7sZDR4KVAdo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IFERROR(__xludf.DUMMYFUNCTION("""COMPUTED_VALUE"""),"EnterAllocatePreference")</f>
        <v>EnterAllocatePreference</v>
      </c>
      <c r="C105" t="str">
        <f>IFERROR(__xludf.DUMMYFUNCTION("""COMPUTED_VALUE"""),"1zmSiKEvfXe-b_0bpW8c_FN0Ba4cOZ2TeCMnv_r-dem8")</f>
        <v>1zmSiKEvfXe-b_0bpW8c_FN0Ba4cOZ2TeCMnv_r-dem8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IFERROR(__xludf.DUMMYFUNCTION("""COMPUTED_VALUE"""),"GetAccountBalance")</f>
        <v>GetAccountBalance</v>
      </c>
      <c r="C106" t="str">
        <f>IFERROR(__xludf.DUMMYFUNCTION("""COMPUTED_VALUE"""),"1aNenJ94TH0BzJ4uSpbC4V-M5ed8GAfkuxNA-zhK77eY")</f>
        <v>1aNenJ94TH0BzJ4uSpbC4V-M5ed8GAfkuxNA-zhK77eY</v>
      </c>
    </row>
    <row r="107" ht="15.75" customHeight="1">
      <c r="A107" t="str">
        <f>IFERROR(__xludf.DUMMYFUNCTION("""COMPUTED_VALUE"""),"Expnl")</f>
        <v>Expnl</v>
      </c>
      <c r="B107" t="str">
        <f>IFERROR(__xludf.DUMMYFUNCTION("""COMPUTED_VALUE"""),"RestartExpnl")</f>
        <v>RestartExpnl</v>
      </c>
      <c r="C107" t="str">
        <f>IFERROR(__xludf.DUMMYFUNCTION("""COMPUTED_VALUE"""),"19BOmuUEhcyH_577PjpNKNdTn_MisNEkIkn9rDB9B_WM")</f>
        <v>19BOmuUEhcyH_577PjpNKNdTn_MisNEkIkn9rDB9B_WM</v>
      </c>
    </row>
    <row r="108" ht="15.75" customHeight="1">
      <c r="A108" t="str">
        <f>IFERROR(__xludf.DUMMYFUNCTION("""COMPUTED_VALUE"""),"PortfolioManagement")</f>
        <v>PortfolioManagement</v>
      </c>
      <c r="B108" t="str">
        <f>IFERROR(__xludf.DUMMYFUNCTION("""COMPUTED_VALUE"""),"ClosePM")</f>
        <v>ClosePM</v>
      </c>
      <c r="C108" t="str">
        <f>IFERROR(__xludf.DUMMYFUNCTION("""COMPUTED_VALUE"""),"undefined")</f>
        <v>undefined</v>
      </c>
    </row>
    <row r="109" ht="15.75" customHeight="1">
      <c r="A109" t="str">
        <f>IFERROR(__xludf.DUMMYFUNCTION("""COMPUTED_VALUE"""),"Allocation")</f>
        <v>Allocation</v>
      </c>
      <c r="B109" t="str">
        <f>IFERROR(__xludf.DUMMYFUNCTION("""COMPUTED_VALUE"""),"EnterStrategyValuesToAllocate")</f>
        <v>EnterStrategyValuesToAllocate</v>
      </c>
      <c r="C109" t="str">
        <f>IFERROR(__xludf.DUMMYFUNCTION("""COMPUTED_VALUE"""),"1LU4phd2j3qGretTjzXpdrNGJNMCTACxiYcOQr9cL-Jk")</f>
        <v>1LU4phd2j3qGretTjzXpdrNGJNMCTACxiYcOQr9cL-Jk</v>
      </c>
    </row>
    <row r="110" ht="15.75" customHeight="1">
      <c r="A110" t="str">
        <f>IFERROR(__xludf.DUMMYFUNCTION("""COMPUTED_VALUE"""),"GeneralLedger")</f>
        <v>GeneralLedger</v>
      </c>
      <c r="B110" t="str">
        <f>IFERROR(__xludf.DUMMYFUNCTION("""COMPUTED_VALUE"""),"SelectNonTradingTransaction")</f>
        <v>SelectNonTradingTransaction</v>
      </c>
      <c r="C110" t="str">
        <f>IFERROR(__xludf.DUMMYFUNCTION("""COMPUTED_VALUE"""),"1iWyzitoYlfjVRVUvfGxtkXYc6oBs41HfLYhkKGDtESM")</f>
        <v>1iWyzitoYlfjVRVUvfGxtkXYc6oBs41HfLYhkKGDtESM</v>
      </c>
    </row>
    <row r="111" ht="15.75" customHeight="1">
      <c r="A111" t="str">
        <f>IFERROR(__xludf.DUMMYFUNCTION("""COMPUTED_VALUE"""),"GeneralLedger")</f>
        <v>GeneralLedger</v>
      </c>
      <c r="B111" t="str">
        <f>IFERROR(__xludf.DUMMYFUNCTION("""COMPUTED_VALUE"""),"SelectNonTradingTranItem")</f>
        <v>SelectNonTradingTranItem</v>
      </c>
      <c r="C111" t="str">
        <f>IFERROR(__xludf.DUMMYFUNCTION("""COMPUTED_VALUE"""),"161MHsTW7pQ4WbTC3fmlmr-3BNN6KoLofYq4glnu8Db4")</f>
        <v>161MHsTW7pQ4WbTC3fmlmr-3BNN6KoLofYq4glnu8Db4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IFERROR(__xludf.DUMMYFUNCTION("""COMPUTED_VALUE"""),"CopyCalculatedPreferenceToolbar")</f>
        <v>CopyCalculatedPreferenceToolbar</v>
      </c>
      <c r="C112" t="str">
        <f>IFERROR(__xludf.DUMMYFUNCTION("""COMPUTED_VALUE"""),"1mIcDMl0Hq_rMk_-7M7uqgmrdDyYkZpE5NfEVN0nrrNc")</f>
        <v>1mIcDMl0Hq_rMk_-7M7uqgmrdDyYkZpE5NfEVN0nrrNc</v>
      </c>
    </row>
    <row r="113" ht="15.75" customHeight="1">
      <c r="A113" t="str">
        <f>IFERROR(__xludf.DUMMYFUNCTION("""COMPUTED_VALUE"""),"Allocation")</f>
        <v>Allocation</v>
      </c>
      <c r="B113" t="str">
        <f>IFERROR(__xludf.DUMMYFUNCTION("""COMPUTED_VALUE"""),"SetGeneralRuleCalculatedPref")</f>
        <v>SetGeneralRuleCalculatedPref</v>
      </c>
      <c r="C113" t="str">
        <f>IFERROR(__xludf.DUMMYFUNCTION("""COMPUTED_VALUE"""),"1mQcMf5GmDkF6vOP0ifcocySBiLGJFGNVphk08KTmdIE")</f>
        <v>1mQcMf5GmDkF6vOP0ifcocySBiLGJFGNVphk08KTmdIE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IFERROR(__xludf.DUMMYFUNCTION("""COMPUTED_VALUE"""),"DeleteNonTradingTransaction")</f>
        <v>DeleteNonTradingTransaction</v>
      </c>
      <c r="C114" t="str">
        <f>IFERROR(__xludf.DUMMYFUNCTION("""COMPUTED_VALUE"""),"1nygItF0UmUJjvn8nff87Qlt-Usyu_vBwQdRr89o1M7g")</f>
        <v>1nygItF0UmUJjvn8nff87Qlt-Usyu_vBwQdRr89o1M7g</v>
      </c>
    </row>
    <row r="115" ht="15.75" customHeight="1">
      <c r="A115" t="str">
        <f>IFERROR(__xludf.DUMMYFUNCTION("""COMPUTED_VALUE"""),"GeneralLedger")</f>
        <v>GeneralLedger</v>
      </c>
      <c r="B115" t="str">
        <f>IFERROR(__xludf.DUMMYFUNCTION("""COMPUTED_VALUE"""),"DeleteNonTradingTranItem")</f>
        <v>DeleteNonTradingTranItem</v>
      </c>
      <c r="C115" t="str">
        <f>IFERROR(__xludf.DUMMYFUNCTION("""COMPUTED_VALUE"""),"1qEWWhGlmb-O8vd_ei1yIVQBVqn4GbpFNL7W-UmtjXu0")</f>
        <v>1qEWWhGlmb-O8vd_ei1yIVQBVqn4GbpFNL7W-UmtjXu0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IFERROR(__xludf.DUMMYFUNCTION("""COMPUTED_VALUE"""),"ExportAllCalculatedPreferences")</f>
        <v>ExportAllCalculatedPreferences</v>
      </c>
      <c r="C116" t="str">
        <f>IFERROR(__xludf.DUMMYFUNCTION("""COMPUTED_VALUE"""),"13jB5_KVp9fcYLvMYzI_weiFw4qRCAJPKd0MvkIKeFJE")</f>
        <v>13jB5_KVp9fcYLvMYzI_weiFw4qRCAJPKd0MvkIKeFJE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IFERROR(__xludf.DUMMYFUNCTION("""COMPUTED_VALUE"""),"AddNonTradingTransaction")</f>
        <v>AddNonTradingTransaction</v>
      </c>
      <c r="C117" t="str">
        <f>IFERROR(__xludf.DUMMYFUNCTION("""COMPUTED_VALUE"""),"1eWY3i5V2CUd0heVi1smkxuk0mWDSNLPqrEtSvOJy-gM")</f>
        <v>1eWY3i5V2CUd0heVi1smkxuk0mWDSNLPqrEtSvOJy-gM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IFERROR(__xludf.DUMMYFUNCTION("""COMPUTED_VALUE"""),"AddNonTradingTranItem")</f>
        <v>AddNonTradingTranItem</v>
      </c>
      <c r="C118" t="str">
        <f>IFERROR(__xludf.DUMMYFUNCTION("""COMPUTED_VALUE"""),"1Zoc8UJ8jmjVsGdL1QSlCBiq4LU_5o74smLRkhRKYGIk")</f>
        <v>1Zoc8UJ8jmjVsGdL1QSlCBiq4LU_5o74smLRkhRKYGIk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IFERROR(__xludf.DUMMYFUNCTION("""COMPUTED_VALUE"""),"SaveCalculatedPreferences")</f>
        <v>SaveCalculatedPreferences</v>
      </c>
      <c r="C119" t="str">
        <f>IFERROR(__xludf.DUMMYFUNCTION("""COMPUTED_VALUE"""),"undefined")</f>
        <v>undefined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IFERROR(__xludf.DUMMYFUNCTION("""COMPUTED_VALUE"""),"VerifyOpeningBalanceData")</f>
        <v>VerifyOpeningBalanceData</v>
      </c>
      <c r="C120" t="str">
        <f>IFERROR(__xludf.DUMMYFUNCTION("""COMPUTED_VALUE"""),"1gMo0cZJKRp5apUL66KJdmh5m6-8R6eKnUhy_ctez1E0")</f>
        <v>1gMo0cZJKRp5apUL66KJdmh5m6-8R6eKnUhy_ctez1E0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IFERROR(__xludf.DUMMYFUNCTION("""COMPUTED_VALUE"""),"SelectOpeningBalanceTransaction")</f>
        <v>SelectOpeningBalanceTransaction</v>
      </c>
      <c r="C121" t="str">
        <f>IFERROR(__xludf.DUMMYFUNCTION("""COMPUTED_VALUE"""),"1vgbRn4sy-VVlITtNQA1aqWVujby84HSgQgpWpMD8thU")</f>
        <v>1vgbRn4sy-VVlITtNQA1aqWVujby84HSgQgpWpMD8thU</v>
      </c>
    </row>
    <row r="122" ht="15.75" customHeight="1">
      <c r="A122" t="str">
        <f>IFERROR(__xludf.DUMMYFUNCTION("""COMPUTED_VALUE"""),"TradingTicket")</f>
        <v>TradingTicket</v>
      </c>
      <c r="B122" t="str">
        <f>IFERROR(__xludf.DUMMYFUNCTION("""COMPUTED_VALUE"""),"CreateStageOrder ")</f>
        <v>CreateStageOrder </v>
      </c>
      <c r="C122" t="str">
        <f>IFERROR(__xludf.DUMMYFUNCTION("""COMPUTED_VALUE"""),"1utaQlZyPChrYjEJNTsKJFnLY5_Mz4WL1Ow1b9_rVt4M")</f>
        <v>1utaQlZyPChrYjEJNTsKJFnLY5_Mz4WL1Ow1b9_rVt4M</v>
      </c>
    </row>
    <row r="123" ht="15.75" customHeight="1">
      <c r="A123" t="str">
        <f>IFERROR(__xludf.DUMMYFUNCTION("""COMPUTED_VALUE"""),"Blotter")</f>
        <v>Blotter</v>
      </c>
      <c r="B123" t="str">
        <f>IFERROR(__xludf.DUMMYFUNCTION("""COMPUTED_VALUE"""),"TransferToUserWorkingSubs")</f>
        <v>TransferToUserWorkingSubs</v>
      </c>
      <c r="C123" t="str">
        <f>IFERROR(__xludf.DUMMYFUNCTION("""COMPUTED_VALUE"""),"162BihnB4_83GNGpbf-mQOozvIx_nf9ZvgJ-ZWwMldCU")</f>
        <v>162BihnB4_83GNGpbf-mQOozvIx_nf9ZvgJ-ZWwMldCU</v>
      </c>
    </row>
    <row r="124" ht="15.75" customHeight="1">
      <c r="A124" t="str">
        <f>IFERROR(__xludf.DUMMYFUNCTION("""COMPUTED_VALUE"""),"Blotter")</f>
        <v>Blotter</v>
      </c>
      <c r="B124" t="str">
        <f>IFERROR(__xludf.DUMMYFUNCTION("""COMPUTED_VALUE"""),"CancelWorkingSubs")</f>
        <v>CancelWorkingSubs</v>
      </c>
      <c r="C124" t="str">
        <f>IFERROR(__xludf.DUMMYFUNCTION("""COMPUTED_VALUE"""),"1OzlqxuZWxzLGoYPt3WWqEL8Yioca7MhnkbyEcmdq_a4")</f>
        <v>1OzlqxuZWxzLGoYPt3WWqEL8Yioca7MhnkbyEcmdq_a4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IFERROR(__xludf.DUMMYFUNCTION("""COMPUTED_VALUE"""),"ReplaceWorkingSubs")</f>
        <v>ReplaceWorkingSubs</v>
      </c>
      <c r="C125" t="str">
        <f>IFERROR(__xludf.DUMMYFUNCTION("""COMPUTED_VALUE"""),"1JBevor8gCZXCsakD7zf3mRjtgRkNqgH04Zw6BOiWnBU")</f>
        <v>1JBevor8gCZXCsakD7zf3mRjtgRkNqgH04Zw6BOiWnBU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IFERROR(__xludf.DUMMYFUNCTION("""COMPUTED_VALUE"""),"ViewAllocationDetailsWorkingSub")</f>
        <v>ViewAllocationDetailsWorkingSub</v>
      </c>
      <c r="C126" t="str">
        <f>IFERROR(__xludf.DUMMYFUNCTION("""COMPUTED_VALUE"""),"1hkYV9H3a-t_P2C_uVeLgLj6gVTphy81XUVMjP6PxJcI")</f>
        <v>1hkYV9H3a-t_P2C_uVeLgLj6gVTphy81XUVMjP6PxJcI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IFERROR(__xludf.DUMMYFUNCTION("""COMPUTED_VALUE"""),"SelectTradeOnOrderGrid")</f>
        <v>SelectTradeOnOrderGrid</v>
      </c>
      <c r="C127" t="str">
        <f>IFERROR(__xludf.DUMMYFUNCTION("""COMPUTED_VALUE"""),"1UEPFgcoaatajkd2gZXxvjDRAe69si-3w7HiuMaEzNCQ")</f>
        <v>1UEPFgcoaatajkd2gZXxvjDRAe69si-3w7HiuMaEzNCQ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IFERROR(__xludf.DUMMYFUNCTION("""COMPUTED_VALUE"""),"ShowDetailsForAlgoTradeSubOrder")</f>
        <v>ShowDetailsForAlgoTradeSubOrder</v>
      </c>
      <c r="C128" t="str">
        <f>IFERROR(__xludf.DUMMYFUNCTION("""COMPUTED_VALUE"""),"1EbF2Puwfk9q9RDVV52whoOn8X_aqiRwqzAF7kyNJ4sQ")</f>
        <v>1EbF2Puwfk9q9RDVV52whoOn8X_aqiRwqzAF7kyNJ4sQ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IFERROR(__xludf.DUMMYFUNCTION("""COMPUTED_VALUE"""),"SelectTradeOrderBlotter")</f>
        <v>SelectTradeOrderBlotter</v>
      </c>
      <c r="C129" t="str">
        <f>IFERROR(__xludf.DUMMYFUNCTION("""COMPUTED_VALUE"""),"1dVMus9g6omAUxfzvO3zOKK2JzaUK402jmUZLE69z1qk")</f>
        <v>1dVMus9g6omAUxfzvO3zOKK2JzaUK402jmUZLE69z1qk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IFERROR(__xludf.DUMMYFUNCTION("""COMPUTED_VALUE"""),"AddFillsWorkingSubs")</f>
        <v>AddFillsWorkingSubs</v>
      </c>
      <c r="C130" t="str">
        <f>IFERROR(__xludf.DUMMYFUNCTION("""COMPUTED_VALUE"""),"1yWSCXvx7xtDuLrsDg1U3jnG8t5BgPh9tipAUhuvfWhg")</f>
        <v>1yWSCXvx7xtDuLrsDg1U3jnG8t5BgPh9tipAUhuvfWhg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IFERROR(__xludf.DUMMYFUNCTION("""COMPUTED_VALUE"""),"EditAddFillsDetails")</f>
        <v>EditAddFillsDetails</v>
      </c>
      <c r="C131" t="str">
        <f>IFERROR(__xludf.DUMMYFUNCTION("""COMPUTED_VALUE"""),"1r1DNmVMt8zp2Rh2ODA2AvQ2JVy_wbUbSVQTzelG_uJc")</f>
        <v>1r1DNmVMt8zp2Rh2ODA2AvQ2JVy_wbUbSVQTzelG_uJc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IFERROR(__xludf.DUMMYFUNCTION("""COMPUTED_VALUE"""),"ShowDetailsForAlgoTradeWorkingSubs")</f>
        <v>ShowDetailsForAlgoTradeWorkingSubs</v>
      </c>
      <c r="C132" t="str">
        <f>IFERROR(__xludf.DUMMYFUNCTION("""COMPUTED_VALUE"""),"1WM4VdK42RR8dhRH84QYaQdVs67v582HUpEAV8ZlIrNE")</f>
        <v>1WM4VdK42RR8dhRH84QYaQdVs67v582HUpEAV8ZlIrNE</v>
      </c>
    </row>
    <row r="133" ht="15.75" customHeight="1">
      <c r="A133" t="str">
        <f>IFERROR(__xludf.DUMMYFUNCTION("""COMPUTED_VALUE"""),"Closing")</f>
        <v>Closing</v>
      </c>
      <c r="B133" t="str">
        <f>IFERROR(__xludf.DUMMYFUNCTION("""COMPUTED_VALUE"""),"SwapExpire")</f>
        <v>SwapExpire</v>
      </c>
      <c r="C133" t="str">
        <f>IFERROR(__xludf.DUMMYFUNCTION("""COMPUTED_VALUE"""),"1lxTKzP48dL11mFrekIoraN52hwBinmP7CaF8hguPiWM")</f>
        <v>1lxTKzP48dL11mFrekIoraN52hwBinmP7CaF8hguPiWM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IFERROR(__xludf.DUMMYFUNCTION("""COMPUTED_VALUE"""),"VerifyWorkingSubs")</f>
        <v>VerifyWorkingSubs</v>
      </c>
      <c r="C134" t="str">
        <f>IFERROR(__xludf.DUMMYFUNCTION("""COMPUTED_VALUE"""),"1MDINGPOr4HHdaf18VTPq9vzuogxMXdpnMpH-VhDjEJQ")</f>
        <v>1MDINGPOr4HHdaf18VTPq9vzuogxMXdpnMpH-VhDjEJQ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IFERROR(__xludf.DUMMYFUNCTION("""COMPUTED_VALUE"""),"TransferToUserOrder")</f>
        <v>TransferToUserOrder</v>
      </c>
      <c r="C135" t="str">
        <f>IFERROR(__xludf.DUMMYFUNCTION("""COMPUTED_VALUE"""),"19GkDFb9i_0Z7AmHMmxembI5JmX3LwAvR4o81AJhWhFo")</f>
        <v>19GkDFb9i_0Z7AmHMmxembI5JmX3LwAvR4o81AJhWhFo</v>
      </c>
    </row>
    <row r="136" ht="15.75" customHeight="1">
      <c r="A136" t="str">
        <f>IFERROR(__xludf.DUMMYFUNCTION("""COMPUTED_VALUE"""),"Allocation")</f>
        <v>Allocation</v>
      </c>
      <c r="B136" t="str">
        <f>IFERROR(__xludf.DUMMYFUNCTION("""COMPUTED_VALUE"""),"CloseCalculatedPreferences")</f>
        <v>CloseCalculatedPreferences</v>
      </c>
      <c r="C136" t="str">
        <f>IFERROR(__xludf.DUMMYFUNCTION("""COMPUTED_VALUE"""),"undefined")</f>
        <v>undefined</v>
      </c>
    </row>
    <row r="137" ht="15.75" customHeight="1">
      <c r="A137" t="str">
        <f>IFERROR(__xludf.DUMMYFUNCTION("""COMPUTED_VALUE"""),"TradingTicket")</f>
        <v>TradingTicket</v>
      </c>
      <c r="B137" t="str">
        <f>IFERROR(__xludf.DUMMYFUNCTION("""COMPUTED_VALUE"""),"CreateReplaceOrder")</f>
        <v>CreateReplaceOrder</v>
      </c>
      <c r="C137" t="str">
        <f>IFERROR(__xludf.DUMMYFUNCTION("""COMPUTED_VALUE"""),"1m08EaZMEd_PJyF4u21O8zHkbqCEoIwUek1gV2O2zTFc")</f>
        <v>1m08EaZMEd_PJyF4u21O8zHkbqCEoIwUek1gV2O2zTFc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IFERROR(__xludf.DUMMYFUNCTION("""COMPUTED_VALUE"""),"EditOrder")</f>
        <v>EditOrder</v>
      </c>
      <c r="C138" t="str">
        <f>IFERROR(__xludf.DUMMYFUNCTION("""COMPUTED_VALUE"""),"1FdiTr3p4sB_34AkxAC9yEN95HRwfW9kguJTWhbITGsw")</f>
        <v>1FdiTr3p4sB_34AkxAC9yEN95HRwfW9kguJTWhbITGsw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IFERROR(__xludf.DUMMYFUNCTION("""COMPUTED_VALUE"""),"SelectTradeSubOrderBlotter")</f>
        <v>SelectTradeSubOrderBlotter</v>
      </c>
      <c r="C139" t="str">
        <f>IFERROR(__xludf.DUMMYFUNCTION("""COMPUTED_VALUE"""),"1ydXTq4HfmMwXb26sbL559XVIKWx5MGzOpaRy7GE_Efg")</f>
        <v>1ydXTq4HfmMwXb26sbL559XVIKWx5MGzOpaRy7GE_Efg</v>
      </c>
    </row>
    <row r="140" ht="15.75" customHeight="1">
      <c r="A140" t="str">
        <f>IFERROR(__xludf.DUMMYFUNCTION("""COMPUTED_VALUE"""),"Blotter")</f>
        <v>Blotter</v>
      </c>
      <c r="B140" t="str">
        <f>IFERROR(__xludf.DUMMYFUNCTION("""COMPUTED_VALUE"""),"VerifyOrder")</f>
        <v>VerifyOrder</v>
      </c>
      <c r="C140" t="str">
        <f>IFERROR(__xludf.DUMMYFUNCTION("""COMPUTED_VALUE"""),"1KPvh5sbL5ZzT9aQj7y_m4SGJH4prbGMdD6q119JNWU0")</f>
        <v>1KPvh5sbL5ZzT9aQj7y_m4SGJH4prbGMdD6q119JNWU0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IFERROR(__xludf.DUMMYFUNCTION("""COMPUTED_VALUE"""),"VerifySubOrder")</f>
        <v>VerifySubOrder</v>
      </c>
      <c r="C141" t="str">
        <f>IFERROR(__xludf.DUMMYFUNCTION("""COMPUTED_VALUE"""),"1DZHQRdplkZdEkQqJd57JvSzMbJiAOy8tzCAyF4lx9Pc")</f>
        <v>1DZHQRdplkZdEkQqJd57JvSzMbJiAOy8tzCAyF4lx9Pc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IFERROR(__xludf.DUMMYFUNCTION("""COMPUTED_VALUE"""),"RemoveSelectedOrders")</f>
        <v>RemoveSelectedOrders</v>
      </c>
      <c r="C142" t="str">
        <f>IFERROR(__xludf.DUMMYFUNCTION("""COMPUTED_VALUE"""),"1I2h0eMj06q16qWu3x_COKaHmNHpQ-mfOD5zTiStq-8o")</f>
        <v>1I2h0eMj06q16qWu3x_COKaHmNHpQ-mfOD5zTiStq-8o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IFERROR(__xludf.DUMMYFUNCTION("""COMPUTED_VALUE"""),"CancelAllSelectedSubs")</f>
        <v>CancelAllSelectedSubs</v>
      </c>
      <c r="C143" t="str">
        <f>IFERROR(__xludf.DUMMYFUNCTION("""COMPUTED_VALUE"""),"1ViGu30XsXMHX3Gnsm5c3Mz2-nPuarZljWP7raZniByQ")</f>
        <v>1ViGu30XsXMHX3Gnsm5c3Mz2-nPuarZljWP7raZniByQ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IFERROR(__xludf.DUMMYFUNCTION("""COMPUTED_VALUE"""),"MultiTradingTicket")</f>
        <v>MultiTradingTicket</v>
      </c>
      <c r="C144" t="str">
        <f>IFERROR(__xludf.DUMMYFUNCTION("""COMPUTED_VALUE"""),"1esI0BGt6MADNAOgxCxFY7iQUgwaJiIQ7naWRhJNE6YM")</f>
        <v>1esI0BGt6MADNAOgxCxFY7iQUgwaJiIQ7naWRhJNE6YM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IFERROR(__xludf.DUMMYFUNCTION("""COMPUTED_VALUE"""),"AuditTrailOrderBlotter")</f>
        <v>AuditTrailOrderBlotter</v>
      </c>
      <c r="C145" t="str">
        <f>IFERROR(__xludf.DUMMYFUNCTION("""COMPUTED_VALUE"""),"1LfowcSD0sKUNxqanW6Esrw-G4DfzBzHPlPhbQ2XNPIw")</f>
        <v>1LfowcSD0sKUNxqanW6Esrw-G4DfzBzHPlPhbQ2XNPIw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IFERROR(__xludf.DUMMYFUNCTION("""COMPUTED_VALUE"""),"TradeNewSubOrder")</f>
        <v>TradeNewSubOrder</v>
      </c>
      <c r="C146" t="str">
        <f>IFERROR(__xludf.DUMMYFUNCTION("""COMPUTED_VALUE"""),"1rrAQ76Oor5S147oQKB6NLIh3mFOTd7GM3_mcvZLjFHE")</f>
        <v>1rrAQ76Oor5S147oQKB6NLIh3mFOTd7GM3_mcvZLjFHE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IFERROR(__xludf.DUMMYFUNCTION("""COMPUTED_VALUE"""),"RemoveStageOrder")</f>
        <v>RemoveStageOrder</v>
      </c>
      <c r="C147" t="str">
        <f>IFERROR(__xludf.DUMMYFUNCTION("""COMPUTED_VALUE"""),"1yesBzCu7zJNRyFAlQoWYc-gHyFLfDXmOoydJChyl-y4")</f>
        <v>1yesBzCu7zJNRyFAlQoWYc-gHyFLfDXmOoydJChyl-y4</v>
      </c>
    </row>
    <row r="148" ht="15.75" customHeight="1">
      <c r="A148" t="str">
        <f>IFERROR(__xludf.DUMMYFUNCTION("""COMPUTED_VALUE"""),"TradingTicket")</f>
        <v>TradingTicket</v>
      </c>
      <c r="B148" t="str">
        <f>IFERROR(__xludf.DUMMYFUNCTION("""COMPUTED_VALUE"""),"SetGeneralPreference")</f>
        <v>SetGeneralPreference</v>
      </c>
      <c r="C148" t="str">
        <f>IFERROR(__xludf.DUMMYFUNCTION("""COMPUTED_VALUE"""),"1JITDuhD-vpifKV9i-IxhKiXaxqcX9mb9wfZDFnhsWec")</f>
        <v>1JITDuhD-vpifKV9i-IxhKiXaxqcX9mb9wfZDFnhsWec</v>
      </c>
    </row>
    <row r="149" ht="15.75" customHeight="1">
      <c r="A149" t="str">
        <f>IFERROR(__xludf.DUMMYFUNCTION("""COMPUTED_VALUE"""),"Allocation")</f>
        <v>Allocation</v>
      </c>
      <c r="B149" t="str">
        <f>IFERROR(__xludf.DUMMYFUNCTION("""COMPUTED_VALUE"""),"ExportCalculatedPreference")</f>
        <v>ExportCalculatedPreference</v>
      </c>
      <c r="C149" t="str">
        <f>IFERROR(__xludf.DUMMYFUNCTION("""COMPUTED_VALUE"""),"1UwxdsAO5xYeShwsQjcIwFCmCJ4TG5e0pdbTda5C9Ni8")</f>
        <v>1UwxdsAO5xYeShwsQjcIwFCmCJ4TG5e0pdbTda5C9Ni8</v>
      </c>
    </row>
    <row r="150" ht="15.75" customHeight="1">
      <c r="A150" t="str">
        <f>IFERROR(__xludf.DUMMYFUNCTION("""COMPUTED_VALUE"""),"GeneralLedger")</f>
        <v>GeneralLedger</v>
      </c>
      <c r="B150" t="str">
        <f>IFERROR(__xludf.DUMMYFUNCTION("""COMPUTED_VALUE"""),"SelectOpeningBalanceTranItem")</f>
        <v>SelectOpeningBalanceTranItem</v>
      </c>
      <c r="C150" t="str">
        <f>IFERROR(__xludf.DUMMYFUNCTION("""COMPUTED_VALUE"""),"14ShL91t2z_z4pjEMFRSGO-cKRHuWmHiSIRjzX_Qvys0")</f>
        <v>14ShL91t2z_z4pjEMFRSGO-cKRHuWmHiSIRjzX_Qvys0</v>
      </c>
    </row>
    <row r="151" ht="15.75" customHeight="1">
      <c r="A151" t="str">
        <f>IFERROR(__xludf.DUMMYFUNCTION("""COMPUTED_VALUE"""),"PricingInput")</f>
        <v>PricingInput</v>
      </c>
      <c r="B151" t="str">
        <f>IFERROR(__xludf.DUMMYFUNCTION("""COMPUTED_VALUE"""),"EODTPreferences")</f>
        <v>EODTPreferences</v>
      </c>
      <c r="C151" t="str">
        <f>IFERROR(__xludf.DUMMYFUNCTION("""COMPUTED_VALUE"""),"1XjgKwmzutf0_o28Ts6VmVRIT8fBmEcIhwzHuDT77PY0")</f>
        <v>1XjgKwmzutf0_o28Ts6VmVRIT8fBmEcIhwzHuDT77PY0</v>
      </c>
    </row>
    <row r="152" ht="15.75" customHeight="1">
      <c r="A152" t="str">
        <f>IFERROR(__xludf.DUMMYFUNCTION("""COMPUTED_VALUE"""),"PricingInput")</f>
        <v>PricingInput</v>
      </c>
      <c r="B152" t="str">
        <f>IFERROR(__xludf.DUMMYFUNCTION("""COMPUTED_VALUE"""),"LiveData")</f>
        <v>LiveData</v>
      </c>
      <c r="C152" t="str">
        <f>IFERROR(__xludf.DUMMYFUNCTION("""COMPUTED_VALUE"""),"1N4Ho-MHhVufhNMfh1YnjgLuTA5wHdrgUytI0nIpGAgU")</f>
        <v>1N4Ho-MHhVufhNMfh1YnjgLuTA5wHdrgUytI0nIpGAgU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IFERROR(__xludf.DUMMYFUNCTION("""COMPUTED_VALUE"""),"EditNonTradingTransaction")</f>
        <v>EditNonTradingTransaction</v>
      </c>
      <c r="C153" t="str">
        <f>IFERROR(__xludf.DUMMYFUNCTION("""COMPUTED_VALUE"""),"1KnL6IlGeWCSJiWyvDA35CAD801GLFmPg0IX6tl2xueg")</f>
        <v>1KnL6IlGeWCSJiWyvDA35CAD801GLFmPg0IX6tl2xueg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IFERROR(__xludf.DUMMYFUNCTION("""COMPUTED_VALUE"""),"EditNonTradingTranItem")</f>
        <v>EditNonTradingTranItem</v>
      </c>
      <c r="C154" t="str">
        <f>IFERROR(__xludf.DUMMYFUNCTION("""COMPUTED_VALUE"""),"1Vt_LrjnJrYNeyFbrPWR2mccROtAbfJ0IUqL_Wlnjozc")</f>
        <v>1Vt_LrjnJrYNeyFbrPWR2mccROtAbfJ0IUqL_Wlnjozc</v>
      </c>
    </row>
    <row r="155" ht="15.75" customHeight="1">
      <c r="A155" t="str">
        <f>IFERROR(__xludf.DUMMYFUNCTION("""COMPUTED_VALUE"""),"GeneralLedger")</f>
        <v>GeneralLedger</v>
      </c>
      <c r="B155" t="str">
        <f>IFERROR(__xludf.DUMMYFUNCTION("""COMPUTED_VALUE"""),"DeleteOpeningBalanceTransaction")</f>
        <v>DeleteOpeningBalanceTransaction</v>
      </c>
      <c r="C155" t="str">
        <f>IFERROR(__xludf.DUMMYFUNCTION("""COMPUTED_VALUE"""),"1_4ZRkd1BLcUVqdTKNYEbvwxBPa5d-wQ8fp3SWuaCy7A")</f>
        <v>1_4ZRkd1BLcUVqdTKNYEbvwxBPa5d-wQ8fp3SWuaCy7A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IFERROR(__xludf.DUMMYFUNCTION("""COMPUTED_VALUE"""),"DeleteOpeningBalanceTranItem")</f>
        <v>DeleteOpeningBalanceTranItem</v>
      </c>
      <c r="C156" t="str">
        <f>IFERROR(__xludf.DUMMYFUNCTION("""COMPUTED_VALUE"""),"1Z5WgLneKTh_sh9eMVI6h6MjxHaHvWBqKNUSU7JcMrEw")</f>
        <v>1Z5WgLneKTh_sh9eMVI6h6MjxHaHvWBqKNUSU7JcMrEw</v>
      </c>
    </row>
    <row r="157" ht="15.75" customHeight="1">
      <c r="A157" t="str">
        <f>IFERROR(__xludf.DUMMYFUNCTION("""COMPUTED_VALUE"""),"Allocation")</f>
        <v>Allocation</v>
      </c>
      <c r="B157" t="str">
        <f>IFERROR(__xludf.DUMMYFUNCTION("""COMPUTED_VALUE"""),"ImportCalculatedPreferences")</f>
        <v>ImportCalculatedPreferences</v>
      </c>
      <c r="C157" t="str">
        <f>IFERROR(__xludf.DUMMYFUNCTION("""COMPUTED_VALUE"""),"1EGUnde-7rtVt7KhAWLx5-c7imdcnI7BTbH0BYUiRkk0")</f>
        <v>1EGUnde-7rtVt7KhAWLx5-c7imdcnI7BTbH0BYUiRkk0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IFERROR(__xludf.DUMMYFUNCTION("""COMPUTED_VALUE"""),"GetDayEndCash")</f>
        <v>GetDayEndCash</v>
      </c>
      <c r="C158" t="str">
        <f>IFERROR(__xludf.DUMMYFUNCTION("""COMPUTED_VALUE"""),"1voBPiwdXfPZyYmNsKVmA2-kAwnDtFcbCA87sa76dum4")</f>
        <v>1voBPiwdXfPZyYmNsKVmA2-kAwnDtFcbCA87sa76dum4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IFERROR(__xludf.DUMMYFUNCTION("""COMPUTED_VALUE"""),"VerifyDayEndCash")</f>
        <v>VerifyDayEndCash</v>
      </c>
      <c r="C159" t="str">
        <f>IFERROR(__xludf.DUMMYFUNCTION("""COMPUTED_VALUE"""),"1ZbDcgCeQpkAKM8Smq6zd36nogNVo-xRaIYmfQtA9UL4")</f>
        <v>1ZbDcgCeQpkAKM8Smq6zd36nogNVo-xRaIYmfQtA9UL4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IFERROR(__xludf.DUMMYFUNCTION("""COMPUTED_VALUE"""),"OpenAuditTrailUnallocatedGroup")</f>
        <v>OpenAuditTrailUnallocatedGroup</v>
      </c>
      <c r="C160" t="str">
        <f>IFERROR(__xludf.DUMMYFUNCTION("""COMPUTED_VALUE"""),"1sluoFo9SO5FkDshIY4XRUBU75XlWkBbYHraHd-7ST9g")</f>
        <v>1sluoFo9SO5FkDshIY4XRUBU75XlWkBbYHraHd-7ST9g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IFERROR(__xludf.DUMMYFUNCTION("""COMPUTED_VALUE"""),"DeleteCalculatedPreferencesTool")</f>
        <v>DeleteCalculatedPreferencesTool</v>
      </c>
      <c r="C161" t="str">
        <f>IFERROR(__xludf.DUMMYFUNCTION("""COMPUTED_VALUE"""),"1AXull1J67Ef-OGrKTmcUfNSyWZ44tBFwGHDEiuV4K6I")</f>
        <v>1AXull1J67Ef-OGrKTmcUfNSyWZ44tBFwGHDEiuV4K6I</v>
      </c>
    </row>
    <row r="162" ht="15.75" customHeight="1">
      <c r="A162" t="str">
        <f>IFERROR(__xludf.DUMMYFUNCTION("""COMPUTED_VALUE"""),"Allocation")</f>
        <v>Allocation</v>
      </c>
      <c r="B162" t="str">
        <f>IFERROR(__xludf.DUMMYFUNCTION("""COMPUTED_VALUE"""),"ImportCalculatedPreferencesTool")</f>
        <v>ImportCalculatedPreferencesTool</v>
      </c>
      <c r="C162" t="str">
        <f>IFERROR(__xludf.DUMMYFUNCTION("""COMPUTED_VALUE"""),"1tp0a67Fc8ilOxcv6kVJJ1NPGwgm9edRiLRaXX9e_OkI")</f>
        <v>1tp0a67Fc8ilOxcv6kVJJ1NPGwgm9edRiLRaXX9e_OkI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IFERROR(__xludf.DUMMYFUNCTION("""COMPUTED_VALUE"""),"RunRevaluation")</f>
        <v>RunRevaluation</v>
      </c>
      <c r="C163" t="str">
        <f>IFERROR(__xludf.DUMMYFUNCTION("""COMPUTED_VALUE"""),"1HtGttMhZ73FzgJN2ySWB2759VbqKk8jUkzOYmM4w5og")</f>
        <v>1HtGttMhZ73FzgJN2ySWB2759VbqKk8jUkzOYmM4w5og</v>
      </c>
    </row>
    <row r="164" ht="15.75" customHeight="1">
      <c r="A164" t="str">
        <f>IFERROR(__xludf.DUMMYFUNCTION("""COMPUTED_VALUE"""),"GeneralLedger")</f>
        <v>GeneralLedger</v>
      </c>
      <c r="B164" t="str">
        <f>IFERROR(__xludf.DUMMYFUNCTION("""COMPUTED_VALUE"""),"CalculateDayEndCash")</f>
        <v>CalculateDayEndCash</v>
      </c>
      <c r="C164" t="str">
        <f>IFERROR(__xludf.DUMMYFUNCTION("""COMPUTED_VALUE"""),"undefined")</f>
        <v>undefined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IFERROR(__xludf.DUMMYFUNCTION("""COMPUTED_VALUE"""),"ExportAllCalculatedPreferTool")</f>
        <v>ExportAllCalculatedPreferTool</v>
      </c>
      <c r="C165" t="str">
        <f>IFERROR(__xludf.DUMMYFUNCTION("""COMPUTED_VALUE"""),"15QIleRp2-b0IYUI-ehetd2mHyt-4z9syDcieDD2mLxk")</f>
        <v>15QIleRp2-b0IYUI-ehetd2mHyt-4z9syDcieDD2mLxk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IFERROR(__xludf.DUMMYFUNCTION("""COMPUTED_VALUE"""),"OpenAuditTrailAllocatedGroup")</f>
        <v>OpenAuditTrailAllocatedGroup</v>
      </c>
      <c r="C166" t="str">
        <f>IFERROR(__xludf.DUMMYFUNCTION("""COMPUTED_VALUE"""),"17oz5gRqUlS1UN4BHGRtOuPthFZ-IDInTSHds76IppLU")</f>
        <v>17oz5gRqUlS1UN4BHGRtOuPthFZ-IDInTSHds76IppLU</v>
      </c>
    </row>
    <row r="167" ht="15.75" customHeight="1">
      <c r="A167" t="str">
        <f>IFERROR(__xludf.DUMMYFUNCTION("""COMPUTED_VALUE"""),"Allocation")</f>
        <v>Allocation</v>
      </c>
      <c r="B167" t="str">
        <f>IFERROR(__xludf.DUMMYFUNCTION("""COMPUTED_VALUE"""),"OpenSymbolLookupUnallocateGroup")</f>
        <v>OpenSymbolLookupUnallocateGroup</v>
      </c>
      <c r="C167" t="str">
        <f>IFERROR(__xludf.DUMMYFUNCTION("""COMPUTED_VALUE"""),"1y2rmoKWRJ1cRiz5LhFrNvh7MxgCR7p_qT0aPh70qR8A")</f>
        <v>1y2rmoKWRJ1cRiz5LhFrNvh7MxgCR7p_qT0aPh70qR8A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IFERROR(__xludf.DUMMYFUNCTION("""COMPUTED_VALUE"""),"OpenSymbolLookupAllocatedGroup")</f>
        <v>OpenSymbolLookupAllocatedGroup</v>
      </c>
      <c r="C168" t="str">
        <f>IFERROR(__xludf.DUMMYFUNCTION("""COMPUTED_VALUE"""),"1t9Nth6tICUr2n4BxjLmx_IVSI_93_xKyvYiTFrlGCz8")</f>
        <v>1t9Nth6tICUr2n4BxjLmx_IVSI_93_xKyvYiTFrlGCz8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IFERROR(__xludf.DUMMYFUNCTION("""COMPUTED_VALUE"""),"DeleteFixedPreference")</f>
        <v>DeleteFixedPreference</v>
      </c>
      <c r="C169" t="str">
        <f>IFERROR(__xludf.DUMMYFUNCTION("""COMPUTED_VALUE"""),"1gGOAdMStsDesMjBSr8g-_5lpVc1kvIy1BnuZTTjh640")</f>
        <v>1gGOAdMStsDesMjBSr8g-_5lpVc1kvIy1BnuZTTjh640</v>
      </c>
    </row>
    <row r="170" ht="15.75" customHeight="1">
      <c r="A170" t="str">
        <f>IFERROR(__xludf.DUMMYFUNCTION("""COMPUTED_VALUE"""),"Blotter")</f>
        <v>Blotter</v>
      </c>
      <c r="B170" t="str">
        <f>IFERROR(__xludf.DUMMYFUNCTION("""COMPUTED_VALUE"""),"TransferToUserSubOrder")</f>
        <v>TransferToUserSubOrder</v>
      </c>
      <c r="C170" t="str">
        <f>IFERROR(__xludf.DUMMYFUNCTION("""COMPUTED_VALUE"""),"1QiiEz0ySEy6vxI_FQW0Oyptltoie_Q00dftKZnSh6Xo")</f>
        <v>1QiiEz0ySEy6vxI_FQW0Oyptltoie_Q00dftKZnSh6Xo</v>
      </c>
    </row>
    <row r="171" ht="15.75" customHeight="1">
      <c r="A171" t="str">
        <f>IFERROR(__xludf.DUMMYFUNCTION("""COMPUTED_VALUE"""),"Blotter")</f>
        <v>Blotter</v>
      </c>
      <c r="B171" t="str">
        <f>IFERROR(__xludf.DUMMYFUNCTION("""COMPUTED_VALUE"""),"DetailsForAlgoTradeOrder")</f>
        <v>DetailsForAlgoTradeOrder</v>
      </c>
      <c r="C171" t="str">
        <f>IFERROR(__xludf.DUMMYFUNCTION("""COMPUTED_VALUE"""),"1oBBieGcGJlG7p695WhgxWMljR6UsqhojEOG3y87RCNA")</f>
        <v>1oBBieGcGJlG7p695WhgxWMljR6UsqhojEOG3y87RCNA</v>
      </c>
    </row>
    <row r="172" ht="15.75" customHeight="1">
      <c r="A172" t="str">
        <f>IFERROR(__xludf.DUMMYFUNCTION("""COMPUTED_VALUE"""),"Blotter")</f>
        <v>Blotter</v>
      </c>
      <c r="B172" t="str">
        <f>IFERROR(__xludf.DUMMYFUNCTION("""COMPUTED_VALUE"""),"AddFillsSubOrder")</f>
        <v>AddFillsSubOrder</v>
      </c>
      <c r="C172" t="str">
        <f>IFERROR(__xludf.DUMMYFUNCTION("""COMPUTED_VALUE"""),"1wduydFX2YVrARw9VzjjawbwipTCTBcRUuzJf4tubZuk")</f>
        <v>1wduydFX2YVrARw9VzjjawbwipTCTBcRUuzJf4tubZuk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IFERROR(__xludf.DUMMYFUNCTION("""COMPUTED_VALUE"""),"ViewAllocationDetailsSubOrder")</f>
        <v>ViewAllocationDetailsSubOrder</v>
      </c>
      <c r="C173" t="str">
        <f>IFERROR(__xludf.DUMMYFUNCTION("""COMPUTED_VALUE"""),"1KBzhab8nYOXyv5aSvJP_X5HcdtJfDSEwj6kHJNOyd7g")</f>
        <v>1KBzhab8nYOXyv5aSvJP_X5HcdtJfDSEwj6kHJNOyd7g</v>
      </c>
    </row>
    <row r="174" ht="15.75" customHeight="1">
      <c r="A174" t="str">
        <f>IFERROR(__xludf.DUMMYFUNCTION("""COMPUTED_VALUE"""),"GeneralLedger")</f>
        <v>GeneralLedger</v>
      </c>
      <c r="B174" t="str">
        <f>IFERROR(__xludf.DUMMYFUNCTION("""COMPUTED_VALUE"""),"GetCashTransaction")</f>
        <v>GetCashTransaction</v>
      </c>
      <c r="C174" t="str">
        <f>IFERROR(__xludf.DUMMYFUNCTION("""COMPUTED_VALUE"""),"1XtDJ7ML3jp88_vzz8ZS2ZKkz67Q7-zPqUij0EbKbbVw")</f>
        <v>1XtDJ7ML3jp88_vzz8ZS2ZKkz67Q7-zPqUij0EbKbbVw</v>
      </c>
    </row>
    <row r="175" ht="15.75" customHeight="1">
      <c r="A175" t="str">
        <f>IFERROR(__xludf.DUMMYFUNCTION("""COMPUTED_VALUE"""),"GeneralLedger")</f>
        <v>GeneralLedger</v>
      </c>
      <c r="B175" t="str">
        <f>IFERROR(__xludf.DUMMYFUNCTION("""COMPUTED_VALUE"""),"SelectCashTransaction")</f>
        <v>SelectCashTransaction</v>
      </c>
      <c r="C175" t="str">
        <f>IFERROR(__xludf.DUMMYFUNCTION("""COMPUTED_VALUE"""),"1PBzQjDn-uLpe6lby9ZXs-MQD3z1OdC5dbHW5C5tjNys")</f>
        <v>1PBzQjDn-uLpe6lby9ZXs-MQD3z1OdC5dbHW5C5tjNys</v>
      </c>
    </row>
    <row r="176" ht="15.75" customHeight="1">
      <c r="A176" t="str">
        <f>IFERROR(__xludf.DUMMYFUNCTION("""COMPUTED_VALUE"""),"GeneralLedger")</f>
        <v>GeneralLedger</v>
      </c>
      <c r="B176" t="str">
        <f>IFERROR(__xludf.DUMMYFUNCTION("""COMPUTED_VALUE"""),"DeleteCashTransaction")</f>
        <v>DeleteCashTransaction</v>
      </c>
      <c r="C176" t="str">
        <f>IFERROR(__xludf.DUMMYFUNCTION("""COMPUTED_VALUE"""),"1yETEpR6igPFUxBM62AiBHlKOsmKCMX4j30T8LHnQez4")</f>
        <v>1yETEpR6igPFUxBM62AiBHlKOsmKCMX4j30T8LHnQez4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IFERROR(__xludf.DUMMYFUNCTION("""COMPUTED_VALUE"""),"EditCashTransaction")</f>
        <v>EditCashTransaction</v>
      </c>
      <c r="C177" t="str">
        <f>IFERROR(__xludf.DUMMYFUNCTION("""COMPUTED_VALUE"""),"1D1W6qoo9tkPdR39-aHuoUX0hEX3enZDhH-iIikhQ-d4")</f>
        <v>1D1W6qoo9tkPdR39-aHuoUX0hEX3enZDhH-iIikhQ-d4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IFERROR(__xludf.DUMMYFUNCTION("""COMPUTED_VALUE"""),"AddCashTransaction")</f>
        <v>AddCashTransaction</v>
      </c>
      <c r="C178" t="str">
        <f>IFERROR(__xludf.DUMMYFUNCTION("""COMPUTED_VALUE"""),"14MqHipTdSRMof0ARtfNiV8fv4gK4AF-d3MPVGJbqOOg")</f>
        <v>14MqHipTdSRMof0ARtfNiV8fv4gK4AF-d3MPVGJbqOOg</v>
      </c>
    </row>
    <row r="179" ht="15.75" customHeight="1">
      <c r="A179" t="str">
        <f>IFERROR(__xludf.DUMMYFUNCTION("""COMPUTED_VALUE"""),"Allocation")</f>
        <v>Allocation</v>
      </c>
      <c r="B179" t="str">
        <f>IFERROR(__xludf.DUMMYFUNCTION("""COMPUTED_VALUE"""),"EditAllocatedGroupSidePanel")</f>
        <v>EditAllocatedGroupSidePanel</v>
      </c>
      <c r="C179" t="str">
        <f>IFERROR(__xludf.DUMMYFUNCTION("""COMPUTED_VALUE"""),"1kUWbSeRq9Kx5kPYaxJm_KewmivDpsFoMfKu4VV30Pk4")</f>
        <v>1kUWbSeRq9Kx5kPYaxJm_KewmivDpsFoMfKu4VV30Pk4</v>
      </c>
    </row>
    <row r="180" ht="15.75" customHeight="1">
      <c r="A180" t="str">
        <f>IFERROR(__xludf.DUMMYFUNCTION("""COMPUTED_VALUE"""),"DailyValuation")</f>
        <v>DailyValuation</v>
      </c>
      <c r="B180" t="str">
        <f>IFERROR(__xludf.DUMMYFUNCTION("""COMPUTED_VALUE"""),"GetMarkPriceData")</f>
        <v>GetMarkPriceData</v>
      </c>
      <c r="C180" t="str">
        <f>IFERROR(__xludf.DUMMYFUNCTION("""COMPUTED_VALUE"""),"1RptNgMr45cdFNddv6ho18s5DwPSwPTj9mRVC_7reYCI")</f>
        <v>1RptNgMr45cdFNddv6ho18s5DwPSwPTj9mRVC_7reYCI</v>
      </c>
    </row>
    <row r="181" ht="15.75" customHeight="1">
      <c r="A181" t="str">
        <f>IFERROR(__xludf.DUMMYFUNCTION("""COMPUTED_VALUE"""),"DailyValuation")</f>
        <v>DailyValuation</v>
      </c>
      <c r="B181" t="str">
        <f>IFERROR(__xludf.DUMMYFUNCTION("""COMPUTED_VALUE"""),"GetForwardPoints")</f>
        <v>GetForwardPoints</v>
      </c>
      <c r="C181" t="str">
        <f>IFERROR(__xludf.DUMMYFUNCTION("""COMPUTED_VALUE"""),"1Cq-hHSaleyn2gy_6GB9xJjU_0ugTIVRARiAM0FHa4G4")</f>
        <v>1Cq-hHSaleyn2gy_6GB9xJjU_0ugTIVRARiAM0FHa4G4</v>
      </c>
    </row>
    <row r="182" ht="15.75" customHeight="1">
      <c r="A182" t="str">
        <f>IFERROR(__xludf.DUMMYFUNCTION("""COMPUTED_VALUE"""),"DailyValuation")</f>
        <v>DailyValuation</v>
      </c>
      <c r="B182" t="str">
        <f>IFERROR(__xludf.DUMMYFUNCTION("""COMPUTED_VALUE"""),"UpdateForwardPoints")</f>
        <v>UpdateForwardPoints</v>
      </c>
      <c r="C182" t="str">
        <f>IFERROR(__xludf.DUMMYFUNCTION("""COMPUTED_VALUE"""),"1Oq2bmcs_t2fkEsKLzwvjEZy9j_SFxZTCU_MxNUYYftw")</f>
        <v>1Oq2bmcs_t2fkEsKLzwvjEZy9j_SFxZTCU_MxNUYYftw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IFERROR(__xludf.DUMMYFUNCTION("""COMPUTED_VALUE"""),"GetForexConversion")</f>
        <v>GetForexConversion</v>
      </c>
      <c r="C183" t="str">
        <f>IFERROR(__xludf.DUMMYFUNCTION("""COMPUTED_VALUE"""),"1iHIPELmTNvhvWXMn6bOxUFX6JiD1ejHId3xi2Chht4k")</f>
        <v>1iHIPELmTNvhvWXMn6bOxUFX6JiD1ejHId3xi2Chht4k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IFERROR(__xludf.DUMMYFUNCTION("""COMPUTED_VALUE"""),"DeleteNAV")</f>
        <v>DeleteNAV</v>
      </c>
      <c r="C184" t="str">
        <f>IFERROR(__xludf.DUMMYFUNCTION("""COMPUTED_VALUE"""),"1lbgb_8jmoEdzuZuuHQvH10vIWlHiLnPqYC_Wr0DhESU")</f>
        <v>1lbgb_8jmoEdzuZuuHQvH10vIWlHiLnPqYC_Wr0DhESU</v>
      </c>
    </row>
    <row r="185" ht="15.75" customHeight="1">
      <c r="A185" t="str">
        <f>IFERROR(__xludf.DUMMYFUNCTION("""COMPUTED_VALUE"""),"Allocation")</f>
        <v>Allocation</v>
      </c>
      <c r="B185" t="str">
        <f>IFERROR(__xludf.DUMMYFUNCTION("""COMPUTED_VALUE"""),"CheckUnallocatedGroups")</f>
        <v>CheckUnallocatedGroups</v>
      </c>
      <c r="C185" t="str">
        <f>IFERROR(__xludf.DUMMYFUNCTION("""COMPUTED_VALUE"""),"1jZnY_CVhLzzmvKxfBfsxnLwZf2RtWZ-MN3Y1uF1_amI")</f>
        <v>1jZnY_CVhLzzmvKxfBfsxnLwZf2RtWZ-MN3Y1uF1_amI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IFERROR(__xludf.DUMMYFUNCTION("""COMPUTED_VALUE"""),"GetDailyCash")</f>
        <v>GetDailyCash</v>
      </c>
      <c r="C186" t="str">
        <f>IFERROR(__xludf.DUMMYFUNCTION("""COMPUTED_VALUE"""),"16r-C2L02qnRI38CHZDWyOaetsSHUu2Mw793g1tvpIpI")</f>
        <v>16r-C2L02qnRI38CHZDWyOaetsSHUu2Mw793g1tvpIpI</v>
      </c>
    </row>
    <row r="187" ht="15.75" customHeight="1">
      <c r="A187" t="str">
        <f>IFERROR(__xludf.DUMMYFUNCTION("""COMPUTED_VALUE"""),"Allocation")</f>
        <v>Allocation</v>
      </c>
      <c r="B187" t="str">
        <f>IFERROR(__xludf.DUMMYFUNCTION("""COMPUTED_VALUE"""),"SetGeneralPreferences")</f>
        <v>SetGeneralPreferences</v>
      </c>
      <c r="C187" t="str">
        <f>IFERROR(__xludf.DUMMYFUNCTION("""COMPUTED_VALUE"""),"1ePZEjBZd78YQP-rq7AZFlzyArb7-YiwdeghwSAv1QlQ")</f>
        <v>1ePZEjBZd78YQP-rq7AZFlzyArb7-YiwdeghwSAv1QlQ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IFERROR(__xludf.DUMMYFUNCTION("""COMPUTED_VALUE"""),"GetDailyBeta")</f>
        <v>GetDailyBeta</v>
      </c>
      <c r="C188" t="str">
        <f>IFERROR(__xludf.DUMMYFUNCTION("""COMPUTED_VALUE"""),"1B79uMruccnGWeGKALTAflbLgHoMXm1IgdX2B8Ucqa_E")</f>
        <v>1B79uMruccnGWeGKALTAflbLgHoMXm1IgdX2B8Ucqa_E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IFERROR(__xludf.DUMMYFUNCTION("""COMPUTED_VALUE"""),"GetDailyVolatility")</f>
        <v>GetDailyVolatility</v>
      </c>
      <c r="C189" t="str">
        <f>IFERROR(__xludf.DUMMYFUNCTION("""COMPUTED_VALUE"""),"1Hh6sSW8e_VVZ4DVVE4zBjNugoxSDhpdBZCruEQChFf8")</f>
        <v>1Hh6sSW8e_VVZ4DVVE4zBjNugoxSDhpdBZCruEQChFf8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IFERROR(__xludf.DUMMYFUNCTION("""COMPUTED_VALUE"""),"GetDailyDividendYield")</f>
        <v>GetDailyDividendYield</v>
      </c>
      <c r="C190" t="str">
        <f>IFERROR(__xludf.DUMMYFUNCTION("""COMPUTED_VALUE"""),"1gY9-2YPNtL77s9k_cntAIjcR9cq3Aahrrl2WXL_o5JU")</f>
        <v>1gY9-2YPNtL77s9k_cntAIjcR9cq3Aahrrl2WXL_o5JU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IFERROR(__xludf.DUMMYFUNCTION("""COMPUTED_VALUE"""),"GetDailyTradingVolume")</f>
        <v>GetDailyTradingVolume</v>
      </c>
      <c r="C191" t="str">
        <f>IFERROR(__xludf.DUMMYFUNCTION("""COMPUTED_VALUE"""),"1VrY4VyRfkYkLnvnSm5EtSK4R-X6B5stX3OSYLJ--sME")</f>
        <v>1VrY4VyRfkYkLnvnSm5EtSK4R-X6B5stX3OSYLJ--sME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IFERROR(__xludf.DUMMYFUNCTION("""COMPUTED_VALUE"""),"GetDailyOutstandings")</f>
        <v>GetDailyOutstandings</v>
      </c>
      <c r="C192" t="str">
        <f>IFERROR(__xludf.DUMMYFUNCTION("""COMPUTED_VALUE"""),"1h06jLu5zeUmctus0uW7-ZesDghsfE-eXkupiTBp1GTI")</f>
        <v>1h06jLu5zeUmctus0uW7-ZesDghsfE-eXkupiTBp1GTI</v>
      </c>
    </row>
    <row r="193" ht="15.75" customHeight="1">
      <c r="A193" t="str">
        <f>IFERROR(__xludf.DUMMYFUNCTION("""COMPUTED_VALUE"""),"Allocation")</f>
        <v>Allocation</v>
      </c>
      <c r="B193" t="str">
        <f>IFERROR(__xludf.DUMMYFUNCTION("""COMPUTED_VALUE"""),"GroupTrades")</f>
        <v>GroupTrades</v>
      </c>
      <c r="C193" t="str">
        <f>IFERROR(__xludf.DUMMYFUNCTION("""COMPUTED_VALUE"""),"1Mbuj9mSB0c4i0yGl_1-F05ht2jy-nfPK1xSM2UTHLig")</f>
        <v>1Mbuj9mSB0c4i0yGl_1-F05ht2jy-nfPK1xSM2UTHLig</v>
      </c>
    </row>
    <row r="194" ht="15.75" customHeight="1">
      <c r="A194" t="str">
        <f>IFERROR(__xludf.DUMMYFUNCTION("""COMPUTED_VALUE"""),"Allocation")</f>
        <v>Allocation</v>
      </c>
      <c r="B194" t="str">
        <f>IFERROR(__xludf.DUMMYFUNCTION("""COMPUTED_VALUE"""),"UngroupTrades")</f>
        <v>UngroupTrades</v>
      </c>
      <c r="C194" t="str">
        <f>IFERROR(__xludf.DUMMYFUNCTION("""COMPUTED_VALUE"""),"1ZaBzwiFzlYN1UVat9gzwJJ5YfnSJsRsvUy8rLjFpzNU")</f>
        <v>1ZaBzwiFzlYN1UVat9gzwJJ5YfnSJsRsvUy8rLjFpzNU</v>
      </c>
    </row>
    <row r="195" ht="15.75" customHeight="1">
      <c r="A195" t="str">
        <f>IFERROR(__xludf.DUMMYFUNCTION("""COMPUTED_VALUE"""),"Allocation")</f>
        <v>Allocation</v>
      </c>
      <c r="B195" t="str">
        <f>IFERROR(__xludf.DUMMYFUNCTION("""COMPUTED_VALUE"""),"DeleteGroup")</f>
        <v>DeleteGroup</v>
      </c>
      <c r="C195" t="str">
        <f>IFERROR(__xludf.DUMMYFUNCTION("""COMPUTED_VALUE"""),"1k_SakBuHixRde3N78vqe0Xzz4YbR3PHZgilEIbGSL5g")</f>
        <v>1k_SakBuHixRde3N78vqe0Xzz4YbR3PHZgilEIbGSL5g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IFERROR(__xludf.DUMMYFUNCTION("""COMPUTED_VALUE"""),"CloseOrder")</f>
        <v>CloseOrder</v>
      </c>
      <c r="C196" t="str">
        <f>IFERROR(__xludf.DUMMYFUNCTION("""COMPUTED_VALUE"""),"1ca-MGgJsOiH6Z4vGqxZxR70qPMVXodr10ZbXlf6JGIc")</f>
        <v>1ca-MGgJsOiH6Z4vGqxZxR70qPMVXodr10ZbXlf6JGIc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IFERROR(__xludf.DUMMYFUNCTION("""COMPUTED_VALUE"""),"Unallocate")</f>
        <v>Unallocate</v>
      </c>
      <c r="C197" t="str">
        <f>IFERROR(__xludf.DUMMYFUNCTION("""COMPUTED_VALUE"""),"1eDZq-_vllq4jwvwpk9qGnwQUhlb-sFvyFKPBriT2dA0")</f>
        <v>1eDZq-_vllq4jwvwpk9qGnwQUhlb-sFvyFKPBriT2dA0</v>
      </c>
    </row>
    <row r="198" ht="15.75" customHeight="1">
      <c r="A198" t="str">
        <f>IFERROR(__xludf.DUMMYFUNCTION("""COMPUTED_VALUE"""),"DailyValuation")</f>
        <v>DailyValuation</v>
      </c>
      <c r="B198" t="str">
        <f>IFERROR(__xludf.DUMMYFUNCTION("""COMPUTED_VALUE"""),"GetDailyDelta")</f>
        <v>GetDailyDelta</v>
      </c>
      <c r="C198" t="str">
        <f>IFERROR(__xludf.DUMMYFUNCTION("""COMPUTED_VALUE"""),"10ZMbFQ1IOpiikdz1JBip5lEgKm7K0o73GeMGQw_WWEg")</f>
        <v>10ZMbFQ1IOpiikdz1JBip5lEgKm7K0o73GeMGQw_WWEg</v>
      </c>
    </row>
    <row r="199" ht="15.75" customHeight="1">
      <c r="A199" t="str">
        <f>IFERROR(__xludf.DUMMYFUNCTION("""COMPUTED_VALUE"""),"DailyValuation")</f>
        <v>DailyValuation</v>
      </c>
      <c r="B199" t="str">
        <f>IFERROR(__xludf.DUMMYFUNCTION("""COMPUTED_VALUE"""),"UpdateDailyVolatility")</f>
        <v>UpdateDailyVolatility</v>
      </c>
      <c r="C199" t="str">
        <f>IFERROR(__xludf.DUMMYFUNCTION("""COMPUTED_VALUE"""),"1MnWSvi2db05ijYL3yxelYbggoKOEB4tqVsGoVuMpo0w")</f>
        <v>1MnWSvi2db05ijYL3yxelYbggoKOEB4tqVsGoVuMpo0w</v>
      </c>
    </row>
    <row r="200" ht="15.75" customHeight="1">
      <c r="A200" t="str">
        <f>IFERROR(__xludf.DUMMYFUNCTION("""COMPUTED_VALUE"""),"GeneralLedger")</f>
        <v>GeneralLedger</v>
      </c>
      <c r="B200" t="str">
        <f>IFERROR(__xludf.DUMMYFUNCTION("""COMPUTED_VALUE"""),"AddOpeningBalanceTransaction")</f>
        <v>AddOpeningBalanceTransaction</v>
      </c>
      <c r="C200" t="str">
        <f>IFERROR(__xludf.DUMMYFUNCTION("""COMPUTED_VALUE"""),"1uIPzugk4A0Aig_3XINMJZPNbHUDS4zwLVwY3w8ATO1A")</f>
        <v>1uIPzugk4A0Aig_3XINMJZPNbHUDS4zwLVwY3w8ATO1A</v>
      </c>
    </row>
    <row r="201" ht="15.75" customHeight="1">
      <c r="A201" t="str">
        <f>IFERROR(__xludf.DUMMYFUNCTION("""COMPUTED_VALUE"""),"GeneralLedger")</f>
        <v>GeneralLedger</v>
      </c>
      <c r="B201" t="str">
        <f>IFERROR(__xludf.DUMMYFUNCTION("""COMPUTED_VALUE"""),"AddOpeningBalanceTranItem")</f>
        <v>AddOpeningBalanceTranItem</v>
      </c>
      <c r="C201" t="str">
        <f>IFERROR(__xludf.DUMMYFUNCTION("""COMPUTED_VALUE"""),"1Sab4sEMPQQmMNnQqMcUWYSJmliLjBODBD5yeMjdFhgU")</f>
        <v>1Sab4sEMPQQmMNnQqMcUWYSJmliLjBODBD5yeMjdFhgU</v>
      </c>
    </row>
    <row r="202" ht="15.75" customHeight="1">
      <c r="A202" t="str">
        <f>IFERROR(__xludf.DUMMYFUNCTION("""COMPUTED_VALUE"""),"Blotter")</f>
        <v>Blotter</v>
      </c>
      <c r="B202" t="str">
        <f>IFERROR(__xludf.DUMMYFUNCTION("""COMPUTED_VALUE"""),"CancelAllSubs")</f>
        <v>CancelAllSubs</v>
      </c>
      <c r="C202" t="str">
        <f>IFERROR(__xludf.DUMMYFUNCTION("""COMPUTED_VALUE"""),"1k6fme1SUHKxMMvs_7pDlzlHfy6PnCjrD5nr0oUObP8U")</f>
        <v>1k6fme1SUHKxMMvs_7pDlzlHfy6PnCjrD5nr0oUObP8U</v>
      </c>
    </row>
    <row r="203" ht="15.75" customHeight="1">
      <c r="A203" t="str">
        <f>IFERROR(__xludf.DUMMYFUNCTION("""COMPUTED_VALUE"""),"Blotter")</f>
        <v>Blotter</v>
      </c>
      <c r="B203" t="str">
        <f>IFERROR(__xludf.DUMMYFUNCTION("""COMPUTED_VALUE"""),"CancelSubOrder")</f>
        <v>CancelSubOrder</v>
      </c>
      <c r="C203" t="str">
        <f>IFERROR(__xludf.DUMMYFUNCTION("""COMPUTED_VALUE"""),"14HgNVXvvWVeYTuof36H_IqNsjK1qZHsSrd3cyWgEV20")</f>
        <v>14HgNVXvvWVeYTuof36H_IqNsjK1qZHsSrd3cyWgEV20</v>
      </c>
    </row>
    <row r="204" ht="15.75" customHeight="1">
      <c r="A204" t="str">
        <f>IFERROR(__xludf.DUMMYFUNCTION("""COMPUTED_VALUE"""),"Blotter")</f>
        <v>Blotter</v>
      </c>
      <c r="B204" t="str">
        <f>IFERROR(__xludf.DUMMYFUNCTION("""COMPUTED_VALUE"""),"EditStageOrder")</f>
        <v>EditStageOrder</v>
      </c>
      <c r="C204" t="str">
        <f>IFERROR(__xludf.DUMMYFUNCTION("""COMPUTED_VALUE"""),"16Hd1uBr9TwUlu8l7juEdLBhZkMF9sIopzgucI8_M6iA")</f>
        <v>16Hd1uBr9TwUlu8l7juEdLBhZkMF9sIopzgucI8_M6iA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IFERROR(__xludf.DUMMYFUNCTION("""COMPUTED_VALUE"""),"ReplaceSubOrder")</f>
        <v>ReplaceSubOrder</v>
      </c>
      <c r="C205" t="str">
        <f>IFERROR(__xludf.DUMMYFUNCTION("""COMPUTED_VALUE"""),"1TmaMB8hutbeWj90tA8b3Zfly3sZMP_h6hEdH1Vbw8YQ")</f>
        <v>1TmaMB8hutbeWj90tA8b3Zfly3sZMP_h6hEdH1Vbw8YQ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IFERROR(__xludf.DUMMYFUNCTION("""COMPUTED_VALUE"""),"SelectTradeWorkingSubsBlotter")</f>
        <v>SelectTradeWorkingSubsBlotter</v>
      </c>
      <c r="C206" t="str">
        <f>IFERROR(__xludf.DUMMYFUNCTION("""COMPUTED_VALUE"""),"1KOFVOoYgmHTf_Vp-fA_08fGnmaDgawY2_lajm_7uAV0")</f>
        <v>1KOFVOoYgmHTf_Vp-fA_08fGnmaDgawY2_lajm_7uAV0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IFERROR(__xludf.DUMMYFUNCTION("""COMPUTED_VALUE"""),"VerifyAlgoDetails")</f>
        <v>VerifyAlgoDetails</v>
      </c>
      <c r="C207" t="str">
        <f>IFERROR(__xludf.DUMMYFUNCTION("""COMPUTED_VALUE"""),"1TNUck0SaxrVe5xR-hZVk4IQO60bu8WtnsxDlST8CuB4")</f>
        <v>1TNUck0SaxrVe5xR-hZVk4IQO60bu8WtnsxDlST8CuB4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IFERROR(__xludf.DUMMYFUNCTION("""COMPUTED_VALUE"""),"VerifyTransferToUserOrder")</f>
        <v>VerifyTransferToUserOrder</v>
      </c>
      <c r="C208" t="str">
        <f>IFERROR(__xludf.DUMMYFUNCTION("""COMPUTED_VALUE"""),"1RJfPl4iaZz8CawEGxaANj1D2x68T9cY77IBiMpcNxdE")</f>
        <v>1RJfPl4iaZz8CawEGxaANj1D2x68T9cY77IBiMpcNxdE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IFERROR(__xludf.DUMMYFUNCTION("""COMPUTED_VALUE"""),"VerifyTransferToUserSubOdr")</f>
        <v>VerifyTransferToUserSubOdr</v>
      </c>
      <c r="C209" t="str">
        <f>IFERROR(__xludf.DUMMYFUNCTION("""COMPUTED_VALUE"""),"1t1_Ynjuhj9UV5aZ5PabXpZjtlb8IPAP6w8TjgM2lMTw")</f>
        <v>1t1_Ynjuhj9UV5aZ5PabXpZjtlb8IPAP6w8TjgM2lMTw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IFERROR(__xludf.DUMMYFUNCTION("""COMPUTED_VALUE"""),"VerifyTransferToUserWorkSub")</f>
        <v>VerifyTransferToUserWorkSub</v>
      </c>
      <c r="C210" t="str">
        <f>IFERROR(__xludf.DUMMYFUNCTION("""COMPUTED_VALUE"""),"1vhUDc0WX3V1tKXZUIvTrNaYMrd24jvgTSjWKW12VIPI")</f>
        <v>1vhUDc0WX3V1tKXZUIvTrNaYMrd24jvgTSjWKW12VIPI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IFERROR(__xludf.DUMMYFUNCTION("""COMPUTED_VALUE"""),"SaveLayoutOrderGrid")</f>
        <v>SaveLayoutOrderGrid</v>
      </c>
      <c r="C211" t="str">
        <f>IFERROR(__xludf.DUMMYFUNCTION("""COMPUTED_VALUE"""),"1s8j1BwTci7OMcEPQGJYSC8jPp4VtA4n-Yv1EB3MBz_4")</f>
        <v>1s8j1BwTci7OMcEPQGJYSC8jPp4VtA4n-Yv1EB3MBz_4</v>
      </c>
    </row>
    <row r="212" ht="15.75" customHeight="1">
      <c r="A212" t="str">
        <f>IFERROR(__xludf.DUMMYFUNCTION("""COMPUTED_VALUE"""),"DailyValuation")</f>
        <v>DailyValuation</v>
      </c>
      <c r="B212" t="str">
        <f>IFERROR(__xludf.DUMMYFUNCTION("""COMPUTED_VALUE"""),"UpdateDividendYield")</f>
        <v>UpdateDividendYield</v>
      </c>
      <c r="C212" t="str">
        <f>IFERROR(__xludf.DUMMYFUNCTION("""COMPUTED_VALUE"""),"15sjhB-BIRBwi2e-PZX2xfulOXckPcf6kzO8Qb8eIwoc")</f>
        <v>15sjhB-BIRBwi2e-PZX2xfulOXckPcf6kzO8Qb8eIwoc</v>
      </c>
    </row>
    <row r="213" ht="15.75" customHeight="1">
      <c r="A213" t="str">
        <f>IFERROR(__xludf.DUMMYFUNCTION("""COMPUTED_VALUE"""),"DailyValuation")</f>
        <v>DailyValuation</v>
      </c>
      <c r="B213" t="str">
        <f>IFERROR(__xludf.DUMMYFUNCTION("""COMPUTED_VALUE"""),"UpdateTradingVolume")</f>
        <v>UpdateTradingVolume</v>
      </c>
      <c r="C213" t="str">
        <f>IFERROR(__xludf.DUMMYFUNCTION("""COMPUTED_VALUE"""),"1RHeZAOoia-kMisKWcgjA812Af6pghU20uY-RjYQLua4")</f>
        <v>1RHeZAOoia-kMisKWcgjA812Af6pghU20uY-RjYQLua4</v>
      </c>
    </row>
    <row r="214" ht="15.75" customHeight="1">
      <c r="A214" t="str">
        <f>IFERROR(__xludf.DUMMYFUNCTION("""COMPUTED_VALUE"""),"DailyValuation")</f>
        <v>DailyValuation</v>
      </c>
      <c r="B214" t="str">
        <f>IFERROR(__xludf.DUMMYFUNCTION("""COMPUTED_VALUE"""),"UpdateDailyDelta")</f>
        <v>UpdateDailyDelta</v>
      </c>
      <c r="C214" t="str">
        <f>IFERROR(__xludf.DUMMYFUNCTION("""COMPUTED_VALUE"""),"1i0BJTtewAm-Tw9RIPRsNXIXxeIT0D0_5hJwPuVXJMZE")</f>
        <v>1i0BJTtewAm-Tw9RIPRsNXIXxeIT0D0_5hJwPuVXJMZE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IFERROR(__xludf.DUMMYFUNCTION("""COMPUTED_VALUE"""),"UpdateDailyOutstandings")</f>
        <v>UpdateDailyOutstandings</v>
      </c>
      <c r="C215" t="str">
        <f>IFERROR(__xludf.DUMMYFUNCTION("""COMPUTED_VALUE"""),"1-kYes9vmlh0vfUCYsNfMTdRXTFFNaRdAyClm7hnenbI")</f>
        <v>1-kYes9vmlh0vfUCYsNfMTdRXTFFNaRdAyClm7hnenbI</v>
      </c>
    </row>
    <row r="216" ht="15.75" customHeight="1">
      <c r="A216" t="str">
        <f>IFERROR(__xludf.DUMMYFUNCTION("""COMPUTED_VALUE"""),"Closing")</f>
        <v>Closing</v>
      </c>
      <c r="B216" t="str">
        <f>IFERROR(__xludf.DUMMYFUNCTION("""COMPUTED_VALUE"""),"GetDataClosing")</f>
        <v>GetDataClosing</v>
      </c>
      <c r="C216" t="str">
        <f>IFERROR(__xludf.DUMMYFUNCTION("""COMPUTED_VALUE"""),"1UzMfpwAjUyk9WnDVMZK_kHHxNCMEARLolkuKGsMvvlQ")</f>
        <v>1UzMfpwAjUyk9WnDVMZK_kHHxNCMEARLolkuKGsMvvlQ</v>
      </c>
    </row>
    <row r="217" ht="15.75" customHeight="1">
      <c r="A217" t="str">
        <f>IFERROR(__xludf.DUMMYFUNCTION("""COMPUTED_VALUE"""),"Closing")</f>
        <v>Closing</v>
      </c>
      <c r="B217" t="str">
        <f>IFERROR(__xludf.DUMMYFUNCTION("""COMPUTED_VALUE"""),"ManualClosing")</f>
        <v>ManualClosing</v>
      </c>
      <c r="C217" t="str">
        <f>IFERROR(__xludf.DUMMYFUNCTION("""COMPUTED_VALUE"""),"1bPGQbk2_mQuUPclWX9ebo3C84Uzf_FF4lQI1RviO-ig")</f>
        <v>1bPGQbk2_mQuUPclWX9ebo3C84Uzf_FF4lQI1RviO-ig</v>
      </c>
    </row>
    <row r="218" ht="15.75" customHeight="1">
      <c r="A218" t="str">
        <f>IFERROR(__xludf.DUMMYFUNCTION("""COMPUTED_VALUE"""),"Closing")</f>
        <v>Closing</v>
      </c>
      <c r="B218" t="str">
        <f>IFERROR(__xludf.DUMMYFUNCTION("""COMPUTED_VALUE"""),"AutomaticClosing")</f>
        <v>AutomaticClosing</v>
      </c>
      <c r="C218" t="str">
        <f>IFERROR(__xludf.DUMMYFUNCTION("""COMPUTED_VALUE"""),"14r4G7flfRDfDL5-P3iMQM217k7ZhvyyC6VkaMii-MSA")</f>
        <v>14r4G7flfRDfDL5-P3iMQM217k7ZhvyyC6VkaMii-MSA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IFERROR(__xludf.DUMMYFUNCTION("""COMPUTED_VALUE"""),"UnwindClosing")</f>
        <v>UnwindClosing</v>
      </c>
      <c r="C219" t="str">
        <f>IFERROR(__xludf.DUMMYFUNCTION("""COMPUTED_VALUE"""),"1YhX2eyEmJGcNQA5YDh_ER6IXxAraufNxjQhusZZtfDE")</f>
        <v>1YhX2eyEmJGcNQA5YDh_ER6IXxAraufNxjQhusZZtfDE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IFERROR(__xludf.DUMMYFUNCTION("""COMPUTED_VALUE"""),"VerifyClosedTrades")</f>
        <v>VerifyClosedTrades</v>
      </c>
      <c r="C220" t="str">
        <f>IFERROR(__xludf.DUMMYFUNCTION("""COMPUTED_VALUE"""),"1OwJkklw75W9NELVVn8TTtgqWys12YDvopxklGMUg1gs")</f>
        <v>1OwJkklw75W9NELVVn8TTtgqWys12YDvopxklGMUg1gs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IFERROR(__xludf.DUMMYFUNCTION("""COMPUTED_VALUE"""),"VerifyLongPositionsGrid")</f>
        <v>VerifyLongPositionsGrid</v>
      </c>
      <c r="C221" t="str">
        <f>IFERROR(__xludf.DUMMYFUNCTION("""COMPUTED_VALUE"""),"1C_vJ0XpRLIoVnkP8Ssa7QKkkT8eiKc4uvZ3k0DjxIJ8")</f>
        <v>1C_vJ0XpRLIoVnkP8Ssa7QKkkT8eiKc4uvZ3k0DjxIJ8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IFERROR(__xludf.DUMMYFUNCTION("""COMPUTED_VALUE"""),"VerifyShortPositionsGrid")</f>
        <v>VerifyShortPositionsGrid</v>
      </c>
      <c r="C222" t="str">
        <f>IFERROR(__xludf.DUMMYFUNCTION("""COMPUTED_VALUE"""),"1FJr_xqg8bpvvuCU1y-06ZaNQ1_IdawHi8G8PEuS-o30")</f>
        <v>1FJr_xqg8bpvvuCU1y-06ZaNQ1_IdawHi8G8PEuS-o30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IFERROR(__xludf.DUMMYFUNCTION("""COMPUTED_VALUE"""),"SelectTradeUnexpiredUnsettled")</f>
        <v>SelectTradeUnexpiredUnsettled</v>
      </c>
      <c r="C223" t="str">
        <f>IFERROR(__xludf.DUMMYFUNCTION("""COMPUTED_VALUE"""),"1fvsrbIVeh6F7h2zh025ZZnnqDf6pcYZ3GPvBxuPsDrc")</f>
        <v>1fvsrbIVeh6F7h2zh025ZZnnqDf6pcYZ3GPvBxuPsDrc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IFERROR(__xludf.DUMMYFUNCTION("""COMPUTED_VALUE"""),"CashSettlementAtCost")</f>
        <v>CashSettlementAtCost</v>
      </c>
      <c r="C224" t="str">
        <f>IFERROR(__xludf.DUMMYFUNCTION("""COMPUTED_VALUE"""),"1OCYQ4wrJpJL5L_Ip18DPGT1DeOR1xxzBGIYEOk5LpSA")</f>
        <v>1OCYQ4wrJpJL5L_Ip18DPGT1DeOR1xxzBGIYEOk5LpSA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IFERROR(__xludf.DUMMYFUNCTION("""COMPUTED_VALUE"""),"CashSettlementAtZeroPrice")</f>
        <v>CashSettlementAtZeroPrice</v>
      </c>
      <c r="C225" t="str">
        <f>IFERROR(__xludf.DUMMYFUNCTION("""COMPUTED_VALUE"""),"1HRXWuGd8cyWSKBQ7FgVRSgYWk-8OLdmFUoD2OO_XcY4")</f>
        <v>1HRXWuGd8cyWSKBQ7FgVRSgYWk-8OLdmFUoD2OO_XcY4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IFERROR(__xludf.DUMMYFUNCTION("""COMPUTED_VALUE"""),"CashSettlementAtClosingDtSpotPx")</f>
        <v>CashSettlementAtClosingDtSpotPx</v>
      </c>
      <c r="C226" t="str">
        <f>IFERROR(__xludf.DUMMYFUNCTION("""COMPUTED_VALUE"""),"1EWxKvjgKPxS1p3L5mKTGqWEZQyH-odwKHKVLJL2Y-Co")</f>
        <v>1EWxKvjgKPxS1p3L5mKTGqWEZQyH-odwKHKVLJL2Y-Co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IFERROR(__xludf.DUMMYFUNCTION("""COMPUTED_VALUE"""),"PhysicalSettlement")</f>
        <v>PhysicalSettlement</v>
      </c>
      <c r="C227" t="str">
        <f>IFERROR(__xludf.DUMMYFUNCTION("""COMPUTED_VALUE"""),"1PLFOsuaXN90Q3ZzjCbJIGggH5AYI5Shk2Jf79_FITgs")</f>
        <v>1PLFOsuaXN90Q3ZzjCbJIGggH5AYI5Shk2Jf79_FITgs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IFERROR(__xludf.DUMMYFUNCTION("""COMPUTED_VALUE"""),"Expire")</f>
        <v>Expire</v>
      </c>
      <c r="C228" t="str">
        <f>IFERROR(__xludf.DUMMYFUNCTION("""COMPUTED_VALUE"""),"1WRRZAXso_l9Bm4-7j8y0UvXkHL9BCBtz9sj56-K9AtM")</f>
        <v>1WRRZAXso_l9Bm4-7j8y0UvXkHL9BCBtz9sj56-K9AtM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IFERROR(__xludf.DUMMYFUNCTION("""COMPUTED_VALUE"""),"ExerciseAssignment")</f>
        <v>ExerciseAssignment</v>
      </c>
      <c r="C229" t="str">
        <f>IFERROR(__xludf.DUMMYFUNCTION("""COMPUTED_VALUE"""),"1g1BVaEiCy91e0eOIZPywKlK9C20A_fuVTn74CuomgXo")</f>
        <v>1g1BVaEiCy91e0eOIZPywKlK9C20A_fuVTn74CuomgXo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IFERROR(__xludf.DUMMYFUNCTION("""COMPUTED_VALUE"""),"ExerciseAssignmentAtZero")</f>
        <v>ExerciseAssignmentAtZero</v>
      </c>
      <c r="C230" t="str">
        <f>IFERROR(__xludf.DUMMYFUNCTION("""COMPUTED_VALUE"""),"1MXus2Dl8kRugBPD1pvO3zfGi88sVQFeoS4psUcmZsTg")</f>
        <v>1MXus2Dl8kRugBPD1pvO3zfGi88sVQFeoS4psUcmZsTg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IFERROR(__xludf.DUMMYFUNCTION("""COMPUTED_VALUE"""),"SwapExpireAndRollover")</f>
        <v>SwapExpireAndRollover</v>
      </c>
      <c r="C231" t="str">
        <f>IFERROR(__xludf.DUMMYFUNCTION("""COMPUTED_VALUE"""),"1HIzfUQVJ_cOzGjnP3yqgLnIACwEybqTRWANI1RaCxv0")</f>
        <v>1HIzfUQVJ_cOzGjnP3yqgLnIACwEybqTRWANI1RaCxv0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IFERROR(__xludf.DUMMYFUNCTION("""COMPUTED_VALUE"""),"SwapExpire")</f>
        <v>SwapExpire</v>
      </c>
      <c r="C232" t="str">
        <f>IFERROR(__xludf.DUMMYFUNCTION("""COMPUTED_VALUE"""),"1lxTKzP48dL11mFrekIoraN52hwBinmP7CaF8hguPiWM")</f>
        <v>1lxTKzP48dL11mFrekIoraN52hwBinmP7CaF8hguPiWM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IFERROR(__xludf.DUMMYFUNCTION("""COMPUTED_VALUE"""),"VerifyExpiredSettledGrid")</f>
        <v>VerifyExpiredSettledGrid</v>
      </c>
      <c r="C233" t="str">
        <f>IFERROR(__xludf.DUMMYFUNCTION("""COMPUTED_VALUE"""),"1WUeBiSPGJILkMvh3E7poEJPu7NgFhfm_X-Bv_nbGhvY")</f>
        <v>1WUeBiSPGJILkMvh3E7poEJPu7NgFhfm_X-Bv_nbGhvY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IFERROR(__xludf.DUMMYFUNCTION("""COMPUTED_VALUE"""),"VerifyUnExpiredUnSettledGrid")</f>
        <v>VerifyUnExpiredUnSettledGrid</v>
      </c>
      <c r="C234" t="str">
        <f>IFERROR(__xludf.DUMMYFUNCTION("""COMPUTED_VALUE"""),"1AEUQEHsl7WMqlKjD3Kh_Ol_F5nXx--_NoGMDIdJpFCM")</f>
        <v>1AEUQEHsl7WMqlKjD3Kh_Ol_F5nXx--_NoGMDIdJpFCM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IFERROR(__xludf.DUMMYFUNCTION("""COMPUTED_VALUE"""),"UnWindTradeSettlement")</f>
        <v>UnWindTradeSettlement</v>
      </c>
      <c r="C235" t="str">
        <f>IFERROR(__xludf.DUMMYFUNCTION("""COMPUTED_VALUE"""),"1Ao_cqiHT0CnAxgKJOfyeANF8k3qUQj3bwMniopb4GSI")</f>
        <v>1Ao_cqiHT0CnAxgKJOfyeANF8k3qUQj3bwMniopb4GSI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IFERROR(__xludf.DUMMYFUNCTION("""COMPUTED_VALUE"""),"CloseOrder")</f>
        <v>CloseOrder</v>
      </c>
      <c r="C236" t="str">
        <f>IFERROR(__xludf.DUMMYFUNCTION("""COMPUTED_VALUE"""),"1c8KMmhwQfLdxujht3anfEgTTup9gIxKnfAUowkWtZhI")</f>
        <v>1c8KMmhwQfLdxujht3anfEgTTup9gIxKnfAUowkWtZhI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IFERROR(__xludf.DUMMYFUNCTION("""COMPUTED_VALUE"""),"VerifyCloseOrder")</f>
        <v>VerifyCloseOrder</v>
      </c>
      <c r="C237" t="str">
        <f>IFERROR(__xludf.DUMMYFUNCTION("""COMPUTED_VALUE"""),"1M91igsaDI-w6MNajtvmqeTIOo3T5DRFxUSWpIe8s3h0")</f>
        <v>1M91igsaDI-w6MNajtvmqeTIOo3T5DRFxUSWpIe8s3h0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IFERROR(__xludf.DUMMYFUNCTION("""COMPUTED_VALUE"""),"UnWindCloseOrder")</f>
        <v>UnWindCloseOrder</v>
      </c>
      <c r="C238" t="str">
        <f>IFERROR(__xludf.DUMMYFUNCTION("""COMPUTED_VALUE"""),"1pDj8oS-Dk1WLeC7qMiFw1U0NacKynRLHpIFPy9MaxGo")</f>
        <v>1pDj8oS-Dk1WLeC7qMiFw1U0NacKynRLHpIFPy9MaxGo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IFERROR(__xludf.DUMMYFUNCTION("""COMPUTED_VALUE"""),"ClosingCleanUp")</f>
        <v>ClosingCleanUp</v>
      </c>
      <c r="C239" t="str">
        <f>IFERROR(__xludf.DUMMYFUNCTION("""COMPUTED_VALUE"""),"1i1JslBhP31Zla4tutAQ4Tf0NMByxg36_0f7V_mUYwcA")</f>
        <v>1i1JslBhP31Zla4tutAQ4Tf0NMByxg36_0f7V_mUYwcA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IFERROR(__xludf.DUMMYFUNCTION("""COMPUTED_VALUE"""),"CloseClosingUI")</f>
        <v>CloseClosingUI</v>
      </c>
      <c r="C240" t="str">
        <f>IFERROR(__xludf.DUMMYFUNCTION("""COMPUTED_VALUE"""),"1GZQ2uebZQQWuKTfEz5-dlgHYZVKe6Ipj8nBOf4MtMck")</f>
        <v>1GZQ2uebZQQWuKTfEz5-dlgHYZVKe6Ipj8nBOf4MtMck</v>
      </c>
    </row>
    <row r="241" ht="15.75" customHeight="1">
      <c r="A241" t="str">
        <f>IFERROR(__xludf.DUMMYFUNCTION("""COMPUTED_VALUE"""),"GeneralLedger")</f>
        <v>GeneralLedger</v>
      </c>
      <c r="B241" t="str">
        <f>IFERROR(__xludf.DUMMYFUNCTION("""COMPUTED_VALUE"""),"GetDailyCalculationsData")</f>
        <v>GetDailyCalculationsData</v>
      </c>
      <c r="C241" t="str">
        <f>IFERROR(__xludf.DUMMYFUNCTION("""COMPUTED_VALUE"""),"16erp9QXlFdytdNJufHM_bDs8J6TmQZ3Pg9GGu_qz9_s")</f>
        <v>16erp9QXlFdytdNJufHM_bDs8J6TmQZ3Pg9GGu_qz9_s</v>
      </c>
    </row>
    <row r="242" ht="15.75" customHeight="1">
      <c r="A242" t="str">
        <f>IFERROR(__xludf.DUMMYFUNCTION("""COMPUTED_VALUE"""),"GeneralLedger")</f>
        <v>GeneralLedger</v>
      </c>
      <c r="B242" t="str">
        <f>IFERROR(__xludf.DUMMYFUNCTION("""COMPUTED_VALUE"""),"CalculateDailyCalculations")</f>
        <v>CalculateDailyCalculations</v>
      </c>
      <c r="C242" t="str">
        <f>IFERROR(__xludf.DUMMYFUNCTION("""COMPUTED_VALUE"""),"undefined")</f>
        <v>undefined</v>
      </c>
    </row>
    <row r="243" ht="15.75" customHeight="1">
      <c r="A243" t="str">
        <f>IFERROR(__xludf.DUMMYFUNCTION("""COMPUTED_VALUE"""),"GeneralLedger")</f>
        <v>GeneralLedger</v>
      </c>
      <c r="B243" t="str">
        <f>IFERROR(__xludf.DUMMYFUNCTION("""COMPUTED_VALUE"""),"EditOpeningBalanceTransaction")</f>
        <v>EditOpeningBalanceTransaction</v>
      </c>
      <c r="C243" t="str">
        <f>IFERROR(__xludf.DUMMYFUNCTION("""COMPUTED_VALUE"""),"1CwjXkGBAo9VOfBvvNVGJ_h-yA7rNZpKLhof3iB4k0aI")</f>
        <v>1CwjXkGBAo9VOfBvvNVGJ_h-yA7rNZpKLhof3iB4k0aI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IFERROR(__xludf.DUMMYFUNCTION("""COMPUTED_VALUE"""),"EditOpeningBalanceTranItem")</f>
        <v>EditOpeningBalanceTranItem</v>
      </c>
      <c r="C244" t="str">
        <f>IFERROR(__xludf.DUMMYFUNCTION("""COMPUTED_VALUE"""),"1zfb3DVTi-cYKUc6htaLp-mIIApQcHgai8bGqWBLbwsA")</f>
        <v>1zfb3DVTi-cYKUc6htaLp-mIIApQcHgai8bGqWBLbwsA</v>
      </c>
    </row>
    <row r="245" ht="15.75" customHeight="1">
      <c r="A245" t="str">
        <f>IFERROR(__xludf.DUMMYFUNCTION("""COMPUTED_VALUE"""),"DailyValuation")</f>
        <v>DailyValuation</v>
      </c>
      <c r="B245" t="str">
        <f>IFERROR(__xludf.DUMMYFUNCTION("""COMPUTED_VALUE"""),"UpdateBeta")</f>
        <v>UpdateBeta</v>
      </c>
      <c r="C245" t="str">
        <f>IFERROR(__xludf.DUMMYFUNCTION("""COMPUTED_VALUE"""),"1YKttwHsdIskNDoo0Sl7HF2DWikROW-KA05qfT3GLIyI")</f>
        <v>1YKttwHsdIskNDoo0Sl7HF2DWikROW-KA05qfT3GLIyI</v>
      </c>
    </row>
    <row r="246" ht="15.75" customHeight="1">
      <c r="A246" t="str">
        <f>IFERROR(__xludf.DUMMYFUNCTION("""COMPUTED_VALUE"""),"DailyValuation")</f>
        <v>DailyValuation</v>
      </c>
      <c r="B246" t="str">
        <f>IFERROR(__xludf.DUMMYFUNCTION("""COMPUTED_VALUE"""),"UpdateNAV")</f>
        <v>UpdateNAV</v>
      </c>
      <c r="C246" t="str">
        <f>IFERROR(__xludf.DUMMYFUNCTION("""COMPUTED_VALUE"""),"13VcwNlzkLQC7q1GBXVPVQCPQ-H0e_19HCRNWPctUziQ")</f>
        <v>13VcwNlzkLQC7q1GBXVPVQCPQ-H0e_19HCRNWPctUziQ</v>
      </c>
    </row>
    <row r="247" ht="15.75" customHeight="1">
      <c r="A247" t="str">
        <f>IFERROR(__xludf.DUMMYFUNCTION("""COMPUTED_VALUE"""),"DailyValuation")</f>
        <v>DailyValuation</v>
      </c>
      <c r="B247" t="str">
        <f>IFERROR(__xludf.DUMMYFUNCTION("""COMPUTED_VALUE"""),"UpdateDailyCash")</f>
        <v>UpdateDailyCash</v>
      </c>
      <c r="C247" t="str">
        <f>IFERROR(__xludf.DUMMYFUNCTION("""COMPUTED_VALUE"""),"1YJ2rTp-OqQTGjubvs_cBC6fl0l94pyHI2eaLJzbddS4")</f>
        <v>1YJ2rTp-OqQTGjubvs_cBC6fl0l94pyHI2eaLJzbddS4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IFERROR(__xludf.DUMMYFUNCTION("""COMPUTED_VALUE"""),"VerifyDailyCalTransactions")</f>
        <v>VerifyDailyCalTransactions</v>
      </c>
      <c r="C248" t="str">
        <f>IFERROR(__xludf.DUMMYFUNCTION("""COMPUTED_VALUE"""),"16NpNjtU6cKaQOPSJHZURJsJgQc-UzasF8zesLepx6wk")</f>
        <v>16NpNjtU6cKaQOPSJHZURJsJgQc-UzasF8zesLepx6wk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IFERROR(__xludf.DUMMYFUNCTION("""COMPUTED_VALUE"""),"UpdateDailyCreditLimt")</f>
        <v>UpdateDailyCreditLimt</v>
      </c>
      <c r="C249" t="str">
        <f>IFERROR(__xludf.DUMMYFUNCTION("""COMPUTED_VALUE"""),"17-JeVJd_vvgAEaabgIZWXp-R-RdEE7HgLgs7YMUnAQM")</f>
        <v>17-JeVJd_vvgAEaabgIZWXp-R-RdEE7HgLgs7YMUnAQM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IFERROR(__xludf.DUMMYFUNCTION("""COMPUTED_VALUE"""),"RemoveDailyCreditLimit")</f>
        <v>RemoveDailyCreditLimit</v>
      </c>
      <c r="C250" t="str">
        <f>IFERROR(__xludf.DUMMYFUNCTION("""COMPUTED_VALUE"""),"1UILg9fFAqy0FePXsL47QNXPXJq9mm5Wqgiv9cm7emlg")</f>
        <v>1UILg9fFAqy0FePXsL47QNXPXJq9mm5Wqgiv9cm7emlg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IFERROR(__xludf.DUMMYFUNCTION("""COMPUTED_VALUE"""),"RemoveDailyCash")</f>
        <v>RemoveDailyCash</v>
      </c>
      <c r="C251" t="str">
        <f>IFERROR(__xludf.DUMMYFUNCTION("""COMPUTED_VALUE"""),"1ZbIpSDMavzuEEGnj-wEia66DI4JDF8oyMNhgI--MWO4")</f>
        <v>1ZbIpSDMavzuEEGnj-wEia66DI4JDF8oyMNhgI--MWO4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IFERROR(__xludf.DUMMYFUNCTION("""COMPUTED_VALUE"""),"RemoveNAV")</f>
        <v>RemoveNAV</v>
      </c>
      <c r="C252" t="str">
        <f>IFERROR(__xludf.DUMMYFUNCTION("""COMPUTED_VALUE"""),"1TyPnk_nqBb3zJ0HQ7yBvaeOcKJERBImSdyGirN4woWM")</f>
        <v>1TyPnk_nqBb3zJ0HQ7yBvaeOcKJERBImSdyGirN4woWM</v>
      </c>
    </row>
    <row r="253" ht="15.75" customHeight="1">
      <c r="A253" t="str">
        <f>IFERROR(__xludf.DUMMYFUNCTION("""COMPUTED_VALUE"""),"PortfolioManagement")</f>
        <v>PortfolioManagement</v>
      </c>
      <c r="B253" t="str">
        <f>IFERROR(__xludf.DUMMYFUNCTION("""COMPUTED_VALUE"""),"FilterPM")</f>
        <v>FilterPM</v>
      </c>
      <c r="C253" t="str">
        <f>IFERROR(__xludf.DUMMYFUNCTION("""COMPUTED_VALUE"""),"1MlmOyY8HQ3eRBPXhqiNJ8RVpy7nWPF20xBoJtX_QYwY")</f>
        <v>1MlmOyY8HQ3eRBPXhqiNJ8RVpy7nWPF20xBoJtX_QYwY</v>
      </c>
    </row>
    <row r="254" ht="15.75" customHeight="1">
      <c r="A254" t="str">
        <f>IFERROR(__xludf.DUMMYFUNCTION("""COMPUTED_VALUE"""),"PortfolioManagement")</f>
        <v>PortfolioManagement</v>
      </c>
      <c r="B254" t="str">
        <f>IFERROR(__xludf.DUMMYFUNCTION("""COMPUTED_VALUE"""),"GroupRowPM")</f>
        <v>GroupRowPM</v>
      </c>
      <c r="C254" t="str">
        <f>IFERROR(__xludf.DUMMYFUNCTION("""COMPUTED_VALUE"""),"1ClpAx4ud9EHmyYiC_EG7H8WiHylHjv_EGWFXAjvTdkA")</f>
        <v>1ClpAx4ud9EHmyYiC_EG7H8WiHylHjv_EGWFXAjvTdkA</v>
      </c>
    </row>
    <row r="255" ht="15.75" customHeight="1">
      <c r="A255" t="str">
        <f>IFERROR(__xludf.DUMMYFUNCTION("""COMPUTED_VALUE"""),"Allocation")</f>
        <v>Allocation</v>
      </c>
      <c r="B255" t="str">
        <f>IFERROR(__xludf.DUMMYFUNCTION("""COMPUTED_VALUE"""),"CloseAllocation")</f>
        <v>CloseAllocation</v>
      </c>
      <c r="C255" t="str">
        <f>IFERROR(__xludf.DUMMYFUNCTION("""COMPUTED_VALUE"""),"undefined")</f>
        <v>undefined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IFERROR(__xludf.DUMMYFUNCTION("""COMPUTED_VALUE"""),"CheckDashboardWithPM")</f>
        <v>CheckDashboardWithPM</v>
      </c>
      <c r="C256" t="str">
        <f>IFERROR(__xludf.DUMMYFUNCTION("""COMPUTED_VALUE"""),"undefined")</f>
        <v>undefined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IFERROR(__xludf.DUMMYFUNCTION("""COMPUTED_VALUE"""),"RemoveFilterPM")</f>
        <v>RemoveFilterPM</v>
      </c>
      <c r="C257" t="str">
        <f>IFERROR(__xludf.DUMMYFUNCTION("""COMPUTED_VALUE"""),"undefined")</f>
        <v>undefined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IFERROR(__xludf.DUMMYFUNCTION("""COMPUTED_VALUE"""),"CheckSummaryRowsPM")</f>
        <v>CheckSummaryRowsPM</v>
      </c>
      <c r="C258" t="str">
        <f>IFERROR(__xludf.DUMMYFUNCTION("""COMPUTED_VALUE"""),"1kq-ZMRgpBT_3Nxea55HQM_-j9azo4L4iB-CuzUAPPFE")</f>
        <v>1kq-ZMRgpBT_3Nxea55HQM_-j9azo4L4iB-CuzUAPPFE</v>
      </c>
    </row>
    <row r="259" ht="15.75" customHeight="1">
      <c r="A259" t="str">
        <f>IFERROR(__xludf.DUMMYFUNCTION("""COMPUTED_VALUE"""),"GeneralLedger")</f>
        <v>GeneralLedger</v>
      </c>
      <c r="B259" t="str">
        <f>IFERROR(__xludf.DUMMYFUNCTION("""COMPUTED_VALUE"""),"CloseGeneralLedger")</f>
        <v>CloseGeneralLedger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IFERROR(__xludf.DUMMYFUNCTION("""COMPUTED_VALUE"""),"Blotter")</f>
        <v>Blotter</v>
      </c>
      <c r="B260" t="str">
        <f>IFERROR(__xludf.DUMMYFUNCTION("""COMPUTED_VALUE"""),"ReplaceStageOrder")</f>
        <v>ReplaceStageOrder</v>
      </c>
      <c r="C260" t="str">
        <f>IFERROR(__xludf.DUMMYFUNCTION("""COMPUTED_VALUE"""),"1370sSwJ_VXgmhdmb3pCQcTlcU3ztmzTYc6vPoS-I2Rs")</f>
        <v>1370sSwJ_VXgmhdmb3pCQcTlcU3ztmzTYc6vPoS-I2Rs</v>
      </c>
    </row>
    <row r="261" ht="15.75" customHeight="1">
      <c r="A261" t="str">
        <f>IFERROR(__xludf.DUMMYFUNCTION("""COMPUTED_VALUE"""),"GeneralLedger")</f>
        <v>GeneralLedger</v>
      </c>
      <c r="B261" t="str">
        <f>IFERROR(__xludf.DUMMYFUNCTION("""COMPUTED_VALUE"""),"VerifyAccountDetails")</f>
        <v>VerifyAccountDetails</v>
      </c>
      <c r="C261" t="str">
        <f>IFERROR(__xludf.DUMMYFUNCTION("""COMPUTED_VALUE"""),"1lsg_0uEXu3HH4_A9LuYRNenlpBwd4sjxTjFB8xlzdDw")</f>
        <v>1lsg_0uEXu3HH4_A9LuYRNenlpBwd4sjxTjFB8xlzdDw</v>
      </c>
    </row>
    <row r="262" ht="15.75" customHeight="1">
      <c r="A262" t="str">
        <f>IFERROR(__xludf.DUMMYFUNCTION("""COMPUTED_VALUE"""),"TradingTicket")</f>
        <v>TradingTicket</v>
      </c>
      <c r="B262" t="str">
        <f>IFERROR(__xludf.DUMMYFUNCTION("""COMPUTED_VALUE"""),"CreateNewSubOrder")</f>
        <v>CreateNewSubOrder</v>
      </c>
      <c r="C262" t="str">
        <f>IFERROR(__xludf.DUMMYFUNCTION("""COMPUTED_VALUE"""),"1oyvNRFVoJU95KpNy7o_IiQMZgNHP-Bi2KEpSlqaCnyg")</f>
        <v>1oyvNRFVoJU95KpNy7o_IiQMZgNHP-Bi2KEpSlqaCnyg</v>
      </c>
    </row>
    <row r="263" ht="15.75" customHeight="1">
      <c r="A263" t="str">
        <f>IFERROR(__xludf.DUMMYFUNCTION("""COMPUTED_VALUE"""),"CreateTransaction")</f>
        <v>CreateTransaction</v>
      </c>
      <c r="B263" t="str">
        <f>IFERROR(__xludf.DUMMYFUNCTION("""COMPUTED_VALUE"""),"AddNewTransaction")</f>
        <v>AddNewTransaction</v>
      </c>
      <c r="C263" t="str">
        <f>IFERROR(__xludf.DUMMYFUNCTION("""COMPUTED_VALUE"""),"16Eh72qrKHascPtbWrHTlOLhfJHGfR4IZFDSlCSLxmSI")</f>
        <v>16Eh72qrKHascPtbWrHTlOLhfJHGfR4IZFDSlCSLxmSI</v>
      </c>
    </row>
    <row r="264" ht="15.75" customHeight="1">
      <c r="A264" t="str">
        <f>IFERROR(__xludf.DUMMYFUNCTION("""COMPUTED_VALUE"""),"TradingTicket")</f>
        <v>TradingTicket</v>
      </c>
      <c r="B264" t="str">
        <f>IFERROR(__xludf.DUMMYFUNCTION("""COMPUTED_VALUE"""),"TradeBloomberg")</f>
        <v>TradeBloomberg</v>
      </c>
      <c r="C264" t="str">
        <f>IFERROR(__xludf.DUMMYFUNCTION("""COMPUTED_VALUE"""),"1vXZOb9hT8U9HvANcidNDzQLV_Rg36UGBldNh3ILbBmc")</f>
        <v>1vXZOb9hT8U9HvANcidNDzQLV_Rg36UGBldNh3ILbBmc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IFERROR(__xludf.DUMMYFUNCTION("""COMPUTED_VALUE"""),"ClickSymbolLookup")</f>
        <v>ClickSymbolLookup</v>
      </c>
      <c r="C265" t="str">
        <f>IFERROR(__xludf.DUMMYFUNCTION("""COMPUTED_VALUE"""),"1g7stSFk607rGDVIaSnvY-ptgS4CJ0I2p3WOFDCBnziw")</f>
        <v>1g7stSFk607rGDVIaSnvY-ptgS4CJ0I2p3WOFDCBnziw</v>
      </c>
    </row>
    <row r="266" ht="15.75" customHeight="1">
      <c r="A266" t="str">
        <f>IFERROR(__xludf.DUMMYFUNCTION("""COMPUTED_VALUE"""),"PricingServer")</f>
        <v>PricingServer</v>
      </c>
      <c r="B266" t="str">
        <f>IFERROR(__xludf.DUMMYFUNCTION("""COMPUTED_VALUE"""),"RestartPricingServer")</f>
        <v>RestartPricingServer</v>
      </c>
      <c r="C266" t="str">
        <f>IFERROR(__xludf.DUMMYFUNCTION("""COMPUTED_VALUE"""),"1gWKZIjUhrqy74A-4kOFSr-8X-j7OSRRxzFQf9sOTlOE")</f>
        <v>1gWKZIjUhrqy74A-4kOFSr-8X-j7OSRRxzFQf9sOTlOE</v>
      </c>
    </row>
    <row r="267" ht="15.75" customHeight="1">
      <c r="A267" t="str">
        <f>IFERROR(__xludf.DUMMYFUNCTION("""COMPUTED_VALUE"""),"TradeServer")</f>
        <v>TradeServer</v>
      </c>
      <c r="B267" t="str">
        <f>IFERROR(__xludf.DUMMYFUNCTION("""COMPUTED_VALUE"""),"RestartServer")</f>
        <v>RestartServer</v>
      </c>
      <c r="C267" t="str">
        <f>IFERROR(__xludf.DUMMYFUNCTION("""COMPUTED_VALUE"""),"1iETb10qf0A-gB4iUOWwuQuOLD_VgfsHyEAJHBA4DoHQ")</f>
        <v>1iETb10qf0A-gB4iUOWwuQuOLD_VgfsHyEAJHBA4DoHQ</v>
      </c>
    </row>
    <row r="268" ht="15.75" customHeight="1">
      <c r="A268" t="str">
        <f>IFERROR(__xludf.DUMMYFUNCTION("""COMPUTED_VALUE"""),"PranaClient")</f>
        <v>PranaClient</v>
      </c>
      <c r="B268" t="str">
        <f>IFERROR(__xludf.DUMMYFUNCTION("""COMPUTED_VALUE"""),"RestartClient")</f>
        <v>RestartClient</v>
      </c>
      <c r="C268" t="str">
        <f>IFERROR(__xludf.DUMMYFUNCTION("""COMPUTED_VALUE"""),"1S186VaVmLeTBBZvOvfZZkdYDpjAYEEcCLhDbU_-H4AQ")</f>
        <v>1S186VaVmLeTBBZvOvfZZkdYDpjAYEEcCLhDbU_-H4AQ</v>
      </c>
    </row>
    <row r="269" ht="15.75" customHeight="1">
      <c r="A269" t="str">
        <f>IFERROR(__xludf.DUMMYFUNCTION("""COMPUTED_VALUE"""),"PTT")</f>
        <v>PTT</v>
      </c>
      <c r="B269" t="str">
        <f>IFERROR(__xludf.DUMMYFUNCTION("""COMPUTED_VALUE"""),"CalculatePTT")</f>
        <v>CalculatePTT</v>
      </c>
      <c r="C269" t="str">
        <f>IFERROR(__xludf.DUMMYFUNCTION("""COMPUTED_VALUE"""),"1n-0IidhwMIEAHTljc0dL6DfL_KtwHCHHMmQqIxrt5Pc")</f>
        <v>1n-0IidhwMIEAHTljc0dL6DfL_KtwHCHHMmQqIxrt5Pc</v>
      </c>
    </row>
    <row r="270" ht="15.75" customHeight="1">
      <c r="A270" t="str">
        <f>IFERROR(__xludf.DUMMYFUNCTION("""COMPUTED_VALUE"""),"PTT")</f>
        <v>PTT</v>
      </c>
      <c r="B270" t="str">
        <f>IFERROR(__xludf.DUMMYFUNCTION("""COMPUTED_VALUE"""),"TradeUsingPTT")</f>
        <v>TradeUsingPTT</v>
      </c>
      <c r="C270" t="str">
        <f>IFERROR(__xludf.DUMMYFUNCTION("""COMPUTED_VALUE"""),"1MwIHIUJiRevw9hWzaIrZ6hjsnxhVBBEDgIyRlYx_JfM")</f>
        <v>1MwIHIUJiRevw9hWzaIrZ6hjsnxhVBBEDgIyRlYx_JfM</v>
      </c>
    </row>
    <row r="271" ht="15.75" customHeight="1">
      <c r="A271" t="str">
        <f>IFERROR(__xludf.DUMMYFUNCTION("""COMPUTED_VALUE"""),"PTT")</f>
        <v>PTT</v>
      </c>
      <c r="B271" t="str">
        <f>IFERROR(__xludf.DUMMYFUNCTION("""COMPUTED_VALUE"""),"StageOrderUsingPTT")</f>
        <v>StageOrderUsingPTT</v>
      </c>
      <c r="C271" t="str">
        <f>IFERROR(__xludf.DUMMYFUNCTION("""COMPUTED_VALUE"""),"1mGKbjwq4tDR3_X1Fuj7H3rI_B2Ox4KtfLZtHRiQj9VM")</f>
        <v>1mGKbjwq4tDR3_X1Fuj7H3rI_B2Ox4KtfLZtHRiQj9VM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IFERROR(__xludf.DUMMYFUNCTION("""COMPUTED_VALUE"""),"CreateOrderPTT")</f>
        <v>CreateOrderPTT</v>
      </c>
      <c r="C272" t="str">
        <f>IFERROR(__xludf.DUMMYFUNCTION("""COMPUTED_VALUE"""),"1KTUZ6X5yWioaVe8Cg2I9oK8yVSehu3uyHv4QfqEoHMo")</f>
        <v>1KTUZ6X5yWioaVe8Cg2I9oK8yVSehu3uyHv4QfqEoHMo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IFERROR(__xludf.DUMMYFUNCTION("""COMPUTED_VALUE"""),"TradePTT")</f>
        <v>TradePTT</v>
      </c>
      <c r="C273" t="str">
        <f>IFERROR(__xludf.DUMMYFUNCTION("""COMPUTED_VALUE"""),"1k8JhAu6jbmkg_8qpzw2AxNXUgP2YlVgQMW_LLIjefgk")</f>
        <v>1k8JhAu6jbmkg_8qpzw2AxNXUgP2YlVgQMW_LLIjefgk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IFERROR(__xludf.DUMMYFUNCTION("""COMPUTED_VALUE"""),"VerifyPTT")</f>
        <v>VerifyPTT</v>
      </c>
      <c r="C274" t="str">
        <f>IFERROR(__xludf.DUMMYFUNCTION("""COMPUTED_VALUE"""),"1yBlNELKkvQRYYPt6ZAov5fn5DWLS8c3IAyiNqQLdszM")</f>
        <v>1yBlNELKkvQRYYPt6ZAov5fn5DWLS8c3IAyiNqQLdszM</v>
      </c>
    </row>
    <row r="275" ht="15.75" customHeight="1">
      <c r="A275" t="str">
        <f>IFERROR(__xludf.DUMMYFUNCTION("""COMPUTED_VALUE"""),"PortfolioManagement")</f>
        <v>PortfolioManagement</v>
      </c>
      <c r="B275" t="str">
        <f>IFERROR(__xludf.DUMMYFUNCTION("""COMPUTED_VALUE"""),"OpenPTTFromPM")</f>
        <v>OpenPTTFromPM</v>
      </c>
      <c r="C275" t="str">
        <f>IFERROR(__xludf.DUMMYFUNCTION("""COMPUTED_VALUE"""),"1fbjwLiHWAkTu__5roOILF0s1qjsRTN8icKEJcvGeH8o")</f>
        <v>1fbjwLiHWAkTu__5roOILF0s1qjsRTN8icKEJcvGeH8o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IFERROR(__xludf.DUMMYFUNCTION("""COMPUTED_VALUE"""),"OpenMultiTTFromPTT")</f>
        <v>OpenMultiTTFromPTT</v>
      </c>
      <c r="C276" t="str">
        <f>IFERROR(__xludf.DUMMYFUNCTION("""COMPUTED_VALUE"""),"1zrf_a-bbRXuVKhhrfdQixq9uC9b8OfysURDh1E9DT6c")</f>
        <v>1zrf_a-bbRXuVKhhrfdQixq9uC9b8OfysURDh1E9DT6c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IFERROR(__xludf.DUMMYFUNCTION("""COMPUTED_VALUE"""),"SelectMultiTT")</f>
        <v>SelectMultiTT</v>
      </c>
      <c r="C277" t="str">
        <f>IFERROR(__xludf.DUMMYFUNCTION("""COMPUTED_VALUE"""),"1oayAgLduY9MUtfSYRFGUG9RNS9a6iZ8nrakZBxpVSzw")</f>
        <v>1oayAgLduY9MUtfSYRFGUG9RNS9a6iZ8nrakZBxpVSzw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IFERROR(__xludf.DUMMYFUNCTION("""COMPUTED_VALUE"""),"EditMultiTT")</f>
        <v>EditMultiTT</v>
      </c>
      <c r="C278" t="str">
        <f>IFERROR(__xludf.DUMMYFUNCTION("""COMPUTED_VALUE"""),"1JqpSW4ajOSUcoS5mtjIaM7Hi6ArQs8MMsZLI6lP4uyQ")</f>
        <v>1JqpSW4ajOSUcoS5mtjIaM7Hi6ArQs8MMsZLI6lP4uyQ</v>
      </c>
    </row>
    <row r="279" ht="15.75" customHeight="1">
      <c r="A279" t="str">
        <f>IFERROR(__xludf.DUMMYFUNCTION("""COMPUTED_VALUE"""),"MultiTradingTicket")</f>
        <v>MultiTradingTicket</v>
      </c>
      <c r="B279" t="str">
        <f>IFERROR(__xludf.DUMMYFUNCTION("""COMPUTED_VALUE"""),"EditTradeUsingMTT")</f>
        <v>EditTradeUsingMTT</v>
      </c>
      <c r="C279" t="str">
        <f>IFERROR(__xludf.DUMMYFUNCTION("""COMPUTED_VALUE"""),"14b_da7R2FSzuGfC2aS_GrFc31XFQ6Z0PhavdHZ7qjeQ")</f>
        <v>14b_da7R2FSzuGfC2aS_GrFc31XFQ6Z0PhavdHZ7qjeQ</v>
      </c>
    </row>
    <row r="280" ht="15.75" customHeight="1">
      <c r="A280" t="str">
        <f>IFERROR(__xludf.DUMMYFUNCTION("""COMPUTED_VALUE"""),"MultiTradingTicket")</f>
        <v>MultiTradingTicket</v>
      </c>
      <c r="B280" t="str">
        <f>IFERROR(__xludf.DUMMYFUNCTION("""COMPUTED_VALUE"""),"SelectTradeUsingMTT")</f>
        <v>SelectTradeUsingMTT</v>
      </c>
      <c r="C280" t="str">
        <f>IFERROR(__xludf.DUMMYFUNCTION("""COMPUTED_VALUE"""),"1chjNmgT6t6HAgsIjFHHA_HjHXYSib3ypiGcMnTZLj94")</f>
        <v>1chjNmgT6t6HAgsIjFHHA_HjHXYSib3ypiGcMnTZLj94</v>
      </c>
    </row>
    <row r="281" ht="15.75" customHeight="1">
      <c r="A281" t="str">
        <f>IFERROR(__xludf.DUMMYFUNCTION("""COMPUTED_VALUE"""),"MultiTradingTicket")</f>
        <v>MultiTradingTicket</v>
      </c>
      <c r="B281" t="str">
        <f>IFERROR(__xludf.DUMMYFUNCTION("""COMPUTED_VALUE"""),"GetPriceUsingMTT")</f>
        <v>GetPriceUsingMTT</v>
      </c>
      <c r="C281" t="str">
        <f>IFERROR(__xludf.DUMMYFUNCTION("""COMPUTED_VALUE"""),"1RTzsTQKuw6sSM9Kr5VZsw1wV7gvDAsRrG_wV60tAcas")</f>
        <v>1RTzsTQKuw6sSM9Kr5VZsw1wV7gvDAsRrG_wV60tAcas</v>
      </c>
    </row>
    <row r="282" ht="15.75" customHeight="1">
      <c r="A282" t="str">
        <f>IFERROR(__xludf.DUMMYFUNCTION("""COMPUTED_VALUE"""),"MultiTradingTicket")</f>
        <v>MultiTradingTicket</v>
      </c>
      <c r="B282" t="str">
        <f>IFERROR(__xludf.DUMMYFUNCTION("""COMPUTED_VALUE"""),"DoneAwayUsingMTT")</f>
        <v>DoneAwayUsingMTT</v>
      </c>
      <c r="C282" t="str">
        <f>IFERROR(__xludf.DUMMYFUNCTION("""COMPUTED_VALUE"""),"1cNSM32G_N5SGvXu6lx-zWkXRAjYljk13sa5ei-vC56o")</f>
        <v>1cNSM32G_N5SGvXu6lx-zWkXRAjYljk13sa5ei-vC56o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IFERROR(__xludf.DUMMYFUNCTION("""COMPUTED_VALUE"""),"SendOrderUsingMTT")</f>
        <v>SendOrderUsingMTT</v>
      </c>
      <c r="C283" t="str">
        <f>IFERROR(__xludf.DUMMYFUNCTION("""COMPUTED_VALUE"""),"1jLxMpUTr7pXn7Fb2jwwRpn334fPe9S5MRdiVUan3HPQ")</f>
        <v>1jLxMpUTr7pXn7Fb2jwwRpn334fPe9S5MRdiVUan3HPQ</v>
      </c>
    </row>
    <row r="284" ht="15.75" customHeight="1">
      <c r="A284" t="str">
        <f>IFERROR(__xludf.DUMMYFUNCTION("""COMPUTED_VALUE"""),"Allocation")</f>
        <v>Allocation</v>
      </c>
      <c r="B284" t="str">
        <f>IFERROR(__xludf.DUMMYFUNCTION("""COMPUTED_VALUE"""),"UpdateGRAccountValue")</f>
        <v>UpdateGRAccountValue</v>
      </c>
      <c r="C284" t="str">
        <f>IFERROR(__xludf.DUMMYFUNCTION("""COMPUTED_VALUE"""),"117ijYpKq9WwmtJBvvUq33hYFaZv0aHYbrrtnNPkf9nI")</f>
        <v>117ijYpKq9WwmtJBvvUq33hYFaZv0aHYbrrtnNPkf9nI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IFERROR(__xludf.DUMMYFUNCTION("""COMPUTED_VALUE"""),"BulkChangeTradeDoneAway")</f>
        <v>BulkChangeTradeDoneAway</v>
      </c>
      <c r="C285" t="str">
        <f>IFERROR(__xludf.DUMMYFUNCTION("""COMPUTED_VALUE"""),"1tdEQ0vUA4N2FN4RAxUzY8nTTCb6wdhcJbAfOmqjdKDQ")</f>
        <v>1tdEQ0vUA4N2FN4RAxUzY8nTTCb6wdhcJbAfOmqjdKDQ</v>
      </c>
    </row>
    <row r="286" ht="15.75" customHeight="1">
      <c r="A286" t="str">
        <f>IFERROR(__xludf.DUMMYFUNCTION("""COMPUTED_VALUE"""),"Allocation")</f>
        <v>Allocation</v>
      </c>
      <c r="B286" t="str">
        <f>IFERROR(__xludf.DUMMYFUNCTION("""COMPUTED_VALUE"""),"UpdateGRStrategyValue")</f>
        <v>UpdateGRStrategyValue</v>
      </c>
      <c r="C286" t="str">
        <f>IFERROR(__xludf.DUMMYFUNCTION("""COMPUTED_VALUE"""),"132dwq5e7x9R9H3RUwShAPWvGm1jW2l04L5MFSiwJi78")</f>
        <v>132dwq5e7x9R9H3RUwShAPWvGm1jW2l04L5MFSiwJi78</v>
      </c>
    </row>
    <row r="287" ht="15.75" customHeight="1">
      <c r="A287" t="str">
        <f>IFERROR(__xludf.DUMMYFUNCTION("""COMPUTED_VALUE"""),"Allocation")</f>
        <v>Allocation</v>
      </c>
      <c r="B287" t="str">
        <f>IFERROR(__xludf.DUMMYFUNCTION("""COMPUTED_VALUE"""),"UpdateGRDefaultRule")</f>
        <v>UpdateGRDefaultRule</v>
      </c>
      <c r="C287" t="str">
        <f>IFERROR(__xludf.DUMMYFUNCTION("""COMPUTED_VALUE"""),"1N9a82N7mPInkiDNxvE007XkrnwKpfi3bTlMOfLUfVaw")</f>
        <v>1N9a82N7mPInkiDNxvE007XkrnwKpfi3bTlMOfLUfVaw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IFERROR(__xludf.DUMMYFUNCTION("""COMPUTED_VALUE"""),"UpdateGeneralRulePref")</f>
        <v>UpdateGeneralRulePref</v>
      </c>
      <c r="C288" t="str">
        <f>IFERROR(__xludf.DUMMYFUNCTION("""COMPUTED_VALUE"""),"undefined")</f>
        <v>undefined</v>
      </c>
    </row>
    <row r="289" ht="15.75" customHeight="1">
      <c r="A289" t="str">
        <f>IFERROR(__xludf.DUMMYFUNCTION("""COMPUTED_VALUE"""),"Blotter")</f>
        <v>Blotter</v>
      </c>
      <c r="B289" t="str">
        <f>IFERROR(__xludf.DUMMYFUNCTION("""COMPUTED_VALUE"""),"MultiTradingTicketFromBlotter")</f>
        <v>MultiTradingTicketFromBlotter</v>
      </c>
      <c r="C289" t="str">
        <f>IFERROR(__xludf.DUMMYFUNCTION("""COMPUTED_VALUE"""),"1Jw4b7G1Z0ZXvJiWOGAg2-2iqjR560ENdPTlDh4fHUvc")</f>
        <v>1Jw4b7G1Z0ZXvJiWOGAg2-2iqjR560ENdPTlDh4fHUvc</v>
      </c>
    </row>
    <row r="290" ht="15.75" customHeight="1">
      <c r="A290" t="str">
        <f>IFERROR(__xludf.DUMMYFUNCTION("""COMPUTED_VALUE"""),"CleanUp")</f>
        <v>CleanUp</v>
      </c>
      <c r="B290" t="str">
        <f>IFERROR(__xludf.DUMMYFUNCTION("""COMPUTED_VALUE"""),"DeleteClientData")</f>
        <v>DeleteClientData</v>
      </c>
      <c r="C290" t="str">
        <f>IFERROR(__xludf.DUMMYFUNCTION("""COMPUTED_VALUE"""),"1QAUh1kMj_54htmyrqxjdQlxiqFvmJ8J6P-K_-Fqss-w")</f>
        <v>1QAUh1kMj_54htmyrqxjdQlxiqFvmJ8J6P-K_-Fqss-w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IFERROR(__xludf.DUMMYFUNCTION("""COMPUTED_VALUE"""),"ModifyGRPreferenceValues")</f>
        <v>ModifyGRPreferenceValues</v>
      </c>
      <c r="C291" t="str">
        <f>IFERROR(__xludf.DUMMYFUNCTION("""COMPUTED_VALUE"""),"undefined")</f>
        <v>undefined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IFERROR(__xludf.DUMMYFUNCTION("""COMPUTED_VALUE"""),"AddMFPreferences")</f>
        <v>AddMFPreferences</v>
      </c>
      <c r="C292" t="str">
        <f>IFERROR(__xludf.DUMMYFUNCTION("""COMPUTED_VALUE"""),"1M_FLEr6e22HBx7IQl8kV2NusNgjLGQvah8H14hifRkI")</f>
        <v>1M_FLEr6e22HBx7IQl8kV2NusNgjLGQvah8H14hifRkI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IFERROR(__xludf.DUMMYFUNCTION("""COMPUTED_VALUE"""),"AddMFPreferenceToolbar")</f>
        <v>AddMFPreferenceToolbar</v>
      </c>
      <c r="C293" t="str">
        <f>IFERROR(__xludf.DUMMYFUNCTION("""COMPUTED_VALUE"""),"1PYN_ipgl8XummI4ut80O5TxWYml1LI7YKYLZE4fAMjU")</f>
        <v>1PYN_ipgl8XummI4ut80O5TxWYml1LI7YKYLZE4fAMjU</v>
      </c>
    </row>
    <row r="294" ht="15.75" customHeight="1">
      <c r="A294" t="str">
        <f>IFERROR(__xludf.DUMMYFUNCTION("""COMPUTED_VALUE"""),"Allocation")</f>
        <v>Allocation</v>
      </c>
      <c r="B294" t="str">
        <f>IFERROR(__xludf.DUMMYFUNCTION("""COMPUTED_VALUE"""),"DeleteMFPreferences")</f>
        <v>DeleteMFPreferences</v>
      </c>
      <c r="C294" t="str">
        <f>IFERROR(__xludf.DUMMYFUNCTION("""COMPUTED_VALUE"""),"1W6g2r_d5Feoz-y2Su9u0dgDWFcbD9-4S1KRgk2UfxFA")</f>
        <v>1W6g2r_d5Feoz-y2Su9u0dgDWFcbD9-4S1KRgk2UfxFA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IFERROR(__xludf.DUMMYFUNCTION("""COMPUTED_VALUE"""),"DeleteMFPreferenceToolbar")</f>
        <v>DeleteMFPreferenceToolbar</v>
      </c>
      <c r="C295" t="str">
        <f>IFERROR(__xludf.DUMMYFUNCTION("""COMPUTED_VALUE"""),"1cZNS3kDcO7VYl26Huql-4phO2r-_ZrqLGre466WODbA")</f>
        <v>1cZNS3kDcO7VYl26Huql-4phO2r-_ZrqLGre466WODbA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IFERROR(__xludf.DUMMYFUNCTION("""COMPUTED_VALUE"""),"RenameMFPreferences")</f>
        <v>RenameMFPreferences</v>
      </c>
      <c r="C296" t="str">
        <f>IFERROR(__xludf.DUMMYFUNCTION("""COMPUTED_VALUE"""),"1ystb-FslRwNicLiDd8lAs6a6byTsbfFWFoiim2zgYPw")</f>
        <v>1ystb-FslRwNicLiDd8lAs6a6byTsbfFWFoiim2zgYPw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IFERROR(__xludf.DUMMYFUNCTION("""COMPUTED_VALUE"""),"SaveCloseMFPreference")</f>
        <v>SaveCloseMFPreference</v>
      </c>
      <c r="C297" t="str">
        <f>IFERROR(__xludf.DUMMYFUNCTION("""COMPUTED_VALUE"""),"undefined")</f>
        <v>undefined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IFERROR(__xludf.DUMMYFUNCTION("""COMPUTED_VALUE"""),"SetMFPrefAccountValues")</f>
        <v>SetMFPrefAccountValues</v>
      </c>
      <c r="C298" t="str">
        <f>IFERROR(__xludf.DUMMYFUNCTION("""COMPUTED_VALUE"""),"1MTbFLkBDQX_Lu2G0msIDum1Rmj-A7oU-ouidoZvyf_g")</f>
        <v>1MTbFLkBDQX_Lu2G0msIDum1Rmj-A7oU-ouidoZvyf_g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IFERROR(__xludf.DUMMYFUNCTION("""COMPUTED_VALUE"""),"ModifyMFPrefGeneralRuleValues")</f>
        <v>ModifyMFPrefGeneralRuleValues</v>
      </c>
      <c r="C299" t="str">
        <f>IFERROR(__xludf.DUMMYFUNCTION("""COMPUTED_VALUE"""),"undefined")</f>
        <v>undefined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IFERROR(__xludf.DUMMYFUNCTION("""COMPUTED_VALUE"""),"SetMFPrefStrategyValues")</f>
        <v>SetMFPrefStrategyValues</v>
      </c>
      <c r="C300" t="str">
        <f>IFERROR(__xludf.DUMMYFUNCTION("""COMPUTED_VALUE"""),"1B9ERzWjdzyr0fHLV5dZFtreFMs7hW-NSYYU_PKoLUWg")</f>
        <v>1B9ERzWjdzyr0fHLV5dZFtreFMs7hW-NSYYU_PKoLUWg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IFERROR(__xludf.DUMMYFUNCTION("""COMPUTED_VALUE"""),"SetMFPrefGeneralRule")</f>
        <v>SetMFPrefGeneralRule</v>
      </c>
      <c r="C301" t="str">
        <f>IFERROR(__xludf.DUMMYFUNCTION("""COMPUTED_VALUE"""),"1A2pjhbdU0RqqqcBao-_4gv5NnxM46MyMUOmxRm0DWi8")</f>
        <v>1A2pjhbdU0RqqqcBao-_4gv5NnxM46MyMUOmxRm0DWi8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IFERROR(__xludf.DUMMYFUNCTION("""COMPUTED_VALUE"""),"SetMFPrefFundDistribution")</f>
        <v>SetMFPrefFundDistribution</v>
      </c>
      <c r="C302" t="str">
        <f>IFERROR(__xludf.DUMMYFUNCTION("""COMPUTED_VALUE"""),"13AQ3tbVAMHVBd_fPky1oSiB84tnTC1szO-VUa9qBigg")</f>
        <v>13AQ3tbVAMHVBd_fPky1oSiB84tnTC1szO-VUa9qBigg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IFERROR(__xludf.DUMMYFUNCTION("""COMPUTED_VALUE"""),"SetMFPreferencesDefaultRule")</f>
        <v>SetMFPreferencesDefaultRule</v>
      </c>
      <c r="C303" t="str">
        <f>IFERROR(__xludf.DUMMYFUNCTION("""COMPUTED_VALUE"""),"1Hv0Z5ssoqeLvkhuR2HFZzFSNTaTFuJc6FikZf44KOIw")</f>
        <v>1Hv0Z5ssoqeLvkhuR2HFZzFSNTaTFuJc6FikZf44KOIw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IFERROR(__xludf.DUMMYFUNCTION("""COMPUTED_VALUE"""),"SetMFPrefFundDefaultRule")</f>
        <v>SetMFPrefFundDefaultRule</v>
      </c>
      <c r="C304" t="str">
        <f>IFERROR(__xludf.DUMMYFUNCTION("""COMPUTED_VALUE"""),"19B6YRFRQDZpZLmLuGmVVYdPYGXcNeJN-b7khzCptlTc")</f>
        <v>19B6YRFRQDZpZLmLuGmVVYdPYGXcNeJN-b7khzCptlTc</v>
      </c>
    </row>
    <row r="305" ht="15.75" customHeight="1">
      <c r="A305" t="str">
        <f>IFERROR(__xludf.DUMMYFUNCTION("""COMPUTED_VALUE"""),"PTT")</f>
        <v>PTT</v>
      </c>
      <c r="B305" t="str">
        <f>IFERROR(__xludf.DUMMYFUNCTION("""COMPUTED_VALUE"""),"SetAccountFactor")</f>
        <v>SetAccountFactor</v>
      </c>
      <c r="C305" t="str">
        <f>IFERROR(__xludf.DUMMYFUNCTION("""COMPUTED_VALUE"""),"1vb9TVD-ohDLuvXO8ZK90_tG89vhQ6x6iCk8S-C2GeEk")</f>
        <v>1vb9TVD-ohDLuvXO8ZK90_tG89vhQ6x6iCk8S-C2GeEk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IFERROR(__xludf.DUMMYFUNCTION("""COMPUTED_VALUE"""),"ClearPrefetchFilters")</f>
        <v>ClearPrefetchFilters</v>
      </c>
      <c r="C306" t="str">
        <f>IFERROR(__xludf.DUMMYFUNCTION("""COMPUTED_VALUE"""),"undefined")</f>
        <v>undefined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IFERROR(__xludf.DUMMYFUNCTION("""COMPUTED_VALUE"""),"ExpandCollapseAllUnallocated")</f>
        <v>ExpandCollapseAllUnallocated</v>
      </c>
      <c r="C307" t="str">
        <f>IFERROR(__xludf.DUMMYFUNCTION("""COMPUTED_VALUE"""),"1YL6c6rK2NersJZ19X_FPPdb2ndygftjmpIAGUKYOThw")</f>
        <v>1YL6c6rK2NersJZ19X_FPPdb2ndygftjmpIAGUKYOThw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IFERROR(__xludf.DUMMYFUNCTION("""COMPUTED_VALUE"""),"ExpandCollapseAllAllocated")</f>
        <v>ExpandCollapseAllAllocated</v>
      </c>
      <c r="C308" t="str">
        <f>IFERROR(__xludf.DUMMYFUNCTION("""COMPUTED_VALUE"""),"1-zysK6eTkra8tpeUSlbhLhfLGsQDtZ5wngV6xhW7Y4U")</f>
        <v>1-zysK6eTkra8tpeUSlbhLhfLGsQDtZ5wngV6xhW7Y4U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IFERROR(__xludf.DUMMYFUNCTION("""COMPUTED_VALUE"""),"GenerateCashTransaction")</f>
        <v>GenerateCashTransaction</v>
      </c>
      <c r="C309" t="str">
        <f>IFERROR(__xludf.DUMMYFUNCTION("""COMPUTED_VALUE"""),"1mNMeBNOJywSPpU7QYU1vURZ42PPw7H8-GNKnam4kgDQ")</f>
        <v>1mNMeBNOJywSPpU7QYU1vURZ42PPw7H8-GNKnam4kgDQ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IFERROR(__xludf.DUMMYFUNCTION("""COMPUTED_VALUE"""),"SaveAllocation")</f>
        <v>SaveAllocation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IFERROR(__xludf.DUMMYFUNCTION("""COMPUTED_VALUE"""),"UnallocateWithOutSave")</f>
        <v>UnallocateWithOutSave</v>
      </c>
      <c r="C311" t="str">
        <f>IFERROR(__xludf.DUMMYFUNCTION("""COMPUTED_VALUE"""),"1M98UTVz-kOortSquZ3k8yDFCGL0P9mLMaN2q3yEUNuA")</f>
        <v>1M98UTVz-kOortSquZ3k8yDFCGL0P9mLMaN2q3yEUNuA</v>
      </c>
    </row>
    <row r="312" ht="15.75" customHeight="1">
      <c r="A312" t="str">
        <f>IFERROR(__xludf.DUMMYFUNCTION("""COMPUTED_VALUE"""),"TradeServer")</f>
        <v>TradeServer</v>
      </c>
      <c r="B312" t="str">
        <f>IFERROR(__xludf.DUMMYFUNCTION("""COMPUTED_VALUE"""),"UpdateServerConfig")</f>
        <v>UpdateServerConfig</v>
      </c>
      <c r="C312" t="str">
        <f>IFERROR(__xludf.DUMMYFUNCTION("""COMPUTED_VALUE"""),"1seMhg4iNNOorLVaDP1KLD3-AaBkP6Og_iLfMW-ItgzU")</f>
        <v>1seMhg4iNNOorLVaDP1KLD3-AaBkP6Og_iLfMW-ItgzU</v>
      </c>
    </row>
    <row r="313" ht="15.75" customHeight="1">
      <c r="A313" t="str">
        <f>IFERROR(__xludf.DUMMYFUNCTION("""COMPUTED_VALUE"""),"PricingServer")</f>
        <v>PricingServer</v>
      </c>
      <c r="B313" t="str">
        <f>IFERROR(__xludf.DUMMYFUNCTION("""COMPUTED_VALUE"""),"UpdatePricingConfig")</f>
        <v>UpdatePricingConfig</v>
      </c>
      <c r="C313" t="str">
        <f>IFERROR(__xludf.DUMMYFUNCTION("""COMPUTED_VALUE"""),"1MvTEQqM11huwRsoXl6xEi3IAzNeJdt61cEuMd9jn3_s")</f>
        <v>1MvTEQqM11huwRsoXl6xEi3IAzNeJdt61cEuMd9jn3_s</v>
      </c>
    </row>
    <row r="314" ht="15.75" customHeight="1">
      <c r="A314" t="str">
        <f>IFERROR(__xludf.DUMMYFUNCTION("""COMPUTED_VALUE"""),"Expnl")</f>
        <v>Expnl</v>
      </c>
      <c r="B314" t="str">
        <f>IFERROR(__xludf.DUMMYFUNCTION("""COMPUTED_VALUE"""),"UpdateExpnlConfig")</f>
        <v>UpdateExpnlConfig</v>
      </c>
      <c r="C314" t="str">
        <f>IFERROR(__xludf.DUMMYFUNCTION("""COMPUTED_VALUE"""),"18U4mB8u1ZzddTJWR8e10hKB9G2PtkVaCRQs9M6dGmDw")</f>
        <v>18U4mB8u1ZzddTJWR8e10hKB9G2PtkVaCRQs9M6dGmDw</v>
      </c>
    </row>
    <row r="315" ht="15.75" customHeight="1">
      <c r="A315" t="str">
        <f>IFERROR(__xludf.DUMMYFUNCTION("""COMPUTED_VALUE"""),"PranaClient")</f>
        <v>PranaClient</v>
      </c>
      <c r="B315" t="str">
        <f>IFERROR(__xludf.DUMMYFUNCTION("""COMPUTED_VALUE"""),"UpdateClientConfig")</f>
        <v>UpdateClientConfig</v>
      </c>
      <c r="C315" t="str">
        <f>IFERROR(__xludf.DUMMYFUNCTION("""COMPUTED_VALUE"""),"1bvyqZwTrfgNJws3DmYVHW4MQFzGRa5k8KAaLOGczA1g")</f>
        <v>1bvyqZwTrfgNJws3DmYVHW4MQFzGRa5k8KAaLOGczA1g</v>
      </c>
    </row>
    <row r="316" ht="15.75" customHeight="1">
      <c r="A316" t="str">
        <f>IFERROR(__xludf.DUMMYFUNCTION("""COMPUTED_VALUE"""),"PortfolioManagement")</f>
        <v>PortfolioManagement</v>
      </c>
      <c r="B316" t="str">
        <f>IFERROR(__xludf.DUMMYFUNCTION("""COMPUTED_VALUE"""),"OpenClosingFromPM")</f>
        <v>OpenClosingFromPM</v>
      </c>
      <c r="C316" t="str">
        <f>IFERROR(__xludf.DUMMYFUNCTION("""COMPUTED_VALUE"""),"undefined")</f>
        <v>undefined</v>
      </c>
    </row>
    <row r="317" ht="15.75" customHeight="1">
      <c r="A317" t="str">
        <f>IFERROR(__xludf.DUMMYFUNCTION("""COMPUTED_VALUE"""),"PortfolioManagement")</f>
        <v>PortfolioManagement</v>
      </c>
      <c r="B317" t="str">
        <f>IFERROR(__xludf.DUMMYFUNCTION("""COMPUTED_VALUE"""),"OpenCorporateActionFromPM")</f>
        <v>OpenCorporateActionFromPM</v>
      </c>
      <c r="C317" t="str">
        <f>IFERROR(__xludf.DUMMYFUNCTION("""COMPUTED_VALUE"""),"undefined")</f>
        <v>undefined</v>
      </c>
    </row>
    <row r="318" ht="15.75" customHeight="1">
      <c r="A318" t="str">
        <f>IFERROR(__xludf.DUMMYFUNCTION("""COMPUTED_VALUE"""),"PortfolioManagement")</f>
        <v>PortfolioManagement</v>
      </c>
      <c r="B318" t="str">
        <f>IFERROR(__xludf.DUMMYFUNCTION("""COMPUTED_VALUE"""),"OpenDailyValuationFromPM")</f>
        <v>OpenDailyValuationFromPM</v>
      </c>
      <c r="C318" t="str">
        <f>IFERROR(__xludf.DUMMYFUNCTION("""COMPUTED_VALUE"""),"undefined")</f>
        <v>undefined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IFERROR(__xludf.DUMMYFUNCTION("""COMPUTED_VALUE"""),"ClosePositionFromPM")</f>
        <v>ClosePositionFromPM</v>
      </c>
      <c r="C319" t="str">
        <f>IFERROR(__xludf.DUMMYFUNCTION("""COMPUTED_VALUE"""),"1-P8y2jWa8-TgjIAgysm8LiFOFNCawLK6ehtNf8n3g0o")</f>
        <v>1-P8y2jWa8-TgjIAgysm8LiFOFNCawLK6ehtNf8n3g0o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IFERROR(__xludf.DUMMYFUNCTION("""COMPUTED_VALUE"""),"ShowSummaryToolFromPM")</f>
        <v>ShowSummaryToolFromPM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IFERROR(__xludf.DUMMYFUNCTION("""COMPUTED_VALUE"""),"HideSummaryToolFromPM")</f>
        <v>HideSummaryToolFromPM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IFERROR(__xludf.DUMMYFUNCTION("""COMPUTED_VALUE"""),"CloseAccountPositionFromPM")</f>
        <v>CloseAccountPositionFromPM</v>
      </c>
      <c r="C322" t="str">
        <f>IFERROR(__xludf.DUMMYFUNCTION("""COMPUTED_VALUE"""),"1r4mdKH6xHBGXly0xX_3kfVZnbgFRt6h09CKzb6B2j30")</f>
        <v>1r4mdKH6xHBGXly0xX_3kfVZnbgFRt6h09CKzb6B2j30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IFERROR(__xludf.DUMMYFUNCTION("""COMPUTED_VALUE"""),"CloseSelectedTaxlotsFromPM")</f>
        <v>CloseSelectedTaxlotsFromPM</v>
      </c>
      <c r="C323" t="str">
        <f>IFERROR(__xludf.DUMMYFUNCTION("""COMPUTED_VALUE"""),"1bepmvkmXtLL4UpGLcjeYXrovfZi8iUwi1A3os0v1Uj0")</f>
        <v>1bepmvkmXtLL4UpGLcjeYXrovfZi8iUwi1A3os0v1Uj0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IFERROR(__xludf.DUMMYFUNCTION("""COMPUTED_VALUE"""),"ExpandCollapsePM")</f>
        <v>ExpandCollapsePM</v>
      </c>
      <c r="C324" t="str">
        <f>IFERROR(__xludf.DUMMYFUNCTION("""COMPUTED_VALUE"""),"1nPYQhQ-Gpxk7lgLy_GqUcKiz5fcJpQhrTV5bJyY03qc")</f>
        <v>1nPYQhQ-Gpxk7lgLy_GqUcKiz5fcJpQhrTV5bJyY03qc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IFERROR(__xludf.DUMMYFUNCTION("""COMPUTED_VALUE"""),"AddCustomViewPM")</f>
        <v>AddCustomViewPM</v>
      </c>
      <c r="C325" t="str">
        <f>IFERROR(__xludf.DUMMYFUNCTION("""COMPUTED_VALUE"""),"1NbdvoXzq9bLTUkCX2_gVxCtjCR2kBldnGGw-z1Eim8I")</f>
        <v>1NbdvoXzq9bLTUkCX2_gVxCtjCR2kBldnGGw-z1Eim8I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IFERROR(__xludf.DUMMYFUNCTION("""COMPUTED_VALUE"""),"AddCustomViewRightClickPM")</f>
        <v>AddCustomViewRightClickPM</v>
      </c>
      <c r="C326" t="str">
        <f>IFERROR(__xludf.DUMMYFUNCTION("""COMPUTED_VALUE"""),"1Q7iif6wWXqCIfSrgSBzoU30gZbMUkNAMhcF68qLMvps")</f>
        <v>1Q7iif6wWXqCIfSrgSBzoU30gZbMUkNAMhcF68qLMvps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IFERROR(__xludf.DUMMYFUNCTION("""COMPUTED_VALUE"""),"RenameCustomViewPM")</f>
        <v>RenameCustomViewPM</v>
      </c>
      <c r="C327" t="str">
        <f>IFERROR(__xludf.DUMMYFUNCTION("""COMPUTED_VALUE"""),"11-lGY3oTzf5kpgkJM4lHHX32AUcd6BpZ2CU2UsLPpAE")</f>
        <v>11-lGY3oTzf5kpgkJM4lHHX32AUcd6BpZ2CU2UsLPpAE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IFERROR(__xludf.DUMMYFUNCTION("""COMPUTED_VALUE"""),"DeleteCustomViewPM")</f>
        <v>DeleteCustomViewPM</v>
      </c>
      <c r="C328" t="str">
        <f>IFERROR(__xludf.DUMMYFUNCTION("""COMPUTED_VALUE"""),"1X-gnstY40ismguHxChNKmthJ1G80Q49D37OBmzHA5BM")</f>
        <v>1X-gnstY40ismguHxChNKmthJ1G80Q49D37OBmzHA5BM</v>
      </c>
    </row>
    <row r="329" ht="15.75" customHeight="1">
      <c r="A329" t="str">
        <f>IFERROR(__xludf.DUMMYFUNCTION("""COMPUTED_VALUE"""),"Closing")</f>
        <v>Closing</v>
      </c>
      <c r="B329" t="str">
        <f>IFERROR(__xludf.DUMMYFUNCTION("""COMPUTED_VALUE"""),"SetClosingPreference")</f>
        <v>SetClosingPreference</v>
      </c>
      <c r="C329" t="str">
        <f>IFERROR(__xludf.DUMMYFUNCTION("""COMPUTED_VALUE"""),"1SBWCGC1qCDElP5xT215lxXFECJmufBKtZhmLiF-uDlE")</f>
        <v>1SBWCGC1qCDElP5xT215lxXFECJmufBKtZhmLiF-uDlE</v>
      </c>
    </row>
    <row r="330" ht="15.75" customHeight="1">
      <c r="A330" t="str">
        <f>IFERROR(__xludf.DUMMYFUNCTION("""COMPUTED_VALUE"""),"CreateTransaction")</f>
        <v>CreateTransaction</v>
      </c>
      <c r="B330" t="str">
        <f>IFERROR(__xludf.DUMMYFUNCTION("""COMPUTED_VALUE"""),"SaveTransaction")</f>
        <v>SaveTransaction</v>
      </c>
      <c r="C330" t="str">
        <f>IFERROR(__xludf.DUMMYFUNCTION("""COMPUTED_VALUE"""),"undefined")</f>
        <v>undefined</v>
      </c>
    </row>
    <row r="331" ht="15.75" customHeight="1">
      <c r="A331" t="str">
        <f>IFERROR(__xludf.DUMMYFUNCTION("""COMPUTED_VALUE"""),"Allocation")</f>
        <v>Allocation</v>
      </c>
      <c r="B331" t="str">
        <f>IFERROR(__xludf.DUMMYFUNCTION("""COMPUTED_VALUE"""),"EditUnallocatedGrid")</f>
        <v>EditUnallocatedGrid</v>
      </c>
      <c r="C331" t="str">
        <f>IFERROR(__xludf.DUMMYFUNCTION("""COMPUTED_VALUE"""),"13ZNMuqKcSpAW_MsR69_GoKBz_beluHfFVyViDpUnCkc")</f>
        <v>13ZNMuqKcSpAW_MsR69_GoKBz_beluHfFVyViDpUnCkc</v>
      </c>
    </row>
    <row r="332" ht="15.75" customHeight="1">
      <c r="A332" t="str">
        <f>IFERROR(__xludf.DUMMYFUNCTION("""COMPUTED_VALUE"""),"Allocation")</f>
        <v>Allocation</v>
      </c>
      <c r="B332" t="str">
        <f>IFERROR(__xludf.DUMMYFUNCTION("""COMPUTED_VALUE"""),"EditAllocatedGrid")</f>
        <v>EditAllocatedGrid</v>
      </c>
      <c r="C332" t="str">
        <f>IFERROR(__xludf.DUMMYFUNCTION("""COMPUTED_VALUE"""),"1Qe_MB72ABGFy_tC-AtAJSBoOqNECmDnuHW2p--em0xc")</f>
        <v>1Qe_MB72ABGFy_tC-AtAJSBoOqNECmDnuHW2p--em0xc</v>
      </c>
    </row>
    <row r="333" ht="15.75" customHeight="1">
      <c r="A333" t="str">
        <f>IFERROR(__xludf.DUMMYFUNCTION("""COMPUTED_VALUE"""),"PTT")</f>
        <v>PTT</v>
      </c>
      <c r="B333" t="str">
        <f>IFERROR(__xludf.DUMMYFUNCTION("""COMPUTED_VALUE"""),"SetPTTPreference")</f>
        <v>SetPTTPreference</v>
      </c>
      <c r="C333" t="str">
        <f>IFERROR(__xludf.DUMMYFUNCTION("""COMPUTED_VALUE"""),"1ldeUCvJu8gA2hZDe6NneM5_zHpORs3VIMmFqtZK_zTo")</f>
        <v>1ldeUCvJu8gA2hZDe6NneM5_zHpORs3VIMmFqtZK_zTo</v>
      </c>
    </row>
    <row r="334" ht="15.75" customHeight="1">
      <c r="A334" t="str">
        <f>IFERROR(__xludf.DUMMYFUNCTION("""COMPUTED_VALUE"""),"PTT")</f>
        <v>PTT</v>
      </c>
      <c r="B334" t="str">
        <f>IFERROR(__xludf.DUMMYFUNCTION("""COMPUTED_VALUE"""),"SetLongShortPTTPreference")</f>
        <v>SetLongShortPTTPreference</v>
      </c>
      <c r="C334" t="str">
        <f>IFERROR(__xludf.DUMMYFUNCTION("""COMPUTED_VALUE"""),"1K6pZbNryz6dksItb7aYYpqHUV4sWPVRsnYGiEZCb6BY")</f>
        <v>1K6pZbNryz6dksItb7aYYpqHUV4sWPVRsnYGiEZCb6BY</v>
      </c>
    </row>
    <row r="335" ht="15.75" customHeight="1">
      <c r="A335" t="str">
        <f>IFERROR(__xludf.DUMMYFUNCTION("""COMPUTED_VALUE"""),"TradingTicket")</f>
        <v>TradingTicket</v>
      </c>
      <c r="B335" t="str">
        <f>IFERROR(__xludf.DUMMYFUNCTION("""COMPUTED_VALUE"""),"VerifyTT")</f>
        <v>VerifyTT</v>
      </c>
      <c r="C335" t="str">
        <f>IFERROR(__xludf.DUMMYFUNCTION("""COMPUTED_VALUE"""),"1bKhXEya1wodNYLnY1-QcHI_XG3UWZaHQ81HV-TN-5Kc")</f>
        <v>1bKhXEya1wodNYLnY1-QcHI_XG3UWZaHQ81HV-TN-5Kc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IFERROR(__xludf.DUMMYFUNCTION("""COMPUTED_VALUE"""),"SaveLayoutAllocatedGrid")</f>
        <v>SaveLayoutAllocatedGrid</v>
      </c>
      <c r="C336" t="str">
        <f>IFERROR(__xludf.DUMMYFUNCTION("""COMPUTED_VALUE"""),"1aTyf1QMUlY1sd90ATn_Ik7tSnqoJNJ2ORUTgE2CcKVc")</f>
        <v>1aTyf1QMUlY1sd90ATn_Ik7tSnqoJNJ2ORUTgE2CcKVc</v>
      </c>
    </row>
    <row r="337" ht="15.75" customHeight="1">
      <c r="A337" t="str">
        <f>IFERROR(__xludf.DUMMYFUNCTION("""COMPUTED_VALUE"""),"Allocation")</f>
        <v>Allocation</v>
      </c>
      <c r="B337" t="str">
        <f>IFERROR(__xludf.DUMMYFUNCTION("""COMPUTED_VALUE"""),"SaveLayoutUnallocatedGrid")</f>
        <v>SaveLayoutUnallocatedGrid</v>
      </c>
      <c r="C337" t="str">
        <f>IFERROR(__xludf.DUMMYFUNCTION("""COMPUTED_VALUE"""),"14EKTplxgrSnZ3LrmPGSsdvC3A1Cn7Gl3iYaLoliVy5c")</f>
        <v>14EKTplxgrSnZ3LrmPGSsdvC3A1Cn7Gl3iYaLoliVy5c</v>
      </c>
    </row>
    <row r="338" ht="15.75" customHeight="1">
      <c r="A338" t="str">
        <f>IFERROR(__xludf.DUMMYFUNCTION("""COMPUTED_VALUE"""),"Allocation")</f>
        <v>Allocation</v>
      </c>
      <c r="B338" t="str">
        <f>IFERROR(__xludf.DUMMYFUNCTION("""COMPUTED_VALUE"""),"SaveLayoutAllocationUI")</f>
        <v>SaveLayoutAllocationUI</v>
      </c>
      <c r="C338" t="str">
        <f>IFERROR(__xludf.DUMMYFUNCTION("""COMPUTED_VALUE"""),"1w55ijS0jNdggXMegSAddndubbfCazPcYQ4T-iQXE9-8")</f>
        <v>1w55ijS0jNdggXMegSAddndubbfCazPcYQ4T-iQXE9-8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IFERROR(__xludf.DUMMYFUNCTION("""COMPUTED_VALUE"""),"ClearFiltersAllocatedGrid")</f>
        <v>ClearFiltersAllocatedGrid</v>
      </c>
      <c r="C339" t="str">
        <f>IFERROR(__xludf.DUMMYFUNCTION("""COMPUTED_VALUE"""),"undefined")</f>
        <v>undefined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IFERROR(__xludf.DUMMYFUNCTION("""COMPUTED_VALUE"""),"ClearFiltersUnallocatedGrid")</f>
        <v>ClearFiltersUnallocatedGrid</v>
      </c>
      <c r="C340" t="str">
        <f>IFERROR(__xludf.DUMMYFUNCTION("""COMPUTED_VALUE"""),"undefined")</f>
        <v>undefined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IFERROR(__xludf.DUMMYFUNCTION("""COMPUTED_VALUE"""),"VerifyLayoutAllocatedGrid")</f>
        <v>VerifyLayoutAllocatedGrid</v>
      </c>
      <c r="C341" t="str">
        <f>IFERROR(__xludf.DUMMYFUNCTION("""COMPUTED_VALUE"""),"1Dm60vGCrArH03PZJNSUJF2XSLE8bTZId3GMfDSiNsgE")</f>
        <v>1Dm60vGCrArH03PZJNSUJF2XSLE8bTZId3GMfDSiNsgE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IFERROR(__xludf.DUMMYFUNCTION("""COMPUTED_VALUE"""),"VerifyLayoutUnallocatedGrid")</f>
        <v>VerifyLayoutUnallocatedGrid</v>
      </c>
      <c r="C342" t="str">
        <f>IFERROR(__xludf.DUMMYFUNCTION("""COMPUTED_VALUE"""),"13oH5Ytu1wVsxt5b13YVUvBPplFK0NO_TK4bRhOZWxN8")</f>
        <v>13oH5Ytu1wVsxt5b13YVUvBPplFK0NO_TK4bRhOZWxN8</v>
      </c>
    </row>
    <row r="343" ht="15.75" customHeight="1">
      <c r="A343" t="str">
        <f>IFERROR(__xludf.DUMMYFUNCTION("""COMPUTED_VALUE"""),"DailyValuation")</f>
        <v>DailyValuation</v>
      </c>
      <c r="B343" t="str">
        <f>IFERROR(__xludf.DUMMYFUNCTION("""COMPUTED_VALUE"""),"UpdateForexConversionMonthly")</f>
        <v>UpdateForexConversionMonthly</v>
      </c>
      <c r="C343" t="str">
        <f>IFERROR(__xludf.DUMMYFUNCTION("""COMPUTED_VALUE"""),"1TZUZ5-nBzkzBtbjFUoa_EB6_eDzdYjS0ibH5XGYYwAw")</f>
        <v>1TZUZ5-nBzkzBtbjFUoa_EB6_eDzdYjS0ibH5XGYYwAw</v>
      </c>
    </row>
    <row r="344" ht="15.75" customHeight="1">
      <c r="A344" t="str">
        <f>IFERROR(__xludf.DUMMYFUNCTION("""COMPUTED_VALUE"""),"GeneralLedger")</f>
        <v>GeneralLedger</v>
      </c>
      <c r="B344" t="str">
        <f>IFERROR(__xludf.DUMMYFUNCTION("""COMPUTED_VALUE"""),"SaveTransaction")</f>
        <v>SaveTransaction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IFERROR(__xludf.DUMMYFUNCTION("""COMPUTED_VALUE"""),"DailyValuation")</f>
        <v>DailyValuation</v>
      </c>
      <c r="B345" t="str">
        <f>IFERROR(__xludf.DUMMYFUNCTION("""COMPUTED_VALUE"""),"UpdateMarkPriceMonthly")</f>
        <v>UpdateMarkPriceMonthly</v>
      </c>
      <c r="C345" t="str">
        <f>IFERROR(__xludf.DUMMYFUNCTION("""COMPUTED_VALUE"""),"1CAqtQbVxh4NllyrMXscZd9EiKnaMKSW-_a9zZtK2ULI")</f>
        <v>1CAqtQbVxh4NllyrMXscZd9EiKnaMKSW-_a9zZtK2ULI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IFERROR(__xludf.DUMMYFUNCTION("""COMPUTED_VALUE"""),"CleanUp")</f>
        <v>CleanUp</v>
      </c>
      <c r="C346" t="str">
        <f>IFERROR(__xludf.DUMMYFUNCTION("""COMPUTED_VALUE"""),"141237jvZTCMRUMwfe0LXJI6_OVqTlCniHe4xfwketxs")</f>
        <v>141237jvZTCMRUMwfe0LXJI6_OVqTlCniHe4xfwketxs</v>
      </c>
    </row>
    <row r="347" ht="15.75" customHeight="1">
      <c r="A347" t="str">
        <f>IFERROR(__xludf.DUMMYFUNCTION("""COMPUTED_VALUE"""),"Allocation")</f>
        <v>Allocation</v>
      </c>
      <c r="B347" t="str">
        <f>IFERROR(__xludf.DUMMYFUNCTION("""COMPUTED_VALUE"""),"CheckAllocatedTaxlots")</f>
        <v>CheckAllocatedTaxlots</v>
      </c>
      <c r="C347" t="str">
        <f>IFERROR(__xludf.DUMMYFUNCTION("""COMPUTED_VALUE"""),"1ly27YrdiNWaAup2LCqtlbPCuNU2qHnDVGbGX6s6cAJM")</f>
        <v>1ly27YrdiNWaAup2LCqtlbPCuNU2qHnDVGbGX6s6cAJM</v>
      </c>
    </row>
    <row r="348" ht="15.75" customHeight="1">
      <c r="A348" t="str">
        <f>IFERROR(__xludf.DUMMYFUNCTION("""COMPUTED_VALUE"""),"Closing")</f>
        <v>Closing</v>
      </c>
      <c r="B348" t="str">
        <f>IFERROR(__xludf.DUMMYFUNCTION("""COMPUTED_VALUE"""),"EditTradeUnexpiredUnsettled")</f>
        <v>EditTradeUnexpiredUnsettled</v>
      </c>
      <c r="C348" t="str">
        <f>IFERROR(__xludf.DUMMYFUNCTION("""COMPUTED_VALUE"""),"1gjlTvz7BOfWSUwRY25-5BkROLuD55WxDrFeD31t9BlQ")</f>
        <v>1gjlTvz7BOfWSUwRY25-5BkROLuD55WxDrFeD31t9BlQ</v>
      </c>
    </row>
    <row r="349" ht="15.75" customHeight="1">
      <c r="A349" t="str">
        <f>IFERROR(__xludf.DUMMYFUNCTION("""COMPUTED_VALUE"""),"ThirdParty")</f>
        <v>ThirdParty</v>
      </c>
      <c r="B349" t="str">
        <f>IFERROR(__xludf.DUMMYFUNCTION("""COMPUTED_VALUE"""),"VerifyThirdPartyView")</f>
        <v>VerifyThirdPartyView</v>
      </c>
      <c r="C349" t="str">
        <f>IFERROR(__xludf.DUMMYFUNCTION("""COMPUTED_VALUE"""),"1OPgUZqNYhV3KEPmPCahj5p6WvTvcu6yt-IilVEoYdck")</f>
        <v>1OPgUZqNYhV3KEPmPCahj5p6WvTvcu6yt-IilVEoYdck</v>
      </c>
    </row>
    <row r="350" ht="15.75" customHeight="1">
      <c r="A350" t="str">
        <f>IFERROR(__xludf.DUMMYFUNCTION("""COMPUTED_VALUE"""),"Compliance")</f>
        <v>Compliance</v>
      </c>
      <c r="B350" t="str">
        <f>IFERROR(__xludf.DUMMYFUNCTION("""COMPUTED_VALUE"""),"CheckCompliance")</f>
        <v>CheckCompliance</v>
      </c>
      <c r="C350" t="str">
        <f>IFERROR(__xludf.DUMMYFUNCTION("""COMPUTED_VALUE"""),"1rHjLXpZjBLQM6QWnpXPgAllc-YEEgN3ft01yzOc3Z_k")</f>
        <v>1rHjLXpZjBLQM6QWnpXPgAllc-YEEgN3ft01yzOc3Z_k</v>
      </c>
    </row>
    <row r="351" ht="15.75" customHeight="1">
      <c r="A351" t="str">
        <f>IFERROR(__xludf.DUMMYFUNCTION("""COMPUTED_VALUE"""),"Compliance")</f>
        <v>Compliance</v>
      </c>
      <c r="B351" t="str">
        <f>IFERROR(__xludf.DUMMYFUNCTION("""COMPUTED_VALUE"""),"VerifyAccountDivisorWindow")</f>
        <v>VerifyAccountDivisorWindow</v>
      </c>
      <c r="C351" t="str">
        <f>IFERROR(__xludf.DUMMYFUNCTION("""COMPUTED_VALUE"""),"1o2I6wY7Q2ZhQmtkXdRpqlxQVJ8IApk0IcIxM0anIe4E")</f>
        <v>1o2I6wY7Q2ZhQmtkXdRpqlxQVJ8IApk0IcIxM0anIe4E</v>
      </c>
    </row>
    <row r="352" ht="15.75" customHeight="1">
      <c r="A352" t="str">
        <f>IFERROR(__xludf.DUMMYFUNCTION("""COMPUTED_VALUE"""),"Compliance")</f>
        <v>Compliance</v>
      </c>
      <c r="B352" t="str">
        <f>IFERROR(__xludf.DUMMYFUNCTION("""COMPUTED_VALUE"""),"VerifyAccountSymbolDivisorWindow")</f>
        <v>VerifyAccountSymbolDivisorWindow</v>
      </c>
      <c r="C352" t="str">
        <f>IFERROR(__xludf.DUMMYFUNCTION("""COMPUTED_VALUE"""),"1ADKVvtlUcDE2a_GFsrcnF3qLRtLLDQ1rEJbzQws78i8")</f>
        <v>1ADKVvtlUcDE2a_GFsrcnF3qLRtLLDQ1rEJbzQws78i8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IFERROR(__xludf.DUMMYFUNCTION("""COMPUTED_VALUE"""),"VerifyAggregationAccountSymbolWithNav")</f>
        <v>VerifyAggregationAccountSymbolWithNav</v>
      </c>
      <c r="C353" t="str">
        <f>IFERROR(__xludf.DUMMYFUNCTION("""COMPUTED_VALUE"""),"1lnfZcSlUOa9o7gHKbVZNk25z7jkFzrWO3HCg1iRDEhg")</f>
        <v>1lnfZcSlUOa9o7gHKbVZNk25z7jkFzrWO3HCg1iRDEhg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IFERROR(__xludf.DUMMYFUNCTION("""COMPUTED_VALUE"""),"VerifyAggregationAccountWithNav")</f>
        <v>VerifyAggregationAccountWithNav</v>
      </c>
      <c r="C354" t="str">
        <f>IFERROR(__xludf.DUMMYFUNCTION("""COMPUTED_VALUE"""),"1bVQ8hXYcI8QA4dwbvx9VW307agnDiO6msA8_55Z9Ho4")</f>
        <v>1bVQ8hXYcI8QA4dwbvx9VW307agnDiO6msA8_55Z9Ho4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IFERROR(__xludf.DUMMYFUNCTION("""COMPUTED_VALUE"""),"VerifyAggregationMasterFundSymbolWithNav")</f>
        <v>VerifyAggregationMasterFundSymbolWithNav</v>
      </c>
      <c r="C355" t="str">
        <f>IFERROR(__xludf.DUMMYFUNCTION("""COMPUTED_VALUE"""),"149nnw4Cwl1HHouYCXdqP9R7Mx98I_xiisiVCYk7UJkk")</f>
        <v>149nnw4Cwl1HHouYCXdqP9R7Mx98I_xiisiVCYk7UJkk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IFERROR(__xludf.DUMMYFUNCTION("""COMPUTED_VALUE"""),"VerifyAggregationMasterFundUnderlyingSymbolWithNav")</f>
        <v>VerifyAggregationMasterFundUnderlyingSymbolWithNav</v>
      </c>
      <c r="C356" t="str">
        <f>IFERROR(__xludf.DUMMYFUNCTION("""COMPUTED_VALUE"""),"14DzH-ZDYwWbCfXuBzG8v04Qb1mQp1of2O6GLQXcWMsQ")</f>
        <v>14DzH-ZDYwWbCfXuBzG8v04Qb1mQp1of2O6GLQXcWMsQ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IFERROR(__xludf.DUMMYFUNCTION("""COMPUTED_VALUE"""),"VerifyAggregationMasterFundWithNav")</f>
        <v>VerifyAggregationMasterFundWithNav</v>
      </c>
      <c r="C357" t="str">
        <f>IFERROR(__xludf.DUMMYFUNCTION("""COMPUTED_VALUE"""),"1zsjoqOkIN3nYkIIxRHJMhmyX6J_C62DE3Oo2y7BGdVs")</f>
        <v>1zsjoqOkIN3nYkIIxRHJMhmyX6J_C62DE3Oo2y7BGdVs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IFERROR(__xludf.DUMMYFUNCTION("""COMPUTED_VALUE"""),"VerifyAggregationSectorWithNav")</f>
        <v>VerifyAggregationSectorWithNav</v>
      </c>
      <c r="C358" t="str">
        <f>IFERROR(__xludf.DUMMYFUNCTION("""COMPUTED_VALUE"""),"1PwtsUw7M1uKb7OUFflhtzsANVeSCTOQuOmvDpORnIho")</f>
        <v>1PwtsUw7M1uKb7OUFflhtzsANVeSCTOQuOmvDpORnIho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IFERROR(__xludf.DUMMYFUNCTION("""COMPUTED_VALUE"""),"VerifyAggregationUnderlyingSymbolWithNav")</f>
        <v>VerifyAggregationUnderlyingSymbolWithNav</v>
      </c>
      <c r="C359" t="str">
        <f>IFERROR(__xludf.DUMMYFUNCTION("""COMPUTED_VALUE"""),"176-KXks3ZB5ZHuKBMwUMw29_Cv2044sZyo8Km9DSXhY")</f>
        <v>176-KXks3ZB5ZHuKBMwUMw29_Cv2044sZyo8Km9DSXhY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IFERROR(__xludf.DUMMYFUNCTION("""COMPUTED_VALUE"""),"VerifyAuecWindow")</f>
        <v>VerifyAuecWindow</v>
      </c>
      <c r="C360" t="str">
        <f>IFERROR(__xludf.DUMMYFUNCTION("""COMPUTED_VALUE"""),"16b_2-FgoStwuBkNr_JjCAyklRXIuqbbe3yokDxprokc")</f>
        <v>16b_2-FgoStwuBkNr_JjCAyklRXIuqbbe3yokDxprokc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IFERROR(__xludf.DUMMYFUNCTION("""COMPUTED_VALUE"""),"VerifyBetaWindow")</f>
        <v>VerifyBetaWindow</v>
      </c>
      <c r="C361" t="str">
        <f>IFERROR(__xludf.DUMMYFUNCTION("""COMPUTED_VALUE"""),"1fbKcjC8gLwYcrNAXPL4_1obtoTCCX0MmPEKkR5s582U")</f>
        <v>1fbKcjC8gLwYcrNAXPL4_1obtoTCCX0MmPEKkR5s582U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IFERROR(__xludf.DUMMYFUNCTION("""COMPUTED_VALUE"""),"VerifyCustomSymbolDataWindow")</f>
        <v>VerifyCustomSymbolDataWindow</v>
      </c>
      <c r="C362" t="str">
        <f>IFERROR(__xludf.DUMMYFUNCTION("""COMPUTED_VALUE"""),"1-ro_FbZAIVOSxzuukFA-JqauiFzAp2zzPW1nR5HDbNQ")</f>
        <v>1-ro_FbZAIVOSxzuukFA-JqauiFzAp2zzPW1nR5HDbNQ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IFERROR(__xludf.DUMMYFUNCTION("""COMPUTED_VALUE"""),"VerifyDayEndCashAccountWindow")</f>
        <v>VerifyDayEndCashAccountWindow</v>
      </c>
      <c r="C363" t="str">
        <f>IFERROR(__xludf.DUMMYFUNCTION("""COMPUTED_VALUE"""),"14hibcKhSsVy9-wON6kpUuT3WpnX2wo9pBQzmPi8qLL0")</f>
        <v>14hibcKhSsVy9-wON6kpUuT3WpnX2wo9pBQzmPi8qLL0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IFERROR(__xludf.DUMMYFUNCTION("""COMPUTED_VALUE"""),"VerifyDbNavWindow")</f>
        <v>VerifyDbNavWindow</v>
      </c>
      <c r="C364" t="str">
        <f>IFERROR(__xludf.DUMMYFUNCTION("""COMPUTED_VALUE"""),"18-WlIts2DAJ-WJbsdY1Rpj5dOSmW5uYCwetKlx26fnQ")</f>
        <v>18-WlIts2DAJ-WJbsdY1Rpj5dOSmW5uYCwetKlx26fnQ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IFERROR(__xludf.DUMMYFUNCTION("""COMPUTED_VALUE"""),"VerifyGlobalDivisorWindow")</f>
        <v>VerifyGlobalDivisorWindow</v>
      </c>
      <c r="C365" t="str">
        <f>IFERROR(__xludf.DUMMYFUNCTION("""COMPUTED_VALUE"""),"1z5ONnrNdd3WVB7RZIGa-yHhn0U7mw19K0moh5ObmK-I")</f>
        <v>1z5ONnrNdd3WVB7RZIGa-yHhn0U7mw19K0moh5ObmK-I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IFERROR(__xludf.DUMMYFUNCTION("""COMPUTED_VALUE"""),"VerifyPmCalculationPreferenceWindow")</f>
        <v>VerifyPmCalculationPreferenceWindow</v>
      </c>
      <c r="C366" t="str">
        <f>IFERROR(__xludf.DUMMYFUNCTION("""COMPUTED_VALUE"""),"1yse7cNfakHdRjfRrq1SQW0Yxxopg67W_juGAkOyqHPk")</f>
        <v>1yse7cNfakHdRjfRrq1SQW0Yxxopg67W_juGAkOyqHPk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IFERROR(__xludf.DUMMYFUNCTION("""COMPUTED_VALUE"""),"VerifyRowCalculationBaseWindow")</f>
        <v>VerifyRowCalculationBaseWindow</v>
      </c>
      <c r="C367" t="str">
        <f>IFERROR(__xludf.DUMMYFUNCTION("""COMPUTED_VALUE"""),"16bZAwMHOfN8bD2TadtVor3HvDM0dtF51XYU1iRUEXpQ")</f>
        <v>16bZAwMHOfN8bD2TadtVor3HvDM0dtF51XYU1iRUEXpQ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IFERROR(__xludf.DUMMYFUNCTION("""COMPUTED_VALUE"""),"VerifySecurityWindow")</f>
        <v>VerifySecurityWindow</v>
      </c>
      <c r="C368" t="str">
        <f>IFERROR(__xludf.DUMMYFUNCTION("""COMPUTED_VALUE"""),"1xeK-JWq8oHwAbmnGt_N4qn9Nt8F9XHo5-Mtr0t_7pRw")</f>
        <v>1xeK-JWq8oHwAbmnGt_N4qn9Nt8F9XHo5-Mtr0t_7pRw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IFERROR(__xludf.DUMMYFUNCTION("""COMPUTED_VALUE"""),"VerifySymbolDataWindow")</f>
        <v>VerifySymbolDataWindow</v>
      </c>
      <c r="C369" t="str">
        <f>IFERROR(__xludf.DUMMYFUNCTION("""COMPUTED_VALUE"""),"13iKSNjdwzv3DKe_1fcHZJ8GUk5s-HKAGG5PE6MY-smA")</f>
        <v>13iKSNjdwzv3DKe_1fcHZJ8GUk5s-HKAGG5PE6MY-smA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IFERROR(__xludf.DUMMYFUNCTION("""COMPUTED_VALUE"""),"VerifySymbolDivisorWindow")</f>
        <v>VerifySymbolDivisorWindow</v>
      </c>
      <c r="C370" t="str">
        <f>IFERROR(__xludf.DUMMYFUNCTION("""COMPUTED_VALUE"""),"1uyHz1cQUHCK-GcBufMehtS9i6BspKa5HVCLnf4pfGuk")</f>
        <v>1uyHz1cQUHCK-GcBufMehtS9i6BspKa5HVCLnf4pfGuk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IFERROR(__xludf.DUMMYFUNCTION("""COMPUTED_VALUE"""),"VerifyTaxlotWindow")</f>
        <v>VerifyTaxlotWindow</v>
      </c>
      <c r="C371" t="str">
        <f>IFERROR(__xludf.DUMMYFUNCTION("""COMPUTED_VALUE"""),"1LmfcHeXwbnPa-An0b_OD4pDLm7pUlzSX41G5QZ2Uons")</f>
        <v>1LmfcHeXwbnPa-An0b_OD4pDLm7pUlzSX41G5QZ2Uons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IFERROR(__xludf.DUMMYFUNCTION("""COMPUTED_VALUE"""),"RestartEsper")</f>
        <v>RestartEsper</v>
      </c>
      <c r="C372" t="str">
        <f>IFERROR(__xludf.DUMMYFUNCTION("""COMPUTED_VALUE"""),"undefined")</f>
        <v>undefined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IFERROR(__xludf.DUMMYFUNCTION("""COMPUTED_VALUE"""),"VerifyAccountNavPreferenceWindow")</f>
        <v>VerifyAccountNavPreferenceWindow</v>
      </c>
      <c r="C373" t="str">
        <f>IFERROR(__xludf.DUMMYFUNCTION("""COMPUTED_VALUE"""),"1PbpS5QGNvwJE_YSvMrjHxbUPPQhcUDrQHC4N9KHYjWY")</f>
        <v>1PbpS5QGNvwJE_YSvMrjHxbUPPQhcUDrQHC4N9KHYjWY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 VerifyAggregationAccountUnderlyingSymbolWithNav")</f>
        <v> VerifyAggregationAccountUnderlyingSymbolWithNav</v>
      </c>
      <c r="C374" t="str">
        <f>IFERROR(__xludf.DUMMYFUNCTION("""COMPUTED_VALUE"""),"1e43aiziZ9lVzR6j8eABeYJVnCkgU34OcPRcWujsT2Sk")</f>
        <v>1e43aiziZ9lVzR6j8eABeYJVnCkgU34OcPRcWujsT2Sk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IFERROR(__xludf.DUMMYFUNCTION("""COMPUTED_VALUE"""),"VerifyAggregationAssetWithNav")</f>
        <v>VerifyAggregationAssetWithNav</v>
      </c>
      <c r="C375" t="str">
        <f>IFERROR(__xludf.DUMMYFUNCTION("""COMPUTED_VALUE"""),"1etvN2Ze8TA6NI_8xSaOdqLwhWnk9NXKUUDhi-_NctcY")</f>
        <v>1etvN2Ze8TA6NI_8xSaOdqLwhWnk9NXKUUDhi-_NctcY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IFERROR(__xludf.DUMMYFUNCTION("""COMPUTED_VALUE"""),"VerifyAggregationSymbolWithNav")</f>
        <v>VerifyAggregationSymbolWithNav</v>
      </c>
      <c r="C376" t="str">
        <f>IFERROR(__xludf.DUMMYFUNCTION("""COMPUTED_VALUE"""),"13XyCHzB6LhftZ5UNht5K7e3dan_fGbii_TnOOGLwDg0")</f>
        <v>13XyCHzB6LhftZ5UNht5K7e3dan_fGbii_TnOOGLwDg0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IFERROR(__xludf.DUMMYFUNCTION("""COMPUTED_VALUE"""),"VerifyAggregationSubSectorWithNav")</f>
        <v>VerifyAggregationSubSectorWithNav</v>
      </c>
      <c r="C377" t="str">
        <f>IFERROR(__xludf.DUMMYFUNCTION("""COMPUTED_VALUE"""),"1DBHQwTuKH0lzdeBCel_4raYQn6PkkFTYydpCHbsB4Qk")</f>
        <v>1DBHQwTuKH0lzdeBCel_4raYQn6PkkFTYydpCHbsB4Qk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IFERROR(__xludf.DUMMYFUNCTION("""COMPUTED_VALUE"""),"VerifyAggregationGlobalWithNav")</f>
        <v>VerifyAggregationGlobalWithNav</v>
      </c>
      <c r="C378" t="str">
        <f>IFERROR(__xludf.DUMMYFUNCTION("""COMPUTED_VALUE"""),"1XVSAkmIoWI-AC0BHXwWO3TqCkz2uOlJFE5eM6W0_Cew")</f>
        <v>1XVSAkmIoWI-AC0BHXwWO3TqCkz2uOlJFE5eM6W0_Cew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 VerifyAggregationGlobalWithNav")</f>
        <v> VerifyAggregationGlobalWithNav</v>
      </c>
      <c r="C379" t="str">
        <f>IFERROR(__xludf.DUMMYFUNCTION("""COMPUTED_VALUE"""),"1XVSAkmIoWI-AC0BHXwWO3TqCkz2uOlJFE5eM6W0_Cew")</f>
        <v>1XVSAkmIoWI-AC0BHXwWO3TqCkz2uOlJFE5eM6W0_Cew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IFERROR(__xludf.DUMMYFUNCTION("""COMPUTED_VALUE"""),"VerifyGlobalDivisorWindow")</f>
        <v>VerifyGlobalDivisorWindow</v>
      </c>
      <c r="C380" t="str">
        <f>IFERROR(__xludf.DUMMYFUNCTION("""COMPUTED_VALUE"""),"1z5ONnrNdd3WVB7RZIGa-yHhn0U7mw19K0moh5ObmK-I")</f>
        <v>1z5ONnrNdd3WVB7RZIGa-yHhn0U7mw19K0moh5ObmK-I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 VerifyAccrualForAccountWindow")</f>
        <v> VerifyAccrualForAccountWindow</v>
      </c>
      <c r="C381" t="str">
        <f>IFERROR(__xludf.DUMMYFUNCTION("""COMPUTED_VALUE"""),"1zKkT3mW6MMJ2tPzzT2fHVQT6vyc0mePzllndBlUl5IM")</f>
        <v>1zKkT3mW6MMJ2tPzzT2fHVQT6vyc0mePzllndBlUl5IM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IFERROR(__xludf.DUMMYFUNCTION("""COMPUTED_VALUE"""),"VerifyGlobalDivisorWindow")</f>
        <v>VerifyGlobalDivisorWindow</v>
      </c>
      <c r="C382" t="str">
        <f>IFERROR(__xludf.DUMMYFUNCTION("""COMPUTED_VALUE"""),"1z5ONnrNdd3WVB7RZIGa-yHhn0U7mw19K0moh5ObmK-I")</f>
        <v>1z5ONnrNdd3WVB7RZIGa-yHhn0U7mw19K0moh5ObmK-I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IFERROR(__xludf.DUMMYFUNCTION("""COMPUTED_VALUE"""),"VerifyMasterFundDivisorWindow")</f>
        <v>VerifyMasterFundDivisorWindow</v>
      </c>
      <c r="C383" t="str">
        <f>IFERROR(__xludf.DUMMYFUNCTION("""COMPUTED_VALUE"""),"13rWeedH_MlhhxYACJeLeckVtBWejh246MGPN4QQpmMM")</f>
        <v>13rWeedH_MlhhxYACJeLeckVtBWejh246MGPN4QQpmMM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IFERROR(__xludf.DUMMYFUNCTION("""COMPUTED_VALUE"""),"VerifyMasterFundSymbolDivisorWindow")</f>
        <v>VerifyMasterFundSymbolDivisorWindow</v>
      </c>
      <c r="C384" t="str">
        <f>IFERROR(__xludf.DUMMYFUNCTION("""COMPUTED_VALUE"""),"1YPctyrs3yMgf0X1_jVz3LRORCo4B4cNqbyc_K0FujO0")</f>
        <v>1YPctyrs3yMgf0X1_jVz3LRORCo4B4cNqbyc_K0FujO0</v>
      </c>
    </row>
    <row r="385" ht="15.75" customHeight="1">
      <c r="A385" t="str">
        <f>IFERROR(__xludf.DUMMYFUNCTION("""COMPUTED_VALUE"""),"Rebalancer")</f>
        <v>Rebalancer</v>
      </c>
      <c r="B385" t="str">
        <f>IFERROR(__xludf.DUMMYFUNCTION("""COMPUTED_VALUE"""),"FetchAccountPositions")</f>
        <v>FetchAccountPositions</v>
      </c>
      <c r="C385" t="str">
        <f>IFERROR(__xludf.DUMMYFUNCTION("""COMPUTED_VALUE"""),"1BeNn_44h4ClIE46em_ho4qgzGnXy_GxtYTH3cBmtKPk")</f>
        <v>1BeNn_44h4ClIE46em_ho4qgzGnXy_GxtYTH3cBmtKPk</v>
      </c>
    </row>
    <row r="386" ht="15.75" customHeight="1">
      <c r="A386" t="str">
        <f>IFERROR(__xludf.DUMMYFUNCTION("""COMPUTED_VALUE"""),"Rebalancer")</f>
        <v>Rebalancer</v>
      </c>
      <c r="B386" t="str">
        <f>IFERROR(__xludf.DUMMYFUNCTION("""COMPUTED_VALUE"""),"AddCash")</f>
        <v>AddCash</v>
      </c>
      <c r="C386" t="str">
        <f>IFERROR(__xludf.DUMMYFUNCTION("""COMPUTED_VALUE"""),"1jkLpZFgLuRokIigwbjW9_Z47rlvj-YDlRcP_c4XkP_k")</f>
        <v>1jkLpZFgLuRokIigwbjW9_Z47rlvj-YDlRcP_c4XkP_k</v>
      </c>
    </row>
    <row r="387" ht="15.75" customHeight="1">
      <c r="A387" t="str">
        <f>IFERROR(__xludf.DUMMYFUNCTION("""COMPUTED_VALUE"""),"Rebalancer")</f>
        <v>Rebalancer</v>
      </c>
      <c r="B387" t="str">
        <f>IFERROR(__xludf.DUMMYFUNCTION("""COMPUTED_VALUE"""),"VerifyGridData")</f>
        <v>VerifyGridData</v>
      </c>
      <c r="C387" t="str">
        <f>IFERROR(__xludf.DUMMYFUNCTION("""COMPUTED_VALUE"""),"1mspGsgTjI-yT8NsZKZn8moOE-Vp0hoNdUziI1pFBq0I")</f>
        <v>1mspGsgTjI-yT8NsZKZn8moOE-Vp0hoNdUziI1pFBq0I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IFERROR(__xludf.DUMMYFUNCTION("""COMPUTED_VALUE"""),"RunRebalance")</f>
        <v>RunRebalance</v>
      </c>
      <c r="C388" t="str">
        <f>IFERROR(__xludf.DUMMYFUNCTION("""COMPUTED_VALUE"""),"1B2L3J6YUrDWz8rRtdvv0lYDQvnH8nYkmqQm12ZwK7jc")</f>
        <v>1B2L3J6YUrDWz8rRtdvv0lYDQvnH8nYkmqQm12ZwK7jc</v>
      </c>
    </row>
    <row r="389" ht="15.75" customHeight="1">
      <c r="A389" t="str">
        <f>IFERROR(__xludf.DUMMYFUNCTION("""COMPUTED_VALUE"""),"Simulator")</f>
        <v>Simulator</v>
      </c>
      <c r="B389" t="str">
        <f>IFERROR(__xludf.DUMMYFUNCTION("""COMPUTED_VALUE"""),"SelectTrade")</f>
        <v>SelectTrade</v>
      </c>
      <c r="C389" t="str">
        <f>IFERROR(__xludf.DUMMYFUNCTION("""COMPUTED_VALUE"""),"1FTTZIzpIKJz6P-IPbrA5EPTxiMe2ARbyGfgsnMXlct4")</f>
        <v>1FTTZIzpIKJz6P-IPbrA5EPTxiMe2ARbyGfgsnMXlct4</v>
      </c>
    </row>
    <row r="390" ht="15.75" customHeight="1">
      <c r="A390" t="str">
        <f>IFERROR(__xludf.DUMMYFUNCTION("""COMPUTED_VALUE"""),"Simulator")</f>
        <v>Simulator</v>
      </c>
      <c r="B390" t="str">
        <f>IFERROR(__xludf.DUMMYFUNCTION("""COMPUTED_VALUE"""),"AcknowledgeTrade")</f>
        <v>AcknowledgeTrade</v>
      </c>
      <c r="C390" t="str">
        <f>IFERROR(__xludf.DUMMYFUNCTION("""COMPUTED_VALUE"""),"1sQAsvIkAT3oSRlv0P4ERgM6O-p9EGHnCNRCfZZ6EKPM")</f>
        <v>1sQAsvIkAT3oSRlv0P4ERgM6O-p9EGHnCNRCfZZ6EKPM</v>
      </c>
    </row>
    <row r="391" ht="15.75" customHeight="1">
      <c r="A391" t="str">
        <f>IFERROR(__xludf.DUMMYFUNCTION("""COMPUTED_VALUE"""),"Simulator")</f>
        <v>Simulator</v>
      </c>
      <c r="B391" t="str">
        <f>IFERROR(__xludf.DUMMYFUNCTION("""COMPUTED_VALUE"""),"RejectTrade")</f>
        <v>RejectTrade</v>
      </c>
      <c r="C391" t="str">
        <f>IFERROR(__xludf.DUMMYFUNCTION("""COMPUTED_VALUE"""),"18DR7gQzurIoB_fivnSt8QoqUWcLVRpZQSDr37UqoXKU")</f>
        <v>18DR7gQzurIoB_fivnSt8QoqUWcLVRpZQSDr37UqoXKU</v>
      </c>
    </row>
    <row r="392" ht="15.75" customHeight="1">
      <c r="A392" t="str">
        <f>IFERROR(__xludf.DUMMYFUNCTION("""COMPUTED_VALUE"""),"Simulator")</f>
        <v>Simulator</v>
      </c>
      <c r="B392" t="str">
        <f>IFERROR(__xludf.DUMMYFUNCTION("""COMPUTED_VALUE"""),"ExecuteTrade")</f>
        <v>ExecuteTrade</v>
      </c>
      <c r="C392" t="str">
        <f>IFERROR(__xludf.DUMMYFUNCTION("""COMPUTED_VALUE"""),"1pp_DAI1bHvMNnrEvw8O7TeJWebgUjt3FSsdgjVWeJkE")</f>
        <v>1pp_DAI1bHvMNnrEvw8O7TeJWebgUjt3FSsdgjVWeJkE</v>
      </c>
    </row>
    <row r="393" ht="15.75" customHeight="1">
      <c r="A393" t="str">
        <f>IFERROR(__xludf.DUMMYFUNCTION("""COMPUTED_VALUE"""),"Simulator")</f>
        <v>Simulator</v>
      </c>
      <c r="B393" t="str">
        <f>IFERROR(__xludf.DUMMYFUNCTION("""COMPUTED_VALUE"""),"CancelTrade")</f>
        <v>CancelTrade</v>
      </c>
      <c r="C393" t="str">
        <f>IFERROR(__xludf.DUMMYFUNCTION("""COMPUTED_VALUE"""),"1hX7-3j5InwEYhwGhZXePVHcW-9vxINkOET671xdWGsc")</f>
        <v>1hX7-3j5InwEYhwGhZXePVHcW-9vxINkOET671xdWGsc</v>
      </c>
    </row>
    <row r="394" ht="15.75" customHeight="1">
      <c r="A394" t="str">
        <f>IFERROR(__xludf.DUMMYFUNCTION("""COMPUTED_VALUE"""),"Simulator")</f>
        <v>Simulator</v>
      </c>
      <c r="B394" t="str">
        <f>IFERROR(__xludf.DUMMYFUNCTION("""COMPUTED_VALUE"""),"OpenLiveTT")</f>
        <v>OpenLiveTT</v>
      </c>
      <c r="C394" t="str">
        <f>IFERROR(__xludf.DUMMYFUNCTION("""COMPUTED_VALUE"""),"1q3BIdA-Gau2cX2cBnlgy7eas26rbuZEdQMfROhYvOgI")</f>
        <v>1q3BIdA-Gau2cX2cBnlgy7eas26rbuZEdQMfROhYvOgI</v>
      </c>
    </row>
    <row r="395" ht="15.75" customHeight="1">
      <c r="A395" t="str">
        <f>IFERROR(__xludf.DUMMYFUNCTION("""COMPUTED_VALUE"""),"TradingTicket")</f>
        <v>TradingTicket</v>
      </c>
      <c r="B395" t="str">
        <f>IFERROR(__xludf.DUMMYFUNCTION("""COMPUTED_VALUE"""),"CreateLiveOrder")</f>
        <v>CreateLiveOrder</v>
      </c>
      <c r="C395" t="str">
        <f>IFERROR(__xludf.DUMMYFUNCTION("""COMPUTED_VALUE"""),"115Bw2-ohdF1ilHcVpmgJ2DX9SJjX1zI-6SvF3CpCjm8")</f>
        <v>115Bw2-ohdF1ilHcVpmgJ2DX9SJjX1zI-6SvF3CpCjm8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IFERROR(__xludf.DUMMYFUNCTION("""COMPUTED_VALUE"""),"SetManualResponse ")</f>
        <v>SetManualResponse </v>
      </c>
      <c r="C396" t="str">
        <f>IFERROR(__xludf.DUMMYFUNCTION("""COMPUTED_VALUE"""),"10qeNhV85AQPMToOqHZlhzdXyNnDNjiueFxVwGUI_MO4")</f>
        <v>10qeNhV85AQPMToOqHZlhzdXyNnDNjiueFxVwGUI_MO4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IFERROR(__xludf.DUMMYFUNCTION("""COMPUTED_VALUE"""),"ClearUI")</f>
        <v>ClearUI</v>
      </c>
      <c r="C397" t="str">
        <f>IFERROR(__xludf.DUMMYFUNCTION("""COMPUTED_VALUE"""),"1LO0lVmw42vb8rN4FBdD2nZspNUXqgQCerd4ip5U8His")</f>
        <v>1LO0lVmw42vb8rN4FBdD2nZspNUXqgQCerd4ip5U8His</v>
      </c>
    </row>
    <row r="398" ht="15.75" customHeight="1">
      <c r="A398" t="str">
        <f>IFERROR(__xludf.DUMMYFUNCTION("""COMPUTED_VALUE"""),"Rebalancer")</f>
        <v>Rebalancer</v>
      </c>
      <c r="B398" t="str">
        <f>IFERROR(__xludf.DUMMYFUNCTION("""COMPUTED_VALUE"""),"RebalanceAcrossSecurities")</f>
        <v>RebalanceAcrossSecurities</v>
      </c>
      <c r="C398" t="str">
        <f>IFERROR(__xludf.DUMMYFUNCTION("""COMPUTED_VALUE"""),"1C-pSRr2mYlstlgFOXGSaoMyr-7ZKnUyCiCZMgNR75C0")</f>
        <v>1C-pSRr2mYlstlgFOXGSaoMyr-7ZKnUyCiCZMgNR75C0</v>
      </c>
    </row>
    <row r="399" ht="15.75" customHeight="1">
      <c r="A399" t="str">
        <f>IFERROR(__xludf.DUMMYFUNCTION("""COMPUTED_VALUE"""),"Rebalancer")</f>
        <v>Rebalancer</v>
      </c>
      <c r="B399" t="str">
        <f>IFERROR(__xludf.DUMMYFUNCTION("""COMPUTED_VALUE"""),"ClearCalculations")</f>
        <v>ClearCalculations</v>
      </c>
      <c r="C399" t="str">
        <f>IFERROR(__xludf.DUMMYFUNCTION("""COMPUTED_VALUE"""),"1pQy7yDMWL8pTAYmkyQd-37O6NjL8-HJsxUSDe_0vr3Y")</f>
        <v>1pQy7yDMWL8pTAYmkyQd-37O6NjL8-HJsxUSDe_0vr3Y</v>
      </c>
    </row>
    <row r="400" ht="15.75" customHeight="1">
      <c r="A400" t="str">
        <f>IFERROR(__xludf.DUMMYFUNCTION("""COMPUTED_VALUE"""),"Rebalancer")</f>
        <v>Rebalancer</v>
      </c>
      <c r="B400" t="str">
        <f>IFERROR(__xludf.DUMMYFUNCTION("""COMPUTED_VALUE"""),"ModifyRebalance")</f>
        <v>ModifyRebalance</v>
      </c>
      <c r="C400" t="str">
        <f>IFERROR(__xludf.DUMMYFUNCTION("""COMPUTED_VALUE"""),"1PL-GKbx6oOTs--yRdzkUeclt9Wvb6f5jt4XN1oEGIZk")</f>
        <v>1PL-GKbx6oOTs--yRdzkUeclt9Wvb6f5jt4XN1oEGIZk</v>
      </c>
    </row>
    <row r="401" ht="15.75" customHeight="1">
      <c r="A401" t="str">
        <f>IFERROR(__xludf.DUMMYFUNCTION("""COMPUTED_VALUE"""),"ThirdParty")</f>
        <v>ThirdParty</v>
      </c>
      <c r="B401" t="str">
        <f>IFERROR(__xludf.DUMMYFUNCTION("""COMPUTED_VALUE"""),"SelectThirdParty")</f>
        <v>SelectThirdParty</v>
      </c>
      <c r="C401" t="str">
        <f>IFERROR(__xludf.DUMMYFUNCTION("""COMPUTED_VALUE"""),"1liR_hGZCDbVQXoq6lXJaHhVX-C6zpm2FZKNUaUnD7k8")</f>
        <v>1liR_hGZCDbVQXoq6lXJaHhVX-C6zpm2FZKNUaUnD7k8</v>
      </c>
    </row>
    <row r="402" ht="15.75" customHeight="1">
      <c r="A402" t="str">
        <f>IFERROR(__xludf.DUMMYFUNCTION("""COMPUTED_VALUE"""),"ThirdParty")</f>
        <v>ThirdParty</v>
      </c>
      <c r="B402" t="str">
        <f>IFERROR(__xludf.DUMMYFUNCTION("""COMPUTED_VALUE"""),"ViewThirdParty")</f>
        <v>ViewThirdParty</v>
      </c>
      <c r="C402" t="str">
        <f>IFERROR(__xludf.DUMMYFUNCTION("""COMPUTED_VALUE"""),"1L-T9YKEKNm_ncTLX6p563fxmzW1DvdfOn3fW5ZhQiKs")</f>
        <v>1L-T9YKEKNm_ncTLX6p563fxmzW1DvdfOn3fW5ZhQiKs</v>
      </c>
    </row>
    <row r="403" ht="15.75" customHeight="1">
      <c r="A403" t="str">
        <f>IFERROR(__xludf.DUMMYFUNCTION("""COMPUTED_VALUE"""),"ThirdParty")</f>
        <v>ThirdParty</v>
      </c>
      <c r="B403" t="str">
        <f>IFERROR(__xludf.DUMMYFUNCTION("""COMPUTED_VALUE"""),"ThirdPartyGenerate")</f>
        <v>ThirdPartyGenerate</v>
      </c>
      <c r="C403" t="str">
        <f>IFERROR(__xludf.DUMMYFUNCTION("""COMPUTED_VALUE"""),"1hWXI97uokXrkZMWLiuOrUPZMYEmIb2-QuYGHPvEooqk")</f>
        <v>1hWXI97uokXrkZMWLiuOrUPZMYEmIb2-QuYGHPvEooqk</v>
      </c>
    </row>
    <row r="404" ht="15.75" customHeight="1">
      <c r="A404" t="str">
        <f>IFERROR(__xludf.DUMMYFUNCTION("""COMPUTED_VALUE"""),"ThirdParty")</f>
        <v>ThirdParty</v>
      </c>
      <c r="B404" t="str">
        <f>IFERROR(__xludf.DUMMYFUNCTION("""COMPUTED_VALUE"""),"VerifyThirdPartyView")</f>
        <v>VerifyThirdPartyView</v>
      </c>
      <c r="C404" t="str">
        <f>IFERROR(__xludf.DUMMYFUNCTION("""COMPUTED_VALUE"""),"1OPgUZqNYhV3KEPmPCahj5p6WvTvcu6yt-IilVEoYdck")</f>
        <v>1OPgUZqNYhV3KEPmPCahj5p6WvTvcu6yt-IilVEoYdck</v>
      </c>
    </row>
    <row r="405" ht="15.75" customHeight="1">
      <c r="A405" t="str">
        <f>IFERROR(__xludf.DUMMYFUNCTION("""COMPUTED_VALUE"""),"ThirdParty")</f>
        <v>ThirdParty</v>
      </c>
      <c r="B405" t="str">
        <f>IFERROR(__xludf.DUMMYFUNCTION("""COMPUTED_VALUE"""),"VerifyThirdPartyGenerate")</f>
        <v>VerifyThirdPartyGenerate</v>
      </c>
      <c r="C405" t="str">
        <f>IFERROR(__xludf.DUMMYFUNCTION("""COMPUTED_VALUE"""),"1TX-aVCyjewgmTHgLEH493prpSt_ChoMDatfBG5cVehM")</f>
        <v>1TX-aVCyjewgmTHgLEH493prpSt_ChoMDatfBG5cVehM</v>
      </c>
    </row>
    <row r="406" ht="15.75" customHeight="1">
      <c r="A406" t="str">
        <f>IFERROR(__xludf.DUMMYFUNCTION("""COMPUTED_VALUE"""),"ThirdParty")</f>
        <v>ThirdParty</v>
      </c>
      <c r="B406" t="str">
        <f>IFERROR(__xludf.DUMMYFUNCTION("""COMPUTED_VALUE"""),"VerifyThirdPartySend")</f>
        <v>VerifyThirdPartySend</v>
      </c>
      <c r="C406" t="str">
        <f>IFERROR(__xludf.DUMMYFUNCTION("""COMPUTED_VALUE"""),"1TFrpzJZv_IpTrlD7aBcoe8mWXKXiq4OeBVw49pOpJY8")</f>
        <v>1TFrpzJZv_IpTrlD7aBcoe8mWXKXiq4OeBVw49pOpJY8</v>
      </c>
    </row>
    <row r="407" ht="15.75" customHeight="1">
      <c r="A407" t="str">
        <f>IFERROR(__xludf.DUMMYFUNCTION("""COMPUTED_VALUE"""),"ThirdParty")</f>
        <v>ThirdParty</v>
      </c>
      <c r="B407" t="str">
        <f>IFERROR(__xludf.DUMMYFUNCTION("""COMPUTED_VALUE"""),"ThirdPartySend")</f>
        <v>ThirdPartySend</v>
      </c>
      <c r="C407" t="str">
        <f>IFERROR(__xludf.DUMMYFUNCTION("""COMPUTED_VALUE"""),"1ELxt02tfMApvtpApk-Uz6JQVqK95xGCxH6tEwuv_yMQ")</f>
        <v>1ELxt02tfMApvtpApk-Uz6JQVqK95xGCxH6tEwuv_yMQ</v>
      </c>
    </row>
    <row r="408" ht="15.75" customHeight="1">
      <c r="A408" t="str">
        <f>IFERROR(__xludf.DUMMYFUNCTION("""COMPUTED_VALUE"""),"Blotter")</f>
        <v>Blotter</v>
      </c>
      <c r="B408" t="str">
        <f>IFERROR(__xludf.DUMMYFUNCTION("""COMPUTED_VALUE"""),"VerifyViewAllocationDetails")</f>
        <v>VerifyViewAllocationDetails</v>
      </c>
      <c r="C408" t="str">
        <f>IFERROR(__xludf.DUMMYFUNCTION("""COMPUTED_VALUE"""),"1onX95lO5NTDqGvP-5pv_fQlL0p1SAPerH3jm5s9xIbE")</f>
        <v>1onX95lO5NTDqGvP-5pv_fQlL0p1SAPerH3jm5s9xIbE</v>
      </c>
    </row>
    <row r="409" ht="15.75" customHeight="1">
      <c r="A409" t="str">
        <f>IFERROR(__xludf.DUMMYFUNCTION("""COMPUTED_VALUE"""),"PTT")</f>
        <v>PTT</v>
      </c>
      <c r="B409" t="str">
        <f>IFERROR(__xludf.DUMMYFUNCTION("""COMPUTED_VALUE"""),"SelectPTTRecord")</f>
        <v>SelectPTTRecord</v>
      </c>
      <c r="C409" t="str">
        <f>IFERROR(__xludf.DUMMYFUNCTION("""COMPUTED_VALUE"""),"1MzR4w0s74eMMAMcl-KSxjpoZfHiuOypwn42ACvmTkKM")</f>
        <v>1MzR4w0s74eMMAMcl-KSxjpoZfHiuOypwn42ACvmTkKM</v>
      </c>
    </row>
    <row r="410" ht="15.75" customHeight="1">
      <c r="A410" t="str">
        <f>IFERROR(__xludf.DUMMYFUNCTION("""COMPUTED_VALUE"""),"PTT")</f>
        <v>PTT</v>
      </c>
      <c r="B410" t="str">
        <f>IFERROR(__xludf.DUMMYFUNCTION("""COMPUTED_VALUE"""),"EditPTTRecord")</f>
        <v>EditPTTRecord</v>
      </c>
      <c r="C410" t="str">
        <f>IFERROR(__xludf.DUMMYFUNCTION("""COMPUTED_VALUE"""),"13Ecyy3eTKlOlM2mlZRP_nxQjfP02VfkmPAAS8AQWMQk")</f>
        <v>13Ecyy3eTKlOlM2mlZRP_nxQjfP02VfkmPAAS8AQWMQk</v>
      </c>
    </row>
    <row r="411" ht="15.75" customHeight="1">
      <c r="A411" t="str">
        <f>IFERROR(__xludf.DUMMYFUNCTION("""COMPUTED_VALUE"""),"Blotter")</f>
        <v>Blotter</v>
      </c>
      <c r="B411" t="str">
        <f>IFERROR(__xludf.DUMMYFUNCTION("""COMPUTED_VALUE"""),"GoToAllocation")</f>
        <v>GoToAllocation</v>
      </c>
      <c r="C411" t="str">
        <f>IFERROR(__xludf.DUMMYFUNCTION("""COMPUTED_VALUE"""),"1O10TSVXx7-qL87FJas1gFd9p3JugF_Bn4u9W7TpD46U")</f>
        <v>1O10TSVXx7-qL87FJas1gFd9p3JugF_Bn4u9W7TpD46U</v>
      </c>
    </row>
    <row r="412" ht="15.75" customHeight="1">
      <c r="A412" t="str">
        <f>IFERROR(__xludf.DUMMYFUNCTION("""COMPUTED_VALUE"""),"Simulator")</f>
        <v>Simulator</v>
      </c>
      <c r="B412" t="str">
        <f>IFERROR(__xludf.DUMMYFUNCTION("""COMPUTED_VALUE"""),"CloseSimulator")</f>
        <v>CloseSimulator</v>
      </c>
      <c r="C412" t="str">
        <f>IFERROR(__xludf.DUMMYFUNCTION("""COMPUTED_VALUE"""),"undefined")</f>
        <v>undefined</v>
      </c>
    </row>
    <row r="413" ht="15.75" customHeight="1">
      <c r="A413" t="str">
        <f>IFERROR(__xludf.DUMMYFUNCTION("""COMPUTED_VALUE"""),"GeneralLedger")</f>
        <v>GeneralLedger</v>
      </c>
      <c r="B413" t="str">
        <f>IFERROR(__xludf.DUMMYFUNCTION("""COMPUTED_VALUE"""),"VerifyCashTransaction")</f>
        <v>VerifyCashTransaction</v>
      </c>
      <c r="C413" t="str">
        <f>IFERROR(__xludf.DUMMYFUNCTION("""COMPUTED_VALUE"""),"1txiXYRv6RuxBB6CkKPa64Foilc8XIy5M-1KPAOBp9Z0")</f>
        <v>1txiXYRv6RuxBB6CkKPa64Foilc8XIy5M-1KPAOBp9Z0</v>
      </c>
    </row>
    <row r="414" ht="15.75" customHeight="1">
      <c r="A414" t="str">
        <f>IFERROR(__xludf.DUMMYFUNCTION("""COMPUTED_VALUE"""),"Rebalancer")</f>
        <v>Rebalancer</v>
      </c>
      <c r="B414" t="str">
        <f>IFERROR(__xludf.DUMMYFUNCTION("""COMPUTED_VALUE"""),"ModelPortfolio")</f>
        <v>ModelPortfolio</v>
      </c>
      <c r="C414" t="str">
        <f>IFERROR(__xludf.DUMMYFUNCTION("""COMPUTED_VALUE"""),"1w51NpunZkBS_x4rZvkQXu2o8AUhD_GQPCtuFN-r1AFw")</f>
        <v>1w51NpunZkBS_x4rZvkQXu2o8AUhD_GQPCtuFN-r1AFw</v>
      </c>
    </row>
    <row r="415" ht="15.75" customHeight="1">
      <c r="A415" t="str">
        <f>IFERROR(__xludf.DUMMYFUNCTION("""COMPUTED_VALUE"""),"DailyValuation")</f>
        <v>DailyValuation</v>
      </c>
      <c r="B415" t="str">
        <f>IFERROR(__xludf.DUMMYFUNCTION("""COMPUTED_VALUE"""),"VerifyDailyCash")</f>
        <v>VerifyDailyCash</v>
      </c>
      <c r="C415" t="str">
        <f>IFERROR(__xludf.DUMMYFUNCTION("""COMPUTED_VALUE"""),"1wXn8vaJbEg8VcRqhsw0cR1-Odkjr1m2zE8tXCmLX54g")</f>
        <v>1wXn8vaJbEg8VcRqhsw0cR1-Odkjr1m2zE8tXCmLX54g</v>
      </c>
    </row>
    <row r="416" ht="15.75" customHeight="1">
      <c r="A416" t="str">
        <f>IFERROR(__xludf.DUMMYFUNCTION("""COMPUTED_VALUE"""),"Admin")</f>
        <v>Admin</v>
      </c>
      <c r="B416" t="str">
        <f>IFERROR(__xludf.DUMMYFUNCTION("""COMPUTED_VALUE"""),"SetCheckSide")</f>
        <v>SetCheckSide</v>
      </c>
      <c r="C416" t="str">
        <f>IFERROR(__xludf.DUMMYFUNCTION("""COMPUTED_VALUE"""),"1yyQmTWt6_vzUYvOiD3DjjThIuA-7rtaxLv1CWXWSP1c")</f>
        <v>1yyQmTWt6_vzUYvOiD3DjjThIuA-7rtaxLv1CWXWSP1c</v>
      </c>
    </row>
    <row r="417" ht="15.75" customHeight="1">
      <c r="A417" t="str">
        <f>IFERROR(__xludf.DUMMYFUNCTION("""COMPUTED_VALUE"""),"CorporateAction")</f>
        <v>CorporateAction</v>
      </c>
      <c r="B417" t="str">
        <f>IFERROR(__xludf.DUMMYFUNCTION("""COMPUTED_VALUE"""),"OpenSpinOff")</f>
        <v>OpenSpinOff</v>
      </c>
      <c r="C417" t="str">
        <f>IFERROR(__xludf.DUMMYFUNCTION("""COMPUTED_VALUE"""),"1s7UywmXsvA66vGSvDSU_CidM0OgQwEbFnisEBEFmoz0")</f>
        <v>1s7UywmXsvA66vGSvDSU_CidM0OgQwEbFnisEBEFmoz0</v>
      </c>
    </row>
    <row r="418" ht="15.75" customHeight="1">
      <c r="A418" t="str">
        <f>IFERROR(__xludf.DUMMYFUNCTION("""COMPUTED_VALUE"""),"CorporateAction")</f>
        <v>CorporateAction</v>
      </c>
      <c r="B418" t="str">
        <f>IFERROR(__xludf.DUMMYFUNCTION("""COMPUTED_VALUE"""),"VerifyAndApplyCorpAction")</f>
        <v>VerifyAndApplyCorpAction</v>
      </c>
      <c r="C418" t="str">
        <f>IFERROR(__xludf.DUMMYFUNCTION("""COMPUTED_VALUE"""),"1cHNKlWy_s_rmmZHG2nid4hP7PjQozO104yUNI3CyU1o")</f>
        <v>1cHNKlWy_s_rmmZHG2nid4hP7PjQozO104yUNI3CyU1o</v>
      </c>
    </row>
    <row r="419" ht="15.75" customHeight="1">
      <c r="A419" t="str">
        <f>IFERROR(__xludf.DUMMYFUNCTION("""COMPUTED_VALUE"""),"CorporateAction ")</f>
        <v>CorporateAction </v>
      </c>
      <c r="B419" t="str">
        <f>IFERROR(__xludf.DUMMYFUNCTION("""COMPUTED_VALUE"""),"VerifyAndSaveCorpAction")</f>
        <v>VerifyAndSaveCorpAction</v>
      </c>
      <c r="C419" t="str">
        <f>IFERROR(__xludf.DUMMYFUNCTION("""COMPUTED_VALUE"""),"1bruEDkUzHa33GtKgwOjgeu-gUDGJFATMt-u7J51XEU4")</f>
        <v>1bruEDkUzHa33GtKgwOjgeu-gUDGJFATMt-u7J51XEU4</v>
      </c>
    </row>
    <row r="420" ht="15.75" customHeight="1">
      <c r="A420" t="str">
        <f>IFERROR(__xludf.DUMMYFUNCTION("""COMPUTED_VALUE"""),"Allocation")</f>
        <v>Allocation</v>
      </c>
      <c r="B420" t="str">
        <f>IFERROR(__xludf.DUMMYFUNCTION("""COMPUTED_VALUE"""),"DisableChecksideForAsset")</f>
        <v>DisableChecksideForAsset</v>
      </c>
      <c r="C420" t="str">
        <f>IFERROR(__xludf.DUMMYFUNCTION("""COMPUTED_VALUE"""),"1w1BRJVZsjn1B0PDYrYEKzXGEw-NFKSMIyNqeBCt4yec")</f>
        <v>1w1BRJVZsjn1B0PDYrYEKzXGEw-NFKSMIyNqeBCt4yec</v>
      </c>
    </row>
    <row r="421" ht="15.75" customHeight="1">
      <c r="A421" t="str">
        <f>IFERROR(__xludf.DUMMYFUNCTION("""COMPUTED_VALUE"""),"Allocation")</f>
        <v>Allocation</v>
      </c>
      <c r="B421" t="str">
        <f>IFERROR(__xludf.DUMMYFUNCTION("""COMPUTED_VALUE"""),"DisableChecksideForAccount")</f>
        <v>DisableChecksideForAccount</v>
      </c>
      <c r="C421" t="str">
        <f>IFERROR(__xludf.DUMMYFUNCTION("""COMPUTED_VALUE"""),"1m8_kQ_0tVJoTiBpYOtlKW23NWSHVfniRS6qC-gXm10s")</f>
        <v>1m8_kQ_0tVJoTiBpYOtlKW23NWSHVfniRS6qC-gXm10s</v>
      </c>
    </row>
    <row r="422" ht="15.75" customHeight="1">
      <c r="A422" t="str">
        <f>IFERROR(__xludf.DUMMYFUNCTION("""COMPUTED_VALUE"""),"Allocation")</f>
        <v>Allocation</v>
      </c>
      <c r="B422" t="str">
        <f>IFERROR(__xludf.DUMMYFUNCTION("""COMPUTED_VALUE"""),"DisableChecksideForCounterParty")</f>
        <v>DisableChecksideForCounterParty</v>
      </c>
      <c r="C422" t="str">
        <f>IFERROR(__xludf.DUMMYFUNCTION("""COMPUTED_VALUE"""),"17N8VCOwI2fnS5Lh1_oE2TZ5tHs8EeP3ATBk93WwvRHk")</f>
        <v>17N8VCOwI2fnS5Lh1_oE2TZ5tHs8EeP3ATBk93WwvRHk</v>
      </c>
    </row>
    <row r="423" ht="15.75" customHeight="1">
      <c r="A423" t="str">
        <f>IFERROR(__xludf.DUMMYFUNCTION("""COMPUTED_VALUE"""),"Allocation")</f>
        <v>Allocation</v>
      </c>
      <c r="B423" t="str">
        <f>IFERROR(__xludf.DUMMYFUNCTION("""COMPUTED_VALUE"""),"DisableCheckside")</f>
        <v>DisableCheckside</v>
      </c>
      <c r="C423" t="str">
        <f>IFERROR(__xludf.DUMMYFUNCTION("""COMPUTED_VALUE"""),"1F88uJdltwqga7oeOfytDjDGsBP4kpEF_aSFBEzDCUqY")</f>
        <v>1F88uJdltwqga7oeOfytDjDGsBP4kpEF_aSFBEzDCUqY</v>
      </c>
    </row>
    <row r="424" ht="15.75" customHeight="1">
      <c r="A424" t="str">
        <f>IFERROR(__xludf.DUMMYFUNCTION("""COMPUTED_VALUE"""),"Allocation")</f>
        <v>Allocation</v>
      </c>
      <c r="B424" t="str">
        <f>IFERROR(__xludf.DUMMYFUNCTION("""COMPUTED_VALUE"""),"ApplyMasterFundFilter")</f>
        <v>ApplyMasterFundFilter</v>
      </c>
      <c r="C424" t="str">
        <f>IFERROR(__xludf.DUMMYFUNCTION("""COMPUTED_VALUE"""),"1yIy9yo2gUgRLah_KTWBr8Q8ouxWuW7qEoYCxd-IyZqU")</f>
        <v>1yIy9yo2gUgRLah_KTWBr8Q8ouxWuW7qEoYCxd-IyZqU</v>
      </c>
    </row>
    <row r="425" ht="15.75" customHeight="1">
      <c r="A425" t="str">
        <f>IFERROR(__xludf.DUMMYFUNCTION("""COMPUTED_VALUE"""),"TradingTicket")</f>
        <v>TradingTicket</v>
      </c>
      <c r="B425" t="str">
        <f>IFERROR(__xludf.DUMMYFUNCTION("""COMPUTED_VALUE"""),"UpdateMasterFundOnTT")</f>
        <v>UpdateMasterFundOnTT</v>
      </c>
      <c r="C425" t="str">
        <f>IFERROR(__xludf.DUMMYFUNCTION("""COMPUTED_VALUE"""),"1vtwSXTZXLwVYR5bhmfKT7b9o6JVmS_9MOZn7CcypLvw")</f>
        <v>1vtwSXTZXLwVYR5bhmfKT7b9o6JVmS_9MOZn7CcypLvw</v>
      </c>
    </row>
    <row r="426" ht="15.75" customHeight="1">
      <c r="A426" t="str">
        <f>IFERROR(__xludf.DUMMYFUNCTION("""COMPUTED_VALUE"""),"Allocation")</f>
        <v>Allocation</v>
      </c>
      <c r="B426" t="str">
        <f>IFERROR(__xludf.DUMMYFUNCTION("""COMPUTED_VALUE"""),"ShowMasterFundOnTT")</f>
        <v>ShowMasterFundOnTT</v>
      </c>
      <c r="C426" t="str">
        <f>IFERROR(__xludf.DUMMYFUNCTION("""COMPUTED_VALUE"""),"1tY8_vmgwAtlU3wdGRDk8WSaRLCv6640XZ0pVR7jx06k")</f>
        <v>1tY8_vmgwAtlU3wdGRDk8WSaRLCv6640XZ0pVR7jx06k</v>
      </c>
    </row>
    <row r="427" ht="15.75" customHeight="1">
      <c r="A427" t="str">
        <f>IFERROR(__xludf.DUMMYFUNCTION("""COMPUTED_VALUE"""),"Allocation")</f>
        <v>Allocation</v>
      </c>
      <c r="B427" t="str">
        <f>IFERROR(__xludf.DUMMYFUNCTION("""COMPUTED_VALUE"""),"ShowMasterFundAsClient")</f>
        <v>ShowMasterFundAsClient</v>
      </c>
      <c r="C427" t="str">
        <f>IFERROR(__xludf.DUMMYFUNCTION("""COMPUTED_VALUE"""),"1dXSCZtp_PbY2-xO4HyuQFjP9rqovyxBIHohhAalWHdk")</f>
        <v>1dXSCZtp_PbY2-xO4HyuQFjP9rqovyxBIHohhAalWHdk</v>
      </c>
    </row>
    <row r="428" ht="15.75" customHeight="1">
      <c r="A428" t="str">
        <f>IFERROR(__xludf.DUMMYFUNCTION("""COMPUTED_VALUE"""),"Allocation")</f>
        <v>Allocation</v>
      </c>
      <c r="B428" t="str">
        <f>IFERROR(__xludf.DUMMYFUNCTION("""COMPUTED_VALUE"""),"SetBrokerAccountMapping")</f>
        <v>SetBrokerAccountMapping</v>
      </c>
      <c r="C428" t="str">
        <f>IFERROR(__xludf.DUMMYFUNCTION("""COMPUTED_VALUE"""),"1MPDRlprMFMS8DkR-4ntdGvBOQ6Gp4Cbkz1mGJyRiPBU")</f>
        <v>1MPDRlprMFMS8DkR-4ntdGvBOQ6Gp4Cbkz1mGJyRiPBU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IFERROR(__xludf.DUMMYFUNCTION("""COMPUTED_VALUE"""),"EditUnallocatedGridWPF")</f>
        <v>EditUnallocatedGridWPF</v>
      </c>
      <c r="C429" t="str">
        <f>IFERROR(__xludf.DUMMYFUNCTION("""COMPUTED_VALUE"""),"1FoqMjsh7kSUAPZgAsBdK0Dgz6XaVskoGr37G773xRsI")</f>
        <v>1FoqMjsh7kSUAPZgAsBdK0Dgz6XaVskoGr37G773xRsI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IFERROR(__xludf.DUMMYFUNCTION("""COMPUTED_VALUE"""),"EditAllocatedGridWPF")</f>
        <v>EditAllocatedGridWPF</v>
      </c>
      <c r="C430" t="str">
        <f>IFERROR(__xludf.DUMMYFUNCTION("""COMPUTED_VALUE"""),"1JDZt3yDzGJYLwgfnrM-1JpkYjLh4xdqn3im1wNwUiWg")</f>
        <v>1JDZt3yDzGJYLwgfnrM-1JpkYjLh4xdqn3im1wNwUiWg</v>
      </c>
    </row>
    <row r="431" ht="15.75" customHeight="1">
      <c r="A431" t="str">
        <f>IFERROR(__xludf.DUMMYFUNCTION("""COMPUTED_VALUE"""),"Admin")</f>
        <v>Admin</v>
      </c>
      <c r="B431" t="str">
        <f>IFERROR(__xludf.DUMMYFUNCTION("""COMPUTED_VALUE"""),"SetRollover")</f>
        <v>SetRollover</v>
      </c>
      <c r="C431" t="str">
        <f>IFERROR(__xludf.DUMMYFUNCTION("""COMPUTED_VALUE"""),"1mcj3boGZkRmnkbGNVOiMK0RBd1tDfxGwoUagq09FwTM")</f>
        <v>1mcj3boGZkRmnkbGNVOiMK0RBd1tDfxGwoUagq09FwTM</v>
      </c>
    </row>
    <row r="432" ht="15.75" customHeight="1">
      <c r="A432" t="str">
        <f>IFERROR(__xludf.DUMMYFUNCTION("""COMPUTED_VALUE"""),"Blotter")</f>
        <v>Blotter</v>
      </c>
      <c r="B432" t="str">
        <f>IFERROR(__xludf.DUMMYFUNCTION("""COMPUTED_VALUE"""),"VerifyRollover")</f>
        <v>VerifyRollover</v>
      </c>
      <c r="C432" t="str">
        <f>IFERROR(__xludf.DUMMYFUNCTION("""COMPUTED_VALUE"""),"1ZZ2-R1OHOoSZ9jUfqlZ7UX-MNoTL_RipoEPOEeDhUiU")</f>
        <v>1ZZ2-R1OHOoSZ9jUfqlZ7UX-MNoTL_RipoEPOEeDhUiU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IFERROR(__xludf.DUMMYFUNCTION("""COMPUTED_VALUE"""),"EditAllocatedGridTaxlot")</f>
        <v>EditAllocatedGridTaxlot</v>
      </c>
      <c r="C433" t="str">
        <f>IFERROR(__xludf.DUMMYFUNCTION("""COMPUTED_VALUE"""),"1tuNkOgVUAgmGZdePkvb6Kq4fOIVUbM2Oo-j35VwEMxU")</f>
        <v>1tuNkOgVUAgmGZdePkvb6Kq4fOIVUbM2Oo-j35VwEMxU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IFERROR(__xludf.DUMMYFUNCTION("""COMPUTED_VALUE"""),"ExpandCollapseAllocatedGrid")</f>
        <v>ExpandCollapseAllocatedGrid</v>
      </c>
      <c r="C434" t="str">
        <f>IFERROR(__xludf.DUMMYFUNCTION("""COMPUTED_VALUE"""),"1rFegPn3vtFd9CjW_Q7sLLAAJfMR24R2aIjZeDzV88kI")</f>
        <v>1rFegPn3vtFd9CjW_Q7sLLAAJfMR24R2aIjZeDzV88kI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IFERROR(__xludf.DUMMYFUNCTION("""COMPUTED_VALUE"""),"ExpandCollapseUnallocatedGrid")</f>
        <v>ExpandCollapseUnallocatedGrid</v>
      </c>
      <c r="C435" t="str">
        <f>IFERROR(__xludf.DUMMYFUNCTION("""COMPUTED_VALUE"""),"1AUbU9P9evi80SGX-0B0OEU4EIeSy8XoX0Jxc2neUG7Y")</f>
        <v>1AUbU9P9evi80SGX-0B0OEU4EIeSy8XoX0Jxc2neUG7Y</v>
      </c>
    </row>
    <row r="436" ht="15.75" customHeight="1">
      <c r="A436" t="str">
        <f>IFERROR(__xludf.DUMMYFUNCTION("""COMPUTED_VALUE"""),"Blotter")</f>
        <v>Blotter</v>
      </c>
      <c r="B436" t="str">
        <f>IFERROR(__xludf.DUMMYFUNCTION("""COMPUTED_VALUE"""),"VerifySubOrderAfterRollover")</f>
        <v>VerifySubOrderAfterRollover</v>
      </c>
      <c r="C436" t="str">
        <f>IFERROR(__xludf.DUMMYFUNCTION("""COMPUTED_VALUE"""),"1BmRHukyQ4miHL0fDoU1ytWmIfZkbbUhts6aUXOoJt1M")</f>
        <v>1BmRHukyQ4miHL0fDoU1ytWmIfZkbbUhts6aUXOoJt1M</v>
      </c>
    </row>
    <row r="437" ht="15.75" customHeight="1">
      <c r="A437" t="str">
        <f>IFERROR(__xludf.DUMMYFUNCTION("""COMPUTED_VALUE"""),"Import")</f>
        <v>Import</v>
      </c>
      <c r="B437" t="str">
        <f>IFERROR(__xludf.DUMMYFUNCTION("""COMPUTED_VALUE"""),"SelectTransactionImportType")</f>
        <v>SelectTransactionImportType</v>
      </c>
      <c r="C437" t="str">
        <f>IFERROR(__xludf.DUMMYFUNCTION("""COMPUTED_VALUE"""),"1ultylVChPDBFQEPMhDgNhsGAOiEjOy4yrylpQgIIDRs")</f>
        <v>1ultylVChPDBFQEPMhDgNhsGAOiEjOy4yrylpQgIIDRs</v>
      </c>
    </row>
    <row r="438" ht="15.75" customHeight="1">
      <c r="A438" t="str">
        <f>IFERROR(__xludf.DUMMYFUNCTION("""COMPUTED_VALUE"""),"Import")</f>
        <v>Import</v>
      </c>
      <c r="B438" t="str">
        <f>IFERROR(__xludf.DUMMYFUNCTION("""COMPUTED_VALUE"""),"SelectAllOnImport")</f>
        <v>SelectAllOnImport</v>
      </c>
      <c r="C438" t="str">
        <f>IFERROR(__xludf.DUMMYFUNCTION("""COMPUTED_VALUE"""),"1kfuraVHmWK4GQJ5l-V_xi5ZOvrVVE_6df75wO3Tczkw")</f>
        <v>1kfuraVHmWK4GQJ5l-V_xi5ZOvrVVE_6df75wO3Tczkw</v>
      </c>
    </row>
    <row r="439" ht="15.75" customHeight="1">
      <c r="A439" t="str">
        <f>IFERROR(__xludf.DUMMYFUNCTION("""COMPUTED_VALUE"""),"Import")</f>
        <v>Import</v>
      </c>
      <c r="B439" t="str">
        <f>IFERROR(__xludf.DUMMYFUNCTION("""COMPUTED_VALUE"""),"SelectMarkPriceImportType")</f>
        <v>SelectMarkPriceImportType</v>
      </c>
      <c r="C439" t="str">
        <f>IFERROR(__xludf.DUMMYFUNCTION("""COMPUTED_VALUE"""),"16WxFw58KivOf3P1utNNMuCYVONlWBgTIRn0wVd6Sq10")</f>
        <v>16WxFw58KivOf3P1utNNMuCYVONlWBgTIRn0wVd6Sq10</v>
      </c>
    </row>
    <row r="440" ht="15.75" customHeight="1">
      <c r="A440" t="str">
        <f>IFERROR(__xludf.DUMMYFUNCTION("""COMPUTED_VALUE"""),"Import")</f>
        <v>Import</v>
      </c>
      <c r="B440" t="str">
        <f>IFERROR(__xludf.DUMMYFUNCTION("""COMPUTED_VALUE"""),"SelectForexImportType")</f>
        <v>SelectForexImportType</v>
      </c>
      <c r="C440" t="str">
        <f>IFERROR(__xludf.DUMMYFUNCTION("""COMPUTED_VALUE"""),"1niCpVuSl0IoWtjAcvElNI0GeVHeA4cKvepxzq7Z4t0Y")</f>
        <v>1niCpVuSl0IoWtjAcvElNI0GeVHeA4cKvepxzq7Z4t0Y</v>
      </c>
    </row>
    <row r="441" ht="15.75" customHeight="1">
      <c r="A441" t="str">
        <f>IFERROR(__xludf.DUMMYFUNCTION("""COMPUTED_VALUE"""),"Import")</f>
        <v>Import</v>
      </c>
      <c r="B441" t="str">
        <f>IFERROR(__xludf.DUMMYFUNCTION("""COMPUTED_VALUE"""),"SelectDoubleEntryCashImportType")</f>
        <v>SelectDoubleEntryCashImportType</v>
      </c>
      <c r="C441" t="str">
        <f>IFERROR(__xludf.DUMMYFUNCTION("""COMPUTED_VALUE"""),"1c3AV5tCWYyTG5GupbNYTh4Y6mBGeI5Q18WF7jbA_FoE")</f>
        <v>1c3AV5tCWYyTG5GupbNYTh4Y6mBGeI5Q18WF7jbA_FoE</v>
      </c>
    </row>
    <row r="442" ht="15.75" customHeight="1">
      <c r="A442" t="str">
        <f>IFERROR(__xludf.DUMMYFUNCTION("""COMPUTED_VALUE"""),"Import")</f>
        <v>Import</v>
      </c>
      <c r="B442" t="str">
        <f>IFERROR(__xludf.DUMMYFUNCTION("""COMPUTED_VALUE"""),"SelectActivitiesImportType")</f>
        <v>SelectActivitiesImportType</v>
      </c>
      <c r="C442" t="str">
        <f>IFERROR(__xludf.DUMMYFUNCTION("""COMPUTED_VALUE"""),"1X6nskWL8-xWWF-gN9qfxhhV3aBuAeoxKsrdra5tJcpQ")</f>
        <v>1X6nskWL8-xWWF-gN9qfxhhV3aBuAeoxKsrdra5tJcpQ</v>
      </c>
    </row>
    <row r="443" ht="15.75" customHeight="1">
      <c r="A443" t="str">
        <f>IFERROR(__xludf.DUMMYFUNCTION("""COMPUTED_VALUE"""),"TradingTicket")</f>
        <v>TradingTicket</v>
      </c>
      <c r="B443" t="str">
        <f>IFERROR(__xludf.DUMMYFUNCTION("""COMPUTED_VALUE"""),"SetTTCompliancePreference")</f>
        <v>SetTTCompliancePreference</v>
      </c>
      <c r="C443" t="str">
        <f>IFERROR(__xludf.DUMMYFUNCTION("""COMPUTED_VALUE"""),"1OPa8vYQi1QXXNENlCNdP6ay_L5vU7WyWP5dErE2KHEA")</f>
        <v>1OPa8vYQi1QXXNENlCNdP6ay_L5vU7WyWP5dErE2KHEA</v>
      </c>
    </row>
    <row r="444" ht="15.75" customHeight="1">
      <c r="A444" t="str">
        <f>IFERROR(__xludf.DUMMYFUNCTION("""COMPUTED_VALUE"""),"Rebalancer")</f>
        <v>Rebalancer</v>
      </c>
      <c r="B444" t="str">
        <f>IFERROR(__xludf.DUMMYFUNCTION("""COMPUTED_VALUE"""),"LockandUnlockGridData")</f>
        <v>LockandUnlockGridData</v>
      </c>
      <c r="C444" t="str">
        <f>IFERROR(__xludf.DUMMYFUNCTION("""COMPUTED_VALUE"""),"1Km85kIYSTzG-NQHFDL8ZVRQQ0TKLUDOYsw-kdDX29xE")</f>
        <v>1Km85kIYSTzG-NQHFDL8ZVRQQ0TKLUDOYsw-kdDX29xE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IFERROR(__xludf.DUMMYFUNCTION("""COMPUTED_VALUE"""),"SetTradeAttributePreferences")</f>
        <v>SetTradeAttributePreferences</v>
      </c>
      <c r="C445" t="str">
        <f>IFERROR(__xludf.DUMMYFUNCTION("""COMPUTED_VALUE"""),"1jyPRPc_0lTWCpP9oldB5fgtg2dy3jSnXLkS_qYf40-I")</f>
        <v>1jyPRPc_0lTWCpP9oldB5fgtg2dy3jSnXLkS_qYf40-I</v>
      </c>
    </row>
    <row r="446" ht="15.75" customHeight="1">
      <c r="A446" t="str">
        <f>IFERROR(__xludf.DUMMYFUNCTION("""COMPUTED_VALUE"""),"GeneralLedger")</f>
        <v>GeneralLedger</v>
      </c>
      <c r="B446" t="str">
        <f>IFERROR(__xludf.DUMMYFUNCTION("""COMPUTED_VALUE"""),"VerifyAccountBalances")</f>
        <v>VerifyAccountBalances</v>
      </c>
      <c r="C446" t="str">
        <f>IFERROR(__xludf.DUMMYFUNCTION("""COMPUTED_VALUE"""),"1ym14EKcw7B3au8SvVteq2gmFR3cDcsMvQQEIm0TQjf4")</f>
        <v>1ym14EKcw7B3au8SvVteq2gmFR3cDcsMvQQEIm0TQjf4</v>
      </c>
    </row>
    <row r="447" ht="15.75" customHeight="1">
      <c r="A447" t="str">
        <f>IFERROR(__xludf.DUMMYFUNCTION("""COMPUTED_VALUE"""),"Rebalancer")</f>
        <v>Rebalancer</v>
      </c>
      <c r="B447" t="str">
        <f>IFERROR(__xludf.DUMMYFUNCTION("""COMPUTED_VALUE"""),"RefreshGridData")</f>
        <v>RefreshGridData</v>
      </c>
      <c r="C447" t="str">
        <f>IFERROR(__xludf.DUMMYFUNCTION("""COMPUTED_VALUE"""),"1iFsjUbnYA0Jwd89eYQjg5OrnW3lr2WGVb5quimwHrRw")</f>
        <v>1iFsjUbnYA0Jwd89eYQjg5OrnW3lr2WGVb5quimwHrRw</v>
      </c>
    </row>
    <row r="448" ht="15.75" customHeight="1">
      <c r="A448" t="str">
        <f>IFERROR(__xludf.DUMMYFUNCTION("""COMPUTED_VALUE"""),"GeneralLedger")</f>
        <v>GeneralLedger</v>
      </c>
      <c r="B448" t="str">
        <f>IFERROR(__xludf.DUMMYFUNCTION("""COMPUTED_VALUE"""),"AddMultipleOpeningBalTranItem")</f>
        <v>AddMultipleOpeningBalTranItem</v>
      </c>
      <c r="C448" t="str">
        <f>IFERROR(__xludf.DUMMYFUNCTION("""COMPUTED_VALUE"""),"14VkN8stineosylh8hvnYNK-GMxNG0uFZBKPjv00GOVc")</f>
        <v>14VkN8stineosylh8hvnYNK-GMxNG0uFZBKPjv00GOVc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IFERROR(__xludf.DUMMYFUNCTION("""COMPUTED_VALUE"""),"ApplyFilterOnImport")</f>
        <v>ApplyFilterOnImport</v>
      </c>
      <c r="C449" t="str">
        <f>IFERROR(__xludf.DUMMYFUNCTION("""COMPUTED_VALUE"""),"1NbH6CrAG4P2-tfFJ5m9jUCbnHY9N7cAluffYy9kFrtg")</f>
        <v>1NbH6CrAG4P2-tfFJ5m9jUCbnHY9N7cAluffYy9kFrtg</v>
      </c>
    </row>
    <row r="450" ht="15.75" customHeight="1">
      <c r="A450" t="str">
        <f>IFERROR(__xludf.DUMMYFUNCTION("""COMPUTED_VALUE"""),"Rebalancer")</f>
        <v>Rebalancer</v>
      </c>
      <c r="B450" t="str">
        <f>IFERROR(__xludf.DUMMYFUNCTION("""COMPUTED_VALUE"""),"SendtoStaging")</f>
        <v>SendtoStaging</v>
      </c>
      <c r="C450" t="str">
        <f>IFERROR(__xludf.DUMMYFUNCTION("""COMPUTED_VALUE"""),"1Zhte_TGc173a8WWc7feC_7HQ_A-M9Q7Np-aK2NPeTIo")</f>
        <v>1Zhte_TGc173a8WWc7feC_7HQ_A-M9Q7Np-aK2NPeTIo</v>
      </c>
    </row>
    <row r="451" ht="15.75" customHeight="1">
      <c r="A451" t="str">
        <f>IFERROR(__xludf.DUMMYFUNCTION("""COMPUTED_VALUE"""),"PTT")</f>
        <v>PTT</v>
      </c>
      <c r="B451" t="str">
        <f>IFERROR(__xludf.DUMMYFUNCTION("""COMPUTED_VALUE"""),"SetDefaultSymbology")</f>
        <v>SetDefaultSymbology</v>
      </c>
      <c r="C451" t="str">
        <f>IFERROR(__xludf.DUMMYFUNCTION("""COMPUTED_VALUE"""),"1b7zlTIVQjL2vZc0hUNmY0Nj3YpQi8BtYcWMr8_hvABw")</f>
        <v>1b7zlTIVQjL2vZc0hUNmY0Nj3YpQi8BtYcWMr8_hvABw</v>
      </c>
    </row>
    <row r="452" ht="15.75" customHeight="1">
      <c r="A452" t="str">
        <f>IFERROR(__xludf.DUMMYFUNCTION("""COMPUTED_VALUE"""),"Allocation")</f>
        <v>Allocation</v>
      </c>
      <c r="B452" t="str">
        <f>IFERROR(__xludf.DUMMYFUNCTION("""COMPUTED_VALUE"""),"EnterCustomAllocatePreference")</f>
        <v>EnterCustomAllocatePreference</v>
      </c>
      <c r="C452" t="str">
        <f>IFERROR(__xludf.DUMMYFUNCTION("""COMPUTED_VALUE"""),"1eNnQSyrPr_L4TcV7izBj89sySDQaYK6gNqNVbd2ChKE")</f>
        <v>1eNnQSyrPr_L4TcV7izBj89sySDQaYK6gNqNVbd2ChKE</v>
      </c>
    </row>
    <row r="453" ht="15.75" customHeight="1">
      <c r="A453" t="str">
        <f>IFERROR(__xludf.DUMMYFUNCTION("""COMPUTED_VALUE"""),"PTT")</f>
        <v>PTT</v>
      </c>
      <c r="B453" t="str">
        <f>IFERROR(__xludf.DUMMYFUNCTION("""COMPUTED_VALUE"""),"EditPTTAccountLevelWPF")</f>
        <v>EditPTTAccountLevelWPF</v>
      </c>
      <c r="C453" t="str">
        <f>IFERROR(__xludf.DUMMYFUNCTION("""COMPUTED_VALUE"""),"1lkoB4yg9KAzhNswvpJ9xWcz4YPaysGRGQuXBp7wigzQ")</f>
        <v>1lkoB4yg9KAzhNswvpJ9xWcz4YPaysGRGQuXBp7wigzQ</v>
      </c>
    </row>
    <row r="454" ht="15.75" customHeight="1">
      <c r="A454" t="str">
        <f>IFERROR(__xludf.DUMMYFUNCTION("""COMPUTED_VALUE"""),"PortfolioManagement")</f>
        <v>PortfolioManagement</v>
      </c>
      <c r="B454" t="str">
        <f>IFERROR(__xludf.DUMMYFUNCTION("""COMPUTED_VALUE"""),"OpenCreateTransactionFromPM")</f>
        <v>OpenCreateTransactionFromPM</v>
      </c>
      <c r="C454" t="str">
        <f>IFERROR(__xludf.DUMMYFUNCTION("""COMPUTED_VALUE"""),"1kYgb5moj5P-JWXvKHbuX1snB8mlE4Vdc4aiH1bDnoHI")</f>
        <v>1kYgb5moj5P-JWXvKHbuX1snB8mlE4Vdc4aiH1bDnoHI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IFERROR(__xludf.DUMMYFUNCTION("""COMPUTED_VALUE"""),"SetAutoGroupingPreferences")</f>
        <v>SetAutoGroupingPreferences</v>
      </c>
      <c r="C455" t="str">
        <f>IFERROR(__xludf.DUMMYFUNCTION("""COMPUTED_VALUE"""),"1D35ujYz3sSem5ddRMKhpDtAxLAuwzV3i4A0w31WFRjE")</f>
        <v>1D35ujYz3sSem5ddRMKhpDtAxLAuwzV3i4A0w31WFRjE</v>
      </c>
    </row>
    <row r="456" ht="15.75" customHeight="1">
      <c r="A456" t="str">
        <f>IFERROR(__xludf.DUMMYFUNCTION("""COMPUTED_VALUE"""),"Allocation")</f>
        <v>Allocation</v>
      </c>
      <c r="B456" t="str">
        <f>IFERROR(__xludf.DUMMYFUNCTION("""COMPUTED_VALUE"""),"SetAutoGroupingAccount")</f>
        <v>SetAutoGroupingAccount</v>
      </c>
      <c r="C456" t="str">
        <f>IFERROR(__xludf.DUMMYFUNCTION("""COMPUTED_VALUE"""),"1CF-lbRv2R0CjOCWWaoSCrEih5WxPa65LdKDcH_H7AvM")</f>
        <v>1CF-lbRv2R0CjOCWWaoSCrEih5WxPa65LdKDcH_H7AvM</v>
      </c>
    </row>
    <row r="457" ht="15.75" customHeight="1">
      <c r="A457" t="str">
        <f>IFERROR(__xludf.DUMMYFUNCTION("""COMPUTED_VALUE"""),"Allocation")</f>
        <v>Allocation</v>
      </c>
      <c r="B457" t="str">
        <f>IFERROR(__xludf.DUMMYFUNCTION("""COMPUTED_VALUE"""),"SetAvgPriceRounding")</f>
        <v>SetAvgPriceRounding</v>
      </c>
      <c r="C457" t="str">
        <f>IFERROR(__xludf.DUMMYFUNCTION("""COMPUTED_VALUE"""),"1appeOpkVhy6OTICRFxIDc71ZbQKU-Ynw5sV7KihABMU")</f>
        <v>1appeOpkVhy6OTICRFxIDc71ZbQKU-Ynw5sV7KihABMU</v>
      </c>
    </row>
    <row r="458" ht="15.75" customHeight="1">
      <c r="A458" t="str">
        <f>IFERROR(__xludf.DUMMYFUNCTION("""COMPUTED_VALUE"""),"Admin")</f>
        <v>Admin</v>
      </c>
      <c r="B458" t="str">
        <f>IFERROR(__xludf.DUMMYFUNCTION("""COMPUTED_VALUE"""),"SetActive")</f>
        <v>SetActive</v>
      </c>
      <c r="C458" t="str">
        <f>IFERROR(__xludf.DUMMYFUNCTION("""COMPUTED_VALUE"""),"1ymrfngxFmxi2NFQGgXVw211iNNJ37T-E5RaoFHqrBv0")</f>
        <v>1ymrfngxFmxi2NFQGgXVw211iNNJ37T-E5RaoFHqrBv0</v>
      </c>
    </row>
    <row r="459" ht="15.75" customHeight="1">
      <c r="A459" t="str">
        <f>IFERROR(__xludf.DUMMYFUNCTION("""COMPUTED_VALUE"""),"Admin")</f>
        <v>Admin</v>
      </c>
      <c r="B459" t="str">
        <f>IFERROR(__xludf.DUMMYFUNCTION("""COMPUTED_VALUE"""),"SetThirdPartyFormat")</f>
        <v>SetThirdPartyFormat</v>
      </c>
      <c r="C459" t="str">
        <f>IFERROR(__xludf.DUMMYFUNCTION("""COMPUTED_VALUE"""),"1YBuAIaPPp_zD8dJLcJZofXxiKAE6eZJzGO4FqDo7GTE")</f>
        <v>1YBuAIaPPp_zD8dJLcJZofXxiKAE6eZJzGO4FqDo7GTE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IFERROR(__xludf.DUMMYFUNCTION("""COMPUTED_VALUE"""),"RebalanceViaBloomberg")</f>
        <v>RebalanceViaBloomberg</v>
      </c>
      <c r="C460" t="str">
        <f>IFERROR(__xludf.DUMMYFUNCTION("""COMPUTED_VALUE"""),"1KhWzt5vyNW1kzhPLXipM9CAX2wUBQQLJePUogClbNy0")</f>
        <v>1KhWzt5vyNW1kzhPLXipM9CAX2wUBQQLJePUogClbNy0</v>
      </c>
    </row>
    <row r="461" ht="15.75" customHeight="1">
      <c r="A461" t="str">
        <f>IFERROR(__xludf.DUMMYFUNCTION("""COMPUTED_VALUE"""),"ThirdParty")</f>
        <v>ThirdParty</v>
      </c>
      <c r="B461" t="str">
        <f>IFERROR(__xludf.DUMMYFUNCTION("""COMPUTED_VALUE"""),"RefreshThirdParty")</f>
        <v>RefreshThirdParty</v>
      </c>
      <c r="C461" t="str">
        <f>IFERROR(__xludf.DUMMYFUNCTION("""COMPUTED_VALUE"""),"1lOOWkQYcBWumeD4F4mCbIz0B_-RtHa-lbk2xvVUXKAQ")</f>
        <v>1lOOWkQYcBWumeD4F4mCbIz0B_-RtHa-lbk2xvVUXKAQ</v>
      </c>
    </row>
    <row r="462" ht="15.75" customHeight="1">
      <c r="A462" t="str">
        <f>IFERROR(__xludf.DUMMYFUNCTION("""COMPUTED_VALUE"""),"Rebalancer")</f>
        <v>Rebalancer</v>
      </c>
      <c r="B462" t="str">
        <f>IFERROR(__xludf.DUMMYFUNCTION("""COMPUTED_VALUE"""),"AddUserAdjustedNAV")</f>
        <v>AddUserAdjustedNAV</v>
      </c>
      <c r="C462" t="str">
        <f>IFERROR(__xludf.DUMMYFUNCTION("""COMPUTED_VALUE"""),"1qQ0LJ_1IrYMh6SBmiw0AFS9zYw6kLYcDP2Wn07lO6Lk")</f>
        <v>1qQ0LJ_1IrYMh6SBmiw0AFS9zYw6kLYcDP2Wn07lO6Lk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IFERROR(__xludf.DUMMYFUNCTION("""COMPUTED_VALUE"""),"IsAllocationOpen")</f>
        <v>IsAllocationOpen</v>
      </c>
      <c r="C463" t="str">
        <f>IFERROR(__xludf.DUMMYFUNCTION("""COMPUTED_VALUE"""),"1Yj9sEWGLvIGVCkeE8wc3xNY8Z4yZNGigW0Bdgp8edvA")</f>
        <v>1Yj9sEWGLvIGVCkeE8wc3xNY8Z4yZNGigW0Bdgp8edvA</v>
      </c>
    </row>
    <row r="464" ht="15.75" customHeight="1">
      <c r="A464" t="str">
        <f>IFERROR(__xludf.DUMMYFUNCTION("""COMPUTED_VALUE"""),"ShortLocate")</f>
        <v>ShortLocate</v>
      </c>
      <c r="B464" t="str">
        <f>IFERROR(__xludf.DUMMYFUNCTION("""COMPUTED_VALUE"""),"ImportOnShortLocate")</f>
        <v>ImportOnShortLocate</v>
      </c>
      <c r="C464" t="str">
        <f>IFERROR(__xludf.DUMMYFUNCTION("""COMPUTED_VALUE"""),"1C1ug_xZK2cdCqIYVDKTOxKoGTSIdtZaPgm86m17Er_Y")</f>
        <v>1C1ug_xZK2cdCqIYVDKTOxKoGTSIdtZaPgm86m17Er_Y</v>
      </c>
    </row>
    <row r="465" ht="15.75" customHeight="1">
      <c r="A465" t="str">
        <f>IFERROR(__xludf.DUMMYFUNCTION("""COMPUTED_VALUE"""),"ShortLocate")</f>
        <v>ShortLocate</v>
      </c>
      <c r="B465" t="str">
        <f>IFERROR(__xludf.DUMMYFUNCTION("""COMPUTED_VALUE"""),"ApplyFilterOnShortLocate")</f>
        <v>ApplyFilterOnShortLocate</v>
      </c>
      <c r="C465" t="str">
        <f>IFERROR(__xludf.DUMMYFUNCTION("""COMPUTED_VALUE"""),"1Cn-Bl95PXGhKloQYYlJej7rKVd4ux1kGG_MBit4fk4A")</f>
        <v>1Cn-Bl95PXGhKloQYYlJej7rKVd4ux1kGG_MBit4fk4A</v>
      </c>
    </row>
    <row r="466" ht="15.75" customHeight="1">
      <c r="A466" t="str">
        <f>IFERROR(__xludf.DUMMYFUNCTION("""COMPUTED_VALUE"""),"ShortLocate")</f>
        <v>ShortLocate</v>
      </c>
      <c r="B466" t="str">
        <f>IFERROR(__xludf.DUMMYFUNCTION("""COMPUTED_VALUE"""),"OpenTTFromShortLocate")</f>
        <v>OpenTTFromShortLocate</v>
      </c>
      <c r="C466" t="str">
        <f>IFERROR(__xludf.DUMMYFUNCTION("""COMPUTED_VALUE"""),"1VN5CVtgHNYp2lmtsmJrMDYMXq_8Gh_rSpLpAb6ErM6M")</f>
        <v>1VN5CVtgHNYp2lmtsmJrMDYMXq_8Gh_rSpLpAb6ErM6M</v>
      </c>
    </row>
    <row r="467" ht="15.75" customHeight="1">
      <c r="A467" t="str">
        <f>IFERROR(__xludf.DUMMYFUNCTION("""COMPUTED_VALUE"""),"PortfolioManagement")</f>
        <v>PortfolioManagement</v>
      </c>
      <c r="B467" t="str">
        <f>IFERROR(__xludf.DUMMYFUNCTION("""COMPUTED_VALUE"""),"RemoveGroupingFromPM")</f>
        <v>RemoveGroupingFromPM</v>
      </c>
      <c r="C467" t="str">
        <f>IFERROR(__xludf.DUMMYFUNCTION("""COMPUTED_VALUE"""),"1YKIncD0kWnaqpNFNOsgCVyA1F91XPeAgnyduLhg4NUg")</f>
        <v>1YKIncD0kWnaqpNFNOsgCVyA1F91XPeAgnyduLhg4NUg</v>
      </c>
    </row>
    <row r="468" ht="15.75" customHeight="1">
      <c r="A468" t="str">
        <f>IFERROR(__xludf.DUMMYFUNCTION("""COMPUTED_VALUE"""),"Watchlist")</f>
        <v>Watchlist</v>
      </c>
      <c r="B468" t="str">
        <f>IFERROR(__xludf.DUMMYFUNCTION("""COMPUTED_VALUE"""),"AddTabOnWatchlist")</f>
        <v>AddTabOnWatchlist</v>
      </c>
      <c r="C468" t="str">
        <f>IFERROR(__xludf.DUMMYFUNCTION("""COMPUTED_VALUE"""),"1jjhORl_GGC1MaE-TaNLImepF81XAVLTJrRzVfbjFgww")</f>
        <v>1jjhORl_GGC1MaE-TaNLImepF81XAVLTJrRzVfbjFgww</v>
      </c>
    </row>
    <row r="469" ht="15.75" customHeight="1">
      <c r="A469" t="str">
        <f>IFERROR(__xludf.DUMMYFUNCTION("""COMPUTED_VALUE"""),"Watchlist")</f>
        <v>Watchlist</v>
      </c>
      <c r="B469" t="str">
        <f>IFERROR(__xludf.DUMMYFUNCTION("""COMPUTED_VALUE"""),"DeleteTabOnWatchlist")</f>
        <v>DeleteTabOnWatchlist</v>
      </c>
      <c r="C469" t="str">
        <f>IFERROR(__xludf.DUMMYFUNCTION("""COMPUTED_VALUE"""),"1RgygcdRJLzJYHZ0zP3Z6BDlHpdOX2WYr8NDtGPZTM7E")</f>
        <v>1RgygcdRJLzJYHZ0zP3Z6BDlHpdOX2WYr8NDtGPZTM7E</v>
      </c>
    </row>
    <row r="470" ht="15.75" customHeight="1">
      <c r="A470" t="str">
        <f>IFERROR(__xludf.DUMMYFUNCTION("""COMPUTED_VALUE"""),"ShortLocate")</f>
        <v>ShortLocate</v>
      </c>
      <c r="B470" t="str">
        <f>IFERROR(__xludf.DUMMYFUNCTION("""COMPUTED_VALUE"""),"Upload")</f>
        <v>Upload</v>
      </c>
      <c r="C470" t="str">
        <f>IFERROR(__xludf.DUMMYFUNCTION("""COMPUTED_VALUE"""),"1DBkPKMXuOkBiTKkni_QwMf9B-Vs7FbA9VGOGKS51ZT4")</f>
        <v>1DBkPKMXuOkBiTKkni_QwMf9B-Vs7FbA9VGOGKS51ZT4</v>
      </c>
    </row>
    <row r="471" ht="15.75" customHeight="1">
      <c r="A471" t="str">
        <f>IFERROR(__xludf.DUMMYFUNCTION("""COMPUTED_VALUE"""),"Recon")</f>
        <v>Recon</v>
      </c>
      <c r="B471" t="str">
        <f>IFERROR(__xludf.DUMMYFUNCTION("""COMPUTED_VALUE"""),"ViewDataOnRecon")</f>
        <v>ViewDataOnRecon</v>
      </c>
      <c r="C471" t="str">
        <f>IFERROR(__xludf.DUMMYFUNCTION("""COMPUTED_VALUE"""),"1BbKkpqbBk38mGc3pkD1qocCD2l1ul-edULN0zIfJnX0")</f>
        <v>1BbKkpqbBk38mGc3pkD1qocCD2l1ul-edULN0zIfJnX0</v>
      </c>
    </row>
    <row r="472" ht="15.75" customHeight="1">
      <c r="A472" t="str">
        <f>IFERROR(__xludf.DUMMYFUNCTION("""COMPUTED_VALUE"""),"Recon")</f>
        <v>Recon</v>
      </c>
      <c r="B472" t="str">
        <f>IFERROR(__xludf.DUMMYFUNCTION("""COMPUTED_VALUE"""),"RunRecon")</f>
        <v>RunRecon</v>
      </c>
      <c r="C472" t="str">
        <f>IFERROR(__xludf.DUMMYFUNCTION("""COMPUTED_VALUE"""),"1DW645A60flaLELO2P22MpKYws1JG4n6BHBPkmms9cLw")</f>
        <v>1DW645A60flaLELO2P22MpKYws1JG4n6BHBPkmms9cLw</v>
      </c>
    </row>
    <row r="473" ht="15.75" customHeight="1">
      <c r="A473" t="str">
        <f>IFERROR(__xludf.DUMMYFUNCTION("""COMPUTED_VALUE"""),"Recon")</f>
        <v>Recon</v>
      </c>
      <c r="B473" t="str">
        <f>IFERROR(__xludf.DUMMYFUNCTION("""COMPUTED_VALUE"""),"GenerateExceptionReport")</f>
        <v>GenerateExceptionReport</v>
      </c>
      <c r="C473" t="str">
        <f>IFERROR(__xludf.DUMMYFUNCTION("""COMPUTED_VALUE"""),"10mHZ-4hGDgpDcAZFTNOSjWUY0tCOkmljN_PiDLwfInQ")</f>
        <v>10mHZ-4hGDgpDcAZFTNOSjWUY0tCOkmljN_PiDLwfInQ</v>
      </c>
    </row>
    <row r="474" ht="15.75" customHeight="1">
      <c r="A474" t="str">
        <f>IFERROR(__xludf.DUMMYFUNCTION("""COMPUTED_VALUE"""),"Recon")</f>
        <v>Recon</v>
      </c>
      <c r="B474" t="str">
        <f>IFERROR(__xludf.DUMMYFUNCTION("""COMPUTED_VALUE"""),"ImportDataOnRecon")</f>
        <v>ImportDataOnRecon</v>
      </c>
      <c r="C474" t="str">
        <f>IFERROR(__xludf.DUMMYFUNCTION("""COMPUTED_VALUE"""),"1vSoBC5mnlpIAaj42v6OpnHQkGmK8gaC-xL91AFbqpzk")</f>
        <v>1vSoBC5mnlpIAaj42v6OpnHQkGmK8gaC-xL91AFbqpzk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IFERROR(__xludf.DUMMYFUNCTION("""COMPUTED_VALUE"""),"VerifyShortLocateGrid")</f>
        <v>VerifyShortLocateGrid</v>
      </c>
      <c r="C475" t="str">
        <f>IFERROR(__xludf.DUMMYFUNCTION("""COMPUTED_VALUE"""),"1qAzz_4B1zB9C9Vo0fwcHW1n3y4NbkaQdOAUu2-lNpqo")</f>
        <v>1qAzz_4B1zB9C9Vo0fwcHW1n3y4NbkaQdOAUu2-lNpqo</v>
      </c>
    </row>
    <row r="476" ht="15.75" customHeight="1">
      <c r="A476" t="str">
        <f>IFERROR(__xludf.DUMMYFUNCTION("""COMPUTED_VALUE"""),"Recon")</f>
        <v>Recon</v>
      </c>
      <c r="B476" t="str">
        <f>IFERROR(__xludf.DUMMYFUNCTION("""COMPUTED_VALUE"""),"VerifyApplicationData")</f>
        <v>VerifyApplicationData</v>
      </c>
      <c r="C476" t="str">
        <f>IFERROR(__xludf.DUMMYFUNCTION("""COMPUTED_VALUE"""),"1jLU1Bj4VFFNvZ0Wi033TIL8f5pwmJpXs_wwWfZSYsew")</f>
        <v>1jLU1Bj4VFFNvZ0Wi033TIL8f5pwmJpXs_wwWfZSYsew</v>
      </c>
    </row>
    <row r="477" ht="15.75" customHeight="1">
      <c r="A477" t="str">
        <f>IFERROR(__xludf.DUMMYFUNCTION("""COMPUTED_VALUE"""),"Recon")</f>
        <v>Recon</v>
      </c>
      <c r="B477" t="str">
        <f>IFERROR(__xludf.DUMMYFUNCTION("""COMPUTED_VALUE"""),"VerifyExceptionReport")</f>
        <v>VerifyExceptionReport</v>
      </c>
      <c r="C477" t="str">
        <f>IFERROR(__xludf.DUMMYFUNCTION("""COMPUTED_VALUE"""),"14zGa8XglUbfEDxZkT3kMdelOdTfTP2DE6GmuNtG7Wwk")</f>
        <v>14zGa8XglUbfEDxZkT3kMdelOdTfTP2DE6GmuNtG7Wwk</v>
      </c>
    </row>
    <row r="478" ht="15.75" customHeight="1">
      <c r="A478" t="str">
        <f>IFERROR(__xludf.DUMMYFUNCTION("""COMPUTED_VALUE"""),"Recon")</f>
        <v>Recon</v>
      </c>
      <c r="B478" t="str">
        <f>IFERROR(__xludf.DUMMYFUNCTION("""COMPUTED_VALUE"""),"VerifyPrimeBrokerData")</f>
        <v>VerifyPrimeBrokerData</v>
      </c>
      <c r="C478" t="str">
        <f>IFERROR(__xludf.DUMMYFUNCTION("""COMPUTED_VALUE"""),"1wcOx1NW-51uplf8YB8fYA6_SoD4MxIc609lcfAUapK8")</f>
        <v>1wcOx1NW-51uplf8YB8fYA6_SoD4MxIc609lcfAUapK8</v>
      </c>
    </row>
    <row r="479" ht="15.75" customHeight="1">
      <c r="A479" t="str">
        <f>IFERROR(__xludf.DUMMYFUNCTION("""COMPUTED_VALUE"""),"Admin")</f>
        <v>Admin</v>
      </c>
      <c r="B479" t="str">
        <f>IFERROR(__xludf.DUMMYFUNCTION("""COMPUTED_VALUE"""),"SetTradingComplianceRules")</f>
        <v>SetTradingComplianceRules</v>
      </c>
      <c r="C479" t="str">
        <f>IFERROR(__xludf.DUMMYFUNCTION("""COMPUTED_VALUE"""),"17Wu2UvH-BU-Px5WPcyG0Xhz2IxPoaWJqrIt67mvCrAA")</f>
        <v>17Wu2UvH-BU-Px5WPcyG0Xhz2IxPoaWJqrIt67mvCrAA</v>
      </c>
    </row>
    <row r="480" ht="15.75" customHeight="1">
      <c r="A480" t="str">
        <f>IFERROR(__xludf.DUMMYFUNCTION("""COMPUTED_VALUE"""),"TradingTicket")</f>
        <v>TradingTicket</v>
      </c>
      <c r="B480" t="str">
        <f>IFERROR(__xludf.DUMMYFUNCTION("""COMPUTED_VALUE"""),"ImportSymbol")</f>
        <v>ImportSymbol</v>
      </c>
      <c r="C480" t="str">
        <f>IFERROR(__xludf.DUMMYFUNCTION("""COMPUTED_VALUE"""),"1UEKelK1NMdYtsfsyMcdva6Yft_Yr9G8cWbrfel-9MJU")</f>
        <v>1UEKelK1NMdYtsfsyMcdva6Yft_Yr9G8cWbrfel-9MJU</v>
      </c>
    </row>
    <row r="481" ht="15.75" customHeight="1">
      <c r="A481" t="str">
        <f>IFERROR(__xludf.DUMMYFUNCTION("""COMPUTED_VALUE"""),"TradingTicket")</f>
        <v>TradingTicket</v>
      </c>
      <c r="B481" t="str">
        <f>IFERROR(__xludf.DUMMYFUNCTION("""COMPUTED_VALUE"""),"ExportSymbolFromRAList")</f>
        <v>ExportSymbolFromRAList</v>
      </c>
      <c r="C481" t="str">
        <f>IFERROR(__xludf.DUMMYFUNCTION("""COMPUTED_VALUE"""),"1MHwX_PBm9hsA0q8FgudciwiJIAk4mZvCR42Xpxx4sKs")</f>
        <v>1MHwX_PBm9hsA0q8FgudciwiJIAk4mZvCR42Xpxx4sKs</v>
      </c>
    </row>
    <row r="482" ht="15.75" customHeight="1">
      <c r="A482" t="str">
        <f>IFERROR(__xludf.DUMMYFUNCTION("""COMPUTED_VALUE"""),"TradingTicket")</f>
        <v>TradingTicket</v>
      </c>
      <c r="B482" t="str">
        <f>IFERROR(__xludf.DUMMYFUNCTION("""COMPUTED_VALUE""")," CheckPendingNewOrderAlert")</f>
        <v> CheckPendingNewOrderAlert</v>
      </c>
      <c r="C482" t="str">
        <f>IFERROR(__xludf.DUMMYFUNCTION("""COMPUTED_VALUE"""),"1t2KWd4MXhp0cc5GddRUoU75jESYZ8rvlBGDofapbzuI")</f>
        <v>1t2KWd4MXhp0cc5GddRUoU75jESYZ8rvlBGDofapbzuI</v>
      </c>
    </row>
    <row r="483" ht="15.75" customHeight="1">
      <c r="A483" t="str">
        <f>IFERROR(__xludf.DUMMYFUNCTION("""COMPUTED_VALUE"""),"TradingTicket")</f>
        <v>TradingTicket</v>
      </c>
      <c r="B483" t="str">
        <f>IFERROR(__xludf.DUMMYFUNCTION("""COMPUTED_VALUE"""),"AddSymbolOnRAList")</f>
        <v>AddSymbolOnRAList</v>
      </c>
      <c r="C483" t="str">
        <f>IFERROR(__xludf.DUMMYFUNCTION("""COMPUTED_VALUE"""),"1mAGV09viuVWEe4eHRdp4TWIABKngOqrICWdKcXQy3uo")</f>
        <v>1mAGV09viuVWEe4eHRdp4TWIABKngOqrICWdKcXQy3uo</v>
      </c>
    </row>
    <row r="484" ht="15.75" customHeight="1">
      <c r="A484" t="str">
        <f>IFERROR(__xludf.DUMMYFUNCTION("""COMPUTED_VALUE"""),"TradingTicket")</f>
        <v>TradingTicket</v>
      </c>
      <c r="B484" t="str">
        <f>IFERROR(__xludf.DUMMYFUNCTION("""COMPUTED_VALUE"""),"DeleteSymbolListFromRA")</f>
        <v>DeleteSymbolListFromRA</v>
      </c>
      <c r="C484" t="str">
        <f>IFERROR(__xludf.DUMMYFUNCTION("""COMPUTED_VALUE"""),"14dSZOTqRtu1tjIclv4ory70p3_NVBD4oZ8-Z0-kfJHo")</f>
        <v>14dSZOTqRtu1tjIclv4ory70p3_NVBD4oZ8-Z0-kfJHo</v>
      </c>
    </row>
    <row r="485" ht="15.75" customHeight="1">
      <c r="A485" t="str">
        <f>IFERROR(__xludf.DUMMYFUNCTION("""COMPUTED_VALUE"""),"TradingTicket")</f>
        <v>TradingTicket</v>
      </c>
      <c r="B485" t="str">
        <f>IFERROR(__xludf.DUMMYFUNCTION("""COMPUTED_VALUE"""),"RemoveSymbolFromRAList")</f>
        <v>RemoveSymbolFromRAList</v>
      </c>
      <c r="C485" t="str">
        <f>IFERROR(__xludf.DUMMYFUNCTION("""COMPUTED_VALUE"""),"1esriqspMNcbGjPDPy2u7bJyQKd05b0Y9Sin8DcUfSEE")</f>
        <v>1esriqspMNcbGjPDPy2u7bJyQKd05b0Y9Sin8DcUfSEE</v>
      </c>
    </row>
    <row r="486" ht="15.75" customHeight="1">
      <c r="A486" t="str">
        <f>IFERROR(__xludf.DUMMYFUNCTION("""COMPUTED_VALUE"""),"Report")</f>
        <v>Report</v>
      </c>
      <c r="B486" t="str">
        <f>IFERROR(__xludf.DUMMYFUNCTION("""COMPUTED_VALUE"""),"ReportMatching")</f>
        <v>ReportMatching</v>
      </c>
      <c r="C486" t="str">
        <f>IFERROR(__xludf.DUMMYFUNCTION("""COMPUTED_VALUE"""),"1IURT1smTM6q7aOlSfUxXb-piLEDNEFM-Z_rxNUweXqU")</f>
        <v>1IURT1smTM6q7aOlSfUxXb-piLEDNEFM-Z_rxNUweXqU</v>
      </c>
    </row>
    <row r="487" ht="15.75" customHeight="1">
      <c r="A487" t="str">
        <f>IFERROR(__xludf.DUMMYFUNCTION("""COMPUTED_VALUE"""),"Admin")</f>
        <v>Admin</v>
      </c>
      <c r="B487" t="str">
        <f>IFERROR(__xludf.DUMMYFUNCTION("""COMPUTED_VALUE"""),"EnableBreakdownRealizedPNL")</f>
        <v>EnableBreakdownRealizedPNL</v>
      </c>
      <c r="C487" t="str">
        <f>IFERROR(__xludf.DUMMYFUNCTION("""COMPUTED_VALUE"""),"1MsdAMudFZTDN6c4GJMzmiY0zvgautsPJWcDY1jxOGP0")</f>
        <v>1MsdAMudFZTDN6c4GJMzmiY0zvgautsPJWcDY1jxOGP0</v>
      </c>
    </row>
    <row r="488" ht="15.75" customHeight="1">
      <c r="A488" t="str">
        <f>IFERROR(__xludf.DUMMYFUNCTION("""COMPUTED_VALUE"""),"Admin")</f>
        <v>Admin</v>
      </c>
      <c r="B488" t="str">
        <f>IFERROR(__xludf.DUMMYFUNCTION("""COMPUTED_VALUE"""),"SetTTGeneralPreferences")</f>
        <v>SetTTGeneralPreferences</v>
      </c>
      <c r="C488" t="str">
        <f>IFERROR(__xludf.DUMMYFUNCTION("""COMPUTED_VALUE"""),"1VU4CqD-ZRcRyvM1M2otqULbHS-fnUmcO_NcgQMsS9rE")</f>
        <v>1VU4CqD-ZRcRyvM1M2otqULbHS-fnUmcO_NcgQMsS9rE</v>
      </c>
    </row>
    <row r="489" ht="15.75" customHeight="1">
      <c r="A489" t="str">
        <f>IFERROR(__xludf.DUMMYFUNCTION("""COMPUTED_VALUE"""),"Blotter")</f>
        <v>Blotter</v>
      </c>
      <c r="B489" t="str">
        <f>IFERROR(__xludf.DUMMYFUNCTION("""COMPUTED_VALUE"""),"OpenBlotter")</f>
        <v>OpenBlotter</v>
      </c>
      <c r="C489" t="str">
        <f>IFERROR(__xludf.DUMMYFUNCTION("""COMPUTED_VALUE"""),"12ceIzEYIShy-_njSlPPAl07iNZK9EY7UC-GDAyLFzV4")</f>
        <v>12ceIzEYIShy-_njSlPPAl07iNZK9EY7UC-GDAyLFzV4</v>
      </c>
    </row>
    <row r="490" ht="15.75" customHeight="1">
      <c r="A490" t="str">
        <f>IFERROR(__xludf.DUMMYFUNCTION("""COMPUTED_VALUE"""),"ExeExecutor")</f>
        <v>ExeExecutor</v>
      </c>
      <c r="B490" t="str">
        <f>IFERROR(__xludf.DUMMYFUNCTION("""COMPUTED_VALUE"""),"CallExeExecutor")</f>
        <v>CallExeExecutor</v>
      </c>
      <c r="C490" t="str">
        <f>IFERROR(__xludf.DUMMYFUNCTION("""COMPUTED_VALUE"""),"1hwFwcZT2KkLMWXu0X968AjDc83QETRSutmtdbAtWjRQ")</f>
        <v>1hwFwcZT2KkLMWXu0X968AjDc83QETRSutmtdbAtWjRQ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IFERROR(__xludf.DUMMYFUNCTION("""COMPUTED_VALUE"""),"ToggleBlombergOnRA")</f>
        <v>ToggleBlombergOnRA</v>
      </c>
      <c r="C491" t="str">
        <f>IFERROR(__xludf.DUMMYFUNCTION("""COMPUTED_VALUE"""),"1TNk3Ts3tA51Oj9qjpTVY3IDwk0Ro78g-6ZmRMY4-lHk")</f>
        <v>1TNk3Ts3tA51Oj9qjpTVY3IDwk0Ro78g-6ZmRMY4-lHk</v>
      </c>
    </row>
    <row r="492" ht="15.75" customHeight="1">
      <c r="A492" t="str">
        <f>IFERROR(__xludf.DUMMYFUNCTION("""COMPUTED_VALUE"""),"Blotter")</f>
        <v>Blotter</v>
      </c>
      <c r="B492" t="str">
        <f>IFERROR(__xludf.DUMMYFUNCTION("""COMPUTED_VALUE"""),"RemoveManualExecution")</f>
        <v>RemoveManualExecution</v>
      </c>
      <c r="C492" t="str">
        <f>IFERROR(__xludf.DUMMYFUNCTION("""COMPUTED_VALUE"""),"1jbkbbKX6sldAF_Pk73xVZ1gvRS_q8eEl9NbS6SSiFi8")</f>
        <v>1jbkbbKX6sldAF_Pk73xVZ1gvRS_q8eEl9NbS6SSiFi8</v>
      </c>
    </row>
    <row r="493" ht="15.75" customHeight="1">
      <c r="A493" t="str">
        <f>IFERROR(__xludf.DUMMYFUNCTION("""COMPUTED_VALUE"""),"Blotter")</f>
        <v>Blotter</v>
      </c>
      <c r="B493" t="str">
        <f>IFERROR(__xludf.DUMMYFUNCTION("""COMPUTED_VALUE"""),"RemoveExecutionWorkingSubs")</f>
        <v>RemoveExecutionWorkingSubs</v>
      </c>
      <c r="C493" t="str">
        <f>IFERROR(__xludf.DUMMYFUNCTION("""COMPUTED_VALUE"""),"1xhQkfgYxnBj3SaiVD_XZo7TN5gmMtEEUIk-KMtc-Cug")</f>
        <v>1xhQkfgYxnBj3SaiVD_XZo7TN5gmMtEEUIk-KMtc-Cug</v>
      </c>
    </row>
    <row r="494" ht="15.75" customHeight="1">
      <c r="A494" t="str">
        <f>IFERROR(__xludf.DUMMYFUNCTION("""COMPUTED_VALUE"""),"Dropcopy")</f>
        <v>Dropcopy</v>
      </c>
      <c r="B494" t="str">
        <f>IFERROR(__xludf.DUMMYFUNCTION("""COMPUTED_VALUE"""),"UploadDropcopyFile")</f>
        <v>UploadDropcopyFile</v>
      </c>
      <c r="C494" t="str">
        <f>IFERROR(__xludf.DUMMYFUNCTION("""COMPUTED_VALUE"""),"1W-fqHVGr66uN9zMhvO6QE-0fTnvoMIo31A_MC2VEFUY")</f>
        <v>1W-fqHVGr66uN9zMhvO6QE-0fTnvoMIo31A_MC2VEFUY</v>
      </c>
    </row>
    <row r="495" ht="15.75" customHeight="1">
      <c r="A495" t="str">
        <f>IFERROR(__xludf.DUMMYFUNCTION("""COMPUTED_VALUE"""),"TradeServer")</f>
        <v>TradeServer</v>
      </c>
      <c r="B495" t="str">
        <f>IFERROR(__xludf.DUMMYFUNCTION("""COMPUTED_VALUE"""),"StartTradeServer")</f>
        <v>StartTradeServer</v>
      </c>
      <c r="C495" t="str">
        <f>IFERROR(__xludf.DUMMYFUNCTION("""COMPUTED_VALUE"""),"1B9rnk-hL47W-7iUGju1P5wtQC8y0BGZIAhuxsistETQ")</f>
        <v>1B9rnk-hL47W-7iUGju1P5wtQC8y0BGZIAhuxsistETQ</v>
      </c>
    </row>
    <row r="496" ht="15.75" customHeight="1">
      <c r="A496" t="str">
        <f>IFERROR(__xludf.DUMMYFUNCTION("""COMPUTED_VALUE"""),"TradeServer")</f>
        <v>TradeServer</v>
      </c>
      <c r="B496" t="str">
        <f>IFERROR(__xludf.DUMMYFUNCTION("""COMPUTED_VALUE"""),"CloseTradeServer ")</f>
        <v>CloseTradeServer </v>
      </c>
      <c r="C496" t="str">
        <f>IFERROR(__xludf.DUMMYFUNCTION("""COMPUTED_VALUE"""),"174Tprzh0aMAZa-Ckuaucg-4aWwJTc-gYly9QXAbePh0")</f>
        <v>174Tprzh0aMAZa-Ckuaucg-4aWwJTc-gYly9QXAbePh0</v>
      </c>
    </row>
    <row r="497" ht="15.75" customHeight="1">
      <c r="A497" t="str">
        <f>IFERROR(__xludf.DUMMYFUNCTION("""COMPUTED_VALUE"""),"Blotter")</f>
        <v>Blotter</v>
      </c>
      <c r="B497" t="str">
        <f>IFERROR(__xludf.DUMMYFUNCTION("""COMPUTED_VALUE"""),"GetExecutionReportOrders")</f>
        <v>GetExecutionReportOrders</v>
      </c>
      <c r="C497" t="str">
        <f>IFERROR(__xludf.DUMMYFUNCTION("""COMPUTED_VALUE"""),"1hQPEUlOvv9Vi1KsbHsN6z0TIt4-v9Ckko9Z170M5bto")</f>
        <v>1hQPEUlOvv9Vi1KsbHsN6z0TIt4-v9Ckko9Z170M5bto</v>
      </c>
    </row>
    <row r="498" ht="15.75" customHeight="1">
      <c r="A498" t="str">
        <f>IFERROR(__xludf.DUMMYFUNCTION("""COMPUTED_VALUE"""),"Blotter")</f>
        <v>Blotter</v>
      </c>
      <c r="B498" t="str">
        <f>IFERROR(__xludf.DUMMYFUNCTION("""COMPUTED_VALUE"""),"GetExecutionReportDetails")</f>
        <v>GetExecutionReportDetails</v>
      </c>
      <c r="C498" t="str">
        <f>IFERROR(__xludf.DUMMYFUNCTION("""COMPUTED_VALUE"""),"1aD9Si2VBbY68g9PUfKv624K3d2PbLqScMJakPjZ8hFs")</f>
        <v>1aD9Si2VBbY68g9PUfKv624K3d2PbLqScMJakPjZ8hFs</v>
      </c>
    </row>
    <row r="499" ht="15.75" customHeight="1">
      <c r="A499" t="str">
        <f>IFERROR(__xludf.DUMMYFUNCTION("""COMPUTED_VALUE"""),"Blotter")</f>
        <v>Blotter</v>
      </c>
      <c r="B499" t="str">
        <f>IFERROR(__xludf.DUMMYFUNCTION("""COMPUTED_VALUE"""),"ExportExecutionReportData")</f>
        <v>ExportExecutionReportData</v>
      </c>
      <c r="C499" t="str">
        <f>IFERROR(__xludf.DUMMYFUNCTION("""COMPUTED_VALUE"""),"1a6yh6QYOXKH0UbWUlB2RKwf87hvs13OSFnVJBRYCYpM")</f>
        <v>1a6yh6QYOXKH0UbWUlB2RKwf87hvs13OSFnVJBRYCYpM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IFERROR(__xludf.DUMMYFUNCTION("""COMPUTED_VALUE"""),"VerifyExecutionReport")</f>
        <v>VerifyExecutionReport</v>
      </c>
      <c r="C500" t="str">
        <f>IFERROR(__xludf.DUMMYFUNCTION("""COMPUTED_VALUE"""),"15sKQ6yRs5rA6j70FvZOyg9HBsLCsZF-psuPGXdEFJSg")</f>
        <v>15sKQ6yRs5rA6j70FvZOyg9HBsLCsZF-psuPGXdEFJSg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IFERROR(__xludf.DUMMYFUNCTION("""COMPUTED_VALUE"""),"BlotterExecutionReportSnapshot")</f>
        <v>BlotterExecutionReportSnapshot</v>
      </c>
      <c r="C501" t="str">
        <f>IFERROR(__xludf.DUMMYFUNCTION("""COMPUTED_VALUE"""),"1O56bvbVFEtmCnv92OXcl9NqN7Zssjg6iXf_dOM4W0hs")</f>
        <v>1O56bvbVFEtmCnv92OXcl9NqN7Zssjg6iXf_dOM4W0hs</v>
      </c>
    </row>
    <row r="502" ht="15.75" customHeight="1">
      <c r="A502" t="str">
        <f>IFERROR(__xludf.DUMMYFUNCTION("""COMPUTED_VALUE"""),"Admin")</f>
        <v>Admin</v>
      </c>
      <c r="B502" t="str">
        <f>IFERROR(__xludf.DUMMYFUNCTION("""COMPUTED_VALUE"""),"SetDollarAmountPermission")</f>
        <v>SetDollarAmountPermission</v>
      </c>
      <c r="C502" t="str">
        <f>IFERROR(__xludf.DUMMYFUNCTION("""COMPUTED_VALUE"""),"19sxepfVnPP3DvqI8vW23p2yn2sob_Nn7_0R4WSGOgyc")</f>
        <v>19sxepfVnPP3DvqI8vW23p2yn2sob_Nn7_0R4WSGOgyc</v>
      </c>
    </row>
    <row r="503" ht="15.75" customHeight="1">
      <c r="A503" t="str">
        <f>IFERROR(__xludf.DUMMYFUNCTION("""COMPUTED_VALUE"""),"Admin")</f>
        <v>Admin</v>
      </c>
      <c r="B503" t="str">
        <f>IFERROR(__xludf.DUMMYFUNCTION("""COMPUTED_VALUE"""),"EnableDisableModule")</f>
        <v>EnableDisableModule</v>
      </c>
      <c r="C503" t="str">
        <f>IFERROR(__xludf.DUMMYFUNCTION("""COMPUTED_VALUE"""),"15tD_fIpFjzJbtr_OxvY-KeLg88908v4fXmpVzi9shPk")</f>
        <v>15tD_fIpFjzJbtr_OxvY-KeLg88908v4fXmpVzi9shPk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IFERROR(__xludf.DUMMYFUNCTION("""COMPUTED_VALUE"""),"MultipleTradeTransferToUser")</f>
        <v>MultipleTradeTransferToUser</v>
      </c>
      <c r="C504" t="str">
        <f>IFERROR(__xludf.DUMMYFUNCTION("""COMPUTED_VALUE"""),"10OvCXj6HBNbSwn6Bq70fCCT8t11mhD8gJD7iiUiqmHY")</f>
        <v>10OvCXj6HBNbSwn6Bq70fCCT8t11mhD8gJD7iiUiqmHY</v>
      </c>
    </row>
    <row r="505" ht="15.75" customHeight="1">
      <c r="A505" t="str">
        <f>IFERROR(__xludf.DUMMYFUNCTION("""COMPUTED_VALUE"""),"Admin")</f>
        <v>Admin</v>
      </c>
      <c r="B505" t="str">
        <f>IFERROR(__xludf.DUMMYFUNCTION("""COMPUTED_VALUE"""),"IsImportOverrideOnShortLocate")</f>
        <v>IsImportOverrideOnShortLocate</v>
      </c>
      <c r="C505" t="str">
        <f>IFERROR(__xludf.DUMMYFUNCTION("""COMPUTED_VALUE"""),"1HBroiXC_lXdWfzSFEUhcmVdGFqF-7ioRbfzMIhd-D84")</f>
        <v>1HBroiXC_lXdWfzSFEUhcmVdGFqF-7ioRbfzMIhd-D84</v>
      </c>
    </row>
    <row r="506" ht="15.75" customHeight="1">
      <c r="A506" t="str">
        <f>IFERROR(__xludf.DUMMYFUNCTION("""COMPUTED_VALUE"""),"Admin")</f>
        <v>Admin</v>
      </c>
      <c r="B506" t="str">
        <f>IFERROR(__xludf.DUMMYFUNCTION("""COMPUTED_VALUE"""),"SetShortLocateStructures")</f>
        <v>SetShortLocateStructures</v>
      </c>
      <c r="C506" t="str">
        <f>IFERROR(__xludf.DUMMYFUNCTION("""COMPUTED_VALUE"""),"1GBfDhS1Qx5z0a-XwiuVZHmjNQQNldS_oLDTK5hBKigQ")</f>
        <v>1GBfDhS1Qx5z0a-XwiuVZHmjNQQNldS_oLDTK5hBKigQ</v>
      </c>
    </row>
    <row r="507" ht="15.75" customHeight="1">
      <c r="A507" t="str">
        <f>IFERROR(__xludf.DUMMYFUNCTION("""COMPUTED_VALUE"""),"ShortLocate")</f>
        <v>ShortLocate</v>
      </c>
      <c r="B507" t="str">
        <f>IFERROR(__xludf.DUMMYFUNCTION("""COMPUTED_VALUE"""),"DownloadFile")</f>
        <v>DownloadFile</v>
      </c>
      <c r="C507" t="str">
        <f>IFERROR(__xludf.DUMMYFUNCTION("""COMPUTED_VALUE"""),"1C33h6u9nbxbc0Ij8SAALe10U-bitzt_AQkClLAmfans")</f>
        <v>1C33h6u9nbxbc0Ij8SAALe10U-bitzt_AQkClLAmfans</v>
      </c>
    </row>
    <row r="508" ht="15.75" customHeight="1">
      <c r="A508" t="str">
        <f>IFERROR(__xludf.DUMMYFUNCTION("""COMPUTED_VALUE"""),"ShortLocate")</f>
        <v>ShortLocate</v>
      </c>
      <c r="B508" t="str">
        <f>IFERROR(__xludf.DUMMYFUNCTION("""COMPUTED_VALUE"""),"SearchShortLocateUI")</f>
        <v>SearchShortLocateUI</v>
      </c>
      <c r="C508" t="str">
        <f>IFERROR(__xludf.DUMMYFUNCTION("""COMPUTED_VALUE"""),"1LYgsVcCeDjfFd0czp2BHUCNhrmdgLKWUrkF_leE2jjo")</f>
        <v>1LYgsVcCeDjfFd0czp2BHUCNhrmdgLKWUrkF_leE2jjo</v>
      </c>
    </row>
    <row r="509" ht="15.75" customHeight="1">
      <c r="A509" t="str">
        <f>IFERROR(__xludf.DUMMYFUNCTION("""COMPUTED_VALUE"""),"TradingTicket")</f>
        <v>TradingTicket</v>
      </c>
      <c r="B509" t="str">
        <f>IFERROR(__xludf.DUMMYFUNCTION("""COMPUTED_VALUE"""),"CreateDoneAwayOrder")</f>
        <v>CreateDoneAwayOrder</v>
      </c>
      <c r="C509" t="str">
        <f>IFERROR(__xludf.DUMMYFUNCTION("""COMPUTED_VALUE"""),"1k55gGo92H6nwC9RPuwvilJGepKKVG4ZH1q-orsG12-U")</f>
        <v>1k55gGo92H6nwC9RPuwvilJGepKKVG4ZH1q-orsG12-U</v>
      </c>
    </row>
    <row r="510" ht="15.75" customHeight="1">
      <c r="A510" t="str">
        <f>IFERROR(__xludf.DUMMYFUNCTION("""COMPUTED_VALUE"""),"Compliance")</f>
        <v>Compliance</v>
      </c>
      <c r="B510" t="str">
        <f>IFERROR(__xludf.DUMMYFUNCTION("""COMPUTED_VALUE"""),"RestartRuleMediator")</f>
        <v>RestartRuleMediator</v>
      </c>
      <c r="C510" t="str">
        <f>IFERROR(__xludf.DUMMYFUNCTION("""COMPUTED_VALUE"""),"18SVZSt8o151Ibqp7S3Ge-27pHb5fW7wNT71WgA_kP_8")</f>
        <v>18SVZSt8o151Ibqp7S3Ge-27pHb5fW7wNT71WgA_kP_8</v>
      </c>
    </row>
    <row r="511" ht="15.75" customHeight="1">
      <c r="A511" t="str">
        <f>IFERROR(__xludf.DUMMYFUNCTION("""COMPUTED_VALUE"""),"Compliance")</f>
        <v>Compliance</v>
      </c>
      <c r="B511" t="str">
        <f>IFERROR(__xludf.DUMMYFUNCTION("""COMPUTED_VALUE"""),"VerifyAggAccountSymbolWithNav")</f>
        <v>VerifyAggAccountSymbolWithNav</v>
      </c>
      <c r="C511" t="str">
        <f>IFERROR(__xludf.DUMMYFUNCTION("""COMPUTED_VALUE"""),"1yORtQDYWOiS9sGzwmSy3jeH1KeWbwIscJSVtvVljcqk")</f>
        <v>1yORtQDYWOiS9sGzwmSy3jeH1KeWbwIscJSVtvVljcqk</v>
      </c>
    </row>
    <row r="512" ht="15.75" customHeight="1">
      <c r="A512" t="str">
        <f>IFERROR(__xludf.DUMMYFUNCTION("""COMPUTED_VALUE"""),"Admin")</f>
        <v>Admin</v>
      </c>
      <c r="B512" t="str">
        <f>IFERROR(__xludf.DUMMYFUNCTION("""COMPUTED_VALUE"""),"SetComplianceAlert")</f>
        <v>SetComplianceAlert</v>
      </c>
      <c r="C512" t="str">
        <f>IFERROR(__xludf.DUMMYFUNCTION("""COMPUTED_VALUE"""),"1tHcWqzzT9x7_tjIYlb_jsMu7VunfhVIyqGIWGIXOrQE")</f>
        <v>1tHcWqzzT9x7_tjIYlb_jsMu7VunfhVIyqGIWGIXOrQE</v>
      </c>
    </row>
    <row r="513" ht="15.75" customHeight="1">
      <c r="A513" t="str">
        <f>IFERROR(__xludf.DUMMYFUNCTION("""COMPUTED_VALUE"""),"PortfolioManagement")</f>
        <v>PortfolioManagement</v>
      </c>
      <c r="B513" t="str">
        <f>IFERROR(__xludf.DUMMYFUNCTION("""COMPUTED_VALUE"""),"IncreasePositionFromPM")</f>
        <v>IncreasePositionFromPM</v>
      </c>
      <c r="C513" t="str">
        <f>IFERROR(__xludf.DUMMYFUNCTION("""COMPUTED_VALUE"""),"1eE569Brgsjqyathy0MKO50Wmj5QCDLuax0S-29Hix4A")</f>
        <v>1eE569Brgsjqyathy0MKO50Wmj5QCDLuax0S-29Hix4A</v>
      </c>
    </row>
    <row r="514" ht="15.75" customHeight="1">
      <c r="A514" t="str">
        <f>IFERROR(__xludf.DUMMYFUNCTION("""COMPUTED_VALUE"""),"TradingTicket")</f>
        <v>TradingTicket</v>
      </c>
      <c r="B514" t="str">
        <f>IFERROR(__xludf.DUMMYFUNCTION("""COMPUTED_VALUE"""),"SendLiveBloomberg")</f>
        <v>SendLiveBloomberg</v>
      </c>
      <c r="C514" t="str">
        <f>IFERROR(__xludf.DUMMYFUNCTION("""COMPUTED_VALUE"""),"1jm-Rrun0S1nkf5N9L0XR0cK07laQ4i2IyhTZ_88GUUQ")</f>
        <v>1jm-Rrun0S1nkf5N9L0XR0cK07laQ4i2IyhTZ_88GUUQ</v>
      </c>
    </row>
    <row r="515" ht="15.75" customHeight="1">
      <c r="A515" t="str">
        <f>IFERROR(__xludf.DUMMYFUNCTION("""COMPUTED_VALUE"""),"TradingTicket")</f>
        <v>TradingTicket</v>
      </c>
      <c r="B515" t="str">
        <f>IFERROR(__xludf.DUMMYFUNCTION("""COMPUTED_VALUE"""),"AddOptionTrade")</f>
        <v>AddOptionTrade</v>
      </c>
      <c r="C515" t="str">
        <f>IFERROR(__xludf.DUMMYFUNCTION("""COMPUTED_VALUE"""),"1S77RUpuNPEdRdFAsltgJ4BQ2n1UATWQLWerXZ4PXTkk")</f>
        <v>1S77RUpuNPEdRdFAsltgJ4BQ2n1UATWQLWerXZ4PXTkk</v>
      </c>
    </row>
    <row r="516" ht="15.75" customHeight="1">
      <c r="A516" t="str">
        <f>IFERROR(__xludf.DUMMYFUNCTION("""COMPUTED_VALUE"""),"Closing")</f>
        <v>Closing</v>
      </c>
      <c r="B516" t="str">
        <f>IFERROR(__xludf.DUMMYFUNCTION("""COMPUTED_VALUE"""),"AutoExercise")</f>
        <v>AutoExercise</v>
      </c>
      <c r="C516" t="str">
        <f>IFERROR(__xludf.DUMMYFUNCTION("""COMPUTED_VALUE"""),"1hfy0JEIqBV_drZcgmDPPTyHwSQxbE1sD97UL33FyUKI")</f>
        <v>1hfy0JEIqBV_drZcgmDPPTyHwSQxbE1sD97UL33FyUKI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IFERROR(__xludf.DUMMYFUNCTION("""COMPUTED_VALUE"""),"UpdateExpirationDate")</f>
        <v>UpdateExpirationDate</v>
      </c>
      <c r="C517" t="str">
        <f>IFERROR(__xludf.DUMMYFUNCTION("""COMPUTED_VALUE"""),"1dylWul81BFmbZVj_Z-Xiz11zLj_QrhKk5QXK_mf_uUE")</f>
        <v>1dylWul81BFmbZVj_Z-Xiz11zLj_QrhKk5QXK_mf_uUE</v>
      </c>
    </row>
    <row r="518" ht="15.75" customHeight="1">
      <c r="A518" t="str">
        <f>IFERROR(__xludf.DUMMYFUNCTION("""COMPUTED_VALUE"""),"PricingInput")</f>
        <v>PricingInput</v>
      </c>
      <c r="B518" t="str">
        <f>IFERROR(__xludf.DUMMYFUNCTION("""COMPUTED_VALUE"""),"UncheckDividendYield")</f>
        <v>UncheckDividendYield</v>
      </c>
      <c r="C518" t="str">
        <f>IFERROR(__xludf.DUMMYFUNCTION("""COMPUTED_VALUE"""),"1tE_B1MbYuONekKo2FJCjz81vOxEukuWLbDI84AvoR2Y")</f>
        <v>1tE_B1MbYuONekKo2FJCjz81vOxEukuWLbDI84AvoR2Y</v>
      </c>
    </row>
    <row r="519" ht="15.75" customHeight="1">
      <c r="A519" t="str">
        <f>IFERROR(__xludf.DUMMYFUNCTION("""COMPUTED_VALUE"""),"PranaClient")</f>
        <v>PranaClient</v>
      </c>
      <c r="B519" t="str">
        <f>IFERROR(__xludf.DUMMYFUNCTION("""COMPUTED_VALUE"""),"LoginClient")</f>
        <v>LoginClient</v>
      </c>
      <c r="C519" t="str">
        <f>IFERROR(__xludf.DUMMYFUNCTION("""COMPUTED_VALUE"""),"1q8zAoreC7MIeJDU3n8P82NH8qIhpvWC2BtDtEAyBLPg")</f>
        <v>1q8zAoreC7MIeJDU3n8P82NH8qIhpvWC2BtDtEAyBLPg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IFERROR(__xludf.DUMMYFUNCTION("""COMPUTED_VALUE"""),"ViewAllocation")</f>
        <v>ViewAllocation</v>
      </c>
      <c r="C520" t="str">
        <f>IFERROR(__xludf.DUMMYFUNCTION("""COMPUTED_VALUE"""),"1oyfT0NXu05XUQfzB3__UfSsQJxHsjU5EfujHM7zFMlY")</f>
        <v>1oyfT0NXu05XUQfzB3__UfSsQJxHsjU5EfujHM7zFMlY</v>
      </c>
    </row>
    <row r="521" ht="15.75" customHeight="1">
      <c r="A521" t="str">
        <f>IFERROR(__xludf.DUMMYFUNCTION("""COMPUTED_VALUE"""),"Admin")</f>
        <v>Admin</v>
      </c>
      <c r="B521" t="str">
        <f>IFERROR(__xludf.DUMMYFUNCTION("""COMPUTED_VALUE"""),"UpdateSecFee")</f>
        <v>UpdateSecFee</v>
      </c>
      <c r="C521" t="str">
        <f>IFERROR(__xludf.DUMMYFUNCTION("""COMPUTED_VALUE"""),"1ptHqTt8wfxoCZvvS0BozaQuRsKg0DRBnN_lMfrOuCt4")</f>
        <v>1ptHqTt8wfxoCZvvS0BozaQuRsKg0DRBnN_lMfrOuCt4</v>
      </c>
    </row>
    <row r="522" ht="15.75" customHeight="1">
      <c r="A522" t="str">
        <f>IFERROR(__xludf.DUMMYFUNCTION("""COMPUTED_VALUE"""),"Blotter")</f>
        <v>Blotter</v>
      </c>
      <c r="B522" t="str">
        <f>IFERROR(__xludf.DUMMYFUNCTION("""COMPUTED_VALUE"""),"AllocateFromBlotter")</f>
        <v>AllocateFromBlotter</v>
      </c>
      <c r="C522" t="str">
        <f>IFERROR(__xludf.DUMMYFUNCTION("""COMPUTED_VALUE"""),"1oly-GUleCLstbhsLqb5z_nrN6IcuRDzo7dau3mRro2g")</f>
        <v>1oly-GUleCLstbhsLqb5z_nrN6IcuRDzo7dau3mRro2g</v>
      </c>
    </row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24.29"/>
    <col customWidth="1" min="2" max="2" width="48.71"/>
    <col customWidth="1" min="3" max="23" width="14.4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1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4" max="4" width="38.4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IFERROR(__xludf.DUMMYFUNCTION("IF(C3="""","""",Transpose(IMPORTRANGE('_Settings'!$B$3,C3&amp;""!A4:A1000"")))"),"SetTTUIPreferences")</f>
        <v>SetTTUIPreferences</v>
      </c>
      <c r="C4" s="24" t="str">
        <f>IFERROR(__xludf.DUMMYFUNCTION("""COMPUTED_VALUE"""),"TTPermissionLevel")</f>
        <v>TTPermissionLevel</v>
      </c>
      <c r="D4" s="24" t="str">
        <f>IFERROR(__xludf.DUMMYFUNCTION("""COMPUTED_VALUE"""),"SetCheckSide")</f>
        <v>SetCheckSide</v>
      </c>
      <c r="E4" s="24" t="str">
        <f>IFERROR(__xludf.DUMMYFUNCTION("""COMPUTED_VALUE"""),"SetRollover")</f>
        <v>SetRollover</v>
      </c>
      <c r="F4" s="24" t="str">
        <f>IFERROR(__xludf.DUMMYFUNCTION("""COMPUTED_VALUE"""),"SetActive")</f>
        <v>SetActive</v>
      </c>
      <c r="G4" s="24" t="str">
        <f>IFERROR(__xludf.DUMMYFUNCTION("""COMPUTED_VALUE"""),"SetThirdPartyFormat")</f>
        <v>SetThirdPartyFormat</v>
      </c>
      <c r="H4" s="24" t="str">
        <f>IFERROR(__xludf.DUMMYFUNCTION("""COMPUTED_VALUE"""),"SetTradingComplianceRules")</f>
        <v>SetTradingComplianceRules</v>
      </c>
      <c r="I4" s="24" t="str">
        <f>IFERROR(__xludf.DUMMYFUNCTION("""COMPUTED_VALUE"""),"EnableBreakdownRealizedPNL")</f>
        <v>EnableBreakdownRealizedPNL</v>
      </c>
      <c r="J4" s="24" t="str">
        <f>IFERROR(__xludf.DUMMYFUNCTION("""COMPUTED_VALUE"""),"SetTTGeneralPreferences")</f>
        <v>SetTTGeneralPreferences</v>
      </c>
      <c r="K4" s="24" t="str">
        <f>IFERROR(__xludf.DUMMYFUNCTION("""COMPUTED_VALUE"""),"SetDollarAmountPermission")</f>
        <v>SetDollarAmountPermission</v>
      </c>
      <c r="L4" s="24" t="str">
        <f>IFERROR(__xludf.DUMMYFUNCTION("""COMPUTED_VALUE"""),"EnableDiableModule")</f>
        <v>EnableDiableModule</v>
      </c>
      <c r="M4" s="24" t="str">
        <f>IFERROR(__xludf.DUMMYFUNCTION("""COMPUTED_VALUE"""),"EnableDisableModule")</f>
        <v>EnableDisableModule</v>
      </c>
      <c r="N4" s="24" t="str">
        <f>IFERROR(__xludf.DUMMYFUNCTION("""COMPUTED_VALUE"""),"IsImportOverrideOnShortLocate")</f>
        <v>IsImportOverrideOnShortLocate</v>
      </c>
      <c r="O4" s="24" t="str">
        <f>IFERROR(__xludf.DUMMYFUNCTION("""COMPUTED_VALUE"""),"SetShortLocateStructures")</f>
        <v>SetShortLocateStructures</v>
      </c>
      <c r="P4" s="25" t="str">
        <f>IFERROR(__xludf.DUMMYFUNCTION("""COMPUTED_VALUE"""),"SetComplianceAlert")</f>
        <v>SetComplianceAlert</v>
      </c>
      <c r="Q4" s="25" t="str">
        <f>IFERROR(__xludf.DUMMYFUNCTION("""COMPUTED_VALUE"""),"UpdateExpirationDate")</f>
        <v>UpdateExpirationDate</v>
      </c>
      <c r="R4" s="25" t="str">
        <f>IFERROR(__xludf.DUMMYFUNCTION("""COMPUTED_VALUE"""),"UpdateSecFee")</f>
        <v>UpdateSecFee</v>
      </c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IFERROR(__xludf.DUMMYFUNCTION("""COMPUTED_VALUE"""),"isEnableModule")</f>
        <v>isEnableModule</v>
      </c>
      <c r="C5" s="27" t="str">
        <f>IFERROR(__xludf.DUMMYFUNCTION("""COMPUTED_VALUE"""),"moduleName")</f>
        <v>moduleName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30" t="b">
        <v>1</v>
      </c>
      <c r="C6" s="31" t="s">
        <v>16</v>
      </c>
      <c r="D6" s="11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3" t="b">
        <v>1</v>
      </c>
      <c r="C7" s="31" t="s">
        <v>17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33" t="b">
        <v>1</v>
      </c>
      <c r="C8" s="31" t="s">
        <v>18</v>
      </c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EnableDisableModule!$4:$4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1b5S4Xpp4fgZ1ez6cK92QFnVBylqz8jhwxdAyEvwDqUI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20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IFERROR(__xludf.DUMMYFUNCTION("""COMPUTED_VALUE"""),"TradeNewSub")</f>
        <v>TradeNewSub</v>
      </c>
      <c r="I4" s="24" t="str">
        <f>IFERROR(__xludf.DUMMYFUNCTION("""COMPUTED_VALUE"""),"CreateStageOrder")</f>
        <v>CreateStageOrder</v>
      </c>
      <c r="J4" s="24" t="str">
        <f>IFERROR(__xludf.DUMMYFUNCTION("""COMPUTED_VALUE"""),"CreateReplaceOrder")</f>
        <v>CreateReplaceOrder</v>
      </c>
      <c r="K4" s="24" t="str">
        <f>IFERROR(__xludf.DUMMYFUNCTION("""COMPUTED_VALUE"""),"SetGeneralPreference")</f>
        <v>SetGeneralPreference</v>
      </c>
      <c r="L4" s="24" t="str">
        <f>IFERROR(__xludf.DUMMYFUNCTION("""COMPUTED_VALUE"""),"CreateNewSubOrder")</f>
        <v>CreateNewSubOrder</v>
      </c>
      <c r="M4" s="24" t="str">
        <f>IFERROR(__xludf.DUMMYFUNCTION("""COMPUTED_VALUE"""),"TradeBloomberg")</f>
        <v>TradeBloomberg</v>
      </c>
      <c r="N4" s="24" t="str">
        <f>IFERROR(__xludf.DUMMYFUNCTION("""COMPUTED_VALUE"""),"ClickSymbolLookup")</f>
        <v>ClickSymbolLookup</v>
      </c>
      <c r="O4" s="24" t="str">
        <f>IFERROR(__xludf.DUMMYFUNCTION("""COMPUTED_VALUE"""),"VerifyTT")</f>
        <v>VerifyTT</v>
      </c>
      <c r="P4" s="25" t="str">
        <f>IFERROR(__xludf.DUMMYFUNCTION("""COMPUTED_VALUE"""),"CreateLiveOrder")</f>
        <v>CreateLiveOrder</v>
      </c>
      <c r="Q4" s="25" t="str">
        <f>IFERROR(__xludf.DUMMYFUNCTION("""COMPUTED_VALUE"""),"ShowMasterFundOnTT")</f>
        <v>ShowMasterFundOnTT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IFERROR(__xludf.DUMMYFUNCTION("""COMPUTED_VALUE"""),"CreateDoneAway")</f>
        <v>CreateDoneAway</v>
      </c>
      <c r="AB4" s="25" t="str">
        <f>IFERROR(__xludf.DUMMYFUNCTION("""COMPUTED_VALUE"""),"CreateDoneAwayOrder")</f>
        <v>CreateDoneAwayOrder</v>
      </c>
      <c r="AC4" s="25" t="str">
        <f>IFERROR(__xludf.DUMMYFUNCTION("""COMPUTED_VALUE"""),"SendLiveBloomberg")</f>
        <v>SendLiveBloomberg</v>
      </c>
      <c r="AD4" s="25" t="str">
        <f>IFERROR(__xludf.DUMMYFUNCTION("""COMPUTED_VALUE"""),"AddOptionTrade")</f>
        <v>AddOptionTrade</v>
      </c>
      <c r="AE4" s="25" t="str">
        <f>IFERROR(__xludf.DUMMYFUNCTION("""COMPUTED_VALUE"""),"ViewAllocation")</f>
        <v>ViewAllocation</v>
      </c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 t="str">
        <f>IFERROR(__xludf.DUMMYFUNCTION("""COMPUTED_VALUE"""),"ShortLocate")</f>
        <v>ShortLocate</v>
      </c>
      <c r="AQ5" s="29" t="str">
        <f>IFERROR(__xludf.DUMMYFUNCTION("""COMPUTED_VALUE"""),"AllowTrade")</f>
        <v>AllowTrade</v>
      </c>
      <c r="AR5" s="29" t="str">
        <f>IFERROR(__xludf.DUMMYFUNCTION("""COMPUTED_VALUE"""),"Rate(%)")</f>
        <v>Rate(%)</v>
      </c>
      <c r="AS5" s="29" t="str">
        <f>IFERROR(__xludf.DUMMYFUNCTION("""COMPUTED_VALUE"""),"SharesOutstandingPopUpQty")</f>
        <v>SharesOutstandingPopUpQty</v>
      </c>
      <c r="AT5" s="29" t="str">
        <f>IFERROR(__xludf.DUMMYFUNCTION("""COMPUTED_VALUE"""),"SharesOutstandingPopUp")</f>
        <v>SharesOutstandingPopUp</v>
      </c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4"/>
      <c r="B6" s="35" t="s">
        <v>21</v>
      </c>
      <c r="C6" s="36" t="s">
        <v>22</v>
      </c>
      <c r="D6" s="37">
        <v>100.0</v>
      </c>
      <c r="E6" s="38">
        <v>100.0</v>
      </c>
      <c r="F6" s="39"/>
      <c r="G6" s="39"/>
      <c r="H6" s="39"/>
      <c r="I6" s="39"/>
      <c r="J6" s="38">
        <v>10.0</v>
      </c>
      <c r="K6" s="39"/>
      <c r="L6" s="39"/>
      <c r="M6" s="39"/>
      <c r="N6" s="40">
        <f t="shared" ref="N6:N7" si="1">today()</f>
        <v>44483</v>
      </c>
      <c r="O6" s="39"/>
      <c r="P6" s="39"/>
      <c r="Q6" s="39"/>
      <c r="R6" s="39"/>
      <c r="S6" s="39"/>
      <c r="T6" s="41"/>
      <c r="U6" s="41"/>
      <c r="V6" s="41"/>
      <c r="W6" s="41"/>
      <c r="X6" s="41"/>
      <c r="Y6" s="41"/>
      <c r="Z6" s="41"/>
      <c r="AA6" s="41"/>
      <c r="AB6" s="41"/>
      <c r="AC6" s="41"/>
      <c r="AD6" s="41"/>
      <c r="AE6" s="41"/>
      <c r="AF6" s="41"/>
      <c r="AG6" s="41"/>
      <c r="AH6" s="41"/>
      <c r="AI6" s="41"/>
      <c r="AJ6" s="41"/>
      <c r="AK6" s="41" t="s">
        <v>23</v>
      </c>
      <c r="AL6" s="41" t="s">
        <v>24</v>
      </c>
      <c r="AM6" s="41"/>
      <c r="AN6" s="41"/>
      <c r="AP6" s="41"/>
      <c r="AQ6" s="41" t="s">
        <v>25</v>
      </c>
      <c r="AR6" s="41"/>
      <c r="AS6" s="41"/>
      <c r="AT6" s="41"/>
      <c r="AU6" s="41"/>
      <c r="AV6" s="41"/>
      <c r="AW6" s="41"/>
      <c r="AX6" s="41"/>
      <c r="AY6" s="41"/>
      <c r="AZ6" s="41"/>
      <c r="BA6" s="41"/>
      <c r="BB6" s="41"/>
      <c r="BC6" s="41"/>
      <c r="BD6" s="41"/>
      <c r="BE6" s="41"/>
      <c r="BF6" s="41"/>
      <c r="BG6" s="41"/>
      <c r="BH6" s="41"/>
      <c r="BI6" s="41"/>
      <c r="BJ6" s="41"/>
      <c r="BK6" s="41"/>
      <c r="BL6" s="41"/>
      <c r="BM6" s="41"/>
      <c r="BN6" s="41"/>
      <c r="BO6" s="41"/>
      <c r="BP6" s="41"/>
      <c r="BQ6" s="41"/>
      <c r="BR6" s="41"/>
      <c r="BS6" s="41"/>
      <c r="BT6" s="41"/>
      <c r="BU6" s="41"/>
      <c r="BV6" s="41"/>
      <c r="BW6" s="41"/>
      <c r="BX6" s="41"/>
      <c r="BY6" s="41"/>
      <c r="BZ6" s="41"/>
      <c r="CA6" s="41"/>
      <c r="CB6" s="41"/>
      <c r="CC6" s="41"/>
      <c r="CD6" s="41"/>
      <c r="CE6" s="41"/>
      <c r="CF6" s="41"/>
      <c r="CG6" s="41"/>
      <c r="CH6" s="41"/>
      <c r="CI6" s="41"/>
      <c r="CJ6" s="41"/>
      <c r="CK6" s="41"/>
      <c r="CL6" s="41"/>
      <c r="CM6" s="41"/>
      <c r="CN6" s="41"/>
      <c r="CO6" s="41"/>
      <c r="CP6" s="41"/>
      <c r="CQ6" s="41"/>
      <c r="CR6" s="41"/>
      <c r="CS6" s="41"/>
      <c r="CT6" s="41"/>
      <c r="CU6" s="41"/>
      <c r="CV6" s="41"/>
      <c r="CW6" s="41"/>
      <c r="CX6" s="41"/>
      <c r="CY6" s="41"/>
      <c r="CZ6" s="41"/>
      <c r="DA6" s="41"/>
      <c r="DB6" s="41"/>
      <c r="DC6" s="41"/>
      <c r="DD6" s="41"/>
      <c r="DE6" s="41"/>
      <c r="DF6" s="41"/>
      <c r="DG6" s="41"/>
      <c r="DH6" s="41"/>
      <c r="DI6" s="41"/>
      <c r="DJ6" s="41"/>
      <c r="DK6" s="41"/>
      <c r="DL6" s="41"/>
      <c r="DM6" s="41"/>
      <c r="DN6" s="41"/>
      <c r="DO6" s="41"/>
      <c r="DP6" s="41"/>
      <c r="DQ6" s="41"/>
      <c r="DR6" s="41"/>
      <c r="DS6" s="41"/>
      <c r="DT6" s="41"/>
      <c r="DU6" s="41"/>
      <c r="DV6" s="41"/>
      <c r="DW6" s="41"/>
      <c r="DX6" s="41"/>
      <c r="DY6" s="41"/>
      <c r="DZ6" s="41"/>
      <c r="EA6" s="41"/>
      <c r="EB6" s="41"/>
      <c r="EC6" s="41"/>
      <c r="ED6" s="41"/>
      <c r="EE6" s="41"/>
      <c r="EF6" s="41"/>
      <c r="EG6" s="41"/>
      <c r="EH6" s="41"/>
      <c r="EI6" s="41"/>
      <c r="EJ6" s="41"/>
      <c r="EK6" s="41"/>
      <c r="EL6" s="41"/>
      <c r="EM6" s="41"/>
      <c r="EN6" s="41"/>
      <c r="EO6" s="41"/>
      <c r="EP6" s="41"/>
      <c r="EQ6" s="41"/>
      <c r="ER6" s="41"/>
      <c r="ES6" s="41"/>
      <c r="ET6" s="41"/>
      <c r="EU6" s="41"/>
      <c r="EV6" s="41"/>
      <c r="EW6" s="41"/>
      <c r="EX6" s="41"/>
    </row>
    <row r="7" ht="15.75" customHeight="1">
      <c r="A7" s="41"/>
      <c r="B7" s="42" t="s">
        <v>26</v>
      </c>
      <c r="C7" s="42" t="s">
        <v>22</v>
      </c>
      <c r="D7" s="43">
        <v>100.0</v>
      </c>
      <c r="E7" s="43">
        <v>100.0</v>
      </c>
      <c r="F7" s="41"/>
      <c r="G7" s="41"/>
      <c r="H7" s="41"/>
      <c r="I7" s="41"/>
      <c r="J7" s="43">
        <v>10.0</v>
      </c>
      <c r="K7" s="41"/>
      <c r="L7" s="41"/>
      <c r="M7" s="41"/>
      <c r="N7" s="44">
        <f t="shared" si="1"/>
        <v>44483</v>
      </c>
      <c r="O7" s="41"/>
      <c r="P7" s="41"/>
      <c r="Q7" s="41"/>
      <c r="R7" s="41"/>
      <c r="S7" s="41"/>
      <c r="T7" s="41"/>
      <c r="U7" s="41"/>
      <c r="V7" s="41"/>
      <c r="W7" s="41"/>
      <c r="X7" s="41"/>
      <c r="Y7" s="41"/>
      <c r="Z7" s="41"/>
      <c r="AA7" s="41"/>
      <c r="AB7" s="41"/>
      <c r="AC7" s="41"/>
      <c r="AD7" s="41"/>
      <c r="AE7" s="41"/>
      <c r="AF7" s="41"/>
      <c r="AG7" s="41"/>
      <c r="AH7" s="41"/>
      <c r="AI7" s="41"/>
      <c r="AJ7" s="41"/>
      <c r="AK7" s="41" t="s">
        <v>23</v>
      </c>
      <c r="AL7" s="41" t="s">
        <v>24</v>
      </c>
      <c r="AM7" s="41"/>
      <c r="AN7" s="41"/>
      <c r="AP7" s="41"/>
      <c r="AQ7" s="41" t="s">
        <v>25</v>
      </c>
      <c r="AR7" s="41"/>
      <c r="AS7" s="41"/>
      <c r="AT7" s="41"/>
      <c r="AU7" s="41"/>
      <c r="AV7" s="41"/>
      <c r="AW7" s="41"/>
      <c r="AX7" s="41"/>
      <c r="AY7" s="41"/>
      <c r="AZ7" s="41"/>
      <c r="BA7" s="41"/>
      <c r="BB7" s="41"/>
      <c r="BC7" s="41"/>
      <c r="BD7" s="41"/>
      <c r="BE7" s="41"/>
      <c r="BF7" s="41"/>
      <c r="BG7" s="41"/>
      <c r="BH7" s="41"/>
      <c r="BI7" s="41"/>
      <c r="BJ7" s="41"/>
      <c r="BK7" s="41"/>
      <c r="BL7" s="41"/>
      <c r="BM7" s="41"/>
      <c r="BN7" s="41"/>
      <c r="BO7" s="41"/>
      <c r="BP7" s="41"/>
      <c r="BQ7" s="41"/>
      <c r="BR7" s="41"/>
      <c r="BS7" s="41"/>
      <c r="BT7" s="41"/>
      <c r="BU7" s="41"/>
      <c r="BV7" s="41"/>
      <c r="BW7" s="41"/>
      <c r="BX7" s="41"/>
      <c r="BY7" s="41"/>
      <c r="BZ7" s="41"/>
      <c r="CA7" s="41"/>
      <c r="CB7" s="41"/>
      <c r="CC7" s="41"/>
      <c r="CD7" s="41"/>
      <c r="CE7" s="41"/>
      <c r="CF7" s="41"/>
      <c r="CG7" s="41"/>
      <c r="CH7" s="41"/>
      <c r="CI7" s="41"/>
      <c r="CJ7" s="41"/>
      <c r="CK7" s="41"/>
      <c r="CL7" s="41"/>
      <c r="CM7" s="41"/>
      <c r="CN7" s="41"/>
      <c r="CO7" s="41"/>
      <c r="CP7" s="41"/>
      <c r="CQ7" s="41"/>
      <c r="CR7" s="41"/>
      <c r="CS7" s="41"/>
      <c r="CT7" s="41"/>
      <c r="CU7" s="41"/>
      <c r="CV7" s="41"/>
      <c r="CW7" s="41"/>
      <c r="CX7" s="41"/>
      <c r="CY7" s="41"/>
      <c r="CZ7" s="41"/>
      <c r="DA7" s="41"/>
      <c r="DB7" s="41"/>
      <c r="DC7" s="41"/>
      <c r="DD7" s="41"/>
      <c r="DE7" s="41"/>
      <c r="DF7" s="41"/>
      <c r="DG7" s="41"/>
      <c r="DH7" s="41"/>
      <c r="DI7" s="41"/>
      <c r="DJ7" s="41"/>
      <c r="DK7" s="41"/>
      <c r="DL7" s="41"/>
      <c r="DM7" s="41"/>
      <c r="DN7" s="41"/>
      <c r="DO7" s="41"/>
      <c r="DP7" s="41"/>
      <c r="DQ7" s="41"/>
      <c r="DR7" s="41"/>
      <c r="DS7" s="41"/>
      <c r="DT7" s="41"/>
      <c r="DU7" s="41"/>
      <c r="DV7" s="41"/>
      <c r="DW7" s="41"/>
      <c r="DX7" s="41"/>
      <c r="DY7" s="41"/>
      <c r="DZ7" s="41"/>
      <c r="EA7" s="41"/>
      <c r="EB7" s="41"/>
      <c r="EC7" s="41"/>
      <c r="ED7" s="41"/>
      <c r="EE7" s="41"/>
      <c r="EF7" s="41"/>
      <c r="EG7" s="41"/>
      <c r="EH7" s="41"/>
      <c r="EI7" s="41"/>
      <c r="EJ7" s="41"/>
      <c r="EK7" s="41"/>
      <c r="EL7" s="41"/>
      <c r="EM7" s="41"/>
      <c r="EN7" s="41"/>
      <c r="EO7" s="41"/>
      <c r="EP7" s="41"/>
      <c r="EQ7" s="41"/>
      <c r="ER7" s="41"/>
      <c r="ES7" s="41"/>
      <c r="ET7" s="41"/>
      <c r="EU7" s="41"/>
      <c r="EV7" s="41"/>
      <c r="EW7" s="41"/>
      <c r="EX7" s="41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CreateLiveOrder!$4:$4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27</v>
      </c>
      <c r="D3" s="5" t="s">
        <v>9</v>
      </c>
      <c r="E3" s="22" t="s">
        <v>28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4"/>
      <c r="B6" s="35" t="s">
        <v>22</v>
      </c>
      <c r="C6" s="36" t="s">
        <v>21</v>
      </c>
      <c r="D6" s="45"/>
      <c r="E6" s="39"/>
      <c r="F6" s="39"/>
      <c r="G6" s="38">
        <v>100.0</v>
      </c>
      <c r="H6" s="39"/>
      <c r="I6" s="39"/>
      <c r="J6" s="39"/>
      <c r="K6" s="39"/>
      <c r="L6" s="39"/>
      <c r="M6" s="39"/>
      <c r="N6" s="39"/>
      <c r="O6" s="39"/>
      <c r="P6" s="39"/>
      <c r="Q6" s="39"/>
      <c r="R6" s="39"/>
      <c r="S6" s="39"/>
      <c r="T6" s="41"/>
      <c r="U6" s="41"/>
      <c r="V6" s="41"/>
      <c r="W6" s="41"/>
      <c r="X6" s="41"/>
      <c r="Y6" s="41"/>
      <c r="Z6" s="41"/>
      <c r="AA6" s="41"/>
      <c r="AB6" s="41"/>
      <c r="AC6" s="41"/>
      <c r="AD6" s="41"/>
      <c r="AE6" s="41"/>
      <c r="AF6" s="41"/>
      <c r="AG6" s="41"/>
      <c r="AH6" s="41"/>
      <c r="AI6" s="41"/>
      <c r="AJ6" s="41"/>
      <c r="AK6" s="41"/>
      <c r="AL6" s="41"/>
      <c r="AM6" s="41"/>
      <c r="AN6" s="41"/>
      <c r="AO6" s="41"/>
      <c r="AP6" s="41"/>
      <c r="AQ6" s="41"/>
      <c r="AR6" s="41"/>
      <c r="AS6" s="41"/>
      <c r="AT6" s="41"/>
      <c r="AU6" s="41"/>
      <c r="AV6" s="41"/>
      <c r="AW6" s="41"/>
      <c r="AX6" s="41"/>
      <c r="AY6" s="41"/>
      <c r="AZ6" s="41"/>
      <c r="BA6" s="41"/>
      <c r="BB6" s="41"/>
      <c r="BC6" s="41"/>
      <c r="BD6" s="41"/>
      <c r="BE6" s="41"/>
      <c r="BF6" s="41"/>
      <c r="BG6" s="41"/>
      <c r="BH6" s="41"/>
      <c r="BI6" s="41"/>
      <c r="BJ6" s="41"/>
      <c r="BK6" s="41"/>
      <c r="BL6" s="41"/>
      <c r="BM6" s="41"/>
      <c r="BN6" s="41"/>
      <c r="BO6" s="41"/>
      <c r="BP6" s="41"/>
      <c r="BQ6" s="41"/>
      <c r="BR6" s="41"/>
      <c r="BS6" s="41"/>
      <c r="BT6" s="41"/>
      <c r="BU6" s="41"/>
      <c r="BV6" s="41"/>
      <c r="BW6" s="41"/>
      <c r="BX6" s="41"/>
      <c r="BY6" s="41"/>
      <c r="BZ6" s="41"/>
      <c r="CA6" s="41"/>
      <c r="CB6" s="41"/>
      <c r="CC6" s="41"/>
      <c r="CD6" s="41"/>
      <c r="CE6" s="41"/>
      <c r="CF6" s="41"/>
      <c r="CG6" s="41"/>
      <c r="CH6" s="41"/>
      <c r="CI6" s="41"/>
      <c r="CJ6" s="41"/>
      <c r="CK6" s="41"/>
      <c r="CL6" s="41"/>
      <c r="CM6" s="41"/>
      <c r="CN6" s="41"/>
      <c r="CO6" s="41"/>
      <c r="CP6" s="41"/>
      <c r="CQ6" s="41"/>
      <c r="CR6" s="41"/>
      <c r="CS6" s="41"/>
      <c r="CT6" s="41"/>
      <c r="CU6" s="41"/>
      <c r="CV6" s="41"/>
      <c r="CW6" s="41"/>
      <c r="CX6" s="41"/>
      <c r="CY6" s="41"/>
      <c r="CZ6" s="41"/>
      <c r="DA6" s="41"/>
      <c r="DB6" s="41"/>
      <c r="DC6" s="41"/>
      <c r="DD6" s="41"/>
      <c r="DE6" s="41"/>
      <c r="DF6" s="41"/>
      <c r="DG6" s="41"/>
      <c r="DH6" s="41"/>
      <c r="DI6" s="41"/>
      <c r="DJ6" s="41"/>
      <c r="DK6" s="41"/>
      <c r="DL6" s="41"/>
      <c r="DM6" s="41"/>
      <c r="DN6" s="41"/>
      <c r="DO6" s="41"/>
      <c r="DP6" s="41"/>
      <c r="DQ6" s="41"/>
      <c r="DR6" s="41"/>
      <c r="DS6" s="41"/>
      <c r="DT6" s="41"/>
      <c r="DU6" s="41"/>
      <c r="DV6" s="41"/>
      <c r="DW6" s="41"/>
      <c r="DX6" s="41"/>
      <c r="DY6" s="41"/>
      <c r="DZ6" s="41"/>
      <c r="EA6" s="41"/>
      <c r="EB6" s="41"/>
      <c r="EC6" s="41"/>
      <c r="ED6" s="41"/>
      <c r="EE6" s="41"/>
      <c r="EF6" s="41"/>
      <c r="EG6" s="41"/>
      <c r="EH6" s="41"/>
      <c r="EI6" s="41"/>
      <c r="EJ6" s="41"/>
      <c r="EK6" s="41"/>
      <c r="EL6" s="41"/>
      <c r="EM6" s="41"/>
      <c r="EN6" s="41"/>
      <c r="EO6" s="41"/>
      <c r="EP6" s="41"/>
      <c r="EQ6" s="41"/>
      <c r="ER6" s="41"/>
      <c r="ES6" s="41"/>
      <c r="ET6" s="41"/>
      <c r="EU6" s="41"/>
      <c r="EV6" s="41"/>
      <c r="EW6" s="41"/>
      <c r="EX6" s="4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27</v>
      </c>
      <c r="D3" s="5" t="s">
        <v>9</v>
      </c>
      <c r="E3" s="22" t="s">
        <v>29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4"/>
      <c r="B6" s="35" t="s">
        <v>22</v>
      </c>
      <c r="C6" s="36" t="s">
        <v>21</v>
      </c>
      <c r="D6" s="45"/>
      <c r="E6" s="39"/>
      <c r="F6" s="39"/>
      <c r="G6" s="38">
        <v>100.0</v>
      </c>
      <c r="H6" s="39"/>
      <c r="I6" s="39"/>
      <c r="J6" s="39"/>
      <c r="K6" s="39"/>
      <c r="L6" s="39"/>
      <c r="M6" s="39"/>
      <c r="N6" s="39"/>
      <c r="O6" s="39"/>
      <c r="P6" s="39"/>
      <c r="Q6" s="39"/>
      <c r="R6" s="39"/>
      <c r="S6" s="39"/>
      <c r="T6" s="41"/>
      <c r="U6" s="41"/>
      <c r="V6" s="41"/>
      <c r="W6" s="41"/>
      <c r="X6" s="41"/>
      <c r="Y6" s="41"/>
      <c r="Z6" s="41"/>
      <c r="AA6" s="41"/>
      <c r="AB6" s="41"/>
      <c r="AC6" s="41"/>
      <c r="AD6" s="41"/>
      <c r="AE6" s="41"/>
      <c r="AF6" s="41"/>
      <c r="AG6" s="41"/>
      <c r="AH6" s="41"/>
      <c r="AI6" s="41"/>
      <c r="AJ6" s="41"/>
      <c r="AK6" s="41"/>
      <c r="AL6" s="41"/>
      <c r="AM6" s="41"/>
      <c r="AN6" s="41"/>
      <c r="AO6" s="41"/>
      <c r="AP6" s="41"/>
      <c r="AQ6" s="41"/>
      <c r="AR6" s="41"/>
      <c r="AS6" s="41"/>
      <c r="AT6" s="41"/>
      <c r="AU6" s="41"/>
      <c r="AV6" s="41"/>
      <c r="AW6" s="41"/>
      <c r="AX6" s="41"/>
      <c r="AY6" s="41"/>
      <c r="AZ6" s="41"/>
      <c r="BA6" s="41"/>
      <c r="BB6" s="41"/>
      <c r="BC6" s="41"/>
      <c r="BD6" s="41"/>
      <c r="BE6" s="41"/>
      <c r="BF6" s="41"/>
      <c r="BG6" s="41"/>
      <c r="BH6" s="41"/>
      <c r="BI6" s="41"/>
      <c r="BJ6" s="41"/>
      <c r="BK6" s="41"/>
      <c r="BL6" s="41"/>
      <c r="BM6" s="41"/>
      <c r="BN6" s="41"/>
      <c r="BO6" s="41"/>
      <c r="BP6" s="41"/>
      <c r="BQ6" s="41"/>
      <c r="BR6" s="41"/>
      <c r="BS6" s="41"/>
      <c r="BT6" s="41"/>
      <c r="BU6" s="41"/>
      <c r="BV6" s="41"/>
      <c r="BW6" s="41"/>
      <c r="BX6" s="41"/>
      <c r="BY6" s="41"/>
      <c r="BZ6" s="41"/>
      <c r="CA6" s="41"/>
      <c r="CB6" s="41"/>
      <c r="CC6" s="41"/>
      <c r="CD6" s="41"/>
      <c r="CE6" s="41"/>
      <c r="CF6" s="41"/>
      <c r="CG6" s="41"/>
      <c r="CH6" s="41"/>
      <c r="CI6" s="41"/>
      <c r="CJ6" s="41"/>
      <c r="CK6" s="41"/>
      <c r="CL6" s="41"/>
      <c r="CM6" s="41"/>
      <c r="CN6" s="41"/>
      <c r="CO6" s="41"/>
      <c r="CP6" s="41"/>
      <c r="CQ6" s="41"/>
      <c r="CR6" s="41"/>
      <c r="CS6" s="41"/>
      <c r="CT6" s="41"/>
      <c r="CU6" s="41"/>
      <c r="CV6" s="41"/>
      <c r="CW6" s="41"/>
      <c r="CX6" s="41"/>
      <c r="CY6" s="41"/>
      <c r="CZ6" s="41"/>
      <c r="DA6" s="41"/>
      <c r="DB6" s="41"/>
      <c r="DC6" s="41"/>
      <c r="DD6" s="41"/>
      <c r="DE6" s="41"/>
      <c r="DF6" s="41"/>
      <c r="DG6" s="41"/>
      <c r="DH6" s="41"/>
      <c r="DI6" s="41"/>
      <c r="DJ6" s="41"/>
      <c r="DK6" s="41"/>
      <c r="DL6" s="41"/>
      <c r="DM6" s="41"/>
      <c r="DN6" s="41"/>
      <c r="DO6" s="41"/>
      <c r="DP6" s="41"/>
      <c r="DQ6" s="41"/>
      <c r="DR6" s="41"/>
      <c r="DS6" s="41"/>
      <c r="DT6" s="41"/>
      <c r="DU6" s="41"/>
      <c r="DV6" s="41"/>
      <c r="DW6" s="41"/>
      <c r="DX6" s="41"/>
      <c r="DY6" s="41"/>
      <c r="DZ6" s="41"/>
      <c r="EA6" s="41"/>
      <c r="EB6" s="41"/>
      <c r="EC6" s="41"/>
      <c r="ED6" s="41"/>
      <c r="EE6" s="41"/>
      <c r="EF6" s="41"/>
      <c r="EG6" s="41"/>
      <c r="EH6" s="41"/>
      <c r="EI6" s="41"/>
      <c r="EJ6" s="41"/>
      <c r="EK6" s="41"/>
      <c r="EL6" s="41"/>
      <c r="EM6" s="41"/>
      <c r="EN6" s="41"/>
      <c r="EO6" s="41"/>
      <c r="EP6" s="41"/>
      <c r="EQ6" s="41"/>
      <c r="ER6" s="41"/>
      <c r="ES6" s="41"/>
      <c r="ET6" s="41"/>
      <c r="EU6" s="41"/>
      <c r="EV6" s="41"/>
      <c r="EW6" s="41"/>
      <c r="EX6" s="4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AcknowledgeTrade!$4:$4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27</v>
      </c>
      <c r="D3" s="5" t="s">
        <v>9</v>
      </c>
      <c r="E3" s="22" t="s">
        <v>30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IFERROR(__xludf.DUMMYFUNCTION("""COMPUTED_VALUE"""),"Price")</f>
        <v>Price</v>
      </c>
      <c r="C5" s="27" t="str">
        <f>IFERROR(__xludf.DUMMYFUNCTION("""COMPUTED_VALUE"""),"Shares")</f>
        <v>Shares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>
        <v>10.0</v>
      </c>
      <c r="C6" s="11">
        <v>50.0</v>
      </c>
      <c r="D6" s="11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ExecuteTrade!$4:$4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27</v>
      </c>
      <c r="D3" s="5" t="s">
        <v>9</v>
      </c>
      <c r="E3" s="22" t="s">
        <v>28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4"/>
      <c r="B6" s="35" t="s">
        <v>22</v>
      </c>
      <c r="C6" s="46" t="s">
        <v>26</v>
      </c>
      <c r="D6" s="45"/>
      <c r="E6" s="39"/>
      <c r="F6" s="39"/>
      <c r="G6" s="38">
        <v>100.0</v>
      </c>
      <c r="H6" s="39"/>
      <c r="I6" s="39"/>
      <c r="J6" s="39"/>
      <c r="K6" s="39"/>
      <c r="L6" s="39"/>
      <c r="M6" s="39"/>
      <c r="N6" s="39"/>
      <c r="O6" s="39"/>
      <c r="P6" s="39"/>
      <c r="Q6" s="39"/>
      <c r="R6" s="39"/>
      <c r="S6" s="39"/>
      <c r="T6" s="41"/>
      <c r="U6" s="41"/>
      <c r="V6" s="41"/>
      <c r="W6" s="41"/>
      <c r="X6" s="41"/>
      <c r="Y6" s="41"/>
      <c r="Z6" s="41"/>
      <c r="AA6" s="41"/>
      <c r="AB6" s="41"/>
      <c r="AC6" s="41"/>
      <c r="AD6" s="41"/>
      <c r="AE6" s="41"/>
      <c r="AF6" s="41"/>
      <c r="AG6" s="41"/>
      <c r="AH6" s="41"/>
      <c r="AI6" s="41"/>
      <c r="AJ6" s="41"/>
      <c r="AK6" s="41"/>
      <c r="AL6" s="41"/>
      <c r="AM6" s="41"/>
      <c r="AN6" s="41"/>
      <c r="AO6" s="41"/>
      <c r="AP6" s="41"/>
      <c r="AQ6" s="41"/>
      <c r="AR6" s="41"/>
      <c r="AS6" s="41"/>
      <c r="AT6" s="41"/>
      <c r="AU6" s="41"/>
      <c r="AV6" s="41"/>
      <c r="AW6" s="41"/>
      <c r="AX6" s="41"/>
      <c r="AY6" s="41"/>
      <c r="AZ6" s="41"/>
      <c r="BA6" s="41"/>
      <c r="BB6" s="41"/>
      <c r="BC6" s="41"/>
      <c r="BD6" s="41"/>
      <c r="BE6" s="41"/>
      <c r="BF6" s="41"/>
      <c r="BG6" s="41"/>
      <c r="BH6" s="41"/>
      <c r="BI6" s="41"/>
      <c r="BJ6" s="41"/>
      <c r="BK6" s="41"/>
      <c r="BL6" s="41"/>
      <c r="BM6" s="41"/>
      <c r="BN6" s="41"/>
      <c r="BO6" s="41"/>
      <c r="BP6" s="41"/>
      <c r="BQ6" s="41"/>
      <c r="BR6" s="41"/>
      <c r="BS6" s="41"/>
      <c r="BT6" s="41"/>
      <c r="BU6" s="41"/>
      <c r="BV6" s="41"/>
      <c r="BW6" s="41"/>
      <c r="BX6" s="41"/>
      <c r="BY6" s="41"/>
      <c r="BZ6" s="41"/>
      <c r="CA6" s="41"/>
      <c r="CB6" s="41"/>
      <c r="CC6" s="41"/>
      <c r="CD6" s="41"/>
      <c r="CE6" s="41"/>
      <c r="CF6" s="41"/>
      <c r="CG6" s="41"/>
      <c r="CH6" s="41"/>
      <c r="CI6" s="41"/>
      <c r="CJ6" s="41"/>
      <c r="CK6" s="41"/>
      <c r="CL6" s="41"/>
      <c r="CM6" s="41"/>
      <c r="CN6" s="41"/>
      <c r="CO6" s="41"/>
      <c r="CP6" s="41"/>
      <c r="CQ6" s="41"/>
      <c r="CR6" s="41"/>
      <c r="CS6" s="41"/>
      <c r="CT6" s="41"/>
      <c r="CU6" s="41"/>
      <c r="CV6" s="41"/>
      <c r="CW6" s="41"/>
      <c r="CX6" s="41"/>
      <c r="CY6" s="41"/>
      <c r="CZ6" s="41"/>
      <c r="DA6" s="41"/>
      <c r="DB6" s="41"/>
      <c r="DC6" s="41"/>
      <c r="DD6" s="41"/>
      <c r="DE6" s="41"/>
      <c r="DF6" s="41"/>
      <c r="DG6" s="41"/>
      <c r="DH6" s="41"/>
      <c r="DI6" s="41"/>
      <c r="DJ6" s="41"/>
      <c r="DK6" s="41"/>
      <c r="DL6" s="41"/>
      <c r="DM6" s="41"/>
      <c r="DN6" s="41"/>
      <c r="DO6" s="41"/>
      <c r="DP6" s="41"/>
      <c r="DQ6" s="41"/>
      <c r="DR6" s="41"/>
      <c r="DS6" s="41"/>
      <c r="DT6" s="41"/>
      <c r="DU6" s="41"/>
      <c r="DV6" s="41"/>
      <c r="DW6" s="41"/>
      <c r="DX6" s="41"/>
      <c r="DY6" s="41"/>
      <c r="DZ6" s="41"/>
      <c r="EA6" s="41"/>
      <c r="EB6" s="41"/>
      <c r="EC6" s="41"/>
      <c r="ED6" s="41"/>
      <c r="EE6" s="41"/>
      <c r="EF6" s="41"/>
      <c r="EG6" s="41"/>
      <c r="EH6" s="41"/>
      <c r="EI6" s="41"/>
      <c r="EJ6" s="41"/>
      <c r="EK6" s="41"/>
      <c r="EL6" s="41"/>
      <c r="EM6" s="41"/>
      <c r="EN6" s="41"/>
      <c r="EO6" s="41"/>
      <c r="EP6" s="41"/>
      <c r="EQ6" s="41"/>
      <c r="ER6" s="41"/>
      <c r="ES6" s="41"/>
      <c r="ET6" s="41"/>
      <c r="EU6" s="41"/>
      <c r="EV6" s="41"/>
      <c r="EW6" s="41"/>
      <c r="EX6" s="4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SelectTrade1!$4:$4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27</v>
      </c>
      <c r="D3" s="5" t="s">
        <v>9</v>
      </c>
      <c r="E3" s="22" t="s">
        <v>29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4"/>
      <c r="B6" s="35" t="s">
        <v>22</v>
      </c>
      <c r="C6" s="46" t="s">
        <v>26</v>
      </c>
      <c r="D6" s="45"/>
      <c r="E6" s="39"/>
      <c r="F6" s="39"/>
      <c r="G6" s="38">
        <v>100.0</v>
      </c>
      <c r="H6" s="39"/>
      <c r="I6" s="39"/>
      <c r="J6" s="39"/>
      <c r="K6" s="39"/>
      <c r="L6" s="39"/>
      <c r="M6" s="39"/>
      <c r="N6" s="39"/>
      <c r="O6" s="39"/>
      <c r="P6" s="39"/>
      <c r="Q6" s="39"/>
      <c r="R6" s="39"/>
      <c r="S6" s="39"/>
      <c r="T6" s="41"/>
      <c r="U6" s="41"/>
      <c r="V6" s="41"/>
      <c r="W6" s="41"/>
      <c r="X6" s="41"/>
      <c r="Y6" s="41"/>
      <c r="Z6" s="41"/>
      <c r="AA6" s="41"/>
      <c r="AB6" s="41"/>
      <c r="AC6" s="41"/>
      <c r="AD6" s="41"/>
      <c r="AE6" s="41"/>
      <c r="AF6" s="41"/>
      <c r="AG6" s="41"/>
      <c r="AH6" s="41"/>
      <c r="AI6" s="41"/>
      <c r="AJ6" s="41"/>
      <c r="AK6" s="41"/>
      <c r="AL6" s="41"/>
      <c r="AM6" s="41"/>
      <c r="AN6" s="41"/>
      <c r="AO6" s="41"/>
      <c r="AP6" s="41"/>
      <c r="AQ6" s="41"/>
      <c r="AR6" s="41"/>
      <c r="AS6" s="41"/>
      <c r="AT6" s="41"/>
      <c r="AU6" s="41"/>
      <c r="AV6" s="41"/>
      <c r="AW6" s="41"/>
      <c r="AX6" s="41"/>
      <c r="AY6" s="41"/>
      <c r="AZ6" s="41"/>
      <c r="BA6" s="41"/>
      <c r="BB6" s="41"/>
      <c r="BC6" s="41"/>
      <c r="BD6" s="41"/>
      <c r="BE6" s="41"/>
      <c r="BF6" s="41"/>
      <c r="BG6" s="41"/>
      <c r="BH6" s="41"/>
      <c r="BI6" s="41"/>
      <c r="BJ6" s="41"/>
      <c r="BK6" s="41"/>
      <c r="BL6" s="41"/>
      <c r="BM6" s="41"/>
      <c r="BN6" s="41"/>
      <c r="BO6" s="41"/>
      <c r="BP6" s="41"/>
      <c r="BQ6" s="41"/>
      <c r="BR6" s="41"/>
      <c r="BS6" s="41"/>
      <c r="BT6" s="41"/>
      <c r="BU6" s="41"/>
      <c r="BV6" s="41"/>
      <c r="BW6" s="41"/>
      <c r="BX6" s="41"/>
      <c r="BY6" s="41"/>
      <c r="BZ6" s="41"/>
      <c r="CA6" s="41"/>
      <c r="CB6" s="41"/>
      <c r="CC6" s="41"/>
      <c r="CD6" s="41"/>
      <c r="CE6" s="41"/>
      <c r="CF6" s="41"/>
      <c r="CG6" s="41"/>
      <c r="CH6" s="41"/>
      <c r="CI6" s="41"/>
      <c r="CJ6" s="41"/>
      <c r="CK6" s="41"/>
      <c r="CL6" s="41"/>
      <c r="CM6" s="41"/>
      <c r="CN6" s="41"/>
      <c r="CO6" s="41"/>
      <c r="CP6" s="41"/>
      <c r="CQ6" s="41"/>
      <c r="CR6" s="41"/>
      <c r="CS6" s="41"/>
      <c r="CT6" s="41"/>
      <c r="CU6" s="41"/>
      <c r="CV6" s="41"/>
      <c r="CW6" s="41"/>
      <c r="CX6" s="41"/>
      <c r="CY6" s="41"/>
      <c r="CZ6" s="41"/>
      <c r="DA6" s="41"/>
      <c r="DB6" s="41"/>
      <c r="DC6" s="41"/>
      <c r="DD6" s="41"/>
      <c r="DE6" s="41"/>
      <c r="DF6" s="41"/>
      <c r="DG6" s="41"/>
      <c r="DH6" s="41"/>
      <c r="DI6" s="41"/>
      <c r="DJ6" s="41"/>
      <c r="DK6" s="41"/>
      <c r="DL6" s="41"/>
      <c r="DM6" s="41"/>
      <c r="DN6" s="41"/>
      <c r="DO6" s="41"/>
      <c r="DP6" s="41"/>
      <c r="DQ6" s="41"/>
      <c r="DR6" s="41"/>
      <c r="DS6" s="41"/>
      <c r="DT6" s="41"/>
      <c r="DU6" s="41"/>
      <c r="DV6" s="41"/>
      <c r="DW6" s="41"/>
      <c r="DX6" s="41"/>
      <c r="DY6" s="41"/>
      <c r="DZ6" s="41"/>
      <c r="EA6" s="41"/>
      <c r="EB6" s="41"/>
      <c r="EC6" s="41"/>
      <c r="ED6" s="41"/>
      <c r="EE6" s="41"/>
      <c r="EF6" s="41"/>
      <c r="EG6" s="41"/>
      <c r="EH6" s="41"/>
      <c r="EI6" s="41"/>
      <c r="EJ6" s="41"/>
      <c r="EK6" s="41"/>
      <c r="EL6" s="41"/>
      <c r="EM6" s="41"/>
      <c r="EN6" s="41"/>
      <c r="EO6" s="41"/>
      <c r="EP6" s="41"/>
      <c r="EQ6" s="41"/>
      <c r="ER6" s="41"/>
      <c r="ES6" s="41"/>
      <c r="ET6" s="41"/>
      <c r="EU6" s="41"/>
      <c r="EV6" s="41"/>
      <c r="EW6" s="41"/>
      <c r="EX6" s="4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AcknowledgeTrade1!$4:$4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31</v>
      </c>
      <c r="D3" s="5" t="s">
        <v>9</v>
      </c>
      <c r="E3" s="22" t="s">
        <v>32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IFERROR(__xludf.DUMMYFUNCTION("""COMPUTED_VALUE"""),"OpenBlotter")</f>
        <v>OpenBlotter</v>
      </c>
      <c r="AW4" s="25" t="str">
        <f>IFERROR(__xludf.DUMMYFUNCTION("""COMPUTED_VALUE"""),"RemoveManualExecution")</f>
        <v>RemoveManualExecution</v>
      </c>
      <c r="AX4" s="25" t="str">
        <f>IFERROR(__xludf.DUMMYFUNCTION("""COMPUTED_VALUE"""),"RemoveExecutionWorkingSubs")</f>
        <v>RemoveExecutionWorkingSubs</v>
      </c>
      <c r="AY4" s="25" t="str">
        <f>IFERROR(__xludf.DUMMYFUNCTION("""COMPUTED_VALUE"""),"GetExecutionReportOrders")</f>
        <v>GetExecutionReportOrders</v>
      </c>
      <c r="AZ4" s="25" t="str">
        <f>IFERROR(__xludf.DUMMYFUNCTION("""COMPUTED_VALUE"""),"GetExecutionReportDetails")</f>
        <v>GetExecutionReportDetails</v>
      </c>
      <c r="BA4" s="25" t="str">
        <f>IFERROR(__xludf.DUMMYFUNCTION("""COMPUTED_VALUE"""),"ExportExecutionReportData")</f>
        <v>ExportExecutionReportData</v>
      </c>
      <c r="BB4" s="25" t="str">
        <f>IFERROR(__xludf.DUMMYFUNCTION("""COMPUTED_VALUE"""),"VerifyExecutionReport")</f>
        <v>VerifyExecutionReport</v>
      </c>
      <c r="BC4" s="25" t="str">
        <f>IFERROR(__xludf.DUMMYFUNCTION("""COMPUTED_VALUE"""),"BlotterExecutionReportSnapshot")</f>
        <v>BlotterExecutionReportSnapshot</v>
      </c>
      <c r="BD4" s="25" t="str">
        <f>IFERROR(__xludf.DUMMYFUNCTION("""COMPUTED_VALUE"""),"MultipleTradeTransferToUser")</f>
        <v>MultipleTradeTransferToUser</v>
      </c>
      <c r="BE4" s="25" t="str">
        <f>IFERROR(__xludf.DUMMYFUNCTION("""COMPUTED_VALUE"""),"AllocateFromBlotter")</f>
        <v>AllocateFromBlotter</v>
      </c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IFERROR(__xludf.DUMMYFUNCTION("""COMPUTED_VALUE"""),"Avg Fill Price (Base)")</f>
        <v>Avg Fill Price (Base)</v>
      </c>
      <c r="C5" s="27" t="str">
        <f>IFERROR(__xludf.DUMMYFUNCTION("""COMPUTED_VALUE"""),"Transaction Time")</f>
        <v>Transaction Time</v>
      </c>
      <c r="D5" s="27" t="str">
        <f>IFERROR(__xludf.DUMMYFUNCTION("""COMPUTED_VALUE"""),"Symbol")</f>
        <v>Symbol</v>
      </c>
      <c r="E5" s="27" t="str">
        <f>IFERROR(__xludf.DUMMYFUNCTION("""COMPUTED_VALUE"""),"Algo")</f>
        <v>Algo</v>
      </c>
      <c r="F5" s="28" t="str">
        <f>IFERROR(__xludf.DUMMYFUNCTION("""COMPUTED_VALUE"""),"Side")</f>
        <v>Side</v>
      </c>
      <c r="G5" s="27" t="str">
        <f>IFERROR(__xludf.DUMMYFUNCTION("""COMPUTED_VALUE"""),"Status")</f>
        <v>Status</v>
      </c>
      <c r="H5" s="27" t="str">
        <f>IFERROR(__xludf.DUMMYFUNCTION("""COMPUTED_VALUE"""),"Target Qty")</f>
        <v>Target Qty</v>
      </c>
      <c r="I5" s="27" t="str">
        <f>IFERROR(__xludf.DUMMYFUNCTION("""COMPUTED_VALUE"""),"Total Executed Qty")</f>
        <v>Total Executed Qty</v>
      </c>
      <c r="J5" s="27" t="str">
        <f>IFERROR(__xludf.DUMMYFUNCTION("""COMPUTED_VALUE"""),"% Executed")</f>
        <v>% Executed</v>
      </c>
      <c r="K5" s="27" t="str">
        <f>IFERROR(__xludf.DUMMYFUNCTION("""COMPUTED_VALUE"""),"Day Executed Qty")</f>
        <v>Day Executed Qty</v>
      </c>
      <c r="L5" s="27" t="str">
        <f>IFERROR(__xludf.DUMMYFUNCTION("""COMPUTED_VALUE"""),"Uncommitted Qty")</f>
        <v>Uncommitted Qty</v>
      </c>
      <c r="M5" s="27" t="str">
        <f>IFERROR(__xludf.DUMMYFUNCTION("""COMPUTED_VALUE"""),"Limit Price")</f>
        <v>Limit Price</v>
      </c>
      <c r="N5" s="27" t="str">
        <f>IFERROR(__xludf.DUMMYFUNCTION("""COMPUTED_VALUE"""),"Last Fill Price (Local)")</f>
        <v>Last Fill Price (Local)</v>
      </c>
      <c r="O5" s="27" t="str">
        <f>IFERROR(__xludf.DUMMYFUNCTION("""COMPUTED_VALUE"""),"Stop Price")</f>
        <v>Stop Price</v>
      </c>
      <c r="P5" s="27" t="str">
        <f>IFERROR(__xludf.DUMMYFUNCTION("""COMPUTED_VALUE"""),"Avg Fill Price (Local)")</f>
        <v>Avg Fill Price (Local)</v>
      </c>
      <c r="Q5" s="27" t="str">
        <f>IFERROR(__xludf.DUMMYFUNCTION("""COMPUTED_VALUE"""),"Broker")</f>
        <v>Broker</v>
      </c>
      <c r="R5" s="27" t="str">
        <f>IFERROR(__xludf.DUMMYFUNCTION("""COMPUTED_VALUE"""),"Account")</f>
        <v>Account</v>
      </c>
      <c r="S5" s="27" t="str">
        <f>IFERROR(__xludf.DUMMYFUNCTION("""COMPUTED_VALUE"""),"OrderID")</f>
        <v>OrderID</v>
      </c>
      <c r="T5" s="29" t="str">
        <f>IFERROR(__xludf.DUMMYFUNCTION("""COMPUTED_VALUE"""),"Order Type")</f>
        <v>Order Type</v>
      </c>
      <c r="U5" s="29" t="str">
        <f>IFERROR(__xludf.DUMMYFUNCTION("""COMPUTED_VALUE"""),"Principal Amount (Local)")</f>
        <v>Principal Amount (Local)</v>
      </c>
      <c r="V5" s="29" t="str">
        <f>IFERROR(__xludf.DUMMYFUNCTION("""COMPUTED_VALUE"""),"Principal Amount (Base)")</f>
        <v>Principal Amount (Base)</v>
      </c>
      <c r="W5" s="29" t="str">
        <f>IFERROR(__xludf.DUMMYFUNCTION("""COMPUTED_VALUE"""),"Peg")</f>
        <v>Peg</v>
      </c>
      <c r="X5" s="29" t="str">
        <f>IFERROR(__xludf.DUMMYFUNCTION("""COMPUTED_VALUE"""),"ParentClOrderID")</f>
        <v>ParentClOrderID</v>
      </c>
      <c r="Y5" s="29" t="str">
        <f>IFERROR(__xludf.DUMMYFUNCTION("""COMPUTED_VALUE"""),"Strike Price")</f>
        <v>Strike Price</v>
      </c>
      <c r="Z5" s="29" t="str">
        <f>IFERROR(__xludf.DUMMYFUNCTION("""COMPUTED_VALUE"""),"Last Shares")</f>
        <v>Last Shares</v>
      </c>
      <c r="AA5" s="29" t="str">
        <f>IFERROR(__xludf.DUMMYFUNCTION("""COMPUTED_VALUE"""),"Working Qty")</f>
        <v>Working Qty</v>
      </c>
      <c r="AB5" s="29" t="str">
        <f>IFERROR(__xludf.DUMMYFUNCTION("""COMPUTED_VALUE"""),"Bloomberg Symbol")</f>
        <v>Bloomberg Symbol</v>
      </c>
      <c r="AC5" s="29" t="str">
        <f>IFERROR(__xludf.DUMMYFUNCTION("""COMPUTED_VALUE"""),"Imported File Name")</f>
        <v>Imported File Name</v>
      </c>
      <c r="AD5" s="29" t="str">
        <f>IFERROR(__xludf.DUMMYFUNCTION("""COMPUTED_VALUE"""),"Master Fund")</f>
        <v>Master Fund</v>
      </c>
      <c r="AE5" s="29" t="str">
        <f>IFERROR(__xludf.DUMMYFUNCTION("""COMPUTED_VALUE"""),"Day Average Price")</f>
        <v>Day Average Price</v>
      </c>
      <c r="AF5" s="29" t="str">
        <f>IFERROR(__xludf.DUMMYFUNCTION("""COMPUTED_VALUE"""),"Asset Class")</f>
        <v>Asset Class</v>
      </c>
      <c r="AG5" s="29" t="str">
        <f>IFERROR(__xludf.DUMMYFUNCTION("""COMPUTED_VALUE"""),"Underlying Country")</f>
        <v>Underlying Country</v>
      </c>
      <c r="AH5" s="29" t="str">
        <f>IFERROR(__xludf.DUMMYFUNCTION("""COMPUTED_VALUE"""),"Trader")</f>
        <v>Trader</v>
      </c>
      <c r="AI5" s="29" t="str">
        <f>IFERROR(__xludf.DUMMYFUNCTION("""COMPUTED_VALUE"""),"User")</f>
        <v>User</v>
      </c>
      <c r="AJ5" s="29" t="str">
        <f>IFERROR(__xludf.DUMMYFUNCTION("""COMPUTED_VALUE"""),"Venue")</f>
        <v>Venue</v>
      </c>
      <c r="AK5" s="29" t="str">
        <f>IFERROR(__xludf.DUMMYFUNCTION("""COMPUTED_VALUE"""),"Settlement Currency")</f>
        <v>Settlement Currency</v>
      </c>
      <c r="AL5" s="29" t="str">
        <f>IFERROR(__xludf.DUMMYFUNCTION("""COMPUTED_VALUE"""),"FX Conversion Operator")</f>
        <v>FX Conversion Operator</v>
      </c>
      <c r="AM5" s="29" t="str">
        <f>IFERROR(__xludf.DUMMYFUNCTION("""COMPUTED_VALUE"""),"Process Date")</f>
        <v>Process Date</v>
      </c>
      <c r="AN5" s="29" t="str">
        <f>IFERROR(__xludf.DUMMYFUNCTION("""COMPUTED_VALUE"""),"Underlying Symbol")</f>
        <v>Underlying Symbol</v>
      </c>
      <c r="AO5" s="29" t="str">
        <f>IFERROR(__xludf.DUMMYFUNCTION("""COMPUTED_VALUE"""),"Put/Call")</f>
        <v>Put/Call</v>
      </c>
      <c r="AP5" s="29" t="str">
        <f>IFERROR(__xludf.DUMMYFUNCTION("""COMPUTED_VALUE"""),"FX Rate")</f>
        <v>FX Rate</v>
      </c>
      <c r="AQ5" s="29" t="str">
        <f>IFERROR(__xludf.DUMMYFUNCTION("""COMPUTED_VALUE"""),"Trade Attribute 1")</f>
        <v>Trade Attribute 1</v>
      </c>
      <c r="AR5" s="29" t="str">
        <f>IFERROR(__xludf.DUMMYFUNCTION("""COMPUTED_VALUE"""),"Trade Attribute 2")</f>
        <v>Trade Attribute 2</v>
      </c>
      <c r="AS5" s="29" t="str">
        <f>IFERROR(__xludf.DUMMYFUNCTION("""COMPUTED_VALUE"""),"Trade Attribute 3")</f>
        <v>Trade Attribute 3</v>
      </c>
      <c r="AT5" s="29" t="str">
        <f>IFERROR(__xludf.DUMMYFUNCTION("""COMPUTED_VALUE"""),"Trade Attribute 4")</f>
        <v>Trade Attribute 4</v>
      </c>
      <c r="AU5" s="29" t="str">
        <f>IFERROR(__xludf.DUMMYFUNCTION("""COMPUTED_VALUE"""),"Trade Attribute 5")</f>
        <v>Trade Attribute 5</v>
      </c>
      <c r="AV5" s="29" t="str">
        <f>IFERROR(__xludf.DUMMYFUNCTION("""COMPUTED_VALUE"""),"Trade Attribute 6")</f>
        <v>Trade Attribute 6</v>
      </c>
      <c r="AW5" s="29" t="str">
        <f>IFERROR(__xludf.DUMMYFUNCTION("""COMPUTED_VALUE"""),"Internal Comments")</f>
        <v>Internal Comments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4"/>
      <c r="B6" s="47">
        <v>0.0</v>
      </c>
      <c r="C6" s="39"/>
      <c r="D6" s="45" t="s">
        <v>26</v>
      </c>
      <c r="E6" s="39"/>
      <c r="F6" s="39" t="s">
        <v>22</v>
      </c>
      <c r="G6" s="48" t="s">
        <v>33</v>
      </c>
      <c r="H6" s="38">
        <v>100.0</v>
      </c>
      <c r="I6" s="38"/>
      <c r="J6" s="38"/>
      <c r="K6" s="38"/>
      <c r="L6" s="38"/>
      <c r="M6" s="39"/>
      <c r="N6" s="38">
        <v>0.0</v>
      </c>
      <c r="O6" s="39"/>
      <c r="P6" s="49">
        <v>0.0</v>
      </c>
      <c r="Q6" s="39" t="s">
        <v>34</v>
      </c>
      <c r="R6" s="39" t="s">
        <v>35</v>
      </c>
      <c r="S6" s="39"/>
      <c r="T6" s="41" t="s">
        <v>36</v>
      </c>
      <c r="U6" s="50">
        <v>0.0</v>
      </c>
      <c r="V6" s="50">
        <v>0.0</v>
      </c>
      <c r="W6" s="50">
        <v>0.0</v>
      </c>
      <c r="X6" s="41"/>
      <c r="Y6" s="41"/>
      <c r="Z6" s="39"/>
      <c r="AA6" s="51">
        <v>100.0</v>
      </c>
      <c r="AB6" s="52" t="s">
        <v>37</v>
      </c>
      <c r="AC6" s="41"/>
      <c r="AD6" s="41" t="s">
        <v>35</v>
      </c>
      <c r="AE6" s="41"/>
      <c r="AF6" s="41" t="s">
        <v>38</v>
      </c>
      <c r="AG6" s="41" t="s">
        <v>39</v>
      </c>
      <c r="AH6" s="41" t="s">
        <v>40</v>
      </c>
      <c r="AI6" s="41"/>
      <c r="AJ6" s="41" t="s">
        <v>41</v>
      </c>
      <c r="AK6" s="41"/>
      <c r="AL6" s="41"/>
      <c r="AM6" s="41"/>
      <c r="AN6" s="41"/>
      <c r="AO6" s="41"/>
      <c r="AP6" s="50">
        <v>1.0</v>
      </c>
      <c r="AQ6" s="41"/>
      <c r="AR6" s="41"/>
      <c r="AS6" s="41"/>
      <c r="AT6" s="41"/>
      <c r="AU6" s="41"/>
      <c r="AV6" s="41"/>
      <c r="AW6" s="41"/>
      <c r="AX6" s="41"/>
      <c r="AY6" s="50">
        <v>100.0</v>
      </c>
      <c r="AZ6" s="41"/>
      <c r="BA6" s="41"/>
      <c r="BB6" s="41"/>
      <c r="BC6" s="41"/>
      <c r="BD6" s="41"/>
      <c r="BE6" s="41"/>
      <c r="BF6" s="41"/>
      <c r="BG6" s="41"/>
      <c r="BH6" s="41"/>
      <c r="BI6" s="41"/>
      <c r="BJ6" s="41"/>
      <c r="BK6" s="41"/>
      <c r="BL6" s="41"/>
      <c r="BM6" s="41"/>
      <c r="BN6" s="41"/>
      <c r="BO6" s="41"/>
      <c r="BP6" s="41"/>
      <c r="BQ6" s="41"/>
      <c r="BR6" s="41"/>
      <c r="BS6" s="41"/>
      <c r="BT6" s="41"/>
      <c r="BU6" s="41"/>
      <c r="BV6" s="41"/>
      <c r="BW6" s="41"/>
      <c r="BX6" s="41"/>
      <c r="BY6" s="41"/>
      <c r="BZ6" s="41"/>
      <c r="CA6" s="41"/>
      <c r="CB6" s="41"/>
      <c r="CC6" s="41"/>
      <c r="CD6" s="41"/>
      <c r="CE6" s="41"/>
      <c r="CF6" s="41"/>
      <c r="CG6" s="41"/>
      <c r="CH6" s="41"/>
      <c r="CI6" s="41"/>
      <c r="CJ6" s="41"/>
      <c r="CK6" s="41"/>
      <c r="CL6" s="41"/>
      <c r="CM6" s="41"/>
      <c r="CN6" s="41"/>
      <c r="CO6" s="41"/>
      <c r="CP6" s="41"/>
      <c r="CQ6" s="41"/>
      <c r="CR6" s="41"/>
      <c r="CS6" s="41"/>
      <c r="CT6" s="41"/>
      <c r="CU6" s="41"/>
      <c r="CV6" s="41"/>
      <c r="CW6" s="41"/>
      <c r="CX6" s="41"/>
      <c r="CY6" s="41"/>
      <c r="CZ6" s="41"/>
      <c r="DA6" s="41"/>
      <c r="DB6" s="41"/>
      <c r="DC6" s="41"/>
      <c r="DD6" s="41"/>
      <c r="DE6" s="41"/>
      <c r="DF6" s="41"/>
      <c r="DG6" s="41"/>
      <c r="DH6" s="41"/>
      <c r="DI6" s="41"/>
      <c r="DJ6" s="41"/>
      <c r="DK6" s="41"/>
      <c r="DL6" s="41"/>
      <c r="DM6" s="41"/>
      <c r="DN6" s="41"/>
      <c r="DO6" s="41"/>
      <c r="DP6" s="41"/>
      <c r="DQ6" s="41"/>
      <c r="DR6" s="41"/>
      <c r="DS6" s="41"/>
      <c r="DT6" s="41"/>
      <c r="DU6" s="41"/>
      <c r="DV6" s="41"/>
      <c r="DW6" s="41"/>
      <c r="DX6" s="41"/>
      <c r="DY6" s="41"/>
      <c r="DZ6" s="41"/>
      <c r="EA6" s="41"/>
      <c r="EB6" s="41"/>
      <c r="EC6" s="41"/>
      <c r="ED6" s="41"/>
      <c r="EE6" s="41"/>
      <c r="EF6" s="41"/>
      <c r="EG6" s="41"/>
      <c r="EH6" s="41"/>
      <c r="EI6" s="41"/>
      <c r="EJ6" s="41"/>
      <c r="EK6" s="41"/>
      <c r="EL6" s="41"/>
      <c r="EM6" s="41"/>
      <c r="EN6" s="41"/>
      <c r="EO6" s="41"/>
      <c r="EP6" s="41"/>
      <c r="EQ6" s="41"/>
      <c r="ER6" s="41"/>
      <c r="ES6" s="41"/>
      <c r="ET6" s="41"/>
      <c r="EU6" s="41"/>
      <c r="EV6" s="41"/>
      <c r="EW6" s="41"/>
      <c r="EX6" s="4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SelectTradeOnOrderGrid!$4:$4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31</v>
      </c>
      <c r="D3" s="5" t="s">
        <v>9</v>
      </c>
      <c r="E3" s="22" t="s">
        <v>42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IFERROR(__xludf.DUMMYFUNCTION("""COMPUTED_VALUE"""),"OpenBlotter")</f>
        <v>OpenBlotter</v>
      </c>
      <c r="AW4" s="25" t="str">
        <f>IFERROR(__xludf.DUMMYFUNCTION("""COMPUTED_VALUE"""),"RemoveManualExecution")</f>
        <v>RemoveManualExecution</v>
      </c>
      <c r="AX4" s="25" t="str">
        <f>IFERROR(__xludf.DUMMYFUNCTION("""COMPUTED_VALUE"""),"RemoveExecutionWorkingSubs")</f>
        <v>RemoveExecutionWorkingSubs</v>
      </c>
      <c r="AY4" s="25" t="str">
        <f>IFERROR(__xludf.DUMMYFUNCTION("""COMPUTED_VALUE"""),"GetExecutionReportOrders")</f>
        <v>GetExecutionReportOrders</v>
      </c>
      <c r="AZ4" s="25" t="str">
        <f>IFERROR(__xludf.DUMMYFUNCTION("""COMPUTED_VALUE"""),"GetExecutionReportDetails")</f>
        <v>GetExecutionReportDetails</v>
      </c>
      <c r="BA4" s="25" t="str">
        <f>IFERROR(__xludf.DUMMYFUNCTION("""COMPUTED_VALUE"""),"ExportExecutionReportData")</f>
        <v>ExportExecutionReportData</v>
      </c>
      <c r="BB4" s="25" t="str">
        <f>IFERROR(__xludf.DUMMYFUNCTION("""COMPUTED_VALUE"""),"VerifyExecutionReport")</f>
        <v>VerifyExecutionReport</v>
      </c>
      <c r="BC4" s="25" t="str">
        <f>IFERROR(__xludf.DUMMYFUNCTION("""COMPUTED_VALUE"""),"BlotterExecutionReportSnapshot")</f>
        <v>BlotterExecutionReportSnapshot</v>
      </c>
      <c r="BD4" s="25" t="str">
        <f>IFERROR(__xludf.DUMMYFUNCTION("""COMPUTED_VALUE"""),"MultipleTradeTransferToUser")</f>
        <v>MultipleTradeTransferToUser</v>
      </c>
      <c r="BE4" s="25" t="str">
        <f>IFERROR(__xludf.DUMMYFUNCTION("""COMPUTED_VALUE"""),"AllocateFromBlotter")</f>
        <v>AllocateFromBlotter</v>
      </c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IFERROR(__xludf.DUMMYFUNCTION("""COMPUTED_VALUE"""),"User")</f>
        <v>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1")</f>
        <v>Trade Attribute 1</v>
      </c>
      <c r="N5" s="27" t="str">
        <f>IFERROR(__xludf.DUMMYFUNCTION("""COMPUTED_VALUE"""),"Trade Attribute 2")</f>
        <v>Trade Attribute 2</v>
      </c>
      <c r="O5" s="27" t="str">
        <f>IFERROR(__xludf.DUMMYFUNCTION("""COMPUTED_VALUE"""),"Trade Attribute 3")</f>
        <v>Trade Attribute 3</v>
      </c>
      <c r="P5" s="27" t="str">
        <f>IFERROR(__xludf.DUMMYFUNCTION("""COMPUTED_VALUE"""),"Trade Attribute 4")</f>
        <v>Trade Attribute 4</v>
      </c>
      <c r="Q5" s="27" t="str">
        <f>IFERROR(__xludf.DUMMYFUNCTION("""COMPUTED_VALUE"""),"Trade Attribute 5")</f>
        <v>Trade Attribute 5</v>
      </c>
      <c r="R5" s="27" t="str">
        <f>IFERROR(__xludf.DUMMYFUNCTION("""COMPUTED_VALUE"""),"Trade Attribute 6")</f>
        <v>Trade Attribute 6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FxRate Operator")</f>
        <v>Settlement FxRate Operator</v>
      </c>
      <c r="V5" s="29" t="str">
        <f>IFERROR(__xludf.DUMMYFUNCTION("""COMPUTED_VALUE"""),"Settlement Currency")</f>
        <v>Settlement Currency</v>
      </c>
      <c r="W5" s="29" t="str">
        <f>IFERROR(__xludf.DUMMYFUNCTION("""COMPUTED_VALUE"""),"Put/Call")</f>
        <v>Put/Call</v>
      </c>
      <c r="X5" s="29" t="str">
        <f>IFERROR(__xludf.DUMMYFUNCTION("""COMPUTED_VALUE"""),"Process Date")</f>
        <v>Process Date</v>
      </c>
      <c r="Y5" s="29" t="str">
        <f>IFERROR(__xludf.DUMMYFUNCTION("""COMPUTED_VALUE"""),"Peg")</f>
        <v>Peg</v>
      </c>
      <c r="Z5" s="29" t="str">
        <f>IFERROR(__xludf.DUMMYFUNCTION("""COMPUTED_VALUE"""),"ParentClOrderID")</f>
        <v>ParentClOrderID</v>
      </c>
      <c r="AA5" s="29" t="str">
        <f>IFERROR(__xludf.DUMMYFUNCTION("""COMPUTED_VALUE"""),"OrderID")</f>
        <v>OrderID</v>
      </c>
      <c r="AB5" s="29" t="str">
        <f>IFERROR(__xludf.DUMMYFUNCTION("""COMPUTED_VALUE"""),"Master Fund")</f>
        <v>Master Fund</v>
      </c>
      <c r="AC5" s="29" t="str">
        <f>IFERROR(__xludf.DUMMYFUNCTION("""COMPUTED_VALUE"""),"Last Shares")</f>
        <v>Last Shares</v>
      </c>
      <c r="AD5" s="29" t="str">
        <f>IFERROR(__xludf.DUMMYFUNCTION("""COMPUTED_VALUE"""),"Internal Comments")</f>
        <v>Internal Comments</v>
      </c>
      <c r="AE5" s="29" t="str">
        <f>IFERROR(__xludf.DUMMYFUNCTION("""COMPUTED_VALUE"""),"FX Rate")</f>
        <v>FX Rate</v>
      </c>
      <c r="AF5" s="29" t="str">
        <f>IFERROR(__xludf.DUMMYFUNCTION("""COMPUTED_VALUE"""),"Imported File Name")</f>
        <v>Imported File Name</v>
      </c>
      <c r="AG5" s="29" t="str">
        <f>IFERROR(__xludf.DUMMYFUNCTION("""COMPUTED_VALUE"""),"FX Conversion Operator")</f>
        <v>FX Conversion Operator</v>
      </c>
      <c r="AH5" s="29" t="str">
        <f>IFERROR(__xludf.DUMMYFUNCTION("""COMPUTED_VALUE"""),"Day Average Price")</f>
        <v>Day Average Price</v>
      </c>
      <c r="AI5" s="29" t="str">
        <f>IFERROR(__xludf.DUMMYFUNCTION("""COMPUTED_VALUE"""),"Asset Class")</f>
        <v>Asset Class</v>
      </c>
      <c r="AJ5" s="29" t="str">
        <f>IFERROR(__xludf.DUMMYFUNCTION("""COMPUTED_VALUE"""),"Symbol")</f>
        <v>Symbol</v>
      </c>
      <c r="AK5" s="29" t="str">
        <f>IFERROR(__xludf.DUMMYFUNCTION("""COMPUTED_VALUE"""),"Side")</f>
        <v>Side</v>
      </c>
      <c r="AL5" s="29" t="str">
        <f>IFERROR(__xludf.DUMMYFUNCTION("""COMPUTED_VALUE"""),"Status")</f>
        <v>Status</v>
      </c>
      <c r="AM5" s="29" t="str">
        <f>IFERROR(__xludf.DUMMYFUNCTION("""COMPUTED_VALUE"""),"Quantity")</f>
        <v>Quantity</v>
      </c>
      <c r="AN5" s="29" t="str">
        <f>IFERROR(__xludf.DUMMYFUNCTION("""COMPUTED_VALUE"""),"Executed Qty")</f>
        <v>Executed Qty</v>
      </c>
      <c r="AO5" s="29" t="str">
        <f>IFERROR(__xludf.DUMMYFUNCTION("""COMPUTED_VALUE"""),"% Executed")</f>
        <v>% Executed</v>
      </c>
      <c r="AP5" s="29" t="str">
        <f>IFERROR(__xludf.DUMMYFUNCTION("""COMPUTED_VALUE"""),"Day Executed Qty")</f>
        <v>Day Executed Qty</v>
      </c>
      <c r="AQ5" s="29" t="str">
        <f>IFERROR(__xludf.DUMMYFUNCTION("""COMPUTED_VALUE"""),"Remaining Qty")</f>
        <v>Remaining Qty</v>
      </c>
      <c r="AR5" s="29" t="str">
        <f>IFERROR(__xludf.DUMMYFUNCTION("""COMPUTED_VALUE"""),"Last Fill Price (Local)")</f>
        <v>Last Fill Price (Local)</v>
      </c>
      <c r="AS5" s="29" t="str">
        <f>IFERROR(__xludf.DUMMYFUNCTION("""COMPUTED_VALUE"""),"Avg Fill Price (Local)")</f>
        <v>Avg Fill Price (Local)</v>
      </c>
      <c r="AT5" s="29" t="str">
        <f>IFERROR(__xludf.DUMMYFUNCTION("""COMPUTED_VALUE"""),"Broker")</f>
        <v>Broker</v>
      </c>
      <c r="AU5" s="29" t="str">
        <f>IFERROR(__xludf.DUMMYFUNCTION("""COMPUTED_VALUE"""),"Account")</f>
        <v>Account</v>
      </c>
      <c r="AV5" s="29" t="str">
        <f>IFERROR(__xludf.DUMMYFUNCTION("""COMPUTED_VALUE"""),"Order Type")</f>
        <v>Order Type</v>
      </c>
      <c r="AW5" s="29" t="str">
        <f>IFERROR(__xludf.DUMMYFUNCTION("""COMPUTED_VALUE"""),"Principal Amount (Local)")</f>
        <v>Principal Amount (Local)</v>
      </c>
      <c r="AX5" s="29" t="str">
        <f>IFERROR(__xludf.DUMMYFUNCTION("""COMPUTED_VALUE"""),"Principal Amount (Base)")</f>
        <v>Principal Amount (Base)</v>
      </c>
      <c r="AY5" s="29" t="str">
        <f>IFERROR(__xludf.DUMMYFUNCTION("""COMPUTED_VALUE"""),"Settlement FxRate")</f>
        <v>Settlement FxRate</v>
      </c>
      <c r="AZ5" s="29" t="str">
        <f>IFERROR(__xludf.DUMMYFUNCTION("""COMPUTED_VALUE"""),"Settlement Price")</f>
        <v>Settlement Price</v>
      </c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4"/>
      <c r="B6" s="45"/>
      <c r="C6" s="39"/>
      <c r="D6" s="47">
        <v>0.0</v>
      </c>
      <c r="E6" s="39" t="s">
        <v>37</v>
      </c>
      <c r="F6" s="38">
        <v>0.0</v>
      </c>
      <c r="G6" s="47">
        <v>100.0</v>
      </c>
      <c r="H6" s="39" t="s">
        <v>41</v>
      </c>
      <c r="I6" s="39"/>
      <c r="J6" s="39"/>
      <c r="K6" s="39" t="s">
        <v>39</v>
      </c>
      <c r="L6" s="39" t="s">
        <v>40</v>
      </c>
      <c r="M6" s="39"/>
      <c r="N6" s="39"/>
      <c r="O6" s="39"/>
      <c r="P6" s="39"/>
      <c r="Q6" s="39"/>
      <c r="R6" s="39"/>
      <c r="S6" s="39"/>
      <c r="T6" s="50">
        <v>0.0</v>
      </c>
      <c r="U6" s="41"/>
      <c r="V6" s="41"/>
      <c r="W6" s="41"/>
      <c r="Y6" s="50">
        <v>0.0</v>
      </c>
      <c r="Z6" s="41"/>
      <c r="AA6" s="41"/>
      <c r="AB6" s="41" t="s">
        <v>35</v>
      </c>
      <c r="AC6" s="50"/>
      <c r="AD6" s="41"/>
      <c r="AE6" s="50">
        <v>1.0</v>
      </c>
      <c r="AF6" s="41"/>
      <c r="AG6" s="41" t="s">
        <v>43</v>
      </c>
      <c r="AH6" s="41"/>
      <c r="AI6" s="41"/>
      <c r="AJ6" s="41" t="s">
        <v>26</v>
      </c>
      <c r="AK6" s="41" t="s">
        <v>22</v>
      </c>
      <c r="AL6" s="53" t="s">
        <v>33</v>
      </c>
      <c r="AM6" s="50">
        <v>100.0</v>
      </c>
      <c r="AN6" s="50"/>
      <c r="AO6" s="50"/>
      <c r="AP6" s="50"/>
      <c r="AQ6" s="41"/>
      <c r="AR6" s="50"/>
      <c r="AS6" s="54">
        <v>0.0</v>
      </c>
      <c r="AT6" s="41" t="s">
        <v>34</v>
      </c>
      <c r="AU6" s="41" t="s">
        <v>35</v>
      </c>
      <c r="AV6" s="41" t="s">
        <v>36</v>
      </c>
      <c r="AW6" s="54">
        <v>0.0</v>
      </c>
      <c r="AX6" s="54">
        <v>0.0</v>
      </c>
      <c r="AY6" s="41"/>
      <c r="AZ6" s="41"/>
      <c r="BA6" s="50"/>
      <c r="BB6" s="41"/>
      <c r="BC6" s="41"/>
      <c r="BD6" s="41"/>
      <c r="BE6" s="41"/>
      <c r="BF6" s="41"/>
      <c r="BG6" s="41"/>
      <c r="BH6" s="41"/>
      <c r="BI6" s="41"/>
      <c r="BJ6" s="41"/>
      <c r="BK6" s="41"/>
      <c r="BL6" s="41"/>
      <c r="BM6" s="41"/>
      <c r="BN6" s="41"/>
      <c r="BO6" s="41"/>
      <c r="BP6" s="41"/>
      <c r="BQ6" s="41"/>
      <c r="BR6" s="41"/>
      <c r="BS6" s="41"/>
      <c r="BT6" s="41"/>
      <c r="BU6" s="41"/>
      <c r="BV6" s="41"/>
      <c r="BW6" s="41"/>
      <c r="BX6" s="41"/>
      <c r="BY6" s="41"/>
      <c r="BZ6" s="41"/>
      <c r="CA6" s="41"/>
      <c r="CB6" s="41"/>
      <c r="CC6" s="41"/>
      <c r="CD6" s="41"/>
      <c r="CE6" s="41"/>
      <c r="CF6" s="41"/>
      <c r="CG6" s="41"/>
      <c r="CH6" s="41"/>
      <c r="CI6" s="41"/>
      <c r="CJ6" s="41"/>
      <c r="CK6" s="41"/>
      <c r="CL6" s="41"/>
      <c r="CM6" s="41"/>
      <c r="CN6" s="41"/>
      <c r="CO6" s="41"/>
      <c r="CP6" s="41"/>
      <c r="CQ6" s="41"/>
      <c r="CR6" s="41"/>
      <c r="CS6" s="41"/>
      <c r="CT6" s="41"/>
      <c r="CU6" s="41"/>
      <c r="CV6" s="41"/>
      <c r="CW6" s="41"/>
      <c r="CX6" s="41"/>
      <c r="CY6" s="41"/>
      <c r="CZ6" s="41"/>
      <c r="DA6" s="41"/>
      <c r="DB6" s="41"/>
      <c r="DC6" s="41"/>
      <c r="DD6" s="41"/>
      <c r="DE6" s="41"/>
      <c r="DF6" s="41"/>
      <c r="DG6" s="41"/>
      <c r="DH6" s="41"/>
      <c r="DI6" s="41"/>
      <c r="DJ6" s="41"/>
      <c r="DK6" s="41"/>
      <c r="DL6" s="41"/>
      <c r="DM6" s="41"/>
      <c r="DN6" s="41"/>
      <c r="DO6" s="41"/>
      <c r="DP6" s="41"/>
      <c r="DQ6" s="41"/>
      <c r="DR6" s="41"/>
      <c r="DS6" s="41"/>
      <c r="DT6" s="41"/>
      <c r="DU6" s="41"/>
      <c r="DV6" s="41"/>
      <c r="DW6" s="41"/>
      <c r="DX6" s="41"/>
      <c r="DY6" s="41"/>
      <c r="DZ6" s="41"/>
      <c r="EA6" s="41"/>
      <c r="EB6" s="41"/>
      <c r="EC6" s="41"/>
      <c r="ED6" s="41"/>
      <c r="EE6" s="41"/>
      <c r="EF6" s="41"/>
      <c r="EG6" s="41"/>
      <c r="EH6" s="41"/>
      <c r="EI6" s="41"/>
      <c r="EJ6" s="41"/>
      <c r="EK6" s="41"/>
      <c r="EL6" s="41"/>
      <c r="EM6" s="41"/>
      <c r="EN6" s="41"/>
      <c r="EO6" s="41"/>
      <c r="EP6" s="41"/>
      <c r="EQ6" s="41"/>
      <c r="ER6" s="41"/>
      <c r="ES6" s="41"/>
      <c r="ET6" s="41"/>
      <c r="EU6" s="41"/>
      <c r="EV6" s="41"/>
      <c r="EW6" s="41"/>
      <c r="EX6" s="4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ReplaceSubOrder!$4:$4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44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IFERROR(__xludf.DUMMYFUNCTION("""COMPUTED_VALUE"""),"TradeNewSub")</f>
        <v>TradeNewSub</v>
      </c>
      <c r="I4" s="24" t="str">
        <f>IFERROR(__xludf.DUMMYFUNCTION("""COMPUTED_VALUE"""),"CreateStageOrder")</f>
        <v>CreateStageOrder</v>
      </c>
      <c r="J4" s="24" t="str">
        <f>IFERROR(__xludf.DUMMYFUNCTION("""COMPUTED_VALUE"""),"CreateReplaceOrder")</f>
        <v>CreateReplaceOrder</v>
      </c>
      <c r="K4" s="24" t="str">
        <f>IFERROR(__xludf.DUMMYFUNCTION("""COMPUTED_VALUE"""),"SetGeneralPreference")</f>
        <v>SetGeneralPreference</v>
      </c>
      <c r="L4" s="24" t="str">
        <f>IFERROR(__xludf.DUMMYFUNCTION("""COMPUTED_VALUE"""),"CreateNewSubOrder")</f>
        <v>CreateNewSubOrder</v>
      </c>
      <c r="M4" s="24" t="str">
        <f>IFERROR(__xludf.DUMMYFUNCTION("""COMPUTED_VALUE"""),"TradeBloomberg")</f>
        <v>TradeBloomberg</v>
      </c>
      <c r="N4" s="24" t="str">
        <f>IFERROR(__xludf.DUMMYFUNCTION("""COMPUTED_VALUE"""),"ClickSymbolLookup")</f>
        <v>ClickSymbolLookup</v>
      </c>
      <c r="O4" s="24" t="str">
        <f>IFERROR(__xludf.DUMMYFUNCTION("""COMPUTED_VALUE"""),"VerifyTT")</f>
        <v>VerifyTT</v>
      </c>
      <c r="P4" s="25" t="str">
        <f>IFERROR(__xludf.DUMMYFUNCTION("""COMPUTED_VALUE"""),"CreateLiveOrder")</f>
        <v>CreateLiveOrder</v>
      </c>
      <c r="Q4" s="25" t="str">
        <f>IFERROR(__xludf.DUMMYFUNCTION("""COMPUTED_VALUE"""),"ShowMasterFundOnTT")</f>
        <v>ShowMasterFundOnTT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IFERROR(__xludf.DUMMYFUNCTION("""COMPUTED_VALUE"""),"CreateDoneAway")</f>
        <v>CreateDoneAway</v>
      </c>
      <c r="AB4" s="25" t="str">
        <f>IFERROR(__xludf.DUMMYFUNCTION("""COMPUTED_VALUE"""),"CreateDoneAwayOrder")</f>
        <v>CreateDoneAwayOrder</v>
      </c>
      <c r="AC4" s="25" t="str">
        <f>IFERROR(__xludf.DUMMYFUNCTION("""COMPUTED_VALUE"""),"SendLiveBloomberg")</f>
        <v>SendLiveBloomberg</v>
      </c>
      <c r="AD4" s="25" t="str">
        <f>IFERROR(__xludf.DUMMYFUNCTION("""COMPUTED_VALUE"""),"AddOptionTrade")</f>
        <v>AddOptionTrade</v>
      </c>
      <c r="AE4" s="25" t="str">
        <f>IFERROR(__xludf.DUMMYFUNCTION("""COMPUTED_VALUE"""),"ViewAllocation")</f>
        <v>ViewAllocation</v>
      </c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IFERROR(__xludf.DUMMYFUNCTION("""COMPUTED_VALUE"""),"MasterFund")</f>
        <v>MasterFund</v>
      </c>
      <c r="AO5" s="29" t="str">
        <f>IFERROR(__xludf.DUMMYFUNCTION("""COMPUTED_VALUE"""),"AllowTrade")</f>
        <v>AllowTrade</v>
      </c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26</v>
      </c>
      <c r="C6" s="11" t="s">
        <v>22</v>
      </c>
      <c r="D6" s="11">
        <v>40.0</v>
      </c>
      <c r="E6" s="11">
        <v>40.0</v>
      </c>
      <c r="F6" s="8"/>
      <c r="G6" s="8"/>
      <c r="H6" s="8"/>
      <c r="I6" s="8"/>
      <c r="J6" s="11">
        <v>10.0</v>
      </c>
      <c r="K6" s="8"/>
      <c r="L6" s="8"/>
      <c r="M6" s="8"/>
      <c r="N6" s="8"/>
      <c r="O6" s="8"/>
      <c r="AO6" s="9" t="s">
        <v>25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CreateReplaceOrder!$4:$4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31</v>
      </c>
      <c r="D3" s="5" t="s">
        <v>9</v>
      </c>
      <c r="E3" s="22" t="s">
        <v>32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IFERROR(__xludf.DUMMYFUNCTION("""COMPUTED_VALUE"""),"OpenBlotter")</f>
        <v>OpenBlotter</v>
      </c>
      <c r="AW4" s="25" t="str">
        <f>IFERROR(__xludf.DUMMYFUNCTION("""COMPUTED_VALUE"""),"RemoveManualExecution")</f>
        <v>RemoveManualExecution</v>
      </c>
      <c r="AX4" s="25" t="str">
        <f>IFERROR(__xludf.DUMMYFUNCTION("""COMPUTED_VALUE"""),"RemoveExecutionWorkingSubs")</f>
        <v>RemoveExecutionWorkingSubs</v>
      </c>
      <c r="AY4" s="25" t="str">
        <f>IFERROR(__xludf.DUMMYFUNCTION("""COMPUTED_VALUE"""),"GetExecutionReportOrders")</f>
        <v>GetExecutionReportOrders</v>
      </c>
      <c r="AZ4" s="25" t="str">
        <f>IFERROR(__xludf.DUMMYFUNCTION("""COMPUTED_VALUE"""),"GetExecutionReportDetails")</f>
        <v>GetExecutionReportDetails</v>
      </c>
      <c r="BA4" s="25" t="str">
        <f>IFERROR(__xludf.DUMMYFUNCTION("""COMPUTED_VALUE"""),"ExportExecutionReportData")</f>
        <v>ExportExecutionReportData</v>
      </c>
      <c r="BB4" s="25" t="str">
        <f>IFERROR(__xludf.DUMMYFUNCTION("""COMPUTED_VALUE"""),"VerifyExecutionReport")</f>
        <v>VerifyExecutionReport</v>
      </c>
      <c r="BC4" s="25" t="str">
        <f>IFERROR(__xludf.DUMMYFUNCTION("""COMPUTED_VALUE"""),"BlotterExecutionReportSnapshot")</f>
        <v>BlotterExecutionReportSnapshot</v>
      </c>
      <c r="BD4" s="25" t="str">
        <f>IFERROR(__xludf.DUMMYFUNCTION("""COMPUTED_VALUE"""),"MultipleTradeTransferToUser")</f>
        <v>MultipleTradeTransferToUser</v>
      </c>
      <c r="BE4" s="25" t="str">
        <f>IFERROR(__xludf.DUMMYFUNCTION("""COMPUTED_VALUE"""),"AllocateFromBlotter")</f>
        <v>AllocateFromBlotter</v>
      </c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IFERROR(__xludf.DUMMYFUNCTION("""COMPUTED_VALUE"""),"Avg Fill Price (Base)")</f>
        <v>Avg Fill Price (Base)</v>
      </c>
      <c r="C5" s="27" t="str">
        <f>IFERROR(__xludf.DUMMYFUNCTION("""COMPUTED_VALUE"""),"Transaction Time")</f>
        <v>Transaction Time</v>
      </c>
      <c r="D5" s="27" t="str">
        <f>IFERROR(__xludf.DUMMYFUNCTION("""COMPUTED_VALUE"""),"Symbol")</f>
        <v>Symbol</v>
      </c>
      <c r="E5" s="27" t="str">
        <f>IFERROR(__xludf.DUMMYFUNCTION("""COMPUTED_VALUE"""),"Algo")</f>
        <v>Algo</v>
      </c>
      <c r="F5" s="28" t="str">
        <f>IFERROR(__xludf.DUMMYFUNCTION("""COMPUTED_VALUE"""),"Side")</f>
        <v>Side</v>
      </c>
      <c r="G5" s="27" t="str">
        <f>IFERROR(__xludf.DUMMYFUNCTION("""COMPUTED_VALUE"""),"Status")</f>
        <v>Status</v>
      </c>
      <c r="H5" s="27" t="str">
        <f>IFERROR(__xludf.DUMMYFUNCTION("""COMPUTED_VALUE"""),"Target Qty")</f>
        <v>Target Qty</v>
      </c>
      <c r="I5" s="27" t="str">
        <f>IFERROR(__xludf.DUMMYFUNCTION("""COMPUTED_VALUE"""),"Total Executed Qty")</f>
        <v>Total Executed Qty</v>
      </c>
      <c r="J5" s="27" t="str">
        <f>IFERROR(__xludf.DUMMYFUNCTION("""COMPUTED_VALUE"""),"% Executed")</f>
        <v>% Executed</v>
      </c>
      <c r="K5" s="27" t="str">
        <f>IFERROR(__xludf.DUMMYFUNCTION("""COMPUTED_VALUE"""),"Day Executed Qty")</f>
        <v>Day Executed Qty</v>
      </c>
      <c r="L5" s="27" t="str">
        <f>IFERROR(__xludf.DUMMYFUNCTION("""COMPUTED_VALUE"""),"Uncommitted Qty")</f>
        <v>Uncommitted Qty</v>
      </c>
      <c r="M5" s="27" t="str">
        <f>IFERROR(__xludf.DUMMYFUNCTION("""COMPUTED_VALUE"""),"Limit Price")</f>
        <v>Limit Price</v>
      </c>
      <c r="N5" s="27" t="str">
        <f>IFERROR(__xludf.DUMMYFUNCTION("""COMPUTED_VALUE"""),"Last Fill Price (Local)")</f>
        <v>Last Fill Price (Local)</v>
      </c>
      <c r="O5" s="27" t="str">
        <f>IFERROR(__xludf.DUMMYFUNCTION("""COMPUTED_VALUE"""),"Stop Price")</f>
        <v>Stop Price</v>
      </c>
      <c r="P5" s="27" t="str">
        <f>IFERROR(__xludf.DUMMYFUNCTION("""COMPUTED_VALUE"""),"Avg Fill Price (Local)")</f>
        <v>Avg Fill Price (Local)</v>
      </c>
      <c r="Q5" s="27" t="str">
        <f>IFERROR(__xludf.DUMMYFUNCTION("""COMPUTED_VALUE"""),"Broker")</f>
        <v>Broker</v>
      </c>
      <c r="R5" s="27" t="str">
        <f>IFERROR(__xludf.DUMMYFUNCTION("""COMPUTED_VALUE"""),"Account")</f>
        <v>Account</v>
      </c>
      <c r="S5" s="27" t="str">
        <f>IFERROR(__xludf.DUMMYFUNCTION("""COMPUTED_VALUE"""),"OrderID")</f>
        <v>OrderID</v>
      </c>
      <c r="T5" s="29" t="str">
        <f>IFERROR(__xludf.DUMMYFUNCTION("""COMPUTED_VALUE"""),"Order Type")</f>
        <v>Order Type</v>
      </c>
      <c r="U5" s="29" t="str">
        <f>IFERROR(__xludf.DUMMYFUNCTION("""COMPUTED_VALUE"""),"Principal Amount (Local)")</f>
        <v>Principal Amount (Local)</v>
      </c>
      <c r="V5" s="29" t="str">
        <f>IFERROR(__xludf.DUMMYFUNCTION("""COMPUTED_VALUE"""),"Principal Amount (Base)")</f>
        <v>Principal Amount (Base)</v>
      </c>
      <c r="W5" s="29" t="str">
        <f>IFERROR(__xludf.DUMMYFUNCTION("""COMPUTED_VALUE"""),"Peg")</f>
        <v>Peg</v>
      </c>
      <c r="X5" s="29" t="str">
        <f>IFERROR(__xludf.DUMMYFUNCTION("""COMPUTED_VALUE"""),"ParentClOrderID")</f>
        <v>ParentClOrderID</v>
      </c>
      <c r="Y5" s="29" t="str">
        <f>IFERROR(__xludf.DUMMYFUNCTION("""COMPUTED_VALUE"""),"Strike Price")</f>
        <v>Strike Price</v>
      </c>
      <c r="Z5" s="29" t="str">
        <f>IFERROR(__xludf.DUMMYFUNCTION("""COMPUTED_VALUE"""),"Last Shares")</f>
        <v>Last Shares</v>
      </c>
      <c r="AA5" s="29" t="str">
        <f>IFERROR(__xludf.DUMMYFUNCTION("""COMPUTED_VALUE"""),"Working Qty")</f>
        <v>Working Qty</v>
      </c>
      <c r="AB5" s="29" t="str">
        <f>IFERROR(__xludf.DUMMYFUNCTION("""COMPUTED_VALUE"""),"Bloomberg Symbol")</f>
        <v>Bloomberg Symbol</v>
      </c>
      <c r="AC5" s="29" t="str">
        <f>IFERROR(__xludf.DUMMYFUNCTION("""COMPUTED_VALUE"""),"Imported File Name")</f>
        <v>Imported File Name</v>
      </c>
      <c r="AD5" s="29" t="str">
        <f>IFERROR(__xludf.DUMMYFUNCTION("""COMPUTED_VALUE"""),"Master Fund")</f>
        <v>Master Fund</v>
      </c>
      <c r="AE5" s="29" t="str">
        <f>IFERROR(__xludf.DUMMYFUNCTION("""COMPUTED_VALUE"""),"Day Average Price")</f>
        <v>Day Average Price</v>
      </c>
      <c r="AF5" s="29" t="str">
        <f>IFERROR(__xludf.DUMMYFUNCTION("""COMPUTED_VALUE"""),"Asset Class")</f>
        <v>Asset Class</v>
      </c>
      <c r="AG5" s="29" t="str">
        <f>IFERROR(__xludf.DUMMYFUNCTION("""COMPUTED_VALUE"""),"Underlying Country")</f>
        <v>Underlying Country</v>
      </c>
      <c r="AH5" s="29" t="str">
        <f>IFERROR(__xludf.DUMMYFUNCTION("""COMPUTED_VALUE"""),"Trader")</f>
        <v>Trader</v>
      </c>
      <c r="AI5" s="29" t="str">
        <f>IFERROR(__xludf.DUMMYFUNCTION("""COMPUTED_VALUE"""),"User")</f>
        <v>User</v>
      </c>
      <c r="AJ5" s="29" t="str">
        <f>IFERROR(__xludf.DUMMYFUNCTION("""COMPUTED_VALUE"""),"Venue")</f>
        <v>Venue</v>
      </c>
      <c r="AK5" s="29" t="str">
        <f>IFERROR(__xludf.DUMMYFUNCTION("""COMPUTED_VALUE"""),"Settlement Currency")</f>
        <v>Settlement Currency</v>
      </c>
      <c r="AL5" s="29" t="str">
        <f>IFERROR(__xludf.DUMMYFUNCTION("""COMPUTED_VALUE"""),"FX Conversion Operator")</f>
        <v>FX Conversion Operator</v>
      </c>
      <c r="AM5" s="29" t="str">
        <f>IFERROR(__xludf.DUMMYFUNCTION("""COMPUTED_VALUE"""),"Process Date")</f>
        <v>Process Date</v>
      </c>
      <c r="AN5" s="29" t="str">
        <f>IFERROR(__xludf.DUMMYFUNCTION("""COMPUTED_VALUE"""),"Underlying Symbol")</f>
        <v>Underlying Symbol</v>
      </c>
      <c r="AO5" s="29" t="str">
        <f>IFERROR(__xludf.DUMMYFUNCTION("""COMPUTED_VALUE"""),"Put/Call")</f>
        <v>Put/Call</v>
      </c>
      <c r="AP5" s="29" t="str">
        <f>IFERROR(__xludf.DUMMYFUNCTION("""COMPUTED_VALUE"""),"FX Rate")</f>
        <v>FX Rate</v>
      </c>
      <c r="AQ5" s="29" t="str">
        <f>IFERROR(__xludf.DUMMYFUNCTION("""COMPUTED_VALUE"""),"Trade Attribute 1")</f>
        <v>Trade Attribute 1</v>
      </c>
      <c r="AR5" s="29" t="str">
        <f>IFERROR(__xludf.DUMMYFUNCTION("""COMPUTED_VALUE"""),"Trade Attribute 2")</f>
        <v>Trade Attribute 2</v>
      </c>
      <c r="AS5" s="29" t="str">
        <f>IFERROR(__xludf.DUMMYFUNCTION("""COMPUTED_VALUE"""),"Trade Attribute 3")</f>
        <v>Trade Attribute 3</v>
      </c>
      <c r="AT5" s="29" t="str">
        <f>IFERROR(__xludf.DUMMYFUNCTION("""COMPUTED_VALUE"""),"Trade Attribute 4")</f>
        <v>Trade Attribute 4</v>
      </c>
      <c r="AU5" s="29" t="str">
        <f>IFERROR(__xludf.DUMMYFUNCTION("""COMPUTED_VALUE"""),"Trade Attribute 5")</f>
        <v>Trade Attribute 5</v>
      </c>
      <c r="AV5" s="29" t="str">
        <f>IFERROR(__xludf.DUMMYFUNCTION("""COMPUTED_VALUE"""),"Trade Attribute 6")</f>
        <v>Trade Attribute 6</v>
      </c>
      <c r="AW5" s="29" t="str">
        <f>IFERROR(__xludf.DUMMYFUNCTION("""COMPUTED_VALUE"""),"Internal Comments")</f>
        <v>Internal Comments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4"/>
      <c r="B6" s="37">
        <v>10.0</v>
      </c>
      <c r="C6" s="39"/>
      <c r="D6" s="48" t="s">
        <v>21</v>
      </c>
      <c r="E6" s="39"/>
      <c r="F6" s="39" t="s">
        <v>22</v>
      </c>
      <c r="G6" s="39" t="s">
        <v>45</v>
      </c>
      <c r="H6" s="38">
        <v>100.0</v>
      </c>
      <c r="I6" s="38"/>
      <c r="J6" s="38"/>
      <c r="K6" s="38"/>
      <c r="L6" s="38"/>
      <c r="M6" s="39"/>
      <c r="N6" s="38">
        <v>10.0</v>
      </c>
      <c r="O6" s="39"/>
      <c r="P6" s="51">
        <v>10.0</v>
      </c>
      <c r="Q6" s="39" t="s">
        <v>34</v>
      </c>
      <c r="R6" s="39" t="s">
        <v>35</v>
      </c>
      <c r="S6" s="39"/>
      <c r="T6" s="41" t="s">
        <v>36</v>
      </c>
      <c r="U6" s="54">
        <v>500.0</v>
      </c>
      <c r="V6" s="54">
        <v>500.0</v>
      </c>
      <c r="W6" s="50">
        <v>0.0</v>
      </c>
      <c r="X6" s="41"/>
      <c r="Y6" s="41"/>
      <c r="Z6" s="39"/>
      <c r="AA6" s="49">
        <v>50.0</v>
      </c>
      <c r="AB6" s="55" t="s">
        <v>46</v>
      </c>
      <c r="AC6" s="41"/>
      <c r="AD6" s="41" t="s">
        <v>35</v>
      </c>
      <c r="AE6" s="41"/>
      <c r="AF6" s="41" t="s">
        <v>38</v>
      </c>
      <c r="AG6" s="41" t="s">
        <v>39</v>
      </c>
      <c r="AH6" s="41" t="s">
        <v>40</v>
      </c>
      <c r="AI6" s="41"/>
      <c r="AJ6" s="41" t="s">
        <v>41</v>
      </c>
      <c r="AK6" s="41"/>
      <c r="AL6" s="41"/>
      <c r="AM6" s="41"/>
      <c r="AN6" s="41"/>
      <c r="AO6" s="41"/>
      <c r="AP6" s="50">
        <v>1.0</v>
      </c>
      <c r="AQ6" s="41"/>
      <c r="AR6" s="41"/>
      <c r="AS6" s="41"/>
      <c r="AT6" s="41"/>
      <c r="AU6" s="41"/>
      <c r="AV6" s="41"/>
      <c r="AW6" s="41"/>
      <c r="AX6" s="41"/>
      <c r="AY6" s="50">
        <v>100.0</v>
      </c>
      <c r="AZ6" s="41"/>
      <c r="BA6" s="41"/>
      <c r="BB6" s="41"/>
      <c r="BC6" s="41"/>
      <c r="BD6" s="41"/>
      <c r="BE6" s="41"/>
      <c r="BF6" s="41"/>
      <c r="BG6" s="41"/>
      <c r="BH6" s="41"/>
      <c r="BI6" s="41"/>
      <c r="BJ6" s="41"/>
      <c r="BK6" s="41"/>
      <c r="BL6" s="41"/>
      <c r="BM6" s="41"/>
      <c r="BN6" s="41"/>
      <c r="BO6" s="41"/>
      <c r="BP6" s="41"/>
      <c r="BQ6" s="41"/>
      <c r="BR6" s="41"/>
      <c r="BS6" s="41"/>
      <c r="BT6" s="41"/>
      <c r="BU6" s="41"/>
      <c r="BV6" s="41"/>
      <c r="BW6" s="41"/>
      <c r="BX6" s="41"/>
      <c r="BY6" s="41"/>
      <c r="BZ6" s="41"/>
      <c r="CA6" s="41"/>
      <c r="CB6" s="41"/>
      <c r="CC6" s="41"/>
      <c r="CD6" s="41"/>
      <c r="CE6" s="41"/>
      <c r="CF6" s="41"/>
      <c r="CG6" s="41"/>
      <c r="CH6" s="41"/>
      <c r="CI6" s="41"/>
      <c r="CJ6" s="41"/>
      <c r="CK6" s="41"/>
      <c r="CL6" s="41"/>
      <c r="CM6" s="41"/>
      <c r="CN6" s="41"/>
      <c r="CO6" s="41"/>
      <c r="CP6" s="41"/>
      <c r="CQ6" s="41"/>
      <c r="CR6" s="41"/>
      <c r="CS6" s="41"/>
      <c r="CT6" s="41"/>
      <c r="CU6" s="41"/>
      <c r="CV6" s="41"/>
      <c r="CW6" s="41"/>
      <c r="CX6" s="41"/>
      <c r="CY6" s="41"/>
      <c r="CZ6" s="41"/>
      <c r="DA6" s="41"/>
      <c r="DB6" s="41"/>
      <c r="DC6" s="41"/>
      <c r="DD6" s="41"/>
      <c r="DE6" s="41"/>
      <c r="DF6" s="41"/>
      <c r="DG6" s="41"/>
      <c r="DH6" s="41"/>
      <c r="DI6" s="41"/>
      <c r="DJ6" s="41"/>
      <c r="DK6" s="41"/>
      <c r="DL6" s="41"/>
      <c r="DM6" s="41"/>
      <c r="DN6" s="41"/>
      <c r="DO6" s="41"/>
      <c r="DP6" s="41"/>
      <c r="DQ6" s="41"/>
      <c r="DR6" s="41"/>
      <c r="DS6" s="41"/>
      <c r="DT6" s="41"/>
      <c r="DU6" s="41"/>
      <c r="DV6" s="41"/>
      <c r="DW6" s="41"/>
      <c r="DX6" s="41"/>
      <c r="DY6" s="41"/>
      <c r="DZ6" s="41"/>
      <c r="EA6" s="41"/>
      <c r="EB6" s="41"/>
      <c r="EC6" s="41"/>
      <c r="ED6" s="41"/>
      <c r="EE6" s="41"/>
      <c r="EF6" s="41"/>
      <c r="EG6" s="41"/>
      <c r="EH6" s="41"/>
      <c r="EI6" s="41"/>
      <c r="EJ6" s="41"/>
      <c r="EK6" s="41"/>
      <c r="EL6" s="41"/>
      <c r="EM6" s="41"/>
      <c r="EN6" s="41"/>
      <c r="EO6" s="41"/>
      <c r="EP6" s="41"/>
      <c r="EQ6" s="41"/>
      <c r="ER6" s="41"/>
      <c r="ES6" s="41"/>
      <c r="ET6" s="41"/>
      <c r="EU6" s="41"/>
      <c r="EV6" s="41"/>
      <c r="EW6" s="41"/>
      <c r="EX6" s="4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SelectTradeOnOrderGrid1!$4:$4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31</v>
      </c>
      <c r="D3" s="5" t="s">
        <v>9</v>
      </c>
      <c r="E3" s="22" t="s">
        <v>47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IFERROR(__xludf.DUMMYFUNCTION("""COMPUTED_VALUE"""),"OpenBlotter")</f>
        <v>OpenBlotter</v>
      </c>
      <c r="AW4" s="25" t="str">
        <f>IFERROR(__xludf.DUMMYFUNCTION("""COMPUTED_VALUE"""),"RemoveManualExecution")</f>
        <v>RemoveManualExecution</v>
      </c>
      <c r="AX4" s="25" t="str">
        <f>IFERROR(__xludf.DUMMYFUNCTION("""COMPUTED_VALUE"""),"RemoveExecutionWorkingSubs")</f>
        <v>RemoveExecutionWorkingSubs</v>
      </c>
      <c r="AY4" s="25" t="str">
        <f>IFERROR(__xludf.DUMMYFUNCTION("""COMPUTED_VALUE"""),"GetExecutionReportOrders")</f>
        <v>GetExecutionReportOrders</v>
      </c>
      <c r="AZ4" s="25" t="str">
        <f>IFERROR(__xludf.DUMMYFUNCTION("""COMPUTED_VALUE"""),"GetExecutionReportDetails")</f>
        <v>GetExecutionReportDetails</v>
      </c>
      <c r="BA4" s="25" t="str">
        <f>IFERROR(__xludf.DUMMYFUNCTION("""COMPUTED_VALUE"""),"ExportExecutionReportData")</f>
        <v>ExportExecutionReportData</v>
      </c>
      <c r="BB4" s="25" t="str">
        <f>IFERROR(__xludf.DUMMYFUNCTION("""COMPUTED_VALUE"""),"VerifyExecutionReport")</f>
        <v>VerifyExecutionReport</v>
      </c>
      <c r="BC4" s="25" t="str">
        <f>IFERROR(__xludf.DUMMYFUNCTION("""COMPUTED_VALUE"""),"BlotterExecutionReportSnapshot")</f>
        <v>BlotterExecutionReportSnapshot</v>
      </c>
      <c r="BD4" s="25" t="str">
        <f>IFERROR(__xludf.DUMMYFUNCTION("""COMPUTED_VALUE"""),"MultipleTradeTransferToUser")</f>
        <v>MultipleTradeTransferToUser</v>
      </c>
      <c r="BE4" s="25" t="str">
        <f>IFERROR(__xludf.DUMMYFUNCTION("""COMPUTED_VALUE"""),"AllocateFromBlotter")</f>
        <v>AllocateFromBlotter</v>
      </c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IFERROR(__xludf.DUMMYFUNCTION("TRANSPOSE(IMPORTRANGE(VLOOKUP($E$3,IMPORTRANGE('_Settings'!$B$3,$C$3&amp;""!A4:B1000""),2,FALSE),$G$3&amp;""!A4:A1000""))"),"#REF!")</f>
        <v>#REF!</v>
      </c>
      <c r="B5" s="27"/>
      <c r="C5" s="27"/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4"/>
      <c r="B6" s="45"/>
      <c r="C6" s="39"/>
      <c r="D6" s="47">
        <v>10.0</v>
      </c>
      <c r="E6" s="48" t="s">
        <v>46</v>
      </c>
      <c r="F6" s="38">
        <v>0.0</v>
      </c>
      <c r="G6" s="47">
        <v>50.0</v>
      </c>
      <c r="H6" s="39" t="s">
        <v>41</v>
      </c>
      <c r="I6" s="39"/>
      <c r="J6" s="39"/>
      <c r="K6" s="39" t="s">
        <v>39</v>
      </c>
      <c r="L6" s="39" t="s">
        <v>40</v>
      </c>
      <c r="M6" s="39"/>
      <c r="N6" s="39"/>
      <c r="O6" s="39"/>
      <c r="P6" s="39"/>
      <c r="Q6" s="39"/>
      <c r="R6" s="39"/>
      <c r="S6" s="39"/>
      <c r="T6" s="50">
        <v>0.0</v>
      </c>
      <c r="U6" s="41"/>
      <c r="V6" s="41"/>
      <c r="W6" s="41"/>
      <c r="X6" s="50">
        <v>0.0</v>
      </c>
      <c r="Y6" s="41"/>
      <c r="Z6" s="41"/>
      <c r="AA6" s="41" t="s">
        <v>35</v>
      </c>
      <c r="AB6" s="41"/>
      <c r="AC6" s="41"/>
      <c r="AD6" s="50">
        <v>1.0</v>
      </c>
      <c r="AE6" s="41"/>
      <c r="AF6" s="41" t="s">
        <v>43</v>
      </c>
      <c r="AG6" s="41"/>
      <c r="AH6" s="41"/>
      <c r="AI6" s="53" t="s">
        <v>21</v>
      </c>
      <c r="AJ6" s="41" t="s">
        <v>22</v>
      </c>
      <c r="AK6" s="53" t="s">
        <v>48</v>
      </c>
      <c r="AL6" s="50">
        <v>100.0</v>
      </c>
      <c r="AM6" s="54">
        <v>50.0</v>
      </c>
      <c r="AN6" s="54"/>
      <c r="AO6" s="54"/>
      <c r="AP6" s="41"/>
      <c r="AQ6" s="54">
        <v>10.0</v>
      </c>
      <c r="AR6" s="54">
        <v>10.0</v>
      </c>
      <c r="AS6" s="41" t="s">
        <v>34</v>
      </c>
      <c r="AT6" s="41" t="s">
        <v>35</v>
      </c>
      <c r="AU6" s="41" t="s">
        <v>36</v>
      </c>
      <c r="AV6" s="54">
        <v>500.0</v>
      </c>
      <c r="AW6" s="54">
        <v>500.0</v>
      </c>
      <c r="AX6" s="41"/>
      <c r="AY6" s="41"/>
      <c r="AZ6" s="50"/>
      <c r="BA6" s="41"/>
      <c r="BB6" s="41"/>
      <c r="BC6" s="41"/>
      <c r="BD6" s="41"/>
      <c r="BE6" s="41"/>
      <c r="BF6" s="41"/>
      <c r="BG6" s="41"/>
      <c r="BH6" s="41"/>
      <c r="BI6" s="41"/>
      <c r="BJ6" s="41"/>
      <c r="BK6" s="41"/>
      <c r="BL6" s="41"/>
      <c r="BM6" s="41"/>
      <c r="BN6" s="41"/>
      <c r="BO6" s="41"/>
      <c r="BP6" s="41"/>
      <c r="BQ6" s="41"/>
      <c r="BR6" s="41"/>
      <c r="BS6" s="41"/>
      <c r="BT6" s="41"/>
      <c r="BU6" s="41"/>
      <c r="BV6" s="41"/>
      <c r="BW6" s="41"/>
      <c r="BX6" s="41"/>
      <c r="BY6" s="41"/>
      <c r="BZ6" s="41"/>
      <c r="CA6" s="41"/>
      <c r="CB6" s="41"/>
      <c r="CC6" s="41"/>
      <c r="CD6" s="41"/>
      <c r="CE6" s="41"/>
      <c r="CF6" s="41"/>
      <c r="CG6" s="41"/>
      <c r="CH6" s="41"/>
      <c r="CI6" s="41"/>
      <c r="CJ6" s="41"/>
      <c r="CK6" s="41"/>
      <c r="CL6" s="41"/>
      <c r="CM6" s="41"/>
      <c r="CN6" s="41"/>
      <c r="CO6" s="41"/>
      <c r="CP6" s="41"/>
      <c r="CQ6" s="41"/>
      <c r="CR6" s="41"/>
      <c r="CS6" s="41"/>
      <c r="CT6" s="41"/>
      <c r="CU6" s="41"/>
      <c r="CV6" s="41"/>
      <c r="CW6" s="41"/>
      <c r="CX6" s="41"/>
      <c r="CY6" s="41"/>
      <c r="CZ6" s="41"/>
      <c r="DA6" s="41"/>
      <c r="DB6" s="41"/>
      <c r="DC6" s="41"/>
      <c r="DD6" s="41"/>
      <c r="DE6" s="41"/>
      <c r="DF6" s="41"/>
      <c r="DG6" s="41"/>
      <c r="DH6" s="41"/>
      <c r="DI6" s="41"/>
      <c r="DJ6" s="41"/>
      <c r="DK6" s="41"/>
      <c r="DL6" s="41"/>
      <c r="DM6" s="41"/>
      <c r="DN6" s="41"/>
      <c r="DO6" s="41"/>
      <c r="DP6" s="41"/>
      <c r="DQ6" s="41"/>
      <c r="DR6" s="41"/>
      <c r="DS6" s="41"/>
      <c r="DT6" s="41"/>
      <c r="DU6" s="41"/>
      <c r="DV6" s="41"/>
      <c r="DW6" s="41"/>
      <c r="DX6" s="41"/>
      <c r="DY6" s="41"/>
      <c r="DZ6" s="41"/>
      <c r="EA6" s="41"/>
      <c r="EB6" s="41"/>
      <c r="EC6" s="41"/>
      <c r="ED6" s="41"/>
      <c r="EE6" s="41"/>
      <c r="EF6" s="41"/>
      <c r="EG6" s="41"/>
      <c r="EH6" s="41"/>
      <c r="EI6" s="41"/>
      <c r="EJ6" s="41"/>
      <c r="EK6" s="41"/>
      <c r="EL6" s="41"/>
      <c r="EM6" s="41"/>
      <c r="EN6" s="41"/>
      <c r="EO6" s="41"/>
      <c r="EP6" s="41"/>
      <c r="EQ6" s="41"/>
      <c r="ER6" s="41"/>
      <c r="ES6" s="41"/>
      <c r="ET6" s="41"/>
      <c r="EU6" s="41"/>
      <c r="EV6" s="41"/>
      <c r="EW6" s="41"/>
      <c r="EX6" s="4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CancelSubOrder!$4:$4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27</v>
      </c>
      <c r="D3" s="5" t="s">
        <v>9</v>
      </c>
      <c r="E3" s="22" t="s">
        <v>49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22</v>
      </c>
      <c r="C6" s="11" t="s">
        <v>26</v>
      </c>
      <c r="D6" s="11"/>
      <c r="E6" s="32"/>
      <c r="F6" s="8"/>
      <c r="G6" s="11">
        <v>100.0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RejectTrade!$4:$4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50</v>
      </c>
      <c r="D3" s="5" t="s">
        <v>9</v>
      </c>
      <c r="E3" s="22" t="s">
        <v>51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IFERROR(__xludf.DUMMYFUNCTION("IF(C3="""","""",Transpose(IMPORTRANGE('_Settings'!$B$3,C3&amp;""!A4:A1000"")))"),"CheckCompliance")</f>
        <v>CheckCompliance</v>
      </c>
      <c r="C4" s="24" t="str">
        <f>IFERROR(__xludf.DUMMYFUNCTION("""COMPUTED_VALUE"""),"VerifyAccountDivisorWindow")</f>
        <v>VerifyAccountDivisorWindow</v>
      </c>
      <c r="D4" s="24" t="str">
        <f>IFERROR(__xludf.DUMMYFUNCTION("""COMPUTED_VALUE"""),"VerifyAccountSymbolDivisorWindow")</f>
        <v>VerifyAccountSymbolDivisorWindow</v>
      </c>
      <c r="E4" s="24" t="str">
        <f>IFERROR(__xludf.DUMMYFUNCTION("""COMPUTED_VALUE"""),"VerifyAggregationAccountSymbolWithNav")</f>
        <v>VerifyAggregationAccountSymbolWithNav</v>
      </c>
      <c r="F4" s="24" t="str">
        <f>IFERROR(__xludf.DUMMYFUNCTION("""COMPUTED_VALUE"""),"VerifyAggregationAccountWithNav")</f>
        <v>VerifyAggregationAccountWithNav</v>
      </c>
      <c r="G4" s="24" t="str">
        <f>IFERROR(__xludf.DUMMYFUNCTION("""COMPUTED_VALUE"""),"VerifyAggregationMasterFundSymbolWithNav")</f>
        <v>VerifyAggregationMasterFundSymbolWithNav</v>
      </c>
      <c r="H4" s="24" t="str">
        <f>IFERROR(__xludf.DUMMYFUNCTION("""COMPUTED_VALUE"""),"VerifyAggregationMasterFundUnderlyingSymbolWithNav")</f>
        <v>VerifyAggregationMasterFundUnderlyingSymbolWithNav</v>
      </c>
      <c r="I4" s="24" t="str">
        <f>IFERROR(__xludf.DUMMYFUNCTION("""COMPUTED_VALUE"""),"VerifyAggregationMasterFundWithNav")</f>
        <v>VerifyAggregationMasterFundWithNav</v>
      </c>
      <c r="J4" s="24" t="str">
        <f>IFERROR(__xludf.DUMMYFUNCTION("""COMPUTED_VALUE"""),"VerifyAggregationSectorWithNav")</f>
        <v>VerifyAggregationSectorWithNav</v>
      </c>
      <c r="K4" s="24" t="str">
        <f>IFERROR(__xludf.DUMMYFUNCTION("""COMPUTED_VALUE"""),"VerifyAggregationUnderlyingSymbolWithNav")</f>
        <v>VerifyAggregationUnderlyingSymbolWithNav</v>
      </c>
      <c r="L4" s="24" t="str">
        <f>IFERROR(__xludf.DUMMYFUNCTION("""COMPUTED_VALUE"""),"VerifyAuecWindow")</f>
        <v>VerifyAuecWindow</v>
      </c>
      <c r="M4" s="24" t="str">
        <f>IFERROR(__xludf.DUMMYFUNCTION("""COMPUTED_VALUE"""),"VerifyBetaWindow")</f>
        <v>VerifyBetaWindow</v>
      </c>
      <c r="N4" s="24" t="str">
        <f>IFERROR(__xludf.DUMMYFUNCTION("""COMPUTED_VALUE"""),"VerifyCustomSymbolDataWindow")</f>
        <v>VerifyCustomSymbolDataWindow</v>
      </c>
      <c r="O4" s="24" t="str">
        <f>IFERROR(__xludf.DUMMYFUNCTION("""COMPUTED_VALUE"""),"VerifyDayEndCashAccountWindow")</f>
        <v>VerifyDayEndCashAccountWindow</v>
      </c>
      <c r="P4" s="25" t="str">
        <f>IFERROR(__xludf.DUMMYFUNCTION("""COMPUTED_VALUE"""),"VerifyDbNavWindow")</f>
        <v>VerifyDbNavWindow</v>
      </c>
      <c r="Q4" s="25" t="str">
        <f>IFERROR(__xludf.DUMMYFUNCTION("""COMPUTED_VALUE"""),"VerifyGlobalDivisorWindow")</f>
        <v>VerifyGlobalDivisorWindow</v>
      </c>
      <c r="R4" s="25" t="str">
        <f>IFERROR(__xludf.DUMMYFUNCTION("""COMPUTED_VALUE"""),"VerifyPmCalculationPreferenceWindow")</f>
        <v>VerifyPmCalculationPreferenceWindow</v>
      </c>
      <c r="S4" s="25" t="str">
        <f>IFERROR(__xludf.DUMMYFUNCTION("""COMPUTED_VALUE"""),"VerifyRowCalculationBaseWindow")</f>
        <v>VerifyRowCalculationBaseWindow</v>
      </c>
      <c r="T4" s="25" t="str">
        <f>IFERROR(__xludf.DUMMYFUNCTION("""COMPUTED_VALUE"""),"VerifySecurityWindow")</f>
        <v>VerifySecurityWindow</v>
      </c>
      <c r="U4" s="25" t="str">
        <f>IFERROR(__xludf.DUMMYFUNCTION("""COMPUTED_VALUE"""),"VerifySymbolDataWindow")</f>
        <v>VerifySymbolDataWindow</v>
      </c>
      <c r="V4" s="25" t="str">
        <f>IFERROR(__xludf.DUMMYFUNCTION("""COMPUTED_VALUE"""),"VerifySymbolDivisorWindow")</f>
        <v>VerifySymbolDivisorWindow</v>
      </c>
      <c r="W4" s="25" t="str">
        <f>IFERROR(__xludf.DUMMYFUNCTION("""COMPUTED_VALUE"""),"VerifyTaxlotWindow")</f>
        <v>VerifyTaxlotWindow</v>
      </c>
      <c r="X4" s="25" t="str">
        <f>IFERROR(__xludf.DUMMYFUNCTION("""COMPUTED_VALUE"""),"RestartEsper")</f>
        <v>RestartEsper</v>
      </c>
      <c r="Y4" s="25" t="str">
        <f>IFERROR(__xludf.DUMMYFUNCTION("""COMPUTED_VALUE"""),"VerifyAccountNavPreferenceWindow")</f>
        <v>VerifyAccountNavPreferenceWindow</v>
      </c>
      <c r="Z4" s="25" t="str">
        <f>IFERROR(__xludf.DUMMYFUNCTION("""COMPUTED_VALUE"""),"VerifyAggregationAccountUnderlyingSymbolWithNav")</f>
        <v>VerifyAggregationAccountUnderlyingSymbolWithNav</v>
      </c>
      <c r="AA4" s="25" t="str">
        <f>IFERROR(__xludf.DUMMYFUNCTION("""COMPUTED_VALUE"""),"VerifyAggregationAssetWithNav")</f>
        <v>VerifyAggregationAssetWithNav</v>
      </c>
      <c r="AB4" s="25" t="str">
        <f>IFERROR(__xludf.DUMMYFUNCTION("""COMPUTED_VALUE"""),"VerifyAggregationSymbolWithNav")</f>
        <v>VerifyAggregationSymbolWithNav</v>
      </c>
      <c r="AC4" s="25" t="str">
        <f>IFERROR(__xludf.DUMMYFUNCTION("""COMPUTED_VALUE"""),"VerifyAggregationSubSectorWithNav")</f>
        <v>VerifyAggregationSubSectorWithNav</v>
      </c>
      <c r="AD4" s="25" t="str">
        <f>IFERROR(__xludf.DUMMYFUNCTION("""COMPUTED_VALUE"""),"VerifyAggregationGlobalWithNav")</f>
        <v>VerifyAggregationGlobalWithNav</v>
      </c>
      <c r="AE4" s="25" t="str">
        <f>IFERROR(__xludf.DUMMYFUNCTION("""COMPUTED_VALUE"""),"VerifyAggregationGlobalWithNav")</f>
        <v>VerifyAggregationGlobalWithNav</v>
      </c>
      <c r="AF4" s="25" t="str">
        <f>IFERROR(__xludf.DUMMYFUNCTION("""COMPUTED_VALUE"""),"VerifyGlobalDivisorWindow")</f>
        <v>VerifyGlobalDivisorWindow</v>
      </c>
      <c r="AG4" s="25" t="str">
        <f>IFERROR(__xludf.DUMMYFUNCTION("""COMPUTED_VALUE"""),"VerifyAccrualForAccountWindow")</f>
        <v>VerifyAccrualForAccountWindow</v>
      </c>
      <c r="AH4" s="25" t="str">
        <f>IFERROR(__xludf.DUMMYFUNCTION("""COMPUTED_VALUE"""),"VerifyGlobalDivisorWindow")</f>
        <v>VerifyGlobalDivisorWindow</v>
      </c>
      <c r="AI4" s="25" t="str">
        <f>IFERROR(__xludf.DUMMYFUNCTION("""COMPUTED_VALUE"""),"VerifyMasterFundDivisorWindow")</f>
        <v>VerifyMasterFundDivisorWindow</v>
      </c>
      <c r="AJ4" s="25" t="str">
        <f>IFERROR(__xludf.DUMMYFUNCTION("""COMPUTED_VALUE"""),"VerifyMasterFundSymbolDivisorWindow")</f>
        <v>VerifyMasterFundSymbolDivisorWindow</v>
      </c>
      <c r="AK4" s="25" t="str">
        <f>IFERROR(__xludf.DUMMYFUNCTION("""COMPUTED_VALUE"""),"VerifyAggAccountSymbolWithNav")</f>
        <v>VerifyAggAccountSymbolWithNav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IFERROR(__xludf.DUMMYFUNCTION("""COMPUTED_VALUE"""),"basketId")</f>
        <v>basketId</v>
      </c>
      <c r="C5" s="27" t="str">
        <f>IFERROR(__xludf.DUMMYFUNCTION("""COMPUTED_VALUE"""),"symbol")</f>
        <v>symbol</v>
      </c>
      <c r="D5" s="27" t="str">
        <f>IFERROR(__xludf.DUMMYFUNCTION("""COMPUTED_VALUE"""),"taxlotId")</f>
        <v>taxlotId</v>
      </c>
      <c r="E5" s="27" t="str">
        <f>IFERROR(__xludf.DUMMYFUNCTION("""COMPUTED_VALUE"""),"clOrderId")</f>
        <v>clOrderId</v>
      </c>
      <c r="F5" s="28" t="str">
        <f>IFERROR(__xludf.DUMMYFUNCTION("""COMPUTED_VALUE"""),"taxlotType")</f>
        <v>taxlotType</v>
      </c>
      <c r="G5" s="27" t="str">
        <f>IFERROR(__xludf.DUMMYFUNCTION("""COMPUTED_VALUE"""),"taxlotState")</f>
        <v>taxlotState</v>
      </c>
      <c r="H5" s="27" t="str">
        <f>IFERROR(__xludf.DUMMYFUNCTION("""COMPUTED_VALUE"""),"underlyingSymbol")</f>
        <v>underlyingSymbol</v>
      </c>
      <c r="I5" s="27" t="str">
        <f>IFERROR(__xludf.DUMMYFUNCTION("""COMPUTED_VALUE"""),"quantity")</f>
        <v>quantity</v>
      </c>
      <c r="J5" s="27" t="str">
        <f>IFERROR(__xludf.DUMMYFUNCTION("""COMPUTED_VALUE"""),"avgPrice")</f>
        <v>avgPrice</v>
      </c>
      <c r="K5" s="27" t="str">
        <f>IFERROR(__xludf.DUMMYFUNCTION("""COMPUTED_VALUE"""),"orderSideTagValue")</f>
        <v>orderSideTagValue</v>
      </c>
      <c r="L5" s="27" t="str">
        <f>IFERROR(__xludf.DUMMYFUNCTION("""COMPUTED_VALUE"""),"orderTypeTagValue")</f>
        <v>orderTypeTagValue</v>
      </c>
      <c r="M5" s="27" t="str">
        <f>IFERROR(__xludf.DUMMYFUNCTION("""COMPUTED_VALUE"""),"accountId")</f>
        <v>accountId</v>
      </c>
      <c r="N5" s="27" t="str">
        <f>IFERROR(__xludf.DUMMYFUNCTION("""COMPUTED_VALUE"""),"strategyId")</f>
        <v>strategyId</v>
      </c>
      <c r="O5" s="27" t="str">
        <f>IFERROR(__xludf.DUMMYFUNCTION("""COMPUTED_VALUE"""),"counterPartyId")</f>
        <v>counterPartyId</v>
      </c>
      <c r="P5" s="27" t="str">
        <f>IFERROR(__xludf.DUMMYFUNCTION("""COMPUTED_VALUE"""),"venueId")</f>
        <v>venueId</v>
      </c>
      <c r="Q5" s="27" t="str">
        <f>IFERROR(__xludf.DUMMYFUNCTION("""COMPUTED_VALUE"""),"auecLocalDate")</f>
        <v>auecLocalDate</v>
      </c>
      <c r="R5" s="27" t="str">
        <f>IFERROR(__xludf.DUMMYFUNCTION("""COMPUTED_VALUE"""),"settlementDate")</f>
        <v>settlementDate</v>
      </c>
      <c r="S5" s="27" t="str">
        <f>IFERROR(__xludf.DUMMYFUNCTION("""COMPUTED_VALUE"""),"userId")</f>
        <v>userId</v>
      </c>
      <c r="T5" s="29" t="str">
        <f>IFERROR(__xludf.DUMMYFUNCTION("""COMPUTED_VALUE"""),"isSwapped")</f>
        <v>isSwapped</v>
      </c>
      <c r="U5" s="29" t="str">
        <f>IFERROR(__xludf.DUMMYFUNCTION("""COMPUTED_VALUE"""),"benchMarkRate")</f>
        <v>benchMarkRate</v>
      </c>
      <c r="V5" s="29" t="str">
        <f>IFERROR(__xludf.DUMMYFUNCTION("""COMPUTED_VALUE"""),"differential")</f>
        <v>differential</v>
      </c>
      <c r="W5" s="29" t="str">
        <f>IFERROR(__xludf.DUMMYFUNCTION("""COMPUTED_VALUE"""),"swapNotional")</f>
        <v>swapNotional</v>
      </c>
      <c r="X5" s="29" t="str">
        <f>IFERROR(__xludf.DUMMYFUNCTION("""COMPUTED_VALUE"""),"dayCount")</f>
        <v>dayCount</v>
      </c>
      <c r="Y5" s="29" t="str">
        <f>IFERROR(__xludf.DUMMYFUNCTION("""COMPUTED_VALUE"""),"avgFxRateForTrade")</f>
        <v>avgFxRateForTrade</v>
      </c>
      <c r="Z5" s="29" t="str">
        <f>IFERROR(__xludf.DUMMYFUNCTION("""COMPUTED_VALUE"""),"conversionMethodOperator")</f>
        <v>conversionMethodOperator</v>
      </c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56"/>
      <c r="C6" s="9" t="s">
        <v>21</v>
      </c>
      <c r="F6" s="9" t="s">
        <v>52</v>
      </c>
      <c r="H6" s="9" t="s">
        <v>21</v>
      </c>
      <c r="I6" s="9">
        <v>25.0</v>
      </c>
      <c r="J6" s="9">
        <v>10.0</v>
      </c>
      <c r="T6" s="9" t="b">
        <v>0</v>
      </c>
      <c r="U6" s="9">
        <v>0.0</v>
      </c>
      <c r="W6" s="9">
        <v>0.0</v>
      </c>
      <c r="X6" s="9">
        <v>0.0</v>
      </c>
      <c r="Y6" s="9">
        <v>1.0</v>
      </c>
      <c r="Z6" s="9" t="s">
        <v>43</v>
      </c>
      <c r="AE6" s="9">
        <v>1.0</v>
      </c>
      <c r="AH6" s="9" t="s">
        <v>53</v>
      </c>
    </row>
    <row r="7" ht="15.75" customHeight="1">
      <c r="A7" s="57"/>
      <c r="C7" s="9" t="s">
        <v>21</v>
      </c>
      <c r="F7" s="9" t="s">
        <v>52</v>
      </c>
      <c r="H7" s="9" t="s">
        <v>21</v>
      </c>
      <c r="I7" s="9">
        <v>25.0</v>
      </c>
      <c r="J7" s="9">
        <v>10.0</v>
      </c>
      <c r="T7" s="9" t="b">
        <v>0</v>
      </c>
      <c r="U7" s="9">
        <v>0.0</v>
      </c>
      <c r="W7" s="9">
        <v>0.0</v>
      </c>
      <c r="X7" s="9">
        <v>0.0</v>
      </c>
      <c r="Y7" s="9">
        <v>1.0</v>
      </c>
      <c r="Z7" s="9" t="s">
        <v>43</v>
      </c>
      <c r="AE7" s="9">
        <v>1.0</v>
      </c>
      <c r="AH7" s="9" t="s">
        <v>53</v>
      </c>
    </row>
    <row r="8" ht="15.75" customHeight="1">
      <c r="A8" s="57"/>
      <c r="C8" s="9" t="s">
        <v>21</v>
      </c>
      <c r="F8" s="9" t="s">
        <v>54</v>
      </c>
      <c r="H8" s="9" t="s">
        <v>21</v>
      </c>
      <c r="I8" s="9">
        <v>25.0</v>
      </c>
      <c r="J8" s="9">
        <v>10.0</v>
      </c>
      <c r="T8" s="9" t="b">
        <v>0</v>
      </c>
      <c r="U8" s="9">
        <v>0.0</v>
      </c>
      <c r="W8" s="9">
        <v>0.0</v>
      </c>
      <c r="X8" s="9">
        <v>0.0</v>
      </c>
      <c r="Y8" s="9">
        <v>1.0</v>
      </c>
      <c r="Z8" s="9" t="s">
        <v>43</v>
      </c>
      <c r="AD8" s="9" t="s">
        <v>41</v>
      </c>
      <c r="AE8" s="9">
        <v>1.0</v>
      </c>
      <c r="AF8" s="9" t="s">
        <v>36</v>
      </c>
      <c r="AG8" s="9" t="s">
        <v>38</v>
      </c>
      <c r="AH8" s="9" t="s">
        <v>55</v>
      </c>
    </row>
    <row r="9" ht="15.75" customHeight="1">
      <c r="A9" s="57"/>
      <c r="C9" s="9" t="s">
        <v>26</v>
      </c>
      <c r="F9" s="9" t="s">
        <v>52</v>
      </c>
      <c r="H9" s="9" t="s">
        <v>26</v>
      </c>
      <c r="I9" s="9">
        <v>50.0</v>
      </c>
      <c r="J9" s="9">
        <v>10.0</v>
      </c>
      <c r="T9" s="9" t="b">
        <v>0</v>
      </c>
      <c r="U9" s="9">
        <v>0.0</v>
      </c>
      <c r="W9" s="9">
        <v>0.0</v>
      </c>
      <c r="X9" s="9">
        <v>0.0</v>
      </c>
      <c r="Y9" s="9">
        <v>1.0</v>
      </c>
      <c r="Z9" s="9" t="s">
        <v>43</v>
      </c>
      <c r="AD9" s="9" t="s">
        <v>41</v>
      </c>
      <c r="AE9" s="9">
        <v>1.0</v>
      </c>
      <c r="AF9" s="9" t="s">
        <v>36</v>
      </c>
      <c r="AG9" s="9" t="s">
        <v>38</v>
      </c>
      <c r="AH9" s="9" t="s">
        <v>53</v>
      </c>
    </row>
    <row r="10" ht="15.75" customHeight="1">
      <c r="A10" s="57"/>
      <c r="C10" s="9" t="s">
        <v>21</v>
      </c>
      <c r="F10" s="9" t="s">
        <v>54</v>
      </c>
      <c r="H10" s="9" t="s">
        <v>21</v>
      </c>
      <c r="I10" s="9">
        <v>25.0</v>
      </c>
      <c r="J10" s="9">
        <v>10.0</v>
      </c>
      <c r="T10" s="9" t="b">
        <v>0</v>
      </c>
      <c r="U10" s="9">
        <v>0.0</v>
      </c>
      <c r="W10" s="9">
        <v>0.0</v>
      </c>
      <c r="X10" s="9">
        <v>0.0</v>
      </c>
      <c r="Y10" s="9">
        <v>1.0</v>
      </c>
      <c r="Z10" s="9" t="s">
        <v>43</v>
      </c>
      <c r="AD10" s="9" t="s">
        <v>41</v>
      </c>
      <c r="AE10" s="9">
        <v>1.0</v>
      </c>
      <c r="AF10" s="9" t="s">
        <v>36</v>
      </c>
      <c r="AG10" s="9" t="s">
        <v>38</v>
      </c>
      <c r="AH10" s="9" t="s">
        <v>55</v>
      </c>
    </row>
    <row r="11" ht="15.75" customHeight="1">
      <c r="A11" s="57"/>
      <c r="C11" s="9" t="s">
        <v>26</v>
      </c>
      <c r="F11" s="9" t="s">
        <v>52</v>
      </c>
      <c r="H11" s="9" t="s">
        <v>26</v>
      </c>
      <c r="I11" s="9">
        <v>50.0</v>
      </c>
      <c r="J11" s="9">
        <v>10.0</v>
      </c>
      <c r="T11" s="9" t="b">
        <v>0</v>
      </c>
      <c r="U11" s="9">
        <v>0.0</v>
      </c>
      <c r="W11" s="9">
        <v>0.0</v>
      </c>
      <c r="X11" s="9">
        <v>0.0</v>
      </c>
      <c r="Y11" s="9">
        <v>1.0</v>
      </c>
      <c r="Z11" s="9" t="s">
        <v>43</v>
      </c>
      <c r="AD11" s="9" t="s">
        <v>41</v>
      </c>
      <c r="AE11" s="9">
        <v>1.0</v>
      </c>
      <c r="AF11" s="9" t="s">
        <v>36</v>
      </c>
      <c r="AG11" s="9" t="s">
        <v>38</v>
      </c>
      <c r="AH11" s="9" t="s">
        <v>53</v>
      </c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VerifyTaxlotWindow!$4:$4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93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  <c r="GH1" s="19"/>
      <c r="GI1" s="19"/>
      <c r="GJ1" s="19"/>
      <c r="GK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50</v>
      </c>
      <c r="D3" s="5" t="s">
        <v>9</v>
      </c>
      <c r="E3" s="22" t="s">
        <v>56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</row>
    <row r="4" ht="15.75" customHeight="1">
      <c r="A4" s="24"/>
      <c r="B4" s="24" t="str">
        <f>IFERROR(__xludf.DUMMYFUNCTION("IF(C3="""","""",Transpose(IMPORTRANGE('_Settings'!$B$3,C3&amp;""!A4:A1000"")))"),"CheckCompliance")</f>
        <v>CheckCompliance</v>
      </c>
      <c r="C4" s="24" t="str">
        <f>IFERROR(__xludf.DUMMYFUNCTION("""COMPUTED_VALUE"""),"VerifyAccountDivisorWindow")</f>
        <v>VerifyAccountDivisorWindow</v>
      </c>
      <c r="D4" s="24" t="str">
        <f>IFERROR(__xludf.DUMMYFUNCTION("""COMPUTED_VALUE"""),"VerifyAccountSymbolDivisorWindow")</f>
        <v>VerifyAccountSymbolDivisorWindow</v>
      </c>
      <c r="E4" s="24" t="str">
        <f>IFERROR(__xludf.DUMMYFUNCTION("""COMPUTED_VALUE"""),"VerifyAggregationAccountSymbolWithNav")</f>
        <v>VerifyAggregationAccountSymbolWithNav</v>
      </c>
      <c r="F4" s="24" t="str">
        <f>IFERROR(__xludf.DUMMYFUNCTION("""COMPUTED_VALUE"""),"VerifyAggregationAccountWithNav")</f>
        <v>VerifyAggregationAccountWithNav</v>
      </c>
      <c r="G4" s="24" t="str">
        <f>IFERROR(__xludf.DUMMYFUNCTION("""COMPUTED_VALUE"""),"VerifyAggregationMasterFundSymbolWithNav")</f>
        <v>VerifyAggregationMasterFundSymbolWithNav</v>
      </c>
      <c r="H4" s="24" t="str">
        <f>IFERROR(__xludf.DUMMYFUNCTION("""COMPUTED_VALUE"""),"VerifyAggregationMasterFundUnderlyingSymbolWithNav")</f>
        <v>VerifyAggregationMasterFundUnderlyingSymbolWithNav</v>
      </c>
      <c r="I4" s="24" t="str">
        <f>IFERROR(__xludf.DUMMYFUNCTION("""COMPUTED_VALUE"""),"VerifyAggregationMasterFundWithNav")</f>
        <v>VerifyAggregationMasterFundWithNav</v>
      </c>
      <c r="J4" s="24" t="str">
        <f>IFERROR(__xludf.DUMMYFUNCTION("""COMPUTED_VALUE"""),"VerifyAggregationSectorWithNav")</f>
        <v>VerifyAggregationSectorWithNav</v>
      </c>
      <c r="K4" s="24" t="str">
        <f>IFERROR(__xludf.DUMMYFUNCTION("""COMPUTED_VALUE"""),"VerifyAggregationUnderlyingSymbolWithNav")</f>
        <v>VerifyAggregationUnderlyingSymbolWithNav</v>
      </c>
      <c r="L4" s="24" t="str">
        <f>IFERROR(__xludf.DUMMYFUNCTION("""COMPUTED_VALUE"""),"VerifyAuecWindow")</f>
        <v>VerifyAuecWindow</v>
      </c>
      <c r="M4" s="24" t="str">
        <f>IFERROR(__xludf.DUMMYFUNCTION("""COMPUTED_VALUE"""),"VerifyBetaWindow")</f>
        <v>VerifyBetaWindow</v>
      </c>
      <c r="N4" s="24" t="str">
        <f>IFERROR(__xludf.DUMMYFUNCTION("""COMPUTED_VALUE"""),"VerifyCustomSymbolDataWindow")</f>
        <v>VerifyCustomSymbolDataWindow</v>
      </c>
      <c r="O4" s="24" t="str">
        <f>IFERROR(__xludf.DUMMYFUNCTION("""COMPUTED_VALUE"""),"VerifyDayEndCashAccountWindow")</f>
        <v>VerifyDayEndCashAccountWindow</v>
      </c>
      <c r="P4" s="25" t="str">
        <f>IFERROR(__xludf.DUMMYFUNCTION("""COMPUTED_VALUE"""),"VerifyDbNavWindow")</f>
        <v>VerifyDbNavWindow</v>
      </c>
      <c r="Q4" s="25" t="str">
        <f>IFERROR(__xludf.DUMMYFUNCTION("""COMPUTED_VALUE"""),"VerifyGlobalDivisorWindow")</f>
        <v>VerifyGlobalDivisorWindow</v>
      </c>
      <c r="R4" s="25" t="str">
        <f>IFERROR(__xludf.DUMMYFUNCTION("""COMPUTED_VALUE"""),"VerifyPmCalculationPreferenceWindow")</f>
        <v>VerifyPmCalculationPreferenceWindow</v>
      </c>
      <c r="S4" s="25" t="str">
        <f>IFERROR(__xludf.DUMMYFUNCTION("""COMPUTED_VALUE"""),"VerifyRowCalculationBaseWindow")</f>
        <v>VerifyRowCalculationBaseWindow</v>
      </c>
      <c r="T4" s="25" t="str">
        <f>IFERROR(__xludf.DUMMYFUNCTION("""COMPUTED_VALUE"""),"VerifySecurityWindow")</f>
        <v>VerifySecurityWindow</v>
      </c>
      <c r="U4" s="25" t="str">
        <f>IFERROR(__xludf.DUMMYFUNCTION("""COMPUTED_VALUE"""),"VerifySymbolDataWindow")</f>
        <v>VerifySymbolDataWindow</v>
      </c>
      <c r="V4" s="25" t="str">
        <f>IFERROR(__xludf.DUMMYFUNCTION("""COMPUTED_VALUE"""),"VerifySymbolDivisorWindow")</f>
        <v>VerifySymbolDivisorWindow</v>
      </c>
      <c r="W4" s="25" t="str">
        <f>IFERROR(__xludf.DUMMYFUNCTION("""COMPUTED_VALUE"""),"VerifyTaxlotWindow")</f>
        <v>VerifyTaxlotWindow</v>
      </c>
      <c r="X4" s="25" t="str">
        <f>IFERROR(__xludf.DUMMYFUNCTION("""COMPUTED_VALUE"""),"RestartEsper")</f>
        <v>RestartEsper</v>
      </c>
      <c r="Y4" s="25" t="str">
        <f>IFERROR(__xludf.DUMMYFUNCTION("""COMPUTED_VALUE"""),"VerifyAccountNavPreferenceWindow")</f>
        <v>VerifyAccountNavPreferenceWindow</v>
      </c>
      <c r="Z4" s="25" t="str">
        <f>IFERROR(__xludf.DUMMYFUNCTION("""COMPUTED_VALUE"""),"VerifyAggregationAccountUnderlyingSymbolWithNav")</f>
        <v>VerifyAggregationAccountUnderlyingSymbolWithNav</v>
      </c>
      <c r="AA4" s="25" t="str">
        <f>IFERROR(__xludf.DUMMYFUNCTION("""COMPUTED_VALUE"""),"VerifyAggregationAssetWithNav")</f>
        <v>VerifyAggregationAssetWithNav</v>
      </c>
      <c r="AB4" s="25" t="str">
        <f>IFERROR(__xludf.DUMMYFUNCTION("""COMPUTED_VALUE"""),"VerifyAggregationSymbolWithNav")</f>
        <v>VerifyAggregationSymbolWithNav</v>
      </c>
      <c r="AC4" s="25" t="str">
        <f>IFERROR(__xludf.DUMMYFUNCTION("""COMPUTED_VALUE"""),"VerifyAggregationSubSectorWithNav")</f>
        <v>VerifyAggregationSubSectorWithNav</v>
      </c>
      <c r="AD4" s="25" t="str">
        <f>IFERROR(__xludf.DUMMYFUNCTION("""COMPUTED_VALUE"""),"VerifyAggregationGlobalWithNav")</f>
        <v>VerifyAggregationGlobalWithNav</v>
      </c>
      <c r="AE4" s="25" t="str">
        <f>IFERROR(__xludf.DUMMYFUNCTION("""COMPUTED_VALUE"""),"VerifyAggregationGlobalWithNav")</f>
        <v>VerifyAggregationGlobalWithNav</v>
      </c>
      <c r="AF4" s="25" t="str">
        <f>IFERROR(__xludf.DUMMYFUNCTION("""COMPUTED_VALUE"""),"VerifyGlobalDivisorWindow")</f>
        <v>VerifyGlobalDivisorWindow</v>
      </c>
      <c r="AG4" s="25" t="str">
        <f>IFERROR(__xludf.DUMMYFUNCTION("""COMPUTED_VALUE"""),"VerifyAccrualForAccountWindow")</f>
        <v>VerifyAccrualForAccountWindow</v>
      </c>
      <c r="AH4" s="25" t="str">
        <f>IFERROR(__xludf.DUMMYFUNCTION("""COMPUTED_VALUE"""),"VerifyGlobalDivisorWindow")</f>
        <v>VerifyGlobalDivisorWindow</v>
      </c>
      <c r="AI4" s="25" t="str">
        <f>IFERROR(__xludf.DUMMYFUNCTION("""COMPUTED_VALUE"""),"VerifyMasterFundDivisorWindow")</f>
        <v>VerifyMasterFundDivisorWindow</v>
      </c>
      <c r="AJ4" s="25" t="str">
        <f>IFERROR(__xludf.DUMMYFUNCTION("""COMPUTED_VALUE"""),"VerifyMasterFundSymbolDivisorWindow")</f>
        <v>VerifyMasterFundSymbolDivisorWindow</v>
      </c>
      <c r="AK4" s="25" t="str">
        <f>IFERROR(__xludf.DUMMYFUNCTION("""COMPUTED_VALUE"""),"VerifyAggAccountSymbolWithNav")</f>
        <v>VerifyAggAccountSymbolWithNav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  <c r="FS4" s="25"/>
      <c r="FT4" s="25"/>
      <c r="FU4" s="25"/>
      <c r="FV4" s="25"/>
      <c r="FW4" s="25"/>
      <c r="FX4" s="25"/>
      <c r="FY4" s="25"/>
      <c r="FZ4" s="25"/>
      <c r="GA4" s="25"/>
      <c r="GB4" s="25"/>
      <c r="GC4" s="25"/>
      <c r="GD4" s="25"/>
      <c r="GE4" s="25"/>
      <c r="GF4" s="25"/>
      <c r="GG4" s="25"/>
      <c r="GH4" s="25"/>
      <c r="GI4" s="25"/>
      <c r="GJ4" s="25"/>
      <c r="GK4" s="25"/>
    </row>
    <row r="5" ht="15.75" customHeight="1">
      <c r="A5" s="26" t="str">
        <f>IFERROR(__xludf.DUMMYFUNCTION("TRANSPOSE(IMPORTRANGE(VLOOKUP($E$3,IMPORTRANGE('_Settings'!$B$3,$C$3&amp;""!A4:B1000""),2,FALSE),$G$3&amp;""!A4:A1000""))"),"#REF!")</f>
        <v>#REF!</v>
      </c>
      <c r="B5" s="27"/>
      <c r="C5" s="27"/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  <c r="EY5" s="29"/>
      <c r="EZ5" s="29"/>
      <c r="FA5" s="29"/>
      <c r="FB5" s="29"/>
      <c r="FC5" s="29"/>
      <c r="FD5" s="29"/>
      <c r="FE5" s="29"/>
      <c r="FF5" s="29"/>
      <c r="FG5" s="29"/>
      <c r="FH5" s="29"/>
      <c r="FI5" s="29"/>
      <c r="FJ5" s="29"/>
      <c r="FK5" s="29"/>
      <c r="FL5" s="29"/>
      <c r="FM5" s="29"/>
      <c r="FN5" s="29"/>
      <c r="FO5" s="29"/>
      <c r="FP5" s="29"/>
      <c r="FQ5" s="29"/>
      <c r="FR5" s="29"/>
      <c r="FS5" s="29"/>
      <c r="FT5" s="29"/>
      <c r="FU5" s="29"/>
      <c r="FV5" s="29"/>
      <c r="FW5" s="29"/>
      <c r="FX5" s="29"/>
      <c r="FY5" s="29"/>
      <c r="FZ5" s="29"/>
      <c r="GA5" s="29"/>
      <c r="GB5" s="29"/>
      <c r="GC5" s="29"/>
      <c r="GD5" s="29"/>
      <c r="GE5" s="29"/>
      <c r="GF5" s="29"/>
      <c r="GG5" s="29"/>
      <c r="GH5" s="29"/>
      <c r="GI5" s="29"/>
      <c r="GJ5" s="29"/>
      <c r="GK5" s="29"/>
    </row>
    <row r="6" ht="15.75" customHeight="1">
      <c r="A6" s="56"/>
      <c r="B6" s="9" t="s">
        <v>54</v>
      </c>
      <c r="D6" s="9" t="s">
        <v>57</v>
      </c>
      <c r="E6" s="9" t="s">
        <v>58</v>
      </c>
      <c r="F6" s="9" t="s">
        <v>58</v>
      </c>
      <c r="G6" s="9" t="s">
        <v>21</v>
      </c>
      <c r="H6" s="9" t="s">
        <v>21</v>
      </c>
      <c r="I6" s="9" t="s">
        <v>41</v>
      </c>
      <c r="J6" s="9" t="s">
        <v>59</v>
      </c>
      <c r="K6" s="9" t="s">
        <v>60</v>
      </c>
      <c r="L6" s="9" t="s">
        <v>61</v>
      </c>
      <c r="M6" s="9" t="s">
        <v>38</v>
      </c>
      <c r="N6" s="9" t="s">
        <v>62</v>
      </c>
      <c r="R6" s="9" t="s">
        <v>38</v>
      </c>
      <c r="U6" s="9" t="s">
        <v>63</v>
      </c>
      <c r="W6" s="9">
        <v>0.0</v>
      </c>
      <c r="X6" s="9" t="s">
        <v>59</v>
      </c>
      <c r="Y6" s="9" t="s">
        <v>64</v>
      </c>
      <c r="Z6" s="9" t="s">
        <v>65</v>
      </c>
      <c r="AA6" s="9" t="s">
        <v>66</v>
      </c>
      <c r="AB6" s="9" t="s">
        <v>66</v>
      </c>
      <c r="AC6" s="9" t="s">
        <v>25</v>
      </c>
      <c r="AD6" s="9" t="s">
        <v>67</v>
      </c>
      <c r="AE6" s="9" t="s">
        <v>66</v>
      </c>
      <c r="AF6" s="9" t="s">
        <v>66</v>
      </c>
      <c r="AG6" s="9" t="s">
        <v>66</v>
      </c>
      <c r="AH6" s="9" t="s">
        <v>67</v>
      </c>
      <c r="AI6" s="9" t="s">
        <v>66</v>
      </c>
      <c r="AJ6" s="9" t="s">
        <v>66</v>
      </c>
      <c r="AK6" s="9" t="s">
        <v>66</v>
      </c>
      <c r="AL6" s="9" t="s">
        <v>66</v>
      </c>
      <c r="AM6" s="9">
        <v>50.0</v>
      </c>
      <c r="AN6" s="9">
        <v>50.0</v>
      </c>
      <c r="AO6" s="9">
        <v>0.0</v>
      </c>
      <c r="AP6" s="9">
        <v>500.0</v>
      </c>
      <c r="AQ6" s="9">
        <v>500.0</v>
      </c>
      <c r="AR6" s="9">
        <v>0.0</v>
      </c>
      <c r="AS6" s="9">
        <v>50.0</v>
      </c>
      <c r="AT6" s="9">
        <v>0.0</v>
      </c>
      <c r="AU6" s="9">
        <v>0.0</v>
      </c>
      <c r="AV6" s="9">
        <v>0.0</v>
      </c>
      <c r="AW6" s="9">
        <v>500.0</v>
      </c>
      <c r="AX6" s="9">
        <v>75.0</v>
      </c>
      <c r="AY6" s="9">
        <v>40.0</v>
      </c>
      <c r="AZ6" s="9">
        <v>75.0</v>
      </c>
      <c r="BA6" s="9">
        <v>40.0</v>
      </c>
      <c r="BB6" s="9">
        <v>-500.0</v>
      </c>
      <c r="BC6" s="9">
        <v>0.0</v>
      </c>
      <c r="BD6" s="9">
        <v>500.0</v>
      </c>
      <c r="BE6" s="9">
        <v>-500.0</v>
      </c>
      <c r="BF6" s="9">
        <v>-500.0</v>
      </c>
      <c r="BG6" s="9">
        <v>0.0</v>
      </c>
      <c r="BH6" s="9">
        <v>0.0</v>
      </c>
    </row>
    <row r="7" ht="15.75" customHeight="1">
      <c r="A7" s="57"/>
      <c r="B7" s="9" t="s">
        <v>54</v>
      </c>
      <c r="D7" s="9" t="s">
        <v>57</v>
      </c>
      <c r="E7" s="9" t="s">
        <v>68</v>
      </c>
      <c r="F7" s="9" t="s">
        <v>68</v>
      </c>
      <c r="G7" s="9" t="s">
        <v>21</v>
      </c>
      <c r="H7" s="9" t="s">
        <v>21</v>
      </c>
      <c r="I7" s="9" t="s">
        <v>41</v>
      </c>
      <c r="J7" s="9" t="s">
        <v>59</v>
      </c>
      <c r="K7" s="9" t="s">
        <v>60</v>
      </c>
      <c r="L7" s="9" t="s">
        <v>61</v>
      </c>
      <c r="M7" s="9" t="s">
        <v>38</v>
      </c>
      <c r="N7" s="9" t="s">
        <v>62</v>
      </c>
      <c r="R7" s="9" t="s">
        <v>38</v>
      </c>
      <c r="U7" s="9" t="s">
        <v>69</v>
      </c>
      <c r="W7" s="9">
        <v>0.0</v>
      </c>
      <c r="X7" s="9" t="s">
        <v>59</v>
      </c>
      <c r="Y7" s="9" t="s">
        <v>64</v>
      </c>
      <c r="Z7" s="9" t="s">
        <v>65</v>
      </c>
      <c r="AA7" s="9" t="s">
        <v>66</v>
      </c>
      <c r="AB7" s="9" t="s">
        <v>66</v>
      </c>
      <c r="AC7" s="9" t="s">
        <v>25</v>
      </c>
      <c r="AD7" s="9" t="s">
        <v>67</v>
      </c>
      <c r="AE7" s="9" t="s">
        <v>66</v>
      </c>
      <c r="AF7" s="9" t="s">
        <v>66</v>
      </c>
      <c r="AG7" s="9" t="s">
        <v>66</v>
      </c>
      <c r="AH7" s="9" t="s">
        <v>67</v>
      </c>
      <c r="AI7" s="9" t="s">
        <v>66</v>
      </c>
      <c r="AJ7" s="9" t="s">
        <v>66</v>
      </c>
      <c r="AK7" s="9" t="s">
        <v>66</v>
      </c>
      <c r="AL7" s="9" t="s">
        <v>66</v>
      </c>
      <c r="AM7" s="9">
        <v>50.0</v>
      </c>
      <c r="AN7" s="9">
        <v>50.0</v>
      </c>
      <c r="AO7" s="9">
        <v>0.0</v>
      </c>
      <c r="AP7" s="9">
        <v>500.0</v>
      </c>
      <c r="AQ7" s="9">
        <v>500.0</v>
      </c>
      <c r="AR7" s="9">
        <v>0.0</v>
      </c>
      <c r="AS7" s="9">
        <v>50.0</v>
      </c>
      <c r="AT7" s="9">
        <v>0.0</v>
      </c>
      <c r="AU7" s="9">
        <v>0.0</v>
      </c>
      <c r="AV7" s="9">
        <v>0.0</v>
      </c>
      <c r="AW7" s="9">
        <v>500.0</v>
      </c>
      <c r="AX7" s="9">
        <v>75.0</v>
      </c>
      <c r="AY7" s="9">
        <v>40.0</v>
      </c>
      <c r="AZ7" s="9">
        <v>75.0</v>
      </c>
      <c r="BA7" s="9">
        <v>40.0</v>
      </c>
      <c r="BB7" s="9">
        <v>-500.0</v>
      </c>
      <c r="BC7" s="9">
        <v>0.0</v>
      </c>
      <c r="BD7" s="9">
        <v>500.0</v>
      </c>
      <c r="BE7" s="9">
        <v>-500.0</v>
      </c>
      <c r="BF7" s="9">
        <v>-500.0</v>
      </c>
      <c r="BG7" s="9">
        <v>0.0</v>
      </c>
      <c r="BH7" s="9">
        <v>0.0</v>
      </c>
    </row>
    <row r="8" ht="15.75" customHeight="1">
      <c r="A8" s="57"/>
      <c r="B8" s="9" t="s">
        <v>54</v>
      </c>
      <c r="D8" s="9" t="s">
        <v>57</v>
      </c>
      <c r="E8" s="9" t="s">
        <v>58</v>
      </c>
      <c r="F8" s="9" t="s">
        <v>58</v>
      </c>
      <c r="G8" s="9" t="s">
        <v>26</v>
      </c>
      <c r="H8" s="9" t="s">
        <v>26</v>
      </c>
      <c r="I8" s="9" t="s">
        <v>41</v>
      </c>
      <c r="J8" s="9" t="s">
        <v>59</v>
      </c>
      <c r="K8" s="9" t="s">
        <v>70</v>
      </c>
      <c r="L8" s="9" t="s">
        <v>71</v>
      </c>
      <c r="M8" s="9" t="s">
        <v>38</v>
      </c>
      <c r="N8" s="9" t="s">
        <v>72</v>
      </c>
      <c r="R8" s="9" t="s">
        <v>38</v>
      </c>
      <c r="U8" s="9" t="s">
        <v>63</v>
      </c>
      <c r="W8" s="9">
        <v>0.0</v>
      </c>
      <c r="X8" s="9" t="s">
        <v>59</v>
      </c>
      <c r="Y8" s="9" t="s">
        <v>73</v>
      </c>
      <c r="Z8" s="9" t="s">
        <v>74</v>
      </c>
      <c r="AA8" s="9" t="s">
        <v>61</v>
      </c>
      <c r="AB8" s="9" t="s">
        <v>61</v>
      </c>
      <c r="AC8" s="9" t="s">
        <v>25</v>
      </c>
      <c r="AD8" s="9" t="s">
        <v>25</v>
      </c>
      <c r="AE8" s="9" t="s">
        <v>61</v>
      </c>
      <c r="AF8" s="9" t="s">
        <v>75</v>
      </c>
      <c r="AG8" s="9" t="s">
        <v>61</v>
      </c>
      <c r="AH8" s="9" t="s">
        <v>61</v>
      </c>
      <c r="AI8" s="9" t="s">
        <v>61</v>
      </c>
      <c r="AJ8" s="58"/>
      <c r="AL8" s="9" t="s">
        <v>61</v>
      </c>
      <c r="AM8" s="9">
        <v>50.0</v>
      </c>
      <c r="AN8" s="9">
        <v>50.0</v>
      </c>
      <c r="AO8" s="9">
        <v>0.0</v>
      </c>
      <c r="AP8" s="9">
        <v>0.0</v>
      </c>
      <c r="AQ8" s="9">
        <v>0.0</v>
      </c>
      <c r="AR8" s="9">
        <v>0.0</v>
      </c>
      <c r="AS8" s="9">
        <v>50.0</v>
      </c>
      <c r="AT8" s="9">
        <v>0.0</v>
      </c>
      <c r="AU8" s="9">
        <v>0.0</v>
      </c>
      <c r="AV8" s="9">
        <v>0.0</v>
      </c>
      <c r="AW8" s="9">
        <v>0.0</v>
      </c>
      <c r="AX8" s="9">
        <v>0.0</v>
      </c>
      <c r="AY8" s="9">
        <v>0.0</v>
      </c>
      <c r="AZ8" s="9">
        <v>0.0</v>
      </c>
      <c r="BA8" s="9">
        <v>0.0</v>
      </c>
      <c r="BB8" s="9">
        <v>0.0</v>
      </c>
      <c r="BC8" s="9">
        <v>0.0</v>
      </c>
      <c r="BD8" s="9">
        <v>0.0</v>
      </c>
      <c r="BE8" s="9">
        <v>0.0</v>
      </c>
      <c r="BF8" s="9">
        <v>0.0</v>
      </c>
      <c r="BG8" s="9">
        <v>0.0</v>
      </c>
      <c r="BH8" s="9">
        <v>0.0</v>
      </c>
    </row>
    <row r="9" ht="15.75" customHeight="1">
      <c r="A9" s="57"/>
      <c r="B9" s="9" t="s">
        <v>54</v>
      </c>
      <c r="D9" s="9" t="s">
        <v>57</v>
      </c>
      <c r="E9" s="9" t="s">
        <v>68</v>
      </c>
      <c r="F9" s="9" t="s">
        <v>68</v>
      </c>
      <c r="G9" s="9" t="s">
        <v>26</v>
      </c>
      <c r="H9" s="9" t="s">
        <v>26</v>
      </c>
      <c r="I9" s="9" t="s">
        <v>41</v>
      </c>
      <c r="J9" s="9" t="s">
        <v>59</v>
      </c>
      <c r="K9" s="9" t="s">
        <v>70</v>
      </c>
      <c r="L9" s="9" t="s">
        <v>71</v>
      </c>
      <c r="M9" s="9" t="s">
        <v>38</v>
      </c>
      <c r="N9" s="9" t="s">
        <v>72</v>
      </c>
      <c r="R9" s="9" t="s">
        <v>38</v>
      </c>
      <c r="U9" s="9" t="s">
        <v>69</v>
      </c>
      <c r="W9" s="9">
        <v>0.0</v>
      </c>
      <c r="X9" s="9" t="s">
        <v>59</v>
      </c>
      <c r="Y9" s="9" t="s">
        <v>73</v>
      </c>
      <c r="Z9" s="9" t="s">
        <v>74</v>
      </c>
      <c r="AA9" s="9" t="s">
        <v>61</v>
      </c>
      <c r="AB9" s="9" t="s">
        <v>61</v>
      </c>
      <c r="AC9" s="9" t="s">
        <v>25</v>
      </c>
      <c r="AD9" s="9" t="s">
        <v>25</v>
      </c>
      <c r="AE9" s="9" t="s">
        <v>61</v>
      </c>
      <c r="AF9" s="9" t="s">
        <v>75</v>
      </c>
      <c r="AG9" s="9" t="s">
        <v>61</v>
      </c>
      <c r="AH9" s="9" t="s">
        <v>61</v>
      </c>
      <c r="AI9" s="9" t="s">
        <v>61</v>
      </c>
      <c r="AJ9" s="58"/>
      <c r="AL9" s="9" t="s">
        <v>61</v>
      </c>
      <c r="AM9" s="9">
        <v>50.0</v>
      </c>
      <c r="AN9" s="9">
        <v>50.0</v>
      </c>
      <c r="AO9" s="9">
        <v>0.0</v>
      </c>
      <c r="AP9" s="9">
        <v>0.0</v>
      </c>
      <c r="AQ9" s="9">
        <v>0.0</v>
      </c>
      <c r="AR9" s="9">
        <v>0.0</v>
      </c>
      <c r="AS9" s="9">
        <v>50.0</v>
      </c>
      <c r="AT9" s="9">
        <v>0.0</v>
      </c>
      <c r="AU9" s="9">
        <v>0.0</v>
      </c>
      <c r="AV9" s="9">
        <v>0.0</v>
      </c>
      <c r="AW9" s="9">
        <v>0.0</v>
      </c>
      <c r="AX9" s="9">
        <v>0.0</v>
      </c>
      <c r="AY9" s="9">
        <v>0.0</v>
      </c>
      <c r="AZ9" s="9">
        <v>0.0</v>
      </c>
      <c r="BA9" s="9">
        <v>0.0</v>
      </c>
      <c r="BB9" s="9">
        <v>0.0</v>
      </c>
      <c r="BC9" s="9">
        <v>0.0</v>
      </c>
      <c r="BD9" s="9">
        <v>0.0</v>
      </c>
      <c r="BE9" s="9">
        <v>0.0</v>
      </c>
      <c r="BF9" s="9">
        <v>0.0</v>
      </c>
      <c r="BG9" s="9">
        <v>0.0</v>
      </c>
      <c r="BH9" s="9">
        <v>0.0</v>
      </c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VerifyAggAccountSymbolWithNav!$4:$4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50</v>
      </c>
      <c r="D3" s="5" t="s">
        <v>9</v>
      </c>
      <c r="E3" s="22" t="s">
        <v>76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IFERROR(__xludf.DUMMYFUNCTION("IF(C3="""","""",Transpose(IMPORTRANGE('_Settings'!$B$3,C3&amp;""!A4:A1000"")))"),"CheckCompliance")</f>
        <v>CheckCompliance</v>
      </c>
      <c r="C4" s="24" t="str">
        <f>IFERROR(__xludf.DUMMYFUNCTION("""COMPUTED_VALUE"""),"VerifyAccountDivisorWindow")</f>
        <v>VerifyAccountDivisorWindow</v>
      </c>
      <c r="D4" s="24" t="str">
        <f>IFERROR(__xludf.DUMMYFUNCTION("""COMPUTED_VALUE"""),"VerifyAccountSymbolDivisorWindow")</f>
        <v>VerifyAccountSymbolDivisorWindow</v>
      </c>
      <c r="E4" s="24" t="str">
        <f>IFERROR(__xludf.DUMMYFUNCTION("""COMPUTED_VALUE"""),"VerifyAggregationAccountSymbolWithNav")</f>
        <v>VerifyAggregationAccountSymbolWithNav</v>
      </c>
      <c r="F4" s="24" t="str">
        <f>IFERROR(__xludf.DUMMYFUNCTION("""COMPUTED_VALUE"""),"VerifyAggregationAccountWithNav")</f>
        <v>VerifyAggregationAccountWithNav</v>
      </c>
      <c r="G4" s="24" t="str">
        <f>IFERROR(__xludf.DUMMYFUNCTION("""COMPUTED_VALUE"""),"VerifyAggregationMasterFundSymbolWithNav")</f>
        <v>VerifyAggregationMasterFundSymbolWithNav</v>
      </c>
      <c r="H4" s="24" t="str">
        <f>IFERROR(__xludf.DUMMYFUNCTION("""COMPUTED_VALUE"""),"VerifyAggregationMasterFundUnderlyingSymbolWithNav")</f>
        <v>VerifyAggregationMasterFundUnderlyingSymbolWithNav</v>
      </c>
      <c r="I4" s="24" t="str">
        <f>IFERROR(__xludf.DUMMYFUNCTION("""COMPUTED_VALUE"""),"VerifyAggregationMasterFundWithNav")</f>
        <v>VerifyAggregationMasterFundWithNav</v>
      </c>
      <c r="J4" s="24" t="str">
        <f>IFERROR(__xludf.DUMMYFUNCTION("""COMPUTED_VALUE"""),"VerifyAggregationSectorWithNav")</f>
        <v>VerifyAggregationSectorWithNav</v>
      </c>
      <c r="K4" s="24" t="str">
        <f>IFERROR(__xludf.DUMMYFUNCTION("""COMPUTED_VALUE"""),"VerifyAggregationUnderlyingSymbolWithNav")</f>
        <v>VerifyAggregationUnderlyingSymbolWithNav</v>
      </c>
      <c r="L4" s="24" t="str">
        <f>IFERROR(__xludf.DUMMYFUNCTION("""COMPUTED_VALUE"""),"VerifyAuecWindow")</f>
        <v>VerifyAuecWindow</v>
      </c>
      <c r="M4" s="24" t="str">
        <f>IFERROR(__xludf.DUMMYFUNCTION("""COMPUTED_VALUE"""),"VerifyBetaWindow")</f>
        <v>VerifyBetaWindow</v>
      </c>
      <c r="N4" s="24" t="str">
        <f>IFERROR(__xludf.DUMMYFUNCTION("""COMPUTED_VALUE"""),"VerifyCustomSymbolDataWindow")</f>
        <v>VerifyCustomSymbolDataWindow</v>
      </c>
      <c r="O4" s="24" t="str">
        <f>IFERROR(__xludf.DUMMYFUNCTION("""COMPUTED_VALUE"""),"VerifyDayEndCashAccountWindow")</f>
        <v>VerifyDayEndCashAccountWindow</v>
      </c>
      <c r="P4" s="25" t="str">
        <f>IFERROR(__xludf.DUMMYFUNCTION("""COMPUTED_VALUE"""),"VerifyDbNavWindow")</f>
        <v>VerifyDbNavWindow</v>
      </c>
      <c r="Q4" s="25" t="str">
        <f>IFERROR(__xludf.DUMMYFUNCTION("""COMPUTED_VALUE"""),"VerifyGlobalDivisorWindow")</f>
        <v>VerifyGlobalDivisorWindow</v>
      </c>
      <c r="R4" s="25" t="str">
        <f>IFERROR(__xludf.DUMMYFUNCTION("""COMPUTED_VALUE"""),"VerifyPmCalculationPreferenceWindow")</f>
        <v>VerifyPmCalculationPreferenceWindow</v>
      </c>
      <c r="S4" s="25" t="str">
        <f>IFERROR(__xludf.DUMMYFUNCTION("""COMPUTED_VALUE"""),"VerifyRowCalculationBaseWindow")</f>
        <v>VerifyRowCalculationBaseWindow</v>
      </c>
      <c r="T4" s="25" t="str">
        <f>IFERROR(__xludf.DUMMYFUNCTION("""COMPUTED_VALUE"""),"VerifySecurityWindow")</f>
        <v>VerifySecurityWindow</v>
      </c>
      <c r="U4" s="25" t="str">
        <f>IFERROR(__xludf.DUMMYFUNCTION("""COMPUTED_VALUE"""),"VerifySymbolDataWindow")</f>
        <v>VerifySymbolDataWindow</v>
      </c>
      <c r="V4" s="25" t="str">
        <f>IFERROR(__xludf.DUMMYFUNCTION("""COMPUTED_VALUE"""),"VerifySymbolDivisorWindow")</f>
        <v>VerifySymbolDivisorWindow</v>
      </c>
      <c r="W4" s="25" t="str">
        <f>IFERROR(__xludf.DUMMYFUNCTION("""COMPUTED_VALUE"""),"VerifyTaxlotWindow")</f>
        <v>VerifyTaxlotWindow</v>
      </c>
      <c r="X4" s="25" t="str">
        <f>IFERROR(__xludf.DUMMYFUNCTION("""COMPUTED_VALUE"""),"RestartEsper")</f>
        <v>RestartEsper</v>
      </c>
      <c r="Y4" s="25" t="str">
        <f>IFERROR(__xludf.DUMMYFUNCTION("""COMPUTED_VALUE"""),"VerifyAccountNavPreferenceWindow")</f>
        <v>VerifyAccountNavPreferenceWindow</v>
      </c>
      <c r="Z4" s="25" t="str">
        <f>IFERROR(__xludf.DUMMYFUNCTION("""COMPUTED_VALUE"""),"VerifyAggregationAccountUnderlyingSymbolWithNav")</f>
        <v>VerifyAggregationAccountUnderlyingSymbolWithNav</v>
      </c>
      <c r="AA4" s="25" t="str">
        <f>IFERROR(__xludf.DUMMYFUNCTION("""COMPUTED_VALUE"""),"VerifyAggregationAssetWithNav")</f>
        <v>VerifyAggregationAssetWithNav</v>
      </c>
      <c r="AB4" s="25" t="str">
        <f>IFERROR(__xludf.DUMMYFUNCTION("""COMPUTED_VALUE"""),"VerifyAggregationSymbolWithNav")</f>
        <v>VerifyAggregationSymbolWithNav</v>
      </c>
      <c r="AC4" s="25" t="str">
        <f>IFERROR(__xludf.DUMMYFUNCTION("""COMPUTED_VALUE"""),"VerifyAggregationSubSectorWithNav")</f>
        <v>VerifyAggregationSubSectorWithNav</v>
      </c>
      <c r="AD4" s="25" t="str">
        <f>IFERROR(__xludf.DUMMYFUNCTION("""COMPUTED_VALUE"""),"VerifyAggregationGlobalWithNav")</f>
        <v>VerifyAggregationGlobalWithNav</v>
      </c>
      <c r="AE4" s="25" t="str">
        <f>IFERROR(__xludf.DUMMYFUNCTION("""COMPUTED_VALUE"""),"VerifyAggregationGlobalWithNav")</f>
        <v>VerifyAggregationGlobalWithNav</v>
      </c>
      <c r="AF4" s="25" t="str">
        <f>IFERROR(__xludf.DUMMYFUNCTION("""COMPUTED_VALUE"""),"VerifyGlobalDivisorWindow")</f>
        <v>VerifyGlobalDivisorWindow</v>
      </c>
      <c r="AG4" s="25" t="str">
        <f>IFERROR(__xludf.DUMMYFUNCTION("""COMPUTED_VALUE"""),"VerifyAccrualForAccountWindow")</f>
        <v>VerifyAccrualForAccountWindow</v>
      </c>
      <c r="AH4" s="25" t="str">
        <f>IFERROR(__xludf.DUMMYFUNCTION("""COMPUTED_VALUE"""),"VerifyGlobalDivisorWindow")</f>
        <v>VerifyGlobalDivisorWindow</v>
      </c>
      <c r="AI4" s="25" t="str">
        <f>IFERROR(__xludf.DUMMYFUNCTION("""COMPUTED_VALUE"""),"VerifyMasterFundDivisorWindow")</f>
        <v>VerifyMasterFundDivisorWindow</v>
      </c>
      <c r="AJ4" s="25" t="str">
        <f>IFERROR(__xludf.DUMMYFUNCTION("""COMPUTED_VALUE"""),"VerifyMasterFundSymbolDivisorWindow")</f>
        <v>VerifyMasterFundSymbolDivisorWindow</v>
      </c>
      <c r="AK4" s="25" t="str">
        <f>IFERROR(__xludf.DUMMYFUNCTION("""COMPUTED_VALUE"""),"VerifyAggAccountSymbolWithNav")</f>
        <v>VerifyAggAccountSymbolWithNav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IFERROR(__xludf.DUMMYFUNCTION("""COMPUTED_VALUE"""),"monthAbsQuantity")</f>
        <v>monthAbsQuantity</v>
      </c>
      <c r="D5" s="27" t="str">
        <f>IFERROR(__xludf.DUMMYFUNCTION("""COMPUTED_VALUE"""),"monthNetNotional")</f>
        <v>monthNetNotional</v>
      </c>
      <c r="E5" s="27" t="str">
        <f>IFERROR(__xludf.DUMMYFUNCTION("""COMPUTED_VALUE"""),"grossMarketValueBase")</f>
        <v>grossMarketValueBase</v>
      </c>
      <c r="F5" s="28" t="str">
        <f>IFERROR(__xludf.DUMMYFUNCTION("""COMPUTED_VALUE"""),"grossExposureBase")</f>
        <v>grossExposureBase</v>
      </c>
      <c r="G5" s="27" t="str">
        <f>IFERROR(__xludf.DUMMYFUNCTION("""COMPUTED_VALUE"""),"netExposureBase")</f>
        <v>netExposureBase</v>
      </c>
      <c r="H5" s="27" t="str">
        <f>IFERROR(__xludf.DUMMYFUNCTION("""COMPUTED_VALUE"""),"closedQty")</f>
        <v>closedQty</v>
      </c>
      <c r="I5" s="27" t="str">
        <f>IFERROR(__xludf.DUMMYFUNCTION("""COMPUTED_VALUE"""),"closedNotional")</f>
        <v>closedNotional</v>
      </c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56"/>
      <c r="B6" s="9" t="s">
        <v>26</v>
      </c>
      <c r="C6" s="9">
        <v>100.0</v>
      </c>
      <c r="D6" s="9">
        <v>0.0</v>
      </c>
      <c r="E6" s="9">
        <v>0.0</v>
      </c>
      <c r="F6" s="9">
        <v>0.0</v>
      </c>
      <c r="G6" s="9">
        <v>0.0</v>
      </c>
      <c r="H6" s="9">
        <v>0.0</v>
      </c>
      <c r="I6" s="9">
        <v>0.0</v>
      </c>
      <c r="K6" s="8"/>
      <c r="L6" s="8"/>
      <c r="M6" s="8"/>
      <c r="N6" s="8"/>
      <c r="O6" s="8"/>
    </row>
    <row r="7" ht="15.75" customHeight="1">
      <c r="A7" s="57"/>
      <c r="B7" s="9" t="s">
        <v>21</v>
      </c>
      <c r="C7" s="9">
        <v>100.0</v>
      </c>
      <c r="D7" s="9">
        <v>1000.0</v>
      </c>
      <c r="E7" s="9">
        <v>0.0</v>
      </c>
      <c r="F7" s="9">
        <v>0.0</v>
      </c>
      <c r="G7" s="9">
        <v>0.0</v>
      </c>
      <c r="H7" s="9">
        <v>0.0</v>
      </c>
      <c r="I7" s="9">
        <v>0.0</v>
      </c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VerifySymbolDivisorWindow!$4:$4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5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50</v>
      </c>
      <c r="D3" s="5" t="s">
        <v>9</v>
      </c>
      <c r="E3" s="22" t="s">
        <v>77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</row>
    <row r="4" ht="15.75" customHeight="1">
      <c r="A4" s="24"/>
      <c r="B4" s="24" t="str">
        <f>IFERROR(__xludf.DUMMYFUNCTION("IF(C3="""","""",Transpose(IMPORTRANGE('_Settings'!$B$3,C3&amp;""!A4:A1000"")))"),"CheckCompliance")</f>
        <v>CheckCompliance</v>
      </c>
      <c r="C4" s="24" t="str">
        <f>IFERROR(__xludf.DUMMYFUNCTION("""COMPUTED_VALUE"""),"VerifyAccountDivisorWindow")</f>
        <v>VerifyAccountDivisorWindow</v>
      </c>
      <c r="D4" s="24" t="str">
        <f>IFERROR(__xludf.DUMMYFUNCTION("""COMPUTED_VALUE"""),"VerifyAccountSymbolDivisorWindow")</f>
        <v>VerifyAccountSymbolDivisorWindow</v>
      </c>
      <c r="E4" s="24" t="str">
        <f>IFERROR(__xludf.DUMMYFUNCTION("""COMPUTED_VALUE"""),"VerifyAggregationAccountSymbolWithNav")</f>
        <v>VerifyAggregationAccountSymbolWithNav</v>
      </c>
      <c r="F4" s="24" t="str">
        <f>IFERROR(__xludf.DUMMYFUNCTION("""COMPUTED_VALUE"""),"VerifyAggregationAccountWithNav")</f>
        <v>VerifyAggregationAccountWithNav</v>
      </c>
      <c r="G4" s="24" t="str">
        <f>IFERROR(__xludf.DUMMYFUNCTION("""COMPUTED_VALUE"""),"VerifyAggregationMasterFundSymbolWithNav")</f>
        <v>VerifyAggregationMasterFundSymbolWithNav</v>
      </c>
      <c r="H4" s="24" t="str">
        <f>IFERROR(__xludf.DUMMYFUNCTION("""COMPUTED_VALUE"""),"VerifyAggregationMasterFundUnderlyingSymbolWithNav")</f>
        <v>VerifyAggregationMasterFundUnderlyingSymbolWithNav</v>
      </c>
      <c r="I4" s="24" t="str">
        <f>IFERROR(__xludf.DUMMYFUNCTION("""COMPUTED_VALUE"""),"VerifyAggregationMasterFundWithNav")</f>
        <v>VerifyAggregationMasterFundWithNav</v>
      </c>
      <c r="J4" s="24" t="str">
        <f>IFERROR(__xludf.DUMMYFUNCTION("""COMPUTED_VALUE"""),"VerifyAggregationSectorWithNav")</f>
        <v>VerifyAggregationSectorWithNav</v>
      </c>
      <c r="K4" s="24" t="str">
        <f>IFERROR(__xludf.DUMMYFUNCTION("""COMPUTED_VALUE"""),"VerifyAggregationUnderlyingSymbolWithNav")</f>
        <v>VerifyAggregationUnderlyingSymbolWithNav</v>
      </c>
      <c r="L4" s="24" t="str">
        <f>IFERROR(__xludf.DUMMYFUNCTION("""COMPUTED_VALUE"""),"VerifyAuecWindow")</f>
        <v>VerifyAuecWindow</v>
      </c>
      <c r="M4" s="24" t="str">
        <f>IFERROR(__xludf.DUMMYFUNCTION("""COMPUTED_VALUE"""),"VerifyBetaWindow")</f>
        <v>VerifyBetaWindow</v>
      </c>
      <c r="N4" s="24" t="str">
        <f>IFERROR(__xludf.DUMMYFUNCTION("""COMPUTED_VALUE"""),"VerifyCustomSymbolDataWindow")</f>
        <v>VerifyCustomSymbolDataWindow</v>
      </c>
      <c r="O4" s="24" t="str">
        <f>IFERROR(__xludf.DUMMYFUNCTION("""COMPUTED_VALUE"""),"VerifyDayEndCashAccountWindow")</f>
        <v>VerifyDayEndCashAccountWindow</v>
      </c>
      <c r="P4" s="25" t="str">
        <f>IFERROR(__xludf.DUMMYFUNCTION("""COMPUTED_VALUE"""),"VerifyDbNavWindow")</f>
        <v>VerifyDbNavWindow</v>
      </c>
      <c r="Q4" s="25" t="str">
        <f>IFERROR(__xludf.DUMMYFUNCTION("""COMPUTED_VALUE"""),"VerifyGlobalDivisorWindow")</f>
        <v>VerifyGlobalDivisorWindow</v>
      </c>
      <c r="R4" s="25" t="str">
        <f>IFERROR(__xludf.DUMMYFUNCTION("""COMPUTED_VALUE"""),"VerifyPmCalculationPreferenceWindow")</f>
        <v>VerifyPmCalculationPreferenceWindow</v>
      </c>
      <c r="S4" s="25" t="str">
        <f>IFERROR(__xludf.DUMMYFUNCTION("""COMPUTED_VALUE"""),"VerifyRowCalculationBaseWindow")</f>
        <v>VerifyRowCalculationBaseWindow</v>
      </c>
      <c r="T4" s="25" t="str">
        <f>IFERROR(__xludf.DUMMYFUNCTION("""COMPUTED_VALUE"""),"VerifySecurityWindow")</f>
        <v>VerifySecurityWindow</v>
      </c>
      <c r="U4" s="25" t="str">
        <f>IFERROR(__xludf.DUMMYFUNCTION("""COMPUTED_VALUE"""),"VerifySymbolDataWindow")</f>
        <v>VerifySymbolDataWindow</v>
      </c>
      <c r="V4" s="25" t="str">
        <f>IFERROR(__xludf.DUMMYFUNCTION("""COMPUTED_VALUE"""),"VerifySymbolDivisorWindow")</f>
        <v>VerifySymbolDivisorWindow</v>
      </c>
      <c r="W4" s="25" t="str">
        <f>IFERROR(__xludf.DUMMYFUNCTION("""COMPUTED_VALUE"""),"VerifyTaxlotWindow")</f>
        <v>VerifyTaxlotWindow</v>
      </c>
      <c r="X4" s="25" t="str">
        <f>IFERROR(__xludf.DUMMYFUNCTION("""COMPUTED_VALUE"""),"RestartEsper")</f>
        <v>RestartEsper</v>
      </c>
      <c r="Y4" s="25" t="str">
        <f>IFERROR(__xludf.DUMMYFUNCTION("""COMPUTED_VALUE"""),"VerifyAccountNavPreferenceWindow")</f>
        <v>VerifyAccountNavPreferenceWindow</v>
      </c>
      <c r="Z4" s="25" t="str">
        <f>IFERROR(__xludf.DUMMYFUNCTION("""COMPUTED_VALUE"""),"VerifyAggregationAccountUnderlyingSymbolWithNav")</f>
        <v>VerifyAggregationAccountUnderlyingSymbolWithNav</v>
      </c>
      <c r="AA4" s="25" t="str">
        <f>IFERROR(__xludf.DUMMYFUNCTION("""COMPUTED_VALUE"""),"VerifyAggregationAssetWithNav")</f>
        <v>VerifyAggregationAssetWithNav</v>
      </c>
      <c r="AB4" s="25" t="str">
        <f>IFERROR(__xludf.DUMMYFUNCTION("""COMPUTED_VALUE"""),"VerifyAggregationSymbolWithNav")</f>
        <v>VerifyAggregationSymbolWithNav</v>
      </c>
      <c r="AC4" s="25" t="str">
        <f>IFERROR(__xludf.DUMMYFUNCTION("""COMPUTED_VALUE"""),"VerifyAggregationSubSectorWithNav")</f>
        <v>VerifyAggregationSubSectorWithNav</v>
      </c>
      <c r="AD4" s="25" t="str">
        <f>IFERROR(__xludf.DUMMYFUNCTION("""COMPUTED_VALUE"""),"VerifyAggregationGlobalWithNav")</f>
        <v>VerifyAggregationGlobalWithNav</v>
      </c>
      <c r="AE4" s="25" t="str">
        <f>IFERROR(__xludf.DUMMYFUNCTION("""COMPUTED_VALUE"""),"VerifyAggregationGlobalWithNav")</f>
        <v>VerifyAggregationGlobalWithNav</v>
      </c>
      <c r="AF4" s="25" t="str">
        <f>IFERROR(__xludf.DUMMYFUNCTION("""COMPUTED_VALUE"""),"VerifyGlobalDivisorWindow")</f>
        <v>VerifyGlobalDivisorWindow</v>
      </c>
      <c r="AG4" s="25" t="str">
        <f>IFERROR(__xludf.DUMMYFUNCTION("""COMPUTED_VALUE"""),"VerifyAccrualForAccountWindow")</f>
        <v>VerifyAccrualForAccountWindow</v>
      </c>
      <c r="AH4" s="25" t="str">
        <f>IFERROR(__xludf.DUMMYFUNCTION("""COMPUTED_VALUE"""),"VerifyGlobalDivisorWindow")</f>
        <v>VerifyGlobalDivisorWindow</v>
      </c>
      <c r="AI4" s="25" t="str">
        <f>IFERROR(__xludf.DUMMYFUNCTION("""COMPUTED_VALUE"""),"VerifyMasterFundDivisorWindow")</f>
        <v>VerifyMasterFundDivisorWindow</v>
      </c>
      <c r="AJ4" s="25" t="str">
        <f>IFERROR(__xludf.DUMMYFUNCTION("""COMPUTED_VALUE"""),"VerifyMasterFundSymbolDivisorWindow")</f>
        <v>VerifyMasterFundSymbolDivisorWindow</v>
      </c>
      <c r="AK4" s="25" t="str">
        <f>IFERROR(__xludf.DUMMYFUNCTION("""COMPUTED_VALUE"""),"VerifyAggAccountSymbolWithNav")</f>
        <v>VerifyAggAccountSymbolWithNav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IFERROR(__xludf.DUMMYFUNCTION("""COMPUTED_VALUE"""),"basketId")</f>
        <v>basketId</v>
      </c>
      <c r="C5" s="27" t="str">
        <f>IFERROR(__xludf.DUMMYFUNCTION("""COMPUTED_VALUE"""),"tradeDate")</f>
        <v>tradeDate</v>
      </c>
      <c r="D5" s="27" t="str">
        <f>IFERROR(__xludf.DUMMYFUNCTION("""COMPUTED_VALUE"""),"taxlotState")</f>
        <v>taxlotState</v>
      </c>
      <c r="E5" s="27" t="str">
        <f>IFERROR(__xludf.DUMMYFUNCTION("""COMPUTED_VALUE"""),"taxlotId")</f>
        <v>taxlotId</v>
      </c>
      <c r="F5" s="28" t="str">
        <f>IFERROR(__xludf.DUMMYFUNCTION("""COMPUTED_VALUE"""),"userId")</f>
        <v>userId</v>
      </c>
      <c r="G5" s="27" t="str">
        <f>IFERROR(__xludf.DUMMYFUNCTION("""COMPUTED_VALUE"""),"clOrderId")</f>
        <v>clOrderId</v>
      </c>
      <c r="H5" s="27" t="str">
        <f>IFERROR(__xludf.DUMMYFUNCTION("""COMPUTED_VALUE"""),"symbol")</f>
        <v>symbol</v>
      </c>
      <c r="I5" s="27" t="str">
        <f>IFERROR(__xludf.DUMMYFUNCTION("""COMPUTED_VALUE"""),"todayShortTradeQuantity")</f>
        <v>todayShortTradeQuantity</v>
      </c>
      <c r="J5" s="27" t="str">
        <f>IFERROR(__xludf.DUMMYFUNCTION("""COMPUTED_VALUE"""),"todayLongTradeQuantity")</f>
        <v>todayLongTradeQuantity</v>
      </c>
      <c r="K5" s="27" t="str">
        <f>IFERROR(__xludf.DUMMYFUNCTION("""COMPUTED_VALUE"""),"todayAbsTradeQuantity")</f>
        <v>todayAbsTradeQuantity</v>
      </c>
      <c r="L5" s="27" t="str">
        <f>IFERROR(__xludf.DUMMYFUNCTION("""COMPUTED_VALUE"""),"quantity")</f>
        <v>quantity</v>
      </c>
      <c r="M5" s="27" t="str">
        <f>IFERROR(__xludf.DUMMYFUNCTION("""COMPUTED_VALUE"""),"taxlotType")</f>
        <v>taxlotType</v>
      </c>
      <c r="N5" s="27" t="str">
        <f>IFERROR(__xludf.DUMMYFUNCTION("""COMPUTED_VALUE"""),"accountId")</f>
        <v>accountId</v>
      </c>
      <c r="O5" s="27" t="str">
        <f>IFERROR(__xludf.DUMMYFUNCTION("""COMPUTED_VALUE"""),"orderSide")</f>
        <v>orderSide</v>
      </c>
      <c r="P5" s="27" t="str">
        <f>IFERROR(__xludf.DUMMYFUNCTION("""COMPUTED_VALUE"""),"masterFundId")</f>
        <v>masterFundId</v>
      </c>
      <c r="Q5" s="27" t="str">
        <f>IFERROR(__xludf.DUMMYFUNCTION("""COMPUTED_VALUE"""),"underlyingSymbol")</f>
        <v>underlyingSymbol</v>
      </c>
      <c r="R5" s="27" t="str">
        <f>IFERROR(__xludf.DUMMYFUNCTION("""COMPUTED_VALUE"""),"masterFundName")</f>
        <v>masterFundName</v>
      </c>
      <c r="S5" s="27" t="str">
        <f>IFERROR(__xludf.DUMMYFUNCTION("""COMPUTED_VALUE"""),"multiplier")</f>
        <v>multiplier</v>
      </c>
      <c r="T5" s="29" t="str">
        <f>IFERROR(__xludf.DUMMYFUNCTION("""COMPUTED_VALUE"""),"accountShortName")</f>
        <v>accountShortName</v>
      </c>
      <c r="U5" s="29" t="str">
        <f>IFERROR(__xludf.DUMMYFUNCTION("""COMPUTED_VALUE"""),"accountLongName")</f>
        <v>accountLongName</v>
      </c>
      <c r="V5" s="29" t="str">
        <f>IFERROR(__xludf.DUMMYFUNCTION("""COMPUTED_VALUE"""),"isSwapped")</f>
        <v>isSwapped</v>
      </c>
      <c r="W5" s="29" t="str">
        <f>IFERROR(__xludf.DUMMYFUNCTION("""COMPUTED_VALUE"""),"masterStrategyId")</f>
        <v>masterStrategyId</v>
      </c>
      <c r="X5" s="29" t="str">
        <f>IFERROR(__xludf.DUMMYFUNCTION("""COMPUTED_VALUE"""),"isTodayTrade")</f>
        <v>isTodayTrade</v>
      </c>
      <c r="Y5" s="29" t="str">
        <f>IFERROR(__xludf.DUMMYFUNCTION("""COMPUTED_VALUE"""),"masterStrategyName")</f>
        <v>masterStrategyName</v>
      </c>
      <c r="Z5" s="29" t="str">
        <f>IFERROR(__xludf.DUMMYFUNCTION("""COMPUTED_VALUE"""),"strategyId")</f>
        <v>strategyId</v>
      </c>
      <c r="AA5" s="29" t="str">
        <f>IFERROR(__xludf.DUMMYFUNCTION("""COMPUTED_VALUE"""),"strategyName")</f>
        <v>strategyName</v>
      </c>
      <c r="AB5" s="29" t="str">
        <f>IFERROR(__xludf.DUMMYFUNCTION("""COMPUTED_VALUE"""),"todayNetNotionalBase")</f>
        <v>todayNetNotionalBase</v>
      </c>
      <c r="AC5" s="29" t="str">
        <f>IFERROR(__xludf.DUMMYFUNCTION("""COMPUTED_VALUE"""),"strategyFullName")</f>
        <v>strategyFullName</v>
      </c>
      <c r="AD5" s="29" t="str">
        <f>IFERROR(__xludf.DUMMYFUNCTION("""COMPUTED_VALUE"""),"todayLongNotionalBase")</f>
        <v>todayLongNotionalBase</v>
      </c>
      <c r="AE5" s="29" t="str">
        <f>IFERROR(__xludf.DUMMYFUNCTION("""COMPUTED_VALUE"""),"todayShortNotionalBase")</f>
        <v>todayShortNotionalBase</v>
      </c>
      <c r="AF5" s="29" t="str">
        <f>IFERROR(__xludf.DUMMYFUNCTION("""COMPUTED_VALUE"""),"isMonthTrade")</f>
        <v>isMonthTrade</v>
      </c>
      <c r="AG5" s="29" t="str">
        <f>IFERROR(__xludf.DUMMYFUNCTION("""COMPUTED_VALUE"""),"monthAbsQuantity")</f>
        <v>monthAbsQuantity</v>
      </c>
      <c r="AH5" s="29" t="str">
        <f>IFERROR(__xludf.DUMMYFUNCTION("""COMPUTED_VALUE"""),"monthNetNotional")</f>
        <v>monthNetNotional</v>
      </c>
      <c r="AI5" s="29" t="str">
        <f>IFERROR(__xludf.DUMMYFUNCTION("""COMPUTED_VALUE"""),"modificationType")</f>
        <v>modificationType</v>
      </c>
      <c r="AJ5" s="29" t="str">
        <f>IFERROR(__xludf.DUMMYFUNCTION("""COMPUTED_VALUE"""),"asset")</f>
        <v>asset</v>
      </c>
      <c r="AK5" s="29" t="str">
        <f>IFERROR(__xludf.DUMMYFUNCTION("""COMPUTED_VALUE"""),"underlyingAsset")</f>
        <v>underlyingAsset</v>
      </c>
      <c r="AL5" s="29" t="str">
        <f>IFERROR(__xludf.DUMMYFUNCTION("""COMPUTED_VALUE"""),"assetId")</f>
        <v>assetId</v>
      </c>
      <c r="AM5" s="29" t="str">
        <f>IFERROR(__xludf.DUMMYFUNCTION("""COMPUTED_VALUE"""),"auecId")</f>
        <v>auecId</v>
      </c>
      <c r="AN5" s="29" t="str">
        <f>IFERROR(__xludf.DUMMYFUNCTION("""COMPUTED_VALUE"""),"fxSymbol")</f>
        <v>fxSymbol</v>
      </c>
      <c r="AO5" s="29" t="str">
        <f>IFERROR(__xludf.DUMMYFUNCTION("""COMPUTED_VALUE"""),"sector")</f>
        <v>sector</v>
      </c>
      <c r="AP5" s="29" t="str">
        <f>IFERROR(__xludf.DUMMYFUNCTION("""COMPUTED_VALUE"""),"subSector")</f>
        <v>subSector</v>
      </c>
      <c r="AQ5" s="29" t="str">
        <f>IFERROR(__xludf.DUMMYFUNCTION("""COMPUTED_VALUE"""),"udaAsset")</f>
        <v>udaAsset</v>
      </c>
      <c r="AR5" s="29" t="str">
        <f>IFERROR(__xludf.DUMMYFUNCTION("""COMPUTED_VALUE"""),"udaSecurityType")</f>
        <v>udaSecurityType</v>
      </c>
      <c r="AS5" s="29" t="str">
        <f>IFERROR(__xludf.DUMMYFUNCTION("""COMPUTED_VALUE"""),"udaCountry")</f>
        <v>udaCountry</v>
      </c>
      <c r="AT5" s="29" t="str">
        <f>IFERROR(__xludf.DUMMYFUNCTION("""COMPUTED_VALUE"""),"underlyingCountry")</f>
        <v>underlyingCountry</v>
      </c>
      <c r="AU5" s="29" t="str">
        <f>IFERROR(__xludf.DUMMYFUNCTION("""COMPUTED_VALUE"""),"exchange")</f>
        <v>exchange</v>
      </c>
      <c r="AV5" s="29" t="str">
        <f>IFERROR(__xludf.DUMMYFUNCTION("""COMPUTED_VALUE"""),"orderType")</f>
        <v>orderType</v>
      </c>
      <c r="AW5" s="29" t="str">
        <f>IFERROR(__xludf.DUMMYFUNCTION("""COMPUTED_VALUE"""),"currency")</f>
        <v>currency</v>
      </c>
      <c r="AX5" s="29" t="str">
        <f>IFERROR(__xludf.DUMMYFUNCTION("""COMPUTED_VALUE"""),"putOrCall")</f>
        <v>putOrCall</v>
      </c>
      <c r="AY5" s="29" t="str">
        <f>IFERROR(__xludf.DUMMYFUNCTION("""COMPUTED_VALUE"""),"strikePrice")</f>
        <v>strikePrice</v>
      </c>
      <c r="AZ5" s="29" t="str">
        <f>IFERROR(__xludf.DUMMYFUNCTION("""COMPUTED_VALUE"""),"venue")</f>
        <v>venue</v>
      </c>
      <c r="BA5" s="29" t="str">
        <f>IFERROR(__xludf.DUMMYFUNCTION("""COMPUTED_VALUE"""),"riskCurrency")</f>
        <v>riskCurrency</v>
      </c>
      <c r="BB5" s="29" t="str">
        <f>IFERROR(__xludf.DUMMYFUNCTION("""COMPUTED_VALUE"""),"issuer")</f>
        <v>issuer</v>
      </c>
      <c r="BC5" s="29" t="str">
        <f>IFERROR(__xludf.DUMMYFUNCTION("""COMPUTED_VALUE"""),"countryOfRisk")</f>
        <v>countryOfRisk</v>
      </c>
      <c r="BD5" s="29" t="str">
        <f>IFERROR(__xludf.DUMMYFUNCTION("""COMPUTED_VALUE"""),"region")</f>
        <v>region</v>
      </c>
      <c r="BE5" s="29" t="str">
        <f>IFERROR(__xludf.DUMMYFUNCTION("""COMPUTED_VALUE"""),"analyst")</f>
        <v>analyst</v>
      </c>
      <c r="BF5" s="29" t="str">
        <f>IFERROR(__xludf.DUMMYFUNCTION("""COMPUTED_VALUE"""),"ucitsEligibleTag")</f>
        <v>ucitsEligibleTag</v>
      </c>
      <c r="BG5" s="29" t="str">
        <f>IFERROR(__xludf.DUMMYFUNCTION("""COMPUTED_VALUE"""),"liquidTag")</f>
        <v>liquidTag</v>
      </c>
      <c r="BH5" s="29" t="str">
        <f>IFERROR(__xludf.DUMMYFUNCTION("""COMPUTED_VALUE"""),"marketCap")</f>
        <v>marketCap</v>
      </c>
      <c r="BI5" s="29" t="str">
        <f>IFERROR(__xludf.DUMMYFUNCTION("""COMPUTED_VALUE"""),"customUDA1")</f>
        <v>customUDA1</v>
      </c>
      <c r="BJ5" s="29" t="str">
        <f>IFERROR(__xludf.DUMMYFUNCTION("""COMPUTED_VALUE"""),"customUDA2")</f>
        <v>customUDA2</v>
      </c>
      <c r="BK5" s="29" t="str">
        <f>IFERROR(__xludf.DUMMYFUNCTION("""COMPUTED_VALUE"""),"customUDA3")</f>
        <v>customUDA3</v>
      </c>
      <c r="BL5" s="29" t="str">
        <f>IFERROR(__xludf.DUMMYFUNCTION("""COMPUTED_VALUE"""),"counterParty")</f>
        <v>counterParty</v>
      </c>
      <c r="BM5" s="29" t="str">
        <f>IFERROR(__xludf.DUMMYFUNCTION("""COMPUTED_VALUE"""),"customUDA4")</f>
        <v>customUDA4</v>
      </c>
      <c r="BN5" s="29" t="str">
        <f>IFERROR(__xludf.DUMMYFUNCTION("""COMPUTED_VALUE"""),"customUDA5")</f>
        <v>customUDA5</v>
      </c>
      <c r="BO5" s="29" t="str">
        <f>IFERROR(__xludf.DUMMYFUNCTION("""COMPUTED_VALUE"""),"customUDA6")</f>
        <v>customUDA6</v>
      </c>
      <c r="BP5" s="29" t="str">
        <f>IFERROR(__xludf.DUMMYFUNCTION("""COMPUTED_VALUE"""),"customUDA7")</f>
        <v>customUDA7</v>
      </c>
      <c r="BQ5" s="29" t="str">
        <f>IFERROR(__xludf.DUMMYFUNCTION("""COMPUTED_VALUE"""),"currentFxRate")</f>
        <v>currentFxRate</v>
      </c>
      <c r="BR5" s="29" t="str">
        <f>IFERROR(__xludf.DUMMYFUNCTION("""COMPUTED_VALUE"""),"yesterdayFxRate")</f>
        <v>yesterdayFxRate</v>
      </c>
      <c r="BS5" s="29" t="str">
        <f>IFERROR(__xludf.DUMMYFUNCTION("""COMPUTED_VALUE"""),"fxConversionMethod")</f>
        <v>fxConversionMethod</v>
      </c>
      <c r="BT5" s="29" t="str">
        <f>IFERROR(__xludf.DUMMYFUNCTION("""COMPUTED_VALUE"""),"taxlotFxRate")</f>
        <v>taxlotFxRate</v>
      </c>
      <c r="BU5" s="29" t="str">
        <f>IFERROR(__xludf.DUMMYFUNCTION("""COMPUTED_VALUE"""),"taxlotFxConversionMethod")</f>
        <v>taxlotFxConversionMethod</v>
      </c>
      <c r="BV5" s="29" t="str">
        <f>IFERROR(__xludf.DUMMYFUNCTION("""COMPUTED_VALUE"""),"avgPrice")</f>
        <v>avgPrice</v>
      </c>
      <c r="BW5" s="29" t="str">
        <f>IFERROR(__xludf.DUMMYFUNCTION("""COMPUTED_VALUE"""),"askPrice")</f>
        <v>askPrice</v>
      </c>
      <c r="BX5" s="29" t="str">
        <f>IFERROR(__xludf.DUMMYFUNCTION("""COMPUTED_VALUE"""),"bidPrice")</f>
        <v>bidPrice</v>
      </c>
      <c r="BY5" s="29" t="str">
        <f>IFERROR(__xludf.DUMMYFUNCTION("""COMPUTED_VALUE"""),"lowPrice")</f>
        <v>lowPrice</v>
      </c>
      <c r="BZ5" s="29" t="str">
        <f>IFERROR(__xludf.DUMMYFUNCTION("""COMPUTED_VALUE"""),"highPrice")</f>
        <v>highPrice</v>
      </c>
      <c r="CA5" s="29" t="str">
        <f>IFERROR(__xludf.DUMMYFUNCTION("""COMPUTED_VALUE"""),"openPrice")</f>
        <v>openPrice</v>
      </c>
      <c r="CB5" s="29" t="str">
        <f>IFERROR(__xludf.DUMMYFUNCTION("""COMPUTED_VALUE"""),"closePrice")</f>
        <v>closePrice</v>
      </c>
      <c r="CC5" s="29" t="str">
        <f>IFERROR(__xludf.DUMMYFUNCTION("""COMPUTED_VALUE"""),"lastPrice")</f>
        <v>lastPrice</v>
      </c>
      <c r="CD5" s="29" t="str">
        <f>IFERROR(__xludf.DUMMYFUNCTION("""COMPUTED_VALUE"""),"markPrice")</f>
        <v>markPrice</v>
      </c>
      <c r="CE5" s="29" t="str">
        <f>IFERROR(__xludf.DUMMYFUNCTION("""COMPUTED_VALUE"""),"delta")</f>
        <v>delta</v>
      </c>
      <c r="CF5" s="29" t="str">
        <f>IFERROR(__xludf.DUMMYFUNCTION("""COMPUTED_VALUE"""),"leveragedFactor")</f>
        <v>leveragedFactor</v>
      </c>
      <c r="CG5" s="29" t="str">
        <f>IFERROR(__xludf.DUMMYFUNCTION("""COMPUTED_VALUE"""),"beta5YearMonthly")</f>
        <v>beta5YearMonthly</v>
      </c>
      <c r="CH5" s="29" t="str">
        <f>IFERROR(__xludf.DUMMYFUNCTION("""COMPUTED_VALUE"""),"selectedFeedPrice")</f>
        <v>selectedFeedPrice</v>
      </c>
      <c r="CI5" s="29" t="str">
        <f>IFERROR(__xludf.DUMMYFUNCTION("""COMPUTED_VALUE"""),"openInterest")</f>
        <v>openInterest</v>
      </c>
      <c r="CJ5" s="29" t="str">
        <f>IFERROR(__xludf.DUMMYFUNCTION("""COMPUTED_VALUE"""),"underlyingPrice")</f>
        <v>underlyingPrice</v>
      </c>
      <c r="CK5" s="29" t="str">
        <f>IFERROR(__xludf.DUMMYFUNCTION("""COMPUTED_VALUE"""),"avgVolume20Days")</f>
        <v>avgVolume20Days</v>
      </c>
      <c r="CL5" s="29" t="str">
        <f>IFERROR(__xludf.DUMMYFUNCTION("""COMPUTED_VALUE"""),"sharesOutstanding")</f>
        <v>sharesOutstanding</v>
      </c>
      <c r="CM5" s="29" t="str">
        <f>IFERROR(__xludf.DUMMYFUNCTION("""COMPUTED_VALUE"""),"underlyingSharesOutstanding")</f>
        <v>underlyingSharesOutstanding</v>
      </c>
      <c r="CN5" s="29" t="str">
        <f>IFERROR(__xludf.DUMMYFUNCTION("""COMPUTED_VALUE"""),"marketCapitalization")</f>
        <v>marketCapitalization</v>
      </c>
      <c r="CO5" s="29" t="str">
        <f>IFERROR(__xludf.DUMMYFUNCTION("""COMPUTED_VALUE"""),"underlyingMarketCapitalization")</f>
        <v>underlyingMarketCapitalization</v>
      </c>
      <c r="CP5" s="29" t="str">
        <f>IFERROR(__xludf.DUMMYFUNCTION("""COMPUTED_VALUE"""),"avgVolume")</f>
        <v>avgVolume</v>
      </c>
      <c r="CQ5" s="29" t="str">
        <f>IFERROR(__xludf.DUMMYFUNCTION("""COMPUTED_VALUE"""),"netMarketValueLocal")</f>
        <v>netMarketValueLocal</v>
      </c>
      <c r="CR5" s="29" t="str">
        <f>IFERROR(__xludf.DUMMYFUNCTION("""COMPUTED_VALUE"""),"yesterdayMarketValueLocal")</f>
        <v>yesterdayMarketValueLocal</v>
      </c>
      <c r="CS5" s="29" t="str">
        <f>IFERROR(__xludf.DUMMYFUNCTION("""COMPUTED_VALUE"""),"grossMarketValueLocal")</f>
        <v>grossMarketValueLocal</v>
      </c>
      <c r="CT5" s="29" t="str">
        <f>IFERROR(__xludf.DUMMYFUNCTION("""COMPUTED_VALUE"""),"netMarketValueBase")</f>
        <v>netMarketValueBase</v>
      </c>
      <c r="CU5" s="29" t="str">
        <f>IFERROR(__xludf.DUMMYFUNCTION("""COMPUTED_VALUE"""),"yesterdayMarketValueBase")</f>
        <v>yesterdayMarketValueBase</v>
      </c>
      <c r="CV5" s="29" t="str">
        <f>IFERROR(__xludf.DUMMYFUNCTION("""COMPUTED_VALUE"""),"grossMarketValueBase")</f>
        <v>grossMarketValueBase</v>
      </c>
      <c r="CW5" s="29" t="str">
        <f>IFERROR(__xludf.DUMMYFUNCTION("""COMPUTED_VALUE"""),"notionalLocal")</f>
        <v>notionalLocal</v>
      </c>
      <c r="CX5" s="29" t="str">
        <f>IFERROR(__xludf.DUMMYFUNCTION("""COMPUTED_VALUE"""),"cashImpactLocal")</f>
        <v>cashImpactLocal</v>
      </c>
      <c r="CY5" s="29" t="str">
        <f>IFERROR(__xludf.DUMMYFUNCTION("""COMPUTED_VALUE"""),"cashInflowLocal")</f>
        <v>cashInflowLocal</v>
      </c>
      <c r="CZ5" s="29" t="str">
        <f>IFERROR(__xludf.DUMMYFUNCTION("""COMPUTED_VALUE"""),"cashOutflowLocal")</f>
        <v>cashOutflowLocal</v>
      </c>
      <c r="DA5" s="29" t="str">
        <f>IFERROR(__xludf.DUMMYFUNCTION("""COMPUTED_VALUE"""),"equityHaircutLocal")</f>
        <v>equityHaircutLocal</v>
      </c>
      <c r="DB5" s="29" t="str">
        <f>IFERROR(__xludf.DUMMYFUNCTION("""COMPUTED_VALUE"""),"indexHaircutLocal")</f>
        <v>indexHaircutLocal</v>
      </c>
      <c r="DC5" s="29" t="str">
        <f>IFERROR(__xludf.DUMMYFUNCTION("""COMPUTED_VALUE"""),"notionalBase")</f>
        <v>notionalBase</v>
      </c>
      <c r="DD5" s="29" t="str">
        <f>IFERROR(__xludf.DUMMYFUNCTION("""COMPUTED_VALUE"""),"cashImpactBase")</f>
        <v>cashImpactBase</v>
      </c>
      <c r="DE5" s="29" t="str">
        <f>IFERROR(__xludf.DUMMYFUNCTION("""COMPUTED_VALUE"""),"cashInflowBase")</f>
        <v>cashInflowBase</v>
      </c>
      <c r="DF5" s="29" t="str">
        <f>IFERROR(__xludf.DUMMYFUNCTION("""COMPUTED_VALUE"""),"cashOutflowBase")</f>
        <v>cashOutflowBase</v>
      </c>
      <c r="DG5" s="29" t="str">
        <f>IFERROR(__xludf.DUMMYFUNCTION("""COMPUTED_VALUE"""),"equityHaircutBase")</f>
        <v>equityHaircutBase</v>
      </c>
      <c r="DH5" s="29" t="str">
        <f>IFERROR(__xludf.DUMMYFUNCTION("""COMPUTED_VALUE"""),"indexHaircutBase")</f>
        <v>indexHaircutBase</v>
      </c>
      <c r="DI5" s="29" t="str">
        <f>IFERROR(__xludf.DUMMYFUNCTION("""COMPUTED_VALUE"""),"underlyingValueForOptionsLocal")</f>
        <v>underlyingValueForOptionsLocal</v>
      </c>
      <c r="DJ5" s="29" t="str">
        <f>IFERROR(__xludf.DUMMYFUNCTION("""COMPUTED_VALUE"""),"dayPnLLocal")</f>
        <v>dayPnLLocal</v>
      </c>
      <c r="DK5" s="29" t="str">
        <f>IFERROR(__xludf.DUMMYFUNCTION("""COMPUTED_VALUE"""),"costBasisPnLLocal")</f>
        <v>costBasisPnLLocal</v>
      </c>
      <c r="DL5" s="29" t="str">
        <f>IFERROR(__xludf.DUMMYFUNCTION("""COMPUTED_VALUE"""),"liquidationPnlLocal")</f>
        <v>liquidationPnlLocal</v>
      </c>
      <c r="DM5" s="29" t="str">
        <f>IFERROR(__xludf.DUMMYFUNCTION("""COMPUTED_VALUE"""),"underlyingValueForOptionsBase")</f>
        <v>underlyingValueForOptionsBase</v>
      </c>
      <c r="DN5" s="29" t="str">
        <f>IFERROR(__xludf.DUMMYFUNCTION("""COMPUTED_VALUE"""),"dayPnLBase")</f>
        <v>dayPnLBase</v>
      </c>
      <c r="DO5" s="29" t="str">
        <f>IFERROR(__xludf.DUMMYFUNCTION("""COMPUTED_VALUE"""),"costBasisPnLBase")</f>
        <v>costBasisPnLBase</v>
      </c>
      <c r="DP5" s="29" t="str">
        <f>IFERROR(__xludf.DUMMYFUNCTION("""COMPUTED_VALUE"""),"liquidationPnlBase")</f>
        <v>liquidationPnlBase</v>
      </c>
      <c r="DQ5" s="29" t="str">
        <f>IFERROR(__xludf.DUMMYFUNCTION("""COMPUTED_VALUE"""),"netExposureLocal")</f>
        <v>netExposureLocal</v>
      </c>
      <c r="DR5" s="29" t="str">
        <f>IFERROR(__xludf.DUMMYFUNCTION("""COMPUTED_VALUE"""),"grossExposureLocal")</f>
        <v>grossExposureLocal</v>
      </c>
      <c r="DS5" s="29" t="str">
        <f>IFERROR(__xludf.DUMMYFUNCTION("""COMPUTED_VALUE"""),"betaAdjustedExposureLocal")</f>
        <v>betaAdjustedExposureLocal</v>
      </c>
      <c r="DT5" s="29" t="str">
        <f>IFERROR(__xludf.DUMMYFUNCTION("""COMPUTED_VALUE"""),"netExposureBase")</f>
        <v>netExposureBase</v>
      </c>
      <c r="DU5" s="29" t="str">
        <f>IFERROR(__xludf.DUMMYFUNCTION("""COMPUTED_VALUE"""),"grossExposureBase")</f>
        <v>grossExposureBase</v>
      </c>
      <c r="DV5" s="29" t="str">
        <f>IFERROR(__xludf.DUMMYFUNCTION("""COMPUTED_VALUE"""),"betaAdjustedExposureBase")</f>
        <v>betaAdjustedExposureBase</v>
      </c>
      <c r="DW5" s="29" t="str">
        <f>IFERROR(__xludf.DUMMYFUNCTION("""COMPUTED_VALUE"""),"deltaAdjPosition")</f>
        <v>deltaAdjPosition</v>
      </c>
      <c r="DX5" s="29" t="str">
        <f>IFERROR(__xludf.DUMMYFUNCTION("""COMPUTED_VALUE"""),"dayDiff")</f>
        <v>dayDiff</v>
      </c>
      <c r="DY5" s="29" t="str">
        <f>IFERROR(__xludf.DUMMYFUNCTION("""COMPUTED_VALUE"""),"dayInterestLocal")</f>
        <v>dayInterestLocal</v>
      </c>
      <c r="DZ5" s="29" t="str">
        <f>IFERROR(__xludf.DUMMYFUNCTION("""COMPUTED_VALUE"""),"totalInterestLocal")</f>
        <v>totalInterestLocal</v>
      </c>
      <c r="EA5" s="29" t="str">
        <f>IFERROR(__xludf.DUMMYFUNCTION("""COMPUTED_VALUE"""),"dayInterestBase")</f>
        <v>dayInterestBase</v>
      </c>
      <c r="EB5" s="29" t="str">
        <f>IFERROR(__xludf.DUMMYFUNCTION("""COMPUTED_VALUE"""),"totalInterestBase")</f>
        <v>totalInterestBase</v>
      </c>
      <c r="EC5" s="29" t="str">
        <f>IFERROR(__xludf.DUMMYFUNCTION("""COMPUTED_VALUE"""),"percentAvgVolume")</f>
        <v>percentAvgVolume</v>
      </c>
      <c r="ED5" s="29" t="str">
        <f>IFERROR(__xludf.DUMMYFUNCTION("""COMPUTED_VALUE"""),"businessDaysToExpire")</f>
        <v>businessDaysToExpire</v>
      </c>
      <c r="EE5" s="29" t="str">
        <f>IFERROR(__xludf.DUMMYFUNCTION("""COMPUTED_VALUE"""),"actualDaysToExpire")</f>
        <v>actualDaysToExpire</v>
      </c>
      <c r="EF5" s="29" t="str">
        <f>IFERROR(__xludf.DUMMYFUNCTION("""COMPUTED_VALUE"""),"longDebitBalance")</f>
        <v>longDebitBalance</v>
      </c>
      <c r="EG5" s="29" t="str">
        <f>IFERROR(__xludf.DUMMYFUNCTION("""COMPUTED_VALUE"""),"shortCreditBalance")</f>
        <v>shortCreditBalance</v>
      </c>
      <c r="EH5" s="29" t="str">
        <f>IFERROR(__xludf.DUMMYFUNCTION("""COMPUTED_VALUE"""),"roundLot")</f>
        <v>roundLot</v>
      </c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  <c r="EY5" s="29"/>
    </row>
    <row r="6">
      <c r="H6" s="9" t="s">
        <v>21</v>
      </c>
      <c r="I6" s="59">
        <v>0.0</v>
      </c>
      <c r="J6" s="9">
        <v>25.0</v>
      </c>
      <c r="K6" s="9">
        <v>25.0</v>
      </c>
      <c r="L6" s="9">
        <v>25.0</v>
      </c>
      <c r="M6" s="9" t="s">
        <v>52</v>
      </c>
      <c r="O6" s="60" t="s">
        <v>22</v>
      </c>
      <c r="T6" s="9" t="s">
        <v>58</v>
      </c>
      <c r="U6" s="9" t="s">
        <v>58</v>
      </c>
      <c r="V6" s="9" t="b">
        <v>0</v>
      </c>
      <c r="X6" s="9" t="b">
        <v>1</v>
      </c>
      <c r="Y6" s="9" t="s">
        <v>78</v>
      </c>
      <c r="AA6" s="9" t="s">
        <v>78</v>
      </c>
      <c r="AB6" s="9">
        <v>250.0</v>
      </c>
      <c r="AC6" s="9" t="s">
        <v>78</v>
      </c>
      <c r="AD6" s="9">
        <v>250.0</v>
      </c>
      <c r="AE6" s="9">
        <v>0.0</v>
      </c>
      <c r="AF6" s="9" t="b">
        <v>1</v>
      </c>
      <c r="AG6" s="9">
        <v>25.0</v>
      </c>
      <c r="AH6" s="9">
        <v>250.0</v>
      </c>
      <c r="AJ6" s="9" t="s">
        <v>38</v>
      </c>
      <c r="AN6" s="9" t="s">
        <v>79</v>
      </c>
      <c r="AO6" s="9" t="s">
        <v>60</v>
      </c>
      <c r="AP6" s="9" t="s">
        <v>61</v>
      </c>
      <c r="AQ6" s="9" t="s">
        <v>38</v>
      </c>
      <c r="AR6" s="9" t="s">
        <v>62</v>
      </c>
      <c r="AU6" s="9" t="s">
        <v>41</v>
      </c>
      <c r="AW6" s="9" t="s">
        <v>59</v>
      </c>
      <c r="BA6" s="9" t="s">
        <v>59</v>
      </c>
      <c r="BB6" s="9" t="s">
        <v>64</v>
      </c>
      <c r="BC6" s="9" t="s">
        <v>65</v>
      </c>
      <c r="BD6" s="9" t="s">
        <v>66</v>
      </c>
      <c r="BE6" s="9" t="s">
        <v>66</v>
      </c>
      <c r="BF6" s="9" t="s">
        <v>25</v>
      </c>
      <c r="BG6" s="9" t="s">
        <v>67</v>
      </c>
      <c r="BI6" s="9" t="s">
        <v>66</v>
      </c>
      <c r="BJ6" s="9" t="s">
        <v>66</v>
      </c>
      <c r="BK6" s="9" t="s">
        <v>67</v>
      </c>
      <c r="BM6" s="9" t="s">
        <v>66</v>
      </c>
      <c r="BN6" s="9" t="s">
        <v>66</v>
      </c>
      <c r="BO6" s="9" t="s">
        <v>66</v>
      </c>
      <c r="BP6" s="9" t="s">
        <v>66</v>
      </c>
      <c r="BQ6" s="9">
        <v>1.0</v>
      </c>
      <c r="BR6" s="9">
        <v>1.0</v>
      </c>
      <c r="BS6" s="9" t="s">
        <v>43</v>
      </c>
      <c r="BT6" s="9">
        <v>1.0</v>
      </c>
      <c r="BU6" s="9" t="s">
        <v>43</v>
      </c>
      <c r="BV6" s="9">
        <v>10.0</v>
      </c>
      <c r="BW6" s="9">
        <v>0.0</v>
      </c>
      <c r="BX6" s="9">
        <v>0.0</v>
      </c>
      <c r="BY6" s="9">
        <v>0.0</v>
      </c>
    </row>
    <row r="7">
      <c r="H7" s="9" t="s">
        <v>21</v>
      </c>
      <c r="I7" s="61">
        <v>0.0</v>
      </c>
      <c r="J7" s="9">
        <v>25.0</v>
      </c>
      <c r="K7" s="9">
        <v>25.0</v>
      </c>
      <c r="L7" s="9">
        <v>25.0</v>
      </c>
      <c r="M7" s="9" t="s">
        <v>52</v>
      </c>
      <c r="O7" s="62" t="s">
        <v>22</v>
      </c>
      <c r="T7" s="9" t="s">
        <v>68</v>
      </c>
      <c r="U7" s="9" t="s">
        <v>68</v>
      </c>
      <c r="V7" s="9" t="b">
        <v>0</v>
      </c>
      <c r="X7" s="9" t="b">
        <v>1</v>
      </c>
      <c r="Y7" s="9" t="s">
        <v>78</v>
      </c>
      <c r="AA7" s="9" t="s">
        <v>78</v>
      </c>
      <c r="AB7" s="9">
        <v>250.0</v>
      </c>
      <c r="AC7" s="9" t="s">
        <v>78</v>
      </c>
      <c r="AD7" s="9">
        <v>250.0</v>
      </c>
      <c r="AE7" s="9">
        <v>0.0</v>
      </c>
      <c r="AF7" s="9" t="b">
        <v>1</v>
      </c>
      <c r="AG7" s="9">
        <v>25.0</v>
      </c>
      <c r="AH7" s="9">
        <v>250.0</v>
      </c>
      <c r="AJ7" s="9" t="s">
        <v>38</v>
      </c>
      <c r="AN7" s="9" t="s">
        <v>79</v>
      </c>
      <c r="AO7" s="9" t="s">
        <v>60</v>
      </c>
      <c r="AP7" s="9" t="s">
        <v>61</v>
      </c>
      <c r="AQ7" s="9" t="s">
        <v>38</v>
      </c>
      <c r="AR7" s="9" t="s">
        <v>62</v>
      </c>
      <c r="AU7" s="9" t="s">
        <v>41</v>
      </c>
      <c r="AW7" s="9" t="s">
        <v>59</v>
      </c>
      <c r="BA7" s="9" t="s">
        <v>59</v>
      </c>
      <c r="BB7" s="9" t="s">
        <v>64</v>
      </c>
      <c r="BC7" s="9" t="s">
        <v>65</v>
      </c>
      <c r="BD7" s="9" t="s">
        <v>66</v>
      </c>
      <c r="BE7" s="9" t="s">
        <v>66</v>
      </c>
      <c r="BF7" s="9" t="s">
        <v>25</v>
      </c>
      <c r="BG7" s="9" t="s">
        <v>67</v>
      </c>
      <c r="BI7" s="9" t="s">
        <v>66</v>
      </c>
      <c r="BJ7" s="9" t="s">
        <v>66</v>
      </c>
      <c r="BK7" s="9" t="s">
        <v>67</v>
      </c>
      <c r="BM7" s="9" t="s">
        <v>66</v>
      </c>
      <c r="BN7" s="9" t="s">
        <v>66</v>
      </c>
      <c r="BO7" s="9" t="s">
        <v>66</v>
      </c>
      <c r="BP7" s="9" t="s">
        <v>66</v>
      </c>
      <c r="BQ7" s="9">
        <v>1.0</v>
      </c>
      <c r="BR7" s="9">
        <v>1.0</v>
      </c>
      <c r="BS7" s="9" t="s">
        <v>43</v>
      </c>
      <c r="BT7" s="9">
        <v>1.0</v>
      </c>
      <c r="BU7" s="9" t="s">
        <v>43</v>
      </c>
      <c r="BV7" s="9">
        <v>10.0</v>
      </c>
      <c r="BW7" s="9">
        <v>0.0</v>
      </c>
      <c r="BX7" s="9">
        <v>0.0</v>
      </c>
      <c r="BY7" s="9">
        <v>0.0</v>
      </c>
    </row>
    <row r="8">
      <c r="H8" s="9" t="s">
        <v>21</v>
      </c>
      <c r="I8" s="59">
        <v>0.0</v>
      </c>
      <c r="J8" s="9">
        <v>25.0</v>
      </c>
      <c r="K8" s="9">
        <v>25.0</v>
      </c>
      <c r="L8" s="9">
        <v>25.0</v>
      </c>
      <c r="M8" s="9" t="s">
        <v>54</v>
      </c>
      <c r="O8" s="60" t="s">
        <v>22</v>
      </c>
      <c r="T8" s="9" t="s">
        <v>68</v>
      </c>
      <c r="U8" s="9" t="s">
        <v>68</v>
      </c>
      <c r="V8" s="9" t="b">
        <v>0</v>
      </c>
      <c r="X8" s="9" t="b">
        <v>1</v>
      </c>
      <c r="Y8" s="9" t="s">
        <v>78</v>
      </c>
      <c r="AA8" s="9" t="s">
        <v>80</v>
      </c>
      <c r="AB8" s="9">
        <v>250.0</v>
      </c>
      <c r="AC8" s="9" t="s">
        <v>80</v>
      </c>
      <c r="AD8" s="9">
        <v>250.0</v>
      </c>
      <c r="AE8" s="9">
        <v>0.0</v>
      </c>
      <c r="AF8" s="9" t="b">
        <v>1</v>
      </c>
      <c r="AG8" s="9">
        <v>25.0</v>
      </c>
      <c r="AH8" s="9">
        <v>250.0</v>
      </c>
      <c r="AJ8" s="9" t="s">
        <v>38</v>
      </c>
      <c r="AK8" s="9" t="s">
        <v>38</v>
      </c>
      <c r="AN8" s="9" t="s">
        <v>79</v>
      </c>
      <c r="AO8" s="9" t="s">
        <v>60</v>
      </c>
      <c r="AP8" s="9" t="s">
        <v>61</v>
      </c>
      <c r="AQ8" s="9" t="s">
        <v>38</v>
      </c>
      <c r="AR8" s="9" t="s">
        <v>62</v>
      </c>
      <c r="AU8" s="9" t="s">
        <v>41</v>
      </c>
      <c r="AW8" s="9" t="s">
        <v>59</v>
      </c>
      <c r="AZ8" s="9" t="s">
        <v>41</v>
      </c>
      <c r="BA8" s="9" t="s">
        <v>59</v>
      </c>
      <c r="BB8" s="9" t="s">
        <v>64</v>
      </c>
      <c r="BC8" s="9" t="s">
        <v>65</v>
      </c>
      <c r="BD8" s="9" t="s">
        <v>66</v>
      </c>
      <c r="BE8" s="9" t="s">
        <v>66</v>
      </c>
      <c r="BF8" s="9" t="s">
        <v>25</v>
      </c>
      <c r="BG8" s="9" t="s">
        <v>67</v>
      </c>
      <c r="BI8" s="9" t="s">
        <v>66</v>
      </c>
      <c r="BJ8" s="9" t="s">
        <v>66</v>
      </c>
      <c r="BK8" s="9" t="s">
        <v>67</v>
      </c>
      <c r="BM8" s="9" t="s">
        <v>66</v>
      </c>
      <c r="BN8" s="9" t="s">
        <v>66</v>
      </c>
      <c r="BO8" s="9" t="s">
        <v>66</v>
      </c>
      <c r="BP8" s="9" t="s">
        <v>66</v>
      </c>
      <c r="BQ8" s="9">
        <v>1.0</v>
      </c>
      <c r="BR8" s="9">
        <v>1.0</v>
      </c>
      <c r="BS8" s="9" t="s">
        <v>43</v>
      </c>
      <c r="BT8" s="9">
        <v>1.0</v>
      </c>
      <c r="BU8" s="9" t="s">
        <v>43</v>
      </c>
      <c r="BV8" s="9">
        <v>10.0</v>
      </c>
      <c r="BW8" s="9">
        <v>0.0</v>
      </c>
      <c r="BX8" s="9">
        <v>0.0</v>
      </c>
      <c r="BY8" s="9">
        <v>0.0</v>
      </c>
    </row>
    <row r="9">
      <c r="H9" s="9" t="s">
        <v>26</v>
      </c>
      <c r="I9" s="61">
        <v>0.0</v>
      </c>
      <c r="J9" s="9">
        <v>50.0</v>
      </c>
      <c r="K9" s="9">
        <v>50.0</v>
      </c>
      <c r="L9" s="9">
        <v>50.0</v>
      </c>
      <c r="M9" s="9" t="s">
        <v>52</v>
      </c>
      <c r="O9" s="63" t="s">
        <v>22</v>
      </c>
      <c r="T9" s="9" t="s">
        <v>68</v>
      </c>
      <c r="U9" s="9" t="s">
        <v>68</v>
      </c>
      <c r="V9" s="9" t="b">
        <v>0</v>
      </c>
      <c r="X9" s="9" t="b">
        <v>1</v>
      </c>
      <c r="Y9" s="9" t="s">
        <v>78</v>
      </c>
      <c r="AA9" s="9" t="s">
        <v>78</v>
      </c>
      <c r="AB9" s="9">
        <v>500.0</v>
      </c>
      <c r="AC9" s="9" t="s">
        <v>78</v>
      </c>
      <c r="AD9" s="9">
        <v>500.0</v>
      </c>
      <c r="AE9" s="9">
        <v>0.0</v>
      </c>
      <c r="AF9" s="9" t="b">
        <v>1</v>
      </c>
      <c r="AG9" s="9">
        <v>50.0</v>
      </c>
      <c r="AH9" s="9">
        <v>500.0</v>
      </c>
      <c r="AJ9" s="9" t="s">
        <v>38</v>
      </c>
      <c r="AK9" s="9" t="s">
        <v>38</v>
      </c>
      <c r="AN9" s="9" t="s">
        <v>79</v>
      </c>
      <c r="AO9" s="9" t="s">
        <v>70</v>
      </c>
      <c r="AP9" s="9" t="s">
        <v>71</v>
      </c>
      <c r="AQ9" s="9" t="s">
        <v>38</v>
      </c>
      <c r="AR9" s="9" t="s">
        <v>72</v>
      </c>
      <c r="AU9" s="9" t="s">
        <v>41</v>
      </c>
      <c r="AW9" s="9" t="s">
        <v>59</v>
      </c>
      <c r="AZ9" s="9" t="s">
        <v>41</v>
      </c>
      <c r="BA9" s="9" t="s">
        <v>59</v>
      </c>
      <c r="BB9" s="9" t="s">
        <v>73</v>
      </c>
      <c r="BC9" s="9" t="s">
        <v>74</v>
      </c>
      <c r="BD9" s="9" t="s">
        <v>61</v>
      </c>
      <c r="BE9" s="9" t="s">
        <v>61</v>
      </c>
      <c r="BF9" s="9" t="s">
        <v>25</v>
      </c>
      <c r="BG9" s="9" t="s">
        <v>25</v>
      </c>
      <c r="BI9" s="9" t="s">
        <v>75</v>
      </c>
      <c r="BJ9" s="9" t="s">
        <v>61</v>
      </c>
      <c r="BK9" s="9" t="s">
        <v>61</v>
      </c>
      <c r="BM9" s="9" t="s">
        <v>61</v>
      </c>
      <c r="BN9" s="58"/>
      <c r="BP9" s="9" t="s">
        <v>61</v>
      </c>
      <c r="BQ9" s="9">
        <v>1.0</v>
      </c>
      <c r="BR9" s="9">
        <v>1.0</v>
      </c>
      <c r="BS9" s="9" t="s">
        <v>43</v>
      </c>
      <c r="BT9" s="9">
        <v>1.0</v>
      </c>
      <c r="BU9" s="9" t="s">
        <v>43</v>
      </c>
      <c r="BV9" s="9">
        <v>10.0</v>
      </c>
      <c r="BW9" s="9">
        <v>0.0</v>
      </c>
      <c r="BX9" s="9">
        <v>0.0</v>
      </c>
      <c r="BY9" s="9">
        <v>0.0</v>
      </c>
    </row>
    <row r="10">
      <c r="H10" s="9" t="s">
        <v>21</v>
      </c>
      <c r="I10" s="59">
        <v>0.0</v>
      </c>
      <c r="J10" s="9">
        <v>25.0</v>
      </c>
      <c r="K10" s="9">
        <v>25.0</v>
      </c>
      <c r="L10" s="9">
        <v>25.0</v>
      </c>
      <c r="M10" s="9" t="s">
        <v>54</v>
      </c>
      <c r="O10" s="64" t="s">
        <v>22</v>
      </c>
      <c r="T10" s="9" t="s">
        <v>58</v>
      </c>
      <c r="U10" s="9" t="s">
        <v>58</v>
      </c>
      <c r="V10" s="9" t="b">
        <v>0</v>
      </c>
      <c r="X10" s="9" t="b">
        <v>1</v>
      </c>
      <c r="Y10" s="9" t="s">
        <v>78</v>
      </c>
      <c r="AA10" s="9" t="s">
        <v>80</v>
      </c>
      <c r="AB10" s="9">
        <v>250.0</v>
      </c>
      <c r="AC10" s="9" t="s">
        <v>80</v>
      </c>
      <c r="AD10" s="9">
        <v>250.0</v>
      </c>
      <c r="AE10" s="9">
        <v>0.0</v>
      </c>
      <c r="AF10" s="9" t="b">
        <v>1</v>
      </c>
      <c r="AG10" s="9">
        <v>25.0</v>
      </c>
      <c r="AH10" s="9">
        <v>250.0</v>
      </c>
      <c r="AJ10" s="9" t="s">
        <v>38</v>
      </c>
      <c r="AK10" s="9" t="s">
        <v>38</v>
      </c>
      <c r="AN10" s="9" t="s">
        <v>79</v>
      </c>
      <c r="AO10" s="9" t="s">
        <v>60</v>
      </c>
      <c r="AP10" s="9" t="s">
        <v>61</v>
      </c>
      <c r="AQ10" s="9" t="s">
        <v>38</v>
      </c>
      <c r="AR10" s="9" t="s">
        <v>62</v>
      </c>
      <c r="AU10" s="9" t="s">
        <v>41</v>
      </c>
      <c r="AW10" s="9" t="s">
        <v>59</v>
      </c>
      <c r="AZ10" s="9" t="s">
        <v>41</v>
      </c>
      <c r="BA10" s="9" t="s">
        <v>59</v>
      </c>
      <c r="BB10" s="9" t="s">
        <v>64</v>
      </c>
      <c r="BC10" s="9" t="s">
        <v>65</v>
      </c>
      <c r="BD10" s="9" t="s">
        <v>66</v>
      </c>
      <c r="BE10" s="9" t="s">
        <v>66</v>
      </c>
      <c r="BF10" s="9" t="s">
        <v>25</v>
      </c>
      <c r="BG10" s="9" t="s">
        <v>67</v>
      </c>
      <c r="BI10" s="9" t="s">
        <v>66</v>
      </c>
      <c r="BJ10" s="9" t="s">
        <v>66</v>
      </c>
      <c r="BK10" s="9" t="s">
        <v>67</v>
      </c>
      <c r="BM10" s="9" t="s">
        <v>66</v>
      </c>
      <c r="BN10" s="9" t="s">
        <v>66</v>
      </c>
      <c r="BO10" s="9" t="s">
        <v>66</v>
      </c>
      <c r="BP10" s="9" t="s">
        <v>66</v>
      </c>
      <c r="BQ10" s="9">
        <v>1.0</v>
      </c>
      <c r="BR10" s="9">
        <v>1.0</v>
      </c>
      <c r="BS10" s="9" t="s">
        <v>43</v>
      </c>
      <c r="BT10" s="9">
        <v>1.0</v>
      </c>
      <c r="BU10" s="9" t="s">
        <v>43</v>
      </c>
      <c r="BV10" s="9">
        <v>10.0</v>
      </c>
      <c r="BW10" s="9">
        <v>0.0</v>
      </c>
      <c r="BX10" s="9">
        <v>0.0</v>
      </c>
      <c r="BY10" s="9">
        <v>0.0</v>
      </c>
    </row>
    <row r="11">
      <c r="H11" s="9" t="s">
        <v>26</v>
      </c>
      <c r="I11" s="61">
        <v>0.0</v>
      </c>
      <c r="J11" s="9">
        <v>50.0</v>
      </c>
      <c r="K11" s="9">
        <v>50.0</v>
      </c>
      <c r="L11" s="9">
        <v>50.0</v>
      </c>
      <c r="M11" s="9" t="s">
        <v>52</v>
      </c>
      <c r="O11" s="62" t="s">
        <v>22</v>
      </c>
      <c r="T11" s="9" t="s">
        <v>58</v>
      </c>
      <c r="U11" s="9" t="s">
        <v>58</v>
      </c>
      <c r="V11" s="9" t="b">
        <v>0</v>
      </c>
      <c r="X11" s="9" t="b">
        <v>1</v>
      </c>
      <c r="Y11" s="9" t="s">
        <v>78</v>
      </c>
      <c r="AA11" s="9" t="s">
        <v>78</v>
      </c>
      <c r="AB11" s="9">
        <v>500.0</v>
      </c>
      <c r="AC11" s="9" t="s">
        <v>78</v>
      </c>
      <c r="AD11" s="9">
        <v>500.0</v>
      </c>
      <c r="AE11" s="9">
        <v>0.0</v>
      </c>
      <c r="AF11" s="9" t="b">
        <v>1</v>
      </c>
      <c r="AG11" s="9">
        <v>50.0</v>
      </c>
      <c r="AH11" s="9">
        <v>500.0</v>
      </c>
      <c r="AJ11" s="9" t="s">
        <v>38</v>
      </c>
      <c r="AK11" s="9" t="s">
        <v>38</v>
      </c>
      <c r="AN11" s="9" t="s">
        <v>79</v>
      </c>
      <c r="AO11" s="9" t="s">
        <v>70</v>
      </c>
      <c r="AP11" s="9" t="s">
        <v>71</v>
      </c>
      <c r="AQ11" s="9" t="s">
        <v>38</v>
      </c>
      <c r="AR11" s="9" t="s">
        <v>72</v>
      </c>
      <c r="AU11" s="9" t="s">
        <v>41</v>
      </c>
      <c r="AW11" s="9" t="s">
        <v>59</v>
      </c>
      <c r="AZ11" s="9" t="s">
        <v>41</v>
      </c>
      <c r="BA11" s="9" t="s">
        <v>59</v>
      </c>
      <c r="BB11" s="9" t="s">
        <v>73</v>
      </c>
      <c r="BC11" s="9" t="s">
        <v>74</v>
      </c>
      <c r="BD11" s="9" t="s">
        <v>61</v>
      </c>
      <c r="BE11" s="9" t="s">
        <v>61</v>
      </c>
      <c r="BF11" s="9" t="s">
        <v>25</v>
      </c>
      <c r="BG11" s="9" t="s">
        <v>25</v>
      </c>
      <c r="BI11" s="9" t="s">
        <v>75</v>
      </c>
      <c r="BJ11" s="9" t="s">
        <v>61</v>
      </c>
      <c r="BK11" s="9" t="s">
        <v>61</v>
      </c>
      <c r="BM11" s="9" t="s">
        <v>61</v>
      </c>
      <c r="BN11" s="58"/>
      <c r="BP11" s="9" t="s">
        <v>61</v>
      </c>
      <c r="BQ11" s="9">
        <v>1.0</v>
      </c>
      <c r="BR11" s="9">
        <v>1.0</v>
      </c>
      <c r="BS11" s="9" t="s">
        <v>43</v>
      </c>
      <c r="BT11" s="9">
        <v>1.0</v>
      </c>
      <c r="BU11" s="9" t="s">
        <v>43</v>
      </c>
      <c r="BV11" s="9">
        <v>10.0</v>
      </c>
      <c r="BW11" s="9">
        <v>0.0</v>
      </c>
      <c r="BX11" s="9">
        <v>0.0</v>
      </c>
      <c r="BY11" s="9">
        <v>0.0</v>
      </c>
    </row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VerifyRowCalculationBaseWindow!$4:$4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50</v>
      </c>
      <c r="D3" s="5" t="s">
        <v>9</v>
      </c>
      <c r="E3" s="22" t="s">
        <v>51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IFERROR(__xludf.DUMMYFUNCTION("IF(C3="""","""",Transpose(IMPORTRANGE('_Settings'!$B$3,C3&amp;""!A4:A1000"")))"),"CheckCompliance")</f>
        <v>CheckCompliance</v>
      </c>
      <c r="C4" s="24" t="str">
        <f>IFERROR(__xludf.DUMMYFUNCTION("""COMPUTED_VALUE"""),"VerifyAccountDivisorWindow")</f>
        <v>VerifyAccountDivisorWindow</v>
      </c>
      <c r="D4" s="24" t="str">
        <f>IFERROR(__xludf.DUMMYFUNCTION("""COMPUTED_VALUE"""),"VerifyAccountSymbolDivisorWindow")</f>
        <v>VerifyAccountSymbolDivisorWindow</v>
      </c>
      <c r="E4" s="24" t="str">
        <f>IFERROR(__xludf.DUMMYFUNCTION("""COMPUTED_VALUE"""),"VerifyAggregationAccountSymbolWithNav")</f>
        <v>VerifyAggregationAccountSymbolWithNav</v>
      </c>
      <c r="F4" s="24" t="str">
        <f>IFERROR(__xludf.DUMMYFUNCTION("""COMPUTED_VALUE"""),"VerifyAggregationAccountWithNav")</f>
        <v>VerifyAggregationAccountWithNav</v>
      </c>
      <c r="G4" s="24" t="str">
        <f>IFERROR(__xludf.DUMMYFUNCTION("""COMPUTED_VALUE"""),"VerifyAggregationMasterFundSymbolWithNav")</f>
        <v>VerifyAggregationMasterFundSymbolWithNav</v>
      </c>
      <c r="H4" s="24" t="str">
        <f>IFERROR(__xludf.DUMMYFUNCTION("""COMPUTED_VALUE"""),"VerifyAggregationMasterFundUnderlyingSymbolWithNav")</f>
        <v>VerifyAggregationMasterFundUnderlyingSymbolWithNav</v>
      </c>
      <c r="I4" s="24" t="str">
        <f>IFERROR(__xludf.DUMMYFUNCTION("""COMPUTED_VALUE"""),"VerifyAggregationMasterFundWithNav")</f>
        <v>VerifyAggregationMasterFundWithNav</v>
      </c>
      <c r="J4" s="24" t="str">
        <f>IFERROR(__xludf.DUMMYFUNCTION("""COMPUTED_VALUE"""),"VerifyAggregationSectorWithNav")</f>
        <v>VerifyAggregationSectorWithNav</v>
      </c>
      <c r="K4" s="24" t="str">
        <f>IFERROR(__xludf.DUMMYFUNCTION("""COMPUTED_VALUE"""),"VerifyAggregationUnderlyingSymbolWithNav")</f>
        <v>VerifyAggregationUnderlyingSymbolWithNav</v>
      </c>
      <c r="L4" s="24" t="str">
        <f>IFERROR(__xludf.DUMMYFUNCTION("""COMPUTED_VALUE"""),"VerifyAuecWindow")</f>
        <v>VerifyAuecWindow</v>
      </c>
      <c r="M4" s="24" t="str">
        <f>IFERROR(__xludf.DUMMYFUNCTION("""COMPUTED_VALUE"""),"VerifyBetaWindow")</f>
        <v>VerifyBetaWindow</v>
      </c>
      <c r="N4" s="24" t="str">
        <f>IFERROR(__xludf.DUMMYFUNCTION("""COMPUTED_VALUE"""),"VerifyCustomSymbolDataWindow")</f>
        <v>VerifyCustomSymbolDataWindow</v>
      </c>
      <c r="O4" s="24" t="str">
        <f>IFERROR(__xludf.DUMMYFUNCTION("""COMPUTED_VALUE"""),"VerifyDayEndCashAccountWindow")</f>
        <v>VerifyDayEndCashAccountWindow</v>
      </c>
      <c r="P4" s="25" t="str">
        <f>IFERROR(__xludf.DUMMYFUNCTION("""COMPUTED_VALUE"""),"VerifyDbNavWindow")</f>
        <v>VerifyDbNavWindow</v>
      </c>
      <c r="Q4" s="25" t="str">
        <f>IFERROR(__xludf.DUMMYFUNCTION("""COMPUTED_VALUE"""),"VerifyGlobalDivisorWindow")</f>
        <v>VerifyGlobalDivisorWindow</v>
      </c>
      <c r="R4" s="25" t="str">
        <f>IFERROR(__xludf.DUMMYFUNCTION("""COMPUTED_VALUE"""),"VerifyPmCalculationPreferenceWindow")</f>
        <v>VerifyPmCalculationPreferenceWindow</v>
      </c>
      <c r="S4" s="25" t="str">
        <f>IFERROR(__xludf.DUMMYFUNCTION("""COMPUTED_VALUE"""),"VerifyRowCalculationBaseWindow")</f>
        <v>VerifyRowCalculationBaseWindow</v>
      </c>
      <c r="T4" s="25" t="str">
        <f>IFERROR(__xludf.DUMMYFUNCTION("""COMPUTED_VALUE"""),"VerifySecurityWindow")</f>
        <v>VerifySecurityWindow</v>
      </c>
      <c r="U4" s="25" t="str">
        <f>IFERROR(__xludf.DUMMYFUNCTION("""COMPUTED_VALUE"""),"VerifySymbolDataWindow")</f>
        <v>VerifySymbolDataWindow</v>
      </c>
      <c r="V4" s="25" t="str">
        <f>IFERROR(__xludf.DUMMYFUNCTION("""COMPUTED_VALUE"""),"VerifySymbolDivisorWindow")</f>
        <v>VerifySymbolDivisorWindow</v>
      </c>
      <c r="W4" s="25" t="str">
        <f>IFERROR(__xludf.DUMMYFUNCTION("""COMPUTED_VALUE"""),"VerifyTaxlotWindow")</f>
        <v>VerifyTaxlotWindow</v>
      </c>
      <c r="X4" s="25" t="str">
        <f>IFERROR(__xludf.DUMMYFUNCTION("""COMPUTED_VALUE"""),"RestartEsper")</f>
        <v>RestartEsper</v>
      </c>
      <c r="Y4" s="25" t="str">
        <f>IFERROR(__xludf.DUMMYFUNCTION("""COMPUTED_VALUE"""),"VerifyAccountNavPreferenceWindow")</f>
        <v>VerifyAccountNavPreferenceWindow</v>
      </c>
      <c r="Z4" s="25" t="str">
        <f>IFERROR(__xludf.DUMMYFUNCTION("""COMPUTED_VALUE"""),"VerifyAggregationAccountUnderlyingSymbolWithNav")</f>
        <v>VerifyAggregationAccountUnderlyingSymbolWithNav</v>
      </c>
      <c r="AA4" s="25" t="str">
        <f>IFERROR(__xludf.DUMMYFUNCTION("""COMPUTED_VALUE"""),"VerifyAggregationAssetWithNav")</f>
        <v>VerifyAggregationAssetWithNav</v>
      </c>
      <c r="AB4" s="25" t="str">
        <f>IFERROR(__xludf.DUMMYFUNCTION("""COMPUTED_VALUE"""),"VerifyAggregationSymbolWithNav")</f>
        <v>VerifyAggregationSymbolWithNav</v>
      </c>
      <c r="AC4" s="25" t="str">
        <f>IFERROR(__xludf.DUMMYFUNCTION("""COMPUTED_VALUE"""),"VerifyAggregationSubSectorWithNav")</f>
        <v>VerifyAggregationSubSectorWithNav</v>
      </c>
      <c r="AD4" s="25" t="str">
        <f>IFERROR(__xludf.DUMMYFUNCTION("""COMPUTED_VALUE"""),"VerifyAggregationGlobalWithNav")</f>
        <v>VerifyAggregationGlobalWithNav</v>
      </c>
      <c r="AE4" s="25" t="str">
        <f>IFERROR(__xludf.DUMMYFUNCTION("""COMPUTED_VALUE"""),"VerifyAggregationGlobalWithNav")</f>
        <v>VerifyAggregationGlobalWithNav</v>
      </c>
      <c r="AF4" s="25" t="str">
        <f>IFERROR(__xludf.DUMMYFUNCTION("""COMPUTED_VALUE"""),"VerifyGlobalDivisorWindow")</f>
        <v>VerifyGlobalDivisorWindow</v>
      </c>
      <c r="AG4" s="25" t="str">
        <f>IFERROR(__xludf.DUMMYFUNCTION("""COMPUTED_VALUE"""),"VerifyAccrualForAccountWindow")</f>
        <v>VerifyAccrualForAccountWindow</v>
      </c>
      <c r="AH4" s="25" t="str">
        <f>IFERROR(__xludf.DUMMYFUNCTION("""COMPUTED_VALUE"""),"VerifyGlobalDivisorWindow")</f>
        <v>VerifyGlobalDivisorWindow</v>
      </c>
      <c r="AI4" s="25" t="str">
        <f>IFERROR(__xludf.DUMMYFUNCTION("""COMPUTED_VALUE"""),"VerifyMasterFundDivisorWindow")</f>
        <v>VerifyMasterFundDivisorWindow</v>
      </c>
      <c r="AJ4" s="25" t="str">
        <f>IFERROR(__xludf.DUMMYFUNCTION("""COMPUTED_VALUE"""),"VerifyMasterFundSymbolDivisorWindow")</f>
        <v>VerifyMasterFundSymbolDivisorWindow</v>
      </c>
      <c r="AK4" s="25" t="str">
        <f>IFERROR(__xludf.DUMMYFUNCTION("""COMPUTED_VALUE"""),"VerifyAggAccountSymbolWithNav")</f>
        <v>VerifyAggAccountSymbolWithNav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IFERROR(__xludf.DUMMYFUNCTION("""COMPUTED_VALUE"""),"basketId")</f>
        <v>basketId</v>
      </c>
      <c r="C5" s="27" t="str">
        <f>IFERROR(__xludf.DUMMYFUNCTION("""COMPUTED_VALUE"""),"symbol")</f>
        <v>symbol</v>
      </c>
      <c r="D5" s="27" t="str">
        <f>IFERROR(__xludf.DUMMYFUNCTION("""COMPUTED_VALUE"""),"taxlotId")</f>
        <v>taxlotId</v>
      </c>
      <c r="E5" s="27" t="str">
        <f>IFERROR(__xludf.DUMMYFUNCTION("""COMPUTED_VALUE"""),"clOrderId")</f>
        <v>clOrderId</v>
      </c>
      <c r="F5" s="28" t="str">
        <f>IFERROR(__xludf.DUMMYFUNCTION("""COMPUTED_VALUE"""),"taxlotType")</f>
        <v>taxlotType</v>
      </c>
      <c r="G5" s="27" t="str">
        <f>IFERROR(__xludf.DUMMYFUNCTION("""COMPUTED_VALUE"""),"taxlotState")</f>
        <v>taxlotState</v>
      </c>
      <c r="H5" s="27" t="str">
        <f>IFERROR(__xludf.DUMMYFUNCTION("""COMPUTED_VALUE"""),"underlyingSymbol")</f>
        <v>underlyingSymbol</v>
      </c>
      <c r="I5" s="27" t="str">
        <f>IFERROR(__xludf.DUMMYFUNCTION("""COMPUTED_VALUE"""),"quantity")</f>
        <v>quantity</v>
      </c>
      <c r="J5" s="27" t="str">
        <f>IFERROR(__xludf.DUMMYFUNCTION("""COMPUTED_VALUE"""),"avgPrice")</f>
        <v>avgPrice</v>
      </c>
      <c r="K5" s="27" t="str">
        <f>IFERROR(__xludf.DUMMYFUNCTION("""COMPUTED_VALUE"""),"orderSideTagValue")</f>
        <v>orderSideTagValue</v>
      </c>
      <c r="L5" s="27" t="str">
        <f>IFERROR(__xludf.DUMMYFUNCTION("""COMPUTED_VALUE"""),"orderTypeTagValue")</f>
        <v>orderTypeTagValue</v>
      </c>
      <c r="M5" s="27" t="str">
        <f>IFERROR(__xludf.DUMMYFUNCTION("""COMPUTED_VALUE"""),"accountId")</f>
        <v>accountId</v>
      </c>
      <c r="N5" s="27" t="str">
        <f>IFERROR(__xludf.DUMMYFUNCTION("""COMPUTED_VALUE"""),"strategyId")</f>
        <v>strategyId</v>
      </c>
      <c r="O5" s="27" t="str">
        <f>IFERROR(__xludf.DUMMYFUNCTION("""COMPUTED_VALUE"""),"counterPartyId")</f>
        <v>counterPartyId</v>
      </c>
      <c r="P5" s="27" t="str">
        <f>IFERROR(__xludf.DUMMYFUNCTION("""COMPUTED_VALUE"""),"venueId")</f>
        <v>venueId</v>
      </c>
      <c r="Q5" s="27" t="str">
        <f>IFERROR(__xludf.DUMMYFUNCTION("""COMPUTED_VALUE"""),"auecLocalDate")</f>
        <v>auecLocalDate</v>
      </c>
      <c r="R5" s="27" t="str">
        <f>IFERROR(__xludf.DUMMYFUNCTION("""COMPUTED_VALUE"""),"settlementDate")</f>
        <v>settlementDate</v>
      </c>
      <c r="S5" s="27" t="str">
        <f>IFERROR(__xludf.DUMMYFUNCTION("""COMPUTED_VALUE"""),"userId")</f>
        <v>userId</v>
      </c>
      <c r="T5" s="29" t="str">
        <f>IFERROR(__xludf.DUMMYFUNCTION("""COMPUTED_VALUE"""),"isSwapped")</f>
        <v>isSwapped</v>
      </c>
      <c r="U5" s="29" t="str">
        <f>IFERROR(__xludf.DUMMYFUNCTION("""COMPUTED_VALUE"""),"benchMarkRate")</f>
        <v>benchMarkRate</v>
      </c>
      <c r="V5" s="29" t="str">
        <f>IFERROR(__xludf.DUMMYFUNCTION("""COMPUTED_VALUE"""),"differential")</f>
        <v>differential</v>
      </c>
      <c r="W5" s="29" t="str">
        <f>IFERROR(__xludf.DUMMYFUNCTION("""COMPUTED_VALUE"""),"swapNotional")</f>
        <v>swapNotional</v>
      </c>
      <c r="X5" s="29" t="str">
        <f>IFERROR(__xludf.DUMMYFUNCTION("""COMPUTED_VALUE"""),"dayCount")</f>
        <v>dayCount</v>
      </c>
      <c r="Y5" s="29" t="str">
        <f>IFERROR(__xludf.DUMMYFUNCTION("""COMPUTED_VALUE"""),"avgFxRateForTrade")</f>
        <v>avgFxRateForTrade</v>
      </c>
      <c r="Z5" s="29" t="str">
        <f>IFERROR(__xludf.DUMMYFUNCTION("""COMPUTED_VALUE"""),"conversionMethodOperator")</f>
        <v>conversionMethodOperator</v>
      </c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/>
      <c r="C6" s="11" t="s">
        <v>21</v>
      </c>
      <c r="D6" s="11"/>
      <c r="F6" s="11" t="s">
        <v>52</v>
      </c>
      <c r="G6" s="11" t="s">
        <v>81</v>
      </c>
      <c r="H6" s="11" t="s">
        <v>21</v>
      </c>
      <c r="I6" s="11">
        <v>25.0</v>
      </c>
      <c r="J6" s="11">
        <v>10.0</v>
      </c>
      <c r="K6" s="11"/>
      <c r="L6" s="11"/>
      <c r="M6" s="11"/>
      <c r="N6" s="11"/>
      <c r="O6" s="11"/>
      <c r="T6" s="9" t="b">
        <v>0</v>
      </c>
      <c r="U6" s="9">
        <v>0.0</v>
      </c>
      <c r="W6" s="9">
        <v>0.0</v>
      </c>
      <c r="X6" s="9">
        <v>0.0</v>
      </c>
      <c r="Y6" s="9">
        <v>1.0</v>
      </c>
      <c r="Z6" s="9" t="s">
        <v>43</v>
      </c>
      <c r="AE6" s="9">
        <v>1.0</v>
      </c>
      <c r="AH6" s="9" t="s">
        <v>53</v>
      </c>
    </row>
    <row r="7" ht="15.75" customHeight="1">
      <c r="A7" s="8"/>
      <c r="B7" s="11"/>
      <c r="C7" s="11" t="s">
        <v>21</v>
      </c>
      <c r="D7" s="11"/>
      <c r="F7" s="11" t="s">
        <v>52</v>
      </c>
      <c r="G7" s="11" t="s">
        <v>81</v>
      </c>
      <c r="H7" s="11" t="s">
        <v>21</v>
      </c>
      <c r="I7" s="11">
        <v>25.0</v>
      </c>
      <c r="J7" s="11">
        <v>10.0</v>
      </c>
      <c r="K7" s="11"/>
      <c r="L7" s="11"/>
      <c r="M7" s="11"/>
      <c r="N7" s="11"/>
      <c r="O7" s="11"/>
      <c r="T7" s="9" t="b">
        <v>0</v>
      </c>
      <c r="U7" s="9">
        <v>0.0</v>
      </c>
      <c r="W7" s="9">
        <v>0.0</v>
      </c>
      <c r="X7" s="9">
        <v>0.0</v>
      </c>
      <c r="Y7" s="9">
        <v>1.0</v>
      </c>
      <c r="Z7" s="9" t="s">
        <v>43</v>
      </c>
      <c r="AE7" s="9">
        <v>1.0</v>
      </c>
      <c r="AH7" s="9" t="s">
        <v>53</v>
      </c>
    </row>
    <row r="8" ht="15.75" customHeight="1">
      <c r="A8" s="8"/>
      <c r="B8" s="11"/>
      <c r="C8" s="11" t="s">
        <v>21</v>
      </c>
      <c r="D8" s="11"/>
      <c r="F8" s="11" t="s">
        <v>54</v>
      </c>
      <c r="G8" s="11" t="s">
        <v>81</v>
      </c>
      <c r="H8" s="11" t="s">
        <v>21</v>
      </c>
      <c r="I8" s="11">
        <v>25.0</v>
      </c>
      <c r="J8" s="11">
        <v>10.0</v>
      </c>
      <c r="K8" s="11"/>
      <c r="L8" s="11"/>
      <c r="M8" s="11"/>
      <c r="N8" s="11"/>
      <c r="O8" s="11"/>
      <c r="T8" s="9" t="b">
        <v>0</v>
      </c>
      <c r="U8" s="9">
        <v>0.0</v>
      </c>
      <c r="W8" s="9">
        <v>0.0</v>
      </c>
      <c r="X8" s="9">
        <v>0.0</v>
      </c>
      <c r="Y8" s="9">
        <v>1.0</v>
      </c>
      <c r="Z8" s="9" t="s">
        <v>43</v>
      </c>
      <c r="AE8" s="9">
        <v>1.0</v>
      </c>
      <c r="AF8" s="9" t="s">
        <v>36</v>
      </c>
      <c r="AG8" s="9" t="s">
        <v>38</v>
      </c>
      <c r="AH8" s="9" t="s">
        <v>55</v>
      </c>
    </row>
    <row r="9" ht="15.75" customHeight="1">
      <c r="A9" s="8"/>
      <c r="B9" s="11"/>
      <c r="C9" s="11" t="s">
        <v>26</v>
      </c>
      <c r="D9" s="11"/>
      <c r="F9" s="11" t="s">
        <v>52</v>
      </c>
      <c r="G9" s="11" t="s">
        <v>81</v>
      </c>
      <c r="H9" s="11" t="s">
        <v>26</v>
      </c>
      <c r="I9" s="11">
        <v>50.0</v>
      </c>
      <c r="J9" s="11">
        <v>10.0</v>
      </c>
      <c r="K9" s="11"/>
      <c r="L9" s="11"/>
      <c r="M9" s="11"/>
      <c r="N9" s="11"/>
      <c r="O9" s="11"/>
      <c r="T9" s="9" t="b">
        <v>0</v>
      </c>
      <c r="U9" s="9">
        <v>0.0</v>
      </c>
      <c r="W9" s="9">
        <v>0.0</v>
      </c>
      <c r="X9" s="9">
        <v>0.0</v>
      </c>
      <c r="Y9" s="9">
        <v>1.0</v>
      </c>
      <c r="Z9" s="9" t="s">
        <v>43</v>
      </c>
      <c r="AE9" s="9">
        <v>1.0</v>
      </c>
      <c r="AF9" s="9" t="s">
        <v>36</v>
      </c>
      <c r="AG9" s="9" t="s">
        <v>38</v>
      </c>
      <c r="AH9" s="9" t="s">
        <v>53</v>
      </c>
    </row>
    <row r="10" ht="15.75" customHeight="1">
      <c r="A10" s="8"/>
      <c r="B10" s="11"/>
      <c r="C10" s="11" t="s">
        <v>21</v>
      </c>
      <c r="D10" s="11"/>
      <c r="F10" s="11" t="s">
        <v>54</v>
      </c>
      <c r="G10" s="11" t="s">
        <v>81</v>
      </c>
      <c r="H10" s="11" t="s">
        <v>21</v>
      </c>
      <c r="I10" s="11">
        <v>25.0</v>
      </c>
      <c r="J10" s="11">
        <v>10.0</v>
      </c>
      <c r="K10" s="11"/>
      <c r="L10" s="11"/>
      <c r="M10" s="11"/>
      <c r="N10" s="11"/>
      <c r="O10" s="11"/>
      <c r="T10" s="9" t="b">
        <v>0</v>
      </c>
      <c r="U10" s="9">
        <v>0.0</v>
      </c>
      <c r="W10" s="9">
        <v>0.0</v>
      </c>
      <c r="X10" s="9">
        <v>0.0</v>
      </c>
      <c r="Y10" s="9">
        <v>1.0</v>
      </c>
      <c r="Z10" s="9" t="s">
        <v>43</v>
      </c>
      <c r="AE10" s="9">
        <v>1.0</v>
      </c>
      <c r="AF10" s="9" t="s">
        <v>36</v>
      </c>
      <c r="AG10" s="9" t="s">
        <v>38</v>
      </c>
      <c r="AH10" s="9" t="s">
        <v>55</v>
      </c>
    </row>
    <row r="11" ht="15.75" customHeight="1">
      <c r="A11" s="8"/>
      <c r="B11" s="11"/>
      <c r="C11" s="11" t="s">
        <v>26</v>
      </c>
      <c r="D11" s="11"/>
      <c r="F11" s="11" t="s">
        <v>52</v>
      </c>
      <c r="G11" s="11" t="s">
        <v>81</v>
      </c>
      <c r="H11" s="11" t="s">
        <v>26</v>
      </c>
      <c r="I11" s="11">
        <v>50.0</v>
      </c>
      <c r="J11" s="11">
        <v>10.0</v>
      </c>
      <c r="K11" s="11"/>
      <c r="L11" s="11"/>
      <c r="M11" s="11"/>
      <c r="N11" s="11"/>
      <c r="O11" s="11"/>
      <c r="T11" s="9" t="b">
        <v>0</v>
      </c>
      <c r="U11" s="9">
        <v>0.0</v>
      </c>
      <c r="W11" s="9">
        <v>0.0</v>
      </c>
      <c r="X11" s="9">
        <v>0.0</v>
      </c>
      <c r="Y11" s="9">
        <v>1.0</v>
      </c>
      <c r="Z11" s="9" t="s">
        <v>43</v>
      </c>
      <c r="AE11" s="9">
        <v>1.0</v>
      </c>
      <c r="AF11" s="9" t="s">
        <v>36</v>
      </c>
      <c r="AG11" s="9" t="s">
        <v>38</v>
      </c>
      <c r="AH11" s="9" t="s">
        <v>53</v>
      </c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VerifyTaxlotWindow1!$4:$4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93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  <c r="GH1" s="19"/>
      <c r="GI1" s="19"/>
      <c r="GJ1" s="19"/>
      <c r="GK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50</v>
      </c>
      <c r="D3" s="5" t="s">
        <v>9</v>
      </c>
      <c r="E3" s="22" t="s">
        <v>56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</row>
    <row r="4" ht="15.75" customHeight="1">
      <c r="A4" s="24"/>
      <c r="B4" s="24" t="str">
        <f>IFERROR(__xludf.DUMMYFUNCTION("IF(C3="""","""",Transpose(IMPORTRANGE('_Settings'!$B$3,C3&amp;""!A4:A1000"")))"),"CheckCompliance")</f>
        <v>CheckCompliance</v>
      </c>
      <c r="C4" s="24" t="str">
        <f>IFERROR(__xludf.DUMMYFUNCTION("""COMPUTED_VALUE"""),"VerifyAccountDivisorWindow")</f>
        <v>VerifyAccountDivisorWindow</v>
      </c>
      <c r="D4" s="24" t="str">
        <f>IFERROR(__xludf.DUMMYFUNCTION("""COMPUTED_VALUE"""),"VerifyAccountSymbolDivisorWindow")</f>
        <v>VerifyAccountSymbolDivisorWindow</v>
      </c>
      <c r="E4" s="24" t="str">
        <f>IFERROR(__xludf.DUMMYFUNCTION("""COMPUTED_VALUE"""),"VerifyAggregationAccountSymbolWithNav")</f>
        <v>VerifyAggregationAccountSymbolWithNav</v>
      </c>
      <c r="F4" s="24" t="str">
        <f>IFERROR(__xludf.DUMMYFUNCTION("""COMPUTED_VALUE"""),"VerifyAggregationAccountWithNav")</f>
        <v>VerifyAggregationAccountWithNav</v>
      </c>
      <c r="G4" s="24" t="str">
        <f>IFERROR(__xludf.DUMMYFUNCTION("""COMPUTED_VALUE"""),"VerifyAggregationMasterFundSymbolWithNav")</f>
        <v>VerifyAggregationMasterFundSymbolWithNav</v>
      </c>
      <c r="H4" s="24" t="str">
        <f>IFERROR(__xludf.DUMMYFUNCTION("""COMPUTED_VALUE"""),"VerifyAggregationMasterFundUnderlyingSymbolWithNav")</f>
        <v>VerifyAggregationMasterFundUnderlyingSymbolWithNav</v>
      </c>
      <c r="I4" s="24" t="str">
        <f>IFERROR(__xludf.DUMMYFUNCTION("""COMPUTED_VALUE"""),"VerifyAggregationMasterFundWithNav")</f>
        <v>VerifyAggregationMasterFundWithNav</v>
      </c>
      <c r="J4" s="24" t="str">
        <f>IFERROR(__xludf.DUMMYFUNCTION("""COMPUTED_VALUE"""),"VerifyAggregationSectorWithNav")</f>
        <v>VerifyAggregationSectorWithNav</v>
      </c>
      <c r="K4" s="24" t="str">
        <f>IFERROR(__xludf.DUMMYFUNCTION("""COMPUTED_VALUE"""),"VerifyAggregationUnderlyingSymbolWithNav")</f>
        <v>VerifyAggregationUnderlyingSymbolWithNav</v>
      </c>
      <c r="L4" s="24" t="str">
        <f>IFERROR(__xludf.DUMMYFUNCTION("""COMPUTED_VALUE"""),"VerifyAuecWindow")</f>
        <v>VerifyAuecWindow</v>
      </c>
      <c r="M4" s="24" t="str">
        <f>IFERROR(__xludf.DUMMYFUNCTION("""COMPUTED_VALUE"""),"VerifyBetaWindow")</f>
        <v>VerifyBetaWindow</v>
      </c>
      <c r="N4" s="24" t="str">
        <f>IFERROR(__xludf.DUMMYFUNCTION("""COMPUTED_VALUE"""),"VerifyCustomSymbolDataWindow")</f>
        <v>VerifyCustomSymbolDataWindow</v>
      </c>
      <c r="O4" s="24" t="str">
        <f>IFERROR(__xludf.DUMMYFUNCTION("""COMPUTED_VALUE"""),"VerifyDayEndCashAccountWindow")</f>
        <v>VerifyDayEndCashAccountWindow</v>
      </c>
      <c r="P4" s="25" t="str">
        <f>IFERROR(__xludf.DUMMYFUNCTION("""COMPUTED_VALUE"""),"VerifyDbNavWindow")</f>
        <v>VerifyDbNavWindow</v>
      </c>
      <c r="Q4" s="25" t="str">
        <f>IFERROR(__xludf.DUMMYFUNCTION("""COMPUTED_VALUE"""),"VerifyGlobalDivisorWindow")</f>
        <v>VerifyGlobalDivisorWindow</v>
      </c>
      <c r="R4" s="25" t="str">
        <f>IFERROR(__xludf.DUMMYFUNCTION("""COMPUTED_VALUE"""),"VerifyPmCalculationPreferenceWindow")</f>
        <v>VerifyPmCalculationPreferenceWindow</v>
      </c>
      <c r="S4" s="25" t="str">
        <f>IFERROR(__xludf.DUMMYFUNCTION("""COMPUTED_VALUE"""),"VerifyRowCalculationBaseWindow")</f>
        <v>VerifyRowCalculationBaseWindow</v>
      </c>
      <c r="T4" s="25" t="str">
        <f>IFERROR(__xludf.DUMMYFUNCTION("""COMPUTED_VALUE"""),"VerifySecurityWindow")</f>
        <v>VerifySecurityWindow</v>
      </c>
      <c r="U4" s="25" t="str">
        <f>IFERROR(__xludf.DUMMYFUNCTION("""COMPUTED_VALUE"""),"VerifySymbolDataWindow")</f>
        <v>VerifySymbolDataWindow</v>
      </c>
      <c r="V4" s="25" t="str">
        <f>IFERROR(__xludf.DUMMYFUNCTION("""COMPUTED_VALUE"""),"VerifySymbolDivisorWindow")</f>
        <v>VerifySymbolDivisorWindow</v>
      </c>
      <c r="W4" s="25" t="str">
        <f>IFERROR(__xludf.DUMMYFUNCTION("""COMPUTED_VALUE"""),"VerifyTaxlotWindow")</f>
        <v>VerifyTaxlotWindow</v>
      </c>
      <c r="X4" s="25" t="str">
        <f>IFERROR(__xludf.DUMMYFUNCTION("""COMPUTED_VALUE"""),"RestartEsper")</f>
        <v>RestartEsper</v>
      </c>
      <c r="Y4" s="25" t="str">
        <f>IFERROR(__xludf.DUMMYFUNCTION("""COMPUTED_VALUE"""),"VerifyAccountNavPreferenceWindow")</f>
        <v>VerifyAccountNavPreferenceWindow</v>
      </c>
      <c r="Z4" s="25" t="str">
        <f>IFERROR(__xludf.DUMMYFUNCTION("""COMPUTED_VALUE"""),"VerifyAggregationAccountUnderlyingSymbolWithNav")</f>
        <v>VerifyAggregationAccountUnderlyingSymbolWithNav</v>
      </c>
      <c r="AA4" s="25" t="str">
        <f>IFERROR(__xludf.DUMMYFUNCTION("""COMPUTED_VALUE"""),"VerifyAggregationAssetWithNav")</f>
        <v>VerifyAggregationAssetWithNav</v>
      </c>
      <c r="AB4" s="25" t="str">
        <f>IFERROR(__xludf.DUMMYFUNCTION("""COMPUTED_VALUE"""),"VerifyAggregationSymbolWithNav")</f>
        <v>VerifyAggregationSymbolWithNav</v>
      </c>
      <c r="AC4" s="25" t="str">
        <f>IFERROR(__xludf.DUMMYFUNCTION("""COMPUTED_VALUE"""),"VerifyAggregationSubSectorWithNav")</f>
        <v>VerifyAggregationSubSectorWithNav</v>
      </c>
      <c r="AD4" s="25" t="str">
        <f>IFERROR(__xludf.DUMMYFUNCTION("""COMPUTED_VALUE"""),"VerifyAggregationGlobalWithNav")</f>
        <v>VerifyAggregationGlobalWithNav</v>
      </c>
      <c r="AE4" s="25" t="str">
        <f>IFERROR(__xludf.DUMMYFUNCTION("""COMPUTED_VALUE"""),"VerifyAggregationGlobalWithNav")</f>
        <v>VerifyAggregationGlobalWithNav</v>
      </c>
      <c r="AF4" s="25" t="str">
        <f>IFERROR(__xludf.DUMMYFUNCTION("""COMPUTED_VALUE"""),"VerifyGlobalDivisorWindow")</f>
        <v>VerifyGlobalDivisorWindow</v>
      </c>
      <c r="AG4" s="25" t="str">
        <f>IFERROR(__xludf.DUMMYFUNCTION("""COMPUTED_VALUE"""),"VerifyAccrualForAccountWindow")</f>
        <v>VerifyAccrualForAccountWindow</v>
      </c>
      <c r="AH4" s="25" t="str">
        <f>IFERROR(__xludf.DUMMYFUNCTION("""COMPUTED_VALUE"""),"VerifyGlobalDivisorWindow")</f>
        <v>VerifyGlobalDivisorWindow</v>
      </c>
      <c r="AI4" s="25" t="str">
        <f>IFERROR(__xludf.DUMMYFUNCTION("""COMPUTED_VALUE"""),"VerifyMasterFundDivisorWindow")</f>
        <v>VerifyMasterFundDivisorWindow</v>
      </c>
      <c r="AJ4" s="25" t="str">
        <f>IFERROR(__xludf.DUMMYFUNCTION("""COMPUTED_VALUE"""),"VerifyMasterFundSymbolDivisorWindow")</f>
        <v>VerifyMasterFundSymbolDivisorWindow</v>
      </c>
      <c r="AK4" s="25" t="str">
        <f>IFERROR(__xludf.DUMMYFUNCTION("""COMPUTED_VALUE"""),"VerifyAggAccountSymbolWithNav")</f>
        <v>VerifyAggAccountSymbolWithNav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  <c r="FS4" s="25"/>
      <c r="FT4" s="25"/>
      <c r="FU4" s="25"/>
      <c r="FV4" s="25"/>
      <c r="FW4" s="25"/>
      <c r="FX4" s="25"/>
      <c r="FY4" s="25"/>
      <c r="FZ4" s="25"/>
      <c r="GA4" s="25"/>
      <c r="GB4" s="25"/>
      <c r="GC4" s="25"/>
      <c r="GD4" s="25"/>
      <c r="GE4" s="25"/>
      <c r="GF4" s="25"/>
      <c r="GG4" s="25"/>
      <c r="GH4" s="25"/>
      <c r="GI4" s="25"/>
      <c r="GJ4" s="25"/>
      <c r="GK4" s="25"/>
    </row>
    <row r="5" ht="15.75" customHeight="1">
      <c r="A5" s="26" t="str">
        <f>IFERROR(__xludf.DUMMYFUNCTION("TRANSPOSE(IMPORTRANGE(VLOOKUP($E$3,IMPORTRANGE('_Settings'!$B$3,$C$3&amp;""!A4:B1000""),2,FALSE),$G$3&amp;""!A4:A1000""))"),"#REF!")</f>
        <v>#REF!</v>
      </c>
      <c r="B5" s="27"/>
      <c r="C5" s="27"/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  <c r="EY5" s="29"/>
      <c r="EZ5" s="29"/>
      <c r="FA5" s="29"/>
      <c r="FB5" s="29"/>
      <c r="FC5" s="29"/>
      <c r="FD5" s="29"/>
      <c r="FE5" s="29"/>
      <c r="FF5" s="29"/>
      <c r="FG5" s="29"/>
      <c r="FH5" s="29"/>
      <c r="FI5" s="29"/>
      <c r="FJ5" s="29"/>
      <c r="FK5" s="29"/>
      <c r="FL5" s="29"/>
      <c r="FM5" s="29"/>
      <c r="FN5" s="29"/>
      <c r="FO5" s="29"/>
      <c r="FP5" s="29"/>
      <c r="FQ5" s="29"/>
      <c r="FR5" s="29"/>
      <c r="FS5" s="29"/>
      <c r="FT5" s="29"/>
      <c r="FU5" s="29"/>
      <c r="FV5" s="29"/>
      <c r="FW5" s="29"/>
      <c r="FX5" s="29"/>
      <c r="FY5" s="29"/>
      <c r="FZ5" s="29"/>
      <c r="GA5" s="29"/>
      <c r="GB5" s="29"/>
      <c r="GC5" s="29"/>
      <c r="GD5" s="29"/>
      <c r="GE5" s="29"/>
      <c r="GF5" s="29"/>
      <c r="GG5" s="29"/>
      <c r="GH5" s="29"/>
      <c r="GI5" s="29"/>
      <c r="GJ5" s="29"/>
      <c r="GK5" s="29"/>
    </row>
    <row r="6" ht="15.75" customHeight="1">
      <c r="A6" s="56"/>
      <c r="B6" s="9" t="s">
        <v>54</v>
      </c>
      <c r="D6" s="9" t="s">
        <v>57</v>
      </c>
      <c r="E6" s="9" t="s">
        <v>58</v>
      </c>
      <c r="F6" s="9" t="s">
        <v>58</v>
      </c>
      <c r="G6" s="9" t="s">
        <v>21</v>
      </c>
      <c r="H6" s="9" t="s">
        <v>21</v>
      </c>
      <c r="I6" s="9" t="s">
        <v>41</v>
      </c>
      <c r="J6" s="9" t="s">
        <v>59</v>
      </c>
      <c r="K6" s="9" t="s">
        <v>60</v>
      </c>
      <c r="L6" s="9" t="s">
        <v>61</v>
      </c>
      <c r="M6" s="9" t="s">
        <v>38</v>
      </c>
      <c r="N6" s="9" t="s">
        <v>62</v>
      </c>
      <c r="R6" s="9" t="s">
        <v>38</v>
      </c>
      <c r="U6" s="9" t="s">
        <v>63</v>
      </c>
      <c r="W6" s="9">
        <v>0.0</v>
      </c>
      <c r="X6" s="9" t="s">
        <v>59</v>
      </c>
      <c r="Y6" s="9" t="s">
        <v>64</v>
      </c>
      <c r="Z6" s="9" t="s">
        <v>65</v>
      </c>
      <c r="AA6" s="9" t="s">
        <v>66</v>
      </c>
      <c r="AB6" s="9" t="s">
        <v>66</v>
      </c>
      <c r="AC6" s="9" t="s">
        <v>25</v>
      </c>
      <c r="AD6" s="9" t="s">
        <v>67</v>
      </c>
      <c r="AE6" s="9" t="s">
        <v>66</v>
      </c>
      <c r="AF6" s="9" t="s">
        <v>66</v>
      </c>
      <c r="AG6" s="9" t="s">
        <v>66</v>
      </c>
      <c r="AH6" s="9" t="s">
        <v>67</v>
      </c>
      <c r="AI6" s="9" t="s">
        <v>66</v>
      </c>
      <c r="AJ6" s="9" t="s">
        <v>66</v>
      </c>
      <c r="AK6" s="9" t="s">
        <v>66</v>
      </c>
      <c r="AL6" s="9" t="s">
        <v>66</v>
      </c>
      <c r="AM6" s="9">
        <v>50.0</v>
      </c>
      <c r="AN6" s="9">
        <v>50.0</v>
      </c>
      <c r="AO6" s="9">
        <v>0.0</v>
      </c>
      <c r="AP6" s="9">
        <v>500.0</v>
      </c>
      <c r="AQ6" s="9">
        <v>500.0</v>
      </c>
      <c r="AR6" s="9">
        <v>0.0</v>
      </c>
      <c r="AS6" s="9">
        <v>50.0</v>
      </c>
      <c r="AT6" s="9">
        <v>0.0</v>
      </c>
      <c r="AU6" s="9">
        <v>0.0</v>
      </c>
      <c r="AV6" s="9">
        <v>0.0</v>
      </c>
      <c r="AW6" s="9">
        <v>500.0</v>
      </c>
      <c r="AX6" s="9">
        <v>75.0</v>
      </c>
      <c r="AY6" s="9">
        <v>40.0</v>
      </c>
      <c r="AZ6" s="9">
        <v>75.0</v>
      </c>
      <c r="BA6" s="9">
        <v>40.0</v>
      </c>
      <c r="BB6" s="9">
        <v>-500.0</v>
      </c>
      <c r="BC6" s="9">
        <v>0.0</v>
      </c>
      <c r="BD6" s="9">
        <v>500.0</v>
      </c>
      <c r="BE6" s="9">
        <v>-500.0</v>
      </c>
      <c r="BF6" s="9">
        <v>-500.0</v>
      </c>
    </row>
    <row r="7" ht="15.75" customHeight="1">
      <c r="A7" s="57"/>
      <c r="B7" s="9" t="s">
        <v>54</v>
      </c>
      <c r="D7" s="9" t="s">
        <v>57</v>
      </c>
      <c r="E7" s="9" t="s">
        <v>68</v>
      </c>
      <c r="F7" s="9" t="s">
        <v>68</v>
      </c>
      <c r="G7" s="9" t="s">
        <v>21</v>
      </c>
      <c r="H7" s="9" t="s">
        <v>21</v>
      </c>
      <c r="I7" s="9" t="s">
        <v>41</v>
      </c>
      <c r="J7" s="9" t="s">
        <v>59</v>
      </c>
      <c r="K7" s="9" t="s">
        <v>60</v>
      </c>
      <c r="L7" s="9" t="s">
        <v>61</v>
      </c>
      <c r="M7" s="9" t="s">
        <v>38</v>
      </c>
      <c r="N7" s="9" t="s">
        <v>62</v>
      </c>
      <c r="R7" s="9" t="s">
        <v>38</v>
      </c>
      <c r="U7" s="9" t="s">
        <v>69</v>
      </c>
      <c r="W7" s="9">
        <v>0.0</v>
      </c>
      <c r="X7" s="9" t="s">
        <v>59</v>
      </c>
      <c r="Y7" s="9" t="s">
        <v>64</v>
      </c>
      <c r="Z7" s="9" t="s">
        <v>65</v>
      </c>
      <c r="AA7" s="9" t="s">
        <v>66</v>
      </c>
      <c r="AB7" s="9" t="s">
        <v>66</v>
      </c>
      <c r="AC7" s="9" t="s">
        <v>25</v>
      </c>
      <c r="AD7" s="9" t="s">
        <v>67</v>
      </c>
      <c r="AE7" s="9" t="s">
        <v>66</v>
      </c>
      <c r="AF7" s="9" t="s">
        <v>66</v>
      </c>
      <c r="AG7" s="9" t="s">
        <v>66</v>
      </c>
      <c r="AH7" s="9" t="s">
        <v>67</v>
      </c>
      <c r="AI7" s="9" t="s">
        <v>66</v>
      </c>
      <c r="AJ7" s="9" t="s">
        <v>66</v>
      </c>
      <c r="AK7" s="9" t="s">
        <v>66</v>
      </c>
      <c r="AL7" s="9" t="s">
        <v>66</v>
      </c>
      <c r="AM7" s="9">
        <v>50.0</v>
      </c>
      <c r="AN7" s="9">
        <v>50.0</v>
      </c>
      <c r="AO7" s="9">
        <v>0.0</v>
      </c>
      <c r="AP7" s="9">
        <v>500.0</v>
      </c>
      <c r="AQ7" s="9">
        <v>500.0</v>
      </c>
      <c r="AR7" s="9">
        <v>0.0</v>
      </c>
      <c r="AS7" s="9">
        <v>50.0</v>
      </c>
      <c r="AT7" s="9">
        <v>0.0</v>
      </c>
      <c r="AU7" s="9">
        <v>0.0</v>
      </c>
      <c r="AV7" s="9">
        <v>0.0</v>
      </c>
      <c r="AW7" s="9">
        <v>500.0</v>
      </c>
      <c r="AX7" s="9">
        <v>75.0</v>
      </c>
      <c r="AY7" s="9">
        <v>40.0</v>
      </c>
      <c r="AZ7" s="9">
        <v>75.0</v>
      </c>
      <c r="BA7" s="9">
        <v>40.0</v>
      </c>
      <c r="BB7" s="9">
        <v>-500.0</v>
      </c>
      <c r="BC7" s="9">
        <v>0.0</v>
      </c>
      <c r="BD7" s="9">
        <v>500.0</v>
      </c>
      <c r="BE7" s="9">
        <v>-500.0</v>
      </c>
      <c r="BF7" s="9">
        <v>-500.0</v>
      </c>
    </row>
    <row r="8" ht="15.75" customHeight="1">
      <c r="A8" s="57"/>
      <c r="B8" s="9" t="s">
        <v>54</v>
      </c>
      <c r="D8" s="9" t="s">
        <v>57</v>
      </c>
      <c r="E8" s="9" t="s">
        <v>58</v>
      </c>
      <c r="F8" s="9" t="s">
        <v>58</v>
      </c>
      <c r="G8" s="9" t="s">
        <v>26</v>
      </c>
      <c r="H8" s="9" t="s">
        <v>26</v>
      </c>
      <c r="I8" s="9" t="s">
        <v>41</v>
      </c>
      <c r="J8" s="9" t="s">
        <v>59</v>
      </c>
      <c r="K8" s="9" t="s">
        <v>70</v>
      </c>
      <c r="L8" s="9" t="s">
        <v>71</v>
      </c>
      <c r="M8" s="9" t="s">
        <v>38</v>
      </c>
      <c r="N8" s="9" t="s">
        <v>72</v>
      </c>
      <c r="R8" s="9" t="s">
        <v>38</v>
      </c>
      <c r="U8" s="9" t="s">
        <v>63</v>
      </c>
      <c r="W8" s="9">
        <v>0.0</v>
      </c>
      <c r="X8" s="9" t="s">
        <v>59</v>
      </c>
      <c r="Y8" s="9" t="s">
        <v>73</v>
      </c>
      <c r="Z8" s="9" t="s">
        <v>74</v>
      </c>
      <c r="AA8" s="9" t="s">
        <v>61</v>
      </c>
      <c r="AB8" s="9" t="s">
        <v>61</v>
      </c>
      <c r="AC8" s="9" t="s">
        <v>25</v>
      </c>
      <c r="AD8" s="9" t="s">
        <v>25</v>
      </c>
      <c r="AE8" s="9" t="s">
        <v>61</v>
      </c>
      <c r="AF8" s="9" t="s">
        <v>75</v>
      </c>
      <c r="AG8" s="9" t="s">
        <v>61</v>
      </c>
      <c r="AH8" s="9" t="s">
        <v>61</v>
      </c>
      <c r="AI8" s="9" t="s">
        <v>61</v>
      </c>
      <c r="AJ8" s="58"/>
      <c r="AL8" s="9" t="s">
        <v>61</v>
      </c>
      <c r="AM8" s="9">
        <v>50.0</v>
      </c>
      <c r="AN8" s="9">
        <v>50.0</v>
      </c>
      <c r="AO8" s="9">
        <v>0.0</v>
      </c>
      <c r="AP8" s="9">
        <v>0.0</v>
      </c>
      <c r="AQ8" s="9">
        <v>0.0</v>
      </c>
      <c r="AR8" s="9">
        <v>0.0</v>
      </c>
      <c r="AS8" s="9">
        <v>50.0</v>
      </c>
      <c r="AT8" s="9">
        <v>0.0</v>
      </c>
      <c r="AU8" s="9">
        <v>0.0</v>
      </c>
      <c r="AV8" s="9">
        <v>0.0</v>
      </c>
      <c r="AW8" s="9">
        <v>0.0</v>
      </c>
      <c r="AX8" s="9">
        <v>0.0</v>
      </c>
      <c r="AY8" s="9">
        <v>0.0</v>
      </c>
      <c r="AZ8" s="9">
        <v>0.0</v>
      </c>
      <c r="BA8" s="9">
        <v>0.0</v>
      </c>
      <c r="BB8" s="9">
        <v>0.0</v>
      </c>
      <c r="BC8" s="9">
        <v>0.0</v>
      </c>
      <c r="BD8" s="9">
        <v>0.0</v>
      </c>
      <c r="BE8" s="9">
        <v>0.0</v>
      </c>
      <c r="BF8" s="9">
        <v>0.0</v>
      </c>
    </row>
    <row r="9" ht="15.75" customHeight="1">
      <c r="A9" s="57"/>
      <c r="B9" s="9" t="s">
        <v>54</v>
      </c>
      <c r="D9" s="9" t="s">
        <v>57</v>
      </c>
      <c r="E9" s="9" t="s">
        <v>68</v>
      </c>
      <c r="F9" s="9" t="s">
        <v>68</v>
      </c>
      <c r="G9" s="9" t="s">
        <v>26</v>
      </c>
      <c r="H9" s="9" t="s">
        <v>26</v>
      </c>
      <c r="I9" s="9" t="s">
        <v>41</v>
      </c>
      <c r="J9" s="9" t="s">
        <v>59</v>
      </c>
      <c r="K9" s="9" t="s">
        <v>70</v>
      </c>
      <c r="L9" s="9" t="s">
        <v>71</v>
      </c>
      <c r="M9" s="9" t="s">
        <v>38</v>
      </c>
      <c r="N9" s="9" t="s">
        <v>72</v>
      </c>
      <c r="R9" s="9" t="s">
        <v>38</v>
      </c>
      <c r="U9" s="9" t="s">
        <v>69</v>
      </c>
      <c r="W9" s="9">
        <v>0.0</v>
      </c>
      <c r="X9" s="9" t="s">
        <v>59</v>
      </c>
      <c r="Y9" s="9" t="s">
        <v>73</v>
      </c>
      <c r="Z9" s="9" t="s">
        <v>74</v>
      </c>
      <c r="AA9" s="9" t="s">
        <v>61</v>
      </c>
      <c r="AB9" s="9" t="s">
        <v>61</v>
      </c>
      <c r="AC9" s="9" t="s">
        <v>25</v>
      </c>
      <c r="AD9" s="9" t="s">
        <v>25</v>
      </c>
      <c r="AE9" s="9" t="s">
        <v>61</v>
      </c>
      <c r="AF9" s="9" t="s">
        <v>75</v>
      </c>
      <c r="AG9" s="9" t="s">
        <v>61</v>
      </c>
      <c r="AH9" s="9" t="s">
        <v>61</v>
      </c>
      <c r="AI9" s="9" t="s">
        <v>61</v>
      </c>
      <c r="AJ9" s="58"/>
      <c r="AL9" s="9" t="s">
        <v>61</v>
      </c>
      <c r="AM9" s="9">
        <v>50.0</v>
      </c>
      <c r="AN9" s="9">
        <v>50.0</v>
      </c>
      <c r="AO9" s="9">
        <v>0.0</v>
      </c>
      <c r="AP9" s="9">
        <v>0.0</v>
      </c>
      <c r="AQ9" s="9">
        <v>0.0</v>
      </c>
      <c r="AR9" s="9">
        <v>0.0</v>
      </c>
      <c r="AS9" s="9">
        <v>50.0</v>
      </c>
      <c r="AT9" s="9">
        <v>0.0</v>
      </c>
      <c r="AU9" s="9">
        <v>0.0</v>
      </c>
      <c r="AV9" s="9">
        <v>0.0</v>
      </c>
      <c r="AW9" s="9">
        <v>0.0</v>
      </c>
      <c r="AX9" s="9">
        <v>0.0</v>
      </c>
      <c r="AY9" s="9">
        <v>0.0</v>
      </c>
      <c r="AZ9" s="9">
        <v>0.0</v>
      </c>
      <c r="BA9" s="9">
        <v>0.0</v>
      </c>
      <c r="BB9" s="9">
        <v>0.0</v>
      </c>
      <c r="BC9" s="9">
        <v>0.0</v>
      </c>
      <c r="BD9" s="9">
        <v>0.0</v>
      </c>
      <c r="BE9" s="9">
        <v>0.0</v>
      </c>
      <c r="BF9" s="9">
        <v>0.0</v>
      </c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VerifyAggAccountSymbolWithNav1!$4:$4</formula1>
    </dataValidation>
  </dataValidations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50</v>
      </c>
      <c r="D3" s="5" t="s">
        <v>9</v>
      </c>
      <c r="E3" s="22" t="s">
        <v>76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IFERROR(__xludf.DUMMYFUNCTION("IF(C3="""","""",Transpose(IMPORTRANGE('_Settings'!$B$3,C3&amp;""!A4:A1000"")))"),"CheckCompliance")</f>
        <v>CheckCompliance</v>
      </c>
      <c r="C4" s="24" t="str">
        <f>IFERROR(__xludf.DUMMYFUNCTION("""COMPUTED_VALUE"""),"VerifyAccountDivisorWindow")</f>
        <v>VerifyAccountDivisorWindow</v>
      </c>
      <c r="D4" s="24" t="str">
        <f>IFERROR(__xludf.DUMMYFUNCTION("""COMPUTED_VALUE"""),"VerifyAccountSymbolDivisorWindow")</f>
        <v>VerifyAccountSymbolDivisorWindow</v>
      </c>
      <c r="E4" s="24" t="str">
        <f>IFERROR(__xludf.DUMMYFUNCTION("""COMPUTED_VALUE"""),"VerifyAggregationAccountSymbolWithNav")</f>
        <v>VerifyAggregationAccountSymbolWithNav</v>
      </c>
      <c r="F4" s="24" t="str">
        <f>IFERROR(__xludf.DUMMYFUNCTION("""COMPUTED_VALUE"""),"VerifyAggregationAccountWithNav")</f>
        <v>VerifyAggregationAccountWithNav</v>
      </c>
      <c r="G4" s="24" t="str">
        <f>IFERROR(__xludf.DUMMYFUNCTION("""COMPUTED_VALUE"""),"VerifyAggregationMasterFundSymbolWithNav")</f>
        <v>VerifyAggregationMasterFundSymbolWithNav</v>
      </c>
      <c r="H4" s="24" t="str">
        <f>IFERROR(__xludf.DUMMYFUNCTION("""COMPUTED_VALUE"""),"VerifyAggregationMasterFundUnderlyingSymbolWithNav")</f>
        <v>VerifyAggregationMasterFundUnderlyingSymbolWithNav</v>
      </c>
      <c r="I4" s="24" t="str">
        <f>IFERROR(__xludf.DUMMYFUNCTION("""COMPUTED_VALUE"""),"VerifyAggregationMasterFundWithNav")</f>
        <v>VerifyAggregationMasterFundWithNav</v>
      </c>
      <c r="J4" s="24" t="str">
        <f>IFERROR(__xludf.DUMMYFUNCTION("""COMPUTED_VALUE"""),"VerifyAggregationSectorWithNav")</f>
        <v>VerifyAggregationSectorWithNav</v>
      </c>
      <c r="K4" s="24" t="str">
        <f>IFERROR(__xludf.DUMMYFUNCTION("""COMPUTED_VALUE"""),"VerifyAggregationUnderlyingSymbolWithNav")</f>
        <v>VerifyAggregationUnderlyingSymbolWithNav</v>
      </c>
      <c r="L4" s="24" t="str">
        <f>IFERROR(__xludf.DUMMYFUNCTION("""COMPUTED_VALUE"""),"VerifyAuecWindow")</f>
        <v>VerifyAuecWindow</v>
      </c>
      <c r="M4" s="24" t="str">
        <f>IFERROR(__xludf.DUMMYFUNCTION("""COMPUTED_VALUE"""),"VerifyBetaWindow")</f>
        <v>VerifyBetaWindow</v>
      </c>
      <c r="N4" s="24" t="str">
        <f>IFERROR(__xludf.DUMMYFUNCTION("""COMPUTED_VALUE"""),"VerifyCustomSymbolDataWindow")</f>
        <v>VerifyCustomSymbolDataWindow</v>
      </c>
      <c r="O4" s="24" t="str">
        <f>IFERROR(__xludf.DUMMYFUNCTION("""COMPUTED_VALUE"""),"VerifyDayEndCashAccountWindow")</f>
        <v>VerifyDayEndCashAccountWindow</v>
      </c>
      <c r="P4" s="25" t="str">
        <f>IFERROR(__xludf.DUMMYFUNCTION("""COMPUTED_VALUE"""),"VerifyDbNavWindow")</f>
        <v>VerifyDbNavWindow</v>
      </c>
      <c r="Q4" s="25" t="str">
        <f>IFERROR(__xludf.DUMMYFUNCTION("""COMPUTED_VALUE"""),"VerifyGlobalDivisorWindow")</f>
        <v>VerifyGlobalDivisorWindow</v>
      </c>
      <c r="R4" s="25" t="str">
        <f>IFERROR(__xludf.DUMMYFUNCTION("""COMPUTED_VALUE"""),"VerifyPmCalculationPreferenceWindow")</f>
        <v>VerifyPmCalculationPreferenceWindow</v>
      </c>
      <c r="S4" s="25" t="str">
        <f>IFERROR(__xludf.DUMMYFUNCTION("""COMPUTED_VALUE"""),"VerifyRowCalculationBaseWindow")</f>
        <v>VerifyRowCalculationBaseWindow</v>
      </c>
      <c r="T4" s="25" t="str">
        <f>IFERROR(__xludf.DUMMYFUNCTION("""COMPUTED_VALUE"""),"VerifySecurityWindow")</f>
        <v>VerifySecurityWindow</v>
      </c>
      <c r="U4" s="25" t="str">
        <f>IFERROR(__xludf.DUMMYFUNCTION("""COMPUTED_VALUE"""),"VerifySymbolDataWindow")</f>
        <v>VerifySymbolDataWindow</v>
      </c>
      <c r="V4" s="25" t="str">
        <f>IFERROR(__xludf.DUMMYFUNCTION("""COMPUTED_VALUE"""),"VerifySymbolDivisorWindow")</f>
        <v>VerifySymbolDivisorWindow</v>
      </c>
      <c r="W4" s="25" t="str">
        <f>IFERROR(__xludf.DUMMYFUNCTION("""COMPUTED_VALUE"""),"VerifyTaxlotWindow")</f>
        <v>VerifyTaxlotWindow</v>
      </c>
      <c r="X4" s="25" t="str">
        <f>IFERROR(__xludf.DUMMYFUNCTION("""COMPUTED_VALUE"""),"RestartEsper")</f>
        <v>RestartEsper</v>
      </c>
      <c r="Y4" s="25" t="str">
        <f>IFERROR(__xludf.DUMMYFUNCTION("""COMPUTED_VALUE"""),"VerifyAccountNavPreferenceWindow")</f>
        <v>VerifyAccountNavPreferenceWindow</v>
      </c>
      <c r="Z4" s="25" t="str">
        <f>IFERROR(__xludf.DUMMYFUNCTION("""COMPUTED_VALUE"""),"VerifyAggregationAccountUnderlyingSymbolWithNav")</f>
        <v>VerifyAggregationAccountUnderlyingSymbolWithNav</v>
      </c>
      <c r="AA4" s="25" t="str">
        <f>IFERROR(__xludf.DUMMYFUNCTION("""COMPUTED_VALUE"""),"VerifyAggregationAssetWithNav")</f>
        <v>VerifyAggregationAssetWithNav</v>
      </c>
      <c r="AB4" s="25" t="str">
        <f>IFERROR(__xludf.DUMMYFUNCTION("""COMPUTED_VALUE"""),"VerifyAggregationSymbolWithNav")</f>
        <v>VerifyAggregationSymbolWithNav</v>
      </c>
      <c r="AC4" s="25" t="str">
        <f>IFERROR(__xludf.DUMMYFUNCTION("""COMPUTED_VALUE"""),"VerifyAggregationSubSectorWithNav")</f>
        <v>VerifyAggregationSubSectorWithNav</v>
      </c>
      <c r="AD4" s="25" t="str">
        <f>IFERROR(__xludf.DUMMYFUNCTION("""COMPUTED_VALUE"""),"VerifyAggregationGlobalWithNav")</f>
        <v>VerifyAggregationGlobalWithNav</v>
      </c>
      <c r="AE4" s="25" t="str">
        <f>IFERROR(__xludf.DUMMYFUNCTION("""COMPUTED_VALUE"""),"VerifyAggregationGlobalWithNav")</f>
        <v>VerifyAggregationGlobalWithNav</v>
      </c>
      <c r="AF4" s="25" t="str">
        <f>IFERROR(__xludf.DUMMYFUNCTION("""COMPUTED_VALUE"""),"VerifyGlobalDivisorWindow")</f>
        <v>VerifyGlobalDivisorWindow</v>
      </c>
      <c r="AG4" s="25" t="str">
        <f>IFERROR(__xludf.DUMMYFUNCTION("""COMPUTED_VALUE"""),"VerifyAccrualForAccountWindow")</f>
        <v>VerifyAccrualForAccountWindow</v>
      </c>
      <c r="AH4" s="25" t="str">
        <f>IFERROR(__xludf.DUMMYFUNCTION("""COMPUTED_VALUE"""),"VerifyGlobalDivisorWindow")</f>
        <v>VerifyGlobalDivisorWindow</v>
      </c>
      <c r="AI4" s="25" t="str">
        <f>IFERROR(__xludf.DUMMYFUNCTION("""COMPUTED_VALUE"""),"VerifyMasterFundDivisorWindow")</f>
        <v>VerifyMasterFundDivisorWindow</v>
      </c>
      <c r="AJ4" s="25" t="str">
        <f>IFERROR(__xludf.DUMMYFUNCTION("""COMPUTED_VALUE"""),"VerifyMasterFundSymbolDivisorWindow")</f>
        <v>VerifyMasterFundSymbolDivisorWindow</v>
      </c>
      <c r="AK4" s="25" t="str">
        <f>IFERROR(__xludf.DUMMYFUNCTION("""COMPUTED_VALUE"""),"VerifyAggAccountSymbolWithNav")</f>
        <v>VerifyAggAccountSymbolWithNav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IFERROR(__xludf.DUMMYFUNCTION("""COMPUTED_VALUE"""),"monthAbsQuantity")</f>
        <v>monthAbsQuantity</v>
      </c>
      <c r="D5" s="27" t="str">
        <f>IFERROR(__xludf.DUMMYFUNCTION("""COMPUTED_VALUE"""),"monthNetNotional")</f>
        <v>monthNetNotional</v>
      </c>
      <c r="E5" s="27" t="str">
        <f>IFERROR(__xludf.DUMMYFUNCTION("""COMPUTED_VALUE"""),"grossMarketValueBase")</f>
        <v>grossMarketValueBase</v>
      </c>
      <c r="F5" s="28" t="str">
        <f>IFERROR(__xludf.DUMMYFUNCTION("""COMPUTED_VALUE"""),"grossExposureBase")</f>
        <v>grossExposureBase</v>
      </c>
      <c r="G5" s="27" t="str">
        <f>IFERROR(__xludf.DUMMYFUNCTION("""COMPUTED_VALUE"""),"netExposureBase")</f>
        <v>netExposureBase</v>
      </c>
      <c r="H5" s="27" t="str">
        <f>IFERROR(__xludf.DUMMYFUNCTION("""COMPUTED_VALUE"""),"closedQty")</f>
        <v>closedQty</v>
      </c>
      <c r="I5" s="27" t="str">
        <f>IFERROR(__xludf.DUMMYFUNCTION("""COMPUTED_VALUE"""),"closedNotional")</f>
        <v>closedNotional</v>
      </c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56"/>
      <c r="B6" s="9" t="s">
        <v>26</v>
      </c>
      <c r="C6" s="9">
        <v>100.0</v>
      </c>
      <c r="D6" s="9">
        <v>0.0</v>
      </c>
      <c r="E6" s="9">
        <v>0.0</v>
      </c>
      <c r="F6" s="9">
        <v>0.0</v>
      </c>
      <c r="G6" s="9">
        <v>0.0</v>
      </c>
      <c r="H6" s="9">
        <v>0.0</v>
      </c>
      <c r="I6" s="9">
        <v>0.0</v>
      </c>
      <c r="K6" s="8"/>
      <c r="L6" s="8"/>
      <c r="M6" s="8"/>
      <c r="N6" s="8"/>
      <c r="O6" s="8"/>
    </row>
    <row r="7" ht="15.75" customHeight="1">
      <c r="A7" s="57"/>
      <c r="B7" s="9" t="s">
        <v>21</v>
      </c>
      <c r="C7" s="9">
        <v>100.0</v>
      </c>
      <c r="D7" s="9">
        <v>1000.0</v>
      </c>
      <c r="E7" s="9">
        <v>0.0</v>
      </c>
      <c r="F7" s="9">
        <v>0.0</v>
      </c>
      <c r="G7" s="9">
        <v>0.0</v>
      </c>
      <c r="H7" s="9">
        <v>0.0</v>
      </c>
      <c r="I7" s="9">
        <v>0.0</v>
      </c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VerifySymbolDivisorWindow1!$4:$4</formula1>
    </dataValidation>
  </dataValidations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5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50</v>
      </c>
      <c r="D3" s="5" t="s">
        <v>9</v>
      </c>
      <c r="E3" s="22" t="s">
        <v>77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</row>
    <row r="4" ht="15.75" customHeight="1">
      <c r="A4" s="24"/>
      <c r="B4" s="24" t="str">
        <f>IFERROR(__xludf.DUMMYFUNCTION("IF(C3="""","""",Transpose(IMPORTRANGE('_Settings'!$B$3,C3&amp;""!A4:A1000"")))"),"CheckCompliance")</f>
        <v>CheckCompliance</v>
      </c>
      <c r="C4" s="24" t="str">
        <f>IFERROR(__xludf.DUMMYFUNCTION("""COMPUTED_VALUE"""),"VerifyAccountDivisorWindow")</f>
        <v>VerifyAccountDivisorWindow</v>
      </c>
      <c r="D4" s="24" t="str">
        <f>IFERROR(__xludf.DUMMYFUNCTION("""COMPUTED_VALUE"""),"VerifyAccountSymbolDivisorWindow")</f>
        <v>VerifyAccountSymbolDivisorWindow</v>
      </c>
      <c r="E4" s="24" t="str">
        <f>IFERROR(__xludf.DUMMYFUNCTION("""COMPUTED_VALUE"""),"VerifyAggregationAccountSymbolWithNav")</f>
        <v>VerifyAggregationAccountSymbolWithNav</v>
      </c>
      <c r="F4" s="24" t="str">
        <f>IFERROR(__xludf.DUMMYFUNCTION("""COMPUTED_VALUE"""),"VerifyAggregationAccountWithNav")</f>
        <v>VerifyAggregationAccountWithNav</v>
      </c>
      <c r="G4" s="24" t="str">
        <f>IFERROR(__xludf.DUMMYFUNCTION("""COMPUTED_VALUE"""),"VerifyAggregationMasterFundSymbolWithNav")</f>
        <v>VerifyAggregationMasterFundSymbolWithNav</v>
      </c>
      <c r="H4" s="24" t="str">
        <f>IFERROR(__xludf.DUMMYFUNCTION("""COMPUTED_VALUE"""),"VerifyAggregationMasterFundUnderlyingSymbolWithNav")</f>
        <v>VerifyAggregationMasterFundUnderlyingSymbolWithNav</v>
      </c>
      <c r="I4" s="24" t="str">
        <f>IFERROR(__xludf.DUMMYFUNCTION("""COMPUTED_VALUE"""),"VerifyAggregationMasterFundWithNav")</f>
        <v>VerifyAggregationMasterFundWithNav</v>
      </c>
      <c r="J4" s="24" t="str">
        <f>IFERROR(__xludf.DUMMYFUNCTION("""COMPUTED_VALUE"""),"VerifyAggregationSectorWithNav")</f>
        <v>VerifyAggregationSectorWithNav</v>
      </c>
      <c r="K4" s="24" t="str">
        <f>IFERROR(__xludf.DUMMYFUNCTION("""COMPUTED_VALUE"""),"VerifyAggregationUnderlyingSymbolWithNav")</f>
        <v>VerifyAggregationUnderlyingSymbolWithNav</v>
      </c>
      <c r="L4" s="24" t="str">
        <f>IFERROR(__xludf.DUMMYFUNCTION("""COMPUTED_VALUE"""),"VerifyAuecWindow")</f>
        <v>VerifyAuecWindow</v>
      </c>
      <c r="M4" s="24" t="str">
        <f>IFERROR(__xludf.DUMMYFUNCTION("""COMPUTED_VALUE"""),"VerifyBetaWindow")</f>
        <v>VerifyBetaWindow</v>
      </c>
      <c r="N4" s="24" t="str">
        <f>IFERROR(__xludf.DUMMYFUNCTION("""COMPUTED_VALUE"""),"VerifyCustomSymbolDataWindow")</f>
        <v>VerifyCustomSymbolDataWindow</v>
      </c>
      <c r="O4" s="24" t="str">
        <f>IFERROR(__xludf.DUMMYFUNCTION("""COMPUTED_VALUE"""),"VerifyDayEndCashAccountWindow")</f>
        <v>VerifyDayEndCashAccountWindow</v>
      </c>
      <c r="P4" s="25" t="str">
        <f>IFERROR(__xludf.DUMMYFUNCTION("""COMPUTED_VALUE"""),"VerifyDbNavWindow")</f>
        <v>VerifyDbNavWindow</v>
      </c>
      <c r="Q4" s="25" t="str">
        <f>IFERROR(__xludf.DUMMYFUNCTION("""COMPUTED_VALUE"""),"VerifyGlobalDivisorWindow")</f>
        <v>VerifyGlobalDivisorWindow</v>
      </c>
      <c r="R4" s="25" t="str">
        <f>IFERROR(__xludf.DUMMYFUNCTION("""COMPUTED_VALUE"""),"VerifyPmCalculationPreferenceWindow")</f>
        <v>VerifyPmCalculationPreferenceWindow</v>
      </c>
      <c r="S4" s="25" t="str">
        <f>IFERROR(__xludf.DUMMYFUNCTION("""COMPUTED_VALUE"""),"VerifyRowCalculationBaseWindow")</f>
        <v>VerifyRowCalculationBaseWindow</v>
      </c>
      <c r="T4" s="25" t="str">
        <f>IFERROR(__xludf.DUMMYFUNCTION("""COMPUTED_VALUE"""),"VerifySecurityWindow")</f>
        <v>VerifySecurityWindow</v>
      </c>
      <c r="U4" s="25" t="str">
        <f>IFERROR(__xludf.DUMMYFUNCTION("""COMPUTED_VALUE"""),"VerifySymbolDataWindow")</f>
        <v>VerifySymbolDataWindow</v>
      </c>
      <c r="V4" s="25" t="str">
        <f>IFERROR(__xludf.DUMMYFUNCTION("""COMPUTED_VALUE"""),"VerifySymbolDivisorWindow")</f>
        <v>VerifySymbolDivisorWindow</v>
      </c>
      <c r="W4" s="25" t="str">
        <f>IFERROR(__xludf.DUMMYFUNCTION("""COMPUTED_VALUE"""),"VerifyTaxlotWindow")</f>
        <v>VerifyTaxlotWindow</v>
      </c>
      <c r="X4" s="25" t="str">
        <f>IFERROR(__xludf.DUMMYFUNCTION("""COMPUTED_VALUE"""),"RestartEsper")</f>
        <v>RestartEsper</v>
      </c>
      <c r="Y4" s="25" t="str">
        <f>IFERROR(__xludf.DUMMYFUNCTION("""COMPUTED_VALUE"""),"VerifyAccountNavPreferenceWindow")</f>
        <v>VerifyAccountNavPreferenceWindow</v>
      </c>
      <c r="Z4" s="25" t="str">
        <f>IFERROR(__xludf.DUMMYFUNCTION("""COMPUTED_VALUE"""),"VerifyAggregationAccountUnderlyingSymbolWithNav")</f>
        <v>VerifyAggregationAccountUnderlyingSymbolWithNav</v>
      </c>
      <c r="AA4" s="25" t="str">
        <f>IFERROR(__xludf.DUMMYFUNCTION("""COMPUTED_VALUE"""),"VerifyAggregationAssetWithNav")</f>
        <v>VerifyAggregationAssetWithNav</v>
      </c>
      <c r="AB4" s="25" t="str">
        <f>IFERROR(__xludf.DUMMYFUNCTION("""COMPUTED_VALUE"""),"VerifyAggregationSymbolWithNav")</f>
        <v>VerifyAggregationSymbolWithNav</v>
      </c>
      <c r="AC4" s="25" t="str">
        <f>IFERROR(__xludf.DUMMYFUNCTION("""COMPUTED_VALUE"""),"VerifyAggregationSubSectorWithNav")</f>
        <v>VerifyAggregationSubSectorWithNav</v>
      </c>
      <c r="AD4" s="25" t="str">
        <f>IFERROR(__xludf.DUMMYFUNCTION("""COMPUTED_VALUE"""),"VerifyAggregationGlobalWithNav")</f>
        <v>VerifyAggregationGlobalWithNav</v>
      </c>
      <c r="AE4" s="25" t="str">
        <f>IFERROR(__xludf.DUMMYFUNCTION("""COMPUTED_VALUE"""),"VerifyAggregationGlobalWithNav")</f>
        <v>VerifyAggregationGlobalWithNav</v>
      </c>
      <c r="AF4" s="25" t="str">
        <f>IFERROR(__xludf.DUMMYFUNCTION("""COMPUTED_VALUE"""),"VerifyGlobalDivisorWindow")</f>
        <v>VerifyGlobalDivisorWindow</v>
      </c>
      <c r="AG4" s="25" t="str">
        <f>IFERROR(__xludf.DUMMYFUNCTION("""COMPUTED_VALUE"""),"VerifyAccrualForAccountWindow")</f>
        <v>VerifyAccrualForAccountWindow</v>
      </c>
      <c r="AH4" s="25" t="str">
        <f>IFERROR(__xludf.DUMMYFUNCTION("""COMPUTED_VALUE"""),"VerifyGlobalDivisorWindow")</f>
        <v>VerifyGlobalDivisorWindow</v>
      </c>
      <c r="AI4" s="25" t="str">
        <f>IFERROR(__xludf.DUMMYFUNCTION("""COMPUTED_VALUE"""),"VerifyMasterFundDivisorWindow")</f>
        <v>VerifyMasterFundDivisorWindow</v>
      </c>
      <c r="AJ4" s="25" t="str">
        <f>IFERROR(__xludf.DUMMYFUNCTION("""COMPUTED_VALUE"""),"VerifyMasterFundSymbolDivisorWindow")</f>
        <v>VerifyMasterFundSymbolDivisorWindow</v>
      </c>
      <c r="AK4" s="25" t="str">
        <f>IFERROR(__xludf.DUMMYFUNCTION("""COMPUTED_VALUE"""),"VerifyAggAccountSymbolWithNav")</f>
        <v>VerifyAggAccountSymbolWithNav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IFERROR(__xludf.DUMMYFUNCTION("""COMPUTED_VALUE"""),"basketId")</f>
        <v>basketId</v>
      </c>
      <c r="C5" s="27" t="str">
        <f>IFERROR(__xludf.DUMMYFUNCTION("""COMPUTED_VALUE"""),"tradeDate")</f>
        <v>tradeDate</v>
      </c>
      <c r="D5" s="27" t="str">
        <f>IFERROR(__xludf.DUMMYFUNCTION("""COMPUTED_VALUE"""),"taxlotState")</f>
        <v>taxlotState</v>
      </c>
      <c r="E5" s="27" t="str">
        <f>IFERROR(__xludf.DUMMYFUNCTION("""COMPUTED_VALUE"""),"taxlotId")</f>
        <v>taxlotId</v>
      </c>
      <c r="F5" s="28" t="str">
        <f>IFERROR(__xludf.DUMMYFUNCTION("""COMPUTED_VALUE"""),"userId")</f>
        <v>userId</v>
      </c>
      <c r="G5" s="27" t="str">
        <f>IFERROR(__xludf.DUMMYFUNCTION("""COMPUTED_VALUE"""),"clOrderId")</f>
        <v>clOrderId</v>
      </c>
      <c r="H5" s="27" t="str">
        <f>IFERROR(__xludf.DUMMYFUNCTION("""COMPUTED_VALUE"""),"symbol")</f>
        <v>symbol</v>
      </c>
      <c r="I5" s="27" t="str">
        <f>IFERROR(__xludf.DUMMYFUNCTION("""COMPUTED_VALUE"""),"todayShortTradeQuantity")</f>
        <v>todayShortTradeQuantity</v>
      </c>
      <c r="J5" s="27" t="str">
        <f>IFERROR(__xludf.DUMMYFUNCTION("""COMPUTED_VALUE"""),"todayLongTradeQuantity")</f>
        <v>todayLongTradeQuantity</v>
      </c>
      <c r="K5" s="27" t="str">
        <f>IFERROR(__xludf.DUMMYFUNCTION("""COMPUTED_VALUE"""),"todayAbsTradeQuantity")</f>
        <v>todayAbsTradeQuantity</v>
      </c>
      <c r="L5" s="27" t="str">
        <f>IFERROR(__xludf.DUMMYFUNCTION("""COMPUTED_VALUE"""),"quantity")</f>
        <v>quantity</v>
      </c>
      <c r="M5" s="27" t="str">
        <f>IFERROR(__xludf.DUMMYFUNCTION("""COMPUTED_VALUE"""),"taxlotType")</f>
        <v>taxlotType</v>
      </c>
      <c r="N5" s="27" t="str">
        <f>IFERROR(__xludf.DUMMYFUNCTION("""COMPUTED_VALUE"""),"accountId")</f>
        <v>accountId</v>
      </c>
      <c r="O5" s="27" t="str">
        <f>IFERROR(__xludf.DUMMYFUNCTION("""COMPUTED_VALUE"""),"orderSide")</f>
        <v>orderSide</v>
      </c>
      <c r="P5" s="27" t="str">
        <f>IFERROR(__xludf.DUMMYFUNCTION("""COMPUTED_VALUE"""),"masterFundId")</f>
        <v>masterFundId</v>
      </c>
      <c r="Q5" s="27" t="str">
        <f>IFERROR(__xludf.DUMMYFUNCTION("""COMPUTED_VALUE"""),"underlyingSymbol")</f>
        <v>underlyingSymbol</v>
      </c>
      <c r="R5" s="27" t="str">
        <f>IFERROR(__xludf.DUMMYFUNCTION("""COMPUTED_VALUE"""),"masterFundName")</f>
        <v>masterFundName</v>
      </c>
      <c r="S5" s="27" t="str">
        <f>IFERROR(__xludf.DUMMYFUNCTION("""COMPUTED_VALUE"""),"multiplier")</f>
        <v>multiplier</v>
      </c>
      <c r="T5" s="29" t="str">
        <f>IFERROR(__xludf.DUMMYFUNCTION("""COMPUTED_VALUE"""),"accountShortName")</f>
        <v>accountShortName</v>
      </c>
      <c r="U5" s="29" t="str">
        <f>IFERROR(__xludf.DUMMYFUNCTION("""COMPUTED_VALUE"""),"accountLongName")</f>
        <v>accountLongName</v>
      </c>
      <c r="V5" s="29" t="str">
        <f>IFERROR(__xludf.DUMMYFUNCTION("""COMPUTED_VALUE"""),"isSwapped")</f>
        <v>isSwapped</v>
      </c>
      <c r="W5" s="29" t="str">
        <f>IFERROR(__xludf.DUMMYFUNCTION("""COMPUTED_VALUE"""),"masterStrategyId")</f>
        <v>masterStrategyId</v>
      </c>
      <c r="X5" s="29" t="str">
        <f>IFERROR(__xludf.DUMMYFUNCTION("""COMPUTED_VALUE"""),"isTodayTrade")</f>
        <v>isTodayTrade</v>
      </c>
      <c r="Y5" s="29" t="str">
        <f>IFERROR(__xludf.DUMMYFUNCTION("""COMPUTED_VALUE"""),"masterStrategyName")</f>
        <v>masterStrategyName</v>
      </c>
      <c r="Z5" s="29" t="str">
        <f>IFERROR(__xludf.DUMMYFUNCTION("""COMPUTED_VALUE"""),"strategyId")</f>
        <v>strategyId</v>
      </c>
      <c r="AA5" s="29" t="str">
        <f>IFERROR(__xludf.DUMMYFUNCTION("""COMPUTED_VALUE"""),"strategyName")</f>
        <v>strategyName</v>
      </c>
      <c r="AB5" s="29" t="str">
        <f>IFERROR(__xludf.DUMMYFUNCTION("""COMPUTED_VALUE"""),"todayNetNotionalBase")</f>
        <v>todayNetNotionalBase</v>
      </c>
      <c r="AC5" s="29" t="str">
        <f>IFERROR(__xludf.DUMMYFUNCTION("""COMPUTED_VALUE"""),"strategyFullName")</f>
        <v>strategyFullName</v>
      </c>
      <c r="AD5" s="29" t="str">
        <f>IFERROR(__xludf.DUMMYFUNCTION("""COMPUTED_VALUE"""),"todayLongNotionalBase")</f>
        <v>todayLongNotionalBase</v>
      </c>
      <c r="AE5" s="29" t="str">
        <f>IFERROR(__xludf.DUMMYFUNCTION("""COMPUTED_VALUE"""),"todayShortNotionalBase")</f>
        <v>todayShortNotionalBase</v>
      </c>
      <c r="AF5" s="29" t="str">
        <f>IFERROR(__xludf.DUMMYFUNCTION("""COMPUTED_VALUE"""),"isMonthTrade")</f>
        <v>isMonthTrade</v>
      </c>
      <c r="AG5" s="29" t="str">
        <f>IFERROR(__xludf.DUMMYFUNCTION("""COMPUTED_VALUE"""),"monthAbsQuantity")</f>
        <v>monthAbsQuantity</v>
      </c>
      <c r="AH5" s="29" t="str">
        <f>IFERROR(__xludf.DUMMYFUNCTION("""COMPUTED_VALUE"""),"monthNetNotional")</f>
        <v>monthNetNotional</v>
      </c>
      <c r="AI5" s="29" t="str">
        <f>IFERROR(__xludf.DUMMYFUNCTION("""COMPUTED_VALUE"""),"modificationType")</f>
        <v>modificationType</v>
      </c>
      <c r="AJ5" s="29" t="str">
        <f>IFERROR(__xludf.DUMMYFUNCTION("""COMPUTED_VALUE"""),"asset")</f>
        <v>asset</v>
      </c>
      <c r="AK5" s="29" t="str">
        <f>IFERROR(__xludf.DUMMYFUNCTION("""COMPUTED_VALUE"""),"underlyingAsset")</f>
        <v>underlyingAsset</v>
      </c>
      <c r="AL5" s="29" t="str">
        <f>IFERROR(__xludf.DUMMYFUNCTION("""COMPUTED_VALUE"""),"assetId")</f>
        <v>assetId</v>
      </c>
      <c r="AM5" s="29" t="str">
        <f>IFERROR(__xludf.DUMMYFUNCTION("""COMPUTED_VALUE"""),"auecId")</f>
        <v>auecId</v>
      </c>
      <c r="AN5" s="29" t="str">
        <f>IFERROR(__xludf.DUMMYFUNCTION("""COMPUTED_VALUE"""),"fxSymbol")</f>
        <v>fxSymbol</v>
      </c>
      <c r="AO5" s="29" t="str">
        <f>IFERROR(__xludf.DUMMYFUNCTION("""COMPUTED_VALUE"""),"sector")</f>
        <v>sector</v>
      </c>
      <c r="AP5" s="29" t="str">
        <f>IFERROR(__xludf.DUMMYFUNCTION("""COMPUTED_VALUE"""),"subSector")</f>
        <v>subSector</v>
      </c>
      <c r="AQ5" s="29" t="str">
        <f>IFERROR(__xludf.DUMMYFUNCTION("""COMPUTED_VALUE"""),"udaAsset")</f>
        <v>udaAsset</v>
      </c>
      <c r="AR5" s="29" t="str">
        <f>IFERROR(__xludf.DUMMYFUNCTION("""COMPUTED_VALUE"""),"udaSecurityType")</f>
        <v>udaSecurityType</v>
      </c>
      <c r="AS5" s="29" t="str">
        <f>IFERROR(__xludf.DUMMYFUNCTION("""COMPUTED_VALUE"""),"udaCountry")</f>
        <v>udaCountry</v>
      </c>
      <c r="AT5" s="29" t="str">
        <f>IFERROR(__xludf.DUMMYFUNCTION("""COMPUTED_VALUE"""),"underlyingCountry")</f>
        <v>underlyingCountry</v>
      </c>
      <c r="AU5" s="29" t="str">
        <f>IFERROR(__xludf.DUMMYFUNCTION("""COMPUTED_VALUE"""),"exchange")</f>
        <v>exchange</v>
      </c>
      <c r="AV5" s="29" t="str">
        <f>IFERROR(__xludf.DUMMYFUNCTION("""COMPUTED_VALUE"""),"orderType")</f>
        <v>orderType</v>
      </c>
      <c r="AW5" s="29" t="str">
        <f>IFERROR(__xludf.DUMMYFUNCTION("""COMPUTED_VALUE"""),"currency")</f>
        <v>currency</v>
      </c>
      <c r="AX5" s="29" t="str">
        <f>IFERROR(__xludf.DUMMYFUNCTION("""COMPUTED_VALUE"""),"putOrCall")</f>
        <v>putOrCall</v>
      </c>
      <c r="AY5" s="29" t="str">
        <f>IFERROR(__xludf.DUMMYFUNCTION("""COMPUTED_VALUE"""),"strikePrice")</f>
        <v>strikePrice</v>
      </c>
      <c r="AZ5" s="29" t="str">
        <f>IFERROR(__xludf.DUMMYFUNCTION("""COMPUTED_VALUE"""),"venue")</f>
        <v>venue</v>
      </c>
      <c r="BA5" s="29" t="str">
        <f>IFERROR(__xludf.DUMMYFUNCTION("""COMPUTED_VALUE"""),"riskCurrency")</f>
        <v>riskCurrency</v>
      </c>
      <c r="BB5" s="29" t="str">
        <f>IFERROR(__xludf.DUMMYFUNCTION("""COMPUTED_VALUE"""),"issuer")</f>
        <v>issuer</v>
      </c>
      <c r="BC5" s="29" t="str">
        <f>IFERROR(__xludf.DUMMYFUNCTION("""COMPUTED_VALUE"""),"countryOfRisk")</f>
        <v>countryOfRisk</v>
      </c>
      <c r="BD5" s="29" t="str">
        <f>IFERROR(__xludf.DUMMYFUNCTION("""COMPUTED_VALUE"""),"region")</f>
        <v>region</v>
      </c>
      <c r="BE5" s="29" t="str">
        <f>IFERROR(__xludf.DUMMYFUNCTION("""COMPUTED_VALUE"""),"analyst")</f>
        <v>analyst</v>
      </c>
      <c r="BF5" s="29" t="str">
        <f>IFERROR(__xludf.DUMMYFUNCTION("""COMPUTED_VALUE"""),"ucitsEligibleTag")</f>
        <v>ucitsEligibleTag</v>
      </c>
      <c r="BG5" s="29" t="str">
        <f>IFERROR(__xludf.DUMMYFUNCTION("""COMPUTED_VALUE"""),"liquidTag")</f>
        <v>liquidTag</v>
      </c>
      <c r="BH5" s="29" t="str">
        <f>IFERROR(__xludf.DUMMYFUNCTION("""COMPUTED_VALUE"""),"marketCap")</f>
        <v>marketCap</v>
      </c>
      <c r="BI5" s="29" t="str">
        <f>IFERROR(__xludf.DUMMYFUNCTION("""COMPUTED_VALUE"""),"customUDA1")</f>
        <v>customUDA1</v>
      </c>
      <c r="BJ5" s="29" t="str">
        <f>IFERROR(__xludf.DUMMYFUNCTION("""COMPUTED_VALUE"""),"customUDA2")</f>
        <v>customUDA2</v>
      </c>
      <c r="BK5" s="29" t="str">
        <f>IFERROR(__xludf.DUMMYFUNCTION("""COMPUTED_VALUE"""),"customUDA3")</f>
        <v>customUDA3</v>
      </c>
      <c r="BL5" s="29" t="str">
        <f>IFERROR(__xludf.DUMMYFUNCTION("""COMPUTED_VALUE"""),"counterParty")</f>
        <v>counterParty</v>
      </c>
      <c r="BM5" s="29" t="str">
        <f>IFERROR(__xludf.DUMMYFUNCTION("""COMPUTED_VALUE"""),"customUDA4")</f>
        <v>customUDA4</v>
      </c>
      <c r="BN5" s="29" t="str">
        <f>IFERROR(__xludf.DUMMYFUNCTION("""COMPUTED_VALUE"""),"customUDA5")</f>
        <v>customUDA5</v>
      </c>
      <c r="BO5" s="29" t="str">
        <f>IFERROR(__xludf.DUMMYFUNCTION("""COMPUTED_VALUE"""),"customUDA6")</f>
        <v>customUDA6</v>
      </c>
      <c r="BP5" s="29" t="str">
        <f>IFERROR(__xludf.DUMMYFUNCTION("""COMPUTED_VALUE"""),"customUDA7")</f>
        <v>customUDA7</v>
      </c>
      <c r="BQ5" s="29" t="str">
        <f>IFERROR(__xludf.DUMMYFUNCTION("""COMPUTED_VALUE"""),"currentFxRate")</f>
        <v>currentFxRate</v>
      </c>
      <c r="BR5" s="29" t="str">
        <f>IFERROR(__xludf.DUMMYFUNCTION("""COMPUTED_VALUE"""),"yesterdayFxRate")</f>
        <v>yesterdayFxRate</v>
      </c>
      <c r="BS5" s="29" t="str">
        <f>IFERROR(__xludf.DUMMYFUNCTION("""COMPUTED_VALUE"""),"fxConversionMethod")</f>
        <v>fxConversionMethod</v>
      </c>
      <c r="BT5" s="29" t="str">
        <f>IFERROR(__xludf.DUMMYFUNCTION("""COMPUTED_VALUE"""),"taxlotFxRate")</f>
        <v>taxlotFxRate</v>
      </c>
      <c r="BU5" s="29" t="str">
        <f>IFERROR(__xludf.DUMMYFUNCTION("""COMPUTED_VALUE"""),"taxlotFxConversionMethod")</f>
        <v>taxlotFxConversionMethod</v>
      </c>
      <c r="BV5" s="29" t="str">
        <f>IFERROR(__xludf.DUMMYFUNCTION("""COMPUTED_VALUE"""),"avgPrice")</f>
        <v>avgPrice</v>
      </c>
      <c r="BW5" s="29" t="str">
        <f>IFERROR(__xludf.DUMMYFUNCTION("""COMPUTED_VALUE"""),"askPrice")</f>
        <v>askPrice</v>
      </c>
      <c r="BX5" s="29" t="str">
        <f>IFERROR(__xludf.DUMMYFUNCTION("""COMPUTED_VALUE"""),"bidPrice")</f>
        <v>bidPrice</v>
      </c>
      <c r="BY5" s="29" t="str">
        <f>IFERROR(__xludf.DUMMYFUNCTION("""COMPUTED_VALUE"""),"lowPrice")</f>
        <v>lowPrice</v>
      </c>
      <c r="BZ5" s="29" t="str">
        <f>IFERROR(__xludf.DUMMYFUNCTION("""COMPUTED_VALUE"""),"highPrice")</f>
        <v>highPrice</v>
      </c>
      <c r="CA5" s="29" t="str">
        <f>IFERROR(__xludf.DUMMYFUNCTION("""COMPUTED_VALUE"""),"openPrice")</f>
        <v>openPrice</v>
      </c>
      <c r="CB5" s="29" t="str">
        <f>IFERROR(__xludf.DUMMYFUNCTION("""COMPUTED_VALUE"""),"closePrice")</f>
        <v>closePrice</v>
      </c>
      <c r="CC5" s="29" t="str">
        <f>IFERROR(__xludf.DUMMYFUNCTION("""COMPUTED_VALUE"""),"lastPrice")</f>
        <v>lastPrice</v>
      </c>
      <c r="CD5" s="29" t="str">
        <f>IFERROR(__xludf.DUMMYFUNCTION("""COMPUTED_VALUE"""),"markPrice")</f>
        <v>markPrice</v>
      </c>
      <c r="CE5" s="29" t="str">
        <f>IFERROR(__xludf.DUMMYFUNCTION("""COMPUTED_VALUE"""),"delta")</f>
        <v>delta</v>
      </c>
      <c r="CF5" s="29" t="str">
        <f>IFERROR(__xludf.DUMMYFUNCTION("""COMPUTED_VALUE"""),"leveragedFactor")</f>
        <v>leveragedFactor</v>
      </c>
      <c r="CG5" s="29" t="str">
        <f>IFERROR(__xludf.DUMMYFUNCTION("""COMPUTED_VALUE"""),"beta5YearMonthly")</f>
        <v>beta5YearMonthly</v>
      </c>
      <c r="CH5" s="29" t="str">
        <f>IFERROR(__xludf.DUMMYFUNCTION("""COMPUTED_VALUE"""),"selectedFeedPrice")</f>
        <v>selectedFeedPrice</v>
      </c>
      <c r="CI5" s="29" t="str">
        <f>IFERROR(__xludf.DUMMYFUNCTION("""COMPUTED_VALUE"""),"openInterest")</f>
        <v>openInterest</v>
      </c>
      <c r="CJ5" s="29" t="str">
        <f>IFERROR(__xludf.DUMMYFUNCTION("""COMPUTED_VALUE"""),"underlyingPrice")</f>
        <v>underlyingPrice</v>
      </c>
      <c r="CK5" s="29" t="str">
        <f>IFERROR(__xludf.DUMMYFUNCTION("""COMPUTED_VALUE"""),"avgVolume20Days")</f>
        <v>avgVolume20Days</v>
      </c>
      <c r="CL5" s="29" t="str">
        <f>IFERROR(__xludf.DUMMYFUNCTION("""COMPUTED_VALUE"""),"sharesOutstanding")</f>
        <v>sharesOutstanding</v>
      </c>
      <c r="CM5" s="29" t="str">
        <f>IFERROR(__xludf.DUMMYFUNCTION("""COMPUTED_VALUE"""),"underlyingSharesOutstanding")</f>
        <v>underlyingSharesOutstanding</v>
      </c>
      <c r="CN5" s="29" t="str">
        <f>IFERROR(__xludf.DUMMYFUNCTION("""COMPUTED_VALUE"""),"marketCapitalization")</f>
        <v>marketCapitalization</v>
      </c>
      <c r="CO5" s="29" t="str">
        <f>IFERROR(__xludf.DUMMYFUNCTION("""COMPUTED_VALUE"""),"underlyingMarketCapitalization")</f>
        <v>underlyingMarketCapitalization</v>
      </c>
      <c r="CP5" s="29" t="str">
        <f>IFERROR(__xludf.DUMMYFUNCTION("""COMPUTED_VALUE"""),"avgVolume")</f>
        <v>avgVolume</v>
      </c>
      <c r="CQ5" s="29" t="str">
        <f>IFERROR(__xludf.DUMMYFUNCTION("""COMPUTED_VALUE"""),"netMarketValueLocal")</f>
        <v>netMarketValueLocal</v>
      </c>
      <c r="CR5" s="29" t="str">
        <f>IFERROR(__xludf.DUMMYFUNCTION("""COMPUTED_VALUE"""),"yesterdayMarketValueLocal")</f>
        <v>yesterdayMarketValueLocal</v>
      </c>
      <c r="CS5" s="29" t="str">
        <f>IFERROR(__xludf.DUMMYFUNCTION("""COMPUTED_VALUE"""),"grossMarketValueLocal")</f>
        <v>grossMarketValueLocal</v>
      </c>
      <c r="CT5" s="29" t="str">
        <f>IFERROR(__xludf.DUMMYFUNCTION("""COMPUTED_VALUE"""),"netMarketValueBase")</f>
        <v>netMarketValueBase</v>
      </c>
      <c r="CU5" s="29" t="str">
        <f>IFERROR(__xludf.DUMMYFUNCTION("""COMPUTED_VALUE"""),"yesterdayMarketValueBase")</f>
        <v>yesterdayMarketValueBase</v>
      </c>
      <c r="CV5" s="29" t="str">
        <f>IFERROR(__xludf.DUMMYFUNCTION("""COMPUTED_VALUE"""),"grossMarketValueBase")</f>
        <v>grossMarketValueBase</v>
      </c>
      <c r="CW5" s="29" t="str">
        <f>IFERROR(__xludf.DUMMYFUNCTION("""COMPUTED_VALUE"""),"notionalLocal")</f>
        <v>notionalLocal</v>
      </c>
      <c r="CX5" s="29" t="str">
        <f>IFERROR(__xludf.DUMMYFUNCTION("""COMPUTED_VALUE"""),"cashImpactLocal")</f>
        <v>cashImpactLocal</v>
      </c>
      <c r="CY5" s="29" t="str">
        <f>IFERROR(__xludf.DUMMYFUNCTION("""COMPUTED_VALUE"""),"cashInflowLocal")</f>
        <v>cashInflowLocal</v>
      </c>
      <c r="CZ5" s="29" t="str">
        <f>IFERROR(__xludf.DUMMYFUNCTION("""COMPUTED_VALUE"""),"cashOutflowLocal")</f>
        <v>cashOutflowLocal</v>
      </c>
      <c r="DA5" s="29" t="str">
        <f>IFERROR(__xludf.DUMMYFUNCTION("""COMPUTED_VALUE"""),"equityHaircutLocal")</f>
        <v>equityHaircutLocal</v>
      </c>
      <c r="DB5" s="29" t="str">
        <f>IFERROR(__xludf.DUMMYFUNCTION("""COMPUTED_VALUE"""),"indexHaircutLocal")</f>
        <v>indexHaircutLocal</v>
      </c>
      <c r="DC5" s="29" t="str">
        <f>IFERROR(__xludf.DUMMYFUNCTION("""COMPUTED_VALUE"""),"notionalBase")</f>
        <v>notionalBase</v>
      </c>
      <c r="DD5" s="29" t="str">
        <f>IFERROR(__xludf.DUMMYFUNCTION("""COMPUTED_VALUE"""),"cashImpactBase")</f>
        <v>cashImpactBase</v>
      </c>
      <c r="DE5" s="29" t="str">
        <f>IFERROR(__xludf.DUMMYFUNCTION("""COMPUTED_VALUE"""),"cashInflowBase")</f>
        <v>cashInflowBase</v>
      </c>
      <c r="DF5" s="29" t="str">
        <f>IFERROR(__xludf.DUMMYFUNCTION("""COMPUTED_VALUE"""),"cashOutflowBase")</f>
        <v>cashOutflowBase</v>
      </c>
      <c r="DG5" s="29" t="str">
        <f>IFERROR(__xludf.DUMMYFUNCTION("""COMPUTED_VALUE"""),"equityHaircutBase")</f>
        <v>equityHaircutBase</v>
      </c>
      <c r="DH5" s="29" t="str">
        <f>IFERROR(__xludf.DUMMYFUNCTION("""COMPUTED_VALUE"""),"indexHaircutBase")</f>
        <v>indexHaircutBase</v>
      </c>
      <c r="DI5" s="29" t="str">
        <f>IFERROR(__xludf.DUMMYFUNCTION("""COMPUTED_VALUE"""),"underlyingValueForOptionsLocal")</f>
        <v>underlyingValueForOptionsLocal</v>
      </c>
      <c r="DJ5" s="29" t="str">
        <f>IFERROR(__xludf.DUMMYFUNCTION("""COMPUTED_VALUE"""),"dayPnLLocal")</f>
        <v>dayPnLLocal</v>
      </c>
      <c r="DK5" s="29" t="str">
        <f>IFERROR(__xludf.DUMMYFUNCTION("""COMPUTED_VALUE"""),"costBasisPnLLocal")</f>
        <v>costBasisPnLLocal</v>
      </c>
      <c r="DL5" s="29" t="str">
        <f>IFERROR(__xludf.DUMMYFUNCTION("""COMPUTED_VALUE"""),"liquidationPnlLocal")</f>
        <v>liquidationPnlLocal</v>
      </c>
      <c r="DM5" s="29" t="str">
        <f>IFERROR(__xludf.DUMMYFUNCTION("""COMPUTED_VALUE"""),"underlyingValueForOptionsBase")</f>
        <v>underlyingValueForOptionsBase</v>
      </c>
      <c r="DN5" s="29" t="str">
        <f>IFERROR(__xludf.DUMMYFUNCTION("""COMPUTED_VALUE"""),"dayPnLBase")</f>
        <v>dayPnLBase</v>
      </c>
      <c r="DO5" s="29" t="str">
        <f>IFERROR(__xludf.DUMMYFUNCTION("""COMPUTED_VALUE"""),"costBasisPnLBase")</f>
        <v>costBasisPnLBase</v>
      </c>
      <c r="DP5" s="29" t="str">
        <f>IFERROR(__xludf.DUMMYFUNCTION("""COMPUTED_VALUE"""),"liquidationPnlBase")</f>
        <v>liquidationPnlBase</v>
      </c>
      <c r="DQ5" s="29" t="str">
        <f>IFERROR(__xludf.DUMMYFUNCTION("""COMPUTED_VALUE"""),"netExposureLocal")</f>
        <v>netExposureLocal</v>
      </c>
      <c r="DR5" s="29" t="str">
        <f>IFERROR(__xludf.DUMMYFUNCTION("""COMPUTED_VALUE"""),"grossExposureLocal")</f>
        <v>grossExposureLocal</v>
      </c>
      <c r="DS5" s="29" t="str">
        <f>IFERROR(__xludf.DUMMYFUNCTION("""COMPUTED_VALUE"""),"betaAdjustedExposureLocal")</f>
        <v>betaAdjustedExposureLocal</v>
      </c>
      <c r="DT5" s="29" t="str">
        <f>IFERROR(__xludf.DUMMYFUNCTION("""COMPUTED_VALUE"""),"netExposureBase")</f>
        <v>netExposureBase</v>
      </c>
      <c r="DU5" s="29" t="str">
        <f>IFERROR(__xludf.DUMMYFUNCTION("""COMPUTED_VALUE"""),"grossExposureBase")</f>
        <v>grossExposureBase</v>
      </c>
      <c r="DV5" s="29" t="str">
        <f>IFERROR(__xludf.DUMMYFUNCTION("""COMPUTED_VALUE"""),"betaAdjustedExposureBase")</f>
        <v>betaAdjustedExposureBase</v>
      </c>
      <c r="DW5" s="29" t="str">
        <f>IFERROR(__xludf.DUMMYFUNCTION("""COMPUTED_VALUE"""),"deltaAdjPosition")</f>
        <v>deltaAdjPosition</v>
      </c>
      <c r="DX5" s="29" t="str">
        <f>IFERROR(__xludf.DUMMYFUNCTION("""COMPUTED_VALUE"""),"dayDiff")</f>
        <v>dayDiff</v>
      </c>
      <c r="DY5" s="29" t="str">
        <f>IFERROR(__xludf.DUMMYFUNCTION("""COMPUTED_VALUE"""),"dayInterestLocal")</f>
        <v>dayInterestLocal</v>
      </c>
      <c r="DZ5" s="29" t="str">
        <f>IFERROR(__xludf.DUMMYFUNCTION("""COMPUTED_VALUE"""),"totalInterestLocal")</f>
        <v>totalInterestLocal</v>
      </c>
      <c r="EA5" s="29" t="str">
        <f>IFERROR(__xludf.DUMMYFUNCTION("""COMPUTED_VALUE"""),"dayInterestBase")</f>
        <v>dayInterestBase</v>
      </c>
      <c r="EB5" s="29" t="str">
        <f>IFERROR(__xludf.DUMMYFUNCTION("""COMPUTED_VALUE"""),"totalInterestBase")</f>
        <v>totalInterestBase</v>
      </c>
      <c r="EC5" s="29" t="str">
        <f>IFERROR(__xludf.DUMMYFUNCTION("""COMPUTED_VALUE"""),"percentAvgVolume")</f>
        <v>percentAvgVolume</v>
      </c>
      <c r="ED5" s="29" t="str">
        <f>IFERROR(__xludf.DUMMYFUNCTION("""COMPUTED_VALUE"""),"businessDaysToExpire")</f>
        <v>businessDaysToExpire</v>
      </c>
      <c r="EE5" s="29" t="str">
        <f>IFERROR(__xludf.DUMMYFUNCTION("""COMPUTED_VALUE"""),"actualDaysToExpire")</f>
        <v>actualDaysToExpire</v>
      </c>
      <c r="EF5" s="29" t="str">
        <f>IFERROR(__xludf.DUMMYFUNCTION("""COMPUTED_VALUE"""),"longDebitBalance")</f>
        <v>longDebitBalance</v>
      </c>
      <c r="EG5" s="29" t="str">
        <f>IFERROR(__xludf.DUMMYFUNCTION("""COMPUTED_VALUE"""),"shortCreditBalance")</f>
        <v>shortCreditBalance</v>
      </c>
      <c r="EH5" s="29" t="str">
        <f>IFERROR(__xludf.DUMMYFUNCTION("""COMPUTED_VALUE"""),"roundLot")</f>
        <v>roundLot</v>
      </c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  <c r="EY5" s="29"/>
    </row>
    <row r="6" ht="15.75" customHeight="1">
      <c r="H6" s="9" t="s">
        <v>21</v>
      </c>
      <c r="I6" s="59">
        <v>0.0</v>
      </c>
      <c r="J6" s="9">
        <v>25.0</v>
      </c>
      <c r="K6" s="9">
        <v>25.0</v>
      </c>
      <c r="L6" s="9">
        <v>25.0</v>
      </c>
      <c r="M6" s="9" t="s">
        <v>52</v>
      </c>
      <c r="O6" s="60" t="s">
        <v>22</v>
      </c>
      <c r="Q6" s="9" t="s">
        <v>21</v>
      </c>
      <c r="R6" s="9" t="s">
        <v>63</v>
      </c>
      <c r="T6" s="9" t="s">
        <v>58</v>
      </c>
      <c r="U6" s="9" t="s">
        <v>58</v>
      </c>
      <c r="V6" s="9" t="b">
        <v>0</v>
      </c>
      <c r="X6" s="9" t="b">
        <v>1</v>
      </c>
      <c r="Y6" s="9" t="s">
        <v>78</v>
      </c>
      <c r="AA6" s="9" t="s">
        <v>78</v>
      </c>
      <c r="AB6" s="9">
        <v>250.0</v>
      </c>
      <c r="AC6" s="9" t="s">
        <v>78</v>
      </c>
      <c r="AD6" s="9">
        <v>250.0</v>
      </c>
      <c r="AE6" s="9">
        <v>0.0</v>
      </c>
      <c r="AF6" s="9" t="b">
        <v>1</v>
      </c>
      <c r="AG6" s="9">
        <v>25.0</v>
      </c>
      <c r="AH6" s="9">
        <v>250.0</v>
      </c>
      <c r="AJ6" s="9" t="s">
        <v>38</v>
      </c>
      <c r="AN6" s="9" t="s">
        <v>79</v>
      </c>
      <c r="AO6" s="9" t="s">
        <v>60</v>
      </c>
      <c r="AP6" s="9" t="s">
        <v>61</v>
      </c>
      <c r="AQ6" s="9" t="s">
        <v>38</v>
      </c>
      <c r="AR6" s="9" t="s">
        <v>62</v>
      </c>
      <c r="AU6" s="9" t="s">
        <v>41</v>
      </c>
      <c r="AW6" s="9" t="s">
        <v>59</v>
      </c>
      <c r="BA6" s="9" t="s">
        <v>59</v>
      </c>
      <c r="BB6" s="9" t="s">
        <v>64</v>
      </c>
      <c r="BC6" s="9" t="s">
        <v>65</v>
      </c>
      <c r="BD6" s="9" t="s">
        <v>66</v>
      </c>
      <c r="BE6" s="9" t="s">
        <v>66</v>
      </c>
      <c r="BF6" s="9" t="s">
        <v>25</v>
      </c>
      <c r="BG6" s="9" t="s">
        <v>67</v>
      </c>
      <c r="BH6" s="9" t="s">
        <v>66</v>
      </c>
      <c r="BI6" s="9" t="s">
        <v>66</v>
      </c>
      <c r="BJ6" s="9" t="s">
        <v>66</v>
      </c>
      <c r="BK6" s="9" t="s">
        <v>67</v>
      </c>
      <c r="BM6" s="9" t="s">
        <v>66</v>
      </c>
      <c r="BN6" s="9" t="s">
        <v>66</v>
      </c>
      <c r="BO6" s="9" t="s">
        <v>66</v>
      </c>
      <c r="BP6" s="9" t="s">
        <v>66</v>
      </c>
      <c r="BQ6" s="9">
        <v>1.0</v>
      </c>
      <c r="BR6" s="9">
        <v>1.0</v>
      </c>
      <c r="BS6" s="9" t="s">
        <v>43</v>
      </c>
      <c r="BT6" s="9">
        <v>1.0</v>
      </c>
      <c r="BU6" s="9" t="s">
        <v>43</v>
      </c>
      <c r="BV6" s="9">
        <v>10.0</v>
      </c>
      <c r="BW6" s="9">
        <v>0.0</v>
      </c>
      <c r="BX6" s="9">
        <v>0.0</v>
      </c>
      <c r="BY6" s="9">
        <v>0.0</v>
      </c>
    </row>
    <row r="7" ht="15.75" customHeight="1">
      <c r="H7" s="9" t="s">
        <v>21</v>
      </c>
      <c r="I7" s="61">
        <v>0.0</v>
      </c>
      <c r="J7" s="9">
        <v>25.0</v>
      </c>
      <c r="K7" s="9">
        <v>25.0</v>
      </c>
      <c r="L7" s="9">
        <v>25.0</v>
      </c>
      <c r="M7" s="9" t="s">
        <v>52</v>
      </c>
      <c r="O7" s="62" t="s">
        <v>22</v>
      </c>
      <c r="Q7" s="9" t="s">
        <v>21</v>
      </c>
      <c r="R7" s="9" t="s">
        <v>69</v>
      </c>
      <c r="T7" s="9" t="s">
        <v>68</v>
      </c>
      <c r="U7" s="9" t="s">
        <v>68</v>
      </c>
      <c r="V7" s="9" t="b">
        <v>0</v>
      </c>
      <c r="X7" s="9" t="b">
        <v>1</v>
      </c>
      <c r="Y7" s="9" t="s">
        <v>78</v>
      </c>
      <c r="AA7" s="9" t="s">
        <v>78</v>
      </c>
      <c r="AB7" s="9">
        <v>250.0</v>
      </c>
      <c r="AC7" s="9" t="s">
        <v>78</v>
      </c>
      <c r="AD7" s="9">
        <v>250.0</v>
      </c>
      <c r="AE7" s="9">
        <v>0.0</v>
      </c>
      <c r="AF7" s="9" t="b">
        <v>1</v>
      </c>
      <c r="AG7" s="9">
        <v>25.0</v>
      </c>
      <c r="AH7" s="9">
        <v>250.0</v>
      </c>
      <c r="AJ7" s="9" t="s">
        <v>38</v>
      </c>
      <c r="AN7" s="9" t="s">
        <v>79</v>
      </c>
      <c r="AO7" s="9" t="s">
        <v>60</v>
      </c>
      <c r="AP7" s="9" t="s">
        <v>61</v>
      </c>
      <c r="AQ7" s="9" t="s">
        <v>38</v>
      </c>
      <c r="AR7" s="9" t="s">
        <v>62</v>
      </c>
      <c r="AU7" s="9" t="s">
        <v>41</v>
      </c>
      <c r="AW7" s="9" t="s">
        <v>59</v>
      </c>
      <c r="BA7" s="9" t="s">
        <v>59</v>
      </c>
      <c r="BB7" s="9" t="s">
        <v>64</v>
      </c>
      <c r="BC7" s="9" t="s">
        <v>65</v>
      </c>
      <c r="BD7" s="9" t="s">
        <v>66</v>
      </c>
      <c r="BE7" s="9" t="s">
        <v>66</v>
      </c>
      <c r="BF7" s="9" t="s">
        <v>25</v>
      </c>
      <c r="BG7" s="9" t="s">
        <v>67</v>
      </c>
      <c r="BH7" s="9" t="s">
        <v>66</v>
      </c>
      <c r="BI7" s="9" t="s">
        <v>66</v>
      </c>
      <c r="BJ7" s="9" t="s">
        <v>66</v>
      </c>
      <c r="BK7" s="9" t="s">
        <v>67</v>
      </c>
      <c r="BM7" s="9" t="s">
        <v>66</v>
      </c>
      <c r="BN7" s="9" t="s">
        <v>66</v>
      </c>
      <c r="BO7" s="9" t="s">
        <v>66</v>
      </c>
      <c r="BP7" s="9" t="s">
        <v>66</v>
      </c>
      <c r="BQ7" s="9">
        <v>1.0</v>
      </c>
      <c r="BR7" s="9">
        <v>1.0</v>
      </c>
      <c r="BS7" s="9" t="s">
        <v>43</v>
      </c>
      <c r="BT7" s="9">
        <v>1.0</v>
      </c>
      <c r="BU7" s="9" t="s">
        <v>43</v>
      </c>
      <c r="BV7" s="9">
        <v>10.0</v>
      </c>
      <c r="BW7" s="9">
        <v>0.0</v>
      </c>
      <c r="BX7" s="9">
        <v>0.0</v>
      </c>
      <c r="BY7" s="9">
        <v>0.0</v>
      </c>
    </row>
    <row r="8" ht="15.75" customHeight="1">
      <c r="H8" s="9" t="s">
        <v>21</v>
      </c>
      <c r="I8" s="59">
        <v>0.0</v>
      </c>
      <c r="J8" s="9">
        <v>25.0</v>
      </c>
      <c r="K8" s="9">
        <v>25.0</v>
      </c>
      <c r="L8" s="9">
        <v>25.0</v>
      </c>
      <c r="M8" s="9" t="s">
        <v>54</v>
      </c>
      <c r="O8" s="60" t="s">
        <v>22</v>
      </c>
      <c r="Q8" s="9" t="s">
        <v>21</v>
      </c>
      <c r="R8" s="9" t="s">
        <v>69</v>
      </c>
      <c r="T8" s="9" t="s">
        <v>68</v>
      </c>
      <c r="U8" s="9" t="s">
        <v>68</v>
      </c>
      <c r="V8" s="9" t="b">
        <v>0</v>
      </c>
      <c r="X8" s="9" t="b">
        <v>1</v>
      </c>
      <c r="Y8" s="9" t="s">
        <v>78</v>
      </c>
      <c r="AA8" s="9" t="s">
        <v>80</v>
      </c>
      <c r="AB8" s="9">
        <v>250.0</v>
      </c>
      <c r="AC8" s="9" t="s">
        <v>80</v>
      </c>
      <c r="AD8" s="9">
        <v>250.0</v>
      </c>
      <c r="AE8" s="9">
        <v>0.0</v>
      </c>
      <c r="AF8" s="9" t="b">
        <v>1</v>
      </c>
      <c r="AG8" s="9">
        <v>25.0</v>
      </c>
      <c r="AH8" s="9">
        <v>250.0</v>
      </c>
      <c r="AJ8" s="9" t="s">
        <v>38</v>
      </c>
      <c r="AK8" s="9" t="s">
        <v>38</v>
      </c>
      <c r="AN8" s="9" t="s">
        <v>79</v>
      </c>
      <c r="AO8" s="9" t="s">
        <v>60</v>
      </c>
      <c r="AP8" s="9" t="s">
        <v>61</v>
      </c>
      <c r="AQ8" s="9" t="s">
        <v>38</v>
      </c>
      <c r="AR8" s="9" t="s">
        <v>62</v>
      </c>
      <c r="AU8" s="9" t="s">
        <v>41</v>
      </c>
      <c r="AW8" s="9" t="s">
        <v>59</v>
      </c>
      <c r="AZ8" s="9" t="s">
        <v>41</v>
      </c>
      <c r="BA8" s="9" t="s">
        <v>59</v>
      </c>
      <c r="BB8" s="9" t="s">
        <v>64</v>
      </c>
      <c r="BC8" s="9" t="s">
        <v>65</v>
      </c>
      <c r="BD8" s="9" t="s">
        <v>66</v>
      </c>
      <c r="BE8" s="9" t="s">
        <v>66</v>
      </c>
      <c r="BF8" s="9" t="s">
        <v>25</v>
      </c>
      <c r="BG8" s="9" t="s">
        <v>67</v>
      </c>
      <c r="BH8" s="9" t="s">
        <v>66</v>
      </c>
      <c r="BI8" s="9" t="s">
        <v>66</v>
      </c>
      <c r="BJ8" s="9" t="s">
        <v>66</v>
      </c>
      <c r="BK8" s="9" t="s">
        <v>67</v>
      </c>
      <c r="BM8" s="9" t="s">
        <v>66</v>
      </c>
      <c r="BN8" s="9" t="s">
        <v>66</v>
      </c>
      <c r="BO8" s="9" t="s">
        <v>66</v>
      </c>
      <c r="BP8" s="9" t="s">
        <v>66</v>
      </c>
      <c r="BQ8" s="9">
        <v>1.0</v>
      </c>
      <c r="BR8" s="9">
        <v>1.0</v>
      </c>
      <c r="BS8" s="9" t="s">
        <v>43</v>
      </c>
      <c r="BT8" s="9">
        <v>1.0</v>
      </c>
      <c r="BU8" s="9" t="s">
        <v>43</v>
      </c>
      <c r="BV8" s="9">
        <v>10.0</v>
      </c>
      <c r="BW8" s="9">
        <v>0.0</v>
      </c>
      <c r="BX8" s="9">
        <v>0.0</v>
      </c>
      <c r="BY8" s="9">
        <v>0.0</v>
      </c>
    </row>
    <row r="9" ht="15.75" customHeight="1">
      <c r="H9" s="9" t="s">
        <v>26</v>
      </c>
      <c r="I9" s="61">
        <v>0.0</v>
      </c>
      <c r="J9" s="9">
        <v>50.0</v>
      </c>
      <c r="K9" s="9">
        <v>50.0</v>
      </c>
      <c r="L9" s="9">
        <v>50.0</v>
      </c>
      <c r="M9" s="9" t="s">
        <v>52</v>
      </c>
      <c r="O9" s="63" t="s">
        <v>22</v>
      </c>
      <c r="Q9" s="9" t="s">
        <v>26</v>
      </c>
      <c r="R9" s="9" t="s">
        <v>69</v>
      </c>
      <c r="T9" s="9" t="s">
        <v>68</v>
      </c>
      <c r="U9" s="9" t="s">
        <v>68</v>
      </c>
      <c r="V9" s="9" t="b">
        <v>0</v>
      </c>
      <c r="X9" s="9" t="b">
        <v>1</v>
      </c>
      <c r="Y9" s="9" t="s">
        <v>78</v>
      </c>
      <c r="AA9" s="9" t="s">
        <v>78</v>
      </c>
      <c r="AB9" s="9">
        <v>500.0</v>
      </c>
      <c r="AC9" s="9" t="s">
        <v>78</v>
      </c>
      <c r="AD9" s="9">
        <v>500.0</v>
      </c>
      <c r="AE9" s="9">
        <v>0.0</v>
      </c>
      <c r="AF9" s="9" t="b">
        <v>1</v>
      </c>
      <c r="AG9" s="9">
        <v>50.0</v>
      </c>
      <c r="AH9" s="9">
        <v>500.0</v>
      </c>
      <c r="AJ9" s="9" t="s">
        <v>38</v>
      </c>
      <c r="AK9" s="9" t="s">
        <v>38</v>
      </c>
      <c r="AN9" s="9" t="s">
        <v>79</v>
      </c>
      <c r="AO9" s="9" t="s">
        <v>70</v>
      </c>
      <c r="AP9" s="9" t="s">
        <v>71</v>
      </c>
      <c r="AQ9" s="9" t="s">
        <v>38</v>
      </c>
      <c r="AR9" s="9" t="s">
        <v>72</v>
      </c>
      <c r="AU9" s="9" t="s">
        <v>41</v>
      </c>
      <c r="AW9" s="9" t="s">
        <v>59</v>
      </c>
      <c r="AZ9" s="9" t="s">
        <v>41</v>
      </c>
      <c r="BA9" s="9" t="s">
        <v>59</v>
      </c>
      <c r="BB9" s="9" t="s">
        <v>73</v>
      </c>
      <c r="BC9" s="9" t="s">
        <v>74</v>
      </c>
      <c r="BD9" s="9" t="s">
        <v>61</v>
      </c>
      <c r="BE9" s="9" t="s">
        <v>61</v>
      </c>
      <c r="BF9" s="9" t="s">
        <v>25</v>
      </c>
      <c r="BG9" s="9" t="s">
        <v>25</v>
      </c>
      <c r="BH9" s="9" t="s">
        <v>61</v>
      </c>
      <c r="BI9" s="9" t="s">
        <v>75</v>
      </c>
      <c r="BJ9" s="9" t="s">
        <v>61</v>
      </c>
      <c r="BK9" s="9" t="s">
        <v>61</v>
      </c>
      <c r="BM9" s="9" t="s">
        <v>61</v>
      </c>
      <c r="BN9" s="58"/>
      <c r="BP9" s="9" t="s">
        <v>61</v>
      </c>
      <c r="BQ9" s="9">
        <v>1.0</v>
      </c>
      <c r="BR9" s="9">
        <v>1.0</v>
      </c>
      <c r="BS9" s="9" t="s">
        <v>43</v>
      </c>
      <c r="BT9" s="9">
        <v>1.0</v>
      </c>
      <c r="BU9" s="9" t="s">
        <v>43</v>
      </c>
      <c r="BV9" s="9">
        <v>10.0</v>
      </c>
      <c r="BW9" s="9">
        <v>0.0</v>
      </c>
      <c r="BX9" s="9">
        <v>0.0</v>
      </c>
      <c r="BY9" s="9">
        <v>0.0</v>
      </c>
    </row>
    <row r="10" ht="15.75" customHeight="1">
      <c r="H10" s="9" t="s">
        <v>21</v>
      </c>
      <c r="I10" s="59">
        <v>0.0</v>
      </c>
      <c r="J10" s="9">
        <v>25.0</v>
      </c>
      <c r="K10" s="9">
        <v>25.0</v>
      </c>
      <c r="L10" s="9">
        <v>25.0</v>
      </c>
      <c r="M10" s="9" t="s">
        <v>54</v>
      </c>
      <c r="O10" s="64" t="s">
        <v>22</v>
      </c>
      <c r="Q10" s="9" t="s">
        <v>21</v>
      </c>
      <c r="R10" s="9" t="s">
        <v>63</v>
      </c>
      <c r="T10" s="9" t="s">
        <v>58</v>
      </c>
      <c r="U10" s="9" t="s">
        <v>58</v>
      </c>
      <c r="V10" s="9" t="b">
        <v>0</v>
      </c>
      <c r="X10" s="9" t="b">
        <v>1</v>
      </c>
      <c r="Y10" s="9" t="s">
        <v>78</v>
      </c>
      <c r="AA10" s="9" t="s">
        <v>80</v>
      </c>
      <c r="AB10" s="9">
        <v>250.0</v>
      </c>
      <c r="AC10" s="9" t="s">
        <v>80</v>
      </c>
      <c r="AD10" s="9">
        <v>250.0</v>
      </c>
      <c r="AE10" s="9">
        <v>0.0</v>
      </c>
      <c r="AF10" s="9" t="b">
        <v>1</v>
      </c>
      <c r="AG10" s="9">
        <v>25.0</v>
      </c>
      <c r="AH10" s="9">
        <v>250.0</v>
      </c>
      <c r="AJ10" s="9" t="s">
        <v>38</v>
      </c>
      <c r="AK10" s="9" t="s">
        <v>38</v>
      </c>
      <c r="AN10" s="9" t="s">
        <v>79</v>
      </c>
      <c r="AO10" s="9" t="s">
        <v>60</v>
      </c>
      <c r="AP10" s="9" t="s">
        <v>61</v>
      </c>
      <c r="AQ10" s="9" t="s">
        <v>38</v>
      </c>
      <c r="AR10" s="9" t="s">
        <v>62</v>
      </c>
      <c r="AU10" s="9" t="s">
        <v>41</v>
      </c>
      <c r="AW10" s="9" t="s">
        <v>59</v>
      </c>
      <c r="AZ10" s="9" t="s">
        <v>41</v>
      </c>
      <c r="BA10" s="9" t="s">
        <v>59</v>
      </c>
      <c r="BB10" s="9" t="s">
        <v>64</v>
      </c>
      <c r="BC10" s="9" t="s">
        <v>65</v>
      </c>
      <c r="BD10" s="9" t="s">
        <v>66</v>
      </c>
      <c r="BE10" s="9" t="s">
        <v>66</v>
      </c>
      <c r="BF10" s="9" t="s">
        <v>25</v>
      </c>
      <c r="BG10" s="9" t="s">
        <v>67</v>
      </c>
      <c r="BH10" s="9" t="s">
        <v>66</v>
      </c>
      <c r="BI10" s="9" t="s">
        <v>66</v>
      </c>
      <c r="BJ10" s="9" t="s">
        <v>66</v>
      </c>
      <c r="BK10" s="9" t="s">
        <v>67</v>
      </c>
      <c r="BM10" s="9" t="s">
        <v>66</v>
      </c>
      <c r="BN10" s="9" t="s">
        <v>66</v>
      </c>
      <c r="BO10" s="9" t="s">
        <v>66</v>
      </c>
      <c r="BP10" s="9" t="s">
        <v>66</v>
      </c>
      <c r="BQ10" s="9">
        <v>1.0</v>
      </c>
      <c r="BR10" s="9">
        <v>1.0</v>
      </c>
      <c r="BS10" s="9" t="s">
        <v>43</v>
      </c>
      <c r="BT10" s="9">
        <v>1.0</v>
      </c>
      <c r="BU10" s="9" t="s">
        <v>43</v>
      </c>
      <c r="BV10" s="9">
        <v>10.0</v>
      </c>
      <c r="BW10" s="9">
        <v>0.0</v>
      </c>
      <c r="BX10" s="9">
        <v>0.0</v>
      </c>
      <c r="BY10" s="9">
        <v>0.0</v>
      </c>
    </row>
    <row r="11" ht="15.75" customHeight="1">
      <c r="H11" s="9" t="s">
        <v>26</v>
      </c>
      <c r="I11" s="61">
        <v>0.0</v>
      </c>
      <c r="J11" s="9">
        <v>50.0</v>
      </c>
      <c r="K11" s="9">
        <v>50.0</v>
      </c>
      <c r="L11" s="9">
        <v>50.0</v>
      </c>
      <c r="M11" s="9" t="s">
        <v>52</v>
      </c>
      <c r="O11" s="62" t="s">
        <v>22</v>
      </c>
      <c r="Q11" s="9" t="s">
        <v>26</v>
      </c>
      <c r="R11" s="9" t="s">
        <v>63</v>
      </c>
      <c r="T11" s="9" t="s">
        <v>58</v>
      </c>
      <c r="U11" s="9" t="s">
        <v>58</v>
      </c>
      <c r="V11" s="9" t="b">
        <v>0</v>
      </c>
      <c r="X11" s="9" t="b">
        <v>1</v>
      </c>
      <c r="Y11" s="9" t="s">
        <v>78</v>
      </c>
      <c r="AA11" s="9" t="s">
        <v>78</v>
      </c>
      <c r="AB11" s="9">
        <v>500.0</v>
      </c>
      <c r="AC11" s="9" t="s">
        <v>78</v>
      </c>
      <c r="AD11" s="9">
        <v>500.0</v>
      </c>
      <c r="AE11" s="9">
        <v>0.0</v>
      </c>
      <c r="AF11" s="9" t="b">
        <v>1</v>
      </c>
      <c r="AG11" s="9">
        <v>50.0</v>
      </c>
      <c r="AH11" s="9">
        <v>500.0</v>
      </c>
      <c r="AJ11" s="9" t="s">
        <v>38</v>
      </c>
      <c r="AK11" s="9" t="s">
        <v>38</v>
      </c>
      <c r="AN11" s="9" t="s">
        <v>79</v>
      </c>
      <c r="AO11" s="9" t="s">
        <v>70</v>
      </c>
      <c r="AP11" s="9" t="s">
        <v>71</v>
      </c>
      <c r="AQ11" s="9" t="s">
        <v>38</v>
      </c>
      <c r="AR11" s="9" t="s">
        <v>72</v>
      </c>
      <c r="AU11" s="9" t="s">
        <v>41</v>
      </c>
      <c r="AW11" s="9" t="s">
        <v>59</v>
      </c>
      <c r="AZ11" s="9" t="s">
        <v>41</v>
      </c>
      <c r="BA11" s="9" t="s">
        <v>59</v>
      </c>
      <c r="BB11" s="9" t="s">
        <v>73</v>
      </c>
      <c r="BC11" s="9" t="s">
        <v>74</v>
      </c>
      <c r="BD11" s="9" t="s">
        <v>61</v>
      </c>
      <c r="BE11" s="9" t="s">
        <v>61</v>
      </c>
      <c r="BF11" s="9" t="s">
        <v>25</v>
      </c>
      <c r="BG11" s="9" t="s">
        <v>25</v>
      </c>
      <c r="BH11" s="9" t="s">
        <v>61</v>
      </c>
      <c r="BI11" s="9" t="s">
        <v>75</v>
      </c>
      <c r="BJ11" s="9" t="s">
        <v>61</v>
      </c>
      <c r="BK11" s="9" t="s">
        <v>61</v>
      </c>
      <c r="BM11" s="9" t="s">
        <v>61</v>
      </c>
      <c r="BN11" s="58"/>
      <c r="BP11" s="9" t="s">
        <v>61</v>
      </c>
      <c r="BQ11" s="9">
        <v>1.0</v>
      </c>
      <c r="BR11" s="9">
        <v>1.0</v>
      </c>
      <c r="BS11" s="9" t="s">
        <v>43</v>
      </c>
      <c r="BT11" s="9">
        <v>1.0</v>
      </c>
      <c r="BU11" s="9" t="s">
        <v>43</v>
      </c>
      <c r="BV11" s="9">
        <v>10.0</v>
      </c>
      <c r="BW11" s="9">
        <v>0.0</v>
      </c>
      <c r="BX11" s="9">
        <v>0.0</v>
      </c>
      <c r="BY11" s="9">
        <v>0.0</v>
      </c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VerifyRowCalculationBaseWindow1!$4:$4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31</v>
      </c>
      <c r="D3" s="5" t="s">
        <v>9</v>
      </c>
      <c r="E3" s="22" t="s">
        <v>82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IFERROR(__xludf.DUMMYFUNCTION("""COMPUTED_VALUE"""),"OpenBlotter")</f>
        <v>OpenBlotter</v>
      </c>
      <c r="AW4" s="25" t="str">
        <f>IFERROR(__xludf.DUMMYFUNCTION("""COMPUTED_VALUE"""),"RemoveManualExecution")</f>
        <v>RemoveManualExecution</v>
      </c>
      <c r="AX4" s="25" t="str">
        <f>IFERROR(__xludf.DUMMYFUNCTION("""COMPUTED_VALUE"""),"RemoveExecutionWorkingSubs")</f>
        <v>RemoveExecutionWorkingSubs</v>
      </c>
      <c r="AY4" s="25" t="str">
        <f>IFERROR(__xludf.DUMMYFUNCTION("""COMPUTED_VALUE"""),"GetExecutionReportOrders")</f>
        <v>GetExecutionReportOrders</v>
      </c>
      <c r="AZ4" s="25" t="str">
        <f>IFERROR(__xludf.DUMMYFUNCTION("""COMPUTED_VALUE"""),"GetExecutionReportDetails")</f>
        <v>GetExecutionReportDetails</v>
      </c>
      <c r="BA4" s="25" t="str">
        <f>IFERROR(__xludf.DUMMYFUNCTION("""COMPUTED_VALUE"""),"ExportExecutionReportData")</f>
        <v>ExportExecutionReportData</v>
      </c>
      <c r="BB4" s="25" t="str">
        <f>IFERROR(__xludf.DUMMYFUNCTION("""COMPUTED_VALUE"""),"VerifyExecutionReport")</f>
        <v>VerifyExecutionReport</v>
      </c>
      <c r="BC4" s="25" t="str">
        <f>IFERROR(__xludf.DUMMYFUNCTION("""COMPUTED_VALUE"""),"BlotterExecutionReportSnapshot")</f>
        <v>BlotterExecutionReportSnapshot</v>
      </c>
      <c r="BD4" s="25" t="str">
        <f>IFERROR(__xludf.DUMMYFUNCTION("""COMPUTED_VALUE"""),"MultipleTradeTransferToUser")</f>
        <v>MultipleTradeTransferToUser</v>
      </c>
      <c r="BE4" s="25" t="str">
        <f>IFERROR(__xludf.DUMMYFUNCTION("""COMPUTED_VALUE"""),"AllocateFromBlotter")</f>
        <v>AllocateFromBlotter</v>
      </c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IFERROR(__xludf.DUMMYFUNCTION("TRANSPOSE(IMPORTRANGE(VLOOKUP($E$3,IMPORTRANGE('_Settings'!$B$3,$C$3&amp;""!A4:B1000""),2,FALSE),$G$3&amp;""!A4:A1000""))"),"#REF!")</f>
        <v>#REF!</v>
      </c>
      <c r="B5" s="27"/>
      <c r="C5" s="27"/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4"/>
      <c r="B6" s="45"/>
      <c r="C6" s="39"/>
      <c r="D6" s="37">
        <v>10.0</v>
      </c>
      <c r="E6" s="65" t="s">
        <v>46</v>
      </c>
      <c r="F6" s="39"/>
      <c r="G6" s="47">
        <v>50.0</v>
      </c>
      <c r="H6" s="39" t="s">
        <v>41</v>
      </c>
      <c r="I6" s="39" t="s">
        <v>83</v>
      </c>
      <c r="J6" s="39" t="s">
        <v>21</v>
      </c>
      <c r="K6" s="39" t="s">
        <v>39</v>
      </c>
      <c r="L6" s="39" t="s">
        <v>40</v>
      </c>
      <c r="M6" s="39"/>
      <c r="N6" s="39"/>
      <c r="O6" s="39"/>
      <c r="P6" s="39"/>
      <c r="Q6" s="39"/>
      <c r="R6" s="39"/>
      <c r="S6" s="51">
        <v>0.0</v>
      </c>
      <c r="T6" s="50">
        <v>0.0</v>
      </c>
      <c r="U6" s="41"/>
      <c r="V6" s="41"/>
      <c r="W6" s="41"/>
      <c r="X6" s="50">
        <v>0.0</v>
      </c>
      <c r="Y6" s="41"/>
      <c r="Z6" s="41"/>
      <c r="AA6" s="41" t="s">
        <v>35</v>
      </c>
      <c r="AB6" s="53">
        <v>50.0</v>
      </c>
      <c r="AC6" s="41"/>
      <c r="AD6" s="50">
        <v>1.0</v>
      </c>
      <c r="AE6" s="41"/>
      <c r="AF6" s="41" t="s">
        <v>43</v>
      </c>
      <c r="AG6" s="41"/>
      <c r="AH6" s="41" t="s">
        <v>38</v>
      </c>
      <c r="AI6" s="41" t="s">
        <v>21</v>
      </c>
      <c r="AJ6" s="41" t="s">
        <v>22</v>
      </c>
      <c r="AK6" s="41" t="s">
        <v>45</v>
      </c>
      <c r="AL6" s="50">
        <v>100.0</v>
      </c>
      <c r="AM6" s="53">
        <v>50.0</v>
      </c>
      <c r="AN6" s="53">
        <v>50.0</v>
      </c>
      <c r="AO6" s="53">
        <v>50.0</v>
      </c>
      <c r="AP6" s="41"/>
      <c r="AQ6" s="41"/>
      <c r="AR6" s="41">
        <v>10.0</v>
      </c>
      <c r="AS6" s="41" t="s">
        <v>34</v>
      </c>
      <c r="AT6" s="41" t="s">
        <v>35</v>
      </c>
      <c r="AU6" s="41" t="s">
        <v>36</v>
      </c>
      <c r="AV6" s="53">
        <v>500.0</v>
      </c>
      <c r="AW6" s="53">
        <v>500.0</v>
      </c>
      <c r="AX6" s="41"/>
      <c r="AY6" s="50">
        <v>100.0</v>
      </c>
      <c r="AZ6" s="41"/>
      <c r="BA6" s="41"/>
      <c r="BB6" s="41"/>
      <c r="BC6" s="41"/>
      <c r="BD6" s="41"/>
      <c r="BE6" s="41"/>
      <c r="BF6" s="41"/>
      <c r="BG6" s="41"/>
      <c r="BH6" s="41"/>
      <c r="BI6" s="41"/>
      <c r="BJ6" s="41"/>
      <c r="BK6" s="41"/>
      <c r="BL6" s="41"/>
      <c r="BM6" s="41"/>
      <c r="BN6" s="41"/>
      <c r="BO6" s="41"/>
      <c r="BP6" s="41"/>
      <c r="BQ6" s="41"/>
      <c r="BR6" s="41"/>
      <c r="BS6" s="41"/>
      <c r="BT6" s="41"/>
      <c r="BU6" s="41"/>
      <c r="BV6" s="41"/>
      <c r="BW6" s="41"/>
      <c r="BX6" s="41"/>
      <c r="BY6" s="41"/>
      <c r="BZ6" s="41"/>
      <c r="CA6" s="41"/>
      <c r="CB6" s="41"/>
      <c r="CC6" s="41"/>
      <c r="CD6" s="41"/>
      <c r="CE6" s="41"/>
      <c r="CF6" s="41"/>
      <c r="CG6" s="41"/>
      <c r="CH6" s="41"/>
      <c r="CI6" s="41"/>
      <c r="CJ6" s="41"/>
      <c r="CK6" s="41"/>
      <c r="CL6" s="41"/>
      <c r="CM6" s="41"/>
      <c r="CN6" s="41"/>
      <c r="CO6" s="41"/>
      <c r="CP6" s="41"/>
      <c r="CQ6" s="41"/>
      <c r="CR6" s="41"/>
      <c r="CS6" s="41"/>
      <c r="CT6" s="41"/>
      <c r="CU6" s="41"/>
      <c r="CV6" s="41"/>
      <c r="CW6" s="41"/>
      <c r="CX6" s="41"/>
      <c r="CY6" s="41"/>
      <c r="CZ6" s="41"/>
      <c r="DA6" s="41"/>
      <c r="DB6" s="41"/>
      <c r="DC6" s="41"/>
      <c r="DD6" s="41"/>
      <c r="DE6" s="41"/>
      <c r="DF6" s="41"/>
      <c r="DG6" s="41"/>
      <c r="DH6" s="41"/>
      <c r="DI6" s="41"/>
      <c r="DJ6" s="41"/>
      <c r="DK6" s="41"/>
      <c r="DL6" s="41"/>
      <c r="DM6" s="41"/>
      <c r="DN6" s="41"/>
      <c r="DO6" s="41"/>
      <c r="DP6" s="41"/>
      <c r="DQ6" s="41"/>
      <c r="DR6" s="41"/>
      <c r="DS6" s="41"/>
      <c r="DT6" s="41"/>
      <c r="DU6" s="41"/>
      <c r="DV6" s="41"/>
      <c r="DW6" s="41"/>
      <c r="DX6" s="41"/>
      <c r="DY6" s="41"/>
      <c r="DZ6" s="41"/>
      <c r="EA6" s="41"/>
      <c r="EB6" s="41"/>
      <c r="EC6" s="41"/>
      <c r="ED6" s="41"/>
      <c r="EE6" s="41"/>
      <c r="EF6" s="41"/>
      <c r="EG6" s="41"/>
      <c r="EH6" s="41"/>
      <c r="EI6" s="41"/>
      <c r="EJ6" s="41"/>
      <c r="EK6" s="41"/>
      <c r="EL6" s="41"/>
      <c r="EM6" s="41"/>
      <c r="EN6" s="41"/>
      <c r="EO6" s="41"/>
      <c r="EP6" s="41"/>
      <c r="EQ6" s="41"/>
      <c r="ER6" s="41"/>
      <c r="ES6" s="41"/>
      <c r="ET6" s="41"/>
      <c r="EU6" s="41"/>
      <c r="EV6" s="41"/>
      <c r="EW6" s="41"/>
      <c r="EX6" s="41"/>
    </row>
    <row r="7" ht="15.75" customHeight="1">
      <c r="A7" s="41"/>
      <c r="B7" s="41"/>
      <c r="C7" s="41"/>
      <c r="D7" s="66">
        <v>0.0</v>
      </c>
      <c r="E7" s="41" t="s">
        <v>37</v>
      </c>
      <c r="F7" s="41"/>
      <c r="G7" s="53">
        <v>100.0</v>
      </c>
      <c r="H7" s="41" t="s">
        <v>41</v>
      </c>
      <c r="I7" s="41" t="s">
        <v>83</v>
      </c>
      <c r="J7" s="41" t="s">
        <v>26</v>
      </c>
      <c r="K7" s="41" t="s">
        <v>39</v>
      </c>
      <c r="L7" s="41" t="s">
        <v>40</v>
      </c>
      <c r="M7" s="41"/>
      <c r="N7" s="41"/>
      <c r="O7" s="41"/>
      <c r="P7" s="41"/>
      <c r="Q7" s="41"/>
      <c r="R7" s="41"/>
      <c r="S7" s="50">
        <v>0.0</v>
      </c>
      <c r="T7" s="50">
        <v>0.0</v>
      </c>
      <c r="U7" s="41"/>
      <c r="V7" s="41"/>
      <c r="W7" s="41"/>
      <c r="X7" s="50">
        <v>0.0</v>
      </c>
      <c r="Y7" s="41"/>
      <c r="Z7" s="41"/>
      <c r="AA7" s="41" t="s">
        <v>35</v>
      </c>
      <c r="AB7" s="50"/>
      <c r="AC7" s="41"/>
      <c r="AD7" s="50">
        <v>1.0</v>
      </c>
      <c r="AE7" s="41"/>
      <c r="AF7" s="41" t="s">
        <v>43</v>
      </c>
      <c r="AG7" s="41"/>
      <c r="AH7" s="41" t="s">
        <v>38</v>
      </c>
      <c r="AI7" s="41" t="s">
        <v>26</v>
      </c>
      <c r="AJ7" s="41" t="s">
        <v>22</v>
      </c>
      <c r="AK7" s="53" t="s">
        <v>33</v>
      </c>
      <c r="AL7" s="50">
        <v>100.0</v>
      </c>
      <c r="AM7" s="41"/>
      <c r="AN7" s="41"/>
      <c r="AO7" s="41"/>
      <c r="AP7" s="54"/>
      <c r="AQ7" s="50"/>
      <c r="AR7" s="53">
        <v>0.0</v>
      </c>
      <c r="AS7" s="41" t="s">
        <v>34</v>
      </c>
      <c r="AT7" s="41" t="s">
        <v>35</v>
      </c>
      <c r="AU7" s="41" t="s">
        <v>36</v>
      </c>
      <c r="AV7" s="53">
        <v>0.0</v>
      </c>
      <c r="AW7" s="53">
        <v>0.0</v>
      </c>
      <c r="AX7" s="41"/>
      <c r="AY7" s="50">
        <v>100.0</v>
      </c>
      <c r="AZ7" s="41"/>
      <c r="BA7" s="41"/>
      <c r="BB7" s="41"/>
      <c r="BC7" s="41"/>
      <c r="BD7" s="41"/>
      <c r="BE7" s="41"/>
      <c r="BF7" s="41"/>
      <c r="BG7" s="41"/>
      <c r="BH7" s="41"/>
      <c r="BI7" s="41"/>
      <c r="BJ7" s="41"/>
      <c r="BK7" s="41"/>
      <c r="BL7" s="41"/>
      <c r="BM7" s="41"/>
      <c r="BN7" s="41"/>
      <c r="BO7" s="41"/>
      <c r="BP7" s="41"/>
      <c r="BQ7" s="41"/>
      <c r="BR7" s="41"/>
      <c r="BS7" s="41"/>
      <c r="BT7" s="41"/>
      <c r="BU7" s="41"/>
      <c r="BV7" s="41"/>
      <c r="BW7" s="41"/>
      <c r="BX7" s="41"/>
      <c r="BY7" s="41"/>
      <c r="BZ7" s="41"/>
      <c r="CA7" s="41"/>
      <c r="CB7" s="41"/>
      <c r="CC7" s="41"/>
      <c r="CD7" s="41"/>
      <c r="CE7" s="41"/>
      <c r="CF7" s="41"/>
      <c r="CG7" s="41"/>
      <c r="CH7" s="41"/>
      <c r="CI7" s="41"/>
      <c r="CJ7" s="41"/>
      <c r="CK7" s="41"/>
      <c r="CL7" s="41"/>
      <c r="CM7" s="41"/>
      <c r="CN7" s="41"/>
      <c r="CO7" s="41"/>
      <c r="CP7" s="41"/>
      <c r="CQ7" s="41"/>
      <c r="CR7" s="41"/>
      <c r="CS7" s="41"/>
      <c r="CT7" s="41"/>
      <c r="CU7" s="41"/>
      <c r="CV7" s="41"/>
      <c r="CW7" s="41"/>
      <c r="CX7" s="41"/>
      <c r="CY7" s="41"/>
      <c r="CZ7" s="41"/>
      <c r="DA7" s="41"/>
      <c r="DB7" s="41"/>
      <c r="DC7" s="41"/>
      <c r="DD7" s="41"/>
      <c r="DE7" s="41"/>
      <c r="DF7" s="41"/>
      <c r="DG7" s="41"/>
      <c r="DH7" s="41"/>
      <c r="DI7" s="41"/>
      <c r="DJ7" s="41"/>
      <c r="DK7" s="41"/>
      <c r="DL7" s="41"/>
      <c r="DM7" s="41"/>
      <c r="DN7" s="41"/>
      <c r="DO7" s="41"/>
      <c r="DP7" s="41"/>
      <c r="DQ7" s="41"/>
      <c r="DR7" s="41"/>
      <c r="DS7" s="41"/>
      <c r="DT7" s="41"/>
      <c r="DU7" s="41"/>
      <c r="DV7" s="41"/>
      <c r="DW7" s="41"/>
      <c r="DX7" s="41"/>
      <c r="DY7" s="41"/>
      <c r="DZ7" s="41"/>
      <c r="EA7" s="41"/>
      <c r="EB7" s="41"/>
      <c r="EC7" s="41"/>
      <c r="ED7" s="41"/>
      <c r="EE7" s="41"/>
      <c r="EF7" s="41"/>
      <c r="EG7" s="41"/>
      <c r="EH7" s="41"/>
      <c r="EI7" s="41"/>
      <c r="EJ7" s="41"/>
      <c r="EK7" s="41"/>
      <c r="EL7" s="41"/>
      <c r="EM7" s="41"/>
      <c r="EN7" s="41"/>
      <c r="EO7" s="41"/>
      <c r="EP7" s="41"/>
      <c r="EQ7" s="41"/>
      <c r="ER7" s="41"/>
      <c r="ES7" s="41"/>
      <c r="ET7" s="41"/>
      <c r="EU7" s="41"/>
      <c r="EV7" s="41"/>
      <c r="EW7" s="41"/>
      <c r="EX7" s="41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68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84</v>
      </c>
      <c r="D3" s="5" t="s">
        <v>9</v>
      </c>
      <c r="E3" s="22" t="s">
        <v>85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</row>
    <row r="4" ht="15.75" customHeight="1">
      <c r="A4" s="24"/>
      <c r="B4" s="24" t="str">
        <f>IFERROR(__xludf.DUMMYFUNCTION("IF(C3="""","""",Transpose(IMPORTRANGE('_Settings'!$B$3,C3&amp;""!A4:A1000"")))"),"CheckDashboardPM")</f>
        <v>CheckDashboardPM</v>
      </c>
      <c r="C4" s="24" t="str">
        <f>IFERROR(__xludf.DUMMYFUNCTION("""COMPUTED_VALUE"""),"CheckPortfolioManagement")</f>
        <v>CheckPortfolioManagement</v>
      </c>
      <c r="D4" s="24" t="str">
        <f>IFERROR(__xludf.DUMMYFUNCTION("""COMPUTED_VALUE"""),"OpenPSTFromPM")</f>
        <v>OpenPSTFromPM</v>
      </c>
      <c r="E4" s="24" t="str">
        <f>IFERROR(__xludf.DUMMYFUNCTION("""COMPUTED_VALUE"""),"ClosePM")</f>
        <v>ClosePM</v>
      </c>
      <c r="F4" s="24" t="str">
        <f>IFERROR(__xludf.DUMMYFUNCTION("""COMPUTED_VALUE"""),"FilterPM")</f>
        <v>FilterPM</v>
      </c>
      <c r="G4" s="24" t="str">
        <f>IFERROR(__xludf.DUMMYFUNCTION("""COMPUTED_VALUE"""),"GroupRowPM")</f>
        <v>GroupRowPM</v>
      </c>
      <c r="H4" s="24" t="str">
        <f>IFERROR(__xludf.DUMMYFUNCTION("""COMPUTED_VALUE"""),"CheckDashboardWithPM")</f>
        <v>CheckDashboardWithPM</v>
      </c>
      <c r="I4" s="24" t="str">
        <f>IFERROR(__xludf.DUMMYFUNCTION("""COMPUTED_VALUE"""),"RemoveFilterPM")</f>
        <v>RemoveFilterPM</v>
      </c>
      <c r="J4" s="24" t="str">
        <f>IFERROR(__xludf.DUMMYFUNCTION("""COMPUTED_VALUE"""),"CheckSummaryRowsPM")</f>
        <v>CheckSummaryRowsPM</v>
      </c>
      <c r="K4" s="24" t="str">
        <f>IFERROR(__xludf.DUMMYFUNCTION("""COMPUTED_VALUE"""),"OpenPTTFromPM")</f>
        <v>OpenPTTFromPM</v>
      </c>
      <c r="L4" s="24" t="str">
        <f>IFERROR(__xludf.DUMMYFUNCTION("""COMPUTED_VALUE"""),"OpenClosingFromPM")</f>
        <v>OpenClosingFromPM</v>
      </c>
      <c r="M4" s="24" t="str">
        <f>IFERROR(__xludf.DUMMYFUNCTION("""COMPUTED_VALUE"""),"OpenCorporateActionFromPM")</f>
        <v>OpenCorporateActionFromPM</v>
      </c>
      <c r="N4" s="24" t="str">
        <f>IFERROR(__xludf.DUMMYFUNCTION("""COMPUTED_VALUE"""),"OpenDailyValuationFromPM")</f>
        <v>OpenDailyValuationFromPM</v>
      </c>
      <c r="O4" s="24" t="str">
        <f>IFERROR(__xludf.DUMMYFUNCTION("""COMPUTED_VALUE"""),"ClosePositionFromPM")</f>
        <v>ClosePositionFromPM</v>
      </c>
      <c r="P4" s="25" t="str">
        <f>IFERROR(__xludf.DUMMYFUNCTION("""COMPUTED_VALUE"""),"ShowSummaryToolFromPM")</f>
        <v>ShowSummaryToolFromPM</v>
      </c>
      <c r="Q4" s="25" t="str">
        <f>IFERROR(__xludf.DUMMYFUNCTION("""COMPUTED_VALUE"""),"HideSummaryToolFromPM")</f>
        <v>HideSummaryToolFromPM</v>
      </c>
      <c r="R4" s="25" t="str">
        <f>IFERROR(__xludf.DUMMYFUNCTION("""COMPUTED_VALUE"""),"CloseAccountPositionFromPM")</f>
        <v>CloseAccountPositionFromPM</v>
      </c>
      <c r="S4" s="25" t="str">
        <f>IFERROR(__xludf.DUMMYFUNCTION("""COMPUTED_VALUE"""),"CloseSelectedTaxlotsFromPM")</f>
        <v>CloseSelectedTaxlotsFromPM</v>
      </c>
      <c r="T4" s="25" t="str">
        <f>IFERROR(__xludf.DUMMYFUNCTION("""COMPUTED_VALUE"""),"ExpandCollapsePM")</f>
        <v>ExpandCollapsePM</v>
      </c>
      <c r="U4" s="25" t="str">
        <f>IFERROR(__xludf.DUMMYFUNCTION("""COMPUTED_VALUE"""),"AddCustomViewPM")</f>
        <v>AddCustomViewPM</v>
      </c>
      <c r="V4" s="25" t="str">
        <f>IFERROR(__xludf.DUMMYFUNCTION("""COMPUTED_VALUE"""),"AddCustomViewRightClickPM")</f>
        <v>AddCustomViewRightClickPM</v>
      </c>
      <c r="W4" s="25" t="str">
        <f>IFERROR(__xludf.DUMMYFUNCTION("""COMPUTED_VALUE"""),"RenameCustomViewPM")</f>
        <v>RenameCustomViewPM</v>
      </c>
      <c r="X4" s="25" t="str">
        <f>IFERROR(__xludf.DUMMYFUNCTION("""COMPUTED_VALUE"""),"DeleteCustomViewPM")</f>
        <v>DeleteCustomViewPM</v>
      </c>
      <c r="Y4" s="25" t="str">
        <f>IFERROR(__xludf.DUMMYFUNCTION("""COMPUTED_VALUE"""),"OpenCreateTransactionFromPM")</f>
        <v>OpenCreateTransactionFromPM</v>
      </c>
      <c r="Z4" s="25" t="str">
        <f>IFERROR(__xludf.DUMMYFUNCTION("""COMPUTED_VALUE"""),"RemoveGroupingFromPM")</f>
        <v>RemoveGroupingFromPM</v>
      </c>
      <c r="AA4" s="25" t="str">
        <f>IFERROR(__xludf.DUMMYFUNCTION("""COMPUTED_VALUE"""),"IncreasePositionFromPM")</f>
        <v>IncreasePositionFromPM</v>
      </c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</row>
    <row r="5" ht="15.75" customHeight="1">
      <c r="A5" s="26" t="str">
        <f>IFERROR(__xludf.DUMMYFUNCTION("TRANSPOSE(IMPORTRANGE(VLOOKUP($E$3,IMPORTRANGE('_Settings'!$B$3,$C$3&amp;""!A4:B1000""),2,FALSE),$G$3&amp;""!A4:A1000""))"),"#REF!")</f>
        <v>#REF!</v>
      </c>
      <c r="B5" s="27"/>
      <c r="C5" s="27"/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  <c r="EY5" s="29"/>
      <c r="EZ5" s="29"/>
      <c r="FA5" s="29"/>
      <c r="FB5" s="29"/>
      <c r="FC5" s="29"/>
      <c r="FD5" s="29"/>
      <c r="FE5" s="29"/>
      <c r="FF5" s="29"/>
      <c r="FG5" s="29"/>
      <c r="FH5" s="29"/>
      <c r="FI5" s="29"/>
      <c r="FJ5" s="29"/>
      <c r="FK5" s="29"/>
      <c r="FL5" s="29"/>
    </row>
    <row r="6" ht="15.75" customHeight="1">
      <c r="A6" s="11"/>
      <c r="B6" s="11"/>
      <c r="C6" s="67" t="s">
        <v>21</v>
      </c>
      <c r="D6" s="68">
        <v>25.0</v>
      </c>
      <c r="E6" s="67" t="s">
        <v>58</v>
      </c>
      <c r="F6" s="67" t="s">
        <v>63</v>
      </c>
      <c r="G6" s="68">
        <v>10.0</v>
      </c>
      <c r="H6" s="67" t="s">
        <v>86</v>
      </c>
      <c r="I6" s="8"/>
      <c r="J6" s="8"/>
      <c r="K6" s="68">
        <v>0.0</v>
      </c>
      <c r="L6" s="8"/>
      <c r="M6" s="8"/>
      <c r="N6" s="68">
        <v>-250.0</v>
      </c>
      <c r="O6" s="67" t="s">
        <v>64</v>
      </c>
      <c r="P6" s="67" t="s">
        <v>61</v>
      </c>
      <c r="Q6" s="68">
        <v>-250.0</v>
      </c>
      <c r="R6" s="67" t="s">
        <v>34</v>
      </c>
      <c r="S6" s="67" t="s">
        <v>80</v>
      </c>
      <c r="T6" s="67" t="s">
        <v>38</v>
      </c>
      <c r="U6" s="67" t="s">
        <v>39</v>
      </c>
      <c r="V6" s="67" t="s">
        <v>41</v>
      </c>
      <c r="W6" s="67" t="s">
        <v>59</v>
      </c>
      <c r="Y6" s="68">
        <v>1.0</v>
      </c>
      <c r="AA6" s="68"/>
      <c r="AB6" s="9">
        <v>0.0</v>
      </c>
      <c r="AC6" s="68">
        <v>0.0</v>
      </c>
      <c r="AD6" s="68">
        <v>0.0</v>
      </c>
      <c r="AE6" s="68">
        <v>0.0</v>
      </c>
      <c r="AF6" s="68">
        <v>25.0</v>
      </c>
      <c r="AG6" s="68">
        <v>0.0</v>
      </c>
      <c r="AH6" s="68">
        <v>0.0</v>
      </c>
      <c r="AI6" s="68">
        <v>0.0</v>
      </c>
      <c r="AJ6" s="68">
        <v>0.0</v>
      </c>
      <c r="AK6" s="68">
        <v>-250.0</v>
      </c>
      <c r="AL6" s="68">
        <v>1.0</v>
      </c>
      <c r="AM6" s="68">
        <v>1.0</v>
      </c>
      <c r="AN6" s="67" t="s">
        <v>22</v>
      </c>
      <c r="AP6" s="67" t="s">
        <v>86</v>
      </c>
      <c r="AQ6" s="67" t="s">
        <v>21</v>
      </c>
      <c r="AR6" s="68">
        <v>0.0</v>
      </c>
      <c r="AS6" s="68">
        <v>1.0</v>
      </c>
      <c r="AT6" s="67" t="s">
        <v>87</v>
      </c>
      <c r="AU6" s="67" t="s">
        <v>88</v>
      </c>
      <c r="AV6" s="68">
        <v>1.0</v>
      </c>
      <c r="AW6" s="68">
        <v>-250.0</v>
      </c>
      <c r="AX6" s="68">
        <v>0.0</v>
      </c>
      <c r="AY6" s="68">
        <v>0.0</v>
      </c>
      <c r="AZ6" s="68">
        <v>0.0</v>
      </c>
      <c r="BA6" s="68">
        <v>-100.0</v>
      </c>
      <c r="BC6" s="68">
        <v>1.0</v>
      </c>
      <c r="BD6" s="68">
        <v>-250.0</v>
      </c>
      <c r="BE6" s="67" t="s">
        <v>38</v>
      </c>
      <c r="BF6" s="67" t="s">
        <v>62</v>
      </c>
      <c r="BG6" s="67" t="s">
        <v>60</v>
      </c>
      <c r="BH6" s="67" t="s">
        <v>61</v>
      </c>
      <c r="BI6" s="68"/>
      <c r="BJ6" s="68"/>
      <c r="BK6" s="68">
        <v>0.0</v>
      </c>
      <c r="BL6" s="68">
        <v>0.0</v>
      </c>
      <c r="BM6" s="68">
        <v>0.0</v>
      </c>
      <c r="BO6" s="68">
        <v>-250.0</v>
      </c>
      <c r="BP6" s="68">
        <v>0.0</v>
      </c>
      <c r="BQ6" s="67" t="s">
        <v>83</v>
      </c>
      <c r="BR6" s="67" t="s">
        <v>34</v>
      </c>
      <c r="BS6" s="68">
        <v>0.0</v>
      </c>
      <c r="BT6" s="68">
        <v>0.0</v>
      </c>
      <c r="BU6" s="67" t="s">
        <v>38</v>
      </c>
      <c r="BW6" s="68">
        <v>0.0</v>
      </c>
      <c r="BX6" s="68">
        <v>0.0</v>
      </c>
      <c r="BY6" s="68">
        <v>0.0</v>
      </c>
      <c r="BZ6" s="68">
        <v>0.0</v>
      </c>
      <c r="CA6" s="68">
        <v>0.0</v>
      </c>
      <c r="CB6" s="68"/>
      <c r="CC6" s="68">
        <v>0.0</v>
      </c>
      <c r="CD6" s="68">
        <v>-250.0</v>
      </c>
      <c r="CE6" s="68">
        <v>0.0</v>
      </c>
      <c r="CF6" s="68">
        <v>0.0</v>
      </c>
      <c r="CG6" s="68">
        <v>-250.0</v>
      </c>
      <c r="CH6" s="68">
        <v>-100.0</v>
      </c>
      <c r="CI6" s="68">
        <v>0.0</v>
      </c>
      <c r="CJ6" s="68">
        <v>0.0</v>
      </c>
      <c r="CK6" s="67" t="b">
        <v>0</v>
      </c>
      <c r="CN6" s="67" t="s">
        <v>21</v>
      </c>
      <c r="CO6" s="67" t="s">
        <v>21</v>
      </c>
      <c r="CP6" s="67" t="s">
        <v>46</v>
      </c>
      <c r="CS6" s="68">
        <v>10.0</v>
      </c>
      <c r="CY6" s="67" t="s">
        <v>89</v>
      </c>
      <c r="CZ6" s="67" t="s">
        <v>90</v>
      </c>
      <c r="DA6" s="68">
        <v>0.0</v>
      </c>
      <c r="DB6" s="68">
        <v>0.0</v>
      </c>
      <c r="DC6" s="68"/>
      <c r="DD6" s="68">
        <v>25.0</v>
      </c>
      <c r="DE6" s="68">
        <v>0.0</v>
      </c>
      <c r="DF6" s="68">
        <v>0.0</v>
      </c>
      <c r="DG6" s="68">
        <v>0.0</v>
      </c>
      <c r="DH6" s="67" t="s">
        <v>61</v>
      </c>
      <c r="DI6" s="68">
        <v>0.0</v>
      </c>
      <c r="DJ6" s="67" t="s">
        <v>22</v>
      </c>
      <c r="DK6" s="68">
        <v>0.0</v>
      </c>
      <c r="DL6" s="68">
        <v>0.0</v>
      </c>
      <c r="DM6" s="68">
        <v>1.0</v>
      </c>
      <c r="DN6" s="68">
        <v>0.0</v>
      </c>
      <c r="DP6" s="67" t="s">
        <v>86</v>
      </c>
      <c r="DQ6" s="67" t="s">
        <v>66</v>
      </c>
      <c r="DR6" s="67" t="s">
        <v>65</v>
      </c>
      <c r="DS6" s="67" t="s">
        <v>66</v>
      </c>
      <c r="DT6" s="67" t="s">
        <v>66</v>
      </c>
      <c r="DU6" s="67" t="s">
        <v>67</v>
      </c>
      <c r="DV6" s="67" t="s">
        <v>66</v>
      </c>
      <c r="DW6" s="67" t="s">
        <v>66</v>
      </c>
      <c r="DX6" s="67" t="s">
        <v>66</v>
      </c>
      <c r="DY6" s="67" t="s">
        <v>66</v>
      </c>
      <c r="DZ6" s="67" t="s">
        <v>64</v>
      </c>
      <c r="EA6" s="67" t="s">
        <v>67</v>
      </c>
      <c r="EB6" s="67" t="s">
        <v>66</v>
      </c>
      <c r="EC6" s="67" t="s">
        <v>66</v>
      </c>
      <c r="ED6" s="67" t="s">
        <v>59</v>
      </c>
      <c r="EE6" s="67" t="s">
        <v>25</v>
      </c>
      <c r="EF6" s="68">
        <v>0.0</v>
      </c>
      <c r="EG6" s="68">
        <v>0.0</v>
      </c>
      <c r="EH6" s="68">
        <v>0.0</v>
      </c>
      <c r="EI6" s="68">
        <v>0.0</v>
      </c>
      <c r="EJ6" s="68">
        <v>0.0</v>
      </c>
      <c r="EK6" s="68">
        <v>0.0</v>
      </c>
      <c r="EL6" s="67" t="s">
        <v>86</v>
      </c>
      <c r="EM6" s="68">
        <v>0.0</v>
      </c>
      <c r="EN6" s="68">
        <v>0.0</v>
      </c>
      <c r="EO6" s="68">
        <v>0.0</v>
      </c>
      <c r="EP6" s="68">
        <v>0.0</v>
      </c>
      <c r="EQ6" s="68">
        <v>0.0</v>
      </c>
      <c r="ER6" s="68">
        <v>0.0</v>
      </c>
      <c r="ES6" s="68">
        <v>-500.0</v>
      </c>
      <c r="ET6" s="68">
        <v>0.0</v>
      </c>
      <c r="EU6" s="68">
        <v>0.0</v>
      </c>
      <c r="EV6" s="67" t="s">
        <v>86</v>
      </c>
      <c r="EW6" s="68">
        <v>-250.0</v>
      </c>
      <c r="EX6" s="67" t="b">
        <v>0</v>
      </c>
    </row>
    <row r="7" ht="15.75" customHeight="1">
      <c r="A7" s="8"/>
      <c r="B7" s="8"/>
      <c r="C7" s="67" t="s">
        <v>21</v>
      </c>
      <c r="D7" s="68">
        <v>25.0</v>
      </c>
      <c r="E7" s="67" t="s">
        <v>68</v>
      </c>
      <c r="F7" s="67" t="s">
        <v>69</v>
      </c>
      <c r="G7" s="68">
        <v>10.0</v>
      </c>
      <c r="H7" s="67" t="s">
        <v>86</v>
      </c>
      <c r="I7" s="8"/>
      <c r="J7" s="8"/>
      <c r="K7" s="68">
        <v>0.0</v>
      </c>
      <c r="L7" s="8"/>
      <c r="M7" s="8"/>
      <c r="N7" s="68">
        <v>-250.0</v>
      </c>
      <c r="O7" s="67" t="s">
        <v>64</v>
      </c>
      <c r="P7" s="67" t="s">
        <v>61</v>
      </c>
      <c r="Q7" s="68">
        <v>-250.0</v>
      </c>
      <c r="R7" s="67" t="s">
        <v>91</v>
      </c>
      <c r="S7" s="67" t="s">
        <v>80</v>
      </c>
      <c r="T7" s="67" t="s">
        <v>38</v>
      </c>
      <c r="U7" s="67" t="s">
        <v>39</v>
      </c>
      <c r="V7" s="67" t="s">
        <v>41</v>
      </c>
      <c r="W7" s="67" t="s">
        <v>59</v>
      </c>
      <c r="Y7" s="68">
        <v>1.0</v>
      </c>
      <c r="AA7" s="68"/>
      <c r="AB7" s="9">
        <v>0.0</v>
      </c>
      <c r="AC7" s="68">
        <v>0.0</v>
      </c>
      <c r="AD7" s="68">
        <v>0.0</v>
      </c>
      <c r="AE7" s="68">
        <v>0.0</v>
      </c>
      <c r="AF7" s="68">
        <v>25.0</v>
      </c>
      <c r="AG7" s="68">
        <v>0.0</v>
      </c>
      <c r="AH7" s="68">
        <v>0.0</v>
      </c>
      <c r="AI7" s="68">
        <v>0.0</v>
      </c>
      <c r="AJ7" s="68">
        <v>0.0</v>
      </c>
      <c r="AK7" s="68">
        <v>-250.0</v>
      </c>
      <c r="AL7" s="68">
        <v>1.0</v>
      </c>
      <c r="AM7" s="68">
        <v>1.0</v>
      </c>
      <c r="AN7" s="67" t="s">
        <v>22</v>
      </c>
      <c r="AP7" s="67" t="s">
        <v>86</v>
      </c>
      <c r="AQ7" s="67" t="s">
        <v>21</v>
      </c>
      <c r="AR7" s="68">
        <v>0.0</v>
      </c>
      <c r="AS7" s="68">
        <v>1.0</v>
      </c>
      <c r="AT7" s="67" t="s">
        <v>87</v>
      </c>
      <c r="AU7" s="67" t="s">
        <v>88</v>
      </c>
      <c r="AV7" s="68">
        <v>1.0</v>
      </c>
      <c r="AW7" s="68">
        <v>-250.0</v>
      </c>
      <c r="AX7" s="68">
        <v>0.0</v>
      </c>
      <c r="AY7" s="68">
        <v>0.0</v>
      </c>
      <c r="AZ7" s="68">
        <v>0.0</v>
      </c>
      <c r="BA7" s="68">
        <v>-100.0</v>
      </c>
      <c r="BC7" s="68">
        <v>1.0</v>
      </c>
      <c r="BD7" s="68">
        <v>-250.0</v>
      </c>
      <c r="BE7" s="67" t="s">
        <v>38</v>
      </c>
      <c r="BF7" s="67" t="s">
        <v>62</v>
      </c>
      <c r="BG7" s="67" t="s">
        <v>60</v>
      </c>
      <c r="BH7" s="67" t="s">
        <v>61</v>
      </c>
      <c r="BI7" s="68"/>
      <c r="BJ7" s="68"/>
      <c r="BK7" s="68">
        <v>0.0</v>
      </c>
      <c r="BL7" s="68">
        <v>0.0</v>
      </c>
      <c r="BM7" s="68">
        <v>0.0</v>
      </c>
      <c r="BO7" s="68">
        <v>-250.0</v>
      </c>
      <c r="BP7" s="68">
        <v>0.0</v>
      </c>
      <c r="BQ7" s="67" t="s">
        <v>83</v>
      </c>
      <c r="BR7" s="67" t="s">
        <v>34</v>
      </c>
      <c r="BS7" s="68">
        <v>0.0</v>
      </c>
      <c r="BT7" s="68">
        <v>0.0</v>
      </c>
      <c r="BU7" s="67" t="s">
        <v>38</v>
      </c>
      <c r="BW7" s="68">
        <v>0.0</v>
      </c>
      <c r="BX7" s="68">
        <v>0.0</v>
      </c>
      <c r="BY7" s="68">
        <v>0.0</v>
      </c>
      <c r="BZ7" s="68">
        <v>0.0</v>
      </c>
      <c r="CA7" s="68">
        <v>0.0</v>
      </c>
      <c r="CB7" s="68"/>
      <c r="CC7" s="68">
        <v>0.0</v>
      </c>
      <c r="CD7" s="68">
        <v>-250.0</v>
      </c>
      <c r="CE7" s="68">
        <v>0.0</v>
      </c>
      <c r="CF7" s="68">
        <v>0.0</v>
      </c>
      <c r="CG7" s="68">
        <v>-250.0</v>
      </c>
      <c r="CH7" s="68">
        <v>-100.0</v>
      </c>
      <c r="CI7" s="68">
        <v>0.0</v>
      </c>
      <c r="CJ7" s="68">
        <v>0.0</v>
      </c>
      <c r="CK7" s="67" t="b">
        <v>0</v>
      </c>
      <c r="CN7" s="67" t="s">
        <v>21</v>
      </c>
      <c r="CO7" s="67" t="s">
        <v>21</v>
      </c>
      <c r="CP7" s="67" t="s">
        <v>46</v>
      </c>
      <c r="CS7" s="68">
        <v>10.0</v>
      </c>
      <c r="CY7" s="67" t="s">
        <v>89</v>
      </c>
      <c r="CZ7" s="67" t="s">
        <v>90</v>
      </c>
      <c r="DA7" s="68">
        <v>0.0</v>
      </c>
      <c r="DB7" s="68">
        <v>0.0</v>
      </c>
      <c r="DC7" s="68"/>
      <c r="DD7" s="68">
        <v>25.0</v>
      </c>
      <c r="DE7" s="68">
        <v>0.0</v>
      </c>
      <c r="DF7" s="68">
        <v>0.0</v>
      </c>
      <c r="DG7" s="68">
        <v>0.0</v>
      </c>
      <c r="DH7" s="67" t="s">
        <v>61</v>
      </c>
      <c r="DI7" s="68">
        <v>0.0</v>
      </c>
      <c r="DJ7" s="67" t="s">
        <v>22</v>
      </c>
      <c r="DK7" s="68">
        <v>0.0</v>
      </c>
      <c r="DL7" s="68">
        <v>0.0</v>
      </c>
      <c r="DM7" s="68">
        <v>1.0</v>
      </c>
      <c r="DN7" s="68">
        <v>0.0</v>
      </c>
      <c r="DP7" s="67" t="s">
        <v>86</v>
      </c>
      <c r="DQ7" s="67" t="s">
        <v>66</v>
      </c>
      <c r="DR7" s="67" t="s">
        <v>65</v>
      </c>
      <c r="DS7" s="67" t="s">
        <v>66</v>
      </c>
      <c r="DT7" s="67" t="s">
        <v>66</v>
      </c>
      <c r="DU7" s="67" t="s">
        <v>67</v>
      </c>
      <c r="DV7" s="67" t="s">
        <v>66</v>
      </c>
      <c r="DW7" s="67" t="s">
        <v>66</v>
      </c>
      <c r="DX7" s="67" t="s">
        <v>66</v>
      </c>
      <c r="DY7" s="67" t="s">
        <v>66</v>
      </c>
      <c r="DZ7" s="67" t="s">
        <v>64</v>
      </c>
      <c r="EA7" s="67" t="s">
        <v>67</v>
      </c>
      <c r="EB7" s="67" t="s">
        <v>66</v>
      </c>
      <c r="EC7" s="67" t="s">
        <v>66</v>
      </c>
      <c r="ED7" s="67" t="s">
        <v>59</v>
      </c>
      <c r="EE7" s="67" t="s">
        <v>25</v>
      </c>
      <c r="EF7" s="68">
        <v>0.0</v>
      </c>
      <c r="EG7" s="68">
        <v>0.0</v>
      </c>
      <c r="EH7" s="68">
        <v>0.0</v>
      </c>
      <c r="EI7" s="68">
        <v>0.0</v>
      </c>
      <c r="EJ7" s="68">
        <v>0.0</v>
      </c>
      <c r="EK7" s="68">
        <v>0.0</v>
      </c>
      <c r="EL7" s="67" t="s">
        <v>86</v>
      </c>
      <c r="EM7" s="68">
        <v>0.0</v>
      </c>
      <c r="EN7" s="68">
        <v>0.0</v>
      </c>
      <c r="EO7" s="68">
        <v>0.0</v>
      </c>
      <c r="EP7" s="68">
        <v>0.0</v>
      </c>
      <c r="EQ7" s="68">
        <v>0.0</v>
      </c>
      <c r="ER7" s="68">
        <v>0.0</v>
      </c>
      <c r="ES7" s="68">
        <v>-500.0</v>
      </c>
      <c r="ET7" s="68">
        <v>0.0</v>
      </c>
      <c r="EU7" s="68">
        <v>0.0</v>
      </c>
      <c r="EV7" s="67" t="s">
        <v>86</v>
      </c>
      <c r="EW7" s="68">
        <v>-250.0</v>
      </c>
      <c r="EX7" s="67" t="b">
        <v>0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CheckPortfolioManagement!$4:$4</formula1>
    </dataValidation>
  </dataValidations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IFERROR(__xludf.DUMMYFUNCTION("IF(C3="""","""",Transpose(IMPORTRANGE('_Settings'!$B$3,C3&amp;""!A4:A1000"")))"),"SetTTUIPreferences")</f>
        <v>SetTTUIPreferences</v>
      </c>
      <c r="C4" s="24" t="str">
        <f>IFERROR(__xludf.DUMMYFUNCTION("""COMPUTED_VALUE"""),"TTPermissionLevel")</f>
        <v>TTPermissionLevel</v>
      </c>
      <c r="D4" s="24" t="str">
        <f>IFERROR(__xludf.DUMMYFUNCTION("""COMPUTED_VALUE"""),"SetCheckSide")</f>
        <v>SetCheckSide</v>
      </c>
      <c r="E4" s="24" t="str">
        <f>IFERROR(__xludf.DUMMYFUNCTION("""COMPUTED_VALUE"""),"SetRollover")</f>
        <v>SetRollover</v>
      </c>
      <c r="F4" s="24" t="str">
        <f>IFERROR(__xludf.DUMMYFUNCTION("""COMPUTED_VALUE"""),"SetActive")</f>
        <v>SetActive</v>
      </c>
      <c r="G4" s="24" t="str">
        <f>IFERROR(__xludf.DUMMYFUNCTION("""COMPUTED_VALUE"""),"SetThirdPartyFormat")</f>
        <v>SetThirdPartyFormat</v>
      </c>
      <c r="H4" s="24" t="str">
        <f>IFERROR(__xludf.DUMMYFUNCTION("""COMPUTED_VALUE"""),"SetTradingComplianceRules")</f>
        <v>SetTradingComplianceRules</v>
      </c>
      <c r="I4" s="24" t="str">
        <f>IFERROR(__xludf.DUMMYFUNCTION("""COMPUTED_VALUE"""),"EnableBreakdownRealizedPNL")</f>
        <v>EnableBreakdownRealizedPNL</v>
      </c>
      <c r="J4" s="24" t="str">
        <f>IFERROR(__xludf.DUMMYFUNCTION("""COMPUTED_VALUE"""),"SetTTGeneralPreferences")</f>
        <v>SetTTGeneralPreferences</v>
      </c>
      <c r="K4" s="24" t="str">
        <f>IFERROR(__xludf.DUMMYFUNCTION("""COMPUTED_VALUE"""),"SetDollarAmountPermission")</f>
        <v>SetDollarAmountPermission</v>
      </c>
      <c r="L4" s="24" t="str">
        <f>IFERROR(__xludf.DUMMYFUNCTION("""COMPUTED_VALUE"""),"EnableDiableModule")</f>
        <v>EnableDiableModule</v>
      </c>
      <c r="M4" s="24" t="str">
        <f>IFERROR(__xludf.DUMMYFUNCTION("""COMPUTED_VALUE"""),"EnableDisableModule")</f>
        <v>EnableDisableModule</v>
      </c>
      <c r="N4" s="24" t="str">
        <f>IFERROR(__xludf.DUMMYFUNCTION("""COMPUTED_VALUE"""),"IsImportOverrideOnShortLocate")</f>
        <v>IsImportOverrideOnShortLocate</v>
      </c>
      <c r="O4" s="24" t="str">
        <f>IFERROR(__xludf.DUMMYFUNCTION("""COMPUTED_VALUE"""),"SetShortLocateStructures")</f>
        <v>SetShortLocateStructures</v>
      </c>
      <c r="P4" s="25" t="str">
        <f>IFERROR(__xludf.DUMMYFUNCTION("""COMPUTED_VALUE"""),"SetComplianceAlert")</f>
        <v>SetComplianceAlert</v>
      </c>
      <c r="Q4" s="25" t="str">
        <f>IFERROR(__xludf.DUMMYFUNCTION("""COMPUTED_VALUE"""),"UpdateExpirationDate")</f>
        <v>UpdateExpirationDate</v>
      </c>
      <c r="R4" s="25" t="str">
        <f>IFERROR(__xludf.DUMMYFUNCTION("""COMPUTED_VALUE"""),"UpdateSecFee")</f>
        <v>UpdateSecFee</v>
      </c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IFERROR(__xludf.DUMMYFUNCTION("""COMPUTED_VALUE"""),"isEnableModule")</f>
        <v>isEnableModule</v>
      </c>
      <c r="C5" s="27" t="str">
        <f>IFERROR(__xludf.DUMMYFUNCTION("""COMPUTED_VALUE"""),"moduleName")</f>
        <v>moduleName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30" t="b">
        <v>0</v>
      </c>
      <c r="C6" s="31" t="s">
        <v>16</v>
      </c>
      <c r="D6" s="11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3" t="b">
        <v>0</v>
      </c>
      <c r="C7" s="31" t="s">
        <v>17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33" t="b">
        <v>0</v>
      </c>
      <c r="C8" s="31" t="s">
        <v>18</v>
      </c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EnableDisableModule1!$4:$4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27</v>
      </c>
      <c r="D3" s="5" t="s">
        <v>9</v>
      </c>
      <c r="E3" s="22" t="s">
        <v>49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22</v>
      </c>
      <c r="C6" s="11" t="s">
        <v>21</v>
      </c>
      <c r="D6" s="11"/>
      <c r="E6" s="32"/>
      <c r="F6" s="8"/>
      <c r="G6" s="11">
        <v>100.0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RejectTrade1!$4:$4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31</v>
      </c>
      <c r="D3" s="5" t="s">
        <v>9</v>
      </c>
      <c r="E3" s="22" t="s">
        <v>92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IFERROR(__xludf.DUMMYFUNCTION("""COMPUTED_VALUE"""),"OpenBlotter")</f>
        <v>OpenBlotter</v>
      </c>
      <c r="AW4" s="25" t="str">
        <f>IFERROR(__xludf.DUMMYFUNCTION("""COMPUTED_VALUE"""),"RemoveManualExecution")</f>
        <v>RemoveManualExecution</v>
      </c>
      <c r="AX4" s="25" t="str">
        <f>IFERROR(__xludf.DUMMYFUNCTION("""COMPUTED_VALUE"""),"RemoveExecutionWorkingSubs")</f>
        <v>RemoveExecutionWorkingSubs</v>
      </c>
      <c r="AY4" s="25" t="str">
        <f>IFERROR(__xludf.DUMMYFUNCTION("""COMPUTED_VALUE"""),"GetExecutionReportOrders")</f>
        <v>GetExecutionReportOrders</v>
      </c>
      <c r="AZ4" s="25" t="str">
        <f>IFERROR(__xludf.DUMMYFUNCTION("""COMPUTED_VALUE"""),"GetExecutionReportDetails")</f>
        <v>GetExecutionReportDetails</v>
      </c>
      <c r="BA4" s="25" t="str">
        <f>IFERROR(__xludf.DUMMYFUNCTION("""COMPUTED_VALUE"""),"ExportExecutionReportData")</f>
        <v>ExportExecutionReportData</v>
      </c>
      <c r="BB4" s="25" t="str">
        <f>IFERROR(__xludf.DUMMYFUNCTION("""COMPUTED_VALUE"""),"VerifyExecutionReport")</f>
        <v>VerifyExecutionReport</v>
      </c>
      <c r="BC4" s="25" t="str">
        <f>IFERROR(__xludf.DUMMYFUNCTION("""COMPUTED_VALUE"""),"BlotterExecutionReportSnapshot")</f>
        <v>BlotterExecutionReportSnapshot</v>
      </c>
      <c r="BD4" s="25" t="str">
        <f>IFERROR(__xludf.DUMMYFUNCTION("""COMPUTED_VALUE"""),"MultipleTradeTransferToUser")</f>
        <v>MultipleTradeTransferToUser</v>
      </c>
      <c r="BE4" s="25" t="str">
        <f>IFERROR(__xludf.DUMMYFUNCTION("""COMPUTED_VALUE"""),"AllocateFromBlotter")</f>
        <v>AllocateFromBlotter</v>
      </c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IFERROR(__xludf.DUMMYFUNCTION("""COMPUTED_VALUE"""),"Side")</f>
        <v>Side</v>
      </c>
      <c r="D5" s="27" t="str">
        <f>IFERROR(__xludf.DUMMYFUNCTION("""COMPUTED_VALUE"""),"Quantity")</f>
        <v>Quantity</v>
      </c>
      <c r="E5" s="27" t="str">
        <f>IFERROR(__xludf.DUMMYFUNCTION("""COMPUTED_VALUE"""),"Executed Qty")</f>
        <v>Executed Qty</v>
      </c>
      <c r="F5" s="28" t="str">
        <f>IFERROR(__xludf.DUMMYFUNCTION("""COMPUTED_VALUE"""),"Unexecuted Qty")</f>
        <v>Unexecuted Qty</v>
      </c>
      <c r="G5" s="27" t="str">
        <f>IFERROR(__xludf.DUMMYFUNCTION("""COMPUTED_VALUE"""),"Status")</f>
        <v>Status</v>
      </c>
      <c r="H5" s="27" t="str">
        <f>IFERROR(__xludf.DUMMYFUNCTION("""COMPUTED_VALUE"""),"Last Shares")</f>
        <v>Last Shares</v>
      </c>
      <c r="I5" s="27" t="str">
        <f>IFERROR(__xludf.DUMMYFUNCTION("""COMPUTED_VALUE"""),"Last Fill Price (Local)")</f>
        <v>Last Fill Price (Local)</v>
      </c>
      <c r="J5" s="27" t="str">
        <f>IFERROR(__xludf.DUMMYFUNCTION("""COMPUTED_VALUE"""),"Avg Fill Price (Local)")</f>
        <v>Avg Fill Price (Local)</v>
      </c>
      <c r="K5" s="27" t="str">
        <f>IFERROR(__xludf.DUMMYFUNCTION("""COMPUTED_VALUE"""),"Broker")</f>
        <v>Broker</v>
      </c>
      <c r="L5" s="27" t="str">
        <f>IFERROR(__xludf.DUMMYFUNCTION("""COMPUTED_VALUE"""),"Account")</f>
        <v>Account</v>
      </c>
      <c r="M5" s="27" t="str">
        <f>IFERROR(__xludf.DUMMYFUNCTION("""COMPUTED_VALUE"""),"Order Type")</f>
        <v>Order Type</v>
      </c>
      <c r="N5" s="27" t="str">
        <f>IFERROR(__xludf.DUMMYFUNCTION("""COMPUTED_VALUE"""),"OrderStatus")</f>
        <v>OrderStatus</v>
      </c>
      <c r="O5" s="27" t="str">
        <f>IFERROR(__xludf.DUMMYFUNCTION("""COMPUTED_VALUE"""),"Avg Fill Price (Base)")</f>
        <v>Avg Fill Price (Base)</v>
      </c>
      <c r="P5" s="27" t="str">
        <f>IFERROR(__xludf.DUMMYFUNCTION("""COMPUTED_VALUE"""),"Limit Price")</f>
        <v>Limit Price</v>
      </c>
      <c r="Q5" s="27" t="str">
        <f>IFERROR(__xludf.DUMMYFUNCTION("""COMPUTED_VALUE"""),"Stop Price")</f>
        <v>Stop Price</v>
      </c>
      <c r="R5" s="27" t="str">
        <f>IFERROR(__xludf.DUMMYFUNCTION("""COMPUTED_VALUE"""),"Actual User")</f>
        <v>Actual User</v>
      </c>
      <c r="S5" s="27" t="str">
        <f>IFERROR(__xludf.DUMMYFUNCTION("""COMPUTED_VALUE"""),"Bloomberg Symbol")</f>
        <v>Bloomberg Symbol</v>
      </c>
      <c r="T5" s="29" t="str">
        <f>IFERROR(__xludf.DUMMYFUNCTION("""COMPUTED_VALUE"""),"Algo")</f>
        <v>Algo</v>
      </c>
      <c r="U5" s="29" t="str">
        <f>IFERROR(__xludf.DUMMYFUNCTION("""COMPUTED_VALUE"""),"Allocation Scheme Name")</f>
        <v>Allocation Scheme Name</v>
      </c>
      <c r="V5" s="29" t="str">
        <f>IFERROR(__xludf.DUMMYFUNCTION("""COMPUTED_VALUE"""),"Allocation Status")</f>
        <v>Allocation Status</v>
      </c>
      <c r="W5" s="29" t="str">
        <f>IFERROR(__xludf.DUMMYFUNCTION("""COMPUTED_VALUE"""),"Asset Class")</f>
        <v>Asset Class</v>
      </c>
      <c r="X5" s="29" t="str">
        <f>IFERROR(__xludf.DUMMYFUNCTION("""COMPUTED_VALUE"""),"FX Conversion Operator")</f>
        <v>FX Conversion Operator</v>
      </c>
      <c r="Y5" s="29" t="str">
        <f>IFERROR(__xludf.DUMMYFUNCTION("""COMPUTED_VALUE"""),"FX Rate")</f>
        <v>FX Rate</v>
      </c>
      <c r="Z5" s="29" t="str">
        <f>IFERROR(__xludf.DUMMYFUNCTION("""COMPUTED_VALUE"""),"Imported File Name")</f>
        <v>Imported File Name</v>
      </c>
      <c r="AA5" s="29" t="str">
        <f>IFERROR(__xludf.DUMMYFUNCTION("""COMPUTED_VALUE"""),"Internal Comments")</f>
        <v>Internal Comments</v>
      </c>
      <c r="AB5" s="29" t="str">
        <f>IFERROR(__xludf.DUMMYFUNCTION("""COMPUTED_VALUE"""),"Peg")</f>
        <v>Peg</v>
      </c>
      <c r="AC5" s="29" t="str">
        <f>IFERROR(__xludf.DUMMYFUNCTION("""COMPUTED_VALUE"""),"Principal Amount (Base)")</f>
        <v>Principal Amount (Base)</v>
      </c>
      <c r="AD5" s="29" t="str">
        <f>IFERROR(__xludf.DUMMYFUNCTION("""COMPUTED_VALUE"""),"Principal Amount (Local)")</f>
        <v>Principal Amount (Local)</v>
      </c>
      <c r="AE5" s="29" t="str">
        <f>IFERROR(__xludf.DUMMYFUNCTION("""COMPUTED_VALUE"""),"Process Date")</f>
        <v>Process Date</v>
      </c>
      <c r="AF5" s="29" t="str">
        <f>IFERROR(__xludf.DUMMYFUNCTION("""COMPUTED_VALUE"""),"Put/Call")</f>
        <v>Put/Call</v>
      </c>
      <c r="AG5" s="29" t="str">
        <f>IFERROR(__xludf.DUMMYFUNCTION("""COMPUTED_VALUE"""),"Settlement Currency")</f>
        <v>Settlement Currency</v>
      </c>
      <c r="AH5" s="29" t="str">
        <f>IFERROR(__xludf.DUMMYFUNCTION("""COMPUTED_VALUE"""),"Source")</f>
        <v>Source</v>
      </c>
      <c r="AI5" s="29" t="str">
        <f>IFERROR(__xludf.DUMMYFUNCTION("""COMPUTED_VALUE"""),"Status (With Rollover)")</f>
        <v>Status (With Rollover)</v>
      </c>
      <c r="AJ5" s="29" t="str">
        <f>IFERROR(__xludf.DUMMYFUNCTION("""COMPUTED_VALUE"""),"Strategy")</f>
        <v>Strategy</v>
      </c>
      <c r="AK5" s="29" t="str">
        <f>IFERROR(__xludf.DUMMYFUNCTION("""COMPUTED_VALUE"""),"Strike Price")</f>
        <v>Strike Price</v>
      </c>
      <c r="AL5" s="29" t="str">
        <f>IFERROR(__xludf.DUMMYFUNCTION("""COMPUTED_VALUE"""),"Trade Attribute 1")</f>
        <v>Trade Attribute 1</v>
      </c>
      <c r="AM5" s="29" t="str">
        <f>IFERROR(__xludf.DUMMYFUNCTION("""COMPUTED_VALUE"""),"Trade Attribute 2")</f>
        <v>Trade Attribute 2</v>
      </c>
      <c r="AN5" s="29" t="str">
        <f>IFERROR(__xludf.DUMMYFUNCTION("""COMPUTED_VALUE"""),"Trade Attribute 3")</f>
        <v>Trade Attribute 3</v>
      </c>
      <c r="AO5" s="29" t="str">
        <f>IFERROR(__xludf.DUMMYFUNCTION("""COMPUTED_VALUE"""),"Trade Attribute 4")</f>
        <v>Trade Attribute 4</v>
      </c>
      <c r="AP5" s="29" t="str">
        <f>IFERROR(__xludf.DUMMYFUNCTION("""COMPUTED_VALUE"""),"Trade Attribute 5")</f>
        <v>Trade Attribute 5</v>
      </c>
      <c r="AQ5" s="29" t="str">
        <f>IFERROR(__xludf.DUMMYFUNCTION("""COMPUTED_VALUE"""),"Trade Attribute 6")</f>
        <v>Trade Attribute 6</v>
      </c>
      <c r="AR5" s="29" t="str">
        <f>IFERROR(__xludf.DUMMYFUNCTION("""COMPUTED_VALUE"""),"Trader")</f>
        <v>Trader</v>
      </c>
      <c r="AS5" s="29" t="str">
        <f>IFERROR(__xludf.DUMMYFUNCTION("""COMPUTED_VALUE"""),"Transaction Time")</f>
        <v>Transaction Time</v>
      </c>
      <c r="AT5" s="29" t="str">
        <f>IFERROR(__xludf.DUMMYFUNCTION("""COMPUTED_VALUE"""),"Underlying Country")</f>
        <v>Underlying Country</v>
      </c>
      <c r="AU5" s="29" t="str">
        <f>IFERROR(__xludf.DUMMYFUNCTION("""COMPUTED_VALUE"""),"Underlying Symbol")</f>
        <v>Underlying Symbol</v>
      </c>
      <c r="AV5" s="29" t="str">
        <f>IFERROR(__xludf.DUMMYFUNCTION("""COMPUTED_VALUE"""),"Venue")</f>
        <v>Venue</v>
      </c>
      <c r="AW5" s="29" t="str">
        <f>IFERROR(__xludf.DUMMYFUNCTION("""COMPUTED_VALUE"""),"Working Qty")</f>
        <v>Working Qty</v>
      </c>
      <c r="AX5" s="29" t="str">
        <f>IFERROR(__xludf.DUMMYFUNCTION("""COMPUTED_VALUE"""),"Client")</f>
        <v>Client</v>
      </c>
      <c r="AY5" s="29" t="str">
        <f>IFERROR(__xludf.DUMMYFUNCTION("""COMPUTED_VALUE"""),"OrderID")</f>
        <v>OrderID</v>
      </c>
      <c r="AZ5" s="29" t="str">
        <f>IFERROR(__xludf.DUMMYFUNCTION("""COMPUTED_VALUE"""),"ParentClOrderID")</f>
        <v>ParentClOrderID</v>
      </c>
      <c r="BA5" s="29" t="str">
        <f>IFERROR(__xludf.DUMMYFUNCTION("""COMPUTED_VALUE"""),"Master Fund")</f>
        <v>Master Fund</v>
      </c>
      <c r="BB5" s="29" t="str">
        <f>IFERROR(__xludf.DUMMYFUNCTION("""COMPUTED_VALUE"""),"Current User")</f>
        <v>Current User</v>
      </c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45"/>
      <c r="B6" s="45" t="s">
        <v>21</v>
      </c>
      <c r="C6" s="39" t="s">
        <v>22</v>
      </c>
      <c r="D6" s="37">
        <v>100.0</v>
      </c>
      <c r="E6" s="39"/>
      <c r="F6" s="47">
        <v>50.0</v>
      </c>
      <c r="G6" s="69" t="s">
        <v>93</v>
      </c>
      <c r="H6" s="49">
        <v>50.0</v>
      </c>
      <c r="I6" s="38">
        <v>10.0</v>
      </c>
      <c r="J6" s="38">
        <v>10.0</v>
      </c>
      <c r="K6" s="39" t="s">
        <v>34</v>
      </c>
      <c r="L6" s="39" t="s">
        <v>35</v>
      </c>
      <c r="M6" s="39" t="s">
        <v>36</v>
      </c>
      <c r="N6" s="39"/>
      <c r="O6" s="38">
        <v>10.0</v>
      </c>
      <c r="P6" s="39">
        <v>0.0</v>
      </c>
      <c r="Q6" s="39">
        <v>0.0</v>
      </c>
      <c r="R6" s="39"/>
      <c r="S6" s="70" t="s">
        <v>46</v>
      </c>
      <c r="T6" s="41"/>
      <c r="U6" s="41"/>
      <c r="V6" s="41"/>
      <c r="W6" s="41" t="s">
        <v>38</v>
      </c>
      <c r="X6" s="41" t="s">
        <v>43</v>
      </c>
      <c r="Y6" s="50">
        <v>1.0</v>
      </c>
      <c r="Z6" s="41"/>
      <c r="AA6" s="41"/>
      <c r="AB6" s="41"/>
      <c r="AC6" s="54">
        <v>500.0</v>
      </c>
      <c r="AD6" s="54">
        <v>500.0</v>
      </c>
      <c r="AE6" s="41"/>
      <c r="AF6" s="41"/>
      <c r="AG6" s="41"/>
      <c r="AH6" s="41"/>
      <c r="AI6" s="41"/>
      <c r="AJ6" s="41"/>
      <c r="AK6" s="41"/>
      <c r="AL6" s="41"/>
      <c r="AM6" s="41"/>
      <c r="AN6" s="39"/>
      <c r="AO6" s="39"/>
      <c r="AP6" s="39"/>
      <c r="AQ6" s="39"/>
      <c r="AR6" s="39" t="s">
        <v>40</v>
      </c>
      <c r="AS6" s="39"/>
      <c r="AT6" s="39"/>
      <c r="AU6" s="39"/>
      <c r="AV6" s="39" t="s">
        <v>41</v>
      </c>
      <c r="AW6" s="54">
        <v>50.0</v>
      </c>
      <c r="AX6" s="39"/>
      <c r="AY6" s="39"/>
      <c r="AZ6" s="39"/>
      <c r="BA6" s="39" t="s">
        <v>35</v>
      </c>
      <c r="BB6" s="39" t="s">
        <v>83</v>
      </c>
      <c r="BC6" s="41"/>
      <c r="BD6" s="41"/>
      <c r="BE6" s="41"/>
      <c r="BF6" s="41"/>
      <c r="BG6" s="41"/>
      <c r="BH6" s="41"/>
      <c r="BI6" s="41"/>
      <c r="BJ6" s="41"/>
      <c r="BK6" s="41"/>
      <c r="BL6" s="41"/>
      <c r="BM6" s="41"/>
      <c r="BN6" s="41"/>
      <c r="BO6" s="41"/>
      <c r="BP6" s="41"/>
      <c r="BQ6" s="41"/>
      <c r="BR6" s="41"/>
      <c r="BS6" s="41"/>
      <c r="BT6" s="41"/>
      <c r="BU6" s="41"/>
      <c r="BV6" s="41"/>
      <c r="BW6" s="41"/>
      <c r="BX6" s="41"/>
      <c r="BY6" s="41"/>
      <c r="BZ6" s="41"/>
      <c r="CA6" s="41"/>
      <c r="CB6" s="41"/>
      <c r="CC6" s="41"/>
      <c r="CD6" s="41"/>
      <c r="CE6" s="41"/>
      <c r="CF6" s="41"/>
      <c r="CG6" s="41"/>
      <c r="CH6" s="41"/>
      <c r="CI6" s="41"/>
      <c r="CJ6" s="41"/>
      <c r="CK6" s="41"/>
      <c r="CL6" s="41"/>
      <c r="CM6" s="41"/>
      <c r="CN6" s="41"/>
      <c r="CO6" s="41"/>
      <c r="CP6" s="41"/>
      <c r="CQ6" s="41"/>
      <c r="CR6" s="41"/>
      <c r="CS6" s="41"/>
      <c r="CT6" s="41"/>
      <c r="CU6" s="41"/>
      <c r="CV6" s="41"/>
      <c r="CW6" s="41"/>
      <c r="CX6" s="41"/>
      <c r="CY6" s="41"/>
      <c r="CZ6" s="41"/>
      <c r="DA6" s="41"/>
      <c r="DB6" s="41"/>
      <c r="DC6" s="41"/>
      <c r="DD6" s="41"/>
      <c r="DE6" s="41"/>
      <c r="DF6" s="41"/>
      <c r="DG6" s="41"/>
      <c r="DH6" s="41"/>
      <c r="DI6" s="41"/>
      <c r="DJ6" s="41"/>
      <c r="DK6" s="41"/>
      <c r="DL6" s="41"/>
      <c r="DM6" s="41"/>
      <c r="DN6" s="41"/>
      <c r="DO6" s="41"/>
      <c r="DP6" s="41"/>
      <c r="DQ6" s="41"/>
      <c r="DR6" s="41"/>
      <c r="DS6" s="41"/>
      <c r="DT6" s="41"/>
      <c r="DU6" s="41"/>
      <c r="DV6" s="41"/>
      <c r="DW6" s="41"/>
      <c r="DX6" s="41"/>
      <c r="DY6" s="41"/>
      <c r="DZ6" s="41"/>
      <c r="EA6" s="41"/>
      <c r="EB6" s="41"/>
      <c r="EC6" s="41"/>
      <c r="ED6" s="41"/>
      <c r="EE6" s="41"/>
      <c r="EF6" s="41"/>
      <c r="EG6" s="41"/>
      <c r="EH6" s="41"/>
      <c r="EI6" s="41"/>
      <c r="EJ6" s="41"/>
      <c r="EK6" s="41"/>
      <c r="EL6" s="41"/>
      <c r="EM6" s="41"/>
      <c r="EN6" s="41"/>
      <c r="EO6" s="41"/>
      <c r="EP6" s="41"/>
      <c r="EQ6" s="41"/>
      <c r="ER6" s="41"/>
      <c r="ES6" s="41"/>
      <c r="ET6" s="41"/>
      <c r="EU6" s="41"/>
      <c r="EV6" s="41"/>
      <c r="EW6" s="41"/>
      <c r="EX6" s="41"/>
    </row>
    <row r="7" ht="15.75" customHeight="1">
      <c r="A7" s="41"/>
      <c r="B7" s="41" t="s">
        <v>26</v>
      </c>
      <c r="C7" s="41" t="s">
        <v>22</v>
      </c>
      <c r="D7" s="43">
        <v>100.0</v>
      </c>
      <c r="E7" s="41"/>
      <c r="F7" s="53">
        <v>100.0</v>
      </c>
      <c r="G7" s="53" t="s">
        <v>33</v>
      </c>
      <c r="H7" s="41"/>
      <c r="I7" s="41">
        <v>0.0</v>
      </c>
      <c r="J7" s="66">
        <v>0.0</v>
      </c>
      <c r="K7" s="41" t="s">
        <v>34</v>
      </c>
      <c r="L7" s="41" t="s">
        <v>35</v>
      </c>
      <c r="M7" s="41" t="s">
        <v>36</v>
      </c>
      <c r="N7" s="41"/>
      <c r="O7" s="66">
        <v>0.0</v>
      </c>
      <c r="P7" s="39">
        <v>0.0</v>
      </c>
      <c r="Q7" s="39">
        <v>0.0</v>
      </c>
      <c r="R7" s="39"/>
      <c r="S7" s="52" t="s">
        <v>37</v>
      </c>
      <c r="T7" s="41"/>
      <c r="U7" s="41"/>
      <c r="V7" s="41"/>
      <c r="W7" s="41" t="s">
        <v>38</v>
      </c>
      <c r="X7" s="41" t="s">
        <v>43</v>
      </c>
      <c r="Y7" s="50">
        <v>1.0</v>
      </c>
      <c r="Z7" s="41"/>
      <c r="AA7" s="41"/>
      <c r="AB7" s="41"/>
      <c r="AC7" s="54">
        <v>0.0</v>
      </c>
      <c r="AD7" s="54">
        <v>0.0</v>
      </c>
      <c r="AE7" s="41"/>
      <c r="AF7" s="41"/>
      <c r="AG7" s="41"/>
      <c r="AH7" s="41"/>
      <c r="AI7" s="41"/>
      <c r="AJ7" s="41"/>
      <c r="AK7" s="41"/>
      <c r="AL7" s="41"/>
      <c r="AM7" s="41"/>
      <c r="AN7" s="41"/>
      <c r="AO7" s="41"/>
      <c r="AP7" s="41"/>
      <c r="AQ7" s="41"/>
      <c r="AR7" s="41" t="s">
        <v>40</v>
      </c>
      <c r="AS7" s="41"/>
      <c r="AT7" s="41"/>
      <c r="AU7" s="41"/>
      <c r="AV7" s="41" t="s">
        <v>41</v>
      </c>
      <c r="AW7" s="54">
        <v>100.0</v>
      </c>
      <c r="AX7" s="41"/>
      <c r="AY7" s="41"/>
      <c r="AZ7" s="41"/>
      <c r="BA7" s="41" t="s">
        <v>35</v>
      </c>
      <c r="BB7" s="41" t="s">
        <v>83</v>
      </c>
      <c r="BC7" s="41"/>
      <c r="BD7" s="41"/>
      <c r="BE7" s="41"/>
      <c r="BF7" s="41"/>
      <c r="BG7" s="41"/>
      <c r="BH7" s="41"/>
      <c r="BI7" s="41"/>
      <c r="BJ7" s="41"/>
      <c r="BK7" s="41"/>
      <c r="BL7" s="41"/>
      <c r="BM7" s="41"/>
      <c r="BN7" s="41"/>
      <c r="BO7" s="41"/>
      <c r="BP7" s="41"/>
      <c r="BQ7" s="41"/>
      <c r="BR7" s="41"/>
      <c r="BS7" s="41"/>
      <c r="BT7" s="41"/>
      <c r="BU7" s="41"/>
      <c r="BV7" s="41"/>
      <c r="BW7" s="41"/>
      <c r="BX7" s="41"/>
      <c r="BY7" s="41"/>
      <c r="BZ7" s="41"/>
      <c r="CA7" s="41"/>
      <c r="CB7" s="41"/>
      <c r="CC7" s="41"/>
      <c r="CD7" s="41"/>
      <c r="CE7" s="41"/>
      <c r="CF7" s="41"/>
      <c r="CG7" s="41"/>
      <c r="CH7" s="41"/>
      <c r="CI7" s="41"/>
      <c r="CJ7" s="41"/>
      <c r="CK7" s="41"/>
      <c r="CL7" s="41"/>
      <c r="CM7" s="41"/>
      <c r="CN7" s="41"/>
      <c r="CO7" s="41"/>
      <c r="CP7" s="41"/>
      <c r="CQ7" s="41"/>
      <c r="CR7" s="41"/>
      <c r="CS7" s="41"/>
      <c r="CT7" s="41"/>
      <c r="CU7" s="41"/>
      <c r="CV7" s="41"/>
      <c r="CW7" s="41"/>
      <c r="CX7" s="41"/>
      <c r="CY7" s="41"/>
      <c r="CZ7" s="41"/>
      <c r="DA7" s="41"/>
      <c r="DB7" s="41"/>
      <c r="DC7" s="41"/>
      <c r="DD7" s="41"/>
      <c r="DE7" s="41"/>
      <c r="DF7" s="41"/>
      <c r="DG7" s="41"/>
      <c r="DH7" s="41"/>
      <c r="DI7" s="41"/>
      <c r="DJ7" s="41"/>
      <c r="DK7" s="41"/>
      <c r="DL7" s="41"/>
      <c r="DM7" s="41"/>
      <c r="DN7" s="41"/>
      <c r="DO7" s="41"/>
      <c r="DP7" s="41"/>
      <c r="DQ7" s="41"/>
      <c r="DR7" s="41"/>
      <c r="DS7" s="41"/>
      <c r="DT7" s="41"/>
      <c r="DU7" s="41"/>
      <c r="DV7" s="41"/>
      <c r="DW7" s="41"/>
      <c r="DX7" s="41"/>
      <c r="DY7" s="41"/>
      <c r="DZ7" s="41"/>
      <c r="EA7" s="41"/>
      <c r="EB7" s="41"/>
      <c r="EC7" s="41"/>
      <c r="ED7" s="41"/>
      <c r="EE7" s="41"/>
      <c r="EF7" s="41"/>
      <c r="EG7" s="41"/>
      <c r="EH7" s="41"/>
      <c r="EI7" s="41"/>
      <c r="EJ7" s="41"/>
      <c r="EK7" s="41"/>
      <c r="EL7" s="41"/>
      <c r="EM7" s="41"/>
      <c r="EN7" s="41"/>
      <c r="EO7" s="41"/>
      <c r="EP7" s="41"/>
      <c r="EQ7" s="41"/>
      <c r="ER7" s="41"/>
      <c r="ES7" s="41"/>
      <c r="ET7" s="41"/>
      <c r="EU7" s="41"/>
      <c r="EV7" s="41"/>
      <c r="EW7" s="41"/>
      <c r="EX7" s="41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VerifyWorkingSubs!$4:$4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