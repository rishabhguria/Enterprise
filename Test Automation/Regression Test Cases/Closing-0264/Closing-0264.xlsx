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irationDate" sheetId="5" r:id="rId7"/>
    <sheet state="visible" name="SetClosingPreference" sheetId="6" r:id="rId8"/>
    <sheet state="visible" name="CreateDoneAwayOrder" sheetId="7" r:id="rId9"/>
    <sheet state="visible" name="GetMarkPriceData" sheetId="8" r:id="rId10"/>
    <sheet state="visible" name="UpdateMarkPrice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GetDataClosing1" sheetId="13" r:id="rId15"/>
    <sheet state="visible" name="SelectTradeUnexpiredUnsettled1" sheetId="14" r:id="rId16"/>
    <sheet state="visible" name="ExerciseAssignment1" sheetId="15" r:id="rId17"/>
    <sheet state="visible" name="GetDataClosing2" sheetId="16" r:id="rId18"/>
    <sheet state="visible" name="SelectTradeUnexpiredUnsettled2" sheetId="17" r:id="rId19"/>
    <sheet state="visible" name="ExerciseAssignment2" sheetId="18" r:id="rId20"/>
    <sheet state="visible" name="GetDataClosing3" sheetId="19" r:id="rId21"/>
    <sheet state="visible" name="SelectTradeUnexpiredUnsettled3" sheetId="20" r:id="rId22"/>
    <sheet state="visible" name="ExerciseAssignment3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<sst xmlns="http://schemas.openxmlformats.org/spreadsheetml/2006/main" count="646" uniqueCount="74">
  <si>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</si>
  <si>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</si>
  <si>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</si>
  <si>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</si>
  <si>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</si>
  <si>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</si>
  <si>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</si>
  <si>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</si>
  <si>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</si>
  <si>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</si>
  <si>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</si>
  <si>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</si>
  <si>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</si>
  <si>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</si>
  <si>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</si>
  <si>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</si>
  <si>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O:MSFT 12X31.00</t>
  </si>
  <si>
    <t>Yes</t>
  </si>
  <si>
    <t>O:MSFT 14O36.00</t>
  </si>
  <si>
    <t>O:MSFT 14P36.00</t>
  </si>
  <si>
    <t>O:FB 14C67.50</t>
  </si>
  <si>
    <t>O:FB 12L17.00</t>
  </si>
  <si>
    <t>O:FB 12K18.00</t>
  </si>
  <si>
    <t>O:GOOG 13A700.00</t>
  </si>
  <si>
    <t>O:GOOG 13C755.00</t>
  </si>
  <si>
    <t>O:GOOG 12K770.00</t>
  </si>
  <si>
    <t>Admin</t>
  </si>
  <si>
    <t>UpdateExpirationDate</t>
  </si>
  <si>
    <t>O:AAPL 23D60.00D21</t>
  </si>
  <si>
    <t>O:AAPL 23D60.00D22</t>
  </si>
  <si>
    <t>O:AAPL 23D60.00D23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</si>
  <si>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</si>
  <si>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</si>
  <si>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</si>
  <si>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</si>
  <si>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</si>
  <si>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</si>
  <si>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</si>
  <si>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</si>
  <si>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Buy to Open</t>
  </si>
  <si>
    <t>Long</t>
  </si>
  <si>
    <t>GS</t>
  </si>
  <si>
    <t>MSFT</t>
  </si>
  <si>
    <t>Sell short</t>
  </si>
  <si>
    <t>Allocation2</t>
  </si>
  <si>
    <t>FB</t>
  </si>
  <si>
    <t>rt</t>
  </si>
  <si>
    <t>Sell to Open</t>
  </si>
  <si>
    <t>GOOG</t>
  </si>
  <si>
    <t>Allocation5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</si>
  <si>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</si>
  <si>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</si>
  <si>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</si>
  <si>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</si>
  <si>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</si>
  <si>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</si>
  <si>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</si>
  <si>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ExerciseAssignment</t>
  </si>
  <si>
    <t>Allocation</t>
  </si>
  <si>
    <t>GetDataAllocation</t>
  </si>
  <si>
    <t>CheckAllocatedGroups</t>
  </si>
  <si>
    <t>EquityOption</t>
  </si>
  <si>
    <t>MS</t>
  </si>
  <si>
    <t>Strategy Unallocated</t>
  </si>
  <si>
    <t>Sell to Close</t>
  </si>
  <si>
    <t>Buy to Close</t>
  </si>
  <si>
    <t>Equity</t>
  </si>
  <si>
    <t>Sell</t>
  </si>
  <si>
    <t>PortfolioManagement</t>
  </si>
  <si>
    <t>CheckPortfolioManagement</t>
  </si>
  <si>
    <t>NewMF</t>
  </si>
  <si>
    <t>NewMF1</t>
  </si>
  <si>
    <t>NewMF2</t>
  </si>
  <si>
    <t>NewMF3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</si>
</sst>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5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IFERROR(__xludf.DUMMYFUNCTION("IF(C3="""","""",Transpose(IMPORTRANGE('_Settings'!$B$3,C3&amp;""!A4:A1000"")))"),"EditSMGridUi")</f>
        <v>EditSMGridUi</v>
      </c>
      <c r="C4" s="25" t="str">
        <f>IFERROR(__xludf.DUMMYFUNCTION("""COMPUTED_VALUE"""),"SelectFromSMGridUI")</f>
        <v>SelectFromSMGridUI</v>
      </c>
      <c r="D4" s="25" t="str">
        <f>IFERROR(__xludf.DUMMYFUNCTION("""COMPUTED_VALUE"""),"VerifySymbolLookUp")</f>
        <v>VerifySymbolLookUp</v>
      </c>
      <c r="E4" s="25" t="str">
        <f>IFERROR(__xludf.DUMMYFUNCTION("""COMPUTED_VALUE"""),"SymbolLookupFromTT")</f>
        <v>SymbolLookupFromTT</v>
      </c>
      <c r="F4" s="25" t="str">
        <f>IFERROR(__xludf.DUMMYFUNCTION("""COMPUTED_VALUE"""),"UpdateUDA")</f>
        <v>UpdateUDA</v>
      </c>
      <c r="G4" s="25" t="str">
        <f>IFERROR(__xludf.DUMMYFUNCTION("""COMPUTED_VALUE"""),"GetSymbol")</f>
        <v>GetSymbol</v>
      </c>
      <c r="H4" s="25" t="str">
        <f>IFERROR(__xludf.DUMMYFUNCTION("""COMPUTED_VALUE"""),"AddSymbol")</f>
        <v>AddSymbol</v>
      </c>
      <c r="I4" s="25" t="str">
        <f>IFERROR(__xludf.DUMMYFUNCTION("""COMPUTED_VALUE"""),"GetDataSymbolLookup")</f>
        <v>GetDataSymbolLookup</v>
      </c>
      <c r="J4" s="25" t="str">
        <f>IFERROR(__xludf.DUMMYFUNCTION("""COMPUTED_VALUE"""),"DeleteValidateSymbol")</f>
        <v>DeleteValidateSymbol</v>
      </c>
      <c r="K4" s="25" t="str">
        <f>IFERROR(__xludf.DUMMYFUNCTION("""COMPUTED_VALUE"""),"TradeSymbolFromSM")</f>
        <v>TradeSymbolFromSM</v>
      </c>
      <c r="L4" s="25" t="str">
        <f>IFERROR(__xludf.DUMMYFUNCTION("""COMPUTED_VALUE"""),"UpdateSecurityInfoOnSM")</f>
        <v>UpdateSecurityInfoOnSM</v>
      </c>
      <c r="M4" s="25" t="str">
        <f>IFERROR(__xludf.DUMMYFUNCTION("""COMPUTED_VALUE"""),"EnterEquity")</f>
        <v>EnterEquity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>
        <v>60.0</v>
      </c>
      <c r="H6" s="13" t="s">
        <v>16</v>
      </c>
      <c r="I6" s="13" t="s">
        <v>17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13">
        <v>60.0</v>
      </c>
      <c r="H7" s="13" t="s">
        <v>18</v>
      </c>
      <c r="I7" s="13" t="s">
        <v>17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13">
        <v>60.0</v>
      </c>
      <c r="H8" s="13" t="s">
        <v>19</v>
      </c>
      <c r="I8" s="13" t="s">
        <v>17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32">
        <v>60.0</v>
      </c>
      <c r="H9" s="33" t="s">
        <v>20</v>
      </c>
      <c r="I9" s="13" t="s">
        <v>17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32">
        <v>60.0</v>
      </c>
      <c r="H10" s="33" t="s">
        <v>21</v>
      </c>
      <c r="I10" s="13" t="s">
        <v>17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32">
        <v>60.0</v>
      </c>
      <c r="H11" s="33" t="s">
        <v>22</v>
      </c>
      <c r="I11" s="13" t="s">
        <v>17</v>
      </c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32">
        <v>60.0</v>
      </c>
      <c r="H12" s="33" t="s">
        <v>23</v>
      </c>
      <c r="I12" s="13" t="s">
        <v>17</v>
      </c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32">
        <v>60.0</v>
      </c>
      <c r="H13" s="33" t="s">
        <v>24</v>
      </c>
      <c r="I13" s="13" t="s">
        <v>17</v>
      </c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32">
        <v>60.0</v>
      </c>
      <c r="H14" s="33" t="s">
        <v>25</v>
      </c>
      <c r="I14" s="13" t="s">
        <v>17</v>
      </c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7.6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28</v>
      </c>
      <c r="C6" s="35">
        <f>TODAY()-11</f>
        <v>45115</v>
      </c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29</v>
      </c>
      <c r="C7" s="35">
        <f t="shared" ref="C7:C8" si="1">TODAY()-10</f>
        <v>45116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30</v>
      </c>
      <c r="C8" s="35">
        <f t="shared" si="1"/>
        <v>45116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13" t="s">
        <v>16</v>
      </c>
      <c r="C9" s="35">
        <f t="shared" ref="C9:C10" si="2">TODAY()-11</f>
        <v>45115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18</v>
      </c>
      <c r="C10" s="35">
        <f t="shared" si="2"/>
        <v>45115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19</v>
      </c>
      <c r="C11" s="35">
        <f t="shared" ref="C11:C12" si="3">TODAY()-10</f>
        <v>45116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 t="s">
        <v>20</v>
      </c>
      <c r="C12" s="35">
        <f t="shared" si="3"/>
        <v>45116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3" t="s">
        <v>21</v>
      </c>
      <c r="C13" s="35">
        <f t="shared" ref="C13:C14" si="4">TODAY()-9</f>
        <v>45117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3" t="s">
        <v>22</v>
      </c>
      <c r="C14" s="35">
        <f t="shared" si="4"/>
        <v>45117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33" t="s">
        <v>23</v>
      </c>
      <c r="C15" s="35">
        <f>TODAY()-10</f>
        <v>45116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33" t="s">
        <v>24</v>
      </c>
      <c r="C16" s="35">
        <f t="shared" ref="C16:C17" si="5">TODAY()-9</f>
        <v>45117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33" t="s">
        <v>25</v>
      </c>
      <c r="C17" s="35">
        <f t="shared" si="5"/>
        <v>45117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8" t="s">
        <v>33</v>
      </c>
      <c r="D6" s="37"/>
      <c r="E6" s="39" t="b">
        <v>1</v>
      </c>
      <c r="F6" s="38"/>
      <c r="G6" s="38"/>
      <c r="H6" s="38"/>
      <c r="I6" s="38"/>
      <c r="J6" s="39" t="b">
        <v>1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36</v>
      </c>
      <c r="C6" s="38" t="s">
        <v>37</v>
      </c>
      <c r="D6" s="40">
        <v>1100.0</v>
      </c>
      <c r="E6" s="38"/>
      <c r="F6" s="41" t="s">
        <v>38</v>
      </c>
      <c r="G6" s="38"/>
      <c r="H6" s="38"/>
      <c r="I6" s="38"/>
      <c r="J6" s="42">
        <v>1.0</v>
      </c>
      <c r="K6" s="38"/>
      <c r="L6" s="38"/>
      <c r="M6" s="38"/>
      <c r="N6" s="43">
        <f t="shared" ref="N6:N7" si="1">TODAY()-25</f>
        <v>45101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28</v>
      </c>
      <c r="C7" s="38" t="s">
        <v>39</v>
      </c>
      <c r="D7" s="42">
        <v>10.0</v>
      </c>
      <c r="E7" s="38"/>
      <c r="F7" s="41" t="s">
        <v>38</v>
      </c>
      <c r="G7" s="38"/>
      <c r="H7" s="38"/>
      <c r="I7" s="38"/>
      <c r="J7" s="42">
        <v>10.0</v>
      </c>
      <c r="K7" s="38"/>
      <c r="L7" s="38"/>
      <c r="M7" s="38"/>
      <c r="N7" s="43">
        <f t="shared" si="1"/>
        <v>45101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28</v>
      </c>
      <c r="C8" s="38" t="s">
        <v>39</v>
      </c>
      <c r="D8" s="42">
        <v>10.0</v>
      </c>
      <c r="E8" s="38"/>
      <c r="F8" s="41" t="s">
        <v>38</v>
      </c>
      <c r="G8" s="38"/>
      <c r="H8" s="38"/>
      <c r="I8" s="38"/>
      <c r="J8" s="42">
        <v>10.0</v>
      </c>
      <c r="K8" s="38"/>
      <c r="L8" s="38"/>
      <c r="M8" s="38" t="s">
        <v>40</v>
      </c>
      <c r="N8" s="43">
        <f>TODAY()-24</f>
        <v>45102</v>
      </c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28</v>
      </c>
      <c r="C9" s="38" t="s">
        <v>39</v>
      </c>
      <c r="D9" s="42">
        <v>10.0</v>
      </c>
      <c r="E9" s="38"/>
      <c r="F9" s="41" t="s">
        <v>38</v>
      </c>
      <c r="G9" s="38" t="s">
        <v>41</v>
      </c>
      <c r="H9" s="38"/>
      <c r="I9" s="38"/>
      <c r="J9" s="42">
        <v>10.0</v>
      </c>
      <c r="K9" s="38"/>
      <c r="L9" s="38"/>
      <c r="M9" s="38"/>
      <c r="N9" s="43">
        <f>TODAY()-23</f>
        <v>45103</v>
      </c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6"/>
      <c r="B10" s="44" t="s">
        <v>42</v>
      </c>
      <c r="C10" s="33" t="s">
        <v>43</v>
      </c>
      <c r="D10" s="32">
        <v>1100.0</v>
      </c>
      <c r="E10" s="36"/>
      <c r="F10" s="44" t="s">
        <v>44</v>
      </c>
      <c r="G10" s="36"/>
      <c r="H10" s="36"/>
      <c r="I10" s="36"/>
      <c r="J10" s="32">
        <v>1.0</v>
      </c>
      <c r="K10" s="36"/>
      <c r="L10" s="36"/>
      <c r="M10" s="36"/>
      <c r="N10" s="35">
        <f t="shared" ref="N10:N11" si="2">TODAY()-25</f>
        <v>45101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36"/>
      <c r="B11" s="13" t="s">
        <v>16</v>
      </c>
      <c r="C11" s="36" t="s">
        <v>39</v>
      </c>
      <c r="D11" s="32">
        <v>10.0</v>
      </c>
      <c r="E11" s="36"/>
      <c r="F11" s="44" t="s">
        <v>44</v>
      </c>
      <c r="G11" s="36"/>
      <c r="H11" s="36"/>
      <c r="I11" s="36"/>
      <c r="J11" s="32">
        <v>10.0</v>
      </c>
      <c r="K11" s="36"/>
      <c r="L11" s="36"/>
      <c r="M11" s="36"/>
      <c r="N11" s="35">
        <f t="shared" si="2"/>
        <v>45101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</row>
    <row r="12" ht="15.75" customHeight="1">
      <c r="A12" s="36"/>
      <c r="B12" s="13" t="s">
        <v>18</v>
      </c>
      <c r="C12" s="36" t="s">
        <v>39</v>
      </c>
      <c r="D12" s="32">
        <v>10.0</v>
      </c>
      <c r="E12" s="36"/>
      <c r="F12" s="44" t="s">
        <v>44</v>
      </c>
      <c r="G12" s="36"/>
      <c r="H12" s="36"/>
      <c r="I12" s="36"/>
      <c r="J12" s="32">
        <v>10.0</v>
      </c>
      <c r="K12" s="36"/>
      <c r="L12" s="36"/>
      <c r="M12" s="36"/>
      <c r="N12" s="35">
        <f>TODAY()-24</f>
        <v>45102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</row>
    <row r="13" ht="15.75" customHeight="1">
      <c r="A13" s="36"/>
      <c r="B13" s="13" t="s">
        <v>19</v>
      </c>
      <c r="C13" s="36" t="s">
        <v>39</v>
      </c>
      <c r="D13" s="32">
        <v>10.0</v>
      </c>
      <c r="E13" s="36"/>
      <c r="F13" s="44" t="s">
        <v>44</v>
      </c>
      <c r="G13" s="36"/>
      <c r="H13" s="36"/>
      <c r="I13" s="36"/>
      <c r="J13" s="32">
        <v>10.0</v>
      </c>
      <c r="K13" s="36"/>
      <c r="L13" s="36"/>
      <c r="M13" s="36"/>
      <c r="N13" s="35">
        <f>TODAY()-23</f>
        <v>45103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</row>
    <row r="14" ht="15.75" customHeight="1">
      <c r="A14" s="36"/>
      <c r="B14" s="44" t="s">
        <v>45</v>
      </c>
      <c r="C14" s="33" t="s">
        <v>37</v>
      </c>
      <c r="D14" s="32">
        <v>1100.0</v>
      </c>
      <c r="E14" s="36"/>
      <c r="F14" s="44" t="s">
        <v>46</v>
      </c>
      <c r="G14" s="36"/>
      <c r="H14" s="36"/>
      <c r="I14" s="36"/>
      <c r="J14" s="32">
        <v>1.0</v>
      </c>
      <c r="K14" s="36"/>
      <c r="L14" s="36"/>
      <c r="M14" s="36"/>
      <c r="N14" s="35">
        <f t="shared" ref="N14:N15" si="3">TODAY()-25</f>
        <v>45101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</row>
    <row r="15" ht="15.75" customHeight="1">
      <c r="A15" s="36"/>
      <c r="B15" s="33" t="s">
        <v>20</v>
      </c>
      <c r="C15" s="33" t="s">
        <v>47</v>
      </c>
      <c r="D15" s="32">
        <v>10.0</v>
      </c>
      <c r="E15" s="36"/>
      <c r="F15" s="44" t="s">
        <v>46</v>
      </c>
      <c r="G15" s="36"/>
      <c r="H15" s="36"/>
      <c r="I15" s="36"/>
      <c r="J15" s="32">
        <v>10.0</v>
      </c>
      <c r="K15" s="36"/>
      <c r="L15" s="36"/>
      <c r="M15" s="36"/>
      <c r="N15" s="35">
        <f t="shared" si="3"/>
        <v>45101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</row>
    <row r="16" ht="15.75" customHeight="1">
      <c r="A16" s="36"/>
      <c r="B16" s="33" t="s">
        <v>21</v>
      </c>
      <c r="C16" s="33" t="s">
        <v>47</v>
      </c>
      <c r="D16" s="32">
        <v>10.0</v>
      </c>
      <c r="E16" s="36"/>
      <c r="F16" s="44" t="s">
        <v>46</v>
      </c>
      <c r="G16" s="36"/>
      <c r="H16" s="36"/>
      <c r="I16" s="36"/>
      <c r="J16" s="32">
        <v>10.0</v>
      </c>
      <c r="K16" s="36"/>
      <c r="L16" s="36"/>
      <c r="M16" s="36"/>
      <c r="N16" s="35">
        <f>TODAY()-24</f>
        <v>45102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</row>
    <row r="17" ht="15.75" customHeight="1">
      <c r="A17" s="36"/>
      <c r="B17" s="33" t="s">
        <v>22</v>
      </c>
      <c r="C17" s="33" t="s">
        <v>47</v>
      </c>
      <c r="D17" s="32">
        <v>10.0</v>
      </c>
      <c r="E17" s="36"/>
      <c r="F17" s="44" t="s">
        <v>46</v>
      </c>
      <c r="G17" s="36"/>
      <c r="H17" s="36"/>
      <c r="I17" s="36"/>
      <c r="J17" s="32">
        <v>10.0</v>
      </c>
      <c r="K17" s="36"/>
      <c r="L17" s="36"/>
      <c r="M17" s="33"/>
      <c r="N17" s="35">
        <f>TODAY()-23</f>
        <v>45103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</row>
    <row r="18" ht="15.75" customHeight="1">
      <c r="A18" s="36"/>
      <c r="B18" s="44" t="s">
        <v>48</v>
      </c>
      <c r="C18" s="33" t="s">
        <v>37</v>
      </c>
      <c r="D18" s="32">
        <v>1100.0</v>
      </c>
      <c r="E18" s="33"/>
      <c r="F18" s="41" t="s">
        <v>49</v>
      </c>
      <c r="G18" s="33"/>
      <c r="H18" s="33"/>
      <c r="I18" s="33"/>
      <c r="J18" s="32">
        <v>1.0</v>
      </c>
      <c r="K18" s="33"/>
      <c r="L18" s="33"/>
      <c r="M18" s="33"/>
      <c r="N18" s="35">
        <f t="shared" ref="N18:N19" si="4">TODAY()-25</f>
        <v>45101</v>
      </c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33"/>
      <c r="B19" s="33" t="s">
        <v>23</v>
      </c>
      <c r="C19" s="33" t="s">
        <v>39</v>
      </c>
      <c r="D19" s="32">
        <v>10.0</v>
      </c>
      <c r="E19" s="33"/>
      <c r="F19" s="41" t="s">
        <v>49</v>
      </c>
      <c r="G19" s="33"/>
      <c r="H19" s="33"/>
      <c r="I19" s="33"/>
      <c r="J19" s="32">
        <v>10.0</v>
      </c>
      <c r="K19" s="33"/>
      <c r="L19" s="33"/>
      <c r="M19" s="33"/>
      <c r="N19" s="35">
        <f t="shared" si="4"/>
        <v>45101</v>
      </c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33"/>
      <c r="B20" s="33" t="s">
        <v>24</v>
      </c>
      <c r="C20" s="33" t="s">
        <v>39</v>
      </c>
      <c r="D20" s="32">
        <v>10.0</v>
      </c>
      <c r="E20" s="33"/>
      <c r="F20" s="41" t="s">
        <v>49</v>
      </c>
      <c r="G20" s="33"/>
      <c r="H20" s="33"/>
      <c r="I20" s="33"/>
      <c r="J20" s="32">
        <v>10.0</v>
      </c>
      <c r="K20" s="33"/>
      <c r="L20" s="33"/>
      <c r="M20" s="33"/>
      <c r="N20" s="35">
        <f>TODAY()-24</f>
        <v>45102</v>
      </c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33"/>
      <c r="B21" s="33" t="s">
        <v>25</v>
      </c>
      <c r="C21" s="33" t="s">
        <v>39</v>
      </c>
      <c r="D21" s="32">
        <v>10.0</v>
      </c>
      <c r="E21" s="33"/>
      <c r="F21" s="41" t="s">
        <v>49</v>
      </c>
      <c r="G21" s="33"/>
      <c r="H21" s="33"/>
      <c r="I21" s="33"/>
      <c r="J21" s="32">
        <v>10.0</v>
      </c>
      <c r="K21" s="33"/>
      <c r="L21" s="33"/>
      <c r="M21" s="33"/>
      <c r="N21" s="35">
        <f>TODAY()-23</f>
        <v>45103</v>
      </c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5">
        <f>today()-1</f>
        <v>45125</v>
      </c>
      <c r="C6" s="45">
        <f>today()</f>
        <v>45126</v>
      </c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36</v>
      </c>
      <c r="C6" s="42">
        <v>120.0</v>
      </c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13" t="s">
        <v>42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45</v>
      </c>
      <c r="C8" s="13">
        <v>120.0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48</v>
      </c>
      <c r="C9" s="13">
        <v>120.0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54</v>
      </c>
      <c r="C6" s="45" t="s">
        <v>55</v>
      </c>
      <c r="D6" s="45">
        <f>TODAY()</f>
        <v>45126</v>
      </c>
      <c r="E6" s="41" t="s">
        <v>38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7"/>
      <c r="B6" s="37" t="s">
        <v>38</v>
      </c>
      <c r="C6" s="38"/>
      <c r="D6" s="37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46" t="s">
        <v>28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38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 t="s">
        <v>40</v>
      </c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38</v>
      </c>
      <c r="C8" s="38"/>
      <c r="D8" s="38"/>
      <c r="E8" s="38"/>
      <c r="F8" s="38"/>
      <c r="G8" s="38"/>
      <c r="H8" s="38"/>
      <c r="I8" s="38"/>
      <c r="J8" s="38"/>
      <c r="K8" s="38" t="s">
        <v>41</v>
      </c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54</v>
      </c>
      <c r="C6" s="45" t="s">
        <v>55</v>
      </c>
      <c r="D6" s="45">
        <f>TODAY()</f>
        <v>45126</v>
      </c>
      <c r="E6" s="41" t="s">
        <v>44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4"/>
      <c r="B6" s="44" t="s">
        <v>44</v>
      </c>
      <c r="C6" s="36"/>
      <c r="D6" s="34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13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4" t="s">
        <v>44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13" t="s">
        <v>18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44" t="s">
        <v>44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13" t="s">
        <v>19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54</v>
      </c>
      <c r="C6" s="45" t="s">
        <v>55</v>
      </c>
      <c r="D6" s="45">
        <f>TODAY()</f>
        <v>45126</v>
      </c>
      <c r="E6" s="41" t="s">
        <v>46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3" t="s">
        <v>20</v>
      </c>
    </row>
    <row r="7" ht="15.75" customHeight="1">
      <c r="A7" s="8"/>
      <c r="B7" s="13" t="s">
        <v>46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3" t="s">
        <v>21</v>
      </c>
    </row>
    <row r="8" ht="15.75" customHeight="1">
      <c r="A8" s="8"/>
      <c r="B8" s="13" t="s">
        <v>46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3" t="s">
        <v>22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54</v>
      </c>
      <c r="C6" s="45" t="s">
        <v>55</v>
      </c>
      <c r="D6" s="45">
        <f>TODAY()</f>
        <v>45126</v>
      </c>
      <c r="E6" s="41" t="s">
        <v>49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11" width="12.63"/>
    <col customWidth="1" min="112" max="112" width="15.75"/>
    <col customWidth="1" min="11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DH6" s="33" t="s">
        <v>23</v>
      </c>
    </row>
    <row r="7" ht="15.75" customHeight="1">
      <c r="A7" s="8"/>
      <c r="B7" s="13" t="s">
        <v>49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3" t="s">
        <v>24</v>
      </c>
    </row>
    <row r="8" ht="15.75" customHeight="1">
      <c r="A8" s="8"/>
      <c r="B8" s="13" t="s">
        <v>49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H8" s="33" t="s">
        <v>25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54</v>
      </c>
      <c r="C6" s="45" t="s">
        <v>55</v>
      </c>
      <c r="D6" s="45">
        <f>TODAY()</f>
        <v>45126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/>
      <c r="B6" s="47" t="s">
        <v>38</v>
      </c>
      <c r="C6" s="38"/>
      <c r="D6" s="40"/>
      <c r="E6" s="48">
        <v>10.0</v>
      </c>
      <c r="F6" s="38"/>
      <c r="G6" s="47" t="s">
        <v>61</v>
      </c>
      <c r="H6" s="38"/>
      <c r="I6" s="38"/>
      <c r="J6" s="38"/>
      <c r="K6" s="48">
        <v>10.0</v>
      </c>
      <c r="L6" s="48">
        <v>10.0</v>
      </c>
      <c r="M6" s="38"/>
      <c r="N6" s="38"/>
      <c r="O6" s="47" t="s">
        <v>62</v>
      </c>
      <c r="P6" s="38"/>
      <c r="Q6" s="38"/>
      <c r="R6" s="38"/>
      <c r="S6" s="38"/>
      <c r="T6" s="38"/>
      <c r="U6" s="38"/>
      <c r="V6" s="38"/>
      <c r="W6" s="42"/>
      <c r="X6" s="38"/>
      <c r="Y6" s="38"/>
      <c r="Z6" s="38"/>
      <c r="AA6" s="38"/>
      <c r="AB6" s="42"/>
      <c r="AC6" s="38"/>
      <c r="AD6" s="38"/>
      <c r="AE6" s="48">
        <v>10.0</v>
      </c>
      <c r="AF6" s="38"/>
      <c r="AG6" s="38"/>
      <c r="AH6" s="38"/>
      <c r="AI6" s="42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42"/>
      <c r="AU6" s="42"/>
      <c r="AV6" s="38"/>
      <c r="AW6" s="38"/>
      <c r="AX6" s="38"/>
      <c r="AY6" s="38"/>
      <c r="AZ6" s="38"/>
      <c r="BA6" s="38"/>
      <c r="BB6" s="38"/>
      <c r="BC6" s="38"/>
      <c r="BD6" s="38"/>
      <c r="BE6" s="42"/>
      <c r="BF6" s="42"/>
      <c r="BG6" s="38"/>
      <c r="BH6" s="38"/>
      <c r="BI6" s="38"/>
      <c r="BJ6" s="48">
        <v>10.0</v>
      </c>
      <c r="BK6" s="38"/>
      <c r="BL6" s="38"/>
      <c r="BM6" s="38"/>
      <c r="BN6" s="38"/>
      <c r="BO6" s="47" t="s">
        <v>39</v>
      </c>
      <c r="BP6" s="38"/>
      <c r="BQ6" s="38"/>
      <c r="BR6" s="38"/>
      <c r="BS6" s="47" t="s">
        <v>40</v>
      </c>
      <c r="BT6" s="47" t="s">
        <v>28</v>
      </c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42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42"/>
      <c r="FE6" s="38"/>
      <c r="FF6" s="38"/>
      <c r="FG6" s="42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</row>
    <row r="7" ht="15.75" customHeight="1">
      <c r="A7" s="38"/>
      <c r="B7" s="47" t="s">
        <v>38</v>
      </c>
      <c r="C7" s="38"/>
      <c r="D7" s="42"/>
      <c r="E7" s="48">
        <v>10.0</v>
      </c>
      <c r="F7" s="38"/>
      <c r="G7" s="47" t="s">
        <v>61</v>
      </c>
      <c r="H7" s="38"/>
      <c r="I7" s="38"/>
      <c r="J7" s="38"/>
      <c r="K7" s="48">
        <v>10.0</v>
      </c>
      <c r="L7" s="48">
        <v>10.0</v>
      </c>
      <c r="M7" s="38"/>
      <c r="N7" s="38"/>
      <c r="O7" s="47" t="s">
        <v>62</v>
      </c>
      <c r="P7" s="38"/>
      <c r="Q7" s="38"/>
      <c r="R7" s="38"/>
      <c r="S7" s="38"/>
      <c r="T7" s="38"/>
      <c r="U7" s="38"/>
      <c r="V7" s="38"/>
      <c r="W7" s="42"/>
      <c r="X7" s="38"/>
      <c r="Y7" s="38"/>
      <c r="Z7" s="38"/>
      <c r="AA7" s="38"/>
      <c r="AB7" s="42"/>
      <c r="AC7" s="38"/>
      <c r="AD7" s="38"/>
      <c r="AE7" s="48">
        <v>10.0</v>
      </c>
      <c r="AF7" s="38"/>
      <c r="AG7" s="38"/>
      <c r="AH7" s="38"/>
      <c r="AI7" s="42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42"/>
      <c r="AU7" s="42"/>
      <c r="AV7" s="38"/>
      <c r="AW7" s="38"/>
      <c r="AX7" s="38"/>
      <c r="AY7" s="38"/>
      <c r="AZ7" s="38"/>
      <c r="BA7" s="38"/>
      <c r="BB7" s="38"/>
      <c r="BC7" s="38"/>
      <c r="BD7" s="38"/>
      <c r="BE7" s="42"/>
      <c r="BF7" s="42"/>
      <c r="BG7" s="38"/>
      <c r="BH7" s="38"/>
      <c r="BI7" s="38"/>
      <c r="BJ7" s="48">
        <v>10.0</v>
      </c>
      <c r="BK7" s="38"/>
      <c r="BL7" s="38"/>
      <c r="BM7" s="38"/>
      <c r="BN7" s="38"/>
      <c r="BO7" s="47" t="s">
        <v>39</v>
      </c>
      <c r="BP7" s="38"/>
      <c r="BQ7" s="38"/>
      <c r="BR7" s="38"/>
      <c r="BS7" s="47" t="s">
        <v>63</v>
      </c>
      <c r="BT7" s="47" t="s">
        <v>28</v>
      </c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42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42"/>
      <c r="FE7" s="38"/>
      <c r="FF7" s="38"/>
      <c r="FG7" s="42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</row>
    <row r="8" ht="15.75" customHeight="1">
      <c r="A8" s="38"/>
      <c r="B8" s="47" t="s">
        <v>38</v>
      </c>
      <c r="C8" s="38"/>
      <c r="D8" s="42"/>
      <c r="E8" s="48">
        <v>10.0</v>
      </c>
      <c r="F8" s="38"/>
      <c r="G8" s="47" t="s">
        <v>61</v>
      </c>
      <c r="H8" s="38"/>
      <c r="I8" s="38"/>
      <c r="J8" s="38"/>
      <c r="K8" s="48">
        <v>10.0</v>
      </c>
      <c r="L8" s="48">
        <v>10.0</v>
      </c>
      <c r="M8" s="38"/>
      <c r="N8" s="38"/>
      <c r="O8" s="47" t="s">
        <v>41</v>
      </c>
      <c r="P8" s="38"/>
      <c r="Q8" s="38"/>
      <c r="R8" s="38"/>
      <c r="S8" s="38"/>
      <c r="T8" s="38"/>
      <c r="U8" s="38"/>
      <c r="V8" s="38"/>
      <c r="W8" s="42"/>
      <c r="X8" s="38"/>
      <c r="Y8" s="38"/>
      <c r="Z8" s="38"/>
      <c r="AA8" s="38"/>
      <c r="AB8" s="42"/>
      <c r="AC8" s="38"/>
      <c r="AD8" s="38"/>
      <c r="AE8" s="48">
        <v>10.0</v>
      </c>
      <c r="AF8" s="38"/>
      <c r="AG8" s="38"/>
      <c r="AH8" s="38"/>
      <c r="AI8" s="42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42"/>
      <c r="AU8" s="42"/>
      <c r="AV8" s="38"/>
      <c r="AW8" s="38"/>
      <c r="AX8" s="38"/>
      <c r="AY8" s="38"/>
      <c r="AZ8" s="38"/>
      <c r="BA8" s="38"/>
      <c r="BB8" s="38"/>
      <c r="BC8" s="38"/>
      <c r="BD8" s="38"/>
      <c r="BE8" s="42"/>
      <c r="BF8" s="42"/>
      <c r="BG8" s="38"/>
      <c r="BH8" s="38"/>
      <c r="BI8" s="38"/>
      <c r="BJ8" s="48">
        <v>10.0</v>
      </c>
      <c r="BK8" s="38"/>
      <c r="BL8" s="38"/>
      <c r="BM8" s="38"/>
      <c r="BN8" s="38"/>
      <c r="BO8" s="47" t="s">
        <v>39</v>
      </c>
      <c r="BP8" s="38"/>
      <c r="BQ8" s="38"/>
      <c r="BR8" s="38"/>
      <c r="BS8" s="47" t="s">
        <v>63</v>
      </c>
      <c r="BT8" s="47" t="s">
        <v>28</v>
      </c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42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42"/>
      <c r="FE8" s="38"/>
      <c r="FF8" s="38"/>
      <c r="FG8" s="42"/>
      <c r="FH8" s="38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</row>
    <row r="9" ht="15.75" customHeight="1">
      <c r="A9" s="38"/>
      <c r="B9" s="47" t="s">
        <v>44</v>
      </c>
      <c r="C9" s="38"/>
      <c r="D9" s="42"/>
      <c r="E9" s="48">
        <v>10.0</v>
      </c>
      <c r="F9" s="38"/>
      <c r="G9" s="47" t="s">
        <v>61</v>
      </c>
      <c r="H9" s="38"/>
      <c r="I9" s="38"/>
      <c r="J9" s="38"/>
      <c r="K9" s="48">
        <v>10.0</v>
      </c>
      <c r="L9" s="48">
        <v>10.0</v>
      </c>
      <c r="M9" s="38"/>
      <c r="N9" s="38"/>
      <c r="O9" s="47" t="s">
        <v>62</v>
      </c>
      <c r="P9" s="38"/>
      <c r="Q9" s="38"/>
      <c r="R9" s="38"/>
      <c r="S9" s="38"/>
      <c r="T9" s="38"/>
      <c r="U9" s="38"/>
      <c r="V9" s="38"/>
      <c r="W9" s="42"/>
      <c r="X9" s="38"/>
      <c r="Y9" s="38"/>
      <c r="Z9" s="38"/>
      <c r="AA9" s="38"/>
      <c r="AB9" s="42"/>
      <c r="AC9" s="38"/>
      <c r="AD9" s="38"/>
      <c r="AE9" s="48">
        <v>10.0</v>
      </c>
      <c r="AF9" s="38"/>
      <c r="AG9" s="38"/>
      <c r="AH9" s="38"/>
      <c r="AI9" s="42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42"/>
      <c r="AU9" s="42"/>
      <c r="AV9" s="38"/>
      <c r="AW9" s="38"/>
      <c r="AX9" s="38"/>
      <c r="AY9" s="38"/>
      <c r="AZ9" s="38"/>
      <c r="BA9" s="38"/>
      <c r="BB9" s="38"/>
      <c r="BC9" s="38"/>
      <c r="BD9" s="38"/>
      <c r="BE9" s="42"/>
      <c r="BF9" s="42"/>
      <c r="BG9" s="38"/>
      <c r="BH9" s="38"/>
      <c r="BI9" s="38"/>
      <c r="BJ9" s="48">
        <v>10.0</v>
      </c>
      <c r="BK9" s="38"/>
      <c r="BL9" s="38"/>
      <c r="BM9" s="38"/>
      <c r="BN9" s="38"/>
      <c r="BO9" s="47" t="s">
        <v>39</v>
      </c>
      <c r="BP9" s="38"/>
      <c r="BQ9" s="38"/>
      <c r="BR9" s="38"/>
      <c r="BS9" s="47" t="s">
        <v>63</v>
      </c>
      <c r="BT9" s="47" t="s">
        <v>16</v>
      </c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42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42"/>
      <c r="FE9" s="38"/>
      <c r="FF9" s="38"/>
      <c r="FG9" s="42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</row>
    <row r="10" ht="15.75" customHeight="1">
      <c r="A10" s="38"/>
      <c r="B10" s="47" t="s">
        <v>44</v>
      </c>
      <c r="C10" s="38"/>
      <c r="D10" s="42"/>
      <c r="E10" s="48">
        <v>10.0</v>
      </c>
      <c r="F10" s="38"/>
      <c r="G10" s="47" t="s">
        <v>61</v>
      </c>
      <c r="H10" s="38"/>
      <c r="I10" s="38"/>
      <c r="J10" s="38"/>
      <c r="K10" s="48">
        <v>10.0</v>
      </c>
      <c r="L10" s="48">
        <v>10.0</v>
      </c>
      <c r="M10" s="38"/>
      <c r="N10" s="38"/>
      <c r="O10" s="47" t="s">
        <v>62</v>
      </c>
      <c r="P10" s="38"/>
      <c r="Q10" s="38"/>
      <c r="R10" s="38"/>
      <c r="S10" s="38"/>
      <c r="T10" s="38"/>
      <c r="U10" s="38"/>
      <c r="V10" s="38"/>
      <c r="W10" s="42"/>
      <c r="X10" s="38"/>
      <c r="Y10" s="38"/>
      <c r="Z10" s="38"/>
      <c r="AA10" s="38"/>
      <c r="AB10" s="42"/>
      <c r="AC10" s="38"/>
      <c r="AD10" s="38"/>
      <c r="AE10" s="48">
        <v>10.0</v>
      </c>
      <c r="AF10" s="38"/>
      <c r="AG10" s="38"/>
      <c r="AH10" s="38"/>
      <c r="AI10" s="42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42"/>
      <c r="AU10" s="42"/>
      <c r="AV10" s="38"/>
      <c r="AW10" s="38"/>
      <c r="AX10" s="38"/>
      <c r="AY10" s="38"/>
      <c r="AZ10" s="38"/>
      <c r="BA10" s="38"/>
      <c r="BB10" s="38"/>
      <c r="BC10" s="38"/>
      <c r="BD10" s="38"/>
      <c r="BE10" s="42"/>
      <c r="BF10" s="42"/>
      <c r="BG10" s="38"/>
      <c r="BH10" s="38"/>
      <c r="BI10" s="38"/>
      <c r="BJ10" s="48">
        <v>10.0</v>
      </c>
      <c r="BK10" s="38"/>
      <c r="BL10" s="38"/>
      <c r="BM10" s="38"/>
      <c r="BN10" s="38"/>
      <c r="BO10" s="47" t="s">
        <v>39</v>
      </c>
      <c r="BP10" s="38"/>
      <c r="BQ10" s="38"/>
      <c r="BR10" s="38"/>
      <c r="BS10" s="47" t="s">
        <v>63</v>
      </c>
      <c r="BT10" s="47" t="s">
        <v>18</v>
      </c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42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42"/>
      <c r="FE10" s="38"/>
      <c r="FF10" s="38"/>
      <c r="FG10" s="42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</row>
    <row r="11" ht="15.75" customHeight="1">
      <c r="A11" s="38"/>
      <c r="B11" s="47" t="s">
        <v>44</v>
      </c>
      <c r="C11" s="38"/>
      <c r="D11" s="42"/>
      <c r="E11" s="48">
        <v>10.0</v>
      </c>
      <c r="F11" s="38"/>
      <c r="G11" s="47" t="s">
        <v>61</v>
      </c>
      <c r="H11" s="38"/>
      <c r="I11" s="38"/>
      <c r="J11" s="38"/>
      <c r="K11" s="48">
        <v>10.0</v>
      </c>
      <c r="L11" s="48">
        <v>10.0</v>
      </c>
      <c r="M11" s="38"/>
      <c r="N11" s="38"/>
      <c r="O11" s="47" t="s">
        <v>62</v>
      </c>
      <c r="P11" s="38"/>
      <c r="Q11" s="38"/>
      <c r="R11" s="38"/>
      <c r="S11" s="38"/>
      <c r="T11" s="38"/>
      <c r="U11" s="38"/>
      <c r="V11" s="38"/>
      <c r="W11" s="42"/>
      <c r="X11" s="38"/>
      <c r="Y11" s="38"/>
      <c r="Z11" s="38"/>
      <c r="AA11" s="38"/>
      <c r="AB11" s="42"/>
      <c r="AC11" s="38"/>
      <c r="AD11" s="38"/>
      <c r="AE11" s="48">
        <v>10.0</v>
      </c>
      <c r="AF11" s="38"/>
      <c r="AG11" s="38"/>
      <c r="AH11" s="38"/>
      <c r="AI11" s="42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42"/>
      <c r="AU11" s="42"/>
      <c r="AV11" s="38"/>
      <c r="AW11" s="38"/>
      <c r="AX11" s="38"/>
      <c r="AY11" s="38"/>
      <c r="AZ11" s="38"/>
      <c r="BA11" s="38"/>
      <c r="BB11" s="38"/>
      <c r="BC11" s="38"/>
      <c r="BD11" s="38"/>
      <c r="BE11" s="42"/>
      <c r="BF11" s="42"/>
      <c r="BG11" s="38"/>
      <c r="BH11" s="38"/>
      <c r="BI11" s="38"/>
      <c r="BJ11" s="48">
        <v>10.0</v>
      </c>
      <c r="BK11" s="38"/>
      <c r="BL11" s="38"/>
      <c r="BM11" s="38"/>
      <c r="BN11" s="38"/>
      <c r="BO11" s="47" t="s">
        <v>39</v>
      </c>
      <c r="BP11" s="38"/>
      <c r="BQ11" s="38"/>
      <c r="BR11" s="38"/>
      <c r="BS11" s="47" t="s">
        <v>63</v>
      </c>
      <c r="BT11" s="47" t="s">
        <v>19</v>
      </c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42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42"/>
      <c r="FE11" s="38"/>
      <c r="FF11" s="38"/>
      <c r="FG11" s="42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38"/>
      <c r="AJN11" s="38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</row>
    <row r="12" ht="15.75" customHeight="1">
      <c r="A12" s="38"/>
      <c r="B12" s="47" t="s">
        <v>46</v>
      </c>
      <c r="C12" s="38"/>
      <c r="D12" s="42"/>
      <c r="E12" s="48">
        <v>10.0</v>
      </c>
      <c r="F12" s="38"/>
      <c r="G12" s="47" t="s">
        <v>61</v>
      </c>
      <c r="H12" s="38"/>
      <c r="I12" s="38"/>
      <c r="J12" s="38"/>
      <c r="K12" s="48">
        <v>10.0</v>
      </c>
      <c r="L12" s="48">
        <v>10.0</v>
      </c>
      <c r="M12" s="38"/>
      <c r="N12" s="38"/>
      <c r="O12" s="47" t="s">
        <v>62</v>
      </c>
      <c r="P12" s="38"/>
      <c r="Q12" s="38"/>
      <c r="R12" s="38"/>
      <c r="S12" s="38"/>
      <c r="T12" s="38"/>
      <c r="U12" s="38"/>
      <c r="V12" s="38"/>
      <c r="W12" s="42"/>
      <c r="X12" s="38"/>
      <c r="Y12" s="38"/>
      <c r="Z12" s="38"/>
      <c r="AA12" s="38"/>
      <c r="AB12" s="42"/>
      <c r="AC12" s="38"/>
      <c r="AD12" s="38"/>
      <c r="AE12" s="48">
        <v>10.0</v>
      </c>
      <c r="AF12" s="38"/>
      <c r="AG12" s="38"/>
      <c r="AH12" s="38"/>
      <c r="AI12" s="42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42"/>
      <c r="AU12" s="42"/>
      <c r="AV12" s="38"/>
      <c r="AW12" s="38"/>
      <c r="AX12" s="38"/>
      <c r="AY12" s="38"/>
      <c r="AZ12" s="38"/>
      <c r="BA12" s="38"/>
      <c r="BB12" s="38"/>
      <c r="BC12" s="38"/>
      <c r="BD12" s="38"/>
      <c r="BE12" s="42"/>
      <c r="BF12" s="42"/>
      <c r="BG12" s="38"/>
      <c r="BH12" s="38"/>
      <c r="BI12" s="38"/>
      <c r="BJ12" s="48">
        <v>10.0</v>
      </c>
      <c r="BK12" s="38"/>
      <c r="BL12" s="38"/>
      <c r="BM12" s="38"/>
      <c r="BN12" s="38"/>
      <c r="BO12" s="47" t="s">
        <v>47</v>
      </c>
      <c r="BP12" s="38"/>
      <c r="BQ12" s="38"/>
      <c r="BR12" s="38"/>
      <c r="BS12" s="47" t="s">
        <v>63</v>
      </c>
      <c r="BT12" s="47" t="s">
        <v>20</v>
      </c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42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42"/>
      <c r="FE12" s="38"/>
      <c r="FF12" s="38"/>
      <c r="FG12" s="42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/>
      <c r="VR12" s="38"/>
      <c r="VS12" s="38"/>
      <c r="VT12" s="38"/>
      <c r="VU12" s="38"/>
      <c r="VV12" s="38"/>
      <c r="VW12" s="38"/>
      <c r="VX12" s="38"/>
      <c r="VY12" s="38"/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/>
      <c r="XT12" s="38"/>
      <c r="XU12" s="38"/>
      <c r="XV12" s="38"/>
      <c r="XW12" s="38"/>
      <c r="XX12" s="38"/>
      <c r="XY12" s="38"/>
      <c r="XZ12" s="38"/>
      <c r="YA12" s="38"/>
      <c r="YB12" s="38"/>
      <c r="YC12" s="38"/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38"/>
      <c r="YU12" s="38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8"/>
      <c r="AAK12" s="38"/>
      <c r="AAL12" s="38"/>
      <c r="AAM12" s="38"/>
      <c r="AAN12" s="38"/>
      <c r="AAO12" s="38"/>
      <c r="AAP12" s="38"/>
      <c r="AAQ12" s="38"/>
      <c r="AAR12" s="38"/>
      <c r="AAS12" s="38"/>
      <c r="AAT12" s="38"/>
      <c r="AAU12" s="38"/>
      <c r="AAV12" s="38"/>
      <c r="AAW12" s="38"/>
      <c r="AAX12" s="38"/>
      <c r="AAY12" s="38"/>
      <c r="AAZ12" s="38"/>
      <c r="ABA12" s="38"/>
      <c r="ABB12" s="38"/>
      <c r="ABC12" s="38"/>
      <c r="ABD12" s="38"/>
      <c r="ABE12" s="38"/>
      <c r="ABF12" s="38"/>
      <c r="ABG12" s="38"/>
      <c r="ABH12" s="38"/>
      <c r="ABI12" s="38"/>
      <c r="ABJ12" s="38"/>
      <c r="ABK12" s="38"/>
      <c r="ABL12" s="38"/>
      <c r="ABM12" s="38"/>
      <c r="ABN12" s="38"/>
      <c r="ABO12" s="38"/>
      <c r="ABP12" s="38"/>
      <c r="ABQ12" s="38"/>
      <c r="ABR12" s="38"/>
      <c r="ABS12" s="38"/>
      <c r="ABT12" s="38"/>
      <c r="ABU12" s="38"/>
      <c r="ABV12" s="38"/>
      <c r="ABW12" s="38"/>
      <c r="ABX12" s="38"/>
      <c r="ABY12" s="38"/>
      <c r="ABZ12" s="38"/>
      <c r="ACA12" s="38"/>
      <c r="ACB12" s="38"/>
      <c r="ACC12" s="38"/>
      <c r="ACD12" s="38"/>
      <c r="ACE12" s="38"/>
      <c r="ACF12" s="38"/>
      <c r="ACG12" s="38"/>
      <c r="ACH12" s="38"/>
      <c r="ACI12" s="38"/>
      <c r="ACJ12" s="38"/>
      <c r="ACK12" s="38"/>
      <c r="ACL12" s="38"/>
      <c r="ACM12" s="38"/>
      <c r="ACN12" s="38"/>
      <c r="ACO12" s="38"/>
      <c r="ACP12" s="38"/>
      <c r="ACQ12" s="38"/>
      <c r="ACR12" s="38"/>
      <c r="ACS12" s="38"/>
      <c r="ACT12" s="38"/>
      <c r="ACU12" s="38"/>
      <c r="ACV12" s="38"/>
      <c r="ACW12" s="38"/>
      <c r="ACX12" s="38"/>
      <c r="ACY12" s="38"/>
      <c r="ACZ12" s="38"/>
      <c r="ADA12" s="38"/>
      <c r="ADB12" s="38"/>
      <c r="ADC12" s="38"/>
      <c r="ADD12" s="38"/>
      <c r="ADE12" s="38"/>
      <c r="ADF12" s="38"/>
      <c r="ADG12" s="38"/>
      <c r="ADH12" s="38"/>
      <c r="ADI12" s="38"/>
      <c r="ADJ12" s="38"/>
      <c r="ADK12" s="38"/>
      <c r="ADL12" s="38"/>
      <c r="ADM12" s="38"/>
      <c r="ADN12" s="38"/>
      <c r="ADO12" s="38"/>
      <c r="ADP12" s="38"/>
      <c r="ADQ12" s="38"/>
      <c r="ADR12" s="38"/>
      <c r="ADS12" s="38"/>
      <c r="ADT12" s="38"/>
      <c r="ADU12" s="38"/>
      <c r="ADV12" s="38"/>
      <c r="ADW12" s="38"/>
      <c r="ADX12" s="38"/>
      <c r="ADY12" s="38"/>
      <c r="ADZ12" s="38"/>
      <c r="AEA12" s="38"/>
      <c r="AEB12" s="38"/>
      <c r="AEC12" s="38"/>
      <c r="AED12" s="38"/>
      <c r="AEE12" s="38"/>
      <c r="AEF12" s="38"/>
      <c r="AEG12" s="38"/>
      <c r="AEH12" s="38"/>
      <c r="AEI12" s="38"/>
      <c r="AEJ12" s="38"/>
      <c r="AEK12" s="38"/>
      <c r="AEL12" s="38"/>
      <c r="AEM12" s="38"/>
      <c r="AEN12" s="38"/>
      <c r="AEO12" s="38"/>
      <c r="AEP12" s="38"/>
      <c r="AEQ12" s="38"/>
      <c r="AER12" s="38"/>
      <c r="AES12" s="38"/>
      <c r="AET12" s="38"/>
      <c r="AEU12" s="38"/>
      <c r="AEV12" s="38"/>
      <c r="AEW12" s="38"/>
      <c r="AEX12" s="38"/>
      <c r="AEY12" s="38"/>
      <c r="AEZ12" s="38"/>
      <c r="AFA12" s="38"/>
      <c r="AFB12" s="38"/>
      <c r="AFC12" s="38"/>
      <c r="AFD12" s="38"/>
      <c r="AFE12" s="38"/>
      <c r="AFF12" s="38"/>
      <c r="AFG12" s="38"/>
      <c r="AFH12" s="38"/>
      <c r="AFI12" s="38"/>
      <c r="AFJ12" s="38"/>
      <c r="AFK12" s="38"/>
      <c r="AFL12" s="38"/>
      <c r="AFM12" s="38"/>
      <c r="AFN12" s="38"/>
      <c r="AFO12" s="38"/>
      <c r="AFP12" s="38"/>
      <c r="AFQ12" s="38"/>
      <c r="AFR12" s="38"/>
      <c r="AFS12" s="38"/>
      <c r="AFT12" s="38"/>
      <c r="AFU12" s="38"/>
      <c r="AFV12" s="38"/>
      <c r="AFW12" s="38"/>
      <c r="AFX12" s="38"/>
      <c r="AFY12" s="38"/>
      <c r="AFZ12" s="38"/>
      <c r="AGA12" s="38"/>
      <c r="AGB12" s="38"/>
      <c r="AGC12" s="38"/>
      <c r="AGD12" s="38"/>
      <c r="AGE12" s="38"/>
      <c r="AGF12" s="38"/>
      <c r="AGG12" s="38"/>
      <c r="AGH12" s="38"/>
      <c r="AGI12" s="38"/>
      <c r="AGJ12" s="38"/>
      <c r="AGK12" s="38"/>
      <c r="AGL12" s="38"/>
      <c r="AGM12" s="38"/>
      <c r="AGN12" s="38"/>
      <c r="AGO12" s="38"/>
      <c r="AGP12" s="38"/>
      <c r="AGQ12" s="38"/>
      <c r="AGR12" s="38"/>
      <c r="AGS12" s="38"/>
      <c r="AGT12" s="38"/>
      <c r="AGU12" s="38"/>
      <c r="AGV12" s="38"/>
      <c r="AGW12" s="38"/>
      <c r="AGX12" s="38"/>
      <c r="AGY12" s="38"/>
      <c r="AGZ12" s="38"/>
      <c r="AHA12" s="38"/>
      <c r="AHB12" s="38"/>
      <c r="AHC12" s="38"/>
      <c r="AHD12" s="38"/>
      <c r="AHE12" s="38"/>
      <c r="AHF12" s="38"/>
      <c r="AHG12" s="38"/>
      <c r="AHH12" s="38"/>
      <c r="AHI12" s="38"/>
      <c r="AHJ12" s="38"/>
      <c r="AHK12" s="38"/>
      <c r="AHL12" s="38"/>
      <c r="AHM12" s="38"/>
      <c r="AHN12" s="38"/>
      <c r="AHO12" s="38"/>
      <c r="AHP12" s="38"/>
      <c r="AHQ12" s="38"/>
      <c r="AHR12" s="38"/>
      <c r="AHS12" s="38"/>
      <c r="AHT12" s="38"/>
      <c r="AHU12" s="38"/>
      <c r="AHV12" s="38"/>
      <c r="AHW12" s="38"/>
      <c r="AHX12" s="38"/>
      <c r="AHY12" s="38"/>
      <c r="AHZ12" s="38"/>
      <c r="AIA12" s="38"/>
      <c r="AIB12" s="38"/>
      <c r="AIC12" s="38"/>
      <c r="AID12" s="38"/>
      <c r="AIE12" s="38"/>
      <c r="AIF12" s="38"/>
      <c r="AIG12" s="38"/>
      <c r="AIH12" s="38"/>
      <c r="AII12" s="38"/>
      <c r="AIJ12" s="38"/>
      <c r="AIK12" s="38"/>
      <c r="AIL12" s="38"/>
      <c r="AIM12" s="38"/>
      <c r="AIN12" s="38"/>
      <c r="AIO12" s="38"/>
      <c r="AIP12" s="38"/>
      <c r="AIQ12" s="38"/>
      <c r="AIR12" s="38"/>
      <c r="AIS12" s="38"/>
      <c r="AIT12" s="38"/>
      <c r="AIU12" s="38"/>
      <c r="AIV12" s="38"/>
      <c r="AIW12" s="38"/>
      <c r="AIX12" s="38"/>
      <c r="AIY12" s="38"/>
      <c r="AIZ12" s="38"/>
      <c r="AJA12" s="38"/>
      <c r="AJB12" s="38"/>
      <c r="AJC12" s="38"/>
      <c r="AJD12" s="38"/>
      <c r="AJE12" s="38"/>
      <c r="AJF12" s="38"/>
      <c r="AJG12" s="38"/>
      <c r="AJH12" s="38"/>
      <c r="AJI12" s="38"/>
      <c r="AJJ12" s="38"/>
      <c r="AJK12" s="38"/>
      <c r="AJL12" s="38"/>
      <c r="AJM12" s="38"/>
      <c r="AJN12" s="38"/>
      <c r="AJO12" s="38"/>
      <c r="AJP12" s="38"/>
      <c r="AJQ12" s="38"/>
      <c r="AJR12" s="38"/>
      <c r="AJS12" s="38"/>
      <c r="AJT12" s="38"/>
      <c r="AJU12" s="38"/>
      <c r="AJV12" s="38"/>
      <c r="AJW12" s="38"/>
      <c r="AJX12" s="38"/>
      <c r="AJY12" s="38"/>
      <c r="AJZ12" s="38"/>
      <c r="AKA12" s="38"/>
      <c r="AKB12" s="38"/>
      <c r="AKC12" s="38"/>
      <c r="AKD12" s="38"/>
      <c r="AKE12" s="38"/>
      <c r="AKF12" s="38"/>
      <c r="AKG12" s="38"/>
      <c r="AKH12" s="38"/>
      <c r="AKI12" s="38"/>
      <c r="AKJ12" s="38"/>
      <c r="AKK12" s="38"/>
      <c r="AKL12" s="38"/>
      <c r="AKM12" s="38"/>
      <c r="AKN12" s="38"/>
      <c r="AKO12" s="38"/>
      <c r="AKP12" s="38"/>
      <c r="AKQ12" s="38"/>
      <c r="AKR12" s="38"/>
      <c r="AKS12" s="38"/>
      <c r="AKT12" s="38"/>
      <c r="AKU12" s="38"/>
      <c r="AKV12" s="38"/>
      <c r="AKW12" s="38"/>
      <c r="AKX12" s="38"/>
      <c r="AKY12" s="38"/>
      <c r="AKZ12" s="38"/>
      <c r="ALA12" s="38"/>
      <c r="ALB12" s="38"/>
      <c r="ALC12" s="38"/>
      <c r="ALD12" s="38"/>
      <c r="ALE12" s="38"/>
      <c r="ALF12" s="38"/>
      <c r="ALG12" s="38"/>
      <c r="ALH12" s="38"/>
      <c r="ALI12" s="38"/>
      <c r="ALJ12" s="38"/>
      <c r="ALK12" s="38"/>
      <c r="ALL12" s="38"/>
      <c r="ALM12" s="38"/>
      <c r="ALN12" s="38"/>
      <c r="ALO12" s="38"/>
      <c r="ALP12" s="38"/>
      <c r="ALQ12" s="38"/>
      <c r="ALR12" s="38"/>
      <c r="ALS12" s="38"/>
      <c r="ALT12" s="38"/>
      <c r="ALU12" s="38"/>
      <c r="ALV12" s="38"/>
      <c r="ALW12" s="38"/>
      <c r="ALX12" s="38"/>
      <c r="ALY12" s="38"/>
      <c r="ALZ12" s="38"/>
      <c r="AMA12" s="38"/>
      <c r="AMB12" s="38"/>
      <c r="AMC12" s="38"/>
      <c r="AMD12" s="38"/>
      <c r="AME12" s="38"/>
      <c r="AMF12" s="38"/>
      <c r="AMG12" s="38"/>
      <c r="AMH12" s="38"/>
      <c r="AMI12" s="38"/>
      <c r="AMJ12" s="38"/>
      <c r="AMK12" s="38"/>
    </row>
    <row r="13" ht="15.75" customHeight="1">
      <c r="A13" s="38"/>
      <c r="B13" s="47" t="s">
        <v>46</v>
      </c>
      <c r="C13" s="38"/>
      <c r="D13" s="42"/>
      <c r="E13" s="48">
        <v>10.0</v>
      </c>
      <c r="F13" s="38"/>
      <c r="G13" s="47" t="s">
        <v>61</v>
      </c>
      <c r="H13" s="38"/>
      <c r="I13" s="38"/>
      <c r="J13" s="38"/>
      <c r="K13" s="48">
        <v>10.0</v>
      </c>
      <c r="L13" s="48">
        <v>10.0</v>
      </c>
      <c r="M13" s="38"/>
      <c r="N13" s="38"/>
      <c r="O13" s="47" t="s">
        <v>62</v>
      </c>
      <c r="P13" s="38"/>
      <c r="Q13" s="38"/>
      <c r="R13" s="38"/>
      <c r="S13" s="38"/>
      <c r="T13" s="38"/>
      <c r="U13" s="38"/>
      <c r="V13" s="38"/>
      <c r="W13" s="42"/>
      <c r="X13" s="38"/>
      <c r="Y13" s="38"/>
      <c r="Z13" s="38"/>
      <c r="AA13" s="38"/>
      <c r="AB13" s="42"/>
      <c r="AC13" s="38"/>
      <c r="AD13" s="38"/>
      <c r="AE13" s="48">
        <v>10.0</v>
      </c>
      <c r="AF13" s="38"/>
      <c r="AG13" s="38"/>
      <c r="AH13" s="38"/>
      <c r="AI13" s="42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42"/>
      <c r="AU13" s="42"/>
      <c r="AV13" s="38"/>
      <c r="AW13" s="38"/>
      <c r="AX13" s="38"/>
      <c r="AY13" s="38"/>
      <c r="AZ13" s="38"/>
      <c r="BA13" s="38"/>
      <c r="BB13" s="38"/>
      <c r="BC13" s="38"/>
      <c r="BD13" s="38"/>
      <c r="BE13" s="42"/>
      <c r="BF13" s="42"/>
      <c r="BG13" s="38"/>
      <c r="BH13" s="38"/>
      <c r="BI13" s="38"/>
      <c r="BJ13" s="48">
        <v>10.0</v>
      </c>
      <c r="BK13" s="38"/>
      <c r="BL13" s="38"/>
      <c r="BM13" s="38"/>
      <c r="BN13" s="38"/>
      <c r="BO13" s="47" t="s">
        <v>47</v>
      </c>
      <c r="BP13" s="38"/>
      <c r="BQ13" s="38"/>
      <c r="BR13" s="38"/>
      <c r="BS13" s="47" t="s">
        <v>63</v>
      </c>
      <c r="BT13" s="47" t="s">
        <v>21</v>
      </c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42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42"/>
      <c r="FE13" s="38"/>
      <c r="FF13" s="38"/>
      <c r="FG13" s="42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38"/>
      <c r="SL13" s="38"/>
      <c r="SM13" s="38"/>
      <c r="SN13" s="38"/>
      <c r="SO13" s="38"/>
      <c r="SP13" s="38"/>
      <c r="SQ13" s="38"/>
      <c r="SR13" s="38"/>
      <c r="SS13" s="38"/>
      <c r="ST13" s="38"/>
      <c r="SU13" s="38"/>
      <c r="SV13" s="38"/>
      <c r="SW13" s="38"/>
      <c r="SX13" s="38"/>
      <c r="SY13" s="38"/>
      <c r="SZ13" s="38"/>
      <c r="TA13" s="38"/>
      <c r="TB13" s="38"/>
      <c r="TC13" s="38"/>
      <c r="TD13" s="38"/>
      <c r="TE13" s="38"/>
      <c r="TF13" s="38"/>
      <c r="TG13" s="38"/>
      <c r="TH13" s="38"/>
      <c r="TI13" s="38"/>
      <c r="TJ13" s="38"/>
      <c r="TK13" s="38"/>
      <c r="TL13" s="38"/>
      <c r="TM13" s="38"/>
      <c r="TN13" s="38"/>
      <c r="TO13" s="38"/>
      <c r="TP13" s="38"/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/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/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38"/>
      <c r="YU13" s="38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/>
      <c r="ZR13" s="38"/>
      <c r="ZS13" s="38"/>
      <c r="ZT13" s="38"/>
      <c r="ZU13" s="38"/>
      <c r="ZV13" s="38"/>
      <c r="ZW13" s="38"/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8"/>
      <c r="AAK13" s="38"/>
      <c r="AAL13" s="38"/>
      <c r="AAM13" s="38"/>
      <c r="AAN13" s="38"/>
      <c r="AAO13" s="38"/>
      <c r="AAP13" s="38"/>
      <c r="AAQ13" s="38"/>
      <c r="AAR13" s="38"/>
      <c r="AAS13" s="38"/>
      <c r="AAT13" s="38"/>
      <c r="AAU13" s="38"/>
      <c r="AAV13" s="38"/>
      <c r="AAW13" s="38"/>
      <c r="AAX13" s="38"/>
      <c r="AAY13" s="38"/>
      <c r="AAZ13" s="38"/>
      <c r="ABA13" s="38"/>
      <c r="ABB13" s="38"/>
      <c r="ABC13" s="38"/>
      <c r="ABD13" s="38"/>
      <c r="ABE13" s="38"/>
      <c r="ABF13" s="38"/>
      <c r="ABG13" s="38"/>
      <c r="ABH13" s="38"/>
      <c r="ABI13" s="38"/>
      <c r="ABJ13" s="38"/>
      <c r="ABK13" s="38"/>
      <c r="ABL13" s="38"/>
      <c r="ABM13" s="38"/>
      <c r="ABN13" s="38"/>
      <c r="ABO13" s="38"/>
      <c r="ABP13" s="38"/>
      <c r="ABQ13" s="38"/>
      <c r="ABR13" s="38"/>
      <c r="ABS13" s="38"/>
      <c r="ABT13" s="38"/>
      <c r="ABU13" s="38"/>
      <c r="ABV13" s="38"/>
      <c r="ABW13" s="38"/>
      <c r="ABX13" s="38"/>
      <c r="ABY13" s="38"/>
      <c r="ABZ13" s="38"/>
      <c r="ACA13" s="38"/>
      <c r="ACB13" s="38"/>
      <c r="ACC13" s="38"/>
      <c r="ACD13" s="38"/>
      <c r="ACE13" s="38"/>
      <c r="ACF13" s="38"/>
      <c r="ACG13" s="38"/>
      <c r="ACH13" s="38"/>
      <c r="ACI13" s="38"/>
      <c r="ACJ13" s="38"/>
      <c r="ACK13" s="38"/>
      <c r="ACL13" s="38"/>
      <c r="ACM13" s="38"/>
      <c r="ACN13" s="38"/>
      <c r="ACO13" s="38"/>
      <c r="ACP13" s="38"/>
      <c r="ACQ13" s="38"/>
      <c r="ACR13" s="38"/>
      <c r="ACS13" s="38"/>
      <c r="ACT13" s="38"/>
      <c r="ACU13" s="38"/>
      <c r="ACV13" s="38"/>
      <c r="ACW13" s="38"/>
      <c r="ACX13" s="38"/>
      <c r="ACY13" s="38"/>
      <c r="ACZ13" s="38"/>
      <c r="ADA13" s="38"/>
      <c r="ADB13" s="38"/>
      <c r="ADC13" s="38"/>
      <c r="ADD13" s="38"/>
      <c r="ADE13" s="38"/>
      <c r="ADF13" s="38"/>
      <c r="ADG13" s="38"/>
      <c r="ADH13" s="38"/>
      <c r="ADI13" s="38"/>
      <c r="ADJ13" s="38"/>
      <c r="ADK13" s="38"/>
      <c r="ADL13" s="38"/>
      <c r="ADM13" s="38"/>
      <c r="ADN13" s="38"/>
      <c r="ADO13" s="38"/>
      <c r="ADP13" s="38"/>
      <c r="ADQ13" s="38"/>
      <c r="ADR13" s="38"/>
      <c r="ADS13" s="38"/>
      <c r="ADT13" s="38"/>
      <c r="ADU13" s="38"/>
      <c r="ADV13" s="38"/>
      <c r="ADW13" s="38"/>
      <c r="ADX13" s="38"/>
      <c r="ADY13" s="38"/>
      <c r="ADZ13" s="38"/>
      <c r="AEA13" s="38"/>
      <c r="AEB13" s="38"/>
      <c r="AEC13" s="38"/>
      <c r="AED13" s="38"/>
      <c r="AEE13" s="38"/>
      <c r="AEF13" s="38"/>
      <c r="AEG13" s="38"/>
      <c r="AEH13" s="38"/>
      <c r="AEI13" s="38"/>
      <c r="AEJ13" s="38"/>
      <c r="AEK13" s="38"/>
      <c r="AEL13" s="38"/>
      <c r="AEM13" s="38"/>
      <c r="AEN13" s="38"/>
      <c r="AEO13" s="38"/>
      <c r="AEP13" s="38"/>
      <c r="AEQ13" s="38"/>
      <c r="AER13" s="38"/>
      <c r="AES13" s="38"/>
      <c r="AET13" s="38"/>
      <c r="AEU13" s="38"/>
      <c r="AEV13" s="38"/>
      <c r="AEW13" s="38"/>
      <c r="AEX13" s="38"/>
      <c r="AEY13" s="38"/>
      <c r="AEZ13" s="38"/>
      <c r="AFA13" s="38"/>
      <c r="AFB13" s="38"/>
      <c r="AFC13" s="38"/>
      <c r="AFD13" s="38"/>
      <c r="AFE13" s="38"/>
      <c r="AFF13" s="38"/>
      <c r="AFG13" s="38"/>
      <c r="AFH13" s="38"/>
      <c r="AFI13" s="38"/>
      <c r="AFJ13" s="38"/>
      <c r="AFK13" s="38"/>
      <c r="AFL13" s="38"/>
      <c r="AFM13" s="38"/>
      <c r="AFN13" s="38"/>
      <c r="AFO13" s="38"/>
      <c r="AFP13" s="38"/>
      <c r="AFQ13" s="38"/>
      <c r="AFR13" s="38"/>
      <c r="AFS13" s="38"/>
      <c r="AFT13" s="38"/>
      <c r="AFU13" s="38"/>
      <c r="AFV13" s="38"/>
      <c r="AFW13" s="38"/>
      <c r="AFX13" s="38"/>
      <c r="AFY13" s="38"/>
      <c r="AFZ13" s="38"/>
      <c r="AGA13" s="38"/>
      <c r="AGB13" s="38"/>
      <c r="AGC13" s="38"/>
      <c r="AGD13" s="38"/>
      <c r="AGE13" s="38"/>
      <c r="AGF13" s="38"/>
      <c r="AGG13" s="38"/>
      <c r="AGH13" s="38"/>
      <c r="AGI13" s="38"/>
      <c r="AGJ13" s="38"/>
      <c r="AGK13" s="38"/>
      <c r="AGL13" s="38"/>
      <c r="AGM13" s="38"/>
      <c r="AGN13" s="38"/>
      <c r="AGO13" s="38"/>
      <c r="AGP13" s="38"/>
      <c r="AGQ13" s="38"/>
      <c r="AGR13" s="38"/>
      <c r="AGS13" s="38"/>
      <c r="AGT13" s="38"/>
      <c r="AGU13" s="38"/>
      <c r="AGV13" s="38"/>
      <c r="AGW13" s="38"/>
      <c r="AGX13" s="38"/>
      <c r="AGY13" s="38"/>
      <c r="AGZ13" s="38"/>
      <c r="AHA13" s="38"/>
      <c r="AHB13" s="38"/>
      <c r="AHC13" s="38"/>
      <c r="AHD13" s="38"/>
      <c r="AHE13" s="38"/>
      <c r="AHF13" s="38"/>
      <c r="AHG13" s="38"/>
      <c r="AHH13" s="38"/>
      <c r="AHI13" s="38"/>
      <c r="AHJ13" s="38"/>
      <c r="AHK13" s="38"/>
      <c r="AHL13" s="38"/>
      <c r="AHM13" s="38"/>
      <c r="AHN13" s="38"/>
      <c r="AHO13" s="38"/>
      <c r="AHP13" s="38"/>
      <c r="AHQ13" s="38"/>
      <c r="AHR13" s="38"/>
      <c r="AHS13" s="38"/>
      <c r="AHT13" s="38"/>
      <c r="AHU13" s="38"/>
      <c r="AHV13" s="38"/>
      <c r="AHW13" s="38"/>
      <c r="AHX13" s="38"/>
      <c r="AHY13" s="38"/>
      <c r="AHZ13" s="38"/>
      <c r="AIA13" s="38"/>
      <c r="AIB13" s="38"/>
      <c r="AIC13" s="38"/>
      <c r="AID13" s="38"/>
      <c r="AIE13" s="38"/>
      <c r="AIF13" s="38"/>
      <c r="AIG13" s="38"/>
      <c r="AIH13" s="38"/>
      <c r="AII13" s="38"/>
      <c r="AIJ13" s="38"/>
      <c r="AIK13" s="38"/>
      <c r="AIL13" s="38"/>
      <c r="AIM13" s="38"/>
      <c r="AIN13" s="38"/>
      <c r="AIO13" s="38"/>
      <c r="AIP13" s="38"/>
      <c r="AIQ13" s="38"/>
      <c r="AIR13" s="38"/>
      <c r="AIS13" s="38"/>
      <c r="AIT13" s="38"/>
      <c r="AIU13" s="38"/>
      <c r="AIV13" s="38"/>
      <c r="AIW13" s="38"/>
      <c r="AIX13" s="38"/>
      <c r="AIY13" s="38"/>
      <c r="AIZ13" s="38"/>
      <c r="AJA13" s="38"/>
      <c r="AJB13" s="38"/>
      <c r="AJC13" s="38"/>
      <c r="AJD13" s="38"/>
      <c r="AJE13" s="38"/>
      <c r="AJF13" s="38"/>
      <c r="AJG13" s="38"/>
      <c r="AJH13" s="38"/>
      <c r="AJI13" s="38"/>
      <c r="AJJ13" s="38"/>
      <c r="AJK13" s="38"/>
      <c r="AJL13" s="38"/>
      <c r="AJM13" s="38"/>
      <c r="AJN13" s="38"/>
      <c r="AJO13" s="38"/>
      <c r="AJP13" s="38"/>
      <c r="AJQ13" s="38"/>
      <c r="AJR13" s="38"/>
      <c r="AJS13" s="38"/>
      <c r="AJT13" s="38"/>
      <c r="AJU13" s="38"/>
      <c r="AJV13" s="38"/>
      <c r="AJW13" s="38"/>
      <c r="AJX13" s="38"/>
      <c r="AJY13" s="38"/>
      <c r="AJZ13" s="38"/>
      <c r="AKA13" s="38"/>
      <c r="AKB13" s="38"/>
      <c r="AKC13" s="38"/>
      <c r="AKD13" s="38"/>
      <c r="AKE13" s="38"/>
      <c r="AKF13" s="38"/>
      <c r="AKG13" s="38"/>
      <c r="AKH13" s="38"/>
      <c r="AKI13" s="38"/>
      <c r="AKJ13" s="38"/>
      <c r="AKK13" s="38"/>
      <c r="AKL13" s="38"/>
      <c r="AKM13" s="38"/>
      <c r="AKN13" s="38"/>
      <c r="AKO13" s="38"/>
      <c r="AKP13" s="38"/>
      <c r="AKQ13" s="38"/>
      <c r="AKR13" s="38"/>
      <c r="AKS13" s="38"/>
      <c r="AKT13" s="38"/>
      <c r="AKU13" s="38"/>
      <c r="AKV13" s="38"/>
      <c r="AKW13" s="38"/>
      <c r="AKX13" s="38"/>
      <c r="AKY13" s="38"/>
      <c r="AKZ13" s="38"/>
      <c r="ALA13" s="38"/>
      <c r="ALB13" s="38"/>
      <c r="ALC13" s="38"/>
      <c r="ALD13" s="38"/>
      <c r="ALE13" s="38"/>
      <c r="ALF13" s="38"/>
      <c r="ALG13" s="38"/>
      <c r="ALH13" s="38"/>
      <c r="ALI13" s="38"/>
      <c r="ALJ13" s="38"/>
      <c r="ALK13" s="38"/>
      <c r="ALL13" s="38"/>
      <c r="ALM13" s="38"/>
      <c r="ALN13" s="38"/>
      <c r="ALO13" s="38"/>
      <c r="ALP13" s="38"/>
      <c r="ALQ13" s="38"/>
      <c r="ALR13" s="38"/>
      <c r="ALS13" s="38"/>
      <c r="ALT13" s="38"/>
      <c r="ALU13" s="38"/>
      <c r="ALV13" s="38"/>
      <c r="ALW13" s="38"/>
      <c r="ALX13" s="38"/>
      <c r="ALY13" s="38"/>
      <c r="ALZ13" s="38"/>
      <c r="AMA13" s="38"/>
      <c r="AMB13" s="38"/>
      <c r="AMC13" s="38"/>
      <c r="AMD13" s="38"/>
      <c r="AME13" s="38"/>
      <c r="AMF13" s="38"/>
      <c r="AMG13" s="38"/>
      <c r="AMH13" s="38"/>
      <c r="AMI13" s="38"/>
      <c r="AMJ13" s="38"/>
      <c r="AMK13" s="38"/>
    </row>
    <row r="14" ht="15.75" customHeight="1">
      <c r="A14" s="38"/>
      <c r="B14" s="47" t="s">
        <v>46</v>
      </c>
      <c r="C14" s="38"/>
      <c r="D14" s="42"/>
      <c r="E14" s="48">
        <v>10.0</v>
      </c>
      <c r="F14" s="38"/>
      <c r="G14" s="47" t="s">
        <v>61</v>
      </c>
      <c r="H14" s="38"/>
      <c r="I14" s="38"/>
      <c r="J14" s="38"/>
      <c r="K14" s="48">
        <v>10.0</v>
      </c>
      <c r="L14" s="48">
        <v>10.0</v>
      </c>
      <c r="M14" s="38"/>
      <c r="N14" s="38"/>
      <c r="O14" s="47" t="s">
        <v>62</v>
      </c>
      <c r="P14" s="38"/>
      <c r="Q14" s="38"/>
      <c r="R14" s="38"/>
      <c r="S14" s="38"/>
      <c r="T14" s="38"/>
      <c r="U14" s="38"/>
      <c r="V14" s="38"/>
      <c r="W14" s="42"/>
      <c r="X14" s="38"/>
      <c r="Y14" s="38"/>
      <c r="Z14" s="38"/>
      <c r="AA14" s="38"/>
      <c r="AB14" s="42"/>
      <c r="AC14" s="38"/>
      <c r="AD14" s="38"/>
      <c r="AE14" s="48">
        <v>10.0</v>
      </c>
      <c r="AF14" s="38"/>
      <c r="AG14" s="38"/>
      <c r="AH14" s="38"/>
      <c r="AI14" s="42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42"/>
      <c r="AU14" s="42"/>
      <c r="AV14" s="38"/>
      <c r="AW14" s="38"/>
      <c r="AX14" s="38"/>
      <c r="AY14" s="38"/>
      <c r="AZ14" s="38"/>
      <c r="BA14" s="38"/>
      <c r="BB14" s="38"/>
      <c r="BC14" s="38"/>
      <c r="BD14" s="38"/>
      <c r="BE14" s="42"/>
      <c r="BF14" s="42"/>
      <c r="BG14" s="38"/>
      <c r="BH14" s="38"/>
      <c r="BI14" s="38"/>
      <c r="BJ14" s="48">
        <v>10.0</v>
      </c>
      <c r="BK14" s="38"/>
      <c r="BL14" s="38"/>
      <c r="BM14" s="38"/>
      <c r="BN14" s="38"/>
      <c r="BO14" s="47" t="s">
        <v>47</v>
      </c>
      <c r="BP14" s="38"/>
      <c r="BQ14" s="38"/>
      <c r="BR14" s="38"/>
      <c r="BS14" s="47" t="s">
        <v>63</v>
      </c>
      <c r="BT14" s="47" t="s">
        <v>22</v>
      </c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42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42"/>
      <c r="FE14" s="38"/>
      <c r="FF14" s="38"/>
      <c r="FG14" s="42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</row>
    <row r="15" ht="15.75" customHeight="1">
      <c r="A15" s="38"/>
      <c r="B15" s="47" t="s">
        <v>38</v>
      </c>
      <c r="C15" s="38"/>
      <c r="D15" s="42"/>
      <c r="E15" s="48">
        <v>10.0</v>
      </c>
      <c r="F15" s="38"/>
      <c r="G15" s="47" t="s">
        <v>61</v>
      </c>
      <c r="H15" s="38"/>
      <c r="I15" s="38"/>
      <c r="J15" s="38"/>
      <c r="K15" s="48">
        <v>0.0</v>
      </c>
      <c r="L15" s="48">
        <v>0.0</v>
      </c>
      <c r="M15" s="38"/>
      <c r="N15" s="38"/>
      <c r="O15" s="47" t="s">
        <v>62</v>
      </c>
      <c r="P15" s="38"/>
      <c r="Q15" s="38"/>
      <c r="R15" s="38"/>
      <c r="S15" s="38"/>
      <c r="T15" s="38"/>
      <c r="U15" s="38"/>
      <c r="V15" s="38"/>
      <c r="W15" s="42"/>
      <c r="X15" s="38"/>
      <c r="Y15" s="38"/>
      <c r="Z15" s="38"/>
      <c r="AA15" s="38"/>
      <c r="AB15" s="42"/>
      <c r="AC15" s="38"/>
      <c r="AD15" s="38"/>
      <c r="AE15" s="48">
        <v>10.0</v>
      </c>
      <c r="AF15" s="38"/>
      <c r="AG15" s="38"/>
      <c r="AH15" s="38"/>
      <c r="AI15" s="42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42"/>
      <c r="AU15" s="42"/>
      <c r="AV15" s="38"/>
      <c r="AW15" s="38"/>
      <c r="AX15" s="38"/>
      <c r="AY15" s="38"/>
      <c r="AZ15" s="38"/>
      <c r="BA15" s="38"/>
      <c r="BB15" s="38"/>
      <c r="BC15" s="38"/>
      <c r="BD15" s="38"/>
      <c r="BE15" s="42"/>
      <c r="BF15" s="42"/>
      <c r="BG15" s="38"/>
      <c r="BH15" s="38"/>
      <c r="BI15" s="38"/>
      <c r="BJ15" s="48">
        <v>10.0</v>
      </c>
      <c r="BK15" s="38"/>
      <c r="BL15" s="38"/>
      <c r="BM15" s="38"/>
      <c r="BN15" s="38"/>
      <c r="BO15" s="47" t="s">
        <v>64</v>
      </c>
      <c r="BP15" s="38"/>
      <c r="BQ15" s="38"/>
      <c r="BR15" s="38"/>
      <c r="BS15" s="47" t="s">
        <v>40</v>
      </c>
      <c r="BT15" s="47" t="s">
        <v>28</v>
      </c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42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42"/>
      <c r="FE15" s="38"/>
      <c r="FF15" s="38"/>
      <c r="FG15" s="42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38"/>
      <c r="AJN15" s="38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</row>
    <row r="16" ht="15.75" customHeight="1">
      <c r="A16" s="8"/>
      <c r="B16" s="47" t="s">
        <v>38</v>
      </c>
      <c r="C16" s="8"/>
      <c r="D16" s="8"/>
      <c r="E16" s="48">
        <v>10.0</v>
      </c>
      <c r="F16" s="8"/>
      <c r="G16" s="47" t="s">
        <v>61</v>
      </c>
      <c r="H16" s="8"/>
      <c r="I16" s="8"/>
      <c r="J16" s="8"/>
      <c r="K16" s="48">
        <v>0.0</v>
      </c>
      <c r="L16" s="48">
        <v>0.0</v>
      </c>
      <c r="M16" s="8"/>
      <c r="N16" s="8"/>
      <c r="O16" s="47" t="s">
        <v>41</v>
      </c>
      <c r="AE16" s="48">
        <v>10.0</v>
      </c>
      <c r="BJ16" s="48">
        <v>10.0</v>
      </c>
      <c r="BO16" s="47" t="s">
        <v>64</v>
      </c>
      <c r="BS16" s="47" t="s">
        <v>63</v>
      </c>
      <c r="BT16" s="47" t="s">
        <v>28</v>
      </c>
    </row>
    <row r="17" ht="15.75" customHeight="1">
      <c r="A17" s="8"/>
      <c r="B17" s="47" t="s">
        <v>44</v>
      </c>
      <c r="C17" s="8"/>
      <c r="D17" s="8"/>
      <c r="E17" s="48">
        <v>10.0</v>
      </c>
      <c r="F17" s="8"/>
      <c r="G17" s="47" t="s">
        <v>61</v>
      </c>
      <c r="H17" s="8"/>
      <c r="I17" s="8"/>
      <c r="J17" s="8"/>
      <c r="K17" s="48">
        <v>0.0</v>
      </c>
      <c r="L17" s="48">
        <v>0.0</v>
      </c>
      <c r="M17" s="8"/>
      <c r="N17" s="8"/>
      <c r="O17" s="47" t="s">
        <v>62</v>
      </c>
      <c r="AE17" s="48">
        <v>10.0</v>
      </c>
      <c r="BJ17" s="48">
        <v>10.0</v>
      </c>
      <c r="BO17" s="47" t="s">
        <v>64</v>
      </c>
      <c r="BS17" s="47" t="s">
        <v>63</v>
      </c>
      <c r="BT17" s="47" t="s">
        <v>16</v>
      </c>
    </row>
    <row r="18" ht="15.75" customHeight="1">
      <c r="A18" s="8"/>
      <c r="B18" s="47" t="s">
        <v>44</v>
      </c>
      <c r="C18" s="8"/>
      <c r="D18" s="8"/>
      <c r="E18" s="48">
        <v>10.0</v>
      </c>
      <c r="F18" s="8"/>
      <c r="G18" s="47" t="s">
        <v>61</v>
      </c>
      <c r="H18" s="8"/>
      <c r="I18" s="8"/>
      <c r="J18" s="8"/>
      <c r="K18" s="48">
        <v>0.0</v>
      </c>
      <c r="L18" s="48">
        <v>0.0</v>
      </c>
      <c r="M18" s="8"/>
      <c r="N18" s="8"/>
      <c r="O18" s="47" t="s">
        <v>62</v>
      </c>
      <c r="AE18" s="48">
        <v>10.0</v>
      </c>
      <c r="BJ18" s="48">
        <v>10.0</v>
      </c>
      <c r="BO18" s="47" t="s">
        <v>64</v>
      </c>
      <c r="BS18" s="47" t="s">
        <v>63</v>
      </c>
      <c r="BT18" s="47" t="s">
        <v>18</v>
      </c>
    </row>
    <row r="19" ht="15.75" customHeight="1">
      <c r="A19" s="8"/>
      <c r="B19" s="47" t="s">
        <v>44</v>
      </c>
      <c r="C19" s="8"/>
      <c r="D19" s="8"/>
      <c r="E19" s="48">
        <v>10.0</v>
      </c>
      <c r="F19" s="8"/>
      <c r="G19" s="47" t="s">
        <v>61</v>
      </c>
      <c r="H19" s="8"/>
      <c r="I19" s="8"/>
      <c r="J19" s="8"/>
      <c r="K19" s="48">
        <v>0.0</v>
      </c>
      <c r="L19" s="48">
        <v>0.0</v>
      </c>
      <c r="M19" s="8"/>
      <c r="N19" s="8"/>
      <c r="O19" s="47" t="s">
        <v>62</v>
      </c>
      <c r="AE19" s="48">
        <v>10.0</v>
      </c>
      <c r="BJ19" s="48">
        <v>10.0</v>
      </c>
      <c r="BO19" s="47" t="s">
        <v>64</v>
      </c>
      <c r="BS19" s="47" t="s">
        <v>63</v>
      </c>
      <c r="BT19" s="47" t="s">
        <v>19</v>
      </c>
    </row>
    <row r="20" ht="15.75" customHeight="1">
      <c r="A20" s="8"/>
      <c r="B20" s="47" t="s">
        <v>46</v>
      </c>
      <c r="C20" s="8"/>
      <c r="D20" s="8"/>
      <c r="E20" s="48">
        <v>10.0</v>
      </c>
      <c r="F20" s="8"/>
      <c r="G20" s="47" t="s">
        <v>61</v>
      </c>
      <c r="H20" s="8"/>
      <c r="I20" s="8"/>
      <c r="J20" s="8"/>
      <c r="K20" s="48">
        <v>0.0</v>
      </c>
      <c r="L20" s="48">
        <v>0.0</v>
      </c>
      <c r="M20" s="8"/>
      <c r="N20" s="8"/>
      <c r="O20" s="47" t="s">
        <v>62</v>
      </c>
      <c r="AE20" s="48">
        <v>10.0</v>
      </c>
      <c r="BJ20" s="48">
        <v>10.0</v>
      </c>
      <c r="BO20" s="47" t="s">
        <v>65</v>
      </c>
      <c r="BS20" s="47" t="s">
        <v>63</v>
      </c>
      <c r="BT20" s="47" t="s">
        <v>20</v>
      </c>
    </row>
    <row r="21" ht="15.75" customHeight="1">
      <c r="A21" s="8"/>
      <c r="B21" s="47" t="s">
        <v>46</v>
      </c>
      <c r="C21" s="8"/>
      <c r="D21" s="8"/>
      <c r="E21" s="48">
        <v>10.0</v>
      </c>
      <c r="F21" s="8"/>
      <c r="G21" s="47" t="s">
        <v>61</v>
      </c>
      <c r="H21" s="8"/>
      <c r="I21" s="8"/>
      <c r="J21" s="8"/>
      <c r="K21" s="48">
        <v>0.0</v>
      </c>
      <c r="L21" s="48">
        <v>0.0</v>
      </c>
      <c r="M21" s="8"/>
      <c r="N21" s="8"/>
      <c r="O21" s="47" t="s">
        <v>62</v>
      </c>
      <c r="AE21" s="48">
        <v>10.0</v>
      </c>
      <c r="BJ21" s="48">
        <v>10.0</v>
      </c>
      <c r="BO21" s="47" t="s">
        <v>65</v>
      </c>
      <c r="BS21" s="47" t="s">
        <v>63</v>
      </c>
      <c r="BT21" s="47" t="s">
        <v>21</v>
      </c>
    </row>
    <row r="22" ht="15.75" customHeight="1">
      <c r="A22" s="8"/>
      <c r="B22" s="47" t="s">
        <v>46</v>
      </c>
      <c r="C22" s="8"/>
      <c r="D22" s="8"/>
      <c r="E22" s="48">
        <v>10.0</v>
      </c>
      <c r="F22" s="8"/>
      <c r="G22" s="47" t="s">
        <v>61</v>
      </c>
      <c r="H22" s="8"/>
      <c r="I22" s="8"/>
      <c r="J22" s="8"/>
      <c r="K22" s="48">
        <v>0.0</v>
      </c>
      <c r="L22" s="48">
        <v>0.0</v>
      </c>
      <c r="M22" s="8"/>
      <c r="N22" s="8"/>
      <c r="O22" s="47" t="s">
        <v>62</v>
      </c>
      <c r="AE22" s="48">
        <v>10.0</v>
      </c>
      <c r="BJ22" s="48">
        <v>10.0</v>
      </c>
      <c r="BO22" s="47" t="s">
        <v>65</v>
      </c>
      <c r="BS22" s="47" t="s">
        <v>63</v>
      </c>
      <c r="BT22" s="47" t="s">
        <v>22</v>
      </c>
    </row>
    <row r="23" ht="15.75" customHeight="1">
      <c r="A23" s="8"/>
      <c r="B23" s="47" t="s">
        <v>49</v>
      </c>
      <c r="C23" s="8"/>
      <c r="D23" s="8"/>
      <c r="E23" s="48">
        <v>10.0</v>
      </c>
      <c r="F23" s="8"/>
      <c r="G23" s="47" t="s">
        <v>61</v>
      </c>
      <c r="H23" s="8"/>
      <c r="I23" s="8"/>
      <c r="J23" s="8"/>
      <c r="K23" s="48">
        <v>10.0</v>
      </c>
      <c r="L23" s="48">
        <v>10.0</v>
      </c>
      <c r="M23" s="8"/>
      <c r="N23" s="8"/>
      <c r="O23" s="47" t="s">
        <v>62</v>
      </c>
      <c r="AE23" s="48">
        <v>10.0</v>
      </c>
      <c r="BJ23" s="48">
        <v>10.0</v>
      </c>
      <c r="BO23" s="47" t="s">
        <v>39</v>
      </c>
      <c r="BS23" s="47" t="s">
        <v>63</v>
      </c>
      <c r="BT23" s="47" t="s">
        <v>23</v>
      </c>
    </row>
    <row r="24" ht="15.75" customHeight="1">
      <c r="A24" s="8"/>
      <c r="B24" s="47" t="s">
        <v>49</v>
      </c>
      <c r="C24" s="8"/>
      <c r="D24" s="8"/>
      <c r="E24" s="48">
        <v>10.0</v>
      </c>
      <c r="F24" s="8"/>
      <c r="G24" s="47" t="s">
        <v>61</v>
      </c>
      <c r="H24" s="8"/>
      <c r="I24" s="8"/>
      <c r="J24" s="8"/>
      <c r="K24" s="48">
        <v>10.0</v>
      </c>
      <c r="L24" s="48">
        <v>10.0</v>
      </c>
      <c r="M24" s="8"/>
      <c r="N24" s="8"/>
      <c r="O24" s="47" t="s">
        <v>62</v>
      </c>
      <c r="AE24" s="48">
        <v>10.0</v>
      </c>
      <c r="BJ24" s="48">
        <v>10.0</v>
      </c>
      <c r="BO24" s="47" t="s">
        <v>39</v>
      </c>
      <c r="BS24" s="47" t="s">
        <v>63</v>
      </c>
      <c r="BT24" s="47" t="s">
        <v>25</v>
      </c>
    </row>
    <row r="25" ht="15.75" customHeight="1">
      <c r="A25" s="8"/>
      <c r="B25" s="47" t="s">
        <v>38</v>
      </c>
      <c r="C25" s="8"/>
      <c r="D25" s="8"/>
      <c r="E25" s="48">
        <v>10.0</v>
      </c>
      <c r="F25" s="8"/>
      <c r="G25" s="47" t="s">
        <v>61</v>
      </c>
      <c r="H25" s="8"/>
      <c r="I25" s="8"/>
      <c r="J25" s="8"/>
      <c r="K25" s="48">
        <v>0.0</v>
      </c>
      <c r="L25" s="48">
        <v>0.0</v>
      </c>
      <c r="M25" s="8"/>
      <c r="N25" s="8"/>
      <c r="O25" s="47" t="s">
        <v>62</v>
      </c>
      <c r="AE25" s="48">
        <v>10.0</v>
      </c>
      <c r="BJ25" s="48">
        <v>10.0</v>
      </c>
      <c r="BO25" s="47" t="s">
        <v>64</v>
      </c>
      <c r="BS25" s="47" t="s">
        <v>63</v>
      </c>
      <c r="BT25" s="47" t="s">
        <v>28</v>
      </c>
    </row>
    <row r="26" ht="15.75" customHeight="1">
      <c r="A26" s="8"/>
      <c r="B26" s="47" t="s">
        <v>49</v>
      </c>
      <c r="C26" s="8"/>
      <c r="D26" s="8"/>
      <c r="E26" s="48">
        <v>10.0</v>
      </c>
      <c r="F26" s="8"/>
      <c r="G26" s="47" t="s">
        <v>61</v>
      </c>
      <c r="H26" s="8"/>
      <c r="I26" s="8"/>
      <c r="J26" s="8"/>
      <c r="K26" s="48">
        <v>0.0</v>
      </c>
      <c r="L26" s="48">
        <v>0.0</v>
      </c>
      <c r="M26" s="8"/>
      <c r="N26" s="8"/>
      <c r="O26" s="47" t="s">
        <v>62</v>
      </c>
      <c r="AE26" s="48">
        <v>10.0</v>
      </c>
      <c r="BJ26" s="48">
        <v>10.0</v>
      </c>
      <c r="BO26" s="47" t="s">
        <v>64</v>
      </c>
      <c r="BS26" s="47" t="s">
        <v>63</v>
      </c>
      <c r="BT26" s="47" t="s">
        <v>23</v>
      </c>
    </row>
    <row r="27" ht="15.75" customHeight="1">
      <c r="B27" s="47" t="s">
        <v>49</v>
      </c>
      <c r="E27" s="48">
        <v>10.0</v>
      </c>
      <c r="G27" s="47" t="s">
        <v>61</v>
      </c>
      <c r="K27" s="48">
        <v>10.0</v>
      </c>
      <c r="L27" s="48">
        <v>10.0</v>
      </c>
      <c r="O27" s="47" t="s">
        <v>62</v>
      </c>
      <c r="AE27" s="48">
        <v>10.0</v>
      </c>
      <c r="BJ27" s="48">
        <v>10.0</v>
      </c>
      <c r="BO27" s="47" t="s">
        <v>39</v>
      </c>
      <c r="BS27" s="47" t="s">
        <v>63</v>
      </c>
      <c r="BT27" s="47" t="s">
        <v>24</v>
      </c>
    </row>
    <row r="28" ht="15.75" customHeight="1">
      <c r="B28" s="47" t="s">
        <v>49</v>
      </c>
      <c r="E28" s="48">
        <v>10.0</v>
      </c>
      <c r="G28" s="47" t="s">
        <v>61</v>
      </c>
      <c r="K28" s="48">
        <v>0.0</v>
      </c>
      <c r="L28" s="48">
        <v>0.0</v>
      </c>
      <c r="O28" s="47" t="s">
        <v>62</v>
      </c>
      <c r="AE28" s="48">
        <v>10.0</v>
      </c>
      <c r="BJ28" s="48">
        <v>10.0</v>
      </c>
      <c r="BO28" s="47" t="s">
        <v>64</v>
      </c>
      <c r="BS28" s="47" t="s">
        <v>63</v>
      </c>
      <c r="BT28" s="47" t="s">
        <v>24</v>
      </c>
    </row>
    <row r="29" ht="15.75" customHeight="1">
      <c r="B29" s="47" t="s">
        <v>49</v>
      </c>
      <c r="E29" s="48">
        <v>10.0</v>
      </c>
      <c r="G29" s="47" t="s">
        <v>61</v>
      </c>
      <c r="K29" s="48">
        <v>0.0</v>
      </c>
      <c r="L29" s="48">
        <v>0.0</v>
      </c>
      <c r="O29" s="47" t="s">
        <v>62</v>
      </c>
      <c r="AE29" s="48">
        <v>10.0</v>
      </c>
      <c r="BJ29" s="48">
        <v>10.0</v>
      </c>
      <c r="BO29" s="47" t="s">
        <v>64</v>
      </c>
      <c r="BS29" s="47" t="s">
        <v>63</v>
      </c>
      <c r="BT29" s="47" t="s">
        <v>25</v>
      </c>
    </row>
    <row r="30" ht="15.75" customHeight="1">
      <c r="B30" s="47" t="s">
        <v>46</v>
      </c>
      <c r="E30" s="48">
        <v>100.0</v>
      </c>
      <c r="G30" s="47" t="s">
        <v>66</v>
      </c>
      <c r="K30" s="48">
        <v>60.0</v>
      </c>
      <c r="L30" s="48">
        <v>60.0</v>
      </c>
      <c r="O30" s="47" t="s">
        <v>62</v>
      </c>
      <c r="AE30" s="48">
        <v>100.0</v>
      </c>
      <c r="BJ30" s="48">
        <v>100.0</v>
      </c>
      <c r="BO30" s="47" t="s">
        <v>67</v>
      </c>
      <c r="BS30" s="47" t="s">
        <v>63</v>
      </c>
      <c r="BT30" s="47" t="s">
        <v>45</v>
      </c>
    </row>
    <row r="31" ht="15.75" customHeight="1">
      <c r="B31" s="47" t="s">
        <v>46</v>
      </c>
      <c r="E31" s="48">
        <v>900.0</v>
      </c>
      <c r="G31" s="47" t="s">
        <v>66</v>
      </c>
      <c r="K31" s="48">
        <v>60.0</v>
      </c>
      <c r="L31" s="48">
        <v>60.0</v>
      </c>
      <c r="O31" s="47" t="s">
        <v>62</v>
      </c>
      <c r="AE31" s="48">
        <v>900.0</v>
      </c>
      <c r="BJ31" s="48">
        <v>900.0</v>
      </c>
      <c r="BO31" s="47" t="s">
        <v>43</v>
      </c>
      <c r="BS31" s="47" t="s">
        <v>63</v>
      </c>
      <c r="BT31" s="47" t="s">
        <v>45</v>
      </c>
    </row>
    <row r="32" ht="15.75" customHeight="1">
      <c r="B32" s="47" t="s">
        <v>38</v>
      </c>
      <c r="E32" s="49">
        <v>1000.0</v>
      </c>
      <c r="G32" s="47" t="s">
        <v>66</v>
      </c>
      <c r="K32" s="48">
        <v>60.0</v>
      </c>
      <c r="L32" s="48">
        <v>60.0</v>
      </c>
      <c r="O32" s="47" t="s">
        <v>41</v>
      </c>
      <c r="AE32" s="49">
        <v>1000.0</v>
      </c>
      <c r="BJ32" s="49">
        <v>1000.0</v>
      </c>
      <c r="BO32" s="47" t="s">
        <v>37</v>
      </c>
      <c r="BS32" s="47" t="s">
        <v>63</v>
      </c>
      <c r="BT32" s="47" t="s">
        <v>36</v>
      </c>
    </row>
    <row r="33" ht="15.75" customHeight="1">
      <c r="B33" s="47" t="s">
        <v>38</v>
      </c>
      <c r="E33" s="49">
        <v>1000.0</v>
      </c>
      <c r="G33" s="47" t="s">
        <v>66</v>
      </c>
      <c r="K33" s="48">
        <v>60.0</v>
      </c>
      <c r="L33" s="48">
        <v>60.0</v>
      </c>
      <c r="O33" s="47" t="s">
        <v>62</v>
      </c>
      <c r="AE33" s="49">
        <v>1000.0</v>
      </c>
      <c r="BJ33" s="49">
        <v>1000.0</v>
      </c>
      <c r="BO33" s="47" t="s">
        <v>37</v>
      </c>
      <c r="BS33" s="47" t="s">
        <v>40</v>
      </c>
      <c r="BT33" s="47" t="s">
        <v>36</v>
      </c>
    </row>
    <row r="34" ht="15.75" customHeight="1">
      <c r="B34" s="47" t="s">
        <v>38</v>
      </c>
      <c r="E34" s="49">
        <v>1000.0</v>
      </c>
      <c r="G34" s="47" t="s">
        <v>66</v>
      </c>
      <c r="K34" s="48">
        <v>60.0</v>
      </c>
      <c r="L34" s="48">
        <v>60.0</v>
      </c>
      <c r="O34" s="47" t="s">
        <v>62</v>
      </c>
      <c r="AE34" s="49">
        <v>1000.0</v>
      </c>
      <c r="BJ34" s="49">
        <v>1000.0</v>
      </c>
      <c r="BO34" s="47" t="s">
        <v>37</v>
      </c>
      <c r="BS34" s="47" t="s">
        <v>63</v>
      </c>
      <c r="BT34" s="47" t="s">
        <v>36</v>
      </c>
    </row>
    <row r="35" ht="15.75" customHeight="1">
      <c r="B35" s="47" t="s">
        <v>44</v>
      </c>
      <c r="E35" s="49">
        <v>1000.0</v>
      </c>
      <c r="G35" s="47" t="s">
        <v>66</v>
      </c>
      <c r="K35" s="48">
        <v>60.0</v>
      </c>
      <c r="L35" s="48">
        <v>60.0</v>
      </c>
      <c r="O35" s="47" t="s">
        <v>62</v>
      </c>
      <c r="AE35" s="49">
        <v>1000.0</v>
      </c>
      <c r="BJ35" s="49">
        <v>1000.0</v>
      </c>
      <c r="BO35" s="47" t="s">
        <v>43</v>
      </c>
      <c r="BS35" s="47" t="s">
        <v>63</v>
      </c>
      <c r="BT35" s="47" t="s">
        <v>42</v>
      </c>
    </row>
    <row r="36" ht="15.75" customHeight="1">
      <c r="B36" s="47" t="s">
        <v>44</v>
      </c>
      <c r="E36" s="49">
        <v>1000.0</v>
      </c>
      <c r="G36" s="47" t="s">
        <v>66</v>
      </c>
      <c r="K36" s="48">
        <v>60.0</v>
      </c>
      <c r="L36" s="48">
        <v>60.0</v>
      </c>
      <c r="O36" s="47" t="s">
        <v>62</v>
      </c>
      <c r="AE36" s="49">
        <v>1000.0</v>
      </c>
      <c r="BJ36" s="49">
        <v>1000.0</v>
      </c>
      <c r="BO36" s="47" t="s">
        <v>43</v>
      </c>
      <c r="BS36" s="47" t="s">
        <v>63</v>
      </c>
      <c r="BT36" s="47" t="s">
        <v>42</v>
      </c>
    </row>
    <row r="37" ht="15.75" customHeight="1">
      <c r="B37" s="47" t="s">
        <v>44</v>
      </c>
      <c r="E37" s="49">
        <v>1000.0</v>
      </c>
      <c r="G37" s="47" t="s">
        <v>66</v>
      </c>
      <c r="K37" s="48">
        <v>60.0</v>
      </c>
      <c r="L37" s="48">
        <v>60.0</v>
      </c>
      <c r="O37" s="47" t="s">
        <v>62</v>
      </c>
      <c r="AE37" s="49">
        <v>1000.0</v>
      </c>
      <c r="BJ37" s="49">
        <v>1000.0</v>
      </c>
      <c r="BO37" s="47" t="s">
        <v>43</v>
      </c>
      <c r="BS37" s="47" t="s">
        <v>63</v>
      </c>
      <c r="BT37" s="47" t="s">
        <v>42</v>
      </c>
    </row>
    <row r="38" ht="15.75" customHeight="1">
      <c r="B38" s="47" t="s">
        <v>46</v>
      </c>
      <c r="E38" s="49">
        <v>1000.0</v>
      </c>
      <c r="G38" s="47" t="s">
        <v>66</v>
      </c>
      <c r="K38" s="48">
        <v>60.0</v>
      </c>
      <c r="L38" s="48">
        <v>60.0</v>
      </c>
      <c r="O38" s="47" t="s">
        <v>62</v>
      </c>
      <c r="AE38" s="49">
        <v>1000.0</v>
      </c>
      <c r="BJ38" s="49">
        <v>1000.0</v>
      </c>
      <c r="BO38" s="47" t="s">
        <v>43</v>
      </c>
      <c r="BS38" s="47" t="s">
        <v>63</v>
      </c>
      <c r="BT38" s="47" t="s">
        <v>45</v>
      </c>
    </row>
    <row r="39" ht="15.75" customHeight="1">
      <c r="B39" s="47" t="s">
        <v>46</v>
      </c>
      <c r="E39" s="49">
        <v>1000.0</v>
      </c>
      <c r="G39" s="47" t="s">
        <v>66</v>
      </c>
      <c r="K39" s="48">
        <v>60.0</v>
      </c>
      <c r="L39" s="48">
        <v>60.0</v>
      </c>
      <c r="O39" s="47" t="s">
        <v>62</v>
      </c>
      <c r="AE39" s="49">
        <v>1000.0</v>
      </c>
      <c r="BJ39" s="49">
        <v>1000.0</v>
      </c>
      <c r="BO39" s="47" t="s">
        <v>67</v>
      </c>
      <c r="BS39" s="47" t="s">
        <v>63</v>
      </c>
      <c r="BT39" s="47" t="s">
        <v>45</v>
      </c>
    </row>
    <row r="40" ht="15.75" customHeight="1">
      <c r="B40" s="47" t="s">
        <v>49</v>
      </c>
      <c r="E40" s="49">
        <v>1000.0</v>
      </c>
      <c r="G40" s="47" t="s">
        <v>66</v>
      </c>
      <c r="K40" s="48">
        <v>60.0</v>
      </c>
      <c r="L40" s="48">
        <v>60.0</v>
      </c>
      <c r="O40" s="47" t="s">
        <v>62</v>
      </c>
      <c r="AE40" s="49">
        <v>1000.0</v>
      </c>
      <c r="BJ40" s="49">
        <v>1000.0</v>
      </c>
      <c r="BO40" s="47" t="s">
        <v>37</v>
      </c>
      <c r="BS40" s="47" t="s">
        <v>63</v>
      </c>
      <c r="BT40" s="47" t="s">
        <v>48</v>
      </c>
    </row>
    <row r="41" ht="15.75" customHeight="1">
      <c r="B41" s="47" t="s">
        <v>49</v>
      </c>
      <c r="E41" s="49">
        <v>1000.0</v>
      </c>
      <c r="G41" s="47" t="s">
        <v>66</v>
      </c>
      <c r="K41" s="48">
        <v>60.0</v>
      </c>
      <c r="L41" s="48">
        <v>60.0</v>
      </c>
      <c r="O41" s="47" t="s">
        <v>62</v>
      </c>
      <c r="AE41" s="49">
        <v>1000.0</v>
      </c>
      <c r="BJ41" s="49">
        <v>1000.0</v>
      </c>
      <c r="BO41" s="47" t="s">
        <v>37</v>
      </c>
      <c r="BS41" s="47" t="s">
        <v>63</v>
      </c>
      <c r="BT41" s="47" t="s">
        <v>48</v>
      </c>
    </row>
    <row r="42" ht="15.75" customHeight="1">
      <c r="B42" s="47" t="s">
        <v>49</v>
      </c>
      <c r="E42" s="49">
        <v>1000.0</v>
      </c>
      <c r="G42" s="47" t="s">
        <v>66</v>
      </c>
      <c r="K42" s="48">
        <v>60.0</v>
      </c>
      <c r="L42" s="48">
        <v>60.0</v>
      </c>
      <c r="O42" s="47" t="s">
        <v>62</v>
      </c>
      <c r="AE42" s="49">
        <v>1000.0</v>
      </c>
      <c r="BJ42" s="49">
        <v>1000.0</v>
      </c>
      <c r="BO42" s="47" t="s">
        <v>37</v>
      </c>
      <c r="BS42" s="47" t="s">
        <v>63</v>
      </c>
      <c r="BT42" s="47" t="s">
        <v>48</v>
      </c>
    </row>
    <row r="43" ht="15.75" customHeight="1">
      <c r="B43" s="47" t="s">
        <v>38</v>
      </c>
      <c r="E43" s="49">
        <v>1100.0</v>
      </c>
      <c r="G43" s="47" t="s">
        <v>66</v>
      </c>
      <c r="K43" s="48">
        <v>1.0</v>
      </c>
      <c r="L43" s="48">
        <v>1.0</v>
      </c>
      <c r="O43" s="47" t="s">
        <v>62</v>
      </c>
      <c r="AE43" s="49">
        <v>1100.0</v>
      </c>
      <c r="BJ43" s="49">
        <v>1100.0</v>
      </c>
      <c r="BO43" s="47" t="s">
        <v>37</v>
      </c>
      <c r="BS43" s="47" t="s">
        <v>63</v>
      </c>
      <c r="BT43" s="47" t="s">
        <v>36</v>
      </c>
    </row>
    <row r="44" ht="15.75" customHeight="1">
      <c r="B44" s="47" t="s">
        <v>44</v>
      </c>
      <c r="E44" s="49">
        <v>1100.0</v>
      </c>
      <c r="G44" s="47" t="s">
        <v>66</v>
      </c>
      <c r="K44" s="48">
        <v>1.0</v>
      </c>
      <c r="L44" s="48">
        <v>1.0</v>
      </c>
      <c r="O44" s="47" t="s">
        <v>62</v>
      </c>
      <c r="AE44" s="49">
        <v>1100.0</v>
      </c>
      <c r="BJ44" s="49">
        <v>1100.0</v>
      </c>
      <c r="BO44" s="47" t="s">
        <v>43</v>
      </c>
      <c r="BS44" s="47" t="s">
        <v>63</v>
      </c>
      <c r="BT44" s="47" t="s">
        <v>42</v>
      </c>
    </row>
    <row r="45" ht="15.75" customHeight="1">
      <c r="B45" s="47" t="s">
        <v>46</v>
      </c>
      <c r="E45" s="49">
        <v>1100.0</v>
      </c>
      <c r="G45" s="47" t="s">
        <v>66</v>
      </c>
      <c r="K45" s="48">
        <v>1.0</v>
      </c>
      <c r="L45" s="48">
        <v>1.0</v>
      </c>
      <c r="O45" s="47" t="s">
        <v>62</v>
      </c>
      <c r="AE45" s="49">
        <v>1100.0</v>
      </c>
      <c r="BJ45" s="49">
        <v>1100.0</v>
      </c>
      <c r="BO45" s="47" t="s">
        <v>37</v>
      </c>
      <c r="BS45" s="47" t="s">
        <v>63</v>
      </c>
      <c r="BT45" s="47" t="s">
        <v>45</v>
      </c>
    </row>
    <row r="46" ht="15.75" customHeight="1">
      <c r="B46" s="47" t="s">
        <v>49</v>
      </c>
      <c r="E46" s="49">
        <v>1100.0</v>
      </c>
      <c r="G46" s="47" t="s">
        <v>66</v>
      </c>
      <c r="K46" s="48">
        <v>1.0</v>
      </c>
      <c r="L46" s="48">
        <v>1.0</v>
      </c>
      <c r="O46" s="47" t="s">
        <v>62</v>
      </c>
      <c r="AE46" s="49">
        <v>1100.0</v>
      </c>
      <c r="BJ46" s="49">
        <v>1100.0</v>
      </c>
      <c r="BO46" s="47" t="s">
        <v>37</v>
      </c>
      <c r="BS46" s="47" t="s">
        <v>63</v>
      </c>
      <c r="BT46" s="47" t="s">
        <v>48</v>
      </c>
    </row>
    <row r="47" ht="15.75" customHeight="1">
      <c r="B47" s="50"/>
      <c r="E47" s="5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7"/>
      <c r="B6" s="37"/>
      <c r="C6" s="47" t="s">
        <v>36</v>
      </c>
      <c r="D6" s="51">
        <v>1100.0</v>
      </c>
      <c r="E6" s="47" t="s">
        <v>38</v>
      </c>
      <c r="F6" s="47" t="s">
        <v>70</v>
      </c>
      <c r="G6" s="48">
        <v>1.0</v>
      </c>
      <c r="H6" s="38"/>
      <c r="I6" s="38"/>
      <c r="J6" s="38"/>
      <c r="K6" s="38"/>
      <c r="L6" s="38"/>
      <c r="M6" s="38"/>
      <c r="N6" s="38"/>
      <c r="O6" s="38"/>
      <c r="P6" s="42"/>
      <c r="Q6" s="38"/>
      <c r="R6" s="38"/>
      <c r="S6" s="47" t="s">
        <v>63</v>
      </c>
      <c r="T6" s="47" t="s">
        <v>66</v>
      </c>
      <c r="U6" s="38"/>
      <c r="V6" s="38"/>
      <c r="W6" s="38"/>
      <c r="X6" s="42"/>
      <c r="Y6" s="42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42"/>
      <c r="AM6" s="38"/>
      <c r="AN6" s="47" t="s">
        <v>37</v>
      </c>
      <c r="AO6" s="38"/>
      <c r="AP6" s="38"/>
      <c r="AQ6" s="38"/>
      <c r="AR6" s="38"/>
      <c r="AS6" s="42"/>
      <c r="AT6" s="38"/>
      <c r="AU6" s="38"/>
      <c r="AV6" s="42"/>
      <c r="AW6" s="38"/>
      <c r="AX6" s="38"/>
      <c r="AY6" s="38"/>
      <c r="AZ6" s="38"/>
      <c r="BA6" s="38"/>
      <c r="BB6" s="38"/>
      <c r="BC6" s="42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47" t="s">
        <v>62</v>
      </c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46"/>
      <c r="CQ6" s="38"/>
      <c r="CR6" s="38"/>
      <c r="CS6" s="42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42"/>
      <c r="DE6" s="38"/>
      <c r="DF6" s="38"/>
      <c r="DG6" s="38"/>
      <c r="DH6" s="42"/>
      <c r="DI6" s="38"/>
      <c r="DJ6" s="38"/>
      <c r="DK6" s="42"/>
      <c r="DL6" s="42"/>
      <c r="DM6" s="42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42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</row>
    <row r="7" ht="15.75" customHeight="1">
      <c r="A7" s="38"/>
      <c r="B7" s="38"/>
      <c r="C7" s="47" t="s">
        <v>36</v>
      </c>
      <c r="D7" s="51">
        <v>1000.0</v>
      </c>
      <c r="E7" s="47" t="s">
        <v>38</v>
      </c>
      <c r="F7" s="47" t="s">
        <v>70</v>
      </c>
      <c r="G7" s="48">
        <v>60.0</v>
      </c>
      <c r="H7" s="38"/>
      <c r="I7" s="38"/>
      <c r="J7" s="38"/>
      <c r="K7" s="38"/>
      <c r="L7" s="38"/>
      <c r="M7" s="38"/>
      <c r="N7" s="38"/>
      <c r="O7" s="38"/>
      <c r="P7" s="42"/>
      <c r="Q7" s="38"/>
      <c r="R7" s="38"/>
      <c r="S7" s="47" t="s">
        <v>63</v>
      </c>
      <c r="T7" s="47" t="s">
        <v>66</v>
      </c>
      <c r="U7" s="38"/>
      <c r="V7" s="38"/>
      <c r="W7" s="38"/>
      <c r="X7" s="42"/>
      <c r="Y7" s="42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42"/>
      <c r="AM7" s="38"/>
      <c r="AN7" s="47" t="s">
        <v>37</v>
      </c>
      <c r="AO7" s="38"/>
      <c r="AP7" s="38"/>
      <c r="AQ7" s="38"/>
      <c r="AR7" s="38"/>
      <c r="AS7" s="42"/>
      <c r="AT7" s="38"/>
      <c r="AU7" s="38"/>
      <c r="AV7" s="42"/>
      <c r="AW7" s="38"/>
      <c r="AX7" s="38"/>
      <c r="AY7" s="38"/>
      <c r="AZ7" s="38"/>
      <c r="BA7" s="38"/>
      <c r="BB7" s="38"/>
      <c r="BC7" s="42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47" t="s">
        <v>41</v>
      </c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46"/>
      <c r="CQ7" s="38"/>
      <c r="CR7" s="38"/>
      <c r="CS7" s="42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42"/>
      <c r="DE7" s="38"/>
      <c r="DF7" s="38"/>
      <c r="DG7" s="38"/>
      <c r="DH7" s="42"/>
      <c r="DI7" s="38"/>
      <c r="DJ7" s="38"/>
      <c r="DK7" s="42"/>
      <c r="DL7" s="42"/>
      <c r="DM7" s="42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42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</row>
    <row r="8" ht="15.75" customHeight="1">
      <c r="A8" s="38"/>
      <c r="B8" s="38"/>
      <c r="C8" s="47" t="s">
        <v>36</v>
      </c>
      <c r="D8" s="51">
        <v>1000.0</v>
      </c>
      <c r="E8" s="47" t="s">
        <v>38</v>
      </c>
      <c r="F8" s="47" t="s">
        <v>70</v>
      </c>
      <c r="G8" s="48">
        <v>60.0</v>
      </c>
      <c r="H8" s="38"/>
      <c r="I8" s="38"/>
      <c r="J8" s="38"/>
      <c r="K8" s="38"/>
      <c r="L8" s="38"/>
      <c r="M8" s="38"/>
      <c r="N8" s="38"/>
      <c r="O8" s="38"/>
      <c r="P8" s="42"/>
      <c r="Q8" s="38"/>
      <c r="R8" s="38"/>
      <c r="S8" s="47" t="s">
        <v>40</v>
      </c>
      <c r="T8" s="47" t="s">
        <v>66</v>
      </c>
      <c r="U8" s="38"/>
      <c r="V8" s="38"/>
      <c r="W8" s="38"/>
      <c r="X8" s="42"/>
      <c r="Y8" s="42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42"/>
      <c r="AM8" s="38"/>
      <c r="AN8" s="47" t="s">
        <v>37</v>
      </c>
      <c r="AO8" s="38"/>
      <c r="AP8" s="38"/>
      <c r="AQ8" s="38"/>
      <c r="AR8" s="38"/>
      <c r="AS8" s="42"/>
      <c r="AT8" s="38"/>
      <c r="AU8" s="38"/>
      <c r="AV8" s="42"/>
      <c r="AW8" s="38"/>
      <c r="AX8" s="38"/>
      <c r="AY8" s="38"/>
      <c r="AZ8" s="38"/>
      <c r="BA8" s="38"/>
      <c r="BB8" s="38"/>
      <c r="BC8" s="42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47" t="s">
        <v>62</v>
      </c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46"/>
      <c r="CQ8" s="38"/>
      <c r="CR8" s="38"/>
      <c r="CS8" s="42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42"/>
      <c r="DE8" s="38"/>
      <c r="DF8" s="38"/>
      <c r="DG8" s="38"/>
      <c r="DH8" s="42"/>
      <c r="DI8" s="38"/>
      <c r="DJ8" s="38"/>
      <c r="DK8" s="42"/>
      <c r="DL8" s="42"/>
      <c r="DM8" s="42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  <c r="FA8" s="38"/>
      <c r="FB8" s="38"/>
      <c r="FC8" s="38"/>
      <c r="FD8" s="38"/>
      <c r="FE8" s="38"/>
      <c r="FF8" s="38"/>
      <c r="FG8" s="38"/>
      <c r="FH8" s="42"/>
      <c r="FI8" s="38"/>
      <c r="FJ8" s="38"/>
      <c r="FK8" s="38"/>
      <c r="FL8" s="38"/>
      <c r="FM8" s="38"/>
      <c r="FN8" s="38"/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8"/>
      <c r="GA8" s="38"/>
      <c r="GB8" s="38"/>
      <c r="GC8" s="38"/>
      <c r="GD8" s="38"/>
      <c r="GE8" s="38"/>
      <c r="GF8" s="38"/>
      <c r="GG8" s="38"/>
      <c r="GH8" s="38"/>
      <c r="GI8" s="38"/>
      <c r="GJ8" s="38"/>
      <c r="GK8" s="38"/>
      <c r="GL8" s="38"/>
      <c r="GM8" s="38"/>
      <c r="GN8" s="38"/>
      <c r="GO8" s="38"/>
      <c r="GP8" s="38"/>
      <c r="GQ8" s="38"/>
      <c r="GR8" s="38"/>
      <c r="GS8" s="38"/>
      <c r="GT8" s="38"/>
      <c r="GU8" s="38"/>
      <c r="GV8" s="38"/>
      <c r="GW8" s="38"/>
      <c r="GX8" s="38"/>
      <c r="GY8" s="38"/>
      <c r="GZ8" s="38"/>
      <c r="HA8" s="38"/>
      <c r="HB8" s="38"/>
      <c r="HC8" s="38"/>
      <c r="HD8" s="38"/>
      <c r="HE8" s="38"/>
      <c r="HF8" s="38"/>
      <c r="HG8" s="38"/>
      <c r="HH8" s="38"/>
      <c r="HI8" s="38"/>
      <c r="HJ8" s="38"/>
      <c r="HK8" s="38"/>
      <c r="HL8" s="38"/>
      <c r="HM8" s="38"/>
      <c r="HN8" s="38"/>
      <c r="HO8" s="38"/>
      <c r="HP8" s="38"/>
      <c r="HQ8" s="38"/>
      <c r="HR8" s="38"/>
      <c r="HS8" s="38"/>
      <c r="HT8" s="38"/>
      <c r="HU8" s="38"/>
      <c r="HV8" s="38"/>
      <c r="HW8" s="38"/>
      <c r="HX8" s="38"/>
      <c r="HY8" s="38"/>
      <c r="HZ8" s="38"/>
      <c r="IA8" s="38"/>
      <c r="IB8" s="38"/>
      <c r="IC8" s="38"/>
      <c r="ID8" s="38"/>
      <c r="IE8" s="38"/>
      <c r="IF8" s="38"/>
      <c r="IG8" s="38"/>
      <c r="IH8" s="38"/>
      <c r="II8" s="38"/>
      <c r="IJ8" s="38"/>
      <c r="IK8" s="38"/>
      <c r="IL8" s="38"/>
      <c r="IM8" s="38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8"/>
      <c r="KY8" s="38"/>
      <c r="KZ8" s="38"/>
      <c r="LA8" s="38"/>
      <c r="LB8" s="38"/>
      <c r="LC8" s="38"/>
      <c r="LD8" s="38"/>
      <c r="LE8" s="38"/>
      <c r="LF8" s="38"/>
      <c r="LG8" s="38"/>
      <c r="LH8" s="38"/>
      <c r="LI8" s="38"/>
      <c r="LJ8" s="38"/>
      <c r="LK8" s="38"/>
      <c r="LL8" s="38"/>
      <c r="LM8" s="38"/>
      <c r="LN8" s="38"/>
      <c r="LO8" s="38"/>
      <c r="LP8" s="38"/>
      <c r="LQ8" s="38"/>
      <c r="LR8" s="38"/>
      <c r="LS8" s="38"/>
      <c r="LT8" s="38"/>
      <c r="LU8" s="38"/>
      <c r="LV8" s="38"/>
      <c r="LW8" s="38"/>
      <c r="LX8" s="38"/>
      <c r="LY8" s="38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8"/>
      <c r="NF8" s="38"/>
      <c r="NG8" s="38"/>
      <c r="NH8" s="38"/>
      <c r="NI8" s="38"/>
      <c r="NJ8" s="38"/>
      <c r="NK8" s="38"/>
      <c r="NL8" s="38"/>
      <c r="NM8" s="38"/>
      <c r="NN8" s="38"/>
      <c r="NO8" s="38"/>
      <c r="NP8" s="38"/>
      <c r="NQ8" s="38"/>
      <c r="NR8" s="38"/>
      <c r="NS8" s="38"/>
      <c r="NT8" s="38"/>
      <c r="NU8" s="38"/>
      <c r="NV8" s="38"/>
      <c r="NW8" s="38"/>
      <c r="NX8" s="38"/>
      <c r="NY8" s="38"/>
      <c r="NZ8" s="38"/>
      <c r="OA8" s="38"/>
      <c r="OB8" s="38"/>
      <c r="OC8" s="38"/>
      <c r="OD8" s="38"/>
      <c r="OE8" s="38"/>
      <c r="OF8" s="38"/>
      <c r="OG8" s="38"/>
      <c r="OH8" s="38"/>
      <c r="OI8" s="38"/>
      <c r="OJ8" s="38"/>
      <c r="OK8" s="38"/>
      <c r="OL8" s="38"/>
      <c r="OM8" s="38"/>
      <c r="ON8" s="38"/>
      <c r="OO8" s="38"/>
      <c r="OP8" s="38"/>
      <c r="OQ8" s="38"/>
      <c r="OR8" s="38"/>
      <c r="OS8" s="38"/>
      <c r="OT8" s="38"/>
      <c r="OU8" s="38"/>
      <c r="OV8" s="38"/>
      <c r="OW8" s="38"/>
      <c r="OX8" s="38"/>
      <c r="OY8" s="38"/>
      <c r="OZ8" s="38"/>
      <c r="PA8" s="38"/>
      <c r="PB8" s="38"/>
      <c r="PC8" s="38"/>
      <c r="PD8" s="38"/>
      <c r="PE8" s="38"/>
      <c r="PF8" s="38"/>
      <c r="PG8" s="38"/>
      <c r="PH8" s="38"/>
      <c r="PI8" s="38"/>
      <c r="PJ8" s="38"/>
      <c r="PK8" s="38"/>
      <c r="PL8" s="38"/>
      <c r="PM8" s="38"/>
      <c r="PN8" s="38"/>
      <c r="PO8" s="38"/>
      <c r="PP8" s="38"/>
      <c r="PQ8" s="38"/>
      <c r="PR8" s="38"/>
      <c r="PS8" s="38"/>
      <c r="PT8" s="38"/>
      <c r="PU8" s="38"/>
      <c r="PV8" s="38"/>
      <c r="PW8" s="38"/>
      <c r="PX8" s="38"/>
      <c r="PY8" s="38"/>
      <c r="PZ8" s="38"/>
      <c r="QA8" s="38"/>
      <c r="QB8" s="38"/>
      <c r="QC8" s="38"/>
      <c r="QD8" s="38"/>
      <c r="QE8" s="38"/>
      <c r="QF8" s="38"/>
      <c r="QG8" s="38"/>
      <c r="QH8" s="38"/>
      <c r="QI8" s="38"/>
      <c r="QJ8" s="38"/>
      <c r="QK8" s="38"/>
      <c r="QL8" s="38"/>
      <c r="QM8" s="38"/>
      <c r="QN8" s="38"/>
      <c r="QO8" s="38"/>
      <c r="QP8" s="38"/>
      <c r="QQ8" s="38"/>
      <c r="QR8" s="38"/>
      <c r="QS8" s="38"/>
      <c r="QT8" s="38"/>
      <c r="QU8" s="38"/>
      <c r="QV8" s="38"/>
      <c r="QW8" s="38"/>
      <c r="QX8" s="38"/>
      <c r="QY8" s="38"/>
      <c r="QZ8" s="38"/>
      <c r="RA8" s="38"/>
      <c r="RB8" s="38"/>
      <c r="RC8" s="38"/>
      <c r="RD8" s="38"/>
      <c r="RE8" s="38"/>
      <c r="RF8" s="38"/>
      <c r="RG8" s="38"/>
      <c r="RH8" s="38"/>
      <c r="RI8" s="38"/>
      <c r="RJ8" s="38"/>
      <c r="RK8" s="38"/>
      <c r="RL8" s="38"/>
      <c r="RM8" s="38"/>
      <c r="RN8" s="38"/>
      <c r="RO8" s="38"/>
      <c r="RP8" s="38"/>
      <c r="RQ8" s="38"/>
      <c r="RR8" s="38"/>
      <c r="RS8" s="38"/>
      <c r="RT8" s="38"/>
      <c r="RU8" s="38"/>
      <c r="RV8" s="38"/>
      <c r="RW8" s="38"/>
      <c r="RX8" s="38"/>
      <c r="RY8" s="38"/>
      <c r="RZ8" s="38"/>
      <c r="SA8" s="38"/>
      <c r="SB8" s="38"/>
      <c r="SC8" s="38"/>
      <c r="SD8" s="38"/>
      <c r="SE8" s="38"/>
      <c r="SF8" s="38"/>
      <c r="SG8" s="38"/>
      <c r="SH8" s="38"/>
      <c r="SI8" s="38"/>
      <c r="SJ8" s="38"/>
      <c r="SK8" s="38"/>
      <c r="SL8" s="38"/>
      <c r="SM8" s="38"/>
      <c r="SN8" s="38"/>
      <c r="SO8" s="38"/>
      <c r="SP8" s="38"/>
      <c r="SQ8" s="38"/>
      <c r="SR8" s="38"/>
      <c r="SS8" s="38"/>
      <c r="ST8" s="38"/>
      <c r="SU8" s="38"/>
      <c r="SV8" s="38"/>
      <c r="SW8" s="38"/>
      <c r="SX8" s="38"/>
      <c r="SY8" s="38"/>
      <c r="SZ8" s="38"/>
      <c r="TA8" s="38"/>
      <c r="TB8" s="38"/>
      <c r="TC8" s="38"/>
      <c r="TD8" s="38"/>
      <c r="TE8" s="38"/>
      <c r="TF8" s="38"/>
      <c r="TG8" s="38"/>
      <c r="TH8" s="38"/>
      <c r="TI8" s="38"/>
      <c r="TJ8" s="38"/>
      <c r="TK8" s="38"/>
      <c r="TL8" s="38"/>
      <c r="TM8" s="38"/>
      <c r="TN8" s="38"/>
      <c r="TO8" s="38"/>
      <c r="TP8" s="38"/>
      <c r="TQ8" s="38"/>
      <c r="TR8" s="38"/>
      <c r="TS8" s="38"/>
      <c r="TT8" s="38"/>
      <c r="TU8" s="38"/>
      <c r="TV8" s="38"/>
      <c r="TW8" s="38"/>
      <c r="TX8" s="38"/>
      <c r="TY8" s="38"/>
      <c r="TZ8" s="38"/>
      <c r="UA8" s="38"/>
      <c r="UB8" s="38"/>
      <c r="UC8" s="38"/>
      <c r="UD8" s="38"/>
      <c r="UE8" s="38"/>
      <c r="UF8" s="38"/>
      <c r="UG8" s="38"/>
      <c r="UH8" s="38"/>
      <c r="UI8" s="38"/>
      <c r="UJ8" s="38"/>
      <c r="UK8" s="38"/>
      <c r="UL8" s="38"/>
      <c r="UM8" s="38"/>
      <c r="UN8" s="38"/>
      <c r="UO8" s="38"/>
      <c r="UP8" s="38"/>
      <c r="UQ8" s="38"/>
      <c r="UR8" s="38"/>
      <c r="US8" s="38"/>
      <c r="UT8" s="38"/>
      <c r="UU8" s="38"/>
      <c r="UV8" s="38"/>
      <c r="UW8" s="38"/>
      <c r="UX8" s="38"/>
      <c r="UY8" s="38"/>
      <c r="UZ8" s="38"/>
      <c r="VA8" s="38"/>
      <c r="VB8" s="38"/>
      <c r="VC8" s="38"/>
      <c r="VD8" s="38"/>
      <c r="VE8" s="38"/>
      <c r="VF8" s="38"/>
      <c r="VG8" s="38"/>
      <c r="VH8" s="38"/>
      <c r="VI8" s="38"/>
      <c r="VJ8" s="38"/>
      <c r="VK8" s="38"/>
      <c r="VL8" s="38"/>
      <c r="VM8" s="38"/>
      <c r="VN8" s="38"/>
      <c r="VO8" s="38"/>
      <c r="VP8" s="38"/>
      <c r="VQ8" s="38"/>
      <c r="VR8" s="38"/>
      <c r="VS8" s="38"/>
      <c r="VT8" s="38"/>
      <c r="VU8" s="38"/>
      <c r="VV8" s="38"/>
      <c r="VW8" s="38"/>
      <c r="VX8" s="38"/>
      <c r="VY8" s="38"/>
      <c r="VZ8" s="38"/>
      <c r="WA8" s="38"/>
      <c r="WB8" s="38"/>
      <c r="WC8" s="38"/>
      <c r="WD8" s="38"/>
      <c r="WE8" s="38"/>
      <c r="WF8" s="38"/>
      <c r="WG8" s="38"/>
      <c r="WH8" s="38"/>
      <c r="WI8" s="38"/>
      <c r="WJ8" s="38"/>
      <c r="WK8" s="38"/>
      <c r="WL8" s="38"/>
      <c r="WM8" s="38"/>
      <c r="WN8" s="38"/>
      <c r="WO8" s="38"/>
      <c r="WP8" s="38"/>
      <c r="WQ8" s="38"/>
      <c r="WR8" s="38"/>
      <c r="WS8" s="38"/>
      <c r="WT8" s="38"/>
      <c r="WU8" s="38"/>
      <c r="WV8" s="38"/>
      <c r="WW8" s="38"/>
      <c r="WX8" s="38"/>
      <c r="WY8" s="38"/>
      <c r="WZ8" s="38"/>
      <c r="XA8" s="38"/>
      <c r="XB8" s="38"/>
      <c r="XC8" s="38"/>
      <c r="XD8" s="38"/>
      <c r="XE8" s="38"/>
      <c r="XF8" s="38"/>
      <c r="XG8" s="38"/>
      <c r="XH8" s="38"/>
      <c r="XI8" s="38"/>
      <c r="XJ8" s="38"/>
      <c r="XK8" s="38"/>
      <c r="XL8" s="38"/>
      <c r="XM8" s="38"/>
      <c r="XN8" s="38"/>
      <c r="XO8" s="38"/>
      <c r="XP8" s="38"/>
      <c r="XQ8" s="38"/>
      <c r="XR8" s="38"/>
      <c r="XS8" s="38"/>
      <c r="XT8" s="38"/>
      <c r="XU8" s="38"/>
      <c r="XV8" s="38"/>
      <c r="XW8" s="38"/>
      <c r="XX8" s="38"/>
      <c r="XY8" s="38"/>
      <c r="XZ8" s="38"/>
      <c r="YA8" s="38"/>
      <c r="YB8" s="38"/>
      <c r="YC8" s="38"/>
      <c r="YD8" s="38"/>
      <c r="YE8" s="38"/>
      <c r="YF8" s="38"/>
      <c r="YG8" s="38"/>
      <c r="YH8" s="38"/>
      <c r="YI8" s="38"/>
      <c r="YJ8" s="38"/>
      <c r="YK8" s="38"/>
      <c r="YL8" s="38"/>
      <c r="YM8" s="38"/>
      <c r="YN8" s="38"/>
      <c r="YO8" s="38"/>
      <c r="YP8" s="38"/>
      <c r="YQ8" s="38"/>
      <c r="YR8" s="38"/>
      <c r="YS8" s="38"/>
      <c r="YT8" s="38"/>
      <c r="YU8" s="38"/>
      <c r="YV8" s="38"/>
      <c r="YW8" s="38"/>
      <c r="YX8" s="38"/>
      <c r="YY8" s="38"/>
      <c r="YZ8" s="38"/>
      <c r="ZA8" s="38"/>
      <c r="ZB8" s="38"/>
      <c r="ZC8" s="38"/>
      <c r="ZD8" s="38"/>
      <c r="ZE8" s="38"/>
      <c r="ZF8" s="38"/>
      <c r="ZG8" s="38"/>
      <c r="ZH8" s="38"/>
      <c r="ZI8" s="38"/>
      <c r="ZJ8" s="38"/>
      <c r="ZK8" s="38"/>
      <c r="ZL8" s="38"/>
      <c r="ZM8" s="38"/>
      <c r="ZN8" s="38"/>
      <c r="ZO8" s="38"/>
      <c r="ZP8" s="38"/>
      <c r="ZQ8" s="38"/>
      <c r="ZR8" s="38"/>
      <c r="ZS8" s="38"/>
      <c r="ZT8" s="38"/>
      <c r="ZU8" s="38"/>
      <c r="ZV8" s="38"/>
      <c r="ZW8" s="38"/>
      <c r="ZX8" s="38"/>
      <c r="ZY8" s="38"/>
      <c r="ZZ8" s="38"/>
      <c r="AAA8" s="38"/>
      <c r="AAB8" s="38"/>
      <c r="AAC8" s="38"/>
      <c r="AAD8" s="38"/>
      <c r="AAE8" s="38"/>
      <c r="AAF8" s="38"/>
      <c r="AAG8" s="38"/>
      <c r="AAH8" s="38"/>
      <c r="AAI8" s="38"/>
      <c r="AAJ8" s="38"/>
      <c r="AAK8" s="38"/>
      <c r="AAL8" s="38"/>
      <c r="AAM8" s="38"/>
      <c r="AAN8" s="38"/>
      <c r="AAO8" s="38"/>
      <c r="AAP8" s="38"/>
      <c r="AAQ8" s="38"/>
      <c r="AAR8" s="38"/>
      <c r="AAS8" s="38"/>
      <c r="AAT8" s="38"/>
      <c r="AAU8" s="38"/>
      <c r="AAV8" s="38"/>
      <c r="AAW8" s="38"/>
      <c r="AAX8" s="38"/>
      <c r="AAY8" s="38"/>
      <c r="AAZ8" s="38"/>
      <c r="ABA8" s="38"/>
      <c r="ABB8" s="38"/>
      <c r="ABC8" s="38"/>
      <c r="ABD8" s="38"/>
      <c r="ABE8" s="38"/>
      <c r="ABF8" s="38"/>
      <c r="ABG8" s="38"/>
      <c r="ABH8" s="38"/>
      <c r="ABI8" s="38"/>
      <c r="ABJ8" s="38"/>
      <c r="ABK8" s="38"/>
      <c r="ABL8" s="38"/>
      <c r="ABM8" s="38"/>
      <c r="ABN8" s="38"/>
      <c r="ABO8" s="38"/>
      <c r="ABP8" s="38"/>
      <c r="ABQ8" s="38"/>
      <c r="ABR8" s="38"/>
      <c r="ABS8" s="38"/>
      <c r="ABT8" s="38"/>
      <c r="ABU8" s="38"/>
      <c r="ABV8" s="38"/>
      <c r="ABW8" s="38"/>
      <c r="ABX8" s="38"/>
      <c r="ABY8" s="38"/>
      <c r="ABZ8" s="38"/>
      <c r="ACA8" s="38"/>
      <c r="ACB8" s="38"/>
      <c r="ACC8" s="38"/>
      <c r="ACD8" s="38"/>
      <c r="ACE8" s="38"/>
      <c r="ACF8" s="38"/>
      <c r="ACG8" s="38"/>
      <c r="ACH8" s="38"/>
      <c r="ACI8" s="38"/>
      <c r="ACJ8" s="38"/>
      <c r="ACK8" s="38"/>
      <c r="ACL8" s="38"/>
      <c r="ACM8" s="38"/>
      <c r="ACN8" s="38"/>
      <c r="ACO8" s="38"/>
      <c r="ACP8" s="38"/>
      <c r="ACQ8" s="38"/>
      <c r="ACR8" s="38"/>
      <c r="ACS8" s="38"/>
      <c r="ACT8" s="38"/>
      <c r="ACU8" s="38"/>
      <c r="ACV8" s="38"/>
      <c r="ACW8" s="38"/>
      <c r="ACX8" s="38"/>
      <c r="ACY8" s="38"/>
      <c r="ACZ8" s="38"/>
      <c r="ADA8" s="38"/>
      <c r="ADB8" s="38"/>
      <c r="ADC8" s="38"/>
      <c r="ADD8" s="38"/>
      <c r="ADE8" s="38"/>
      <c r="ADF8" s="38"/>
      <c r="ADG8" s="38"/>
      <c r="ADH8" s="38"/>
      <c r="ADI8" s="38"/>
      <c r="ADJ8" s="38"/>
      <c r="ADK8" s="38"/>
      <c r="ADL8" s="38"/>
      <c r="ADM8" s="38"/>
      <c r="ADN8" s="38"/>
      <c r="ADO8" s="38"/>
      <c r="ADP8" s="38"/>
      <c r="ADQ8" s="38"/>
      <c r="ADR8" s="38"/>
      <c r="ADS8" s="38"/>
      <c r="ADT8" s="38"/>
      <c r="ADU8" s="38"/>
      <c r="ADV8" s="38"/>
      <c r="ADW8" s="38"/>
      <c r="ADX8" s="38"/>
      <c r="ADY8" s="38"/>
      <c r="ADZ8" s="38"/>
      <c r="AEA8" s="38"/>
      <c r="AEB8" s="38"/>
      <c r="AEC8" s="38"/>
      <c r="AED8" s="38"/>
      <c r="AEE8" s="38"/>
      <c r="AEF8" s="38"/>
      <c r="AEG8" s="38"/>
      <c r="AEH8" s="38"/>
      <c r="AEI8" s="38"/>
      <c r="AEJ8" s="38"/>
      <c r="AEK8" s="38"/>
      <c r="AEL8" s="38"/>
      <c r="AEM8" s="38"/>
      <c r="AEN8" s="38"/>
      <c r="AEO8" s="38"/>
      <c r="AEP8" s="38"/>
      <c r="AEQ8" s="38"/>
      <c r="AER8" s="38"/>
      <c r="AES8" s="38"/>
      <c r="AET8" s="38"/>
      <c r="AEU8" s="38"/>
      <c r="AEV8" s="38"/>
      <c r="AEW8" s="38"/>
      <c r="AEX8" s="38"/>
      <c r="AEY8" s="38"/>
      <c r="AEZ8" s="38"/>
      <c r="AFA8" s="38"/>
      <c r="AFB8" s="38"/>
      <c r="AFC8" s="38"/>
      <c r="AFD8" s="38"/>
      <c r="AFE8" s="38"/>
      <c r="AFF8" s="38"/>
      <c r="AFG8" s="38"/>
      <c r="AFH8" s="38"/>
      <c r="AFI8" s="38"/>
      <c r="AFJ8" s="38"/>
      <c r="AFK8" s="38"/>
      <c r="AFL8" s="38"/>
      <c r="AFM8" s="38"/>
      <c r="AFN8" s="38"/>
      <c r="AFO8" s="38"/>
      <c r="AFP8" s="38"/>
      <c r="AFQ8" s="38"/>
      <c r="AFR8" s="38"/>
      <c r="AFS8" s="38"/>
      <c r="AFT8" s="38"/>
      <c r="AFU8" s="38"/>
      <c r="AFV8" s="38"/>
      <c r="AFW8" s="38"/>
      <c r="AFX8" s="38"/>
      <c r="AFY8" s="38"/>
      <c r="AFZ8" s="38"/>
      <c r="AGA8" s="38"/>
      <c r="AGB8" s="38"/>
      <c r="AGC8" s="38"/>
      <c r="AGD8" s="38"/>
      <c r="AGE8" s="38"/>
      <c r="AGF8" s="38"/>
      <c r="AGG8" s="38"/>
      <c r="AGH8" s="38"/>
      <c r="AGI8" s="38"/>
      <c r="AGJ8" s="38"/>
      <c r="AGK8" s="38"/>
      <c r="AGL8" s="38"/>
      <c r="AGM8" s="38"/>
      <c r="AGN8" s="38"/>
      <c r="AGO8" s="38"/>
      <c r="AGP8" s="38"/>
      <c r="AGQ8" s="38"/>
      <c r="AGR8" s="38"/>
      <c r="AGS8" s="38"/>
      <c r="AGT8" s="38"/>
      <c r="AGU8" s="38"/>
      <c r="AGV8" s="38"/>
      <c r="AGW8" s="38"/>
      <c r="AGX8" s="38"/>
      <c r="AGY8" s="38"/>
      <c r="AGZ8" s="38"/>
      <c r="AHA8" s="38"/>
      <c r="AHB8" s="38"/>
      <c r="AHC8" s="38"/>
      <c r="AHD8" s="38"/>
      <c r="AHE8" s="38"/>
      <c r="AHF8" s="38"/>
      <c r="AHG8" s="38"/>
      <c r="AHH8" s="38"/>
      <c r="AHI8" s="38"/>
      <c r="AHJ8" s="38"/>
      <c r="AHK8" s="38"/>
      <c r="AHL8" s="38"/>
      <c r="AHM8" s="38"/>
      <c r="AHN8" s="38"/>
      <c r="AHO8" s="38"/>
      <c r="AHP8" s="38"/>
      <c r="AHQ8" s="38"/>
      <c r="AHR8" s="38"/>
      <c r="AHS8" s="38"/>
      <c r="AHT8" s="38"/>
      <c r="AHU8" s="38"/>
      <c r="AHV8" s="38"/>
      <c r="AHW8" s="38"/>
      <c r="AHX8" s="38"/>
      <c r="AHY8" s="38"/>
      <c r="AHZ8" s="38"/>
      <c r="AIA8" s="38"/>
      <c r="AIB8" s="38"/>
      <c r="AIC8" s="38"/>
      <c r="AID8" s="38"/>
      <c r="AIE8" s="38"/>
      <c r="AIF8" s="38"/>
      <c r="AIG8" s="38"/>
      <c r="AIH8" s="38"/>
      <c r="AII8" s="38"/>
      <c r="AIJ8" s="38"/>
      <c r="AIK8" s="38"/>
      <c r="AIL8" s="38"/>
      <c r="AIM8" s="38"/>
      <c r="AIN8" s="38"/>
      <c r="AIO8" s="38"/>
      <c r="AIP8" s="38"/>
      <c r="AIQ8" s="38"/>
      <c r="AIR8" s="38"/>
      <c r="AIS8" s="38"/>
      <c r="AIT8" s="38"/>
      <c r="AIU8" s="38"/>
      <c r="AIV8" s="38"/>
      <c r="AIW8" s="38"/>
      <c r="AIX8" s="38"/>
      <c r="AIY8" s="38"/>
      <c r="AIZ8" s="38"/>
      <c r="AJA8" s="38"/>
      <c r="AJB8" s="38"/>
      <c r="AJC8" s="38"/>
      <c r="AJD8" s="38"/>
      <c r="AJE8" s="38"/>
      <c r="AJF8" s="38"/>
      <c r="AJG8" s="38"/>
      <c r="AJH8" s="38"/>
      <c r="AJI8" s="38"/>
      <c r="AJJ8" s="38"/>
      <c r="AJK8" s="38"/>
      <c r="AJL8" s="38"/>
      <c r="AJM8" s="38"/>
      <c r="AJN8" s="38"/>
      <c r="AJO8" s="38"/>
      <c r="AJP8" s="38"/>
      <c r="AJQ8" s="38"/>
      <c r="AJR8" s="38"/>
      <c r="AJS8" s="38"/>
      <c r="AJT8" s="38"/>
      <c r="AJU8" s="38"/>
      <c r="AJV8" s="38"/>
      <c r="AJW8" s="38"/>
      <c r="AJX8" s="38"/>
      <c r="AJY8" s="38"/>
      <c r="AJZ8" s="38"/>
      <c r="AKA8" s="38"/>
      <c r="AKB8" s="38"/>
      <c r="AKC8" s="38"/>
      <c r="AKD8" s="38"/>
      <c r="AKE8" s="38"/>
      <c r="AKF8" s="38"/>
      <c r="AKG8" s="38"/>
      <c r="AKH8" s="38"/>
      <c r="AKI8" s="38"/>
      <c r="AKJ8" s="38"/>
      <c r="AKK8" s="38"/>
      <c r="AKL8" s="38"/>
      <c r="AKM8" s="38"/>
      <c r="AKN8" s="38"/>
      <c r="AKO8" s="38"/>
      <c r="AKP8" s="38"/>
      <c r="AKQ8" s="38"/>
      <c r="AKR8" s="38"/>
      <c r="AKS8" s="38"/>
      <c r="AKT8" s="38"/>
      <c r="AKU8" s="38"/>
      <c r="AKV8" s="38"/>
      <c r="AKW8" s="38"/>
      <c r="AKX8" s="38"/>
      <c r="AKY8" s="38"/>
      <c r="AKZ8" s="38"/>
      <c r="ALA8" s="38"/>
      <c r="ALB8" s="38"/>
      <c r="ALC8" s="38"/>
      <c r="ALD8" s="38"/>
      <c r="ALE8" s="38"/>
      <c r="ALF8" s="38"/>
      <c r="ALG8" s="38"/>
      <c r="ALH8" s="38"/>
      <c r="ALI8" s="38"/>
      <c r="ALJ8" s="38"/>
      <c r="ALK8" s="38"/>
      <c r="ALL8" s="38"/>
      <c r="ALM8" s="38"/>
      <c r="ALN8" s="38"/>
      <c r="ALO8" s="38"/>
      <c r="ALP8" s="38"/>
      <c r="ALQ8" s="38"/>
      <c r="ALR8" s="38"/>
      <c r="ALS8" s="38"/>
      <c r="ALT8" s="38"/>
      <c r="ALU8" s="38"/>
      <c r="ALV8" s="38"/>
      <c r="ALW8" s="38"/>
      <c r="ALX8" s="38"/>
      <c r="ALY8" s="38"/>
      <c r="ALZ8" s="38"/>
      <c r="AMA8" s="38"/>
      <c r="AMB8" s="38"/>
      <c r="AMC8" s="38"/>
      <c r="AMD8" s="38"/>
      <c r="AME8" s="38"/>
      <c r="AMF8" s="38"/>
      <c r="AMG8" s="38"/>
      <c r="AMH8" s="38"/>
      <c r="AMI8" s="38"/>
      <c r="AMJ8" s="38"/>
      <c r="AMK8" s="38"/>
    </row>
    <row r="9" ht="15.75" customHeight="1">
      <c r="A9" s="38"/>
      <c r="B9" s="38"/>
      <c r="C9" s="47" t="s">
        <v>36</v>
      </c>
      <c r="D9" s="51">
        <v>1000.0</v>
      </c>
      <c r="E9" s="47" t="s">
        <v>38</v>
      </c>
      <c r="F9" s="47" t="s">
        <v>70</v>
      </c>
      <c r="G9" s="48">
        <v>60.0</v>
      </c>
      <c r="H9" s="38"/>
      <c r="I9" s="38"/>
      <c r="J9" s="38"/>
      <c r="K9" s="38"/>
      <c r="L9" s="38"/>
      <c r="M9" s="38"/>
      <c r="N9" s="38"/>
      <c r="O9" s="38"/>
      <c r="P9" s="42"/>
      <c r="Q9" s="38"/>
      <c r="R9" s="38"/>
      <c r="S9" s="47" t="s">
        <v>63</v>
      </c>
      <c r="T9" s="47" t="s">
        <v>66</v>
      </c>
      <c r="U9" s="38"/>
      <c r="V9" s="38"/>
      <c r="W9" s="38"/>
      <c r="X9" s="42"/>
      <c r="Y9" s="42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42"/>
      <c r="AM9" s="38"/>
      <c r="AN9" s="47" t="s">
        <v>37</v>
      </c>
      <c r="AO9" s="38"/>
      <c r="AP9" s="38"/>
      <c r="AQ9" s="38"/>
      <c r="AR9" s="38"/>
      <c r="AS9" s="42"/>
      <c r="AT9" s="38"/>
      <c r="AU9" s="38"/>
      <c r="AV9" s="42"/>
      <c r="AW9" s="38"/>
      <c r="AX9" s="38"/>
      <c r="AY9" s="38"/>
      <c r="AZ9" s="38"/>
      <c r="BA9" s="38"/>
      <c r="BB9" s="38"/>
      <c r="BC9" s="42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47" t="s">
        <v>62</v>
      </c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46"/>
      <c r="CQ9" s="38"/>
      <c r="CR9" s="38"/>
      <c r="CS9" s="42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42"/>
      <c r="DE9" s="38"/>
      <c r="DF9" s="38"/>
      <c r="DG9" s="38"/>
      <c r="DH9" s="42"/>
      <c r="DI9" s="38"/>
      <c r="DJ9" s="38"/>
      <c r="DK9" s="42"/>
      <c r="DL9" s="42"/>
      <c r="DM9" s="42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42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</row>
    <row r="10" ht="15.75" customHeight="1">
      <c r="A10" s="38"/>
      <c r="B10" s="38"/>
      <c r="C10" s="47" t="s">
        <v>42</v>
      </c>
      <c r="D10" s="51">
        <v>-1100.0</v>
      </c>
      <c r="E10" s="47" t="s">
        <v>44</v>
      </c>
      <c r="F10" s="47" t="s">
        <v>71</v>
      </c>
      <c r="G10" s="48">
        <v>1.0</v>
      </c>
      <c r="H10" s="38"/>
      <c r="I10" s="38"/>
      <c r="J10" s="38"/>
      <c r="K10" s="38"/>
      <c r="L10" s="38"/>
      <c r="M10" s="38"/>
      <c r="N10" s="38"/>
      <c r="O10" s="46"/>
      <c r="P10" s="38"/>
      <c r="Q10" s="38"/>
      <c r="R10" s="38"/>
      <c r="S10" s="47" t="s">
        <v>63</v>
      </c>
      <c r="T10" s="47" t="s">
        <v>66</v>
      </c>
      <c r="U10" s="38"/>
      <c r="V10" s="38"/>
      <c r="W10" s="38"/>
      <c r="X10" s="38"/>
      <c r="Y10" s="42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47" t="s">
        <v>43</v>
      </c>
      <c r="AO10" s="38"/>
      <c r="AP10" s="38"/>
      <c r="AQ10" s="38"/>
      <c r="AR10" s="38"/>
      <c r="AS10" s="38"/>
      <c r="AT10" s="38"/>
      <c r="AU10" s="38"/>
      <c r="AV10" s="42"/>
      <c r="AW10" s="38"/>
      <c r="AX10" s="38"/>
      <c r="AY10" s="38"/>
      <c r="AZ10" s="38"/>
      <c r="BA10" s="38"/>
      <c r="BB10" s="38"/>
      <c r="BC10" s="42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47" t="s">
        <v>62</v>
      </c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42"/>
      <c r="FE10" s="38"/>
      <c r="FF10" s="42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</row>
    <row r="11" ht="15.75" customHeight="1">
      <c r="A11" s="38"/>
      <c r="B11" s="38"/>
      <c r="C11" s="47" t="s">
        <v>42</v>
      </c>
      <c r="D11" s="51">
        <v>-1000.0</v>
      </c>
      <c r="E11" s="47" t="s">
        <v>44</v>
      </c>
      <c r="F11" s="47" t="s">
        <v>71</v>
      </c>
      <c r="G11" s="48">
        <v>60.0</v>
      </c>
      <c r="H11" s="38"/>
      <c r="I11" s="38"/>
      <c r="J11" s="38"/>
      <c r="K11" s="38"/>
      <c r="L11" s="38"/>
      <c r="M11" s="38"/>
      <c r="N11" s="38"/>
      <c r="O11" s="46"/>
      <c r="P11" s="38"/>
      <c r="Q11" s="38"/>
      <c r="R11" s="38"/>
      <c r="S11" s="47" t="s">
        <v>63</v>
      </c>
      <c r="T11" s="47" t="s">
        <v>66</v>
      </c>
      <c r="U11" s="38"/>
      <c r="V11" s="38"/>
      <c r="W11" s="38"/>
      <c r="X11" s="38"/>
      <c r="Y11" s="42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47" t="s">
        <v>43</v>
      </c>
      <c r="AO11" s="38"/>
      <c r="AP11" s="38"/>
      <c r="AQ11" s="38"/>
      <c r="AR11" s="38"/>
      <c r="AS11" s="38"/>
      <c r="AT11" s="38"/>
      <c r="AU11" s="38"/>
      <c r="AV11" s="42"/>
      <c r="AW11" s="38"/>
      <c r="AX11" s="38"/>
      <c r="AY11" s="38"/>
      <c r="AZ11" s="38"/>
      <c r="BA11" s="38"/>
      <c r="BB11" s="38"/>
      <c r="BC11" s="42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47" t="s">
        <v>62</v>
      </c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42"/>
      <c r="FE11" s="38"/>
      <c r="FF11" s="42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38"/>
      <c r="AJN11" s="38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</row>
    <row r="12" ht="15.75" customHeight="1">
      <c r="A12" s="38"/>
      <c r="B12" s="38"/>
      <c r="C12" s="47" t="s">
        <v>42</v>
      </c>
      <c r="D12" s="51">
        <v>-1000.0</v>
      </c>
      <c r="E12" s="47" t="s">
        <v>44</v>
      </c>
      <c r="F12" s="47" t="s">
        <v>71</v>
      </c>
      <c r="G12" s="48">
        <v>60.0</v>
      </c>
      <c r="H12" s="38"/>
      <c r="I12" s="38"/>
      <c r="J12" s="38"/>
      <c r="K12" s="38"/>
      <c r="L12" s="38"/>
      <c r="M12" s="38"/>
      <c r="N12" s="38"/>
      <c r="O12" s="46"/>
      <c r="P12" s="38"/>
      <c r="Q12" s="38"/>
      <c r="R12" s="38"/>
      <c r="S12" s="47" t="s">
        <v>63</v>
      </c>
      <c r="T12" s="47" t="s">
        <v>66</v>
      </c>
      <c r="U12" s="38"/>
      <c r="V12" s="38"/>
      <c r="W12" s="38"/>
      <c r="X12" s="38"/>
      <c r="Y12" s="42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47" t="s">
        <v>43</v>
      </c>
      <c r="AO12" s="38"/>
      <c r="AP12" s="38"/>
      <c r="AQ12" s="38"/>
      <c r="AR12" s="38"/>
      <c r="AS12" s="38"/>
      <c r="AT12" s="38"/>
      <c r="AU12" s="38"/>
      <c r="AV12" s="42"/>
      <c r="AW12" s="38"/>
      <c r="AX12" s="38"/>
      <c r="AY12" s="38"/>
      <c r="AZ12" s="38"/>
      <c r="BA12" s="38"/>
      <c r="BB12" s="38"/>
      <c r="BC12" s="42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47" t="s">
        <v>62</v>
      </c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42"/>
      <c r="FE12" s="38"/>
      <c r="FF12" s="42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/>
      <c r="VR12" s="38"/>
      <c r="VS12" s="38"/>
      <c r="VT12" s="38"/>
      <c r="VU12" s="38"/>
      <c r="VV12" s="38"/>
      <c r="VW12" s="38"/>
      <c r="VX12" s="38"/>
      <c r="VY12" s="38"/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/>
      <c r="XT12" s="38"/>
      <c r="XU12" s="38"/>
      <c r="XV12" s="38"/>
      <c r="XW12" s="38"/>
      <c r="XX12" s="38"/>
      <c r="XY12" s="38"/>
      <c r="XZ12" s="38"/>
      <c r="YA12" s="38"/>
      <c r="YB12" s="38"/>
      <c r="YC12" s="38"/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38"/>
      <c r="YU12" s="38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8"/>
      <c r="AAK12" s="38"/>
      <c r="AAL12" s="38"/>
      <c r="AAM12" s="38"/>
      <c r="AAN12" s="38"/>
      <c r="AAO12" s="38"/>
      <c r="AAP12" s="38"/>
      <c r="AAQ12" s="38"/>
      <c r="AAR12" s="38"/>
      <c r="AAS12" s="38"/>
      <c r="AAT12" s="38"/>
      <c r="AAU12" s="38"/>
      <c r="AAV12" s="38"/>
      <c r="AAW12" s="38"/>
      <c r="AAX12" s="38"/>
      <c r="AAY12" s="38"/>
      <c r="AAZ12" s="38"/>
      <c r="ABA12" s="38"/>
      <c r="ABB12" s="38"/>
      <c r="ABC12" s="38"/>
      <c r="ABD12" s="38"/>
      <c r="ABE12" s="38"/>
      <c r="ABF12" s="38"/>
      <c r="ABG12" s="38"/>
      <c r="ABH12" s="38"/>
      <c r="ABI12" s="38"/>
      <c r="ABJ12" s="38"/>
      <c r="ABK12" s="38"/>
      <c r="ABL12" s="38"/>
      <c r="ABM12" s="38"/>
      <c r="ABN12" s="38"/>
      <c r="ABO12" s="38"/>
      <c r="ABP12" s="38"/>
      <c r="ABQ12" s="38"/>
      <c r="ABR12" s="38"/>
      <c r="ABS12" s="38"/>
      <c r="ABT12" s="38"/>
      <c r="ABU12" s="38"/>
      <c r="ABV12" s="38"/>
      <c r="ABW12" s="38"/>
      <c r="ABX12" s="38"/>
      <c r="ABY12" s="38"/>
      <c r="ABZ12" s="38"/>
      <c r="ACA12" s="38"/>
      <c r="ACB12" s="38"/>
      <c r="ACC12" s="38"/>
      <c r="ACD12" s="38"/>
      <c r="ACE12" s="38"/>
      <c r="ACF12" s="38"/>
      <c r="ACG12" s="38"/>
      <c r="ACH12" s="38"/>
      <c r="ACI12" s="38"/>
      <c r="ACJ12" s="38"/>
      <c r="ACK12" s="38"/>
      <c r="ACL12" s="38"/>
      <c r="ACM12" s="38"/>
      <c r="ACN12" s="38"/>
      <c r="ACO12" s="38"/>
      <c r="ACP12" s="38"/>
      <c r="ACQ12" s="38"/>
      <c r="ACR12" s="38"/>
      <c r="ACS12" s="38"/>
      <c r="ACT12" s="38"/>
      <c r="ACU12" s="38"/>
      <c r="ACV12" s="38"/>
      <c r="ACW12" s="38"/>
      <c r="ACX12" s="38"/>
      <c r="ACY12" s="38"/>
      <c r="ACZ12" s="38"/>
      <c r="ADA12" s="38"/>
      <c r="ADB12" s="38"/>
      <c r="ADC12" s="38"/>
      <c r="ADD12" s="38"/>
      <c r="ADE12" s="38"/>
      <c r="ADF12" s="38"/>
      <c r="ADG12" s="38"/>
      <c r="ADH12" s="38"/>
      <c r="ADI12" s="38"/>
      <c r="ADJ12" s="38"/>
      <c r="ADK12" s="38"/>
      <c r="ADL12" s="38"/>
      <c r="ADM12" s="38"/>
      <c r="ADN12" s="38"/>
      <c r="ADO12" s="38"/>
      <c r="ADP12" s="38"/>
      <c r="ADQ12" s="38"/>
      <c r="ADR12" s="38"/>
      <c r="ADS12" s="38"/>
      <c r="ADT12" s="38"/>
      <c r="ADU12" s="38"/>
      <c r="ADV12" s="38"/>
      <c r="ADW12" s="38"/>
      <c r="ADX12" s="38"/>
      <c r="ADY12" s="38"/>
      <c r="ADZ12" s="38"/>
      <c r="AEA12" s="38"/>
      <c r="AEB12" s="38"/>
      <c r="AEC12" s="38"/>
      <c r="AED12" s="38"/>
      <c r="AEE12" s="38"/>
      <c r="AEF12" s="38"/>
      <c r="AEG12" s="38"/>
      <c r="AEH12" s="38"/>
      <c r="AEI12" s="38"/>
      <c r="AEJ12" s="38"/>
      <c r="AEK12" s="38"/>
      <c r="AEL12" s="38"/>
      <c r="AEM12" s="38"/>
      <c r="AEN12" s="38"/>
      <c r="AEO12" s="38"/>
      <c r="AEP12" s="38"/>
      <c r="AEQ12" s="38"/>
      <c r="AER12" s="38"/>
      <c r="AES12" s="38"/>
      <c r="AET12" s="38"/>
      <c r="AEU12" s="38"/>
      <c r="AEV12" s="38"/>
      <c r="AEW12" s="38"/>
      <c r="AEX12" s="38"/>
      <c r="AEY12" s="38"/>
      <c r="AEZ12" s="38"/>
      <c r="AFA12" s="38"/>
      <c r="AFB12" s="38"/>
      <c r="AFC12" s="38"/>
      <c r="AFD12" s="38"/>
      <c r="AFE12" s="38"/>
      <c r="AFF12" s="38"/>
      <c r="AFG12" s="38"/>
      <c r="AFH12" s="38"/>
      <c r="AFI12" s="38"/>
      <c r="AFJ12" s="38"/>
      <c r="AFK12" s="38"/>
      <c r="AFL12" s="38"/>
      <c r="AFM12" s="38"/>
      <c r="AFN12" s="38"/>
      <c r="AFO12" s="38"/>
      <c r="AFP12" s="38"/>
      <c r="AFQ12" s="38"/>
      <c r="AFR12" s="38"/>
      <c r="AFS12" s="38"/>
      <c r="AFT12" s="38"/>
      <c r="AFU12" s="38"/>
      <c r="AFV12" s="38"/>
      <c r="AFW12" s="38"/>
      <c r="AFX12" s="38"/>
      <c r="AFY12" s="38"/>
      <c r="AFZ12" s="38"/>
      <c r="AGA12" s="38"/>
      <c r="AGB12" s="38"/>
      <c r="AGC12" s="38"/>
      <c r="AGD12" s="38"/>
      <c r="AGE12" s="38"/>
      <c r="AGF12" s="38"/>
      <c r="AGG12" s="38"/>
      <c r="AGH12" s="38"/>
      <c r="AGI12" s="38"/>
      <c r="AGJ12" s="38"/>
      <c r="AGK12" s="38"/>
      <c r="AGL12" s="38"/>
      <c r="AGM12" s="38"/>
      <c r="AGN12" s="38"/>
      <c r="AGO12" s="38"/>
      <c r="AGP12" s="38"/>
      <c r="AGQ12" s="38"/>
      <c r="AGR12" s="38"/>
      <c r="AGS12" s="38"/>
      <c r="AGT12" s="38"/>
      <c r="AGU12" s="38"/>
      <c r="AGV12" s="38"/>
      <c r="AGW12" s="38"/>
      <c r="AGX12" s="38"/>
      <c r="AGY12" s="38"/>
      <c r="AGZ12" s="38"/>
      <c r="AHA12" s="38"/>
      <c r="AHB12" s="38"/>
      <c r="AHC12" s="38"/>
      <c r="AHD12" s="38"/>
      <c r="AHE12" s="38"/>
      <c r="AHF12" s="38"/>
      <c r="AHG12" s="38"/>
      <c r="AHH12" s="38"/>
      <c r="AHI12" s="38"/>
      <c r="AHJ12" s="38"/>
      <c r="AHK12" s="38"/>
      <c r="AHL12" s="38"/>
      <c r="AHM12" s="38"/>
      <c r="AHN12" s="38"/>
      <c r="AHO12" s="38"/>
      <c r="AHP12" s="38"/>
      <c r="AHQ12" s="38"/>
      <c r="AHR12" s="38"/>
      <c r="AHS12" s="38"/>
      <c r="AHT12" s="38"/>
      <c r="AHU12" s="38"/>
      <c r="AHV12" s="38"/>
      <c r="AHW12" s="38"/>
      <c r="AHX12" s="38"/>
      <c r="AHY12" s="38"/>
      <c r="AHZ12" s="38"/>
      <c r="AIA12" s="38"/>
      <c r="AIB12" s="38"/>
      <c r="AIC12" s="38"/>
      <c r="AID12" s="38"/>
      <c r="AIE12" s="38"/>
      <c r="AIF12" s="38"/>
      <c r="AIG12" s="38"/>
      <c r="AIH12" s="38"/>
      <c r="AII12" s="38"/>
      <c r="AIJ12" s="38"/>
      <c r="AIK12" s="38"/>
      <c r="AIL12" s="38"/>
      <c r="AIM12" s="38"/>
      <c r="AIN12" s="38"/>
      <c r="AIO12" s="38"/>
      <c r="AIP12" s="38"/>
      <c r="AIQ12" s="38"/>
      <c r="AIR12" s="38"/>
      <c r="AIS12" s="38"/>
      <c r="AIT12" s="38"/>
      <c r="AIU12" s="38"/>
      <c r="AIV12" s="38"/>
      <c r="AIW12" s="38"/>
      <c r="AIX12" s="38"/>
      <c r="AIY12" s="38"/>
      <c r="AIZ12" s="38"/>
      <c r="AJA12" s="38"/>
      <c r="AJB12" s="38"/>
      <c r="AJC12" s="38"/>
      <c r="AJD12" s="38"/>
      <c r="AJE12" s="38"/>
      <c r="AJF12" s="38"/>
      <c r="AJG12" s="38"/>
      <c r="AJH12" s="38"/>
      <c r="AJI12" s="38"/>
      <c r="AJJ12" s="38"/>
      <c r="AJK12" s="38"/>
      <c r="AJL12" s="38"/>
      <c r="AJM12" s="38"/>
      <c r="AJN12" s="38"/>
      <c r="AJO12" s="38"/>
      <c r="AJP12" s="38"/>
      <c r="AJQ12" s="38"/>
      <c r="AJR12" s="38"/>
      <c r="AJS12" s="38"/>
      <c r="AJT12" s="38"/>
      <c r="AJU12" s="38"/>
      <c r="AJV12" s="38"/>
      <c r="AJW12" s="38"/>
      <c r="AJX12" s="38"/>
      <c r="AJY12" s="38"/>
      <c r="AJZ12" s="38"/>
      <c r="AKA12" s="38"/>
      <c r="AKB12" s="38"/>
      <c r="AKC12" s="38"/>
      <c r="AKD12" s="38"/>
      <c r="AKE12" s="38"/>
      <c r="AKF12" s="38"/>
      <c r="AKG12" s="38"/>
      <c r="AKH12" s="38"/>
      <c r="AKI12" s="38"/>
      <c r="AKJ12" s="38"/>
      <c r="AKK12" s="38"/>
      <c r="AKL12" s="38"/>
      <c r="AKM12" s="38"/>
      <c r="AKN12" s="38"/>
      <c r="AKO12" s="38"/>
      <c r="AKP12" s="38"/>
      <c r="AKQ12" s="38"/>
      <c r="AKR12" s="38"/>
      <c r="AKS12" s="38"/>
      <c r="AKT12" s="38"/>
      <c r="AKU12" s="38"/>
      <c r="AKV12" s="38"/>
      <c r="AKW12" s="38"/>
      <c r="AKX12" s="38"/>
      <c r="AKY12" s="38"/>
      <c r="AKZ12" s="38"/>
      <c r="ALA12" s="38"/>
      <c r="ALB12" s="38"/>
      <c r="ALC12" s="38"/>
      <c r="ALD12" s="38"/>
      <c r="ALE12" s="38"/>
      <c r="ALF12" s="38"/>
      <c r="ALG12" s="38"/>
      <c r="ALH12" s="38"/>
      <c r="ALI12" s="38"/>
      <c r="ALJ12" s="38"/>
      <c r="ALK12" s="38"/>
      <c r="ALL12" s="38"/>
      <c r="ALM12" s="38"/>
      <c r="ALN12" s="38"/>
      <c r="ALO12" s="38"/>
      <c r="ALP12" s="38"/>
      <c r="ALQ12" s="38"/>
      <c r="ALR12" s="38"/>
      <c r="ALS12" s="38"/>
      <c r="ALT12" s="38"/>
      <c r="ALU12" s="38"/>
      <c r="ALV12" s="38"/>
      <c r="ALW12" s="38"/>
      <c r="ALX12" s="38"/>
      <c r="ALY12" s="38"/>
      <c r="ALZ12" s="38"/>
      <c r="AMA12" s="38"/>
      <c r="AMB12" s="38"/>
      <c r="AMC12" s="38"/>
      <c r="AMD12" s="38"/>
      <c r="AME12" s="38"/>
      <c r="AMF12" s="38"/>
      <c r="AMG12" s="38"/>
      <c r="AMH12" s="38"/>
      <c r="AMI12" s="38"/>
      <c r="AMJ12" s="38"/>
      <c r="AMK12" s="38"/>
    </row>
    <row r="13" ht="15.75" customHeight="1">
      <c r="A13" s="38"/>
      <c r="B13" s="38"/>
      <c r="C13" s="47" t="s">
        <v>42</v>
      </c>
      <c r="D13" s="51">
        <v>-1000.0</v>
      </c>
      <c r="E13" s="47" t="s">
        <v>44</v>
      </c>
      <c r="F13" s="47" t="s">
        <v>71</v>
      </c>
      <c r="G13" s="48">
        <v>60.0</v>
      </c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47" t="s">
        <v>63</v>
      </c>
      <c r="T13" s="47" t="s">
        <v>66</v>
      </c>
      <c r="U13" s="38"/>
      <c r="V13" s="38"/>
      <c r="W13" s="38"/>
      <c r="X13" s="38"/>
      <c r="Y13" s="42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47" t="s">
        <v>43</v>
      </c>
      <c r="AO13" s="38"/>
      <c r="AP13" s="38"/>
      <c r="AQ13" s="38"/>
      <c r="AR13" s="38"/>
      <c r="AS13" s="38"/>
      <c r="AT13" s="38"/>
      <c r="AU13" s="38"/>
      <c r="AV13" s="42"/>
      <c r="AW13" s="38"/>
      <c r="AX13" s="38"/>
      <c r="AY13" s="38"/>
      <c r="AZ13" s="38"/>
      <c r="BA13" s="38"/>
      <c r="BB13" s="38"/>
      <c r="BC13" s="42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47" t="s">
        <v>62</v>
      </c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46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42"/>
      <c r="FE13" s="38"/>
      <c r="FF13" s="42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38"/>
      <c r="SL13" s="38"/>
      <c r="SM13" s="38"/>
      <c r="SN13" s="38"/>
      <c r="SO13" s="38"/>
      <c r="SP13" s="38"/>
      <c r="SQ13" s="38"/>
      <c r="SR13" s="38"/>
      <c r="SS13" s="38"/>
      <c r="ST13" s="38"/>
      <c r="SU13" s="38"/>
      <c r="SV13" s="38"/>
      <c r="SW13" s="38"/>
      <c r="SX13" s="38"/>
      <c r="SY13" s="38"/>
      <c r="SZ13" s="38"/>
      <c r="TA13" s="38"/>
      <c r="TB13" s="38"/>
      <c r="TC13" s="38"/>
      <c r="TD13" s="38"/>
      <c r="TE13" s="38"/>
      <c r="TF13" s="38"/>
      <c r="TG13" s="38"/>
      <c r="TH13" s="38"/>
      <c r="TI13" s="38"/>
      <c r="TJ13" s="38"/>
      <c r="TK13" s="38"/>
      <c r="TL13" s="38"/>
      <c r="TM13" s="38"/>
      <c r="TN13" s="38"/>
      <c r="TO13" s="38"/>
      <c r="TP13" s="38"/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/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/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38"/>
      <c r="YU13" s="38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/>
      <c r="ZR13" s="38"/>
      <c r="ZS13" s="38"/>
      <c r="ZT13" s="38"/>
      <c r="ZU13" s="38"/>
      <c r="ZV13" s="38"/>
      <c r="ZW13" s="38"/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8"/>
      <c r="AAK13" s="38"/>
      <c r="AAL13" s="38"/>
      <c r="AAM13" s="38"/>
      <c r="AAN13" s="38"/>
      <c r="AAO13" s="38"/>
      <c r="AAP13" s="38"/>
      <c r="AAQ13" s="38"/>
      <c r="AAR13" s="38"/>
      <c r="AAS13" s="38"/>
      <c r="AAT13" s="38"/>
      <c r="AAU13" s="38"/>
      <c r="AAV13" s="38"/>
      <c r="AAW13" s="38"/>
      <c r="AAX13" s="38"/>
      <c r="AAY13" s="38"/>
      <c r="AAZ13" s="38"/>
      <c r="ABA13" s="38"/>
      <c r="ABB13" s="38"/>
      <c r="ABC13" s="38"/>
      <c r="ABD13" s="38"/>
      <c r="ABE13" s="38"/>
      <c r="ABF13" s="38"/>
      <c r="ABG13" s="38"/>
      <c r="ABH13" s="38"/>
      <c r="ABI13" s="38"/>
      <c r="ABJ13" s="38"/>
      <c r="ABK13" s="38"/>
      <c r="ABL13" s="38"/>
      <c r="ABM13" s="38"/>
      <c r="ABN13" s="38"/>
      <c r="ABO13" s="38"/>
      <c r="ABP13" s="38"/>
      <c r="ABQ13" s="38"/>
      <c r="ABR13" s="38"/>
      <c r="ABS13" s="38"/>
      <c r="ABT13" s="38"/>
      <c r="ABU13" s="38"/>
      <c r="ABV13" s="38"/>
      <c r="ABW13" s="38"/>
      <c r="ABX13" s="38"/>
      <c r="ABY13" s="38"/>
      <c r="ABZ13" s="38"/>
      <c r="ACA13" s="38"/>
      <c r="ACB13" s="38"/>
      <c r="ACC13" s="38"/>
      <c r="ACD13" s="38"/>
      <c r="ACE13" s="38"/>
      <c r="ACF13" s="38"/>
      <c r="ACG13" s="38"/>
      <c r="ACH13" s="38"/>
      <c r="ACI13" s="38"/>
      <c r="ACJ13" s="38"/>
      <c r="ACK13" s="38"/>
      <c r="ACL13" s="38"/>
      <c r="ACM13" s="38"/>
      <c r="ACN13" s="38"/>
      <c r="ACO13" s="38"/>
      <c r="ACP13" s="38"/>
      <c r="ACQ13" s="38"/>
      <c r="ACR13" s="38"/>
      <c r="ACS13" s="38"/>
      <c r="ACT13" s="38"/>
      <c r="ACU13" s="38"/>
      <c r="ACV13" s="38"/>
      <c r="ACW13" s="38"/>
      <c r="ACX13" s="38"/>
      <c r="ACY13" s="38"/>
      <c r="ACZ13" s="38"/>
      <c r="ADA13" s="38"/>
      <c r="ADB13" s="38"/>
      <c r="ADC13" s="38"/>
      <c r="ADD13" s="38"/>
      <c r="ADE13" s="38"/>
      <c r="ADF13" s="38"/>
      <c r="ADG13" s="38"/>
      <c r="ADH13" s="38"/>
      <c r="ADI13" s="38"/>
      <c r="ADJ13" s="38"/>
      <c r="ADK13" s="38"/>
      <c r="ADL13" s="38"/>
      <c r="ADM13" s="38"/>
      <c r="ADN13" s="38"/>
      <c r="ADO13" s="38"/>
      <c r="ADP13" s="38"/>
      <c r="ADQ13" s="38"/>
      <c r="ADR13" s="38"/>
      <c r="ADS13" s="38"/>
      <c r="ADT13" s="38"/>
      <c r="ADU13" s="38"/>
      <c r="ADV13" s="38"/>
      <c r="ADW13" s="38"/>
      <c r="ADX13" s="38"/>
      <c r="ADY13" s="38"/>
      <c r="ADZ13" s="38"/>
      <c r="AEA13" s="38"/>
      <c r="AEB13" s="38"/>
      <c r="AEC13" s="38"/>
      <c r="AED13" s="38"/>
      <c r="AEE13" s="38"/>
      <c r="AEF13" s="38"/>
      <c r="AEG13" s="38"/>
      <c r="AEH13" s="38"/>
      <c r="AEI13" s="38"/>
      <c r="AEJ13" s="38"/>
      <c r="AEK13" s="38"/>
      <c r="AEL13" s="38"/>
      <c r="AEM13" s="38"/>
      <c r="AEN13" s="38"/>
      <c r="AEO13" s="38"/>
      <c r="AEP13" s="38"/>
      <c r="AEQ13" s="38"/>
      <c r="AER13" s="38"/>
      <c r="AES13" s="38"/>
      <c r="AET13" s="38"/>
      <c r="AEU13" s="38"/>
      <c r="AEV13" s="38"/>
      <c r="AEW13" s="38"/>
      <c r="AEX13" s="38"/>
      <c r="AEY13" s="38"/>
      <c r="AEZ13" s="38"/>
      <c r="AFA13" s="38"/>
      <c r="AFB13" s="38"/>
      <c r="AFC13" s="38"/>
      <c r="AFD13" s="38"/>
      <c r="AFE13" s="38"/>
      <c r="AFF13" s="38"/>
      <c r="AFG13" s="38"/>
      <c r="AFH13" s="38"/>
      <c r="AFI13" s="38"/>
      <c r="AFJ13" s="38"/>
      <c r="AFK13" s="38"/>
      <c r="AFL13" s="38"/>
      <c r="AFM13" s="38"/>
      <c r="AFN13" s="38"/>
      <c r="AFO13" s="38"/>
      <c r="AFP13" s="38"/>
      <c r="AFQ13" s="38"/>
      <c r="AFR13" s="38"/>
      <c r="AFS13" s="38"/>
      <c r="AFT13" s="38"/>
      <c r="AFU13" s="38"/>
      <c r="AFV13" s="38"/>
      <c r="AFW13" s="38"/>
      <c r="AFX13" s="38"/>
      <c r="AFY13" s="38"/>
      <c r="AFZ13" s="38"/>
      <c r="AGA13" s="38"/>
      <c r="AGB13" s="38"/>
      <c r="AGC13" s="38"/>
      <c r="AGD13" s="38"/>
      <c r="AGE13" s="38"/>
      <c r="AGF13" s="38"/>
      <c r="AGG13" s="38"/>
      <c r="AGH13" s="38"/>
      <c r="AGI13" s="38"/>
      <c r="AGJ13" s="38"/>
      <c r="AGK13" s="38"/>
      <c r="AGL13" s="38"/>
      <c r="AGM13" s="38"/>
      <c r="AGN13" s="38"/>
      <c r="AGO13" s="38"/>
      <c r="AGP13" s="38"/>
      <c r="AGQ13" s="38"/>
      <c r="AGR13" s="38"/>
      <c r="AGS13" s="38"/>
      <c r="AGT13" s="38"/>
      <c r="AGU13" s="38"/>
      <c r="AGV13" s="38"/>
      <c r="AGW13" s="38"/>
      <c r="AGX13" s="38"/>
      <c r="AGY13" s="38"/>
      <c r="AGZ13" s="38"/>
      <c r="AHA13" s="38"/>
      <c r="AHB13" s="38"/>
      <c r="AHC13" s="38"/>
      <c r="AHD13" s="38"/>
      <c r="AHE13" s="38"/>
      <c r="AHF13" s="38"/>
      <c r="AHG13" s="38"/>
      <c r="AHH13" s="38"/>
      <c r="AHI13" s="38"/>
      <c r="AHJ13" s="38"/>
      <c r="AHK13" s="38"/>
      <c r="AHL13" s="38"/>
      <c r="AHM13" s="38"/>
      <c r="AHN13" s="38"/>
      <c r="AHO13" s="38"/>
      <c r="AHP13" s="38"/>
      <c r="AHQ13" s="38"/>
      <c r="AHR13" s="38"/>
      <c r="AHS13" s="38"/>
      <c r="AHT13" s="38"/>
      <c r="AHU13" s="38"/>
      <c r="AHV13" s="38"/>
      <c r="AHW13" s="38"/>
      <c r="AHX13" s="38"/>
      <c r="AHY13" s="38"/>
      <c r="AHZ13" s="38"/>
      <c r="AIA13" s="38"/>
      <c r="AIB13" s="38"/>
      <c r="AIC13" s="38"/>
      <c r="AID13" s="38"/>
      <c r="AIE13" s="38"/>
      <c r="AIF13" s="38"/>
      <c r="AIG13" s="38"/>
      <c r="AIH13" s="38"/>
      <c r="AII13" s="38"/>
      <c r="AIJ13" s="38"/>
      <c r="AIK13" s="38"/>
      <c r="AIL13" s="38"/>
      <c r="AIM13" s="38"/>
      <c r="AIN13" s="38"/>
      <c r="AIO13" s="38"/>
      <c r="AIP13" s="38"/>
      <c r="AIQ13" s="38"/>
      <c r="AIR13" s="38"/>
      <c r="AIS13" s="38"/>
      <c r="AIT13" s="38"/>
      <c r="AIU13" s="38"/>
      <c r="AIV13" s="38"/>
      <c r="AIW13" s="38"/>
      <c r="AIX13" s="38"/>
      <c r="AIY13" s="38"/>
      <c r="AIZ13" s="38"/>
      <c r="AJA13" s="38"/>
      <c r="AJB13" s="38"/>
      <c r="AJC13" s="38"/>
      <c r="AJD13" s="38"/>
      <c r="AJE13" s="38"/>
      <c r="AJF13" s="38"/>
      <c r="AJG13" s="38"/>
      <c r="AJH13" s="38"/>
      <c r="AJI13" s="38"/>
      <c r="AJJ13" s="38"/>
      <c r="AJK13" s="38"/>
      <c r="AJL13" s="38"/>
      <c r="AJM13" s="38"/>
      <c r="AJN13" s="38"/>
      <c r="AJO13" s="38"/>
      <c r="AJP13" s="38"/>
      <c r="AJQ13" s="38"/>
      <c r="AJR13" s="38"/>
      <c r="AJS13" s="38"/>
      <c r="AJT13" s="38"/>
      <c r="AJU13" s="38"/>
      <c r="AJV13" s="38"/>
      <c r="AJW13" s="38"/>
      <c r="AJX13" s="38"/>
      <c r="AJY13" s="38"/>
      <c r="AJZ13" s="38"/>
      <c r="AKA13" s="38"/>
      <c r="AKB13" s="38"/>
      <c r="AKC13" s="38"/>
      <c r="AKD13" s="38"/>
      <c r="AKE13" s="38"/>
      <c r="AKF13" s="38"/>
      <c r="AKG13" s="38"/>
      <c r="AKH13" s="38"/>
      <c r="AKI13" s="38"/>
      <c r="AKJ13" s="38"/>
      <c r="AKK13" s="38"/>
      <c r="AKL13" s="38"/>
      <c r="AKM13" s="38"/>
      <c r="AKN13" s="38"/>
      <c r="AKO13" s="38"/>
      <c r="AKP13" s="38"/>
      <c r="AKQ13" s="38"/>
      <c r="AKR13" s="38"/>
      <c r="AKS13" s="38"/>
      <c r="AKT13" s="38"/>
      <c r="AKU13" s="38"/>
      <c r="AKV13" s="38"/>
      <c r="AKW13" s="38"/>
      <c r="AKX13" s="38"/>
      <c r="AKY13" s="38"/>
      <c r="AKZ13" s="38"/>
      <c r="ALA13" s="38"/>
      <c r="ALB13" s="38"/>
      <c r="ALC13" s="38"/>
      <c r="ALD13" s="38"/>
      <c r="ALE13" s="38"/>
      <c r="ALF13" s="38"/>
      <c r="ALG13" s="38"/>
      <c r="ALH13" s="38"/>
      <c r="ALI13" s="38"/>
      <c r="ALJ13" s="38"/>
      <c r="ALK13" s="38"/>
      <c r="ALL13" s="38"/>
      <c r="ALM13" s="38"/>
      <c r="ALN13" s="38"/>
      <c r="ALO13" s="38"/>
      <c r="ALP13" s="38"/>
      <c r="ALQ13" s="38"/>
      <c r="ALR13" s="38"/>
      <c r="ALS13" s="38"/>
      <c r="ALT13" s="38"/>
      <c r="ALU13" s="38"/>
      <c r="ALV13" s="38"/>
      <c r="ALW13" s="38"/>
      <c r="ALX13" s="38"/>
      <c r="ALY13" s="38"/>
      <c r="ALZ13" s="38"/>
      <c r="AMA13" s="38"/>
      <c r="AMB13" s="38"/>
      <c r="AMC13" s="38"/>
      <c r="AMD13" s="38"/>
      <c r="AME13" s="38"/>
      <c r="AMF13" s="38"/>
      <c r="AMG13" s="38"/>
      <c r="AMH13" s="38"/>
      <c r="AMI13" s="38"/>
      <c r="AMJ13" s="38"/>
      <c r="AMK13" s="38"/>
    </row>
    <row r="14" ht="15.75" customHeight="1">
      <c r="A14" s="38"/>
      <c r="B14" s="38"/>
      <c r="C14" s="47" t="s">
        <v>45</v>
      </c>
      <c r="D14" s="51">
        <v>1100.0</v>
      </c>
      <c r="E14" s="47" t="s">
        <v>46</v>
      </c>
      <c r="F14" s="47" t="s">
        <v>72</v>
      </c>
      <c r="G14" s="48">
        <v>1.0</v>
      </c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47" t="s">
        <v>63</v>
      </c>
      <c r="T14" s="47" t="s">
        <v>66</v>
      </c>
      <c r="U14" s="38"/>
      <c r="V14" s="38"/>
      <c r="W14" s="38"/>
      <c r="X14" s="38"/>
      <c r="Y14" s="42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47" t="s">
        <v>37</v>
      </c>
      <c r="AO14" s="38"/>
      <c r="AP14" s="38"/>
      <c r="AQ14" s="38"/>
      <c r="AR14" s="38"/>
      <c r="AS14" s="38"/>
      <c r="AT14" s="38"/>
      <c r="AU14" s="38"/>
      <c r="AV14" s="42"/>
      <c r="AW14" s="38"/>
      <c r="AX14" s="38"/>
      <c r="AY14" s="38"/>
      <c r="AZ14" s="38"/>
      <c r="BA14" s="38"/>
      <c r="BB14" s="38"/>
      <c r="BC14" s="42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47" t="s">
        <v>62</v>
      </c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46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42"/>
      <c r="FE14" s="38"/>
      <c r="FF14" s="42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</row>
    <row r="15" ht="15.75" customHeight="1">
      <c r="A15" s="38"/>
      <c r="B15" s="38"/>
      <c r="C15" s="47" t="s">
        <v>45</v>
      </c>
      <c r="D15" s="51">
        <v>-1000.0</v>
      </c>
      <c r="E15" s="47" t="s">
        <v>46</v>
      </c>
      <c r="F15" s="47" t="s">
        <v>72</v>
      </c>
      <c r="G15" s="48">
        <v>60.0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47" t="s">
        <v>63</v>
      </c>
      <c r="T15" s="47" t="s">
        <v>66</v>
      </c>
      <c r="U15" s="38"/>
      <c r="V15" s="38"/>
      <c r="W15" s="38"/>
      <c r="X15" s="38"/>
      <c r="Y15" s="42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47" t="s">
        <v>67</v>
      </c>
      <c r="AO15" s="38"/>
      <c r="AP15" s="38"/>
      <c r="AQ15" s="38"/>
      <c r="AR15" s="38"/>
      <c r="AS15" s="38"/>
      <c r="AT15" s="38"/>
      <c r="AU15" s="38"/>
      <c r="AV15" s="42"/>
      <c r="AW15" s="38"/>
      <c r="AX15" s="38"/>
      <c r="AY15" s="38"/>
      <c r="AZ15" s="38"/>
      <c r="BA15" s="38"/>
      <c r="BB15" s="38"/>
      <c r="BC15" s="42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47" t="s">
        <v>62</v>
      </c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46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42"/>
      <c r="FE15" s="38"/>
      <c r="FF15" s="42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38"/>
      <c r="AJN15" s="38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</row>
    <row r="16" ht="15.75" customHeight="1">
      <c r="A16" s="8"/>
      <c r="B16" s="8"/>
      <c r="C16" s="47" t="s">
        <v>45</v>
      </c>
      <c r="D16" s="51">
        <v>-1000.0</v>
      </c>
      <c r="E16" s="47" t="s">
        <v>46</v>
      </c>
      <c r="F16" s="47" t="s">
        <v>72</v>
      </c>
      <c r="G16" s="48">
        <v>60.0</v>
      </c>
      <c r="H16" s="8"/>
      <c r="I16" s="8"/>
      <c r="J16" s="8"/>
      <c r="K16" s="8"/>
      <c r="L16" s="8"/>
      <c r="M16" s="8"/>
      <c r="N16" s="8"/>
      <c r="O16" s="8"/>
      <c r="S16" s="47" t="s">
        <v>63</v>
      </c>
      <c r="T16" s="47" t="s">
        <v>66</v>
      </c>
      <c r="AN16" s="47" t="s">
        <v>43</v>
      </c>
      <c r="BR16" s="47" t="s">
        <v>62</v>
      </c>
    </row>
    <row r="17" ht="15.75" customHeight="1">
      <c r="A17" s="8"/>
      <c r="B17" s="8"/>
      <c r="C17" s="47" t="s">
        <v>45</v>
      </c>
      <c r="D17" s="48">
        <v>-100.0</v>
      </c>
      <c r="E17" s="47" t="s">
        <v>46</v>
      </c>
      <c r="F17" s="47" t="s">
        <v>72</v>
      </c>
      <c r="G17" s="48">
        <v>60.0</v>
      </c>
      <c r="H17" s="8"/>
      <c r="I17" s="8"/>
      <c r="J17" s="8"/>
      <c r="K17" s="8"/>
      <c r="L17" s="8"/>
      <c r="M17" s="8"/>
      <c r="N17" s="8"/>
      <c r="O17" s="8"/>
      <c r="S17" s="47" t="s">
        <v>63</v>
      </c>
      <c r="T17" s="47" t="s">
        <v>66</v>
      </c>
      <c r="AN17" s="47" t="s">
        <v>67</v>
      </c>
      <c r="BR17" s="47" t="s">
        <v>62</v>
      </c>
    </row>
    <row r="18" ht="15.75" customHeight="1">
      <c r="A18" s="8"/>
      <c r="B18" s="8"/>
      <c r="C18" s="47" t="s">
        <v>45</v>
      </c>
      <c r="D18" s="48">
        <v>-900.0</v>
      </c>
      <c r="E18" s="47" t="s">
        <v>46</v>
      </c>
      <c r="F18" s="47" t="s">
        <v>72</v>
      </c>
      <c r="G18" s="48">
        <v>60.0</v>
      </c>
      <c r="H18" s="8"/>
      <c r="I18" s="8"/>
      <c r="J18" s="8"/>
      <c r="K18" s="8"/>
      <c r="L18" s="8"/>
      <c r="M18" s="8"/>
      <c r="N18" s="8"/>
      <c r="O18" s="8"/>
      <c r="S18" s="47" t="s">
        <v>63</v>
      </c>
      <c r="T18" s="47" t="s">
        <v>66</v>
      </c>
      <c r="AN18" s="47" t="s">
        <v>43</v>
      </c>
      <c r="BR18" s="47" t="s">
        <v>62</v>
      </c>
    </row>
    <row r="19" ht="15.75" customHeight="1">
      <c r="A19" s="8"/>
      <c r="B19" s="8"/>
      <c r="C19" s="47" t="s">
        <v>48</v>
      </c>
      <c r="D19" s="51">
        <v>1100.0</v>
      </c>
      <c r="E19" s="47" t="s">
        <v>49</v>
      </c>
      <c r="F19" s="47" t="s">
        <v>73</v>
      </c>
      <c r="G19" s="48">
        <v>1.0</v>
      </c>
      <c r="H19" s="8"/>
      <c r="I19" s="8"/>
      <c r="J19" s="8"/>
      <c r="K19" s="8"/>
      <c r="L19" s="8"/>
      <c r="M19" s="8"/>
      <c r="N19" s="8"/>
      <c r="O19" s="8"/>
      <c r="S19" s="47" t="s">
        <v>63</v>
      </c>
      <c r="T19" s="47" t="s">
        <v>66</v>
      </c>
      <c r="AN19" s="47" t="s">
        <v>37</v>
      </c>
      <c r="BR19" s="47" t="s">
        <v>62</v>
      </c>
    </row>
    <row r="20" ht="15.75" customHeight="1">
      <c r="A20" s="8"/>
      <c r="B20" s="8"/>
      <c r="C20" s="47" t="s">
        <v>48</v>
      </c>
      <c r="D20" s="51">
        <v>1000.0</v>
      </c>
      <c r="E20" s="47" t="s">
        <v>49</v>
      </c>
      <c r="F20" s="47" t="s">
        <v>73</v>
      </c>
      <c r="G20" s="48">
        <v>60.0</v>
      </c>
      <c r="H20" s="8"/>
      <c r="I20" s="8"/>
      <c r="J20" s="8"/>
      <c r="K20" s="8"/>
      <c r="L20" s="8"/>
      <c r="M20" s="8"/>
      <c r="N20" s="8"/>
      <c r="O20" s="8"/>
      <c r="S20" s="47" t="s">
        <v>63</v>
      </c>
      <c r="T20" s="47" t="s">
        <v>66</v>
      </c>
      <c r="AN20" s="47" t="s">
        <v>37</v>
      </c>
      <c r="BR20" s="47" t="s">
        <v>62</v>
      </c>
    </row>
    <row r="21" ht="15.75" customHeight="1">
      <c r="A21" s="8"/>
      <c r="B21" s="8"/>
      <c r="C21" s="47" t="s">
        <v>48</v>
      </c>
      <c r="D21" s="51">
        <v>1000.0</v>
      </c>
      <c r="E21" s="47" t="s">
        <v>49</v>
      </c>
      <c r="F21" s="47" t="s">
        <v>73</v>
      </c>
      <c r="G21" s="48">
        <v>60.0</v>
      </c>
      <c r="H21" s="8"/>
      <c r="I21" s="8"/>
      <c r="J21" s="8"/>
      <c r="K21" s="8"/>
      <c r="L21" s="8"/>
      <c r="M21" s="8"/>
      <c r="N21" s="8"/>
      <c r="O21" s="8"/>
      <c r="S21" s="47" t="s">
        <v>63</v>
      </c>
      <c r="T21" s="47" t="s">
        <v>66</v>
      </c>
      <c r="AN21" s="47" t="s">
        <v>37</v>
      </c>
      <c r="BR21" s="47" t="s">
        <v>62</v>
      </c>
    </row>
    <row r="22" ht="15.75" customHeight="1">
      <c r="A22" s="8"/>
      <c r="B22" s="8"/>
      <c r="C22" s="47" t="s">
        <v>48</v>
      </c>
      <c r="D22" s="51">
        <v>1000.0</v>
      </c>
      <c r="E22" s="47" t="s">
        <v>49</v>
      </c>
      <c r="F22" s="47" t="s">
        <v>73</v>
      </c>
      <c r="G22" s="48">
        <v>60.0</v>
      </c>
      <c r="H22" s="8"/>
      <c r="I22" s="8"/>
      <c r="J22" s="8"/>
      <c r="K22" s="8"/>
      <c r="L22" s="8"/>
      <c r="M22" s="8"/>
      <c r="N22" s="8"/>
      <c r="O22" s="8"/>
      <c r="S22" s="47" t="s">
        <v>63</v>
      </c>
      <c r="T22" s="47" t="s">
        <v>66</v>
      </c>
      <c r="AN22" s="47" t="s">
        <v>37</v>
      </c>
      <c r="BR22" s="47" t="s">
        <v>62</v>
      </c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AN23" s="50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