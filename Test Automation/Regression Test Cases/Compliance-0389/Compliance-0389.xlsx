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" sheetId="4" r:id="rId6"/>
    <sheet state="visible" name="LoginClient" sheetId="5" r:id="rId7"/>
    <sheet state="visible" name="SetCompliancePermission" sheetId="6" r:id="rId8"/>
    <sheet state="visible" name="CustomOrderTT" sheetId="7" r:id="rId9"/>
    <sheet state="visible" name="CustomOrderTT1" sheetId="8" r:id="rId10"/>
    <sheet state="visible" name="VerifyComplianceOrder" sheetId="9" r:id="rId11"/>
    <sheet state="visible" name="VerifyComplianceOrder3" sheetId="10" r:id="rId12"/>
    <sheet state="visible" name="LoginClient1" sheetId="11" r:id="rId13"/>
    <sheet state="visible" name="ApproveorRejectpendingapproval" sheetId="12" r:id="rId14"/>
    <sheet state="visible" name="LoginClient2" sheetId="13" r:id="rId15"/>
    <sheet state="visible" name="GetDailyCash" sheetId="14" r:id="rId16"/>
    <sheet state="visible" name="UpdateMultipleDailyCash" sheetId="15" r:id="rId17"/>
    <sheet state="visible" name="PricingInput" sheetId="16" r:id="rId18"/>
    <sheet state="visible" name="FetchAccountPositions" sheetId="17" r:id="rId19"/>
    <sheet state="visible" name="AddCash" sheetId="18" r:id="rId20"/>
    <sheet state="visible" name="RunRebalance" sheetId="19" r:id="rId21"/>
    <sheet state="visible" name="SendtoStaging" sheetId="20" r:id="rId22"/>
    <sheet state="visible" name="MultiTradingTicketFromBlotter" sheetId="21" r:id="rId23"/>
    <sheet state="visible" name="DoneAwayUsingMTT" sheetId="22" r:id="rId24"/>
    <sheet state="visible" name="VerifyComplianceOrder1" sheetId="23" r:id="rId25"/>
    <sheet state="visible" name="SelectTradeOnOrderGrid" sheetId="24" r:id="rId26"/>
    <sheet state="visible" name="AllocateFromBlotter" sheetId="25" r:id="rId27"/>
    <sheet state="visible" name="LoginClient3" sheetId="26" r:id="rId28"/>
    <sheet state="visible" name="ApproveorRejectpendingapproval1" sheetId="27" r:id="rId29"/>
    <sheet state="visible" name="LoginClient4" sheetId="28" r:id="rId30"/>
  </sheets>
  <definedNames/>
  <calcPr/>
</workbook>
</file>

<file path=xl/sharedStrings.xml><?xml version="1.0" encoding="utf-8"?>
<sst xmlns="http://schemas.openxmlformats.org/spreadsheetml/2006/main" count="277" uniqueCount="65">
  <si>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</si>
  <si>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</si>
  <si>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</si>
  <si>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</si>
  <si>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</si>
  <si>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</si>
  <si>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</si>
  <si>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</si>
  <si>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</si>
  <si>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</si>
  <si>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</si>
  <si>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</si>
  <si>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</si>
  <si>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</si>
  <si>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</si>
  <si>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</si>
  <si>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DefaultNotes,DefaultBrokerNotes</t>
  </si>
  <si>
    <t>PranaClient</t>
  </si>
  <si>
    <t>LoginClient</t>
  </si>
  <si>
    <t>Support1</t>
  </si>
  <si>
    <t>Nirvana@1</t>
  </si>
  <si>
    <t>Admin</t>
  </si>
  <si>
    <t>SetCompliancePermission</t>
  </si>
  <si>
    <t>TradeQuantity-123</t>
  </si>
  <si>
    <t>REQUIRES APPROVAL</t>
  </si>
  <si>
    <t>CustomOrderTT</t>
  </si>
  <si>
    <t>AAPL</t>
  </si>
  <si>
    <t>DoneAway</t>
  </si>
  <si>
    <t>Allocation1</t>
  </si>
  <si>
    <t>Buy</t>
  </si>
  <si>
    <t>MSFT</t>
  </si>
  <si>
    <t>Allocation3</t>
  </si>
  <si>
    <t>VerifyComplianceOrder</t>
  </si>
  <si>
    <t>Soft</t>
  </si>
  <si>
    <t>Enter Summary</t>
  </si>
  <si>
    <t>Compliance Officer - Please Approve</t>
  </si>
  <si>
    <t>Yes</t>
  </si>
  <si>
    <t>Requires Approval</t>
  </si>
  <si>
    <t>Support2</t>
  </si>
  <si>
    <t>Compliance</t>
  </si>
  <si>
    <t>ApproveorRejectpendingapproval</t>
  </si>
  <si>
    <t>Approve</t>
  </si>
  <si>
    <t>DailyValuation</t>
  </si>
  <si>
    <t>GetDailyCash</t>
  </si>
  <si>
    <t>UpdateMultipleDailyCash</t>
  </si>
  <si>
    <t>USD</t>
  </si>
  <si>
    <t>PricingInput</t>
  </si>
  <si>
    <t>Rebalancer</t>
  </si>
  <si>
    <t>FetchAccountPositions</t>
  </si>
  <si>
    <t>NewMF</t>
  </si>
  <si>
    <t>AddCash</t>
  </si>
  <si>
    <t>RunRebalance</t>
  </si>
  <si>
    <t>Nearest Round Off</t>
  </si>
  <si>
    <t>SendtoStaging</t>
  </si>
  <si>
    <t>Blotter</t>
  </si>
  <si>
    <t>MultiTradingTicketFromBlotter</t>
  </si>
  <si>
    <t>New</t>
  </si>
  <si>
    <t>MultiTradingTicket</t>
  </si>
  <si>
    <t>DoneAwayUsingMTT</t>
  </si>
  <si>
    <t>quantity: 424.00, Symbol: AAPL</t>
  </si>
  <si>
    <t>quantity: 424.00, Symbol: MSFT</t>
  </si>
  <si>
    <t>SelectTradeOnOrderGrid</t>
  </si>
  <si>
    <t>AllocateFromBlotter</t>
  </si>
  <si>
    <t>jpearce</t>
  </si>
  <si>
    <t>Reject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</si>
</sst>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Arial"/>
    </font>
    <font>
      <sz val="9.0"/>
      <color rgb="FF000000"/>
      <name val="Segoe UI"/>
    </font>
    <font>
      <sz val="9.0"/>
      <color rgb="FF000000"/>
      <name val="Arial"/>
    </font>
    <font>
      <sz val="9.0"/>
      <color rgb="FFFFFFFF"/>
      <name val="Segoe U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A500"/>
        <bgColor rgb="FFFFA500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6" fontId="13" numFmtId="0" xfId="0" applyAlignment="1" applyBorder="1" applyFill="1" applyFont="1">
      <alignment readingOrder="0" vertical="top"/>
    </xf>
    <xf borderId="5" fillId="7" fontId="14" numFmtId="0" xfId="0" applyAlignment="1" applyBorder="1" applyFill="1" applyFont="1">
      <alignment vertical="top"/>
    </xf>
    <xf borderId="5" fillId="7" fontId="14" numFmtId="0" xfId="0" applyAlignment="1" applyBorder="1" applyFont="1">
      <alignment vertical="top"/>
    </xf>
    <xf borderId="5" fillId="7" fontId="15" numFmtId="0" xfId="0" applyAlignment="1" applyBorder="1" applyFont="1">
      <alignment horizontal="right" vertical="top"/>
    </xf>
    <xf borderId="5" fillId="7" fontId="3" numFmtId="0" xfId="0" applyAlignment="1" applyBorder="1" applyFont="1">
      <alignment readingOrder="0" vertical="top"/>
    </xf>
    <xf borderId="5" fillId="7" fontId="3" numFmtId="0" xfId="0" applyAlignment="1" applyBorder="1" applyFont="1">
      <alignment vertical="top"/>
    </xf>
    <xf borderId="0" fillId="0" fontId="3" numFmtId="0" xfId="0" applyAlignment="1" applyFont="1">
      <alignment vertical="bottom"/>
    </xf>
    <xf borderId="5" fillId="6" fontId="16" numFmtId="0" xfId="0" applyAlignment="1" applyBorder="1" applyFont="1">
      <alignment vertical="top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5" fillId="6" fontId="16" numFmtId="0" xfId="0" applyAlignment="1" applyBorder="1" applyFont="1">
      <alignment readingOrder="0" vertical="top"/>
    </xf>
    <xf borderId="5" fillId="7" fontId="14" numFmtId="0" xfId="0" applyAlignment="1" applyBorder="1" applyFont="1">
      <alignment readingOrder="0" vertical="top"/>
    </xf>
    <xf borderId="5" fillId="7" fontId="15" numFmtId="0" xfId="0" applyAlignment="1" applyBorder="1" applyFont="1">
      <alignment horizontal="right" readingOrder="0" vertical="top"/>
    </xf>
    <xf borderId="5" fillId="8" fontId="15" numFmtId="0" xfId="0" applyAlignment="1" applyBorder="1" applyFill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19</v>
      </c>
      <c r="C6" s="32" t="s">
        <v>20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23</v>
      </c>
      <c r="C6" s="32" t="s">
        <v>24</v>
      </c>
      <c r="D6" s="33">
        <v>17.0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01 suggestion")</f>
        <v>Trade Attribute 01 suggestion</v>
      </c>
      <c r="AU5" s="29" t="str">
        <f>IFERROR(__xludf.DUMMYFUNCTION("""COMPUTED_VALUE"""),"Trade Attribute 01 suggestion")</f>
        <v>Trade Attribute 01 suggestion</v>
      </c>
      <c r="AV5" s="29" t="str">
        <f>IFERROR(__xludf.DUMMYFUNCTION("""COMPUTED_VALUE"""),"Trade Attribute 01 suggestion")</f>
        <v>Trade Attribute 01 suggestion</v>
      </c>
      <c r="AW5" s="29" t="str">
        <f>IFERROR(__xludf.DUMMYFUNCTION("""COMPUTED_VALUE"""),"Trade Attribute 01 suggestion")</f>
        <v>Trade Attribute 01 suggestion</v>
      </c>
      <c r="AX5" s="29" t="str">
        <f>IFERROR(__xludf.DUMMYFUNCTION("""COMPUTED_VALUE"""),"Trade Attribute 01 suggestion")</f>
        <v>Trade Attribute 01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100.0</v>
      </c>
      <c r="D6" s="9">
        <v>2.0</v>
      </c>
      <c r="E6" s="9" t="s">
        <v>27</v>
      </c>
      <c r="G6" s="8"/>
      <c r="H6" s="8"/>
      <c r="I6" s="12" t="s">
        <v>28</v>
      </c>
      <c r="J6" s="12" t="s">
        <v>29</v>
      </c>
      <c r="K6" s="8"/>
      <c r="L6" s="8"/>
      <c r="M6" s="8"/>
      <c r="N6" s="8"/>
      <c r="O6" s="8"/>
    </row>
    <row r="7" ht="15.75" customHeight="1">
      <c r="A7" s="8"/>
      <c r="B7" s="8"/>
      <c r="C7" s="8"/>
      <c r="E7" s="8"/>
      <c r="F7" s="8"/>
      <c r="G7" s="8"/>
      <c r="H7" s="8"/>
      <c r="I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01 suggestion")</f>
        <v>Trade Attribute 01 suggestion</v>
      </c>
      <c r="AU5" s="29" t="str">
        <f>IFERROR(__xludf.DUMMYFUNCTION("""COMPUTED_VALUE"""),"Trade Attribute 01 suggestion")</f>
        <v>Trade Attribute 01 suggestion</v>
      </c>
      <c r="AV5" s="29" t="str">
        <f>IFERROR(__xludf.DUMMYFUNCTION("""COMPUTED_VALUE"""),"Trade Attribute 01 suggestion")</f>
        <v>Trade Attribute 01 suggestion</v>
      </c>
      <c r="AW5" s="29" t="str">
        <f>IFERROR(__xludf.DUMMYFUNCTION("""COMPUTED_VALUE"""),"Trade Attribute 01 suggestion")</f>
        <v>Trade Attribute 01 suggestion</v>
      </c>
      <c r="AX5" s="29" t="str">
        <f>IFERROR(__xludf.DUMMYFUNCTION("""COMPUTED_VALUE"""),"Trade Attribute 01 suggestion")</f>
        <v>Trade Attribute 01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>
        <v>100.0</v>
      </c>
      <c r="D6" s="12">
        <v>2.0</v>
      </c>
      <c r="E6" s="9" t="s">
        <v>27</v>
      </c>
      <c r="G6" s="8"/>
      <c r="H6" s="8"/>
      <c r="I6" s="12" t="s">
        <v>31</v>
      </c>
      <c r="J6" s="12" t="s">
        <v>29</v>
      </c>
      <c r="K6" s="8"/>
      <c r="L6" s="8"/>
      <c r="M6" s="8"/>
      <c r="N6" s="8"/>
      <c r="O6" s="8"/>
    </row>
    <row r="7" ht="15.75" customHeight="1">
      <c r="A7" s="8"/>
      <c r="B7" s="8"/>
      <c r="C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33</v>
      </c>
      <c r="C6" s="35" t="s">
        <v>23</v>
      </c>
      <c r="D6" s="36" t="s">
        <v>34</v>
      </c>
      <c r="E6" s="35" t="s">
        <v>26</v>
      </c>
      <c r="F6" s="37">
        <v>-123.0</v>
      </c>
      <c r="G6" s="38">
        <v>100.0</v>
      </c>
      <c r="H6" s="39"/>
      <c r="I6" s="35" t="s">
        <v>35</v>
      </c>
      <c r="J6" s="40"/>
      <c r="K6" s="32" t="s">
        <v>36</v>
      </c>
      <c r="L6" s="40"/>
      <c r="M6" s="40" t="s">
        <v>27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37</v>
      </c>
      <c r="C6" s="35" t="s">
        <v>23</v>
      </c>
      <c r="D6" s="36" t="s">
        <v>34</v>
      </c>
      <c r="E6" s="35" t="s">
        <v>26</v>
      </c>
      <c r="F6" s="37">
        <v>-123.0</v>
      </c>
      <c r="G6" s="38">
        <v>200.0</v>
      </c>
      <c r="H6" s="39"/>
      <c r="I6" s="35" t="s">
        <v>35</v>
      </c>
      <c r="J6" s="40"/>
      <c r="K6" s="32" t="s">
        <v>36</v>
      </c>
      <c r="L6" s="40"/>
      <c r="M6" s="40" t="s">
        <v>27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12" t="s">
        <v>20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26</v>
      </c>
      <c r="D6" s="12"/>
      <c r="E6" s="30"/>
      <c r="F6" s="8"/>
      <c r="G6" s="8"/>
      <c r="H6" s="8"/>
      <c r="I6" s="8"/>
      <c r="J6" s="8"/>
      <c r="K6" s="8"/>
      <c r="L6" s="12">
        <v>100.0</v>
      </c>
      <c r="M6" s="8"/>
      <c r="N6" s="8"/>
      <c r="O6" s="12" t="s">
        <v>29</v>
      </c>
      <c r="P6" s="9" t="s">
        <v>41</v>
      </c>
    </row>
    <row r="7" ht="15.75" customHeight="1">
      <c r="A7" s="8"/>
      <c r="B7" s="8"/>
      <c r="C7" s="12" t="s">
        <v>30</v>
      </c>
      <c r="D7" s="8"/>
      <c r="E7" s="8"/>
      <c r="F7" s="8"/>
      <c r="G7" s="8"/>
      <c r="H7" s="8"/>
      <c r="I7" s="8"/>
      <c r="J7" s="8"/>
      <c r="K7" s="8"/>
      <c r="L7" s="12">
        <v>100.0</v>
      </c>
      <c r="M7" s="8"/>
      <c r="N7" s="8"/>
      <c r="O7" s="12" t="s">
        <v>29</v>
      </c>
      <c r="P7" s="9" t="s">
        <v>41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>
        <f>TODAY()-1</f>
        <v>45907</v>
      </c>
      <c r="C6" s="43">
        <f>TODAY()</f>
        <v>45908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28</v>
      </c>
      <c r="C6" s="32" t="s">
        <v>45</v>
      </c>
      <c r="D6" s="33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31</v>
      </c>
      <c r="C7" s="32" t="s">
        <v>45</v>
      </c>
      <c r="D7" s="33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30</v>
      </c>
      <c r="C7" s="12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100000.0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 t="s">
        <v>52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28</v>
      </c>
      <c r="C6" s="12" t="s">
        <v>29</v>
      </c>
      <c r="D6" s="12" t="s">
        <v>26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31</v>
      </c>
      <c r="C7" s="12" t="s">
        <v>29</v>
      </c>
      <c r="D7" s="12" t="s">
        <v>30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26</v>
      </c>
      <c r="AJ6" s="9" t="s">
        <v>29</v>
      </c>
      <c r="AK6" s="9" t="s">
        <v>56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30</v>
      </c>
      <c r="AJ7" s="9" t="s">
        <v>29</v>
      </c>
      <c r="AK7" s="9" t="s">
        <v>56</v>
      </c>
      <c r="AT7" s="9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IFERROR(__xludf.DUMMYFUNCTION("""COMPUTED_VALUE"""),"INFORMATIONRELATEDPOPUP_YESORNO")</f>
        <v>INFORMATIONRELATEDPOPUP_YESORNO</v>
      </c>
      <c r="AO5" s="29" t="str">
        <f>IFERROR(__xludf.DUMMYFUNCTION("""COMPUTED_VALUE"""),"AllowTrade")</f>
        <v>AllowTrade</v>
      </c>
      <c r="AP5" s="29" t="str">
        <f>IFERROR(__xludf.DUMMYFUNCTION("""COMPUTED_VALUE"""),"PendingApprovalPopup")</f>
        <v>PendingApprovalPopup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26</v>
      </c>
      <c r="C6" s="12" t="s">
        <v>29</v>
      </c>
      <c r="D6" s="8"/>
      <c r="E6" s="8"/>
      <c r="F6" s="12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30</v>
      </c>
      <c r="C7" s="12" t="s">
        <v>29</v>
      </c>
      <c r="D7" s="8"/>
      <c r="E7" s="8"/>
      <c r="F7" s="12" t="s">
        <v>31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6" t="s">
        <v>37</v>
      </c>
      <c r="C6" s="47" t="s">
        <v>23</v>
      </c>
      <c r="D6" s="47" t="s">
        <v>34</v>
      </c>
      <c r="E6" s="47" t="s">
        <v>26</v>
      </c>
      <c r="F6" s="48">
        <v>-123.0</v>
      </c>
      <c r="G6" s="38">
        <v>424.0</v>
      </c>
      <c r="H6" s="49" t="s">
        <v>59</v>
      </c>
      <c r="I6" s="47" t="s">
        <v>35</v>
      </c>
      <c r="J6" s="40"/>
      <c r="K6" s="32" t="s">
        <v>36</v>
      </c>
      <c r="L6" s="40"/>
      <c r="M6" s="40" t="s">
        <v>27</v>
      </c>
      <c r="N6" s="8"/>
      <c r="O6" s="8"/>
    </row>
    <row r="7" ht="15.75" customHeight="1">
      <c r="A7" s="8"/>
      <c r="B7" s="12" t="s">
        <v>37</v>
      </c>
      <c r="C7" s="12" t="s">
        <v>23</v>
      </c>
      <c r="D7" s="12" t="s">
        <v>34</v>
      </c>
      <c r="E7" s="12" t="s">
        <v>30</v>
      </c>
      <c r="F7" s="12">
        <v>-123.0</v>
      </c>
      <c r="G7" s="12">
        <v>424.0</v>
      </c>
      <c r="H7" s="12" t="s">
        <v>60</v>
      </c>
      <c r="I7" s="12" t="s">
        <v>35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0"/>
      <c r="F6" s="12" t="s">
        <v>29</v>
      </c>
      <c r="G6" s="12" t="s">
        <v>56</v>
      </c>
      <c r="H6" s="38"/>
      <c r="I6" s="8"/>
      <c r="J6" s="8"/>
      <c r="K6" s="8"/>
      <c r="L6" s="8"/>
      <c r="M6" s="8"/>
      <c r="N6" s="8"/>
      <c r="O6" s="8"/>
      <c r="R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12" t="s">
        <v>20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26</v>
      </c>
      <c r="D6" s="12"/>
      <c r="E6" s="30"/>
      <c r="F6" s="8"/>
      <c r="G6" s="8"/>
      <c r="H6" s="8"/>
      <c r="I6" s="12" t="s">
        <v>63</v>
      </c>
      <c r="J6" s="8"/>
      <c r="K6" s="8"/>
      <c r="L6" s="8"/>
      <c r="M6" s="8"/>
      <c r="N6" s="8"/>
      <c r="O6" s="8"/>
      <c r="P6" s="9" t="s">
        <v>64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