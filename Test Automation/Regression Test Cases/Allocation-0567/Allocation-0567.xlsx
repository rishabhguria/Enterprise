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SelectUnallocatedGroup" sheetId="8" r:id="rId10"/>
    <sheet state="visible" name="EnterAllocatePreference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<sst xmlns="http://schemas.openxmlformats.org/spreadsheetml/2006/main" count="84" uniqueCount="33">
  <si>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</si>
  <si>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</si>
  <si>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</si>
  <si>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</si>
  <si>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</si>
  <si>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</si>
  <si>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</si>
  <si>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</si>
  <si>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</si>
  <si>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</si>
  <si>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</si>
  <si>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</si>
  <si>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</si>
  <si>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</si>
  <si>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</si>
  <si>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</si>
  <si>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</si>
  <si>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Sell short</t>
  </si>
  <si>
    <t>Allocation1</t>
  </si>
  <si>
    <t>Allocation2</t>
  </si>
  <si>
    <t>Allocation</t>
  </si>
  <si>
    <t>SetGeneralPreferences</t>
  </si>
  <si>
    <t>Alloc__Scheme</t>
  </si>
  <si>
    <t>RunProrata</t>
  </si>
  <si>
    <t>Unallocated</t>
  </si>
  <si>
    <t>SelectUnallocatedGroup</t>
  </si>
  <si>
    <t>EnterAllocatePreference</t>
  </si>
  <si>
    <t>Fixed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</si>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</sst>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IFERROR(__xludf.DUMMYFUNCTION("""COMPUTED_VALUE"""),"VerifyCustomAllocationSecondUI")</f>
        <v>VerifyCustomAllocationSecondUI</v>
      </c>
      <c r="AS4" s="25" t="str">
        <f>IFERROR(__xludf.DUMMYFUNCTION("""COMPUTED_VALUE"""),"ShortLocateFromTT")</f>
        <v>ShortLocateFromTT</v>
      </c>
      <c r="AT4" s="25" t="str">
        <f>IFERROR(__xludf.DUMMYFUNCTION("""COMPUTED_VALUE"""),"VerifyShortLocateWindowOnTT")</f>
        <v>VerifyShortLocateWindowOnTT</v>
      </c>
      <c r="AU4" s="25" t="str">
        <f>IFERROR(__xludf.DUMMYFUNCTION("""COMPUTED_VALUE"""),"AlgoUIOperations")</f>
        <v>AlgoUIOperations</v>
      </c>
      <c r="AV4" s="25" t="str">
        <f>IFERROR(__xludf.DUMMYFUNCTION("""COMPUTED_VALUE"""),"UpdateShortLocateFromTT")</f>
        <v>UpdateShortLocateFromTT</v>
      </c>
      <c r="AW4" s="25" t="str">
        <f>IFERROR(__xludf.DUMMYFUNCTION("""COMPUTED_VALUE"""),"ResetTT")</f>
        <v>ResetTT</v>
      </c>
      <c r="AX4" s="25" t="str">
        <f>IFERROR(__xludf.DUMMYFUNCTION("""COMPUTED_VALUE"""),"MergeTT")</f>
        <v>MergeTT</v>
      </c>
      <c r="AY4" s="25" t="str">
        <f>IFERROR(__xludf.DUMMYFUNCTION("""COMPUTED_VALUE"""),"ResizeEnsureTT")</f>
        <v>ResizeEnsureTT</v>
      </c>
      <c r="AZ4" s="25" t="str">
        <f>IFERROR(__xludf.DUMMYFUNCTION("""COMPUTED_VALUE"""),"VerifyExecutionType")</f>
        <v>VerifyExecutionType</v>
      </c>
      <c r="BA4" s="25" t="str">
        <f>IFERROR(__xludf.DUMMYFUNCTION("""COMPUTED_VALUE"""),"VerifyPopupAlignment")</f>
        <v>VerifyPopupAlignment</v>
      </c>
      <c r="BB4" s="25" t="str">
        <f>IFERROR(__xludf.DUMMYFUNCTION("""COMPUTED_VALUE"""),"SelectET")</f>
        <v>SelectET</v>
      </c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8.0</v>
      </c>
      <c r="E6" s="33"/>
      <c r="F6" s="33" t="s">
        <v>18</v>
      </c>
      <c r="G6" s="33"/>
      <c r="H6" s="33"/>
      <c r="I6" s="33"/>
      <c r="J6" s="34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5" t="s">
        <v>17</v>
      </c>
      <c r="D7" s="32">
        <v>12.0</v>
      </c>
      <c r="E7" s="33"/>
      <c r="F7" s="33" t="s">
        <v>19</v>
      </c>
      <c r="G7" s="33"/>
      <c r="H7" s="33"/>
      <c r="I7" s="33"/>
      <c r="J7" s="34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b">
        <v>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 t="s">
        <v>22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</f>
        <v>45750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IFERROR(__xludf.DUMMYFUNCTION("""COMPUTED_VALUE"""),"VerifyCustomAllocationSecondUI")</f>
        <v>VerifyCustomAllocationSecondUI</v>
      </c>
      <c r="AS4" s="25" t="str">
        <f>IFERROR(__xludf.DUMMYFUNCTION("""COMPUTED_VALUE"""),"ShortLocateFromTT")</f>
        <v>ShortLocateFromTT</v>
      </c>
      <c r="AT4" s="25" t="str">
        <f>IFERROR(__xludf.DUMMYFUNCTION("""COMPUTED_VALUE"""),"VerifyShortLocateWindowOnTT")</f>
        <v>VerifyShortLocateWindowOnTT</v>
      </c>
      <c r="AU4" s="25" t="str">
        <f>IFERROR(__xludf.DUMMYFUNCTION("""COMPUTED_VALUE"""),"AlgoUIOperations")</f>
        <v>AlgoUIOperations</v>
      </c>
      <c r="AV4" s="25" t="str">
        <f>IFERROR(__xludf.DUMMYFUNCTION("""COMPUTED_VALUE"""),"UpdateShortLocateFromTT")</f>
        <v>UpdateShortLocateFromTT</v>
      </c>
      <c r="AW4" s="25" t="str">
        <f>IFERROR(__xludf.DUMMYFUNCTION("""COMPUTED_VALUE"""),"ResetTT")</f>
        <v>ResetTT</v>
      </c>
      <c r="AX4" s="25" t="str">
        <f>IFERROR(__xludf.DUMMYFUNCTION("""COMPUTED_VALUE"""),"MergeTT")</f>
        <v>MergeTT</v>
      </c>
      <c r="AY4" s="25" t="str">
        <f>IFERROR(__xludf.DUMMYFUNCTION("""COMPUTED_VALUE"""),"ResizeEnsureTT")</f>
        <v>ResizeEnsureTT</v>
      </c>
      <c r="AZ4" s="25" t="str">
        <f>IFERROR(__xludf.DUMMYFUNCTION("""COMPUTED_VALUE"""),"VerifyExecutionType")</f>
        <v>VerifyExecutionType</v>
      </c>
      <c r="BA4" s="25" t="str">
        <f>IFERROR(__xludf.DUMMYFUNCTION("""COMPUTED_VALUE"""),"VerifyPopupAlignment")</f>
        <v>VerifyPopupAlignment</v>
      </c>
      <c r="BB4" s="25" t="str">
        <f>IFERROR(__xludf.DUMMYFUNCTION("""COMPUTED_VALUE"""),"SelectET")</f>
        <v>SelectET</v>
      </c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20000.0</v>
      </c>
      <c r="E6" s="33"/>
      <c r="F6" s="33" t="s">
        <v>24</v>
      </c>
      <c r="G6" s="33"/>
      <c r="H6" s="33"/>
      <c r="I6" s="33"/>
      <c r="J6" s="34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27</v>
      </c>
      <c r="C6" s="33" t="s">
        <v>22</v>
      </c>
      <c r="D6" s="30"/>
      <c r="E6" s="39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>
        <v>11991.59328</v>
      </c>
      <c r="C6" s="40">
        <v>11991.59328</v>
      </c>
      <c r="D6" s="40">
        <v>12000.0</v>
      </c>
      <c r="E6" s="40">
        <v>12000.0</v>
      </c>
      <c r="F6" s="41" t="s">
        <v>29</v>
      </c>
      <c r="G6" s="33"/>
      <c r="H6" s="42" t="s">
        <v>30</v>
      </c>
      <c r="I6" s="33"/>
      <c r="J6" s="33"/>
      <c r="K6" s="33"/>
      <c r="L6" s="33"/>
      <c r="M6" s="33"/>
      <c r="N6" s="33"/>
      <c r="O6" s="41" t="s">
        <v>19</v>
      </c>
      <c r="P6" s="41" t="s">
        <v>31</v>
      </c>
      <c r="Q6" s="43">
        <v>60.0</v>
      </c>
      <c r="R6" s="40">
        <v>12000.0</v>
      </c>
      <c r="S6" s="43">
        <v>0.0</v>
      </c>
      <c r="T6" s="43">
        <v>0.0</v>
      </c>
      <c r="U6" s="43">
        <v>0.0</v>
      </c>
      <c r="V6" s="43">
        <v>0.0</v>
      </c>
      <c r="W6" s="43">
        <v>0.00672</v>
      </c>
      <c r="X6" s="43">
        <v>1.2</v>
      </c>
      <c r="Y6" s="43">
        <v>2.4</v>
      </c>
      <c r="Z6" s="43">
        <v>1.8</v>
      </c>
      <c r="AA6" s="43">
        <v>3.0</v>
      </c>
      <c r="AB6" s="43">
        <v>0.0</v>
      </c>
      <c r="AC6" s="43">
        <v>0.0</v>
      </c>
      <c r="AD6" s="43">
        <v>0.0</v>
      </c>
      <c r="AE6" s="43">
        <v>0.0</v>
      </c>
      <c r="AF6" s="41" t="s">
        <v>32</v>
      </c>
      <c r="AG6" s="44"/>
      <c r="AH6" s="44"/>
      <c r="AI6" s="43">
        <v>1.0</v>
      </c>
      <c r="AJ6" s="43">
        <v>0.0</v>
      </c>
      <c r="AK6" s="43">
        <v>1.0</v>
      </c>
      <c r="AL6" s="43">
        <v>3.0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0">
        <v>7994.39552</v>
      </c>
      <c r="C7" s="40">
        <v>7994.39552</v>
      </c>
      <c r="D7" s="40">
        <v>8000.0</v>
      </c>
      <c r="E7" s="40">
        <v>8000.0</v>
      </c>
      <c r="F7" s="41" t="s">
        <v>29</v>
      </c>
      <c r="G7" s="33"/>
      <c r="H7" s="42" t="s">
        <v>30</v>
      </c>
      <c r="I7" s="33"/>
      <c r="J7" s="33"/>
      <c r="K7" s="33"/>
      <c r="L7" s="33"/>
      <c r="M7" s="33"/>
      <c r="N7" s="33"/>
      <c r="O7" s="41" t="s">
        <v>18</v>
      </c>
      <c r="P7" s="41" t="s">
        <v>31</v>
      </c>
      <c r="Q7" s="43">
        <v>40.0</v>
      </c>
      <c r="R7" s="40">
        <v>8000.0</v>
      </c>
      <c r="S7" s="43">
        <v>0.0</v>
      </c>
      <c r="T7" s="43">
        <v>0.0</v>
      </c>
      <c r="U7" s="43">
        <v>0.0</v>
      </c>
      <c r="V7" s="43">
        <v>0.0</v>
      </c>
      <c r="W7" s="43">
        <v>0.00448</v>
      </c>
      <c r="X7" s="43">
        <v>0.8</v>
      </c>
      <c r="Y7" s="43">
        <v>1.6</v>
      </c>
      <c r="Z7" s="43">
        <v>1.2</v>
      </c>
      <c r="AA7" s="43">
        <v>2.0</v>
      </c>
      <c r="AB7" s="43">
        <v>0.0</v>
      </c>
      <c r="AC7" s="43">
        <v>0.0</v>
      </c>
      <c r="AD7" s="43">
        <v>0.0</v>
      </c>
      <c r="AE7" s="43">
        <v>0.0</v>
      </c>
      <c r="AF7" s="41" t="s">
        <v>32</v>
      </c>
      <c r="AG7" s="44"/>
      <c r="AH7" s="44"/>
      <c r="AI7" s="43">
        <v>1.0</v>
      </c>
      <c r="AJ7" s="43">
        <v>0.0</v>
      </c>
      <c r="AK7" s="43">
        <v>1.0</v>
      </c>
      <c r="AL7" s="43">
        <v>3.0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