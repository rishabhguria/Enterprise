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reateDoneAwayOrder1" sheetId="12" r:id="rId14"/>
    <sheet state="visible" name="VerifyGridData" sheetId="13" r:id="rId15"/>
    <sheet state="visible" name="SendtoStaging" sheetId="14" r:id="rId16"/>
    <sheet state="visible" name="RefreshGridData" sheetId="15" r:id="rId17"/>
  </sheets>
  <definedNames/>
  <calcPr/>
</workbook>
</file>

<file path=xl/sharedStrings.xml><?xml version="1.0" encoding="utf-8"?>
<sst xmlns="http://schemas.openxmlformats.org/spreadsheetml/2006/main" count="159" uniqueCount="49">
  <si>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</si>
  <si>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</si>
  <si>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</si>
  <si>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</si>
  <si>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</si>
  <si>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</si>
  <si>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</si>
  <si>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</si>
  <si>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</si>
  <si>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</si>
  <si>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</si>
  <si>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</si>
  <si>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</si>
  <si>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</si>
  <si>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</si>
  <si>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</si>
  <si>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</si>
  <si>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</si>
  <si>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</si>
  <si>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</si>
  <si>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</si>
  <si>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</si>
  <si>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</si>
  <si>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</si>
  <si>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</si>
  <si>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</si>
  <si>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</si>
  <si>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</si>
  <si>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</si>
  <si>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</si>
  <si>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</si>
  <si>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</si>
  <si>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</si>
  <si>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</si>
  <si>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</si>
  <si>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</si>
  <si>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</si>
  <si>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</si>
  <si>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</si>
  <si>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</si>
  <si>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</si>
  <si>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</si>
  <si>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</si>
  <si>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</si>
  <si>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</si>
  <si>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</si>
  <si>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</si>
  <si>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</si>
  <si>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RefreshGridData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</si>
</sst>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IFERROR(__xludf.DUMMYFUNCTION("IF(C3="""","""",Transpose(IMPORTRANGE('_Settings'!$B$3,C3&amp;""!A4:A1000"")))"),"SetTTUIPreferences")</f>
        <v>SetTTUIPreferences</v>
      </c>
      <c r="C4" s="26" t="str">
        <f>IFERROR(__xludf.DUMMYFUNCTION("""COMPUTED_VALUE"""),"TTPermissionLevel")</f>
        <v>TTPermissionLevel</v>
      </c>
      <c r="D4" s="26" t="str">
        <f>IFERROR(__xludf.DUMMYFUNCTION("""COMPUTED_VALUE"""),"SetCheckSide")</f>
        <v>SetCheckSide</v>
      </c>
      <c r="E4" s="26" t="str">
        <f>IFERROR(__xludf.DUMMYFUNCTION("""COMPUTED_VALUE"""),"SetRollover")</f>
        <v>SetRollover</v>
      </c>
      <c r="F4" s="26" t="str">
        <f>IFERROR(__xludf.DUMMYFUNCTION("""COMPUTED_VALUE"""),"SetActive")</f>
        <v>SetActive</v>
      </c>
      <c r="G4" s="26" t="str">
        <f>IFERROR(__xludf.DUMMYFUNCTION("""COMPUTED_VALUE"""),"SetThirdPartyFormat")</f>
        <v>SetThirdPartyFormat</v>
      </c>
      <c r="H4" s="26" t="str">
        <f>IFERROR(__xludf.DUMMYFUNCTION("""COMPUTED_VALUE"""),"SetTradingComplianceRules")</f>
        <v>SetTradingComplianceRules</v>
      </c>
      <c r="I4" s="26" t="str">
        <f>IFERROR(__xludf.DUMMYFUNCTION("""COMPUTED_VALUE"""),"EnableBreakdownRealizedPNL")</f>
        <v>EnableBreakdownRealizedPNL</v>
      </c>
      <c r="J4" s="26" t="str">
        <f>IFERROR(__xludf.DUMMYFUNCTION("""COMPUTED_VALUE"""),"SetTTGeneralPreferences")</f>
        <v>SetTTGeneralPreferences</v>
      </c>
      <c r="K4" s="26" t="str">
        <f>IFERROR(__xludf.DUMMYFUNCTION("""COMPUTED_VALUE"""),"SetDollarAmountPermission")</f>
        <v>SetDollarAmountPermission</v>
      </c>
      <c r="L4" s="26" t="str">
        <f>IFERROR(__xludf.DUMMYFUNCTION("""COMPUTED_VALUE"""),"EnableDisableModule")</f>
        <v>EnableDisableModule</v>
      </c>
      <c r="M4" s="26" t="str">
        <f>IFERROR(__xludf.DUMMYFUNCTION("""COMPUTED_VALUE"""),"IsImportOverrideOnShortLocate")</f>
        <v>IsImportOverrideOnShortLocate</v>
      </c>
      <c r="N4" s="26" t="str">
        <f>IFERROR(__xludf.DUMMYFUNCTION("""COMPUTED_VALUE"""),"SetShortLocateStructures")</f>
        <v>SetShortLocateStructures</v>
      </c>
      <c r="O4" s="26" t="str">
        <f>IFERROR(__xludf.DUMMYFUNCTION("""COMPUTED_VALUE"""),"SetComplianceAlert")</f>
        <v>SetComplianceAlert</v>
      </c>
      <c r="P4" s="27" t="str">
        <f>IFERROR(__xludf.DUMMYFUNCTION("""COMPUTED_VALUE"""),"UpdateExpirationDate")</f>
        <v>UpdateExpirationDate</v>
      </c>
      <c r="Q4" s="27" t="str">
        <f>IFERROR(__xludf.DUMMYFUNCTION("""COMPUTED_VALUE"""),"RenameMasterStrategy")</f>
        <v>RenameMasterStrategy</v>
      </c>
      <c r="R4" s="27" t="str">
        <f>IFERROR(__xludf.DUMMYFUNCTION("""COMPUTED_VALUE"""),"SetTTUIAdminPreferences")</f>
        <v>SetTTUIAdminPreferences</v>
      </c>
      <c r="S4" s="27" t="str">
        <f>IFERROR(__xludf.DUMMYFUNCTION("""COMPUTED_VALUE"""),"UpdateSecFee")</f>
        <v>UpdateSecFee</v>
      </c>
      <c r="T4" s="27" t="str">
        <f>IFERROR(__xludf.DUMMYFUNCTION("""COMPUTED_VALUE"""),"UpdateFee")</f>
        <v>UpdateFee</v>
      </c>
      <c r="U4" s="27" t="str">
        <f>IFERROR(__xludf.DUMMYFUNCTION("""COMPUTED_VALUE"""),"RevertingSMSharesOutValue")</f>
        <v>RevertingSMSharesOutValue</v>
      </c>
      <c r="V4" s="27" t="str">
        <f>IFERROR(__xludf.DUMMYFUNCTION("""COMPUTED_VALUE"""),"SetTTUIAdminPreferences")</f>
        <v>SetTTUIAdminPreferences</v>
      </c>
      <c r="W4" s="27" t="str">
        <f>IFERROR(__xludf.DUMMYFUNCTION("""COMPUTED_VALUE"""),"RestartSQL")</f>
        <v>RestartSQL</v>
      </c>
      <c r="X4" s="27" t="str">
        <f>IFERROR(__xludf.DUMMYFUNCTION("""COMPUTED_VALUE"""),"TradeAuditCleanUp")</f>
        <v>TradeAuditCleanUp</v>
      </c>
      <c r="Y4" s="27" t="str">
        <f>IFERROR(__xludf.DUMMYFUNCTION("""COMPUTED_VALUE"""),"DeleteSymbolFromSM")</f>
        <v>DeleteSymbolFromSM</v>
      </c>
      <c r="Z4" s="27" t="str">
        <f>IFERROR(__xludf.DUMMYFUNCTION("""COMPUTED_VALUE"""),"SetCompliancePermission")</f>
        <v>SetCompliancePermission</v>
      </c>
      <c r="AA4" s="27" t="str">
        <f>IFERROR(__xludf.DUMMYFUNCTION("""COMPUTED_VALUE"""),"UpdateRoundLot")</f>
        <v>UpdateRoundLot</v>
      </c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 Update")</f>
        <v>Symbol Update</v>
      </c>
      <c r="C5" s="29" t="str">
        <f>IFERROR(__xludf.DUMMYFUNCTION("""COMPUTED_VALUE"""),"RoundLot")</f>
        <v>RoundLot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 t="str">
        <f>IFERROR(__xludf.DUMMYFUNCTION("""COMPUTED_VALUE"""),"CreateComplianceOrder")</f>
        <v>CreateComplianceOrder</v>
      </c>
      <c r="AH4" s="27" t="str">
        <f>IFERROR(__xludf.DUMMYFUNCTION("""COMPUTED_VALUE"""),"VerifyComplianceOrder")</f>
        <v>VerifyComplianceOrder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16</v>
      </c>
      <c r="C6" s="37" t="s">
        <v>22</v>
      </c>
      <c r="D6" s="33">
        <v>600.0</v>
      </c>
      <c r="E6" s="37"/>
      <c r="F6" s="37"/>
      <c r="G6" s="37"/>
      <c r="H6" s="37"/>
      <c r="I6" s="37"/>
      <c r="J6" s="33">
        <v>10.0</v>
      </c>
      <c r="K6" s="37"/>
      <c r="L6" s="37"/>
      <c r="M6" s="37"/>
      <c r="N6" s="38">
        <f t="shared" ref="N6:N9" si="1">today()-1</f>
        <v>44885</v>
      </c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39">
        <f t="shared" si="1"/>
        <v>44885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23</v>
      </c>
      <c r="D8" s="35">
        <v>100.0</v>
      </c>
      <c r="E8" s="36"/>
      <c r="F8" s="36"/>
      <c r="G8" s="36"/>
      <c r="H8" s="36"/>
      <c r="I8" s="36"/>
      <c r="J8" s="35">
        <v>10.0</v>
      </c>
      <c r="K8" s="36"/>
      <c r="L8" s="36"/>
      <c r="M8" s="36"/>
      <c r="N8" s="39">
        <f t="shared" si="1"/>
        <v>44885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5">
        <v>600.0</v>
      </c>
      <c r="E9" s="36"/>
      <c r="F9" s="36"/>
      <c r="G9" s="36"/>
      <c r="H9" s="36"/>
      <c r="I9" s="36"/>
      <c r="J9" s="35">
        <v>10.0</v>
      </c>
      <c r="K9" s="36"/>
      <c r="L9" s="36"/>
      <c r="M9" s="36"/>
      <c r="N9" s="39">
        <f t="shared" si="1"/>
        <v>44885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24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26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 t="str">
        <f>IFERROR(__xludf.DUMMYFUNCTION("""COMPUTED_VALUE"""),"UpdateMultipleDailyCash")</f>
        <v>UpdateMultipleDailyCash</v>
      </c>
      <c r="AI4" s="27" t="str">
        <f>IFERROR(__xludf.DUMMYFUNCTION("""COMPUTED_VALUE"""),"IsDefaultFilterToShowAccountWiseDataOnDailyValuation")</f>
        <v>IsDefaultFilterToShowAccountWiseDataOnDailyValuation</v>
      </c>
      <c r="AJ4" s="27" t="str">
        <f>IFERROR(__xludf.DUMMYFUNCTION("""COMPUTED_VALUE"""),"EnableBlankMarkPrices")</f>
        <v>EnableBlankMarkPrices</v>
      </c>
      <c r="AK4" s="27" t="str">
        <f>IFERROR(__xludf.DUMMYFUNCTION("""COMPUTED_VALUE"""),"EnableBlankMarkPrices")</f>
        <v>EnableBlankMarkPrices</v>
      </c>
      <c r="AL4" s="27" t="str">
        <f>IFERROR(__xludf.DUMMYFUNCTION("""COMPUTED_VALUE"""),"UpateSymbolAndMarkPrice")</f>
        <v>UpateSymbolAndMarkPrice</v>
      </c>
      <c r="AM4" s="27" t="str">
        <f>IFERROR(__xludf.DUMMYFUNCTION("""COMPUTED_VALUE"""),"UpateSymbolBlankMP")</f>
        <v>UpateSymbolBlankMP</v>
      </c>
      <c r="AN4" s="27" t="str">
        <f>IFERROR(__xludf.DUMMYFUNCTION("""COMPUTED_VALUE"""),"UpdateBlankMP")</f>
        <v>UpdateBlankMP</v>
      </c>
      <c r="AO4" s="27" t="str">
        <f>IFERROR(__xludf.DUMMYFUNCTION("""COMPUTED_VALUE"""),"FilterBlankMP")</f>
        <v>FilterBlankMP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9">
        <f t="shared" ref="B6:C6" si="1">today()-1</f>
        <v>44885</v>
      </c>
      <c r="C6" s="38">
        <f t="shared" si="1"/>
        <v>44885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27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 t="str">
        <f>IFERROR(__xludf.DUMMYFUNCTION("""COMPUTED_VALUE"""),"UpdateMultipleDailyCash")</f>
        <v>UpdateMultipleDailyCash</v>
      </c>
      <c r="AI4" s="27" t="str">
        <f>IFERROR(__xludf.DUMMYFUNCTION("""COMPUTED_VALUE"""),"IsDefaultFilterToShowAccountWiseDataOnDailyValuation")</f>
        <v>IsDefaultFilterToShowAccountWiseDataOnDailyValuation</v>
      </c>
      <c r="AJ4" s="27" t="str">
        <f>IFERROR(__xludf.DUMMYFUNCTION("""COMPUTED_VALUE"""),"EnableBlankMarkPrices")</f>
        <v>EnableBlankMarkPrices</v>
      </c>
      <c r="AK4" s="27" t="str">
        <f>IFERROR(__xludf.DUMMYFUNCTION("""COMPUTED_VALUE"""),"EnableBlankMarkPrices")</f>
        <v>EnableBlankMarkPrices</v>
      </c>
      <c r="AL4" s="27" t="str">
        <f>IFERROR(__xludf.DUMMYFUNCTION("""COMPUTED_VALUE"""),"UpateSymbolAndMarkPrice")</f>
        <v>UpateSymbolAndMarkPrice</v>
      </c>
      <c r="AM4" s="27" t="str">
        <f>IFERROR(__xludf.DUMMYFUNCTION("""COMPUTED_VALUE"""),"UpateSymbolBlankMP")</f>
        <v>UpateSymbolBlankMP</v>
      </c>
      <c r="AN4" s="27" t="str">
        <f>IFERROR(__xludf.DUMMYFUNCTION("""COMPUTED_VALUE"""),"UpdateBlankMP")</f>
        <v>UpdateBlankMP</v>
      </c>
      <c r="AO4" s="27" t="str">
        <f>IFERROR(__xludf.DUMMYFUNCTION("""COMPUTED_VALUE"""),"FilterBlankMP")</f>
        <v>FilterBlankMP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28</v>
      </c>
      <c r="C6" s="37" t="s">
        <v>29</v>
      </c>
      <c r="D6" s="33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28</v>
      </c>
      <c r="C6" s="37" t="s">
        <v>32</v>
      </c>
      <c r="D6" s="37" t="s">
        <v>33</v>
      </c>
      <c r="E6" s="37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35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40">
        <v>16633.0</v>
      </c>
      <c r="C6" s="37" t="s">
        <v>36</v>
      </c>
      <c r="D6" s="37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39</v>
      </c>
      <c r="C6" s="41" t="b">
        <v>1</v>
      </c>
      <c r="D6" s="42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 t="str">
        <f>IFERROR(__xludf.DUMMYFUNCTION("""COMPUTED_VALUE"""),"CreateComplianceOrder")</f>
        <v>CreateComplianceOrder</v>
      </c>
      <c r="AH4" s="27" t="str">
        <f>IFERROR(__xludf.DUMMYFUNCTION("""COMPUTED_VALUE"""),"VerifyComplianceOrder")</f>
        <v>VerifyComplianceOrder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6" t="s">
        <v>17</v>
      </c>
      <c r="C6" s="36" t="s">
        <v>22</v>
      </c>
      <c r="D6" s="35">
        <v>100.0</v>
      </c>
      <c r="E6" s="36"/>
      <c r="F6" s="36"/>
      <c r="G6" s="36"/>
      <c r="H6" s="36"/>
      <c r="I6" s="36"/>
      <c r="J6" s="35">
        <v>10.0</v>
      </c>
      <c r="K6" s="36"/>
      <c r="L6" s="36"/>
      <c r="M6" s="36"/>
      <c r="N6" s="39">
        <f>today()-1</f>
        <v>44885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40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 t="str">
        <f>IFERROR(__xludf.DUMMYFUNCTION("""COMPUTED_VALUE"""),"FactSet Symbol")</f>
        <v>FactSet Symbol</v>
      </c>
      <c r="V5" s="31" t="str">
        <f>IFERROR(__xludf.DUMMYFUNCTION("""COMPUTED_VALUE"""),"ACTIV Symbol")</f>
        <v>ACTIV Symbol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/>
      <c r="C6" s="43" t="s">
        <v>28</v>
      </c>
      <c r="D6" s="43" t="s">
        <v>17</v>
      </c>
      <c r="E6" s="43" t="s">
        <v>41</v>
      </c>
      <c r="F6" s="43" t="s">
        <v>42</v>
      </c>
      <c r="G6" s="44">
        <v>94.51</v>
      </c>
      <c r="H6" s="44">
        <v>94.51</v>
      </c>
      <c r="I6" s="44">
        <v>1.0</v>
      </c>
      <c r="J6" s="44"/>
      <c r="K6" s="45">
        <v>200.0</v>
      </c>
      <c r="L6" s="44"/>
      <c r="M6" s="44"/>
      <c r="N6" s="43"/>
      <c r="O6" s="45">
        <v>220.0</v>
      </c>
      <c r="P6" s="44"/>
      <c r="Q6" s="44"/>
      <c r="R6" s="45">
        <v>20.0</v>
      </c>
      <c r="S6" s="46">
        <v>1890.0</v>
      </c>
      <c r="T6" s="36"/>
      <c r="U6" s="36"/>
      <c r="V6" s="36"/>
      <c r="W6" s="47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8" t="s">
        <v>28</v>
      </c>
      <c r="D7" s="48" t="s">
        <v>16</v>
      </c>
      <c r="E7" s="48" t="s">
        <v>41</v>
      </c>
      <c r="F7" s="48" t="s">
        <v>42</v>
      </c>
      <c r="G7" s="49">
        <v>194.32</v>
      </c>
      <c r="H7" s="49">
        <v>194.32</v>
      </c>
      <c r="I7" s="49">
        <v>1.0</v>
      </c>
      <c r="J7" s="36"/>
      <c r="K7" s="49">
        <v>600.0</v>
      </c>
      <c r="L7" s="36"/>
      <c r="M7" s="36"/>
      <c r="N7" s="48"/>
      <c r="O7" s="50">
        <v>700.0</v>
      </c>
      <c r="P7" s="36"/>
      <c r="Q7" s="36"/>
      <c r="R7" s="51">
        <v>100.0</v>
      </c>
      <c r="S7" s="50">
        <v>19432.0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8" t="s">
        <v>28</v>
      </c>
      <c r="D8" s="48" t="s">
        <v>19</v>
      </c>
      <c r="E8" s="48" t="s">
        <v>41</v>
      </c>
      <c r="F8" s="48" t="s">
        <v>42</v>
      </c>
      <c r="G8" s="49">
        <v>6.56</v>
      </c>
      <c r="H8" s="49">
        <v>6.56</v>
      </c>
      <c r="I8" s="49">
        <v>1.0</v>
      </c>
      <c r="J8" s="36"/>
      <c r="K8" s="49">
        <v>600.0</v>
      </c>
      <c r="L8" s="36"/>
      <c r="M8" s="36"/>
      <c r="N8" s="48"/>
      <c r="O8" s="52">
        <v>657.0</v>
      </c>
      <c r="P8" s="36"/>
      <c r="Q8" s="37"/>
      <c r="R8" s="45">
        <v>57.0</v>
      </c>
      <c r="S8" s="53">
        <v>374.0</v>
      </c>
      <c r="T8" s="36"/>
      <c r="U8" s="36"/>
      <c r="V8" s="36"/>
      <c r="W8" s="47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48" t="s">
        <v>28</v>
      </c>
      <c r="D9" s="48" t="s">
        <v>18</v>
      </c>
      <c r="E9" s="48" t="s">
        <v>41</v>
      </c>
      <c r="F9" s="48" t="s">
        <v>43</v>
      </c>
      <c r="G9" s="49">
        <v>36.48</v>
      </c>
      <c r="H9" s="49">
        <v>36.48</v>
      </c>
      <c r="I9" s="49">
        <v>1.0</v>
      </c>
      <c r="J9" s="36"/>
      <c r="K9" s="49">
        <v>100.0</v>
      </c>
      <c r="L9" s="36"/>
      <c r="M9" s="36"/>
      <c r="N9" s="48"/>
      <c r="O9" s="52">
        <v>110.0</v>
      </c>
      <c r="P9" s="37"/>
      <c r="Q9" s="37"/>
      <c r="R9" s="45">
        <v>10.0</v>
      </c>
      <c r="S9" s="53">
        <v>-365.0</v>
      </c>
      <c r="T9" s="36"/>
      <c r="U9" s="36"/>
      <c r="V9" s="36"/>
      <c r="W9" s="47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48" t="s">
        <v>28</v>
      </c>
      <c r="D10" s="48" t="s">
        <v>44</v>
      </c>
      <c r="E10" s="48" t="s">
        <v>44</v>
      </c>
      <c r="F10" s="48" t="s">
        <v>42</v>
      </c>
      <c r="G10" s="49">
        <v>1.0</v>
      </c>
      <c r="H10" s="49">
        <v>1.0</v>
      </c>
      <c r="I10" s="49">
        <v>1.0</v>
      </c>
      <c r="J10" s="36"/>
      <c r="K10" s="49">
        <v>0.0</v>
      </c>
      <c r="L10" s="36"/>
      <c r="M10" s="36"/>
      <c r="N10" s="48"/>
      <c r="O10" s="49">
        <v>0.0</v>
      </c>
      <c r="P10" s="36"/>
      <c r="Q10" s="36"/>
      <c r="R10" s="49">
        <v>0.0</v>
      </c>
      <c r="S10" s="49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48" t="s">
        <v>28</v>
      </c>
      <c r="D11" s="48" t="s">
        <v>45</v>
      </c>
      <c r="E11" s="48" t="s">
        <v>45</v>
      </c>
      <c r="F11" s="48" t="s">
        <v>42</v>
      </c>
      <c r="G11" s="49">
        <v>1.0</v>
      </c>
      <c r="H11" s="49">
        <v>1.0</v>
      </c>
      <c r="I11" s="49">
        <v>1.0</v>
      </c>
      <c r="J11" s="36"/>
      <c r="K11" s="49">
        <v>40000.0</v>
      </c>
      <c r="L11" s="49">
        <v>40000.0</v>
      </c>
      <c r="M11" s="49">
        <v>40000.0</v>
      </c>
      <c r="N11" s="48"/>
      <c r="O11" s="52">
        <v>35302.0</v>
      </c>
      <c r="P11" s="52">
        <v>35302.0</v>
      </c>
      <c r="Q11" s="52">
        <v>35302.0</v>
      </c>
      <c r="R11" s="52">
        <v>-4698.0</v>
      </c>
      <c r="S11" s="52">
        <v>-4698.0</v>
      </c>
      <c r="T11" s="36"/>
      <c r="U11" s="36"/>
      <c r="V11" s="36"/>
      <c r="W11" s="47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46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48" t="s">
        <v>28</v>
      </c>
      <c r="C6" s="54" t="s">
        <v>22</v>
      </c>
      <c r="D6" s="36" t="s">
        <v>16</v>
      </c>
      <c r="E6" s="52">
        <v>100.0</v>
      </c>
      <c r="F6" s="55">
        <v>194.32</v>
      </c>
      <c r="G6" s="53">
        <v>19432.0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28</v>
      </c>
      <c r="C7" s="54" t="s">
        <v>22</v>
      </c>
      <c r="D7" s="43" t="s">
        <v>17</v>
      </c>
      <c r="E7" s="45">
        <v>20.0</v>
      </c>
      <c r="F7" s="44">
        <v>94.51</v>
      </c>
      <c r="G7" s="46">
        <v>1890.0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 t="s">
        <v>28</v>
      </c>
      <c r="C8" s="54" t="s">
        <v>22</v>
      </c>
      <c r="D8" s="48" t="s">
        <v>19</v>
      </c>
      <c r="E8" s="52">
        <v>57.0</v>
      </c>
      <c r="F8" s="55">
        <v>6.56</v>
      </c>
      <c r="G8" s="53">
        <v>374.0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 t="s">
        <v>28</v>
      </c>
      <c r="C9" s="56" t="s">
        <v>47</v>
      </c>
      <c r="D9" s="48" t="s">
        <v>18</v>
      </c>
      <c r="E9" s="57">
        <v>10.0</v>
      </c>
      <c r="F9" s="35">
        <v>36.48</v>
      </c>
      <c r="G9" s="57">
        <v>-365.0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48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 t="str">
        <f>IFERROR(__xludf.DUMMYFUNCTION("""COMPUTED_VALUE"""),"EditRebalanceGrid")</f>
        <v>EditRebalanceGrid</v>
      </c>
      <c r="Y4" s="27" t="str">
        <f>IFERROR(__xludf.DUMMYFUNCTION("""COMPUTED_VALUE"""),"ImportModelPortfolio")</f>
        <v>ImportModelPortfolio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IFERROR(__xludf.DUMMYFUNCTION("""COMPUTED_VALUE"""),"Refresh")</f>
        <v>Refresh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RefreshGridData!$4:$4</formula1>
    </dataValidation>
  </dataValidations>
  <drawing r:id="rId1"/>
</worksheet>
</file>