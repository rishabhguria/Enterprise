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1" sheetId="11" r:id="rId13"/>
    <sheet state="visible" name="GetDataAllocation" sheetId="12" r:id="rId14"/>
    <sheet state="visible" name="CheckAllocatedGroups" sheetId="13" r:id="rId15"/>
  </sheets>
  <definedNames/>
  <calcPr/>
</workbook>
</file>

<file path=xl/sharedStrings.xml><?xml version="1.0" encoding="utf-8"?>
<sst xmlns="http://schemas.openxmlformats.org/spreadsheetml/2006/main" count="132" uniqueCount="47">
  <si>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</si>
  <si>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</si>
  <si>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</si>
  <si>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</si>
  <si>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</si>
  <si>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</si>
  <si>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</si>
  <si>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</si>
  <si>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</si>
  <si>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</si>
  <si>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</si>
  <si>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</si>
  <si>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</si>
  <si>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</si>
  <si>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</si>
  <si>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</si>
  <si>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</si>
  <si>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</si>
  <si>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</si>
  <si>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</si>
  <si>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</si>
  <si>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</si>
  <si>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CBI</t>
  </si>
  <si>
    <t>Sell</t>
  </si>
  <si>
    <t>Allocation1,Allocation3</t>
  </si>
  <si>
    <t>50,50</t>
  </si>
  <si>
    <t>PricingInput</t>
  </si>
  <si>
    <t>PTT</t>
  </si>
  <si>
    <t>CalculatePTT</t>
  </si>
  <si>
    <t>Increase</t>
  </si>
  <si>
    <t>Percentage</t>
  </si>
  <si>
    <t>No</t>
  </si>
  <si>
    <t>Account</t>
  </si>
  <si>
    <t>VerifyPTT</t>
  </si>
  <si>
    <t>TradePTT</t>
  </si>
  <si>
    <t>Allocation</t>
  </si>
  <si>
    <t>GetDataAllocation</t>
  </si>
  <si>
    <t>Current</t>
  </si>
  <si>
    <t>CheckAllocatedGroups</t>
  </si>
  <si>
    <t>Multiple</t>
  </si>
  <si>
    <t>MS</t>
  </si>
  <si>
    <t>Open</t>
  </si>
  <si>
    <t>NYSE</t>
  </si>
  <si>
    <t>M</t>
  </si>
  <si>
    <t>US</t>
  </si>
  <si>
    <t>Sell short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</si>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</sst>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3" numFmtId="4" xfId="0" applyAlignment="1" applyFont="1" applyNumberFormat="1">
      <alignment horizontal="right" readingOrder="0" shrinkToFit="0" vertical="bottom" wrapText="0"/>
    </xf>
    <xf borderId="5" fillId="0" fontId="1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IFERROR(__xludf.DUMMYFUNCTION("""COMPUTED_VALUE"""),"SetDefaultSymbology")</f>
        <v>SetDefaultSymbology</v>
      </c>
      <c r="C453" t="str">
        <f>IFERROR(__xludf.DUMMYFUNCTION("""COMPUTED_VALUE"""),"1b7zlTIVQjL2vZc0hUNmY0Nj3YpQi8BtYcWMr8_hvABw")</f>
        <v>1b7zlTIVQjL2vZc0hUNmY0Nj3YpQi8BtYcWMr8_hvABw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IFERROR(__xludf.DUMMYFUNCTION("""COMPUTED_VALUE"""),"EnterCustomAllocatePreference")</f>
        <v>EnterCustomAllocatePreference</v>
      </c>
      <c r="C454" t="str">
        <f>IFERROR(__xludf.DUMMYFUNCTION("""COMPUTED_VALUE"""),"1eNnQSyrPr_L4TcV7izBj89sySDQaYK6gNqNVbd2ChKE")</f>
        <v>1eNnQSyrPr_L4TcV7izBj89sySDQaYK6gNqNVbd2ChKE</v>
      </c>
    </row>
    <row r="455" ht="15.75" customHeight="1">
      <c r="A455" t="str">
        <f>IFERROR(__xludf.DUMMYFUNCTION("""COMPUTED_VALUE"""),"PTT")</f>
        <v>PTT</v>
      </c>
      <c r="B455" t="str">
        <f>IFERROR(__xludf.DUMMYFUNCTION("""COMPUTED_VALUE"""),"EditPTTAccountLevelWPF")</f>
        <v>EditPTTAccountLevelWPF</v>
      </c>
      <c r="C455" t="str">
        <f>IFERROR(__xludf.DUMMYFUNCTION("""COMPUTED_VALUE"""),"1lkoB4yg9KAzhNswvpJ9xWcz4YPaysGRGQuXBp7wigzQ")</f>
        <v>1lkoB4yg9KAzhNswvpJ9xWcz4YPaysGRGQuXBp7wigzQ</v>
      </c>
    </row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44101</v>
      </c>
      <c r="C6" s="31">
        <f t="shared" si="1"/>
        <v>44101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2" t="s">
        <v>18</v>
      </c>
      <c r="D6" s="34">
        <v>40000.0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18</v>
      </c>
      <c r="D7" s="35">
        <v>40000.0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22</v>
      </c>
      <c r="C6" s="36" t="s">
        <v>23</v>
      </c>
      <c r="D6" s="34">
        <v>100.0</v>
      </c>
      <c r="E6" s="37">
        <v>100.0</v>
      </c>
      <c r="F6" s="32"/>
      <c r="G6" s="32"/>
      <c r="H6" s="32"/>
      <c r="I6" s="32"/>
      <c r="J6" s="37">
        <v>20.0</v>
      </c>
      <c r="K6" s="32"/>
      <c r="L6" s="32"/>
      <c r="M6" s="32"/>
      <c r="N6" s="31">
        <f>TODAY()</f>
        <v>44102</v>
      </c>
      <c r="O6" s="37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24</v>
      </c>
      <c r="AL6" s="33" t="s">
        <v>25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">
        <v>22</v>
      </c>
      <c r="C6" s="11">
        <v>20.0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6" t="s">
        <v>22</v>
      </c>
      <c r="C6" s="40" t="s">
        <v>29</v>
      </c>
      <c r="D6" s="41" t="s">
        <v>30</v>
      </c>
      <c r="E6" s="37">
        <v>5.0</v>
      </c>
      <c r="F6" s="32"/>
      <c r="G6" s="40" t="s">
        <v>31</v>
      </c>
      <c r="H6" s="40" t="s">
        <v>32</v>
      </c>
      <c r="I6" s="42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17</v>
      </c>
      <c r="C6" s="44">
        <v>40000.0</v>
      </c>
      <c r="D6" s="44">
        <v>-50.0</v>
      </c>
      <c r="E6" s="44">
        <v>1000.0</v>
      </c>
      <c r="F6" s="44">
        <v>2.5</v>
      </c>
      <c r="G6" s="44">
        <v>5.0</v>
      </c>
      <c r="H6" s="44">
        <v>7.5</v>
      </c>
      <c r="I6" s="44">
        <v>100.0</v>
      </c>
      <c r="J6" s="44">
        <v>-150.0</v>
      </c>
      <c r="K6" s="44">
        <v>3000.0</v>
      </c>
      <c r="L6" s="44">
        <v>50.0</v>
      </c>
      <c r="M6" s="44">
        <v>1.0</v>
      </c>
      <c r="O6" s="8"/>
    </row>
    <row r="7" ht="15.75" customHeight="1">
      <c r="A7" s="8"/>
      <c r="B7" s="43" t="s">
        <v>19</v>
      </c>
      <c r="C7" s="44">
        <v>40000.0</v>
      </c>
      <c r="D7" s="44">
        <v>-50.0</v>
      </c>
      <c r="E7" s="44">
        <v>1000.0</v>
      </c>
      <c r="F7" s="44">
        <v>2.5</v>
      </c>
      <c r="G7" s="44">
        <v>5.0</v>
      </c>
      <c r="H7" s="44">
        <v>7.5</v>
      </c>
      <c r="I7" s="44">
        <v>100.0</v>
      </c>
      <c r="J7" s="44">
        <v>-150.0</v>
      </c>
      <c r="K7" s="44">
        <v>3000.0</v>
      </c>
      <c r="L7" s="44">
        <v>50.0</v>
      </c>
      <c r="M7" s="44">
        <v>1.0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6" t="s">
        <v>22</v>
      </c>
      <c r="C6" s="40" t="s">
        <v>29</v>
      </c>
      <c r="D6" s="41" t="s">
        <v>30</v>
      </c>
      <c r="E6" s="37">
        <v>5.0</v>
      </c>
      <c r="F6" s="32"/>
      <c r="G6" s="40" t="s">
        <v>31</v>
      </c>
      <c r="H6" s="40" t="s">
        <v>32</v>
      </c>
      <c r="I6" s="42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39</v>
      </c>
      <c r="C6" s="8"/>
      <c r="D6" s="11"/>
      <c r="E6" s="44">
        <v>100.0</v>
      </c>
      <c r="F6" s="8"/>
      <c r="G6" s="8"/>
      <c r="H6" s="8"/>
      <c r="I6" s="8"/>
      <c r="J6" s="8"/>
      <c r="K6" s="44">
        <v>20.0</v>
      </c>
      <c r="L6" s="44">
        <v>20.0</v>
      </c>
      <c r="M6" s="8"/>
      <c r="N6" s="8"/>
      <c r="O6" s="11" t="s">
        <v>40</v>
      </c>
      <c r="S6" s="45" t="s">
        <v>41</v>
      </c>
      <c r="Z6" s="46" t="s">
        <v>18</v>
      </c>
      <c r="AA6" s="33"/>
      <c r="AB6" s="33"/>
      <c r="AC6" s="33"/>
      <c r="AD6" s="43" t="s">
        <v>42</v>
      </c>
      <c r="AE6" s="44">
        <v>100.0</v>
      </c>
      <c r="AH6" s="33" t="s">
        <v>43</v>
      </c>
      <c r="AI6" s="47">
        <v>1.0</v>
      </c>
      <c r="AT6" s="48">
        <v>1979.65</v>
      </c>
      <c r="AU6" s="48">
        <v>1979.65</v>
      </c>
      <c r="BE6" s="48">
        <v>2000.0</v>
      </c>
      <c r="BF6" s="48">
        <v>2000.0</v>
      </c>
      <c r="BJ6" s="44">
        <v>100.0</v>
      </c>
      <c r="BM6" s="33" t="s">
        <v>18</v>
      </c>
      <c r="BO6" s="43" t="s">
        <v>23</v>
      </c>
      <c r="BT6" s="43" t="s">
        <v>22</v>
      </c>
      <c r="BW6" s="44">
        <v>20.35</v>
      </c>
      <c r="CH6" s="43" t="s">
        <v>20</v>
      </c>
      <c r="CI6" s="43" t="s">
        <v>23</v>
      </c>
      <c r="CK6" s="43" t="s">
        <v>44</v>
      </c>
      <c r="CM6" s="43" t="s">
        <v>22</v>
      </c>
    </row>
    <row r="7" ht="15.75" customHeight="1">
      <c r="A7" s="8"/>
      <c r="B7" s="43" t="s">
        <v>39</v>
      </c>
      <c r="C7" s="8"/>
      <c r="D7" s="8"/>
      <c r="E7" s="44">
        <v>200.0</v>
      </c>
      <c r="F7" s="8"/>
      <c r="G7" s="8"/>
      <c r="H7" s="8"/>
      <c r="I7" s="8"/>
      <c r="J7" s="8"/>
      <c r="K7" s="44">
        <v>20.0</v>
      </c>
      <c r="L7" s="44">
        <v>20.0</v>
      </c>
      <c r="M7" s="8"/>
      <c r="N7" s="8"/>
      <c r="O7" s="11" t="s">
        <v>40</v>
      </c>
      <c r="S7" s="49" t="s">
        <v>41</v>
      </c>
      <c r="Z7" s="46" t="s">
        <v>18</v>
      </c>
      <c r="AA7" s="33"/>
      <c r="AB7" s="33"/>
      <c r="AC7" s="33"/>
      <c r="AD7" s="43" t="s">
        <v>42</v>
      </c>
      <c r="AE7" s="44">
        <v>200.0</v>
      </c>
      <c r="AH7" s="33" t="s">
        <v>43</v>
      </c>
      <c r="AI7" s="47">
        <v>1.0</v>
      </c>
      <c r="AT7" s="48">
        <v>3961.3</v>
      </c>
      <c r="AU7" s="48">
        <v>3961.3</v>
      </c>
      <c r="BE7" s="48">
        <v>4000.0</v>
      </c>
      <c r="BF7" s="48">
        <v>4000.0</v>
      </c>
      <c r="BJ7" s="44">
        <v>200.0</v>
      </c>
      <c r="BM7" s="33" t="s">
        <v>18</v>
      </c>
      <c r="BO7" s="43" t="s">
        <v>45</v>
      </c>
      <c r="BT7" s="43" t="s">
        <v>22</v>
      </c>
      <c r="BW7" s="44">
        <v>38.7</v>
      </c>
      <c r="CH7" s="43" t="s">
        <v>27</v>
      </c>
      <c r="CI7" s="43" t="s">
        <v>46</v>
      </c>
      <c r="CK7" s="43" t="s">
        <v>44</v>
      </c>
      <c r="CM7" s="43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