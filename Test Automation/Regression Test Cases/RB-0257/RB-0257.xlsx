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GetMarkPriceData" sheetId="9" r:id="rId11"/>
    <sheet state="visible" name="UpdateMarkPrice" sheetId="10" r:id="rId12"/>
    <sheet state="visible" name="FetchAccountPositions" sheetId="11" r:id="rId13"/>
    <sheet state="visible" name="AddCash" sheetId="12" r:id="rId14"/>
    <sheet state="visible" name="RunRebalance" sheetId="13" r:id="rId15"/>
    <sheet state="visible" name="VerifyGridData" sheetId="14" r:id="rId16"/>
    <sheet state="visible" name="SendtoStaging" sheetId="15" r:id="rId17"/>
  </sheets>
  <definedNames/>
  <calcPr/>
</workbook>
</file>

<file path=xl/sharedStrings.xml><?xml version="1.0" encoding="utf-8"?>
<sst xmlns="http://schemas.openxmlformats.org/spreadsheetml/2006/main" count="156" uniqueCount="49">
  <si>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</si>
  <si>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</si>
  <si>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</si>
  <si>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</si>
  <si>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</si>
  <si>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</si>
  <si>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</si>
  <si>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</si>
  <si>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</si>
  <si>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</si>
  <si>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</si>
  <si>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</si>
  <si>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</si>
  <si>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</si>
  <si>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</si>
  <si>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</si>
  <si>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</si>
  <si>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</si>
  <si>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</si>
  <si>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</si>
  <si>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TradingTicket</t>
  </si>
  <si>
    <t>CreateDoneAwayOrder</t>
  </si>
  <si>
    <t>Buy</t>
  </si>
  <si>
    <t>Sell short</t>
  </si>
  <si>
    <t>PricingInput</t>
  </si>
  <si>
    <t>DailyValuation</t>
  </si>
  <si>
    <t>GetDailyCash</t>
  </si>
  <si>
    <t>UpdateMultipleDailyCash</t>
  </si>
  <si>
    <t>Allocation1</t>
  </si>
  <si>
    <t>USD</t>
  </si>
  <si>
    <t>GetMarkPriceData</t>
  </si>
  <si>
    <t>UpdateMarkPrice</t>
  </si>
  <si>
    <t>Rebalancer</t>
  </si>
  <si>
    <t>FetchAccountPositions</t>
  </si>
  <si>
    <t>Previous Day's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</si>
  <si>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</si>
  <si>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</si>
  <si>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</si>
  <si>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</si>
  <si>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</si>
  <si>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</si>
  <si>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</si>
  <si>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VerifyGridData</t>
  </si>
  <si>
    <t>Equity</t>
  </si>
  <si>
    <t>Long</t>
  </si>
  <si>
    <t>Short</t>
  </si>
  <si>
    <t>Cash</t>
  </si>
  <si>
    <t>SendtoStaging</t>
  </si>
  <si>
    <t>SellShort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</si>
</sst>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5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5" fontId="4" numFmtId="0" xfId="0" applyAlignment="1" applyBorder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6" fillId="0" fontId="5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7" fillId="0" fontId="5" numFmtId="14" xfId="0" applyAlignment="1" applyBorder="1" applyFont="1" applyNumberFormat="1">
      <alignment horizontal="right" vertical="bottom"/>
    </xf>
    <xf borderId="7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vertical="bottom"/>
    </xf>
    <xf borderId="7" fillId="0" fontId="5" numFmtId="0" xfId="0" applyAlignment="1" applyBorder="1" applyFont="1">
      <alignment readingOrder="0" vertical="bottom"/>
    </xf>
    <xf borderId="7" fillId="0" fontId="5" numFmtId="0" xfId="0" applyAlignment="1" applyBorder="1" applyFont="1">
      <alignment horizontal="center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9" t="str">
        <f>IFERROR(__xludf.DUMMYFUNCTION("""COMPUTED_VALUE"""),"RoundLot")</f>
        <v>RoundLot</v>
      </c>
      <c r="D5" s="28"/>
      <c r="E5" s="28"/>
      <c r="F5" s="30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3" t="s">
        <v>16</v>
      </c>
      <c r="C6" s="34">
        <v>100.0</v>
      </c>
      <c r="D6" s="32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 t="s">
        <v>17</v>
      </c>
      <c r="C7" s="34">
        <v>10.0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6" t="s">
        <v>18</v>
      </c>
      <c r="C8" s="34">
        <v>10.0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6" t="s">
        <v>19</v>
      </c>
      <c r="C9" s="34">
        <v>1.0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7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IFERROR(__xludf.DUMMYFUNCTION("""COMPUTED_VALUE"""),"SharesOutstandingPopUpQty")</f>
        <v>SharesOutstandingPopUpQty</v>
      </c>
      <c r="AS5" s="31" t="str">
        <f>IFERROR(__xludf.DUMMYFUNCTION("""COMPUTED_VALUE"""),"SharesOutstandingPopUp")</f>
        <v>SharesOutstandingPopUp</v>
      </c>
      <c r="AT5" s="31" t="str">
        <f>IFERROR(__xludf.DUMMYFUNCTION("""COMPUTED_VALUE"""),"ResAllowedListPopUp")</f>
        <v>ResAllowedListPopUp</v>
      </c>
      <c r="AU5" s="31" t="str">
        <f>IFERROR(__xludf.DUMMYFUNCTION("""COMPUTED_VALUE"""),"Rate(%)")</f>
        <v>Rate(%)</v>
      </c>
      <c r="AV5" s="31" t="str">
        <f>IFERROR(__xludf.DUMMYFUNCTION("""COMPUTED_VALUE"""),"Interest Rate")</f>
        <v>Interest Rate</v>
      </c>
      <c r="AW5" s="31" t="str">
        <f>IFERROR(__xludf.DUMMYFUNCTION("""COMPUTED_VALUE"""),"SelectAlgoStrategy")</f>
        <v>SelectAlgoStrategy</v>
      </c>
      <c r="AX5" s="31" t="str">
        <f>IFERROR(__xludf.DUMMYFUNCTION("""COMPUTED_VALUE"""),"Increase/Decrease Quantity")</f>
        <v>Increase/Decrease Quantity</v>
      </c>
      <c r="AY5" s="31" t="str">
        <f>IFERROR(__xludf.DUMMYFUNCTION("""COMPUTED_VALUE"""),"Master Funds")</f>
        <v>Master Funds</v>
      </c>
      <c r="AZ5" s="31" t="str">
        <f>IFERROR(__xludf.DUMMYFUNCTION("""COMPUTED_VALUE"""),"TRVAccountName")</f>
        <v>TRVAccountName</v>
      </c>
      <c r="BA5" s="31" t="str">
        <f>IFERROR(__xludf.DUMMYFUNCTION("""COMPUTED_VALUE"""),"TRVTradeQuantity")</f>
        <v>TRVTradeQuantity</v>
      </c>
      <c r="BB5" s="31" t="str">
        <f>IFERROR(__xludf.DUMMYFUNCTION("""COMPUTED_VALUE"""),"TRVCurrentPosition")</f>
        <v>TRVCurrentPosition</v>
      </c>
      <c r="BC5" s="31" t="str">
        <f>IFERROR(__xludf.DUMMYFUNCTION("""COMPUTED_VALUE"""),"TRVNav")</f>
        <v>TRVNav</v>
      </c>
      <c r="BD5" s="31" t="str">
        <f>IFERROR(__xludf.DUMMYFUNCTION("""COMPUTED_VALUE"""),"Account QTY")</f>
        <v>Account QTY</v>
      </c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 t="s">
        <v>16</v>
      </c>
      <c r="C6" s="35" t="s">
        <v>22</v>
      </c>
      <c r="D6" s="38">
        <v>600.0</v>
      </c>
      <c r="E6" s="35"/>
      <c r="F6" s="35"/>
      <c r="G6" s="35"/>
      <c r="H6" s="35"/>
      <c r="I6" s="35"/>
      <c r="J6" s="34">
        <v>10.0</v>
      </c>
      <c r="K6" s="35"/>
      <c r="L6" s="35"/>
      <c r="M6" s="35"/>
      <c r="N6" s="39">
        <f t="shared" ref="N6:N9" si="1">today()-1</f>
        <v>45113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17</v>
      </c>
      <c r="C7" s="35" t="s">
        <v>22</v>
      </c>
      <c r="D7" s="34">
        <v>100.0</v>
      </c>
      <c r="E7" s="35"/>
      <c r="F7" s="35"/>
      <c r="G7" s="35"/>
      <c r="H7" s="35"/>
      <c r="I7" s="35"/>
      <c r="J7" s="34">
        <v>10.0</v>
      </c>
      <c r="K7" s="35"/>
      <c r="L7" s="35"/>
      <c r="M7" s="35"/>
      <c r="N7" s="39">
        <f t="shared" si="1"/>
        <v>45113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18</v>
      </c>
      <c r="C8" s="35" t="s">
        <v>23</v>
      </c>
      <c r="D8" s="34">
        <v>100.0</v>
      </c>
      <c r="E8" s="35"/>
      <c r="F8" s="35"/>
      <c r="G8" s="35"/>
      <c r="H8" s="35"/>
      <c r="I8" s="35"/>
      <c r="J8" s="34">
        <v>10.0</v>
      </c>
      <c r="K8" s="35"/>
      <c r="L8" s="35"/>
      <c r="M8" s="35"/>
      <c r="N8" s="39">
        <f t="shared" si="1"/>
        <v>45113</v>
      </c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 t="s">
        <v>19</v>
      </c>
      <c r="C9" s="35" t="s">
        <v>22</v>
      </c>
      <c r="D9" s="34">
        <v>600.0</v>
      </c>
      <c r="E9" s="35"/>
      <c r="F9" s="35"/>
      <c r="G9" s="35"/>
      <c r="H9" s="35"/>
      <c r="I9" s="35"/>
      <c r="J9" s="34">
        <v>10.0</v>
      </c>
      <c r="K9" s="35"/>
      <c r="L9" s="35"/>
      <c r="M9" s="35"/>
      <c r="N9" s="39">
        <f t="shared" si="1"/>
        <v>45113</v>
      </c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30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1" t="str">
        <f>IFERROR(__xludf.DUMMYFUNCTION("""COMPUTED_VALUE"""),"IntRateUsed")</f>
        <v>IntRateUsed</v>
      </c>
      <c r="U5" s="31" t="str">
        <f>IFERROR(__xludf.DUMMYFUNCTION("""COMPUTED_VALUE"""),"SM Shares Outstanding")</f>
        <v>SM Shares Outstanding</v>
      </c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40" t="s">
        <v>16</v>
      </c>
      <c r="C6" s="41">
        <v>194.32</v>
      </c>
      <c r="D6" s="32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 t="s">
        <v>17</v>
      </c>
      <c r="C7" s="34">
        <v>94.51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6" t="s">
        <v>18</v>
      </c>
      <c r="C8" s="34">
        <v>36.48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6" t="s">
        <v>19</v>
      </c>
      <c r="C9" s="34">
        <v>6.56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30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42"/>
      <c r="B6" s="43">
        <f t="shared" ref="B6:C6" si="1">today()-1</f>
        <v>45113</v>
      </c>
      <c r="C6" s="43">
        <f t="shared" si="1"/>
        <v>45113</v>
      </c>
      <c r="D6" s="44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30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42"/>
      <c r="B6" s="44" t="s">
        <v>28</v>
      </c>
      <c r="C6" s="45" t="s">
        <v>29</v>
      </c>
      <c r="D6" s="46">
        <v>40000.0</v>
      </c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30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42"/>
      <c r="B6" s="43">
        <f>today()-1</f>
        <v>45113</v>
      </c>
      <c r="C6" s="43">
        <f>today()</f>
        <v>45114</v>
      </c>
      <c r="D6" s="44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30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40" t="s">
        <v>16</v>
      </c>
      <c r="C6" s="41">
        <v>190.0</v>
      </c>
      <c r="D6" s="32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 t="s">
        <v>17</v>
      </c>
      <c r="C7" s="34">
        <v>90.5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6" t="s">
        <v>18</v>
      </c>
      <c r="C8" s="34">
        <v>6.2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6" t="s">
        <v>19</v>
      </c>
      <c r="C9" s="34">
        <v>35.2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30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42"/>
      <c r="B6" s="44" t="s">
        <v>28</v>
      </c>
      <c r="C6" s="45" t="s">
        <v>34</v>
      </c>
      <c r="D6" s="44" t="s">
        <v>35</v>
      </c>
      <c r="E6" s="45" t="s">
        <v>36</v>
      </c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30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42"/>
      <c r="B6" s="47">
        <v>155667.0</v>
      </c>
      <c r="C6" s="45" t="s">
        <v>38</v>
      </c>
      <c r="D6" s="44" t="s">
        <v>39</v>
      </c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30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48"/>
      <c r="B6" s="49" t="s">
        <v>41</v>
      </c>
      <c r="C6" s="45"/>
      <c r="D6" s="50" t="b">
        <v>1</v>
      </c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30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1" t="str">
        <f>IFERROR(__xludf.DUMMYFUNCTION("""COMPUTED_VALUE"""),"Sector")</f>
        <v>Sector</v>
      </c>
      <c r="U5" s="31" t="str">
        <f>IFERROR(__xludf.DUMMYFUNCTION("""COMPUTED_VALUE"""),"FactSet Symbol")</f>
        <v>FactSet Symbol</v>
      </c>
      <c r="V5" s="31" t="str">
        <f>IFERROR(__xludf.DUMMYFUNCTION("""COMPUTED_VALUE"""),"ACTIV Symbol")</f>
        <v>ACTIV Symbol</v>
      </c>
      <c r="W5" s="31" t="str">
        <f>IFERROR(__xludf.DUMMYFUNCTION("""COMPUTED_VALUE"""),"Round Lot")</f>
        <v>Round Lot</v>
      </c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/>
      <c r="C6" s="51" t="s">
        <v>28</v>
      </c>
      <c r="D6" s="51" t="s">
        <v>17</v>
      </c>
      <c r="E6" s="51" t="s">
        <v>43</v>
      </c>
      <c r="F6" s="51" t="s">
        <v>44</v>
      </c>
      <c r="G6" s="52">
        <v>90.5</v>
      </c>
      <c r="H6" s="8"/>
      <c r="I6" s="52">
        <v>1.0</v>
      </c>
      <c r="J6" s="8"/>
      <c r="K6" s="8"/>
      <c r="L6" s="8"/>
      <c r="M6" s="8"/>
      <c r="N6" s="8"/>
      <c r="O6" s="52">
        <v>180.0</v>
      </c>
      <c r="R6" s="52">
        <v>80.0</v>
      </c>
      <c r="S6" s="53">
        <v>7240.0</v>
      </c>
    </row>
    <row r="7" ht="15.75" customHeight="1">
      <c r="A7" s="8"/>
      <c r="B7" s="8"/>
      <c r="C7" s="51" t="s">
        <v>28</v>
      </c>
      <c r="D7" s="51" t="s">
        <v>16</v>
      </c>
      <c r="E7" s="51" t="s">
        <v>43</v>
      </c>
      <c r="F7" s="51" t="s">
        <v>44</v>
      </c>
      <c r="G7" s="52">
        <v>190.0</v>
      </c>
      <c r="H7" s="8"/>
      <c r="I7" s="52">
        <v>1.0</v>
      </c>
      <c r="J7" s="8"/>
      <c r="K7" s="8"/>
      <c r="L7" s="8"/>
      <c r="M7" s="8"/>
      <c r="N7" s="8"/>
      <c r="O7" s="52">
        <v>1100.0</v>
      </c>
      <c r="R7" s="52">
        <v>500.0</v>
      </c>
      <c r="S7" s="53">
        <v>95000.0</v>
      </c>
    </row>
    <row r="8" ht="15.75" customHeight="1">
      <c r="A8" s="8"/>
      <c r="B8" s="8"/>
      <c r="C8" s="51" t="s">
        <v>28</v>
      </c>
      <c r="D8" s="51" t="s">
        <v>19</v>
      </c>
      <c r="E8" s="51" t="s">
        <v>43</v>
      </c>
      <c r="F8" s="51" t="s">
        <v>44</v>
      </c>
      <c r="G8" s="52">
        <v>35.2</v>
      </c>
      <c r="H8" s="8"/>
      <c r="I8" s="52">
        <v>1.0</v>
      </c>
      <c r="J8" s="8"/>
      <c r="K8" s="8"/>
      <c r="L8" s="8"/>
      <c r="M8" s="8"/>
      <c r="N8" s="8"/>
      <c r="O8" s="52">
        <v>1109.0</v>
      </c>
      <c r="R8" s="52">
        <v>509.0</v>
      </c>
      <c r="S8" s="53">
        <v>17917.0</v>
      </c>
    </row>
    <row r="9" ht="15.75" customHeight="1">
      <c r="A9" s="8"/>
      <c r="B9" s="8"/>
      <c r="C9" s="51" t="s">
        <v>28</v>
      </c>
      <c r="D9" s="51" t="s">
        <v>18</v>
      </c>
      <c r="E9" s="51" t="s">
        <v>43</v>
      </c>
      <c r="F9" s="51" t="s">
        <v>45</v>
      </c>
      <c r="G9" s="52">
        <v>6.2</v>
      </c>
      <c r="H9" s="8"/>
      <c r="I9" s="52">
        <v>1.0</v>
      </c>
      <c r="J9" s="8"/>
      <c r="K9" s="8"/>
      <c r="L9" s="8"/>
      <c r="M9" s="8"/>
      <c r="N9" s="8"/>
      <c r="O9" s="52">
        <v>180.0</v>
      </c>
      <c r="R9" s="52">
        <v>80.0</v>
      </c>
      <c r="S9" s="52">
        <v>-496.0</v>
      </c>
    </row>
    <row r="10" ht="15.75" customHeight="1">
      <c r="A10" s="8"/>
      <c r="B10" s="8"/>
      <c r="C10" s="51" t="s">
        <v>28</v>
      </c>
      <c r="D10" s="51" t="s">
        <v>46</v>
      </c>
      <c r="E10" s="51" t="s">
        <v>46</v>
      </c>
      <c r="F10" s="51" t="s">
        <v>44</v>
      </c>
      <c r="G10" s="52">
        <v>1.0</v>
      </c>
      <c r="H10" s="8"/>
      <c r="I10" s="52">
        <v>1.0</v>
      </c>
      <c r="J10" s="8"/>
      <c r="K10" s="8"/>
      <c r="L10" s="8"/>
      <c r="M10" s="8"/>
      <c r="N10" s="8"/>
      <c r="O10" s="52">
        <v>76006.0</v>
      </c>
      <c r="R10" s="52">
        <v>36006.0</v>
      </c>
      <c r="S10" s="53">
        <v>36006.0</v>
      </c>
    </row>
    <row r="11" ht="15.75" customHeight="1">
      <c r="A11" s="8"/>
      <c r="B11" s="8"/>
      <c r="C11" s="8"/>
      <c r="D11" s="8"/>
      <c r="E11" s="8"/>
      <c r="F11" s="8"/>
      <c r="G11" s="54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30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51" t="s">
        <v>28</v>
      </c>
      <c r="C6" s="51" t="s">
        <v>22</v>
      </c>
      <c r="D6" s="51" t="s">
        <v>17</v>
      </c>
      <c r="E6" s="52">
        <v>80.0</v>
      </c>
      <c r="F6" s="52">
        <v>90.5</v>
      </c>
      <c r="G6" s="53">
        <v>7240.0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1" t="s">
        <v>28</v>
      </c>
      <c r="C7" s="51" t="s">
        <v>22</v>
      </c>
      <c r="D7" s="51" t="s">
        <v>16</v>
      </c>
      <c r="E7" s="52">
        <v>500.0</v>
      </c>
      <c r="F7" s="52">
        <v>190.0</v>
      </c>
      <c r="G7" s="53">
        <v>95000.0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1" t="s">
        <v>28</v>
      </c>
      <c r="C8" s="51" t="s">
        <v>22</v>
      </c>
      <c r="D8" s="51" t="s">
        <v>19</v>
      </c>
      <c r="E8" s="52">
        <v>509.0</v>
      </c>
      <c r="F8" s="52">
        <v>35.2</v>
      </c>
      <c r="G8" s="53">
        <v>17917.0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1" t="s">
        <v>28</v>
      </c>
      <c r="C9" s="51" t="s">
        <v>48</v>
      </c>
      <c r="D9" s="51" t="s">
        <v>18</v>
      </c>
      <c r="E9" s="52">
        <v>80.0</v>
      </c>
      <c r="F9" s="52">
        <v>6.2</v>
      </c>
      <c r="G9" s="52">
        <v>-496.0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