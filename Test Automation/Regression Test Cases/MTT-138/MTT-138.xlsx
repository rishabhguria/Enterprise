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SymbolToWatchlist" sheetId="4" r:id="rId6"/>
    <sheet state="visible" name="TradeFromWatchlist" sheetId="5" r:id="rId7"/>
    <sheet state="visible" name="BulkUpdateUsingMTT" sheetId="6" r:id="rId8"/>
    <sheet state="visible" name="EditTradeUsingMTT" sheetId="7" r:id="rId9"/>
    <sheet state="visible" name="DoneAwayUsingMTT" sheetId="8" r:id="rId10"/>
    <sheet state="visible" name="VerifyOrder" sheetId="9" r:id="rId11"/>
  </sheets>
  <definedNames/>
  <calcPr/>
</workbook>
</file>

<file path=xl/sharedStrings.xml><?xml version="1.0" encoding="utf-8"?>
<sst xmlns="http://schemas.openxmlformats.org/spreadsheetml/2006/main" count="95" uniqueCount="40">
  <si>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</si>
  <si>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</si>
  <si>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</si>
  <si>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</si>
  <si>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</si>
  <si>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</si>
  <si>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</si>
  <si>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</si>
  <si>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</si>
  <si>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</si>
  <si>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</si>
  <si>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</si>
  <si>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Watchlist</t>
  </si>
  <si>
    <t>AddSymbolToWatchlist</t>
  </si>
  <si>
    <t>Data Format</t>
  </si>
  <si>
    <t>Input Format</t>
  </si>
  <si>
    <t>AAPL</t>
  </si>
  <si>
    <t>SAP</t>
  </si>
  <si>
    <t>TradeFromWatchlist</t>
  </si>
  <si>
    <t>Buy</t>
  </si>
  <si>
    <t>MultiTradingTicket</t>
  </si>
  <si>
    <t>BulkUpdateUsingMTT</t>
  </si>
  <si>
    <t>Bernstein</t>
  </si>
  <si>
    <t>Algo</t>
  </si>
  <si>
    <t>EditTradeUsingMTT</t>
  </si>
  <si>
    <t>MS</t>
  </si>
  <si>
    <t>DoneAwayUsingMTT</t>
  </si>
  <si>
    <t>Allocation1</t>
  </si>
  <si>
    <t>Blotter</t>
  </si>
  <si>
    <t>VerifyOrder</t>
  </si>
  <si>
    <t>NASDAQ</t>
  </si>
  <si>
    <t>jpearce</t>
  </si>
  <si>
    <t>US</t>
  </si>
  <si>
    <t>USD</t>
  </si>
  <si>
    <t>NewMF</t>
  </si>
  <si>
    <t>M</t>
  </si>
  <si>
    <t>Equity</t>
  </si>
  <si>
    <t>Filled</t>
  </si>
  <si>
    <t>Market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</si>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</sst>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AddSymbolToWatchlist!$4:$4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3" t="s">
        <v>19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17</v>
      </c>
      <c r="C7" s="33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IFERROR(__xludf.DUMMYFUNCTION("""COMPUTED_VALUE"""),"ClearOldCA")</f>
        <v>ClearOldCA</v>
      </c>
      <c r="AL5" s="30" t="str">
        <f>IFERROR(__xludf.DUMMYFUNCTION("""COMPUTED_VALUE"""),"Custom Account")</f>
        <v>Custom Account</v>
      </c>
      <c r="AM5" s="30" t="str">
        <f>IFERROR(__xludf.DUMMYFUNCTION("""COMPUTED_VALUE"""),"Custom Account %")</f>
        <v>Custom Account %</v>
      </c>
      <c r="AN5" s="30" t="str">
        <f>IFERROR(__xludf.DUMMYFUNCTION("""COMPUTED_VALUE"""),"ClickOnCommit")</f>
        <v>ClickOnCommit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 t="s">
        <v>22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 t="s">
        <v>23</v>
      </c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BulkUpdateUsingMTT!$4:$4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16</v>
      </c>
      <c r="C6" s="35"/>
      <c r="D6" s="36">
        <v>100.0</v>
      </c>
      <c r="E6" s="35"/>
      <c r="F6" s="35"/>
      <c r="G6" s="35" t="s">
        <v>25</v>
      </c>
      <c r="H6" s="35"/>
      <c r="I6" s="35"/>
      <c r="J6" s="37">
        <v>10.0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16</v>
      </c>
      <c r="C6" s="35" t="s">
        <v>19</v>
      </c>
      <c r="D6" s="36">
        <v>100.0</v>
      </c>
      <c r="E6" s="35"/>
      <c r="F6" s="35" t="s">
        <v>27</v>
      </c>
      <c r="G6" s="35" t="s">
        <v>25</v>
      </c>
      <c r="H6" s="35"/>
      <c r="I6" s="35"/>
      <c r="J6" s="37">
        <v>10.0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4"/>
      <c r="B6" s="34"/>
      <c r="C6" s="35"/>
      <c r="D6" s="36">
        <v>10.0</v>
      </c>
      <c r="E6" s="35"/>
      <c r="F6" s="35"/>
      <c r="G6" s="35"/>
      <c r="H6" s="35" t="s">
        <v>30</v>
      </c>
      <c r="I6" s="35" t="s">
        <v>31</v>
      </c>
      <c r="J6" s="35" t="s">
        <v>16</v>
      </c>
      <c r="K6" s="35" t="s">
        <v>32</v>
      </c>
      <c r="L6" s="35"/>
      <c r="M6" s="35"/>
      <c r="N6" s="35"/>
      <c r="O6" s="35"/>
      <c r="P6" s="35"/>
      <c r="Q6" s="35"/>
      <c r="R6" s="35"/>
      <c r="S6" s="35"/>
      <c r="T6" s="35"/>
      <c r="U6" s="35" t="s">
        <v>33</v>
      </c>
      <c r="V6" s="35"/>
      <c r="W6" s="35"/>
      <c r="X6" s="35"/>
      <c r="Y6" s="35"/>
      <c r="Z6" s="35"/>
      <c r="AA6" s="35" t="s">
        <v>34</v>
      </c>
      <c r="AB6" s="37">
        <v>100.0</v>
      </c>
      <c r="AC6" s="35"/>
      <c r="AD6" s="37">
        <v>1.0</v>
      </c>
      <c r="AE6" s="35"/>
      <c r="AF6" s="35" t="s">
        <v>35</v>
      </c>
      <c r="AG6" s="37">
        <v>10.0</v>
      </c>
      <c r="AH6" s="35" t="s">
        <v>36</v>
      </c>
      <c r="AI6" s="35" t="s">
        <v>16</v>
      </c>
      <c r="AJ6" s="35" t="s">
        <v>19</v>
      </c>
      <c r="AK6" s="35" t="s">
        <v>37</v>
      </c>
      <c r="AL6" s="37">
        <v>100.0</v>
      </c>
      <c r="AM6" s="37">
        <v>100.0</v>
      </c>
      <c r="AN6" s="37">
        <v>100.0</v>
      </c>
      <c r="AO6" s="37">
        <v>100.0</v>
      </c>
      <c r="AP6" s="35"/>
      <c r="AQ6" s="37">
        <v>10.0</v>
      </c>
      <c r="AR6" s="37">
        <v>10.0</v>
      </c>
      <c r="AS6" s="35" t="s">
        <v>25</v>
      </c>
      <c r="AT6" s="35" t="s">
        <v>27</v>
      </c>
      <c r="AU6" s="35" t="s">
        <v>38</v>
      </c>
      <c r="AV6" s="37">
        <v>1000.0</v>
      </c>
      <c r="AW6" s="37">
        <v>1000.0</v>
      </c>
      <c r="AX6" s="35"/>
      <c r="AY6" s="37">
        <v>100.0</v>
      </c>
      <c r="AZ6" s="35"/>
      <c r="BA6" s="35"/>
      <c r="BB6" s="35" t="s">
        <v>39</v>
      </c>
      <c r="BC6" s="35" t="s">
        <v>39</v>
      </c>
      <c r="BD6" s="35" t="s">
        <v>39</v>
      </c>
      <c r="BE6" s="35" t="s">
        <v>39</v>
      </c>
      <c r="BF6" s="35" t="s">
        <v>39</v>
      </c>
      <c r="BG6" s="35"/>
      <c r="BH6" s="35" t="s">
        <v>39</v>
      </c>
      <c r="BI6" s="35" t="s">
        <v>39</v>
      </c>
      <c r="BJ6" s="35" t="s">
        <v>39</v>
      </c>
      <c r="BK6" s="35" t="s">
        <v>39</v>
      </c>
      <c r="BL6" s="35" t="s">
        <v>39</v>
      </c>
      <c r="BM6" s="35" t="s">
        <v>39</v>
      </c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 t="s">
        <v>39</v>
      </c>
      <c r="CN6" s="35" t="s">
        <v>39</v>
      </c>
      <c r="CO6" s="35" t="s">
        <v>39</v>
      </c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