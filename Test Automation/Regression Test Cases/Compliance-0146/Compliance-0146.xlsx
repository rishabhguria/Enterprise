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VerifyRowCalculationBaseWindow" sheetId="9" r:id="rId11"/>
    <sheet state="visible" name="GetDataClosing" sheetId="10" r:id="rId12"/>
    <sheet state="visible" name="VerifyClosedTrades" sheetId="11" r:id="rId13"/>
    <sheet state="visible" name="CreateStageOrder" sheetId="12" r:id="rId14"/>
    <sheet state="visible" name="CreateDoneAwayOrder1" sheetId="13" r:id="rId15"/>
    <sheet state="visible" name="UnwindClosing" sheetId="14" r:id="rId16"/>
    <sheet state="visible" name="Unallocate" sheetId="15" r:id="rId17"/>
    <sheet state="visible" name="DeleteGroup" sheetId="16" r:id="rId18"/>
    <sheet state="visible" name="CreateDoneAwayOrder2" sheetId="17" r:id="rId19"/>
    <sheet state="visible" name="VerifyRowCalculationBaseWindow1" sheetId="18" r:id="rId20"/>
    <sheet state="visible" name="AutomaticClosing" sheetId="19" r:id="rId21"/>
  </sheets>
  <definedNames/>
  <calcPr/>
</workbook>
</file>

<file path=xl/sharedStrings.xml><?xml version="1.0" encoding="utf-8"?>
<sst xmlns="http://schemas.openxmlformats.org/spreadsheetml/2006/main" count="253" uniqueCount="49">
  <si>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</si>
  <si>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</si>
  <si>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</si>
  <si>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</si>
  <si>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</si>
  <si>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</si>
  <si>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</si>
  <si>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</si>
  <si>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</si>
  <si>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</si>
  <si>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</si>
  <si>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</si>
  <si>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</si>
  <si>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</si>
  <si>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</si>
  <si>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</si>
  <si>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</si>
  <si>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</si>
  <si>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</si>
  <si>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</si>
  <si>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</si>
  <si>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</si>
  <si>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</si>
  <si>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</si>
  <si>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</si>
  <si>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</si>
  <si>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</si>
  <si>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</si>
  <si>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TY</t>
  </si>
  <si>
    <t>Buy</t>
  </si>
  <si>
    <t>Yes</t>
  </si>
  <si>
    <t>Sell</t>
  </si>
  <si>
    <t>Compliance</t>
  </si>
  <si>
    <t>VerifyRowCalculationBaseWindow</t>
  </si>
  <si>
    <t>Post</t>
  </si>
  <si>
    <t>Equity</t>
  </si>
  <si>
    <t>Closing</t>
  </si>
  <si>
    <t>GetDataClosing</t>
  </si>
  <si>
    <t>Current</t>
  </si>
  <si>
    <t>VerifyClosedTrades</t>
  </si>
  <si>
    <t>Long</t>
  </si>
  <si>
    <t>CreateStageOrder</t>
  </si>
  <si>
    <t>UnwindClosing</t>
  </si>
  <si>
    <t>Unallocate</t>
  </si>
  <si>
    <t>DeleteGroup</t>
  </si>
  <si>
    <t>AutomaticClosing</t>
  </si>
  <si>
    <t>FIFO</t>
  </si>
  <si>
    <t>None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</si>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</sst>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color rgb="FF000000"/>
      <name val="&quot;Times New Roman&quot;"/>
    </font>
    <font>
      <sz val="11.0"/>
      <color rgb="FF000000"/>
      <name val="Calibri"/>
    </font>
    <font>
      <sz val="8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9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4" numFmtId="0" xfId="0" applyAlignment="1" applyBorder="1" applyFill="1" applyFont="1">
      <alignment readingOrder="0" vertical="bottom"/>
    </xf>
    <xf borderId="10" fillId="7" fontId="15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horizontal="right" readingOrder="0" shrinkToFit="0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34" t="s">
        <v>16</v>
      </c>
      <c r="C6" s="35" t="s">
        <v>18</v>
      </c>
      <c r="D6" s="36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16</v>
      </c>
      <c r="C7" s="37" t="s">
        <v>19</v>
      </c>
      <c r="D7" s="39">
        <v>50.0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1" t="s">
        <v>16</v>
      </c>
      <c r="C6" s="35" t="s">
        <v>18</v>
      </c>
      <c r="D6" s="42" t="s">
        <v>21</v>
      </c>
      <c r="E6" s="43">
        <v>75.0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44"/>
      <c r="B7" s="45" t="s">
        <v>16</v>
      </c>
      <c r="C7" s="46" t="s">
        <v>18</v>
      </c>
      <c r="D7" s="37" t="s">
        <v>22</v>
      </c>
      <c r="E7" s="47">
        <v>25.0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16</v>
      </c>
      <c r="C8" s="37" t="s">
        <v>19</v>
      </c>
      <c r="D8" s="37" t="s">
        <v>21</v>
      </c>
      <c r="E8" s="47">
        <v>50.0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8" t="s">
        <v>16</v>
      </c>
      <c r="C9" s="37" t="s">
        <v>19</v>
      </c>
      <c r="D9" s="37" t="s">
        <v>22</v>
      </c>
      <c r="E9" s="47">
        <v>50.0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42" t="s">
        <v>24</v>
      </c>
      <c r="C6" s="35"/>
      <c r="D6" s="49" t="s">
        <v>25</v>
      </c>
      <c r="E6" s="35"/>
      <c r="F6" s="35"/>
      <c r="G6" s="50" t="b">
        <v>0</v>
      </c>
      <c r="H6" s="51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28</v>
      </c>
      <c r="C6" s="13" t="s">
        <v>29</v>
      </c>
      <c r="D6" s="13">
        <v>100.0</v>
      </c>
      <c r="E6" s="32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30</v>
      </c>
    </row>
    <row r="7" ht="15.75" customHeight="1">
      <c r="A7" s="8"/>
      <c r="B7" s="13" t="s">
        <v>28</v>
      </c>
      <c r="C7" s="13" t="s">
        <v>31</v>
      </c>
      <c r="D7" s="13">
        <v>100.0</v>
      </c>
      <c r="E7" s="8"/>
      <c r="F7" s="13" t="s">
        <v>16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IFERROR(__xludf.DUMMYFUNCTION("""COMPUTED_VALUE"""),"basketId")</f>
        <v>basketId</v>
      </c>
      <c r="C5" s="29" t="str">
        <f>IFERROR(__xludf.DUMMYFUNCTION("""COMPUTED_VALUE"""),"tradeDate")</f>
        <v>tradeDate</v>
      </c>
      <c r="D5" s="29" t="str">
        <f>IFERROR(__xludf.DUMMYFUNCTION("""COMPUTED_VALUE"""),"taxlotState")</f>
        <v>taxlotState</v>
      </c>
      <c r="E5" s="29" t="str">
        <f>IFERROR(__xludf.DUMMYFUNCTION("""COMPUTED_VALUE"""),"taxlotId")</f>
        <v>taxlotId</v>
      </c>
      <c r="F5" s="30" t="str">
        <f>IFERROR(__xludf.DUMMYFUNCTION("""COMPUTED_VALUE"""),"userId")</f>
        <v>userId</v>
      </c>
      <c r="G5" s="29" t="str">
        <f>IFERROR(__xludf.DUMMYFUNCTION("""COMPUTED_VALUE"""),"clOrderId")</f>
        <v>clOrderId</v>
      </c>
      <c r="H5" s="29" t="str">
        <f>IFERROR(__xludf.DUMMYFUNCTION("""COMPUTED_VALUE"""),"symbol")</f>
        <v>symbol</v>
      </c>
      <c r="I5" s="29" t="str">
        <f>IFERROR(__xludf.DUMMYFUNCTION("""COMPUTED_VALUE"""),"todayShortTradeQuantity")</f>
        <v>todayShortTradeQuantity</v>
      </c>
      <c r="J5" s="29" t="str">
        <f>IFERROR(__xludf.DUMMYFUNCTION("""COMPUTED_VALUE"""),"todayLongTradeQuantity")</f>
        <v>todayLongTradeQuantity</v>
      </c>
      <c r="K5" s="29" t="str">
        <f>IFERROR(__xludf.DUMMYFUNCTION("""COMPUTED_VALUE"""),"todayAbsTradeQuantity")</f>
        <v>todayAbsTradeQuantity</v>
      </c>
      <c r="L5" s="29" t="str">
        <f>IFERROR(__xludf.DUMMYFUNCTION("""COMPUTED_VALUE"""),"quantity")</f>
        <v>quantity</v>
      </c>
      <c r="M5" s="29" t="str">
        <f>IFERROR(__xludf.DUMMYFUNCTION("""COMPUTED_VALUE"""),"taxlotType")</f>
        <v>taxlotType</v>
      </c>
      <c r="N5" s="29" t="str">
        <f>IFERROR(__xludf.DUMMYFUNCTION("""COMPUTED_VALUE"""),"accountId")</f>
        <v>accountId</v>
      </c>
      <c r="O5" s="29" t="str">
        <f>IFERROR(__xludf.DUMMYFUNCTION("""COMPUTED_VALUE"""),"orderSide")</f>
        <v>orderSide</v>
      </c>
      <c r="P5" s="29" t="str">
        <f>IFERROR(__xludf.DUMMYFUNCTION("""COMPUTED_VALUE"""),"masterFundId")</f>
        <v>masterFundId</v>
      </c>
      <c r="Q5" s="29" t="str">
        <f>IFERROR(__xludf.DUMMYFUNCTION("""COMPUTED_VALUE"""),"underlyingSymbol")</f>
        <v>underlyingSymbol</v>
      </c>
      <c r="R5" s="29" t="str">
        <f>IFERROR(__xludf.DUMMYFUNCTION("""COMPUTED_VALUE"""),"masterFundName")</f>
        <v>masterFundName</v>
      </c>
      <c r="S5" s="29" t="str">
        <f>IFERROR(__xludf.DUMMYFUNCTION("""COMPUTED_VALUE"""),"multiplier")</f>
        <v>multiplier</v>
      </c>
      <c r="T5" s="31" t="str">
        <f>IFERROR(__xludf.DUMMYFUNCTION("""COMPUTED_VALUE"""),"accountShortName")</f>
        <v>accountShortName</v>
      </c>
      <c r="U5" s="31" t="str">
        <f>IFERROR(__xludf.DUMMYFUNCTION("""COMPUTED_VALUE"""),"accountLongName")</f>
        <v>accountLongName</v>
      </c>
      <c r="V5" s="31" t="str">
        <f>IFERROR(__xludf.DUMMYFUNCTION("""COMPUTED_VALUE"""),"isSwapped")</f>
        <v>isSwapped</v>
      </c>
      <c r="W5" s="31" t="str">
        <f>IFERROR(__xludf.DUMMYFUNCTION("""COMPUTED_VALUE"""),"masterStrategyId")</f>
        <v>masterStrategyId</v>
      </c>
      <c r="X5" s="31" t="str">
        <f>IFERROR(__xludf.DUMMYFUNCTION("""COMPUTED_VALUE"""),"isTodayTrade")</f>
        <v>isTodayTrade</v>
      </c>
      <c r="Y5" s="31" t="str">
        <f>IFERROR(__xludf.DUMMYFUNCTION("""COMPUTED_VALUE"""),"masterStrategyName")</f>
        <v>masterStrategyName</v>
      </c>
      <c r="Z5" s="31" t="str">
        <f>IFERROR(__xludf.DUMMYFUNCTION("""COMPUTED_VALUE"""),"strategyId")</f>
        <v>strategyId</v>
      </c>
      <c r="AA5" s="31" t="str">
        <f>IFERROR(__xludf.DUMMYFUNCTION("""COMPUTED_VALUE"""),"strategyName")</f>
        <v>strategyName</v>
      </c>
      <c r="AB5" s="31" t="str">
        <f>IFERROR(__xludf.DUMMYFUNCTION("""COMPUTED_VALUE"""),"todayNetNotionalBase")</f>
        <v>todayNetNotionalBase</v>
      </c>
      <c r="AC5" s="31" t="str">
        <f>IFERROR(__xludf.DUMMYFUNCTION("""COMPUTED_VALUE"""),"strategyFullName")</f>
        <v>strategyFullName</v>
      </c>
      <c r="AD5" s="31" t="str">
        <f>IFERROR(__xludf.DUMMYFUNCTION("""COMPUTED_VALUE"""),"todayLongNotionalBase")</f>
        <v>todayLongNotionalBase</v>
      </c>
      <c r="AE5" s="31" t="str">
        <f>IFERROR(__xludf.DUMMYFUNCTION("""COMPUTED_VALUE"""),"todayShortNotionalBase")</f>
        <v>todayShortNotionalBase</v>
      </c>
      <c r="AF5" s="31" t="str">
        <f>IFERROR(__xludf.DUMMYFUNCTION("""COMPUTED_VALUE"""),"isMonthTrade")</f>
        <v>isMonthTrade</v>
      </c>
      <c r="AG5" s="31" t="str">
        <f>IFERROR(__xludf.DUMMYFUNCTION("""COMPUTED_VALUE"""),"monthAbsQuantity")</f>
        <v>monthAbsQuantity</v>
      </c>
      <c r="AH5" s="31" t="str">
        <f>IFERROR(__xludf.DUMMYFUNCTION("""COMPUTED_VALUE"""),"monthNetNotional")</f>
        <v>monthNetNotional</v>
      </c>
      <c r="AI5" s="31" t="str">
        <f>IFERROR(__xludf.DUMMYFUNCTION("""COMPUTED_VALUE"""),"modificationType")</f>
        <v>modificationType</v>
      </c>
      <c r="AJ5" s="31" t="str">
        <f>IFERROR(__xludf.DUMMYFUNCTION("""COMPUTED_VALUE"""),"asset")</f>
        <v>asset</v>
      </c>
      <c r="AK5" s="31" t="str">
        <f>IFERROR(__xludf.DUMMYFUNCTION("""COMPUTED_VALUE"""),"underlyingAsset")</f>
        <v>underlyingAsset</v>
      </c>
      <c r="AL5" s="31" t="str">
        <f>IFERROR(__xludf.DUMMYFUNCTION("""COMPUTED_VALUE"""),"assetId")</f>
        <v>assetId</v>
      </c>
      <c r="AM5" s="31" t="str">
        <f>IFERROR(__xludf.DUMMYFUNCTION("""COMPUTED_VALUE"""),"auecId")</f>
        <v>auecId</v>
      </c>
      <c r="AN5" s="31" t="str">
        <f>IFERROR(__xludf.DUMMYFUNCTION("""COMPUTED_VALUE"""),"fxSymbol")</f>
        <v>fxSymbol</v>
      </c>
      <c r="AO5" s="31" t="str">
        <f>IFERROR(__xludf.DUMMYFUNCTION("""COMPUTED_VALUE"""),"sector")</f>
        <v>sector</v>
      </c>
      <c r="AP5" s="31" t="str">
        <f>IFERROR(__xludf.DUMMYFUNCTION("""COMPUTED_VALUE"""),"subSector")</f>
        <v>subSector</v>
      </c>
      <c r="AQ5" s="31" t="str">
        <f>IFERROR(__xludf.DUMMYFUNCTION("""COMPUTED_VALUE"""),"udaAsset")</f>
        <v>udaAsset</v>
      </c>
      <c r="AR5" s="31" t="str">
        <f>IFERROR(__xludf.DUMMYFUNCTION("""COMPUTED_VALUE"""),"udaSecurityType")</f>
        <v>udaSecurityType</v>
      </c>
      <c r="AS5" s="31" t="str">
        <f>IFERROR(__xludf.DUMMYFUNCTION("""COMPUTED_VALUE"""),"udaCountry")</f>
        <v>udaCountry</v>
      </c>
      <c r="AT5" s="31" t="str">
        <f>IFERROR(__xludf.DUMMYFUNCTION("""COMPUTED_VALUE"""),"underlyingCountry")</f>
        <v>underlyingCountry</v>
      </c>
      <c r="AU5" s="31" t="str">
        <f>IFERROR(__xludf.DUMMYFUNCTION("""COMPUTED_VALUE"""),"exchange")</f>
        <v>exchange</v>
      </c>
      <c r="AV5" s="31" t="str">
        <f>IFERROR(__xludf.DUMMYFUNCTION("""COMPUTED_VALUE"""),"orderType")</f>
        <v>orderType</v>
      </c>
      <c r="AW5" s="31" t="str">
        <f>IFERROR(__xludf.DUMMYFUNCTION("""COMPUTED_VALUE"""),"currency")</f>
        <v>currency</v>
      </c>
      <c r="AX5" s="31" t="str">
        <f>IFERROR(__xludf.DUMMYFUNCTION("""COMPUTED_VALUE"""),"putOrCall")</f>
        <v>putOrCall</v>
      </c>
      <c r="AY5" s="31" t="str">
        <f>IFERROR(__xludf.DUMMYFUNCTION("""COMPUTED_VALUE"""),"strikePrice")</f>
        <v>strikePrice</v>
      </c>
      <c r="AZ5" s="31" t="str">
        <f>IFERROR(__xludf.DUMMYFUNCTION("""COMPUTED_VALUE"""),"venue")</f>
        <v>venue</v>
      </c>
      <c r="BA5" s="31" t="str">
        <f>IFERROR(__xludf.DUMMYFUNCTION("""COMPUTED_VALUE"""),"riskCurrency")</f>
        <v>riskCurrency</v>
      </c>
      <c r="BB5" s="31" t="str">
        <f>IFERROR(__xludf.DUMMYFUNCTION("""COMPUTED_VALUE"""),"issuer")</f>
        <v>issuer</v>
      </c>
      <c r="BC5" s="31" t="str">
        <f>IFERROR(__xludf.DUMMYFUNCTION("""COMPUTED_VALUE"""),"countryOfRisk")</f>
        <v>countryOfRisk</v>
      </c>
      <c r="BD5" s="31" t="str">
        <f>IFERROR(__xludf.DUMMYFUNCTION("""COMPUTED_VALUE"""),"region")</f>
        <v>region</v>
      </c>
      <c r="BE5" s="31" t="str">
        <f>IFERROR(__xludf.DUMMYFUNCTION("""COMPUTED_VALUE"""),"analyst")</f>
        <v>analyst</v>
      </c>
      <c r="BF5" s="31" t="str">
        <f>IFERROR(__xludf.DUMMYFUNCTION("""COMPUTED_VALUE"""),"ucitsEligibleTag")</f>
        <v>ucitsEligibleTag</v>
      </c>
      <c r="BG5" s="31" t="str">
        <f>IFERROR(__xludf.DUMMYFUNCTION("""COMPUTED_VALUE"""),"liquidTag")</f>
        <v>liquidTag</v>
      </c>
      <c r="BH5" s="31" t="str">
        <f>IFERROR(__xludf.DUMMYFUNCTION("""COMPUTED_VALUE"""),"marketCap")</f>
        <v>marketCap</v>
      </c>
      <c r="BI5" s="31" t="str">
        <f>IFERROR(__xludf.DUMMYFUNCTION("""COMPUTED_VALUE"""),"customUDA1")</f>
        <v>customUDA1</v>
      </c>
      <c r="BJ5" s="31" t="str">
        <f>IFERROR(__xludf.DUMMYFUNCTION("""COMPUTED_VALUE"""),"customUDA2")</f>
        <v>customUDA2</v>
      </c>
      <c r="BK5" s="31" t="str">
        <f>IFERROR(__xludf.DUMMYFUNCTION("""COMPUTED_VALUE"""),"customUDA3")</f>
        <v>customUDA3</v>
      </c>
      <c r="BL5" s="31" t="str">
        <f>IFERROR(__xludf.DUMMYFUNCTION("""COMPUTED_VALUE"""),"counterParty")</f>
        <v>counterParty</v>
      </c>
      <c r="BM5" s="31" t="str">
        <f>IFERROR(__xludf.DUMMYFUNCTION("""COMPUTED_VALUE"""),"customUDA4")</f>
        <v>customUDA4</v>
      </c>
      <c r="BN5" s="31" t="str">
        <f>IFERROR(__xludf.DUMMYFUNCTION("""COMPUTED_VALUE"""),"customUDA5")</f>
        <v>customUDA5</v>
      </c>
      <c r="BO5" s="31" t="str">
        <f>IFERROR(__xludf.DUMMYFUNCTION("""COMPUTED_VALUE"""),"customUDA6")</f>
        <v>customUDA6</v>
      </c>
      <c r="BP5" s="31" t="str">
        <f>IFERROR(__xludf.DUMMYFUNCTION("""COMPUTED_VALUE"""),"customUDA7")</f>
        <v>customUDA7</v>
      </c>
      <c r="BQ5" s="31" t="str">
        <f>IFERROR(__xludf.DUMMYFUNCTION("""COMPUTED_VALUE"""),"currentFxRate")</f>
        <v>currentFxRate</v>
      </c>
      <c r="BR5" s="31" t="str">
        <f>IFERROR(__xludf.DUMMYFUNCTION("""COMPUTED_VALUE"""),"yesterdayFxRate")</f>
        <v>yesterdayFxRate</v>
      </c>
      <c r="BS5" s="31" t="str">
        <f>IFERROR(__xludf.DUMMYFUNCTION("""COMPUTED_VALUE"""),"fxConversionMethod")</f>
        <v>fxConversionMethod</v>
      </c>
      <c r="BT5" s="31" t="str">
        <f>IFERROR(__xludf.DUMMYFUNCTION("""COMPUTED_VALUE"""),"taxlotFxRate")</f>
        <v>taxlotFxRate</v>
      </c>
      <c r="BU5" s="31" t="str">
        <f>IFERROR(__xludf.DUMMYFUNCTION("""COMPUTED_VALUE"""),"taxlotFxConversionMethod")</f>
        <v>taxlotFxConversionMethod</v>
      </c>
      <c r="BV5" s="31" t="str">
        <f>IFERROR(__xludf.DUMMYFUNCTION("""COMPUTED_VALUE"""),"avgPrice")</f>
        <v>avgPrice</v>
      </c>
      <c r="BW5" s="31" t="str">
        <f>IFERROR(__xludf.DUMMYFUNCTION("""COMPUTED_VALUE"""),"askPrice")</f>
        <v>askPrice</v>
      </c>
      <c r="BX5" s="31" t="str">
        <f>IFERROR(__xludf.DUMMYFUNCTION("""COMPUTED_VALUE"""),"bidPrice")</f>
        <v>bidPrice</v>
      </c>
      <c r="BY5" s="31" t="str">
        <f>IFERROR(__xludf.DUMMYFUNCTION("""COMPUTED_VALUE"""),"lowPrice")</f>
        <v>lowPrice</v>
      </c>
      <c r="BZ5" s="31" t="str">
        <f>IFERROR(__xludf.DUMMYFUNCTION("""COMPUTED_VALUE"""),"highPrice")</f>
        <v>highPrice</v>
      </c>
      <c r="CA5" s="31" t="str">
        <f>IFERROR(__xludf.DUMMYFUNCTION("""COMPUTED_VALUE"""),"openPrice")</f>
        <v>openPrice</v>
      </c>
      <c r="CB5" s="31" t="str">
        <f>IFERROR(__xludf.DUMMYFUNCTION("""COMPUTED_VALUE"""),"closePrice")</f>
        <v>closePrice</v>
      </c>
      <c r="CC5" s="31" t="str">
        <f>IFERROR(__xludf.DUMMYFUNCTION("""COMPUTED_VALUE"""),"lastPrice")</f>
        <v>lastPrice</v>
      </c>
      <c r="CD5" s="31" t="str">
        <f>IFERROR(__xludf.DUMMYFUNCTION("""COMPUTED_VALUE"""),"markPrice")</f>
        <v>markPrice</v>
      </c>
      <c r="CE5" s="31" t="str">
        <f>IFERROR(__xludf.DUMMYFUNCTION("""COMPUTED_VALUE"""),"delta")</f>
        <v>delta</v>
      </c>
      <c r="CF5" s="31" t="str">
        <f>IFERROR(__xludf.DUMMYFUNCTION("""COMPUTED_VALUE"""),"leveragedFactor")</f>
        <v>leveragedFactor</v>
      </c>
      <c r="CG5" s="31" t="str">
        <f>IFERROR(__xludf.DUMMYFUNCTION("""COMPUTED_VALUE"""),"beta5YearMonthly")</f>
        <v>beta5YearMonthly</v>
      </c>
      <c r="CH5" s="31" t="str">
        <f>IFERROR(__xludf.DUMMYFUNCTION("""COMPUTED_VALUE"""),"selectedFeedPrice")</f>
        <v>selectedFeedPrice</v>
      </c>
      <c r="CI5" s="31" t="str">
        <f>IFERROR(__xludf.DUMMYFUNCTION("""COMPUTED_VALUE"""),"openInterest")</f>
        <v>openInterest</v>
      </c>
      <c r="CJ5" s="31" t="str">
        <f>IFERROR(__xludf.DUMMYFUNCTION("""COMPUTED_VALUE"""),"underlyingPrice")</f>
        <v>underlyingPrice</v>
      </c>
      <c r="CK5" s="31" t="str">
        <f>IFERROR(__xludf.DUMMYFUNCTION("""COMPUTED_VALUE"""),"avgVolume20Days")</f>
        <v>avgVolume20Days</v>
      </c>
      <c r="CL5" s="31" t="str">
        <f>IFERROR(__xludf.DUMMYFUNCTION("""COMPUTED_VALUE"""),"sharesOutstanding")</f>
        <v>sharesOutstanding</v>
      </c>
      <c r="CM5" s="31" t="str">
        <f>IFERROR(__xludf.DUMMYFUNCTION("""COMPUTED_VALUE"""),"underlyingSharesOutstanding")</f>
        <v>underlyingSharesOutstanding</v>
      </c>
      <c r="CN5" s="31" t="str">
        <f>IFERROR(__xludf.DUMMYFUNCTION("""COMPUTED_VALUE"""),"marketCapitalization")</f>
        <v>marketCapitalization</v>
      </c>
      <c r="CO5" s="31" t="str">
        <f>IFERROR(__xludf.DUMMYFUNCTION("""COMPUTED_VALUE"""),"underlyingMarketCapitalization")</f>
        <v>underlyingMarketCapitalization</v>
      </c>
      <c r="CP5" s="31" t="str">
        <f>IFERROR(__xludf.DUMMYFUNCTION("""COMPUTED_VALUE"""),"avgVolume")</f>
        <v>avgVolume</v>
      </c>
      <c r="CQ5" s="31" t="str">
        <f>IFERROR(__xludf.DUMMYFUNCTION("""COMPUTED_VALUE"""),"netMarketValueLocal")</f>
        <v>netMarketValueLocal</v>
      </c>
      <c r="CR5" s="31" t="str">
        <f>IFERROR(__xludf.DUMMYFUNCTION("""COMPUTED_VALUE"""),"yesterdayMarketValueLocal")</f>
        <v>yesterdayMarketValueLocal</v>
      </c>
      <c r="CS5" s="31" t="str">
        <f>IFERROR(__xludf.DUMMYFUNCTION("""COMPUTED_VALUE"""),"grossMarketValueLocal")</f>
        <v>grossMarketValueLocal</v>
      </c>
      <c r="CT5" s="31" t="str">
        <f>IFERROR(__xludf.DUMMYFUNCTION("""COMPUTED_VALUE"""),"netMarketValueBase")</f>
        <v>netMarketValueBase</v>
      </c>
      <c r="CU5" s="31" t="str">
        <f>IFERROR(__xludf.DUMMYFUNCTION("""COMPUTED_VALUE"""),"yesterdayMarketValueBase")</f>
        <v>yesterdayMarketValueBase</v>
      </c>
      <c r="CV5" s="31" t="str">
        <f>IFERROR(__xludf.DUMMYFUNCTION("""COMPUTED_VALUE"""),"grossMarketValueBase")</f>
        <v>grossMarketValueBase</v>
      </c>
      <c r="CW5" s="31" t="str">
        <f>IFERROR(__xludf.DUMMYFUNCTION("""COMPUTED_VALUE"""),"notionalLocal")</f>
        <v>notionalLocal</v>
      </c>
      <c r="CX5" s="31" t="str">
        <f>IFERROR(__xludf.DUMMYFUNCTION("""COMPUTED_VALUE"""),"cashImpactLocal")</f>
        <v>cashImpactLocal</v>
      </c>
      <c r="CY5" s="31" t="str">
        <f>IFERROR(__xludf.DUMMYFUNCTION("""COMPUTED_VALUE"""),"cashInflowLocal")</f>
        <v>cashInflowLocal</v>
      </c>
      <c r="CZ5" s="31" t="str">
        <f>IFERROR(__xludf.DUMMYFUNCTION("""COMPUTED_VALUE"""),"cashOutflowLocal")</f>
        <v>cashOutflowLocal</v>
      </c>
      <c r="DA5" s="31" t="str">
        <f>IFERROR(__xludf.DUMMYFUNCTION("""COMPUTED_VALUE"""),"equityHaircutLocal")</f>
        <v>equityHaircutLocal</v>
      </c>
      <c r="DB5" s="31" t="str">
        <f>IFERROR(__xludf.DUMMYFUNCTION("""COMPUTED_VALUE"""),"indexHaircutLocal")</f>
        <v>indexHaircutLocal</v>
      </c>
      <c r="DC5" s="31" t="str">
        <f>IFERROR(__xludf.DUMMYFUNCTION("""COMPUTED_VALUE"""),"notionalBase")</f>
        <v>notionalBase</v>
      </c>
      <c r="DD5" s="31" t="str">
        <f>IFERROR(__xludf.DUMMYFUNCTION("""COMPUTED_VALUE"""),"cashImpactBase")</f>
        <v>cashImpactBase</v>
      </c>
      <c r="DE5" s="31" t="str">
        <f>IFERROR(__xludf.DUMMYFUNCTION("""COMPUTED_VALUE"""),"cashInflowBase")</f>
        <v>cashInflowBase</v>
      </c>
      <c r="DF5" s="31" t="str">
        <f>IFERROR(__xludf.DUMMYFUNCTION("""COMPUTED_VALUE"""),"cashOutflowBase")</f>
        <v>cashOutflowBase</v>
      </c>
      <c r="DG5" s="31" t="str">
        <f>IFERROR(__xludf.DUMMYFUNCTION("""COMPUTED_VALUE"""),"equityHaircutBase")</f>
        <v>equityHaircutBase</v>
      </c>
      <c r="DH5" s="31" t="str">
        <f>IFERROR(__xludf.DUMMYFUNCTION("""COMPUTED_VALUE"""),"indexHaircutBase")</f>
        <v>indexHaircutBase</v>
      </c>
      <c r="DI5" s="31" t="str">
        <f>IFERROR(__xludf.DUMMYFUNCTION("""COMPUTED_VALUE"""),"underlyingValueForOptionsLocal")</f>
        <v>underlyingValueForOptionsLocal</v>
      </c>
      <c r="DJ5" s="31" t="str">
        <f>IFERROR(__xludf.DUMMYFUNCTION("""COMPUTED_VALUE"""),"dayPnLLocal")</f>
        <v>dayPnLLocal</v>
      </c>
      <c r="DK5" s="31" t="str">
        <f>IFERROR(__xludf.DUMMYFUNCTION("""COMPUTED_VALUE"""),"costBasisPnLLocal")</f>
        <v>costBasisPnLLocal</v>
      </c>
      <c r="DL5" s="31" t="str">
        <f>IFERROR(__xludf.DUMMYFUNCTION("""COMPUTED_VALUE"""),"liquidationPnlLocal")</f>
        <v>liquidationPnlLocal</v>
      </c>
      <c r="DM5" s="31" t="str">
        <f>IFERROR(__xludf.DUMMYFUNCTION("""COMPUTED_VALUE"""),"underlyingValueForOptionsBase")</f>
        <v>underlyingValueForOptionsBase</v>
      </c>
      <c r="DN5" s="31" t="str">
        <f>IFERROR(__xludf.DUMMYFUNCTION("""COMPUTED_VALUE"""),"dayPnLBase")</f>
        <v>dayPnLBase</v>
      </c>
      <c r="DO5" s="31" t="str">
        <f>IFERROR(__xludf.DUMMYFUNCTION("""COMPUTED_VALUE"""),"costBasisPnLBase")</f>
        <v>costBasisPnLBase</v>
      </c>
      <c r="DP5" s="31" t="str">
        <f>IFERROR(__xludf.DUMMYFUNCTION("""COMPUTED_VALUE"""),"liquidationPnlBase")</f>
        <v>liquidationPnlBase</v>
      </c>
      <c r="DQ5" s="31" t="str">
        <f>IFERROR(__xludf.DUMMYFUNCTION("""COMPUTED_VALUE"""),"netExposureLocal")</f>
        <v>netExposureLocal</v>
      </c>
      <c r="DR5" s="31" t="str">
        <f>IFERROR(__xludf.DUMMYFUNCTION("""COMPUTED_VALUE"""),"grossExposureLocal")</f>
        <v>grossExposureLocal</v>
      </c>
      <c r="DS5" s="31" t="str">
        <f>IFERROR(__xludf.DUMMYFUNCTION("""COMPUTED_VALUE"""),"betaAdjustedExposureLocal")</f>
        <v>betaAdjustedExposureLocal</v>
      </c>
      <c r="DT5" s="31" t="str">
        <f>IFERROR(__xludf.DUMMYFUNCTION("""COMPUTED_VALUE"""),"netExposureBase")</f>
        <v>netExposureBase</v>
      </c>
      <c r="DU5" s="31" t="str">
        <f>IFERROR(__xludf.DUMMYFUNCTION("""COMPUTED_VALUE"""),"grossExposureBase")</f>
        <v>grossExposureBase</v>
      </c>
      <c r="DV5" s="31" t="str">
        <f>IFERROR(__xludf.DUMMYFUNCTION("""COMPUTED_VALUE"""),"betaAdjustedExposureBase")</f>
        <v>betaAdjustedExposureBase</v>
      </c>
      <c r="DW5" s="31" t="str">
        <f>IFERROR(__xludf.DUMMYFUNCTION("""COMPUTED_VALUE"""),"deltaAdjPosition")</f>
        <v>deltaAdjPosition</v>
      </c>
      <c r="DX5" s="31" t="str">
        <f>IFERROR(__xludf.DUMMYFUNCTION("""COMPUTED_VALUE"""),"dayDiff")</f>
        <v>dayDiff</v>
      </c>
      <c r="DY5" s="31" t="str">
        <f>IFERROR(__xludf.DUMMYFUNCTION("""COMPUTED_VALUE"""),"dayInterestLocal")</f>
        <v>dayInterestLocal</v>
      </c>
      <c r="DZ5" s="31" t="str">
        <f>IFERROR(__xludf.DUMMYFUNCTION("""COMPUTED_VALUE"""),"totalInterestLocal")</f>
        <v>totalInterestLocal</v>
      </c>
      <c r="EA5" s="31" t="str">
        <f>IFERROR(__xludf.DUMMYFUNCTION("""COMPUTED_VALUE"""),"dayInterestBase")</f>
        <v>dayInterestBase</v>
      </c>
      <c r="EB5" s="31" t="str">
        <f>IFERROR(__xludf.DUMMYFUNCTION("""COMPUTED_VALUE"""),"totalInterestBase")</f>
        <v>totalInterestBase</v>
      </c>
      <c r="EC5" s="31" t="str">
        <f>IFERROR(__xludf.DUMMYFUNCTION("""COMPUTED_VALUE"""),"percentAvgVolume")</f>
        <v>percentAvgVolume</v>
      </c>
      <c r="ED5" s="31" t="str">
        <f>IFERROR(__xludf.DUMMYFUNCTION("""COMPUTED_VALUE"""),"businessDaysToExpire")</f>
        <v>businessDaysToExpire</v>
      </c>
      <c r="EE5" s="31" t="str">
        <f>IFERROR(__xludf.DUMMYFUNCTION("""COMPUTED_VALUE"""),"actualDaysToExpire")</f>
        <v>actualDaysToExpire</v>
      </c>
      <c r="EF5" s="31" t="str">
        <f>IFERROR(__xludf.DUMMYFUNCTION("""COMPUTED_VALUE"""),"longDebitBalance")</f>
        <v>longDebitBalance</v>
      </c>
      <c r="EG5" s="31" t="str">
        <f>IFERROR(__xludf.DUMMYFUNCTION("""COMPUTED_VALUE"""),"shortCreditBalance")</f>
        <v>shortCreditBalance</v>
      </c>
      <c r="EH5" s="31" t="str">
        <f>IFERROR(__xludf.DUMMYFUNCTION("""COMPUTED_VALUE"""),"roundLot")</f>
        <v>roundLot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52" t="s">
        <v>28</v>
      </c>
      <c r="I6" s="52">
        <v>0.0</v>
      </c>
      <c r="J6" s="52">
        <v>-38.0</v>
      </c>
      <c r="K6" s="52">
        <v>38.0</v>
      </c>
      <c r="L6" s="52">
        <v>-38.0</v>
      </c>
      <c r="M6" s="52" t="s">
        <v>34</v>
      </c>
      <c r="N6" s="52"/>
      <c r="O6" s="52" t="s">
        <v>31</v>
      </c>
      <c r="P6" s="52"/>
      <c r="Q6" s="52" t="s">
        <v>28</v>
      </c>
      <c r="R6" s="52"/>
      <c r="S6" s="52"/>
      <c r="T6" s="52" t="s">
        <v>18</v>
      </c>
      <c r="U6" s="52" t="s">
        <v>18</v>
      </c>
      <c r="V6" s="52"/>
      <c r="W6" s="52"/>
      <c r="X6" s="52"/>
      <c r="Y6" s="52"/>
      <c r="Z6" s="52"/>
      <c r="AA6" s="52"/>
      <c r="AB6" s="52">
        <v>-38.0</v>
      </c>
      <c r="AC6" s="52"/>
      <c r="AD6" s="52">
        <v>0.0</v>
      </c>
      <c r="AE6" s="52">
        <v>-38.0</v>
      </c>
      <c r="AF6" s="52"/>
      <c r="AG6" s="52">
        <v>38.0</v>
      </c>
      <c r="AH6" s="52">
        <v>-38.0</v>
      </c>
      <c r="AI6" s="52"/>
      <c r="AJ6" s="52" t="s">
        <v>35</v>
      </c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>
        <v>1.0</v>
      </c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</row>
    <row r="7" ht="15.75" customHeight="1">
      <c r="A7" s="8"/>
      <c r="B7" s="8"/>
      <c r="C7" s="8"/>
      <c r="D7" s="8"/>
      <c r="E7" s="8"/>
      <c r="F7" s="8"/>
      <c r="G7" s="8"/>
      <c r="H7" s="53" t="s">
        <v>28</v>
      </c>
      <c r="I7" s="53">
        <v>25.0</v>
      </c>
      <c r="J7" s="53">
        <v>0.0</v>
      </c>
      <c r="K7" s="53">
        <v>25.0</v>
      </c>
      <c r="L7" s="53">
        <v>25.0</v>
      </c>
      <c r="M7" s="53" t="s">
        <v>34</v>
      </c>
      <c r="N7" s="53"/>
      <c r="O7" s="53" t="s">
        <v>29</v>
      </c>
      <c r="P7" s="53"/>
      <c r="Q7" s="53" t="s">
        <v>28</v>
      </c>
      <c r="R7" s="53"/>
      <c r="S7" s="53"/>
      <c r="T7" s="53" t="s">
        <v>19</v>
      </c>
      <c r="U7" s="53" t="s">
        <v>19</v>
      </c>
      <c r="V7" s="53"/>
      <c r="W7" s="53"/>
      <c r="X7" s="53"/>
      <c r="Y7" s="53"/>
      <c r="Z7" s="53"/>
      <c r="AA7" s="53"/>
      <c r="AB7" s="53">
        <v>25.0</v>
      </c>
      <c r="AC7" s="53"/>
      <c r="AD7" s="53">
        <v>25.0</v>
      </c>
      <c r="AE7" s="53">
        <v>0.0</v>
      </c>
      <c r="AF7" s="53"/>
      <c r="AG7" s="53">
        <v>25.0</v>
      </c>
      <c r="AH7" s="53">
        <v>25.0</v>
      </c>
      <c r="AI7" s="53"/>
      <c r="AJ7" s="53" t="s">
        <v>35</v>
      </c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>
        <v>1.0</v>
      </c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</row>
    <row r="8" ht="15.75" customHeight="1">
      <c r="A8" s="8"/>
      <c r="B8" s="8"/>
      <c r="C8" s="8"/>
      <c r="D8" s="8"/>
      <c r="E8" s="8"/>
      <c r="F8" s="8"/>
      <c r="G8" s="8"/>
      <c r="H8" s="52" t="s">
        <v>28</v>
      </c>
      <c r="I8" s="52">
        <v>12.0</v>
      </c>
      <c r="J8" s="52">
        <v>0.0</v>
      </c>
      <c r="K8" s="52">
        <v>12.0</v>
      </c>
      <c r="L8" s="52">
        <v>12.0</v>
      </c>
      <c r="M8" s="52" t="s">
        <v>34</v>
      </c>
      <c r="N8" s="52"/>
      <c r="O8" s="52" t="s">
        <v>29</v>
      </c>
      <c r="P8" s="52"/>
      <c r="Q8" s="52" t="s">
        <v>28</v>
      </c>
      <c r="R8" s="52"/>
      <c r="S8" s="52"/>
      <c r="T8" s="52" t="s">
        <v>18</v>
      </c>
      <c r="U8" s="52" t="s">
        <v>18</v>
      </c>
      <c r="V8" s="52"/>
      <c r="W8" s="52"/>
      <c r="X8" s="52"/>
      <c r="Y8" s="52"/>
      <c r="Z8" s="52"/>
      <c r="AA8" s="52"/>
      <c r="AB8" s="52">
        <v>12.0</v>
      </c>
      <c r="AC8" s="52"/>
      <c r="AD8" s="52">
        <v>12.0</v>
      </c>
      <c r="AE8" s="52">
        <v>0.0</v>
      </c>
      <c r="AF8" s="52"/>
      <c r="AG8" s="52">
        <v>12.0</v>
      </c>
      <c r="AH8" s="52">
        <v>12.0</v>
      </c>
      <c r="AI8" s="52"/>
      <c r="AJ8" s="52" t="s">
        <v>35</v>
      </c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>
        <v>1.0</v>
      </c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</row>
    <row r="9" ht="15.75" customHeight="1">
      <c r="A9" s="8"/>
      <c r="B9" s="8"/>
      <c r="C9" s="8"/>
      <c r="D9" s="8"/>
      <c r="E9" s="8"/>
      <c r="F9" s="8"/>
      <c r="G9" s="8"/>
      <c r="H9" s="53" t="s">
        <v>28</v>
      </c>
      <c r="I9" s="53">
        <v>25.0</v>
      </c>
      <c r="J9" s="53">
        <v>0.0</v>
      </c>
      <c r="K9" s="53">
        <v>25.0</v>
      </c>
      <c r="L9" s="53">
        <v>25.0</v>
      </c>
      <c r="M9" s="53" t="s">
        <v>34</v>
      </c>
      <c r="N9" s="53"/>
      <c r="O9" s="53" t="s">
        <v>29</v>
      </c>
      <c r="P9" s="53"/>
      <c r="Q9" s="53" t="s">
        <v>28</v>
      </c>
      <c r="R9" s="53"/>
      <c r="S9" s="53"/>
      <c r="T9" s="53" t="s">
        <v>19</v>
      </c>
      <c r="U9" s="53" t="s">
        <v>19</v>
      </c>
      <c r="V9" s="53"/>
      <c r="W9" s="53"/>
      <c r="X9" s="53"/>
      <c r="Y9" s="53"/>
      <c r="Z9" s="53"/>
      <c r="AA9" s="53"/>
      <c r="AB9" s="53">
        <v>25.0</v>
      </c>
      <c r="AC9" s="53"/>
      <c r="AD9" s="53">
        <v>25.0</v>
      </c>
      <c r="AE9" s="53">
        <v>0.0</v>
      </c>
      <c r="AF9" s="53"/>
      <c r="AG9" s="53">
        <v>25.0</v>
      </c>
      <c r="AH9" s="53">
        <v>25.0</v>
      </c>
      <c r="AI9" s="53"/>
      <c r="AJ9" s="53" t="s">
        <v>35</v>
      </c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>
        <v>1.0</v>
      </c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</row>
    <row r="10" ht="15.75" customHeight="1">
      <c r="A10" s="8"/>
      <c r="B10" s="8"/>
      <c r="C10" s="8"/>
      <c r="D10" s="8"/>
      <c r="E10" s="8"/>
      <c r="F10" s="8"/>
      <c r="G10" s="8"/>
      <c r="H10" s="52" t="s">
        <v>28</v>
      </c>
      <c r="I10" s="52">
        <v>38.0</v>
      </c>
      <c r="J10" s="52">
        <v>0.0</v>
      </c>
      <c r="K10" s="52">
        <v>38.0</v>
      </c>
      <c r="L10" s="52">
        <v>38.0</v>
      </c>
      <c r="M10" s="52" t="s">
        <v>34</v>
      </c>
      <c r="N10" s="52"/>
      <c r="O10" s="52" t="s">
        <v>29</v>
      </c>
      <c r="P10" s="52"/>
      <c r="Q10" s="52" t="s">
        <v>28</v>
      </c>
      <c r="R10" s="52"/>
      <c r="S10" s="52"/>
      <c r="T10" s="52" t="s">
        <v>18</v>
      </c>
      <c r="U10" s="52" t="s">
        <v>18</v>
      </c>
      <c r="V10" s="52"/>
      <c r="W10" s="52"/>
      <c r="X10" s="52"/>
      <c r="Y10" s="52"/>
      <c r="Z10" s="52"/>
      <c r="AA10" s="52"/>
      <c r="AB10" s="52">
        <v>38.0</v>
      </c>
      <c r="AC10" s="52"/>
      <c r="AD10" s="52">
        <v>38.0</v>
      </c>
      <c r="AE10" s="52">
        <v>0.0</v>
      </c>
      <c r="AF10" s="52"/>
      <c r="AG10" s="52">
        <v>38.0</v>
      </c>
      <c r="AH10" s="52">
        <v>38.0</v>
      </c>
      <c r="AI10" s="52"/>
      <c r="AJ10" s="52" t="s">
        <v>35</v>
      </c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>
        <v>1.0</v>
      </c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</row>
    <row r="11" ht="15.75" customHeight="1">
      <c r="A11" s="8"/>
      <c r="B11" s="8"/>
      <c r="C11" s="8"/>
      <c r="D11" s="8"/>
      <c r="E11" s="8"/>
      <c r="F11" s="8"/>
      <c r="G11" s="8"/>
      <c r="H11" s="53" t="s">
        <v>28</v>
      </c>
      <c r="I11" s="53">
        <v>0.0</v>
      </c>
      <c r="J11" s="53">
        <v>-25.0</v>
      </c>
      <c r="K11" s="53">
        <v>25.0</v>
      </c>
      <c r="L11" s="53">
        <v>-25.0</v>
      </c>
      <c r="M11" s="53" t="s">
        <v>34</v>
      </c>
      <c r="N11" s="53"/>
      <c r="O11" s="53" t="s">
        <v>31</v>
      </c>
      <c r="P11" s="53"/>
      <c r="Q11" s="53" t="s">
        <v>28</v>
      </c>
      <c r="R11" s="53"/>
      <c r="S11" s="53"/>
      <c r="T11" s="53" t="s">
        <v>19</v>
      </c>
      <c r="U11" s="53" t="s">
        <v>19</v>
      </c>
      <c r="V11" s="53"/>
      <c r="W11" s="53"/>
      <c r="X11" s="53"/>
      <c r="Y11" s="53"/>
      <c r="Z11" s="53"/>
      <c r="AA11" s="53"/>
      <c r="AB11" s="53">
        <v>-25.0</v>
      </c>
      <c r="AC11" s="53"/>
      <c r="AD11" s="53">
        <v>0.0</v>
      </c>
      <c r="AE11" s="53">
        <v>-25.0</v>
      </c>
      <c r="AF11" s="53"/>
      <c r="AG11" s="53">
        <v>25.0</v>
      </c>
      <c r="AH11" s="53">
        <v>-25.0</v>
      </c>
      <c r="AI11" s="53"/>
      <c r="AJ11" s="53" t="s">
        <v>35</v>
      </c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>
        <v>1.0</v>
      </c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</row>
    <row r="12" ht="15.75" customHeight="1">
      <c r="A12" s="8"/>
      <c r="B12" s="8"/>
      <c r="C12" s="8"/>
      <c r="D12" s="8"/>
      <c r="E12" s="8"/>
      <c r="F12" s="8"/>
      <c r="G12" s="8"/>
      <c r="H12" s="52" t="s">
        <v>28</v>
      </c>
      <c r="I12" s="52">
        <v>0.0</v>
      </c>
      <c r="J12" s="52">
        <v>-25.0</v>
      </c>
      <c r="K12" s="52">
        <v>25.0</v>
      </c>
      <c r="L12" s="52">
        <v>-25.0</v>
      </c>
      <c r="M12" s="52" t="s">
        <v>34</v>
      </c>
      <c r="N12" s="52"/>
      <c r="O12" s="52" t="s">
        <v>31</v>
      </c>
      <c r="P12" s="52"/>
      <c r="Q12" s="52" t="s">
        <v>28</v>
      </c>
      <c r="R12" s="52"/>
      <c r="S12" s="52"/>
      <c r="T12" s="52" t="s">
        <v>19</v>
      </c>
      <c r="U12" s="52" t="s">
        <v>19</v>
      </c>
      <c r="V12" s="52"/>
      <c r="W12" s="52"/>
      <c r="X12" s="52"/>
      <c r="Y12" s="52"/>
      <c r="Z12" s="52"/>
      <c r="AA12" s="52"/>
      <c r="AB12" s="52">
        <v>-25.0</v>
      </c>
      <c r="AC12" s="52"/>
      <c r="AD12" s="52">
        <v>0.0</v>
      </c>
      <c r="AE12" s="52">
        <v>-25.0</v>
      </c>
      <c r="AF12" s="52"/>
      <c r="AG12" s="52">
        <v>25.0</v>
      </c>
      <c r="AH12" s="52">
        <v>-25.0</v>
      </c>
      <c r="AI12" s="52"/>
      <c r="AJ12" s="52" t="s">
        <v>35</v>
      </c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>
        <v>1.0</v>
      </c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</row>
    <row r="13" ht="15.75" customHeight="1">
      <c r="A13" s="8"/>
      <c r="B13" s="8"/>
      <c r="C13" s="8"/>
      <c r="D13" s="8"/>
      <c r="E13" s="8"/>
      <c r="F13" s="8"/>
      <c r="G13" s="8"/>
      <c r="H13" s="53" t="s">
        <v>28</v>
      </c>
      <c r="I13" s="53">
        <v>0.0</v>
      </c>
      <c r="J13" s="53">
        <v>-12.0</v>
      </c>
      <c r="K13" s="53">
        <v>12.0</v>
      </c>
      <c r="L13" s="53">
        <v>-12.0</v>
      </c>
      <c r="M13" s="53" t="s">
        <v>34</v>
      </c>
      <c r="N13" s="53"/>
      <c r="O13" s="53" t="s">
        <v>31</v>
      </c>
      <c r="P13" s="53"/>
      <c r="Q13" s="53" t="s">
        <v>28</v>
      </c>
      <c r="R13" s="53"/>
      <c r="S13" s="53"/>
      <c r="T13" s="53" t="s">
        <v>18</v>
      </c>
      <c r="U13" s="53" t="s">
        <v>18</v>
      </c>
      <c r="V13" s="53"/>
      <c r="W13" s="53"/>
      <c r="X13" s="53"/>
      <c r="Y13" s="53"/>
      <c r="Z13" s="53"/>
      <c r="AA13" s="53"/>
      <c r="AB13" s="53">
        <v>-12.0</v>
      </c>
      <c r="AC13" s="53"/>
      <c r="AD13" s="53">
        <v>0.0</v>
      </c>
      <c r="AE13" s="53">
        <v>-12.0</v>
      </c>
      <c r="AF13" s="53"/>
      <c r="AG13" s="53">
        <v>12.0</v>
      </c>
      <c r="AH13" s="53">
        <v>-12.0</v>
      </c>
      <c r="AI13" s="53"/>
      <c r="AJ13" s="53" t="s">
        <v>35</v>
      </c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>
        <v>1.0</v>
      </c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IFERROR(__xludf.DUMMYFUNCTION("""COMPUTED_VALUE"""),"Taxlot ID")</f>
        <v>Taxlot ID</v>
      </c>
      <c r="C5" s="29" t="str">
        <f>IFERROR(__xludf.DUMMYFUNCTION("""COMPUTED_VALUE"""),"Closing Date")</f>
        <v>Closing Date</v>
      </c>
      <c r="D5" s="29" t="str">
        <f>IFERROR(__xludf.DUMMYFUNCTION("""COMPUTED_VALUE"""),"Account")</f>
        <v>Account</v>
      </c>
      <c r="E5" s="29" t="str">
        <f>IFERROR(__xludf.DUMMYFUNCTION("""COMPUTED_VALUE"""),"Strategy")</f>
        <v>Strategy</v>
      </c>
      <c r="F5" s="30" t="str">
        <f>IFERROR(__xludf.DUMMYFUNCTION("""COMPUTED_VALUE"""),"Position Type")</f>
        <v>Position Type</v>
      </c>
      <c r="G5" s="29" t="str">
        <f>IFERROR(__xludf.DUMMYFUNCTION("""COMPUTED_VALUE"""),"Asset Class")</f>
        <v>Asset Class</v>
      </c>
      <c r="H5" s="29" t="str">
        <f>IFERROR(__xludf.DUMMYFUNCTION("""COMPUTED_VALUE"""),"Symbol")</f>
        <v>Symbol</v>
      </c>
      <c r="I5" s="29" t="str">
        <f>IFERROR(__xludf.DUMMYFUNCTION("""COMPUTED_VALUE"""),"Qty Closed")</f>
        <v>Qty Closed</v>
      </c>
      <c r="J5" s="29" t="str">
        <f>IFERROR(__xludf.DUMMYFUNCTION("""COMPUTED_VALUE"""),"Opening Price")</f>
        <v>Opening Price</v>
      </c>
      <c r="K5" s="29" t="str">
        <f>IFERROR(__xludf.DUMMYFUNCTION("""COMPUTED_VALUE"""),"Closing Price")</f>
        <v>Closing Price</v>
      </c>
      <c r="L5" s="29" t="str">
        <f>IFERROR(__xludf.DUMMYFUNCTION("""COMPUTED_VALUE"""),"ClosingTotalCommissionandFees")</f>
        <v>ClosingTotalCommissionandFees</v>
      </c>
      <c r="M5" s="29" t="str">
        <f>IFERROR(__xludf.DUMMYFUNCTION("""COMPUTED_VALUE"""),"Realized PNL(C.B.)")</f>
        <v>Realized PNL(C.B.)</v>
      </c>
      <c r="N5" s="29" t="str">
        <f>IFERROR(__xludf.DUMMYFUNCTION("""COMPUTED_VALUE"""),"Exchange")</f>
        <v>Exchange</v>
      </c>
      <c r="O5" s="29" t="str">
        <f>IFERROR(__xludf.DUMMYFUNCTION("""COMPUTED_VALUE"""),"Opening Side")</f>
        <v>Opening Side</v>
      </c>
      <c r="P5" s="29" t="str">
        <f>IFERROR(__xludf.DUMMYFUNCTION("""COMPUTED_VALUE"""),"Opening Fees &amp; Commission")</f>
        <v>Opening Fees &amp; Commission</v>
      </c>
      <c r="Q5" s="29" t="str">
        <f>IFERROR(__xludf.DUMMYFUNCTION("""COMPUTED_VALUE"""),"Closing Side")</f>
        <v>Closing Side</v>
      </c>
      <c r="R5" s="29" t="str">
        <f>IFERROR(__xludf.DUMMYFUNCTION("""COMPUTED_VALUE"""),"Closing Method")</f>
        <v>Closing Method</v>
      </c>
      <c r="S5" s="29" t="str">
        <f>IFERROR(__xludf.DUMMYFUNCTION("""COMPUTED_VALUE"""),"ClosingID")</f>
        <v>ClosingID</v>
      </c>
      <c r="T5" s="31" t="str">
        <f>IFERROR(__xludf.DUMMYFUNCTION("""COMPUTED_VALUE"""),"Original Purchase Date")</f>
        <v>Original Purchase Date</v>
      </c>
      <c r="U5" s="31" t="str">
        <f>IFERROR(__xludf.DUMMYFUNCTION("""COMPUTED_VALUE"""),"Description")</f>
        <v>Description</v>
      </c>
      <c r="V5" s="31" t="str">
        <f>IFERROR(__xludf.DUMMYFUNCTION("""COMPUTED_VALUE"""),"AccountID")</f>
        <v>AccountID</v>
      </c>
      <c r="W5" s="31" t="str">
        <f>IFERROR(__xludf.DUMMYFUNCTION("""COMPUTED_VALUE"""),"IsExpired_Settled")</f>
        <v>IsExpired_Settled</v>
      </c>
      <c r="X5" s="31" t="str">
        <f>IFERROR(__xludf.DUMMYFUNCTION("""COMPUTED_VALUE"""),"Underlying")</f>
        <v>Underlying</v>
      </c>
      <c r="Y5" s="31" t="str">
        <f>IFERROR(__xludf.DUMMYFUNCTION("""COMPUTED_VALUE"""),"CurrencyID")</f>
        <v>CurrencyID</v>
      </c>
      <c r="Z5" s="31" t="str">
        <f>IFERROR(__xludf.DUMMYFUNCTION("""COMPUTED_VALUE"""),"Currency")</f>
        <v>Currency</v>
      </c>
      <c r="AA5" s="31" t="str">
        <f>IFERROR(__xludf.DUMMYFUNCTION("""COMPUTED_VALUE"""),"AUECID")</f>
        <v>AUECID</v>
      </c>
      <c r="AB5" s="31" t="str">
        <f>IFERROR(__xludf.DUMMYFUNCTION("""COMPUTED_VALUE"""),"NotionalValue")</f>
        <v>NotionalValue</v>
      </c>
      <c r="AC5" s="31" t="str">
        <f>IFERROR(__xludf.DUMMYFUNCTION("""COMPUTED_VALUE"""),"Multiplier")</f>
        <v>Multiplier</v>
      </c>
      <c r="AD5" s="31" t="str">
        <f>IFERROR(__xludf.DUMMYFUNCTION("""COMPUTED_VALUE"""),"TimeOfSaveUTC")</f>
        <v>TimeOfSaveUTC</v>
      </c>
      <c r="AE5" s="31" t="str">
        <f>IFERROR(__xludf.DUMMYFUNCTION("""COMPUTED_VALUE"""),"Closing Position Type")</f>
        <v>Closing Position Type</v>
      </c>
      <c r="AF5" s="31" t="str">
        <f>IFERROR(__xludf.DUMMYFUNCTION("""COMPUTED_VALUE"""),"Closing Mode")</f>
        <v>Closing Mode</v>
      </c>
      <c r="AG5" s="31" t="str">
        <f>IFERROR(__xludf.DUMMYFUNCTION("""COMPUTED_VALUE"""),"StrategyID")</f>
        <v>StrategyID</v>
      </c>
      <c r="AH5" s="31" t="str">
        <f>IFERROR(__xludf.DUMMYFUNCTION("""COMPUTED_VALUE"""),"isRowCountCheck")</f>
        <v>isRowCountCheck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54" t="s">
        <v>18</v>
      </c>
      <c r="E6" s="54" t="s">
        <v>21</v>
      </c>
      <c r="F6" s="54" t="s">
        <v>40</v>
      </c>
      <c r="G6" s="54"/>
      <c r="H6" s="54" t="s">
        <v>28</v>
      </c>
      <c r="I6" s="55">
        <v>38.0</v>
      </c>
      <c r="J6" s="55">
        <v>1.0</v>
      </c>
      <c r="K6" s="55">
        <v>1.0</v>
      </c>
      <c r="L6" s="8"/>
      <c r="M6" s="8"/>
      <c r="N6" s="8"/>
      <c r="O6" s="8"/>
    </row>
    <row r="7" ht="15.75" customHeight="1">
      <c r="A7" s="8"/>
      <c r="B7" s="8"/>
      <c r="C7" s="8"/>
      <c r="D7" s="54" t="s">
        <v>19</v>
      </c>
      <c r="E7" s="54" t="s">
        <v>21</v>
      </c>
      <c r="F7" s="54" t="s">
        <v>40</v>
      </c>
      <c r="G7" s="54"/>
      <c r="H7" s="54" t="s">
        <v>28</v>
      </c>
      <c r="I7" s="55">
        <v>25.0</v>
      </c>
      <c r="J7" s="55">
        <v>1.0</v>
      </c>
      <c r="K7" s="55">
        <v>1.0</v>
      </c>
      <c r="L7" s="8"/>
      <c r="M7" s="8"/>
      <c r="N7" s="8"/>
      <c r="O7" s="8"/>
    </row>
    <row r="8" ht="15.75" customHeight="1">
      <c r="A8" s="8"/>
      <c r="B8" s="8"/>
      <c r="C8" s="8"/>
      <c r="D8" s="54" t="s">
        <v>18</v>
      </c>
      <c r="E8" s="54" t="s">
        <v>22</v>
      </c>
      <c r="F8" s="54" t="s">
        <v>40</v>
      </c>
      <c r="G8" s="54"/>
      <c r="H8" s="54" t="s">
        <v>28</v>
      </c>
      <c r="I8" s="55">
        <v>12.0</v>
      </c>
      <c r="J8" s="55">
        <v>1.0</v>
      </c>
      <c r="K8" s="55">
        <v>1.0</v>
      </c>
      <c r="L8" s="8"/>
      <c r="M8" s="8"/>
      <c r="N8" s="8"/>
      <c r="O8" s="8"/>
    </row>
    <row r="9" ht="15.75" customHeight="1">
      <c r="A9" s="8"/>
      <c r="B9" s="8"/>
      <c r="C9" s="8"/>
      <c r="D9" s="54" t="s">
        <v>19</v>
      </c>
      <c r="E9" s="54" t="s">
        <v>22</v>
      </c>
      <c r="F9" s="54" t="s">
        <v>40</v>
      </c>
      <c r="G9" s="54"/>
      <c r="H9" s="54" t="s">
        <v>28</v>
      </c>
      <c r="I9" s="55">
        <v>25.0</v>
      </c>
      <c r="J9" s="55">
        <v>1.0</v>
      </c>
      <c r="K9" s="55">
        <v>1.0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37"/>
      <c r="C13" s="37"/>
      <c r="D13" s="56"/>
      <c r="E13" s="37"/>
      <c r="F13" s="56"/>
      <c r="G13" s="37"/>
      <c r="H13" s="56"/>
      <c r="I13" s="57"/>
      <c r="J13" s="57"/>
      <c r="K13" s="5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28</v>
      </c>
      <c r="C6" s="13" t="s">
        <v>29</v>
      </c>
      <c r="D6" s="13">
        <v>100.0</v>
      </c>
      <c r="E6" s="32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28</v>
      </c>
      <c r="C6" s="13" t="s">
        <v>29</v>
      </c>
      <c r="D6" s="13">
        <v>100.0</v>
      </c>
      <c r="E6" s="13">
        <v>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IFERROR(__xludf.DUMMYFUNCTION("""COMPUTED_VALUE"""),"Taxlot ID")</f>
        <v>Taxlot ID</v>
      </c>
      <c r="C5" s="29" t="str">
        <f>IFERROR(__xludf.DUMMYFUNCTION("""COMPUTED_VALUE"""),"Closing Date")</f>
        <v>Closing Date</v>
      </c>
      <c r="D5" s="29" t="str">
        <f>IFERROR(__xludf.DUMMYFUNCTION("""COMPUTED_VALUE"""),"Account")</f>
        <v>Account</v>
      </c>
      <c r="E5" s="29" t="str">
        <f>IFERROR(__xludf.DUMMYFUNCTION("""COMPUTED_VALUE"""),"Strategy")</f>
        <v>Strategy</v>
      </c>
      <c r="F5" s="30" t="str">
        <f>IFERROR(__xludf.DUMMYFUNCTION("""COMPUTED_VALUE"""),"Position Type")</f>
        <v>Position Type</v>
      </c>
      <c r="G5" s="29" t="str">
        <f>IFERROR(__xludf.DUMMYFUNCTION("""COMPUTED_VALUE"""),"Asset Class")</f>
        <v>Asset Class</v>
      </c>
      <c r="H5" s="29" t="str">
        <f>IFERROR(__xludf.DUMMYFUNCTION("""COMPUTED_VALUE"""),"Symbol")</f>
        <v>Symbol</v>
      </c>
      <c r="I5" s="29" t="str">
        <f>IFERROR(__xludf.DUMMYFUNCTION("""COMPUTED_VALUE"""),"Qty Closed")</f>
        <v>Qty Closed</v>
      </c>
      <c r="J5" s="29" t="str">
        <f>IFERROR(__xludf.DUMMYFUNCTION("""COMPUTED_VALUE"""),"Opening Price")</f>
        <v>Opening Price</v>
      </c>
      <c r="K5" s="29" t="str">
        <f>IFERROR(__xludf.DUMMYFUNCTION("""COMPUTED_VALUE"""),"Closing Price")</f>
        <v>Closing Price</v>
      </c>
      <c r="L5" s="29" t="str">
        <f>IFERROR(__xludf.DUMMYFUNCTION("""COMPUTED_VALUE"""),"ClosingTotalCommissionandFees")</f>
        <v>ClosingTotalCommissionandFees</v>
      </c>
      <c r="M5" s="29" t="str">
        <f>IFERROR(__xludf.DUMMYFUNCTION("""COMPUTED_VALUE"""),"Realized PNL(C.B.)")</f>
        <v>Realized PNL(C.B.)</v>
      </c>
      <c r="N5" s="29" t="str">
        <f>IFERROR(__xludf.DUMMYFUNCTION("""COMPUTED_VALUE"""),"Exchange")</f>
        <v>Exchange</v>
      </c>
      <c r="O5" s="29" t="str">
        <f>IFERROR(__xludf.DUMMYFUNCTION("""COMPUTED_VALUE"""),"Opening Side")</f>
        <v>Opening Side</v>
      </c>
      <c r="P5" s="29" t="str">
        <f>IFERROR(__xludf.DUMMYFUNCTION("""COMPUTED_VALUE"""),"Opening Fees &amp; Commission")</f>
        <v>Opening Fees &amp; Commission</v>
      </c>
      <c r="Q5" s="29" t="str">
        <f>IFERROR(__xludf.DUMMYFUNCTION("""COMPUTED_VALUE"""),"Closing Side")</f>
        <v>Closing Side</v>
      </c>
      <c r="R5" s="29" t="str">
        <f>IFERROR(__xludf.DUMMYFUNCTION("""COMPUTED_VALUE"""),"Closing Method")</f>
        <v>Closing Method</v>
      </c>
      <c r="S5" s="29" t="str">
        <f>IFERROR(__xludf.DUMMYFUNCTION("""COMPUTED_VALUE"""),"ClosingID")</f>
        <v>ClosingID</v>
      </c>
      <c r="T5" s="31" t="str">
        <f>IFERROR(__xludf.DUMMYFUNCTION("""COMPUTED_VALUE"""),"Original Purchase Date")</f>
        <v>Original Purchase Date</v>
      </c>
      <c r="U5" s="31" t="str">
        <f>IFERROR(__xludf.DUMMYFUNCTION("""COMPUTED_VALUE"""),"Description")</f>
        <v>Description</v>
      </c>
      <c r="V5" s="31" t="str">
        <f>IFERROR(__xludf.DUMMYFUNCTION("""COMPUTED_VALUE"""),"AccountID")</f>
        <v>AccountID</v>
      </c>
      <c r="W5" s="31" t="str">
        <f>IFERROR(__xludf.DUMMYFUNCTION("""COMPUTED_VALUE"""),"IsExpired_Settled")</f>
        <v>IsExpired_Settled</v>
      </c>
      <c r="X5" s="31" t="str">
        <f>IFERROR(__xludf.DUMMYFUNCTION("""COMPUTED_VALUE"""),"Underlying")</f>
        <v>Underlying</v>
      </c>
      <c r="Y5" s="31" t="str">
        <f>IFERROR(__xludf.DUMMYFUNCTION("""COMPUTED_VALUE"""),"CurrencyID")</f>
        <v>CurrencyID</v>
      </c>
      <c r="Z5" s="31" t="str">
        <f>IFERROR(__xludf.DUMMYFUNCTION("""COMPUTED_VALUE"""),"Currency")</f>
        <v>Currency</v>
      </c>
      <c r="AA5" s="31" t="str">
        <f>IFERROR(__xludf.DUMMYFUNCTION("""COMPUTED_VALUE"""),"AUECID")</f>
        <v>AUECID</v>
      </c>
      <c r="AB5" s="31" t="str">
        <f>IFERROR(__xludf.DUMMYFUNCTION("""COMPUTED_VALUE"""),"NotionalValue")</f>
        <v>NotionalValue</v>
      </c>
      <c r="AC5" s="31" t="str">
        <f>IFERROR(__xludf.DUMMYFUNCTION("""COMPUTED_VALUE"""),"Multiplier")</f>
        <v>Multiplier</v>
      </c>
      <c r="AD5" s="31" t="str">
        <f>IFERROR(__xludf.DUMMYFUNCTION("""COMPUTED_VALUE"""),"TimeOfSaveUTC")</f>
        <v>TimeOfSaveUTC</v>
      </c>
      <c r="AE5" s="31" t="str">
        <f>IFERROR(__xludf.DUMMYFUNCTION("""COMPUTED_VALUE"""),"Closing Position Type")</f>
        <v>Closing Position Type</v>
      </c>
      <c r="AF5" s="31" t="str">
        <f>IFERROR(__xludf.DUMMYFUNCTION("""COMPUTED_VALUE"""),"Closing Mode")</f>
        <v>Closing Mode</v>
      </c>
      <c r="AG5" s="31" t="str">
        <f>IFERROR(__xludf.DUMMYFUNCTION("""COMPUTED_VALUE"""),"StrategyID")</f>
        <v>StrategyID</v>
      </c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58"/>
      <c r="B6" s="58"/>
      <c r="C6" s="37"/>
      <c r="D6" s="59" t="s">
        <v>18</v>
      </c>
      <c r="E6" s="60"/>
      <c r="F6" s="60" t="s">
        <v>40</v>
      </c>
      <c r="G6" s="60"/>
      <c r="H6" s="60" t="s">
        <v>28</v>
      </c>
      <c r="I6" s="61">
        <v>38.0</v>
      </c>
      <c r="J6" s="61">
        <v>1.0</v>
      </c>
      <c r="K6" s="61">
        <v>1.0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60" t="s">
        <v>19</v>
      </c>
      <c r="E7" s="60"/>
      <c r="F7" s="60" t="s">
        <v>40</v>
      </c>
      <c r="G7" s="60"/>
      <c r="H7" s="60" t="s">
        <v>28</v>
      </c>
      <c r="I7" s="61">
        <v>25.0</v>
      </c>
      <c r="J7" s="61">
        <v>1.0</v>
      </c>
      <c r="K7" s="61">
        <v>1.0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60" t="s">
        <v>18</v>
      </c>
      <c r="E8" s="60"/>
      <c r="F8" s="60" t="s">
        <v>40</v>
      </c>
      <c r="G8" s="60"/>
      <c r="H8" s="60" t="s">
        <v>28</v>
      </c>
      <c r="I8" s="61">
        <v>12.0</v>
      </c>
      <c r="J8" s="61">
        <v>1.0</v>
      </c>
      <c r="K8" s="61">
        <v>1.0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60" t="s">
        <v>19</v>
      </c>
      <c r="E9" s="60"/>
      <c r="F9" s="60" t="s">
        <v>40</v>
      </c>
      <c r="G9" s="60"/>
      <c r="H9" s="60" t="s">
        <v>28</v>
      </c>
      <c r="I9" s="61">
        <v>25.0</v>
      </c>
      <c r="J9" s="61">
        <v>1.0</v>
      </c>
      <c r="K9" s="61">
        <v>1.0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28</v>
      </c>
      <c r="C6" s="13">
        <v>100.0</v>
      </c>
      <c r="D6" s="13"/>
      <c r="E6" s="32"/>
      <c r="F6" s="37" t="s">
        <v>31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7"/>
      <c r="C8" s="39"/>
      <c r="D8" s="37"/>
      <c r="E8" s="37"/>
      <c r="F8" s="37"/>
      <c r="G8" s="37"/>
      <c r="H8" s="39"/>
      <c r="I8" s="37"/>
      <c r="J8" s="37"/>
      <c r="K8" s="39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62"/>
      <c r="AR8" s="37"/>
      <c r="AS8" s="37"/>
      <c r="AT8" s="62"/>
      <c r="AU8" s="62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58"/>
      <c r="B6" s="48" t="s">
        <v>28</v>
      </c>
      <c r="C6" s="37" t="s">
        <v>31</v>
      </c>
      <c r="D6" s="63">
        <v>100.0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28</v>
      </c>
      <c r="C6" s="13" t="s">
        <v>29</v>
      </c>
      <c r="D6" s="13">
        <v>100.0</v>
      </c>
      <c r="E6" s="32"/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IFERROR(__xludf.DUMMYFUNCTION("""COMPUTED_VALUE"""),"basketId")</f>
        <v>basketId</v>
      </c>
      <c r="C5" s="29" t="str">
        <f>IFERROR(__xludf.DUMMYFUNCTION("""COMPUTED_VALUE"""),"tradeDate")</f>
        <v>tradeDate</v>
      </c>
      <c r="D5" s="29" t="str">
        <f>IFERROR(__xludf.DUMMYFUNCTION("""COMPUTED_VALUE"""),"taxlotState")</f>
        <v>taxlotState</v>
      </c>
      <c r="E5" s="29" t="str">
        <f>IFERROR(__xludf.DUMMYFUNCTION("""COMPUTED_VALUE"""),"taxlotId")</f>
        <v>taxlotId</v>
      </c>
      <c r="F5" s="30" t="str">
        <f>IFERROR(__xludf.DUMMYFUNCTION("""COMPUTED_VALUE"""),"userId")</f>
        <v>userId</v>
      </c>
      <c r="G5" s="29" t="str">
        <f>IFERROR(__xludf.DUMMYFUNCTION("""COMPUTED_VALUE"""),"clOrderId")</f>
        <v>clOrderId</v>
      </c>
      <c r="H5" s="29" t="str">
        <f>IFERROR(__xludf.DUMMYFUNCTION("""COMPUTED_VALUE"""),"symbol")</f>
        <v>symbol</v>
      </c>
      <c r="I5" s="29" t="str">
        <f>IFERROR(__xludf.DUMMYFUNCTION("""COMPUTED_VALUE"""),"todayShortTradeQuantity")</f>
        <v>todayShortTradeQuantity</v>
      </c>
      <c r="J5" s="29" t="str">
        <f>IFERROR(__xludf.DUMMYFUNCTION("""COMPUTED_VALUE"""),"todayLongTradeQuantity")</f>
        <v>todayLongTradeQuantity</v>
      </c>
      <c r="K5" s="29" t="str">
        <f>IFERROR(__xludf.DUMMYFUNCTION("""COMPUTED_VALUE"""),"todayAbsTradeQuantity")</f>
        <v>todayAbsTradeQuantity</v>
      </c>
      <c r="L5" s="29" t="str">
        <f>IFERROR(__xludf.DUMMYFUNCTION("""COMPUTED_VALUE"""),"quantity")</f>
        <v>quantity</v>
      </c>
      <c r="M5" s="29" t="str">
        <f>IFERROR(__xludf.DUMMYFUNCTION("""COMPUTED_VALUE"""),"taxlotType")</f>
        <v>taxlotType</v>
      </c>
      <c r="N5" s="29" t="str">
        <f>IFERROR(__xludf.DUMMYFUNCTION("""COMPUTED_VALUE"""),"accountId")</f>
        <v>accountId</v>
      </c>
      <c r="O5" s="29" t="str">
        <f>IFERROR(__xludf.DUMMYFUNCTION("""COMPUTED_VALUE"""),"orderSide")</f>
        <v>orderSide</v>
      </c>
      <c r="P5" s="29" t="str">
        <f>IFERROR(__xludf.DUMMYFUNCTION("""COMPUTED_VALUE"""),"masterFundId")</f>
        <v>masterFundId</v>
      </c>
      <c r="Q5" s="29" t="str">
        <f>IFERROR(__xludf.DUMMYFUNCTION("""COMPUTED_VALUE"""),"underlyingSymbol")</f>
        <v>underlyingSymbol</v>
      </c>
      <c r="R5" s="29" t="str">
        <f>IFERROR(__xludf.DUMMYFUNCTION("""COMPUTED_VALUE"""),"masterFundName")</f>
        <v>masterFundName</v>
      </c>
      <c r="S5" s="29" t="str">
        <f>IFERROR(__xludf.DUMMYFUNCTION("""COMPUTED_VALUE"""),"multiplier")</f>
        <v>multiplier</v>
      </c>
      <c r="T5" s="31" t="str">
        <f>IFERROR(__xludf.DUMMYFUNCTION("""COMPUTED_VALUE"""),"accountShortName")</f>
        <v>accountShortName</v>
      </c>
      <c r="U5" s="31" t="str">
        <f>IFERROR(__xludf.DUMMYFUNCTION("""COMPUTED_VALUE"""),"accountLongName")</f>
        <v>accountLongName</v>
      </c>
      <c r="V5" s="31" t="str">
        <f>IFERROR(__xludf.DUMMYFUNCTION("""COMPUTED_VALUE"""),"isSwapped")</f>
        <v>isSwapped</v>
      </c>
      <c r="W5" s="31" t="str">
        <f>IFERROR(__xludf.DUMMYFUNCTION("""COMPUTED_VALUE"""),"masterStrategyId")</f>
        <v>masterStrategyId</v>
      </c>
      <c r="X5" s="31" t="str">
        <f>IFERROR(__xludf.DUMMYFUNCTION("""COMPUTED_VALUE"""),"isTodayTrade")</f>
        <v>isTodayTrade</v>
      </c>
      <c r="Y5" s="31" t="str">
        <f>IFERROR(__xludf.DUMMYFUNCTION("""COMPUTED_VALUE"""),"masterStrategyName")</f>
        <v>masterStrategyName</v>
      </c>
      <c r="Z5" s="31" t="str">
        <f>IFERROR(__xludf.DUMMYFUNCTION("""COMPUTED_VALUE"""),"strategyId")</f>
        <v>strategyId</v>
      </c>
      <c r="AA5" s="31" t="str">
        <f>IFERROR(__xludf.DUMMYFUNCTION("""COMPUTED_VALUE"""),"strategyName")</f>
        <v>strategyName</v>
      </c>
      <c r="AB5" s="31" t="str">
        <f>IFERROR(__xludf.DUMMYFUNCTION("""COMPUTED_VALUE"""),"todayNetNotionalBase")</f>
        <v>todayNetNotionalBase</v>
      </c>
      <c r="AC5" s="31" t="str">
        <f>IFERROR(__xludf.DUMMYFUNCTION("""COMPUTED_VALUE"""),"strategyFullName")</f>
        <v>strategyFullName</v>
      </c>
      <c r="AD5" s="31" t="str">
        <f>IFERROR(__xludf.DUMMYFUNCTION("""COMPUTED_VALUE"""),"todayLongNotionalBase")</f>
        <v>todayLongNotionalBase</v>
      </c>
      <c r="AE5" s="31" t="str">
        <f>IFERROR(__xludf.DUMMYFUNCTION("""COMPUTED_VALUE"""),"todayShortNotionalBase")</f>
        <v>todayShortNotionalBase</v>
      </c>
      <c r="AF5" s="31" t="str">
        <f>IFERROR(__xludf.DUMMYFUNCTION("""COMPUTED_VALUE"""),"isMonthTrade")</f>
        <v>isMonthTrade</v>
      </c>
      <c r="AG5" s="31" t="str">
        <f>IFERROR(__xludf.DUMMYFUNCTION("""COMPUTED_VALUE"""),"monthAbsQuantity")</f>
        <v>monthAbsQuantity</v>
      </c>
      <c r="AH5" s="31" t="str">
        <f>IFERROR(__xludf.DUMMYFUNCTION("""COMPUTED_VALUE"""),"monthNetNotional")</f>
        <v>monthNetNotional</v>
      </c>
      <c r="AI5" s="31" t="str">
        <f>IFERROR(__xludf.DUMMYFUNCTION("""COMPUTED_VALUE"""),"modificationType")</f>
        <v>modificationType</v>
      </c>
      <c r="AJ5" s="31" t="str">
        <f>IFERROR(__xludf.DUMMYFUNCTION("""COMPUTED_VALUE"""),"asset")</f>
        <v>asset</v>
      </c>
      <c r="AK5" s="31" t="str">
        <f>IFERROR(__xludf.DUMMYFUNCTION("""COMPUTED_VALUE"""),"underlyingAsset")</f>
        <v>underlyingAsset</v>
      </c>
      <c r="AL5" s="31" t="str">
        <f>IFERROR(__xludf.DUMMYFUNCTION("""COMPUTED_VALUE"""),"assetId")</f>
        <v>assetId</v>
      </c>
      <c r="AM5" s="31" t="str">
        <f>IFERROR(__xludf.DUMMYFUNCTION("""COMPUTED_VALUE"""),"auecId")</f>
        <v>auecId</v>
      </c>
      <c r="AN5" s="31" t="str">
        <f>IFERROR(__xludf.DUMMYFUNCTION("""COMPUTED_VALUE"""),"fxSymbol")</f>
        <v>fxSymbol</v>
      </c>
      <c r="AO5" s="31" t="str">
        <f>IFERROR(__xludf.DUMMYFUNCTION("""COMPUTED_VALUE"""),"sector")</f>
        <v>sector</v>
      </c>
      <c r="AP5" s="31" t="str">
        <f>IFERROR(__xludf.DUMMYFUNCTION("""COMPUTED_VALUE"""),"subSector")</f>
        <v>subSector</v>
      </c>
      <c r="AQ5" s="31" t="str">
        <f>IFERROR(__xludf.DUMMYFUNCTION("""COMPUTED_VALUE"""),"udaAsset")</f>
        <v>udaAsset</v>
      </c>
      <c r="AR5" s="31" t="str">
        <f>IFERROR(__xludf.DUMMYFUNCTION("""COMPUTED_VALUE"""),"udaSecurityType")</f>
        <v>udaSecurityType</v>
      </c>
      <c r="AS5" s="31" t="str">
        <f>IFERROR(__xludf.DUMMYFUNCTION("""COMPUTED_VALUE"""),"udaCountry")</f>
        <v>udaCountry</v>
      </c>
      <c r="AT5" s="31" t="str">
        <f>IFERROR(__xludf.DUMMYFUNCTION("""COMPUTED_VALUE"""),"underlyingCountry")</f>
        <v>underlyingCountry</v>
      </c>
      <c r="AU5" s="31" t="str">
        <f>IFERROR(__xludf.DUMMYFUNCTION("""COMPUTED_VALUE"""),"exchange")</f>
        <v>exchange</v>
      </c>
      <c r="AV5" s="31" t="str">
        <f>IFERROR(__xludf.DUMMYFUNCTION("""COMPUTED_VALUE"""),"orderType")</f>
        <v>orderType</v>
      </c>
      <c r="AW5" s="31" t="str">
        <f>IFERROR(__xludf.DUMMYFUNCTION("""COMPUTED_VALUE"""),"currency")</f>
        <v>currency</v>
      </c>
      <c r="AX5" s="31" t="str">
        <f>IFERROR(__xludf.DUMMYFUNCTION("""COMPUTED_VALUE"""),"putOrCall")</f>
        <v>putOrCall</v>
      </c>
      <c r="AY5" s="31" t="str">
        <f>IFERROR(__xludf.DUMMYFUNCTION("""COMPUTED_VALUE"""),"strikePrice")</f>
        <v>strikePrice</v>
      </c>
      <c r="AZ5" s="31" t="str">
        <f>IFERROR(__xludf.DUMMYFUNCTION("""COMPUTED_VALUE"""),"venue")</f>
        <v>venue</v>
      </c>
      <c r="BA5" s="31" t="str">
        <f>IFERROR(__xludf.DUMMYFUNCTION("""COMPUTED_VALUE"""),"riskCurrency")</f>
        <v>riskCurrency</v>
      </c>
      <c r="BB5" s="31" t="str">
        <f>IFERROR(__xludf.DUMMYFUNCTION("""COMPUTED_VALUE"""),"issuer")</f>
        <v>issuer</v>
      </c>
      <c r="BC5" s="31" t="str">
        <f>IFERROR(__xludf.DUMMYFUNCTION("""COMPUTED_VALUE"""),"countryOfRisk")</f>
        <v>countryOfRisk</v>
      </c>
      <c r="BD5" s="31" t="str">
        <f>IFERROR(__xludf.DUMMYFUNCTION("""COMPUTED_VALUE"""),"region")</f>
        <v>region</v>
      </c>
      <c r="BE5" s="31" t="str">
        <f>IFERROR(__xludf.DUMMYFUNCTION("""COMPUTED_VALUE"""),"analyst")</f>
        <v>analyst</v>
      </c>
      <c r="BF5" s="31" t="str">
        <f>IFERROR(__xludf.DUMMYFUNCTION("""COMPUTED_VALUE"""),"ucitsEligibleTag")</f>
        <v>ucitsEligibleTag</v>
      </c>
      <c r="BG5" s="31" t="str">
        <f>IFERROR(__xludf.DUMMYFUNCTION("""COMPUTED_VALUE"""),"liquidTag")</f>
        <v>liquidTag</v>
      </c>
      <c r="BH5" s="31" t="str">
        <f>IFERROR(__xludf.DUMMYFUNCTION("""COMPUTED_VALUE"""),"marketCap")</f>
        <v>marketCap</v>
      </c>
      <c r="BI5" s="31" t="str">
        <f>IFERROR(__xludf.DUMMYFUNCTION("""COMPUTED_VALUE"""),"customUDA1")</f>
        <v>customUDA1</v>
      </c>
      <c r="BJ5" s="31" t="str">
        <f>IFERROR(__xludf.DUMMYFUNCTION("""COMPUTED_VALUE"""),"customUDA2")</f>
        <v>customUDA2</v>
      </c>
      <c r="BK5" s="31" t="str">
        <f>IFERROR(__xludf.DUMMYFUNCTION("""COMPUTED_VALUE"""),"customUDA3")</f>
        <v>customUDA3</v>
      </c>
      <c r="BL5" s="31" t="str">
        <f>IFERROR(__xludf.DUMMYFUNCTION("""COMPUTED_VALUE"""),"counterParty")</f>
        <v>counterParty</v>
      </c>
      <c r="BM5" s="31" t="str">
        <f>IFERROR(__xludf.DUMMYFUNCTION("""COMPUTED_VALUE"""),"customUDA4")</f>
        <v>customUDA4</v>
      </c>
      <c r="BN5" s="31" t="str">
        <f>IFERROR(__xludf.DUMMYFUNCTION("""COMPUTED_VALUE"""),"customUDA5")</f>
        <v>customUDA5</v>
      </c>
      <c r="BO5" s="31" t="str">
        <f>IFERROR(__xludf.DUMMYFUNCTION("""COMPUTED_VALUE"""),"customUDA6")</f>
        <v>customUDA6</v>
      </c>
      <c r="BP5" s="31" t="str">
        <f>IFERROR(__xludf.DUMMYFUNCTION("""COMPUTED_VALUE"""),"customUDA7")</f>
        <v>customUDA7</v>
      </c>
      <c r="BQ5" s="31" t="str">
        <f>IFERROR(__xludf.DUMMYFUNCTION("""COMPUTED_VALUE"""),"currentFxRate")</f>
        <v>currentFxRate</v>
      </c>
      <c r="BR5" s="31" t="str">
        <f>IFERROR(__xludf.DUMMYFUNCTION("""COMPUTED_VALUE"""),"yesterdayFxRate")</f>
        <v>yesterdayFxRate</v>
      </c>
      <c r="BS5" s="31" t="str">
        <f>IFERROR(__xludf.DUMMYFUNCTION("""COMPUTED_VALUE"""),"fxConversionMethod")</f>
        <v>fxConversionMethod</v>
      </c>
      <c r="BT5" s="31" t="str">
        <f>IFERROR(__xludf.DUMMYFUNCTION("""COMPUTED_VALUE"""),"taxlotFxRate")</f>
        <v>taxlotFxRate</v>
      </c>
      <c r="BU5" s="31" t="str">
        <f>IFERROR(__xludf.DUMMYFUNCTION("""COMPUTED_VALUE"""),"taxlotFxConversionMethod")</f>
        <v>taxlotFxConversionMethod</v>
      </c>
      <c r="BV5" s="31" t="str">
        <f>IFERROR(__xludf.DUMMYFUNCTION("""COMPUTED_VALUE"""),"avgPrice")</f>
        <v>avgPrice</v>
      </c>
      <c r="BW5" s="31" t="str">
        <f>IFERROR(__xludf.DUMMYFUNCTION("""COMPUTED_VALUE"""),"askPrice")</f>
        <v>askPrice</v>
      </c>
      <c r="BX5" s="31" t="str">
        <f>IFERROR(__xludf.DUMMYFUNCTION("""COMPUTED_VALUE"""),"bidPrice")</f>
        <v>bidPrice</v>
      </c>
      <c r="BY5" s="31" t="str">
        <f>IFERROR(__xludf.DUMMYFUNCTION("""COMPUTED_VALUE"""),"lowPrice")</f>
        <v>lowPrice</v>
      </c>
      <c r="BZ5" s="31" t="str">
        <f>IFERROR(__xludf.DUMMYFUNCTION("""COMPUTED_VALUE"""),"highPrice")</f>
        <v>highPrice</v>
      </c>
      <c r="CA5" s="31" t="str">
        <f>IFERROR(__xludf.DUMMYFUNCTION("""COMPUTED_VALUE"""),"openPrice")</f>
        <v>openPrice</v>
      </c>
      <c r="CB5" s="31" t="str">
        <f>IFERROR(__xludf.DUMMYFUNCTION("""COMPUTED_VALUE"""),"closePrice")</f>
        <v>closePrice</v>
      </c>
      <c r="CC5" s="31" t="str">
        <f>IFERROR(__xludf.DUMMYFUNCTION("""COMPUTED_VALUE"""),"lastPrice")</f>
        <v>lastPrice</v>
      </c>
      <c r="CD5" s="31" t="str">
        <f>IFERROR(__xludf.DUMMYFUNCTION("""COMPUTED_VALUE"""),"markPrice")</f>
        <v>markPrice</v>
      </c>
      <c r="CE5" s="31" t="str">
        <f>IFERROR(__xludf.DUMMYFUNCTION("""COMPUTED_VALUE"""),"delta")</f>
        <v>delta</v>
      </c>
      <c r="CF5" s="31" t="str">
        <f>IFERROR(__xludf.DUMMYFUNCTION("""COMPUTED_VALUE"""),"leveragedFactor")</f>
        <v>leveragedFactor</v>
      </c>
      <c r="CG5" s="31" t="str">
        <f>IFERROR(__xludf.DUMMYFUNCTION("""COMPUTED_VALUE"""),"beta5YearMonthly")</f>
        <v>beta5YearMonthly</v>
      </c>
      <c r="CH5" s="31" t="str">
        <f>IFERROR(__xludf.DUMMYFUNCTION("""COMPUTED_VALUE"""),"selectedFeedPrice")</f>
        <v>selectedFeedPrice</v>
      </c>
      <c r="CI5" s="31" t="str">
        <f>IFERROR(__xludf.DUMMYFUNCTION("""COMPUTED_VALUE"""),"openInterest")</f>
        <v>openInterest</v>
      </c>
      <c r="CJ5" s="31" t="str">
        <f>IFERROR(__xludf.DUMMYFUNCTION("""COMPUTED_VALUE"""),"underlyingPrice")</f>
        <v>underlyingPrice</v>
      </c>
      <c r="CK5" s="31" t="str">
        <f>IFERROR(__xludf.DUMMYFUNCTION("""COMPUTED_VALUE"""),"avgVolume20Days")</f>
        <v>avgVolume20Days</v>
      </c>
      <c r="CL5" s="31" t="str">
        <f>IFERROR(__xludf.DUMMYFUNCTION("""COMPUTED_VALUE"""),"sharesOutstanding")</f>
        <v>sharesOutstanding</v>
      </c>
      <c r="CM5" s="31" t="str">
        <f>IFERROR(__xludf.DUMMYFUNCTION("""COMPUTED_VALUE"""),"underlyingSharesOutstanding")</f>
        <v>underlyingSharesOutstanding</v>
      </c>
      <c r="CN5" s="31" t="str">
        <f>IFERROR(__xludf.DUMMYFUNCTION("""COMPUTED_VALUE"""),"marketCapitalization")</f>
        <v>marketCapitalization</v>
      </c>
      <c r="CO5" s="31" t="str">
        <f>IFERROR(__xludf.DUMMYFUNCTION("""COMPUTED_VALUE"""),"underlyingMarketCapitalization")</f>
        <v>underlyingMarketCapitalization</v>
      </c>
      <c r="CP5" s="31" t="str">
        <f>IFERROR(__xludf.DUMMYFUNCTION("""COMPUTED_VALUE"""),"avgVolume")</f>
        <v>avgVolume</v>
      </c>
      <c r="CQ5" s="31" t="str">
        <f>IFERROR(__xludf.DUMMYFUNCTION("""COMPUTED_VALUE"""),"netMarketValueLocal")</f>
        <v>netMarketValueLocal</v>
      </c>
      <c r="CR5" s="31" t="str">
        <f>IFERROR(__xludf.DUMMYFUNCTION("""COMPUTED_VALUE"""),"yesterdayMarketValueLocal")</f>
        <v>yesterdayMarketValueLocal</v>
      </c>
      <c r="CS5" s="31" t="str">
        <f>IFERROR(__xludf.DUMMYFUNCTION("""COMPUTED_VALUE"""),"grossMarketValueLocal")</f>
        <v>grossMarketValueLocal</v>
      </c>
      <c r="CT5" s="31" t="str">
        <f>IFERROR(__xludf.DUMMYFUNCTION("""COMPUTED_VALUE"""),"netMarketValueBase")</f>
        <v>netMarketValueBase</v>
      </c>
      <c r="CU5" s="31" t="str">
        <f>IFERROR(__xludf.DUMMYFUNCTION("""COMPUTED_VALUE"""),"yesterdayMarketValueBase")</f>
        <v>yesterdayMarketValueBase</v>
      </c>
      <c r="CV5" s="31" t="str">
        <f>IFERROR(__xludf.DUMMYFUNCTION("""COMPUTED_VALUE"""),"grossMarketValueBase")</f>
        <v>grossMarketValueBase</v>
      </c>
      <c r="CW5" s="31" t="str">
        <f>IFERROR(__xludf.DUMMYFUNCTION("""COMPUTED_VALUE"""),"notionalLocal")</f>
        <v>notionalLocal</v>
      </c>
      <c r="CX5" s="31" t="str">
        <f>IFERROR(__xludf.DUMMYFUNCTION("""COMPUTED_VALUE"""),"cashImpactLocal")</f>
        <v>cashImpactLocal</v>
      </c>
      <c r="CY5" s="31" t="str">
        <f>IFERROR(__xludf.DUMMYFUNCTION("""COMPUTED_VALUE"""),"cashInflowLocal")</f>
        <v>cashInflowLocal</v>
      </c>
      <c r="CZ5" s="31" t="str">
        <f>IFERROR(__xludf.DUMMYFUNCTION("""COMPUTED_VALUE"""),"cashOutflowLocal")</f>
        <v>cashOutflowLocal</v>
      </c>
      <c r="DA5" s="31" t="str">
        <f>IFERROR(__xludf.DUMMYFUNCTION("""COMPUTED_VALUE"""),"equityHaircutLocal")</f>
        <v>equityHaircutLocal</v>
      </c>
      <c r="DB5" s="31" t="str">
        <f>IFERROR(__xludf.DUMMYFUNCTION("""COMPUTED_VALUE"""),"indexHaircutLocal")</f>
        <v>indexHaircutLocal</v>
      </c>
      <c r="DC5" s="31" t="str">
        <f>IFERROR(__xludf.DUMMYFUNCTION("""COMPUTED_VALUE"""),"notionalBase")</f>
        <v>notionalBase</v>
      </c>
      <c r="DD5" s="31" t="str">
        <f>IFERROR(__xludf.DUMMYFUNCTION("""COMPUTED_VALUE"""),"cashImpactBase")</f>
        <v>cashImpactBase</v>
      </c>
      <c r="DE5" s="31" t="str">
        <f>IFERROR(__xludf.DUMMYFUNCTION("""COMPUTED_VALUE"""),"cashInflowBase")</f>
        <v>cashInflowBase</v>
      </c>
      <c r="DF5" s="31" t="str">
        <f>IFERROR(__xludf.DUMMYFUNCTION("""COMPUTED_VALUE"""),"cashOutflowBase")</f>
        <v>cashOutflowBase</v>
      </c>
      <c r="DG5" s="31" t="str">
        <f>IFERROR(__xludf.DUMMYFUNCTION("""COMPUTED_VALUE"""),"equityHaircutBase")</f>
        <v>equityHaircutBase</v>
      </c>
      <c r="DH5" s="31" t="str">
        <f>IFERROR(__xludf.DUMMYFUNCTION("""COMPUTED_VALUE"""),"indexHaircutBase")</f>
        <v>indexHaircutBase</v>
      </c>
      <c r="DI5" s="31" t="str">
        <f>IFERROR(__xludf.DUMMYFUNCTION("""COMPUTED_VALUE"""),"underlyingValueForOptionsLocal")</f>
        <v>underlyingValueForOptionsLocal</v>
      </c>
      <c r="DJ5" s="31" t="str">
        <f>IFERROR(__xludf.DUMMYFUNCTION("""COMPUTED_VALUE"""),"dayPnLLocal")</f>
        <v>dayPnLLocal</v>
      </c>
      <c r="DK5" s="31" t="str">
        <f>IFERROR(__xludf.DUMMYFUNCTION("""COMPUTED_VALUE"""),"costBasisPnLLocal")</f>
        <v>costBasisPnLLocal</v>
      </c>
      <c r="DL5" s="31" t="str">
        <f>IFERROR(__xludf.DUMMYFUNCTION("""COMPUTED_VALUE"""),"liquidationPnlLocal")</f>
        <v>liquidationPnlLocal</v>
      </c>
      <c r="DM5" s="31" t="str">
        <f>IFERROR(__xludf.DUMMYFUNCTION("""COMPUTED_VALUE"""),"underlyingValueForOptionsBase")</f>
        <v>underlyingValueForOptionsBase</v>
      </c>
      <c r="DN5" s="31" t="str">
        <f>IFERROR(__xludf.DUMMYFUNCTION("""COMPUTED_VALUE"""),"dayPnLBase")</f>
        <v>dayPnLBase</v>
      </c>
      <c r="DO5" s="31" t="str">
        <f>IFERROR(__xludf.DUMMYFUNCTION("""COMPUTED_VALUE"""),"costBasisPnLBase")</f>
        <v>costBasisPnLBase</v>
      </c>
      <c r="DP5" s="31" t="str">
        <f>IFERROR(__xludf.DUMMYFUNCTION("""COMPUTED_VALUE"""),"liquidationPnlBase")</f>
        <v>liquidationPnlBase</v>
      </c>
      <c r="DQ5" s="31" t="str">
        <f>IFERROR(__xludf.DUMMYFUNCTION("""COMPUTED_VALUE"""),"netExposureLocal")</f>
        <v>netExposureLocal</v>
      </c>
      <c r="DR5" s="31" t="str">
        <f>IFERROR(__xludf.DUMMYFUNCTION("""COMPUTED_VALUE"""),"grossExposureLocal")</f>
        <v>grossExposureLocal</v>
      </c>
      <c r="DS5" s="31" t="str">
        <f>IFERROR(__xludf.DUMMYFUNCTION("""COMPUTED_VALUE"""),"betaAdjustedExposureLocal")</f>
        <v>betaAdjustedExposureLocal</v>
      </c>
      <c r="DT5" s="31" t="str">
        <f>IFERROR(__xludf.DUMMYFUNCTION("""COMPUTED_VALUE"""),"netExposureBase")</f>
        <v>netExposureBase</v>
      </c>
      <c r="DU5" s="31" t="str">
        <f>IFERROR(__xludf.DUMMYFUNCTION("""COMPUTED_VALUE"""),"grossExposureBase")</f>
        <v>grossExposureBase</v>
      </c>
      <c r="DV5" s="31" t="str">
        <f>IFERROR(__xludf.DUMMYFUNCTION("""COMPUTED_VALUE"""),"betaAdjustedExposureBase")</f>
        <v>betaAdjustedExposureBase</v>
      </c>
      <c r="DW5" s="31" t="str">
        <f>IFERROR(__xludf.DUMMYFUNCTION("""COMPUTED_VALUE"""),"deltaAdjPosition")</f>
        <v>deltaAdjPosition</v>
      </c>
      <c r="DX5" s="31" t="str">
        <f>IFERROR(__xludf.DUMMYFUNCTION("""COMPUTED_VALUE"""),"dayDiff")</f>
        <v>dayDiff</v>
      </c>
      <c r="DY5" s="31" t="str">
        <f>IFERROR(__xludf.DUMMYFUNCTION("""COMPUTED_VALUE"""),"dayInterestLocal")</f>
        <v>dayInterestLocal</v>
      </c>
      <c r="DZ5" s="31" t="str">
        <f>IFERROR(__xludf.DUMMYFUNCTION("""COMPUTED_VALUE"""),"totalInterestLocal")</f>
        <v>totalInterestLocal</v>
      </c>
      <c r="EA5" s="31" t="str">
        <f>IFERROR(__xludf.DUMMYFUNCTION("""COMPUTED_VALUE"""),"dayInterestBase")</f>
        <v>dayInterestBase</v>
      </c>
      <c r="EB5" s="31" t="str">
        <f>IFERROR(__xludf.DUMMYFUNCTION("""COMPUTED_VALUE"""),"totalInterestBase")</f>
        <v>totalInterestBase</v>
      </c>
      <c r="EC5" s="31" t="str">
        <f>IFERROR(__xludf.DUMMYFUNCTION("""COMPUTED_VALUE"""),"percentAvgVolume")</f>
        <v>percentAvgVolume</v>
      </c>
      <c r="ED5" s="31" t="str">
        <f>IFERROR(__xludf.DUMMYFUNCTION("""COMPUTED_VALUE"""),"businessDaysToExpire")</f>
        <v>businessDaysToExpire</v>
      </c>
      <c r="EE5" s="31" t="str">
        <f>IFERROR(__xludf.DUMMYFUNCTION("""COMPUTED_VALUE"""),"actualDaysToExpire")</f>
        <v>actualDaysToExpire</v>
      </c>
      <c r="EF5" s="31" t="str">
        <f>IFERROR(__xludf.DUMMYFUNCTION("""COMPUTED_VALUE"""),"longDebitBalance")</f>
        <v>longDebitBalance</v>
      </c>
      <c r="EG5" s="31" t="str">
        <f>IFERROR(__xludf.DUMMYFUNCTION("""COMPUTED_VALUE"""),"shortCreditBalance")</f>
        <v>shortCreditBalance</v>
      </c>
      <c r="EH5" s="31" t="str">
        <f>IFERROR(__xludf.DUMMYFUNCTION("""COMPUTED_VALUE"""),"roundLot")</f>
        <v>roundLot</v>
      </c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IFERROR(__xludf.DUMMYFUNCTION("""COMPUTED_VALUE"""),"CloseSSw/BuyBTO ")</f>
        <v>CloseSSw/BuyBTO </v>
      </c>
      <c r="C5" s="29" t="str">
        <f>IFERROR(__xludf.DUMMYFUNCTION("""COMPUTED_VALUE"""),"AutoCloseStrategy")</f>
        <v>AutoCloseStrategy</v>
      </c>
      <c r="D5" s="29" t="str">
        <f>IFERROR(__xludf.DUMMYFUNCTION("""COMPUTED_VALUE"""),"Algorithm")</f>
        <v>Algorithm</v>
      </c>
      <c r="E5" s="29" t="str">
        <f>IFERROR(__xludf.DUMMYFUNCTION("""COMPUTED_VALUE"""),"SecondarySortCriteria")</f>
        <v>SecondarySortCriteria</v>
      </c>
      <c r="F5" s="30" t="str">
        <f>IFERROR(__xludf.DUMMYFUNCTION("""COMPUTED_VALUE"""),"ClosingField")</f>
        <v>ClosingField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3"/>
      <c r="B6" s="64" t="b">
        <v>1</v>
      </c>
      <c r="C6" s="65" t="b">
        <v>1</v>
      </c>
      <c r="D6" s="42" t="s">
        <v>46</v>
      </c>
      <c r="E6" s="35" t="s">
        <v>47</v>
      </c>
      <c r="F6" s="35" t="s">
        <v>48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