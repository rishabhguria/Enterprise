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</sheets>
  <definedNames/>
  <calcPr/>
</workbook>
</file>

<file path=xl/sharedStrings.xml><?xml version="1.0" encoding="utf-8"?>
<sst xmlns="http://schemas.openxmlformats.org/spreadsheetml/2006/main" count="84" uniqueCount="36">
  <si>
    <t>Modules Info</t>
  </si>
  <si>
    <t>Settings</t>
  </si>
  <si>
    <t>Master Data Info</t>
  </si>
  <si>
    <t>Module</t>
  </si>
  <si>
    <t>Modules</t>
  </si>
  <si>
    <t>Module Step Setting File</t>
  </si>
  <si>
    <t>Step</t>
  </si>
  <si>
    <t>1BICZ_GcMhh_S937ZinFvSYqvvKYtOYB2Bc4woEPpgPg</t>
  </si>
  <si>
    <t>Master Data Sheet</t>
  </si>
  <si>
    <t>Master Data Settings File</t>
  </si>
  <si>
    <t>1hEhI9rg16D4Xvfk19pDaFUFF78jjfIG29BBaNg8kT0A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</si>
  <si>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</si>
  <si>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</si>
  <si>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</si>
  <si>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</si>
  <si>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</si>
  <si>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</si>
  <si>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</si>
  <si>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</si>
  <si>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</si>
  <si>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</si>
  <si>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</si>
  <si>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</si>
  <si>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</si>
  <si>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</si>
  <si>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</si>
  <si>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Sell short</t>
  </si>
  <si>
    <t>PricingInput</t>
  </si>
  <si>
    <t>Rebalancer</t>
  </si>
  <si>
    <t>FetchAccountPositions</t>
  </si>
  <si>
    <t>Real-Time Positions</t>
  </si>
  <si>
    <t>RebalanceAcrossSecurities</t>
  </si>
  <si>
    <t>Set</t>
  </si>
  <si>
    <t>Check</t>
  </si>
  <si>
    <t>RunRebalance</t>
  </si>
  <si>
    <t>Nearest Round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</si>
</sst>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4" numFmtId="0" xfId="0" applyAlignment="1" applyBorder="1" applyFont="1">
      <alignment vertical="bottom"/>
    </xf>
    <xf borderId="5" fillId="6" fontId="13" numFmtId="0" xfId="0" applyAlignment="1" applyBorder="1" applyFill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4</v>
      </c>
      <c r="B3" s="15"/>
      <c r="C3" s="16"/>
      <c r="D3" s="16"/>
      <c r="E3" s="16"/>
      <c r="F3" s="16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4"/>
      <c r="C1" s="5"/>
    </row>
    <row r="2" ht="15.75" customHeight="1">
      <c r="A2" s="7"/>
      <c r="B2" s="7"/>
      <c r="C2" s="7"/>
    </row>
    <row r="3" ht="15.75" customHeight="1">
      <c r="A3" s="9" t="s">
        <v>5</v>
      </c>
      <c r="B3" s="11" t="s">
        <v>7</v>
      </c>
      <c r="C3" s="7"/>
    </row>
    <row r="4" ht="15.75" customHeight="1">
      <c r="A4" s="8" t="s">
        <v>9</v>
      </c>
      <c r="B4" s="11" t="s">
        <v>10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2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0" t="s">
        <v>6</v>
      </c>
      <c r="C3" s="10" t="s">
        <v>8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13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From")</f>
        <v>Copy From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29">
        <f t="shared" ref="B6:C6" si="1">today()-1</f>
        <v>43821</v>
      </c>
      <c r="C6" s="29">
        <f t="shared" si="1"/>
        <v>43821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16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IFERROR(__xludf.DUMMYFUNCTION("""COMPUTED_VALUE"""),"Local Currency")</f>
        <v>Local Currency</v>
      </c>
      <c r="D5" s="26" t="str">
        <f>IFERROR(__xludf.DUMMYFUNCTION("""COMPUTED_VALUE"""),"Cash Value Local")</f>
        <v>Cash Value Local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2" t="s">
        <v>17</v>
      </c>
      <c r="C6" s="33" t="s">
        <v>18</v>
      </c>
      <c r="D6" s="34">
        <v>12000.0</v>
      </c>
      <c r="E6" s="35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36"/>
      <c r="B7" s="37" t="s">
        <v>19</v>
      </c>
      <c r="C7" s="37" t="s">
        <v>18</v>
      </c>
      <c r="D7" s="38">
        <v>15000.0</v>
      </c>
      <c r="E7" s="36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20</v>
      </c>
      <c r="D3" s="9" t="s">
        <v>6</v>
      </c>
      <c r="E3" s="21" t="s">
        <v>21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2" t="s">
        <v>22</v>
      </c>
      <c r="C6" s="33" t="s">
        <v>23</v>
      </c>
      <c r="D6" s="34">
        <v>100.0</v>
      </c>
      <c r="E6" s="39">
        <v>100.0</v>
      </c>
      <c r="F6" s="33" t="s">
        <v>17</v>
      </c>
      <c r="G6" s="35"/>
      <c r="H6" s="35"/>
      <c r="I6" s="35"/>
      <c r="J6" s="39">
        <v>50.0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24</v>
      </c>
      <c r="C7" s="37" t="s">
        <v>23</v>
      </c>
      <c r="D7" s="38">
        <v>100.0</v>
      </c>
      <c r="E7" s="38">
        <v>100.0</v>
      </c>
      <c r="F7" s="37" t="s">
        <v>17</v>
      </c>
      <c r="G7" s="36"/>
      <c r="H7" s="36"/>
      <c r="I7" s="36"/>
      <c r="J7" s="38">
        <v>60.0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7" t="s">
        <v>25</v>
      </c>
      <c r="C8" s="37" t="s">
        <v>26</v>
      </c>
      <c r="D8" s="38">
        <v>50.0</v>
      </c>
      <c r="E8" s="38">
        <v>50.0</v>
      </c>
      <c r="F8" s="37" t="s">
        <v>17</v>
      </c>
      <c r="G8" s="36"/>
      <c r="H8" s="36"/>
      <c r="I8" s="36"/>
      <c r="J8" s="38">
        <v>30.0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6</v>
      </c>
      <c r="E3" s="21" t="s">
        <v>27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2" t="s">
        <v>22</v>
      </c>
      <c r="C6" s="39">
        <v>50.0</v>
      </c>
      <c r="D6" s="4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24</v>
      </c>
      <c r="C7" s="38">
        <v>60.0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7" t="s">
        <v>25</v>
      </c>
      <c r="C8" s="38">
        <v>30.0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28</v>
      </c>
      <c r="D3" s="9" t="s">
        <v>6</v>
      </c>
      <c r="E3" s="21" t="s">
        <v>29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IFERROR(__xludf.DUMMYFUNCTION("""COMPUTED_VALUE"""),"Account/Groups")</f>
        <v>Account/Groups</v>
      </c>
      <c r="C5" s="26" t="str">
        <f>IFERROR(__xludf.DUMMYFUNCTION("""COMPUTED_VALUE"""),"Account Positions")</f>
        <v>Account Positions</v>
      </c>
      <c r="D5" s="26" t="str">
        <f>IFERROR(__xludf.DUMMYFUNCTION("""COMPUTED_VALUE"""),"Calculation Level")</f>
        <v>Calculation Level</v>
      </c>
      <c r="E5" s="26" t="str">
        <f>IFERROR(__xludf.DUMMYFUNCTION("""COMPUTED_VALUE"""),"Refresh")</f>
        <v>Refresh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6"/>
      <c r="B6" s="41" t="s">
        <v>17</v>
      </c>
      <c r="C6" s="42" t="s">
        <v>30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28</v>
      </c>
      <c r="D3" s="9" t="s">
        <v>6</v>
      </c>
      <c r="E3" s="21" t="s">
        <v>31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IFERROR(__xludf.DUMMYFUNCTION("""COMPUTED_VALUE"""),"Ticker")</f>
        <v>Ticker</v>
      </c>
      <c r="C5" s="26" t="str">
        <f>IFERROR(__xludf.DUMMYFUNCTION("""COMPUTED_VALUE"""),"Set/Inc/Dec")</f>
        <v>Set/Inc/Dec</v>
      </c>
      <c r="D5" s="26" t="str">
        <f>IFERROR(__xludf.DUMMYFUNCTION("""COMPUTED_VALUE"""),"Target%")</f>
        <v>Target%</v>
      </c>
      <c r="E5" s="26" t="str">
        <f>IFERROR(__xludf.DUMMYFUNCTION("""COMPUTED_VALUE"""),"Account/Group")</f>
        <v>Account/Group</v>
      </c>
      <c r="F5" s="27" t="str">
        <f>IFERROR(__xludf.DUMMYFUNCTION("""COMPUTED_VALUE"""),"ReinvestCash")</f>
        <v>ReinvestCash</v>
      </c>
      <c r="G5" s="26" t="str">
        <f>IFERROR(__xludf.DUMMYFUNCTION("""COMPUTED_VALUE"""),"SellToRaiseCash")</f>
        <v>SellToRaiseCash</v>
      </c>
      <c r="H5" s="26" t="str">
        <f>IFERROR(__xludf.DUMMYFUNCTION("""COMPUTED_VALUE"""),"AllowNegCash")</f>
        <v>AllowNegCash</v>
      </c>
      <c r="I5" s="26" t="str">
        <f>IFERROR(__xludf.DUMMYFUNCTION("""COMPUTED_VALUE"""),"NoShortning")</f>
        <v>NoShortning</v>
      </c>
      <c r="J5" s="26" t="str">
        <f>IFERROR(__xludf.DUMMYFUNCTION("""COMPUTED_VALUE"""),"Price")</f>
        <v>Price</v>
      </c>
      <c r="K5" s="26" t="str">
        <f>IFERROR(__xludf.DUMMYFUNCTION("""COMPUTED_VALUE"""),"Fx")</f>
        <v>Fx</v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6"/>
      <c r="B6" s="33" t="s">
        <v>25</v>
      </c>
      <c r="C6" s="33" t="s">
        <v>32</v>
      </c>
      <c r="D6" s="39">
        <v>-1.0</v>
      </c>
      <c r="E6" s="41" t="s">
        <v>17</v>
      </c>
      <c r="F6" s="35"/>
      <c r="G6" s="43" t="s">
        <v>33</v>
      </c>
      <c r="H6" s="33" t="s">
        <v>33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28</v>
      </c>
      <c r="D3" s="9" t="s">
        <v>6</v>
      </c>
      <c r="E3" s="21" t="s">
        <v>34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IFERROR(__xludf.DUMMYFUNCTION("""COMPUTED_VALUE"""),"Rounding Type")</f>
        <v>Rounding Type</v>
      </c>
      <c r="C5" s="26" t="str">
        <f>IFERROR(__xludf.DUMMYFUNCTION("""COMPUTED_VALUE"""),"Rebalance")</f>
        <v>Rebalance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1" t="s">
        <v>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