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SelectTradeOnOrderGrid1" sheetId="11" r:id="rId13"/>
    <sheet state="visible" name="AllocateFromBlotter" sheetId="12" r:id="rId14"/>
    <sheet state="visible" name="GetDataAllocation" sheetId="13" r:id="rId15"/>
    <sheet state="visible" name="Unallocate" sheetId="14" r:id="rId16"/>
    <sheet state="visible" name="AllocateFromBlotter1" sheetId="15" r:id="rId17"/>
    <sheet state="visible" name="VerifyWorkingSubs" sheetId="16" r:id="rId18"/>
    <sheet state="visible" name="RestartClient" sheetId="17" r:id="rId19"/>
    <sheet state="visible" name="Copy of Data" sheetId="18" r:id="rId20"/>
  </sheets>
  <definedNames/>
  <calcPr/>
</workbook>
</file>

<file path=xl/sharedStrings.xml><?xml version="1.0" encoding="utf-8"?>
<sst xmlns="http://schemas.openxmlformats.org/spreadsheetml/2006/main" count="440" uniqueCount="58">
  <si>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</si>
  <si>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</si>
  <si>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</si>
  <si>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</si>
  <si>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</si>
  <si>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</si>
  <si>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</si>
  <si>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</si>
  <si>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</si>
  <si>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</si>
  <si>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</si>
  <si>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</si>
  <si>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</si>
  <si>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</si>
  <si>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</si>
  <si>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</si>
  <si>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</si>
  <si>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</si>
  <si>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</si>
  <si>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</si>
  <si>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</si>
  <si>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</si>
  <si>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</si>
  <si>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</si>
  <si>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</si>
  <si>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</si>
  <si>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</si>
  <si>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</si>
  <si>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</si>
  <si>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</si>
  <si>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</si>
  <si>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Allocation2</t>
  </si>
  <si>
    <t>Allocation</t>
  </si>
  <si>
    <t>GetDataAllocation</t>
  </si>
  <si>
    <t>Historical</t>
  </si>
  <si>
    <t>Unallocate</t>
  </si>
  <si>
    <t>Allocation4</t>
  </si>
  <si>
    <t>VerifyWorkingSubs</t>
  </si>
  <si>
    <t/>
  </si>
  <si>
    <t>Filled</t>
  </si>
  <si>
    <t>MS</t>
  </si>
  <si>
    <t>jpearce</t>
  </si>
  <si>
    <t>MSFT US EQUITY</t>
  </si>
  <si>
    <t>N.A.</t>
  </si>
  <si>
    <t>Equity</t>
  </si>
  <si>
    <t>M</t>
  </si>
  <si>
    <t>DefaultNotes</t>
  </si>
  <si>
    <t>NONE</t>
  </si>
  <si>
    <t>USD</t>
  </si>
  <si>
    <t>Fix</t>
  </si>
  <si>
    <t>GCCAP1</t>
  </si>
  <si>
    <t>US</t>
  </si>
  <si>
    <t>NASDAQ</t>
  </si>
  <si>
    <t>AAPL US EQUITY</t>
  </si>
  <si>
    <t>PranaClient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</si>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</sst>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1000.0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3">
        <v>1000.0</v>
      </c>
      <c r="Y6" s="36">
        <f>TODAY()</f>
        <v>45334</v>
      </c>
      <c r="Z6" s="36">
        <f t="shared" ref="Z6:Z7" si="1">TODAY()-1</f>
        <v>45333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22</v>
      </c>
      <c r="C7" s="32">
        <v>5000.0</v>
      </c>
      <c r="D7" s="33">
        <v>1000.0</v>
      </c>
      <c r="E7" s="34" t="s">
        <v>17</v>
      </c>
      <c r="F7" s="35"/>
      <c r="G7" s="35"/>
      <c r="H7" s="35"/>
      <c r="I7" s="34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21</v>
      </c>
      <c r="W7" s="35"/>
      <c r="X7" s="33">
        <v>1000.0</v>
      </c>
      <c r="Y7" s="35"/>
      <c r="Z7" s="36">
        <f t="shared" si="1"/>
        <v>45333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1000.0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38">
        <f>TODAY()-1</f>
        <v>45333</v>
      </c>
      <c r="D6" s="38">
        <f>TODAY()</f>
        <v>45334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36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38</v>
      </c>
      <c r="B6" s="39" t="s">
        <v>16</v>
      </c>
      <c r="C6" s="8" t="s">
        <v>19</v>
      </c>
      <c r="D6" s="39" t="s">
        <v>38</v>
      </c>
      <c r="E6" s="8" t="s">
        <v>38</v>
      </c>
      <c r="F6" s="8" t="s">
        <v>38</v>
      </c>
      <c r="G6" s="8" t="s">
        <v>39</v>
      </c>
      <c r="H6" s="8">
        <v>2500.0</v>
      </c>
      <c r="I6" s="8"/>
      <c r="J6" s="8"/>
      <c r="K6" s="8" t="s">
        <v>40</v>
      </c>
      <c r="L6" s="8"/>
      <c r="M6" s="8" t="s">
        <v>21</v>
      </c>
      <c r="N6" s="8"/>
      <c r="O6" s="8"/>
      <c r="R6" t="s">
        <v>41</v>
      </c>
      <c r="S6" t="s">
        <v>42</v>
      </c>
      <c r="T6" t="s">
        <v>43</v>
      </c>
      <c r="V6" t="s">
        <v>38</v>
      </c>
      <c r="W6" t="s">
        <v>44</v>
      </c>
      <c r="X6" t="s">
        <v>45</v>
      </c>
      <c r="Y6">
        <v>1.0</v>
      </c>
      <c r="AA6" t="s">
        <v>46</v>
      </c>
      <c r="AF6" t="s">
        <v>47</v>
      </c>
      <c r="AG6" t="s">
        <v>48</v>
      </c>
      <c r="AH6" t="s">
        <v>49</v>
      </c>
      <c r="AI6" t="s">
        <v>38</v>
      </c>
      <c r="AJ6" t="s">
        <v>38</v>
      </c>
      <c r="AR6" t="s">
        <v>50</v>
      </c>
      <c r="AT6" t="s">
        <v>51</v>
      </c>
      <c r="AU6" t="s">
        <v>16</v>
      </c>
      <c r="AV6" t="s">
        <v>52</v>
      </c>
      <c r="AX6" t="s">
        <v>38</v>
      </c>
      <c r="BB6" t="s">
        <v>41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38</v>
      </c>
      <c r="B7" s="8" t="s">
        <v>22</v>
      </c>
      <c r="C7" s="8" t="s">
        <v>19</v>
      </c>
      <c r="D7" s="8" t="s">
        <v>38</v>
      </c>
      <c r="E7" s="8" t="s">
        <v>38</v>
      </c>
      <c r="F7" s="8" t="s">
        <v>38</v>
      </c>
      <c r="G7" s="8" t="s">
        <v>39</v>
      </c>
      <c r="H7" s="8">
        <v>2500.0</v>
      </c>
      <c r="I7" s="8"/>
      <c r="J7" s="8"/>
      <c r="K7" s="8" t="s">
        <v>40</v>
      </c>
      <c r="L7" s="8"/>
      <c r="M7" s="8" t="s">
        <v>21</v>
      </c>
      <c r="N7" s="8" t="s">
        <v>38</v>
      </c>
      <c r="O7" s="8"/>
      <c r="R7" t="s">
        <v>41</v>
      </c>
      <c r="S7" t="s">
        <v>53</v>
      </c>
      <c r="T7" t="s">
        <v>43</v>
      </c>
      <c r="V7" t="s">
        <v>38</v>
      </c>
      <c r="W7" t="s">
        <v>44</v>
      </c>
      <c r="X7" t="s">
        <v>45</v>
      </c>
      <c r="Y7">
        <v>1.0</v>
      </c>
      <c r="AA7" t="s">
        <v>46</v>
      </c>
      <c r="AF7" t="s">
        <v>47</v>
      </c>
      <c r="AG7" t="s">
        <v>48</v>
      </c>
      <c r="AH7" t="s">
        <v>49</v>
      </c>
      <c r="AI7" t="s">
        <v>38</v>
      </c>
      <c r="AJ7" t="s">
        <v>38</v>
      </c>
      <c r="AR7" t="s">
        <v>50</v>
      </c>
      <c r="AT7" t="s">
        <v>51</v>
      </c>
      <c r="AU7" t="s">
        <v>22</v>
      </c>
      <c r="AV7" t="s">
        <v>52</v>
      </c>
      <c r="AX7" t="s">
        <v>38</v>
      </c>
      <c r="BB7" t="s">
        <v>41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 t="s">
        <v>57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 t="s">
        <v>57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