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Permission" sheetId="4" r:id="rId6"/>
    <sheet state="visible" name="CustomOrderTT" sheetId="5" r:id="rId7"/>
    <sheet state="visible" name="LoginClient" sheetId="6" r:id="rId8"/>
    <sheet state="visible" name="ApproveorRejectpendingapproval" sheetId="7" r:id="rId9"/>
    <sheet state="visible" name="LoginClient1" sheetId="8" r:id="rId10"/>
    <sheet state="visible" name="SelectTrade" sheetId="9" r:id="rId11"/>
    <sheet state="visible" name="AcknowledgeTrade" sheetId="10" r:id="rId12"/>
    <sheet state="visible" name="ReplaceSubOrder" sheetId="11" r:id="rId13"/>
    <sheet state="visible" name="CustomOrderTT1" sheetId="12" r:id="rId14"/>
    <sheet state="visible" name="TransferToUserOrder" sheetId="13" r:id="rId15"/>
    <sheet state="visible" name="ExecuteTrade" sheetId="14" r:id="rId16"/>
    <sheet state="visible" name="CheckAllocatedGroups" sheetId="15" r:id="rId17"/>
    <sheet state="visible" name="CheckAllocatedTaxlots" sheetId="16" r:id="rId18"/>
  </sheets>
  <definedNames/>
  <calcPr/>
</workbook>
</file>

<file path=xl/sharedStrings.xml><?xml version="1.0" encoding="utf-8"?>
<sst xmlns="http://schemas.openxmlformats.org/spreadsheetml/2006/main" count="229" uniqueCount="67">
  <si>
    <t>Modules Info</t>
  </si>
  <si>
    <t>Modules</t>
  </si>
  <si>
    <t>Settings</t>
  </si>
  <si>
    <t>Module Step Setting File</t>
  </si>
  <si>
    <t>1ljlGTi8Qdd2556nf5TIe5Xaj9i7pwkldGcheiC4kHCM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</si>
  <si>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</si>
  <si>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</si>
  <si>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</si>
  <si>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</si>
  <si>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</si>
  <si>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</si>
  <si>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</si>
  <si>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</si>
  <si>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SetCompliancePermission</t>
  </si>
  <si>
    <t>Data Format</t>
  </si>
  <si>
    <t>Input Format</t>
  </si>
  <si>
    <t>TradeQuantity-123</t>
  </si>
  <si>
    <t>REQUIRES APPROVAL</t>
  </si>
  <si>
    <t>TradingTicket</t>
  </si>
  <si>
    <t>CustomOrderTT</t>
  </si>
  <si>
    <t>MSFT</t>
  </si>
  <si>
    <t>Send</t>
  </si>
  <si>
    <t>Buy</t>
  </si>
  <si>
    <t>Good Till Date</t>
  </si>
  <si>
    <t>Limit</t>
  </si>
  <si>
    <t>No</t>
  </si>
  <si>
    <t>PranaClient</t>
  </si>
  <si>
    <t>LoginClient</t>
  </si>
  <si>
    <t>Support2</t>
  </si>
  <si>
    <t>Nirvana@1</t>
  </si>
  <si>
    <t>Compliance</t>
  </si>
  <si>
    <t>ApproveorRejectpendingapproval</t>
  </si>
  <si>
    <t>Approve</t>
  </si>
  <si>
    <t>Support1</t>
  </si>
  <si>
    <t>Simulator</t>
  </si>
  <si>
    <t>AcknowledgeTrade</t>
  </si>
  <si>
    <t>Blotter</t>
  </si>
  <si>
    <t>ReplaceSubOrder</t>
  </si>
  <si>
    <t>Replace</t>
  </si>
  <si>
    <t>TransferToUserOrder</t>
  </si>
  <si>
    <t>jgulbrandsen</t>
  </si>
  <si>
    <t>Yes</t>
  </si>
  <si>
    <t>ExecuteTrade</t>
  </si>
  <si>
    <t>Allocation</t>
  </si>
  <si>
    <t>CheckAllocatedGroups</t>
  </si>
  <si>
    <t>Allocation1</t>
  </si>
  <si>
    <t>Actual_365</t>
  </si>
  <si>
    <t>Manual</t>
  </si>
  <si>
    <t>Equity</t>
  </si>
  <si>
    <t>MSFT US EQUITY</t>
  </si>
  <si>
    <t>Treasury</t>
  </si>
  <si>
    <t>MS</t>
  </si>
  <si>
    <t>Open</t>
  </si>
  <si>
    <t>MICROSOFT INC</t>
  </si>
  <si>
    <t/>
  </si>
  <si>
    <t>USD</t>
  </si>
  <si>
    <t>NASDAQ</t>
  </si>
  <si>
    <t>M</t>
  </si>
  <si>
    <t>None</t>
  </si>
  <si>
    <t>DefaultNotes</t>
  </si>
  <si>
    <t>US5949181045</t>
  </si>
  <si>
    <t>InternalOrder</t>
  </si>
  <si>
    <t>Strategy Unallocated</t>
  </si>
  <si>
    <t>GCCAP1</t>
  </si>
  <si>
    <t>US</t>
  </si>
  <si>
    <t>NONE</t>
  </si>
  <si>
    <t>CheckAllocatedTaxlots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</si>
</sst>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/d/yyyy H:mm:ss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  <font>
      <sz val="9.0"/>
      <color rgb="FFFF8000"/>
      <name val="&quot;Segoe UI&quot;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13" numFmtId="0" xfId="0" applyAlignment="1" applyFont="1">
      <alignment vertical="bottom"/>
    </xf>
    <xf borderId="0" fillId="0" fontId="13" numFmtId="0" xfId="0" applyAlignment="1" applyFont="1">
      <alignment horizontal="right" vertical="bottom"/>
    </xf>
    <xf borderId="0" fillId="0" fontId="2" numFmtId="14" xfId="0" applyFont="1" applyNumberFormat="1"/>
    <xf borderId="0" fillId="0" fontId="5" numFmtId="0" xfId="0" applyAlignment="1" applyFont="1">
      <alignment readingOrder="0" shrinkToFit="0" wrapText="0"/>
    </xf>
    <xf borderId="5" fillId="6" fontId="14" numFmtId="0" xfId="0" applyAlignment="1" applyBorder="1" applyFill="1" applyFont="1">
      <alignment horizontal="right" readingOrder="0" shrinkToFit="0" vertical="top" wrapText="0"/>
    </xf>
    <xf borderId="0" fillId="0" fontId="3" numFmtId="0" xfId="0" applyAlignment="1" applyFont="1">
      <alignment vertical="bottom"/>
    </xf>
    <xf borderId="0" fillId="0" fontId="1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1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164" xfId="0" applyAlignment="1" applyFont="1" applyNumberFormat="1">
      <alignment vertical="bottom"/>
    </xf>
    <xf borderId="0" fillId="0" fontId="3" numFmtId="0" xfId="0" applyAlignment="1" applyFont="1">
      <alignment horizontal="center" vertical="bottom"/>
    </xf>
    <xf borderId="0" fillId="0" fontId="3" numFmtId="165" xfId="0" applyAlignment="1" applyFont="1" applyNumberFormat="1">
      <alignment vertical="bottom"/>
    </xf>
    <xf borderId="0" fillId="0" fontId="3" numFmtId="0" xfId="0" applyAlignment="1" applyFont="1">
      <alignment horizontal="right" vertical="bottom"/>
    </xf>
    <xf borderId="0" fillId="0" fontId="15" numFmtId="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15" numFmtId="4" xfId="0" applyAlignment="1" applyFont="1" applyNumberFormat="1">
      <alignment horizontal="right" readingOrder="0" shrinkToFit="0" vertical="bottom" wrapText="0"/>
    </xf>
    <xf borderId="0" fillId="0" fontId="15" numFmtId="0" xfId="0" applyAlignment="1" applyFont="1">
      <alignment readingOrder="0" shrinkToFit="0" vertical="bottom" wrapText="0"/>
    </xf>
    <xf borderId="0" fillId="0" fontId="15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IFERROR(__xludf.DUMMYFUNCTION("""COMPUTED_VALUE"""),"ActionOnCFI")</f>
        <v>ActionOnCFI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IFERROR(__xludf.DUMMYFUNCTION("""COMPUTED_VALUE"""),"Rebalancer")</f>
        <v>Rebalancer</v>
      </c>
      <c r="B879" t="str">
        <f>IFERROR(__xludf.DUMMYFUNCTION("""COMPUTED_VALUE"""),"VerifyCFI")</f>
        <v>VerifyCFI</v>
      </c>
      <c r="C879" t="str">
        <f>IFERROR(__xludf.DUMMYFUNCTION("""COMPUTED_VALUE"""),"1DUwxSUq_47EK60XmK3LOdCXa1fkWqWJE9bLuGS3ccv412")</f>
        <v>1DUwxSUq_47EK60XmK3LOdCXa1fkWqWJE9bLuGS3ccv412</v>
      </c>
    </row>
    <row r="880" ht="15.75" customHeight="1">
      <c r="A880" t="str">
        <f>IFERROR(__xludf.DUMMYFUNCTION("""COMPUTED_VALUE"""),"Blotter")</f>
        <v>Blotter</v>
      </c>
      <c r="B880" t="str">
        <f>IFERROR(__xludf.DUMMYFUNCTION("""COMPUTED_VALUE"""),"EnableOrVerifyHotButton")</f>
        <v>EnableOrVerifyHotButton</v>
      </c>
      <c r="C880" t="str">
        <f>IFERROR(__xludf.DUMMYFUNCTION("""COMPUTED_VALUE"""),"1wa8x9d9kPOHEp49mT2DEW0cyjjOClvAgixk1H2w-Tos")</f>
        <v>1wa8x9d9kPOHEp49mT2DEW0cyjjOClvAgixk1H2w-Tos</v>
      </c>
    </row>
    <row r="881" ht="15.75" customHeight="1">
      <c r="A881" t="str">
        <f>IFERROR(__xludf.DUMMYFUNCTION("""COMPUTED_VALUE"""),"TradeServer")</f>
        <v>TradeServer</v>
      </c>
      <c r="B881" t="str">
        <f>IFERROR(__xludf.DUMMYFUNCTION("""COMPUTED_VALUE"""),"RestartServerOnly")</f>
        <v>RestartServerOnly</v>
      </c>
      <c r="C881" t="str">
        <f>IFERROR(__xludf.DUMMYFUNCTION("""COMPUTED_VALUE"""),"Undefined")</f>
        <v>Undefined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IFERROR(__xludf.DUMMYFUNCTION("""COMPUTED_VALUE"""),"ActionOnCFI")</f>
        <v>ActionOnCFI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IFERROR(__xludf.DUMMYFUNCTION("""COMPUTED_VALUE"""),"VerifyCFI")</f>
        <v>VerifyCFI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IFERROR(__xludf.DUMMYFUNCTION("""COMPUTED_VALUE"""),"Rebalancer")</f>
        <v>Rebalancer</v>
      </c>
      <c r="B884" t="str">
        <f>IFERROR(__xludf.DUMMYFUNCTION("""COMPUTED_VALUE"""),"VerifyDelRASGrid")</f>
        <v>VerifyDelRASGrid</v>
      </c>
      <c r="C884" t="str">
        <f>IFERROR(__xludf.DUMMYFUNCTION("""COMPUTED_VALUE"""),"1DUwxSUq_47EK60XmK3LOdCXa1fkWqWJE9bLuGS3ccv412")</f>
        <v>1DUwxSUq_47EK60XmK3LOdCXa1fkWqWJE9bLuGS3ccv412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IFERROR(__xludf.DUMMYFUNCTION("""COMPUTED_VALUE"""),"ActionOnUPW")</f>
        <v>ActionOnUPW</v>
      </c>
      <c r="C885" t="str">
        <f>IFERROR(__xludf.DUMMYFUNCTION("""COMPUTED_VALUE"""),"1DUwxSUq_47EK60XmK3LOdCXa1fkWqWJE9bLuGS3ccv413")</f>
        <v>1DUwxSUq_47EK60XmK3LOdCXa1fkWqWJE9bLuGS3ccv413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IFERROR(__xludf.DUMMYFUNCTION("""COMPUTED_VALUE"""),"DefaultRuleUPW")</f>
        <v>DefaultRuleUPW</v>
      </c>
      <c r="C886" t="str">
        <f>IFERROR(__xludf.DUMMYFUNCTION("""COMPUTED_VALUE"""),"1DUwxSUq_47EK60XmK3LOdCXa1fkWqWJE9bLuGS3ccv414")</f>
        <v>1DUwxSUq_47EK60XmK3LOdCXa1fkWqWJE9bLuGS3ccv414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IFERROR(__xludf.DUMMYFUNCTION("""COMPUTED_VALUE"""),"AccountStrategyUPW")</f>
        <v>AccountStrategyUPW</v>
      </c>
      <c r="C887" t="str">
        <f>IFERROR(__xludf.DUMMYFUNCTION("""COMPUTED_VALUE"""),"1DUwxSUq_47EK60XmK3LOdCXa1fkWqWJE9bLuGS3ccv415")</f>
        <v>1DUwxSUq_47EK60XmK3LOdCXa1fkWqWJE9bLuGS3ccv415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IFERROR(__xludf.DUMMYFUNCTION("""COMPUTED_VALUE"""),"ActionOnCalPref")</f>
        <v>ActionOnCalPref</v>
      </c>
      <c r="C888" t="str">
        <f>IFERROR(__xludf.DUMMYFUNCTION("""COMPUTED_VALUE"""),"1DUwxSUq_47EK60XmK3LOdCXa1fkWqWJE9bLuGS3ccv416")</f>
        <v>1DUwxSUq_47EK60XmK3LOdCXa1fkWqWJE9bLuGS3ccv416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IFERROR(__xludf.DUMMYFUNCTION("""COMPUTED_VALUE"""),"SetMFDefaultRule")</f>
        <v>SetMFDefaultRule</v>
      </c>
      <c r="C889" t="str">
        <f>IFERROR(__xludf.DUMMYFUNCTION("""COMPUTED_VALUE"""),"1DUwxSUq_47EK60XmK3LOdCXa1fkWqWJE9bLuGS3ccv417")</f>
        <v>1DUwxSUq_47EK60XmK3LOdCXa1fkWqWJE9bLuGS3ccv417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IFERROR(__xludf.DUMMYFUNCTION("""COMPUTED_VALUE"""),"ActionOnPrefWindow")</f>
        <v>ActionOnPrefWindow</v>
      </c>
      <c r="C890" t="str">
        <f>IFERROR(__xludf.DUMMYFUNCTION("""COMPUTED_VALUE"""),"1DUwxSUq_47EK60XmK3LOdCXa1fkWqWJE9bLuGS3ccv418")</f>
        <v>1DUwxSUq_47EK60XmK3LOdCXa1fkWqWJE9bLuGS3ccv418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IFERROR(__xludf.DUMMYFUNCTION("""COMPUTED_VALUE"""),"GetFixedPrefScheme")</f>
        <v>GetFixedPrefScheme</v>
      </c>
      <c r="C891" t="str">
        <f>IFERROR(__xludf.DUMMYFUNCTION("""COMPUTED_VALUE"""),"1DUwxSUq_47EK60XmK3LOdCXa1fkWqWJE9bLuGS3ccv419")</f>
        <v>1DUwxSUq_47EK60XmK3LOdCXa1fkWqWJE9bLuGS3ccv419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IFERROR(__xludf.DUMMYFUNCTION("""COMPUTED_VALUE"""),"VerifyFixedPref")</f>
        <v>VerifyFixedPref</v>
      </c>
      <c r="C892" t="str">
        <f>IFERROR(__xludf.DUMMYFUNCTION("""COMPUTED_VALUE"""),"1DUwxSUq_47EK60XmK3LOdCXa1fkWqWJE9bLuGS3ccv420")</f>
        <v>1DUwxSUq_47EK60XmK3LOdCXa1fkWqWJE9bLuGS3ccv420</v>
      </c>
    </row>
    <row r="893" ht="15.75" customHeight="1">
      <c r="A893" t="str">
        <f>IFERROR(__xludf.DUMMYFUNCTION("""COMPUTED_VALUE"""),"Allocation")</f>
        <v>Allocation</v>
      </c>
      <c r="B893" t="str">
        <f>IFERROR(__xludf.DUMMYFUNCTION("""COMPUTED_VALUE"""),"ActionOnToolBar")</f>
        <v>ActionOnToolBar</v>
      </c>
      <c r="C893" t="str">
        <f>IFERROR(__xludf.DUMMYFUNCTION("""COMPUTED_VALUE"""),"1DUwxSUq_47EK60XmK3LOdCXa1fkWqWJE9bLuGS3ccv421")</f>
        <v>1DUwxSUq_47EK60XmK3LOdCXa1fkWqWJE9bLuGS3ccv421</v>
      </c>
    </row>
    <row r="894" ht="15.75" customHeight="1">
      <c r="A894" t="str">
        <f>IFERROR(__xludf.DUMMYFUNCTION("""COMPUTED_VALUE"""),"Rebalancer")</f>
        <v>Rebalancer</v>
      </c>
      <c r="B894" t="str">
        <f>IFERROR(__xludf.DUMMYFUNCTION("""COMPUTED_VALUE"""),"VerifyCustomGroupModel")</f>
        <v>VerifyCustomGroupModel</v>
      </c>
      <c r="C894" t="str">
        <f>IFERROR(__xludf.DUMMYFUNCTION("""COMPUTED_VALUE"""),"1DUwxSUq_47EK60XmK3LOdCXa1fkWqWJE9bLuGS3ccv422")</f>
        <v>1DUwxSUq_47EK60XmK3LOdCXa1fkWqWJE9bLuGS3ccv422</v>
      </c>
    </row>
    <row r="895" ht="15.75" customHeight="1">
      <c r="A895" t="str">
        <f>IFERROR(__xludf.DUMMYFUNCTION("""COMPUTED_VALUE"""),"Blotter")</f>
        <v>Blotter</v>
      </c>
      <c r="B895" t="str">
        <f>IFERROR(__xludf.DUMMYFUNCTION("""COMPUTED_VALUE"""),"VerifyFilterUiRC")</f>
        <v>VerifyFilterUiRC</v>
      </c>
      <c r="C895" t="str">
        <f>IFERROR(__xludf.DUMMYFUNCTION("""COMPUTED_VALUE"""),"1QQZEZqPXfPnxfNID2a3__xw8RnEAn77igg5Q32S3Sm0")</f>
        <v>1QQZEZqPXfPnxfNID2a3__xw8RnEAn77igg5Q32S3Sm0</v>
      </c>
    </row>
    <row r="896" ht="15.75" customHeight="1">
      <c r="A896" t="str">
        <f>IFERROR(__xludf.DUMMYFUNCTION("""COMPUTED_VALUE"""),"TradingTicket")</f>
        <v>TradingTicket</v>
      </c>
      <c r="B896" t="str">
        <f>IFERROR(__xludf.DUMMYFUNCTION("""COMPUTED_VALUE"""),"SymbolSuggestionVerify")</f>
        <v>SymbolSuggestionVerify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IFERROR(__xludf.DUMMYFUNCTION("""COMPUTED_VALUE"""),"UpdatePTTPref")</f>
        <v>UpdatePTTPref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IFERROR(__xludf.DUMMYFUNCTION("""COMPUTED_VALUE"""),"ActionOnPreferencesMain")</f>
        <v>ActionOnPreferencesMain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IFERROR(__xludf.DUMMYFUNCTION("""COMPUTED_VALUE"""),"VerifyUpdategrdAccountFactor")</f>
        <v>VerifyUpdategrdAccountFactor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IFERROR(__xludf.DUMMYFUNCTION("""COMPUTED_VALUE"""),"VerifyUpdategrdMFA")</f>
        <v>VerifyUpdategrdMFA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IFERROR(__xludf.DUMMYFUNCTION("""COMPUTED_VALUE"""),"SwitchTabMFA")</f>
        <v>SwitchTabMFA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IFERROR(__xludf.DUMMYFUNCTION("""COMPUTED_VALUE"""),"UpdateBlotterPref")</f>
        <v>UpdateBlotterPref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IFERROR(__xludf.DUMMYFUNCTION("""COMPUTED_VALUE"""),"UpdatePMPref")</f>
        <v>UpdatePMPref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IFERROR(__xludf.DUMMYFUNCTION("""COMPUTED_VALUE"""),"UpdateGenPref")</f>
        <v>UpdateGenPref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IFERROR(__xludf.DUMMYFUNCTION("""COMPUTED_VALUE"""),"VerifyUpdateAssetSide")</f>
        <v>VerifyUpdateAssetSide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IFERROR(__xludf.DUMMYFUNCTION("""COMPUTED_VALUE"""),"SwicthTabPref")</f>
        <v>SwicthTabPref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IFERROR(__xludf.DUMMYFUNCTION("""COMPUTED_VALUE"""),"TTDefaultSelection")</f>
        <v>TTDefaultSelection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IFERROR(__xludf.DUMMYFUNCTION("""COMPUTED_VALUE"""),"TTNumSelection")</f>
        <v>TTNumSelection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IFERROR(__xludf.DUMMYFUNCTION("""COMPUTED_VALUE"""),"TTConfirmationPopUps")</f>
        <v>TTConfirmationPopUps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IFERROR(__xludf.DUMMYFUNCTION("""COMPUTED_VALUE"""),"VerifyUpdateBrokerPref")</f>
        <v>VerifyUpdateBrokerPref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IFERROR(__xludf.DUMMYFUNCTION("""COMPUTED_VALUE"""),"TTGeneralPref")</f>
        <v>TTGeneralPref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IFERROR(__xludf.DUMMYFUNCTION("""COMPUTED_VALUE"""),"PreferencesMain")</f>
        <v>PreferencesMain</v>
      </c>
      <c r="B912" t="str">
        <f>IFERROR(__xludf.DUMMYFUNCTION("""COMPUTED_VALUE"""),"UpdateClosingPref")</f>
        <v>UpdateClosingPref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IFERROR(__xludf.DUMMYFUNCTION("""COMPUTED_VALUE"""),"Allocation")</f>
        <v>Allocation</v>
      </c>
      <c r="B913" t="str">
        <f>IFERROR(__xludf.DUMMYFUNCTION("""COMPUTED_VALUE"""),"VerifyEditAttRenaming")</f>
        <v>VerifyEditAttRenaming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IFERROR(__xludf.DUMMYFUNCTION("""COMPUTED_VALUE"""),"Rebalancer")</f>
        <v>Rebalancer</v>
      </c>
      <c r="B914" t="str">
        <f>IFERROR(__xludf.DUMMYFUNCTION("""COMPUTED_VALUE"""),"VerifyTradeList")</f>
        <v>VerifyTradeList</v>
      </c>
      <c r="C914" t="str">
        <f>IFERROR(__xludf.DUMMYFUNCTION("""COMPUTED_VALUE"""),"14aTeLjmUbS-nhaQwjtZAMGxdQ5DS6UsBjE5OTWN-LQU")</f>
        <v>14aTeLjmUbS-nhaQwjtZAMGxdQ5DS6UsBjE5OTWN-LQU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IFERROR(__xludf.DUMMYFUNCTION("""COMPUTED_VALUE"""),"TTMainControls")</f>
        <v>TTMainControls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IFERROR(__xludf.DUMMYFUNCTION("""COMPUTED_VALUE"""),"VerifySymStrip")</f>
        <v>VerifySymStrip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IFERROR(__xludf.DUMMYFUNCTION("""COMPUTED_VALUE"""),"TTBottomTab")</f>
        <v>TTBottomTab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IFERROR(__xludf.DUMMYFUNCTION("""COMPUTED_VALUE"""),"Rule Name")</f>
        <v>Rule Name</v>
      </c>
      <c r="C5" s="27" t="str">
        <f>IFERROR(__xludf.DUMMYFUNCTION("""COMPUTED_VALUE"""),"Alert Type Permission")</f>
        <v>Alert Type Permission</v>
      </c>
      <c r="D5" s="27" t="str">
        <f>IFERROR(__xludf.DUMMYFUNCTION("""COMPUTED_VALUE"""),"UserID")</f>
        <v>UserID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30" t="s">
        <v>16</v>
      </c>
      <c r="C6" s="30" t="s">
        <v>17</v>
      </c>
      <c r="D6" s="31">
        <v>17.0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SetCompliancePermission!$4:$4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2" t="s">
        <v>20</v>
      </c>
      <c r="C6" s="12">
        <v>1000.0</v>
      </c>
      <c r="D6" s="12">
        <v>100.0</v>
      </c>
      <c r="E6" s="12" t="s">
        <v>21</v>
      </c>
      <c r="F6" s="8"/>
      <c r="G6" s="8"/>
      <c r="H6" s="8"/>
      <c r="I6" s="8"/>
      <c r="J6" s="12" t="s">
        <v>22</v>
      </c>
      <c r="K6" s="8"/>
      <c r="L6" s="8"/>
      <c r="M6" s="8"/>
      <c r="N6" s="8"/>
      <c r="O6" s="8"/>
      <c r="U6" s="9" t="s">
        <v>23</v>
      </c>
      <c r="V6" s="9" t="s">
        <v>24</v>
      </c>
      <c r="X6" s="9">
        <v>100.0</v>
      </c>
      <c r="Y6" s="32">
        <f>today()+1</f>
        <v>45839</v>
      </c>
      <c r="Z6" s="32">
        <f>today()</f>
        <v>45838</v>
      </c>
      <c r="AG6" s="9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IFERROR(__xludf.DUMMYFUNCTION("""COMPUTED_VALUE"""),"LoginUserName")</f>
        <v>LoginUserName</v>
      </c>
      <c r="C5" s="27" t="str">
        <f>IFERROR(__xludf.DUMMYFUNCTION("""COMPUTED_VALUE"""),"LoginPassword")</f>
        <v>LoginPassword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2" t="s">
        <v>28</v>
      </c>
      <c r="C6" s="12" t="s">
        <v>29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 t="str">
        <f>IFERROR(__xludf.DUMMYFUNCTION("""COMPUTED_VALUE"""),"EnableDisableRule")</f>
        <v>EnableDisableRule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IFERROR(__xludf.DUMMYFUNCTION("""COMPUTED_VALUE"""),"Symbols")</f>
        <v>Symbols</v>
      </c>
      <c r="D5" s="27" t="str">
        <f>IFERROR(__xludf.DUMMYFUNCTION("""COMPUTED_VALUE"""),"Trade Origination")</f>
        <v>Trade Origination</v>
      </c>
      <c r="E5" s="27" t="str">
        <f>IFERROR(__xludf.DUMMYFUNCTION("""COMPUTED_VALUE"""),"Trader")</f>
        <v>Trader</v>
      </c>
      <c r="F5" s="28" t="str">
        <f>IFERROR(__xludf.DUMMYFUNCTION("""COMPUTED_VALUE"""),"Trade Details")</f>
        <v>Trade Details</v>
      </c>
      <c r="G5" s="27" t="str">
        <f>IFERROR(__xludf.DUMMYFUNCTION("""COMPUTED_VALUE"""),"Trade Notes")</f>
        <v>Trade Notes</v>
      </c>
      <c r="H5" s="27" t="str">
        <f>IFERROR(__xludf.DUMMYFUNCTION("""COMPUTED_VALUE"""),"Compliance Officer Notes")</f>
        <v>Compliance Officer Notes</v>
      </c>
      <c r="I5" s="27" t="str">
        <f>IFERROR(__xludf.DUMMYFUNCTION("""COMPUTED_VALUE"""),"User Name")</f>
        <v>User Name</v>
      </c>
      <c r="J5" s="27" t="str">
        <f>IFERROR(__xludf.DUMMYFUNCTION("""COMPUTED_VALUE"""),"Trade Price")</f>
        <v>Trade Price</v>
      </c>
      <c r="K5" s="27" t="str">
        <f>IFERROR(__xludf.DUMMYFUNCTION("""COMPUTED_VALUE"""),"Basket Name")</f>
        <v>Basket Name</v>
      </c>
      <c r="L5" s="27" t="str">
        <f>IFERROR(__xludf.DUMMYFUNCTION("""COMPUTED_VALUE"""),"Quantity")</f>
        <v>Quantity</v>
      </c>
      <c r="M5" s="27" t="str">
        <f>IFERROR(__xludf.DUMMYFUNCTION("""COMPUTED_VALUE"""),"Broker")</f>
        <v>Broker</v>
      </c>
      <c r="N5" s="27" t="str">
        <f>IFERROR(__xludf.DUMMYFUNCTION("""COMPUTED_VALUE"""),"Status")</f>
        <v>Status</v>
      </c>
      <c r="O5" s="27" t="str">
        <f>IFERROR(__xludf.DUMMYFUNCTION("""COMPUTED_VALUE"""),"Order Side")</f>
        <v>Order Side</v>
      </c>
      <c r="P5" s="27" t="str">
        <f>IFERROR(__xludf.DUMMYFUNCTION("""COMPUTED_VALUE"""),"ApproveorRejectAll")</f>
        <v>ApproveorRejectAll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12" t="s">
        <v>20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t="s">
        <v>32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ApproveorRejectpendingapproval!$4:$4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IFERROR(__xludf.DUMMYFUNCTION("""COMPUTED_VALUE"""),"LoginUserName")</f>
        <v>LoginUserName</v>
      </c>
      <c r="C5" s="27" t="str">
        <f>IFERROR(__xludf.DUMMYFUNCTION("""COMPUTED_VALUE"""),"LoginPassword")</f>
        <v>LoginPassword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33</v>
      </c>
      <c r="C6" s="12" t="s">
        <v>29</v>
      </c>
      <c r="D6" s="12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LoginClient1!$4:$4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2" t="s">
        <v>22</v>
      </c>
      <c r="C6" s="12" t="s">
        <v>20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2" t="s">
        <v>22</v>
      </c>
      <c r="C6" s="12" t="s">
        <v>20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3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20</v>
      </c>
      <c r="AK6" s="9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>
        <v>5000.0</v>
      </c>
      <c r="D6" s="12">
        <v>100.0</v>
      </c>
      <c r="E6" s="12" t="s">
        <v>38</v>
      </c>
      <c r="F6" s="8"/>
      <c r="G6" s="8"/>
      <c r="H6" s="8"/>
      <c r="I6" s="8"/>
      <c r="J6" s="8"/>
      <c r="K6" s="8"/>
      <c r="L6" s="8"/>
      <c r="M6" s="8"/>
      <c r="N6" s="8"/>
      <c r="O6" s="8"/>
      <c r="AG6" s="9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IFERROR(__xludf.DUMMYFUNCTION("""COMPUTED_VALUE"""),"userName")</f>
        <v>userName</v>
      </c>
      <c r="AY5" s="29" t="str">
        <f>IFERROR(__xludf.DUMMYFUNCTION("""COMPUTED_VALUE"""),"Allocation Scheme Name")</f>
        <v>Allocation Scheme Name</v>
      </c>
      <c r="AZ5" s="29" t="str">
        <f>IFERROR(__xludf.DUMMYFUNCTION("""COMPUTED_VALUE"""),"Allow Transfer")</f>
        <v>Allow Transfer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3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20</v>
      </c>
      <c r="AX6" s="34" t="s">
        <v>40</v>
      </c>
      <c r="AZ6" s="9" t="s">
        <v>41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TransferToUserOrder!$4:$4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2">
        <v>100.0</v>
      </c>
      <c r="C6" s="12">
        <v>500.0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65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43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</row>
    <row r="6" ht="15.75" customHeight="1">
      <c r="A6" s="35"/>
      <c r="B6" s="36" t="s">
        <v>45</v>
      </c>
      <c r="C6" s="37" t="s">
        <v>46</v>
      </c>
      <c r="D6" s="38">
        <v>0.0</v>
      </c>
      <c r="E6" s="39">
        <v>500.0</v>
      </c>
      <c r="F6" s="36" t="s">
        <v>47</v>
      </c>
      <c r="G6" s="36" t="s">
        <v>48</v>
      </c>
      <c r="H6" s="39">
        <v>4.0</v>
      </c>
      <c r="I6" s="39">
        <v>5.0</v>
      </c>
      <c r="J6" s="39">
        <v>1.0</v>
      </c>
      <c r="K6" s="39">
        <v>100.0</v>
      </c>
      <c r="L6" s="39">
        <v>100.0</v>
      </c>
      <c r="M6" s="36" t="s">
        <v>49</v>
      </c>
      <c r="N6" s="37" t="s">
        <v>50</v>
      </c>
      <c r="O6" s="37" t="s">
        <v>51</v>
      </c>
      <c r="P6" s="35"/>
      <c r="Q6" s="40">
        <v>3.0</v>
      </c>
      <c r="R6" s="40">
        <v>0.0</v>
      </c>
      <c r="S6" s="35" t="s">
        <v>52</v>
      </c>
      <c r="T6" s="40">
        <v>0.0</v>
      </c>
      <c r="U6" s="40">
        <v>0.0</v>
      </c>
      <c r="V6" s="35" t="s">
        <v>53</v>
      </c>
      <c r="W6" s="40">
        <v>1.0</v>
      </c>
      <c r="X6" s="40">
        <v>0.0</v>
      </c>
      <c r="Y6" s="35" t="s">
        <v>54</v>
      </c>
      <c r="Z6" s="35" t="s">
        <v>55</v>
      </c>
      <c r="AA6" s="40">
        <v>5.94918104E8</v>
      </c>
      <c r="AB6" s="40">
        <v>1.0</v>
      </c>
      <c r="AC6" s="35"/>
      <c r="AD6" s="35" t="s">
        <v>56</v>
      </c>
      <c r="AE6" s="39">
        <v>500.0</v>
      </c>
      <c r="AF6" s="35" t="s">
        <v>54</v>
      </c>
      <c r="AG6" s="41"/>
      <c r="AH6" s="35" t="s">
        <v>57</v>
      </c>
      <c r="AI6" s="40">
        <v>1.0</v>
      </c>
      <c r="AJ6" s="35" t="s">
        <v>58</v>
      </c>
      <c r="AK6" s="35"/>
      <c r="AL6" s="35"/>
      <c r="AM6" s="35" t="s">
        <v>59</v>
      </c>
      <c r="AN6" s="42" t="b">
        <v>0</v>
      </c>
      <c r="AO6" s="35" t="s">
        <v>60</v>
      </c>
      <c r="AP6" s="42" t="b">
        <v>0</v>
      </c>
      <c r="AQ6" s="42" t="b">
        <v>0</v>
      </c>
      <c r="AR6" s="42" t="b">
        <v>1</v>
      </c>
      <c r="AS6" s="40">
        <v>0.0</v>
      </c>
      <c r="AT6" s="40">
        <v>50014.028</v>
      </c>
      <c r="AU6" s="40">
        <v>50014.028</v>
      </c>
      <c r="AV6" s="43"/>
      <c r="AW6" s="40">
        <v>0.0</v>
      </c>
      <c r="AX6" s="40">
        <v>0.0</v>
      </c>
      <c r="AY6" s="35" t="s">
        <v>24</v>
      </c>
      <c r="AZ6" s="40">
        <v>0.0</v>
      </c>
      <c r="BA6" s="41"/>
      <c r="BB6" s="35"/>
      <c r="BC6" s="40">
        <v>0.0</v>
      </c>
      <c r="BD6" s="35" t="s">
        <v>61</v>
      </c>
      <c r="BE6" s="44">
        <v>50000.0</v>
      </c>
      <c r="BF6" s="44">
        <v>50000.0</v>
      </c>
      <c r="BG6" s="41"/>
      <c r="BH6" s="35"/>
      <c r="BI6" s="35"/>
      <c r="BJ6" s="45">
        <v>5000.0</v>
      </c>
      <c r="BK6" s="40">
        <v>0.0</v>
      </c>
      <c r="BL6" s="35" t="s">
        <v>54</v>
      </c>
      <c r="BM6" s="35" t="s">
        <v>55</v>
      </c>
      <c r="BN6" s="41"/>
      <c r="BO6" s="46" t="s">
        <v>22</v>
      </c>
      <c r="BP6" s="40">
        <v>0.0</v>
      </c>
      <c r="BQ6" s="40">
        <v>0.0</v>
      </c>
      <c r="BR6" s="40">
        <v>0.028</v>
      </c>
      <c r="BS6" s="35" t="s">
        <v>62</v>
      </c>
      <c r="BT6" s="46" t="s">
        <v>20</v>
      </c>
      <c r="BU6" s="40">
        <v>3.0</v>
      </c>
      <c r="BV6" s="40">
        <v>0.0</v>
      </c>
      <c r="BW6" s="40">
        <v>14.028</v>
      </c>
      <c r="BX6" s="40">
        <v>0.0</v>
      </c>
      <c r="BY6" s="35"/>
      <c r="BZ6" s="35"/>
      <c r="CA6" s="35"/>
      <c r="CB6" s="35"/>
      <c r="CC6" s="35"/>
      <c r="CD6" s="35"/>
      <c r="CE6" s="41"/>
      <c r="CF6" s="35" t="s">
        <v>63</v>
      </c>
      <c r="CG6" s="40">
        <v>2.0</v>
      </c>
      <c r="CH6" s="35" t="s">
        <v>18</v>
      </c>
      <c r="CI6" s="35" t="s">
        <v>22</v>
      </c>
      <c r="CJ6" s="40">
        <v>0.0</v>
      </c>
      <c r="CK6" s="35" t="s">
        <v>64</v>
      </c>
      <c r="CL6" s="40">
        <v>1.0</v>
      </c>
      <c r="CM6" s="35" t="s">
        <v>20</v>
      </c>
      <c r="CN6" s="36"/>
      <c r="CO6" s="35" t="s">
        <v>56</v>
      </c>
      <c r="CP6" s="35" t="s">
        <v>65</v>
      </c>
      <c r="CQ6" s="41"/>
      <c r="CR6" s="35"/>
      <c r="CS6" s="35" t="s">
        <v>54</v>
      </c>
      <c r="CT6" s="35"/>
      <c r="CU6" s="35" t="s">
        <v>54</v>
      </c>
      <c r="CV6" s="35" t="s">
        <v>54</v>
      </c>
      <c r="CW6" s="35" t="s">
        <v>54</v>
      </c>
      <c r="CX6" s="35" t="s">
        <v>54</v>
      </c>
      <c r="CY6" s="35" t="s">
        <v>54</v>
      </c>
      <c r="CZ6" s="35" t="s">
        <v>54</v>
      </c>
      <c r="DA6" s="35" t="s">
        <v>54</v>
      </c>
      <c r="DB6" s="35" t="s">
        <v>54</v>
      </c>
      <c r="DC6" s="35" t="s">
        <v>54</v>
      </c>
      <c r="DD6" s="35" t="s">
        <v>54</v>
      </c>
      <c r="DE6" s="35" t="s">
        <v>54</v>
      </c>
      <c r="DF6" s="35" t="s">
        <v>54</v>
      </c>
      <c r="DG6" s="35" t="s">
        <v>54</v>
      </c>
      <c r="DH6" s="35" t="s">
        <v>54</v>
      </c>
      <c r="DI6" s="35" t="s">
        <v>54</v>
      </c>
      <c r="DJ6" s="35" t="s">
        <v>54</v>
      </c>
      <c r="DK6" s="35" t="s">
        <v>54</v>
      </c>
      <c r="DL6" s="35" t="s">
        <v>54</v>
      </c>
      <c r="DM6" s="35" t="s">
        <v>54</v>
      </c>
      <c r="DN6" s="35" t="s">
        <v>54</v>
      </c>
      <c r="DO6" s="35" t="s">
        <v>54</v>
      </c>
      <c r="DP6" s="35" t="s">
        <v>54</v>
      </c>
      <c r="DQ6" s="35" t="s">
        <v>54</v>
      </c>
      <c r="DR6" s="35" t="s">
        <v>54</v>
      </c>
      <c r="DS6" s="35" t="s">
        <v>54</v>
      </c>
      <c r="DT6" s="35" t="s">
        <v>54</v>
      </c>
      <c r="DU6" s="35" t="s">
        <v>54</v>
      </c>
      <c r="DV6" s="35" t="s">
        <v>54</v>
      </c>
      <c r="DW6" s="35" t="s">
        <v>54</v>
      </c>
      <c r="DX6" s="35" t="s">
        <v>54</v>
      </c>
      <c r="DY6" s="35" t="s">
        <v>54</v>
      </c>
      <c r="DZ6" s="35" t="s">
        <v>54</v>
      </c>
      <c r="EA6" s="35" t="s">
        <v>54</v>
      </c>
      <c r="EB6" s="35" t="s">
        <v>54</v>
      </c>
      <c r="EC6" s="35" t="s">
        <v>54</v>
      </c>
      <c r="ED6" s="35" t="s">
        <v>54</v>
      </c>
      <c r="EE6" s="35" t="s">
        <v>54</v>
      </c>
      <c r="EF6" s="35" t="s">
        <v>54</v>
      </c>
      <c r="EG6" s="35" t="s">
        <v>54</v>
      </c>
      <c r="EH6" s="35" t="s">
        <v>54</v>
      </c>
      <c r="EI6" s="35" t="s">
        <v>54</v>
      </c>
      <c r="EJ6" s="35" t="s">
        <v>54</v>
      </c>
      <c r="EK6" s="35" t="s">
        <v>54</v>
      </c>
      <c r="EL6" s="35" t="s">
        <v>54</v>
      </c>
      <c r="EM6" s="35" t="s">
        <v>54</v>
      </c>
      <c r="EN6" s="35" t="s">
        <v>54</v>
      </c>
      <c r="EO6" s="35" t="s">
        <v>54</v>
      </c>
      <c r="EP6" s="35" t="s">
        <v>54</v>
      </c>
      <c r="EQ6" s="35" t="s">
        <v>54</v>
      </c>
      <c r="ER6" s="35" t="s">
        <v>54</v>
      </c>
      <c r="ES6" s="35" t="s">
        <v>54</v>
      </c>
      <c r="ET6" s="35" t="s">
        <v>54</v>
      </c>
      <c r="EU6" s="35" t="s">
        <v>54</v>
      </c>
      <c r="EV6" s="35" t="s">
        <v>54</v>
      </c>
      <c r="EW6" s="35" t="s">
        <v>54</v>
      </c>
      <c r="EX6" s="35" t="s">
        <v>54</v>
      </c>
      <c r="EY6" s="35" t="s">
        <v>54</v>
      </c>
      <c r="EZ6" s="35" t="s">
        <v>54</v>
      </c>
      <c r="FA6" s="35" t="s">
        <v>54</v>
      </c>
      <c r="FB6" s="35" t="s">
        <v>54</v>
      </c>
      <c r="FC6" s="35" t="s">
        <v>54</v>
      </c>
      <c r="FD6" s="35" t="s">
        <v>54</v>
      </c>
      <c r="FE6" s="35" t="s">
        <v>54</v>
      </c>
      <c r="FF6" s="35" t="s">
        <v>54</v>
      </c>
      <c r="FG6" s="35" t="s">
        <v>54</v>
      </c>
      <c r="FH6" s="35" t="s">
        <v>54</v>
      </c>
      <c r="FI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43</v>
      </c>
      <c r="D3" s="5" t="s">
        <v>9</v>
      </c>
      <c r="E3" s="22" t="s">
        <v>66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IFERROR(__xludf.DUMMYFUNCTION("""COMPUTED_VALUE"""),"Net Amount(Local)")</f>
        <v>Net Amount(Local)</v>
      </c>
      <c r="C5" s="27" t="str">
        <f>IFERROR(__xludf.DUMMYFUNCTION("""COMPUTED_VALUE"""),"Net Amount(Base)")</f>
        <v>Net Amount(Base)</v>
      </c>
      <c r="D5" s="27" t="str">
        <f>IFERROR(__xludf.DUMMYFUNCTION("""COMPUTED_VALUE"""),"Principal Amount(Local)")</f>
        <v>Principal Amount(Local)</v>
      </c>
      <c r="E5" s="27" t="str">
        <f>IFERROR(__xludf.DUMMYFUNCTION("""COMPUTED_VALUE"""),"Principal Amount(Base)")</f>
        <v>Principal Amount(Base)</v>
      </c>
      <c r="F5" s="28" t="str">
        <f>IFERROR(__xludf.DUMMYFUNCTION("""COMPUTED_VALUE"""),"FX Conversion Operator")</f>
        <v>FX Conversion Operator</v>
      </c>
      <c r="G5" s="27" t="str">
        <f>IFERROR(__xludf.DUMMYFUNCTION("""COMPUTED_VALUE"""),"TaxLotID")</f>
        <v>TaxLotID</v>
      </c>
      <c r="H5" s="27" t="str">
        <f>IFERROR(__xludf.DUMMYFUNCTION("""COMPUTED_VALUE"""),"Settlement Currency")</f>
        <v>Settlement Currency</v>
      </c>
      <c r="I5" s="27" t="str">
        <f>IFERROR(__xludf.DUMMYFUNCTION("""COMPUTED_VALUE"""),"Trade Attribute 1")</f>
        <v>Trade Attribute 1</v>
      </c>
      <c r="J5" s="27" t="str">
        <f>IFERROR(__xludf.DUMMYFUNCTION("""COMPUTED_VALUE"""),"Trade Attribute 2")</f>
        <v>Trade Attribute 2</v>
      </c>
      <c r="K5" s="27" t="str">
        <f>IFERROR(__xludf.DUMMYFUNCTION("""COMPUTED_VALUE"""),"Trade Attribute 3")</f>
        <v>Trade Attribute 3</v>
      </c>
      <c r="L5" s="27" t="str">
        <f>IFERROR(__xludf.DUMMYFUNCTION("""COMPUTED_VALUE"""),"Trade Attribute 4")</f>
        <v>Trade Attribute 4</v>
      </c>
      <c r="M5" s="27" t="str">
        <f>IFERROR(__xludf.DUMMYFUNCTION("""COMPUTED_VALUE"""),"Trade Attribute 5")</f>
        <v>Trade Attribute 5</v>
      </c>
      <c r="N5" s="27" t="str">
        <f>IFERROR(__xludf.DUMMYFUNCTION("""COMPUTED_VALUE"""),"Trade Attribute 6")</f>
        <v>Trade Attribute 6</v>
      </c>
      <c r="O5" s="27" t="str">
        <f>IFERROR(__xludf.DUMMYFUNCTION("""COMPUTED_VALUE"""),"Account Name")</f>
        <v>Account Name</v>
      </c>
      <c r="P5" s="27" t="str">
        <f>IFERROR(__xludf.DUMMYFUNCTION("""COMPUTED_VALUE"""),"Strategy Name")</f>
        <v>Strategy Name</v>
      </c>
      <c r="Q5" s="27" t="str">
        <f>IFERROR(__xludf.DUMMYFUNCTION("""COMPUTED_VALUE"""),"Percentage")</f>
        <v>Percentage</v>
      </c>
      <c r="R5" s="27" t="str">
        <f>IFERROR(__xludf.DUMMYFUNCTION("""COMPUTED_VALUE"""),"Taxlot Qty")</f>
        <v>Taxlot Qty</v>
      </c>
      <c r="S5" s="27" t="str">
        <f>IFERROR(__xludf.DUMMYFUNCTION("""COMPUTED_VALUE"""),"Commission")</f>
        <v>Commission</v>
      </c>
      <c r="T5" s="29" t="str">
        <f>IFERROR(__xludf.DUMMYFUNCTION("""COMPUTED_VALUE"""),"Soft Commission")</f>
        <v>Soft Commission</v>
      </c>
      <c r="U5" s="29" t="str">
        <f>IFERROR(__xludf.DUMMYFUNCTION("""COMPUTED_VALUE"""),"Other Broker Fees")</f>
        <v>Other Broker Fees</v>
      </c>
      <c r="V5" s="29" t="str">
        <f>IFERROR(__xludf.DUMMYFUNCTION("""COMPUTED_VALUE"""),"Clearing Broker Fees")</f>
        <v>Clearing Broker Fees</v>
      </c>
      <c r="W5" s="29" t="str">
        <f>IFERROR(__xludf.DUMMYFUNCTION("""COMPUTED_VALUE"""),"Stamp Duty")</f>
        <v>Stamp Duty</v>
      </c>
      <c r="X5" s="29" t="str">
        <f>IFERROR(__xludf.DUMMYFUNCTION("""COMPUTED_VALUE"""),"Transaction Levy")</f>
        <v>Transaction Levy</v>
      </c>
      <c r="Y5" s="29" t="str">
        <f>IFERROR(__xludf.DUMMYFUNCTION("""COMPUTED_VALUE"""),"AUEC Fee1")</f>
        <v>AUEC Fee1</v>
      </c>
      <c r="Z5" s="29" t="str">
        <f>IFERROR(__xludf.DUMMYFUNCTION("""COMPUTED_VALUE"""),"Tax On Commissions")</f>
        <v>Tax On Commissions</v>
      </c>
      <c r="AA5" s="29" t="str">
        <f>IFERROR(__xludf.DUMMYFUNCTION("""COMPUTED_VALUE"""),"AUEC Fee2")</f>
        <v>AUEC Fee2</v>
      </c>
      <c r="AB5" s="29" t="str">
        <f>IFERROR(__xludf.DUMMYFUNCTION("""COMPUTED_VALUE"""),"SEC Fee")</f>
        <v>SEC Fee</v>
      </c>
      <c r="AC5" s="29" t="str">
        <f>IFERROR(__xludf.DUMMYFUNCTION("""COMPUTED_VALUE"""),"OCC Fee")</f>
        <v>OCC Fee</v>
      </c>
      <c r="AD5" s="29" t="str">
        <f>IFERROR(__xludf.DUMMYFUNCTION("""COMPUTED_VALUE"""),"ORF Fee")</f>
        <v>ORF Fee</v>
      </c>
      <c r="AE5" s="29" t="str">
        <f>IFERROR(__xludf.DUMMYFUNCTION("""COMPUTED_VALUE"""),"Option Premium Adjustment")</f>
        <v>Option Premium Adjustment</v>
      </c>
      <c r="AF5" s="29" t="str">
        <f>IFERROR(__xludf.DUMMYFUNCTION("""COMPUTED_VALUE"""),"Closing Status")</f>
        <v>Closing Status</v>
      </c>
      <c r="AG5" s="29" t="str">
        <f>IFERROR(__xludf.DUMMYFUNCTION("""COMPUTED_VALUE"""),"External Transaction ID")</f>
        <v>External Transaction ID</v>
      </c>
      <c r="AH5" s="29" t="str">
        <f>IFERROR(__xludf.DUMMYFUNCTION("""COMPUTED_VALUE"""),"Lot ID")</f>
        <v>Lot ID</v>
      </c>
      <c r="AI5" s="29" t="str">
        <f>IFERROR(__xludf.DUMMYFUNCTION("""COMPUTED_VALUE"""),"AvgPriceBase")</f>
        <v>AvgPriceBase</v>
      </c>
      <c r="AJ5" s="29" t="str">
        <f>IFERROR(__xludf.DUMMYFUNCTION("""COMPUTED_VALUE"""),"Accrued Interest")</f>
        <v>Accrued Interest</v>
      </c>
      <c r="AK5" s="29" t="str">
        <f>IFERROR(__xludf.DUMMYFUNCTION("""COMPUTED_VALUE"""),"FXRate")</f>
        <v>FXRate</v>
      </c>
      <c r="AL5" s="29" t="str">
        <f>IFERROR(__xludf.DUMMYFUNCTION("""COMPUTED_VALUE"""),"Change Type")</f>
        <v>Change Type</v>
      </c>
      <c r="AM5" s="29" t="str">
        <f>IFERROR(__xludf.DUMMYFUNCTION("""COMPUTED_VALUE"""),"MandatoryColumn")</f>
        <v>MandatoryColumn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47">
        <v>50014.028</v>
      </c>
      <c r="C6" s="47">
        <v>50014.028</v>
      </c>
      <c r="D6" s="47">
        <v>50000.0</v>
      </c>
      <c r="E6" s="47">
        <v>50000.0</v>
      </c>
      <c r="F6" s="48" t="s">
        <v>57</v>
      </c>
      <c r="G6" s="49"/>
      <c r="H6" s="48" t="s">
        <v>55</v>
      </c>
      <c r="I6" s="8"/>
      <c r="J6" s="8"/>
      <c r="K6" s="8"/>
      <c r="L6" s="8"/>
      <c r="M6" s="8"/>
      <c r="N6" s="8"/>
      <c r="O6" s="48" t="s">
        <v>45</v>
      </c>
      <c r="P6" s="48" t="s">
        <v>62</v>
      </c>
      <c r="Q6" s="49">
        <v>100.0</v>
      </c>
      <c r="R6" s="49">
        <v>500.0</v>
      </c>
      <c r="S6" s="49">
        <v>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