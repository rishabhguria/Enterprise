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heckPortfolioManagement" sheetId="14" r:id="rId16"/>
    <sheet state="visible" name="UpdateExpirationDate" sheetId="15" r:id="rId17"/>
    <sheet state="visible" name="Copy of Data" sheetId="16" r:id="rId18"/>
  </sheets>
  <definedNames/>
  <calcPr/>
</workbook>
</file>

<file path=xl/sharedStrings.xml><?xml version="1.0" encoding="utf-8"?>
<sst xmlns="http://schemas.openxmlformats.org/spreadsheetml/2006/main" count="515" uniqueCount="71">
  <si>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</si>
  <si>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</si>
  <si>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</si>
  <si>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</si>
  <si>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</si>
  <si>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</si>
  <si>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</si>
  <si>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</si>
  <si>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</si>
  <si>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</si>
  <si>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</si>
  <si>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</si>
  <si>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</si>
  <si>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</si>
  <si>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</si>
  <si>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</si>
  <si>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BTAX</t>
  </si>
  <si>
    <t>TradingTicket</t>
  </si>
  <si>
    <t>CreateDoneAwayOrder</t>
  </si>
  <si>
    <t>AAPL</t>
  </si>
  <si>
    <t>Buy</t>
  </si>
  <si>
    <t>Allocation1</t>
  </si>
  <si>
    <t>O:AAPL 23D50.00D21</t>
  </si>
  <si>
    <t>Sell to Open</t>
  </si>
  <si>
    <t>O:AAPL 23D60.00D21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</si>
  <si>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</si>
  <si>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</si>
  <si>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</si>
  <si>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</si>
  <si>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</si>
  <si>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</si>
  <si>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</si>
  <si>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</si>
  <si>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</si>
  <si>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</si>
  <si>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</si>
  <si>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</si>
  <si>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</si>
  <si>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Manual</t>
  </si>
  <si>
    <t>EquityOption</t>
  </si>
  <si>
    <t>MS</t>
  </si>
  <si>
    <t>USD</t>
  </si>
  <si>
    <t>OPTS</t>
  </si>
  <si>
    <t>M</t>
  </si>
  <si>
    <t>Market</t>
  </si>
  <si>
    <t>GCCAP1</t>
  </si>
  <si>
    <t>SelltoOpen</t>
  </si>
  <si>
    <t>US</t>
  </si>
  <si>
    <t>jpearce</t>
  </si>
  <si>
    <t>Equity</t>
  </si>
  <si>
    <t>APPLE</t>
  </si>
  <si>
    <t>NASDAQ</t>
  </si>
  <si>
    <t>D</t>
  </si>
  <si>
    <t>Sell</t>
  </si>
  <si>
    <t>Assignment</t>
  </si>
  <si>
    <t>O:AAPL 23D50.00D21 CALL</t>
  </si>
  <si>
    <t>Buy to Close</t>
  </si>
  <si>
    <t>Sell short</t>
  </si>
  <si>
    <t>CheckAllocatedTaxlots</t>
  </si>
  <si>
    <t>PortfolioManagement</t>
  </si>
  <si>
    <t>CheckPortfolioManagement</t>
  </si>
  <si>
    <t>NewMF</t>
  </si>
  <si>
    <t>FIMAT</t>
  </si>
  <si>
    <t>Long</t>
  </si>
  <si>
    <t>New Hedge</t>
  </si>
  <si>
    <t>Small Cap</t>
  </si>
  <si>
    <t>Admin</t>
  </si>
  <si>
    <t>UpdateExpirationDate</t>
  </si>
  <si>
    <t>O:AAPL 23D70.00D21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</si>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</sst>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4"/>
      <c r="G6" s="34"/>
      <c r="H6" s="34"/>
      <c r="I6" s="34"/>
      <c r="J6" s="33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19</v>
      </c>
      <c r="C6" s="35" t="s">
        <v>20</v>
      </c>
      <c r="D6" s="36">
        <v>1100.0</v>
      </c>
      <c r="E6" s="34"/>
      <c r="F6" s="32" t="s">
        <v>21</v>
      </c>
      <c r="G6" s="34"/>
      <c r="H6" s="34"/>
      <c r="I6" s="34"/>
      <c r="J6" s="37">
        <v>1.0</v>
      </c>
      <c r="K6" s="34"/>
      <c r="L6" s="8"/>
      <c r="M6" s="8"/>
      <c r="N6" s="38">
        <f t="shared" ref="N6:N7" si="1">TODAY()-25</f>
        <v>45099</v>
      </c>
      <c r="O6" s="8"/>
    </row>
    <row r="7" ht="15.75" customHeight="1">
      <c r="A7" s="8"/>
      <c r="B7" s="34" t="s">
        <v>22</v>
      </c>
      <c r="C7" s="32" t="s">
        <v>23</v>
      </c>
      <c r="D7" s="37">
        <v>10.0</v>
      </c>
      <c r="E7" s="34"/>
      <c r="F7" s="32" t="s">
        <v>21</v>
      </c>
      <c r="G7" s="8"/>
      <c r="H7" s="8"/>
      <c r="I7" s="8"/>
      <c r="J7" s="37">
        <v>10.0</v>
      </c>
      <c r="K7" s="8"/>
      <c r="L7" s="8"/>
      <c r="M7" s="8"/>
      <c r="N7" s="38">
        <f t="shared" si="1"/>
        <v>45099</v>
      </c>
      <c r="O7" s="8"/>
    </row>
    <row r="8" ht="15.75" customHeight="1">
      <c r="A8" s="8"/>
      <c r="B8" s="34" t="s">
        <v>24</v>
      </c>
      <c r="C8" s="32" t="s">
        <v>23</v>
      </c>
      <c r="D8" s="37">
        <v>10.0</v>
      </c>
      <c r="E8" s="34"/>
      <c r="F8" s="32" t="s">
        <v>21</v>
      </c>
      <c r="G8" s="8"/>
      <c r="H8" s="8"/>
      <c r="I8" s="8"/>
      <c r="J8" s="37">
        <v>10.0</v>
      </c>
      <c r="K8" s="8"/>
      <c r="L8" s="8"/>
      <c r="M8" s="8"/>
      <c r="N8" s="38">
        <f>TODAY()-24</f>
        <v>45100</v>
      </c>
      <c r="O8" s="8"/>
    </row>
    <row r="9" ht="15.75" customHeight="1">
      <c r="A9" s="8"/>
      <c r="B9" s="34" t="s">
        <v>24</v>
      </c>
      <c r="C9" s="32" t="s">
        <v>23</v>
      </c>
      <c r="D9" s="37">
        <v>10.0</v>
      </c>
      <c r="E9" s="34"/>
      <c r="F9" s="32" t="s">
        <v>21</v>
      </c>
      <c r="G9" s="8"/>
      <c r="H9" s="8"/>
      <c r="I9" s="8"/>
      <c r="J9" s="37">
        <v>10.0</v>
      </c>
      <c r="K9" s="8"/>
      <c r="L9" s="8"/>
      <c r="M9" s="13" t="s">
        <v>25</v>
      </c>
      <c r="N9" s="38">
        <f>TODAY()-23</f>
        <v>45101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>TODAY()-1</f>
        <v>45123</v>
      </c>
      <c r="C6" s="39">
        <f>TODAY()</f>
        <v>45124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7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30</v>
      </c>
      <c r="C6" s="41" t="s">
        <v>31</v>
      </c>
      <c r="D6" s="41">
        <f>TODAY()</f>
        <v>45124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21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2" t="s">
        <v>22</v>
      </c>
      <c r="DI6" s="34"/>
      <c r="DJ6" s="34"/>
      <c r="DK6" s="34"/>
    </row>
    <row r="7" ht="15.75" customHeight="1">
      <c r="A7" s="8"/>
      <c r="B7" s="32" t="s">
        <v>21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2" t="s">
        <v>24</v>
      </c>
      <c r="DI7" s="34"/>
      <c r="DJ7" s="34"/>
      <c r="DK7" s="34"/>
    </row>
    <row r="8" ht="15.75" customHeight="1">
      <c r="A8" s="8"/>
      <c r="B8" s="32" t="s">
        <v>21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43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 t="s">
        <v>25</v>
      </c>
      <c r="DE8" s="34"/>
      <c r="DF8" s="34"/>
      <c r="DG8" s="34"/>
      <c r="DH8" s="34"/>
      <c r="DI8" s="34"/>
      <c r="DJ8" s="34"/>
      <c r="DK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30</v>
      </c>
      <c r="C6" s="41" t="s">
        <v>31</v>
      </c>
      <c r="D6" s="41">
        <f>TODAY()</f>
        <v>45124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21</v>
      </c>
      <c r="C6" s="34" t="s">
        <v>37</v>
      </c>
      <c r="D6" s="45"/>
      <c r="E6" s="46">
        <v>10.0</v>
      </c>
      <c r="F6" s="34" t="s">
        <v>38</v>
      </c>
      <c r="G6" s="34" t="s">
        <v>39</v>
      </c>
      <c r="H6" s="46"/>
      <c r="I6" s="46"/>
      <c r="J6" s="46"/>
      <c r="K6" s="46">
        <v>10.0</v>
      </c>
      <c r="L6" s="46">
        <v>10.0</v>
      </c>
      <c r="M6" s="34"/>
      <c r="N6" s="34" t="s">
        <v>37</v>
      </c>
      <c r="O6" s="34" t="s">
        <v>40</v>
      </c>
      <c r="P6" s="34"/>
      <c r="Q6" s="46"/>
      <c r="R6" s="46"/>
      <c r="S6" s="34"/>
      <c r="T6" s="46"/>
      <c r="U6" s="46"/>
      <c r="V6" s="34" t="s">
        <v>24</v>
      </c>
      <c r="W6" s="46">
        <v>100.0</v>
      </c>
      <c r="X6" s="34" t="s">
        <v>37</v>
      </c>
      <c r="Y6" s="34" t="s">
        <v>37</v>
      </c>
      <c r="Z6" s="34" t="s">
        <v>41</v>
      </c>
      <c r="AA6" s="34"/>
      <c r="AB6" s="46">
        <v>1.0</v>
      </c>
      <c r="AC6" s="34"/>
      <c r="AD6" s="34" t="s">
        <v>42</v>
      </c>
      <c r="AE6" s="46">
        <v>10.0</v>
      </c>
      <c r="AF6" s="34" t="s">
        <v>37</v>
      </c>
      <c r="AG6" s="46"/>
      <c r="AH6" s="34" t="s">
        <v>43</v>
      </c>
      <c r="AI6" s="46">
        <v>1.0</v>
      </c>
      <c r="AJ6" s="34"/>
      <c r="AK6" s="34"/>
      <c r="AL6" s="34"/>
      <c r="AM6" s="34"/>
      <c r="AN6" s="47"/>
      <c r="AO6" s="34"/>
      <c r="AP6" s="47"/>
      <c r="AQ6" s="47"/>
      <c r="AR6" s="47"/>
      <c r="AS6" s="46"/>
      <c r="AT6" s="46">
        <v>10000.0</v>
      </c>
      <c r="AU6" s="46">
        <v>10000.0</v>
      </c>
      <c r="AV6" s="46"/>
      <c r="AW6" s="46"/>
      <c r="AX6" s="46"/>
      <c r="AY6" s="34" t="s">
        <v>44</v>
      </c>
      <c r="AZ6" s="46"/>
      <c r="BA6" s="46"/>
      <c r="BB6" s="34"/>
      <c r="BC6" s="46"/>
      <c r="BD6" s="34"/>
      <c r="BE6" s="46">
        <v>10000.0</v>
      </c>
      <c r="BF6" s="46">
        <v>10000.0</v>
      </c>
      <c r="BG6" s="46"/>
      <c r="BH6" s="34"/>
      <c r="BI6" s="34"/>
      <c r="BJ6" s="46">
        <v>10.0</v>
      </c>
      <c r="BK6" s="46"/>
      <c r="BL6" s="34"/>
      <c r="BM6" s="34" t="s">
        <v>41</v>
      </c>
      <c r="BN6" s="46"/>
      <c r="BO6" s="34" t="s">
        <v>23</v>
      </c>
      <c r="BP6" s="46"/>
      <c r="BQ6" s="46"/>
      <c r="BR6" s="46"/>
      <c r="BS6" s="34"/>
      <c r="BT6" s="34" t="s">
        <v>24</v>
      </c>
      <c r="BU6" s="46"/>
      <c r="BV6" s="46"/>
      <c r="BW6" s="46"/>
      <c r="BX6" s="46"/>
      <c r="BY6" s="34"/>
      <c r="BZ6" s="34"/>
      <c r="CA6" s="34"/>
      <c r="CB6" s="34"/>
      <c r="CC6" s="34"/>
      <c r="CD6" s="34"/>
      <c r="CE6" s="46"/>
      <c r="CF6" s="34" t="s">
        <v>45</v>
      </c>
      <c r="CG6" s="46"/>
      <c r="CH6" s="34"/>
      <c r="CI6" s="34" t="s">
        <v>46</v>
      </c>
      <c r="CJ6" s="46"/>
      <c r="CK6" s="34" t="s">
        <v>47</v>
      </c>
      <c r="CL6" s="46">
        <v>1.0</v>
      </c>
      <c r="CM6" s="34" t="s">
        <v>19</v>
      </c>
      <c r="CN6" s="34" t="s">
        <v>48</v>
      </c>
      <c r="CO6" s="34"/>
    </row>
    <row r="7" ht="15.75" customHeight="1">
      <c r="A7" s="8"/>
      <c r="B7" s="34" t="s">
        <v>21</v>
      </c>
      <c r="C7" s="34" t="s">
        <v>37</v>
      </c>
      <c r="D7" s="46"/>
      <c r="E7" s="46">
        <v>100.0</v>
      </c>
      <c r="F7" s="34" t="s">
        <v>38</v>
      </c>
      <c r="G7" s="34" t="s">
        <v>49</v>
      </c>
      <c r="H7" s="46"/>
      <c r="I7" s="46"/>
      <c r="J7" s="46"/>
      <c r="K7" s="46">
        <v>60.0</v>
      </c>
      <c r="L7" s="46">
        <v>60.0</v>
      </c>
      <c r="M7" s="34"/>
      <c r="N7" s="34" t="s">
        <v>37</v>
      </c>
      <c r="O7" s="34" t="s">
        <v>40</v>
      </c>
      <c r="P7" s="34"/>
      <c r="Q7" s="46"/>
      <c r="R7" s="46"/>
      <c r="S7" s="34"/>
      <c r="T7" s="46"/>
      <c r="U7" s="46"/>
      <c r="V7" s="34" t="s">
        <v>50</v>
      </c>
      <c r="W7" s="46">
        <v>1.0</v>
      </c>
      <c r="X7" s="34" t="s">
        <v>37</v>
      </c>
      <c r="Y7" s="34" t="s">
        <v>37</v>
      </c>
      <c r="Z7" s="34" t="s">
        <v>41</v>
      </c>
      <c r="AA7" s="34"/>
      <c r="AB7" s="46">
        <v>1.0</v>
      </c>
      <c r="AC7" s="34"/>
      <c r="AD7" s="34" t="s">
        <v>51</v>
      </c>
      <c r="AE7" s="46">
        <v>100.0</v>
      </c>
      <c r="AF7" s="34" t="s">
        <v>37</v>
      </c>
      <c r="AG7" s="46"/>
      <c r="AH7" s="34" t="s">
        <v>52</v>
      </c>
      <c r="AI7" s="46">
        <v>1.0</v>
      </c>
      <c r="AJ7" s="34"/>
      <c r="AK7" s="34"/>
      <c r="AL7" s="34"/>
      <c r="AM7" s="34"/>
      <c r="AN7" s="47"/>
      <c r="AO7" s="34"/>
      <c r="AP7" s="47"/>
      <c r="AQ7" s="47"/>
      <c r="AR7" s="47"/>
      <c r="AS7" s="46"/>
      <c r="AT7" s="46">
        <v>7000.0</v>
      </c>
      <c r="AU7" s="46">
        <v>7000.0</v>
      </c>
      <c r="AV7" s="46"/>
      <c r="AW7" s="46"/>
      <c r="AX7" s="46"/>
      <c r="AY7" s="34"/>
      <c r="AZ7" s="46"/>
      <c r="BA7" s="46"/>
      <c r="BB7" s="34"/>
      <c r="BC7" s="46"/>
      <c r="BD7" s="34"/>
      <c r="BE7" s="46">
        <v>6000.0</v>
      </c>
      <c r="BF7" s="46">
        <v>6000.0</v>
      </c>
      <c r="BG7" s="46"/>
      <c r="BH7" s="34"/>
      <c r="BI7" s="34"/>
      <c r="BJ7" s="46">
        <v>100.0</v>
      </c>
      <c r="BK7" s="46"/>
      <c r="BL7" s="34"/>
      <c r="BM7" s="34" t="s">
        <v>41</v>
      </c>
      <c r="BN7" s="46"/>
      <c r="BO7" s="34" t="s">
        <v>53</v>
      </c>
      <c r="BP7" s="46"/>
      <c r="BQ7" s="46"/>
      <c r="BR7" s="46"/>
      <c r="BS7" s="34"/>
      <c r="BT7" s="34" t="s">
        <v>19</v>
      </c>
      <c r="BU7" s="46"/>
      <c r="BV7" s="46"/>
      <c r="BW7" s="46"/>
      <c r="BX7" s="46"/>
      <c r="BY7" s="34"/>
      <c r="BZ7" s="34"/>
      <c r="CA7" s="34"/>
      <c r="CB7" s="34"/>
      <c r="CC7" s="34"/>
      <c r="CD7" s="34"/>
      <c r="CE7" s="46"/>
      <c r="CF7" s="34" t="s">
        <v>45</v>
      </c>
      <c r="CG7" s="46"/>
      <c r="CH7" s="34"/>
      <c r="CI7" s="34" t="s">
        <v>54</v>
      </c>
      <c r="CJ7" s="46"/>
      <c r="CK7" s="34" t="s">
        <v>47</v>
      </c>
      <c r="CL7" s="46">
        <v>1.0</v>
      </c>
      <c r="CM7" s="34" t="s">
        <v>19</v>
      </c>
      <c r="CN7" s="34" t="s">
        <v>48</v>
      </c>
      <c r="CO7" s="34"/>
    </row>
    <row r="8" ht="15.75" customHeight="1">
      <c r="A8" s="8"/>
      <c r="B8" s="34" t="s">
        <v>21</v>
      </c>
      <c r="C8" s="34" t="s">
        <v>37</v>
      </c>
      <c r="D8" s="46"/>
      <c r="E8" s="46">
        <v>10.0</v>
      </c>
      <c r="F8" s="34" t="s">
        <v>38</v>
      </c>
      <c r="G8" s="34" t="s">
        <v>39</v>
      </c>
      <c r="H8" s="46"/>
      <c r="I8" s="46"/>
      <c r="J8" s="46"/>
      <c r="K8" s="46">
        <v>0.0</v>
      </c>
      <c r="L8" s="46">
        <v>0.0</v>
      </c>
      <c r="M8" s="34"/>
      <c r="N8" s="34" t="s">
        <v>37</v>
      </c>
      <c r="O8" s="34" t="s">
        <v>40</v>
      </c>
      <c r="P8" s="34"/>
      <c r="Q8" s="46"/>
      <c r="R8" s="46"/>
      <c r="S8" s="34"/>
      <c r="T8" s="46"/>
      <c r="U8" s="46"/>
      <c r="V8" s="34" t="s">
        <v>55</v>
      </c>
      <c r="W8" s="46">
        <v>100.0</v>
      </c>
      <c r="X8" s="34" t="s">
        <v>37</v>
      </c>
      <c r="Y8" s="34" t="s">
        <v>37</v>
      </c>
      <c r="Z8" s="34" t="s">
        <v>41</v>
      </c>
      <c r="AA8" s="34"/>
      <c r="AB8" s="46">
        <v>1.0</v>
      </c>
      <c r="AC8" s="34"/>
      <c r="AD8" s="34" t="s">
        <v>42</v>
      </c>
      <c r="AE8" s="46">
        <v>10.0</v>
      </c>
      <c r="AF8" s="34" t="s">
        <v>37</v>
      </c>
      <c r="AG8" s="46"/>
      <c r="AH8" s="34" t="s">
        <v>43</v>
      </c>
      <c r="AI8" s="46">
        <v>1.0</v>
      </c>
      <c r="AJ8" s="34"/>
      <c r="AK8" s="34"/>
      <c r="AL8" s="34"/>
      <c r="AM8" s="34"/>
      <c r="AN8" s="47"/>
      <c r="AO8" s="34"/>
      <c r="AP8" s="47"/>
      <c r="AQ8" s="47"/>
      <c r="AR8" s="47"/>
      <c r="AS8" s="46"/>
      <c r="AT8" s="46">
        <v>10000.0</v>
      </c>
      <c r="AU8" s="46">
        <v>10000.0</v>
      </c>
      <c r="AV8" s="46"/>
      <c r="AW8" s="46"/>
      <c r="AX8" s="46"/>
      <c r="AY8" s="34" t="s">
        <v>44</v>
      </c>
      <c r="AZ8" s="46"/>
      <c r="BA8" s="46"/>
      <c r="BB8" s="34"/>
      <c r="BC8" s="46"/>
      <c r="BD8" s="34"/>
      <c r="BE8" s="46">
        <v>0.0</v>
      </c>
      <c r="BF8" s="46">
        <v>0.0</v>
      </c>
      <c r="BG8" s="46"/>
      <c r="BH8" s="34"/>
      <c r="BI8" s="34"/>
      <c r="BJ8" s="46">
        <v>10.0</v>
      </c>
      <c r="BK8" s="46"/>
      <c r="BL8" s="34"/>
      <c r="BM8" s="34" t="s">
        <v>41</v>
      </c>
      <c r="BN8" s="46"/>
      <c r="BO8" s="34" t="s">
        <v>56</v>
      </c>
      <c r="BP8" s="46"/>
      <c r="BQ8" s="46"/>
      <c r="BR8" s="46"/>
      <c r="BS8" s="34"/>
      <c r="BT8" s="34" t="s">
        <v>22</v>
      </c>
      <c r="BU8" s="46"/>
      <c r="BV8" s="46"/>
      <c r="BW8" s="46"/>
      <c r="BX8" s="46"/>
      <c r="BY8" s="34"/>
      <c r="BZ8" s="34"/>
      <c r="CA8" s="34"/>
      <c r="CB8" s="34"/>
      <c r="CC8" s="34"/>
      <c r="CD8" s="34"/>
      <c r="CE8" s="46"/>
      <c r="CF8" s="34"/>
      <c r="CG8" s="46"/>
      <c r="CH8" s="34"/>
      <c r="CI8" s="34" t="s">
        <v>54</v>
      </c>
      <c r="CJ8" s="46"/>
      <c r="CK8" s="34" t="s">
        <v>47</v>
      </c>
      <c r="CL8" s="46">
        <v>1.0</v>
      </c>
      <c r="CM8" s="34" t="s">
        <v>19</v>
      </c>
      <c r="CN8" s="34"/>
      <c r="CO8" s="34"/>
    </row>
    <row r="9" ht="15.75" customHeight="1">
      <c r="A9" s="8"/>
      <c r="B9" s="34" t="s">
        <v>21</v>
      </c>
      <c r="C9" s="34" t="s">
        <v>37</v>
      </c>
      <c r="D9" s="46"/>
      <c r="E9" s="46">
        <v>10.0</v>
      </c>
      <c r="F9" s="34" t="s">
        <v>38</v>
      </c>
      <c r="G9" s="34" t="s">
        <v>39</v>
      </c>
      <c r="H9" s="46"/>
      <c r="I9" s="46"/>
      <c r="J9" s="46"/>
      <c r="K9" s="46">
        <v>0.0</v>
      </c>
      <c r="L9" s="46">
        <v>0.0</v>
      </c>
      <c r="M9" s="34"/>
      <c r="N9" s="34" t="s">
        <v>37</v>
      </c>
      <c r="O9" s="34" t="s">
        <v>40</v>
      </c>
      <c r="P9" s="34"/>
      <c r="Q9" s="46"/>
      <c r="R9" s="46"/>
      <c r="S9" s="34"/>
      <c r="T9" s="46"/>
      <c r="U9" s="46"/>
      <c r="V9" s="34" t="s">
        <v>24</v>
      </c>
      <c r="W9" s="46">
        <v>100.0</v>
      </c>
      <c r="X9" s="34" t="s">
        <v>37</v>
      </c>
      <c r="Y9" s="34" t="s">
        <v>37</v>
      </c>
      <c r="Z9" s="34" t="s">
        <v>41</v>
      </c>
      <c r="AA9" s="34"/>
      <c r="AB9" s="46">
        <v>1.0</v>
      </c>
      <c r="AC9" s="34"/>
      <c r="AD9" s="34" t="s">
        <v>42</v>
      </c>
      <c r="AE9" s="46">
        <v>10.0</v>
      </c>
      <c r="AF9" s="34" t="s">
        <v>37</v>
      </c>
      <c r="AG9" s="46"/>
      <c r="AH9" s="34" t="s">
        <v>43</v>
      </c>
      <c r="AI9" s="46">
        <v>1.0</v>
      </c>
      <c r="AJ9" s="34"/>
      <c r="AK9" s="34"/>
      <c r="AL9" s="34"/>
      <c r="AM9" s="34"/>
      <c r="AN9" s="47"/>
      <c r="AO9" s="34"/>
      <c r="AP9" s="47"/>
      <c r="AQ9" s="47"/>
      <c r="AR9" s="47"/>
      <c r="AS9" s="46"/>
      <c r="AT9" s="46">
        <v>10000.0</v>
      </c>
      <c r="AU9" s="46">
        <v>10000.0</v>
      </c>
      <c r="AV9" s="46"/>
      <c r="AW9" s="46"/>
      <c r="AX9" s="46"/>
      <c r="AY9" s="34" t="s">
        <v>44</v>
      </c>
      <c r="AZ9" s="46"/>
      <c r="BA9" s="46"/>
      <c r="BB9" s="34"/>
      <c r="BC9" s="46"/>
      <c r="BD9" s="34"/>
      <c r="BE9" s="46">
        <v>0.0</v>
      </c>
      <c r="BF9" s="46">
        <v>0.0</v>
      </c>
      <c r="BG9" s="46"/>
      <c r="BH9" s="34"/>
      <c r="BI9" s="34"/>
      <c r="BJ9" s="46">
        <v>10.0</v>
      </c>
      <c r="BK9" s="46"/>
      <c r="BL9" s="34"/>
      <c r="BM9" s="34" t="s">
        <v>41</v>
      </c>
      <c r="BN9" s="46"/>
      <c r="BO9" s="34" t="s">
        <v>56</v>
      </c>
      <c r="BP9" s="46"/>
      <c r="BQ9" s="46"/>
      <c r="BR9" s="46"/>
      <c r="BS9" s="34"/>
      <c r="BT9" s="34" t="s">
        <v>24</v>
      </c>
      <c r="BU9" s="46"/>
      <c r="BV9" s="46"/>
      <c r="BW9" s="46"/>
      <c r="BX9" s="46"/>
      <c r="BY9" s="34"/>
      <c r="BZ9" s="34"/>
      <c r="CA9" s="34"/>
      <c r="CB9" s="34"/>
      <c r="CC9" s="34"/>
      <c r="CD9" s="34"/>
      <c r="CE9" s="46"/>
      <c r="CF9" s="34"/>
      <c r="CG9" s="46"/>
      <c r="CH9" s="34"/>
      <c r="CI9" s="34" t="s">
        <v>54</v>
      </c>
      <c r="CJ9" s="46"/>
      <c r="CK9" s="34" t="s">
        <v>47</v>
      </c>
      <c r="CL9" s="46">
        <v>1.0</v>
      </c>
      <c r="CM9" s="34" t="s">
        <v>19</v>
      </c>
      <c r="CN9" s="34"/>
      <c r="CO9" s="34"/>
    </row>
    <row r="10" ht="15.75" customHeight="1">
      <c r="A10" s="8"/>
      <c r="B10" s="34" t="s">
        <v>21</v>
      </c>
      <c r="C10" s="34" t="s">
        <v>37</v>
      </c>
      <c r="D10" s="46"/>
      <c r="E10" s="46">
        <v>1000.0</v>
      </c>
      <c r="F10" s="34" t="s">
        <v>38</v>
      </c>
      <c r="G10" s="34" t="s">
        <v>49</v>
      </c>
      <c r="H10" s="46"/>
      <c r="I10" s="46"/>
      <c r="J10" s="46"/>
      <c r="K10" s="46">
        <v>60.0</v>
      </c>
      <c r="L10" s="46">
        <v>60.0</v>
      </c>
      <c r="M10" s="34"/>
      <c r="N10" s="34" t="s">
        <v>37</v>
      </c>
      <c r="O10" s="34" t="s">
        <v>40</v>
      </c>
      <c r="P10" s="34"/>
      <c r="Q10" s="46"/>
      <c r="R10" s="46"/>
      <c r="S10" s="34"/>
      <c r="T10" s="46"/>
      <c r="U10" s="46"/>
      <c r="V10" s="34" t="s">
        <v>50</v>
      </c>
      <c r="W10" s="46">
        <v>1.0</v>
      </c>
      <c r="X10" s="34" t="s">
        <v>37</v>
      </c>
      <c r="Y10" s="34" t="s">
        <v>37</v>
      </c>
      <c r="Z10" s="34" t="s">
        <v>41</v>
      </c>
      <c r="AA10" s="34"/>
      <c r="AB10" s="46">
        <v>1.0</v>
      </c>
      <c r="AC10" s="34"/>
      <c r="AD10" s="34" t="s">
        <v>51</v>
      </c>
      <c r="AE10" s="46">
        <v>1000.0</v>
      </c>
      <c r="AF10" s="34" t="s">
        <v>37</v>
      </c>
      <c r="AG10" s="46"/>
      <c r="AH10" s="34" t="s">
        <v>52</v>
      </c>
      <c r="AI10" s="46">
        <v>1.0</v>
      </c>
      <c r="AJ10" s="34"/>
      <c r="AK10" s="34"/>
      <c r="AL10" s="34"/>
      <c r="AM10" s="34"/>
      <c r="AN10" s="47"/>
      <c r="AO10" s="34"/>
      <c r="AP10" s="47"/>
      <c r="AQ10" s="47"/>
      <c r="AR10" s="47"/>
      <c r="AS10" s="46"/>
      <c r="AT10" s="46">
        <v>70000.0</v>
      </c>
      <c r="AU10" s="46">
        <v>70000.0</v>
      </c>
      <c r="AV10" s="46"/>
      <c r="AW10" s="46"/>
      <c r="AX10" s="46"/>
      <c r="AY10" s="34"/>
      <c r="AZ10" s="46"/>
      <c r="BA10" s="46"/>
      <c r="BB10" s="34"/>
      <c r="BC10" s="46"/>
      <c r="BD10" s="34"/>
      <c r="BE10" s="46">
        <v>60000.0</v>
      </c>
      <c r="BF10" s="46">
        <v>60000.0</v>
      </c>
      <c r="BG10" s="46"/>
      <c r="BH10" s="34"/>
      <c r="BI10" s="34"/>
      <c r="BJ10" s="46">
        <v>1000.0</v>
      </c>
      <c r="BK10" s="46"/>
      <c r="BL10" s="34"/>
      <c r="BM10" s="34" t="s">
        <v>41</v>
      </c>
      <c r="BN10" s="46"/>
      <c r="BO10" s="34" t="s">
        <v>57</v>
      </c>
      <c r="BP10" s="46"/>
      <c r="BQ10" s="46"/>
      <c r="BR10" s="46"/>
      <c r="BS10" s="34"/>
      <c r="BT10" s="34" t="s">
        <v>19</v>
      </c>
      <c r="BU10" s="46"/>
      <c r="BV10" s="46"/>
      <c r="BW10" s="46"/>
      <c r="BX10" s="46"/>
      <c r="BY10" s="34"/>
      <c r="BZ10" s="34"/>
      <c r="CA10" s="34"/>
      <c r="CB10" s="34"/>
      <c r="CC10" s="34"/>
      <c r="CD10" s="34"/>
      <c r="CE10" s="46"/>
      <c r="CF10" s="34" t="s">
        <v>45</v>
      </c>
      <c r="CG10" s="46"/>
      <c r="CH10" s="34"/>
      <c r="CI10" s="34" t="s">
        <v>54</v>
      </c>
      <c r="CJ10" s="46"/>
      <c r="CK10" s="34" t="s">
        <v>47</v>
      </c>
      <c r="CL10" s="46">
        <v>1.0</v>
      </c>
      <c r="CM10" s="34" t="s">
        <v>19</v>
      </c>
      <c r="CN10" s="34" t="s">
        <v>48</v>
      </c>
      <c r="CO10" s="34"/>
    </row>
    <row r="11" ht="15.75" customHeight="1">
      <c r="A11" s="8"/>
      <c r="B11" s="34" t="s">
        <v>21</v>
      </c>
      <c r="C11" s="34" t="s">
        <v>37</v>
      </c>
      <c r="D11" s="46"/>
      <c r="E11" s="46">
        <v>1100.0</v>
      </c>
      <c r="F11" s="34" t="s">
        <v>38</v>
      </c>
      <c r="G11" s="34" t="s">
        <v>49</v>
      </c>
      <c r="H11" s="46"/>
      <c r="I11" s="46"/>
      <c r="J11" s="46"/>
      <c r="K11" s="46">
        <v>1.0</v>
      </c>
      <c r="L11" s="46">
        <v>1.0</v>
      </c>
      <c r="M11" s="34"/>
      <c r="N11" s="34" t="s">
        <v>37</v>
      </c>
      <c r="O11" s="34" t="s">
        <v>40</v>
      </c>
      <c r="P11" s="34"/>
      <c r="Q11" s="46"/>
      <c r="R11" s="46"/>
      <c r="S11" s="34"/>
      <c r="T11" s="46"/>
      <c r="U11" s="46"/>
      <c r="V11" s="34" t="s">
        <v>50</v>
      </c>
      <c r="W11" s="46">
        <v>1.0</v>
      </c>
      <c r="X11" s="34" t="s">
        <v>37</v>
      </c>
      <c r="Y11" s="34" t="s">
        <v>37</v>
      </c>
      <c r="Z11" s="34" t="s">
        <v>41</v>
      </c>
      <c r="AA11" s="34"/>
      <c r="AB11" s="46">
        <v>1.0</v>
      </c>
      <c r="AC11" s="34"/>
      <c r="AD11" s="34" t="s">
        <v>51</v>
      </c>
      <c r="AE11" s="46">
        <v>1100.0</v>
      </c>
      <c r="AF11" s="34" t="s">
        <v>37</v>
      </c>
      <c r="AG11" s="46"/>
      <c r="AH11" s="34" t="s">
        <v>43</v>
      </c>
      <c r="AI11" s="46">
        <v>1.0</v>
      </c>
      <c r="AJ11" s="34"/>
      <c r="AK11" s="34"/>
      <c r="AL11" s="34"/>
      <c r="AM11" s="34"/>
      <c r="AN11" s="47"/>
      <c r="AO11" s="34"/>
      <c r="AP11" s="47"/>
      <c r="AQ11" s="47"/>
      <c r="AR11" s="47"/>
      <c r="AS11" s="46"/>
      <c r="AT11" s="46">
        <v>1114.0006</v>
      </c>
      <c r="AU11" s="46">
        <v>1114.0006</v>
      </c>
      <c r="AV11" s="46"/>
      <c r="AW11" s="46"/>
      <c r="AX11" s="46"/>
      <c r="AY11" s="34" t="s">
        <v>44</v>
      </c>
      <c r="AZ11" s="46"/>
      <c r="BA11" s="46"/>
      <c r="BB11" s="34"/>
      <c r="BC11" s="46"/>
      <c r="BD11" s="34"/>
      <c r="BE11" s="46">
        <v>1100.0</v>
      </c>
      <c r="BF11" s="46">
        <v>1100.0</v>
      </c>
      <c r="BG11" s="46"/>
      <c r="BH11" s="34"/>
      <c r="BI11" s="34"/>
      <c r="BJ11" s="46">
        <v>1100.0</v>
      </c>
      <c r="BK11" s="46"/>
      <c r="BL11" s="34"/>
      <c r="BM11" s="34" t="s">
        <v>41</v>
      </c>
      <c r="BN11" s="46"/>
      <c r="BO11" s="34" t="s">
        <v>20</v>
      </c>
      <c r="BP11" s="46"/>
      <c r="BQ11" s="46"/>
      <c r="BR11" s="46"/>
      <c r="BS11" s="34"/>
      <c r="BT11" s="34" t="s">
        <v>19</v>
      </c>
      <c r="BU11" s="46"/>
      <c r="BV11" s="46"/>
      <c r="BW11" s="46"/>
      <c r="BX11" s="46"/>
      <c r="BY11" s="34"/>
      <c r="BZ11" s="34"/>
      <c r="CA11" s="34"/>
      <c r="CB11" s="34"/>
      <c r="CC11" s="34"/>
      <c r="CD11" s="34"/>
      <c r="CE11" s="46"/>
      <c r="CF11" s="34" t="s">
        <v>45</v>
      </c>
      <c r="CG11" s="46"/>
      <c r="CH11" s="34"/>
      <c r="CI11" s="34" t="s">
        <v>20</v>
      </c>
      <c r="CJ11" s="46"/>
      <c r="CK11" s="34" t="s">
        <v>47</v>
      </c>
      <c r="CL11" s="46">
        <v>1.0</v>
      </c>
      <c r="CM11" s="34" t="s">
        <v>19</v>
      </c>
      <c r="CN11" s="34" t="s">
        <v>48</v>
      </c>
      <c r="CO11" s="34"/>
    </row>
    <row r="12" ht="15.75" customHeight="1">
      <c r="A12" s="8"/>
      <c r="B12" s="34" t="s">
        <v>21</v>
      </c>
      <c r="C12" s="34" t="s">
        <v>37</v>
      </c>
      <c r="D12" s="46"/>
      <c r="E12" s="46">
        <v>10.0</v>
      </c>
      <c r="F12" s="34" t="s">
        <v>38</v>
      </c>
      <c r="G12" s="34" t="s">
        <v>39</v>
      </c>
      <c r="H12" s="46"/>
      <c r="I12" s="46"/>
      <c r="J12" s="46"/>
      <c r="K12" s="46">
        <v>10.0</v>
      </c>
      <c r="L12" s="46">
        <v>10.0</v>
      </c>
      <c r="M12" s="34"/>
      <c r="N12" s="34" t="s">
        <v>37</v>
      </c>
      <c r="O12" s="34" t="s">
        <v>40</v>
      </c>
      <c r="P12" s="34"/>
      <c r="Q12" s="46"/>
      <c r="R12" s="46"/>
      <c r="S12" s="34"/>
      <c r="T12" s="46"/>
      <c r="U12" s="46"/>
      <c r="V12" s="34" t="s">
        <v>24</v>
      </c>
      <c r="W12" s="46">
        <v>100.0</v>
      </c>
      <c r="X12" s="34" t="s">
        <v>37</v>
      </c>
      <c r="Y12" s="34" t="s">
        <v>37</v>
      </c>
      <c r="Z12" s="34" t="s">
        <v>41</v>
      </c>
      <c r="AA12" s="34"/>
      <c r="AB12" s="46">
        <v>1.0</v>
      </c>
      <c r="AC12" s="34"/>
      <c r="AD12" s="34" t="s">
        <v>42</v>
      </c>
      <c r="AE12" s="46">
        <v>10.0</v>
      </c>
      <c r="AF12" s="34" t="s">
        <v>37</v>
      </c>
      <c r="AG12" s="46"/>
      <c r="AH12" s="34" t="s">
        <v>43</v>
      </c>
      <c r="AI12" s="46">
        <v>1.0</v>
      </c>
      <c r="AJ12" s="34"/>
      <c r="AK12" s="34"/>
      <c r="AL12" s="34"/>
      <c r="AM12" s="34"/>
      <c r="AN12" s="47"/>
      <c r="AO12" s="34"/>
      <c r="AP12" s="47"/>
      <c r="AQ12" s="47"/>
      <c r="AR12" s="47"/>
      <c r="AS12" s="46"/>
      <c r="AT12" s="46">
        <v>10000.0</v>
      </c>
      <c r="AU12" s="46">
        <v>10000.0</v>
      </c>
      <c r="AV12" s="46"/>
      <c r="AW12" s="46"/>
      <c r="AX12" s="46"/>
      <c r="AY12" s="34" t="s">
        <v>44</v>
      </c>
      <c r="AZ12" s="46"/>
      <c r="BA12" s="46"/>
      <c r="BB12" s="34"/>
      <c r="BC12" s="46"/>
      <c r="BD12" s="34"/>
      <c r="BE12" s="46">
        <v>10000.0</v>
      </c>
      <c r="BF12" s="46">
        <v>10000.0</v>
      </c>
      <c r="BG12" s="46"/>
      <c r="BH12" s="34"/>
      <c r="BI12" s="34"/>
      <c r="BJ12" s="46">
        <v>10.0</v>
      </c>
      <c r="BK12" s="46"/>
      <c r="BL12" s="34"/>
      <c r="BM12" s="34" t="s">
        <v>41</v>
      </c>
      <c r="BN12" s="46"/>
      <c r="BO12" s="34" t="s">
        <v>23</v>
      </c>
      <c r="BP12" s="46"/>
      <c r="BQ12" s="46"/>
      <c r="BR12" s="46"/>
      <c r="BS12" s="34"/>
      <c r="BT12" s="34" t="s">
        <v>24</v>
      </c>
      <c r="BU12" s="46"/>
      <c r="BV12" s="46"/>
      <c r="BW12" s="46"/>
      <c r="BX12" s="46"/>
      <c r="BY12" s="34"/>
      <c r="BZ12" s="34"/>
      <c r="CA12" s="34"/>
      <c r="CB12" s="34"/>
      <c r="CC12" s="34"/>
      <c r="CD12" s="34"/>
      <c r="CE12" s="46"/>
      <c r="CF12" s="34" t="s">
        <v>45</v>
      </c>
      <c r="CG12" s="46"/>
      <c r="CH12" s="34"/>
      <c r="CI12" s="34" t="s">
        <v>46</v>
      </c>
      <c r="CJ12" s="46"/>
      <c r="CK12" s="34" t="s">
        <v>47</v>
      </c>
      <c r="CL12" s="46">
        <v>1.0</v>
      </c>
      <c r="CM12" s="34" t="s">
        <v>19</v>
      </c>
      <c r="CN12" s="34" t="s">
        <v>48</v>
      </c>
      <c r="CO12" s="34"/>
    </row>
    <row r="13" ht="15.75" customHeight="1">
      <c r="A13" s="8"/>
      <c r="B13" s="34" t="s">
        <v>21</v>
      </c>
      <c r="C13" s="34" t="s">
        <v>37</v>
      </c>
      <c r="D13" s="46"/>
      <c r="E13" s="46">
        <v>900.0</v>
      </c>
      <c r="F13" s="34" t="s">
        <v>38</v>
      </c>
      <c r="G13" s="34" t="s">
        <v>49</v>
      </c>
      <c r="H13" s="46"/>
      <c r="I13" s="46"/>
      <c r="J13" s="46"/>
      <c r="K13" s="46">
        <v>60.0</v>
      </c>
      <c r="L13" s="46">
        <v>60.0</v>
      </c>
      <c r="M13" s="34"/>
      <c r="N13" s="34" t="s">
        <v>37</v>
      </c>
      <c r="O13" s="34" t="s">
        <v>40</v>
      </c>
      <c r="P13" s="34"/>
      <c r="Q13" s="46"/>
      <c r="R13" s="46"/>
      <c r="S13" s="34"/>
      <c r="T13" s="46"/>
      <c r="U13" s="46"/>
      <c r="V13" s="34" t="s">
        <v>50</v>
      </c>
      <c r="W13" s="46">
        <v>1.0</v>
      </c>
      <c r="X13" s="34" t="s">
        <v>37</v>
      </c>
      <c r="Y13" s="34" t="s">
        <v>37</v>
      </c>
      <c r="Z13" s="34" t="s">
        <v>41</v>
      </c>
      <c r="AA13" s="34"/>
      <c r="AB13" s="46">
        <v>1.0</v>
      </c>
      <c r="AC13" s="34"/>
      <c r="AD13" s="34" t="s">
        <v>51</v>
      </c>
      <c r="AE13" s="46">
        <v>900.0</v>
      </c>
      <c r="AF13" s="34" t="s">
        <v>37</v>
      </c>
      <c r="AG13" s="46"/>
      <c r="AH13" s="34" t="s">
        <v>43</v>
      </c>
      <c r="AI13" s="46">
        <v>1.0</v>
      </c>
      <c r="AJ13" s="34"/>
      <c r="AK13" s="34"/>
      <c r="AL13" s="34"/>
      <c r="AM13" s="34"/>
      <c r="AN13" s="47"/>
      <c r="AO13" s="34"/>
      <c r="AP13" s="47"/>
      <c r="AQ13" s="47"/>
      <c r="AR13" s="47"/>
      <c r="AS13" s="46"/>
      <c r="AT13" s="46">
        <v>63000.0</v>
      </c>
      <c r="AU13" s="46">
        <v>63000.0</v>
      </c>
      <c r="AV13" s="46"/>
      <c r="AW13" s="46"/>
      <c r="AX13" s="46"/>
      <c r="AY13" s="34"/>
      <c r="AZ13" s="46"/>
      <c r="BA13" s="46"/>
      <c r="BB13" s="34"/>
      <c r="BC13" s="46"/>
      <c r="BD13" s="34"/>
      <c r="BE13" s="46">
        <v>54000.0</v>
      </c>
      <c r="BF13" s="46">
        <v>54000.0</v>
      </c>
      <c r="BG13" s="46"/>
      <c r="BH13" s="34"/>
      <c r="BI13" s="34"/>
      <c r="BJ13" s="46">
        <v>900.0</v>
      </c>
      <c r="BK13" s="46"/>
      <c r="BL13" s="34"/>
      <c r="BM13" s="34" t="s">
        <v>41</v>
      </c>
      <c r="BN13" s="46"/>
      <c r="BO13" s="34" t="s">
        <v>57</v>
      </c>
      <c r="BP13" s="46"/>
      <c r="BQ13" s="46"/>
      <c r="BR13" s="46"/>
      <c r="BS13" s="34"/>
      <c r="BT13" s="34" t="s">
        <v>19</v>
      </c>
      <c r="BU13" s="46"/>
      <c r="BV13" s="46"/>
      <c r="BW13" s="46"/>
      <c r="BX13" s="46"/>
      <c r="BY13" s="34"/>
      <c r="BZ13" s="34"/>
      <c r="CA13" s="34"/>
      <c r="CB13" s="34"/>
      <c r="CC13" s="34"/>
      <c r="CD13" s="34"/>
      <c r="CE13" s="46"/>
      <c r="CF13" s="34" t="s">
        <v>45</v>
      </c>
      <c r="CG13" s="46"/>
      <c r="CH13" s="34"/>
      <c r="CI13" s="34" t="s">
        <v>54</v>
      </c>
      <c r="CJ13" s="46"/>
      <c r="CK13" s="34" t="s">
        <v>47</v>
      </c>
      <c r="CL13" s="46">
        <v>1.0</v>
      </c>
      <c r="CM13" s="34" t="s">
        <v>19</v>
      </c>
      <c r="CN13" s="34" t="s">
        <v>48</v>
      </c>
      <c r="CO13" s="34"/>
    </row>
    <row r="14" ht="15.75" customHeight="1">
      <c r="A14" s="8"/>
      <c r="B14" s="34" t="s">
        <v>21</v>
      </c>
      <c r="C14" s="34" t="s">
        <v>37</v>
      </c>
      <c r="D14" s="46"/>
      <c r="E14" s="46">
        <v>10.0</v>
      </c>
      <c r="F14" s="34" t="s">
        <v>38</v>
      </c>
      <c r="G14" s="34" t="s">
        <v>39</v>
      </c>
      <c r="H14" s="46"/>
      <c r="I14" s="46"/>
      <c r="J14" s="46"/>
      <c r="K14" s="46">
        <v>10.0</v>
      </c>
      <c r="L14" s="46">
        <v>10.0</v>
      </c>
      <c r="M14" s="34"/>
      <c r="N14" s="34" t="s">
        <v>37</v>
      </c>
      <c r="O14" s="34" t="s">
        <v>40</v>
      </c>
      <c r="P14" s="34"/>
      <c r="Q14" s="46"/>
      <c r="R14" s="46"/>
      <c r="S14" s="34"/>
      <c r="T14" s="46"/>
      <c r="U14" s="46"/>
      <c r="V14" s="34" t="s">
        <v>55</v>
      </c>
      <c r="W14" s="46">
        <v>100.0</v>
      </c>
      <c r="X14" s="34" t="s">
        <v>37</v>
      </c>
      <c r="Y14" s="34" t="s">
        <v>37</v>
      </c>
      <c r="Z14" s="34" t="s">
        <v>41</v>
      </c>
      <c r="AA14" s="34"/>
      <c r="AB14" s="46">
        <v>1.0</v>
      </c>
      <c r="AC14" s="34"/>
      <c r="AD14" s="34" t="s">
        <v>42</v>
      </c>
      <c r="AE14" s="46">
        <v>10.0</v>
      </c>
      <c r="AF14" s="34" t="s">
        <v>37</v>
      </c>
      <c r="AG14" s="46"/>
      <c r="AH14" s="34" t="s">
        <v>43</v>
      </c>
      <c r="AI14" s="46">
        <v>1.0</v>
      </c>
      <c r="AJ14" s="34"/>
      <c r="AK14" s="34"/>
      <c r="AL14" s="34"/>
      <c r="AM14" s="34"/>
      <c r="AN14" s="47"/>
      <c r="AO14" s="34"/>
      <c r="AP14" s="47"/>
      <c r="AQ14" s="47"/>
      <c r="AR14" s="47"/>
      <c r="AS14" s="46"/>
      <c r="AT14" s="46">
        <v>10000.0</v>
      </c>
      <c r="AU14" s="46">
        <v>10000.0</v>
      </c>
      <c r="AV14" s="46"/>
      <c r="AW14" s="46"/>
      <c r="AX14" s="46"/>
      <c r="AY14" s="34" t="s">
        <v>44</v>
      </c>
      <c r="AZ14" s="46"/>
      <c r="BA14" s="46"/>
      <c r="BB14" s="34"/>
      <c r="BC14" s="46"/>
      <c r="BD14" s="34"/>
      <c r="BE14" s="46">
        <v>10000.0</v>
      </c>
      <c r="BF14" s="46">
        <v>10000.0</v>
      </c>
      <c r="BG14" s="46"/>
      <c r="BH14" s="34"/>
      <c r="BI14" s="34"/>
      <c r="BJ14" s="46">
        <v>10.0</v>
      </c>
      <c r="BK14" s="46"/>
      <c r="BL14" s="34"/>
      <c r="BM14" s="34" t="s">
        <v>41</v>
      </c>
      <c r="BN14" s="46"/>
      <c r="BO14" s="34" t="s">
        <v>23</v>
      </c>
      <c r="BP14" s="46"/>
      <c r="BQ14" s="46"/>
      <c r="BR14" s="46"/>
      <c r="BS14" s="34"/>
      <c r="BT14" s="34" t="s">
        <v>22</v>
      </c>
      <c r="BU14" s="46"/>
      <c r="BV14" s="46"/>
      <c r="BW14" s="46"/>
      <c r="BX14" s="46"/>
      <c r="BY14" s="34"/>
      <c r="BZ14" s="34"/>
      <c r="CA14" s="34"/>
      <c r="CB14" s="34"/>
      <c r="CC14" s="34"/>
      <c r="CD14" s="34"/>
      <c r="CE14" s="46"/>
      <c r="CF14" s="34" t="s">
        <v>45</v>
      </c>
      <c r="CG14" s="46"/>
      <c r="CH14" s="34"/>
      <c r="CI14" s="34" t="s">
        <v>46</v>
      </c>
      <c r="CJ14" s="46"/>
      <c r="CK14" s="34" t="s">
        <v>47</v>
      </c>
      <c r="CL14" s="46">
        <v>1.0</v>
      </c>
      <c r="CM14" s="34" t="s">
        <v>19</v>
      </c>
      <c r="CN14" s="34" t="s">
        <v>48</v>
      </c>
      <c r="CO14" s="34"/>
    </row>
    <row r="15" ht="15.75" customHeight="1">
      <c r="A15" s="8"/>
      <c r="B15" s="34" t="s">
        <v>21</v>
      </c>
      <c r="C15" s="34" t="s">
        <v>37</v>
      </c>
      <c r="D15" s="46"/>
      <c r="E15" s="46">
        <v>10.0</v>
      </c>
      <c r="F15" s="34" t="s">
        <v>38</v>
      </c>
      <c r="G15" s="34" t="s">
        <v>39</v>
      </c>
      <c r="H15" s="46"/>
      <c r="I15" s="46"/>
      <c r="J15" s="46"/>
      <c r="K15" s="46">
        <v>0.0</v>
      </c>
      <c r="L15" s="46">
        <v>0.0</v>
      </c>
      <c r="M15" s="34"/>
      <c r="N15" s="34" t="s">
        <v>37</v>
      </c>
      <c r="O15" s="34" t="s">
        <v>40</v>
      </c>
      <c r="P15" s="34"/>
      <c r="Q15" s="46"/>
      <c r="R15" s="46"/>
      <c r="S15" s="34"/>
      <c r="T15" s="46"/>
      <c r="U15" s="46"/>
      <c r="V15" s="34" t="s">
        <v>24</v>
      </c>
      <c r="W15" s="46">
        <v>100.0</v>
      </c>
      <c r="X15" s="34" t="s">
        <v>37</v>
      </c>
      <c r="Y15" s="34" t="s">
        <v>37</v>
      </c>
      <c r="Z15" s="34" t="s">
        <v>41</v>
      </c>
      <c r="AA15" s="34"/>
      <c r="AB15" s="46">
        <v>1.0</v>
      </c>
      <c r="AC15" s="34"/>
      <c r="AD15" s="34" t="s">
        <v>42</v>
      </c>
      <c r="AE15" s="46">
        <v>10.0</v>
      </c>
      <c r="AF15" s="34" t="s">
        <v>37</v>
      </c>
      <c r="AG15" s="46"/>
      <c r="AH15" s="34" t="s">
        <v>43</v>
      </c>
      <c r="AI15" s="46">
        <v>1.0</v>
      </c>
      <c r="AJ15" s="34"/>
      <c r="AK15" s="34"/>
      <c r="AL15" s="34"/>
      <c r="AM15" s="34"/>
      <c r="AN15" s="47"/>
      <c r="AO15" s="34"/>
      <c r="AP15" s="47"/>
      <c r="AQ15" s="47"/>
      <c r="AR15" s="47"/>
      <c r="AS15" s="46"/>
      <c r="AT15" s="46">
        <v>10000.0</v>
      </c>
      <c r="AU15" s="46">
        <v>10000.0</v>
      </c>
      <c r="AV15" s="46"/>
      <c r="AW15" s="46"/>
      <c r="AX15" s="46"/>
      <c r="AY15" s="34" t="s">
        <v>44</v>
      </c>
      <c r="AZ15" s="46"/>
      <c r="BA15" s="46"/>
      <c r="BB15" s="34"/>
      <c r="BC15" s="46"/>
      <c r="BD15" s="34"/>
      <c r="BE15" s="46">
        <v>0.0</v>
      </c>
      <c r="BF15" s="46">
        <v>0.0</v>
      </c>
      <c r="BG15" s="46"/>
      <c r="BH15" s="34"/>
      <c r="BI15" s="34"/>
      <c r="BJ15" s="46">
        <v>10.0</v>
      </c>
      <c r="BK15" s="46"/>
      <c r="BL15" s="34"/>
      <c r="BM15" s="34" t="s">
        <v>41</v>
      </c>
      <c r="BN15" s="46"/>
      <c r="BO15" s="34" t="s">
        <v>56</v>
      </c>
      <c r="BP15" s="46"/>
      <c r="BQ15" s="46"/>
      <c r="BR15" s="46"/>
      <c r="BS15" s="34"/>
      <c r="BT15" s="34" t="s">
        <v>24</v>
      </c>
      <c r="BU15" s="46"/>
      <c r="BV15" s="46"/>
      <c r="BW15" s="46"/>
      <c r="BX15" s="46"/>
      <c r="BY15" s="34"/>
      <c r="BZ15" s="34"/>
      <c r="CA15" s="34"/>
      <c r="CB15" s="34"/>
      <c r="CC15" s="34"/>
      <c r="CD15" s="34"/>
      <c r="CE15" s="46"/>
      <c r="CF15" s="34"/>
      <c r="CG15" s="46"/>
      <c r="CH15" s="34"/>
      <c r="CI15" s="34" t="s">
        <v>54</v>
      </c>
      <c r="CJ15" s="46"/>
      <c r="CK15" s="34" t="s">
        <v>47</v>
      </c>
      <c r="CL15" s="46">
        <v>1.0</v>
      </c>
      <c r="CM15" s="34" t="s">
        <v>19</v>
      </c>
      <c r="CN15" s="34"/>
      <c r="CO15" s="34"/>
    </row>
    <row r="16" ht="15.75" customHeight="1">
      <c r="A16" s="8"/>
      <c r="B16" s="34" t="s">
        <v>21</v>
      </c>
      <c r="C16" s="34" t="s">
        <v>37</v>
      </c>
      <c r="D16" s="46"/>
      <c r="E16" s="46">
        <v>1000.0</v>
      </c>
      <c r="F16" s="34" t="s">
        <v>38</v>
      </c>
      <c r="G16" s="34" t="s">
        <v>49</v>
      </c>
      <c r="H16" s="46"/>
      <c r="I16" s="46"/>
      <c r="J16" s="46"/>
      <c r="K16" s="46">
        <v>50.0</v>
      </c>
      <c r="L16" s="46">
        <v>50.0</v>
      </c>
      <c r="M16" s="34"/>
      <c r="N16" s="34" t="s">
        <v>37</v>
      </c>
      <c r="O16" s="34" t="s">
        <v>40</v>
      </c>
      <c r="P16" s="34"/>
      <c r="Q16" s="46"/>
      <c r="R16" s="46"/>
      <c r="S16" s="34"/>
      <c r="T16" s="46"/>
      <c r="U16" s="46"/>
      <c r="V16" s="34" t="s">
        <v>50</v>
      </c>
      <c r="W16" s="46">
        <v>1.0</v>
      </c>
      <c r="X16" s="34" t="s">
        <v>37</v>
      </c>
      <c r="Y16" s="34" t="s">
        <v>37</v>
      </c>
      <c r="Z16" s="34" t="s">
        <v>41</v>
      </c>
      <c r="AA16" s="34"/>
      <c r="AB16" s="46">
        <v>1.0</v>
      </c>
      <c r="AC16" s="34"/>
      <c r="AD16" s="34" t="s">
        <v>51</v>
      </c>
      <c r="AE16" s="46">
        <v>1000.0</v>
      </c>
      <c r="AF16" s="34" t="s">
        <v>37</v>
      </c>
      <c r="AG16" s="46"/>
      <c r="AH16" s="34" t="s">
        <v>52</v>
      </c>
      <c r="AI16" s="46">
        <v>1.0</v>
      </c>
      <c r="AJ16" s="34"/>
      <c r="AK16" s="34"/>
      <c r="AL16" s="34"/>
      <c r="AM16" s="34"/>
      <c r="AN16" s="47"/>
      <c r="AO16" s="34"/>
      <c r="AP16" s="47"/>
      <c r="AQ16" s="47"/>
      <c r="AR16" s="47"/>
      <c r="AS16" s="46"/>
      <c r="AT16" s="46">
        <v>60000.0</v>
      </c>
      <c r="AU16" s="46">
        <v>60000.0</v>
      </c>
      <c r="AV16" s="46"/>
      <c r="AW16" s="46"/>
      <c r="AX16" s="46"/>
      <c r="AY16" s="34"/>
      <c r="AZ16" s="46"/>
      <c r="BA16" s="46"/>
      <c r="BB16" s="34"/>
      <c r="BC16" s="46"/>
      <c r="BD16" s="34"/>
      <c r="BE16" s="46">
        <v>50000.0</v>
      </c>
      <c r="BF16" s="46">
        <v>50000.0</v>
      </c>
      <c r="BG16" s="46"/>
      <c r="BH16" s="34"/>
      <c r="BI16" s="34"/>
      <c r="BJ16" s="46">
        <v>1000.0</v>
      </c>
      <c r="BK16" s="46"/>
      <c r="BL16" s="34"/>
      <c r="BM16" s="34" t="s">
        <v>41</v>
      </c>
      <c r="BN16" s="46"/>
      <c r="BO16" s="34" t="s">
        <v>53</v>
      </c>
      <c r="BP16" s="46"/>
      <c r="BQ16" s="46"/>
      <c r="BR16" s="46"/>
      <c r="BS16" s="34"/>
      <c r="BT16" s="34" t="s">
        <v>19</v>
      </c>
      <c r="BU16" s="46"/>
      <c r="BV16" s="46"/>
      <c r="BW16" s="46"/>
      <c r="BX16" s="46"/>
      <c r="BY16" s="34"/>
      <c r="BZ16" s="34"/>
      <c r="CA16" s="34"/>
      <c r="CB16" s="34"/>
      <c r="CC16" s="34"/>
      <c r="CD16" s="34"/>
      <c r="CE16" s="46"/>
      <c r="CF16" s="34" t="s">
        <v>45</v>
      </c>
      <c r="CG16" s="46"/>
      <c r="CH16" s="34"/>
      <c r="CI16" s="34" t="s">
        <v>54</v>
      </c>
      <c r="CJ16" s="46"/>
      <c r="CK16" s="34" t="s">
        <v>47</v>
      </c>
      <c r="CL16" s="46">
        <v>1.0</v>
      </c>
      <c r="CM16" s="34" t="s">
        <v>19</v>
      </c>
      <c r="CN16" s="34" t="s">
        <v>48</v>
      </c>
      <c r="CO16" s="3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10000.0</v>
      </c>
      <c r="C6" s="48">
        <v>10000.0</v>
      </c>
      <c r="D6" s="48">
        <v>10000.0</v>
      </c>
      <c r="E6" s="48">
        <v>10000.0</v>
      </c>
      <c r="F6" s="49" t="s">
        <v>43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>
        <v>6000.0</v>
      </c>
      <c r="C7" s="48">
        <v>6000.0</v>
      </c>
      <c r="D7" s="48">
        <v>6000.0</v>
      </c>
      <c r="E7" s="48">
        <v>6000.0</v>
      </c>
      <c r="F7" s="49" t="s">
        <v>52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0">
        <v>0.0</v>
      </c>
      <c r="C8" s="50">
        <v>0.0</v>
      </c>
      <c r="D8" s="50">
        <v>0.0</v>
      </c>
      <c r="E8" s="50">
        <v>0.0</v>
      </c>
      <c r="F8" s="49" t="s">
        <v>43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0">
        <v>0.0</v>
      </c>
      <c r="C9" s="50">
        <v>0.0</v>
      </c>
      <c r="D9" s="50">
        <v>0.0</v>
      </c>
      <c r="E9" s="50">
        <v>0.0</v>
      </c>
      <c r="F9" s="49" t="s">
        <v>43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>
        <v>60000.0</v>
      </c>
      <c r="C10" s="48">
        <v>60000.0</v>
      </c>
      <c r="D10" s="48">
        <v>60000.0</v>
      </c>
      <c r="E10" s="48">
        <v>60000.0</v>
      </c>
      <c r="F10" s="49" t="s">
        <v>52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>
        <v>1114.0006</v>
      </c>
      <c r="C11" s="48">
        <v>1114.0006</v>
      </c>
      <c r="D11" s="48">
        <v>1100.0</v>
      </c>
      <c r="E11" s="48">
        <v>1100.0</v>
      </c>
      <c r="F11" s="49" t="s">
        <v>43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>
        <v>10000.0</v>
      </c>
      <c r="C12" s="48">
        <v>10000.0</v>
      </c>
      <c r="D12" s="48">
        <v>10000.0</v>
      </c>
      <c r="E12" s="48">
        <v>10000.0</v>
      </c>
      <c r="F12" s="49" t="s">
        <v>43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>
        <v>54000.0</v>
      </c>
      <c r="C13" s="48">
        <v>54000.0</v>
      </c>
      <c r="D13" s="48">
        <v>54000.0</v>
      </c>
      <c r="E13" s="48">
        <v>54000.0</v>
      </c>
      <c r="F13" s="49" t="s">
        <v>43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>
        <v>10000.0</v>
      </c>
      <c r="C14" s="48">
        <v>10000.0</v>
      </c>
      <c r="D14" s="48">
        <v>10000.0</v>
      </c>
      <c r="E14" s="48">
        <v>10000.0</v>
      </c>
      <c r="F14" s="49" t="s">
        <v>43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0">
        <v>0.0</v>
      </c>
      <c r="C15" s="50">
        <v>0.0</v>
      </c>
      <c r="D15" s="50">
        <v>0.0</v>
      </c>
      <c r="E15" s="50">
        <v>0.0</v>
      </c>
      <c r="F15" s="49" t="s">
        <v>43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8">
        <v>50000.0</v>
      </c>
      <c r="C16" s="48">
        <v>50000.0</v>
      </c>
      <c r="D16" s="48">
        <v>50000.0</v>
      </c>
      <c r="E16" s="48">
        <v>50000.0</v>
      </c>
      <c r="F16" s="49" t="s">
        <v>52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19</v>
      </c>
      <c r="D6" s="51">
        <v>1100.0</v>
      </c>
      <c r="E6" s="8" t="s">
        <v>21</v>
      </c>
      <c r="F6" s="8" t="s">
        <v>61</v>
      </c>
      <c r="G6" s="8">
        <v>1.0</v>
      </c>
      <c r="H6" s="8" t="s">
        <v>25</v>
      </c>
      <c r="I6" s="8"/>
      <c r="J6" s="8"/>
      <c r="K6" s="8"/>
      <c r="L6" s="8"/>
      <c r="M6" s="8"/>
      <c r="N6" s="8"/>
      <c r="O6" s="8" t="s">
        <v>50</v>
      </c>
      <c r="P6">
        <v>120.0</v>
      </c>
      <c r="R6" t="s">
        <v>62</v>
      </c>
      <c r="T6" t="s">
        <v>49</v>
      </c>
      <c r="U6" t="s">
        <v>47</v>
      </c>
      <c r="V6" t="s">
        <v>51</v>
      </c>
      <c r="W6" t="s">
        <v>41</v>
      </c>
      <c r="X6">
        <v>1.0</v>
      </c>
      <c r="Y6">
        <v>1.0</v>
      </c>
      <c r="AL6">
        <v>1.0</v>
      </c>
      <c r="AM6">
        <v>1.0</v>
      </c>
      <c r="AN6" t="s">
        <v>20</v>
      </c>
      <c r="AP6" t="s">
        <v>63</v>
      </c>
      <c r="AQ6" t="s">
        <v>19</v>
      </c>
      <c r="AV6">
        <v>1.0</v>
      </c>
      <c r="BC6">
        <v>1.0</v>
      </c>
      <c r="BE6" t="s">
        <v>49</v>
      </c>
      <c r="BF6" t="s">
        <v>64</v>
      </c>
      <c r="BG6" t="s">
        <v>65</v>
      </c>
      <c r="BQ6" t="s">
        <v>48</v>
      </c>
      <c r="BR6" t="s">
        <v>40</v>
      </c>
      <c r="BU6" t="s">
        <v>49</v>
      </c>
      <c r="CN6" t="s">
        <v>19</v>
      </c>
      <c r="CO6" t="s">
        <v>19</v>
      </c>
      <c r="CS6">
        <v>1.0</v>
      </c>
      <c r="DH6">
        <v>120.0</v>
      </c>
      <c r="DJ6" t="s">
        <v>20</v>
      </c>
      <c r="DM6">
        <v>1.0</v>
      </c>
      <c r="DP6" t="s">
        <v>63</v>
      </c>
      <c r="DZ6" t="s">
        <v>50</v>
      </c>
      <c r="ED6" t="s">
        <v>41</v>
      </c>
      <c r="EL6" t="s">
        <v>63</v>
      </c>
      <c r="EV6" t="s">
        <v>63</v>
      </c>
      <c r="FA6" t="s">
        <v>37</v>
      </c>
      <c r="FH6">
        <v>0.0</v>
      </c>
    </row>
    <row r="7" ht="15.75" customHeight="1">
      <c r="A7" s="8"/>
      <c r="B7" s="8"/>
      <c r="C7" s="8" t="s">
        <v>19</v>
      </c>
      <c r="D7" s="8">
        <v>-1000.0</v>
      </c>
      <c r="E7" s="8" t="s">
        <v>21</v>
      </c>
      <c r="F7" s="8" t="s">
        <v>61</v>
      </c>
      <c r="G7" s="8">
        <v>60.0</v>
      </c>
      <c r="H7" s="8" t="s">
        <v>25</v>
      </c>
      <c r="I7" s="8"/>
      <c r="J7" s="8"/>
      <c r="K7" s="8"/>
      <c r="L7" s="8"/>
      <c r="M7" s="8"/>
      <c r="N7" s="8"/>
      <c r="O7" s="8" t="s">
        <v>50</v>
      </c>
      <c r="P7">
        <v>120.0</v>
      </c>
      <c r="R7" t="s">
        <v>62</v>
      </c>
      <c r="T7" t="s">
        <v>49</v>
      </c>
      <c r="U7" t="s">
        <v>47</v>
      </c>
      <c r="V7" t="s">
        <v>51</v>
      </c>
      <c r="W7" t="s">
        <v>41</v>
      </c>
      <c r="X7">
        <v>1.0</v>
      </c>
      <c r="Y7">
        <v>1.0</v>
      </c>
      <c r="AL7">
        <v>1.0</v>
      </c>
      <c r="AM7">
        <v>1.0</v>
      </c>
      <c r="AN7" t="s">
        <v>57</v>
      </c>
      <c r="AP7" t="s">
        <v>25</v>
      </c>
      <c r="AQ7" t="s">
        <v>19</v>
      </c>
      <c r="AV7">
        <v>1.0</v>
      </c>
      <c r="BC7">
        <v>1.0</v>
      </c>
      <c r="BE7" t="s">
        <v>49</v>
      </c>
      <c r="BF7" t="s">
        <v>64</v>
      </c>
      <c r="BG7" t="s">
        <v>65</v>
      </c>
      <c r="BQ7" t="s">
        <v>48</v>
      </c>
      <c r="BR7" t="s">
        <v>40</v>
      </c>
      <c r="BU7" t="s">
        <v>49</v>
      </c>
      <c r="CN7" t="s">
        <v>19</v>
      </c>
      <c r="CO7" t="s">
        <v>19</v>
      </c>
      <c r="CS7">
        <v>60.0</v>
      </c>
      <c r="DH7">
        <v>120.0</v>
      </c>
      <c r="DJ7" t="s">
        <v>54</v>
      </c>
      <c r="DM7">
        <v>1.0</v>
      </c>
      <c r="DP7" t="s">
        <v>25</v>
      </c>
      <c r="DZ7" t="s">
        <v>50</v>
      </c>
      <c r="ED7" t="s">
        <v>41</v>
      </c>
      <c r="EL7" t="s">
        <v>63</v>
      </c>
      <c r="EV7" t="s">
        <v>63</v>
      </c>
      <c r="FA7" t="s">
        <v>37</v>
      </c>
      <c r="FH7">
        <v>0.0</v>
      </c>
    </row>
    <row r="8" ht="15.75" customHeight="1">
      <c r="A8" s="8"/>
      <c r="B8" s="8"/>
      <c r="C8" s="8" t="s">
        <v>19</v>
      </c>
      <c r="D8" s="8">
        <v>-100.0</v>
      </c>
      <c r="E8" s="8" t="s">
        <v>21</v>
      </c>
      <c r="F8" s="8" t="s">
        <v>61</v>
      </c>
      <c r="G8" s="8">
        <v>60.0</v>
      </c>
      <c r="H8" s="8" t="s">
        <v>25</v>
      </c>
      <c r="I8" s="8"/>
      <c r="J8" s="8"/>
      <c r="K8" s="8"/>
      <c r="L8" s="8"/>
      <c r="M8" s="8"/>
      <c r="N8" s="8"/>
      <c r="O8" s="8" t="s">
        <v>50</v>
      </c>
      <c r="P8">
        <v>120.0</v>
      </c>
      <c r="R8" t="s">
        <v>62</v>
      </c>
      <c r="T8" t="s">
        <v>49</v>
      </c>
      <c r="U8" t="s">
        <v>47</v>
      </c>
      <c r="V8" t="s">
        <v>51</v>
      </c>
      <c r="W8" t="s">
        <v>41</v>
      </c>
      <c r="X8">
        <v>1.0</v>
      </c>
      <c r="Y8">
        <v>1.0</v>
      </c>
      <c r="AL8">
        <v>1.0</v>
      </c>
      <c r="AM8">
        <v>1.0</v>
      </c>
      <c r="AN8" t="s">
        <v>53</v>
      </c>
      <c r="AP8" t="s">
        <v>63</v>
      </c>
      <c r="AQ8" t="s">
        <v>19</v>
      </c>
      <c r="AV8">
        <v>1.0</v>
      </c>
      <c r="BC8">
        <v>1.0</v>
      </c>
      <c r="BE8" t="s">
        <v>49</v>
      </c>
      <c r="BF8" t="s">
        <v>64</v>
      </c>
      <c r="BG8" t="s">
        <v>65</v>
      </c>
      <c r="BQ8" t="s">
        <v>48</v>
      </c>
      <c r="BR8" t="s">
        <v>40</v>
      </c>
      <c r="BU8" t="s">
        <v>49</v>
      </c>
      <c r="CN8" t="s">
        <v>19</v>
      </c>
      <c r="CO8" t="s">
        <v>19</v>
      </c>
      <c r="CS8">
        <v>60.0</v>
      </c>
      <c r="DH8">
        <v>120.0</v>
      </c>
      <c r="DJ8" t="s">
        <v>54</v>
      </c>
      <c r="DM8">
        <v>1.0</v>
      </c>
      <c r="DP8" t="s">
        <v>63</v>
      </c>
      <c r="DZ8" t="s">
        <v>50</v>
      </c>
      <c r="ED8" t="s">
        <v>41</v>
      </c>
      <c r="EL8" t="s">
        <v>63</v>
      </c>
      <c r="EV8" t="s">
        <v>63</v>
      </c>
      <c r="FA8" t="s">
        <v>37</v>
      </c>
      <c r="FH8">
        <v>0.0</v>
      </c>
    </row>
    <row r="9" ht="15.75" customHeight="1">
      <c r="A9" s="8"/>
      <c r="B9" s="8"/>
      <c r="C9" s="8" t="s">
        <v>19</v>
      </c>
      <c r="D9" s="8">
        <v>-900.0</v>
      </c>
      <c r="E9" s="8" t="s">
        <v>21</v>
      </c>
      <c r="F9" s="8" t="s">
        <v>61</v>
      </c>
      <c r="G9" s="8">
        <v>60.0</v>
      </c>
      <c r="H9" s="8" t="s">
        <v>25</v>
      </c>
      <c r="I9" s="8"/>
      <c r="J9" s="8"/>
      <c r="K9" s="8"/>
      <c r="L9" s="8"/>
      <c r="M9" s="8"/>
      <c r="N9" s="8"/>
      <c r="O9" s="8" t="s">
        <v>50</v>
      </c>
      <c r="P9">
        <v>120.0</v>
      </c>
      <c r="R9" t="s">
        <v>62</v>
      </c>
      <c r="T9" t="s">
        <v>49</v>
      </c>
      <c r="U9" t="s">
        <v>47</v>
      </c>
      <c r="V9" t="s">
        <v>51</v>
      </c>
      <c r="W9" t="s">
        <v>41</v>
      </c>
      <c r="X9">
        <v>1.0</v>
      </c>
      <c r="Y9">
        <v>1.0</v>
      </c>
      <c r="AL9">
        <v>1.0</v>
      </c>
      <c r="AM9">
        <v>1.0</v>
      </c>
      <c r="AN9" t="s">
        <v>57</v>
      </c>
      <c r="AP9" t="s">
        <v>25</v>
      </c>
      <c r="AQ9" t="s">
        <v>19</v>
      </c>
      <c r="AV9">
        <v>1.0</v>
      </c>
      <c r="BC9">
        <v>1.0</v>
      </c>
      <c r="BE9" t="s">
        <v>49</v>
      </c>
      <c r="BF9" t="s">
        <v>64</v>
      </c>
      <c r="BG9" t="s">
        <v>65</v>
      </c>
      <c r="BQ9" t="s">
        <v>48</v>
      </c>
      <c r="BR9" t="s">
        <v>40</v>
      </c>
      <c r="BU9" t="s">
        <v>49</v>
      </c>
      <c r="CN9" t="s">
        <v>19</v>
      </c>
      <c r="CO9" t="s">
        <v>19</v>
      </c>
      <c r="CS9">
        <v>60.0</v>
      </c>
      <c r="DH9">
        <v>120.0</v>
      </c>
      <c r="DJ9" t="s">
        <v>54</v>
      </c>
      <c r="DM9">
        <v>1.0</v>
      </c>
      <c r="DP9" t="s">
        <v>25</v>
      </c>
      <c r="DZ9" t="s">
        <v>50</v>
      </c>
      <c r="ED9" t="s">
        <v>41</v>
      </c>
      <c r="EL9" t="s">
        <v>63</v>
      </c>
      <c r="EV9" t="s">
        <v>63</v>
      </c>
      <c r="FA9" t="s">
        <v>37</v>
      </c>
      <c r="FH9">
        <v>0.0</v>
      </c>
    </row>
    <row r="10" ht="15.75" customHeight="1">
      <c r="A10" s="8"/>
      <c r="B10" s="8"/>
      <c r="C10" s="8" t="s">
        <v>19</v>
      </c>
      <c r="D10" s="8">
        <v>-1000.0</v>
      </c>
      <c r="E10" s="8" t="s">
        <v>21</v>
      </c>
      <c r="F10" s="8" t="s">
        <v>61</v>
      </c>
      <c r="G10" s="8">
        <v>50.0</v>
      </c>
      <c r="H10" s="8" t="s">
        <v>25</v>
      </c>
      <c r="I10" s="8"/>
      <c r="J10" s="8"/>
      <c r="K10" s="8"/>
      <c r="L10" s="8"/>
      <c r="M10" s="8"/>
      <c r="N10" s="8"/>
      <c r="O10" s="8" t="s">
        <v>50</v>
      </c>
      <c r="P10">
        <v>120.0</v>
      </c>
      <c r="R10" t="s">
        <v>62</v>
      </c>
      <c r="T10" t="s">
        <v>49</v>
      </c>
      <c r="U10" t="s">
        <v>47</v>
      </c>
      <c r="V10" t="s">
        <v>51</v>
      </c>
      <c r="W10" t="s">
        <v>41</v>
      </c>
      <c r="X10">
        <v>1.0</v>
      </c>
      <c r="Y10">
        <v>1.0</v>
      </c>
      <c r="AL10">
        <v>1.0</v>
      </c>
      <c r="AM10">
        <v>1.0</v>
      </c>
      <c r="AN10" t="s">
        <v>53</v>
      </c>
      <c r="AP10" t="s">
        <v>63</v>
      </c>
      <c r="AQ10" t="s">
        <v>19</v>
      </c>
      <c r="AV10">
        <v>1.0</v>
      </c>
      <c r="BC10">
        <v>1.0</v>
      </c>
      <c r="BE10" t="s">
        <v>49</v>
      </c>
      <c r="BF10" t="s">
        <v>64</v>
      </c>
      <c r="BG10" t="s">
        <v>65</v>
      </c>
      <c r="BQ10" t="s">
        <v>48</v>
      </c>
      <c r="BR10" t="s">
        <v>40</v>
      </c>
      <c r="BU10" t="s">
        <v>49</v>
      </c>
      <c r="CN10" t="s">
        <v>19</v>
      </c>
      <c r="CO10" t="s">
        <v>19</v>
      </c>
      <c r="CS10">
        <v>50.0</v>
      </c>
      <c r="DH10">
        <v>120.0</v>
      </c>
      <c r="DJ10" t="s">
        <v>54</v>
      </c>
      <c r="DM10">
        <v>1.0</v>
      </c>
      <c r="DP10" t="s">
        <v>63</v>
      </c>
      <c r="DZ10" t="s">
        <v>50</v>
      </c>
      <c r="ED10" t="s">
        <v>41</v>
      </c>
      <c r="EL10" t="s">
        <v>63</v>
      </c>
      <c r="EV10" t="s">
        <v>63</v>
      </c>
      <c r="FA10" t="s">
        <v>37</v>
      </c>
      <c r="FH10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22</v>
      </c>
      <c r="C6" s="38">
        <f>TODAY()-4</f>
        <v>45120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24</v>
      </c>
      <c r="C7" s="38">
        <f t="shared" ref="C7:C8" si="1">TODAY()-3</f>
        <v>45121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 t="s">
        <v>68</v>
      </c>
      <c r="C8" s="38">
        <f t="shared" si="1"/>
        <v>45121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</v>
      </c>
      <c r="C6" s="8"/>
      <c r="D6" s="13" t="s">
        <v>70</v>
      </c>
      <c r="E6" s="4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