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VerifyOrder" sheetId="7" r:id="rId9"/>
    <sheet state="visible" name="SelectTradeOnOrderGrid" sheetId="8" r:id="rId10"/>
    <sheet state="visible" name="TradeNewSubOrder" sheetId="9" r:id="rId11"/>
    <sheet state="visible" name="CreateDoneAwayOrder2" sheetId="10" r:id="rId12"/>
    <sheet state="visible" name="SelectTradeOnOrderGrid2" sheetId="11" r:id="rId13"/>
    <sheet state="visible" name="AddFillsSubOrder" sheetId="12" r:id="rId14"/>
    <sheet state="visible" name="EditAddFillsDetails" sheetId="13" r:id="rId15"/>
    <sheet state="visible" name="SelectTradeOnOrderGrid3" sheetId="14" r:id="rId16"/>
    <sheet state="visible" name="AddFillsSubOrder2" sheetId="15" r:id="rId17"/>
    <sheet state="visible" name="EditAddFillsDetails2" sheetId="16" r:id="rId18"/>
    <sheet state="visible" name="VerifyOrder2" sheetId="17" r:id="rId19"/>
    <sheet state="visible" name="GetDataAllocation" sheetId="18" r:id="rId20"/>
    <sheet state="visible" name="CheckAllocatedGroups" sheetId="19" r:id="rId21"/>
    <sheet state="visible" name="CheckPortfolioManagement" sheetId="20" r:id="rId22"/>
  </sheets>
  <definedNames/>
  <calcPr/>
</workbook>
</file>

<file path=xl/sharedStrings.xml><?xml version="1.0" encoding="utf-8"?>
<sst xmlns="http://schemas.openxmlformats.org/spreadsheetml/2006/main" count="303" uniqueCount="62">
  <si>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</si>
  <si>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</si>
  <si>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</si>
  <si>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</si>
  <si>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</si>
  <si>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</si>
  <si>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</si>
  <si>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</si>
  <si>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</si>
  <si>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</si>
  <si>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</si>
  <si>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</si>
  <si>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</si>
  <si>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</si>
  <si>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</si>
  <si>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</si>
  <si>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</si>
  <si>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</si>
  <si>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</si>
  <si>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</si>
  <si>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Allocation1,Allocation2</t>
  </si>
  <si>
    <t>50,50</t>
  </si>
  <si>
    <t>CreateStageOrder</t>
  </si>
  <si>
    <t>Buy to Close</t>
  </si>
  <si>
    <t>Blotter</t>
  </si>
  <si>
    <t>VerifyOrder</t>
  </si>
  <si>
    <t>AAPL US EQUITY</t>
  </si>
  <si>
    <t>Filled</t>
  </si>
  <si>
    <t>Multiple</t>
  </si>
  <si>
    <t>Market</t>
  </si>
  <si>
    <t>New</t>
  </si>
  <si>
    <t>SelectTradeOnOrderGrid</t>
  </si>
  <si>
    <t>TradeNewSubOrder</t>
  </si>
  <si>
    <t>NASDAQ</t>
  </si>
  <si>
    <t>USD</t>
  </si>
  <si>
    <t>Yes</t>
  </si>
  <si>
    <t>AddFillsSubOrder</t>
  </si>
  <si>
    <t>EditAddFillsDetails</t>
  </si>
  <si>
    <t>PartiallyFilled</t>
  </si>
  <si>
    <t>Allocation</t>
  </si>
  <si>
    <t>GetDataAllocation</t>
  </si>
  <si>
    <t>Current</t>
  </si>
  <si>
    <t>CheckAllocatedGroups</t>
  </si>
  <si>
    <t>Equity</t>
  </si>
  <si>
    <t>MS</t>
  </si>
  <si>
    <t>M</t>
  </si>
  <si>
    <t>PortfolioManagement</t>
  </si>
  <si>
    <t>CheckPortfolioManagement</t>
  </si>
  <si>
    <t>Allocation2</t>
  </si>
  <si>
    <t>NewMF1</t>
  </si>
  <si>
    <t>Long</t>
  </si>
  <si>
    <t>Strategy Unallocated</t>
  </si>
  <si>
    <t>US</t>
  </si>
  <si>
    <t>Short</t>
  </si>
  <si>
    <t>New Hedge</t>
  </si>
  <si>
    <t>Small Cap</t>
  </si>
  <si>
    <t>Undefined</t>
  </si>
  <si>
    <t>jpearce</t>
  </si>
  <si>
    <t>None</t>
  </si>
  <si>
    <t>Default</t>
  </si>
  <si>
    <t>Allocation1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</si>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</sst>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00BFFF"/>
      <name val="&quot;Segoe UI&quot;"/>
    </font>
    <font>
      <b/>
      <sz val="9.0"/>
      <color rgb="FF000000"/>
      <name val="&quot;Segoe UI&quot;"/>
    </font>
    <font>
      <sz val="9.0"/>
      <color rgb="FF00BFFF"/>
      <name val="Arial"/>
    </font>
    <font>
      <sz val="9.0"/>
      <color rgb="FFFF8000"/>
      <name val="&quot;Segoe UI&quot;"/>
    </font>
    <font>
      <u/>
      <color rgb="FFD9D9D9"/>
    </font>
    <font>
      <sz val="11.0"/>
      <color rgb="FF000000"/>
      <name val="Calibri"/>
    </font>
    <font>
      <color rgb="FF000000"/>
      <name val="Docs-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6" fontId="13" numFmtId="0" xfId="0" applyAlignment="1" applyFill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7" fontId="14" numFmtId="0" xfId="0" applyAlignment="1" applyFill="1" applyFont="1">
      <alignment horizontal="right" readingOrder="0" shrinkToFit="0" vertical="top" wrapText="0"/>
    </xf>
    <xf borderId="0" fillId="8" fontId="15" numFmtId="0" xfId="0" applyAlignment="1" applyFill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8" fontId="17" numFmtId="0" xfId="0" applyAlignment="1" applyFont="1">
      <alignment horizontal="right" readingOrder="0" shrinkToFit="0" vertical="top" wrapText="0"/>
    </xf>
    <xf borderId="0" fillId="4" fontId="18" numFmtId="0" xfId="0" applyFont="1"/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9" numFmtId="4" xfId="0" applyAlignment="1" applyFont="1" applyNumberFormat="1">
      <alignment horizontal="right" readingOrder="0" shrinkToFit="0" vertical="bottom" wrapText="0"/>
    </xf>
    <xf borderId="0" fillId="0" fontId="19" numFmtId="0" xfId="0" applyAlignment="1" applyFont="1">
      <alignment vertical="bottom"/>
    </xf>
    <xf borderId="0" fillId="6" fontId="20" numFmtId="0" xfId="0" applyAlignment="1" applyFont="1">
      <alignment horizontal="left" readingOrder="0"/>
    </xf>
    <xf borderId="0" fillId="0" fontId="19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IFERROR(__xludf.DUMMYFUNCTION("""COMPUTED_VALUE"""),"DeleteValidatedSymbol")</f>
        <v>DeleteValidatedSymbol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IFERROR(__xludf.DUMMYFUNCTION("""COMPUTED_VALUE"""),"1oMi0q843iNKIPgczycexiZ4cleEBD7cCoDEyD8lNclE")</f>
        <v>1oMi0q843iNKIPgczycexiZ4cleEBD7cCoDEyD8lNclE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IFERROR(__xludf.DUMMYFUNCTION("""COMPUTED_VALUE"""),"124Iufd2K3SWQjqbZ8ImMaHsn7IVbVolzLSUNj2xuCag")</f>
        <v>124Iufd2K3SWQjqbZ8ImMaHsn7IVbVolzLSUNj2xuCag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IFERROR(__xludf.DUMMYFUNCTION("""COMPUTED_VALUE"""),"17RhtcYRrs_YN-vBidOyMUbbAxKnGeQ-2JIt8vs9rE5o")</f>
        <v>17RhtcYRrs_YN-vBidOyMUbbAxKnGeQ-2JIt8vs9rE5o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IFERROR(__xludf.DUMMYFUNCTION("""COMPUTED_VALUE"""),"1ZfIgMPS9NpuMtE47suVwo-kA1KXMaKf-ADsjK3-OiFk")</f>
        <v>1ZfIgMPS9NpuMtE47suVwo-kA1KXMaKf-ADsjK3-OiFk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IFERROR(__xludf.DUMMYFUNCTION("""COMPUTED_VALUE"""),"18YSGcykX6msu9uJFtoPx85HXHvQ-faE6GL1h89yp0fE")</f>
        <v>18YSGcykX6msu9uJFtoPx85HXHvQ-faE6GL1h89yp0fE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IFERROR(__xludf.DUMMYFUNCTION("""COMPUTED_VALUE"""),"1Bhq-a_LzI2roHS4ah4FyrUJ2yYXN7T16HEPh2paEGp8")</f>
        <v>1Bhq-a_LzI2roHS4ah4FyrUJ2yYXN7T16HEPh2paEGp8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IFERROR(__xludf.DUMMYFUNCTION("""COMPUTED_VALUE"""),"1KiJe0t8f-Z3sMbprzhIS2_jGwhE9yeai46VmZqqyF84")</f>
        <v>1KiJe0t8f-Z3sMbprzhIS2_jGwhE9yeai46VmZqqyF84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IFERROR(__xludf.DUMMYFUNCTION("""COMPUTED_VALUE"""),"1ZMM3Z5j3worIFB7Wt8pYTm9vtKAiVyUiBNGIHZsfUVU")</f>
        <v>1ZMM3Z5j3worIFB7Wt8pYTm9vtKAiVyUiBNGIHZsfUVU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IFERROR(__xludf.DUMMYFUNCTION("""COMPUTED_VALUE"""),"1fwDymVh1YPwRLS0OVzxhYbkeKbRpUl4prFO7SRyV_hA")</f>
        <v>1fwDymVh1YPwRLS0OVzxhYbkeKbRpUl4prFO7SRyV_hA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IFERROR(__xludf.DUMMYFUNCTION("""COMPUTED_VALUE"""),"1bam3UDAybELVmpnYwPQATi99nl9DpQ99A7IjE7vdsi8")</f>
        <v>1bam3UDAybELVmpnYwPQATi99nl9DpQ99A7IjE7vdsi8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IFERROR(__xludf.DUMMYFUNCTION("""COMPUTED_VALUE"""),"1xJ7gTQfVMeCflKCHTwKYrNQ-Tcf0AYboaATXwHNAslk")</f>
        <v>1xJ7gTQfVMeCflKCHTwKYrNQ-Tcf0AYboaATXwHNAslk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IFERROR(__xludf.DUMMYFUNCTION("""COMPUTED_VALUE"""),"1WdCxXHsuQ3erH24MGTT104a5o2YheSROQebMeF3i0aI")</f>
        <v>1WdCxXHsuQ3erH24MGTT104a5o2YheSROQebMeF3i0aI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IFERROR(__xludf.DUMMYFUNCTION("""COMPUTED_VALUE"""),"1daWmaCLtl5-u8RrR38duUYZoUwwRdmQNmQUk-UFSbh8")</f>
        <v>1daWmaCLtl5-u8RrR38duUYZoUwwRdmQNmQUk-UFSbh8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IFERROR(__xludf.DUMMYFUNCTION("""COMPUTED_VALUE"""),"1gPMin1udTRZeqwLV9tSHt5nU8vpqc3NVx2Q0Tg0-p7Y")</f>
        <v>1gPMin1udTRZeqwLV9tSHt5nU8vpqc3NVx2Q0Tg0-p7Y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IFERROR(__xludf.DUMMYFUNCTION("""COMPUTED_VALUE"""),"12-zLeaphbhmHtw8rRK5ThIs7me8PklDclwlNwfPbXK4")</f>
        <v>12-zLeaphbhmHtw8rRK5ThIs7me8PklDclwlNwfPbXK4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IFERROR(__xludf.DUMMYFUNCTION("""COMPUTED_VALUE"""),"1PQwArcRUuaOQiz5S2jeaenwj9qNZTWgzfhAlHT-Pd1E")</f>
        <v>1PQwArcRUuaOQiz5S2jeaenwj9qNZTWgzfhAlHT-Pd1E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IFERROR(__xludf.DUMMYFUNCTION("""COMPUTED_VALUE"""),"18KFx8YJjXeehMrsrxPVrAlsqv5cDNM4sL10WRca5NKM")</f>
        <v>18KFx8YJjXeehMrsrxPVrAlsqv5cDNM4sL10WRca5NKM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IFERROR(__xludf.DUMMYFUNCTION("""COMPUTED_VALUE"""),"1rmMKHzR6LMbriTLpSwsWo5h7qfkUwKO5MIi-cWWx8-k")</f>
        <v>1rmMKHzR6LMbriTLpSwsWo5h7qfkUwKO5MIi-cWWx8-k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IFERROR(__xludf.DUMMYFUNCTION("""COMPUTED_VALUE"""),"1QwZRlBhhx0osi-B1PdxvO3P3W3BAXkDzM2yrJmnO__c")</f>
        <v>1QwZRlBhhx0osi-B1PdxvO3P3W3BAXkDzM2yrJmnO__c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IFERROR(__xludf.DUMMYFUNCTION("""COMPUTED_VALUE"""),"146PST8sP3dOm_SLLf4EP05WMQk8v95fnGk_VMEIiZeQ")</f>
        <v>146PST8sP3dOm_SLLf4EP05WMQk8v95fnGk_VMEIiZeQ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IFERROR(__xludf.DUMMYFUNCTION("""COMPUTED_VALUE"""),"17MMLrGtrNy7Qk2KDYSM_5mxeBqL4fj27RTyoqb753r4")</f>
        <v>17MMLrGtrNy7Qk2KDYSM_5mxeBqL4fj27RTyoqb753r4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IFERROR(__xludf.DUMMYFUNCTION("""COMPUTED_VALUE"""),"12YzpBbctXJ7tt5Rs3yVMyYiFexSCsLCSFZxRmOTGAnA")</f>
        <v>12YzpBbctXJ7tt5Rs3yVMyYiFexSCsLCSFZxRmOTGAnA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IFERROR(__xludf.DUMMYFUNCTION("""COMPUTED_VALUE"""),"11h9NAV7B59X8ff2awrMfG6bGhrk-CohPIDGmN5O1Z0s")</f>
        <v>11h9NAV7B59X8ff2awrMfG6bGhrk-CohPIDGmN5O1Z0s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IFERROR(__xludf.DUMMYFUNCTION("""COMPUTED_VALUE"""),"1NIGFq7xyMD3dCAzBn7Aybj88-zVYS-uQkEl_uOTRFLk")</f>
        <v>1NIGFq7xyMD3dCAzBn7Aybj88-zVYS-uQkEl_uOTRFLk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IFERROR(__xludf.DUMMYFUNCTION("""COMPUTED_VALUE"""),"1uyEgk_IU7WhZZ2gCVbVNLBNZhgXB_2p-G9ibtBRvqYE")</f>
        <v>1uyEgk_IU7WhZZ2gCVbVNLBNZhgXB_2p-G9ibtBRvqYE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IFERROR(__xludf.DUMMYFUNCTION("""COMPUTED_VALUE"""),"15GaszFrxEJPxL05WiuB3JgAc-7Uig-iyDZRrmgpAvyQ")</f>
        <v>15GaszFrxEJPxL05WiuB3JgAc-7Uig-iyDZRrmgpAvyQ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IFERROR(__xludf.DUMMYFUNCTION("""COMPUTED_VALUE"""),"1H3NF3ekEB_jtnQ6nAPayaHaGtx_2kLuKvJ9qyzd2I2I")</f>
        <v>1H3NF3ekEB_jtnQ6nAPayaHaGtx_2kLuKvJ9qyzd2I2I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IFERROR(__xludf.DUMMYFUNCTION("""COMPUTED_VALUE"""),"1sBgTfLxjF-eLDEQovNIQXxVdy87Sx0Cb24sVDh10pXM")</f>
        <v>1sBgTfLxjF-eLDEQovNIQXxVdy87Sx0Cb24sVDh10pXM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IFERROR(__xludf.DUMMYFUNCTION("""COMPUTED_VALUE"""),"1n-h3PT-RQ62N_5RLlf__-_nBt6pX6gTeokAqyHCUydw")</f>
        <v>1n-h3PT-RQ62N_5RLlf__-_nBt6pX6gTeokAqyHCUydw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IFERROR(__xludf.DUMMYFUNCTION("""COMPUTED_VALUE"""),"1bL3Mc9ko2ABUfRaygcH05a75HlVgOJoZg1ZR8VFCx2s")</f>
        <v>1bL3Mc9ko2ABUfRaygcH05a75HlVgOJoZg1ZR8VFCx2s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IFERROR(__xludf.DUMMYFUNCTION("""COMPUTED_VALUE"""),"1p3N5fuIHZooLiXra7t901Un-5BX1Dub2GwRau5xmnzY")</f>
        <v>1p3N5fuIHZooLiXra7t901Un-5BX1Dub2GwRau5xmnzY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IFERROR(__xludf.DUMMYFUNCTION("""COMPUTED_VALUE"""),"1g8yHX3NgTZ69qR9sJuH4OwZDcdDQ4zNzTUIz8i9c8Wc")</f>
        <v>1g8yHX3NgTZ69qR9sJuH4OwZDcdDQ4zNzTUIz8i9c8Wc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IFERROR(__xludf.DUMMYFUNCTION("""COMPUTED_VALUE"""),"1YmNAq8VlKqlQdZW8Qb-4HKEvna5uWGWWZ257kBzZ3g8")</f>
        <v>1YmNAq8VlKqlQdZW8Qb-4HKEvna5uWGWWZ257kBzZ3g8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IFERROR(__xludf.DUMMYFUNCTION("""COMPUTED_VALUE"""),"1aoefQ2rn_ekQSQ5w1OA5dDn-kkC5Mhjygz9lUK_INpw")</f>
        <v>1aoefQ2rn_ekQSQ5w1OA5dDn-kkC5Mhjygz9lUK_INpw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IFERROR(__xludf.DUMMYFUNCTION("""COMPUTED_VALUE"""),"1zLKKBGrkdJnOK0je8SVf7FNy8N74M1Y58Ijeg4-2PoM")</f>
        <v>1zLKKBGrkdJnOK0je8SVf7FNy8N74M1Y58Ijeg4-2PoM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IFERROR(__xludf.DUMMYFUNCTION("""COMPUTED_VALUE"""),"1yl-Ggnzc6WlzcJkjk53PzqzifLSUFBSUWedGjO2j1sI")</f>
        <v>1yl-Ggnzc6WlzcJkjk53PzqzifLSUFBSUWedGjO2j1sI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IFERROR(__xludf.DUMMYFUNCTION("""COMPUTED_VALUE"""),"1BioDAFgRK9uBg8Ftw35Xfp5pj4WxwmmYzwIJBuO-DwQ")</f>
        <v>1BioDAFgRK9uBg8Ftw35Xfp5pj4WxwmmYzwIJBuO-DwQ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IFERROR(__xludf.DUMMYFUNCTION("""COMPUTED_VALUE"""),"16Qb8L4YsI0WqV4SeARzc48bRpwR2V4Z0MV8OYoCFGhk")</f>
        <v>16Qb8L4YsI0WqV4SeARzc48bRpwR2V4Z0MV8OYoCFGhk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IFERROR(__xludf.DUMMYFUNCTION("""COMPUTED_VALUE"""),"1DTWgrx0dU8hFuUe5pmBqyj4Lg5WTlhIj6qkrNZ9ICjk")</f>
        <v>1DTWgrx0dU8hFuUe5pmBqyj4Lg5WTlhIj6qkrNZ9ICjk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IFERROR(__xludf.DUMMYFUNCTION("""COMPUTED_VALUE"""),"15i1dY6hiW1m4QYwSjhx4JAOW2WLNuZU-m8pp-a1afIc")</f>
        <v>15i1dY6hiW1m4QYwSjhx4JAOW2WLNuZU-m8pp-a1afIc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IFERROR(__xludf.DUMMYFUNCTION("""COMPUTED_VALUE"""),"1FoMj8Y6YQKmNanRt2lm2Bh_abv6-z3QHsKHrSZf0fzk")</f>
        <v>1FoMj8Y6YQKmNanRt2lm2Bh_abv6-z3QHsKHrSZf0fzk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IFERROR(__xludf.DUMMYFUNCTION("""COMPUTED_VALUE"""),"1kJHggZBmha8GLtaL5ZV_B3BS4Gwe7Lz8xw9VxE7dOZo")</f>
        <v>1kJHggZBmha8GLtaL5ZV_B3BS4Gwe7Lz8xw9VxE7dOZo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IFERROR(__xludf.DUMMYFUNCTION("""COMPUTED_VALUE"""),"1oXhOfdNQe4jyRJ2C0rhWTdFRGTIOV39EEnimfabEDfg")</f>
        <v>1oXhOfdNQe4jyRJ2C0rhWTdFRGTIOV39EEnimfabEDfg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IFERROR(__xludf.DUMMYFUNCTION("""COMPUTED_VALUE"""),"1oCioVWRpfyuyVxfO16G2yJ720gXGkma0qGlK4ZyrYg4")</f>
        <v>1oCioVWRpfyuyVxfO16G2yJ720gXGkma0qGlK4ZyrYg4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IFERROR(__xludf.DUMMYFUNCTION("""COMPUTED_VALUE"""),"10uiIcQww3gObeTuZg8B6hz4zaM4MJICGafz7PPnEHAs")</f>
        <v>10uiIcQww3gObeTuZg8B6hz4zaM4MJICGafz7PPnEHAs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IFERROR(__xludf.DUMMYFUNCTION("""COMPUTED_VALUE"""),"18Q05MSktNTIHVgTsRKNrAGtMDLi69cwqazVhf_5vGUs")</f>
        <v>18Q05MSktNTIHVgTsRKNrAGtMDLi69cwqazVhf_5vGUs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IFERROR(__xludf.DUMMYFUNCTION("""COMPUTED_VALUE"""),"1lE_cU-tlZ7oe5H_dwFeCKyUTo0QAax5WNCxb0aT0h3k")</f>
        <v>1lE_cU-tlZ7oe5H_dwFeCKyUTo0QAax5WNCxb0aT0h3k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IFERROR(__xludf.DUMMYFUNCTION("""COMPUTED_VALUE"""),"1d_eucCmN5G9f8_NiLaxsLdEikfWW-iKoCQ7vev7O0zU")</f>
        <v>1d_eucCmN5G9f8_NiLaxsLdEikfWW-iKoCQ7vev7O0zU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IFERROR(__xludf.DUMMYFUNCTION("""COMPUTED_VALUE"""),"1o5yFjfxSDwUZg4TV7tpFK_WjNSoNTnfL0wboLVCUm1c")</f>
        <v>1o5yFjfxSDwUZg4TV7tpFK_WjNSoNTnfL0wboLVCUm1c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IFERROR(__xludf.DUMMYFUNCTION("""COMPUTED_VALUE"""),"1bucapBjYv7lpkviHI-0ZpKwEa06hE9XLTYxCAkiqv1Y")</f>
        <v>1bucapBjYv7lpkviHI-0ZpKwEa06hE9XLTYxCAkiqv1Y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IFERROR(__xludf.DUMMYFUNCTION("""COMPUTED_VALUE"""),"1wpKxeuT5ngykDq8oxD8v-gkl_lDsqPEk3FXZl1BBGNU")</f>
        <v>1wpKxeuT5ngykDq8oxD8v-gkl_lDsqPEk3FXZl1BBGNU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IFERROR(__xludf.DUMMYFUNCTION("""COMPUTED_VALUE"""),"1QjBxJ-nrJcTpAkTasi94_sVisBgMGti7OMQXSW2qseQ")</f>
        <v>1QjBxJ-nrJcTpAkTasi94_sVisBgMGti7OMQXSW2qseQ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IFERROR(__xludf.DUMMYFUNCTION("""COMPUTED_VALUE"""),"1AQwPv2q79wcTa3HlFCQkHG7umwMKlkwPJ1HUBORVfsc")</f>
        <v>1AQwPv2q79wcTa3HlFCQkHG7umwMKlkwPJ1HUBORVfsc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IFERROR(__xludf.DUMMYFUNCTION("""COMPUTED_VALUE"""),"1HyQP4Vrh5_w30EPDJEhjFufpoV-ySJfmHbrzDDK_XLA")</f>
        <v>1HyQP4Vrh5_w30EPDJEhjFufpoV-ySJfmHbrzDDK_XLA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IFERROR(__xludf.DUMMYFUNCTION("""COMPUTED_VALUE"""),"1-86nRBAwVMofYmwMdMDgXGJGcmif9ZGSu6dQcsjk8mA")</f>
        <v>1-86nRBAwVMofYmwMdMDgXGJGcmif9ZGSu6dQcsjk8mA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IFERROR(__xludf.DUMMYFUNCTION("""COMPUTED_VALUE"""),"1Te-cBRFv_FKkvhELasch4HdUPvbgmGvyaL6GSm8rfJ8")</f>
        <v>1Te-cBRFv_FKkvhELasch4HdUPvbgmGvyaL6GSm8rfJ8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IFERROR(__xludf.DUMMYFUNCTION("""COMPUTED_VALUE"""),"1dJTHiT90Stsu7bgBQnfHKxlF7IvmTIhNFC2w3EdJlw0")</f>
        <v>1dJTHiT90Stsu7bgBQnfHKxlF7IvmTIhNFC2w3EdJlw0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IFERROR(__xludf.DUMMYFUNCTION("""COMPUTED_VALUE"""),"1euGFLIds_3eA9FuJ69reigrp7frEDEtKK3dBvh99T0k")</f>
        <v>1euGFLIds_3eA9FuJ69reigrp7frEDEtKK3dBvh99T0k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IFERROR(__xludf.DUMMYFUNCTION("""COMPUTED_VALUE"""),"1wafvyb438EvqeluBWDpXJE8X9Q8gOn3Ijw3caT3wgio")</f>
        <v>1wafvyb438EvqeluBWDpXJE8X9Q8gOn3Ijw3caT3wgio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IFERROR(__xludf.DUMMYFUNCTION("""COMPUTED_VALUE"""),"1l4Egceegv_mDnvE4M_HcBbuAgQh8NhlmPu_10KloWAg")</f>
        <v>1l4Egceegv_mDnvE4M_HcBbuAgQh8NhlmPu_10KloWAg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IFERROR(__xludf.DUMMYFUNCTION("""COMPUTED_VALUE"""),"19Yxtc0mG-kYgx9XiMj2EmICwIzmI7MHhVW5H8sXjfqc")</f>
        <v>19Yxtc0mG-kYgx9XiMj2EmICwIzmI7MHhVW5H8sXjfqc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IFERROR(__xludf.DUMMYFUNCTION("""COMPUTED_VALUE"""),"1leOcJPhSPuUZuc26liYTUkBEgS0ZkyPgfsQ2q70vYYU")</f>
        <v>1leOcJPhSPuUZuc26liYTUkBEgS0ZkyPgfsQ2q70vYYU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IFERROR(__xludf.DUMMYFUNCTION("""COMPUTED_VALUE"""),"1EV6M1kdYbGffiAWDGUsHZDUm9EMHjyVnQif2Bq_w5YQ")</f>
        <v>1EV6M1kdYbGffiAWDGUsHZDUm9EMHjyVnQif2Bq_w5YQ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IFERROR(__xludf.DUMMYFUNCTION("""COMPUTED_VALUE"""),"1NWy1tNLHXUklTVeScryRsYAkdc5-LJ3oDBhQkv8WT8M")</f>
        <v>1NWy1tNLHXUklTVeScryRsYAkdc5-LJ3oDBhQkv8WT8M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IFERROR(__xludf.DUMMYFUNCTION("""COMPUTED_VALUE"""),"1bVPxA0zNj_p7pg9E8mTgLU7yGIrp_WO7jQMtzLb9etg")</f>
        <v>1bVPxA0zNj_p7pg9E8mTgLU7yGIrp_WO7jQMtzLb9etg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IFERROR(__xludf.DUMMYFUNCTION("""COMPUTED_VALUE"""),"1pI0OFiaN7-udDb32hud9I-wifPd3OsRMQPJXWrVRGYE")</f>
        <v>1pI0OFiaN7-udDb32hud9I-wifPd3OsRMQPJXWrVRGYE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IFERROR(__xludf.DUMMYFUNCTION("""COMPUTED_VALUE"""),"1MR0CqV87GTUrjVmW-u4lucv_hu_DKW9AesdoirhhPoE")</f>
        <v>1MR0CqV87GTUrjVmW-u4lucv_hu_DKW9AesdoirhhPoE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IFERROR(__xludf.DUMMYFUNCTION("""COMPUTED_VALUE"""),"1VZd-w4B9IFs_jtM2q4yseIyXmK7riLhK8i1YlvU3OJ4")</f>
        <v>1VZd-w4B9IFs_jtM2q4yseIyXmK7riLhK8i1YlvU3OJ4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IFERROR(__xludf.DUMMYFUNCTION("""COMPUTED_VALUE"""),"1kyDKqBSEYxIlVdn2RdP-ZHnw5fK3SeBCqbpEqQfktbQ")</f>
        <v>1kyDKqBSEYxIlVdn2RdP-ZHnw5fK3SeBCqbpEqQfktbQ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IFERROR(__xludf.DUMMYFUNCTION("""COMPUTED_VALUE"""),"1dFUyUk6aFrwRW0TKRMWTlK9vFTp49OVXBqXSHz95DkI")</f>
        <v>1dFUyUk6aFrwRW0TKRMWTlK9vFTp49OVXBqXSHz95DkI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IFERROR(__xludf.DUMMYFUNCTION("""COMPUTED_VALUE"""),"1-xB5jbzgNDsYwxNItM2igLx6ybosKhYJDG45Cf1B00s")</f>
        <v>1-xB5jbzgNDsYwxNItM2igLx6ybosKhYJDG45Cf1B00s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IFERROR(__xludf.DUMMYFUNCTION("""COMPUTED_VALUE"""),"1j3XobpWhCBX14E7l14SxsGfD41uorXKq0Dzi78xEAl0")</f>
        <v>1j3XobpWhCBX14E7l14SxsGfD41uorXKq0Dzi78xEAl0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IFERROR(__xludf.DUMMYFUNCTION("""COMPUTED_VALUE"""),"1CGteHSn0TR35mDibHM_mvLDac-OHhb53IYGxYOU4O8c")</f>
        <v>1CGteHSn0TR35mDibHM_mvLDac-OHhb53IYGxYOU4O8c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IFERROR(__xludf.DUMMYFUNCTION("""COMPUTED_VALUE"""),"1N8yfRgpk29yJ2RajAJrKlhzej1Vm_fg2kmJVyjXLrvg")</f>
        <v>1N8yfRgpk29yJ2RajAJrKlhzej1Vm_fg2kmJVyjXLrvg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IFERROR(__xludf.DUMMYFUNCTION("""COMPUTED_VALUE"""),"1cUNtTiujid_O-E1ZKZwAgG6FILaEpJPyU8e7KNenYXI")</f>
        <v>1cUNtTiujid_O-E1ZKZwAgG6FILaEpJPyU8e7KNenYXI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IFERROR(__xludf.DUMMYFUNCTION("""COMPUTED_VALUE"""),"1WxElTsVLEdnCe639nqI7szGn5lHG-xxKjGMKw890Nxs")</f>
        <v>1WxElTsVLEdnCe639nqI7szGn5lHG-xxKjGMKw890Nxs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IFERROR(__xludf.DUMMYFUNCTION("""COMPUTED_VALUE"""),"1gMSDalyxsP_enjWpKNvUKpnf9DVP87AgNzPibA-eyb0")</f>
        <v>1gMSDalyxsP_enjWpKNvUKpnf9DVP87AgNzPibA-eyb0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IFERROR(__xludf.DUMMYFUNCTION("""COMPUTED_VALUE"""),"1XgMq7YXIsXKsvwpomSkKrDlipk4Y-ffMAHhllAES020")</f>
        <v>1XgMq7YXIsXKsvwpomSkKrDlipk4Y-ffMAHhllAES020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IFERROR(__xludf.DUMMYFUNCTION("""COMPUTED_VALUE"""),"1Ovwt1TBMu4eX_5xPIErUMp0szT3pOQv-xpOMc_u8oTQ")</f>
        <v>1Ovwt1TBMu4eX_5xPIErUMp0szT3pOQv-xpOMc_u8oTQ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IFERROR(__xludf.DUMMYFUNCTION("""COMPUTED_VALUE"""),"1MffewIlf1S9vLrAIh3aiDyNp7gGbrYIPJ5afHeDrnVY")</f>
        <v>1MffewIlf1S9vLrAIh3aiDyNp7gGbrYIPJ5afHeDrnVY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IFERROR(__xludf.DUMMYFUNCTION("""COMPUTED_VALUE"""),"1g5KDLoyLmVz3yEiZzqea5rWpYDsJy0U5SKzio29JwFw")</f>
        <v>1g5KDLoyLmVz3yEiZzqea5rWpYDsJy0U5SKzio29JwFw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IFERROR(__xludf.DUMMYFUNCTION("""COMPUTED_VALUE"""),"1OmAaisxsenYaDlJ4dEuvm14OJefiALIjp5WHk5BiW4M")</f>
        <v>1OmAaisxsenYaDlJ4dEuvm14OJefiALIjp5WHk5BiW4M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IFERROR(__xludf.DUMMYFUNCTION("""COMPUTED_VALUE"""),"1u5co1GxTETT-t-Y-D0bp3gH4_470l1tV19b2Ge9cabM")</f>
        <v>1u5co1GxTETT-t-Y-D0bp3gH4_470l1tV19b2Ge9cabM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IFERROR(__xludf.DUMMYFUNCTION("""COMPUTED_VALUE"""),"1Q0qEAvdybmeczJnkPdgP8k0_TaW0HOeRFexMckMR-18")</f>
        <v>1Q0qEAvdybmeczJnkPdgP8k0_TaW0HOeRFexMckMR-18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IFERROR(__xludf.DUMMYFUNCTION("""COMPUTED_VALUE"""),"1_wE7yP7PUnttaLCmZoDnxxzk_PFNSFCOma_pC4ViU6E")</f>
        <v>1_wE7yP7PUnttaLCmZoDnxxzk_PFNSFCOma_pC4ViU6E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IFERROR(__xludf.DUMMYFUNCTION("""COMPUTED_VALUE"""),"1JxgHW7rNshltHJ_tYhcbx1WTeF-Ge0ipf7IzTYHWuGc")</f>
        <v>1JxgHW7rNshltHJ_tYhcbx1WTeF-Ge0ipf7IzTYHWuGc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IFERROR(__xludf.DUMMYFUNCTION("""COMPUTED_VALUE"""),"1EfN5-n0Flku86UC55Hrfb0fwDOOr0WS_pPckzAO-Nuk")</f>
        <v>1EfN5-n0Flku86UC55Hrfb0fwDOOr0WS_pPckzAO-Nuk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IFERROR(__xludf.DUMMYFUNCTION("""COMPUTED_VALUE"""),"1rtkxweRxmt7T-ctvx_6DrnlqP57bpTIP6Ieul7_mP6A")</f>
        <v>1rtkxweRxmt7T-ctvx_6DrnlqP57bpTIP6Ieul7_mP6A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IFERROR(__xludf.DUMMYFUNCTION("""COMPUTED_VALUE"""),"1bYrBAoKW9vS-yV7iY_o_bSeBsS4YGKCqurg8f5zUrJ8")</f>
        <v>1bYrBAoKW9vS-yV7iY_o_bSeBsS4YGKCqurg8f5zUrJ8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IFERROR(__xludf.DUMMYFUNCTION("""COMPUTED_VALUE"""),"1jh-uMffIi0EiSv0QmaxSeDY5pD0Bo-YUzVPlNlIB5sk")</f>
        <v>1jh-uMffIi0EiSv0QmaxSeDY5pD0Bo-YUzVPlNlIB5sk</v>
      </c>
    </row>
    <row r="491" ht="15.75" customHeight="1">
      <c r="A491" t="str">
        <f>IFERROR(__xludf.DUMMYFUNCTION("""COMPUTED_VALUE"""),"ExeExecutor")</f>
        <v>ExeExecutor</v>
      </c>
      <c r="B491" t="str">
        <f>IFERROR(__xludf.DUMMYFUNCTION("""COMPUTED_VALUE"""),"CallExeExecutor")</f>
        <v>CallExeExecutor</v>
      </c>
      <c r="C491" t="str">
        <f>IFERROR(__xludf.DUMMYFUNCTION("""COMPUTED_VALUE"""),"18prvJHsrb-rcZzLiFugnRouMTG2v1w23-4XsA6vdq28")</f>
        <v>18prvJHsrb-rcZzLiFugnRouMTG2v1w23-4XsA6vdq28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IFERROR(__xludf.DUMMYFUNCTION("""COMPUTED_VALUE"""),"ToggleBlombergOnRA")</f>
        <v>ToggleBlombergOnRA</v>
      </c>
      <c r="C492" t="str">
        <f>IFERROR(__xludf.DUMMYFUNCTION("""COMPUTED_VALUE"""),"10Qkq27hhdOEj1Wsc8HDmoaYNRjZvZz3hYs_g-o2srD4")</f>
        <v>10Qkq27hhdOEj1Wsc8HDmoaYNRjZvZz3hYs_g-o2srD4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IFERROR(__xludf.DUMMYFUNCTION("""COMPUTED_VALUE"""),"RemoveManualExecution")</f>
        <v>RemoveManualExecution</v>
      </c>
      <c r="C493" t="str">
        <f>IFERROR(__xludf.DUMMYFUNCTION("""COMPUTED_VALUE"""),"12JlWbwTibBQxTu6k-LfAtZm3Ge3zv_5pTxfwGMUw41Y")</f>
        <v>12JlWbwTibBQxTu6k-LfAtZm3Ge3zv_5pTxfwGMUw41Y</v>
      </c>
    </row>
    <row r="494" ht="15.75" customHeight="1">
      <c r="A494" t="str">
        <f>IFERROR(__xludf.DUMMYFUNCTION("""COMPUTED_VALUE"""),"Blotter")</f>
        <v>Blotter</v>
      </c>
      <c r="B494" t="str">
        <f>IFERROR(__xludf.DUMMYFUNCTION("""COMPUTED_VALUE"""),"RemoveExecutionWorkingSubs")</f>
        <v>RemoveExecutionWorkingSubs</v>
      </c>
      <c r="C494" t="str">
        <f>IFERROR(__xludf.DUMMYFUNCTION("""COMPUTED_VALUE"""),"1y-8IjqY0F-JaHDEQlN0WPEnzbLFvyaXbrTNH8_TVTks")</f>
        <v>1y-8IjqY0F-JaHDEQlN0WPEnzbLFvyaXbrTNH8_TVTks</v>
      </c>
    </row>
    <row r="495" ht="15.75" customHeight="1">
      <c r="A495" t="str">
        <f>IFERROR(__xludf.DUMMYFUNCTION("""COMPUTED_VALUE"""),"Dropcopy")</f>
        <v>Dropcopy</v>
      </c>
      <c r="B495" t="str">
        <f>IFERROR(__xludf.DUMMYFUNCTION("""COMPUTED_VALUE"""),"UploadDropcopyFile")</f>
        <v>UploadDropcopyFile</v>
      </c>
      <c r="C495" t="str">
        <f>IFERROR(__xludf.DUMMYFUNCTION("""COMPUTED_VALUE"""),"1nR5JdSa_bHe_xGX50gs4EzgjOu_OvNU3Jr03lpqD0xw")</f>
        <v>1nR5JdSa_bHe_xGX50gs4EzgjOu_OvNU3Jr03lpqD0xw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IFERROR(__xludf.DUMMYFUNCTION("""COMPUTED_VALUE"""),"StartTradeServer")</f>
        <v>StartTradeServer</v>
      </c>
      <c r="C496" t="str">
        <f>IFERROR(__xludf.DUMMYFUNCTION("""COMPUTED_VALUE"""),"1y76YUxz2PJo3dkDwBM0DtU6wDkbeltscHEvWIbis6PU")</f>
        <v>1y76YUxz2PJo3dkDwBM0DtU6wDkbeltscHEvWIbis6PU</v>
      </c>
    </row>
    <row r="497" ht="15.75" customHeight="1">
      <c r="A497" t="str">
        <f>IFERROR(__xludf.DUMMYFUNCTION("""COMPUTED_VALUE"""),"TradeServer")</f>
        <v>TradeServer</v>
      </c>
      <c r="B497" t="str">
        <f>IFERROR(__xludf.DUMMYFUNCTION("""COMPUTED_VALUE"""),"CloseTradeServer ")</f>
        <v>CloseTradeServer </v>
      </c>
      <c r="C497" t="str">
        <f>IFERROR(__xludf.DUMMYFUNCTION("""COMPUTED_VALUE"""),"1yt7YEJD5SbOmQGT4lGjpllft89GAxVsEpZGz0MjiwoE")</f>
        <v>1yt7YEJD5SbOmQGT4lGjpllft89GAxVsEpZGz0MjiwoE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IFERROR(__xludf.DUMMYFUNCTION("""COMPUTED_VALUE"""),"GetExecutionReportOrders")</f>
        <v>GetExecutionReportOrders</v>
      </c>
      <c r="C498" t="str">
        <f>IFERROR(__xludf.DUMMYFUNCTION("""COMPUTED_VALUE"""),"1NAb2WMfxxO3WY8IHkZpmM2CEoQJdLSaSUKkJGXbMhpM")</f>
        <v>1NAb2WMfxxO3WY8IHkZpmM2CEoQJdLSaSUKkJGXbMhpM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IFERROR(__xludf.DUMMYFUNCTION("""COMPUTED_VALUE"""),"GetExecutionReportDetails")</f>
        <v>GetExecutionReportDetails</v>
      </c>
      <c r="C499" t="str">
        <f>IFERROR(__xludf.DUMMYFUNCTION("""COMPUTED_VALUE"""),"1jzzm_gfQ-iQdhfat681yxboDYvsF3ICqvTE6xBuUuPw")</f>
        <v>1jzzm_gfQ-iQdhfat681yxboDYvsF3ICqvTE6xBuUuPw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IFERROR(__xludf.DUMMYFUNCTION("""COMPUTED_VALUE"""),"ExportExecutionReportData")</f>
        <v>ExportExecutionReportData</v>
      </c>
      <c r="C500" t="str">
        <f>IFERROR(__xludf.DUMMYFUNCTION("""COMPUTED_VALUE"""),"1QDVVpmU4OpSVy0QKxTmM6zg2QX4-s7c-SloWYxSfj2I")</f>
        <v>1QDVVpmU4OpSVy0QKxTmM6zg2QX4-s7c-SloWYxSfj2I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IFERROR(__xludf.DUMMYFUNCTION("""COMPUTED_VALUE"""),"VerifyExecutionReport")</f>
        <v>VerifyExecutionReport</v>
      </c>
      <c r="C501" t="str">
        <f>IFERROR(__xludf.DUMMYFUNCTION("""COMPUTED_VALUE"""),"1r_n-pmrLMgF_C8aeuNDr7tWOA0Y7GBcfWpC4prA7BYY")</f>
        <v>1r_n-pmrLMgF_C8aeuNDr7tWOA0Y7GBcfWpC4prA7BYY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IFERROR(__xludf.DUMMYFUNCTION("""COMPUTED_VALUE"""),"BlotterExecutionReportSnapshot")</f>
        <v>BlotterExecutionReportSnapshot</v>
      </c>
      <c r="C502" t="str">
        <f>IFERROR(__xludf.DUMMYFUNCTION("""COMPUTED_VALUE"""),"1CpQZAB4vlNmqvzO989xcBSpzc0NPLej2NvhLbdUyWTQ")</f>
        <v>1CpQZAB4vlNmqvzO989xcBSpzc0NPLej2NvhLbdUyWTQ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IFERROR(__xludf.DUMMYFUNCTION("""COMPUTED_VALUE"""),"SetDollarAmountPermission")</f>
        <v>SetDollarAmountPermission</v>
      </c>
      <c r="C503" t="str">
        <f>IFERROR(__xludf.DUMMYFUNCTION("""COMPUTED_VALUE"""),"14X5jPuAG23EQhbOfO3DylrVujon3mSElP-txsSkRnA8")</f>
        <v>14X5jPuAG23EQhbOfO3DylrVujon3mSElP-txsSkRnA8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IFERROR(__xludf.DUMMYFUNCTION("""COMPUTED_VALUE"""),"EnableDisableModule")</f>
        <v>EnableDisableModule</v>
      </c>
      <c r="C504" t="str">
        <f>IFERROR(__xludf.DUMMYFUNCTION("""COMPUTED_VALUE"""),"1Nhl_j0HYixYX2VQ1rak-5gFIBhJ4VoCwaftlalTj1bk")</f>
        <v>1Nhl_j0HYixYX2VQ1rak-5gFIBhJ4VoCwaftlalTj1bk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IFERROR(__xludf.DUMMYFUNCTION("""COMPUTED_VALUE"""),"MultipleTradeTransferToUser")</f>
        <v>MultipleTradeTransferToUser</v>
      </c>
      <c r="C505" t="str">
        <f>IFERROR(__xludf.DUMMYFUNCTION("""COMPUTED_VALUE"""),"18edwL6Y0tYzP2zrxa0QRcpYxjVV6krJxukXjossj_MM")</f>
        <v>18edwL6Y0tYzP2zrxa0QRcpYxjVV6krJxukXjossj_MM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IFERROR(__xludf.DUMMYFUNCTION("""COMPUTED_VALUE"""),"IsImportOverrideOnShortLocate")</f>
        <v>IsImportOverrideOnShortLocate</v>
      </c>
      <c r="C506" t="str">
        <f>IFERROR(__xludf.DUMMYFUNCTION("""COMPUTED_VALUE"""),"1rXpxTwvAlfhYJ9c_7pzI4e6qsq11B1glzjELJaxdM78")</f>
        <v>1rXpxTwvAlfhYJ9c_7pzI4e6qsq11B1glzjELJaxdM78</v>
      </c>
    </row>
    <row r="507" ht="15.75" customHeight="1">
      <c r="A507" t="str">
        <f>IFERROR(__xludf.DUMMYFUNCTION("""COMPUTED_VALUE"""),"Admin")</f>
        <v>Admin</v>
      </c>
      <c r="B507" t="str">
        <f>IFERROR(__xludf.DUMMYFUNCTION("""COMPUTED_VALUE"""),"SetShortLocateStructures")</f>
        <v>SetShortLocateStructures</v>
      </c>
      <c r="C507" t="str">
        <f>IFERROR(__xludf.DUMMYFUNCTION("""COMPUTED_VALUE"""),"1Ysz8uKnxRqT6F3_Q057BzV3ZZSVUtxBeQC04LlklMkA")</f>
        <v>1Ysz8uKnxRqT6F3_Q057BzV3ZZSVUtxBeQC04LlklMkA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IFERROR(__xludf.DUMMYFUNCTION("""COMPUTED_VALUE"""),"DownloadFile")</f>
        <v>DownloadFile</v>
      </c>
      <c r="C508" t="str">
        <f>IFERROR(__xludf.DUMMYFUNCTION("""COMPUTED_VALUE"""),"1Lo2aHDGLaNwTN4R8-xwG0BQ40lg7UQinHAGEpxz69js")</f>
        <v>1Lo2aHDGLaNwTN4R8-xwG0BQ40lg7UQinHAGEpxz69js</v>
      </c>
    </row>
    <row r="509" ht="15.75" customHeight="1">
      <c r="A509" t="str">
        <f>IFERROR(__xludf.DUMMYFUNCTION("""COMPUTED_VALUE"""),"ShortLocate")</f>
        <v>ShortLocate</v>
      </c>
      <c r="B509" t="str">
        <f>IFERROR(__xludf.DUMMYFUNCTION("""COMPUTED_VALUE"""),"SearchShortLocateUI")</f>
        <v>SearchShortLocateUI</v>
      </c>
      <c r="C509" t="str">
        <f>IFERROR(__xludf.DUMMYFUNCTION("""COMPUTED_VALUE"""),"1U6qgMqp1MPriWKxHsZuuHuHlmM-rJxqIxG5W7SUpFSg")</f>
        <v>1U6qgMqp1MPriWKxHsZuuHuHlmM-rJxqIxG5W7SUpFSg</v>
      </c>
    </row>
    <row r="510" ht="15.75" customHeight="1">
      <c r="A510" t="str">
        <f>IFERROR(__xludf.DUMMYFUNCTION("""COMPUTED_VALUE"""),"TradingTicket")</f>
        <v>TradingTicket</v>
      </c>
      <c r="B510" t="str">
        <f>IFERROR(__xludf.DUMMYFUNCTION("""COMPUTED_VALUE"""),"CreateDoneAwayOrder")</f>
        <v>CreateDoneAwayOrder</v>
      </c>
      <c r="C510" t="str">
        <f>IFERROR(__xludf.DUMMYFUNCTION("""COMPUTED_VALUE"""),"1PYf32wTc6i8YjkRz-Q53X6MYDiD5LoHyy9NsZwpOwGc")</f>
        <v>1PYf32wTc6i8YjkRz-Q53X6MYDiD5LoHyy9NsZwpOwGc</v>
      </c>
    </row>
    <row r="511" ht="15.75" customHeight="1">
      <c r="A511" t="str">
        <f>IFERROR(__xludf.DUMMYFUNCTION("""COMPUTED_VALUE"""),"Simulator")</f>
        <v>Simulator</v>
      </c>
      <c r="B511" t="str">
        <f>IFERROR(__xludf.DUMMYFUNCTION("""COMPUTED_VALUE"""),"VerifyTrades")</f>
        <v>VerifyTrades</v>
      </c>
      <c r="C511" t="str">
        <f>IFERROR(__xludf.DUMMYFUNCTION("""COMPUTED_VALUE"""),"1931c1Bd7mkuw8ktAOnJ1wXHqdWYL0uX2gQ9uIP2NnkI")</f>
        <v>1931c1Bd7mkuw8ktAOnJ1wXHqdWYL0uX2gQ9uIP2NnkI</v>
      </c>
    </row>
    <row r="512" ht="15.75" customHeight="1">
      <c r="A512" t="str">
        <f>IFERROR(__xludf.DUMMYFUNCTION("""COMPUTED_VALUE"""),"ShortLocate")</f>
        <v>ShortLocate</v>
      </c>
      <c r="B512" t="str">
        <f>IFERROR(__xludf.DUMMYFUNCTION("""COMPUTED_VALUE"""),"SetShortLocatePreferences")</f>
        <v>SetShortLocatePreferences</v>
      </c>
      <c r="C512" t="str">
        <f>IFERROR(__xludf.DUMMYFUNCTION("""COMPUTED_VALUE"""),"1nr3BA7Flp5cWiyNKfvlxJQEbl_IdNqrIInUcX8x159M")</f>
        <v>1nr3BA7Flp5cWiyNKfvlxJQEbl_IdNqrIInUcX8x159M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IFERROR(__xludf.DUMMYFUNCTION("""COMPUTED_VALUE"""),"GetSymbolData")</f>
        <v>GetSymbolData</v>
      </c>
      <c r="C513" t="str">
        <f>IFERROR(__xludf.DUMMYFUNCTION("""COMPUTED_VALUE"""),"1Jhbk5bZEf1nNxzsfiuLvF70SiNRDu-1THAWzNNwbi4Y")</f>
        <v>1Jhbk5bZEf1nNxzsfiuLvF70SiNRDu-1THAWzNNwbi4Y</v>
      </c>
    </row>
    <row r="514" ht="15.75" customHeight="1">
      <c r="A514" t="str">
        <f>IFERROR(__xludf.DUMMYFUNCTION("""COMPUTED_VALUE"""),"SecurityMaster")</f>
        <v>SecurityMaster</v>
      </c>
      <c r="B514" t="str">
        <f>IFERROR(__xludf.DUMMYFUNCTION("""COMPUTED_VALUE"""),"EditSMData")</f>
        <v>EditSMData</v>
      </c>
      <c r="C514" t="str">
        <f>IFERROR(__xludf.DUMMYFUNCTION("""COMPUTED_VALUE"""),"162dD8bZg-298j6PezrW145xv1_C6x4Isd0rGv85ZCII")</f>
        <v>162dD8bZg-298j6PezrW145xv1_C6x4Isd0rGv85ZCII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IFERROR(__xludf.DUMMYFUNCTION("""COMPUTED_VALUE"""),"RestartRuleMediator")</f>
        <v>RestartRuleMediator</v>
      </c>
      <c r="C515" t="str">
        <f>IFERROR(__xludf.DUMMYFUNCTION("""COMPUTED_VALUE"""),"1dZ1FWxsWVvPQ6jyA-ksyvErraF0tisehi5j1I2FOkRw")</f>
        <v>1dZ1FWxsWVvPQ6jyA-ksyvErraF0tisehi5j1I2FOkRw</v>
      </c>
    </row>
    <row r="516" ht="15.75" customHeight="1">
      <c r="A516" t="str">
        <f>IFERROR(__xludf.DUMMYFUNCTION("""COMPUTED_VALUE"""),"Compliance")</f>
        <v>Compliance</v>
      </c>
      <c r="B516" t="str">
        <f>IFERROR(__xludf.DUMMYFUNCTION("""COMPUTED_VALUE"""),"VerifyAggAccountSymbolWithNav")</f>
        <v>VerifyAggAccountSymbolWithNav</v>
      </c>
      <c r="C516" t="str">
        <f>IFERROR(__xludf.DUMMYFUNCTION("""COMPUTED_VALUE"""),"11jhyREfVfPzaKHLxIklzEiVpo7QOG5knwgpEA7Hkzto")</f>
        <v>11jhyREfVfPzaKHLxIklzEiVpo7QOG5knwgpEA7Hkzto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IFERROR(__xludf.DUMMYFUNCTION("""COMPUTED_VALUE"""),"SetComplianceAlert")</f>
        <v>SetComplianceAlert</v>
      </c>
      <c r="C517" t="str">
        <f>IFERROR(__xludf.DUMMYFUNCTION("""COMPUTED_VALUE"""),"12x8yk-qXOBJRoW8RyxDDfI4tsK-lzo85opA2CvzjQoA")</f>
        <v>12x8yk-qXOBJRoW8RyxDDfI4tsK-lzo85opA2CvzjQoA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IFERROR(__xludf.DUMMYFUNCTION("""COMPUTED_VALUE"""),"ReloadOrderFromBlotter")</f>
        <v>ReloadOrderFromBlotter</v>
      </c>
      <c r="C518" t="str">
        <f>IFERROR(__xludf.DUMMYFUNCTION("""COMPUTED_VALUE"""),"1KTgBgigwVrlQbk-675Krfsd2QqH49pqRvlWifYUtQ5g")</f>
        <v>1KTgBgigwVrlQbk-675Krfsd2QqH49pqRvlWifYUtQ5g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IFERROR(__xludf.DUMMYFUNCTION("""COMPUTED_VALUE"""),"ReloadOrderFromSubOrder")</f>
        <v>ReloadOrderFromSubOrder</v>
      </c>
      <c r="C519" t="str">
        <f>IFERROR(__xludf.DUMMYFUNCTION("""COMPUTED_VALUE"""),"1a8denPrrrZ6CU7m_5pyvuX8v3Z1WPbnkCQZRqkPZEj8")</f>
        <v>1a8denPrrrZ6CU7m_5pyvuX8v3Z1WPbnkCQZRqkPZEj8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IFERROR(__xludf.DUMMYFUNCTION("""COMPUTED_VALUE"""),"ReloadOrderFromWorkingSubs")</f>
        <v>ReloadOrderFromWorkingSubs</v>
      </c>
      <c r="C520" t="str">
        <f>IFERROR(__xludf.DUMMYFUNCTION("""COMPUTED_VALUE"""),"1Qy10BJ2vPY3GZqXNi1sf4HN4-VBeDTN2tZbIrlL9_tM")</f>
        <v>1Qy10BJ2vPY3GZqXNi1sf4HN4-VBeDTN2tZbIrlL9_tM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IFERROR(__xludf.DUMMYFUNCTION("""COMPUTED_VALUE"""),"1VkyCG4QZGXFJyz0uDReEN_PMiHJtUbU9MzJ18dR7djs")</f>
        <v>1VkyCG4QZGXFJyz0uDReEN_PMiHJtUbU9MzJ18dR7djs</v>
      </c>
    </row>
    <row r="522" ht="15.75" customHeight="1">
      <c r="A522" t="str">
        <f>IFERROR(__xludf.DUMMYFUNCTION("""COMPUTED_VALUE"""),"PortfolioManagement")</f>
        <v>PortfolioManagement</v>
      </c>
      <c r="B522" t="str">
        <f>IFERROR(__xludf.DUMMYFUNCTION("""COMPUTED_VALUE"""),"IncreasePositionFromPM")</f>
        <v>IncreasePositionFromPM</v>
      </c>
      <c r="C522" t="str">
        <f>IFERROR(__xludf.DUMMYFUNCTION("""COMPUTED_VALUE"""),"1xln3IHIAQBsFIP_BTRt6nFOFbhoLbe-sRdYWCguKd7k")</f>
        <v>1xln3IHIAQBsFIP_BTRt6nFOFbhoLbe-sRdYWCguKd7k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IFERROR(__xludf.DUMMYFUNCTION("""COMPUTED_VALUE"""),"AddOptionTrade")</f>
        <v>AddOptionTrade</v>
      </c>
      <c r="C523" t="str">
        <f>IFERROR(__xludf.DUMMYFUNCTION("""COMPUTED_VALUE"""),"1zk0UoVrMV0oINBkU2tXEcmh42lo2poOp5V2voemUQOc")</f>
        <v>1zk0UoVrMV0oINBkU2tXEcmh42lo2poOp5V2voemUQOc</v>
      </c>
    </row>
    <row r="524" ht="15.75" customHeight="1">
      <c r="A524" t="str">
        <f>IFERROR(__xludf.DUMMYFUNCTION("""COMPUTED_VALUE"""),"TradingTicket")</f>
        <v>TradingTicket</v>
      </c>
      <c r="B524" t="str">
        <f>IFERROR(__xludf.DUMMYFUNCTION("""COMPUTED_VALUE"""),"SendLiveBloomberg")</f>
        <v>SendLiveBloomberg</v>
      </c>
      <c r="C524" t="str">
        <f>IFERROR(__xludf.DUMMYFUNCTION("""COMPUTED_VALUE"""),"1YDY4PrQHIwjAVV7ZS5FxsT9X35VMSfx9lUFZ6KS0TT4")</f>
        <v>1YDY4PrQHIwjAVV7ZS5FxsT9X35VMSfx9lUFZ6KS0TT4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IFERROR(__xludf.DUMMYFUNCTION("""COMPUTED_VALUE"""),"UpdateExpirationDate")</f>
        <v>UpdateExpirationDate</v>
      </c>
      <c r="C525" t="str">
        <f>IFERROR(__xludf.DUMMYFUNCTION("""COMPUTED_VALUE"""),"1m5emwEeVJWl1_OB8Nsr7sbSKCTBM_edzEbP7vtPiImU")</f>
        <v>1m5emwEeVJWl1_OB8Nsr7sbSKCTBM_edzEbP7vtPiImU</v>
      </c>
    </row>
    <row r="526" ht="15.75" customHeight="1">
      <c r="A526" t="str">
        <f>IFERROR(__xludf.DUMMYFUNCTION("""COMPUTED_VALUE"""),"PricingInput")</f>
        <v>PricingInput</v>
      </c>
      <c r="B526" t="str">
        <f>IFERROR(__xludf.DUMMYFUNCTION("""COMPUTED_VALUE"""),"UncheckDividendYield")</f>
        <v>UncheckDividendYield</v>
      </c>
      <c r="C526" t="str">
        <f>IFERROR(__xludf.DUMMYFUNCTION("""COMPUTED_VALUE"""),"1siER4KgCo3rya7jG6bOEOQMJ5jolS_sgeWzVIaXVnOA")</f>
        <v>1siER4KgCo3rya7jG6bOEOQMJ5jolS_sgeWzVIaXVnOA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IFERROR(__xludf.DUMMYFUNCTION("""COMPUTED_VALUE"""),"RenameMasterStrategy")</f>
        <v>RenameMasterStrategy</v>
      </c>
      <c r="C527" t="str">
        <f>IFERROR(__xludf.DUMMYFUNCTION("""COMPUTED_VALUE"""),"17O0fiItP8De4QvAabOMWsJRuFVwYQ4vcaWY9LIrA4AM")</f>
        <v>17O0fiItP8De4QvAabOMWsJRuFVwYQ4vcaWY9LIrA4AM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IFERROR(__xludf.DUMMYFUNCTION("""COMPUTED_VALUE"""),"SelectFills")</f>
        <v>SelectFills</v>
      </c>
      <c r="C528" t="str">
        <f>IFERROR(__xludf.DUMMYFUNCTION("""COMPUTED_VALUE"""),"1KmDGWLo9fXILo47E7QiLk8PcgyXyPWDYLSmlv1U7OEI")</f>
        <v>1KmDGWLo9fXILo47E7QiLk8PcgyXyPWDYLSmlv1U7OEI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IFERROR(__xludf.DUMMYFUNCTION("""COMPUTED_VALUE"""),"ModifyFills")</f>
        <v>ModifyFills</v>
      </c>
      <c r="C529" t="str">
        <f>IFERROR(__xludf.DUMMYFUNCTION("""COMPUTED_VALUE"""),"1kjhDPh6h17F_qQ5SR_vaGjeQJ54-Cnj0LAluw9XRR9E")</f>
        <v>1kjhDPh6h17F_qQ5SR_vaGjeQJ54-Cnj0LAluw9XRR9E</v>
      </c>
    </row>
    <row r="530" ht="15.75" customHeight="1">
      <c r="A530" t="str">
        <f>IFERROR(__xludf.DUMMYFUNCTION("""COMPUTED_VALUE"""),"PranaClient")</f>
        <v>PranaClient</v>
      </c>
      <c r="B530" t="str">
        <f>IFERROR(__xludf.DUMMYFUNCTION("""COMPUTED_VALUE"""),"LoginClient")</f>
        <v>LoginClient</v>
      </c>
      <c r="C530" t="str">
        <f>IFERROR(__xludf.DUMMYFUNCTION("""COMPUTED_VALUE"""),"1oOEnrCswh1E2gMB7QLb7Kzwn1g_U9MdoUM8ZuU4xpqM")</f>
        <v>1oOEnrCswh1E2gMB7QLb7Kzwn1g_U9MdoUM8ZuU4xpqM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IFERROR(__xludf.DUMMYFUNCTION("""COMPUTED_VALUE"""),"EditMultipleCloseQuantity")</f>
        <v>EditMultipleCloseQuantity</v>
      </c>
      <c r="C531" t="str">
        <f>IFERROR(__xludf.DUMMYFUNCTION("""COMPUTED_VALUE"""),"1GFVJ-sKAde1ojd0Fe4n6uFMFg_t5ihjSGwIRBDNxnSQ")</f>
        <v>1GFVJ-sKAde1ojd0Fe4n6uFMFg_t5ihjSGwIRBDNxnSQ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IFERROR(__xludf.DUMMYFUNCTION("""COMPUTED_VALUE"""),"ManualCloseOrder")</f>
        <v>ManualCloseOrder</v>
      </c>
      <c r="C532" t="str">
        <f>IFERROR(__xludf.DUMMYFUNCTION("""COMPUTED_VALUE"""),"1fZ_P02eEi4GavSkUo3cpan_Jh4xz0OQjidMUwzCMms8")</f>
        <v>1fZ_P02eEi4GavSkUo3cpan_Jh4xz0OQjidMUwzCMms8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IFERROR(__xludf.DUMMYFUNCTION("""COMPUTED_VALUE"""),"SetTTUIAdminPreferences")</f>
        <v>SetTTUIAdminPreferences</v>
      </c>
      <c r="C533" t="str">
        <f>IFERROR(__xludf.DUMMYFUNCTION("""COMPUTED_VALUE"""),"1XGzqnk2nunw7F--MNGHLzH3F0YYmIumyegAncIZZB6k")</f>
        <v>1XGzqnk2nunw7F--MNGHLzH3F0YYmIumyegAncIZZB6k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IFERROR(__xludf.DUMMYFUNCTION("""COMPUTED_VALUE"""),"PreviewDataWithFilters")</f>
        <v>PreviewDataWithFilters</v>
      </c>
      <c r="C534" t="str">
        <f>IFERROR(__xludf.DUMMYFUNCTION("""COMPUTED_VALUE"""),"1QufyUdyJ0hiResW8bLzTI1qcoXAtWh2TTAg4KNj2kv4")</f>
        <v>1QufyUdyJ0hiResW8bLzTI1qcoXAtWh2TTAg4KNj2kv4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IFERROR(__xludf.DUMMYFUNCTION("""COMPUTED_VALUE"""),"ViewAllocation")</f>
        <v>ViewAllocation</v>
      </c>
      <c r="C535" t="str">
        <f>IFERROR(__xludf.DUMMYFUNCTION("""COMPUTED_VALUE"""),"1qQcdc8yQuKhwDznJZ6pFksOXC_DRFeEcZJNoYabCqoo")</f>
        <v>1qQcdc8yQuKhwDznJZ6pFksOXC_DRFeEcZJNoYabCqoo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IFERROR(__xludf.DUMMYFUNCTION("""COMPUTED_VALUE"""),"UpdateSecFee")</f>
        <v>UpdateSecFee</v>
      </c>
      <c r="C536" t="str">
        <f>IFERROR(__xludf.DUMMYFUNCTION("""COMPUTED_VALUE"""),"165ONyZgtypA9enxNYG1RIGJ0QQBpn60s9uk-ZFwfAQI")</f>
        <v>165ONyZgtypA9enxNYG1RIGJ0QQBpn60s9uk-ZFwfAQI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IFERROR(__xludf.DUMMYFUNCTION("""COMPUTED_VALUE"""),"CreateClosingTemplate")</f>
        <v>CreateClosingTemplate</v>
      </c>
      <c r="C537" t="str">
        <f>IFERROR(__xludf.DUMMYFUNCTION("""COMPUTED_VALUE"""),"1dO0ymjm2QUZjeMDVWKonhU6YqesW2cr7p8PLsR8JxaA")</f>
        <v>1dO0ymjm2QUZjeMDVWKonhU6YqesW2cr7p8PLsR8JxaA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IFERROR(__xludf.DUMMYFUNCTION("""COMPUTED_VALUE"""),"CreateUnwindingTemplate")</f>
        <v>CreateUnwindingTemplate</v>
      </c>
      <c r="C538" t="str">
        <f>IFERROR(__xludf.DUMMYFUNCTION("""COMPUTED_VALUE"""),"1elBNb12z0vBYbY9P3ZtJ0q2SWz7SHF34zwW-QQZxQH0")</f>
        <v>1elBNb12z0vBYbY9P3ZtJ0q2SWz7SHF34zwW-QQZxQH0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IFERROR(__xludf.DUMMYFUNCTION("""COMPUTED_VALUE"""),"EditTemplate")</f>
        <v>EditTemplate</v>
      </c>
      <c r="C539" t="str">
        <f>IFERROR(__xludf.DUMMYFUNCTION("""COMPUTED_VALUE"""),"1ZmcENUuCOmbgT4qA2jopXrJlm_NQ2yxiHmw457oO6Ks")</f>
        <v>1ZmcENUuCOmbgT4qA2jopXrJlm_NQ2yxiHmw457oO6Ks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IFERROR(__xludf.DUMMYFUNCTION("""COMPUTED_VALUE"""),"DeleteTemplate")</f>
        <v>DeleteTemplate</v>
      </c>
      <c r="C540" t="str">
        <f>IFERROR(__xludf.DUMMYFUNCTION("""COMPUTED_VALUE"""),"1kB5ouEy35PLGrGH3P7q6zhj1lAakSOshbaFfRSxUYuI")</f>
        <v>1kB5ouEy35PLGrGH3P7q6zhj1lAakSOshbaFfRSxUYuI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IFERROR(__xludf.DUMMYFUNCTION("""COMPUTED_VALUE"""),"AllocationAuditTrail")</f>
        <v>AllocationAuditTrail</v>
      </c>
      <c r="C541" t="str">
        <f>IFERROR(__xludf.DUMMYFUNCTION("""COMPUTED_VALUE"""),"1cWbQrLhcx-DBTt83fk27awIMhSdKtj7wh0dnffqkyEg")</f>
        <v>1cWbQrLhcx-DBTt83fk27awIMhSdKtj7wh0dnffqkyEg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IFERROR(__xludf.DUMMYFUNCTION("""COMPUTED_VALUE"""),"GetAuditTrailData")</f>
        <v>GetAuditTrailData</v>
      </c>
      <c r="C542" t="str">
        <f>IFERROR(__xludf.DUMMYFUNCTION("""COMPUTED_VALUE"""),"1atfQajSO79BpNABHuWDu-qwEpzSPXeTPKhLrVf3qAJQ")</f>
        <v>1atfQajSO79BpNABHuWDu-qwEpzSPXeTPKhLrVf3qAJQ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IFERROR(__xludf.DUMMYFUNCTION("""COMPUTED_VALUE"""),"CheckAuditTrailData")</f>
        <v>CheckAuditTrailData</v>
      </c>
      <c r="C543" t="str">
        <f>IFERROR(__xludf.DUMMYFUNCTION("""COMPUTED_VALUE"""),"1ynZmQFpgGOcXlnL_2G1gIugXpfbDTFt91dNyM50VdQI")</f>
        <v>1ynZmQFpgGOcXlnL_2G1gIugXpfbDTFt91dNyM50VdQI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IFERROR(__xludf.DUMMYFUNCTION("""COMPUTED_VALUE"""),"RunTemplate")</f>
        <v>RunTemplate</v>
      </c>
      <c r="C544" t="str">
        <f>IFERROR(__xludf.DUMMYFUNCTION("""COMPUTED_VALUE"""),"1iWCPXe0tXJ4PIDbwGLtBOVNSJ2s7YN4z8ZTJcr0Wuw4")</f>
        <v>1iWCPXe0tXJ4PIDbwGLtBOVNSJ2s7YN4z8ZTJcr0Wuw4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IFERROR(__xludf.DUMMYFUNCTION("""COMPUTED_VALUE"""),"EnterEquity")</f>
        <v>EnterEquity</v>
      </c>
      <c r="C545" t="str">
        <f>IFERROR(__xludf.DUMMYFUNCTION("""COMPUTED_VALUE"""),"1fz65nnl1EeQopbyOQst6wzPdLRIHU1-7mjW2sgFXCAo")</f>
        <v>1fz65nnl1EeQopbyOQst6wzPdLRIHU1-7mjW2sgFXCAo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IFERROR(__xludf.DUMMYFUNCTION("""COMPUTED_VALUE"""),"UpdateSecurityInfoOnSM")</f>
        <v>UpdateSecurityInfoOnSM</v>
      </c>
      <c r="C546" t="str">
        <f>IFERROR(__xludf.DUMMYFUNCTION("""COMPUTED_VALUE"""),"1I1mDhfrVnKfVAYMK9kcg_A-0IZoCrTMjPsHzeC_QRU8")</f>
        <v>1I1mDhfrVnKfVAYMK9kcg_A-0IZoCrTMjPsHzeC_QRU8</v>
      </c>
    </row>
    <row r="547" ht="15.75" customHeight="1">
      <c r="A547" t="str">
        <f>IFERROR(__xludf.DUMMYFUNCTION("""COMPUTED_VALUE"""),"Blotter")</f>
        <v>Blotter</v>
      </c>
      <c r="B547" t="str">
        <f>IFERROR(__xludf.DUMMYFUNCTION("""COMPUTED_VALUE"""),"AllocateFromBlotter")</f>
        <v>AllocateFromBlotter</v>
      </c>
      <c r="C547" t="str">
        <f>IFERROR(__xludf.DUMMYFUNCTION("""COMPUTED_VALUE"""),"1oly-GUleCLstbhsLqb5z_nrN6IcuRDzo7dau3mRro2g")</f>
        <v>1oly-GUleCLstbhsLqb5z_nrN6IcuRDzo7dau3mRro2g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IFERROR(__xludf.DUMMYFUNCTION("""COMPUTED_VALUE"""),"UpdateFee")</f>
        <v>UpdateFee</v>
      </c>
      <c r="C548" t="str">
        <f>IFERROR(__xludf.DUMMYFUNCTION("""COMPUTED_VALUE"""),"19Rcvs50oHXGL5FsIW3nGsIY2a3BShYxifQZnyCdj5YI")</f>
        <v>19Rcvs50oHXGL5FsIW3nGsIY2a3BShYxifQZnyCdj5YI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IFERROR(__xludf.DUMMYFUNCTION("""COMPUTED_VALUE"""),"DeleteGroupWithOutSave")</f>
        <v>DeleteGroupWithOutSave</v>
      </c>
      <c r="C549" t="str">
        <f>IFERROR(__xludf.DUMMYFUNCTION("""COMPUTED_VALUE"""),"1bAgsLuM31eH3FHZF-8cUfrnOajQpP_RsuaUUeL6eYHU")</f>
        <v>1bAgsLuM31eH3FHZF-8cUfrnOajQpP_RsuaUUeL6eYHU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IFERROR(__xludf.DUMMYFUNCTION("""COMPUTED_VALUE"""),"CheckPreferences")</f>
        <v>CheckPreferences</v>
      </c>
      <c r="C550" t="str">
        <f>IFERROR(__xludf.DUMMYFUNCTION("""COMPUTED_VALUE"""),"19LWAFgtJK8TJic3Bigl3vokyu1yraGt63a_sVpP1MUU")</f>
        <v>19LWAFgtJK8TJic3Bigl3vokyu1yraGt63a_sVpP1MUU</v>
      </c>
    </row>
    <row r="551" ht="15.75" customHeight="1">
      <c r="A551" t="str">
        <f>IFERROR(__xludf.DUMMYFUNCTION("""COMPUTED_VALUE"""),"Rebalancer")</f>
        <v>Rebalancer</v>
      </c>
      <c r="B551" t="str">
        <f>IFERROR(__xludf.DUMMYFUNCTION("""COMPUTED_VALUE"""),"SymbologyChangeRB")</f>
        <v>SymbologyChangeRB</v>
      </c>
      <c r="C551" t="str">
        <f>IFERROR(__xludf.DUMMYFUNCTION("""COMPUTED_VALUE"""),"Undefined")</f>
        <v>Undefined</v>
      </c>
    </row>
    <row r="552" ht="15.75" customHeight="1">
      <c r="A552" t="str">
        <f>IFERROR(__xludf.DUMMYFUNCTION("""COMPUTED_VALUE"""),"TradingTicket")</f>
        <v>TradingTicket</v>
      </c>
      <c r="B552" t="str">
        <f>IFERROR(__xludf.DUMMYFUNCTION("""COMPUTED_VALUE"""),"CreateReplaceLiveOrder")</f>
        <v>CreateReplaceLiveOrder</v>
      </c>
      <c r="C552" t="str">
        <f>IFERROR(__xludf.DUMMYFUNCTION("""COMPUTED_VALUE"""),"1WKdqwN3CzS__R4r-J0QXkrMVzdcNg8eJuijQ4dJIXSU")</f>
        <v>1WKdqwN3CzS__R4r-J0QXkrMVzdcNg8eJuijQ4dJIXSU</v>
      </c>
    </row>
    <row r="553" ht="15.75" customHeight="1">
      <c r="A553" t="str">
        <f>IFERROR(__xludf.DUMMYFUNCTION("""COMPUTED_VALUE"""),"Admin")</f>
        <v>Admin</v>
      </c>
      <c r="B553" t="str">
        <f>IFERROR(__xludf.DUMMYFUNCTION("""COMPUTED_VALUE"""),"RevertingSMSharesOutValue")</f>
        <v>RevertingSMSharesOutValue</v>
      </c>
      <c r="C553" t="str">
        <f>IFERROR(__xludf.DUMMYFUNCTION("""COMPUTED_VALUE"""),"1TMvyzuvaXNvx9qH4tERqEMaAM8IhUKVHedPNcqMqnso")</f>
        <v>1TMvyzuvaXNvx9qH4tERqEMaAM8IhUKVHedPNcqMqnso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IFERROR(__xludf.DUMMYFUNCTION("""COMPUTED_VALUE"""),"TradeSymbolFromSM")</f>
        <v>TradeSymbolFromSM</v>
      </c>
      <c r="C554" t="str">
        <f>IFERROR(__xludf.DUMMYFUNCTION("""COMPUTED_VALUE"""),"1-CEopEQMGMoXLU6RCzJz5EPF9dIkT0gUSqvavHcsYis")</f>
        <v>1-CEopEQMGMoXLU6RCzJz5EPF9dIkT0gUSqvavHcsYis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IFERROR(__xludf.DUMMYFUNCTION("""COMPUTED_VALUE"""),"SelectAccountWiseAsset")</f>
        <v>SelectAccountWiseAsset</v>
      </c>
      <c r="C555" t="str">
        <f>IFERROR(__xludf.DUMMYFUNCTION("""COMPUTED_VALUE"""),"1T8QT8BlZU5hSthOscwYVMb0pI8jbsslQ3q_iqR9NEvo")</f>
        <v>1T8QT8BlZU5hSthOscwYVMb0pI8jbsslQ3q_iqR9NEvo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IFERROR(__xludf.DUMMYFUNCTION("""COMPUTED_VALUE"""),"VerifyCTData")</f>
        <v>VerifyCTData</v>
      </c>
      <c r="C556" t="str">
        <f>IFERROR(__xludf.DUMMYFUNCTION("""COMPUTED_VALUE"""),"1_n2-hA1ZHyO0Vk19SbEjEAgktcqBciHeshI2fRJE9_c")</f>
        <v>1_n2-hA1ZHyO0Vk19SbEjEAgktcqBciHeshI2fRJE9_c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IFERROR(__xludf.DUMMYFUNCTION("""COMPUTED_VALUE"""),"ExerciseAssignmentWithOutSave")</f>
        <v>ExerciseAssignmentWithOutSave</v>
      </c>
      <c r="C557" t="str">
        <f>IFERROR(__xludf.DUMMYFUNCTION("""COMPUTED_VALUE"""),"1k7fmIQoUvoS3gScp7H0vdlqboqJE2NBh67-wxIIzjXI")</f>
        <v>1k7fmIQoUvoS3gScp7H0vdlqboqJE2NBh67-wxIIzjXI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IFERROR(__xludf.DUMMYFUNCTION("""COMPUTED_VALUE"""),"SaveCTData")</f>
        <v>SaveCTData</v>
      </c>
      <c r="C558" t="str">
        <f>IFERROR(__xludf.DUMMYFUNCTION("""COMPUTED_VALUE"""),"127jo001wzv8UVwRReX1UnxrYxQVoXUcKy8RlV0rBbzE")</f>
        <v>127jo001wzv8UVwRReX1UnxrYxQVoXUcKy8RlV0rBbzE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IFERROR(__xludf.DUMMYFUNCTION("""COMPUTED_VALUE"""),"AllocateWithPopUp")</f>
        <v>AllocateWithPopUp</v>
      </c>
      <c r="C559" t="str">
        <f>IFERROR(__xludf.DUMMYFUNCTION("""COMPUTED_VALUE"""),"1vUO7n9j897nT7StAOKwNOzllgpbb7S3kVwYUOxEdD1Y")</f>
        <v>1vUO7n9j897nT7StAOKwNOzllgpbb7S3kVwYUOxEdD1Y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IFERROR(__xludf.DUMMYFUNCTION("""COMPUTED_VALUE"""),"CreateNewSubLiveOrder")</f>
        <v>CreateNewSubLiveOrder</v>
      </c>
      <c r="C560" t="str">
        <f>IFERROR(__xludf.DUMMYFUNCTION("""COMPUTED_VALUE"""),"12zWky2LmOXrqIXPltYfxypKjuQf3ZHGv1mz-xQGxKTQ")</f>
        <v>12zWky2LmOXrqIXPltYfxypKjuQf3ZHGv1mz-xQGxKTQ</v>
      </c>
    </row>
    <row r="561" ht="15.75" customHeight="1">
      <c r="A561" t="str">
        <f>IFERROR(__xludf.DUMMYFUNCTION("""COMPUTED_VALUE"""),"Blotter")</f>
        <v>Blotter</v>
      </c>
      <c r="B561" t="str">
        <f>IFERROR(__xludf.DUMMYFUNCTION("""COMPUTED_VALUE"""),"ViewPTTAllocationDetails")</f>
        <v>ViewPTTAllocationDetails</v>
      </c>
      <c r="C561" t="str">
        <f>IFERROR(__xludf.DUMMYFUNCTION("""COMPUTED_VALUE"""),"1KoA0Wc5hAar-q0SNiFxHZv5O7_6Ub43E0Baobavff04")</f>
        <v>1KoA0Wc5hAar-q0SNiFxHZv5O7_6Ub43E0Baobavff04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IFERROR(__xludf.DUMMYFUNCTION("""COMPUTED_VALUE"""),"RestartSQL")</f>
        <v>RestartSQL</v>
      </c>
      <c r="C562" t="str">
        <f>IFERROR(__xludf.DUMMYFUNCTION("""COMPUTED_VALUE"""),"1vVUSxh3aheqbZRQq-3oJhAe8OKjNysk1JPVf_W8f5l0")</f>
        <v>1vVUSxh3aheqbZRQq-3oJhAe8OKjNysk1JPVf_W8f5l0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IFERROR(__xludf.DUMMYFUNCTION("""COMPUTED_VALUE"""),"TradeAuditCleanUp")</f>
        <v>TradeAuditCleanUp</v>
      </c>
      <c r="C563" t="str">
        <f>IFERROR(__xludf.DUMMYFUNCTION("""COMPUTED_VALUE"""),"1X5YzKAgrVFRed11iGwwlj-Wh1wAD0gvmGSkTbMQqBao")</f>
        <v>1X5YzKAgrVFRed11iGwwlj-Wh1wAD0gvmGSkTbMQqBao</v>
      </c>
    </row>
    <row r="564" ht="15.75" customHeight="1">
      <c r="A564" t="str">
        <f>IFERROR(__xludf.DUMMYFUNCTION("""COMPUTED_VALUE"""),"Import")</f>
        <v>Import</v>
      </c>
      <c r="B564" t="str">
        <f>IFERROR(__xludf.DUMMYFUNCTION("""COMPUTED_VALUE"""),"SelectTradeOnImport")</f>
        <v>SelectTradeOnImport</v>
      </c>
      <c r="C564" t="str">
        <f>IFERROR(__xludf.DUMMYFUNCTION("""COMPUTED_VALUE"""),"10cAOM3qnGaWW44q9z21WEIOpJdPIAth5hr8jecUfG6A")</f>
        <v>10cAOM3qnGaWW44q9z21WEIOpJdPIAth5hr8jecUfG6A</v>
      </c>
    </row>
    <row r="565" ht="15.75" customHeight="1">
      <c r="A565" t="str">
        <f>IFERROR(__xludf.DUMMYFUNCTION("""COMPUTED_VALUE"""),"Allocation")</f>
        <v>Allocation</v>
      </c>
      <c r="B565" t="str">
        <f>IFERROR(__xludf.DUMMYFUNCTION("""COMPUTED_VALUE"""),"SelectAllRowsAllocated")</f>
        <v>SelectAllRowsAllocated</v>
      </c>
      <c r="C565" t="str">
        <f>IFERROR(__xludf.DUMMYFUNCTION("""COMPUTED_VALUE"""),"Undefined")</f>
        <v>Undefined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IFERROR(__xludf.DUMMYFUNCTION("""COMPUTED_VALUE"""),"FilterLongPositionGrid")</f>
        <v>FilterLongPositionGrid</v>
      </c>
      <c r="C566" t="str">
        <f>IFERROR(__xludf.DUMMYFUNCTION("""COMPUTED_VALUE"""),"11V4DM1OMXH_V53PIsUZCW0QthHjB-hG0fn99Yo8Ry2c")</f>
        <v>11V4DM1OMXH_V53PIsUZCW0QthHjB-hG0fn99Yo8Ry2c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IFERROR(__xludf.DUMMYFUNCTION("""COMPUTED_VALUE"""),"FilterShortPositionGrid")</f>
        <v>FilterShortPositionGrid</v>
      </c>
      <c r="C567" t="str">
        <f>IFERROR(__xludf.DUMMYFUNCTION("""COMPUTED_VALUE"""),"1PD9u3XtwrJXt2fU5ghvPjJ7SpxcIKIIWrKF4YF7wZdo")</f>
        <v>1PD9u3XtwrJXt2fU5ghvPjJ7SpxcIKIIWrKF4YF7wZdo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IFERROR(__xludf.DUMMYFUNCTION("""COMPUTED_VALUE"""),"FilterClosingGrid")</f>
        <v>FilterClosingGrid</v>
      </c>
      <c r="C568" t="str">
        <f>IFERROR(__xludf.DUMMYFUNCTION("""COMPUTED_VALUE"""),"1zS4ALOAI4Qv9-imwrJ3P0juiFH5-Vvf_4yLE3c_77ww")</f>
        <v>1zS4ALOAI4Qv9-imwrJ3P0juiFH5-Vvf_4yLE3c_77ww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IFERROR(__xludf.DUMMYFUNCTION("""COMPUTED_VALUE"""),"FilterUnexpiredGrid")</f>
        <v>FilterUnexpiredGrid</v>
      </c>
      <c r="C569" t="str">
        <f>IFERROR(__xludf.DUMMYFUNCTION("""COMPUTED_VALUE"""),"1cf7V2VglYQWMxr9jI82Z1YFUP_Ufd3RrESoDhAX5nFQ")</f>
        <v>1cf7V2VglYQWMxr9jI82Z1YFUP_Ufd3RrESoDhAX5nFQ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IFERROR(__xludf.DUMMYFUNCTION("""COMPUTED_VALUE"""),"FilterExpiredGrid")</f>
        <v>FilterExpiredGrid</v>
      </c>
      <c r="C570" t="str">
        <f>IFERROR(__xludf.DUMMYFUNCTION("""COMPUTED_VALUE"""),"1pw8K3dcvVISd7jxODSx2U2PTzTKu53dxX_05mlkByK4")</f>
        <v>1pw8K3dcvVISd7jxODSx2U2PTzTKu53dxX_05mlkByK4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IFERROR(__xludf.DUMMYFUNCTION("""COMPUTED_VALUE"""),"FilterCashTransactionGrid")</f>
        <v>FilterCashTransactionGrid</v>
      </c>
      <c r="C571" t="str">
        <f>IFERROR(__xludf.DUMMYFUNCTION("""COMPUTED_VALUE"""),"1PqRBZQJtY5Oa2Uxs4vSRclsIlxPwyMvlrr2UUTSIb3Y")</f>
        <v>1PqRBZQJtY5Oa2Uxs4vSRclsIlxPwyMvlrr2UUTSIb3Y</v>
      </c>
    </row>
    <row r="572" ht="15.75" customHeight="1">
      <c r="A572" t="str">
        <f>IFERROR(__xludf.DUMMYFUNCTION("""COMPUTED_VALUE"""),"Recon")</f>
        <v>Recon</v>
      </c>
      <c r="B572" t="str">
        <f>IFERROR(__xludf.DUMMYFUNCTION("""COMPUTED_VALUE"""),"VerifyApplicationData")</f>
        <v>VerifyApplicationData</v>
      </c>
      <c r="C572" t="str">
        <f>IFERROR(__xludf.DUMMYFUNCTION("""COMPUTED_VALUE"""),"1gMSDalyxsP_enjWpKNvUKpnf9DVP87AgNzPibA-eyb0")</f>
        <v>1gMSDalyxsP_enjWpKNvUKpnf9DVP87AgNzPibA-eyb0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IFERROR(__xludf.DUMMYFUNCTION("""COMPUTED_VALUE"""),"EditGridCashTransactions")</f>
        <v>EditGridCashTransactions</v>
      </c>
      <c r="C573" t="str">
        <f>IFERROR(__xludf.DUMMYFUNCTION("""COMPUTED_VALUE"""),"1A9WP5K6T6_O4S-M78Jx1SEqevonRbthbPCskWXVzxtk")</f>
        <v>1A9WP5K6T6_O4S-M78Jx1SEqevonRbthbPCskWXVzxtk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IFERROR(__xludf.DUMMYFUNCTION("""COMPUTED_VALUE"""),"UnwindAllClosingData")</f>
        <v>UnwindAllClosingData</v>
      </c>
      <c r="C574" t="str">
        <f>IFERROR(__xludf.DUMMYFUNCTION("""COMPUTED_VALUE"""),"1W0sVWSXhitgjuC6P5w0kTp7TvFL-kAol4gyIX8lhd5w")</f>
        <v>1W0sVWSXhitgjuC6P5w0kTp7TvFL-kAol4gyIX8lhd5w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IFERROR(__xludf.DUMMYFUNCTION("""COMPUTED_VALUE"""),"SaveCashTransaction")</f>
        <v>SaveCashTransaction</v>
      </c>
      <c r="C575" t="str">
        <f>IFERROR(__xludf.DUMMYFUNCTION("""COMPUTED_VALUE"""),"1FAh4CFdlozjSlNDU3BUeaQu_1zckRBcWM8KQooONyxs")</f>
        <v>1FAh4CFdlozjSlNDU3BUeaQu_1zckRBcWM8KQooONyxs</v>
      </c>
    </row>
    <row r="576" ht="15.75" customHeight="1">
      <c r="A576" t="str">
        <f>IFERROR(__xludf.DUMMYFUNCTION("""COMPUTED_VALUE"""),"ThirdParty")</f>
        <v>ThirdParty</v>
      </c>
      <c r="B576" t="str">
        <f>IFERROR(__xludf.DUMMYFUNCTION("""COMPUTED_VALUE"""),"ChangeThirdpartyDate")</f>
        <v>ChangeThirdpartyDate</v>
      </c>
      <c r="C576" t="str">
        <f>IFERROR(__xludf.DUMMYFUNCTION("""COMPUTED_VALUE"""),"1F219wmX8xrFPgma8cjoUCm7q9nq-W9yFK7PTO5OggJw")</f>
        <v>1F219wmX8xrFPgma8cjoUCm7q9nq-W9yFK7PTO5OggJw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IFERROR(__xludf.DUMMYFUNCTION("""COMPUTED_VALUE"""),"RunManualRevaluation")</f>
        <v>RunManualRevaluation</v>
      </c>
      <c r="C577" t="str">
        <f>IFERROR(__xludf.DUMMYFUNCTION("""COMPUTED_VALUE"""),"1D5Y3RzzSSQaYL3n3QrXxry0SwVaG4gnMSCxFKtFszpQ")</f>
        <v>1D5Y3RzzSSQaYL3n3QrXxry0SwVaG4gnMSCxFKtFszpQ</v>
      </c>
    </row>
    <row r="578" ht="15.75" customHeight="1">
      <c r="A578" t="str">
        <f>IFERROR(__xludf.DUMMYFUNCTION("""COMPUTED_VALUE"""),"SymbolLookup")</f>
        <v>SymbolLookup</v>
      </c>
      <c r="B578" t="str">
        <f>IFERROR(__xludf.DUMMYFUNCTION("""COMPUTED_VALUE"""),"AddSymbol")</f>
        <v>AddSymbol</v>
      </c>
      <c r="C578" t="str">
        <f>IFERROR(__xludf.DUMMYFUNCTION("""COMPUTED_VALUE"""),"10HWI9Cc8RvROS5VcoYWQCiNm-ZMIi9mZRyugdSdwfao")</f>
        <v>10HWI9Cc8RvROS5VcoYWQCiNm-ZMIi9mZRyugdSdwfao</v>
      </c>
    </row>
    <row r="579" ht="15.75" customHeight="1">
      <c r="A579" t="str">
        <f>IFERROR(__xludf.DUMMYFUNCTION("""COMPUTED_VALUE"""),"Admin")</f>
        <v>Admin</v>
      </c>
      <c r="B579" t="str">
        <f>IFERROR(__xludf.DUMMYFUNCTION("""COMPUTED_VALUE"""),"DeleteSymbolFromSM")</f>
        <v>DeleteSymbolFromSM</v>
      </c>
      <c r="C579" t="str">
        <f>IFERROR(__xludf.DUMMYFUNCTION("""COMPUTED_VALUE"""),"16YNILloso-DtMjrvuLs9jjsIzEmPQxnFXrCt8yvHUNE")</f>
        <v>16YNILloso-DtMjrvuLs9jjsIzEmPQxnFXrCt8yvHUNE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IFERROR(__xludf.DUMMYFUNCTION("""COMPUTED_VALUE"""),"AddSymbolToWatchlist")</f>
        <v>AddSymbolToWatchlist</v>
      </c>
      <c r="C580" t="str">
        <f>IFERROR(__xludf.DUMMYFUNCTION("""COMPUTED_VALUE"""),"1uQiuSREeRIwO_nEU84cMzm9OFSYVLHU2rgcEaefXb2k")</f>
        <v>1uQiuSREeRIwO_nEU84cMzm9OFSYVLHU2rgcEaefXb2k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IFERROR(__xludf.DUMMYFUNCTION("""COMPUTED_VALUE"""),"TradeFromWatchlist")</f>
        <v>TradeFromWatchlist</v>
      </c>
      <c r="C581" t="str">
        <f>IFERROR(__xludf.DUMMYFUNCTION("""COMPUTED_VALUE"""),"1FKL2NTRmBSyITx5pyk6zHOKymU28NwrQwSuVbW4gNRg")</f>
        <v>1FKL2NTRmBSyITx5pyk6zHOKymU28NwrQwSuVbW4gNRg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IFERROR(__xludf.DUMMYFUNCTION("""COMPUTED_VALUE"""),"MultiTradeFromWatchlist")</f>
        <v>MultiTradeFromWatchlist</v>
      </c>
      <c r="C582" t="str">
        <f>IFERROR(__xludf.DUMMYFUNCTION("""COMPUTED_VALUE"""),"1nyCMJS4IH1BLXnFOr_FNoPH4XmaOIGdVjSJuJpNi2c8")</f>
        <v>1nyCMJS4IH1BLXnFOr_FNoPH4XmaOIGdVjSJuJpNi2c8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IFERROR(__xludf.DUMMYFUNCTION("""COMPUTED_VALUE"""),"DeleteSymbolFromWatchlist")</f>
        <v>DeleteSymbolFromWatchlist</v>
      </c>
      <c r="C583" t="str">
        <f>IFERROR(__xludf.DUMMYFUNCTION("""COMPUTED_VALUE"""),"1byaZalr_XhOG3LaxY-Riu8lHwQSFb098xHll__tkAtA")</f>
        <v>1byaZalr_XhOG3LaxY-Riu8lHwQSFb098xHll__tkAtA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IFERROR(__xludf.DUMMYFUNCTION("""COMPUTED_VALUE"""),"VerifySymbolsOnWatchlist")</f>
        <v>VerifySymbolsOnWatchlist</v>
      </c>
      <c r="C584" t="str">
        <f>IFERROR(__xludf.DUMMYFUNCTION("""COMPUTED_VALUE"""),"15PdvqcWBSttYjbzGBns1O_5cUV2nEVZ4r1YEe7ucwPs")</f>
        <v>15PdvqcWBSttYjbzGBns1O_5cUV2nEVZ4r1YEe7ucwPs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IFERROR(__xludf.DUMMYFUNCTION("""COMPUTED_VALUE"""),"VerifyAppMatchedData")</f>
        <v>VerifyAppMatchedData</v>
      </c>
      <c r="C585" t="str">
        <f>IFERROR(__xludf.DUMMYFUNCTION("""COMPUTED_VALUE"""),"197cwp2DCQ4L0B-G5b7CZAwGsgFZuiUTyD_BSwtc9wHA")</f>
        <v>197cwp2DCQ4L0B-G5b7CZAwGsgFZuiUTyD_BSwtc9wHA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IFERROR(__xludf.DUMMYFUNCTION("""COMPUTED_VALUE"""),"VerifyAppUnmatchedData")</f>
        <v>VerifyAppUnmatchedData</v>
      </c>
      <c r="C586" t="str">
        <f>IFERROR(__xludf.DUMMYFUNCTION("""COMPUTED_VALUE"""),"18fTZZkhP8PVk2zb3669RCgVH7l1lj74KOPGo3kRsFwA")</f>
        <v>18fTZZkhP8PVk2zb3669RCgVH7l1lj74KOPGo3kRsFwA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IFERROR(__xludf.DUMMYFUNCTION("""COMPUTED_VALUE"""),"VerifyPBMatchedData")</f>
        <v>VerifyPBMatchedData</v>
      </c>
      <c r="C587" t="str">
        <f>IFERROR(__xludf.DUMMYFUNCTION("""COMPUTED_VALUE"""),"1kM_UfqpK0PaHEHY4-JNdVXj1fPgIjBfWABlDaWsTh6o")</f>
        <v>1kM_UfqpK0PaHEHY4-JNdVXj1fPgIjBfWABlDaWsTh6o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IFERROR(__xludf.DUMMYFUNCTION("""COMPUTED_VALUE"""),"VerifyPBUnmatchedData")</f>
        <v>VerifyPBUnmatchedData</v>
      </c>
      <c r="C588" t="str">
        <f>IFERROR(__xludf.DUMMYFUNCTION("""COMPUTED_VALUE"""),"1kTWoOsrKD_0f_MBstD0yl6ly3CmvswKmK8GYKJUaSJY")</f>
        <v>1kTWoOsrKD_0f_MBstD0yl6ly3CmvswKmK8GYKJUaSJY</v>
      </c>
    </row>
    <row r="589" ht="15.75" customHeight="1">
      <c r="A589" t="str">
        <f>IFERROR(__xludf.DUMMYFUNCTION("""COMPUTED_VALUE"""),"QTT")</f>
        <v>QTT</v>
      </c>
      <c r="B589" t="str">
        <f>IFERROR(__xludf.DUMMYFUNCTION("""COMPUTED_VALUE"""),"OpenQtt")</f>
        <v>OpenQtt</v>
      </c>
      <c r="C589" t="str">
        <f>IFERROR(__xludf.DUMMYFUNCTION("""COMPUTED_VALUE"""),"1w_R8_0C8pikIkKOjwqbblpApJ-NG3VoHrCDrW9YJ19Q")</f>
        <v>1w_R8_0C8pikIkKOjwqbblpApJ-NG3VoHrCDrW9YJ19Q</v>
      </c>
    </row>
    <row r="590" ht="15.75" customHeight="1">
      <c r="A590" t="str">
        <f>IFERROR(__xludf.DUMMYFUNCTION("""COMPUTED_VALUE"""),"QTT")</f>
        <v>QTT</v>
      </c>
      <c r="B590" t="str">
        <f>IFERROR(__xludf.DUMMYFUNCTION("""COMPUTED_VALUE"""),"TradeFromQTT")</f>
        <v>TradeFromQTT</v>
      </c>
      <c r="C590" t="str">
        <f>IFERROR(__xludf.DUMMYFUNCTION("""COMPUTED_VALUE"""),"1OUvamqdyFx8lXmHmR7JvJB9QtTJaxdBrHx0MlmVl9Gg")</f>
        <v>1OUvamqdyFx8lXmHmR7JvJB9QtTJaxdBrHx0MlmVl9Gg</v>
      </c>
    </row>
    <row r="591" ht="15.75" customHeight="1">
      <c r="A591" t="str">
        <f>IFERROR(__xludf.DUMMYFUNCTION("""COMPUTED_VALUE"""),"TradingTicket")</f>
        <v>TradingTicket</v>
      </c>
      <c r="B591" t="str">
        <f>IFERROR(__xludf.DUMMYFUNCTION("""COMPUTED_VALUE"""),"VerifyBasketExport")</f>
        <v>VerifyBasketExport</v>
      </c>
      <c r="C591" t="str">
        <f>IFERROR(__xludf.DUMMYFUNCTION("""COMPUTED_VALUE"""),"1ld4yJ22N6V7SOVjhVfKW9T1vMKTLDo6OxunLct_fLjI")</f>
        <v>1ld4yJ22N6V7SOVjhVfKW9T1vMKTLDo6OxunLct_fLjI</v>
      </c>
    </row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2" t="s">
        <v>19</v>
      </c>
      <c r="D6" s="33">
        <v>500.0</v>
      </c>
      <c r="E6" s="33">
        <v>500.0</v>
      </c>
      <c r="F6" s="32"/>
      <c r="G6" s="32"/>
      <c r="H6" s="32"/>
      <c r="I6" s="32"/>
      <c r="J6" s="33">
        <v>10.0</v>
      </c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20</v>
      </c>
      <c r="AL6" s="31" t="s">
        <v>21</v>
      </c>
      <c r="AM6" s="31"/>
      <c r="AN6" s="31"/>
      <c r="AO6" s="31"/>
      <c r="AP6" s="31"/>
      <c r="AQ6" s="31"/>
      <c r="AR6" s="31"/>
      <c r="AS6" s="34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1" t="s">
        <v>23</v>
      </c>
      <c r="D6" s="35">
        <v>501.0</v>
      </c>
      <c r="E6" s="35">
        <v>501.0</v>
      </c>
      <c r="F6" s="32"/>
      <c r="G6" s="32"/>
      <c r="H6" s="32"/>
      <c r="I6" s="32"/>
      <c r="J6" s="33">
        <v>10.0</v>
      </c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20</v>
      </c>
      <c r="AL6" s="31" t="s">
        <v>21</v>
      </c>
      <c r="AM6" s="31"/>
      <c r="AN6" s="31"/>
      <c r="AO6" s="31"/>
      <c r="AP6" s="31"/>
      <c r="AQ6" s="31"/>
      <c r="AR6" s="31"/>
      <c r="AS6" s="34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/>
      <c r="B6" s="8"/>
      <c r="C6" s="8"/>
      <c r="D6" s="36">
        <v>10.0</v>
      </c>
      <c r="E6" s="36" t="s">
        <v>26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AI6" s="9" t="s">
        <v>18</v>
      </c>
      <c r="AJ6" s="36" t="s">
        <v>19</v>
      </c>
      <c r="AK6" s="36" t="s">
        <v>27</v>
      </c>
      <c r="AL6" s="9">
        <v>500.0</v>
      </c>
      <c r="AM6" s="36">
        <v>500.0</v>
      </c>
      <c r="AN6" s="9">
        <v>100.0</v>
      </c>
      <c r="AO6" s="9">
        <v>500.0</v>
      </c>
      <c r="AQ6" s="9">
        <v>10.0</v>
      </c>
      <c r="AR6" s="9">
        <v>10.0</v>
      </c>
      <c r="AT6" s="36" t="s">
        <v>28</v>
      </c>
      <c r="AU6" s="9" t="s">
        <v>29</v>
      </c>
    </row>
    <row r="7" ht="15.75" customHeight="1">
      <c r="A7" s="8"/>
      <c r="B7" s="8"/>
      <c r="C7" s="8"/>
      <c r="D7" s="37">
        <v>0.0</v>
      </c>
      <c r="E7" s="36" t="s">
        <v>26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  <c r="AI7" s="9" t="s">
        <v>18</v>
      </c>
      <c r="AJ7" s="37" t="s">
        <v>23</v>
      </c>
      <c r="AK7" s="9" t="s">
        <v>30</v>
      </c>
      <c r="AL7" s="9">
        <v>501.0</v>
      </c>
      <c r="AP7" s="9">
        <v>501.0</v>
      </c>
      <c r="AT7" s="36" t="s">
        <v>28</v>
      </c>
      <c r="AU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0.0</v>
      </c>
      <c r="C6" s="8"/>
      <c r="D6" s="13" t="s">
        <v>18</v>
      </c>
      <c r="E6" s="8"/>
      <c r="F6" s="37" t="s">
        <v>23</v>
      </c>
      <c r="G6" s="13" t="s">
        <v>30</v>
      </c>
      <c r="H6" s="13">
        <v>501.0</v>
      </c>
      <c r="I6" s="8"/>
      <c r="J6" s="8"/>
      <c r="K6" s="8"/>
      <c r="L6" s="8"/>
      <c r="M6" s="8"/>
      <c r="N6" s="13">
        <v>0.0</v>
      </c>
      <c r="O6" s="8"/>
      <c r="P6" s="9">
        <v>0.0</v>
      </c>
      <c r="R6" s="9" t="s">
        <v>28</v>
      </c>
      <c r="T6" s="9" t="s">
        <v>29</v>
      </c>
      <c r="AN6" s="38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8"/>
      <c r="B6" s="8"/>
      <c r="C6" s="8"/>
      <c r="D6" s="13">
        <v>0.0</v>
      </c>
      <c r="E6" s="36" t="s">
        <v>26</v>
      </c>
      <c r="F6" s="13"/>
      <c r="G6" s="8"/>
      <c r="H6" s="13" t="s">
        <v>33</v>
      </c>
      <c r="I6" s="8"/>
      <c r="J6" s="13" t="s">
        <v>18</v>
      </c>
      <c r="K6" s="8"/>
      <c r="L6" s="8"/>
      <c r="M6" s="8"/>
      <c r="N6" s="8"/>
      <c r="O6" s="8"/>
      <c r="U6" s="9" t="s">
        <v>34</v>
      </c>
      <c r="AI6" s="9" t="s">
        <v>18</v>
      </c>
      <c r="AJ6" s="37" t="s">
        <v>23</v>
      </c>
      <c r="AK6" s="9" t="s">
        <v>30</v>
      </c>
      <c r="AL6" s="9">
        <v>501.0</v>
      </c>
      <c r="AQ6" s="9">
        <v>0.0</v>
      </c>
      <c r="AR6" s="9">
        <v>0.0</v>
      </c>
      <c r="AT6" s="9" t="s">
        <v>28</v>
      </c>
      <c r="AU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501.0</v>
      </c>
      <c r="E6" s="13">
        <v>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0.0</v>
      </c>
      <c r="C6" s="8"/>
      <c r="D6" s="13" t="s">
        <v>18</v>
      </c>
      <c r="E6" s="8"/>
      <c r="F6" s="37" t="s">
        <v>23</v>
      </c>
      <c r="G6" s="13"/>
      <c r="H6" s="13">
        <v>501.0</v>
      </c>
      <c r="I6" s="8"/>
      <c r="J6" s="8"/>
      <c r="K6" s="8"/>
      <c r="L6" s="8"/>
      <c r="M6" s="8"/>
      <c r="N6" s="13">
        <v>0.0</v>
      </c>
      <c r="O6" s="8"/>
      <c r="P6" s="9">
        <v>0.0</v>
      </c>
      <c r="R6" s="9" t="s">
        <v>28</v>
      </c>
      <c r="AA6" s="9">
        <v>501.0</v>
      </c>
      <c r="AK6" s="9" t="s">
        <v>34</v>
      </c>
      <c r="AN6" s="9" t="s">
        <v>18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0.0</v>
      </c>
      <c r="C6" s="32"/>
      <c r="D6" s="39" t="s">
        <v>18</v>
      </c>
      <c r="E6" s="32"/>
      <c r="F6" s="37" t="s">
        <v>23</v>
      </c>
      <c r="G6" s="13" t="s">
        <v>30</v>
      </c>
      <c r="H6" s="35">
        <v>501.0</v>
      </c>
      <c r="I6" s="32"/>
      <c r="J6" s="32"/>
      <c r="K6" s="39">
        <v>0.0</v>
      </c>
      <c r="L6" s="32"/>
      <c r="M6" s="39">
        <v>0.0</v>
      </c>
      <c r="N6" s="32"/>
      <c r="O6" s="40" t="s">
        <v>28</v>
      </c>
      <c r="P6" s="32"/>
      <c r="Q6" s="32"/>
      <c r="R6" s="40"/>
      <c r="S6" s="40"/>
      <c r="T6" s="31"/>
      <c r="U6" s="31"/>
      <c r="V6" s="31"/>
      <c r="W6" s="31"/>
      <c r="X6" s="41">
        <v>501.0</v>
      </c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42" t="s">
        <v>18</v>
      </c>
      <c r="AK6" s="31"/>
      <c r="AL6" s="42">
        <v>1.0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200.0</v>
      </c>
      <c r="C6" s="13">
        <v>10.0</v>
      </c>
      <c r="D6" s="13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18</v>
      </c>
      <c r="E6" s="8"/>
      <c r="F6" s="37" t="s">
        <v>23</v>
      </c>
      <c r="G6" s="13" t="s">
        <v>38</v>
      </c>
      <c r="H6" s="13">
        <v>501.0</v>
      </c>
      <c r="I6" s="13">
        <v>200.0</v>
      </c>
      <c r="J6" s="8"/>
      <c r="K6" s="8"/>
      <c r="L6" s="8"/>
      <c r="M6" s="8"/>
      <c r="N6" s="13">
        <v>10.0</v>
      </c>
      <c r="O6" s="8"/>
      <c r="P6" s="9">
        <v>10.0</v>
      </c>
      <c r="R6" s="9" t="s">
        <v>28</v>
      </c>
      <c r="AA6" s="9">
        <v>301.0</v>
      </c>
      <c r="AB6" s="36" t="s">
        <v>26</v>
      </c>
      <c r="AN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18</v>
      </c>
      <c r="E6" s="8"/>
      <c r="F6" s="37" t="s">
        <v>23</v>
      </c>
      <c r="G6" s="13" t="s">
        <v>38</v>
      </c>
      <c r="H6" s="13">
        <v>501.0</v>
      </c>
      <c r="I6" s="13">
        <v>200.0</v>
      </c>
      <c r="J6" s="8"/>
      <c r="K6" s="13">
        <v>10.0</v>
      </c>
      <c r="L6" s="8"/>
      <c r="M6" s="13">
        <v>10.0</v>
      </c>
      <c r="N6" s="8"/>
      <c r="O6" s="9" t="s">
        <v>28</v>
      </c>
      <c r="X6" s="9">
        <v>301.0</v>
      </c>
      <c r="Y6" s="36" t="s">
        <v>26</v>
      </c>
      <c r="AJ6" s="9" t="s">
        <v>18</v>
      </c>
      <c r="AY6" s="9">
        <v>301.0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301.0</v>
      </c>
      <c r="C6" s="13">
        <v>10.0</v>
      </c>
      <c r="D6" s="13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6">
        <v>10.0</v>
      </c>
      <c r="E6" s="8"/>
      <c r="F6" s="8"/>
      <c r="G6" s="36"/>
      <c r="H6" s="8"/>
      <c r="I6" s="8"/>
      <c r="J6" s="36" t="s">
        <v>18</v>
      </c>
      <c r="K6" s="8"/>
      <c r="L6" s="8"/>
      <c r="M6" s="8"/>
      <c r="N6" s="8"/>
      <c r="O6" s="8"/>
      <c r="AI6" s="36" t="s">
        <v>18</v>
      </c>
      <c r="AJ6" s="36" t="s">
        <v>19</v>
      </c>
      <c r="AK6" s="36" t="s">
        <v>27</v>
      </c>
      <c r="AM6" s="9">
        <v>500.0</v>
      </c>
      <c r="AT6" s="36" t="s">
        <v>28</v>
      </c>
      <c r="AV6" s="36">
        <v>-5000.0</v>
      </c>
      <c r="AW6" s="36">
        <v>-5000.0</v>
      </c>
    </row>
    <row r="7" ht="15.75" customHeight="1">
      <c r="A7" s="8"/>
      <c r="B7" s="8"/>
      <c r="C7" s="8"/>
      <c r="D7" s="43">
        <v>10.0</v>
      </c>
      <c r="E7" s="8"/>
      <c r="F7" s="8"/>
      <c r="G7" s="36"/>
      <c r="H7" s="8"/>
      <c r="I7" s="8"/>
      <c r="J7" s="36" t="s">
        <v>18</v>
      </c>
      <c r="K7" s="8"/>
      <c r="L7" s="8"/>
      <c r="M7" s="8"/>
      <c r="N7" s="8"/>
      <c r="O7" s="8"/>
      <c r="AI7" s="36" t="s">
        <v>18</v>
      </c>
      <c r="AJ7" s="43" t="s">
        <v>23</v>
      </c>
      <c r="AK7" s="36" t="s">
        <v>27</v>
      </c>
      <c r="AM7" s="9">
        <v>501.0</v>
      </c>
      <c r="AT7" s="36" t="s">
        <v>28</v>
      </c>
      <c r="AV7" s="38">
        <v>5010.0</v>
      </c>
      <c r="AW7" s="38">
        <v>5010.0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/>
      <c r="B6" s="13" t="s">
        <v>28</v>
      </c>
      <c r="C6" s="8"/>
      <c r="D6" s="33">
        <v>0.0</v>
      </c>
      <c r="E6" s="13">
        <v>500.0</v>
      </c>
      <c r="F6" s="8"/>
      <c r="G6" s="45" t="s">
        <v>43</v>
      </c>
      <c r="H6" s="8"/>
      <c r="I6" s="8"/>
      <c r="J6" s="8"/>
      <c r="K6" s="13">
        <v>10.0</v>
      </c>
      <c r="L6" s="13">
        <v>10.0</v>
      </c>
      <c r="M6" s="45" t="s">
        <v>26</v>
      </c>
      <c r="N6" s="8"/>
      <c r="O6" s="45" t="s">
        <v>44</v>
      </c>
      <c r="T6" s="46">
        <v>0.0</v>
      </c>
      <c r="Z6" s="9" t="s">
        <v>34</v>
      </c>
      <c r="AA6" s="9" t="s">
        <v>18</v>
      </c>
      <c r="AE6" s="9">
        <v>500.0</v>
      </c>
      <c r="AH6" s="31" t="s">
        <v>45</v>
      </c>
      <c r="AI6" s="9">
        <v>1.0</v>
      </c>
      <c r="AT6" s="47">
        <v>4985.9972</v>
      </c>
      <c r="AU6" s="47">
        <v>4985.9972</v>
      </c>
      <c r="BE6" s="47">
        <v>5000.0</v>
      </c>
      <c r="BF6" s="47">
        <v>5000.0</v>
      </c>
      <c r="BJ6" s="46">
        <v>500.0</v>
      </c>
      <c r="BM6" s="48" t="s">
        <v>34</v>
      </c>
      <c r="BO6" s="45" t="s">
        <v>19</v>
      </c>
      <c r="BT6" s="9" t="s">
        <v>18</v>
      </c>
      <c r="BW6" s="46">
        <v>14.0028</v>
      </c>
      <c r="CM6" s="9" t="s">
        <v>18</v>
      </c>
    </row>
    <row r="7" ht="15.75" customHeight="1">
      <c r="A7" s="8"/>
      <c r="B7" s="49" t="s">
        <v>28</v>
      </c>
      <c r="C7" s="8"/>
      <c r="D7" s="33">
        <v>0.0</v>
      </c>
      <c r="E7" s="13">
        <v>501.0</v>
      </c>
      <c r="F7" s="8"/>
      <c r="G7" s="45" t="s">
        <v>43</v>
      </c>
      <c r="H7" s="8"/>
      <c r="I7" s="8"/>
      <c r="J7" s="8"/>
      <c r="K7" s="13">
        <v>10.0</v>
      </c>
      <c r="L7" s="13">
        <v>10.0</v>
      </c>
      <c r="M7" s="45" t="s">
        <v>26</v>
      </c>
      <c r="N7" s="8"/>
      <c r="O7" s="45" t="s">
        <v>44</v>
      </c>
      <c r="T7" s="46">
        <v>0.0</v>
      </c>
      <c r="Z7" s="9" t="s">
        <v>34</v>
      </c>
      <c r="AA7" s="9" t="s">
        <v>18</v>
      </c>
      <c r="AE7" s="9">
        <v>501.0</v>
      </c>
      <c r="AH7" s="31" t="s">
        <v>45</v>
      </c>
      <c r="AI7" s="9">
        <v>1.0</v>
      </c>
      <c r="AT7" s="47">
        <v>5024.0028</v>
      </c>
      <c r="AU7" s="47">
        <v>5024.0028</v>
      </c>
      <c r="BE7" s="47">
        <v>5010.0</v>
      </c>
      <c r="BF7" s="47">
        <v>5010.0</v>
      </c>
      <c r="BJ7" s="46">
        <v>501.0</v>
      </c>
      <c r="BM7" s="48" t="s">
        <v>34</v>
      </c>
      <c r="BO7" s="45" t="s">
        <v>23</v>
      </c>
      <c r="BT7" s="9" t="s">
        <v>18</v>
      </c>
      <c r="BW7" s="46">
        <v>14.0028</v>
      </c>
      <c r="CM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8"/>
      <c r="C6" s="45" t="s">
        <v>18</v>
      </c>
      <c r="D6" s="46">
        <v>-250.0</v>
      </c>
      <c r="E6" s="45" t="s">
        <v>48</v>
      </c>
      <c r="F6" s="45" t="s">
        <v>49</v>
      </c>
      <c r="G6" s="8"/>
      <c r="H6" s="45" t="s">
        <v>50</v>
      </c>
      <c r="I6" s="8"/>
      <c r="J6" s="8"/>
      <c r="K6" s="8"/>
      <c r="L6" s="8"/>
      <c r="M6" s="8"/>
      <c r="N6" s="8"/>
      <c r="O6" s="8"/>
      <c r="S6" s="45" t="s">
        <v>51</v>
      </c>
      <c r="T6" s="45" t="s">
        <v>43</v>
      </c>
      <c r="U6" s="45" t="s">
        <v>52</v>
      </c>
      <c r="V6" s="45" t="s">
        <v>33</v>
      </c>
      <c r="W6" s="45" t="s">
        <v>34</v>
      </c>
      <c r="X6" s="46">
        <v>1.0</v>
      </c>
      <c r="Y6" s="46">
        <v>1.0</v>
      </c>
      <c r="AC6" s="46">
        <v>0.0</v>
      </c>
      <c r="AD6" s="46">
        <v>0.0</v>
      </c>
      <c r="AE6" s="46">
        <v>0.0</v>
      </c>
      <c r="AF6" s="46">
        <v>-250.0</v>
      </c>
      <c r="AG6" s="46">
        <v>0.0</v>
      </c>
      <c r="AH6" s="46">
        <v>0.0</v>
      </c>
      <c r="AL6" s="46">
        <v>1.0</v>
      </c>
      <c r="AM6" s="46">
        <v>1.0</v>
      </c>
      <c r="AN6" s="45" t="s">
        <v>19</v>
      </c>
      <c r="AP6" s="45" t="s">
        <v>53</v>
      </c>
      <c r="AQ6" s="45" t="s">
        <v>18</v>
      </c>
      <c r="AV6" s="46">
        <v>1.0</v>
      </c>
      <c r="AW6" s="50">
        <v>2500.0</v>
      </c>
      <c r="BE6" s="45" t="s">
        <v>43</v>
      </c>
      <c r="BF6" s="45" t="s">
        <v>54</v>
      </c>
      <c r="BG6" s="45" t="s">
        <v>55</v>
      </c>
      <c r="BH6" s="45" t="s">
        <v>56</v>
      </c>
      <c r="BO6" s="50">
        <v>2500.0</v>
      </c>
      <c r="BQ6" s="45" t="s">
        <v>57</v>
      </c>
      <c r="BR6" s="45" t="s">
        <v>44</v>
      </c>
      <c r="BW6" s="46">
        <v>0.0</v>
      </c>
      <c r="BX6" s="46">
        <v>0.0</v>
      </c>
      <c r="BY6" s="46">
        <v>0.0</v>
      </c>
      <c r="BZ6" s="46">
        <v>0.0</v>
      </c>
      <c r="CI6" s="46">
        <v>0.0</v>
      </c>
      <c r="CY6" s="45" t="s">
        <v>58</v>
      </c>
      <c r="CZ6" s="45" t="s">
        <v>59</v>
      </c>
    </row>
    <row r="7" ht="15.75" customHeight="1">
      <c r="A7" s="8"/>
      <c r="B7" s="8"/>
      <c r="C7" s="45" t="s">
        <v>18</v>
      </c>
      <c r="D7" s="46">
        <v>251.0</v>
      </c>
      <c r="E7" s="45" t="s">
        <v>48</v>
      </c>
      <c r="F7" s="45" t="s">
        <v>49</v>
      </c>
      <c r="G7" s="8"/>
      <c r="H7" s="45" t="s">
        <v>50</v>
      </c>
      <c r="I7" s="8"/>
      <c r="J7" s="8"/>
      <c r="K7" s="8"/>
      <c r="L7" s="8"/>
      <c r="M7" s="8"/>
      <c r="N7" s="8"/>
      <c r="O7" s="8"/>
      <c r="S7" s="45" t="s">
        <v>51</v>
      </c>
      <c r="T7" s="45" t="s">
        <v>43</v>
      </c>
      <c r="U7" s="45" t="s">
        <v>52</v>
      </c>
      <c r="V7" s="45" t="s">
        <v>33</v>
      </c>
      <c r="W7" s="45" t="s">
        <v>34</v>
      </c>
      <c r="X7" s="46">
        <v>1.0</v>
      </c>
      <c r="Y7" s="46">
        <v>1.0</v>
      </c>
      <c r="AC7" s="46">
        <v>0.0</v>
      </c>
      <c r="AD7" s="46">
        <v>0.0</v>
      </c>
      <c r="AE7" s="46">
        <v>0.0</v>
      </c>
      <c r="AF7" s="46">
        <v>251.0</v>
      </c>
      <c r="AG7" s="46">
        <v>0.0</v>
      </c>
      <c r="AH7" s="46">
        <v>0.0</v>
      </c>
      <c r="AL7" s="46">
        <v>1.0</v>
      </c>
      <c r="AM7" s="46">
        <v>1.0</v>
      </c>
      <c r="AN7" s="45" t="s">
        <v>23</v>
      </c>
      <c r="AP7" s="45" t="s">
        <v>53</v>
      </c>
      <c r="AQ7" s="45" t="s">
        <v>18</v>
      </c>
      <c r="AV7" s="46">
        <v>1.0</v>
      </c>
      <c r="AW7" s="50">
        <v>-2510.0</v>
      </c>
      <c r="BE7" s="45" t="s">
        <v>43</v>
      </c>
      <c r="BF7" s="45" t="s">
        <v>54</v>
      </c>
      <c r="BG7" s="45" t="s">
        <v>55</v>
      </c>
      <c r="BH7" s="45" t="s">
        <v>56</v>
      </c>
      <c r="BO7" s="50">
        <v>-2510.0</v>
      </c>
      <c r="BQ7" s="45" t="s">
        <v>57</v>
      </c>
      <c r="BR7" s="45" t="s">
        <v>44</v>
      </c>
      <c r="BW7" s="46">
        <v>0.0</v>
      </c>
      <c r="BX7" s="46">
        <v>0.0</v>
      </c>
      <c r="BY7" s="46">
        <v>0.0</v>
      </c>
      <c r="BZ7" s="46">
        <v>0.0</v>
      </c>
      <c r="CI7" s="46">
        <v>0.0</v>
      </c>
      <c r="CY7" s="45" t="s">
        <v>58</v>
      </c>
      <c r="CZ7" s="45" t="s">
        <v>59</v>
      </c>
    </row>
    <row r="8" ht="15.75" customHeight="1">
      <c r="A8" s="8"/>
      <c r="B8" s="8"/>
      <c r="C8" s="45" t="s">
        <v>18</v>
      </c>
      <c r="D8" s="46">
        <v>-250.0</v>
      </c>
      <c r="E8" s="45" t="s">
        <v>60</v>
      </c>
      <c r="F8" s="45" t="s">
        <v>61</v>
      </c>
      <c r="G8" s="8"/>
      <c r="H8" s="45" t="s">
        <v>50</v>
      </c>
      <c r="I8" s="8"/>
      <c r="J8" s="8"/>
      <c r="K8" s="8"/>
      <c r="L8" s="8"/>
      <c r="M8" s="8"/>
      <c r="N8" s="8"/>
      <c r="O8" s="8"/>
      <c r="S8" s="45" t="s">
        <v>51</v>
      </c>
      <c r="T8" s="45" t="s">
        <v>43</v>
      </c>
      <c r="U8" s="45" t="s">
        <v>52</v>
      </c>
      <c r="V8" s="45" t="s">
        <v>33</v>
      </c>
      <c r="W8" s="45" t="s">
        <v>34</v>
      </c>
      <c r="X8" s="46">
        <v>1.0</v>
      </c>
      <c r="Y8" s="46">
        <v>1.0</v>
      </c>
      <c r="AC8" s="46">
        <v>0.0</v>
      </c>
      <c r="AD8" s="46">
        <v>0.0</v>
      </c>
      <c r="AE8" s="46">
        <v>0.0</v>
      </c>
      <c r="AF8" s="46">
        <v>-250.0</v>
      </c>
      <c r="AG8" s="46">
        <v>0.0</v>
      </c>
      <c r="AH8" s="46">
        <v>0.0</v>
      </c>
      <c r="AL8" s="46">
        <v>1.0</v>
      </c>
      <c r="AM8" s="46">
        <v>1.0</v>
      </c>
      <c r="AN8" s="45" t="s">
        <v>19</v>
      </c>
      <c r="AP8" s="45" t="s">
        <v>53</v>
      </c>
      <c r="AQ8" s="45" t="s">
        <v>18</v>
      </c>
      <c r="AV8" s="46">
        <v>1.0</v>
      </c>
      <c r="AW8" s="50">
        <v>2500.0</v>
      </c>
      <c r="BE8" s="45" t="s">
        <v>43</v>
      </c>
      <c r="BF8" s="45" t="s">
        <v>54</v>
      </c>
      <c r="BG8" s="45" t="s">
        <v>55</v>
      </c>
      <c r="BH8" s="45" t="s">
        <v>56</v>
      </c>
      <c r="BO8" s="50">
        <v>2500.0</v>
      </c>
      <c r="BQ8" s="45" t="s">
        <v>57</v>
      </c>
      <c r="BR8" s="45" t="s">
        <v>44</v>
      </c>
      <c r="BW8" s="46">
        <v>0.0</v>
      </c>
      <c r="BX8" s="46">
        <v>0.0</v>
      </c>
      <c r="BY8" s="46">
        <v>0.0</v>
      </c>
      <c r="BZ8" s="46">
        <v>0.0</v>
      </c>
      <c r="CI8" s="46">
        <v>0.0</v>
      </c>
      <c r="CY8" s="45" t="s">
        <v>58</v>
      </c>
      <c r="CZ8" s="45" t="s">
        <v>59</v>
      </c>
    </row>
    <row r="9" ht="15.75" customHeight="1">
      <c r="A9" s="8"/>
      <c r="B9" s="8"/>
      <c r="C9" s="45" t="s">
        <v>18</v>
      </c>
      <c r="D9" s="46">
        <v>250.0</v>
      </c>
      <c r="E9" s="45" t="s">
        <v>60</v>
      </c>
      <c r="F9" s="45" t="s">
        <v>61</v>
      </c>
      <c r="G9" s="8"/>
      <c r="H9" s="45" t="s">
        <v>50</v>
      </c>
      <c r="I9" s="8"/>
      <c r="J9" s="8"/>
      <c r="K9" s="8"/>
      <c r="L9" s="8"/>
      <c r="M9" s="8"/>
      <c r="N9" s="8"/>
      <c r="O9" s="8"/>
      <c r="S9" s="45" t="s">
        <v>51</v>
      </c>
      <c r="T9" s="45" t="s">
        <v>43</v>
      </c>
      <c r="U9" s="45" t="s">
        <v>52</v>
      </c>
      <c r="V9" s="45" t="s">
        <v>33</v>
      </c>
      <c r="W9" s="45" t="s">
        <v>34</v>
      </c>
      <c r="X9" s="46">
        <v>1.0</v>
      </c>
      <c r="Y9" s="46">
        <v>1.0</v>
      </c>
      <c r="AC9" s="46">
        <v>0.0</v>
      </c>
      <c r="AD9" s="46">
        <v>0.0</v>
      </c>
      <c r="AE9" s="46">
        <v>0.0</v>
      </c>
      <c r="AF9" s="46">
        <v>250.0</v>
      </c>
      <c r="AG9" s="46">
        <v>0.0</v>
      </c>
      <c r="AH9" s="46">
        <v>0.0</v>
      </c>
      <c r="AL9" s="46">
        <v>1.0</v>
      </c>
      <c r="AM9" s="46">
        <v>1.0</v>
      </c>
      <c r="AN9" s="45" t="s">
        <v>23</v>
      </c>
      <c r="AP9" s="45" t="s">
        <v>53</v>
      </c>
      <c r="AQ9" s="45" t="s">
        <v>18</v>
      </c>
      <c r="AV9" s="46">
        <v>1.0</v>
      </c>
      <c r="AW9" s="50">
        <v>-2500.0</v>
      </c>
      <c r="BE9" s="45" t="s">
        <v>43</v>
      </c>
      <c r="BF9" s="45" t="s">
        <v>54</v>
      </c>
      <c r="BG9" s="45" t="s">
        <v>55</v>
      </c>
      <c r="BH9" s="45" t="s">
        <v>56</v>
      </c>
      <c r="BO9" s="50">
        <v>-2500.0</v>
      </c>
      <c r="BQ9" s="45" t="s">
        <v>57</v>
      </c>
      <c r="BR9" s="45" t="s">
        <v>44</v>
      </c>
      <c r="BW9" s="46">
        <v>0.0</v>
      </c>
      <c r="BX9" s="46">
        <v>0.0</v>
      </c>
      <c r="BY9" s="46">
        <v>0.0</v>
      </c>
      <c r="BZ9" s="46">
        <v>0.0</v>
      </c>
      <c r="CI9" s="46">
        <v>0.0</v>
      </c>
      <c r="CY9" s="45" t="s">
        <v>58</v>
      </c>
      <c r="CZ9" s="45" t="s">
        <v>59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