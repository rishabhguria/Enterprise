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lectTradeUnexpiredUnsettled" sheetId="4" r:id="rId6"/>
    <sheet state="visible" name="CreateTransaction" sheetId="5" r:id="rId7"/>
    <sheet state="visible" name="GetDataClosing" sheetId="6" r:id="rId8"/>
    <sheet state="visible" name="ExerciseAssignment" sheetId="7" r:id="rId9"/>
    <sheet state="visible" name="VerifyExpiredSettledGrid" sheetId="8" r:id="rId10"/>
    <sheet state="visible" name="CheckAllocatedGroups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<sst xmlns="http://schemas.openxmlformats.org/spreadsheetml/2006/main" count="81" uniqueCount="31">
  <si>
    <t>Modules Info</t>
  </si>
  <si>
    <t>Settings</t>
  </si>
  <si>
    <t>Master Data Info</t>
  </si>
  <si>
    <t>Module Step Setting File</t>
  </si>
  <si>
    <t>Modules</t>
  </si>
  <si>
    <t>1bjzFzn7sq_aNk1B-5bCREqf7Fqdi4GeZC91op3sddBc</t>
  </si>
  <si>
    <t>Module</t>
  </si>
  <si>
    <t>Master Data Settings File</t>
  </si>
  <si>
    <t>Step</t>
  </si>
  <si>
    <t>Master Data Sheet</t>
  </si>
  <si>
    <t>1Nt_rf5DtgjbN9Ag4AMMlUkZYROxKZLH5m54YOl7tRT0</t>
  </si>
  <si>
    <t>Data</t>
  </si>
  <si>
    <t>Closing</t>
  </si>
  <si>
    <t>SelectTradeUnexpiredUnsettled</t>
  </si>
  <si>
    <t>Data Format</t>
  </si>
  <si>
    <t>Input Format</t>
  </si>
  <si>
    <t>Allocation1</t>
  </si>
  <si>
    <t>EquityOption</t>
  </si>
  <si>
    <t>O:ABM 10D20.00</t>
  </si>
  <si>
    <t>CreateTransaction</t>
  </si>
  <si>
    <t>Buy to Open</t>
  </si>
  <si>
    <t>GetDataClosing</t>
  </si>
  <si>
    <t>Historical</t>
  </si>
  <si>
    <t>ExerciseAssignment</t>
  </si>
  <si>
    <t>ABM</t>
  </si>
  <si>
    <t>VerifyExpiredSettledGrid</t>
  </si>
  <si>
    <t>Allocation</t>
  </si>
  <si>
    <t>CheckAllocatedGroups</t>
  </si>
  <si>
    <t>Sell to Close</t>
  </si>
  <si>
    <t>Buy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</si>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</sst>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readingOrder="0" shrinkToFit="0" wrapText="0"/>
    </xf>
    <xf borderId="0" fillId="0" fontId="4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0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7</v>
      </c>
      <c r="B4" s="9" t="s">
        <v>10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0" t="s">
        <v>6</v>
      </c>
      <c r="B3" s="11" t="s">
        <v>8</v>
      </c>
      <c r="C3" s="11" t="s">
        <v>9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16</v>
      </c>
      <c r="C6" s="6"/>
      <c r="D6" s="9"/>
      <c r="E6" s="9" t="s">
        <v>17</v>
      </c>
      <c r="F6" s="6"/>
      <c r="G6" s="6"/>
      <c r="H6" s="6"/>
      <c r="I6" s="6"/>
      <c r="J6" s="6"/>
      <c r="K6" s="6"/>
      <c r="L6" s="6"/>
      <c r="M6" s="6"/>
      <c r="N6" s="6"/>
      <c r="O6" s="30"/>
      <c r="AW6" s="30"/>
      <c r="BL6" s="29"/>
      <c r="DH6" s="29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5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6</v>
      </c>
      <c r="C3" s="21" t="s">
        <v>19</v>
      </c>
      <c r="D3" s="8" t="s">
        <v>8</v>
      </c>
      <c r="E3" s="21" t="s">
        <v>19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IFERROR(__xludf.DUMMYFUNCTION("IF(C3="""","""",Transpose(IMPORTRANGE('_Settings'!$B$3,C3&amp;""!A4:A1000"")))"),"CreateTransaction")</f>
        <v>CreateTransaction</v>
      </c>
      <c r="C4" s="23" t="str">
        <f>IFERROR(__xludf.DUMMYFUNCTION("""COMPUTED_VALUE"""),"AddNewTransaction")</f>
        <v>AddNewTransaction</v>
      </c>
      <c r="D4" s="23" t="str">
        <f>IFERROR(__xludf.DUMMYFUNCTION("""COMPUTED_VALUE"""),"SaveTransaction")</f>
        <v>SaveTransaction</v>
      </c>
      <c r="E4" s="23" t="str">
        <f>IFERROR(__xludf.DUMMYFUNCTION("""COMPUTED_VALUE"""),"")</f>
        <v/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IFERROR(__xludf.DUMMYFUNCTION("""COMPUTED_VALUE"""),"Account")</f>
        <v>Account</v>
      </c>
      <c r="D5" s="26" t="str">
        <f>IFERROR(__xludf.DUMMYFUNCTION("""COMPUTED_VALUE"""),"Side")</f>
        <v>Side</v>
      </c>
      <c r="E5" s="26" t="str">
        <f>IFERROR(__xludf.DUMMYFUNCTION("""COMPUTED_VALUE"""),"Quantity")</f>
        <v>Quantity</v>
      </c>
      <c r="F5" s="27" t="str">
        <f>IFERROR(__xludf.DUMMYFUNCTION("""COMPUTED_VALUE"""),"Executed Quantity")</f>
        <v>Executed Quantity</v>
      </c>
      <c r="G5" s="26" t="str">
        <f>IFERROR(__xludf.DUMMYFUNCTION("""COMPUTED_VALUE"""),"Average Price")</f>
        <v>Average Price</v>
      </c>
      <c r="H5" s="26" t="str">
        <f>IFERROR(__xludf.DUMMYFUNCTION("""COMPUTED_VALUE"""),"Commission")</f>
        <v>Commission</v>
      </c>
      <c r="I5" s="26" t="str">
        <f>IFERROR(__xludf.DUMMYFUNCTION("""COMPUTED_VALUE"""),"Trade Date")</f>
        <v>Trade Date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29" t="s">
        <v>18</v>
      </c>
      <c r="C6" s="29" t="s">
        <v>16</v>
      </c>
      <c r="D6" s="29" t="s">
        <v>20</v>
      </c>
      <c r="E6" s="30">
        <v>100.0</v>
      </c>
      <c r="F6" s="30">
        <v>100.0</v>
      </c>
      <c r="G6" s="30">
        <v>10.0</v>
      </c>
      <c r="H6" s="30">
        <v>0.0</v>
      </c>
      <c r="I6" s="32">
        <f>TODAY()</f>
        <v>43808</v>
      </c>
      <c r="J6" s="33"/>
      <c r="K6" s="33"/>
      <c r="L6" s="33"/>
      <c r="M6" s="33"/>
      <c r="N6" s="33"/>
      <c r="O6" s="33"/>
      <c r="P6" s="30"/>
      <c r="Q6" s="29"/>
      <c r="R6" s="33"/>
      <c r="S6" s="33"/>
      <c r="T6" s="33"/>
      <c r="U6" s="33"/>
      <c r="V6" s="32"/>
      <c r="W6" s="33"/>
      <c r="X6" s="33"/>
      <c r="Y6" s="33"/>
      <c r="Z6" s="33"/>
      <c r="AA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4" t="s">
        <v>22</v>
      </c>
      <c r="C6" s="35">
        <f>TODAY() - 1</f>
        <v>43807</v>
      </c>
      <c r="D6" s="35">
        <f>TODAY()</f>
        <v>43808</v>
      </c>
      <c r="E6" s="36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16</v>
      </c>
      <c r="C6" s="6"/>
      <c r="D6" s="9"/>
      <c r="E6" s="38"/>
      <c r="F6" s="6"/>
      <c r="G6" s="6"/>
      <c r="H6" s="6"/>
      <c r="I6" s="6"/>
      <c r="J6" s="6"/>
      <c r="K6" s="6"/>
      <c r="L6" s="6"/>
      <c r="M6" s="6"/>
      <c r="N6" s="6"/>
      <c r="O6" s="30">
        <v>0.0</v>
      </c>
      <c r="AW6" s="30">
        <v>100.0</v>
      </c>
      <c r="BL6" s="29" t="s">
        <v>24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33.71"/>
    <col customWidth="1" min="14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25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16</v>
      </c>
      <c r="C6" s="6"/>
      <c r="D6" s="9"/>
      <c r="E6" s="38"/>
      <c r="F6" s="6"/>
      <c r="G6" s="30">
        <v>100.0</v>
      </c>
      <c r="H6" s="6"/>
      <c r="I6" s="6"/>
      <c r="J6" s="6"/>
      <c r="K6" s="6"/>
      <c r="L6" s="6"/>
      <c r="M6" s="30"/>
      <c r="N6" s="6"/>
      <c r="O6" s="6"/>
      <c r="AB6" s="29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1" width="14.43"/>
    <col customWidth="1" min="72" max="72" width="31.0"/>
    <col customWidth="1" min="73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6</v>
      </c>
      <c r="C3" s="21" t="s">
        <v>26</v>
      </c>
      <c r="D3" s="8" t="s">
        <v>8</v>
      </c>
      <c r="E3" s="21" t="s">
        <v>27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4" t="s">
        <v>16</v>
      </c>
      <c r="C6" s="6"/>
      <c r="D6" s="9"/>
      <c r="E6" s="38"/>
      <c r="F6" s="6"/>
      <c r="G6" s="6"/>
      <c r="H6" s="6"/>
      <c r="I6" s="6"/>
      <c r="J6" s="6"/>
      <c r="K6" s="6"/>
      <c r="L6" s="6"/>
      <c r="M6" s="6"/>
      <c r="N6" s="6"/>
      <c r="O6" s="6"/>
      <c r="BJ6" s="39">
        <v>100.0</v>
      </c>
      <c r="BO6" s="33" t="s">
        <v>28</v>
      </c>
      <c r="BT6" s="29" t="s">
        <v>18</v>
      </c>
    </row>
    <row r="7" ht="15.75" customHeight="1">
      <c r="A7" s="6"/>
      <c r="B7" s="40" t="s">
        <v>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BJ7" s="39">
        <v>10000.0</v>
      </c>
      <c r="BO7" s="36" t="s">
        <v>29</v>
      </c>
      <c r="BT7" s="37" t="s">
        <v>24</v>
      </c>
    </row>
    <row r="8" ht="15.75" customHeight="1">
      <c r="A8" s="6"/>
      <c r="B8" s="40" t="s">
        <v>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BJ8" s="39">
        <v>100.0</v>
      </c>
      <c r="BO8" s="33" t="s">
        <v>20</v>
      </c>
      <c r="BT8" s="29" t="s">
        <v>18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6</v>
      </c>
      <c r="C3" s="21" t="s">
        <v>26</v>
      </c>
      <c r="D3" s="8" t="s">
        <v>8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22</v>
      </c>
      <c r="C6" s="41">
        <f>today()-1</f>
        <v>43807</v>
      </c>
      <c r="D6" s="42">
        <f>today()</f>
        <v>43808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