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GetMarkPriceData" sheetId="7" r:id="rId9"/>
    <sheet state="visible" name="GetForexConversion" sheetId="8" r:id="rId10"/>
    <sheet state="visible" name="GetActivityData" sheetId="9" r:id="rId11"/>
    <sheet state="visible" name="VerifyActivity" sheetId="10" r:id="rId12"/>
    <sheet state="visible" name="GetTradingTransaction" sheetId="11" r:id="rId13"/>
    <sheet state="visible" name="VerifyTradingTransaction" sheetId="12" r:id="rId14"/>
    <sheet state="visible" name="GetAccountBalance" sheetId="13" r:id="rId15"/>
    <sheet state="visible" name="GetRevaluationData" sheetId="14" r:id="rId16"/>
    <sheet state="visible" name="VerifyRevaluationData" sheetId="15" r:id="rId17"/>
    <sheet state="visible" name="GetDayEndCash" sheetId="16" r:id="rId18"/>
    <sheet state="visible" name="VerifyDayEndCash" sheetId="17" r:id="rId19"/>
    <sheet state="visible" name="UpdateMarkPriceMonthly" sheetId="18" r:id="rId20"/>
    <sheet state="visible" name="UpdateForexConversionMonthly" sheetId="19" r:id="rId21"/>
  </sheets>
  <definedNames/>
  <calcPr/>
</workbook>
</file>

<file path=xl/sharedStrings.xml><?xml version="1.0" encoding="utf-8"?>
<sst xmlns="http://schemas.openxmlformats.org/spreadsheetml/2006/main" count="556" uniqueCount="78">
  <si>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</si>
  <si>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</si>
  <si>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</si>
  <si>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</si>
  <si>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</si>
  <si>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</si>
  <si>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</si>
  <si>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</si>
  <si>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</si>
  <si>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</si>
  <si>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</si>
  <si>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</si>
  <si>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</si>
  <si>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</si>
  <si>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</si>
  <si>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</si>
  <si>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</si>
  <si>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</si>
  <si>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</t>
  </si>
  <si>
    <t>GetDataAllocation</t>
  </si>
  <si>
    <t>Historical</t>
  </si>
  <si>
    <t>CheckAllocatedGroups</t>
  </si>
  <si>
    <t>Allocation1</t>
  </si>
  <si>
    <t/>
  </si>
  <si>
    <t>Manual</t>
  </si>
  <si>
    <t>Equity</t>
  </si>
  <si>
    <t>FRU CN EQUITY</t>
  </si>
  <si>
    <t>MS</t>
  </si>
  <si>
    <t>Open</t>
  </si>
  <si>
    <t>CAD</t>
  </si>
  <si>
    <t>FRU-TC.C</t>
  </si>
  <si>
    <t>BrokerNotes</t>
  </si>
  <si>
    <t>TSX</t>
  </si>
  <si>
    <t>D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</si>
  <si>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</si>
  <si>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</si>
  <si>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</si>
  <si>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</si>
  <si>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</si>
  <si>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</si>
  <si>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</si>
  <si>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</si>
  <si>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NASDAQ</t>
  </si>
  <si>
    <t>DailyValuation</t>
  </si>
  <si>
    <t>GetMarkPriceData</t>
  </si>
  <si>
    <t>GetForexConversion</t>
  </si>
  <si>
    <t>GeneralLedger</t>
  </si>
  <si>
    <t>GetActivityData</t>
  </si>
  <si>
    <t>VerifyActivity</t>
  </si>
  <si>
    <t>Trading</t>
  </si>
  <si>
    <t>EquityL</t>
  </si>
  <si>
    <t>Cash</t>
  </si>
  <si>
    <t>GetTradingTransaction</t>
  </si>
  <si>
    <t>VerifyTradingTransaction</t>
  </si>
  <si>
    <t>DR</t>
  </si>
  <si>
    <t>USD</t>
  </si>
  <si>
    <t>Investment - Long Equity [Asset]</t>
  </si>
  <si>
    <t>CR</t>
  </si>
  <si>
    <t>Cash [Cash]</t>
  </si>
  <si>
    <t>GetAccountBalance</t>
  </si>
  <si>
    <t>GetRevaluationData</t>
  </si>
  <si>
    <t>VerifyRevaluationData</t>
  </si>
  <si>
    <t>M</t>
  </si>
  <si>
    <t>Revaluation</t>
  </si>
  <si>
    <t>Contra Cash PNL Entry</t>
  </si>
  <si>
    <t>Cash UnRealized Profit And Loss [Income]</t>
  </si>
  <si>
    <t>Cash PNL Entry</t>
  </si>
  <si>
    <t>Unrealized To Cash FXRate PNL Entry</t>
  </si>
  <si>
    <t>Contra FXRate PNL Entry</t>
  </si>
  <si>
    <t>Equity UnRealized Profit And Loss [Income]</t>
  </si>
  <si>
    <t>Contra UnRealized PNL Entry</t>
  </si>
  <si>
    <t>Equity Long Revaluation [Asset]</t>
  </si>
  <si>
    <t>UnRealized PNL Entry</t>
  </si>
  <si>
    <t>GetDayEndCash</t>
  </si>
  <si>
    <t>VerifyDayEndCash</t>
  </si>
  <si>
    <t>UpdateMarkPriceMonthly</t>
  </si>
  <si>
    <t>UpdateForexConversionMonthly</t>
  </si>
  <si>
    <t>CAD A0-FX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</si>
</sst>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000000"/>
      <name val="Arial"/>
    </font>
    <font>
      <sz val="9.0"/>
      <color rgb="FF868686"/>
      <name val="&quot;Segoe UI&quot;"/>
    </font>
    <font>
      <sz val="11.0"/>
      <color rgb="FF000000"/>
      <name val="Calibri"/>
    </font>
    <font>
      <sz val="9.0"/>
      <color rgb="FFC0392B"/>
      <name val="&quot;Segoe UI&quot;"/>
    </font>
    <font>
      <sz val="9.0"/>
      <color rgb="FFC0392B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4" fontId="13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4" numFmtId="0" xfId="0" applyAlignment="1" applyFill="1" applyFont="1">
      <alignment horizontal="right" readingOrder="0" shrinkToFit="0" wrapText="0"/>
    </xf>
    <xf borderId="0" fillId="6" fontId="15" numFmtId="0" xfId="0" applyAlignment="1" applyFont="1">
      <alignment horizontal="right" readingOrder="0" shrinkToFit="0" wrapText="0"/>
    </xf>
    <xf borderId="0" fillId="6" fontId="16" numFmtId="0" xfId="0" applyAlignment="1" applyFont="1">
      <alignment horizontal="right" readingOrder="0" shrinkToFit="0" wrapText="0"/>
    </xf>
    <xf borderId="0" fillId="7" fontId="17" numFmtId="0" xfId="0" applyAlignment="1" applyFill="1" applyFont="1">
      <alignment horizontal="right" readingOrder="0" shrinkToFit="0" wrapText="0"/>
    </xf>
    <xf borderId="0" fillId="7" fontId="14" numFmtId="0" xfId="0" applyAlignment="1" applyFont="1">
      <alignment horizontal="right" readingOrder="0" shrinkToFit="0" wrapText="0"/>
    </xf>
    <xf borderId="0" fillId="7" fontId="16" numFmtId="0" xfId="0" applyAlignment="1" applyFont="1">
      <alignment horizontal="right" readingOrder="0" shrinkToFit="0" wrapText="0"/>
    </xf>
    <xf borderId="0" fillId="0" fontId="18" numFmtId="0" xfId="0" applyAlignment="1" applyFont="1">
      <alignment shrinkToFit="0" vertical="bottom" wrapText="0"/>
    </xf>
    <xf borderId="0" fillId="6" fontId="14" numFmtId="165" xfId="0" applyAlignment="1" applyFont="1" applyNumberFormat="1">
      <alignment horizontal="right" readingOrder="0" shrinkToFit="0" wrapText="0"/>
    </xf>
    <xf borderId="0" fillId="6" fontId="14" numFmtId="166" xfId="0" applyAlignment="1" applyFont="1" applyNumberFormat="1">
      <alignment horizontal="right" readingOrder="0" shrinkToFit="0" wrapText="0"/>
    </xf>
    <xf borderId="0" fillId="0" fontId="18" numFmtId="0" xfId="0" applyAlignment="1" applyFont="1">
      <alignment shrinkToFit="0" vertical="bottom" wrapText="0"/>
    </xf>
    <xf borderId="0" fillId="7" fontId="14" numFmtId="166" xfId="0" applyAlignment="1" applyFont="1" applyNumberFormat="1">
      <alignment horizontal="right" readingOrder="0" shrinkToFit="0" wrapText="0"/>
    </xf>
    <xf borderId="0" fillId="6" fontId="19" numFmtId="0" xfId="0" applyAlignment="1" applyFont="1">
      <alignment horizontal="right" readingOrder="0" shrinkToFit="0" wrapText="0"/>
    </xf>
    <xf borderId="0" fillId="6" fontId="19" numFmtId="165" xfId="0" applyAlignment="1" applyFont="1" applyNumberFormat="1">
      <alignment horizontal="right" readingOrder="0" shrinkToFit="0" wrapText="0"/>
    </xf>
    <xf borderId="0" fillId="6" fontId="20" numFmtId="0" xfId="0" applyAlignment="1" applyFont="1">
      <alignment horizontal="right"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>
      <c r="A599" t="str">
        <f>IFERROR(__xludf.DUMMYFUNCTION("""COMPUTED_VALUE"""),"Compliance")</f>
        <v>Compliance</v>
      </c>
      <c r="B599" t="str">
        <f>IFERROR(__xludf.DUMMYFUNCTION("""COMPUTED_VALUE"""),"ApproveorRejectpendingapproval")</f>
        <v>ApproveorRejectpendingapproval</v>
      </c>
      <c r="C599" t="str">
        <f>IFERROR(__xludf.DUMMYFUNCTION("""COMPUTED_VALUE"""),"1y-sTWmoC_H1YDpnZGfQbhkY373SoIrYiLpMuGNBQ0Sg")</f>
        <v>1y-sTWmoC_H1YDpnZGfQbhkY373SoIrYiLpMuGNBQ0Sg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IFERROR(__xludf.DUMMYFUNCTION("""COMPUTED_VALUE"""),"VerifyAlertHistory")</f>
        <v>VerifyAlertHistory</v>
      </c>
      <c r="C600" t="str">
        <f>IFERROR(__xludf.DUMMYFUNCTION("""COMPUTED_VALUE"""),"11YtQ09JiPm_fxJbDxXEHFdwP8lXJA1EhSMiSMDI8-Mg")</f>
        <v>11YtQ09JiPm_fxJbDxXEHFdwP8lXJA1EhSMiSMDI8-Mg</v>
      </c>
    </row>
    <row r="601" ht="15.75" customHeight="1">
      <c r="A601" t="str">
        <f>IFERROR(__xludf.DUMMYFUNCTION("""COMPUTED_VALUE"""),"Blotter")</f>
        <v>Blotter</v>
      </c>
      <c r="B601" t="str">
        <f>IFERROR(__xludf.DUMMYFUNCTION("""COMPUTED_VALUE"""),"MergeOrder")</f>
        <v>MergeOrder</v>
      </c>
      <c r="C601" t="str">
        <f>IFERROR(__xludf.DUMMYFUNCTION("""COMPUTED_VALUE"""),"1R7f7syAvacBKywwhkXcXMcTmDvkomvyufkmtFJu4Zdw")</f>
        <v>1R7f7syAvacBKywwhkXcXMcTmDvkomvyufkmtFJu4Zdw</v>
      </c>
    </row>
    <row r="602" ht="15.75" customHeight="1">
      <c r="A602" t="str">
        <f>IFERROR(__xludf.DUMMYFUNCTION("""COMPUTED_VALUE"""),"Blotter")</f>
        <v>Blotter</v>
      </c>
      <c r="B602" t="str">
        <f>IFERROR(__xludf.DUMMYFUNCTION("""COMPUTED_VALUE"""),"VerifyMergeOrder")</f>
        <v>VerifyMergeOrder</v>
      </c>
      <c r="C602" t="str">
        <f>IFERROR(__xludf.DUMMYFUNCTION("""COMPUTED_VALUE"""),"1vAo56cQ5ngyfTbfrFWBvoHQRIF0cTJr0hScLG2DuLgI")</f>
        <v>1vAo56cQ5ngyfTbfrFWBvoHQRIF0cTJr0hScLG2DuLgI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IFERROR(__xludf.DUMMYFUNCTION("""COMPUTED_VALUE"""),"AddTabBlotter")</f>
        <v>AddTabBlotter</v>
      </c>
      <c r="C603" t="str">
        <f>IFERROR(__xludf.DUMMYFUNCTION("""COMPUTED_VALUE"""),"1lEizmaJ1dbPlCGjdjYS2EVdP54oAQCWFB_ER2lqO9kQ")</f>
        <v>1lEizmaJ1dbPlCGjdjYS2EVdP54oAQCWFB_ER2lqO9kQ</v>
      </c>
    </row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31">
        <v>44749.0</v>
      </c>
      <c r="O6" s="13">
        <v>1.2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31">
        <v>44749.0</v>
      </c>
      <c r="D6" s="33">
        <f>today()</f>
        <v>44782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35" t="s">
        <v>22</v>
      </c>
      <c r="C6" s="8" t="s">
        <v>23</v>
      </c>
      <c r="D6" s="35">
        <v>0.0</v>
      </c>
      <c r="E6" s="8">
        <v>100.0</v>
      </c>
      <c r="F6" s="8" t="s">
        <v>24</v>
      </c>
      <c r="G6" s="8" t="s">
        <v>25</v>
      </c>
      <c r="H6" s="8">
        <v>0.0</v>
      </c>
      <c r="I6" s="8">
        <v>0.0</v>
      </c>
      <c r="J6" s="8">
        <v>73.0</v>
      </c>
      <c r="K6" s="8">
        <v>8.33333333333333</v>
      </c>
      <c r="L6" s="8">
        <v>10.0</v>
      </c>
      <c r="M6" s="8" t="s">
        <v>26</v>
      </c>
      <c r="N6" s="8" t="s">
        <v>23</v>
      </c>
      <c r="O6" s="8" t="s">
        <v>27</v>
      </c>
      <c r="Q6">
        <v>3.0</v>
      </c>
      <c r="R6">
        <v>0.0</v>
      </c>
      <c r="S6" t="s">
        <v>28</v>
      </c>
      <c r="T6">
        <v>0.0</v>
      </c>
      <c r="U6">
        <v>0.0</v>
      </c>
      <c r="V6" t="s">
        <v>16</v>
      </c>
      <c r="W6">
        <v>1.0</v>
      </c>
      <c r="X6" t="s">
        <v>23</v>
      </c>
      <c r="Y6" t="s">
        <v>23</v>
      </c>
      <c r="Z6" t="s">
        <v>29</v>
      </c>
      <c r="AA6" t="s">
        <v>30</v>
      </c>
      <c r="AB6">
        <v>1.0</v>
      </c>
      <c r="AC6" t="s">
        <v>31</v>
      </c>
      <c r="AD6" t="s">
        <v>32</v>
      </c>
      <c r="AE6">
        <v>100.0</v>
      </c>
      <c r="AF6" t="s">
        <v>23</v>
      </c>
      <c r="AH6" t="s">
        <v>33</v>
      </c>
      <c r="AI6">
        <v>1.2</v>
      </c>
      <c r="AJ6" t="s">
        <v>34</v>
      </c>
      <c r="AM6" t="s">
        <v>35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833.333333333333</v>
      </c>
      <c r="AU6">
        <v>1000.0</v>
      </c>
      <c r="AW6">
        <v>0.0</v>
      </c>
      <c r="AX6">
        <v>0.0</v>
      </c>
      <c r="AY6" t="s">
        <v>36</v>
      </c>
      <c r="AZ6">
        <v>0.0</v>
      </c>
      <c r="BC6">
        <v>0.0</v>
      </c>
      <c r="BD6" t="s">
        <v>37</v>
      </c>
      <c r="BE6">
        <v>833.333333333333</v>
      </c>
      <c r="BF6">
        <v>1000.0</v>
      </c>
      <c r="BJ6">
        <v>100.0</v>
      </c>
      <c r="BK6">
        <v>0.0</v>
      </c>
      <c r="BL6" t="s">
        <v>23</v>
      </c>
      <c r="BM6" t="s">
        <v>29</v>
      </c>
      <c r="BO6" t="s">
        <v>17</v>
      </c>
      <c r="BP6">
        <v>0.0</v>
      </c>
      <c r="BQ6">
        <v>0.0</v>
      </c>
      <c r="BR6">
        <v>0.0</v>
      </c>
      <c r="BS6" t="s">
        <v>38</v>
      </c>
      <c r="BT6" t="s">
        <v>16</v>
      </c>
      <c r="BU6">
        <v>0.0</v>
      </c>
      <c r="BV6">
        <v>0.0</v>
      </c>
      <c r="BW6">
        <v>0.0</v>
      </c>
      <c r="BX6">
        <v>0.0</v>
      </c>
      <c r="CF6" t="s">
        <v>39</v>
      </c>
      <c r="CG6">
        <v>0.0</v>
      </c>
      <c r="CH6" t="s">
        <v>12</v>
      </c>
      <c r="CI6" t="s">
        <v>17</v>
      </c>
      <c r="CJ6">
        <v>0.0</v>
      </c>
      <c r="CK6" t="s">
        <v>40</v>
      </c>
      <c r="CL6">
        <v>1.0</v>
      </c>
      <c r="CM6" t="s">
        <v>16</v>
      </c>
      <c r="CN6" t="s">
        <v>41</v>
      </c>
      <c r="CO6" t="s">
        <v>42</v>
      </c>
      <c r="CS6" t="s">
        <v>23</v>
      </c>
      <c r="CU6" t="s">
        <v>23</v>
      </c>
      <c r="CV6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44749.0</v>
      </c>
      <c r="C6" s="31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44749.0</v>
      </c>
      <c r="C6" s="31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 t="str">
        <f>IFERROR(__xludf.DUMMYFUNCTION("""COMPUTED_VALUE"""),"SettlementDate")</f>
        <v>SettlementDate</v>
      </c>
      <c r="G5" s="28" t="str">
        <f>IFERROR(__xludf.DUMMYFUNCTION("""COMPUTED_VALUE"""),"TradeDate")</f>
        <v>TradeDate</v>
      </c>
      <c r="H5" s="28" t="str">
        <f>IFERROR(__xludf.DUMMYFUNCTION("""COMPUTED_VALUE"""),"All")</f>
        <v>All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31">
        <v>44749.0</v>
      </c>
      <c r="E6" s="31">
        <v>44754.0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IFERROR(__xludf.DUMMYFUNCTION("""COMPUTED_VALUE"""),"Activity Source")</f>
        <v>Activity Source</v>
      </c>
      <c r="D5" s="28" t="str">
        <f>IFERROR(__xludf.DUMMYFUNCTION("""COMPUTED_VALUE"""),"ActivityType")</f>
        <v>ActivityType</v>
      </c>
      <c r="E5" s="28" t="str">
        <f>IFERROR(__xludf.DUMMYFUNCTION("""COMPUTED_VALUE"""),"Net Amount(Local)")</f>
        <v>Net Amount(Local)</v>
      </c>
      <c r="F5" s="29" t="str">
        <f>IFERROR(__xludf.DUMMYFUNCTION("""COMPUTED_VALUE"""),"AUEC Fee1")</f>
        <v>AUEC Fee1</v>
      </c>
      <c r="G5" s="28" t="str">
        <f>IFERROR(__xludf.DUMMYFUNCTION("""COMPUTED_VALUE"""),"AUEC Fee2")</f>
        <v>AUEC Fee2</v>
      </c>
      <c r="H5" s="28" t="str">
        <f>IFERROR(__xludf.DUMMYFUNCTION("""COMPUTED_VALUE"""),"Balance Type")</f>
        <v>Balance Type</v>
      </c>
      <c r="I5" s="28" t="str">
        <f>IFERROR(__xludf.DUMMYFUNCTION("""COMPUTED_VALUE"""),"Clearing Broker Fees")</f>
        <v>Clearing Broker Fees</v>
      </c>
      <c r="J5" s="28" t="str">
        <f>IFERROR(__xludf.DUMMYFUNCTION("""COMPUTED_VALUE"""),"Commission")</f>
        <v>Commission</v>
      </c>
      <c r="K5" s="28" t="str">
        <f>IFERROR(__xludf.DUMMYFUNCTION("""COMPUTED_VALUE"""),"Currency")</f>
        <v>Currency</v>
      </c>
      <c r="L5" s="28" t="str">
        <f>IFERROR(__xludf.DUMMYFUNCTION("""COMPUTED_VALUE"""),"Description")</f>
        <v>Description</v>
      </c>
      <c r="M5" s="28" t="str">
        <f>IFERROR(__xludf.DUMMYFUNCTION("""COMPUTED_VALUE"""),"Entry Date")</f>
        <v>Entry Date</v>
      </c>
      <c r="N5" s="28" t="str">
        <f>IFERROR(__xludf.DUMMYFUNCTION("""COMPUTED_VALUE"""),"FX Conversion Method Operator")</f>
        <v>FX Conversion Method Operator</v>
      </c>
      <c r="O5" s="28" t="str">
        <f>IFERROR(__xludf.DUMMYFUNCTION("""COMPUTED_VALUE"""),"Fx Rate")</f>
        <v>Fx Rate</v>
      </c>
      <c r="P5" s="28" t="str">
        <f>IFERROR(__xludf.DUMMYFUNCTION("""COMPUTED_VALUE"""),"Lead Currency")</f>
        <v>Lead Currency</v>
      </c>
      <c r="Q5" s="28" t="str">
        <f>IFERROR(__xludf.DUMMYFUNCTION("""COMPUTED_VALUE"""),"Modify date")</f>
        <v>Modify date</v>
      </c>
      <c r="R5" s="28" t="str">
        <f>IFERROR(__xludf.DUMMYFUNCTION("""COMPUTED_VALUE"""),"OCC Fee")</f>
        <v>OCC Fee</v>
      </c>
      <c r="S5" s="28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22</v>
      </c>
      <c r="C6" s="36" t="s">
        <v>49</v>
      </c>
      <c r="D6" s="36" t="s">
        <v>50</v>
      </c>
      <c r="E6" s="36">
        <v>-1000.0</v>
      </c>
      <c r="F6" s="13">
        <v>0.0</v>
      </c>
      <c r="G6" s="13">
        <v>0.0</v>
      </c>
      <c r="H6" s="36" t="s">
        <v>51</v>
      </c>
      <c r="I6" s="13">
        <v>0.0</v>
      </c>
      <c r="J6" s="13">
        <v>0.0</v>
      </c>
      <c r="K6" s="13" t="s">
        <v>29</v>
      </c>
      <c r="L6" s="8"/>
      <c r="M6" s="8"/>
      <c r="N6" s="8"/>
      <c r="O6" s="8"/>
      <c r="R6" s="9">
        <v>0.0</v>
      </c>
      <c r="T6" s="9">
        <v>0.0</v>
      </c>
      <c r="U6" s="9">
        <v>0.0</v>
      </c>
      <c r="V6" s="9">
        <v>100.0</v>
      </c>
      <c r="W6" s="9">
        <v>0.0</v>
      </c>
      <c r="X6" s="9" t="s">
        <v>29</v>
      </c>
      <c r="Z6" s="9">
        <v>0.0</v>
      </c>
      <c r="AA6" s="9">
        <v>0.0</v>
      </c>
      <c r="AB6" s="9" t="s">
        <v>16</v>
      </c>
      <c r="AC6" s="9">
        <v>0.0</v>
      </c>
      <c r="AD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1IuJkgEDoDUSnmXhZVZdA_x-3VnlMPyzRsUMpf_eRTTQ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31">
        <v>44749.0</v>
      </c>
      <c r="E6" s="31">
        <v>44754.0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IFERROR(__xludf.DUMMYFUNCTION("""COMPUTED_VALUE"""),"Modify Date")</f>
        <v>Modify Date</v>
      </c>
      <c r="D5" s="28" t="str">
        <f>IFERROR(__xludf.DUMMYFUNCTION("""COMPUTED_VALUE"""),"Entry Date")</f>
        <v>Entry Date</v>
      </c>
      <c r="E5" s="28" t="str">
        <f>IFERROR(__xludf.DUMMYFUNCTION("""COMPUTED_VALUE"""),"DR")</f>
        <v>DR</v>
      </c>
      <c r="F5" s="29" t="str">
        <f>IFERROR(__xludf.DUMMYFUNCTION("""COMPUTED_VALUE"""),"CR")</f>
        <v>CR</v>
      </c>
      <c r="G5" s="28" t="str">
        <f>IFERROR(__xludf.DUMMYFUNCTION("""COMPUTED_VALUE"""),"Fx Rate")</f>
        <v>Fx Rate</v>
      </c>
      <c r="H5" s="28" t="str">
        <f>IFERROR(__xludf.DUMMYFUNCTION("""COMPUTED_VALUE"""),"FX Conversion Method Operator")</f>
        <v>FX Conversion Method Operator</v>
      </c>
      <c r="I5" s="28" t="str">
        <f>IFERROR(__xludf.DUMMYFUNCTION("""COMPUTED_VALUE"""),"Account Side")</f>
        <v>Account Side</v>
      </c>
      <c r="J5" s="28" t="str">
        <f>IFERROR(__xludf.DUMMYFUNCTION("""COMPUTED_VALUE"""),"TransactionSource")</f>
        <v>TransactionSource</v>
      </c>
      <c r="K5" s="28" t="str">
        <f>IFERROR(__xludf.DUMMYFUNCTION("""COMPUTED_VALUE"""),"Currency")</f>
        <v>Currency</v>
      </c>
      <c r="L5" s="28" t="str">
        <f>IFERROR(__xludf.DUMMYFUNCTION("""COMPUTED_VALUE"""),"Base Currency")</f>
        <v>Base Currency</v>
      </c>
      <c r="M5" s="28" t="str">
        <f>IFERROR(__xludf.DUMMYFUNCTION("""COMPUTED_VALUE"""),"Symbol")</f>
        <v>Symbol</v>
      </c>
      <c r="N5" s="28" t="str">
        <f>IFERROR(__xludf.DUMMYFUNCTION("""COMPUTED_VALUE"""),"Description")</f>
        <v>Description</v>
      </c>
      <c r="O5" s="28" t="str">
        <f>IFERROR(__xludf.DUMMYFUNCTION("""COMPUTED_VALUE"""),"DR (Base)")</f>
        <v>DR (Base)</v>
      </c>
      <c r="P5" s="28" t="str">
        <f>IFERROR(__xludf.DUMMYFUNCTION("""COMPUTED_VALUE"""),"CR (Base)")</f>
        <v>CR (Base)</v>
      </c>
      <c r="Q5" s="28" t="str">
        <f>IFERROR(__xludf.DUMMYFUNCTION("""COMPUTED_VALUE"""),"Cash Sub-Account")</f>
        <v>Cash Sub-Account</v>
      </c>
      <c r="R5" s="28" t="str">
        <f>IFERROR(__xludf.DUMMYFUNCTION("""COMPUTED_VALUE"""),"Account")</f>
        <v>Account</v>
      </c>
      <c r="S5" s="28" t="str">
        <f>IFERROR(__xludf.DUMMYFUNCTION("""COMPUTED_VALUE"""),"TaxLotId")</f>
        <v>TaxLotId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>
        <v>1000.0</v>
      </c>
      <c r="F6" s="37">
        <v>0.0</v>
      </c>
      <c r="G6" s="38">
        <v>1.2</v>
      </c>
      <c r="H6" s="36" t="s">
        <v>33</v>
      </c>
      <c r="I6" s="36" t="s">
        <v>54</v>
      </c>
      <c r="J6" s="36" t="s">
        <v>49</v>
      </c>
      <c r="K6" s="36" t="s">
        <v>29</v>
      </c>
      <c r="L6" s="13" t="s">
        <v>55</v>
      </c>
      <c r="M6" s="36" t="s">
        <v>16</v>
      </c>
      <c r="N6" s="36" t="s">
        <v>31</v>
      </c>
      <c r="O6" s="38">
        <v>833.33</v>
      </c>
      <c r="P6" s="36">
        <v>0.0</v>
      </c>
      <c r="Q6" s="36" t="s">
        <v>56</v>
      </c>
      <c r="R6" s="9" t="s">
        <v>22</v>
      </c>
    </row>
    <row r="7" ht="15.75" customHeight="1">
      <c r="A7" s="8"/>
      <c r="B7" s="8"/>
      <c r="C7" s="8"/>
      <c r="D7" s="8"/>
      <c r="E7" s="39">
        <v>0.0</v>
      </c>
      <c r="F7" s="40">
        <v>1000.0</v>
      </c>
      <c r="G7" s="41">
        <v>1.2</v>
      </c>
      <c r="H7" s="40" t="s">
        <v>33</v>
      </c>
      <c r="I7" s="40" t="s">
        <v>57</v>
      </c>
      <c r="J7" s="40" t="s">
        <v>49</v>
      </c>
      <c r="K7" s="36" t="s">
        <v>29</v>
      </c>
      <c r="L7" s="13" t="s">
        <v>55</v>
      </c>
      <c r="M7" s="36" t="s">
        <v>16</v>
      </c>
      <c r="N7" s="36" t="s">
        <v>31</v>
      </c>
      <c r="O7" s="40">
        <v>0.0</v>
      </c>
      <c r="P7" s="41">
        <v>833.33</v>
      </c>
      <c r="Q7" s="40" t="s">
        <v>58</v>
      </c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31">
        <v>44754.0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31">
        <v>44749.0</v>
      </c>
      <c r="E6" s="31">
        <v>44751.0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44751.0</v>
      </c>
      <c r="C6" s="36" t="s">
        <v>22</v>
      </c>
      <c r="D6" s="36" t="s">
        <v>29</v>
      </c>
      <c r="E6" s="36" t="s">
        <v>29</v>
      </c>
      <c r="F6" s="36" t="s">
        <v>58</v>
      </c>
      <c r="G6" s="36">
        <v>1000.0</v>
      </c>
      <c r="H6" s="37">
        <v>0.0</v>
      </c>
      <c r="I6" s="44"/>
      <c r="J6" s="44"/>
      <c r="K6" s="36"/>
      <c r="L6" s="36">
        <v>0.769230769</v>
      </c>
      <c r="M6" s="36" t="s">
        <v>62</v>
      </c>
      <c r="N6" s="36" t="s">
        <v>54</v>
      </c>
      <c r="O6" s="36" t="s">
        <v>63</v>
      </c>
      <c r="P6" s="36" t="s">
        <v>55</v>
      </c>
      <c r="Q6" s="36" t="s">
        <v>64</v>
      </c>
      <c r="R6" s="36">
        <v>769.2307692</v>
      </c>
      <c r="S6" s="36">
        <v>0.0</v>
      </c>
    </row>
    <row r="7" ht="15.75" customHeight="1">
      <c r="A7" s="45"/>
      <c r="B7" s="43">
        <v>44751.0</v>
      </c>
      <c r="C7" s="36" t="s">
        <v>22</v>
      </c>
      <c r="D7" s="36" t="s">
        <v>29</v>
      </c>
      <c r="E7" s="36" t="s">
        <v>29</v>
      </c>
      <c r="F7" s="40" t="s">
        <v>65</v>
      </c>
      <c r="G7" s="39">
        <v>0.0</v>
      </c>
      <c r="H7" s="40">
        <v>1000.0</v>
      </c>
      <c r="I7" s="46"/>
      <c r="J7" s="46"/>
      <c r="K7" s="40"/>
      <c r="L7" s="40">
        <v>0.769230769</v>
      </c>
      <c r="M7" s="40" t="s">
        <v>62</v>
      </c>
      <c r="N7" s="40" t="s">
        <v>57</v>
      </c>
      <c r="O7" s="40" t="s">
        <v>63</v>
      </c>
      <c r="P7" s="40" t="s">
        <v>55</v>
      </c>
      <c r="Q7" s="36" t="s">
        <v>64</v>
      </c>
      <c r="R7" s="40">
        <v>0.0</v>
      </c>
      <c r="S7" s="40">
        <v>769.2307692</v>
      </c>
    </row>
    <row r="8" ht="15.75" customHeight="1">
      <c r="A8" s="45"/>
      <c r="B8" s="43">
        <v>44751.0</v>
      </c>
      <c r="C8" s="36" t="s">
        <v>22</v>
      </c>
      <c r="D8" s="36" t="s">
        <v>29</v>
      </c>
      <c r="E8" s="36" t="s">
        <v>29</v>
      </c>
      <c r="F8" s="36" t="s">
        <v>65</v>
      </c>
      <c r="G8" s="36">
        <v>1000.0</v>
      </c>
      <c r="H8" s="37">
        <v>0.0</v>
      </c>
      <c r="I8" s="44"/>
      <c r="J8" s="44"/>
      <c r="K8" s="36"/>
      <c r="L8" s="36">
        <v>0.0</v>
      </c>
      <c r="M8" s="36" t="s">
        <v>62</v>
      </c>
      <c r="N8" s="36" t="s">
        <v>54</v>
      </c>
      <c r="O8" s="36" t="s">
        <v>63</v>
      </c>
      <c r="P8" s="36" t="s">
        <v>55</v>
      </c>
      <c r="Q8" s="36" t="s">
        <v>66</v>
      </c>
      <c r="R8" s="36">
        <v>0.0</v>
      </c>
      <c r="S8" s="36">
        <v>0.0</v>
      </c>
    </row>
    <row r="9" ht="15.75" customHeight="1">
      <c r="A9" s="45"/>
      <c r="B9" s="43">
        <v>44751.0</v>
      </c>
      <c r="C9" s="36" t="s">
        <v>22</v>
      </c>
      <c r="D9" s="36" t="s">
        <v>29</v>
      </c>
      <c r="E9" s="36" t="s">
        <v>29</v>
      </c>
      <c r="F9" s="40" t="s">
        <v>58</v>
      </c>
      <c r="G9" s="39">
        <v>0.0</v>
      </c>
      <c r="H9" s="40">
        <v>1000.0</v>
      </c>
      <c r="I9" s="46"/>
      <c r="J9" s="46"/>
      <c r="K9" s="40"/>
      <c r="L9" s="40">
        <v>0.0</v>
      </c>
      <c r="M9" s="40" t="s">
        <v>62</v>
      </c>
      <c r="N9" s="40" t="s">
        <v>57</v>
      </c>
      <c r="O9" s="40" t="s">
        <v>63</v>
      </c>
      <c r="P9" s="40" t="s">
        <v>55</v>
      </c>
      <c r="Q9" s="36" t="s">
        <v>66</v>
      </c>
      <c r="R9" s="40">
        <v>0.0</v>
      </c>
      <c r="S9" s="40">
        <v>0.0</v>
      </c>
    </row>
    <row r="10" ht="15.75" customHeight="1">
      <c r="A10" s="45"/>
      <c r="B10" s="43">
        <v>44750.0</v>
      </c>
      <c r="C10" s="36" t="s">
        <v>22</v>
      </c>
      <c r="D10" s="36" t="s">
        <v>29</v>
      </c>
      <c r="E10" s="36" t="s">
        <v>29</v>
      </c>
      <c r="F10" s="36" t="s">
        <v>58</v>
      </c>
      <c r="G10" s="36">
        <v>1000.0</v>
      </c>
      <c r="H10" s="37">
        <v>0.0</v>
      </c>
      <c r="I10" s="44"/>
      <c r="J10" s="44"/>
      <c r="K10" s="36"/>
      <c r="L10" s="36">
        <v>0.714285714</v>
      </c>
      <c r="M10" s="36" t="s">
        <v>62</v>
      </c>
      <c r="N10" s="36" t="s">
        <v>54</v>
      </c>
      <c r="O10" s="36" t="s">
        <v>63</v>
      </c>
      <c r="P10" s="36" t="s">
        <v>55</v>
      </c>
      <c r="Q10" s="36" t="s">
        <v>64</v>
      </c>
      <c r="R10" s="36">
        <v>714.2857143</v>
      </c>
      <c r="S10" s="36">
        <v>0.0</v>
      </c>
    </row>
    <row r="11" ht="15.75" customHeight="1">
      <c r="A11" s="45"/>
      <c r="B11" s="43">
        <v>44750.0</v>
      </c>
      <c r="C11" s="36" t="s">
        <v>22</v>
      </c>
      <c r="D11" s="36" t="s">
        <v>29</v>
      </c>
      <c r="E11" s="36" t="s">
        <v>29</v>
      </c>
      <c r="F11" s="40" t="s">
        <v>65</v>
      </c>
      <c r="G11" s="39">
        <v>0.0</v>
      </c>
      <c r="H11" s="40">
        <v>1000.0</v>
      </c>
      <c r="I11" s="46"/>
      <c r="J11" s="46"/>
      <c r="K11" s="40"/>
      <c r="L11" s="40">
        <v>0.714285714</v>
      </c>
      <c r="M11" s="40" t="s">
        <v>62</v>
      </c>
      <c r="N11" s="40" t="s">
        <v>57</v>
      </c>
      <c r="O11" s="40" t="s">
        <v>63</v>
      </c>
      <c r="P11" s="40" t="s">
        <v>55</v>
      </c>
      <c r="Q11" s="36" t="s">
        <v>64</v>
      </c>
      <c r="R11" s="40">
        <v>0.0</v>
      </c>
      <c r="S11" s="40">
        <v>714.2857143</v>
      </c>
    </row>
    <row r="12" ht="15.75" customHeight="1">
      <c r="A12" s="45"/>
      <c r="B12" s="43">
        <v>44750.0</v>
      </c>
      <c r="C12" s="36" t="s">
        <v>22</v>
      </c>
      <c r="D12" s="36" t="s">
        <v>29</v>
      </c>
      <c r="E12" s="36" t="s">
        <v>29</v>
      </c>
      <c r="F12" s="36" t="s">
        <v>65</v>
      </c>
      <c r="G12" s="36">
        <v>1000.0</v>
      </c>
      <c r="H12" s="37">
        <v>0.0</v>
      </c>
      <c r="I12" s="44"/>
      <c r="J12" s="44"/>
      <c r="K12" s="36"/>
      <c r="L12" s="36">
        <v>0.769230769</v>
      </c>
      <c r="M12" s="36" t="s">
        <v>62</v>
      </c>
      <c r="N12" s="36" t="s">
        <v>54</v>
      </c>
      <c r="O12" s="36" t="s">
        <v>63</v>
      </c>
      <c r="P12" s="36" t="s">
        <v>55</v>
      </c>
      <c r="Q12" s="36" t="s">
        <v>66</v>
      </c>
      <c r="R12" s="36">
        <v>769.2307692</v>
      </c>
      <c r="S12" s="36">
        <v>0.0</v>
      </c>
    </row>
    <row r="13" ht="15.75" customHeight="1">
      <c r="A13" s="45"/>
      <c r="B13" s="43">
        <v>44750.0</v>
      </c>
      <c r="C13" s="36" t="s">
        <v>22</v>
      </c>
      <c r="D13" s="36" t="s">
        <v>29</v>
      </c>
      <c r="E13" s="36" t="s">
        <v>29</v>
      </c>
      <c r="F13" s="40" t="s">
        <v>58</v>
      </c>
      <c r="G13" s="39">
        <v>0.0</v>
      </c>
      <c r="H13" s="40">
        <v>1000.0</v>
      </c>
      <c r="I13" s="46"/>
      <c r="J13" s="46"/>
      <c r="K13" s="40"/>
      <c r="L13" s="40">
        <v>0.769230769</v>
      </c>
      <c r="M13" s="40" t="s">
        <v>62</v>
      </c>
      <c r="N13" s="40" t="s">
        <v>57</v>
      </c>
      <c r="O13" s="40" t="s">
        <v>63</v>
      </c>
      <c r="P13" s="40" t="s">
        <v>55</v>
      </c>
      <c r="Q13" s="36" t="s">
        <v>66</v>
      </c>
      <c r="R13" s="40">
        <v>0.0</v>
      </c>
      <c r="S13" s="40">
        <v>769.2307692</v>
      </c>
    </row>
    <row r="14" ht="15.75" customHeight="1">
      <c r="A14" s="45"/>
      <c r="B14" s="44"/>
      <c r="C14" s="36" t="s">
        <v>22</v>
      </c>
      <c r="D14" s="36" t="s">
        <v>16</v>
      </c>
      <c r="E14" s="36" t="s">
        <v>29</v>
      </c>
      <c r="F14" s="36" t="s">
        <v>65</v>
      </c>
      <c r="G14" s="36">
        <v>1000.0</v>
      </c>
      <c r="H14" s="37">
        <v>0.0</v>
      </c>
      <c r="I14" s="44"/>
      <c r="J14" s="44"/>
      <c r="K14" s="36"/>
      <c r="L14" s="36">
        <v>0.714285714</v>
      </c>
      <c r="M14" s="36" t="s">
        <v>62</v>
      </c>
      <c r="N14" s="36" t="s">
        <v>54</v>
      </c>
      <c r="O14" s="36" t="s">
        <v>63</v>
      </c>
      <c r="P14" s="36" t="s">
        <v>55</v>
      </c>
      <c r="Q14" s="36" t="s">
        <v>67</v>
      </c>
      <c r="R14" s="36">
        <v>714.2857143</v>
      </c>
      <c r="S14" s="36">
        <v>0.0</v>
      </c>
    </row>
    <row r="15" ht="15.75" customHeight="1">
      <c r="A15" s="45"/>
      <c r="B15" s="44"/>
      <c r="C15" s="36" t="s">
        <v>22</v>
      </c>
      <c r="D15" s="36" t="s">
        <v>16</v>
      </c>
      <c r="E15" s="36" t="s">
        <v>29</v>
      </c>
      <c r="F15" s="40" t="s">
        <v>58</v>
      </c>
      <c r="G15" s="39">
        <v>0.0</v>
      </c>
      <c r="H15" s="40">
        <v>1000.0</v>
      </c>
      <c r="I15" s="46"/>
      <c r="J15" s="46"/>
      <c r="K15" s="40"/>
      <c r="L15" s="40">
        <v>0.714285714</v>
      </c>
      <c r="M15" s="40" t="s">
        <v>62</v>
      </c>
      <c r="N15" s="40" t="s">
        <v>57</v>
      </c>
      <c r="O15" s="40" t="s">
        <v>63</v>
      </c>
      <c r="P15" s="40" t="s">
        <v>55</v>
      </c>
      <c r="Q15" s="36" t="s">
        <v>67</v>
      </c>
      <c r="R15" s="40">
        <v>0.0</v>
      </c>
      <c r="S15" s="40">
        <v>714.2857143</v>
      </c>
    </row>
    <row r="16" ht="15.75" customHeight="1">
      <c r="A16" s="45"/>
      <c r="B16" s="44"/>
      <c r="C16" s="36" t="s">
        <v>22</v>
      </c>
      <c r="D16" s="36" t="s">
        <v>16</v>
      </c>
      <c r="E16" s="36" t="s">
        <v>29</v>
      </c>
      <c r="F16" s="36" t="s">
        <v>58</v>
      </c>
      <c r="G16" s="36">
        <v>1000.0</v>
      </c>
      <c r="H16" s="37">
        <v>0.0</v>
      </c>
      <c r="I16" s="44"/>
      <c r="J16" s="44"/>
      <c r="K16" s="36"/>
      <c r="L16" s="36">
        <v>1.2</v>
      </c>
      <c r="M16" s="36" t="s">
        <v>33</v>
      </c>
      <c r="N16" s="36" t="s">
        <v>54</v>
      </c>
      <c r="O16" s="36" t="s">
        <v>63</v>
      </c>
      <c r="P16" s="36" t="s">
        <v>55</v>
      </c>
      <c r="Q16" s="36" t="s">
        <v>68</v>
      </c>
      <c r="R16" s="36">
        <v>833.3333333</v>
      </c>
      <c r="S16" s="36">
        <v>0.0</v>
      </c>
    </row>
    <row r="17" ht="15.75" customHeight="1">
      <c r="A17" s="45"/>
      <c r="B17" s="44"/>
      <c r="C17" s="36" t="s">
        <v>22</v>
      </c>
      <c r="D17" s="36" t="s">
        <v>16</v>
      </c>
      <c r="E17" s="36" t="s">
        <v>29</v>
      </c>
      <c r="F17" s="40" t="s">
        <v>65</v>
      </c>
      <c r="G17" s="39">
        <v>0.0</v>
      </c>
      <c r="H17" s="40">
        <v>1000.0</v>
      </c>
      <c r="I17" s="46"/>
      <c r="J17" s="46"/>
      <c r="K17" s="40"/>
      <c r="L17" s="40">
        <v>1.2</v>
      </c>
      <c r="M17" s="40" t="s">
        <v>33</v>
      </c>
      <c r="N17" s="40" t="s">
        <v>57</v>
      </c>
      <c r="O17" s="40" t="s">
        <v>63</v>
      </c>
      <c r="P17" s="40" t="s">
        <v>55</v>
      </c>
      <c r="Q17" s="36" t="s">
        <v>68</v>
      </c>
      <c r="R17" s="40">
        <v>0.0</v>
      </c>
      <c r="S17" s="40">
        <v>833.3333333</v>
      </c>
    </row>
    <row r="18" ht="15.75" customHeight="1">
      <c r="A18" s="45"/>
      <c r="B18" s="43">
        <v>44751.0</v>
      </c>
      <c r="C18" s="36" t="s">
        <v>22</v>
      </c>
      <c r="D18" s="36" t="s">
        <v>16</v>
      </c>
      <c r="E18" s="36" t="s">
        <v>29</v>
      </c>
      <c r="F18" s="36" t="s">
        <v>69</v>
      </c>
      <c r="G18" s="36">
        <v>200.0</v>
      </c>
      <c r="H18" s="37">
        <v>0.0</v>
      </c>
      <c r="I18" s="44"/>
      <c r="J18" s="44"/>
      <c r="K18" s="36"/>
      <c r="L18" s="36">
        <v>0.769230769</v>
      </c>
      <c r="M18" s="36" t="s">
        <v>62</v>
      </c>
      <c r="N18" s="36" t="s">
        <v>54</v>
      </c>
      <c r="O18" s="36" t="s">
        <v>63</v>
      </c>
      <c r="P18" s="36" t="s">
        <v>55</v>
      </c>
      <c r="Q18" s="36" t="s">
        <v>70</v>
      </c>
      <c r="R18" s="36">
        <v>153.8461538</v>
      </c>
      <c r="S18" s="36">
        <v>0.0</v>
      </c>
    </row>
    <row r="19" ht="15.75" customHeight="1">
      <c r="A19" s="45"/>
      <c r="B19" s="43">
        <v>44751.0</v>
      </c>
      <c r="C19" s="36" t="s">
        <v>22</v>
      </c>
      <c r="D19" s="36" t="s">
        <v>16</v>
      </c>
      <c r="E19" s="36" t="s">
        <v>29</v>
      </c>
      <c r="F19" s="40" t="s">
        <v>71</v>
      </c>
      <c r="G19" s="39">
        <v>0.0</v>
      </c>
      <c r="H19" s="40">
        <v>200.0</v>
      </c>
      <c r="I19" s="46"/>
      <c r="J19" s="46"/>
      <c r="K19" s="40"/>
      <c r="L19" s="40">
        <v>0.769230769</v>
      </c>
      <c r="M19" s="40" t="s">
        <v>62</v>
      </c>
      <c r="N19" s="40" t="s">
        <v>57</v>
      </c>
      <c r="O19" s="40" t="s">
        <v>63</v>
      </c>
      <c r="P19" s="40" t="s">
        <v>55</v>
      </c>
      <c r="Q19" s="36" t="s">
        <v>70</v>
      </c>
      <c r="R19" s="40">
        <v>0.0</v>
      </c>
      <c r="S19" s="40">
        <v>153.8461538</v>
      </c>
    </row>
    <row r="20" ht="15.75" customHeight="1">
      <c r="A20" s="45"/>
      <c r="B20" s="43">
        <v>44751.0</v>
      </c>
      <c r="C20" s="36" t="s">
        <v>22</v>
      </c>
      <c r="D20" s="36" t="s">
        <v>29</v>
      </c>
      <c r="E20" s="36" t="s">
        <v>55</v>
      </c>
      <c r="F20" s="36" t="s">
        <v>71</v>
      </c>
      <c r="G20" s="36">
        <v>64.1</v>
      </c>
      <c r="H20" s="37">
        <v>0.0</v>
      </c>
      <c r="I20" s="44"/>
      <c r="J20" s="44"/>
      <c r="K20" s="36"/>
      <c r="L20" s="36">
        <v>1.0</v>
      </c>
      <c r="M20" s="36" t="s">
        <v>62</v>
      </c>
      <c r="N20" s="36" t="s">
        <v>54</v>
      </c>
      <c r="O20" s="36" t="s">
        <v>63</v>
      </c>
      <c r="P20" s="36" t="s">
        <v>55</v>
      </c>
      <c r="Q20" s="36" t="s">
        <v>70</v>
      </c>
      <c r="R20" s="36">
        <v>64.1</v>
      </c>
      <c r="S20" s="36">
        <v>0.0</v>
      </c>
    </row>
    <row r="21" ht="15.75" customHeight="1">
      <c r="A21" s="45"/>
      <c r="B21" s="43">
        <v>44751.0</v>
      </c>
      <c r="C21" s="36" t="s">
        <v>22</v>
      </c>
      <c r="D21" s="36" t="s">
        <v>29</v>
      </c>
      <c r="E21" s="36" t="s">
        <v>55</v>
      </c>
      <c r="F21" s="40" t="s">
        <v>69</v>
      </c>
      <c r="G21" s="39">
        <v>0.0</v>
      </c>
      <c r="H21" s="40">
        <v>64.1</v>
      </c>
      <c r="I21" s="46"/>
      <c r="J21" s="46"/>
      <c r="K21" s="40"/>
      <c r="L21" s="40">
        <v>1.0</v>
      </c>
      <c r="M21" s="40" t="s">
        <v>62</v>
      </c>
      <c r="N21" s="40" t="s">
        <v>57</v>
      </c>
      <c r="O21" s="40" t="s">
        <v>63</v>
      </c>
      <c r="P21" s="40" t="s">
        <v>55</v>
      </c>
      <c r="Q21" s="36" t="s">
        <v>70</v>
      </c>
      <c r="R21" s="40">
        <v>0.0</v>
      </c>
      <c r="S21" s="40">
        <v>64.1</v>
      </c>
    </row>
    <row r="22" ht="15.75" customHeight="1">
      <c r="A22" s="45"/>
      <c r="B22" s="43">
        <v>44751.0</v>
      </c>
      <c r="C22" s="36" t="s">
        <v>22</v>
      </c>
      <c r="D22" s="36" t="s">
        <v>16</v>
      </c>
      <c r="E22" s="36" t="s">
        <v>29</v>
      </c>
      <c r="F22" s="36" t="s">
        <v>69</v>
      </c>
      <c r="G22" s="36">
        <v>1000.0</v>
      </c>
      <c r="H22" s="37">
        <v>0.0</v>
      </c>
      <c r="I22" s="44"/>
      <c r="J22" s="44"/>
      <c r="K22" s="36"/>
      <c r="L22" s="36">
        <v>0.0</v>
      </c>
      <c r="M22" s="36" t="s">
        <v>62</v>
      </c>
      <c r="N22" s="36" t="s">
        <v>54</v>
      </c>
      <c r="O22" s="36" t="s">
        <v>63</v>
      </c>
      <c r="P22" s="36" t="s">
        <v>55</v>
      </c>
      <c r="Q22" s="36" t="s">
        <v>72</v>
      </c>
      <c r="R22" s="36">
        <v>0.0</v>
      </c>
      <c r="S22" s="36">
        <v>0.0</v>
      </c>
    </row>
    <row r="23" ht="15.75" customHeight="1">
      <c r="A23" s="45"/>
      <c r="B23" s="43">
        <v>44751.0</v>
      </c>
      <c r="C23" s="36" t="s">
        <v>22</v>
      </c>
      <c r="D23" s="36" t="s">
        <v>16</v>
      </c>
      <c r="E23" s="36" t="s">
        <v>29</v>
      </c>
      <c r="F23" s="40" t="s">
        <v>71</v>
      </c>
      <c r="G23" s="39">
        <v>0.0</v>
      </c>
      <c r="H23" s="40">
        <v>1000.0</v>
      </c>
      <c r="I23" s="46"/>
      <c r="J23" s="46"/>
      <c r="K23" s="40"/>
      <c r="L23" s="40">
        <v>0.0</v>
      </c>
      <c r="M23" s="40" t="s">
        <v>62</v>
      </c>
      <c r="N23" s="40" t="s">
        <v>57</v>
      </c>
      <c r="O23" s="40" t="s">
        <v>63</v>
      </c>
      <c r="P23" s="40" t="s">
        <v>55</v>
      </c>
      <c r="Q23" s="36" t="s">
        <v>72</v>
      </c>
      <c r="R23" s="40">
        <v>0.0</v>
      </c>
      <c r="S23" s="40">
        <v>0.0</v>
      </c>
    </row>
    <row r="24" ht="15.75" customHeight="1">
      <c r="A24" s="45"/>
      <c r="B24" s="43">
        <v>44751.0</v>
      </c>
      <c r="C24" s="36" t="s">
        <v>22</v>
      </c>
      <c r="D24" s="36" t="s">
        <v>29</v>
      </c>
      <c r="E24" s="36" t="s">
        <v>55</v>
      </c>
      <c r="F24" s="36" t="s">
        <v>69</v>
      </c>
      <c r="G24" s="36">
        <v>833.33</v>
      </c>
      <c r="H24" s="37">
        <v>0.0</v>
      </c>
      <c r="I24" s="44"/>
      <c r="J24" s="44"/>
      <c r="K24" s="36"/>
      <c r="L24" s="36">
        <v>1.0</v>
      </c>
      <c r="M24" s="36" t="s">
        <v>62</v>
      </c>
      <c r="N24" s="36" t="s">
        <v>54</v>
      </c>
      <c r="O24" s="36" t="s">
        <v>63</v>
      </c>
      <c r="P24" s="36" t="s">
        <v>55</v>
      </c>
      <c r="Q24" s="36" t="s">
        <v>72</v>
      </c>
      <c r="R24" s="36">
        <v>833.33</v>
      </c>
      <c r="S24" s="36">
        <v>0.0</v>
      </c>
    </row>
    <row r="25" ht="15.75" customHeight="1">
      <c r="A25" s="45"/>
      <c r="B25" s="43">
        <v>44751.0</v>
      </c>
      <c r="C25" s="36" t="s">
        <v>22</v>
      </c>
      <c r="D25" s="36" t="s">
        <v>29</v>
      </c>
      <c r="E25" s="36" t="s">
        <v>55</v>
      </c>
      <c r="F25" s="40" t="s">
        <v>71</v>
      </c>
      <c r="G25" s="39">
        <v>0.0</v>
      </c>
      <c r="H25" s="40">
        <v>833.33</v>
      </c>
      <c r="I25" s="46"/>
      <c r="J25" s="46"/>
      <c r="K25" s="40"/>
      <c r="L25" s="40">
        <v>1.0</v>
      </c>
      <c r="M25" s="40" t="s">
        <v>62</v>
      </c>
      <c r="N25" s="40" t="s">
        <v>57</v>
      </c>
      <c r="O25" s="40" t="s">
        <v>63</v>
      </c>
      <c r="P25" s="40" t="s">
        <v>55</v>
      </c>
      <c r="Q25" s="36" t="s">
        <v>72</v>
      </c>
      <c r="R25" s="40">
        <v>0.0</v>
      </c>
      <c r="S25" s="40">
        <v>833.33</v>
      </c>
    </row>
    <row r="26" ht="15.75" customHeight="1">
      <c r="A26" s="45"/>
      <c r="B26" s="43">
        <v>44750.0</v>
      </c>
      <c r="C26" s="36" t="s">
        <v>22</v>
      </c>
      <c r="D26" s="36" t="s">
        <v>16</v>
      </c>
      <c r="E26" s="36" t="s">
        <v>29</v>
      </c>
      <c r="F26" s="36" t="s">
        <v>69</v>
      </c>
      <c r="G26" s="36">
        <v>100.0</v>
      </c>
      <c r="H26" s="37">
        <v>0.0</v>
      </c>
      <c r="I26" s="44"/>
      <c r="J26" s="44"/>
      <c r="K26" s="36"/>
      <c r="L26" s="36">
        <v>0.714285714</v>
      </c>
      <c r="M26" s="36" t="s">
        <v>62</v>
      </c>
      <c r="N26" s="36" t="s">
        <v>54</v>
      </c>
      <c r="O26" s="36" t="s">
        <v>63</v>
      </c>
      <c r="P26" s="36" t="s">
        <v>55</v>
      </c>
      <c r="Q26" s="36" t="s">
        <v>70</v>
      </c>
      <c r="R26" s="36">
        <v>71.42857143</v>
      </c>
      <c r="S26" s="36">
        <v>0.0</v>
      </c>
    </row>
    <row r="27" ht="15.75" customHeight="1">
      <c r="A27" s="45"/>
      <c r="B27" s="43">
        <v>44750.0</v>
      </c>
      <c r="C27" s="36" t="s">
        <v>22</v>
      </c>
      <c r="D27" s="36" t="s">
        <v>16</v>
      </c>
      <c r="E27" s="36" t="s">
        <v>29</v>
      </c>
      <c r="F27" s="40" t="s">
        <v>71</v>
      </c>
      <c r="G27" s="39">
        <v>0.0</v>
      </c>
      <c r="H27" s="40">
        <v>100.0</v>
      </c>
      <c r="I27" s="46"/>
      <c r="J27" s="46"/>
      <c r="K27" s="40"/>
      <c r="L27" s="40">
        <v>0.714285714</v>
      </c>
      <c r="M27" s="40" t="s">
        <v>62</v>
      </c>
      <c r="N27" s="40" t="s">
        <v>57</v>
      </c>
      <c r="O27" s="40" t="s">
        <v>63</v>
      </c>
      <c r="P27" s="40" t="s">
        <v>55</v>
      </c>
      <c r="Q27" s="36" t="s">
        <v>70</v>
      </c>
      <c r="R27" s="40">
        <v>0.0</v>
      </c>
      <c r="S27" s="40">
        <v>71.42857143</v>
      </c>
    </row>
    <row r="28" ht="15.75" customHeight="1">
      <c r="A28" s="45"/>
      <c r="B28" s="43">
        <v>44750.0</v>
      </c>
      <c r="C28" s="36" t="s">
        <v>22</v>
      </c>
      <c r="D28" s="36" t="s">
        <v>29</v>
      </c>
      <c r="E28" s="36" t="s">
        <v>55</v>
      </c>
      <c r="F28" s="36" t="s">
        <v>71</v>
      </c>
      <c r="G28" s="36">
        <v>119.04</v>
      </c>
      <c r="H28" s="37">
        <v>0.0</v>
      </c>
      <c r="I28" s="44"/>
      <c r="J28" s="44"/>
      <c r="K28" s="36"/>
      <c r="L28" s="36">
        <v>1.0</v>
      </c>
      <c r="M28" s="36" t="s">
        <v>62</v>
      </c>
      <c r="N28" s="36" t="s">
        <v>54</v>
      </c>
      <c r="O28" s="36" t="s">
        <v>63</v>
      </c>
      <c r="P28" s="36" t="s">
        <v>55</v>
      </c>
      <c r="Q28" s="36" t="s">
        <v>70</v>
      </c>
      <c r="R28" s="36">
        <v>119.04</v>
      </c>
      <c r="S28" s="36">
        <v>0.0</v>
      </c>
    </row>
    <row r="29" ht="15.75" customHeight="1">
      <c r="A29" s="45"/>
      <c r="B29" s="43">
        <v>44750.0</v>
      </c>
      <c r="C29" s="36" t="s">
        <v>22</v>
      </c>
      <c r="D29" s="36" t="s">
        <v>29</v>
      </c>
      <c r="E29" s="36" t="s">
        <v>55</v>
      </c>
      <c r="F29" s="40" t="s">
        <v>69</v>
      </c>
      <c r="G29" s="39">
        <v>0.0</v>
      </c>
      <c r="H29" s="40">
        <v>119.04</v>
      </c>
      <c r="I29" s="46"/>
      <c r="J29" s="46"/>
      <c r="K29" s="40"/>
      <c r="L29" s="40">
        <v>1.0</v>
      </c>
      <c r="M29" s="40" t="s">
        <v>62</v>
      </c>
      <c r="N29" s="40" t="s">
        <v>57</v>
      </c>
      <c r="O29" s="40" t="s">
        <v>63</v>
      </c>
      <c r="P29" s="40" t="s">
        <v>55</v>
      </c>
      <c r="Q29" s="36" t="s">
        <v>70</v>
      </c>
      <c r="R29" s="40">
        <v>0.0</v>
      </c>
      <c r="S29" s="40">
        <v>119.04</v>
      </c>
    </row>
    <row r="30" ht="15.75" customHeight="1">
      <c r="A30" s="45"/>
      <c r="B30" s="43">
        <v>44750.0</v>
      </c>
      <c r="C30" s="36" t="s">
        <v>22</v>
      </c>
      <c r="D30" s="36" t="s">
        <v>16</v>
      </c>
      <c r="E30" s="36" t="s">
        <v>29</v>
      </c>
      <c r="F30" s="36" t="s">
        <v>71</v>
      </c>
      <c r="G30" s="36">
        <v>200.0</v>
      </c>
      <c r="H30" s="37">
        <v>0.0</v>
      </c>
      <c r="I30" s="44"/>
      <c r="J30" s="44"/>
      <c r="K30" s="36"/>
      <c r="L30" s="36">
        <v>0.769230769</v>
      </c>
      <c r="M30" s="36" t="s">
        <v>62</v>
      </c>
      <c r="N30" s="36" t="s">
        <v>54</v>
      </c>
      <c r="O30" s="36" t="s">
        <v>63</v>
      </c>
      <c r="P30" s="36" t="s">
        <v>55</v>
      </c>
      <c r="Q30" s="36" t="s">
        <v>72</v>
      </c>
      <c r="R30" s="36">
        <v>153.8461538</v>
      </c>
      <c r="S30" s="36">
        <v>0.0</v>
      </c>
    </row>
    <row r="31" ht="15.75" customHeight="1">
      <c r="A31" s="45"/>
      <c r="B31" s="43">
        <v>44750.0</v>
      </c>
      <c r="C31" s="36" t="s">
        <v>22</v>
      </c>
      <c r="D31" s="36" t="s">
        <v>16</v>
      </c>
      <c r="E31" s="36" t="s">
        <v>29</v>
      </c>
      <c r="F31" s="40" t="s">
        <v>69</v>
      </c>
      <c r="G31" s="39">
        <v>0.0</v>
      </c>
      <c r="H31" s="40">
        <v>200.0</v>
      </c>
      <c r="I31" s="46"/>
      <c r="J31" s="46"/>
      <c r="K31" s="40"/>
      <c r="L31" s="40">
        <v>0.769230769</v>
      </c>
      <c r="M31" s="40" t="s">
        <v>62</v>
      </c>
      <c r="N31" s="40" t="s">
        <v>57</v>
      </c>
      <c r="O31" s="40" t="s">
        <v>63</v>
      </c>
      <c r="P31" s="40" t="s">
        <v>55</v>
      </c>
      <c r="Q31" s="36" t="s">
        <v>72</v>
      </c>
      <c r="R31" s="40">
        <v>0.0</v>
      </c>
      <c r="S31" s="40">
        <v>153.8461538</v>
      </c>
    </row>
    <row r="32" ht="15.75" customHeight="1">
      <c r="A32" s="45"/>
      <c r="B32" s="43">
        <v>44750.0</v>
      </c>
      <c r="C32" s="36" t="s">
        <v>22</v>
      </c>
      <c r="D32" s="36" t="s">
        <v>29</v>
      </c>
      <c r="E32" s="36" t="s">
        <v>55</v>
      </c>
      <c r="F32" s="36" t="s">
        <v>69</v>
      </c>
      <c r="G32" s="36">
        <v>64.1</v>
      </c>
      <c r="H32" s="37">
        <v>0.0</v>
      </c>
      <c r="I32" s="44"/>
      <c r="J32" s="44"/>
      <c r="K32" s="36"/>
      <c r="L32" s="36">
        <v>1.0</v>
      </c>
      <c r="M32" s="36" t="s">
        <v>62</v>
      </c>
      <c r="N32" s="36" t="s">
        <v>54</v>
      </c>
      <c r="O32" s="36" t="s">
        <v>63</v>
      </c>
      <c r="P32" s="36" t="s">
        <v>55</v>
      </c>
      <c r="Q32" s="36" t="s">
        <v>72</v>
      </c>
      <c r="R32" s="36">
        <v>64.1</v>
      </c>
      <c r="S32" s="36">
        <v>0.0</v>
      </c>
    </row>
    <row r="33" ht="15.75" customHeight="1">
      <c r="A33" s="45"/>
      <c r="B33" s="43">
        <v>44750.0</v>
      </c>
      <c r="C33" s="36" t="s">
        <v>22</v>
      </c>
      <c r="D33" s="36" t="s">
        <v>29</v>
      </c>
      <c r="E33" s="36" t="s">
        <v>55</v>
      </c>
      <c r="F33" s="40" t="s">
        <v>71</v>
      </c>
      <c r="G33" s="39">
        <v>0.0</v>
      </c>
      <c r="H33" s="40">
        <v>64.1</v>
      </c>
      <c r="I33" s="46"/>
      <c r="J33" s="46"/>
      <c r="K33" s="40"/>
      <c r="L33" s="40">
        <v>1.0</v>
      </c>
      <c r="M33" s="40" t="s">
        <v>62</v>
      </c>
      <c r="N33" s="40" t="s">
        <v>57</v>
      </c>
      <c r="O33" s="40" t="s">
        <v>63</v>
      </c>
      <c r="P33" s="40" t="s">
        <v>55</v>
      </c>
      <c r="Q33" s="36" t="s">
        <v>72</v>
      </c>
      <c r="R33" s="40">
        <v>0.0</v>
      </c>
      <c r="S33" s="40">
        <v>64.1</v>
      </c>
    </row>
    <row r="34" ht="15.75" customHeight="1">
      <c r="A34" s="45"/>
      <c r="B34" s="43">
        <v>44749.0</v>
      </c>
      <c r="C34" s="36" t="s">
        <v>22</v>
      </c>
      <c r="D34" s="36" t="s">
        <v>16</v>
      </c>
      <c r="E34" s="36" t="s">
        <v>29</v>
      </c>
      <c r="F34" s="36" t="s">
        <v>71</v>
      </c>
      <c r="G34" s="36">
        <v>100.0</v>
      </c>
      <c r="H34" s="37">
        <v>0.0</v>
      </c>
      <c r="I34" s="44"/>
      <c r="J34" s="44"/>
      <c r="K34" s="36"/>
      <c r="L34" s="36">
        <v>0.714285714</v>
      </c>
      <c r="M34" s="36" t="s">
        <v>62</v>
      </c>
      <c r="N34" s="36" t="s">
        <v>54</v>
      </c>
      <c r="O34" s="36" t="s">
        <v>63</v>
      </c>
      <c r="P34" s="36" t="s">
        <v>55</v>
      </c>
      <c r="Q34" s="36" t="s">
        <v>72</v>
      </c>
      <c r="R34" s="36">
        <v>71.42857143</v>
      </c>
      <c r="S34" s="36">
        <v>0.0</v>
      </c>
    </row>
    <row r="35" ht="15.75" customHeight="1">
      <c r="A35" s="45"/>
      <c r="B35" s="43">
        <v>44749.0</v>
      </c>
      <c r="C35" s="36" t="s">
        <v>22</v>
      </c>
      <c r="D35" s="36" t="s">
        <v>16</v>
      </c>
      <c r="E35" s="36" t="s">
        <v>29</v>
      </c>
      <c r="F35" s="40" t="s">
        <v>69</v>
      </c>
      <c r="G35" s="39">
        <v>0.0</v>
      </c>
      <c r="H35" s="40">
        <v>100.0</v>
      </c>
      <c r="I35" s="46"/>
      <c r="J35" s="46"/>
      <c r="K35" s="40"/>
      <c r="L35" s="40">
        <v>0.714285714</v>
      </c>
      <c r="M35" s="40" t="s">
        <v>62</v>
      </c>
      <c r="N35" s="40" t="s">
        <v>57</v>
      </c>
      <c r="O35" s="40" t="s">
        <v>63</v>
      </c>
      <c r="P35" s="40" t="s">
        <v>55</v>
      </c>
      <c r="Q35" s="36" t="s">
        <v>72</v>
      </c>
      <c r="R35" s="40">
        <v>0.0</v>
      </c>
      <c r="S35" s="40">
        <v>71.42857143</v>
      </c>
    </row>
    <row r="36" ht="15.75" customHeight="1">
      <c r="A36" s="45"/>
      <c r="B36" s="43">
        <v>44749.0</v>
      </c>
      <c r="C36" s="36" t="s">
        <v>22</v>
      </c>
      <c r="D36" s="36" t="s">
        <v>29</v>
      </c>
      <c r="E36" s="36" t="s">
        <v>55</v>
      </c>
      <c r="F36" s="36" t="s">
        <v>69</v>
      </c>
      <c r="G36" s="36">
        <v>119.04</v>
      </c>
      <c r="H36" s="37">
        <v>0.0</v>
      </c>
      <c r="I36" s="44"/>
      <c r="J36" s="44"/>
      <c r="K36" s="36"/>
      <c r="L36" s="36">
        <v>1.0</v>
      </c>
      <c r="M36" s="36" t="s">
        <v>62</v>
      </c>
      <c r="N36" s="36" t="s">
        <v>54</v>
      </c>
      <c r="O36" s="36" t="s">
        <v>63</v>
      </c>
      <c r="P36" s="36" t="s">
        <v>55</v>
      </c>
      <c r="Q36" s="36" t="s">
        <v>72</v>
      </c>
      <c r="R36" s="36">
        <v>119.04</v>
      </c>
      <c r="S36" s="36">
        <v>0.0</v>
      </c>
    </row>
    <row r="37" ht="15.75" customHeight="1">
      <c r="A37" s="45"/>
      <c r="B37" s="43">
        <v>44749.0</v>
      </c>
      <c r="C37" s="36" t="s">
        <v>22</v>
      </c>
      <c r="D37" s="36" t="s">
        <v>29</v>
      </c>
      <c r="E37" s="36" t="s">
        <v>55</v>
      </c>
      <c r="F37" s="40" t="s">
        <v>71</v>
      </c>
      <c r="G37" s="39">
        <v>0.0</v>
      </c>
      <c r="H37" s="40">
        <v>119.04</v>
      </c>
      <c r="I37" s="46"/>
      <c r="J37" s="46"/>
      <c r="K37" s="40"/>
      <c r="L37" s="40">
        <v>1.0</v>
      </c>
      <c r="M37" s="40" t="s">
        <v>62</v>
      </c>
      <c r="N37" s="40" t="s">
        <v>57</v>
      </c>
      <c r="O37" s="40" t="s">
        <v>63</v>
      </c>
      <c r="P37" s="40" t="s">
        <v>55</v>
      </c>
      <c r="Q37" s="36" t="s">
        <v>72</v>
      </c>
      <c r="R37" s="40">
        <v>0.0</v>
      </c>
      <c r="S37" s="40">
        <v>119.04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31">
        <v>44749.0</v>
      </c>
      <c r="E6" s="31">
        <v>44754.0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IFERROR(__xludf.DUMMYFUNCTION("""COMPUTED_VALUE"""),"Date")</f>
        <v>Date</v>
      </c>
      <c r="D5" s="28" t="str">
        <f>IFERROR(__xludf.DUMMYFUNCTION("""COMPUTED_VALUE"""),"Currency (Local)")</f>
        <v>Currency (Local)</v>
      </c>
      <c r="E5" s="28" t="str">
        <f>IFERROR(__xludf.DUMMYFUNCTION("""COMPUTED_VALUE"""),"Cash (Local)")</f>
        <v>Cash (Local)</v>
      </c>
      <c r="F5" s="29" t="str">
        <f>IFERROR(__xludf.DUMMYFUNCTION("""COMPUTED_VALUE"""),"Currency (Base)")</f>
        <v>Currency (Base)</v>
      </c>
      <c r="G5" s="28" t="str">
        <f>IFERROR(__xludf.DUMMYFUNCTION("""COMPUTED_VALUE"""),"Cash (Base)")</f>
        <v>Cash (Base)</v>
      </c>
      <c r="H5" s="28" t="str">
        <f>IFERROR(__xludf.DUMMYFUNCTION("""COMPUTED_VALUE"""),"BalanceType")</f>
        <v>BalanceType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22</v>
      </c>
      <c r="C6" s="48">
        <v>44749.0</v>
      </c>
      <c r="D6" s="47" t="s">
        <v>29</v>
      </c>
      <c r="E6" s="47">
        <v>-1000.0</v>
      </c>
      <c r="F6" s="47" t="s">
        <v>55</v>
      </c>
      <c r="G6" s="49">
        <v>-714.29</v>
      </c>
      <c r="H6" s="47" t="s">
        <v>51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 t="str">
        <f>IFERROR(__xludf.DUMMYFUNCTION("""COMPUTED_VALUE"""),"Date")</f>
        <v>Date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11.0</v>
      </c>
      <c r="D6" s="31">
        <v>44749.0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12.0</v>
      </c>
      <c r="D7" s="31">
        <v>44750.0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IFERROR(__xludf.DUMMYFUNCTION("""COMPUTED_VALUE"""),"Date")</f>
        <v>Date</v>
      </c>
      <c r="F5" s="29" t="str">
        <f>IFERROR(__xludf.DUMMYFUNCTION("""COMPUTED_VALUE"""),"Price")</f>
        <v>Price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51" t="s">
        <v>55</v>
      </c>
      <c r="C6" s="52" t="s">
        <v>29</v>
      </c>
      <c r="D6" s="51" t="s">
        <v>77</v>
      </c>
      <c r="E6" s="53">
        <v>44749.0</v>
      </c>
      <c r="F6" s="54">
        <v>1.4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</row>
    <row r="7" ht="15.75" customHeight="1">
      <c r="A7" s="50"/>
      <c r="B7" s="51" t="s">
        <v>55</v>
      </c>
      <c r="C7" s="52" t="s">
        <v>29</v>
      </c>
      <c r="D7" s="51" t="s">
        <v>77</v>
      </c>
      <c r="E7" s="53">
        <v>44750.0</v>
      </c>
      <c r="F7" s="54">
        <v>1.3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