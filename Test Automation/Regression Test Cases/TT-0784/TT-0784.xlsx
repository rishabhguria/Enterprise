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PricingInput" sheetId="7" r:id="rId9"/>
    <sheet state="visible" name="GetDailyCash" sheetId="8" r:id="rId10"/>
    <sheet state="visible" name="UpdateMultipleDailyCash" sheetId="9" r:id="rId11"/>
    <sheet state="visible" name="CalculatePTT" sheetId="10" r:id="rId12"/>
    <sheet state="visible" name="CreateOrderPTT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<sst xmlns="http://schemas.openxmlformats.org/spreadsheetml/2006/main" count="92" uniqueCount="37">
  <si>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</si>
  <si>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</si>
  <si>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</si>
  <si>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</si>
  <si>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</si>
  <si>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</si>
  <si>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</si>
  <si>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</si>
  <si>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</si>
  <si>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</si>
  <si>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</si>
  <si>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</si>
  <si>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</si>
  <si>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</si>
  <si>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</si>
  <si>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</si>
  <si>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</si>
  <si>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</si>
  <si>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</si>
  <si>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</si>
  <si>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CreateDoneAwayOrder</t>
  </si>
  <si>
    <t>FB-US</t>
  </si>
  <si>
    <t>Buy</t>
  </si>
  <si>
    <t>Allocation1</t>
  </si>
  <si>
    <t>PricingInput</t>
  </si>
  <si>
    <t>FB</t>
  </si>
  <si>
    <t>DailyValuation</t>
  </si>
  <si>
    <t>GetDailyCash</t>
  </si>
  <si>
    <t>UpdateMultipleDailyCash</t>
  </si>
  <si>
    <t>USD</t>
  </si>
  <si>
    <t>PTT</t>
  </si>
  <si>
    <t>CalculatePTT</t>
  </si>
  <si>
    <t>Account</t>
  </si>
  <si>
    <t>CreateOrderPTT</t>
  </si>
  <si>
    <t>Blotter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</si>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</sst>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color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IFERROR(__xludf.DUMMYFUNCTION("""COMPUTED_VALUE"""),"Market Type")</f>
        <v>Market Type</v>
      </c>
      <c r="C5" s="27" t="str">
        <f>IFERROR(__xludf.DUMMYFUNCTION("""COMPUTED_VALUE"""),"Block Data")</f>
        <v>Block Data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SetMarketDataProvider!$4:$4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21</v>
      </c>
      <c r="C6" s="34" t="s">
        <v>22</v>
      </c>
      <c r="D6" s="35">
        <v>100.0</v>
      </c>
      <c r="E6" s="36"/>
      <c r="F6" s="34" t="s">
        <v>23</v>
      </c>
      <c r="G6" s="36"/>
      <c r="H6" s="36"/>
      <c r="I6" s="36"/>
      <c r="J6" s="37">
        <v>2.0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>
        <v>2.0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>
        <f t="shared" ref="B6:C6" si="1">TODAY()-1</f>
        <v>45802</v>
      </c>
      <c r="C6" s="38">
        <f t="shared" si="1"/>
        <v>45802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23</v>
      </c>
      <c r="C6" s="34" t="s">
        <v>29</v>
      </c>
      <c r="D6" s="35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21</v>
      </c>
      <c r="C6" s="36"/>
      <c r="D6" s="32"/>
      <c r="E6" s="37">
        <v>10.0</v>
      </c>
      <c r="F6" s="36"/>
      <c r="G6" s="36"/>
      <c r="H6" s="34" t="s">
        <v>32</v>
      </c>
      <c r="I6" s="34" t="s">
        <v>23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IFERROR(__xludf.DUMMYFUNCTION("""COMPUTED_VALUE"""),"SoftNotesCount")</f>
        <v>SoftNotesCount</v>
      </c>
      <c r="K5" s="27" t="str">
        <f>IFERROR(__xludf.DUMMYFUNCTION("""COMPUTED_VALUE"""),"SoftNotesComment")</f>
        <v>SoftNotesComment</v>
      </c>
      <c r="L5" s="27" t="str">
        <f>IFERROR(__xludf.DUMMYFUNCTION("""COMPUTED_VALUE"""),"DoNotAllowTrade")</f>
        <v>DoNotAllowTrade</v>
      </c>
      <c r="M5" s="27" t="str">
        <f>IFERROR(__xludf.DUMMYFUNCTION("""COMPUTED_VALUE"""),"Round Lots")</f>
        <v>Round Lots</v>
      </c>
      <c r="N5" s="27" t="str">
        <f>IFERROR(__xludf.DUMMYFUNCTION("""COMPUTED_VALUE"""),"Alert Type")</f>
        <v>Alert Type</v>
      </c>
      <c r="O5" s="27" t="str">
        <f>IFERROR(__xludf.DUMMYFUNCTION("""COMPUTED_VALUE"""),"Use Custodian Broker")</f>
        <v>Use Custodian Broker</v>
      </c>
      <c r="P5" s="27" t="str">
        <f>IFERROR(__xludf.DUMMYFUNCTION("""COMPUTED_VALUE"""),"Broker")</f>
        <v>Broker</v>
      </c>
      <c r="Q5" s="27" t="str">
        <f>IFERROR(__xludf.DUMMYFUNCTION("""COMPUTED_VALUE"""),"Venue")</f>
        <v>Venue</v>
      </c>
      <c r="R5" s="27" t="str">
        <f>IFERROR(__xludf.DUMMYFUNCTION("""COMPUTED_VALUE"""),"TIF")</f>
        <v>TIF</v>
      </c>
      <c r="S5" s="27" t="str">
        <f>IFERROR(__xludf.DUMMYFUNCTION("""COMPUTED_VALUE"""),"Order Type")</f>
        <v>Order Type</v>
      </c>
      <c r="T5" s="29" t="str">
        <f>IFERROR(__xludf.DUMMYFUNCTION("""COMPUTED_VALUE"""),"Stop")</f>
        <v>Stop</v>
      </c>
      <c r="U5" s="29" t="str">
        <f>IFERROR(__xludf.DUMMYFUNCTION("""COMPUTED_VALUE"""),"Limit")</f>
        <v>Limit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21</v>
      </c>
      <c r="C6" s="36"/>
      <c r="D6" s="32"/>
      <c r="E6" s="37">
        <v>10.0</v>
      </c>
      <c r="F6" s="36"/>
      <c r="G6" s="36"/>
      <c r="H6" s="34" t="s">
        <v>32</v>
      </c>
      <c r="I6" s="34" t="s">
        <v>23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/>
      <c r="C6" s="36"/>
      <c r="D6" s="3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40" t="s">
        <v>25</v>
      </c>
      <c r="AJ6" s="36" t="s">
        <v>22</v>
      </c>
      <c r="AK6" s="40" t="s">
        <v>36</v>
      </c>
      <c r="AL6" s="36"/>
      <c r="AM6" s="36"/>
      <c r="AN6" s="36"/>
      <c r="AO6" s="36"/>
      <c r="AP6" s="36"/>
      <c r="AQ6" s="36"/>
      <c r="AR6" s="36"/>
      <c r="AS6" s="36"/>
      <c r="AT6" s="36" t="s">
        <v>23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