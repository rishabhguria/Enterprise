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SelectAllocatedGroup" sheetId="19" r:id="rId22"/>
    <sheet state="visible" name="ReAllocateFromBlotterByAllocate" sheetId="20" r:id="rId23"/>
    <sheet state="visible" name="CreateDoneAwayOrder" sheetId="21" r:id="rId24"/>
    <sheet state="visible" name="SetGeneralPreferences" sheetId="22" r:id="rId25"/>
    <sheet state="visible" name="RunProrata" sheetId="23" r:id="rId26"/>
  </sheets>
  <definedNames/>
  <calcPr/>
  <extLst>
    <ext uri="GoogleSheetsCustomDataVersion2">
      <go:sheetsCustomData xmlns:go="http://customooxmlschemas.google.com/" r:id="rId27" roundtripDataChecksum="kuqr3dGy+bY1ZKn3rz3ONdVdvuDUml+/6B/Dhih/O60="/>
    </ext>
  </extLst>
</workbook>
</file>

<file path=xl/sharedStrings.xml><?xml version="1.0" encoding="utf-8"?>
<sst xmlns="http://schemas.openxmlformats.org/spreadsheetml/2006/main" count="884" uniqueCount="253">
  <si>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</si>
  <si>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</si>
  <si>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</si>
  <si>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</si>
  <si>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</si>
  <si>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</si>
  <si>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</si>
  <si>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</si>
  <si>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</si>
  <si>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</si>
  <si>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</si>
  <si>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</si>
  <si>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</si>
  <si>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</si>
  <si>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</si>
  <si>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</si>
  <si>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</si>
  <si>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</si>
  <si>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</si>
  <si>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</si>
  <si>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</si>
  <si>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</si>
  <si>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</si>
  <si>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</si>
  <si>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</si>
  <si>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</si>
  <si>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</si>
  <si>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</si>
  <si>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</si>
  <si>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</si>
  <si>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</si>
  <si>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</si>
  <si>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</si>
  <si>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</si>
  <si>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</si>
  <si>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</si>
  <si>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</si>
  <si>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</si>
  <si>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</si>
  <si>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</si>
  <si>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</si>
  <si>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</si>
  <si>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</si>
  <si>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</si>
  <si>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</si>
  <si>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</si>
  <si>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</si>
  <si>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</si>
  <si>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</si>
  <si>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</si>
  <si>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</si>
  <si>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</si>
  <si>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</si>
  <si>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</si>
  <si>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</si>
  <si>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</si>
  <si>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</si>
  <si>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Test_fixed</t>
  </si>
  <si>
    <t>Today()-1</t>
  </si>
  <si>
    <t>FIX</t>
  </si>
  <si>
    <t>Blotter</t>
  </si>
  <si>
    <t>SelectTradeOnOrderGrid</t>
  </si>
  <si>
    <t>VerifySubOrder</t>
  </si>
  <si>
    <t>PartiallyFilled</t>
  </si>
  <si>
    <t>Today()</t>
  </si>
  <si>
    <t>reset</t>
  </si>
  <si>
    <t>Price</t>
  </si>
  <si>
    <t>Shares</t>
  </si>
  <si>
    <t>ClearAllPrice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</si>
  <si>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</si>
  <si>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</si>
  <si>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</si>
  <si>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</si>
  <si>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</si>
  <si>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</si>
  <si>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</si>
  <si>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</si>
  <si>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</si>
  <si>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</si>
  <si>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</si>
  <si>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</si>
  <si>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</si>
  <si>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</si>
  <si>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</si>
  <si>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</si>
  <si>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</si>
  <si>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</si>
  <si>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</si>
  <si>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</si>
  <si>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</si>
  <si>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</si>
  <si>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</si>
  <si>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</si>
  <si>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</si>
  <si>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</si>
  <si>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</si>
  <si>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</si>
  <si>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</si>
  <si>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</si>
  <si>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</si>
  <si>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</si>
  <si>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</si>
  <si>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</si>
  <si>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</si>
  <si>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</si>
  <si>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</si>
  <si>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</si>
  <si>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</si>
  <si>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</si>
  <si>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</si>
  <si>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</si>
  <si>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</si>
  <si>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</si>
  <si>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</si>
  <si>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</si>
  <si>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</si>
  <si>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</si>
  <si>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</si>
  <si>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</si>
  <si>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</si>
  <si>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</si>
  <si>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</si>
  <si>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</si>
  <si>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</si>
  <si>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</si>
  <si>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</si>
  <si>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</si>
  <si>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</si>
  <si>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</si>
  <si>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</si>
  <si>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</si>
  <si>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</si>
  <si>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</si>
  <si>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</si>
  <si>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</si>
  <si>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</si>
  <si>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</si>
  <si>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</si>
  <si>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</si>
  <si>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</si>
  <si>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</si>
  <si>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</si>
  <si>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</si>
  <si>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</si>
  <si>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</si>
  <si>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</si>
  <si>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</si>
  <si>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</si>
  <si>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</si>
  <si>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</si>
  <si>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</si>
  <si>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</si>
  <si>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</si>
  <si>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</si>
  <si>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</si>
  <si>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</si>
  <si>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</si>
  <si>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</si>
  <si>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</si>
  <si>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</si>
  <si>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</si>
  <si>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</si>
  <si>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</si>
  <si>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</si>
  <si>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</si>
  <si>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PreferenceName</t>
  </si>
  <si>
    <t>Account</t>
  </si>
  <si>
    <t>Target Allocation Percentage</t>
  </si>
  <si>
    <t>Target Allocation Quantity</t>
  </si>
  <si>
    <t>LowerStripMessage</t>
  </si>
  <si>
    <t>Order Side</t>
  </si>
  <si>
    <t>TargetQuantityIn</t>
  </si>
  <si>
    <t>AllocationMethod</t>
  </si>
  <si>
    <t>TIF</t>
  </si>
  <si>
    <t>Stop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</si>
  <si>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</si>
  <si>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</si>
  <si>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</si>
  <si>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</si>
  <si>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</si>
  <si>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</si>
  <si>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</si>
  <si>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</si>
  <si>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</si>
  <si>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</si>
  <si>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</si>
  <si>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</si>
  <si>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</si>
  <si>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</si>
  <si>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</si>
  <si>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</si>
  <si>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</si>
  <si>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</si>
  <si>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</si>
  <si>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</si>
  <si>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</si>
  <si>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</si>
  <si>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</si>
  <si>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</si>
  <si>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</si>
  <si>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</si>
  <si>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</si>
  <si>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</si>
  <si>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</si>
  <si>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</si>
  <si>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</si>
  <si>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</si>
  <si>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</si>
  <si>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</si>
  <si>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</si>
  <si>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</si>
  <si>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</si>
  <si>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</si>
  <si>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</si>
  <si>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</si>
  <si>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</si>
  <si>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</si>
  <si>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</si>
  <si>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</si>
  <si>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</si>
  <si>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</si>
  <si>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</si>
  <si>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</si>
  <si>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</si>
  <si>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Allocation2,Allocation3</t>
  </si>
  <si>
    <t>50,50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</si>
  <si>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</si>
  <si>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</si>
  <si>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</si>
  <si>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</si>
  <si>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</si>
  <si>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</si>
  <si>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</si>
  <si>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</si>
  <si>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</si>
  <si>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</si>
  <si>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</si>
  <si>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</si>
  <si>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</si>
  <si>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</si>
  <si>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</si>
  <si>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</si>
  <si>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</si>
  <si>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</si>
  <si>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</si>
  <si>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</si>
  <si>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</si>
  <si>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</si>
  <si>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</si>
  <si>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</si>
  <si>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Date</t>
  </si>
  <si>
    <t>SchemeName</t>
  </si>
  <si>
    <t>SchemeBasis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</si>
</sst>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5" numFmtId="0" xfId="0" applyFont="1"/>
    <xf borderId="0" fillId="0" fontId="14" numFmtId="0" xfId="0" applyAlignment="1" applyFont="1">
      <alignment readingOrder="0"/>
    </xf>
    <xf borderId="0" fillId="0" fontId="1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100.0</v>
      </c>
      <c r="Y6" s="23">
        <f>TODAY()+5</f>
        <v>45825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4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5">
        <f>TODAY()-4</f>
        <v>45816</v>
      </c>
      <c r="D6" s="25">
        <f>TODAY()+4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/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/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/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3"/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47</v>
      </c>
      <c r="I6" s="6" t="s">
        <v>53</v>
      </c>
      <c r="J6" s="6" t="s">
        <v>19</v>
      </c>
      <c r="K6" s="6" t="s">
        <v>52</v>
      </c>
      <c r="L6" s="6"/>
      <c r="M6" s="6"/>
      <c r="N6" s="6"/>
      <c r="O6" s="6"/>
      <c r="U6" s="3" t="s">
        <v>46</v>
      </c>
      <c r="V6" s="3" t="s">
        <v>54</v>
      </c>
      <c r="AA6" s="3" t="s">
        <v>56</v>
      </c>
      <c r="AB6" s="3">
        <v>2500.0</v>
      </c>
      <c r="AD6" s="3">
        <v>1.0</v>
      </c>
      <c r="AF6" s="3" t="s">
        <v>48</v>
      </c>
      <c r="AH6" s="3" t="s">
        <v>41</v>
      </c>
      <c r="AI6" s="3" t="s">
        <v>19</v>
      </c>
      <c r="AJ6" s="3" t="s">
        <v>22</v>
      </c>
      <c r="AK6" s="3" t="s">
        <v>63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44</v>
      </c>
      <c r="AR6" s="3" t="s">
        <v>56</v>
      </c>
      <c r="AS6" s="3" t="s">
        <v>24</v>
      </c>
      <c r="AT6" s="3">
        <v>75000.0</v>
      </c>
      <c r="AU6" s="3">
        <v>75000.0</v>
      </c>
      <c r="AV6" s="26" t="s">
        <v>40</v>
      </c>
      <c r="AW6" s="3" t="s">
        <v>63</v>
      </c>
      <c r="AX6" s="3">
        <v>2500.0</v>
      </c>
      <c r="AZ6" s="3" t="s">
        <v>53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>
        <v>3.0</v>
      </c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>
        <v>14.03</v>
      </c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>
        <v>3.0</v>
      </c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7">
        <v>25014.01</v>
      </c>
      <c r="AU7" s="27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27">
        <v>14.01</v>
      </c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38</v>
      </c>
      <c r="B8" s="6" t="s">
        <v>56</v>
      </c>
      <c r="C8" s="6" t="s">
        <v>39</v>
      </c>
      <c r="D8" s="3"/>
      <c r="E8" s="20">
        <v>100.0</v>
      </c>
      <c r="F8" s="6" t="s">
        <v>40</v>
      </c>
      <c r="G8" s="6" t="s">
        <v>41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42</v>
      </c>
      <c r="N8" s="6" t="s">
        <v>43</v>
      </c>
      <c r="O8" s="6" t="s">
        <v>44</v>
      </c>
      <c r="P8" s="3"/>
      <c r="Q8" s="3">
        <v>3.0</v>
      </c>
      <c r="R8" s="3"/>
      <c r="S8" s="3"/>
      <c r="T8" s="3"/>
      <c r="U8" s="3"/>
      <c r="V8" s="3" t="s">
        <v>45</v>
      </c>
      <c r="W8" s="3"/>
      <c r="X8" s="3"/>
      <c r="Y8" s="3"/>
      <c r="Z8" s="3" t="s">
        <v>46</v>
      </c>
      <c r="AA8" s="3" t="s">
        <v>19</v>
      </c>
      <c r="AB8" s="21">
        <v>1.0</v>
      </c>
      <c r="AC8" s="3"/>
      <c r="AD8" s="3" t="s">
        <v>47</v>
      </c>
      <c r="AE8" s="21">
        <v>100.0</v>
      </c>
      <c r="AF8" s="3" t="s">
        <v>38</v>
      </c>
      <c r="AG8" s="3"/>
      <c r="AH8" s="3" t="s">
        <v>48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38</v>
      </c>
      <c r="BM8" s="3" t="s">
        <v>46</v>
      </c>
      <c r="BN8" s="3"/>
      <c r="BO8" s="3" t="s">
        <v>22</v>
      </c>
      <c r="BP8" s="21">
        <v>0.0</v>
      </c>
      <c r="BQ8" s="21">
        <v>0.0</v>
      </c>
      <c r="BR8" s="21"/>
      <c r="BS8" s="3" t="s">
        <v>49</v>
      </c>
      <c r="BT8" s="3" t="s">
        <v>19</v>
      </c>
      <c r="BU8" s="3"/>
      <c r="BV8" s="3"/>
      <c r="BW8" s="3">
        <v>14.0</v>
      </c>
      <c r="BX8" s="3"/>
      <c r="BY8" s="3" t="s">
        <v>38</v>
      </c>
      <c r="BZ8" s="3" t="s">
        <v>38</v>
      </c>
      <c r="CA8" s="3" t="s">
        <v>38</v>
      </c>
      <c r="CB8" s="3" t="s">
        <v>38</v>
      </c>
      <c r="CC8" s="3" t="s">
        <v>38</v>
      </c>
      <c r="CD8" s="3" t="s">
        <v>38</v>
      </c>
      <c r="CE8" s="3" t="s">
        <v>64</v>
      </c>
      <c r="CF8" s="3" t="s">
        <v>51</v>
      </c>
      <c r="CG8" s="21">
        <v>2.0</v>
      </c>
      <c r="CH8" s="3" t="s">
        <v>59</v>
      </c>
      <c r="CI8" s="3" t="s">
        <v>22</v>
      </c>
      <c r="CJ8" s="3"/>
      <c r="CK8" s="3" t="s">
        <v>52</v>
      </c>
      <c r="CL8" s="21">
        <v>1.0</v>
      </c>
      <c r="CM8" s="3" t="s">
        <v>19</v>
      </c>
      <c r="CN8" s="3" t="s">
        <v>53</v>
      </c>
      <c r="CO8" s="3" t="s">
        <v>47</v>
      </c>
      <c r="CP8" s="3" t="s">
        <v>54</v>
      </c>
      <c r="CQ8" s="3"/>
      <c r="CR8" s="3"/>
      <c r="CS8" s="3" t="s">
        <v>38</v>
      </c>
      <c r="CT8" s="3"/>
      <c r="CU8" s="3"/>
      <c r="CV8" s="3"/>
      <c r="CW8" s="3"/>
      <c r="CX8" s="3" t="s">
        <v>56</v>
      </c>
      <c r="CY8" s="3" t="s">
        <v>38</v>
      </c>
      <c r="CZ8" s="3" t="s">
        <v>38</v>
      </c>
      <c r="DA8" s="3" t="s">
        <v>38</v>
      </c>
      <c r="DB8" s="3" t="s">
        <v>38</v>
      </c>
      <c r="DC8" s="3" t="s">
        <v>38</v>
      </c>
      <c r="DD8" s="3" t="s">
        <v>38</v>
      </c>
      <c r="DE8" s="3" t="s">
        <v>38</v>
      </c>
      <c r="DF8" s="3" t="s">
        <v>38</v>
      </c>
      <c r="DG8" s="3" t="s">
        <v>38</v>
      </c>
      <c r="DH8" s="3" t="s">
        <v>38</v>
      </c>
      <c r="DI8" s="3" t="s">
        <v>38</v>
      </c>
      <c r="DJ8" s="3" t="s">
        <v>38</v>
      </c>
      <c r="DK8" s="3" t="s">
        <v>38</v>
      </c>
      <c r="DL8" s="3" t="s">
        <v>38</v>
      </c>
      <c r="DM8" s="3" t="s">
        <v>38</v>
      </c>
      <c r="DN8" s="3" t="s">
        <v>38</v>
      </c>
      <c r="DO8" s="3" t="s">
        <v>38</v>
      </c>
      <c r="DP8" s="3" t="s">
        <v>38</v>
      </c>
      <c r="DQ8" s="3" t="s">
        <v>38</v>
      </c>
      <c r="DR8" s="3" t="s">
        <v>38</v>
      </c>
      <c r="DS8" s="3" t="s">
        <v>38</v>
      </c>
      <c r="DT8" s="3" t="s">
        <v>38</v>
      </c>
      <c r="DU8" s="3" t="s">
        <v>38</v>
      </c>
      <c r="DV8" s="3" t="s">
        <v>38</v>
      </c>
      <c r="DW8" s="3" t="s">
        <v>38</v>
      </c>
      <c r="DX8" s="3" t="s">
        <v>38</v>
      </c>
      <c r="DY8" s="3" t="s">
        <v>38</v>
      </c>
      <c r="DZ8" s="3" t="s">
        <v>38</v>
      </c>
      <c r="EA8" s="3" t="s">
        <v>38</v>
      </c>
      <c r="EB8" s="3" t="s">
        <v>38</v>
      </c>
      <c r="EC8" s="3" t="s">
        <v>38</v>
      </c>
      <c r="ED8" s="3" t="s">
        <v>38</v>
      </c>
      <c r="EE8" s="3" t="s">
        <v>38</v>
      </c>
      <c r="EF8" s="3" t="s">
        <v>38</v>
      </c>
      <c r="EG8" s="3" t="s">
        <v>38</v>
      </c>
      <c r="EH8" s="3" t="s">
        <v>38</v>
      </c>
      <c r="EI8" s="3" t="s">
        <v>38</v>
      </c>
      <c r="EJ8" s="3" t="s">
        <v>38</v>
      </c>
      <c r="EK8" s="3" t="s">
        <v>38</v>
      </c>
      <c r="EL8" s="3" t="s">
        <v>38</v>
      </c>
      <c r="EM8" s="3" t="s">
        <v>38</v>
      </c>
      <c r="EN8" s="3" t="s">
        <v>38</v>
      </c>
      <c r="EO8" s="3" t="s">
        <v>38</v>
      </c>
      <c r="EP8" s="3" t="s">
        <v>38</v>
      </c>
      <c r="EQ8" s="3" t="s">
        <v>38</v>
      </c>
      <c r="ER8" s="3" t="s">
        <v>38</v>
      </c>
      <c r="ES8" s="3" t="s">
        <v>38</v>
      </c>
      <c r="ET8" s="3" t="s">
        <v>38</v>
      </c>
      <c r="EU8" s="3" t="s">
        <v>38</v>
      </c>
      <c r="EV8" s="3" t="s">
        <v>38</v>
      </c>
      <c r="EW8" s="3" t="s">
        <v>38</v>
      </c>
      <c r="EX8" s="3" t="s">
        <v>38</v>
      </c>
      <c r="EY8" s="3" t="s">
        <v>38</v>
      </c>
      <c r="EZ8" s="3" t="s">
        <v>38</v>
      </c>
      <c r="FA8" s="3" t="s">
        <v>38</v>
      </c>
      <c r="FB8" s="3" t="s">
        <v>38</v>
      </c>
      <c r="FC8" s="3" t="s">
        <v>38</v>
      </c>
      <c r="FD8" s="3" t="s">
        <v>38</v>
      </c>
      <c r="FE8" s="3" t="s">
        <v>38</v>
      </c>
      <c r="FF8" s="3" t="s">
        <v>38</v>
      </c>
      <c r="FG8" s="3" t="s">
        <v>38</v>
      </c>
      <c r="FH8" s="3" t="s">
        <v>38</v>
      </c>
      <c r="FI8" s="3" t="s">
        <v>38</v>
      </c>
      <c r="FJ8" s="3" t="s">
        <v>38</v>
      </c>
      <c r="FK8" s="3" t="s">
        <v>38</v>
      </c>
      <c r="FL8" s="3" t="s">
        <v>38</v>
      </c>
      <c r="FM8" s="3" t="s">
        <v>38</v>
      </c>
      <c r="FN8" s="3" t="s">
        <v>38</v>
      </c>
      <c r="FO8" s="3" t="s">
        <v>38</v>
      </c>
      <c r="FP8" s="3" t="s">
        <v>38</v>
      </c>
      <c r="FQ8" s="3" t="s">
        <v>38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66</v>
      </c>
      <c r="C5" s="3" t="s">
        <v>67</v>
      </c>
      <c r="D5" s="3" t="s">
        <v>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69</v>
      </c>
      <c r="C5" s="26" t="s">
        <v>70</v>
      </c>
      <c r="D5" s="26" t="s">
        <v>71</v>
      </c>
      <c r="E5" s="26" t="s">
        <v>72</v>
      </c>
      <c r="F5" s="26" t="s">
        <v>73</v>
      </c>
      <c r="G5" s="26" t="s">
        <v>74</v>
      </c>
      <c r="H5" s="26" t="s">
        <v>75</v>
      </c>
      <c r="I5" s="26" t="s">
        <v>76</v>
      </c>
      <c r="J5" s="26" t="s">
        <v>77</v>
      </c>
      <c r="K5" s="26" t="s">
        <v>78</v>
      </c>
      <c r="L5" s="26" t="s">
        <v>79</v>
      </c>
      <c r="M5" s="26" t="s">
        <v>80</v>
      </c>
      <c r="N5" s="26" t="s">
        <v>81</v>
      </c>
      <c r="O5" s="26" t="s">
        <v>82</v>
      </c>
      <c r="P5" s="26" t="s">
        <v>83</v>
      </c>
      <c r="Q5" s="26" t="s">
        <v>84</v>
      </c>
      <c r="R5" s="26" t="s">
        <v>85</v>
      </c>
      <c r="S5" s="26" t="s">
        <v>86</v>
      </c>
      <c r="T5" s="26" t="s">
        <v>87</v>
      </c>
      <c r="U5" s="26" t="s">
        <v>88</v>
      </c>
      <c r="V5" s="26" t="s">
        <v>89</v>
      </c>
      <c r="W5" s="26" t="s">
        <v>90</v>
      </c>
      <c r="X5" s="26" t="s">
        <v>91</v>
      </c>
      <c r="Y5" s="26" t="s">
        <v>92</v>
      </c>
      <c r="Z5" s="26" t="s">
        <v>93</v>
      </c>
      <c r="AA5" s="26" t="s">
        <v>94</v>
      </c>
      <c r="AB5" s="26" t="s">
        <v>95</v>
      </c>
      <c r="AC5" s="26" t="s">
        <v>96</v>
      </c>
      <c r="AD5" s="26" t="s">
        <v>97</v>
      </c>
      <c r="AE5" s="26" t="s">
        <v>98</v>
      </c>
      <c r="AF5" s="26" t="s">
        <v>99</v>
      </c>
      <c r="AG5" s="26" t="s">
        <v>100</v>
      </c>
      <c r="AH5" s="26" t="s">
        <v>101</v>
      </c>
      <c r="AI5" s="26" t="s">
        <v>102</v>
      </c>
      <c r="AJ5" s="26" t="s">
        <v>103</v>
      </c>
      <c r="AK5" s="26" t="s">
        <v>104</v>
      </c>
      <c r="AL5" s="26" t="s">
        <v>105</v>
      </c>
      <c r="AM5" s="26" t="s">
        <v>106</v>
      </c>
      <c r="AN5" s="26" t="s">
        <v>107</v>
      </c>
      <c r="AO5" s="26" t="s">
        <v>108</v>
      </c>
      <c r="AP5" s="26" t="s">
        <v>109</v>
      </c>
      <c r="AQ5" s="26" t="s">
        <v>110</v>
      </c>
      <c r="AR5" s="26" t="s">
        <v>111</v>
      </c>
      <c r="AS5" s="26" t="s">
        <v>112</v>
      </c>
      <c r="AT5" s="26" t="s">
        <v>113</v>
      </c>
      <c r="AU5" s="26" t="s">
        <v>114</v>
      </c>
      <c r="AV5" s="26" t="s">
        <v>115</v>
      </c>
      <c r="AW5" s="26" t="s">
        <v>116</v>
      </c>
      <c r="AX5" s="26" t="s">
        <v>117</v>
      </c>
      <c r="AY5" s="26" t="s">
        <v>118</v>
      </c>
      <c r="AZ5" s="26" t="s">
        <v>119</v>
      </c>
      <c r="BA5" s="26" t="s">
        <v>120</v>
      </c>
      <c r="BB5" s="26" t="s">
        <v>121</v>
      </c>
      <c r="BC5" s="26" t="s">
        <v>122</v>
      </c>
      <c r="BD5" s="26" t="s">
        <v>123</v>
      </c>
      <c r="BE5" s="26" t="s">
        <v>124</v>
      </c>
      <c r="BF5" s="26" t="s">
        <v>125</v>
      </c>
      <c r="BG5" s="26" t="s">
        <v>126</v>
      </c>
      <c r="BH5" s="26" t="s">
        <v>127</v>
      </c>
      <c r="BI5" s="26" t="s">
        <v>128</v>
      </c>
      <c r="BJ5" s="26" t="s">
        <v>129</v>
      </c>
      <c r="BK5" s="26" t="s">
        <v>130</v>
      </c>
      <c r="BL5" s="26" t="s">
        <v>131</v>
      </c>
      <c r="BM5" s="26" t="s">
        <v>132</v>
      </c>
      <c r="BN5" s="26" t="s">
        <v>133</v>
      </c>
      <c r="BO5" s="26" t="s">
        <v>134</v>
      </c>
      <c r="BP5" s="26" t="s">
        <v>135</v>
      </c>
      <c r="BQ5" s="26" t="s">
        <v>136</v>
      </c>
      <c r="BR5" s="26" t="s">
        <v>137</v>
      </c>
      <c r="BS5" s="26" t="s">
        <v>138</v>
      </c>
      <c r="BT5" s="26" t="s">
        <v>139</v>
      </c>
      <c r="BU5" s="26" t="s">
        <v>140</v>
      </c>
      <c r="BV5" s="26" t="s">
        <v>141</v>
      </c>
      <c r="BW5" s="26" t="s">
        <v>142</v>
      </c>
      <c r="BX5" s="26" t="s">
        <v>143</v>
      </c>
      <c r="BY5" s="26" t="s">
        <v>144</v>
      </c>
      <c r="BZ5" s="26" t="s">
        <v>145</v>
      </c>
      <c r="CA5" s="26" t="s">
        <v>146</v>
      </c>
      <c r="CB5" s="26" t="s">
        <v>147</v>
      </c>
      <c r="CC5" s="26" t="s">
        <v>148</v>
      </c>
      <c r="CD5" s="26" t="s">
        <v>149</v>
      </c>
      <c r="CE5" s="26" t="s">
        <v>150</v>
      </c>
      <c r="CF5" s="26" t="s">
        <v>151</v>
      </c>
      <c r="CG5" s="26" t="s">
        <v>152</v>
      </c>
      <c r="CH5" s="26" t="s">
        <v>153</v>
      </c>
      <c r="CI5" s="26" t="s">
        <v>154</v>
      </c>
      <c r="CJ5" s="26" t="s">
        <v>155</v>
      </c>
      <c r="CK5" s="26" t="s">
        <v>156</v>
      </c>
      <c r="CL5" s="26" t="s">
        <v>157</v>
      </c>
      <c r="CM5" s="26" t="s">
        <v>158</v>
      </c>
      <c r="CN5" s="26" t="s">
        <v>159</v>
      </c>
      <c r="CO5" s="26" t="s">
        <v>160</v>
      </c>
      <c r="CP5" s="26" t="s">
        <v>161</v>
      </c>
      <c r="CQ5" s="26" t="s">
        <v>162</v>
      </c>
      <c r="CR5" s="26" t="s">
        <v>163</v>
      </c>
      <c r="CS5" s="26" t="s">
        <v>164</v>
      </c>
    </row>
    <row r="6" ht="12.75" customHeight="1">
      <c r="B6" s="26" t="s">
        <v>19</v>
      </c>
      <c r="AQ6" s="26">
        <v>2500.0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8" t="s">
        <v>165</v>
      </c>
      <c r="C5" s="28" t="s">
        <v>166</v>
      </c>
      <c r="D5" s="28" t="s">
        <v>167</v>
      </c>
      <c r="E5" s="28" t="s">
        <v>168</v>
      </c>
      <c r="F5" s="28" t="s">
        <v>169</v>
      </c>
      <c r="G5" s="26"/>
      <c r="H5" s="26"/>
      <c r="I5" s="26"/>
      <c r="J5" s="26"/>
      <c r="K5" s="26"/>
    </row>
    <row r="6" ht="12.75" customHeight="1">
      <c r="B6" s="26" t="s">
        <v>57</v>
      </c>
    </row>
    <row r="7" ht="12.75" customHeight="1">
      <c r="B7" s="26"/>
      <c r="C7" s="26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69</v>
      </c>
      <c r="C5" s="26" t="s">
        <v>170</v>
      </c>
      <c r="D5" s="26" t="s">
        <v>70</v>
      </c>
      <c r="E5" s="26" t="s">
        <v>171</v>
      </c>
      <c r="F5" s="26" t="s">
        <v>172</v>
      </c>
      <c r="G5" s="26" t="s">
        <v>83</v>
      </c>
      <c r="H5" s="26" t="s">
        <v>173</v>
      </c>
      <c r="I5" s="26" t="s">
        <v>133</v>
      </c>
      <c r="J5" s="26" t="s">
        <v>66</v>
      </c>
      <c r="K5" s="26" t="s">
        <v>174</v>
      </c>
      <c r="L5" s="26" t="s">
        <v>24</v>
      </c>
      <c r="M5" s="26" t="s">
        <v>175</v>
      </c>
      <c r="N5" s="26" t="s">
        <v>71</v>
      </c>
      <c r="O5" s="26" t="s">
        <v>176</v>
      </c>
      <c r="P5" s="26" t="s">
        <v>177</v>
      </c>
      <c r="Q5" s="26" t="s">
        <v>178</v>
      </c>
      <c r="R5" s="26" t="s">
        <v>179</v>
      </c>
      <c r="S5" s="26" t="s">
        <v>180</v>
      </c>
      <c r="T5" s="26" t="s">
        <v>181</v>
      </c>
      <c r="U5" s="26" t="s">
        <v>182</v>
      </c>
      <c r="V5" s="26" t="s">
        <v>183</v>
      </c>
      <c r="W5" s="26" t="s">
        <v>184</v>
      </c>
      <c r="X5" s="26" t="s">
        <v>185</v>
      </c>
      <c r="Y5" s="26" t="s">
        <v>186</v>
      </c>
      <c r="Z5" s="26" t="s">
        <v>187</v>
      </c>
      <c r="AA5" s="26" t="s">
        <v>188</v>
      </c>
      <c r="AB5" s="26" t="s">
        <v>139</v>
      </c>
      <c r="AC5" s="26" t="s">
        <v>189</v>
      </c>
      <c r="AD5" s="26" t="s">
        <v>190</v>
      </c>
      <c r="AE5" s="26" t="s">
        <v>191</v>
      </c>
      <c r="AF5" s="26" t="s">
        <v>192</v>
      </c>
      <c r="AG5" s="26" t="s">
        <v>193</v>
      </c>
      <c r="AH5" s="26" t="s">
        <v>194</v>
      </c>
      <c r="AI5" s="26" t="s">
        <v>195</v>
      </c>
      <c r="AJ5" s="26" t="s">
        <v>196</v>
      </c>
      <c r="AK5" s="26" t="s">
        <v>166</v>
      </c>
      <c r="AL5" s="26" t="s">
        <v>197</v>
      </c>
      <c r="AM5" s="26" t="s">
        <v>198</v>
      </c>
      <c r="AN5" s="26" t="s">
        <v>199</v>
      </c>
      <c r="AO5" s="26" t="s">
        <v>200</v>
      </c>
      <c r="AP5" s="26" t="s">
        <v>201</v>
      </c>
      <c r="AQ5" s="26" t="s">
        <v>202</v>
      </c>
      <c r="AR5" s="26" t="s">
        <v>203</v>
      </c>
      <c r="AS5" s="26" t="s">
        <v>204</v>
      </c>
      <c r="AT5" s="26" t="s">
        <v>205</v>
      </c>
      <c r="AU5" s="26" t="s">
        <v>206</v>
      </c>
      <c r="AV5" s="26" t="s">
        <v>207</v>
      </c>
      <c r="AW5" s="26" t="s">
        <v>208</v>
      </c>
      <c r="AX5" s="26" t="s">
        <v>209</v>
      </c>
      <c r="AY5" s="26" t="s">
        <v>210</v>
      </c>
      <c r="AZ5" s="26" t="s">
        <v>211</v>
      </c>
      <c r="BA5" s="26" t="s">
        <v>212</v>
      </c>
      <c r="BB5" s="26" t="s">
        <v>213</v>
      </c>
      <c r="BC5" s="26" t="s">
        <v>214</v>
      </c>
      <c r="BD5" s="26" t="s">
        <v>215</v>
      </c>
      <c r="BE5" s="26" t="s">
        <v>216</v>
      </c>
      <c r="BF5" s="26" t="s">
        <v>217</v>
      </c>
      <c r="BG5" s="26" t="s">
        <v>218</v>
      </c>
      <c r="BH5" s="26" t="s">
        <v>219</v>
      </c>
      <c r="BI5" s="26" t="s">
        <v>220</v>
      </c>
      <c r="BJ5" s="26" t="s">
        <v>221</v>
      </c>
      <c r="BK5" s="26" t="s">
        <v>222</v>
      </c>
      <c r="BL5" s="26" t="s">
        <v>223</v>
      </c>
    </row>
    <row r="6">
      <c r="B6" s="26" t="s">
        <v>19</v>
      </c>
      <c r="C6" s="26" t="s">
        <v>22</v>
      </c>
      <c r="D6" s="26">
        <v>100.0</v>
      </c>
      <c r="J6" s="26">
        <v>2.0</v>
      </c>
      <c r="N6" s="29">
        <f>today()-5</f>
        <v>45815</v>
      </c>
      <c r="AK6" s="26" t="s">
        <v>224</v>
      </c>
      <c r="AL6" s="26" t="s">
        <v>225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226</v>
      </c>
      <c r="C5" s="26" t="s">
        <v>227</v>
      </c>
      <c r="D5" s="26" t="s">
        <v>228</v>
      </c>
      <c r="E5" s="26" t="s">
        <v>229</v>
      </c>
      <c r="F5" s="26" t="s">
        <v>230</v>
      </c>
      <c r="G5" s="26" t="s">
        <v>231</v>
      </c>
      <c r="H5" s="26" t="s">
        <v>232</v>
      </c>
      <c r="I5" s="26" t="s">
        <v>233</v>
      </c>
      <c r="J5" s="26" t="s">
        <v>234</v>
      </c>
      <c r="K5" s="26" t="s">
        <v>235</v>
      </c>
      <c r="L5" s="26" t="s">
        <v>172</v>
      </c>
      <c r="M5" s="26" t="s">
        <v>236</v>
      </c>
      <c r="N5" s="26" t="s">
        <v>237</v>
      </c>
      <c r="O5" s="26" t="s">
        <v>238</v>
      </c>
      <c r="P5" s="26" t="s">
        <v>239</v>
      </c>
      <c r="Q5" s="26" t="s">
        <v>240</v>
      </c>
      <c r="R5" s="26" t="s">
        <v>241</v>
      </c>
      <c r="S5" s="26" t="s">
        <v>242</v>
      </c>
      <c r="T5" s="26" t="s">
        <v>243</v>
      </c>
      <c r="U5" s="26" t="s">
        <v>244</v>
      </c>
      <c r="V5" s="26" t="s">
        <v>245</v>
      </c>
      <c r="W5" s="26" t="s">
        <v>246</v>
      </c>
      <c r="X5" s="26" t="s">
        <v>247</v>
      </c>
      <c r="Y5" s="26" t="s">
        <v>248</v>
      </c>
      <c r="Z5" s="26" t="s">
        <v>249</v>
      </c>
    </row>
    <row r="6">
      <c r="X6" s="26" t="s">
        <v>57</v>
      </c>
      <c r="Z6" s="26" t="b">
        <v>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250</v>
      </c>
      <c r="C5" s="26" t="s">
        <v>251</v>
      </c>
      <c r="D5" s="26" t="s">
        <v>252</v>
      </c>
    </row>
    <row r="6">
      <c r="B6" s="29">
        <f>today()-5</f>
        <v>45815</v>
      </c>
      <c r="C6" s="26" t="s">
        <v>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