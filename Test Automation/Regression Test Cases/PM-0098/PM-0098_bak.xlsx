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6" activeTab="2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LiveOrder" sheetId="11" r:id="rId11"/>
    <sheet name="SelectTrade" sheetId="12" r:id="rId12"/>
    <sheet name="AcknowledgeTrade" sheetId="13" r:id="rId13"/>
    <sheet name="ExecuteTrade" sheetId="14" r:id="rId14"/>
    <sheet name="SelectTrade1" sheetId="15" r:id="rId15"/>
    <sheet name="AcknowledgeTrade1" sheetId="16" r:id="rId16"/>
    <sheet name="ExecuteTrade1" sheetId="17" r:id="rId17"/>
    <sheet name="VerifyOrder" sheetId="18" r:id="rId18"/>
    <sheet name="GetDataAllocation" sheetId="19" r:id="rId19"/>
    <sheet name="CheckAllocatedGroups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N7" i="11" l="1"/>
  <c r="N6" i="11"/>
  <c r="N7" i="9"/>
  <c r="N6" i="9"/>
  <c r="C6" i="6"/>
  <c r="B6" i="6"/>
  <c r="BK5" i="21"/>
  <c r="FB5" i="21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X4" i="21"/>
  <c r="P4" i="21"/>
  <c r="H4" i="21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AX5" i="18"/>
  <c r="AP5" i="18"/>
  <c r="AH5" i="18"/>
  <c r="Z5" i="18"/>
  <c r="R5" i="18"/>
  <c r="J5" i="18"/>
  <c r="B5" i="18"/>
  <c r="AT4" i="18"/>
  <c r="AL4" i="18"/>
  <c r="AD4" i="18"/>
  <c r="V4" i="18"/>
  <c r="N4" i="18"/>
  <c r="F4" i="18"/>
  <c r="A5" i="17"/>
  <c r="C4" i="17"/>
  <c r="B5" i="16"/>
  <c r="D4" i="16"/>
  <c r="C5" i="15"/>
  <c r="E4" i="15"/>
  <c r="J4" i="14"/>
  <c r="B4" i="14"/>
  <c r="A5" i="13"/>
  <c r="C4" i="13"/>
  <c r="B5" i="12"/>
  <c r="D4" i="12"/>
  <c r="AL5" i="11"/>
  <c r="AD5" i="11"/>
  <c r="V5" i="11"/>
  <c r="N5" i="11"/>
  <c r="F5" i="11"/>
  <c r="Y4" i="11"/>
  <c r="Q4" i="11"/>
  <c r="I4" i="11"/>
  <c r="V4" i="10"/>
  <c r="N4" i="10"/>
  <c r="F4" i="10"/>
  <c r="AP5" i="9"/>
  <c r="AH5" i="9"/>
  <c r="Z5" i="9"/>
  <c r="R5" i="9"/>
  <c r="J5" i="9"/>
  <c r="B5" i="9"/>
  <c r="U4" i="9"/>
  <c r="M4" i="9"/>
  <c r="E4" i="9"/>
  <c r="Z4" i="8"/>
  <c r="R4" i="8"/>
  <c r="J4" i="8"/>
  <c r="B4" i="8"/>
  <c r="AE4" i="7"/>
  <c r="W4" i="7"/>
  <c r="O4" i="7"/>
  <c r="G4" i="7"/>
  <c r="FA5" i="21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W4" i="21"/>
  <c r="O4" i="21"/>
  <c r="G4" i="21"/>
  <c r="CR5" i="20"/>
  <c r="CJ5" i="20"/>
  <c r="CB5" i="20"/>
  <c r="BT5" i="20"/>
  <c r="BL5" i="20"/>
  <c r="BD5" i="20"/>
  <c r="AV5" i="20"/>
  <c r="AN5" i="20"/>
  <c r="AF5" i="20"/>
  <c r="X5" i="20"/>
  <c r="P5" i="20"/>
  <c r="H5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Z5" i="21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V4" i="21"/>
  <c r="N4" i="21"/>
  <c r="F4" i="21"/>
  <c r="CQ5" i="20"/>
  <c r="CI5" i="20"/>
  <c r="CA5" i="20"/>
  <c r="BS5" i="20"/>
  <c r="BK5" i="20"/>
  <c r="BC5" i="20"/>
  <c r="AU5" i="20"/>
  <c r="AM5" i="20"/>
  <c r="AE5" i="20"/>
  <c r="W5" i="20"/>
  <c r="O5" i="20"/>
  <c r="G5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AV5" i="18"/>
  <c r="AN5" i="18"/>
  <c r="AF5" i="18"/>
  <c r="X5" i="18"/>
  <c r="P5" i="18"/>
  <c r="H5" i="18"/>
  <c r="AZ4" i="18"/>
  <c r="AR4" i="18"/>
  <c r="AJ4" i="18"/>
  <c r="AB4" i="18"/>
  <c r="T4" i="18"/>
  <c r="L4" i="18"/>
  <c r="D4" i="18"/>
  <c r="I4" i="17"/>
  <c r="J4" i="16"/>
  <c r="B4" i="16"/>
  <c r="A5" i="15"/>
  <c r="C4" i="15"/>
  <c r="H4" i="14"/>
  <c r="G5" i="13"/>
  <c r="I4" i="13"/>
  <c r="J4" i="12"/>
  <c r="B4" i="12"/>
  <c r="AJ5" i="11"/>
  <c r="AB5" i="11"/>
  <c r="T5" i="11"/>
  <c r="L5" i="11"/>
  <c r="D5" i="11"/>
  <c r="W4" i="11"/>
  <c r="O4" i="11"/>
  <c r="G4" i="11"/>
  <c r="A5" i="10"/>
  <c r="T4" i="10"/>
  <c r="L4" i="10"/>
  <c r="D4" i="10"/>
  <c r="AN5" i="9"/>
  <c r="AF5" i="9"/>
  <c r="X5" i="9"/>
  <c r="P5" i="9"/>
  <c r="H5" i="9"/>
  <c r="AA4" i="9"/>
  <c r="S4" i="9"/>
  <c r="K4" i="9"/>
  <c r="C4" i="9"/>
  <c r="X4" i="8"/>
  <c r="P4" i="8"/>
  <c r="H4" i="8"/>
  <c r="D5" i="7"/>
  <c r="AC4" i="7"/>
  <c r="U4" i="7"/>
  <c r="M4" i="7"/>
  <c r="E4" i="7"/>
  <c r="B5" i="6"/>
  <c r="AA4" i="6"/>
  <c r="S4" i="6"/>
  <c r="K4" i="6"/>
  <c r="EY5" i="21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U4" i="21"/>
  <c r="M4" i="21"/>
  <c r="E4" i="21"/>
  <c r="CP5" i="20"/>
  <c r="CH5" i="20"/>
  <c r="BZ5" i="20"/>
  <c r="BR5" i="20"/>
  <c r="BJ5" i="20"/>
  <c r="BB5" i="20"/>
  <c r="AT5" i="20"/>
  <c r="AL5" i="20"/>
  <c r="AD5" i="20"/>
  <c r="V5" i="20"/>
  <c r="N5" i="20"/>
  <c r="F5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AU5" i="18"/>
  <c r="AM5" i="18"/>
  <c r="AE5" i="18"/>
  <c r="W5" i="18"/>
  <c r="O5" i="18"/>
  <c r="G5" i="18"/>
  <c r="AY4" i="18"/>
  <c r="AQ4" i="18"/>
  <c r="AI4" i="18"/>
  <c r="AA4" i="18"/>
  <c r="S4" i="18"/>
  <c r="K4" i="18"/>
  <c r="C4" i="18"/>
  <c r="H4" i="17"/>
  <c r="G5" i="16"/>
  <c r="I4" i="16"/>
  <c r="J4" i="15"/>
  <c r="B4" i="15"/>
  <c r="G4" i="14"/>
  <c r="F5" i="13"/>
  <c r="H4" i="13"/>
  <c r="G5" i="12"/>
  <c r="I4" i="12"/>
  <c r="AI5" i="11"/>
  <c r="AA5" i="11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T4" i="21"/>
  <c r="L4" i="21"/>
  <c r="D4" i="21"/>
  <c r="CO5" i="20"/>
  <c r="CG5" i="20"/>
  <c r="BY5" i="20"/>
  <c r="BQ5" i="20"/>
  <c r="BI5" i="20"/>
  <c r="BA5" i="20"/>
  <c r="AS5" i="20"/>
  <c r="AK5" i="20"/>
  <c r="AC5" i="20"/>
  <c r="U5" i="20"/>
  <c r="M5" i="20"/>
  <c r="E5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AT5" i="18"/>
  <c r="AL5" i="18"/>
  <c r="AD5" i="18"/>
  <c r="V5" i="18"/>
  <c r="N5" i="18"/>
  <c r="F5" i="18"/>
  <c r="AX4" i="18"/>
  <c r="AP4" i="18"/>
  <c r="AH4" i="18"/>
  <c r="Z4" i="18"/>
  <c r="R4" i="18"/>
  <c r="J4" i="18"/>
  <c r="B4" i="18"/>
  <c r="G4" i="17"/>
  <c r="F5" i="16"/>
  <c r="H4" i="16"/>
  <c r="G5" i="15"/>
  <c r="I4" i="15"/>
  <c r="F4" i="14"/>
  <c r="E5" i="13"/>
  <c r="G4" i="13"/>
  <c r="F5" i="12"/>
  <c r="H4" i="1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S4" i="21"/>
  <c r="K4" i="21"/>
  <c r="C4" i="21"/>
  <c r="CN5" i="20"/>
  <c r="CF5" i="20"/>
  <c r="BX5" i="20"/>
  <c r="BP5" i="20"/>
  <c r="BH5" i="20"/>
  <c r="AZ5" i="20"/>
  <c r="AR5" i="20"/>
  <c r="AJ5" i="20"/>
  <c r="AB5" i="20"/>
  <c r="T5" i="20"/>
  <c r="L5" i="20"/>
  <c r="D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BA5" i="18"/>
  <c r="AS5" i="18"/>
  <c r="AK5" i="18"/>
  <c r="AC5" i="18"/>
  <c r="U5" i="18"/>
  <c r="M5" i="18"/>
  <c r="E5" i="18"/>
  <c r="AW4" i="18"/>
  <c r="AO4" i="18"/>
  <c r="AG4" i="18"/>
  <c r="Y4" i="18"/>
  <c r="Q4" i="18"/>
  <c r="I4" i="18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Z4" i="21"/>
  <c r="R4" i="21"/>
  <c r="J4" i="21"/>
  <c r="B4" i="21"/>
  <c r="CM5" i="20"/>
  <c r="CE5" i="20"/>
  <c r="BW5" i="20"/>
  <c r="BO5" i="20"/>
  <c r="BG5" i="20"/>
  <c r="AY5" i="20"/>
  <c r="AQ5" i="20"/>
  <c r="AI5" i="20"/>
  <c r="AA5" i="20"/>
  <c r="S5" i="20"/>
  <c r="K5" i="20"/>
  <c r="C5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AZ5" i="18"/>
  <c r="AR5" i="18"/>
  <c r="AJ5" i="18"/>
  <c r="AB5" i="18"/>
  <c r="T5" i="18"/>
  <c r="L5" i="18"/>
  <c r="D5" i="18"/>
  <c r="AV4" i="18"/>
  <c r="AN4" i="18"/>
  <c r="AF4" i="18"/>
  <c r="X4" i="18"/>
  <c r="P4" i="18"/>
  <c r="H4" i="18"/>
  <c r="C5" i="17"/>
  <c r="E4" i="17"/>
  <c r="D5" i="16"/>
  <c r="F4" i="16"/>
  <c r="E5" i="15"/>
  <c r="G4" i="15"/>
  <c r="B5" i="14"/>
  <c r="D4" i="14"/>
  <c r="C5" i="13"/>
  <c r="E4" i="13"/>
  <c r="D5" i="12"/>
  <c r="F4" i="12"/>
  <c r="AN5" i="11"/>
  <c r="AF5" i="11"/>
  <c r="X5" i="11"/>
  <c r="P5" i="11"/>
  <c r="H5" i="11"/>
  <c r="AA4" i="11"/>
  <c r="S4" i="11"/>
  <c r="K4" i="11"/>
  <c r="C4" i="11"/>
  <c r="X4" i="10"/>
  <c r="P4" i="10"/>
  <c r="H4" i="10"/>
  <c r="EU5" i="21"/>
  <c r="EM5" i="21"/>
  <c r="EE5" i="21"/>
  <c r="DW5" i="21"/>
  <c r="DO5" i="21"/>
  <c r="DG5" i="21"/>
  <c r="CY5" i="21"/>
  <c r="CQ5" i="21"/>
  <c r="CI5" i="21"/>
  <c r="CA5" i="21"/>
  <c r="BS5" i="21"/>
  <c r="BC5" i="21"/>
  <c r="AU5" i="21"/>
  <c r="AM5" i="21"/>
  <c r="AE5" i="21"/>
  <c r="W5" i="21"/>
  <c r="O5" i="21"/>
  <c r="G5" i="21"/>
  <c r="Y4" i="21"/>
  <c r="Q4" i="21"/>
  <c r="I4" i="21"/>
  <c r="CL5" i="20"/>
  <c r="CD5" i="20"/>
  <c r="BV5" i="20"/>
  <c r="BN5" i="20"/>
  <c r="BF5" i="20"/>
  <c r="AX5" i="20"/>
  <c r="AP5" i="20"/>
  <c r="AH5" i="20"/>
  <c r="Z5" i="20"/>
  <c r="R5" i="20"/>
  <c r="J5" i="20"/>
  <c r="B5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AY5" i="18"/>
  <c r="AQ5" i="18"/>
  <c r="AI5" i="18"/>
  <c r="AA5" i="18"/>
  <c r="S5" i="18"/>
  <c r="K5" i="18"/>
  <c r="C5" i="18"/>
  <c r="AU4" i="18"/>
  <c r="AM4" i="18"/>
  <c r="AE4" i="18"/>
  <c r="W4" i="18"/>
  <c r="O4" i="18"/>
  <c r="G4" i="18"/>
  <c r="B5" i="17"/>
  <c r="D4" i="17"/>
  <c r="C5" i="16"/>
  <c r="E4" i="16"/>
  <c r="D5" i="15"/>
  <c r="F4" i="15"/>
  <c r="A5" i="14"/>
  <c r="C4" i="14"/>
  <c r="B5" i="13"/>
  <c r="D4" i="13"/>
  <c r="C5" i="12"/>
  <c r="E4" i="12"/>
  <c r="AM5" i="11"/>
  <c r="AE5" i="11"/>
  <c r="W5" i="11"/>
  <c r="O5" i="11"/>
  <c r="G5" i="11"/>
  <c r="K5" i="19"/>
  <c r="BP4" i="19"/>
  <c r="D4" i="19"/>
  <c r="AS4" i="18"/>
  <c r="B4" i="17"/>
  <c r="D4" i="15"/>
  <c r="B4" i="13"/>
  <c r="AH5" i="11"/>
  <c r="Q5" i="11"/>
  <c r="A5" i="11"/>
  <c r="N4" i="11"/>
  <c r="B4" i="11"/>
  <c r="R4" i="10"/>
  <c r="E4" i="10"/>
  <c r="AL5" i="9"/>
  <c r="AB5" i="9"/>
  <c r="Q5" i="9"/>
  <c r="F5" i="9"/>
  <c r="W4" i="9"/>
  <c r="L4" i="9"/>
  <c r="T4" i="8"/>
  <c r="I4" i="8"/>
  <c r="B5" i="7"/>
  <c r="Y4" i="7"/>
  <c r="N4" i="7"/>
  <c r="C4" i="7"/>
  <c r="AF4" i="6"/>
  <c r="W4" i="6"/>
  <c r="N4" i="6"/>
  <c r="E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C5" i="19"/>
  <c r="BH4" i="19"/>
  <c r="AW5" i="18"/>
  <c r="AK4" i="18"/>
  <c r="E5" i="16"/>
  <c r="C5" i="14"/>
  <c r="E5" i="12"/>
  <c r="AG5" i="11"/>
  <c r="M5" i="11"/>
  <c r="Z4" i="11"/>
  <c r="M4" i="11"/>
  <c r="B5" i="10"/>
  <c r="Q4" i="10"/>
  <c r="C4" i="10"/>
  <c r="AK5" i="9"/>
  <c r="AA5" i="9"/>
  <c r="O5" i="9"/>
  <c r="E5" i="9"/>
  <c r="V4" i="9"/>
  <c r="J4" i="9"/>
  <c r="B5" i="8"/>
  <c r="S4" i="8"/>
  <c r="G4" i="8"/>
  <c r="A5" i="7"/>
  <c r="X4" i="7"/>
  <c r="L4" i="7"/>
  <c r="B4" i="7"/>
  <c r="AE4" i="6"/>
  <c r="V4" i="6"/>
  <c r="M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6" i="1"/>
  <c r="A494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DL4" i="19"/>
  <c r="AZ4" i="19"/>
  <c r="AO5" i="18"/>
  <c r="AC4" i="18"/>
  <c r="A5" i="16"/>
  <c r="I4" i="14"/>
  <c r="A5" i="12"/>
  <c r="AC5" i="11"/>
  <c r="K5" i="11"/>
  <c r="X4" i="11"/>
  <c r="L4" i="11"/>
  <c r="AA4" i="10"/>
  <c r="O4" i="10"/>
  <c r="B4" i="10"/>
  <c r="AJ5" i="9"/>
  <c r="Y5" i="9"/>
  <c r="N5" i="9"/>
  <c r="D5" i="9"/>
  <c r="T4" i="9"/>
  <c r="I4" i="9"/>
  <c r="A5" i="8"/>
  <c r="Q4" i="8"/>
  <c r="F4" i="8"/>
  <c r="AG4" i="7"/>
  <c r="V4" i="7"/>
  <c r="K4" i="7"/>
  <c r="AD4" i="6"/>
  <c r="U4" i="6"/>
  <c r="L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DD4" i="19"/>
  <c r="AR4" i="19"/>
  <c r="AG5" i="18"/>
  <c r="U4" i="18"/>
  <c r="G4" i="16"/>
  <c r="E4" i="14"/>
  <c r="G4" i="12"/>
  <c r="Z5" i="11"/>
  <c r="J5" i="11"/>
  <c r="V4" i="11"/>
  <c r="J4" i="11"/>
  <c r="Z4" i="10"/>
  <c r="M4" i="10"/>
  <c r="AI5" i="9"/>
  <c r="W5" i="9"/>
  <c r="M5" i="9"/>
  <c r="C5" i="9"/>
  <c r="R4" i="9"/>
  <c r="H4" i="9"/>
  <c r="AA4" i="8"/>
  <c r="O4" i="8"/>
  <c r="E4" i="8"/>
  <c r="AF4" i="7"/>
  <c r="T4" i="7"/>
  <c r="J4" i="7"/>
  <c r="AC4" i="6"/>
  <c r="T4" i="6"/>
  <c r="J4" i="6"/>
  <c r="B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CV4" i="19"/>
  <c r="AJ4" i="19"/>
  <c r="Y5" i="18"/>
  <c r="M4" i="18"/>
  <c r="C4" i="16"/>
  <c r="C4" i="12"/>
  <c r="Y5" i="11"/>
  <c r="I5" i="11"/>
  <c r="U4" i="11"/>
  <c r="H4" i="11"/>
  <c r="Y4" i="10"/>
  <c r="K4" i="10"/>
  <c r="AG5" i="9"/>
  <c r="V5" i="9"/>
  <c r="L5" i="9"/>
  <c r="A5" i="9"/>
  <c r="Q4" i="9"/>
  <c r="G4" i="9"/>
  <c r="Y4" i="8"/>
  <c r="N4" i="8"/>
  <c r="D4" i="8"/>
  <c r="AD4" i="7"/>
  <c r="S4" i="7"/>
  <c r="I4" i="7"/>
  <c r="AB4" i="6"/>
  <c r="R4" i="6"/>
  <c r="I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CN4" i="19"/>
  <c r="AB4" i="19"/>
  <c r="Q5" i="18"/>
  <c r="E4" i="18"/>
  <c r="F5" i="15"/>
  <c r="D5" i="13"/>
  <c r="U5" i="11"/>
  <c r="E5" i="11"/>
  <c r="T4" i="11"/>
  <c r="F4" i="11"/>
  <c r="W4" i="10"/>
  <c r="J4" i="10"/>
  <c r="AE5" i="9"/>
  <c r="U5" i="9"/>
  <c r="K5" i="9"/>
  <c r="Z4" i="9"/>
  <c r="P4" i="9"/>
  <c r="F4" i="9"/>
  <c r="W4" i="8"/>
  <c r="M4" i="8"/>
  <c r="C4" i="8"/>
  <c r="AB4" i="7"/>
  <c r="R4" i="7"/>
  <c r="H4" i="7"/>
  <c r="C5" i="6"/>
  <c r="Z4" i="6"/>
  <c r="Q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F4" i="19"/>
  <c r="T4" i="19"/>
  <c r="I5" i="18"/>
  <c r="J4" i="17"/>
  <c r="B5" i="15"/>
  <c r="J4" i="13"/>
  <c r="S5" i="11"/>
  <c r="C5" i="11"/>
  <c r="R4" i="11"/>
  <c r="E4" i="11"/>
  <c r="U4" i="10"/>
  <c r="I4" i="10"/>
  <c r="AO5" i="9"/>
  <c r="AD5" i="9"/>
  <c r="T5" i="9"/>
  <c r="I5" i="9"/>
  <c r="Y4" i="9"/>
  <c r="O4" i="9"/>
  <c r="D4" i="9"/>
  <c r="V4" i="8"/>
  <c r="L4" i="8"/>
  <c r="AA4" i="7"/>
  <c r="Q4" i="7"/>
  <c r="F4" i="7"/>
  <c r="A5" i="6"/>
  <c r="Y4" i="6"/>
  <c r="P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95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BX4" i="19"/>
  <c r="L4" i="19"/>
  <c r="A5" i="18"/>
  <c r="F4" i="17"/>
  <c r="H4" i="15"/>
  <c r="F4" i="13"/>
  <c r="AK5" i="11"/>
  <c r="R5" i="11"/>
  <c r="B5" i="11"/>
  <c r="P4" i="11"/>
  <c r="D4" i="11"/>
  <c r="S4" i="10"/>
  <c r="G4" i="10"/>
  <c r="AM5" i="9"/>
  <c r="AC5" i="9"/>
  <c r="S5" i="9"/>
  <c r="G5" i="9"/>
  <c r="X4" i="9"/>
  <c r="N4" i="9"/>
  <c r="B4" i="9"/>
  <c r="U4" i="8"/>
  <c r="K4" i="8"/>
  <c r="C5" i="7"/>
  <c r="Z4" i="7"/>
  <c r="P4" i="7"/>
  <c r="D4" i="7"/>
  <c r="AG4" i="6"/>
  <c r="X4" i="6"/>
  <c r="O4" i="6"/>
  <c r="F4" i="6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7" i="1"/>
  <c r="B324" i="1"/>
  <c r="B321" i="1"/>
  <c r="B318" i="1"/>
  <c r="B315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327" i="1"/>
  <c r="A324" i="1"/>
  <c r="A321" i="1"/>
  <c r="A318" i="1"/>
  <c r="C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26" i="1"/>
  <c r="C323" i="1"/>
  <c r="C320" i="1"/>
  <c r="B317" i="1"/>
  <c r="B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326" i="1"/>
  <c r="B323" i="1"/>
  <c r="A320" i="1"/>
  <c r="A317" i="1"/>
  <c r="A314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26" i="1"/>
  <c r="C322" i="1"/>
  <c r="C319" i="1"/>
  <c r="C316" i="1"/>
  <c r="C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325" i="1"/>
  <c r="B322" i="1"/>
  <c r="B319" i="1"/>
  <c r="B316" i="1"/>
  <c r="B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329" i="1"/>
  <c r="A325" i="1"/>
  <c r="A322" i="1"/>
  <c r="A319" i="1"/>
  <c r="A316" i="1"/>
  <c r="A313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328" i="1"/>
  <c r="C324" i="1"/>
  <c r="C321" i="1"/>
  <c r="C318" i="1"/>
  <c r="C315" i="1"/>
  <c r="C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1" l="1"/>
  <c r="J2" i="20"/>
  <c r="J2" i="17"/>
  <c r="J2" i="13"/>
  <c r="J2" i="16"/>
  <c r="J2" i="12"/>
  <c r="J2" i="19"/>
  <c r="J2" i="15"/>
  <c r="J2" i="18"/>
  <c r="J2" i="21"/>
  <c r="J2" i="9"/>
  <c r="J2" i="7"/>
  <c r="J2" i="10"/>
  <c r="J2" i="14"/>
  <c r="J2" i="6"/>
  <c r="J2" i="4"/>
  <c r="J2" i="8"/>
  <c r="J2" i="5"/>
</calcChain>
</file>

<file path=xl/sharedStrings.xml><?xml version="1.0" encoding="utf-8"?>
<sst xmlns="http://schemas.openxmlformats.org/spreadsheetml/2006/main" count="538" uniqueCount="83">
  <si>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</si>
  <si>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</si>
  <si>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</si>
  <si>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</si>
  <si>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</si>
  <si>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</si>
  <si>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</si>
  <si>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</si>
  <si>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</si>
  <si>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</si>
  <si>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</si>
  <si>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</si>
  <si>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</si>
  <si>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</si>
  <si>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</si>
  <si>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</si>
  <si>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</si>
  <si>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</si>
  <si>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</si>
  <si>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</si>
  <si>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</si>
  <si>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</si>
  <si>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</si>
  <si>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</si>
  <si>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</si>
  <si>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</si>
  <si>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</si>
  <si>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</si>
  <si>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</si>
  <si>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</si>
  <si>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</si>
  <si>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</si>
  <si>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</si>
  <si>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</si>
  <si>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</si>
  <si>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</si>
  <si>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</si>
  <si>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</si>
  <si>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</si>
  <si>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</si>
  <si>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</si>
  <si>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</si>
  <si>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</si>
  <si>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</si>
  <si>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TradingAccount-1</t>
  </si>
  <si>
    <t>NONE</t>
  </si>
  <si>
    <t>DefaultNotes</t>
  </si>
  <si>
    <t>M</t>
  </si>
  <si>
    <t>Equity</t>
  </si>
  <si>
    <t>Filled</t>
  </si>
  <si>
    <t>MS</t>
  </si>
  <si>
    <t>Market</t>
  </si>
  <si>
    <t>Manual</t>
  </si>
  <si>
    <t>TradingAccount-2</t>
  </si>
  <si>
    <t>MSFT US EQUITY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</si>
  <si>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</si>
  <si>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</si>
  <si>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</si>
  <si>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</si>
  <si>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</si>
  <si>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</si>
  <si>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</si>
  <si>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</si>
  <si>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FIX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</si>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</sst>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0" xfId="0" applyFont="1" applyAlignment="1"/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14" fontId="14" fillId="6" borderId="5" xfId="0" applyNumberFormat="1" applyFont="1" applyFill="1" applyBorder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27" sqref="G27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26" t="b">
        <v>1</v>
      </c>
      <c r="E6" s="27"/>
      <c r="F6" s="27"/>
      <c r="G6" s="27"/>
      <c r="H6" s="28">
        <v>10.25</v>
      </c>
      <c r="I6" s="27"/>
      <c r="J6" s="27"/>
      <c r="K6" s="29" t="s">
        <v>16</v>
      </c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1">
        <f t="shared" ref="B6:C6" ca="1" si="0">TODAY()-1</f>
        <v>44411</v>
      </c>
      <c r="C6" s="31">
        <f t="shared" ca="1" si="0"/>
        <v>44411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2" t="s">
        <v>22</v>
      </c>
      <c r="C6" s="33" t="s">
        <v>23</v>
      </c>
      <c r="D6" s="34">
        <v>300000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33" t="s">
        <v>24</v>
      </c>
      <c r="C7" s="33" t="s">
        <v>23</v>
      </c>
      <c r="D7" s="28">
        <v>300000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27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29</v>
      </c>
      <c r="C6" s="33" t="s">
        <v>30</v>
      </c>
      <c r="D6" s="34">
        <v>100</v>
      </c>
      <c r="E6" s="28">
        <v>100</v>
      </c>
      <c r="F6" s="33" t="s">
        <v>22</v>
      </c>
      <c r="G6" s="27"/>
      <c r="H6" s="27"/>
      <c r="I6" s="27"/>
      <c r="J6" s="28">
        <v>210</v>
      </c>
      <c r="K6" s="27"/>
      <c r="L6" s="27"/>
      <c r="M6" s="27"/>
      <c r="N6" s="36">
        <f t="shared" ref="N6:N7" ca="1" si="0">TODAY()</f>
        <v>44412</v>
      </c>
      <c r="O6" s="27"/>
      <c r="P6" s="27"/>
      <c r="Q6" s="27"/>
      <c r="R6" s="27"/>
    </row>
    <row r="7" spans="1:154" ht="15.75" customHeight="1">
      <c r="A7" s="5"/>
      <c r="B7" s="33" t="s">
        <v>29</v>
      </c>
      <c r="C7" s="33" t="s">
        <v>30</v>
      </c>
      <c r="D7" s="28">
        <v>100000</v>
      </c>
      <c r="E7" s="28">
        <v>100000</v>
      </c>
      <c r="F7" s="33" t="s">
        <v>22</v>
      </c>
      <c r="G7" s="27"/>
      <c r="H7" s="27"/>
      <c r="I7" s="27"/>
      <c r="J7" s="28">
        <v>210</v>
      </c>
      <c r="K7" s="27"/>
      <c r="L7" s="27"/>
      <c r="M7" s="27"/>
      <c r="N7" s="36">
        <f t="shared" ca="1" si="0"/>
        <v>44412</v>
      </c>
      <c r="O7" s="27"/>
      <c r="P7" s="37"/>
      <c r="Q7" s="37"/>
      <c r="R7" s="37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31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29</v>
      </c>
      <c r="C6" s="33" t="s">
        <v>30</v>
      </c>
      <c r="D6" s="34">
        <v>100000</v>
      </c>
      <c r="E6" s="28">
        <v>100000</v>
      </c>
      <c r="F6" s="33" t="s">
        <v>24</v>
      </c>
      <c r="G6" s="27"/>
      <c r="H6" s="27"/>
      <c r="I6" s="27"/>
      <c r="J6" s="28">
        <v>210</v>
      </c>
      <c r="K6" s="27"/>
      <c r="L6" s="27"/>
      <c r="M6" s="27"/>
      <c r="N6" s="36">
        <f t="shared" ref="N6:N7" ca="1" si="0">TODAY()</f>
        <v>44412</v>
      </c>
      <c r="O6" s="27"/>
    </row>
    <row r="7" spans="1:154" ht="15.75" customHeight="1">
      <c r="A7" s="5"/>
      <c r="B7" s="33" t="s">
        <v>33</v>
      </c>
      <c r="C7" s="33" t="s">
        <v>30</v>
      </c>
      <c r="D7" s="28">
        <v>100</v>
      </c>
      <c r="E7" s="28">
        <v>100</v>
      </c>
      <c r="F7" s="33" t="s">
        <v>24</v>
      </c>
      <c r="G7" s="27"/>
      <c r="H7" s="27"/>
      <c r="I7" s="27"/>
      <c r="J7" s="28">
        <v>210</v>
      </c>
      <c r="K7" s="27"/>
      <c r="L7" s="27"/>
      <c r="M7" s="27"/>
      <c r="N7" s="36">
        <f t="shared" ca="1" si="0"/>
        <v>44412</v>
      </c>
      <c r="O7" s="37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30</v>
      </c>
      <c r="C6" s="33" t="s">
        <v>29</v>
      </c>
      <c r="D6" s="38"/>
      <c r="E6" s="27"/>
      <c r="F6" s="27"/>
      <c r="G6" s="28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30</v>
      </c>
      <c r="C6" s="33" t="s">
        <v>29</v>
      </c>
      <c r="D6" s="38"/>
      <c r="E6" s="27"/>
      <c r="F6" s="27"/>
      <c r="G6" s="28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>
        <v>210</v>
      </c>
      <c r="C6" s="28">
        <v>100000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30</v>
      </c>
      <c r="C6" s="33" t="s">
        <v>33</v>
      </c>
      <c r="D6" s="38"/>
      <c r="E6" s="27"/>
      <c r="F6" s="27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5" t="s">
        <v>30</v>
      </c>
      <c r="C6" s="33" t="s">
        <v>33</v>
      </c>
      <c r="D6" s="38"/>
      <c r="E6" s="27"/>
      <c r="F6" s="27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>
        <v>210</v>
      </c>
      <c r="C6" s="28">
        <v>100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40">
        <v>210</v>
      </c>
      <c r="E6" s="27" t="s">
        <v>40</v>
      </c>
      <c r="F6" s="41">
        <v>0</v>
      </c>
      <c r="G6" s="27"/>
      <c r="H6" s="27" t="s">
        <v>41</v>
      </c>
      <c r="I6" s="27" t="s">
        <v>42</v>
      </c>
      <c r="J6" s="27" t="s">
        <v>29</v>
      </c>
      <c r="K6" s="27" t="s">
        <v>43</v>
      </c>
      <c r="L6" s="42" t="s">
        <v>44</v>
      </c>
      <c r="M6" s="27"/>
      <c r="N6" s="27"/>
      <c r="O6" s="27"/>
      <c r="P6" s="27"/>
      <c r="Q6" s="27"/>
      <c r="R6" s="27"/>
      <c r="S6" s="27"/>
      <c r="T6" s="43">
        <v>0</v>
      </c>
      <c r="U6" s="37" t="s">
        <v>23</v>
      </c>
      <c r="V6" s="37" t="s">
        <v>45</v>
      </c>
      <c r="W6" s="37"/>
      <c r="X6" s="37"/>
      <c r="Y6" s="37"/>
      <c r="Z6" s="37"/>
      <c r="AA6" s="37" t="s">
        <v>27</v>
      </c>
      <c r="AB6" s="43">
        <v>100</v>
      </c>
      <c r="AC6" s="37" t="s">
        <v>46</v>
      </c>
      <c r="AD6" s="43">
        <v>1</v>
      </c>
      <c r="AE6" s="37"/>
      <c r="AF6" s="37" t="s">
        <v>47</v>
      </c>
      <c r="AG6" s="43">
        <v>210</v>
      </c>
      <c r="AH6" s="37" t="s">
        <v>48</v>
      </c>
      <c r="AI6" s="37" t="s">
        <v>29</v>
      </c>
      <c r="AJ6" s="37" t="s">
        <v>30</v>
      </c>
      <c r="AK6" s="37" t="s">
        <v>49</v>
      </c>
      <c r="AL6" s="43">
        <v>100</v>
      </c>
      <c r="AM6" s="43">
        <v>100</v>
      </c>
      <c r="AN6" s="43">
        <v>100</v>
      </c>
      <c r="AO6" s="43">
        <v>100</v>
      </c>
      <c r="AP6" s="37"/>
      <c r="AQ6" s="43">
        <v>210</v>
      </c>
      <c r="AR6" s="43">
        <v>210</v>
      </c>
      <c r="AS6" s="37" t="s">
        <v>50</v>
      </c>
      <c r="AT6" s="37" t="s">
        <v>22</v>
      </c>
      <c r="AU6" s="37" t="s">
        <v>51</v>
      </c>
      <c r="AV6" s="43">
        <v>21000</v>
      </c>
      <c r="AW6" s="43">
        <v>21000</v>
      </c>
      <c r="AX6" s="37" t="s">
        <v>52</v>
      </c>
      <c r="AY6" s="43">
        <v>100</v>
      </c>
      <c r="AZ6" s="43">
        <v>0</v>
      </c>
      <c r="BA6" s="37" t="s">
        <v>42</v>
      </c>
    </row>
    <row r="7" spans="1:154" ht="15.75" customHeight="1">
      <c r="A7" s="5"/>
      <c r="B7" s="5"/>
      <c r="C7" s="5"/>
      <c r="D7" s="43">
        <v>210</v>
      </c>
      <c r="E7" s="37" t="s">
        <v>40</v>
      </c>
      <c r="F7" s="43">
        <v>0</v>
      </c>
      <c r="G7" s="37"/>
      <c r="H7" s="37" t="s">
        <v>41</v>
      </c>
      <c r="I7" s="37" t="s">
        <v>42</v>
      </c>
      <c r="J7" s="37" t="s">
        <v>29</v>
      </c>
      <c r="K7" s="37" t="s">
        <v>43</v>
      </c>
      <c r="L7" s="42" t="s">
        <v>44</v>
      </c>
      <c r="M7" s="37"/>
      <c r="N7" s="37"/>
      <c r="O7" s="37"/>
      <c r="P7" s="37"/>
      <c r="Q7" s="37"/>
      <c r="R7" s="37"/>
      <c r="S7" s="37"/>
      <c r="T7" s="43">
        <v>0</v>
      </c>
      <c r="U7" s="37" t="s">
        <v>23</v>
      </c>
      <c r="V7" s="37" t="s">
        <v>45</v>
      </c>
      <c r="W7" s="37"/>
      <c r="X7" s="37"/>
      <c r="Y7" s="37"/>
      <c r="Z7" s="37"/>
      <c r="AA7" s="37" t="s">
        <v>27</v>
      </c>
      <c r="AB7" s="43">
        <v>100000</v>
      </c>
      <c r="AC7" s="37" t="s">
        <v>46</v>
      </c>
      <c r="AD7" s="43">
        <v>1</v>
      </c>
      <c r="AE7" s="37"/>
      <c r="AF7" s="37" t="s">
        <v>47</v>
      </c>
      <c r="AG7" s="43">
        <v>210</v>
      </c>
      <c r="AH7" s="37" t="s">
        <v>48</v>
      </c>
      <c r="AI7" s="37" t="s">
        <v>29</v>
      </c>
      <c r="AJ7" s="37" t="s">
        <v>30</v>
      </c>
      <c r="AK7" s="37" t="s">
        <v>49</v>
      </c>
      <c r="AL7" s="43">
        <v>100000</v>
      </c>
      <c r="AM7" s="43">
        <v>100000</v>
      </c>
      <c r="AN7" s="43">
        <v>100</v>
      </c>
      <c r="AO7" s="43">
        <v>100000</v>
      </c>
      <c r="AP7" s="37"/>
      <c r="AQ7" s="43">
        <v>210</v>
      </c>
      <c r="AR7" s="43">
        <v>210</v>
      </c>
      <c r="AS7" s="37" t="s">
        <v>50</v>
      </c>
      <c r="AT7" s="37" t="s">
        <v>22</v>
      </c>
      <c r="AU7" s="37" t="s">
        <v>51</v>
      </c>
      <c r="AV7" s="43">
        <v>21000000</v>
      </c>
      <c r="AW7" s="43">
        <v>21000000</v>
      </c>
      <c r="AX7" s="37" t="s">
        <v>52</v>
      </c>
      <c r="AY7" s="43">
        <v>100000</v>
      </c>
      <c r="AZ7" s="43">
        <v>0</v>
      </c>
      <c r="BA7" s="37" t="s">
        <v>42</v>
      </c>
    </row>
    <row r="8" spans="1:154" ht="15.75" customHeight="1">
      <c r="A8" s="5"/>
      <c r="B8" s="5"/>
      <c r="C8" s="5"/>
      <c r="D8" s="43">
        <v>210</v>
      </c>
      <c r="E8" s="37" t="s">
        <v>40</v>
      </c>
      <c r="F8" s="43">
        <v>0</v>
      </c>
      <c r="G8" s="37"/>
      <c r="H8" s="37" t="s">
        <v>41</v>
      </c>
      <c r="I8" s="37" t="s">
        <v>42</v>
      </c>
      <c r="J8" s="37" t="s">
        <v>29</v>
      </c>
      <c r="K8" s="37" t="s">
        <v>43</v>
      </c>
      <c r="L8" s="44" t="s">
        <v>53</v>
      </c>
      <c r="M8" s="37"/>
      <c r="N8" s="37"/>
      <c r="O8" s="37"/>
      <c r="P8" s="37"/>
      <c r="Q8" s="37"/>
      <c r="R8" s="37"/>
      <c r="S8" s="37"/>
      <c r="T8" s="43">
        <v>0</v>
      </c>
      <c r="U8" s="37" t="s">
        <v>23</v>
      </c>
      <c r="V8" s="37" t="s">
        <v>45</v>
      </c>
      <c r="W8" s="37"/>
      <c r="X8" s="37"/>
      <c r="Y8" s="37"/>
      <c r="Z8" s="37"/>
      <c r="AA8" s="37" t="s">
        <v>31</v>
      </c>
      <c r="AB8" s="43">
        <v>100000</v>
      </c>
      <c r="AC8" s="37" t="s">
        <v>46</v>
      </c>
      <c r="AD8" s="43">
        <v>1</v>
      </c>
      <c r="AE8" s="37"/>
      <c r="AF8" s="37" t="s">
        <v>47</v>
      </c>
      <c r="AG8" s="43">
        <v>210</v>
      </c>
      <c r="AH8" s="37" t="s">
        <v>48</v>
      </c>
      <c r="AI8" s="37" t="s">
        <v>29</v>
      </c>
      <c r="AJ8" s="37" t="s">
        <v>30</v>
      </c>
      <c r="AK8" s="37" t="s">
        <v>49</v>
      </c>
      <c r="AL8" s="43">
        <v>100000</v>
      </c>
      <c r="AM8" s="43">
        <v>100000</v>
      </c>
      <c r="AN8" s="43">
        <v>100</v>
      </c>
      <c r="AO8" s="43">
        <v>100000</v>
      </c>
      <c r="AP8" s="37"/>
      <c r="AQ8" s="43">
        <v>210</v>
      </c>
      <c r="AR8" s="43">
        <v>210</v>
      </c>
      <c r="AS8" s="37" t="s">
        <v>50</v>
      </c>
      <c r="AT8" s="37" t="s">
        <v>24</v>
      </c>
      <c r="AU8" s="37" t="s">
        <v>51</v>
      </c>
      <c r="AV8" s="43">
        <v>21000000</v>
      </c>
      <c r="AW8" s="43">
        <v>21000000</v>
      </c>
      <c r="AX8" s="37" t="s">
        <v>52</v>
      </c>
      <c r="AY8" s="43">
        <v>100000</v>
      </c>
      <c r="AZ8" s="43">
        <v>0</v>
      </c>
      <c r="BA8" s="37" t="s">
        <v>42</v>
      </c>
    </row>
    <row r="9" spans="1:154" ht="15.75" customHeight="1">
      <c r="A9" s="5"/>
      <c r="B9" s="5"/>
      <c r="C9" s="5"/>
      <c r="D9" s="43">
        <v>210</v>
      </c>
      <c r="E9" s="37" t="s">
        <v>54</v>
      </c>
      <c r="F9" s="43">
        <v>0</v>
      </c>
      <c r="G9" s="37"/>
      <c r="H9" s="37" t="s">
        <v>41</v>
      </c>
      <c r="I9" s="37" t="s">
        <v>42</v>
      </c>
      <c r="J9" s="37" t="s">
        <v>33</v>
      </c>
      <c r="K9" s="37" t="s">
        <v>43</v>
      </c>
      <c r="L9" s="44" t="s">
        <v>53</v>
      </c>
      <c r="M9" s="37"/>
      <c r="N9" s="37"/>
      <c r="O9" s="37"/>
      <c r="P9" s="37"/>
      <c r="Q9" s="37"/>
      <c r="R9" s="37"/>
      <c r="S9" s="37"/>
      <c r="T9" s="43">
        <v>0</v>
      </c>
      <c r="U9" s="37" t="s">
        <v>23</v>
      </c>
      <c r="V9" s="37" t="s">
        <v>45</v>
      </c>
      <c r="W9" s="37"/>
      <c r="X9" s="37"/>
      <c r="Y9" s="37"/>
      <c r="Z9" s="37"/>
      <c r="AA9" s="37" t="s">
        <v>31</v>
      </c>
      <c r="AB9" s="43">
        <v>100</v>
      </c>
      <c r="AC9" s="37" t="s">
        <v>46</v>
      </c>
      <c r="AD9" s="43">
        <v>1</v>
      </c>
      <c r="AE9" s="37"/>
      <c r="AF9" s="37" t="s">
        <v>47</v>
      </c>
      <c r="AG9" s="43">
        <v>210</v>
      </c>
      <c r="AH9" s="37" t="s">
        <v>48</v>
      </c>
      <c r="AI9" s="37" t="s">
        <v>33</v>
      </c>
      <c r="AJ9" s="37" t="s">
        <v>30</v>
      </c>
      <c r="AK9" s="37" t="s">
        <v>49</v>
      </c>
      <c r="AL9" s="43">
        <v>100</v>
      </c>
      <c r="AM9" s="43">
        <v>100</v>
      </c>
      <c r="AN9" s="43">
        <v>100</v>
      </c>
      <c r="AO9" s="43">
        <v>100</v>
      </c>
      <c r="AP9" s="37"/>
      <c r="AQ9" s="43">
        <v>210</v>
      </c>
      <c r="AR9" s="43">
        <v>210</v>
      </c>
      <c r="AS9" s="37" t="s">
        <v>50</v>
      </c>
      <c r="AT9" s="37" t="s">
        <v>24</v>
      </c>
      <c r="AU9" s="37" t="s">
        <v>51</v>
      </c>
      <c r="AV9" s="43">
        <v>21000</v>
      </c>
      <c r="AW9" s="43">
        <v>21000</v>
      </c>
      <c r="AX9" s="37" t="s">
        <v>52</v>
      </c>
      <c r="AY9" s="43">
        <v>100</v>
      </c>
      <c r="AZ9" s="43">
        <v>0</v>
      </c>
      <c r="BA9" s="37" t="s">
        <v>42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55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56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57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8" t="s">
        <v>22</v>
      </c>
      <c r="C6" s="27"/>
      <c r="D6" s="40">
        <v>0</v>
      </c>
      <c r="E6" s="41">
        <v>100</v>
      </c>
      <c r="F6" s="27" t="s">
        <v>52</v>
      </c>
      <c r="G6" s="27" t="s">
        <v>48</v>
      </c>
      <c r="H6" s="27"/>
      <c r="I6" s="27"/>
      <c r="J6" s="27"/>
      <c r="K6" s="41">
        <v>210</v>
      </c>
      <c r="L6" s="41">
        <v>210</v>
      </c>
      <c r="M6" s="42" t="s">
        <v>40</v>
      </c>
      <c r="N6" s="27"/>
      <c r="O6" s="27" t="s">
        <v>50</v>
      </c>
      <c r="P6" s="27"/>
      <c r="Q6" s="27"/>
      <c r="R6" s="27"/>
      <c r="S6" s="27" t="s">
        <v>58</v>
      </c>
      <c r="T6" s="43">
        <v>0</v>
      </c>
      <c r="U6" s="43">
        <v>0</v>
      </c>
      <c r="V6" s="37" t="s">
        <v>59</v>
      </c>
      <c r="W6" s="43">
        <v>1</v>
      </c>
      <c r="X6" s="37"/>
      <c r="Y6" s="37"/>
      <c r="Z6" s="37" t="s">
        <v>23</v>
      </c>
      <c r="AA6" s="37"/>
      <c r="AB6" s="43">
        <v>1</v>
      </c>
      <c r="AC6" s="37" t="s">
        <v>60</v>
      </c>
      <c r="AD6" s="37" t="s">
        <v>41</v>
      </c>
      <c r="AE6" s="43">
        <v>100</v>
      </c>
      <c r="AF6" s="37"/>
      <c r="AG6" s="37"/>
      <c r="AH6" s="37" t="s">
        <v>47</v>
      </c>
      <c r="AI6" s="43">
        <v>1</v>
      </c>
      <c r="AJ6" s="37" t="s">
        <v>61</v>
      </c>
      <c r="AK6" s="37"/>
      <c r="AL6" s="37"/>
      <c r="AM6" s="37"/>
      <c r="AN6" s="45" t="b">
        <v>0</v>
      </c>
      <c r="AO6" s="37"/>
      <c r="AP6" s="37"/>
      <c r="AQ6" s="45" t="b">
        <v>0</v>
      </c>
      <c r="AR6" s="45" t="b">
        <v>1</v>
      </c>
      <c r="AS6" s="37"/>
      <c r="AT6" s="43">
        <v>21014.01</v>
      </c>
      <c r="AU6" s="43">
        <v>21014.01</v>
      </c>
      <c r="AV6" s="37"/>
      <c r="AW6" s="37"/>
      <c r="AX6" s="43">
        <v>0</v>
      </c>
      <c r="AY6" s="37" t="s">
        <v>51</v>
      </c>
      <c r="AZ6" s="43">
        <v>0</v>
      </c>
      <c r="BA6" s="37"/>
      <c r="BB6" s="37"/>
      <c r="BC6" s="43">
        <v>0</v>
      </c>
      <c r="BD6" s="37"/>
      <c r="BE6" s="43">
        <v>21000</v>
      </c>
      <c r="BF6" s="43">
        <v>21000</v>
      </c>
      <c r="BG6" s="37"/>
      <c r="BH6" s="37"/>
      <c r="BI6" s="37"/>
      <c r="BJ6" s="43">
        <v>100</v>
      </c>
      <c r="BK6" s="37"/>
      <c r="BL6" s="37"/>
      <c r="BM6" s="37" t="s">
        <v>23</v>
      </c>
      <c r="BN6" s="37"/>
      <c r="BO6" s="37" t="s">
        <v>30</v>
      </c>
      <c r="BP6" s="43">
        <v>0</v>
      </c>
      <c r="BQ6" s="43">
        <v>0</v>
      </c>
      <c r="BR6" s="37"/>
      <c r="BS6" s="37" t="s">
        <v>62</v>
      </c>
      <c r="BT6" s="37" t="s">
        <v>29</v>
      </c>
      <c r="BU6" s="37"/>
      <c r="BV6" s="43">
        <v>0</v>
      </c>
      <c r="BW6" s="37"/>
      <c r="BX6" s="43">
        <v>0</v>
      </c>
      <c r="BY6" s="37"/>
      <c r="BZ6" s="37"/>
      <c r="CA6" s="37"/>
      <c r="CB6" s="37"/>
      <c r="CC6" s="37"/>
      <c r="CD6" s="37"/>
      <c r="CE6" s="37"/>
      <c r="CF6" s="42" t="s">
        <v>44</v>
      </c>
      <c r="CG6" s="37"/>
      <c r="CH6" s="37" t="s">
        <v>25</v>
      </c>
      <c r="CI6" s="37" t="s">
        <v>30</v>
      </c>
      <c r="CJ6" s="43">
        <v>0</v>
      </c>
      <c r="CK6" s="37" t="s">
        <v>43</v>
      </c>
      <c r="CL6" s="37"/>
      <c r="CM6" s="37" t="s">
        <v>29</v>
      </c>
      <c r="CN6" s="37" t="s">
        <v>42</v>
      </c>
      <c r="CO6" s="37" t="s">
        <v>41</v>
      </c>
      <c r="CP6" s="37" t="s">
        <v>45</v>
      </c>
      <c r="CQ6" s="37"/>
      <c r="CR6" s="37"/>
      <c r="CS6" s="37"/>
      <c r="CT6" s="37"/>
    </row>
    <row r="7" spans="1:154" ht="15.75" customHeight="1">
      <c r="A7" s="5"/>
      <c r="B7" s="37" t="s">
        <v>22</v>
      </c>
      <c r="C7" s="37"/>
      <c r="D7" s="43">
        <v>0</v>
      </c>
      <c r="E7" s="43">
        <v>100000</v>
      </c>
      <c r="F7" s="37" t="s">
        <v>52</v>
      </c>
      <c r="G7" s="37" t="s">
        <v>48</v>
      </c>
      <c r="H7" s="37"/>
      <c r="I7" s="37"/>
      <c r="J7" s="37"/>
      <c r="K7" s="43">
        <v>210</v>
      </c>
      <c r="L7" s="43">
        <v>210</v>
      </c>
      <c r="M7" s="42" t="s">
        <v>40</v>
      </c>
      <c r="N7" s="37"/>
      <c r="O7" s="37" t="s">
        <v>50</v>
      </c>
      <c r="P7" s="37"/>
      <c r="Q7" s="37"/>
      <c r="R7" s="37"/>
      <c r="S7" s="37" t="s">
        <v>58</v>
      </c>
      <c r="T7" s="43">
        <v>0</v>
      </c>
      <c r="U7" s="43">
        <v>0</v>
      </c>
      <c r="V7" s="37" t="s">
        <v>59</v>
      </c>
      <c r="W7" s="43">
        <v>1</v>
      </c>
      <c r="X7" s="37"/>
      <c r="Y7" s="37"/>
      <c r="Z7" s="37" t="s">
        <v>23</v>
      </c>
      <c r="AA7" s="37"/>
      <c r="AB7" s="43">
        <v>1</v>
      </c>
      <c r="AC7" s="37" t="s">
        <v>60</v>
      </c>
      <c r="AD7" s="37" t="s">
        <v>41</v>
      </c>
      <c r="AE7" s="43">
        <v>100000</v>
      </c>
      <c r="AF7" s="37"/>
      <c r="AG7" s="37"/>
      <c r="AH7" s="37" t="s">
        <v>47</v>
      </c>
      <c r="AI7" s="43">
        <v>1</v>
      </c>
      <c r="AJ7" s="37" t="s">
        <v>61</v>
      </c>
      <c r="AK7" s="37"/>
      <c r="AL7" s="37"/>
      <c r="AM7" s="37"/>
      <c r="AN7" s="45" t="b">
        <v>0</v>
      </c>
      <c r="AO7" s="37"/>
      <c r="AP7" s="37"/>
      <c r="AQ7" s="45" t="b">
        <v>0</v>
      </c>
      <c r="AR7" s="45" t="b">
        <v>1</v>
      </c>
      <c r="AS7" s="37"/>
      <c r="AT7" s="43">
        <v>21000025.760000002</v>
      </c>
      <c r="AU7" s="43">
        <v>21000025.760000002</v>
      </c>
      <c r="AV7" s="37"/>
      <c r="AW7" s="37"/>
      <c r="AX7" s="43">
        <v>0</v>
      </c>
      <c r="AY7" s="37" t="s">
        <v>51</v>
      </c>
      <c r="AZ7" s="43">
        <v>0</v>
      </c>
      <c r="BA7" s="37"/>
      <c r="BB7" s="37"/>
      <c r="BC7" s="43">
        <v>0</v>
      </c>
      <c r="BD7" s="37"/>
      <c r="BE7" s="43">
        <v>21000000</v>
      </c>
      <c r="BF7" s="43">
        <v>21000000</v>
      </c>
      <c r="BG7" s="37"/>
      <c r="BH7" s="37"/>
      <c r="BI7" s="37"/>
      <c r="BJ7" s="43">
        <v>100000</v>
      </c>
      <c r="BK7" s="37"/>
      <c r="BL7" s="37"/>
      <c r="BM7" s="37" t="s">
        <v>23</v>
      </c>
      <c r="BN7" s="37"/>
      <c r="BO7" s="37" t="s">
        <v>30</v>
      </c>
      <c r="BP7" s="43">
        <v>0</v>
      </c>
      <c r="BQ7" s="43">
        <v>0</v>
      </c>
      <c r="BR7" s="37"/>
      <c r="BS7" s="37" t="s">
        <v>62</v>
      </c>
      <c r="BT7" s="37" t="s">
        <v>29</v>
      </c>
      <c r="BU7" s="37"/>
      <c r="BV7" s="43">
        <v>0</v>
      </c>
      <c r="BW7" s="37"/>
      <c r="BX7" s="43">
        <v>0</v>
      </c>
      <c r="BY7" s="37"/>
      <c r="BZ7" s="37"/>
      <c r="CA7" s="37"/>
      <c r="CB7" s="37"/>
      <c r="CC7" s="37"/>
      <c r="CD7" s="37"/>
      <c r="CE7" s="37"/>
      <c r="CF7" s="42" t="s">
        <v>44</v>
      </c>
      <c r="CG7" s="37"/>
      <c r="CH7" s="37" t="s">
        <v>25</v>
      </c>
      <c r="CI7" s="37" t="s">
        <v>30</v>
      </c>
      <c r="CJ7" s="43">
        <v>0</v>
      </c>
      <c r="CK7" s="37" t="s">
        <v>43</v>
      </c>
      <c r="CL7" s="37"/>
      <c r="CM7" s="37" t="s">
        <v>29</v>
      </c>
      <c r="CN7" s="37" t="s">
        <v>42</v>
      </c>
      <c r="CO7" s="37" t="s">
        <v>41</v>
      </c>
      <c r="CP7" s="37" t="s">
        <v>45</v>
      </c>
      <c r="CQ7" s="37"/>
      <c r="CR7" s="37"/>
      <c r="CS7" s="37"/>
      <c r="CT7" s="37"/>
    </row>
    <row r="8" spans="1:154" ht="15.75" customHeight="1">
      <c r="A8" s="5"/>
      <c r="B8" s="37" t="s">
        <v>24</v>
      </c>
      <c r="C8" s="37"/>
      <c r="D8" s="43">
        <v>0</v>
      </c>
      <c r="E8" s="43">
        <v>100000</v>
      </c>
      <c r="F8" s="37" t="s">
        <v>52</v>
      </c>
      <c r="G8" s="37" t="s">
        <v>48</v>
      </c>
      <c r="H8" s="37"/>
      <c r="I8" s="37"/>
      <c r="J8" s="37"/>
      <c r="K8" s="43">
        <v>210</v>
      </c>
      <c r="L8" s="43">
        <v>210</v>
      </c>
      <c r="M8" s="42" t="s">
        <v>40</v>
      </c>
      <c r="N8" s="37"/>
      <c r="O8" s="37" t="s">
        <v>50</v>
      </c>
      <c r="P8" s="37"/>
      <c r="Q8" s="37"/>
      <c r="R8" s="37"/>
      <c r="S8" s="37" t="s">
        <v>58</v>
      </c>
      <c r="T8" s="43">
        <v>0</v>
      </c>
      <c r="U8" s="43">
        <v>0</v>
      </c>
      <c r="V8" s="37" t="s">
        <v>59</v>
      </c>
      <c r="W8" s="43">
        <v>1</v>
      </c>
      <c r="X8" s="37"/>
      <c r="Y8" s="37"/>
      <c r="Z8" s="37" t="s">
        <v>23</v>
      </c>
      <c r="AA8" s="37"/>
      <c r="AB8" s="43">
        <v>1</v>
      </c>
      <c r="AC8" s="37"/>
      <c r="AD8" s="37" t="s">
        <v>41</v>
      </c>
      <c r="AE8" s="43">
        <v>100000</v>
      </c>
      <c r="AF8" s="37"/>
      <c r="AG8" s="37"/>
      <c r="AH8" s="37" t="s">
        <v>47</v>
      </c>
      <c r="AI8" s="43">
        <v>1</v>
      </c>
      <c r="AJ8" s="37" t="s">
        <v>61</v>
      </c>
      <c r="AK8" s="37"/>
      <c r="AL8" s="37"/>
      <c r="AM8" s="37"/>
      <c r="AN8" s="45" t="b">
        <v>0</v>
      </c>
      <c r="AO8" s="37"/>
      <c r="AP8" s="37"/>
      <c r="AQ8" s="45" t="b">
        <v>0</v>
      </c>
      <c r="AR8" s="45" t="b">
        <v>1</v>
      </c>
      <c r="AS8" s="37"/>
      <c r="AT8" s="43">
        <v>21000025.760000002</v>
      </c>
      <c r="AU8" s="43">
        <v>21000025.760000002</v>
      </c>
      <c r="AV8" s="37"/>
      <c r="AW8" s="37"/>
      <c r="AX8" s="43">
        <v>0</v>
      </c>
      <c r="AY8" s="37" t="s">
        <v>51</v>
      </c>
      <c r="AZ8" s="43">
        <v>0</v>
      </c>
      <c r="BA8" s="37"/>
      <c r="BB8" s="37"/>
      <c r="BC8" s="43">
        <v>0</v>
      </c>
      <c r="BD8" s="37"/>
      <c r="BE8" s="43">
        <v>21000000</v>
      </c>
      <c r="BF8" s="43">
        <v>21000000</v>
      </c>
      <c r="BG8" s="37"/>
      <c r="BH8" s="37"/>
      <c r="BI8" s="37"/>
      <c r="BJ8" s="43">
        <v>100000</v>
      </c>
      <c r="BK8" s="37"/>
      <c r="BL8" s="37"/>
      <c r="BM8" s="37" t="s">
        <v>23</v>
      </c>
      <c r="BN8" s="37"/>
      <c r="BO8" s="37" t="s">
        <v>30</v>
      </c>
      <c r="BP8" s="43">
        <v>0</v>
      </c>
      <c r="BQ8" s="43">
        <v>0</v>
      </c>
      <c r="BR8" s="37"/>
      <c r="BS8" s="37" t="s">
        <v>62</v>
      </c>
      <c r="BT8" s="37" t="s">
        <v>29</v>
      </c>
      <c r="BU8" s="37"/>
      <c r="BV8" s="43">
        <v>0</v>
      </c>
      <c r="BW8" s="37"/>
      <c r="BX8" s="43">
        <v>0</v>
      </c>
      <c r="BY8" s="37"/>
      <c r="BZ8" s="37"/>
      <c r="CA8" s="37"/>
      <c r="CB8" s="37"/>
      <c r="CC8" s="37"/>
      <c r="CD8" s="37"/>
      <c r="CE8" s="37"/>
      <c r="CF8" s="44" t="s">
        <v>53</v>
      </c>
      <c r="CG8" s="37"/>
      <c r="CH8" s="37" t="s">
        <v>63</v>
      </c>
      <c r="CI8" s="37" t="s">
        <v>30</v>
      </c>
      <c r="CJ8" s="43">
        <v>0</v>
      </c>
      <c r="CK8" s="37" t="s">
        <v>43</v>
      </c>
      <c r="CL8" s="37"/>
      <c r="CM8" s="37" t="s">
        <v>29</v>
      </c>
      <c r="CN8" s="37" t="s">
        <v>42</v>
      </c>
      <c r="CO8" s="37" t="s">
        <v>41</v>
      </c>
      <c r="CP8" s="37" t="s">
        <v>45</v>
      </c>
      <c r="CQ8" s="37"/>
      <c r="CR8" s="37"/>
      <c r="CS8" s="37"/>
      <c r="CT8" s="37"/>
    </row>
    <row r="9" spans="1:154" ht="15.75" customHeight="1">
      <c r="A9" s="5"/>
      <c r="B9" s="37" t="s">
        <v>24</v>
      </c>
      <c r="C9" s="37"/>
      <c r="D9" s="43">
        <v>0</v>
      </c>
      <c r="E9" s="43">
        <v>100</v>
      </c>
      <c r="F9" s="37" t="s">
        <v>52</v>
      </c>
      <c r="G9" s="37" t="s">
        <v>48</v>
      </c>
      <c r="H9" s="37"/>
      <c r="I9" s="37"/>
      <c r="J9" s="37"/>
      <c r="K9" s="43">
        <v>210</v>
      </c>
      <c r="L9" s="43">
        <v>210</v>
      </c>
      <c r="M9" s="42" t="s">
        <v>54</v>
      </c>
      <c r="N9" s="37"/>
      <c r="O9" s="37" t="s">
        <v>50</v>
      </c>
      <c r="P9" s="37"/>
      <c r="Q9" s="37"/>
      <c r="R9" s="37"/>
      <c r="S9" s="37" t="s">
        <v>58</v>
      </c>
      <c r="T9" s="43">
        <v>0</v>
      </c>
      <c r="U9" s="43">
        <v>0</v>
      </c>
      <c r="V9" s="37" t="s">
        <v>64</v>
      </c>
      <c r="W9" s="43">
        <v>1</v>
      </c>
      <c r="X9" s="37"/>
      <c r="Y9" s="37"/>
      <c r="Z9" s="37" t="s">
        <v>23</v>
      </c>
      <c r="AA9" s="37"/>
      <c r="AB9" s="43">
        <v>1</v>
      </c>
      <c r="AC9" s="37"/>
      <c r="AD9" s="37" t="s">
        <v>41</v>
      </c>
      <c r="AE9" s="43">
        <v>100</v>
      </c>
      <c r="AF9" s="37"/>
      <c r="AG9" s="37"/>
      <c r="AH9" s="37" t="s">
        <v>47</v>
      </c>
      <c r="AI9" s="43">
        <v>1</v>
      </c>
      <c r="AJ9" s="37" t="s">
        <v>61</v>
      </c>
      <c r="AK9" s="37"/>
      <c r="AL9" s="37"/>
      <c r="AM9" s="37"/>
      <c r="AN9" s="45" t="b">
        <v>0</v>
      </c>
      <c r="AO9" s="37"/>
      <c r="AP9" s="37"/>
      <c r="AQ9" s="45" t="b">
        <v>0</v>
      </c>
      <c r="AR9" s="45" t="b">
        <v>1</v>
      </c>
      <c r="AS9" s="37"/>
      <c r="AT9" s="43">
        <v>21014.01</v>
      </c>
      <c r="AU9" s="43">
        <v>21014.01</v>
      </c>
      <c r="AV9" s="37"/>
      <c r="AW9" s="37"/>
      <c r="AX9" s="43">
        <v>0</v>
      </c>
      <c r="AY9" s="37" t="s">
        <v>51</v>
      </c>
      <c r="AZ9" s="43">
        <v>0</v>
      </c>
      <c r="BA9" s="37"/>
      <c r="BB9" s="37"/>
      <c r="BC9" s="43">
        <v>0</v>
      </c>
      <c r="BD9" s="37"/>
      <c r="BE9" s="43">
        <v>21000</v>
      </c>
      <c r="BF9" s="43">
        <v>21000</v>
      </c>
      <c r="BG9" s="37"/>
      <c r="BH9" s="37"/>
      <c r="BI9" s="37"/>
      <c r="BJ9" s="43">
        <v>100</v>
      </c>
      <c r="BK9" s="37"/>
      <c r="BL9" s="37"/>
      <c r="BM9" s="37" t="s">
        <v>23</v>
      </c>
      <c r="BN9" s="37"/>
      <c r="BO9" s="37" t="s">
        <v>30</v>
      </c>
      <c r="BP9" s="43">
        <v>0</v>
      </c>
      <c r="BQ9" s="43">
        <v>0</v>
      </c>
      <c r="BR9" s="37"/>
      <c r="BS9" s="37" t="s">
        <v>62</v>
      </c>
      <c r="BT9" s="37" t="s">
        <v>33</v>
      </c>
      <c r="BU9" s="37"/>
      <c r="BV9" s="43">
        <v>0</v>
      </c>
      <c r="BW9" s="37"/>
      <c r="BX9" s="43">
        <v>0</v>
      </c>
      <c r="BY9" s="37"/>
      <c r="BZ9" s="37"/>
      <c r="CA9" s="37"/>
      <c r="CB9" s="37"/>
      <c r="CC9" s="37"/>
      <c r="CD9" s="37"/>
      <c r="CE9" s="37"/>
      <c r="CF9" s="44" t="s">
        <v>53</v>
      </c>
      <c r="CG9" s="37"/>
      <c r="CH9" s="37" t="s">
        <v>63</v>
      </c>
      <c r="CI9" s="37" t="s">
        <v>30</v>
      </c>
      <c r="CJ9" s="43">
        <v>0</v>
      </c>
      <c r="CK9" s="37" t="s">
        <v>43</v>
      </c>
      <c r="CL9" s="37"/>
      <c r="CM9" s="37" t="s">
        <v>33</v>
      </c>
      <c r="CN9" s="37" t="s">
        <v>42</v>
      </c>
      <c r="CO9" s="37" t="s">
        <v>41</v>
      </c>
      <c r="CP9" s="37" t="s">
        <v>45</v>
      </c>
      <c r="CQ9" s="37"/>
      <c r="CR9" s="37"/>
      <c r="CS9" s="37"/>
      <c r="CT9" s="37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B1" workbookViewId="0">
      <selection activeCell="BL20" sqref="BL2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7109375" customWidth="1"/>
    <col min="64" max="168" width="14.42578125" customWidth="1"/>
  </cols>
  <sheetData>
    <row r="1" spans="1:168" ht="15.75" customHeight="1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65</v>
      </c>
      <c r="D3" s="2" t="s">
        <v>9</v>
      </c>
      <c r="E3" s="18" t="s">
        <v>66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27" t="s">
        <v>29</v>
      </c>
      <c r="D6" s="40">
        <v>100</v>
      </c>
      <c r="E6" s="27" t="s">
        <v>22</v>
      </c>
      <c r="F6" s="27" t="s">
        <v>27</v>
      </c>
      <c r="G6" s="41">
        <v>210</v>
      </c>
      <c r="H6" s="27" t="s">
        <v>67</v>
      </c>
      <c r="I6" s="27"/>
      <c r="J6" s="41">
        <v>0</v>
      </c>
      <c r="K6" s="41">
        <v>0</v>
      </c>
      <c r="L6" s="28">
        <v>0</v>
      </c>
      <c r="M6" s="28">
        <v>0</v>
      </c>
      <c r="N6" s="41">
        <v>-21000</v>
      </c>
      <c r="O6" s="27" t="s">
        <v>59</v>
      </c>
      <c r="P6" s="27" t="s">
        <v>68</v>
      </c>
      <c r="Q6" s="41">
        <v>-21000</v>
      </c>
      <c r="R6" s="27" t="s">
        <v>69</v>
      </c>
      <c r="S6" s="27" t="s">
        <v>62</v>
      </c>
      <c r="T6" s="37" t="s">
        <v>48</v>
      </c>
      <c r="U6" s="37" t="s">
        <v>43</v>
      </c>
      <c r="V6" s="37" t="s">
        <v>41</v>
      </c>
      <c r="W6" s="37" t="s">
        <v>23</v>
      </c>
      <c r="X6" s="43">
        <v>1</v>
      </c>
      <c r="Y6" s="43">
        <v>1</v>
      </c>
      <c r="Z6" s="37"/>
      <c r="AA6" s="37"/>
      <c r="AB6" s="43">
        <v>0</v>
      </c>
      <c r="AC6" s="43">
        <v>0</v>
      </c>
      <c r="AD6" s="43">
        <v>0</v>
      </c>
      <c r="AE6" s="43">
        <v>0</v>
      </c>
      <c r="AF6" s="43">
        <v>100</v>
      </c>
      <c r="AG6" s="43">
        <v>0</v>
      </c>
      <c r="AH6" s="43">
        <v>0</v>
      </c>
      <c r="AI6" s="43">
        <v>0</v>
      </c>
      <c r="AJ6" s="43">
        <v>0</v>
      </c>
      <c r="AK6" s="43">
        <v>-21000</v>
      </c>
      <c r="AL6" s="43">
        <v>1</v>
      </c>
      <c r="AM6" s="43">
        <v>1</v>
      </c>
      <c r="AN6" s="37" t="s">
        <v>30</v>
      </c>
      <c r="AO6" s="37"/>
      <c r="AP6" s="37" t="s">
        <v>67</v>
      </c>
      <c r="AQ6" s="37" t="s">
        <v>29</v>
      </c>
      <c r="AR6" s="43">
        <v>0</v>
      </c>
      <c r="AS6" s="43">
        <v>1</v>
      </c>
      <c r="AT6" s="37" t="s">
        <v>60</v>
      </c>
      <c r="AU6" s="37" t="s">
        <v>46</v>
      </c>
      <c r="AV6" s="43">
        <v>1</v>
      </c>
      <c r="AW6" s="43">
        <v>-21000</v>
      </c>
      <c r="AX6" s="43">
        <v>0</v>
      </c>
      <c r="AY6" s="43">
        <v>0</v>
      </c>
      <c r="AZ6" s="43">
        <v>0</v>
      </c>
      <c r="BA6" s="43">
        <v>-100</v>
      </c>
      <c r="BB6" s="37"/>
      <c r="BC6" s="43">
        <v>1</v>
      </c>
      <c r="BD6" s="43">
        <v>-21000</v>
      </c>
      <c r="BE6" s="37" t="s">
        <v>48</v>
      </c>
      <c r="BF6" s="37" t="s">
        <v>70</v>
      </c>
      <c r="BG6" s="37" t="s">
        <v>71</v>
      </c>
      <c r="BH6" s="37" t="s">
        <v>68</v>
      </c>
      <c r="BI6" s="43">
        <v>5</v>
      </c>
      <c r="BJ6" s="43">
        <v>0</v>
      </c>
      <c r="BK6" s="43">
        <v>0</v>
      </c>
      <c r="BL6" s="43">
        <v>0</v>
      </c>
      <c r="BM6" s="43">
        <v>0</v>
      </c>
      <c r="BN6" s="37"/>
      <c r="BO6" s="43">
        <v>-21000</v>
      </c>
      <c r="BP6" s="43">
        <v>0</v>
      </c>
      <c r="BQ6" s="37" t="s">
        <v>42</v>
      </c>
      <c r="BR6" s="37" t="s">
        <v>50</v>
      </c>
      <c r="BS6" s="43">
        <v>0</v>
      </c>
      <c r="BT6" s="43">
        <v>0</v>
      </c>
      <c r="BU6" s="37" t="s">
        <v>48</v>
      </c>
      <c r="BV6" s="37" t="s">
        <v>72</v>
      </c>
      <c r="BW6" s="43">
        <v>0</v>
      </c>
      <c r="BX6" s="43">
        <v>0</v>
      </c>
      <c r="BY6" s="43">
        <v>0</v>
      </c>
      <c r="BZ6" s="43">
        <v>0</v>
      </c>
      <c r="CA6" s="43">
        <v>0</v>
      </c>
      <c r="CB6" s="37"/>
      <c r="CC6" s="43">
        <v>0</v>
      </c>
      <c r="CD6" s="43">
        <v>-21000</v>
      </c>
      <c r="CE6" s="43">
        <v>0</v>
      </c>
      <c r="CF6" s="43">
        <v>0</v>
      </c>
      <c r="CG6" s="43">
        <v>-21000</v>
      </c>
      <c r="CH6" s="43">
        <v>-100</v>
      </c>
      <c r="CI6" s="43">
        <v>0</v>
      </c>
      <c r="CJ6" s="43">
        <v>0</v>
      </c>
      <c r="CK6" s="45" t="b">
        <v>0</v>
      </c>
      <c r="CL6" s="37"/>
      <c r="CM6" s="37"/>
      <c r="CN6" s="37" t="s">
        <v>29</v>
      </c>
      <c r="CO6" s="37" t="s">
        <v>29</v>
      </c>
      <c r="CP6" s="42" t="s">
        <v>40</v>
      </c>
      <c r="CQ6" s="37"/>
      <c r="CR6" s="37"/>
      <c r="CS6" s="43">
        <v>210</v>
      </c>
      <c r="CT6" s="37"/>
      <c r="CU6" s="37"/>
      <c r="CV6" s="37"/>
      <c r="CW6" s="37"/>
      <c r="CX6" s="37"/>
      <c r="CY6" s="37" t="s">
        <v>61</v>
      </c>
      <c r="CZ6" s="37" t="s">
        <v>73</v>
      </c>
      <c r="DA6" s="43">
        <v>0</v>
      </c>
      <c r="DB6" s="43">
        <v>0</v>
      </c>
      <c r="DC6" s="37"/>
      <c r="DD6" s="43">
        <v>100</v>
      </c>
      <c r="DE6" s="43">
        <v>0</v>
      </c>
      <c r="DF6" s="43">
        <v>0</v>
      </c>
      <c r="DG6" s="43">
        <v>0</v>
      </c>
      <c r="DH6" s="37" t="s">
        <v>68</v>
      </c>
      <c r="DI6" s="43">
        <v>0</v>
      </c>
      <c r="DJ6" s="37" t="s">
        <v>30</v>
      </c>
      <c r="DK6" s="43">
        <v>0</v>
      </c>
      <c r="DL6" s="43">
        <v>0</v>
      </c>
      <c r="DM6" s="43">
        <v>1</v>
      </c>
      <c r="DN6" s="43">
        <v>0</v>
      </c>
      <c r="DO6" s="37"/>
      <c r="DP6" s="37" t="s">
        <v>67</v>
      </c>
      <c r="DQ6" s="37" t="s">
        <v>74</v>
      </c>
      <c r="DR6" s="37" t="s">
        <v>75</v>
      </c>
      <c r="DS6" s="37" t="s">
        <v>74</v>
      </c>
      <c r="DT6" s="37" t="s">
        <v>74</v>
      </c>
      <c r="DU6" s="37" t="s">
        <v>76</v>
      </c>
      <c r="DV6" s="37" t="s">
        <v>74</v>
      </c>
      <c r="DW6" s="37" t="s">
        <v>74</v>
      </c>
      <c r="DX6" s="37" t="s">
        <v>74</v>
      </c>
      <c r="DY6" s="37" t="s">
        <v>74</v>
      </c>
      <c r="DZ6" s="37" t="s">
        <v>59</v>
      </c>
      <c r="EA6" s="37" t="s">
        <v>76</v>
      </c>
      <c r="EB6" s="37" t="s">
        <v>74</v>
      </c>
      <c r="EC6" s="37" t="s">
        <v>74</v>
      </c>
      <c r="ED6" s="37" t="s">
        <v>23</v>
      </c>
      <c r="EE6" s="37" t="s">
        <v>77</v>
      </c>
      <c r="EF6" s="43">
        <v>0</v>
      </c>
      <c r="EG6" s="43">
        <v>0</v>
      </c>
      <c r="EH6" s="43">
        <v>0</v>
      </c>
      <c r="EI6" s="43">
        <v>0</v>
      </c>
      <c r="EJ6" s="43">
        <v>0</v>
      </c>
      <c r="EK6" s="43">
        <v>0</v>
      </c>
      <c r="EL6" s="37" t="s">
        <v>67</v>
      </c>
      <c r="EM6" s="43">
        <v>0</v>
      </c>
      <c r="EN6" s="43">
        <v>0</v>
      </c>
      <c r="EO6" s="43">
        <v>-3.5</v>
      </c>
      <c r="EP6" s="43">
        <v>600000</v>
      </c>
      <c r="EQ6" s="43">
        <v>0</v>
      </c>
      <c r="ER6" s="43">
        <v>0</v>
      </c>
      <c r="ES6" s="43">
        <v>-41442000</v>
      </c>
      <c r="ET6" s="43">
        <v>0</v>
      </c>
      <c r="EU6" s="43">
        <v>0</v>
      </c>
      <c r="EV6" s="37" t="s">
        <v>67</v>
      </c>
      <c r="EW6" s="43">
        <v>-20721000</v>
      </c>
      <c r="EX6" s="45" t="b">
        <v>0</v>
      </c>
      <c r="EY6" s="37"/>
    </row>
    <row r="7" spans="1:168" ht="15.75" customHeight="1">
      <c r="A7" s="5"/>
      <c r="B7" s="5"/>
      <c r="C7" s="37" t="s">
        <v>29</v>
      </c>
      <c r="D7" s="43">
        <v>100000</v>
      </c>
      <c r="E7" s="37" t="s">
        <v>22</v>
      </c>
      <c r="F7" s="37" t="s">
        <v>27</v>
      </c>
      <c r="G7" s="43">
        <v>210</v>
      </c>
      <c r="H7" s="37" t="s">
        <v>67</v>
      </c>
      <c r="I7" s="37"/>
      <c r="J7" s="43">
        <v>0</v>
      </c>
      <c r="K7" s="43">
        <v>0</v>
      </c>
      <c r="L7" s="46">
        <v>0</v>
      </c>
      <c r="M7" s="46">
        <v>0</v>
      </c>
      <c r="N7" s="43">
        <v>-21000000</v>
      </c>
      <c r="O7" s="37" t="s">
        <v>59</v>
      </c>
      <c r="P7" s="37" t="s">
        <v>68</v>
      </c>
      <c r="Q7" s="43">
        <v>-21000000</v>
      </c>
      <c r="R7" s="37" t="s">
        <v>69</v>
      </c>
      <c r="S7" s="37" t="s">
        <v>62</v>
      </c>
      <c r="T7" s="37" t="s">
        <v>48</v>
      </c>
      <c r="U7" s="37" t="s">
        <v>43</v>
      </c>
      <c r="V7" s="37" t="s">
        <v>41</v>
      </c>
      <c r="W7" s="37" t="s">
        <v>23</v>
      </c>
      <c r="X7" s="43">
        <v>1</v>
      </c>
      <c r="Y7" s="43">
        <v>1</v>
      </c>
      <c r="Z7" s="37"/>
      <c r="AA7" s="37"/>
      <c r="AB7" s="43">
        <v>0</v>
      </c>
      <c r="AC7" s="43">
        <v>0</v>
      </c>
      <c r="AD7" s="43">
        <v>0</v>
      </c>
      <c r="AE7" s="43">
        <v>0</v>
      </c>
      <c r="AF7" s="43">
        <v>100000</v>
      </c>
      <c r="AG7" s="43">
        <v>0</v>
      </c>
      <c r="AH7" s="43">
        <v>0</v>
      </c>
      <c r="AI7" s="43">
        <v>0</v>
      </c>
      <c r="AJ7" s="43">
        <v>0</v>
      </c>
      <c r="AK7" s="43">
        <v>-21000000</v>
      </c>
      <c r="AL7" s="43">
        <v>1</v>
      </c>
      <c r="AM7" s="43">
        <v>1</v>
      </c>
      <c r="AN7" s="37" t="s">
        <v>30</v>
      </c>
      <c r="AO7" s="37"/>
      <c r="AP7" s="37" t="s">
        <v>67</v>
      </c>
      <c r="AQ7" s="37" t="s">
        <v>29</v>
      </c>
      <c r="AR7" s="43">
        <v>0</v>
      </c>
      <c r="AS7" s="43">
        <v>1</v>
      </c>
      <c r="AT7" s="37" t="s">
        <v>60</v>
      </c>
      <c r="AU7" s="37" t="s">
        <v>46</v>
      </c>
      <c r="AV7" s="43">
        <v>1</v>
      </c>
      <c r="AW7" s="43">
        <v>-21000000</v>
      </c>
      <c r="AX7" s="43">
        <v>0</v>
      </c>
      <c r="AY7" s="43">
        <v>0</v>
      </c>
      <c r="AZ7" s="43">
        <v>0</v>
      </c>
      <c r="BA7" s="43">
        <v>-100</v>
      </c>
      <c r="BB7" s="37"/>
      <c r="BC7" s="43">
        <v>1</v>
      </c>
      <c r="BD7" s="43">
        <v>-21000000</v>
      </c>
      <c r="BE7" s="37" t="s">
        <v>48</v>
      </c>
      <c r="BF7" s="37" t="s">
        <v>70</v>
      </c>
      <c r="BG7" s="37" t="s">
        <v>71</v>
      </c>
      <c r="BH7" s="37" t="s">
        <v>68</v>
      </c>
      <c r="BI7" s="43">
        <v>5</v>
      </c>
      <c r="BJ7" s="43">
        <v>0</v>
      </c>
      <c r="BK7" s="43">
        <v>0</v>
      </c>
      <c r="BL7" s="43">
        <v>0</v>
      </c>
      <c r="BM7" s="43">
        <v>0</v>
      </c>
      <c r="BN7" s="37"/>
      <c r="BO7" s="43">
        <v>-21000000</v>
      </c>
      <c r="BP7" s="43">
        <v>0</v>
      </c>
      <c r="BQ7" s="37" t="s">
        <v>42</v>
      </c>
      <c r="BR7" s="37" t="s">
        <v>50</v>
      </c>
      <c r="BS7" s="43">
        <v>0</v>
      </c>
      <c r="BT7" s="43">
        <v>0</v>
      </c>
      <c r="BU7" s="37" t="s">
        <v>48</v>
      </c>
      <c r="BV7" s="37" t="s">
        <v>72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37"/>
      <c r="CC7" s="43">
        <v>0</v>
      </c>
      <c r="CD7" s="43">
        <v>-21000000</v>
      </c>
      <c r="CE7" s="43">
        <v>0</v>
      </c>
      <c r="CF7" s="43">
        <v>0</v>
      </c>
      <c r="CG7" s="43">
        <v>-21000000</v>
      </c>
      <c r="CH7" s="43">
        <v>-100</v>
      </c>
      <c r="CI7" s="43">
        <v>0</v>
      </c>
      <c r="CJ7" s="43">
        <v>0</v>
      </c>
      <c r="CK7" s="45" t="b">
        <v>0</v>
      </c>
      <c r="CL7" s="37"/>
      <c r="CM7" s="37"/>
      <c r="CN7" s="37" t="s">
        <v>29</v>
      </c>
      <c r="CO7" s="37" t="s">
        <v>29</v>
      </c>
      <c r="CP7" s="42" t="s">
        <v>40</v>
      </c>
      <c r="CQ7" s="37"/>
      <c r="CR7" s="37"/>
      <c r="CS7" s="43">
        <v>210</v>
      </c>
      <c r="CT7" s="37"/>
      <c r="CU7" s="37"/>
      <c r="CV7" s="37"/>
      <c r="CW7" s="37"/>
      <c r="CX7" s="37"/>
      <c r="CY7" s="37" t="s">
        <v>61</v>
      </c>
      <c r="CZ7" s="37" t="s">
        <v>73</v>
      </c>
      <c r="DA7" s="43">
        <v>0</v>
      </c>
      <c r="DB7" s="43">
        <v>0</v>
      </c>
      <c r="DC7" s="37"/>
      <c r="DD7" s="43">
        <v>100000</v>
      </c>
      <c r="DE7" s="43">
        <v>0</v>
      </c>
      <c r="DF7" s="43">
        <v>0</v>
      </c>
      <c r="DG7" s="43">
        <v>0</v>
      </c>
      <c r="DH7" s="37" t="s">
        <v>68</v>
      </c>
      <c r="DI7" s="43">
        <v>0</v>
      </c>
      <c r="DJ7" s="37" t="s">
        <v>30</v>
      </c>
      <c r="DK7" s="43">
        <v>0</v>
      </c>
      <c r="DL7" s="43">
        <v>0</v>
      </c>
      <c r="DM7" s="43">
        <v>1</v>
      </c>
      <c r="DN7" s="43">
        <v>0</v>
      </c>
      <c r="DO7" s="37"/>
      <c r="DP7" s="37" t="s">
        <v>67</v>
      </c>
      <c r="DQ7" s="37" t="s">
        <v>74</v>
      </c>
      <c r="DR7" s="37" t="s">
        <v>75</v>
      </c>
      <c r="DS7" s="37" t="s">
        <v>74</v>
      </c>
      <c r="DT7" s="37" t="s">
        <v>74</v>
      </c>
      <c r="DU7" s="37" t="s">
        <v>76</v>
      </c>
      <c r="DV7" s="37" t="s">
        <v>74</v>
      </c>
      <c r="DW7" s="37" t="s">
        <v>74</v>
      </c>
      <c r="DX7" s="37" t="s">
        <v>74</v>
      </c>
      <c r="DY7" s="37" t="s">
        <v>74</v>
      </c>
      <c r="DZ7" s="37" t="s">
        <v>59</v>
      </c>
      <c r="EA7" s="37" t="s">
        <v>76</v>
      </c>
      <c r="EB7" s="37" t="s">
        <v>74</v>
      </c>
      <c r="EC7" s="37" t="s">
        <v>74</v>
      </c>
      <c r="ED7" s="37" t="s">
        <v>23</v>
      </c>
      <c r="EE7" s="37" t="s">
        <v>77</v>
      </c>
      <c r="EF7" s="43">
        <v>0</v>
      </c>
      <c r="EG7" s="43">
        <v>0</v>
      </c>
      <c r="EH7" s="43">
        <v>0</v>
      </c>
      <c r="EI7" s="43">
        <v>0</v>
      </c>
      <c r="EJ7" s="43">
        <v>0</v>
      </c>
      <c r="EK7" s="43">
        <v>0</v>
      </c>
      <c r="EL7" s="37" t="s">
        <v>67</v>
      </c>
      <c r="EM7" s="43">
        <v>0</v>
      </c>
      <c r="EN7" s="43">
        <v>0</v>
      </c>
      <c r="EO7" s="43">
        <v>-3500</v>
      </c>
      <c r="EP7" s="43">
        <v>600000</v>
      </c>
      <c r="EQ7" s="43">
        <v>0</v>
      </c>
      <c r="ER7" s="43">
        <v>0</v>
      </c>
      <c r="ES7" s="43">
        <v>-41442000</v>
      </c>
      <c r="ET7" s="43">
        <v>0</v>
      </c>
      <c r="EU7" s="43">
        <v>0</v>
      </c>
      <c r="EV7" s="37" t="s">
        <v>67</v>
      </c>
      <c r="EW7" s="43">
        <v>-20721000</v>
      </c>
      <c r="EX7" s="45" t="b">
        <v>0</v>
      </c>
      <c r="EY7" s="37"/>
    </row>
    <row r="8" spans="1:168" ht="15.75" customHeight="1">
      <c r="A8" s="5"/>
      <c r="B8" s="5"/>
      <c r="C8" s="37" t="s">
        <v>29</v>
      </c>
      <c r="D8" s="43">
        <v>100000</v>
      </c>
      <c r="E8" s="37" t="s">
        <v>24</v>
      </c>
      <c r="F8" s="37" t="s">
        <v>31</v>
      </c>
      <c r="G8" s="43">
        <v>210</v>
      </c>
      <c r="H8" s="37" t="s">
        <v>67</v>
      </c>
      <c r="I8" s="37"/>
      <c r="J8" s="43">
        <v>0</v>
      </c>
      <c r="K8" s="43">
        <v>0</v>
      </c>
      <c r="L8" s="46">
        <v>0</v>
      </c>
      <c r="M8" s="46">
        <v>0</v>
      </c>
      <c r="N8" s="43">
        <v>-21000000</v>
      </c>
      <c r="O8" s="37" t="s">
        <v>59</v>
      </c>
      <c r="P8" s="37" t="s">
        <v>68</v>
      </c>
      <c r="Q8" s="43">
        <v>-21000000</v>
      </c>
      <c r="R8" s="37" t="s">
        <v>50</v>
      </c>
      <c r="S8" s="37" t="s">
        <v>62</v>
      </c>
      <c r="T8" s="37" t="s">
        <v>48</v>
      </c>
      <c r="U8" s="37" t="s">
        <v>43</v>
      </c>
      <c r="V8" s="37" t="s">
        <v>41</v>
      </c>
      <c r="W8" s="37" t="s">
        <v>23</v>
      </c>
      <c r="X8" s="43">
        <v>1</v>
      </c>
      <c r="Y8" s="43">
        <v>1</v>
      </c>
      <c r="Z8" s="37"/>
      <c r="AA8" s="37"/>
      <c r="AB8" s="43">
        <v>0</v>
      </c>
      <c r="AC8" s="43">
        <v>0</v>
      </c>
      <c r="AD8" s="43">
        <v>0</v>
      </c>
      <c r="AE8" s="43">
        <v>0</v>
      </c>
      <c r="AF8" s="43">
        <v>100000</v>
      </c>
      <c r="AG8" s="43">
        <v>0</v>
      </c>
      <c r="AH8" s="43">
        <v>0</v>
      </c>
      <c r="AI8" s="43">
        <v>0</v>
      </c>
      <c r="AJ8" s="43">
        <v>0</v>
      </c>
      <c r="AK8" s="43">
        <v>-21000000</v>
      </c>
      <c r="AL8" s="43">
        <v>1</v>
      </c>
      <c r="AM8" s="43">
        <v>1</v>
      </c>
      <c r="AN8" s="37" t="s">
        <v>30</v>
      </c>
      <c r="AO8" s="37"/>
      <c r="AP8" s="37" t="s">
        <v>67</v>
      </c>
      <c r="AQ8" s="37" t="s">
        <v>29</v>
      </c>
      <c r="AR8" s="43">
        <v>0</v>
      </c>
      <c r="AS8" s="43">
        <v>1</v>
      </c>
      <c r="AT8" s="37"/>
      <c r="AU8" s="37" t="s">
        <v>46</v>
      </c>
      <c r="AV8" s="43">
        <v>1</v>
      </c>
      <c r="AW8" s="43">
        <v>-21000000</v>
      </c>
      <c r="AX8" s="43">
        <v>0</v>
      </c>
      <c r="AY8" s="43">
        <v>0</v>
      </c>
      <c r="AZ8" s="43">
        <v>0</v>
      </c>
      <c r="BA8" s="43">
        <v>-100</v>
      </c>
      <c r="BB8" s="37"/>
      <c r="BC8" s="43">
        <v>1</v>
      </c>
      <c r="BD8" s="43">
        <v>-21000000</v>
      </c>
      <c r="BE8" s="37" t="s">
        <v>48</v>
      </c>
      <c r="BF8" s="37" t="s">
        <v>70</v>
      </c>
      <c r="BG8" s="37" t="s">
        <v>71</v>
      </c>
      <c r="BH8" s="37" t="s">
        <v>68</v>
      </c>
      <c r="BI8" s="43">
        <v>5</v>
      </c>
      <c r="BJ8" s="43">
        <v>0</v>
      </c>
      <c r="BK8" s="43">
        <v>0</v>
      </c>
      <c r="BL8" s="43">
        <v>0</v>
      </c>
      <c r="BM8" s="43">
        <v>0</v>
      </c>
      <c r="BN8" s="37"/>
      <c r="BO8" s="43">
        <v>-21000000</v>
      </c>
      <c r="BP8" s="43">
        <v>0</v>
      </c>
      <c r="BQ8" s="37" t="s">
        <v>42</v>
      </c>
      <c r="BR8" s="37" t="s">
        <v>50</v>
      </c>
      <c r="BS8" s="43">
        <v>0</v>
      </c>
      <c r="BT8" s="43">
        <v>0</v>
      </c>
      <c r="BU8" s="37" t="s">
        <v>48</v>
      </c>
      <c r="BV8" s="37" t="s">
        <v>72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37"/>
      <c r="CC8" s="43">
        <v>0</v>
      </c>
      <c r="CD8" s="43">
        <v>-21000000</v>
      </c>
      <c r="CE8" s="43">
        <v>0</v>
      </c>
      <c r="CF8" s="43">
        <v>0</v>
      </c>
      <c r="CG8" s="43">
        <v>-21000000</v>
      </c>
      <c r="CH8" s="43">
        <v>-100</v>
      </c>
      <c r="CI8" s="43">
        <v>0</v>
      </c>
      <c r="CJ8" s="43">
        <v>0</v>
      </c>
      <c r="CK8" s="45" t="b">
        <v>0</v>
      </c>
      <c r="CL8" s="37"/>
      <c r="CM8" s="37"/>
      <c r="CN8" s="37" t="s">
        <v>29</v>
      </c>
      <c r="CO8" s="37" t="s">
        <v>29</v>
      </c>
      <c r="CP8" s="42" t="s">
        <v>40</v>
      </c>
      <c r="CQ8" s="37"/>
      <c r="CR8" s="37"/>
      <c r="CS8" s="43">
        <v>210</v>
      </c>
      <c r="CT8" s="37"/>
      <c r="CU8" s="37"/>
      <c r="CV8" s="37"/>
      <c r="CW8" s="37"/>
      <c r="CX8" s="37"/>
      <c r="CY8" s="37" t="s">
        <v>61</v>
      </c>
      <c r="CZ8" s="37" t="s">
        <v>73</v>
      </c>
      <c r="DA8" s="43">
        <v>0</v>
      </c>
      <c r="DB8" s="43">
        <v>0</v>
      </c>
      <c r="DC8" s="37"/>
      <c r="DD8" s="43">
        <v>100000</v>
      </c>
      <c r="DE8" s="43">
        <v>0</v>
      </c>
      <c r="DF8" s="43">
        <v>0</v>
      </c>
      <c r="DG8" s="43">
        <v>0</v>
      </c>
      <c r="DH8" s="37" t="s">
        <v>68</v>
      </c>
      <c r="DI8" s="43">
        <v>0</v>
      </c>
      <c r="DJ8" s="37" t="s">
        <v>30</v>
      </c>
      <c r="DK8" s="43">
        <v>0</v>
      </c>
      <c r="DL8" s="43">
        <v>0</v>
      </c>
      <c r="DM8" s="43">
        <v>1</v>
      </c>
      <c r="DN8" s="43">
        <v>0</v>
      </c>
      <c r="DO8" s="37"/>
      <c r="DP8" s="37" t="s">
        <v>67</v>
      </c>
      <c r="DQ8" s="37" t="s">
        <v>74</v>
      </c>
      <c r="DR8" s="37" t="s">
        <v>75</v>
      </c>
      <c r="DS8" s="37" t="s">
        <v>74</v>
      </c>
      <c r="DT8" s="37" t="s">
        <v>74</v>
      </c>
      <c r="DU8" s="37" t="s">
        <v>76</v>
      </c>
      <c r="DV8" s="37" t="s">
        <v>74</v>
      </c>
      <c r="DW8" s="37" t="s">
        <v>74</v>
      </c>
      <c r="DX8" s="37" t="s">
        <v>74</v>
      </c>
      <c r="DY8" s="37" t="s">
        <v>74</v>
      </c>
      <c r="DZ8" s="37" t="s">
        <v>59</v>
      </c>
      <c r="EA8" s="37" t="s">
        <v>76</v>
      </c>
      <c r="EB8" s="37" t="s">
        <v>74</v>
      </c>
      <c r="EC8" s="37" t="s">
        <v>74</v>
      </c>
      <c r="ED8" s="37" t="s">
        <v>23</v>
      </c>
      <c r="EE8" s="37" t="s">
        <v>77</v>
      </c>
      <c r="EF8" s="43">
        <v>0</v>
      </c>
      <c r="EG8" s="43">
        <v>0</v>
      </c>
      <c r="EH8" s="43">
        <v>0</v>
      </c>
      <c r="EI8" s="43">
        <v>0</v>
      </c>
      <c r="EJ8" s="43">
        <v>0</v>
      </c>
      <c r="EK8" s="43">
        <v>0</v>
      </c>
      <c r="EL8" s="37" t="s">
        <v>67</v>
      </c>
      <c r="EM8" s="43">
        <v>0</v>
      </c>
      <c r="EN8" s="43">
        <v>0</v>
      </c>
      <c r="EO8" s="43">
        <v>-3500</v>
      </c>
      <c r="EP8" s="43">
        <v>600000</v>
      </c>
      <c r="EQ8" s="43">
        <v>0</v>
      </c>
      <c r="ER8" s="43">
        <v>0</v>
      </c>
      <c r="ES8" s="43">
        <v>-41442000</v>
      </c>
      <c r="ET8" s="43">
        <v>0</v>
      </c>
      <c r="EU8" s="43">
        <v>0</v>
      </c>
      <c r="EV8" s="37" t="s">
        <v>67</v>
      </c>
      <c r="EW8" s="43">
        <v>-20721000</v>
      </c>
      <c r="EX8" s="45" t="b">
        <v>0</v>
      </c>
      <c r="EY8" s="37"/>
    </row>
    <row r="9" spans="1:168" ht="15.75" customHeight="1">
      <c r="A9" s="5"/>
      <c r="B9" s="5"/>
      <c r="C9" s="37" t="s">
        <v>33</v>
      </c>
      <c r="D9" s="43">
        <v>100</v>
      </c>
      <c r="E9" s="37" t="s">
        <v>24</v>
      </c>
      <c r="F9" s="37" t="s">
        <v>31</v>
      </c>
      <c r="G9" s="43">
        <v>210</v>
      </c>
      <c r="H9" s="37" t="s">
        <v>67</v>
      </c>
      <c r="I9" s="37"/>
      <c r="J9" s="43">
        <v>0</v>
      </c>
      <c r="K9" s="43">
        <v>0</v>
      </c>
      <c r="L9" s="46">
        <v>0</v>
      </c>
      <c r="M9" s="46">
        <v>0</v>
      </c>
      <c r="N9" s="43">
        <v>-21000</v>
      </c>
      <c r="O9" s="37" t="s">
        <v>64</v>
      </c>
      <c r="P9" s="37" t="s">
        <v>68</v>
      </c>
      <c r="Q9" s="43">
        <v>-21000</v>
      </c>
      <c r="R9" s="37" t="s">
        <v>50</v>
      </c>
      <c r="S9" s="37" t="s">
        <v>62</v>
      </c>
      <c r="T9" s="37" t="s">
        <v>48</v>
      </c>
      <c r="U9" s="37" t="s">
        <v>43</v>
      </c>
      <c r="V9" s="37" t="s">
        <v>41</v>
      </c>
      <c r="W9" s="37" t="s">
        <v>23</v>
      </c>
      <c r="X9" s="43">
        <v>1</v>
      </c>
      <c r="Y9" s="43">
        <v>1</v>
      </c>
      <c r="Z9" s="37"/>
      <c r="AA9" s="37"/>
      <c r="AB9" s="43">
        <v>0</v>
      </c>
      <c r="AC9" s="43">
        <v>0</v>
      </c>
      <c r="AD9" s="43">
        <v>0</v>
      </c>
      <c r="AE9" s="43">
        <v>0</v>
      </c>
      <c r="AF9" s="43">
        <v>100</v>
      </c>
      <c r="AG9" s="43">
        <v>0</v>
      </c>
      <c r="AH9" s="43">
        <v>0</v>
      </c>
      <c r="AI9" s="43">
        <v>0</v>
      </c>
      <c r="AJ9" s="43">
        <v>0</v>
      </c>
      <c r="AK9" s="43">
        <v>-21000</v>
      </c>
      <c r="AL9" s="43">
        <v>1</v>
      </c>
      <c r="AM9" s="43">
        <v>1</v>
      </c>
      <c r="AN9" s="37" t="s">
        <v>30</v>
      </c>
      <c r="AO9" s="37"/>
      <c r="AP9" s="37" t="s">
        <v>67</v>
      </c>
      <c r="AQ9" s="37" t="s">
        <v>33</v>
      </c>
      <c r="AR9" s="43">
        <v>0</v>
      </c>
      <c r="AS9" s="43">
        <v>1</v>
      </c>
      <c r="AT9" s="37"/>
      <c r="AU9" s="37" t="s">
        <v>46</v>
      </c>
      <c r="AV9" s="43">
        <v>1</v>
      </c>
      <c r="AW9" s="43">
        <v>-21000</v>
      </c>
      <c r="AX9" s="43">
        <v>0</v>
      </c>
      <c r="AY9" s="43">
        <v>0</v>
      </c>
      <c r="AZ9" s="43">
        <v>0</v>
      </c>
      <c r="BA9" s="43">
        <v>-100</v>
      </c>
      <c r="BB9" s="37"/>
      <c r="BC9" s="43">
        <v>1</v>
      </c>
      <c r="BD9" s="43">
        <v>-21000</v>
      </c>
      <c r="BE9" s="37" t="s">
        <v>48</v>
      </c>
      <c r="BF9" s="37" t="s">
        <v>78</v>
      </c>
      <c r="BG9" s="37" t="s">
        <v>79</v>
      </c>
      <c r="BH9" s="37" t="s">
        <v>80</v>
      </c>
      <c r="BI9" s="37" t="s">
        <v>68</v>
      </c>
      <c r="BJ9" s="43">
        <v>0</v>
      </c>
      <c r="BK9" s="43">
        <v>0</v>
      </c>
      <c r="BL9" s="43">
        <v>0</v>
      </c>
      <c r="BM9" s="43">
        <v>0</v>
      </c>
      <c r="BN9" s="37"/>
      <c r="BO9" s="43">
        <v>-21000</v>
      </c>
      <c r="BP9" s="43">
        <v>0</v>
      </c>
      <c r="BQ9" s="37" t="s">
        <v>42</v>
      </c>
      <c r="BR9" s="37" t="s">
        <v>50</v>
      </c>
      <c r="BS9" s="43">
        <v>0</v>
      </c>
      <c r="BT9" s="43">
        <v>0</v>
      </c>
      <c r="BU9" s="37" t="s">
        <v>48</v>
      </c>
      <c r="BV9" s="37" t="s">
        <v>72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37"/>
      <c r="CC9" s="43">
        <v>0</v>
      </c>
      <c r="CD9" s="43">
        <v>-21000</v>
      </c>
      <c r="CE9" s="43">
        <v>0</v>
      </c>
      <c r="CF9" s="43">
        <v>0</v>
      </c>
      <c r="CG9" s="43">
        <v>-21000</v>
      </c>
      <c r="CH9" s="43">
        <v>-100</v>
      </c>
      <c r="CI9" s="43">
        <v>0</v>
      </c>
      <c r="CJ9" s="43">
        <v>0</v>
      </c>
      <c r="CK9" s="45" t="b">
        <v>0</v>
      </c>
      <c r="CL9" s="37"/>
      <c r="CM9" s="37"/>
      <c r="CN9" s="37"/>
      <c r="CO9" s="37"/>
      <c r="CP9" s="42" t="s">
        <v>54</v>
      </c>
      <c r="CQ9" s="37"/>
      <c r="CR9" s="37"/>
      <c r="CS9" s="43">
        <v>210</v>
      </c>
      <c r="CT9" s="37"/>
      <c r="CU9" s="37"/>
      <c r="CV9" s="37"/>
      <c r="CW9" s="37"/>
      <c r="CX9" s="37"/>
      <c r="CY9" s="37" t="s">
        <v>61</v>
      </c>
      <c r="CZ9" s="37" t="s">
        <v>73</v>
      </c>
      <c r="DA9" s="43">
        <v>0</v>
      </c>
      <c r="DB9" s="43">
        <v>0</v>
      </c>
      <c r="DC9" s="37"/>
      <c r="DD9" s="43">
        <v>100</v>
      </c>
      <c r="DE9" s="43">
        <v>0</v>
      </c>
      <c r="DF9" s="43">
        <v>0</v>
      </c>
      <c r="DG9" s="43">
        <v>0</v>
      </c>
      <c r="DH9" s="37" t="s">
        <v>68</v>
      </c>
      <c r="DI9" s="43">
        <v>0</v>
      </c>
      <c r="DJ9" s="37" t="s">
        <v>30</v>
      </c>
      <c r="DK9" s="43">
        <v>0</v>
      </c>
      <c r="DL9" s="43">
        <v>0</v>
      </c>
      <c r="DM9" s="43">
        <v>1</v>
      </c>
      <c r="DN9" s="43">
        <v>0</v>
      </c>
      <c r="DO9" s="37"/>
      <c r="DP9" s="37" t="s">
        <v>67</v>
      </c>
      <c r="DQ9" s="37" t="s">
        <v>68</v>
      </c>
      <c r="DR9" s="37" t="s">
        <v>81</v>
      </c>
      <c r="DS9" s="37" t="s">
        <v>82</v>
      </c>
      <c r="DT9" s="37" t="s">
        <v>68</v>
      </c>
      <c r="DU9" s="37" t="s">
        <v>68</v>
      </c>
      <c r="DV9" s="37" t="s">
        <v>68</v>
      </c>
      <c r="DW9" s="47"/>
      <c r="DX9" s="37"/>
      <c r="DY9" s="37" t="s">
        <v>68</v>
      </c>
      <c r="DZ9" s="37" t="s">
        <v>64</v>
      </c>
      <c r="EA9" s="37" t="s">
        <v>77</v>
      </c>
      <c r="EB9" s="37" t="s">
        <v>68</v>
      </c>
      <c r="EC9" s="37" t="s">
        <v>68</v>
      </c>
      <c r="ED9" s="37" t="s">
        <v>23</v>
      </c>
      <c r="EE9" s="37" t="s">
        <v>77</v>
      </c>
      <c r="EF9" s="43">
        <v>0</v>
      </c>
      <c r="EG9" s="43">
        <v>0</v>
      </c>
      <c r="EH9" s="43">
        <v>0</v>
      </c>
      <c r="EI9" s="43">
        <v>0</v>
      </c>
      <c r="EJ9" s="43">
        <v>0</v>
      </c>
      <c r="EK9" s="43">
        <v>0</v>
      </c>
      <c r="EL9" s="37" t="s">
        <v>67</v>
      </c>
      <c r="EM9" s="43">
        <v>0</v>
      </c>
      <c r="EN9" s="43">
        <v>0</v>
      </c>
      <c r="EO9" s="43">
        <v>-3.5</v>
      </c>
      <c r="EP9" s="43">
        <v>600000</v>
      </c>
      <c r="EQ9" s="43">
        <v>0</v>
      </c>
      <c r="ER9" s="43">
        <v>0</v>
      </c>
      <c r="ES9" s="43">
        <v>-41442000</v>
      </c>
      <c r="ET9" s="43">
        <v>0</v>
      </c>
      <c r="EU9" s="43">
        <v>0</v>
      </c>
      <c r="EV9" s="37" t="s">
        <v>67</v>
      </c>
      <c r="EW9" s="43">
        <v>-20721000</v>
      </c>
      <c r="EX9" s="45" t="b">
        <v>0</v>
      </c>
      <c r="EY9" s="37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2021-08-04T13:57:16Z</dcterms:modified>
</cp:coreProperties>
</file>