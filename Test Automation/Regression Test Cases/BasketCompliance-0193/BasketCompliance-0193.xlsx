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2" sheetId="4" r:id="rId6"/>
    <sheet state="visible" name="VerifyComplianceOrder2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reateComplianceOrder" sheetId="9" r:id="rId11"/>
    <sheet state="visible" name="VerifyComplianceOrder" sheetId="10" r:id="rId12"/>
    <sheet state="visible" name="CreateComplianceOrder1" sheetId="11" r:id="rId13"/>
    <sheet state="visible" name="VerifyComplianceOrder1" sheetId="12" r:id="rId14"/>
    <sheet state="visible" name="SelectTrade" sheetId="13" r:id="rId15"/>
    <sheet state="visible" name="AcknowledgeTrade" sheetId="14" r:id="rId16"/>
    <sheet state="visible" name="ExecuteTrade" sheetId="15" r:id="rId17"/>
  </sheets>
  <definedNames/>
  <calcPr/>
</workbook>
</file>

<file path=xl/sharedStrings.xml><?xml version="1.0" encoding="utf-8"?>
<sst xmlns="http://schemas.openxmlformats.org/spreadsheetml/2006/main" count="166" uniqueCount="45">
  <si>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</si>
  <si>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</si>
  <si>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</si>
  <si>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</si>
  <si>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</si>
  <si>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</si>
  <si>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</si>
  <si>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</si>
  <si>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</si>
  <si>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</si>
  <si>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</si>
  <si>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</si>
  <si>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</si>
  <si>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</si>
  <si>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</si>
  <si>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</si>
  <si>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IBM</t>
  </si>
  <si>
    <t>Buy</t>
  </si>
  <si>
    <t>Allocation5</t>
  </si>
  <si>
    <t>Yes</t>
  </si>
  <si>
    <t>DoneAway</t>
  </si>
  <si>
    <t>VerifyComplianceOrder</t>
  </si>
  <si>
    <t>Soft</t>
  </si>
  <si>
    <t>5% Price Swing_Short</t>
  </si>
  <si>
    <t>The price has moved more than 5% of closing mark</t>
  </si>
  <si>
    <t>Closing Mark: 0.0, Price Swing %: Infinity, SelectedFeedPrice:120.0, Asset:Equity, MarkPrice:0.0, Symbol:IBM , selectedFeedPrice: 120.00, asset: Equity, Symbol: IBM</t>
  </si>
  <si>
    <t/>
  </si>
  <si>
    <t>PricingInput</t>
  </si>
  <si>
    <t>DailyValuation</t>
  </si>
  <si>
    <t>GetMarkPriceData</t>
  </si>
  <si>
    <t>UpdateMarkPrice</t>
  </si>
  <si>
    <t>Allocation1</t>
  </si>
  <si>
    <t>CreateOrder</t>
  </si>
  <si>
    <t>Closing Mark: 10.0, Price Swing %: 1100.0, SelectedFeedPrice:120.0, Asset:Equity, MarkPrice:10.0, Symbol:IBM , selectedFeedPrice: 120.00, asset: Equity, Symbol: IBM</t>
  </si>
  <si>
    <t>5% Price Swing Multiply</t>
  </si>
  <si>
    <t>Multiple</t>
  </si>
  <si>
    <t>Closing Mark: 10.0, Price Swing %: 1100.0, SelectedFeedPrice:120.0, Asset:Equity, MarkPrice:10.0, Symbol:IBM , selectedFeedPrice: 120.00, asset: Equity, markPrice: 10.00, Symbol: IBM</t>
  </si>
  <si>
    <t>5% Price Swing  Divide</t>
  </si>
  <si>
    <t>Send</t>
  </si>
  <si>
    <t>Closing Mark: 10.0, Price Swing %: 1900.0, SelectedFeedPrice:200.0, Asset:Equity, MarkPrice:10.0, Symbol:IBM , selectedFeedPrice: 200.00, asset: Equity, Symbol: IBM</t>
  </si>
  <si>
    <t>Closing Mark: 10.0, Price Swing %: 1900.0, SelectedFeedPrice:200.0, Asset:Equity, MarkPrice:10.0, Symbol:IBM , selectedFeedPrice: 200.00, asset: Equity, markPrice: 10.00, Symbol: IBM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</si>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</sst>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name val="Quattrocento Sans"/>
    </font>
    <font>
      <sz val="11.0"/>
      <name val="Calibri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33333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vertical="top"/>
    </xf>
    <xf borderId="7" fillId="7" fontId="14" numFmtId="0" xfId="0" applyAlignment="1" applyBorder="1" applyFill="1" applyFont="1">
      <alignment vertical="top"/>
    </xf>
    <xf borderId="7" fillId="7" fontId="14" numFmtId="0" xfId="0" applyAlignment="1" applyBorder="1" applyFont="1">
      <alignment vertical="top"/>
    </xf>
    <xf borderId="7" fillId="7" fontId="14" numFmtId="0" xfId="0" applyAlignment="1" applyBorder="1" applyFont="1">
      <alignment horizontal="right" vertical="top"/>
    </xf>
    <xf borderId="0" fillId="0" fontId="3" numFmtId="0" xfId="0" applyAlignment="1" applyFont="1">
      <alignment vertical="bottom"/>
    </xf>
    <xf borderId="8" fillId="7" fontId="3" numFmtId="0" xfId="0" applyAlignment="1" applyBorder="1" applyFont="1">
      <alignment vertical="top"/>
    </xf>
    <xf borderId="0" fillId="0" fontId="1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6" fillId="6" fontId="16" numFmtId="0" xfId="0" applyAlignment="1" applyBorder="1" applyFont="1">
      <alignment horizontal="left" readingOrder="0" shrinkToFit="0" vertical="top" wrapText="0"/>
    </xf>
    <xf borderId="6" fillId="8" fontId="17" numFmtId="0" xfId="0" applyAlignment="1" applyBorder="1" applyFill="1" applyFont="1">
      <alignment horizontal="left" readingOrder="0" shrinkToFit="0" vertical="top" wrapText="0"/>
    </xf>
    <xf borderId="6" fillId="8" fontId="18" numFmtId="0" xfId="0" applyAlignment="1" applyBorder="1" applyFont="1">
      <alignment horizontal="left" readingOrder="0" shrinkToFit="0" vertical="top" wrapText="0"/>
    </xf>
    <xf borderId="6" fillId="9" fontId="18" numFmtId="0" xfId="0" applyAlignment="1" applyBorder="1" applyFill="1" applyFont="1">
      <alignment horizontal="left" shrinkToFit="0" vertical="top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6" fillId="9" fontId="17" numFmtId="0" xfId="0" applyAlignment="1" applyBorder="1" applyFont="1">
      <alignment horizontal="left" readingOrder="0" shrinkToFit="0" vertical="top" wrapText="0"/>
    </xf>
    <xf borderId="6" fillId="9" fontId="18" numFmtId="0" xfId="0" applyAlignment="1" applyBorder="1" applyFont="1">
      <alignment horizontal="left" readingOrder="0" shrinkToFit="0" vertical="top" wrapText="0"/>
    </xf>
    <xf borderId="6" fillId="8" fontId="18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12" t="s">
        <v>18</v>
      </c>
      <c r="G6" s="8"/>
      <c r="H6" s="8"/>
      <c r="I6" s="8"/>
      <c r="J6" s="12">
        <v>120.0</v>
      </c>
      <c r="K6" s="8"/>
      <c r="L6" s="8"/>
      <c r="M6" s="8"/>
      <c r="N6" s="31">
        <f>today()-1</f>
        <v>45921</v>
      </c>
      <c r="O6" s="8"/>
      <c r="AQ6" s="9" t="s">
        <v>19</v>
      </c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34" t="s">
        <v>23</v>
      </c>
      <c r="D6" s="35" t="s">
        <v>24</v>
      </c>
      <c r="E6" s="34" t="s">
        <v>16</v>
      </c>
      <c r="F6" s="36">
        <v>0.0</v>
      </c>
      <c r="G6" s="36">
        <v>120.0</v>
      </c>
      <c r="H6" s="37" t="s">
        <v>25</v>
      </c>
      <c r="I6" s="38" t="s">
        <v>26</v>
      </c>
      <c r="J6" s="37"/>
      <c r="K6" s="39" t="s">
        <v>19</v>
      </c>
      <c r="L6" s="37"/>
      <c r="M6" s="39" t="s">
        <v>20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 t="shared" ref="B6:C6" si="1">TODAY()-1</f>
        <v>45921</v>
      </c>
      <c r="C6" s="40">
        <f t="shared" si="1"/>
        <v>45921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31</v>
      </c>
      <c r="G6" s="8"/>
      <c r="H6" s="8"/>
      <c r="I6" s="8"/>
      <c r="J6" s="12">
        <v>120.0</v>
      </c>
      <c r="K6" s="8"/>
      <c r="L6" s="8"/>
      <c r="M6" s="8"/>
      <c r="N6" s="8"/>
      <c r="O6" s="8"/>
      <c r="AQ6" s="9" t="s">
        <v>19</v>
      </c>
      <c r="AX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2" t="s">
        <v>23</v>
      </c>
      <c r="D6" s="42" t="s">
        <v>24</v>
      </c>
      <c r="E6" s="43" t="s">
        <v>16</v>
      </c>
      <c r="F6" s="42">
        <v>9.5</v>
      </c>
      <c r="G6" s="43">
        <v>120.0</v>
      </c>
      <c r="H6" s="9" t="s">
        <v>33</v>
      </c>
      <c r="I6" s="44"/>
      <c r="J6" s="45"/>
      <c r="K6" s="46" t="s">
        <v>19</v>
      </c>
      <c r="L6" s="45"/>
      <c r="M6" s="46" t="s">
        <v>32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15.75" customHeight="1">
      <c r="A7" s="8"/>
      <c r="B7" s="41" t="s">
        <v>22</v>
      </c>
      <c r="C7" s="47" t="s">
        <v>34</v>
      </c>
      <c r="D7" s="48" t="s">
        <v>24</v>
      </c>
      <c r="E7" s="48" t="s">
        <v>16</v>
      </c>
      <c r="F7" s="48" t="s">
        <v>35</v>
      </c>
      <c r="G7" s="48" t="s">
        <v>35</v>
      </c>
      <c r="H7" s="9" t="s">
        <v>36</v>
      </c>
      <c r="I7" s="49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15.75" customHeight="1">
      <c r="A8" s="8"/>
      <c r="B8" s="41" t="s">
        <v>22</v>
      </c>
      <c r="C8" s="42" t="s">
        <v>37</v>
      </c>
      <c r="D8" s="43" t="s">
        <v>24</v>
      </c>
      <c r="E8" s="43" t="s">
        <v>16</v>
      </c>
      <c r="F8" s="43" t="s">
        <v>35</v>
      </c>
      <c r="G8" s="43" t="s">
        <v>35</v>
      </c>
      <c r="H8" s="9" t="s">
        <v>36</v>
      </c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75" customHeight="1">
      <c r="A9" s="8"/>
      <c r="B9" s="8"/>
      <c r="C9" s="8"/>
      <c r="D9" s="8"/>
      <c r="E9" s="8"/>
      <c r="F9" s="8"/>
      <c r="G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31</v>
      </c>
      <c r="G6" s="8"/>
      <c r="H6" s="8"/>
      <c r="I6" s="8"/>
      <c r="J6" s="12">
        <v>120.0</v>
      </c>
      <c r="K6" s="8"/>
      <c r="L6" s="8"/>
      <c r="M6" s="8"/>
      <c r="N6" s="8"/>
      <c r="O6" s="8"/>
      <c r="AQ6" s="9" t="s">
        <v>19</v>
      </c>
      <c r="AX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2.38"/>
    <col customWidth="1" min="4" max="4" width="39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8" t="s">
        <v>23</v>
      </c>
      <c r="D6" s="47" t="s">
        <v>24</v>
      </c>
      <c r="E6" s="48" t="s">
        <v>16</v>
      </c>
      <c r="F6" s="47">
        <v>9.5</v>
      </c>
      <c r="G6" s="48">
        <v>200.0</v>
      </c>
      <c r="H6" s="47" t="s">
        <v>39</v>
      </c>
      <c r="I6" s="49"/>
      <c r="J6" s="45"/>
      <c r="K6" s="46" t="s">
        <v>19</v>
      </c>
      <c r="L6" s="45"/>
      <c r="M6" s="46" t="s">
        <v>38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15.75" customHeight="1">
      <c r="A7" s="8"/>
      <c r="B7" s="41" t="s">
        <v>22</v>
      </c>
      <c r="C7" s="43" t="s">
        <v>34</v>
      </c>
      <c r="D7" s="43" t="s">
        <v>24</v>
      </c>
      <c r="E7" s="43" t="s">
        <v>16</v>
      </c>
      <c r="F7" s="43" t="s">
        <v>35</v>
      </c>
      <c r="G7" s="43" t="s">
        <v>35</v>
      </c>
      <c r="H7" s="43" t="s">
        <v>40</v>
      </c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15.75" customHeight="1">
      <c r="A8" s="8"/>
      <c r="B8" s="41" t="s">
        <v>22</v>
      </c>
      <c r="C8" s="47" t="s">
        <v>37</v>
      </c>
      <c r="D8" s="48" t="s">
        <v>24</v>
      </c>
      <c r="E8" s="48" t="s">
        <v>16</v>
      </c>
      <c r="F8" s="48" t="s">
        <v>35</v>
      </c>
      <c r="G8" s="48" t="s">
        <v>35</v>
      </c>
      <c r="H8" s="48" t="s">
        <v>40</v>
      </c>
      <c r="I8" s="49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2"/>
      <c r="D10" s="12"/>
      <c r="E10" s="12"/>
      <c r="F10" s="12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2"/>
      <c r="D11" s="12"/>
      <c r="E11" s="12"/>
      <c r="F11" s="12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2"/>
      <c r="E12" s="12"/>
      <c r="F12" s="12"/>
      <c r="G12" s="12"/>
      <c r="H12" s="12"/>
      <c r="I12" s="12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12"/>
      <c r="E13" s="12"/>
      <c r="F13" s="12"/>
      <c r="G13" s="12"/>
      <c r="H13" s="12"/>
      <c r="I13" s="12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