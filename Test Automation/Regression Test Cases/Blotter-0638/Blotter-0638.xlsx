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AddCalculatedPreferences1" sheetId="8" r:id="rId10"/>
    <sheet state="visible" name="SetAccountValueCalculatedPref1" sheetId="9" r:id="rId11"/>
    <sheet state="visible" name="SetDefaultRuleCalculatedPref1" sheetId="10" r:id="rId12"/>
    <sheet state="visible" name="CreateLiveOrder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CreateLiveOrder1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SelectTradeOnOrderGrid" sheetId="19" r:id="rId21"/>
    <sheet state="visible" name="AllocateFromBlotter" sheetId="20" r:id="rId22"/>
    <sheet state="visible" name="SelectTradeOnOrderGrid1" sheetId="21" r:id="rId23"/>
    <sheet state="visible" name="AllocateFromBlotter1" sheetId="22" r:id="rId24"/>
    <sheet state="visible" name="GetDataFromAuditTrail" sheetId="23" r:id="rId25"/>
    <sheet state="visible" name="VerifyAuditTrail" sheetId="24" r:id="rId26"/>
  </sheets>
  <definedNames/>
  <calcPr/>
</workbook>
</file>

<file path=xl/sharedStrings.xml><?xml version="1.0" encoding="utf-8"?>
<sst xmlns="http://schemas.openxmlformats.org/spreadsheetml/2006/main" count="249" uniqueCount="48">
  <si>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</si>
  <si>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</si>
  <si>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</si>
  <si>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</si>
  <si>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</si>
  <si>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</si>
  <si>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</si>
  <si>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</si>
  <si>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</si>
  <si>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</si>
  <si>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</si>
  <si>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</si>
  <si>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</si>
  <si>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</si>
  <si>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</si>
  <si>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</si>
  <si>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Allocation</t>
  </si>
  <si>
    <t>AddCalculatedPreferences</t>
  </si>
  <si>
    <t>Test1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</si>
  <si>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</si>
  <si>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</si>
  <si>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</si>
  <si>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</si>
  <si>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</si>
  <si>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</si>
  <si>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Demo</t>
  </si>
  <si>
    <t>Allocation1</t>
  </si>
  <si>
    <t>Allocation4</t>
  </si>
  <si>
    <t>TradingTicket</t>
  </si>
  <si>
    <t>CreateLiveOrder</t>
  </si>
  <si>
    <t>MSFT</t>
  </si>
  <si>
    <t>Buy</t>
  </si>
  <si>
    <t>Simulator</t>
  </si>
  <si>
    <t>SelectTrade</t>
  </si>
  <si>
    <t>AcknowledgeTrade</t>
  </si>
  <si>
    <t>ExecuteTrade</t>
  </si>
  <si>
    <t>INFY</t>
  </si>
  <si>
    <t>Blotter</t>
  </si>
  <si>
    <t>SelectTradeOnOrderGrid</t>
  </si>
  <si>
    <t>Filled</t>
  </si>
  <si>
    <t>AllocateFromBlotter</t>
  </si>
  <si>
    <t>AuditTrail</t>
  </si>
  <si>
    <t>GetDataFromAuditTrail</t>
  </si>
  <si>
    <t>VerifyAuditTrail</t>
  </si>
  <si>
    <t>Trades Allocated/Reallocated</t>
  </si>
  <si>
    <t>TaxlotDeleted</t>
  </si>
  <si>
    <t>jpearce</t>
  </si>
  <si>
    <t>Grouped order allocated from 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</si>
</sst>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00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horizontal="left" readingOrder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5" fontId="4" numFmtId="0" xfId="0" applyAlignment="1" applyBorder="1" applyFont="1">
      <alignment shrinkToFit="0" wrapText="0"/>
    </xf>
    <xf borderId="5" fillId="5" fontId="4" numFmtId="0" xfId="0" applyAlignment="1" applyBorder="1" applyFont="1">
      <alignment readingOrder="0" shrinkToFit="0" wrapText="0"/>
    </xf>
    <xf borderId="0" fillId="6" fontId="5" numFmtId="0" xfId="0" applyAlignment="1" applyFont="1">
      <alignment readingOrder="0" shrinkToFit="0" vertical="bottom" wrapText="0"/>
    </xf>
    <xf borderId="0" fillId="6" fontId="14" numFmtId="0" xfId="0" applyAlignment="1" applyFont="1">
      <alignment horizontal="right" readingOrder="0" shrinkToFit="0" vertical="bottom" wrapText="0"/>
    </xf>
    <xf borderId="0" fillId="6" fontId="14" numFmtId="164" xfId="0" applyAlignment="1" applyFont="1" applyNumberFormat="1">
      <alignment horizontal="right" readingOrder="0" shrinkToFit="0" vertical="bottom" wrapText="0"/>
    </xf>
    <xf borderId="0" fillId="6" fontId="14" numFmtId="165" xfId="0" applyAlignment="1" applyFont="1" applyNumberFormat="1">
      <alignment horizontal="right" readingOrder="0" shrinkToFit="0" vertical="bottom" wrapText="0"/>
    </xf>
    <xf borderId="0" fillId="6" fontId="2" numFmtId="0" xfId="0" applyAlignment="1" applyFont="1">
      <alignment vertical="bottom"/>
    </xf>
    <xf borderId="0" fillId="6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EnableAutoGroupingAllocation!$4:$4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5" t="s">
        <v>20</v>
      </c>
      <c r="D6" s="36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18</v>
      </c>
      <c r="C7" s="35" t="s">
        <v>21</v>
      </c>
      <c r="D7" s="37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/>
      <c r="D6" s="34" t="s">
        <v>24</v>
      </c>
      <c r="E6" s="33"/>
      <c r="F6" s="33"/>
      <c r="G6" s="32" t="b">
        <v>0</v>
      </c>
      <c r="H6" s="35" t="s">
        <v>18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25</v>
      </c>
      <c r="C6" s="39" t="s">
        <v>26</v>
      </c>
      <c r="D6" s="36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0" t="s">
        <v>25</v>
      </c>
      <c r="C7" s="39" t="s">
        <v>27</v>
      </c>
      <c r="D7" s="37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/>
      <c r="D6" s="34" t="s">
        <v>24</v>
      </c>
      <c r="E6" s="33"/>
      <c r="F6" s="33"/>
      <c r="G6" s="32" t="b">
        <v>0</v>
      </c>
      <c r="H6" s="39" t="s">
        <v>25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30</v>
      </c>
      <c r="C6" s="35" t="s">
        <v>31</v>
      </c>
      <c r="D6" s="36">
        <v>100.0</v>
      </c>
      <c r="E6" s="33"/>
      <c r="F6" s="35" t="s">
        <v>18</v>
      </c>
      <c r="G6" s="33"/>
      <c r="H6" s="33"/>
      <c r="I6" s="33"/>
      <c r="J6" s="37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8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8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36</v>
      </c>
      <c r="C6" s="35" t="s">
        <v>31</v>
      </c>
      <c r="D6" s="36">
        <v>100.0</v>
      </c>
      <c r="E6" s="33"/>
      <c r="F6" s="35" t="s">
        <v>18</v>
      </c>
      <c r="G6" s="33"/>
      <c r="H6" s="33"/>
      <c r="I6" s="33"/>
      <c r="J6" s="37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36</v>
      </c>
      <c r="D6" s="12"/>
      <c r="E6" s="38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36</v>
      </c>
      <c r="D6" s="12"/>
      <c r="E6" s="38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30</v>
      </c>
      <c r="E6" s="38"/>
      <c r="F6" s="12" t="s">
        <v>31</v>
      </c>
      <c r="G6" s="12" t="s">
        <v>39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>
        <v>100.0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36</v>
      </c>
      <c r="E6" s="38"/>
      <c r="F6" s="12" t="s">
        <v>31</v>
      </c>
      <c r="G6" s="12" t="s">
        <v>39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>
        <v>50.0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21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>
        <f t="shared" ref="B6:C6" si="1">today()</f>
        <v>45590</v>
      </c>
      <c r="C6" s="42">
        <f t="shared" si="1"/>
        <v>45590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3" t="str">
        <f>IFERROR(__xludf.DUMMYFUNCTION("""COMPUTED_VALUE"""),"Action Time (UTC)")</f>
        <v>Action Time (UTC)</v>
      </c>
      <c r="C5" s="43" t="str">
        <f>IFERROR(__xludf.DUMMYFUNCTION("""COMPUTED_VALUE"""),"Symbol")</f>
        <v>Symbol</v>
      </c>
      <c r="D5" s="43" t="str">
        <f>IFERROR(__xludf.DUMMYFUNCTION("""COMPUTED_VALUE"""),"Order Side")</f>
        <v>Order Side</v>
      </c>
      <c r="E5" s="43" t="str">
        <f>IFERROR(__xludf.DUMMYFUNCTION("""COMPUTED_VALUE"""),"Account Name")</f>
        <v>Account Name</v>
      </c>
      <c r="F5" s="44" t="str">
        <f>IFERROR(__xludf.DUMMYFUNCTION("""COMPUTED_VALUE"""),"Action")</f>
        <v>Action</v>
      </c>
      <c r="G5" s="43" t="str">
        <f>IFERROR(__xludf.DUMMYFUNCTION("""COMPUTED_VALUE"""),"Original Value")</f>
        <v>Original Value</v>
      </c>
      <c r="H5" s="43" t="str">
        <f>IFERROR(__xludf.DUMMYFUNCTION("""COMPUTED_VALUE"""),"New Value")</f>
        <v>New Value</v>
      </c>
      <c r="I5" s="43" t="str">
        <f>IFERROR(__xludf.DUMMYFUNCTION("""COMPUTED_VALUE"""),"Comment")</f>
        <v>Comment</v>
      </c>
      <c r="J5" s="43" t="str">
        <f>IFERROR(__xludf.DUMMYFUNCTION("""COMPUTED_VALUE"""),"Company User")</f>
        <v>Company User</v>
      </c>
      <c r="K5" s="43" t="str">
        <f>IFERROR(__xludf.DUMMYFUNCTION("""COMPUTED_VALUE"""),"TaxlotId")</f>
        <v>TaxlotId</v>
      </c>
      <c r="L5" s="43" t="str">
        <f>IFERROR(__xludf.DUMMYFUNCTION("""COMPUTED_VALUE"""),"GroupId")</f>
        <v>GroupId</v>
      </c>
      <c r="M5" s="43" t="str">
        <f>IFERROR(__xludf.DUMMYFUNCTION("""COMPUTED_VALUE"""),"Action Time")</f>
        <v>Action Time</v>
      </c>
      <c r="N5" s="43" t="str">
        <f>IFERROR(__xludf.DUMMYFUNCTION("""COMPUTED_VALUE"""),"ParentOrderId")</f>
        <v>ParentOrderId</v>
      </c>
      <c r="O5" s="43" t="str">
        <f>IFERROR(__xludf.DUMMYFUNCTION("""COMPUTED_VALUE"""),"OrderId")</f>
        <v>OrderId</v>
      </c>
      <c r="P5" s="43" t="str">
        <f>IFERROR(__xludf.DUMMYFUNCTION("""COMPUTED_VALUE"""),"Source")</f>
        <v>Source</v>
      </c>
      <c r="Q5" s="43"/>
      <c r="R5" s="43"/>
      <c r="S5" s="43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5"/>
      <c r="C6" s="46" t="s">
        <v>30</v>
      </c>
      <c r="D6" s="46" t="s">
        <v>31</v>
      </c>
      <c r="E6" s="46" t="s">
        <v>20</v>
      </c>
      <c r="F6" s="46" t="s">
        <v>44</v>
      </c>
      <c r="G6" s="46">
        <v>100.0</v>
      </c>
      <c r="H6" s="46">
        <v>0.0</v>
      </c>
      <c r="I6" s="46" t="s">
        <v>45</v>
      </c>
      <c r="J6" s="46" t="s">
        <v>46</v>
      </c>
      <c r="K6" s="46"/>
      <c r="L6" s="46"/>
      <c r="M6" s="47"/>
      <c r="N6" s="48"/>
      <c r="O6" s="46"/>
      <c r="P6" s="46" t="s">
        <v>37</v>
      </c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</row>
    <row r="7" ht="15.75" customHeight="1">
      <c r="A7" s="50"/>
      <c r="B7" s="50"/>
      <c r="C7" s="46" t="s">
        <v>30</v>
      </c>
      <c r="D7" s="46" t="s">
        <v>31</v>
      </c>
      <c r="E7" s="46" t="s">
        <v>21</v>
      </c>
      <c r="F7" s="46" t="s">
        <v>44</v>
      </c>
      <c r="G7" s="46">
        <v>100.0</v>
      </c>
      <c r="H7" s="46">
        <v>0.0</v>
      </c>
      <c r="I7" s="46" t="s">
        <v>45</v>
      </c>
      <c r="J7" s="46" t="s">
        <v>46</v>
      </c>
      <c r="K7" s="46"/>
      <c r="L7" s="46"/>
      <c r="M7" s="47"/>
      <c r="N7" s="48"/>
      <c r="O7" s="46"/>
      <c r="P7" s="46" t="s">
        <v>37</v>
      </c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</row>
    <row r="8" ht="15.75" customHeight="1">
      <c r="A8" s="50"/>
      <c r="B8" s="50"/>
      <c r="C8" s="46" t="s">
        <v>30</v>
      </c>
      <c r="D8" s="46" t="s">
        <v>31</v>
      </c>
      <c r="E8" s="46" t="s">
        <v>26</v>
      </c>
      <c r="F8" s="46" t="s">
        <v>44</v>
      </c>
      <c r="G8" s="46">
        <v>0.0</v>
      </c>
      <c r="H8" s="46"/>
      <c r="I8" s="46" t="s">
        <v>47</v>
      </c>
      <c r="J8" s="46" t="s">
        <v>46</v>
      </c>
      <c r="K8" s="46"/>
      <c r="L8" s="46"/>
      <c r="M8" s="47"/>
      <c r="N8" s="48"/>
      <c r="O8" s="46"/>
      <c r="P8" s="46" t="s">
        <v>37</v>
      </c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</row>
    <row r="9" ht="15.75" customHeight="1">
      <c r="A9" s="50"/>
      <c r="B9" s="50"/>
      <c r="C9" s="46" t="s">
        <v>30</v>
      </c>
      <c r="D9" s="46" t="s">
        <v>31</v>
      </c>
      <c r="E9" s="46" t="s">
        <v>27</v>
      </c>
      <c r="F9" s="46" t="s">
        <v>44</v>
      </c>
      <c r="G9" s="46">
        <v>0.0</v>
      </c>
      <c r="H9" s="46"/>
      <c r="I9" s="46" t="s">
        <v>47</v>
      </c>
      <c r="J9" s="46" t="s">
        <v>46</v>
      </c>
      <c r="K9" s="46"/>
      <c r="L9" s="46"/>
      <c r="M9" s="47"/>
      <c r="N9" s="48"/>
      <c r="O9" s="46"/>
      <c r="P9" s="46" t="s">
        <v>37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</row>
    <row r="10" ht="15.75" customHeight="1">
      <c r="A10" s="50"/>
      <c r="B10" s="50"/>
      <c r="C10" s="46" t="s">
        <v>36</v>
      </c>
      <c r="D10" s="46" t="s">
        <v>31</v>
      </c>
      <c r="E10" s="46" t="s">
        <v>20</v>
      </c>
      <c r="F10" s="46" t="s">
        <v>44</v>
      </c>
      <c r="G10" s="46">
        <v>100.0</v>
      </c>
      <c r="H10" s="46">
        <v>0.0</v>
      </c>
      <c r="I10" s="46" t="s">
        <v>45</v>
      </c>
      <c r="J10" s="46" t="s">
        <v>46</v>
      </c>
      <c r="K10" s="46"/>
      <c r="L10" s="46"/>
      <c r="M10" s="47"/>
      <c r="N10" s="48"/>
      <c r="O10" s="46"/>
      <c r="P10" s="46" t="s">
        <v>37</v>
      </c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</row>
    <row r="11" ht="15.75" customHeight="1">
      <c r="A11" s="50"/>
      <c r="B11" s="50"/>
      <c r="C11" s="46" t="s">
        <v>36</v>
      </c>
      <c r="D11" s="46" t="s">
        <v>31</v>
      </c>
      <c r="E11" s="46" t="s">
        <v>20</v>
      </c>
      <c r="F11" s="46" t="s">
        <v>44</v>
      </c>
      <c r="G11" s="46">
        <v>0.0</v>
      </c>
      <c r="H11" s="46">
        <v>100.0</v>
      </c>
      <c r="I11" s="46" t="s">
        <v>47</v>
      </c>
      <c r="J11" s="46" t="s">
        <v>46</v>
      </c>
      <c r="K11" s="46"/>
      <c r="L11" s="46"/>
      <c r="M11" s="47"/>
      <c r="N11" s="48"/>
      <c r="O11" s="46"/>
      <c r="P11" s="46" t="s">
        <v>37</v>
      </c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</row>
    <row r="12" ht="15.75" customHeight="1">
      <c r="A12" s="50"/>
      <c r="B12" s="50"/>
      <c r="C12" s="46" t="s">
        <v>36</v>
      </c>
      <c r="D12" s="46" t="s">
        <v>31</v>
      </c>
      <c r="E12" s="46" t="s">
        <v>21</v>
      </c>
      <c r="F12" s="46" t="s">
        <v>44</v>
      </c>
      <c r="G12" s="46">
        <v>100.0</v>
      </c>
      <c r="H12" s="46">
        <v>0.0</v>
      </c>
      <c r="I12" s="46" t="s">
        <v>45</v>
      </c>
      <c r="J12" s="46" t="s">
        <v>46</v>
      </c>
      <c r="K12" s="46"/>
      <c r="L12" s="46"/>
      <c r="M12" s="47"/>
      <c r="N12" s="48"/>
      <c r="O12" s="46"/>
      <c r="P12" s="46" t="s">
        <v>37</v>
      </c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</row>
    <row r="13" ht="15.75" customHeight="1">
      <c r="A13" s="50"/>
      <c r="B13" s="50"/>
      <c r="C13" s="46" t="s">
        <v>36</v>
      </c>
      <c r="D13" s="46" t="s">
        <v>31</v>
      </c>
      <c r="E13" s="46" t="s">
        <v>21</v>
      </c>
      <c r="F13" s="46" t="s">
        <v>44</v>
      </c>
      <c r="G13" s="46">
        <v>0.0</v>
      </c>
      <c r="H13" s="46">
        <v>100.0</v>
      </c>
      <c r="I13" s="46" t="s">
        <v>47</v>
      </c>
      <c r="J13" s="46" t="s">
        <v>46</v>
      </c>
      <c r="K13" s="46"/>
      <c r="L13" s="46"/>
      <c r="M13" s="47"/>
      <c r="N13" s="48"/>
      <c r="O13" s="46"/>
      <c r="P13" s="46" t="s">
        <v>37</v>
      </c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