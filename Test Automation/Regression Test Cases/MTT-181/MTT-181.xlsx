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CreateOrderPTT" sheetId="13" r:id="rId15"/>
    <sheet state="visible" name="MultiTradingTicketFromBlotter" sheetId="14" r:id="rId16"/>
    <sheet state="visible" name="BulkEditUpdateFromMTT" sheetId="15" r:id="rId17"/>
    <sheet state="visible" name="VerifyMTT" sheetId="16" r:id="rId18"/>
    <sheet state="visible" name="SelectTradeUsingMTT" sheetId="17" r:id="rId19"/>
    <sheet state="visible" name="VerifyMTT1" sheetId="18" r:id="rId20"/>
    <sheet state="visible" name="EditTradeUsingMTT" sheetId="19" r:id="rId21"/>
    <sheet state="visible" name="BulkEditUpdateFromMTT1" sheetId="20" r:id="rId22"/>
    <sheet state="visible" name="VerifyMTT2" sheetId="21" r:id="rId23"/>
  </sheets>
  <definedNames/>
  <calcPr/>
</workbook>
</file>

<file path=xl/sharedStrings.xml><?xml version="1.0" encoding="utf-8"?>
<sst xmlns="http://schemas.openxmlformats.org/spreadsheetml/2006/main" count="221" uniqueCount="49">
  <si>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</si>
  <si>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</si>
  <si>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</si>
  <si>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</si>
  <si>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</si>
  <si>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</si>
  <si>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</si>
  <si>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</si>
  <si>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</si>
  <si>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</si>
  <si>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</si>
  <si>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</si>
  <si>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</si>
  <si>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</si>
  <si>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</si>
  <si>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</si>
  <si>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</si>
  <si>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</si>
  <si>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CreateStageOrder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</si>
  <si>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</si>
  <si>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</si>
  <si>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</si>
  <si>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</si>
  <si>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</si>
  <si>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</si>
  <si>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</si>
  <si>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</si>
  <si>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</si>
  <si>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No Impact</t>
  </si>
  <si>
    <t>None</t>
  </si>
  <si>
    <t>RunRebalance</t>
  </si>
  <si>
    <t>Nearest Round Off</t>
  </si>
  <si>
    <t>SendtoStaging</t>
  </si>
  <si>
    <t>PTT</t>
  </si>
  <si>
    <t>CreateOrderPTT</t>
  </si>
  <si>
    <t>Blotter</t>
  </si>
  <si>
    <t>MultiTradingTicketFromBlotter</t>
  </si>
  <si>
    <t>New</t>
  </si>
  <si>
    <t>MultiTradingTicket</t>
  </si>
  <si>
    <t>BulkEditUpdateFromMTT</t>
  </si>
  <si>
    <t>GTC</t>
  </si>
  <si>
    <t>VerifyMTT</t>
  </si>
  <si>
    <t>MS</t>
  </si>
  <si>
    <t>Limit</t>
  </si>
  <si>
    <t>SelectTradeUsingMTT</t>
  </si>
  <si>
    <t>Day</t>
  </si>
  <si>
    <t>Market</t>
  </si>
  <si>
    <t>EditTradeUsingMTT</t>
  </si>
  <si>
    <t>Good Till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</si>
</sst>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4"/>
      <c r="F6" s="34"/>
      <c r="G6" s="34"/>
      <c r="H6" s="34"/>
      <c r="I6" s="34"/>
      <c r="J6" s="33">
        <v>10.0</v>
      </c>
      <c r="K6" s="34"/>
      <c r="L6" s="34"/>
      <c r="M6" s="34"/>
      <c r="N6" s="35">
        <f>TODAY()-1</f>
        <v>45221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37" t="s">
        <v>17</v>
      </c>
      <c r="D6" s="33">
        <v>1000.0</v>
      </c>
      <c r="E6" s="34"/>
      <c r="F6" s="34"/>
      <c r="G6" s="34"/>
      <c r="H6" s="34"/>
      <c r="I6" s="34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>TODAY()-1</f>
        <v>45221</v>
      </c>
      <c r="C6" s="40">
        <f>TODAY()</f>
        <v>45222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23</v>
      </c>
      <c r="C6" s="37" t="s">
        <v>24</v>
      </c>
      <c r="D6" s="41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23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10000.0</v>
      </c>
      <c r="C6" s="42" t="s">
        <v>28</v>
      </c>
      <c r="D6" s="36" t="s">
        <v>29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23</v>
      </c>
      <c r="C6" s="37" t="s">
        <v>17</v>
      </c>
      <c r="D6" s="36" t="s">
        <v>16</v>
      </c>
      <c r="E6" s="33">
        <v>91.0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>
        <v>10.0</v>
      </c>
      <c r="F6" s="8"/>
      <c r="G6" s="8"/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37</v>
      </c>
      <c r="AL7" s="9">
        <v>91.0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16</v>
      </c>
      <c r="AJ8" s="9" t="s">
        <v>17</v>
      </c>
      <c r="AK8" s="9" t="s">
        <v>37</v>
      </c>
      <c r="AL8" s="9">
        <v>110.0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13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7" t="s">
        <v>17</v>
      </c>
      <c r="D6" s="33">
        <v>1000.0</v>
      </c>
      <c r="E6" s="33">
        <v>1000.0</v>
      </c>
      <c r="F6" s="37" t="s">
        <v>23</v>
      </c>
      <c r="G6" s="37" t="s">
        <v>42</v>
      </c>
      <c r="H6" s="37" t="s">
        <v>40</v>
      </c>
      <c r="I6" s="37" t="s">
        <v>43</v>
      </c>
      <c r="J6" s="34"/>
      <c r="K6" s="34"/>
      <c r="L6" s="34"/>
      <c r="M6" s="34"/>
      <c r="N6" s="34"/>
      <c r="O6" s="38">
        <v>1.0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16</v>
      </c>
      <c r="C7" s="37" t="s">
        <v>17</v>
      </c>
      <c r="D7" s="33">
        <v>91.0</v>
      </c>
      <c r="E7" s="33">
        <v>91.0</v>
      </c>
      <c r="F7" s="37" t="s">
        <v>23</v>
      </c>
      <c r="G7" s="37" t="s">
        <v>42</v>
      </c>
      <c r="H7" s="37" t="s">
        <v>40</v>
      </c>
      <c r="I7" s="37" t="s">
        <v>43</v>
      </c>
      <c r="J7" s="34"/>
      <c r="K7" s="34"/>
      <c r="L7" s="34"/>
      <c r="M7" s="34"/>
      <c r="N7" s="34"/>
      <c r="O7" s="38">
        <v>1.0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">
        <v>16</v>
      </c>
      <c r="C8" s="37" t="s">
        <v>17</v>
      </c>
      <c r="D8" s="9">
        <v>110.0</v>
      </c>
      <c r="E8" s="9">
        <v>110.0</v>
      </c>
      <c r="F8" s="37" t="s">
        <v>23</v>
      </c>
      <c r="G8" s="37" t="s">
        <v>42</v>
      </c>
      <c r="H8" s="37" t="s">
        <v>40</v>
      </c>
      <c r="I8" s="37" t="s">
        <v>43</v>
      </c>
      <c r="J8" s="34"/>
      <c r="K8" s="34"/>
      <c r="L8" s="34"/>
      <c r="M8" s="34"/>
      <c r="N8" s="34"/>
      <c r="O8" s="38">
        <v>1.0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7" t="s">
        <v>17</v>
      </c>
      <c r="D6" s="33">
        <v>1000.0</v>
      </c>
      <c r="E6" s="33">
        <v>1000.0</v>
      </c>
      <c r="F6" s="37" t="s">
        <v>23</v>
      </c>
      <c r="G6" s="37" t="s">
        <v>42</v>
      </c>
      <c r="H6" s="37" t="s">
        <v>40</v>
      </c>
      <c r="I6" s="37" t="s">
        <v>43</v>
      </c>
      <c r="J6" s="34"/>
      <c r="K6" s="34"/>
      <c r="L6" s="34"/>
      <c r="M6" s="34"/>
      <c r="N6" s="34"/>
      <c r="O6" s="38">
        <v>1.0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16</v>
      </c>
      <c r="C7" s="37" t="s">
        <v>17</v>
      </c>
      <c r="D7" s="33">
        <v>91.0</v>
      </c>
      <c r="E7" s="33">
        <v>91.0</v>
      </c>
      <c r="F7" s="37" t="s">
        <v>23</v>
      </c>
      <c r="G7" s="37" t="s">
        <v>42</v>
      </c>
      <c r="H7" s="32" t="s">
        <v>45</v>
      </c>
      <c r="I7" s="32" t="s">
        <v>46</v>
      </c>
      <c r="J7" s="34"/>
      <c r="K7" s="34"/>
      <c r="L7" s="34"/>
      <c r="M7" s="34"/>
      <c r="N7" s="34"/>
      <c r="O7" s="38">
        <v>1.0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">
        <v>16</v>
      </c>
      <c r="C8" s="37" t="s">
        <v>17</v>
      </c>
      <c r="D8" s="9">
        <v>110.0</v>
      </c>
      <c r="E8" s="9">
        <v>110.0</v>
      </c>
      <c r="F8" s="37" t="s">
        <v>23</v>
      </c>
      <c r="G8" s="37" t="s">
        <v>42</v>
      </c>
      <c r="H8" s="32" t="s">
        <v>45</v>
      </c>
      <c r="I8" s="32" t="s">
        <v>46</v>
      </c>
      <c r="J8" s="34"/>
      <c r="K8" s="34"/>
      <c r="L8" s="34"/>
      <c r="M8" s="34"/>
      <c r="N8" s="34"/>
      <c r="O8" s="38">
        <v>1.0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13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7" t="s">
        <v>48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5">
        <f>TODAY()+1</f>
        <v>45223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7" t="s">
        <v>17</v>
      </c>
      <c r="D6" s="41">
        <v>1000.0</v>
      </c>
      <c r="E6" s="38">
        <v>1000.0</v>
      </c>
      <c r="F6" s="37" t="s">
        <v>23</v>
      </c>
      <c r="G6" s="37" t="s">
        <v>42</v>
      </c>
      <c r="H6" s="37" t="s">
        <v>48</v>
      </c>
      <c r="I6" s="37" t="s">
        <v>43</v>
      </c>
      <c r="J6" s="34"/>
      <c r="K6" s="34"/>
      <c r="L6" s="34"/>
      <c r="M6" s="34"/>
      <c r="N6" s="34"/>
      <c r="O6" s="38">
        <v>1.0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16</v>
      </c>
      <c r="C7" s="37" t="s">
        <v>17</v>
      </c>
      <c r="D7" s="38">
        <v>91.0</v>
      </c>
      <c r="E7" s="38">
        <v>91.0</v>
      </c>
      <c r="F7" s="37" t="s">
        <v>23</v>
      </c>
      <c r="G7" s="37" t="s">
        <v>42</v>
      </c>
      <c r="H7" s="37" t="s">
        <v>48</v>
      </c>
      <c r="I7" s="37" t="s">
        <v>43</v>
      </c>
      <c r="J7" s="34"/>
      <c r="K7" s="34"/>
      <c r="L7" s="34"/>
      <c r="M7" s="34"/>
      <c r="N7" s="34"/>
      <c r="O7" s="38">
        <v>1.0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">
        <v>16</v>
      </c>
      <c r="C8" s="37" t="s">
        <v>17</v>
      </c>
      <c r="D8" s="44">
        <v>110.0</v>
      </c>
      <c r="E8" s="44">
        <v>110.0</v>
      </c>
      <c r="F8" s="37" t="s">
        <v>23</v>
      </c>
      <c r="G8" s="37" t="s">
        <v>42</v>
      </c>
      <c r="H8" s="37" t="s">
        <v>48</v>
      </c>
      <c r="I8" s="37" t="s">
        <v>43</v>
      </c>
      <c r="J8" s="34"/>
      <c r="K8" s="34"/>
      <c r="L8" s="34"/>
      <c r="M8" s="34"/>
      <c r="N8" s="34"/>
      <c r="O8" s="38">
        <v>1.0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VerifyMTT2!$4:$4</formula1>
    </dataValidation>
  </dataValidations>
  <drawing r:id="rId1"/>
</worksheet>
</file>