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AllocatedGroup" sheetId="6" r:id="rId8"/>
    <sheet state="visible" name="EditAllocatedGridWPF" sheetId="7" r:id="rId9"/>
    <sheet state="visible" name="CheckAllocatedGroups" sheetId="8" r:id="rId10"/>
    <sheet state="visible" name="TransferToUserOrder" sheetId="9" r:id="rId11"/>
    <sheet state="visible" name="VerifyOrder" sheetId="10" r:id="rId12"/>
    <sheet state="visible" name="GetExecutionReportOrders" sheetId="11" r:id="rId13"/>
    <sheet state="visible" name="VerifyExecutionReport" sheetId="12" r:id="rId14"/>
  </sheets>
  <definedNames/>
  <calcPr/>
</workbook>
</file>

<file path=xl/sharedStrings.xml><?xml version="1.0" encoding="utf-8"?>
<sst xmlns="http://schemas.openxmlformats.org/spreadsheetml/2006/main" count="135" uniqueCount="48">
  <si>
    <t>Modules Info</t>
  </si>
  <si>
    <t>Modules</t>
  </si>
  <si>
    <t>Settings</t>
  </si>
  <si>
    <t>Module Step Setting File</t>
  </si>
  <si>
    <t>1njGxNbI2NR3nqQDk5lTKx4so0tQjoi9u2bypOu6AkKU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</si>
  <si>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</si>
  <si>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</si>
  <si>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</si>
  <si>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</si>
  <si>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</si>
  <si>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</si>
  <si>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</si>
  <si>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</si>
  <si>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</si>
  <si>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</si>
  <si>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</si>
  <si>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</si>
  <si>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</si>
  <si>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</si>
  <si>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Allocation</t>
  </si>
  <si>
    <t>GetDataAllocation</t>
  </si>
  <si>
    <t>Current</t>
  </si>
  <si>
    <t>SelectAllocatedGroup</t>
  </si>
  <si>
    <t>EditAllocatedGridWPF</t>
  </si>
  <si>
    <t>CheckAllocatedGroups</t>
  </si>
  <si>
    <t>Equity</t>
  </si>
  <si>
    <t>MS</t>
  </si>
  <si>
    <t>Open</t>
  </si>
  <si>
    <t>MICROSOFT INC</t>
  </si>
  <si>
    <t>USD</t>
  </si>
  <si>
    <t>NASDAQ</t>
  </si>
  <si>
    <t>M</t>
  </si>
  <si>
    <t>Market</t>
  </si>
  <si>
    <t>Strategy Unallocated</t>
  </si>
  <si>
    <t>GCCAP1</t>
  </si>
  <si>
    <t>US</t>
  </si>
  <si>
    <t>jpearce</t>
  </si>
  <si>
    <t>NONE</t>
  </si>
  <si>
    <t>Blotter</t>
  </si>
  <si>
    <t>TransferToUserOrder</t>
  </si>
  <si>
    <t>Filled</t>
  </si>
  <si>
    <t>abhi</t>
  </si>
  <si>
    <t>VerifyOrder</t>
  </si>
  <si>
    <t>MSFT US EQUITY</t>
  </si>
  <si>
    <t>NewMF</t>
  </si>
  <si>
    <t>Manual</t>
  </si>
  <si>
    <t>GetExecutionReportOrders</t>
  </si>
  <si>
    <t>VerifyExecutionReport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</si>
</sst>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0.0000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Arial"/>
    </font>
    <font>
      <sz val="11.0"/>
      <name val="Calibri"/>
    </font>
    <font>
      <sz val="8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14" numFmtId="0" xfId="0" applyAlignment="1" applyBorder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4" xfId="0" applyAlignment="1" applyFont="1" applyNumberFormat="1">
      <alignment readingOrder="0" shrinkToFit="0" wrapText="0"/>
    </xf>
    <xf borderId="5" fillId="0" fontId="3" numFmtId="4" xfId="0" applyAlignment="1" applyBorder="1" applyFont="1" applyNumberFormat="1">
      <alignment readingOrder="0" vertical="bottom"/>
    </xf>
    <xf borderId="5" fillId="0" fontId="3" numFmtId="4" xfId="0" applyAlignment="1" applyBorder="1" applyFont="1" applyNumberForma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15" numFmtId="4" xfId="0" applyAlignment="1" applyFont="1" applyNumberFormat="1">
      <alignment vertical="bottom"/>
    </xf>
    <xf borderId="5" fillId="0" fontId="14" numFmtId="4" xfId="0" applyAlignment="1" applyBorder="1" applyFont="1" applyNumberFormat="1">
      <alignment horizontal="right" readingOrder="0" vertical="bottom"/>
    </xf>
    <xf borderId="5" fillId="0" fontId="14" numFmtId="4" xfId="0" applyAlignment="1" applyBorder="1" applyFont="1" applyNumberFormat="1">
      <alignment vertical="bottom"/>
    </xf>
    <xf borderId="0" fillId="0" fontId="16" numFmtId="4" xfId="0" applyAlignment="1" applyFont="1" applyNumberFormat="1">
      <alignment horizontal="right" readingOrder="0" vertical="bottom"/>
    </xf>
    <xf borderId="0" fillId="0" fontId="15" numFmtId="164" xfId="0" applyAlignment="1" applyFont="1" applyNumberFormat="1">
      <alignment horizontal="right" vertical="bottom"/>
    </xf>
    <xf borderId="0" fillId="0" fontId="14" numFmtId="4" xfId="0" applyAlignment="1" applyFont="1" applyNumberFormat="1">
      <alignment horizontal="right" readingOrder="0" vertical="bottom"/>
    </xf>
    <xf borderId="0" fillId="0" fontId="16" numFmtId="4" xfId="0" applyAlignment="1" applyFont="1" applyNumberFormat="1">
      <alignment horizontal="left" readingOrder="0" vertical="bottom"/>
    </xf>
    <xf borderId="0" fillId="0" fontId="3" numFmtId="4" xfId="0" applyAlignment="1" applyFont="1" applyNumberFormat="1">
      <alignment readingOrder="0" vertical="bottom"/>
    </xf>
    <xf borderId="0" fillId="0" fontId="3" numFmtId="4" xfId="0" applyAlignment="1" applyFont="1" applyNumberFormat="1">
      <alignment vertical="bottom"/>
    </xf>
    <xf borderId="0" fillId="0" fontId="16" numFmtId="165" xfId="0" applyAlignment="1" applyFont="1" applyNumberFormat="1">
      <alignment horizontal="right" readingOrder="0" vertical="bottom"/>
    </xf>
    <xf borderId="0" fillId="0" fontId="17" numFmtId="4" xfId="0" applyAlignment="1" applyFont="1" applyNumberFormat="1">
      <alignment vertical="bottom"/>
    </xf>
    <xf borderId="0" fillId="0" fontId="14" numFmtId="4" xfId="0" applyAlignment="1" applyFont="1" applyNumberFormat="1">
      <alignment readingOrder="0" vertical="bottom"/>
    </xf>
    <xf borderId="0" fillId="0" fontId="15" numFmtId="164" xfId="0" applyAlignment="1" applyFont="1" applyNumberFormat="1">
      <alignment horizontal="right" readingOrder="0" vertical="bottom"/>
    </xf>
    <xf borderId="0" fillId="0" fontId="14" numFmtId="4" xfId="0" applyAlignment="1" applyFont="1" applyNumberFormat="1">
      <alignment vertical="bottom"/>
    </xf>
    <xf borderId="0" fillId="0" fontId="2" numFmtId="4" xfId="0" applyFont="1" applyNumberFormat="1"/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3" xfId="0" applyAlignment="1" applyFont="1" applyNumberFormat="1">
      <alignment readingOrder="0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500.0</v>
      </c>
      <c r="E6" s="13">
        <v>500.0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3">
        <v>500.0</v>
      </c>
      <c r="D6" s="34"/>
      <c r="E6" s="32" t="s">
        <v>18</v>
      </c>
      <c r="F6" s="35" t="s">
        <v>17</v>
      </c>
      <c r="G6" s="36"/>
      <c r="H6" s="36"/>
      <c r="I6" s="36"/>
      <c r="J6" s="36"/>
      <c r="K6" s="37">
        <v>10.0</v>
      </c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9">
        <v>500.0</v>
      </c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IFERROR(__xludf.DUMMYFUNCTION("""COMPUTED_VALUE"""),"Accured Interest")</f>
        <v>Accured Interest</v>
      </c>
      <c r="C5" s="28" t="str">
        <f>IFERROR(__xludf.DUMMYFUNCTION("""COMPUTED_VALUE"""),"Broker")</f>
        <v>Broker</v>
      </c>
      <c r="D5" s="28" t="str">
        <f>IFERROR(__xludf.DUMMYFUNCTION("""COMPUTED_VALUE"""),"Transaction Type")</f>
        <v>Transaction Type</v>
      </c>
      <c r="E5" s="28" t="str">
        <f>IFERROR(__xludf.DUMMYFUNCTION("""COMPUTED_VALUE"""),"Trade Attribute 1")</f>
        <v>Trade Attribute 1</v>
      </c>
      <c r="F5" s="29" t="str">
        <f>IFERROR(__xludf.DUMMYFUNCTION("""COMPUTED_VALUE"""),"Trade Attribute 2")</f>
        <v>Trade Attribute 2</v>
      </c>
      <c r="G5" s="28" t="str">
        <f>IFERROR(__xludf.DUMMYFUNCTION("""COMPUTED_VALUE"""),"Trade Attribute 3")</f>
        <v>Trade Attribute 3</v>
      </c>
      <c r="H5" s="28" t="str">
        <f>IFERROR(__xludf.DUMMYFUNCTION("""COMPUTED_VALUE"""),"Trade Attribute 4")</f>
        <v>Trade Attribute 4</v>
      </c>
      <c r="I5" s="28" t="str">
        <f>IFERROR(__xludf.DUMMYFUNCTION("""COMPUTED_VALUE"""),"Trade Attribute 5")</f>
        <v>Trade Attribute 5</v>
      </c>
      <c r="J5" s="28" t="str">
        <f>IFERROR(__xludf.DUMMYFUNCTION("""COMPUTED_VALUE"""),"Trade Attribute 6")</f>
        <v>Trade Attribute 6</v>
      </c>
      <c r="K5" s="28" t="str">
        <f>IFERROR(__xludf.DUMMYFUNCTION("""COMPUTED_VALUE"""),"Commission")</f>
        <v>Commission</v>
      </c>
      <c r="L5" s="28" t="str">
        <f>IFERROR(__xludf.DUMMYFUNCTION("""COMPUTED_VALUE"""),"Soft Commission")</f>
        <v>Soft Commission</v>
      </c>
      <c r="M5" s="28" t="str">
        <f>IFERROR(__xludf.DUMMYFUNCTION("""COMPUTED_VALUE"""),"Other Broker Fees")</f>
        <v>Other Broker Fees</v>
      </c>
      <c r="N5" s="28" t="str">
        <f>IFERROR(__xludf.DUMMYFUNCTION("""COMPUTED_VALUE"""),"Clearing Broker Fee")</f>
        <v>Clearing Broker Fee</v>
      </c>
      <c r="O5" s="28" t="str">
        <f>IFERROR(__xludf.DUMMYFUNCTION("""COMPUTED_VALUE"""),"Stamp Duty")</f>
        <v>Stamp Duty</v>
      </c>
      <c r="P5" s="28" t="str">
        <f>IFERROR(__xludf.DUMMYFUNCTION("""COMPUTED_VALUE"""),"AUEC Fee1")</f>
        <v>AUEC Fee1</v>
      </c>
      <c r="Q5" s="28" t="str">
        <f>IFERROR(__xludf.DUMMYFUNCTION("""COMPUTED_VALUE"""),"Tax On Commissions")</f>
        <v>Tax On Commissions</v>
      </c>
      <c r="R5" s="28" t="str">
        <f>IFERROR(__xludf.DUMMYFUNCTION("""COMPUTED_VALUE"""),"AUEC Fee2")</f>
        <v>AUEC Fee2</v>
      </c>
      <c r="S5" s="28" t="str">
        <f>IFERROR(__xludf.DUMMYFUNCTION("""COMPUTED_VALUE"""),"SEC Fee")</f>
        <v>SEC Fee</v>
      </c>
      <c r="T5" s="30" t="str">
        <f>IFERROR(__xludf.DUMMYFUNCTION("""COMPUTED_VALUE"""),"OCC Fee")</f>
        <v>OCC Fee</v>
      </c>
      <c r="U5" s="30" t="str">
        <f>IFERROR(__xludf.DUMMYFUNCTION("""COMPUTED_VALUE"""),"ORF Fee")</f>
        <v>ORF Fee</v>
      </c>
      <c r="V5" s="30" t="str">
        <f>IFERROR(__xludf.DUMMYFUNCTION("""COMPUTED_VALUE"""),"Option Premium Adjustment")</f>
        <v>Option Premium Adjustment</v>
      </c>
      <c r="W5" s="30" t="str">
        <f>IFERROR(__xludf.DUMMYFUNCTION("""COMPUTED_VALUE"""),"Change Comment")</f>
        <v>Change Comment</v>
      </c>
      <c r="X5" s="30" t="str">
        <f>IFERROR(__xludf.DUMMYFUNCTION("""COMPUTED_VALUE"""),"Avg Price(Local)")</f>
        <v>Avg Price(Local)</v>
      </c>
      <c r="Y5" s="30" t="str">
        <f>IFERROR(__xludf.DUMMYFUNCTION("""COMPUTED_VALUE"""),"Nirvana Process Date")</f>
        <v>Nirvana Process Date</v>
      </c>
      <c r="Z5" s="30" t="str">
        <f>IFERROR(__xludf.DUMMYFUNCTION("""COMPUTED_VALUE"""),"Closing Date")</f>
        <v>Closing Date</v>
      </c>
      <c r="AA5" s="30" t="str">
        <f>IFERROR(__xludf.DUMMYFUNCTION("""COMPUTED_VALUE"""),"Description")</f>
        <v>Description</v>
      </c>
      <c r="AB5" s="30" t="str">
        <f>IFERROR(__xludf.DUMMYFUNCTION("""COMPUTED_VALUE"""),"Coupon Rate")</f>
        <v>Coupon Rate</v>
      </c>
      <c r="AC5" s="30" t="str">
        <f>IFERROR(__xludf.DUMMYFUNCTION("""COMPUTED_VALUE"""),"Delta")</f>
        <v>Delta</v>
      </c>
      <c r="AD5" s="30" t="str">
        <f>IFERROR(__xludf.DUMMYFUNCTION("""COMPUTED_VALUE"""),"Symbol")</f>
        <v>Symbol</v>
      </c>
      <c r="AE5" s="30" t="str">
        <f>IFERROR(__xludf.DUMMYFUNCTION("""COMPUTED_VALUE"""),"Quantity")</f>
        <v>Quantity</v>
      </c>
      <c r="AF5" s="30" t="str">
        <f>IFERROR(__xludf.DUMMYFUNCTION("""COMPUTED_VALUE"""),"Avg Price(Base)")</f>
        <v>Avg Price(Base)</v>
      </c>
      <c r="AG5" s="30" t="str">
        <f>IFERROR(__xludf.DUMMYFUNCTION("""COMPUTED_VALUE"""),"Transaction Levy")</f>
        <v>Transaction Levy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X6" s="9">
        <v>15.0</v>
      </c>
      <c r="AD6" s="9" t="s">
        <v>16</v>
      </c>
      <c r="AE6" s="9">
        <v>500.0</v>
      </c>
      <c r="AF6" s="9">
        <v>10.0</v>
      </c>
      <c r="AN6" s="9" t="s">
        <v>16</v>
      </c>
      <c r="AO6" s="9">
        <v>500.0</v>
      </c>
      <c r="AP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EditAllocatedGridWPF!$4:$4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 t="s">
        <v>18</v>
      </c>
      <c r="C6" s="42"/>
      <c r="D6" s="43">
        <v>0.0</v>
      </c>
      <c r="E6" s="41">
        <v>500.0</v>
      </c>
      <c r="F6" s="42"/>
      <c r="G6" s="44" t="s">
        <v>25</v>
      </c>
      <c r="H6" s="45">
        <v>4.0</v>
      </c>
      <c r="I6" s="41">
        <v>5.0</v>
      </c>
      <c r="J6" s="42"/>
      <c r="K6" s="41">
        <v>15.0</v>
      </c>
      <c r="L6" s="45">
        <v>15.0</v>
      </c>
      <c r="M6" s="42"/>
      <c r="N6" s="42"/>
      <c r="O6" s="41" t="s">
        <v>26</v>
      </c>
      <c r="P6" s="46"/>
      <c r="Q6" s="47">
        <v>3.0</v>
      </c>
      <c r="R6" s="48">
        <v>0.0</v>
      </c>
      <c r="S6" s="41" t="s">
        <v>27</v>
      </c>
      <c r="T6" s="49">
        <v>0.0</v>
      </c>
      <c r="U6" s="49">
        <v>0.0</v>
      </c>
      <c r="V6" s="50" t="s">
        <v>28</v>
      </c>
      <c r="W6" s="51">
        <v>1.0</v>
      </c>
      <c r="X6" s="52"/>
      <c r="Y6" s="52"/>
      <c r="Z6" s="51" t="s">
        <v>29</v>
      </c>
      <c r="AA6" s="52"/>
      <c r="AB6" s="51">
        <v>1.0</v>
      </c>
      <c r="AC6" s="52"/>
      <c r="AD6" s="50" t="s">
        <v>30</v>
      </c>
      <c r="AE6" s="51">
        <v>500.0</v>
      </c>
      <c r="AF6" s="52"/>
      <c r="AG6" s="52"/>
      <c r="AH6" s="51" t="s">
        <v>31</v>
      </c>
      <c r="AI6" s="51">
        <v>1.0</v>
      </c>
      <c r="AJ6" s="52"/>
      <c r="AK6" s="52"/>
      <c r="AL6" s="52"/>
      <c r="AM6" s="52"/>
      <c r="AN6" s="50" t="b">
        <v>0</v>
      </c>
      <c r="AO6" s="52"/>
      <c r="AP6" s="50"/>
      <c r="AQ6" s="50" t="b">
        <v>0</v>
      </c>
      <c r="AR6" s="50" t="b">
        <v>1</v>
      </c>
      <c r="AS6" s="51">
        <v>0.0</v>
      </c>
      <c r="AT6" s="53">
        <v>7514.0028</v>
      </c>
      <c r="AU6" s="53">
        <v>7514.0028</v>
      </c>
      <c r="AV6" s="52"/>
      <c r="AW6" s="49">
        <v>0.0</v>
      </c>
      <c r="AX6" s="51">
        <v>0.0</v>
      </c>
      <c r="AY6" s="51" t="s">
        <v>32</v>
      </c>
      <c r="AZ6" s="49">
        <v>0.0</v>
      </c>
      <c r="BA6" s="52"/>
      <c r="BB6" s="52"/>
      <c r="BC6" s="51">
        <v>0.0</v>
      </c>
      <c r="BD6" s="52"/>
      <c r="BE6" s="51">
        <v>7500.0</v>
      </c>
      <c r="BF6" s="51">
        <v>7500.0</v>
      </c>
      <c r="BG6" s="52"/>
      <c r="BH6" s="52"/>
      <c r="BI6" s="52"/>
      <c r="BJ6" s="49">
        <v>500.0</v>
      </c>
      <c r="BK6" s="49">
        <v>0.0</v>
      </c>
      <c r="BL6" s="52"/>
      <c r="BM6" s="51" t="s">
        <v>29</v>
      </c>
      <c r="BN6" s="52"/>
      <c r="BO6" s="54" t="s">
        <v>17</v>
      </c>
      <c r="BP6" s="49">
        <v>0.0</v>
      </c>
      <c r="BQ6" s="52"/>
      <c r="BR6" s="53">
        <v>0.0028</v>
      </c>
      <c r="BS6" s="50" t="s">
        <v>33</v>
      </c>
      <c r="BT6" s="55" t="s">
        <v>16</v>
      </c>
      <c r="BU6" s="48">
        <v>3.0</v>
      </c>
      <c r="BV6" s="48">
        <v>0.0</v>
      </c>
      <c r="BW6" s="56">
        <v>14.0028</v>
      </c>
      <c r="BX6" s="48">
        <v>0.0</v>
      </c>
      <c r="BY6" s="57"/>
      <c r="BZ6" s="57"/>
      <c r="CA6" s="57"/>
      <c r="CB6" s="57"/>
      <c r="CC6" s="57"/>
      <c r="CD6" s="57"/>
      <c r="CE6" s="52"/>
      <c r="CF6" s="50" t="s">
        <v>34</v>
      </c>
      <c r="CG6" s="51">
        <v>2.0</v>
      </c>
      <c r="CH6" s="50" t="s">
        <v>12</v>
      </c>
      <c r="CI6" s="55" t="s">
        <v>17</v>
      </c>
      <c r="CJ6" s="51">
        <v>0.0</v>
      </c>
      <c r="CK6" s="51" t="s">
        <v>35</v>
      </c>
      <c r="CL6" s="51">
        <v>1.0</v>
      </c>
      <c r="CM6" s="51" t="s">
        <v>16</v>
      </c>
      <c r="CN6" s="51" t="s">
        <v>36</v>
      </c>
      <c r="CO6" s="51" t="s">
        <v>30</v>
      </c>
      <c r="CP6" s="51" t="s">
        <v>37</v>
      </c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8"/>
      <c r="DV6" s="58"/>
      <c r="DW6" s="58"/>
      <c r="DX6" s="58"/>
      <c r="DY6" s="58"/>
      <c r="DZ6" s="58"/>
      <c r="EA6" s="58"/>
      <c r="EB6" s="58"/>
      <c r="EC6" s="58"/>
      <c r="ED6" s="58"/>
      <c r="EE6" s="58"/>
      <c r="EF6" s="58"/>
      <c r="EG6" s="58"/>
      <c r="EH6" s="58"/>
      <c r="EI6" s="58"/>
      <c r="EJ6" s="58"/>
      <c r="EK6" s="58"/>
      <c r="EL6" s="58"/>
      <c r="EM6" s="58"/>
      <c r="EN6" s="58"/>
      <c r="EO6" s="58"/>
      <c r="EP6" s="58"/>
      <c r="EQ6" s="58"/>
      <c r="ER6" s="58"/>
      <c r="ES6" s="58"/>
      <c r="ET6" s="58"/>
      <c r="EU6" s="58"/>
      <c r="EV6" s="58"/>
      <c r="EW6" s="58"/>
      <c r="EX6" s="5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9"/>
      <c r="C6" s="36"/>
      <c r="D6" s="59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60" t="s">
        <v>16</v>
      </c>
      <c r="AJ6" s="38" t="s">
        <v>17</v>
      </c>
      <c r="AK6" s="60" t="s">
        <v>40</v>
      </c>
      <c r="AL6" s="61">
        <v>500.0</v>
      </c>
      <c r="AM6" s="38"/>
      <c r="AN6" s="38"/>
      <c r="AO6" s="38"/>
      <c r="AP6" s="62"/>
      <c r="AQ6" s="61">
        <v>10.0</v>
      </c>
      <c r="AR6" s="61">
        <v>10.0</v>
      </c>
      <c r="AS6" s="38"/>
      <c r="AT6" s="60" t="s">
        <v>18</v>
      </c>
      <c r="AU6" s="38" t="s">
        <v>32</v>
      </c>
      <c r="AV6" s="38"/>
      <c r="AW6" s="38"/>
      <c r="AX6" s="38" t="s">
        <v>41</v>
      </c>
      <c r="AY6" s="38"/>
      <c r="AZ6" s="38"/>
      <c r="BA6" s="38"/>
      <c r="BB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TransferToUserOrder!$4:$4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9"/>
      <c r="C6" s="36"/>
      <c r="D6" s="63">
        <v>10.0</v>
      </c>
      <c r="E6" s="63" t="s">
        <v>43</v>
      </c>
      <c r="F6" s="36"/>
      <c r="G6" s="36"/>
      <c r="H6" s="63" t="s">
        <v>30</v>
      </c>
      <c r="I6" s="36" t="s">
        <v>41</v>
      </c>
      <c r="J6" s="63" t="s">
        <v>16</v>
      </c>
      <c r="K6" s="63" t="s">
        <v>35</v>
      </c>
      <c r="L6" s="63" t="s">
        <v>34</v>
      </c>
      <c r="M6" s="36"/>
      <c r="N6" s="36"/>
      <c r="O6" s="36"/>
      <c r="P6" s="36"/>
      <c r="Q6" s="36"/>
      <c r="R6" s="36"/>
      <c r="S6" s="36"/>
      <c r="T6" s="38"/>
      <c r="U6" s="60" t="s">
        <v>29</v>
      </c>
      <c r="V6" s="38"/>
      <c r="W6" s="38"/>
      <c r="X6" s="38"/>
      <c r="Y6" s="38"/>
      <c r="Z6" s="38"/>
      <c r="AA6" s="60" t="s">
        <v>44</v>
      </c>
      <c r="AB6" s="60">
        <v>500.0</v>
      </c>
      <c r="AC6" s="38"/>
      <c r="AD6" s="60">
        <v>1.0</v>
      </c>
      <c r="AE6" s="38"/>
      <c r="AF6" s="60" t="s">
        <v>31</v>
      </c>
      <c r="AG6" s="38"/>
      <c r="AH6" s="60" t="s">
        <v>25</v>
      </c>
      <c r="AI6" s="60" t="s">
        <v>16</v>
      </c>
      <c r="AJ6" s="38" t="s">
        <v>17</v>
      </c>
      <c r="AK6" s="60" t="s">
        <v>40</v>
      </c>
      <c r="AL6" s="61">
        <v>500.0</v>
      </c>
      <c r="AM6" s="60">
        <v>500.0</v>
      </c>
      <c r="AN6" s="60">
        <v>100.0</v>
      </c>
      <c r="AO6" s="60">
        <v>500.0</v>
      </c>
      <c r="AP6" s="38"/>
      <c r="AQ6" s="60">
        <v>10.0</v>
      </c>
      <c r="AR6" s="60">
        <v>10.0</v>
      </c>
      <c r="AS6" s="60" t="s">
        <v>26</v>
      </c>
      <c r="AT6" s="60" t="s">
        <v>18</v>
      </c>
      <c r="AU6" s="38" t="s">
        <v>32</v>
      </c>
      <c r="AV6" s="64">
        <v>5000.0</v>
      </c>
      <c r="AW6" s="64">
        <v>5000.0</v>
      </c>
      <c r="AX6" s="60" t="s">
        <v>45</v>
      </c>
      <c r="AY6" s="60">
        <v>500.0</v>
      </c>
      <c r="AZ6" s="38"/>
      <c r="BA6" s="60" t="s">
        <v>36</v>
      </c>
      <c r="BB6" s="38"/>
      <c r="BC6" s="38"/>
      <c r="BD6" s="38"/>
      <c r="BE6" s="38"/>
      <c r="BF6" s="38"/>
      <c r="BG6" s="38"/>
      <c r="BH6" s="38"/>
      <c r="BI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Date")</f>
        <v>From Date</v>
      </c>
      <c r="C5" s="28" t="str">
        <f>IFERROR(__xludf.DUMMYFUNCTION("""COMPUTED_VALUE"""),"To Date")</f>
        <v>To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5">
        <f>TODAY()</f>
        <v>44466</v>
      </c>
      <c r="C6" s="66">
        <f>today()</f>
        <v>44466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GetExecutionReportOrders!$4:$4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IFERROR(__xludf.DUMMYFUNCTION("""COMPUTED_VALUE"""),"Order Type")</f>
        <v>Order Type</v>
      </c>
      <c r="E5" s="28" t="str">
        <f>IFERROR(__xludf.DUMMYFUNCTION("""COMPUTED_VALUE"""),"Target Quantity")</f>
        <v>Target Quantity</v>
      </c>
      <c r="F5" s="29" t="str">
        <f>IFERROR(__xludf.DUMMYFUNCTION("""COMPUTED_VALUE"""),"Executed Qty")</f>
        <v>Executed Qty</v>
      </c>
      <c r="G5" s="28" t="str">
        <f>IFERROR(__xludf.DUMMYFUNCTION("""COMPUTED_VALUE"""),"Avg Price")</f>
        <v>Avg Price</v>
      </c>
      <c r="H5" s="28" t="str">
        <f>IFERROR(__xludf.DUMMYFUNCTION("""COMPUTED_VALUE"""),"Status")</f>
        <v>Status</v>
      </c>
      <c r="I5" s="28" t="str">
        <f>IFERROR(__xludf.DUMMYFUNCTION("""COMPUTED_VALUE"""),"Price")</f>
        <v>Price</v>
      </c>
      <c r="J5" s="28" t="str">
        <f>IFERROR(__xludf.DUMMYFUNCTION("""COMPUTED_VALUE"""),"OrderID")</f>
        <v>OrderID</v>
      </c>
      <c r="K5" s="28" t="str">
        <f>IFERROR(__xludf.DUMMYFUNCTION("""COMPUTED_VALUE"""),"CIOrderID")</f>
        <v>CIOrderID</v>
      </c>
      <c r="L5" s="28" t="str">
        <f>IFERROR(__xludf.DUMMYFUNCTION("""COMPUTED_VALUE"""),"Actual User")</f>
        <v>Actual User</v>
      </c>
      <c r="M5" s="28" t="str">
        <f>IFERROR(__xludf.DUMMYFUNCTION("""COMPUTED_VALUE"""),"Trader")</f>
        <v>Trader</v>
      </c>
      <c r="N5" s="28" t="str">
        <f>IFERROR(__xludf.DUMMYFUNCTION("""COMPUTED_VALUE"""),"Broker")</f>
        <v>Broker</v>
      </c>
      <c r="O5" s="28" t="str">
        <f>IFERROR(__xludf.DUMMYFUNCTION("""COMPUTED_VALUE"""),"Modified User")</f>
        <v>Modified User</v>
      </c>
      <c r="P5" s="28" t="str">
        <f>IFERROR(__xludf.DUMMYFUNCTION("""COMPUTED_VALUE"""),"Current User")</f>
        <v>Current User</v>
      </c>
      <c r="Q5" s="28" t="str">
        <f>IFERROR(__xludf.DUMMYFUNCTION("""COMPUTED_VALUE"""),"Avg Fx Rate")</f>
        <v>Avg Fx Rate</v>
      </c>
      <c r="R5" s="28" t="str">
        <f>IFERROR(__xludf.DUMMYFUNCTION("""COMPUTED_VALUE"""),"Account")</f>
        <v>Account</v>
      </c>
      <c r="S5" s="28" t="str">
        <f>IFERROR(__xludf.DUMMYFUNCTION("""COMPUTED_VALUE"""),"Process Date")</f>
        <v>Process Date</v>
      </c>
      <c r="T5" s="30" t="str">
        <f>IFERROR(__xludf.DUMMYFUNCTION("""COMPUTED_VALUE"""),"Last Shares")</f>
        <v>Last Shares</v>
      </c>
      <c r="U5" s="30" t="str">
        <f>IFERROR(__xludf.DUMMYFUNCTION("""COMPUTED_VALUE"""),"Last Price")</f>
        <v>Last Price</v>
      </c>
      <c r="V5" s="30" t="str">
        <f>IFERROR(__xludf.DUMMYFUNCTION("""COMPUTED_VALUE"""),"Exchange")</f>
        <v>Exchange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5" t="s">
        <v>17</v>
      </c>
      <c r="D6" s="34"/>
      <c r="E6" s="36"/>
      <c r="F6" s="33">
        <v>500.0</v>
      </c>
      <c r="G6" s="33">
        <v>10.0</v>
      </c>
      <c r="H6" s="32" t="s">
        <v>40</v>
      </c>
      <c r="I6" s="36"/>
      <c r="J6" s="36"/>
      <c r="K6" s="36"/>
      <c r="L6" s="35" t="s">
        <v>36</v>
      </c>
      <c r="M6" s="36"/>
      <c r="N6" s="32" t="s">
        <v>26</v>
      </c>
      <c r="O6" s="63" t="s">
        <v>36</v>
      </c>
      <c r="P6" s="63" t="s">
        <v>41</v>
      </c>
      <c r="Q6" s="36"/>
      <c r="R6" s="36"/>
      <c r="S6" s="36"/>
      <c r="T6" s="38"/>
      <c r="U6" s="38"/>
      <c r="V6" s="38"/>
      <c r="W6" s="38"/>
      <c r="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VerifyExecutionReport!$4:$4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