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placeWorkingSubs" sheetId="5" r:id="rId7"/>
    <sheet state="visible" name="CreateReplaceOrder" sheetId="6" r:id="rId8"/>
    <sheet state="visible" name="SelectTradeOnOrderGrid" sheetId="7" r:id="rId9"/>
    <sheet state="visible" name="VerifySubOrder" sheetId="8" r:id="rId10"/>
    <sheet state="visible" name="VerifyWorkingSubs" sheetId="9" r:id="rId11"/>
    <sheet state="visible" name="VerifyOrder" sheetId="10" r:id="rId12"/>
    <sheet state="visible" name="CheckPortfolioManagement" sheetId="11" r:id="rId13"/>
    <sheet state="visible" name="VerifyActivity" sheetId="12" r:id="rId14"/>
    <sheet state="visible" name="CheckAllocatedGroups" sheetId="13" r:id="rId15"/>
    <sheet state="visible" name="GetDataClosing" sheetId="14" r:id="rId16"/>
    <sheet state="visible" name="VerifyLongPositionsGrid" sheetId="15" r:id="rId17"/>
  </sheets>
  <definedNames/>
  <calcPr/>
</workbook>
</file>

<file path=xl/sharedStrings.xml><?xml version="1.0" encoding="utf-8"?>
<sst xmlns="http://schemas.openxmlformats.org/spreadsheetml/2006/main" count="145" uniqueCount="44">
  <si>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</si>
  <si>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</si>
  <si>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</si>
  <si>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</si>
  <si>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</si>
  <si>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</si>
  <si>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</si>
  <si>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</si>
  <si>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</si>
  <si>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</si>
  <si>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</si>
  <si>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</si>
  <si>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</si>
  <si>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</si>
  <si>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</si>
  <si>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</si>
  <si>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</si>
  <si>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</si>
  <si>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</si>
  <si>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Day</t>
  </si>
  <si>
    <t>Market</t>
  </si>
  <si>
    <t>Blotter</t>
  </si>
  <si>
    <t>ReplaceWorkingSubs</t>
  </si>
  <si>
    <t>PartiallyFilled</t>
  </si>
  <si>
    <t>CreateReplaceOrder</t>
  </si>
  <si>
    <t>SelectTradeOnOrderGrid</t>
  </si>
  <si>
    <t>Replaced</t>
  </si>
  <si>
    <t>VerifySubOrder</t>
  </si>
  <si>
    <t>VerifyWorkingSubs</t>
  </si>
  <si>
    <t>ALLOCATED</t>
  </si>
  <si>
    <t>VerifyOrder</t>
  </si>
  <si>
    <t>PortfolioManagement</t>
  </si>
  <si>
    <t>CheckPortfolioManagement</t>
  </si>
  <si>
    <t>Long</t>
  </si>
  <si>
    <t>GeneralLedger</t>
  </si>
  <si>
    <t>VerifyActivity</t>
  </si>
  <si>
    <t>EquityL</t>
  </si>
  <si>
    <t>USD</t>
  </si>
  <si>
    <t>Allocation</t>
  </si>
  <si>
    <t>CheckAllocatedGroups</t>
  </si>
  <si>
    <t>Closing</t>
  </si>
  <si>
    <t>GetDataClosing</t>
  </si>
  <si>
    <t>Current</t>
  </si>
  <si>
    <t>VerifyLongPositionsGrid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</si>
</sst>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1000.0</v>
      </c>
      <c r="E6" s="33">
        <v>800.0</v>
      </c>
      <c r="F6" s="32" t="s">
        <v>18</v>
      </c>
      <c r="G6" s="34"/>
      <c r="H6" s="32" t="s">
        <v>19</v>
      </c>
      <c r="I6" s="32" t="s">
        <v>20</v>
      </c>
      <c r="J6" s="33">
        <v>50.0</v>
      </c>
      <c r="K6" s="34"/>
      <c r="L6" s="34"/>
      <c r="M6" s="34"/>
      <c r="N6" s="34"/>
      <c r="O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2" t="s">
        <v>16</v>
      </c>
      <c r="E6" s="34"/>
      <c r="F6" s="32" t="s">
        <v>17</v>
      </c>
      <c r="G6" s="32" t="s">
        <v>23</v>
      </c>
      <c r="H6" s="33">
        <v>1000.0</v>
      </c>
      <c r="I6" s="33">
        <v>800.0</v>
      </c>
      <c r="J6" s="34"/>
      <c r="K6" s="33">
        <v>50.0</v>
      </c>
      <c r="L6" s="34"/>
      <c r="M6" s="33">
        <v>50.0</v>
      </c>
      <c r="N6" s="34"/>
      <c r="O6" s="32" t="s">
        <v>18</v>
      </c>
      <c r="P6" s="35"/>
      <c r="Q6" s="36" t="s">
        <v>20</v>
      </c>
      <c r="R6" s="35"/>
      <c r="S6" s="35"/>
      <c r="T6" s="35"/>
      <c r="U6" s="35"/>
      <c r="V6" s="35"/>
      <c r="W6" s="37">
        <v>800.0</v>
      </c>
      <c r="X6" s="37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1600.0</v>
      </c>
      <c r="E6" s="34"/>
      <c r="F6" s="34"/>
      <c r="G6" s="34"/>
      <c r="H6" s="34"/>
      <c r="I6" s="32" t="s">
        <v>20</v>
      </c>
      <c r="J6" s="34"/>
      <c r="K6" s="34"/>
      <c r="L6" s="34"/>
      <c r="M6" s="34"/>
      <c r="N6" s="34"/>
      <c r="O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2" t="s">
        <v>16</v>
      </c>
      <c r="E6" s="35"/>
      <c r="F6" s="32" t="s">
        <v>17</v>
      </c>
      <c r="G6" s="32" t="s">
        <v>26</v>
      </c>
      <c r="H6" s="33">
        <v>1600.0</v>
      </c>
      <c r="I6" s="33">
        <v>800.0</v>
      </c>
      <c r="J6" s="33">
        <v>50.0</v>
      </c>
      <c r="K6" s="35"/>
      <c r="L6" s="35"/>
      <c r="M6" s="35"/>
      <c r="N6" s="37">
        <v>0.0</v>
      </c>
      <c r="O6" s="35"/>
      <c r="P6" s="37">
        <v>50.0</v>
      </c>
      <c r="Q6" s="35"/>
      <c r="R6" s="36" t="s">
        <v>18</v>
      </c>
      <c r="S6" s="35"/>
      <c r="T6" s="32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2" t="s">
        <v>16</v>
      </c>
      <c r="AJ6" s="32" t="s">
        <v>17</v>
      </c>
      <c r="AK6" s="32" t="s">
        <v>26</v>
      </c>
      <c r="AL6" s="33">
        <v>1600.0</v>
      </c>
      <c r="AM6" s="33">
        <v>800.0</v>
      </c>
      <c r="AN6" s="35"/>
      <c r="AO6" s="33">
        <v>0.0</v>
      </c>
      <c r="AP6" s="37">
        <v>50.0</v>
      </c>
      <c r="AQ6" s="35"/>
      <c r="AR6" s="36" t="s">
        <v>18</v>
      </c>
      <c r="AS6" s="32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1600.0</v>
      </c>
      <c r="E6" s="33">
        <v>800.0</v>
      </c>
      <c r="F6" s="33">
        <v>800.0</v>
      </c>
      <c r="G6" s="32" t="s">
        <v>26</v>
      </c>
      <c r="H6" s="35"/>
      <c r="I6" s="34"/>
      <c r="J6" s="33">
        <v>50.0</v>
      </c>
      <c r="K6" s="34"/>
      <c r="L6" s="32" t="s">
        <v>18</v>
      </c>
      <c r="M6" s="32" t="s">
        <v>20</v>
      </c>
      <c r="N6" s="34"/>
      <c r="O6" s="34"/>
      <c r="P6" s="35"/>
      <c r="Q6" s="35"/>
      <c r="R6" s="35"/>
      <c r="S6" s="35"/>
      <c r="T6" s="35"/>
      <c r="U6" s="35"/>
      <c r="V6" s="36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/>
      <c r="C6" s="35"/>
      <c r="D6" s="38"/>
      <c r="E6" s="35"/>
      <c r="F6" s="35"/>
      <c r="G6" s="37">
        <v>800.0</v>
      </c>
      <c r="H6" s="35"/>
      <c r="I6" s="34"/>
      <c r="J6" s="34"/>
      <c r="K6" s="34"/>
      <c r="L6" s="34"/>
      <c r="M6" s="35"/>
      <c r="N6" s="34"/>
      <c r="O6" s="34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6" t="s">
        <v>16</v>
      </c>
      <c r="AJ6" s="36" t="s">
        <v>17</v>
      </c>
      <c r="AK6" s="36" t="s">
        <v>26</v>
      </c>
      <c r="AL6" s="37">
        <v>1600.0</v>
      </c>
      <c r="AM6" s="37">
        <v>800.0</v>
      </c>
      <c r="AN6" s="37">
        <v>50.0</v>
      </c>
      <c r="AO6" s="35"/>
      <c r="AP6" s="35"/>
      <c r="AQ6" s="37">
        <v>0.0</v>
      </c>
      <c r="AR6" s="37">
        <v>50.0</v>
      </c>
      <c r="AS6" s="35"/>
      <c r="AT6" s="36" t="s">
        <v>18</v>
      </c>
      <c r="AU6" s="36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2" t="s">
        <v>16</v>
      </c>
      <c r="D6" s="33">
        <v>800.0</v>
      </c>
      <c r="E6" s="32" t="s">
        <v>18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6" t="s">
        <v>17</v>
      </c>
      <c r="AO6" s="35"/>
      <c r="AP6" s="36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IFERROR(__xludf.DUMMYFUNCTION("""COMPUTED_VALUE"""),"Activity Source")</f>
        <v>Activity Source</v>
      </c>
      <c r="D5" s="28" t="str">
        <f>IFERROR(__xludf.DUMMYFUNCTION("""COMPUTED_VALUE"""),"ActivityType")</f>
        <v>ActivityType</v>
      </c>
      <c r="E5" s="28" t="str">
        <f>IFERROR(__xludf.DUMMYFUNCTION("""COMPUTED_VALUE"""),"Net Amount(Local)")</f>
        <v>Net Amount(Local)</v>
      </c>
      <c r="F5" s="29" t="str">
        <f>IFERROR(__xludf.DUMMYFUNCTION("""COMPUTED_VALUE"""),"AUEC Fee1")</f>
        <v>AUEC Fee1</v>
      </c>
      <c r="G5" s="28" t="str">
        <f>IFERROR(__xludf.DUMMYFUNCTION("""COMPUTED_VALUE"""),"AUEC Fee2")</f>
        <v>AUEC Fee2</v>
      </c>
      <c r="H5" s="28" t="str">
        <f>IFERROR(__xludf.DUMMYFUNCTION("""COMPUTED_VALUE"""),"Balance Type")</f>
        <v>Balance Type</v>
      </c>
      <c r="I5" s="28" t="str">
        <f>IFERROR(__xludf.DUMMYFUNCTION("""COMPUTED_VALUE"""),"Clearing Broker Fees")</f>
        <v>Clearing Broker Fees</v>
      </c>
      <c r="J5" s="28" t="str">
        <f>IFERROR(__xludf.DUMMYFUNCTION("""COMPUTED_VALUE"""),"Commission")</f>
        <v>Commission</v>
      </c>
      <c r="K5" s="28" t="str">
        <f>IFERROR(__xludf.DUMMYFUNCTION("""COMPUTED_VALUE"""),"Currency")</f>
        <v>Currency</v>
      </c>
      <c r="L5" s="28" t="str">
        <f>IFERROR(__xludf.DUMMYFUNCTION("""COMPUTED_VALUE"""),"Description")</f>
        <v>Description</v>
      </c>
      <c r="M5" s="28" t="str">
        <f>IFERROR(__xludf.DUMMYFUNCTION("""COMPUTED_VALUE"""),"Entry Date")</f>
        <v>Entry Date</v>
      </c>
      <c r="N5" s="28" t="str">
        <f>IFERROR(__xludf.DUMMYFUNCTION("""COMPUTED_VALUE"""),"FX Conversion Method Operator")</f>
        <v>FX Conversion Method Operator</v>
      </c>
      <c r="O5" s="28" t="str">
        <f>IFERROR(__xludf.DUMMYFUNCTION("""COMPUTED_VALUE"""),"Fx Rate")</f>
        <v>Fx Rate</v>
      </c>
      <c r="P5" s="28" t="str">
        <f>IFERROR(__xludf.DUMMYFUNCTION("""COMPUTED_VALUE"""),"Lead Currency")</f>
        <v>Lead Currency</v>
      </c>
      <c r="Q5" s="28" t="str">
        <f>IFERROR(__xludf.DUMMYFUNCTION("""COMPUTED_VALUE"""),"Modify date")</f>
        <v>Modify date</v>
      </c>
      <c r="R5" s="28" t="str">
        <f>IFERROR(__xludf.DUMMYFUNCTION("""COMPUTED_VALUE"""),"OCC Fee")</f>
        <v>OCC Fee</v>
      </c>
      <c r="S5" s="28" t="str">
        <f>IFERROR(__xludf.DUMMYFUNCTION("""COMPUTED_VALUE"""),"OptionPremiumAdjustment")</f>
        <v>OptionPremiumAdjustment</v>
      </c>
      <c r="T5" s="30" t="str">
        <f>IFERROR(__xludf.DUMMYFUNCTION("""COMPUTED_VALUE"""),"ORF Fee")</f>
        <v>ORF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IFERROR(__xludf.DUMMYFUNCTION("""COMPUTED_VALUE"""),"Quantity")</f>
        <v>Quantity</v>
      </c>
      <c r="W5" s="30" t="str">
        <f>IFERROR(__xludf.DUMMYFUNCTION("""COMPUTED_VALUE"""),"SEC Fee")</f>
        <v>SEC Fee</v>
      </c>
      <c r="X5" s="30" t="str">
        <f>IFERROR(__xludf.DUMMYFUNCTION("""COMPUTED_VALUE"""),"Settlement Currency")</f>
        <v>Settlement Currency</v>
      </c>
      <c r="Y5" s="30" t="str">
        <f>IFERROR(__xludf.DUMMYFUNCTION("""COMPUTED_VALUE"""),"Settlement Date")</f>
        <v>Settlement Date</v>
      </c>
      <c r="Z5" s="30" t="str">
        <f>IFERROR(__xludf.DUMMYFUNCTION("""COMPUTED_VALUE"""),"Soft Commission")</f>
        <v>Soft Commission</v>
      </c>
      <c r="AA5" s="30" t="str">
        <f>IFERROR(__xludf.DUMMYFUNCTION("""COMPUTED_VALUE"""),"Stamp Duty")</f>
        <v>Stamp Duty</v>
      </c>
      <c r="AB5" s="30" t="str">
        <f>IFERROR(__xludf.DUMMYFUNCTION("""COMPUTED_VALUE"""),"Symbol")</f>
        <v>Symbol</v>
      </c>
      <c r="AC5" s="30" t="str">
        <f>IFERROR(__xludf.DUMMYFUNCTION("""COMPUTED_VALUE"""),"Tax On Commissions")</f>
        <v>Tax On Commissions</v>
      </c>
      <c r="AD5" s="30" t="str">
        <f>IFERROR(__xludf.DUMMYFUNCTION("""COMPUTED_VALUE"""),"Total Commissions")</f>
        <v>Total Commissions</v>
      </c>
      <c r="AE5" s="30" t="str">
        <f>IFERROR(__xludf.DUMMYFUNCTION("""COMPUTED_VALUE"""),"Trade Date")</f>
        <v>Trade Date</v>
      </c>
      <c r="AF5" s="30" t="str">
        <f>IFERROR(__xludf.DUMMYFUNCTION("""COMPUTED_VALUE"""),"Transaction Levy")</f>
        <v>Transaction Levy</v>
      </c>
      <c r="AG5" s="30" t="str">
        <f>IFERROR(__xludf.DUMMYFUNCTION("""COMPUTED_VALUE"""),"Transaction Source")</f>
        <v>Transaction Source</v>
      </c>
      <c r="AH5" s="30" t="str">
        <f>IFERROR(__xludf.DUMMYFUNCTION("""COMPUTED_VALUE"""),"User")</f>
        <v>User</v>
      </c>
      <c r="AI5" s="30" t="str">
        <f>IFERROR(__xludf.DUMMYFUNCTION("""COMPUTED_VALUE"""),"Vs Currency")</f>
        <v>Vs Currency</v>
      </c>
      <c r="AJ5" s="30" t="str">
        <f>IFERROR(__xludf.DUMMYFUNCTION("""COMPUTED_VALUE"""),"SettlCurrencyID")</f>
        <v>SettlCurrencyID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/>
      <c r="D6" s="32" t="s">
        <v>36</v>
      </c>
      <c r="E6" s="34"/>
      <c r="F6" s="34"/>
      <c r="G6" s="34"/>
      <c r="H6" s="34"/>
      <c r="I6" s="34"/>
      <c r="J6" s="34"/>
      <c r="K6" s="32" t="s">
        <v>37</v>
      </c>
      <c r="L6" s="34"/>
      <c r="M6" s="34"/>
      <c r="N6" s="34"/>
      <c r="O6" s="34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6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/>
      <c r="D6" s="31"/>
      <c r="E6" s="33">
        <v>800.0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6" t="s">
        <v>20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7">
        <v>1600.0</v>
      </c>
      <c r="BK6" s="35"/>
      <c r="BL6" s="35"/>
      <c r="BM6" s="35"/>
      <c r="BN6" s="35"/>
      <c r="BO6" s="36" t="s">
        <v>17</v>
      </c>
      <c r="BP6" s="35"/>
      <c r="BQ6" s="35"/>
      <c r="BR6" s="35"/>
      <c r="BS6" s="35"/>
      <c r="BT6" s="36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42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3">
        <v>800.0</v>
      </c>
      <c r="N6" s="34"/>
      <c r="O6" s="34"/>
      <c r="P6" s="36" t="s">
        <v>17</v>
      </c>
      <c r="Q6" s="35"/>
      <c r="R6" s="36" t="s">
        <v>16</v>
      </c>
      <c r="S6" s="35"/>
      <c r="T6" s="35"/>
      <c r="U6" s="35"/>
      <c r="V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