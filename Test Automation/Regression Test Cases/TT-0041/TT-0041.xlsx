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TGeneralPreferences" sheetId="4" r:id="rId6"/>
    <sheet state="visible" name="ImportSymbol" sheetId="5" r:id="rId7"/>
    <sheet state="visible" name="Import" sheetId="6" r:id="rId8"/>
    <sheet state="visible" name="SelectAllOnImport" sheetId="7" r:id="rId9"/>
    <sheet state="visible" name="SetTTGeneralPreferences1" sheetId="8" r:id="rId10"/>
    <sheet state="visible" name="ImportSymbol1" sheetId="9" r:id="rId11"/>
    <sheet state="visible" name="Import1" sheetId="10" r:id="rId12"/>
    <sheet state="visible" name="SelectAllOnImport1" sheetId="11" r:id="rId13"/>
    <sheet state="visible" name="GetDataAllocation" sheetId="12" r:id="rId14"/>
    <sheet state="visible" name="CheckAllocatedGroups" sheetId="13" r:id="rId15"/>
    <sheet state="visible" name="CheckPortfolioManagement" sheetId="14" r:id="rId16"/>
  </sheets>
  <definedNames/>
  <calcPr/>
</workbook>
</file>

<file path=xl/sharedStrings.xml><?xml version="1.0" encoding="utf-8"?>
<sst xmlns="http://schemas.openxmlformats.org/spreadsheetml/2006/main" count="211" uniqueCount="62">
  <si>
    <t>Modules Info</t>
  </si>
  <si>
    <t>Modules</t>
  </si>
  <si>
    <t>Settings</t>
  </si>
  <si>
    <t>Module Step Setting File</t>
  </si>
  <si>
    <t>1njGxNbI2NR3nqQDk5lTKx4so0tQjoi9u2bypOu6AkKU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</si>
  <si>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</si>
  <si>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</si>
  <si>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</si>
  <si>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</si>
  <si>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</si>
  <si>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</si>
  <si>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</si>
  <si>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</si>
  <si>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SetTTGeneralPreferences</t>
  </si>
  <si>
    <t>Data Format</t>
  </si>
  <si>
    <t>Input Format</t>
  </si>
  <si>
    <t>TradingTicket</t>
  </si>
  <si>
    <t>ImportSymbol</t>
  </si>
  <si>
    <t>\\192.168.2.108\DistributedAutomation_Master\Import Cases\TickerList.xls</t>
  </si>
  <si>
    <t>Import</t>
  </si>
  <si>
    <t>\\192.168.2.108\DistributedAutomation_Master\Import Cases\Allowed_Restricted_Trade_Import.csv</t>
  </si>
  <si>
    <t>Cameron</t>
  </si>
  <si>
    <t>Transaction</t>
  </si>
  <si>
    <t>SelectAllOnImport</t>
  </si>
  <si>
    <t>Allocation</t>
  </si>
  <si>
    <t>GetDataAllocation</t>
  </si>
  <si>
    <t>Historical</t>
  </si>
  <si>
    <t>CheckAllocatedGroups</t>
  </si>
  <si>
    <t>Allocation1</t>
  </si>
  <si>
    <t>Actual_365</t>
  </si>
  <si>
    <t>Manual</t>
  </si>
  <si>
    <t>FX</t>
  </si>
  <si>
    <t>GBPUSD CURNCY</t>
  </si>
  <si>
    <t>Treasury</t>
  </si>
  <si>
    <t>GBP</t>
  </si>
  <si>
    <t>Buy</t>
  </si>
  <si>
    <t>GBP/USD</t>
  </si>
  <si>
    <t>EquityOption</t>
  </si>
  <si>
    <t>EOG US 04/17/10 C95 Equity</t>
  </si>
  <si>
    <t>USD</t>
  </si>
  <si>
    <t>OPTS</t>
  </si>
  <si>
    <t>Sell</t>
  </si>
  <si>
    <t>O:EOG 10D95.00</t>
  </si>
  <si>
    <t>Equity</t>
  </si>
  <si>
    <t>AAPL US EQUITY</t>
  </si>
  <si>
    <t>NASDAQ</t>
  </si>
  <si>
    <t>AAPL</t>
  </si>
  <si>
    <t>PortfolioManagement</t>
  </si>
  <si>
    <t>CheckPortfolioManagement</t>
  </si>
  <si>
    <t>NewMF</t>
  </si>
  <si>
    <t xml:space="preserve">Long </t>
  </si>
  <si>
    <t>Undefined</t>
  </si>
  <si>
    <t>US</t>
  </si>
  <si>
    <t>Long</t>
  </si>
  <si>
    <t>Short</t>
  </si>
  <si>
    <t>EOG</t>
  </si>
  <si>
    <t>CALL</t>
  </si>
  <si>
    <t>MSFT</t>
  </si>
  <si>
    <t>Allocation2</t>
  </si>
  <si>
    <t>NewMF1</t>
  </si>
  <si>
    <t>O:ABM 10D20.00</t>
  </si>
  <si>
    <t>ABM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</si>
</sst>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222222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vertical="bottom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readingOrder="0" vertical="bottom"/>
    </xf>
    <xf borderId="0" fillId="0" fontId="5" numFmtId="164" xfId="0" applyAlignment="1" applyFont="1" applyNumberFormat="1">
      <alignment readingOrder="0" shrinkToFit="0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5" fillId="0" fontId="3" numFmtId="3" xfId="0" applyAlignment="1" applyBorder="1" applyFont="1" applyNumberFormat="1">
      <alignment vertical="bottom"/>
    </xf>
    <xf borderId="5" fillId="0" fontId="5" numFmtId="3" xfId="0" applyAlignment="1" applyBorder="1" applyFont="1" applyNumberFormat="1">
      <alignment horizontal="right" vertical="bottom"/>
    </xf>
    <xf borderId="5" fillId="0" fontId="3" numFmtId="3" xfId="0" applyAlignment="1" applyBorder="1" applyFont="1" applyNumberFormat="1">
      <alignment horizontal="right" vertical="bottom"/>
    </xf>
    <xf borderId="0" fillId="0" fontId="3" numFmtId="3" xfId="0" applyAlignment="1" applyFont="1" applyNumberFormat="1">
      <alignment vertical="bottom"/>
    </xf>
    <xf borderId="0" fillId="0" fontId="3" numFmtId="3" xfId="0" applyAlignment="1" applyFont="1" applyNumberFormat="1">
      <alignment horizontal="right" vertical="bottom"/>
    </xf>
    <xf borderId="0" fillId="0" fontId="5" numFmtId="3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0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IFERROR(__xludf.DUMMYFUNCTION("""COMPUTED_VALUE"""),"undefined")</f>
        <v>undefined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IFERROR(__xludf.DUMMYFUNCTION("""COMPUTED_VALUE"""),"1hVcm2AM6tpl7LAL1inbzLF7lPKrzoS8Hf_xEf0r0QvU")</f>
        <v>1hVcm2AM6tpl7LAL1inbzLF7lPKrzoS8Hf_xEf0r0QvU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IFERROR(__xludf.DUMMYFUNCTION("""COMPUTED_VALUE"""),"1xln1FAf_biSADXIchn7RxBiBbGXPZU2Qmiafzz63n_s")</f>
        <v>1xln1FAf_biSADXIchn7RxBiBbGXPZU2Qmiafzz63n_s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IFERROR(__xludf.DUMMYFUNCTION("""COMPUTED_VALUE"""),"1ZJZn5gs7a2MhaEr-ryFvr-6l8Lrpw49ZtdxRjUmj2lE")</f>
        <v>1ZJZn5gs7a2MhaEr-ryFvr-6l8Lrpw49ZtdxRjUmj2lE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IFERROR(__xludf.DUMMYFUNCTION("""COMPUTED_VALUE"""),"1OCGMVOHt03_eCmO7qiby_rf8bEME9TovKxz3Ntf7vgg")</f>
        <v>1OCGMVOHt03_eCmO7qiby_rf8bEME9TovKxz3Ntf7vgg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IFERROR(__xludf.DUMMYFUNCTION("""COMPUTED_VALUE"""),"11MUm_Wks-ynsuzwq0ucx9YCmN_Dlux4joQTI9V_vxSQ")</f>
        <v>11MUm_Wks-ynsuzwq0ucx9YCmN_Dlux4joQTI9V_vxSQ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IFERROR(__xludf.DUMMYFUNCTION("""COMPUTED_VALUE"""),"1HibVHHcuFf3loa0fNI6zJwXL0glRkLz9BQwFMwolEWs")</f>
        <v>1HibVHHcuFf3loa0fNI6zJwXL0glRkLz9BQwFMwolEWs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IFERROR(__xludf.DUMMYFUNCTION("""COMPUTED_VALUE"""),"1v_MUqtv78nxjsN8Cecn_LuQEABNjfo6irXnL4E327-E")</f>
        <v>1v_MUqtv78nxjsN8Cecn_LuQEABNjfo6irXnL4E327-E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IFERROR(__xludf.DUMMYFUNCTION("""COMPUTED_VALUE"""),"175-JCUqdn62shwwTBrtayS4sAfQdJI1es-MdB_afiEU")</f>
        <v>175-JCUqdn62shwwTBrtayS4sAfQdJI1es-MdB_afiEU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IFERROR(__xludf.DUMMYFUNCTION("""COMPUTED_VALUE"""),"17eDimySFNF45ncJKZNMN1WafcCPlObqPuWpiaELn4XI")</f>
        <v>17eDimySFNF45ncJKZNMN1WafcCPlObqPuWpiaELn4XI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IFERROR(__xludf.DUMMYFUNCTION("""COMPUTED_VALUE"""),"1Pfyi8724AHHPSpjL28hJwa2o4mQbLhWDX3ERQDqoMjM")</f>
        <v>1Pfyi8724AHHPSpjL28hJwa2o4mQbLhWDX3ERQDqoMjM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IFERROR(__xludf.DUMMYFUNCTION("""COMPUTED_VALUE"""),"1YVs2pxOwqxSOoRvY-L6RFBNX-V1Iq7YCTlJJjcZGOrk")</f>
        <v>1YVs2pxOwqxSOoRvY-L6RFBNX-V1Iq7YCTlJJjcZGOrk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IFERROR(__xludf.DUMMYFUNCTION("""COMPUTED_VALUE"""),"1B8hcujE70thHD0YsedA4IBNf7vn0AyfU4JVfJ_wJt20")</f>
        <v>1B8hcujE70thHD0YsedA4IBNf7vn0AyfU4JVfJ_wJt20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IFERROR(__xludf.DUMMYFUNCTION("""COMPUTED_VALUE"""),"1-W-RmffTnEi0hw7mazbNadwwiSRGoy1wrw8PHkuofYY")</f>
        <v>1-W-RmffTnEi0hw7mazbNadwwiSRGoy1wrw8PHkuofYY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IFERROR(__xludf.DUMMYFUNCTION("""COMPUTED_VALUE"""),"1esoF-RnVyz6ko5JWW7n-M62RtAdH_oBEGryr3tVxBD0")</f>
        <v>1esoF-RnVyz6ko5JWW7n-M62RtAdH_oBEGryr3tVxBD0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IFERROR(__xludf.DUMMYFUNCTION("""COMPUTED_VALUE"""),"1e5P2Fpj6vybIn_paB2b7Fy1UWvvzM_QLBcFFEnG_Sog")</f>
        <v>1e5P2Fpj6vybIn_paB2b7Fy1UWvvzM_QLBcFFEnG_Sog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IFERROR(__xludf.DUMMYFUNCTION("""COMPUTED_VALUE"""),"17wP7K35BVS-mcToVvypH9kFnKwLPjhX5cgZessf5L3U")</f>
        <v>17wP7K35BVS-mcToVvypH9kFnKwLPjhX5cgZessf5L3U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IFERROR(__xludf.DUMMYFUNCTION("""COMPUTED_VALUE"""),"1HZrcr_WdBT1EQ4GhHDXyM17ms7JDfsPpIGlJKkgrmq8")</f>
        <v>1HZrcr_WdBT1EQ4GhHDXyM17ms7JDfsPpIGlJKkgrmq8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IFERROR(__xludf.DUMMYFUNCTION("""COMPUTED_VALUE"""),"1cffrrRSmuiuoUyakOnIguFzrQ7nNvPrbSqLosFmTWwE")</f>
        <v>1cffrrRSmuiuoUyakOnIguFzrQ7nNvPrbSqLosFmTWwE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IFERROR(__xludf.DUMMYFUNCTION("""COMPUTED_VALUE"""),"1ZfIgMPS9NpuMtE47suVwo-kA1KXMaKf-ADsjK3-OiFk")</f>
        <v>1ZfIgMPS9NpuMtE47suVwo-kA1KXMaKf-ADsjK3-OiFk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IFERROR(__xludf.DUMMYFUNCTION("""COMPUTED_VALUE"""),"1lg0qbs6p5xqUSr7LDug4K3vG1m9N739nMZUVLjObX4A")</f>
        <v>1lg0qbs6p5xqUSr7LDug4K3vG1m9N739nMZUVLjObX4A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IFERROR(__xludf.DUMMYFUNCTION("""COMPUTED_VALUE"""),"1jAOYY9bW9KnKph1c40HVkfDUBh6ICZ5j3laR_Nfw-EY")</f>
        <v>1jAOYY9bW9KnKph1c40HVkfDUBh6ICZ5j3laR_Nfw-EY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IFERROR(__xludf.DUMMYFUNCTION("""COMPUTED_VALUE"""),"1A0xAaBFDf7biWsKuUhbcuji1EhTqQ4YA19pe1eIhgPQ")</f>
        <v>1A0xAaBFDf7biWsKuUhbcuji1EhTqQ4YA19pe1eIhgPQ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IFERROR(__xludf.DUMMYFUNCTION("""COMPUTED_VALUE"""),"1AjthyKZG60SFOO_oG5D4uAVdcMlvnmNeOIBuZzfu9Zc")</f>
        <v>1AjthyKZG60SFOO_oG5D4uAVdcMlvnmNeOIBuZzfu9Zc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IFERROR(__xludf.DUMMYFUNCTION("""COMPUTED_VALUE"""),"1hwVNf3Bz_kRxkr47npaHLD4RFYfHlCWjpAVEp3p0Tv0")</f>
        <v>1hwVNf3Bz_kRxkr47npaHLD4RFYfHlCWjpAVEp3p0Tv0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IFERROR(__xludf.DUMMYFUNCTION("""COMPUTED_VALUE"""),"1YNyk8pT-yjAygOSu8ntnhSz0mlyLVTKf5ZElZkGlRAk")</f>
        <v>1YNyk8pT-yjAygOSu8ntnhSz0mlyLVTKf5ZElZkGlRAk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IFERROR(__xludf.DUMMYFUNCTION("""COMPUTED_VALUE"""),"1e_Wdtbtw83ryT5L0L8pewVQPI8LIJvnU1qbvQEuQTWA")</f>
        <v>1e_Wdtbtw83ryT5L0L8pewVQPI8LIJvnU1qbvQEuQTWA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IFERROR(__xludf.DUMMYFUNCTION("""COMPUTED_VALUE"""),"1s-2AvOwlucwT40O8TI72EGsH95mesUqNXS7T87p_cjk")</f>
        <v>1s-2AvOwlucwT40O8TI72EGsH95mesUqNXS7T87p_cjk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IFERROR(__xludf.DUMMYFUNCTION("""COMPUTED_VALUE"""),"12NHD4_EIq5g0C_fIQVy3RpmKC95ayNQ1iXyceR4Wo-I")</f>
        <v>12NHD4_EIq5g0C_fIQVy3RpmKC95ayNQ1iXyceR4Wo-I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IFERROR(__xludf.DUMMYFUNCTION("""COMPUTED_VALUE"""),"1MmUcBXbxfb38HOE1cHEKyuIz8n3EosbGD7Apj5fCCyI")</f>
        <v>1MmUcBXbxfb38HOE1cHEKyuIz8n3EosbGD7Apj5fCCyI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IFERROR(__xludf.DUMMYFUNCTION("""COMPUTED_VALUE"""),"1I3vKgbFVmpKcE4CquiIjVUNQQng6mCvIX8Nb6O3tYSM")</f>
        <v>1I3vKgbFVmpKcE4CquiIjVUNQQng6mCvIX8Nb6O3tYSM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IFERROR(__xludf.DUMMYFUNCTION("""COMPUTED_VALUE"""),"1X1pt4p00mNPwCJcz91pYRbRgzeh7fysIjHER0IOdjZc")</f>
        <v>1X1pt4p00mNPwCJcz91pYRbRgzeh7fysIjHER0IOdjZc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IFERROR(__xludf.DUMMYFUNCTION("""COMPUTED_VALUE"""),"1EXHDEnb-AqeKckyKJ2AQIPPFYOz1qJ0NXgdSnRlwd_8")</f>
        <v>1EXHDEnb-AqeKckyKJ2AQIPPFYOz1qJ0NXgdSnRlwd_8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IFERROR(__xludf.DUMMYFUNCTION("""COMPUTED_VALUE"""),"1NbR7ZH2mQ_UhhsVJW1kvt8h2b6ar1yEiIRP11pLNMCA")</f>
        <v>1NbR7ZH2mQ_UhhsVJW1kvt8h2b6ar1yEiIRP11pLNMCA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IFERROR(__xludf.DUMMYFUNCTION("""COMPUTED_VALUE"""),"1X6zGMIbPMGDNJBFVyEbhy8JzB-DF3VL8Ecx1KZsTvww")</f>
        <v>1X6zGMIbPMGDNJBFVyEbhy8JzB-DF3VL8Ecx1KZsTvww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IFERROR(__xludf.DUMMYFUNCTION("""COMPUTED_VALUE"""),"1DwoiiMTfEI25sIuSyzjcNHieJZZSgvmRbbztMJektzw")</f>
        <v>1DwoiiMTfEI25sIuSyzjcNHieJZZSgvmRbbztMJektzw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IFERROR(__xludf.DUMMYFUNCTION("""COMPUTED_VALUE"""),"10Wi9aLWsES9e12Jsk7J5zbAdCX0LcFslEPqxr6NuGao")</f>
        <v>10Wi9aLWsES9e12Jsk7J5zbAdCX0LcFslEPqxr6NuGao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IFERROR(__xludf.DUMMYFUNCTION("""COMPUTED_VALUE"""),"1BpgmUI6OY9ROYfJW7yhtd3v_H2DoCND4DfDkif1fTnE")</f>
        <v>1BpgmUI6OY9ROYfJW7yhtd3v_H2DoCND4DfDkif1fTnE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IFERROR(__xludf.DUMMYFUNCTION("""COMPUTED_VALUE"""),"1A4Zcxi0xYN4fi6cUaxJyYATjWcFN9ph5TOCiIwYlDx4")</f>
        <v>1A4Zcxi0xYN4fi6cUaxJyYATjWcFN9ph5TOCiIwYlDx4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IFERROR(__xludf.DUMMYFUNCTION("""COMPUTED_VALUE"""),"1d74faC5HiET8v5WuA0k4mDVxwUlRgwb7jwKIuaw0hrA")</f>
        <v>1d74faC5HiET8v5WuA0k4mDVxwUlRgwb7jwKIuaw0hrA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IFERROR(__xludf.DUMMYFUNCTION("""COMPUTED_VALUE"""),"1DAAkn_hOGEgqSEZMlHZCgTAE2AkAscU0wBpmiODj7LM")</f>
        <v>1DAAkn_hOGEgqSEZMlHZCgTAE2AkAscU0wBpmiODj7LM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IFERROR(__xludf.DUMMYFUNCTION("""COMPUTED_VALUE"""),"1AaR_RyCJodiVQTw2a8Tr7ixTHn3k5JcJErdCIP0TnWU")</f>
        <v>1AaR_RyCJodiVQTw2a8Tr7ixTHn3k5JcJErdCIP0TnWU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IFERROR(__xludf.DUMMYFUNCTION("""COMPUTED_VALUE"""),"1Bn5ufuuddBVWtP0XJckkEgs1Q8qPNBXf3Q3UoOlAdmo")</f>
        <v>1Bn5ufuuddBVWtP0XJckkEgs1Q8qPNBXf3Q3UoOlAdmo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IFERROR(__xludf.DUMMYFUNCTION("""COMPUTED_VALUE"""),"1oScszM1N5AICz6efQqqcZ9rMBX6viS3Dv4Ye34RXN78")</f>
        <v>1oScszM1N5AICz6efQqqcZ9rMBX6viS3Dv4Ye34RXN78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IFERROR(__xludf.DUMMYFUNCTION("""COMPUTED_VALUE"""),"1DfGmIk1AC9u6iD7HJ5eoIhkH2zXKH6qkYG72ke3Qm8s")</f>
        <v>1DfGmIk1AC9u6iD7HJ5eoIhkH2zXKH6qkYG72ke3Qm8s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IFERROR(__xludf.DUMMYFUNCTION("""COMPUTED_VALUE"""),"1camqMJj9T6DujVoKWjLCRM_t5c9Gjas2RvonTiEIeqc")</f>
        <v>1camqMJj9T6DujVoKWjLCRM_t5c9Gjas2RvonTiEIeqc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IFERROR(__xludf.DUMMYFUNCTION("""COMPUTED_VALUE"""),"15eV6FwmLzaX2dpXX8JvKiyeHioNqbWSErNbij1TUs3U")</f>
        <v>15eV6FwmLzaX2dpXX8JvKiyeHioNqbWSErNbij1TUs3U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IFERROR(__xludf.DUMMYFUNCTION("""COMPUTED_VALUE"""),"1WGyYC9JD2kkJ7R-DfYfXWJbxk7gGthQxpZL5FZDts-Y")</f>
        <v>1WGyYC9JD2kkJ7R-DfYfXWJbxk7gGthQxpZL5FZDts-Y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IFERROR(__xludf.DUMMYFUNCTION("""COMPUTED_VALUE"""),"1-1uFNoTRPBEA8enYV9Nnn2-zdmLXS4X3BoS5v7Ex68Q")</f>
        <v>1-1uFNoTRPBEA8enYV9Nnn2-zdmLXS4X3BoS5v7Ex68Q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IFERROR(__xludf.DUMMYFUNCTION("""COMPUTED_VALUE"""),"1NuKdFiqCo2nzr6TUap0D2JZ2tFl3idlS8OadDR3jAoA")</f>
        <v>1NuKdFiqCo2nzr6TUap0D2JZ2tFl3idlS8OadDR3jAoA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IFERROR(__xludf.DUMMYFUNCTION("""COMPUTED_VALUE"""),"1gDmo_2KemfqbOwUv5B7uMrGycNq8KZk_nAt9ZH3GqFc")</f>
        <v>1gDmo_2KemfqbOwUv5B7uMrGycNq8KZk_nAt9ZH3GqFc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IFERROR(__xludf.DUMMYFUNCTION("""COMPUTED_VALUE"""),"1Wlib1X9xwZWLV6LdliEcdluK6uREPBsHMLu5IpRcpNU")</f>
        <v>1Wlib1X9xwZWLV6LdliEcdluK6uREPBsHMLu5IpRcpNU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IFERROR(__xludf.DUMMYFUNCTION("""COMPUTED_VALUE"""),"1qKU4yNOCU3BJyg8bfwbgEKR_FyiCXmF0ZgLSrokFASY")</f>
        <v>1qKU4yNOCU3BJyg8bfwbgEKR_FyiCXmF0ZgLSrokFASY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IFERROR(__xludf.DUMMYFUNCTION("""COMPUTED_VALUE"""),"15PfVFcRxvxjCBZUN8HsjX4ev7xsG4SuA5Qr4_S-nChE")</f>
        <v>15PfVFcRxvxjCBZUN8HsjX4ev7xsG4SuA5Qr4_S-nChE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IFERROR(__xludf.DUMMYFUNCTION("""COMPUTED_VALUE"""),"1NJR9Eau1YPKGjqptQlj-xOtU0oQWuvCcy7rkAGtHcZA")</f>
        <v>1NJR9Eau1YPKGjqptQlj-xOtU0oQWuvCcy7rkAGtHcZA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IFERROR(__xludf.DUMMYFUNCTION("""COMPUTED_VALUE"""),"1RevbrhSlj1b6tvF2zO-7JRLXGmCZ8Amkw_CKqIoz_f4")</f>
        <v>1RevbrhSlj1b6tvF2zO-7JRLXGmCZ8Amkw_CKqIoz_f4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IFERROR(__xludf.DUMMYFUNCTION("""COMPUTED_VALUE"""),"1MSOnvrmTBiNZezoksqc-GDtZpuomkT2J8b0SHsautEA")</f>
        <v>1MSOnvrmTBiNZezoksqc-GDtZpuomkT2J8b0SHsautEA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IFERROR(__xludf.DUMMYFUNCTION("""COMPUTED_VALUE"""),"109Go2V2YwfSKfHYvonDAK1uj_VR1VOufaT_bCzMIvzo")</f>
        <v>109Go2V2YwfSKfHYvonDAK1uj_VR1VOufaT_bCzMIvzo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IFERROR(__xludf.DUMMYFUNCTION("""COMPUTED_VALUE"""),"1Ln-U03mETPrqNnkYuxQ6h11p3QV_Z1JnLi1E4j-w3NA")</f>
        <v>1Ln-U03mETPrqNnkYuxQ6h11p3QV_Z1JnLi1E4j-w3NA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IFERROR(__xludf.DUMMYFUNCTION("""COMPUTED_VALUE"""),"1XKiYhfC16nqn0tutfxlX4Z1y5h_i5-gFnMM1Bf2O5tQ")</f>
        <v>1XKiYhfC16nqn0tutfxlX4Z1y5h_i5-gFnMM1Bf2O5tQ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IFERROR(__xludf.DUMMYFUNCTION("""COMPUTED_VALUE"""),"1rGT3yXke_M8OcDUPaTifbDDANsxMS_IVwXClwqyIWkk")</f>
        <v>1rGT3yXke_M8OcDUPaTifbDDANsxMS_IVwXClwqyIWkk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IFERROR(__xludf.DUMMYFUNCTION("""COMPUTED_VALUE"""),"1aUOpv7tAA0Tsw-vGOZVTd6Huv3VM_XnIj2_z2iXivNw")</f>
        <v>1aUOpv7tAA0Tsw-vGOZVTd6Huv3VM_XnIj2_z2iXivNw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IFERROR(__xludf.DUMMYFUNCTION("""COMPUTED_VALUE"""),"18EbIbeJ3rxi7HxmLURD_Cvf8ojc3lGGfTxVrpwYiWl0")</f>
        <v>18EbIbeJ3rxi7HxmLURD_Cvf8ojc3lGGfTxVrpwYiWl0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IFERROR(__xludf.DUMMYFUNCTION("""COMPUTED_VALUE"""),"1Falj7RLDHYNIdqRp7f6PqgSPQ2YuSu2fiBV79INXS5w")</f>
        <v>1Falj7RLDHYNIdqRp7f6PqgSPQ2YuSu2fiBV79INXS5w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IFERROR(__xludf.DUMMYFUNCTION("""COMPUTED_VALUE"""),"1_JOfNQ-ZrOdSeM3rD-_yZHrf2uNlO2rttEJ1uHh18Xc")</f>
        <v>1_JOfNQ-ZrOdSeM3rD-_yZHrf2uNlO2rttEJ1uHh18Xc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IFERROR(__xludf.DUMMYFUNCTION("""COMPUTED_VALUE"""),"1x2kiQWm0s39VQr6bQ-OVrzt3FcLQTY2DLkVd69g27u0")</f>
        <v>1x2kiQWm0s39VQr6bQ-OVrzt3FcLQTY2DLkVd69g27u0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IFERROR(__xludf.DUMMYFUNCTION("""COMPUTED_VALUE"""),"1lFN67Trddb_gO0N5EMToTpn1Xc1W8qN9I2LPO6sj00c")</f>
        <v>1lFN67Trddb_gO0N5EMToTpn1Xc1W8qN9I2LPO6sj00c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IFERROR(__xludf.DUMMYFUNCTION("""COMPUTED_VALUE"""),"1iBu56wQyfSyw3QYU3BXabV7ZYAC_HtWKcOfyFdtHsbQ")</f>
        <v>1iBu56wQyfSyw3QYU3BXabV7ZYAC_HtWKcOfyFdtHsbQ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IFERROR(__xludf.DUMMYFUNCTION("""COMPUTED_VALUE"""),"1LUyDKHoCZOWXqpzm3WjlGPHceDFNX86Y30-jd1ZjMuc")</f>
        <v>1LUyDKHoCZOWXqpzm3WjlGPHceDFNX86Y30-jd1ZjMuc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IFERROR(__xludf.DUMMYFUNCTION("""COMPUTED_VALUE"""),"1zrbru5N141eVCqtHIZr12j2foO7MIasWPLZK3i5Q1Vo")</f>
        <v>1zrbru5N141eVCqtHIZr12j2foO7MIasWPLZK3i5Q1Vo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IFERROR(__xludf.DUMMYFUNCTION("""COMPUTED_VALUE"""),"1Sy9_GuITxTVwRhLFyTVa06wA5il658xOrEEqX_satKM")</f>
        <v>1Sy9_GuITxTVwRhLFyTVa06wA5il658xOrEEqX_satKM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IFERROR(__xludf.DUMMYFUNCTION("""COMPUTED_VALUE"""),"1HmbyBzi3LJNAYcYyEuR5dCc7c2551Lq78DrEgBDWmlQ")</f>
        <v>1HmbyBzi3LJNAYcYyEuR5dCc7c2551Lq78DrEgBDWmlQ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IFERROR(__xludf.DUMMYFUNCTION("""COMPUTED_VALUE"""),"1qZ0PLkGqvsAvGy_byCEHcoZ5j19-2TqZ7lUj_ZMWp2Y")</f>
        <v>1qZ0PLkGqvsAvGy_byCEHcoZ5j19-2TqZ7lUj_ZMWp2Y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IFERROR(__xludf.DUMMYFUNCTION("""COMPUTED_VALUE"""),"183aFv-FjM5kO1GZzBKJEnefZpvKTD2al_8jxj57A74I")</f>
        <v>183aFv-FjM5kO1GZzBKJEnefZpvKTD2al_8jxj57A74I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IFERROR(__xludf.DUMMYFUNCTION("""COMPUTED_VALUE"""),"1zvUXhUtasv68F_5jqPPfi5PZjybFsZtVFeNt7Wcbak0")</f>
        <v>1zvUXhUtasv68F_5jqPPfi5PZjybFsZtVFeNt7Wcbak0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IFERROR(__xludf.DUMMYFUNCTION("""COMPUTED_VALUE"""),"13JxrHcuIEL34cY8bWhcwkysiatDmxBrbggzvueoDRpA")</f>
        <v>13JxrHcuIEL34cY8bWhcwkysiatDmxBrbggzvueoDRpA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IFERROR(__xludf.DUMMYFUNCTION("""COMPUTED_VALUE"""),"1ueJPlmKs0VCty9rqy3bof7OwkTE6pIF5M06JcL_bc-8")</f>
        <v>1ueJPlmKs0VCty9rqy3bof7OwkTE6pIF5M06JcL_bc-8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IFERROR(__xludf.DUMMYFUNCTION("""COMPUTED_VALUE"""),"1yuc7DZkXEgHVIHU4UmYY87IPbtWqR3MjoIMrjfrGfas")</f>
        <v>1yuc7DZkXEgHVIHU4UmYY87IPbtWqR3MjoIMrjfrGfas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IFERROR(__xludf.DUMMYFUNCTION("""COMPUTED_VALUE"""),"1rYld2OwIVg_rNpqCSkF4qBjswgUc0VyMTMBp_Fby-BQ")</f>
        <v>1rYld2OwIVg_rNpqCSkF4qBjswgUc0VyMTMBp_Fby-BQ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IFERROR(__xludf.DUMMYFUNCTION("""COMPUTED_VALUE"""),"156kazERWxtkEF970K6P2WK7faWBTZ-C0sOqejHpzIx4")</f>
        <v>156kazERWxtkEF970K6P2WK7faWBTZ-C0sOqejHpzIx4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IFERROR(__xludf.DUMMYFUNCTION("""COMPUTED_VALUE"""),"1iEACuwmKMC6ArJAAAaSMwW0omralf4T3B9CCBWEN4rI")</f>
        <v>1iEACuwmKMC6ArJAAAaSMwW0omralf4T3B9CCBWEN4rI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IFERROR(__xludf.DUMMYFUNCTION("""COMPUTED_VALUE"""),"1wykeQebkUjjXVgIljYXtFNMq64V4Q7hecCH_Nwn9t-8")</f>
        <v>1wykeQebkUjjXVgIljYXtFNMq64V4Q7hecCH_Nwn9t-8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IFERROR(__xludf.DUMMYFUNCTION("""COMPUTED_VALUE"""),"1kSDMTHsH0NdwDZXP8SX7lbTFzx3hjjjUfAhRUG8vOtM")</f>
        <v>1kSDMTHsH0NdwDZXP8SX7lbTFzx3hjjjUfAhRUG8vOtM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IFERROR(__xludf.DUMMYFUNCTION("""COMPUTED_VALUE"""),"19ZFvXx_RoHoOsSB6TeydqIKZBiC2XS1c5e_oEpNdp1c")</f>
        <v>19ZFvXx_RoHoOsSB6TeydqIKZBiC2XS1c5e_oEpNdp1c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IFERROR(__xludf.DUMMYFUNCTION("""COMPUTED_VALUE"""),"1bImpGl2YZz3w_D5Fl_EkwuQUAufBZpjwndJVqWd_JNs")</f>
        <v>1bImpGl2YZz3w_D5Fl_EkwuQUAufBZpjwndJVqWd_JNs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IFERROR(__xludf.DUMMYFUNCTION("""COMPUTED_VALUE"""),"1akCKlMIVAD1ZKQkcud9brqjjb1oKR18AWsFwWat-RD4")</f>
        <v>1akCKlMIVAD1ZKQkcud9brqjjb1oKR18AWsFwWat-RD4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IFERROR(__xludf.DUMMYFUNCTION("""COMPUTED_VALUE"""),"1651Q6t8B_K2B_3NiVnMG8yw2HgQ1FHfSIxFGnGFWArM")</f>
        <v>1651Q6t8B_K2B_3NiVnMG8yw2HgQ1FHfSIxFGnGFWArM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IFERROR(__xludf.DUMMYFUNCTION("""COMPUTED_VALUE"""),"1uXPSsuhLCXvRYEK8X7lvRfV-oeKYWAM5Q5YKhAktY1k")</f>
        <v>1uXPSsuhLCXvRYEK8X7lvRfV-oeKYWAM5Q5YKhAktY1k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IFERROR(__xludf.DUMMYFUNCTION("""COMPUTED_VALUE"""),"udefined")</f>
        <v>udefined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IFERROR(__xludf.DUMMYFUNCTION("""COMPUTED_VALUE"""),"1I1BEPw4MXvOJiKqrL7gZCYickKmcFPcTWcI3aTuykAM")</f>
        <v>1I1BEPw4MXvOJiKqrL7gZCYickKmcFPcTWcI3aTuykAM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IFERROR(__xludf.DUMMYFUNCTION("""COMPUTED_VALUE"""),"1-8gtRm7KdwXxY17qAqiHpJVHZ2RNImft-xqX_LrF1dc")</f>
        <v>1-8gtRm7KdwXxY17qAqiHpJVHZ2RNImft-xqX_LrF1dc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IFERROR(__xludf.DUMMYFUNCTION("""COMPUTED_VALUE"""),"19pPwXNzv9n5s3VxqHrFkTa5-sTx9CsDdmcEpXBg_h-E")</f>
        <v>19pPwXNzv9n5s3VxqHrFkTa5-sTx9CsDdmcEpXBg_h-E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IFERROR(__xludf.DUMMYFUNCTION("""COMPUTED_VALUE"""),"1CUK_ZAXi6kJC96I3_00exdznJ4Oeo2U-xkOPfNnEZ8M")</f>
        <v>1CUK_ZAXi6kJC96I3_00exdznJ4Oeo2U-xkOPfNnEZ8M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IFERROR(__xludf.DUMMYFUNCTION("""COMPUTED_VALUE"""),"1Fh4UjwxY8P8SUCZ4If7xTCvJ-n5eluHKowOpmnufius")</f>
        <v>1Fh4UjwxY8P8SUCZ4If7xTCvJ-n5eluHKowOpmnufius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IFERROR(__xludf.DUMMYFUNCTION("""COMPUTED_VALUE"""),"19CQJlgjKT5Lwtf6Dbm862WLoOU4cUuDcsuWNOK_3KM0")</f>
        <v>19CQJlgjKT5Lwtf6Dbm862WLoOU4cUuDcsuWNOK_3KM0</v>
      </c>
    </row>
    <row r="126" ht="15.75" customHeight="1">
      <c r="A126" t="str">
        <f>IFERROR(__xludf.DUMMYFUNCTION("""COMPUTED_VALUE"""),"Expnl")</f>
        <v>Expnl</v>
      </c>
      <c r="B126" t="str">
        <f>IFERROR(__xludf.DUMMYFUNCTION("""COMPUTED_VALUE"""),"UpdateExpnlConfig")</f>
        <v>UpdateExpnlConfig</v>
      </c>
      <c r="C126" t="str">
        <f>IFERROR(__xludf.DUMMYFUNCTION("""COMPUTED_VALUE"""),"1ALtyniAAP6ahYROdYlvK0FprtGuU8NbeHdecFNpHnow")</f>
        <v>1ALtyniAAP6ahYROdYlvK0FprtGuU8NbeHdecFNpHnow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IFERROR(__xludf.DUMMYFUNCTION("""COMPUTED_VALUE"""),"ViewAllocationDetailsWorkingSub")</f>
        <v>ViewAllocationDetailsWorkingSub</v>
      </c>
      <c r="C127" t="str">
        <f>IFERROR(__xludf.DUMMYFUNCTION("""COMPUTED_VALUE"""),"1hhoDSGwPzwNc_Ry_yrM3PRgBE8omobwG-cC28I4a8E4")</f>
        <v>1hhoDSGwPzwNc_Ry_yrM3PRgBE8omobwG-cC28I4a8E4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IFERROR(__xludf.DUMMYFUNCTION("""COMPUTED_VALUE"""),"SelectTradeOnOrderGrid")</f>
        <v>SelectTradeOnOrderGrid</v>
      </c>
      <c r="C128" t="str">
        <f>IFERROR(__xludf.DUMMYFUNCTION("""COMPUTED_VALUE"""),"1WzMWGdAjFGlmoqlWMu9CkwyjPz5rsP4p9iM2TrdSYAg")</f>
        <v>1WzMWGdAjFGlmoqlWMu9CkwyjPz5rsP4p9iM2TrdSYAg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IFERROR(__xludf.DUMMYFUNCTION("""COMPUTED_VALUE"""),"ShowDetailsForAlgoTradeSubOrder")</f>
        <v>ShowDetailsForAlgoTradeSubOrder</v>
      </c>
      <c r="C129" t="str">
        <f>IFERROR(__xludf.DUMMYFUNCTION("""COMPUTED_VALUE"""),"162Te7eWeyaqrl5jT2DPhynk193PZ4hkFEO4DJKzrLfY")</f>
        <v>162Te7eWeyaqrl5jT2DPhynk193PZ4hkFEO4DJKzrLfY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IFERROR(__xludf.DUMMYFUNCTION("""COMPUTED_VALUE"""),"SelectTradeOrderBlotter")</f>
        <v>SelectTradeOrderBlotter</v>
      </c>
      <c r="C130" t="str">
        <f>IFERROR(__xludf.DUMMYFUNCTION("""COMPUTED_VALUE"""),"146-eh2wv-YJ49kR7Vy_mnqUYnl9sBIflrTQV86OVEs4")</f>
        <v>146-eh2wv-YJ49kR7Vy_mnqUYnl9sBIflrTQV86OVEs4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IFERROR(__xludf.DUMMYFUNCTION("""COMPUTED_VALUE"""),"AddFillsWorkingSubs")</f>
        <v>AddFillsWorkingSubs</v>
      </c>
      <c r="C131" t="str">
        <f>IFERROR(__xludf.DUMMYFUNCTION("""COMPUTED_VALUE"""),"1mMQYKI9Rq6DghoV4QOgsQKOk1BLLKkoJGiMO3Pw1Btg")</f>
        <v>1mMQYKI9Rq6DghoV4QOgsQKOk1BLLKkoJGiMO3Pw1Btg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IFERROR(__xludf.DUMMYFUNCTION("""COMPUTED_VALUE"""),"EditAddFillsDetails")</f>
        <v>EditAddFillsDetails</v>
      </c>
      <c r="C132" t="str">
        <f>IFERROR(__xludf.DUMMYFUNCTION("""COMPUTED_VALUE"""),"1F034atMzxswvWV7pPfWfg9ZIq9rYRAjVEefWj9gTyQ0")</f>
        <v>1F034atMzxswvWV7pPfWfg9ZIq9rYRAjVEefWj9gTyQ0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IFERROR(__xludf.DUMMYFUNCTION("""COMPUTED_VALUE"""),"ShowDetailsForAlgoTradeWorkingSubs")</f>
        <v>ShowDetailsForAlgoTradeWorkingSubs</v>
      </c>
      <c r="C133" t="str">
        <f>IFERROR(__xludf.DUMMYFUNCTION("""COMPUTED_VALUE"""),"1PeaZgjNk8-BscnMVhu7EP0Uzyt8QTKcKu7GDaccohos")</f>
        <v>1PeaZgjNk8-BscnMVhu7EP0Uzyt8QTKcKu7GDaccohos</v>
      </c>
    </row>
    <row r="134" ht="15.75" customHeight="1">
      <c r="A134" t="str">
        <f>IFERROR(__xludf.DUMMYFUNCTION("""COMPUTED_VALUE"""),"Closing")</f>
        <v>Closing</v>
      </c>
      <c r="B134" t="str">
        <f>IFERROR(__xludf.DUMMYFUNCTION("""COMPUTED_VALUE"""),"SwapExpire")</f>
        <v>SwapExpire</v>
      </c>
      <c r="C134" t="str">
        <f>IFERROR(__xludf.DUMMYFUNCTION("""COMPUTED_VALUE"""),"1OH-wAFF1VTun24XmawHlbGMs8NMsZ4gsFJ8tDgp1nf0")</f>
        <v>1OH-wAFF1VTun24XmawHlbGMs8NMsZ4gsFJ8tDgp1nf0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IFERROR(__xludf.DUMMYFUNCTION("""COMPUTED_VALUE"""),"VerifyWorkingSubs")</f>
        <v>VerifyWorkingSubs</v>
      </c>
      <c r="C135" t="str">
        <f>IFERROR(__xludf.DUMMYFUNCTION("""COMPUTED_VALUE"""),"1G8HIOu40_hEJG25rfuFgS_G3uI_qoZIqaByaKZkVX_8")</f>
        <v>1G8HIOu40_hEJG25rfuFgS_G3uI_qoZIqaByaKZkVX_8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IFERROR(__xludf.DUMMYFUNCTION("""COMPUTED_VALUE"""),"TransferToUserOrder")</f>
        <v>TransferToUserOrder</v>
      </c>
      <c r="C136" t="str">
        <f>IFERROR(__xludf.DUMMYFUNCTION("""COMPUTED_VALUE"""),"1XLfQF5jY1GeCeWu1dE9N6E-lCCAKF16dNYVxt4k-9SQ")</f>
        <v>1XLfQF5jY1GeCeWu1dE9N6E-lCCAKF16dNYVxt4k-9SQ</v>
      </c>
    </row>
    <row r="137" ht="15.75" customHeight="1">
      <c r="A137" t="str">
        <f>IFERROR(__xludf.DUMMYFUNCTION("""COMPUTED_VALUE"""),"Allocation")</f>
        <v>Allocation</v>
      </c>
      <c r="B137" t="str">
        <f>IFERROR(__xludf.DUMMYFUNCTION("""COMPUTED_VALUE"""),"CloseCalculatedPreferences")</f>
        <v>CloseCalculatedPreferences</v>
      </c>
      <c r="C137" t="str">
        <f>IFERROR(__xludf.DUMMYFUNCTION("""COMPUTED_VALUE"""),"undefined")</f>
        <v>undefined</v>
      </c>
    </row>
    <row r="138" ht="15.75" customHeight="1">
      <c r="A138" t="str">
        <f>IFERROR(__xludf.DUMMYFUNCTION("""COMPUTED_VALUE"""),"TradingTicket")</f>
        <v>TradingTicket</v>
      </c>
      <c r="B138" t="str">
        <f>IFERROR(__xludf.DUMMYFUNCTION("""COMPUTED_VALUE"""),"CreateReplaceOrder")</f>
        <v>CreateReplaceOrder</v>
      </c>
      <c r="C138" t="str">
        <f>IFERROR(__xludf.DUMMYFUNCTION("""COMPUTED_VALUE"""),"1gT2hqZeR3HgAGbNHrjwN8GmMPivOMw3R0wwaTW-99qE")</f>
        <v>1gT2hqZeR3HgAGbNHrjwN8GmMPivOMw3R0wwaTW-99qE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IFERROR(__xludf.DUMMYFUNCTION("""COMPUTED_VALUE"""),"EditOrder")</f>
        <v>EditOrder</v>
      </c>
      <c r="C139" t="str">
        <f>IFERROR(__xludf.DUMMYFUNCTION("""COMPUTED_VALUE"""),"1DIHr63KqB-VKKsxO2wiLpMaw8FAcbACS3u1E1Ucz8xg")</f>
        <v>1DIHr63KqB-VKKsxO2wiLpMaw8FAcbACS3u1E1Ucz8xg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IFERROR(__xludf.DUMMYFUNCTION("""COMPUTED_VALUE"""),"SelectTradeSubOrderBlotter")</f>
        <v>SelectTradeSubOrderBlotter</v>
      </c>
      <c r="C140" t="str">
        <f>IFERROR(__xludf.DUMMYFUNCTION("""COMPUTED_VALUE"""),"12aieBZMCqRWerKf-xThc6PG3oj2Rm2oAyptjWtEwUgs")</f>
        <v>12aieBZMCqRWerKf-xThc6PG3oj2Rm2oAyptjWtEwUgs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IFERROR(__xludf.DUMMYFUNCTION("""COMPUTED_VALUE"""),"VerifyOrder")</f>
        <v>VerifyOrder</v>
      </c>
      <c r="C141" t="str">
        <f>IFERROR(__xludf.DUMMYFUNCTION("""COMPUTED_VALUE"""),"1PujhuHm_Ni9-h5rvdjQ0PChoeQgEf8ApNJCHwrLFWyo")</f>
        <v>1PujhuHm_Ni9-h5rvdjQ0PChoeQgEf8ApNJCHwrLFWyo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IFERROR(__xludf.DUMMYFUNCTION("""COMPUTED_VALUE"""),"VerifySubOrder")</f>
        <v>VerifySubOrder</v>
      </c>
      <c r="C142" t="str">
        <f>IFERROR(__xludf.DUMMYFUNCTION("""COMPUTED_VALUE"""),"1LCM4yYwJP8UcMl_W1k3gqYt4JkfaRT3lrxr1JZGE0dM")</f>
        <v>1LCM4yYwJP8UcMl_W1k3gqYt4JkfaRT3lrxr1JZGE0dM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IFERROR(__xludf.DUMMYFUNCTION("""COMPUTED_VALUE"""),"RemoveSelectedOrders")</f>
        <v>RemoveSelectedOrders</v>
      </c>
      <c r="C143" t="str">
        <f>IFERROR(__xludf.DUMMYFUNCTION("""COMPUTED_VALUE"""),"1RWF2vERO_DfivxtOLg-qwAs6YxUWhjTevj3Q2ApUh5U")</f>
        <v>1RWF2vERO_DfivxtOLg-qwAs6YxUWhjTevj3Q2ApUh5U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IFERROR(__xludf.DUMMYFUNCTION("""COMPUTED_VALUE"""),"CancelAllSelectedSubs")</f>
        <v>CancelAllSelectedSubs</v>
      </c>
      <c r="C144" t="str">
        <f>IFERROR(__xludf.DUMMYFUNCTION("""COMPUTED_VALUE"""),"1ttF9_OgGg0I0s5BgdggXAjal4yM9TMHLF5f7X_OjoEQ")</f>
        <v>1ttF9_OgGg0I0s5BgdggXAjal4yM9TMHLF5f7X_OjoEQ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IFERROR(__xludf.DUMMYFUNCTION("""COMPUTED_VALUE"""),"MultiTradingTicket")</f>
        <v>MultiTradingTicket</v>
      </c>
      <c r="C145" t="str">
        <f>IFERROR(__xludf.DUMMYFUNCTION("""COMPUTED_VALUE"""),"16ipwj8pbJt24RtrNN8bsR1AZllKtUVKCGm7OpBdellA")</f>
        <v>16ipwj8pbJt24RtrNN8bsR1AZllKtUVKCGm7OpBdellA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IFERROR(__xludf.DUMMYFUNCTION("""COMPUTED_VALUE"""),"AuditTrailOrderBlotter")</f>
        <v>AuditTrailOrderBlotter</v>
      </c>
      <c r="C146" t="str">
        <f>IFERROR(__xludf.DUMMYFUNCTION("""COMPUTED_VALUE"""),"1REdqPHZcn4KjjichOPdYyfZ9PNOGx-yj5JIu39q3F0M")</f>
        <v>1REdqPHZcn4KjjichOPdYyfZ9PNOGx-yj5JIu39q3F0M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IFERROR(__xludf.DUMMYFUNCTION("""COMPUTED_VALUE"""),"TradeNewSubOrder")</f>
        <v>TradeNewSubOrder</v>
      </c>
      <c r="C147" t="str">
        <f>IFERROR(__xludf.DUMMYFUNCTION("""COMPUTED_VALUE"""),"10sXWgGgwNLwtfX1Izn43lW5IWP07nYKkOgaq4wnul1o")</f>
        <v>10sXWgGgwNLwtfX1Izn43lW5IWP07nYKkOgaq4wnul1o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IFERROR(__xludf.DUMMYFUNCTION("""COMPUTED_VALUE"""),"RemoveStageOrder")</f>
        <v>RemoveStageOrder</v>
      </c>
      <c r="C148" t="str">
        <f>IFERROR(__xludf.DUMMYFUNCTION("""COMPUTED_VALUE"""),"1C1s1dZvfkap4gEVdqoyWEefNpGlTxSjB80YjX3dhMEY")</f>
        <v>1C1s1dZvfkap4gEVdqoyWEefNpGlTxSjB80YjX3dhMEY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IFERROR(__xludf.DUMMYFUNCTION("""COMPUTED_VALUE"""),"SetGeneralPreference")</f>
        <v>SetGeneralPreference</v>
      </c>
      <c r="C149" t="str">
        <f>IFERROR(__xludf.DUMMYFUNCTION("""COMPUTED_VALUE"""),"1OPvnSFT_UcRWLGqoiNFpgkKfrE_GpmFrGf5oa5NFQbI")</f>
        <v>1OPvnSFT_UcRWLGqoiNFpgkKfrE_GpmFrGf5oa5NFQbI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IFERROR(__xludf.DUMMYFUNCTION("""COMPUTED_VALUE"""),"1qnQIRYilqvNrQbduql5shmM4EKluNEJzN-F5EGvjhzc")</f>
        <v>1qnQIRYilqvNrQbduql5shmM4EKluNEJzN-F5EGvjhzc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IFERROR(__xludf.DUMMYFUNCTION("""COMPUTED_VALUE"""),"1xRsjH1dcas95tYR5xbXxJWOuz4qSQltdNVA7-kAD9_U")</f>
        <v>1xRsjH1dcas95tYR5xbXxJWOuz4qSQltdNVA7-kAD9_U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IFERROR(__xludf.DUMMYFUNCTION("""COMPUTED_VALUE"""),"1dtaca-dYNMx68u2lPJtT-3SViaJ76nx1xP860PAe9O0")</f>
        <v>1dtaca-dYNMx68u2lPJtT-3SViaJ76nx1xP860PAe9O0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IFERROR(__xludf.DUMMYFUNCTION("""COMPUTED_VALUE"""),"1LqTlqz6ZfT46HKwdIZ9c8a7aoq67zGcpdX6bfGQABC8")</f>
        <v>1LqTlqz6ZfT46HKwdIZ9c8a7aoq67zGcpdX6bfGQABC8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IFERROR(__xludf.DUMMYFUNCTION("""COMPUTED_VALUE"""),"17NCXtORBQGdjGYNhahTMN3GSh7mEEiivMzuhqXyJikc")</f>
        <v>17NCXtORBQGdjGYNhahTMN3GSh7mEEiivMzuhqXyJikc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IFERROR(__xludf.DUMMYFUNCTION("""COMPUTED_VALUE"""),"1aymZC-yz-Pr8sJFx-ScFtHoADtIbKIjEJUYy_cNJvT8")</f>
        <v>1aymZC-yz-Pr8sJFx-ScFtHoADtIbKIjEJUYy_cNJvT8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IFERROR(__xludf.DUMMYFUNCTION("""COMPUTED_VALUE"""),"1xZZW2LMilqZbN_SkzEV1JqOH-IFtsJukrfBTBGYTcF4")</f>
        <v>1xZZW2LMilqZbN_SkzEV1JqOH-IFtsJukrfBTBGYTcF4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IFERROR(__xludf.DUMMYFUNCTION("""COMPUTED_VALUE"""),"1VU_8LrBFmn3xYuy2dig4kP2zAm2ach8NXEt3fHHR9UY")</f>
        <v>1VU_8LrBFmn3xYuy2dig4kP2zAm2ach8NXEt3fHHR9UY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IFERROR(__xludf.DUMMYFUNCTION("""COMPUTED_VALUE"""),"1p1Ooj_bnGAhvfN4FINxkIOeO3DupwY8P6ELvUAHEriE")</f>
        <v>1p1Ooj_bnGAhvfN4FINxkIOeO3DupwY8P6ELvUAHEriE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IFERROR(__xludf.DUMMYFUNCTION("""COMPUTED_VALUE"""),"1spreJhh5qxmL8zMnI0JR2xnqRsk3_D2LLfmQUs6czpE")</f>
        <v>1spreJhh5qxmL8zMnI0JR2xnqRsk3_D2LLfmQUs6czpE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IFERROR(__xludf.DUMMYFUNCTION("""COMPUTED_VALUE"""),"1tkOwJ5iAMKkvaeCTlOGhcNpoFYbV8oVuu2VWMSIlHcg")</f>
        <v>1tkOwJ5iAMKkvaeCTlOGhcNpoFYbV8oVuu2VWMSIlHcg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IFERROR(__xludf.DUMMYFUNCTION("""COMPUTED_VALUE"""),"1Y0k7om8CfyJDAVaQny6RJM2FOaczI_9_CeMmKLHXEPs")</f>
        <v>1Y0k7om8CfyJDAVaQny6RJM2FOaczI_9_CeMmKLHXEPs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IFERROR(__xludf.DUMMYFUNCTION("""COMPUTED_VALUE"""),"1Zf1vOB3JXSBJLqOKJFUHHcDurDxRn5wJ-0Dscz38M_0")</f>
        <v>1Zf1vOB3JXSBJLqOKJFUHHcDurDxRn5wJ-0Dscz38M_0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IFERROR(__xludf.DUMMYFUNCTION("""COMPUTED_VALUE"""),"1cE4Njh1GV5ltDh3an8b9LC6j3j2CFoqyxA71Ppa6r6Q")</f>
        <v>1cE4Njh1GV5ltDh3an8b9LC6j3j2CFoqyxA71Ppa6r6Q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IFERROR(__xludf.DUMMYFUNCTION("""COMPUTED_VALUE"""),"1jzfiPUeEshd-5NkNUXsy-7PEcse4TglcSbsrp_Dc8HU")</f>
        <v>1jzfiPUeEshd-5NkNUXsy-7PEcse4TglcSbsrp_Dc8HU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IFERROR(__xludf.DUMMYFUNCTION("""COMPUTED_VALUE"""),"1euE_u3GY1blYYXNf6RKZVwdD8spyRt853jsUlIwTOw0")</f>
        <v>1euE_u3GY1blYYXNf6RKZVwdD8spyRt853jsUlIwTOw0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IFERROR(__xludf.DUMMYFUNCTION("""COMPUTED_VALUE"""),"10xkvvILLWxjyviOPnf_WK9ROWAqVGeSQkCOEpeJmvUg")</f>
        <v>10xkvvILLWxjyviOPnf_WK9ROWAqVGeSQkCOEpeJmvUg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IFERROR(__xludf.DUMMYFUNCTION("""COMPUTED_VALUE"""),"1P5R2FYDlwHaxxt12yp5VDCc9rtTrQYox51Q8B9lAEwE")</f>
        <v>1P5R2FYDlwHaxxt12yp5VDCc9rtTrQYox51Q8B9lAEwE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IFERROR(__xludf.DUMMYFUNCTION("""COMPUTED_VALUE"""),"1dWiU5yiJ45sV3M7GzO2U5fuFeWx4uZYWFc3g69wicCM")</f>
        <v>1dWiU5yiJ45sV3M7GzO2U5fuFeWx4uZYWFc3g69wicCM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IFERROR(__xludf.DUMMYFUNCTION("""COMPUTED_VALUE"""),"10Fv19cOj3bnosZSwoQYrQSqzJX3hkCYv9DMeIiNaNJU")</f>
        <v>10Fv19cOj3bnosZSwoQYrQSqzJX3hkCYv9DMeIiNaNJU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IFERROR(__xludf.DUMMYFUNCTION("""COMPUTED_VALUE"""),"15-OVgVqDG2Em79pxq7YJDAL6-d6MUtFGTzENqQCiVMc")</f>
        <v>15-OVgVqDG2Em79pxq7YJDAL6-d6MUtFGTzENqQCiVMc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IFERROR(__xludf.DUMMYFUNCTION("""COMPUTED_VALUE"""),"1ck3szsOznKcX8uczcNnuD3FUMd9fJohIehaAkka70h8")</f>
        <v>1ck3szsOznKcX8uczcNnuD3FUMd9fJohIehaAkka70h8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IFERROR(__xludf.DUMMYFUNCTION("""COMPUTED_VALUE"""),"1MT54QWk68ppoZlAmPewiWRHmLvfcjAI7PC5aw2W3UVo")</f>
        <v>1MT54QWk68ppoZlAmPewiWRHmLvfcjAI7PC5aw2W3UVo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IFERROR(__xludf.DUMMYFUNCTION("""COMPUTED_VALUE"""),"1Lkr5MAwp3hErcyNYcw1_ShXvs11WPRHNEssVy9zfi_w")</f>
        <v>1Lkr5MAwp3hErcyNYcw1_ShXvs11WPRHNEssVy9zfi_w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IFERROR(__xludf.DUMMYFUNCTION("""COMPUTED_VALUE"""),"1gWsZu6P8fdTeLcSwKqEpKs23oukXfrI2NnDFhQJ5SL8")</f>
        <v>1gWsZu6P8fdTeLcSwKqEpKs23oukXfrI2NnDFhQJ5SL8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IFERROR(__xludf.DUMMYFUNCTION("""COMPUTED_VALUE"""),"1iCsiy6EsAlpJ4AhDasW2XCUMA8sqkhY1YKL6VFO-mik")</f>
        <v>1iCsiy6EsAlpJ4AhDasW2XCUMA8sqkhY1YKL6VFO-mik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IFERROR(__xludf.DUMMYFUNCTION("""COMPUTED_VALUE"""),"1p5zM_6V1jp6W72AjDncDlcjNCGEydWFHE9Q6C7_UNJs")</f>
        <v>1p5zM_6V1jp6W72AjDncDlcjNCGEydWFHE9Q6C7_UNJs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IFERROR(__xludf.DUMMYFUNCTION("""COMPUTED_VALUE"""),"1Fj5RI9KJs9fyvxlJ-x5CLX7Me-Y8JRBPLaKMbkGbJP4")</f>
        <v>1Fj5RI9KJs9fyvxlJ-x5CLX7Me-Y8JRBPLaKMbkGbJP4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IFERROR(__xludf.DUMMYFUNCTION("""COMPUTED_VALUE"""),"1UJAijL5ov_iwtuasZZT7bxW5X_n9tcQvSAdHL9noFr4")</f>
        <v>1UJAijL5ov_iwtuasZZT7bxW5X_n9tcQvSAdHL9noFr4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IFERROR(__xludf.DUMMYFUNCTION("""COMPUTED_VALUE"""),"1n9BXSuRyrVvzLYXquxBPqlqIEEVaTzV-_x_w3e-i5Ls")</f>
        <v>1n9BXSuRyrVvzLYXquxBPqlqIEEVaTzV-_x_w3e-i5Ls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IFERROR(__xludf.DUMMYFUNCTION("""COMPUTED_VALUE"""),"1YeFHGDFK4nbHi9Rs47h9AAx2lalv9HhsD69zV3csGy8")</f>
        <v>1YeFHGDFK4nbHi9Rs47h9AAx2lalv9HhsD69zV3csGy8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IFERROR(__xludf.DUMMYFUNCTION("""COMPUTED_VALUE"""),"1MiGrZTSXutmd7cujyYNd0UqnGibLOPyRrnLMgP4Sr6o")</f>
        <v>1MiGrZTSXutmd7cujyYNd0UqnGibLOPyRrnLMgP4Sr6o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IFERROR(__xludf.DUMMYFUNCTION("""COMPUTED_VALUE"""),"13YvpTYbNmo3NThVihGZE2Kw0PUae2MHq-qjJOu3wxvU")</f>
        <v>13YvpTYbNmo3NThVihGZE2Kw0PUae2MHq-qjJOu3wxvU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IFERROR(__xludf.DUMMYFUNCTION("""COMPUTED_VALUE"""),"1KKxuPcmDmDXhFUPaCFFbPF6RwxycCavtqm7S16KEg5Y")</f>
        <v>1KKxuPcmDmDXhFUPaCFFbPF6RwxycCavtqm7S16KEg5Y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IFERROR(__xludf.DUMMYFUNCTION("""COMPUTED_VALUE"""),"17Zycs069RWng1ieYt4n6O_NZ6ceVd43tU8G9g0-fN8I")</f>
        <v>17Zycs069RWng1ieYt4n6O_NZ6ceVd43tU8G9g0-fN8I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IFERROR(__xludf.DUMMYFUNCTION("""COMPUTED_VALUE"""),"1j0MZKaTBHe2pQDFZ05nHEEGvfvlI52Alywtq5yhH70s")</f>
        <v>1j0MZKaTBHe2pQDFZ05nHEEGvfvlI52Alywtq5yhH70s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IFERROR(__xludf.DUMMYFUNCTION("""COMPUTED_VALUE"""),"1oKO0dtODYJio_gXq_EzmSE6Q2rkYTxWRmQ7IN0CHRa4")</f>
        <v>1oKO0dtODYJio_gXq_EzmSE6Q2rkYTxWRmQ7IN0CHRa4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IFERROR(__xludf.DUMMYFUNCTION("""COMPUTED_VALUE"""),"18W3DK31N2RdU0CYRRdvWw5nNRe3GaSCO0hU0sxw-H4U")</f>
        <v>18W3DK31N2RdU0CYRRdvWw5nNRe3GaSCO0hU0sxw-H4U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IFERROR(__xludf.DUMMYFUNCTION("""COMPUTED_VALUE"""),"175lBA_MAWFmudJaoBeId0gWkm7igxqbkXeb1PtlSDoA")</f>
        <v>175lBA_MAWFmudJaoBeId0gWkm7igxqbkXeb1PtlSDoA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IFERROR(__xludf.DUMMYFUNCTION("""COMPUTED_VALUE"""),"1sQKTr-JDOFjue2JmgR8y8eR2IEjTDxZjM1tRp8rfVZ4")</f>
        <v>1sQKTr-JDOFjue2JmgR8y8eR2IEjTDxZjM1tRp8rfVZ4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IFERROR(__xludf.DUMMYFUNCTION("""COMPUTED_VALUE"""),"18LZI70z0zRkOHzZ-aFNo6pUkePW7ThyhbXRWqCIG-N8")</f>
        <v>18LZI70z0zRkOHzZ-aFNo6pUkePW7ThyhbXRWqCIG-N8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IFERROR(__xludf.DUMMYFUNCTION("""COMPUTED_VALUE"""),"1gQFPTtbtlQbHtL6Y-Dbb7k0ZWw6IOVgkyG0cQHk3P1k")</f>
        <v>1gQFPTtbtlQbHtL6Y-Dbb7k0ZWw6IOVgkyG0cQHk3P1k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IFERROR(__xludf.DUMMYFUNCTION("""COMPUTED_VALUE"""),"1P2ZvDCpcJTPA7yutZIal5f3PGC6e6_xYvPjsIIfGwno")</f>
        <v>1P2ZvDCpcJTPA7yutZIal5f3PGC6e6_xYvPjsIIfGwno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IFERROR(__xludf.DUMMYFUNCTION("""COMPUTED_VALUE"""),"1DVVPwFtUbivhOmLl_-Ke87upmLsIjYCmPCpyqQQL7GE")</f>
        <v>1DVVPwFtUbivhOmLl_-Ke87upmLsIjYCmPCpyqQQL7GE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IFERROR(__xludf.DUMMYFUNCTION("""COMPUTED_VALUE"""),"14uwsyYP_hNAmpjAa9P4MPLYLein3u1E10CkcVdFlJ-s")</f>
        <v>14uwsyYP_hNAmpjAa9P4MPLYLein3u1E10CkcVdFlJ-s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IFERROR(__xludf.DUMMYFUNCTION("""COMPUTED_VALUE"""),"13QtG3gZH45PkqubENv0lSqP68CbF05IB4dM27NtKl3o")</f>
        <v>13QtG3gZH45PkqubENv0lSqP68CbF05IB4dM27NtKl3o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IFERROR(__xludf.DUMMYFUNCTION("""COMPUTED_VALUE"""),"18xh-lBAS89YQ--EIjTatfp-D1Kwq9U4UxJNZyYDZGtc")</f>
        <v>18xh-lBAS89YQ--EIjTatfp-D1Kwq9U4UxJNZyYDZGtc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IFERROR(__xludf.DUMMYFUNCTION("""COMPUTED_VALUE"""),"1U4wXJzuxI444D3KBBkErR3jujPNFIeOXqzTcjs7uFk4")</f>
        <v>1U4wXJzuxI444D3KBBkErR3jujPNFIeOXqzTcjs7uFk4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IFERROR(__xludf.DUMMYFUNCTION("""COMPUTED_VALUE"""),"1EvVjoTD032TySfzJXw9gVNA5t-mn99j3tqeMXnXxoLo")</f>
        <v>1EvVjoTD032TySfzJXw9gVNA5t-mn99j3tqeMXnXxoLo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IFERROR(__xludf.DUMMYFUNCTION("""COMPUTED_VALUE"""),"1uo0qBFSjypCkvQFFO_xyPzzor9bEFiGOx2kCB7eZtc0")</f>
        <v>1uo0qBFSjypCkvQFFO_xyPzzor9bEFiGOx2kCB7eZtc0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IFERROR(__xludf.DUMMYFUNCTION("""COMPUTED_VALUE"""),"15lt-nTUfSNjgvlEflxa4N8HdBSjUq2aSfcorYolBUAs")</f>
        <v>15lt-nTUfSNjgvlEflxa4N8HdBSjUq2aSfcorYolBUAs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IFERROR(__xludf.DUMMYFUNCTION("""COMPUTED_VALUE"""),"1DH8m8i4Qq1FRMeP1xeY5NPN2003TNy7bMleHo7w9vpI")</f>
        <v>1DH8m8i4Qq1FRMeP1xeY5NPN2003TNy7bMleHo7w9vpI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IFERROR(__xludf.DUMMYFUNCTION("""COMPUTED_VALUE"""),"1bYjRsTDybpFVpmrR8hrMTWz443Y9xS0smrogdLmz8jU")</f>
        <v>1bYjRsTDybpFVpmrR8hrMTWz443Y9xS0smrogdLmz8jU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IFERROR(__xludf.DUMMYFUNCTION("""COMPUTED_VALUE"""),"1Aog2FKNXledg-NmWJRe94eWJeWxyZa9CMG3_TwF2hSA")</f>
        <v>1Aog2FKNXledg-NmWJRe94eWJeWxyZa9CMG3_TwF2hSA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IFERROR(__xludf.DUMMYFUNCTION("""COMPUTED_VALUE"""),"1Q75ZXDUBIQ-EYCXJzcayoOZnyEvR7Te7R6YiiBrn4Fw")</f>
        <v>1Q75ZXDUBIQ-EYCXJzcayoOZnyEvR7Te7R6YiiBrn4Fw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IFERROR(__xludf.DUMMYFUNCTION("""COMPUTED_VALUE"""),"17VYB1TUXW6ptwR8v_a2tyrxMyJYSdLT3E20OaTqLis4")</f>
        <v>17VYB1TUXW6ptwR8v_a2tyrxMyJYSdLT3E20OaTqLis4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IFERROR(__xludf.DUMMYFUNCTION("""COMPUTED_VALUE"""),"1zuz4WFM4veTzlIk0hPFaED7NShVVtV3M3H96aH707tk")</f>
        <v>1zuz4WFM4veTzlIk0hPFaED7NShVVtV3M3H96aH707tk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IFERROR(__xludf.DUMMYFUNCTION("""COMPUTED_VALUE"""),"1_GQFckcT00jBYdR7a8rSRFHMJjWiv0KEDGAeJ-jcKKE")</f>
        <v>1_GQFckcT00jBYdR7a8rSRFHMJjWiv0KEDGAeJ-jcKKE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IFERROR(__xludf.DUMMYFUNCTION("""COMPUTED_VALUE"""),"1KXa8gITpSjwlX1JvvOAW0jDfGIy5UnQx3sJN6gJrcBg")</f>
        <v>1KXa8gITpSjwlX1JvvOAW0jDfGIy5UnQx3sJN6gJrcBg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IFERROR(__xludf.DUMMYFUNCTION("""COMPUTED_VALUE"""),"1jB8z3I5yMthH4XtX4HbKhklvniCAeFbyrWTpzZ9XKvc")</f>
        <v>1jB8z3I5yMthH4XtX4HbKhklvniCAeFbyrWTpzZ9XKvc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IFERROR(__xludf.DUMMYFUNCTION("""COMPUTED_VALUE"""),"1fq83kzKCDhFT0Fi9dgsfQKMuNpAc3v4gV1Qbsldz3h8")</f>
        <v>1fq83kzKCDhFT0Fi9dgsfQKMuNpAc3v4gV1Qbsldz3h8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IFERROR(__xludf.DUMMYFUNCTION("""COMPUTED_VALUE"""),"1JYODO_uKPLBSeaxw5rmQVcUuWB2imU7o869smQvOuxU")</f>
        <v>1JYODO_uKPLBSeaxw5rmQVcUuWB2imU7o869smQvOuxU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IFERROR(__xludf.DUMMYFUNCTION("""COMPUTED_VALUE"""),"1weOZeHVOJsLyIZM3dZs2ACjYrRO49tWQkWIQsAU8fTE")</f>
        <v>1weOZeHVOJsLyIZM3dZs2ACjYrRO49tWQkWIQsAU8fTE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IFERROR(__xludf.DUMMYFUNCTION("""COMPUTED_VALUE"""),"1ZESR_kMepfUvTmpE2qynJgfXoxake4l0VcC4pNO8LzA")</f>
        <v>1ZESR_kMepfUvTmpE2qynJgfXoxake4l0VcC4pNO8LzA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IFERROR(__xludf.DUMMYFUNCTION("""COMPUTED_VALUE"""),"1r0PvMKr873S1yfp9cHKySnwrldippMPMVoZdf43rqK8")</f>
        <v>1r0PvMKr873S1yfp9cHKySnwrldippMPMVoZdf43rqK8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IFERROR(__xludf.DUMMYFUNCTION("""COMPUTED_VALUE"""),"1SnAbZP1_-LHY3PpvSSjTJMIbe_8gsQXRLKEyiUygPg4")</f>
        <v>1SnAbZP1_-LHY3PpvSSjTJMIbe_8gsQXRLKEyiUygPg4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IFERROR(__xludf.DUMMYFUNCTION("""COMPUTED_VALUE"""),"1fXCOGRVd7ctz9NiTkQBLLoiX3nSlZKgoic2xkW0v684")</f>
        <v>1fXCOGRVd7ctz9NiTkQBLLoiX3nSlZKgoic2xkW0v684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IFERROR(__xludf.DUMMYFUNCTION("""COMPUTED_VALUE"""),"1V4YXKd8h8921rDajwTrmF9IS6TyYiIfoXghpclUszxk")</f>
        <v>1V4YXKd8h8921rDajwTrmF9IS6TyYiIfoXghpclUszxk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IFERROR(__xludf.DUMMYFUNCTION("""COMPUTED_VALUE"""),"11Fj2b-qpUUOR9FXVXVEd8W6NpSSLN1xH3ue_KLVLUXE")</f>
        <v>11Fj2b-qpUUOR9FXVXVEd8W6NpSSLN1xH3ue_KLVLUXE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IFERROR(__xludf.DUMMYFUNCTION("""COMPUTED_VALUE"""),"1fWFBM-fAcfCHGLGmZ05e7b-33SZ0WHV69e-2UjgnGew")</f>
        <v>1fWFBM-fAcfCHGLGmZ05e7b-33SZ0WHV69e-2UjgnGew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IFERROR(__xludf.DUMMYFUNCTION("""COMPUTED_VALUE"""),"1ukV644mYAZQ5cCmM_xHU1TlCSxw7YhF_op2JRldIO1Y")</f>
        <v>1ukV644mYAZQ5cCmM_xHU1TlCSxw7YhF_op2JRldIO1Y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IFERROR(__xludf.DUMMYFUNCTION("""COMPUTED_VALUE"""),"1ejWWHYHX79GNeqnpEIv1pY3fHEtH3w2SxCklunau7pU")</f>
        <v>1ejWWHYHX79GNeqnpEIv1pY3fHEtH3w2SxCklunau7pU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IFERROR(__xludf.DUMMYFUNCTION("""COMPUTED_VALUE"""),"1C9nr9UaSw19k3RlZOh6C32ihCaOsw9e8EzB5exzVqdI")</f>
        <v>1C9nr9UaSw19k3RlZOh6C32ihCaOsw9e8EzB5exzVqdI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IFERROR(__xludf.DUMMYFUNCTION("""COMPUTED_VALUE"""),"1zpJ5COKg0t3DKjAupe3b9VWJWwFOshN0jcUXXcmwOCY")</f>
        <v>1zpJ5COKg0t3DKjAupe3b9VWJWwFOshN0jcUXXcmwOCY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IFERROR(__xludf.DUMMYFUNCTION("""COMPUTED_VALUE"""),"1BRf1AxKf-ZXo6cETDcf1qs9hsphlkZWn3nC_UQ8uulE")</f>
        <v>1BRf1AxKf-ZXo6cETDcf1qs9hsphlkZWn3nC_UQ8uulE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IFERROR(__xludf.DUMMYFUNCTION("""COMPUTED_VALUE"""),"1Z1Ooq9Bs8nqmf2xqnglXRlccDJnbGAIOB06M9ekj2rs")</f>
        <v>1Z1Ooq9Bs8nqmf2xqnglXRlccDJnbGAIOB06M9ekj2rs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IFERROR(__xludf.DUMMYFUNCTION("""COMPUTED_VALUE"""),"1g2BlDzMuPLqY5xVnCrcfbtfe9kWQV3CgE6JfSKlxSzg")</f>
        <v>1g2BlDzMuPLqY5xVnCrcfbtfe9kWQV3CgE6JfSKlxSzg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IFERROR(__xludf.DUMMYFUNCTION("""COMPUTED_VALUE"""),"1desQWnGI98GIc1vxX0YFAvK6eM6Up2OfO7mDBlu8DyE")</f>
        <v>1desQWnGI98GIc1vxX0YFAvK6eM6Up2OfO7mDBlu8DyE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IFERROR(__xludf.DUMMYFUNCTION("""COMPUTED_VALUE"""),"1VWFe_7Bzpo4sOh0lngtoR43fbAhailkC7sT-1MShuLo")</f>
        <v>1VWFe_7Bzpo4sOh0lngtoR43fbAhailkC7sT-1MShuLo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IFERROR(__xludf.DUMMYFUNCTION("""COMPUTED_VALUE"""),"1DQNjGNN_8R1Id_RNxpiXZmk1V3qnXnTg-7JWhtLHIOM")</f>
        <v>1DQNjGNN_8R1Id_RNxpiXZmk1V3qnXnTg-7JWhtLHIOM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IFERROR(__xludf.DUMMYFUNCTION("""COMPUTED_VALUE"""),"1UCVBiqZ-hQHZCTT2TvmNRmPPUYAp6soMftJvf3IJb-U")</f>
        <v>1UCVBiqZ-hQHZCTT2TvmNRmPPUYAp6soMftJvf3IJb-U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IFERROR(__xludf.DUMMYFUNCTION("""COMPUTED_VALUE"""),"1Wys20XtOSKAzbhZ6D_ru6oNOCYqcpyBFkLMGVYyy2WM")</f>
        <v>1Wys20XtOSKAzbhZ6D_ru6oNOCYqcpyBFkLMGVYyy2WM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IFERROR(__xludf.DUMMYFUNCTION("""COMPUTED_VALUE"""),"1OH-wAFF1VTun24XmawHlbGMs8NMsZ4gsFJ8tDgp1nf0")</f>
        <v>1OH-wAFF1VTun24XmawHlbGMs8NMsZ4gsFJ8tDgp1nf0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IFERROR(__xludf.DUMMYFUNCTION("""COMPUTED_VALUE"""),"1u62Kj38ddSce6mjA7g4i_1lPA5fUScW985zdMGo3BYA")</f>
        <v>1u62Kj38ddSce6mjA7g4i_1lPA5fUScW985zdMGo3BYA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IFERROR(__xludf.DUMMYFUNCTION("""COMPUTED_VALUE"""),"1G__9tJvjvOtaGer3XqVAzGCQYG07hudOPpD60H34Zy8")</f>
        <v>1G__9tJvjvOtaGer3XqVAzGCQYG07hudOPpD60H34Zy8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IFERROR(__xludf.DUMMYFUNCTION("""COMPUTED_VALUE"""),"1-9bwCgsl5N95i-RvKiMEwupZhEFD-V_V4UhaUwW08HM")</f>
        <v>1-9bwCgsl5N95i-RvKiMEwupZhEFD-V_V4UhaUwW08HM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IFERROR(__xludf.DUMMYFUNCTION("""COMPUTED_VALUE"""),"1VvSSs3QJ14ONF-H8UJY0IQjVFEXjPDyORsnnG-MIOVQ")</f>
        <v>1VvSSs3QJ14ONF-H8UJY0IQjVFEXjPDyORsnnG-MIOVQ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IFERROR(__xludf.DUMMYFUNCTION("""COMPUTED_VALUE"""),"1VpvDYDtLzzQKU6zRrnt43oSdSe1jDGhYuKyFkWXgl0M")</f>
        <v>1VpvDYDtLzzQKU6zRrnt43oSdSe1jDGhYuKyFkWXgl0M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IFERROR(__xludf.DUMMYFUNCTION("""COMPUTED_VALUE"""),"1xwDU0wEY5ygG38Ymyteoy-b7VhKEgDgPur5SneK5DOc")</f>
        <v>1xwDU0wEY5ygG38Ymyteoy-b7VhKEgDgPur5SneK5DOc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IFERROR(__xludf.DUMMYFUNCTION("""COMPUTED_VALUE"""),"1rhbgybK8UToNxMXDOZxwk3lnAdVPNaXMj69toF42Xwo")</f>
        <v>1rhbgybK8UToNxMXDOZxwk3lnAdVPNaXMj69toF42Xwo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IFERROR(__xludf.DUMMYFUNCTION("""COMPUTED_VALUE"""),"11yE3pKzcv-wtNP-iR3X7bRfy6MLIOsu-qcNla8FkfvE")</f>
        <v>11yE3pKzcv-wtNP-iR3X7bRfy6MLIOsu-qcNla8FkfvE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IFERROR(__xludf.DUMMYFUNCTION("""COMPUTED_VALUE"""),"1RGxd6BFK5bdonfIWcSSPdrNFPAQirhzZqSCkmKziVHc")</f>
        <v>1RGxd6BFK5bdonfIWcSSPdrNFPAQirhzZqSCkmKziVHc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IFERROR(__xludf.DUMMYFUNCTION("""COMPUTED_VALUE"""),"185FY-wExfE4jMT_4yTVjOUr49VHzbH6ICdX9HndSaTM")</f>
        <v>185FY-wExfE4jMT_4yTVjOUr49VHzbH6ICdX9HndSaTM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IFERROR(__xludf.DUMMYFUNCTION("""COMPUTED_VALUE"""),"1JQ1sH3BSkeS63QmSdGmR2uX_wHxLSUJdkAtqU0BIVl4")</f>
        <v>1JQ1sH3BSkeS63QmSdGmR2uX_wHxLSUJdkAtqU0BIVl4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IFERROR(__xludf.DUMMYFUNCTION("""COMPUTED_VALUE"""),"1e5P2Fpj6vybIn_paB2b7Fy1UWvvzM_QLBcFFEnG_Sog")</f>
        <v>1e5P2Fpj6vybIn_paB2b7Fy1UWvvzM_QLBcFFEnG_Sog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IFERROR(__xludf.DUMMYFUNCTION("""COMPUTED_VALUE"""),"1Hl-bDiK5QR2zP8Xl8o2qKBLjoh6RGDS1UZGDYAqP4oQ")</f>
        <v>1Hl-bDiK5QR2zP8Xl8o2qKBLjoh6RGDS1UZGDYAqP4oQ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IFERROR(__xludf.DUMMYFUNCTION("""COMPUTED_VALUE"""),"17wP7K35BVS-mcToVvypH9kFnKwLPjhX5cgZessf5L3U")</f>
        <v>17wP7K35BVS-mcToVvypH9kFnKwLPjhX5cgZessf5L3U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IFERROR(__xludf.DUMMYFUNCTION("""COMPUTED_VALUE"""),"1-ih35UufsuBdP0hoxZ-4l-12Rq-zYst8RspaOVUizJc")</f>
        <v>1-ih35UufsuBdP0hoxZ-4l-12Rq-zYst8RspaOVUizJc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IFERROR(__xludf.DUMMYFUNCTION("""COMPUTED_VALUE"""),"1xyZdNq5NSQNp450_Gc1FWk1hVNNJBJwHxsqN70MtZLU")</f>
        <v>1xyZdNq5NSQNp450_Gc1FWk1hVNNJBJwHxsqN70MtZLU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IFERROR(__xludf.DUMMYFUNCTION("""COMPUTED_VALUE"""),"1EvfgveHhX8XFzsj7Fy7Yi6C9pY-aewJRJyPh3yuRejY")</f>
        <v>1EvfgveHhX8XFzsj7Fy7Yi6C9pY-aewJRJyPh3yuRejY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IFERROR(__xludf.DUMMYFUNCTION("""COMPUTED_VALUE"""),"1k7xJ6kz4kMqQWK18SURBsIq7RJIBYbtYRz2nKI4obIs")</f>
        <v>1k7xJ6kz4kMqQWK18SURBsIq7RJIBYbtYRz2nKI4obIs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IFERROR(__xludf.DUMMYFUNCTION("""COMPUTED_VALUE"""),"1h4gMGiy1GVAsiDN_3s7laxEQ8QIiMM11jjlepyiWEFw")</f>
        <v>1h4gMGiy1GVAsiDN_3s7laxEQ8QIiMM11jjlepyiWEFw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IFERROR(__xludf.DUMMYFUNCTION("""COMPUTED_VALUE"""),"1555eBTfW3pZgygX6zpaPQiMcmfrnNsubsj7N0H4mAzE")</f>
        <v>1555eBTfW3pZgygX6zpaPQiMcmfrnNsubsj7N0H4mAzE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IFERROR(__xludf.DUMMYFUNCTION("""COMPUTED_VALUE"""),"13SBB21Z9FVCuAXFJukuoDKtIn_jkAQg7H8URkrwJeeI")</f>
        <v>13SBB21Z9FVCuAXFJukuoDKtIn_jkAQg7H8URkrwJeeI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IFERROR(__xludf.DUMMYFUNCTION("""COMPUTED_VALUE"""),"1QYD14pNRFunvjaSxygVhv7DYj8TvS2fjXDJc9Zg9Mw8")</f>
        <v>1QYD14pNRFunvjaSxygVhv7DYj8TvS2fjXDJc9Zg9Mw8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IFERROR(__xludf.DUMMYFUNCTION("""COMPUTED_VALUE"""),"1b8x6RjtQjtXxwQEPvkKbxuNrqT2um8DTratJi6LLMkE")</f>
        <v>1b8x6RjtQjtXxwQEPvkKbxuNrqT2um8DTratJi6LLMkE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IFERROR(__xludf.DUMMYFUNCTION("""COMPUTED_VALUE"""),"18ZLKMuYELpFF8igusiA1YPM1roRHrNcfmsVVoNq6h6s")</f>
        <v>18ZLKMuYELpFF8igusiA1YPM1roRHrNcfmsVVoNq6h6s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IFERROR(__xludf.DUMMYFUNCTION("""COMPUTED_VALUE"""),"1wguu6CJ1W1WXxjb_KxnFlOegfYbfanXuyO-oZAt2m7U")</f>
        <v>1wguu6CJ1W1WXxjb_KxnFlOegfYbfanXuyO-oZAt2m7U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IFERROR(__xludf.DUMMYFUNCTION("""COMPUTED_VALUE"""),"1o-FBBuQHxjtFK6FrVr69erSNvwKFefznt7EpoR-TUMo")</f>
        <v>1o-FBBuQHxjtFK6FrVr69erSNvwKFefznt7EpoR-TUMo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IFERROR(__xludf.DUMMYFUNCTION("""COMPUTED_VALUE"""),"1NPaQ5SsIbAw-Qf-hqCpOtIXsinQoikQedLQjmpcEf2w")</f>
        <v>1NPaQ5SsIbAw-Qf-hqCpOtIXsinQoikQedLQjmpcEf2w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IFERROR(__xludf.DUMMYFUNCTION("""COMPUTED_VALUE"""),"1oRJt2apb45iHCVxOMoKsVCBE0tayi72K_dpkArgaYNI")</f>
        <v>1oRJt2apb45iHCVxOMoKsVCBE0tayi72K_dpkArgaYNI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IFERROR(__xludf.DUMMYFUNCTION("""COMPUTED_VALUE"""),"1agqTy8ODsUfNuR8A2GzGp3_Gb5oKxa04ZxPCTZ4jQEE")</f>
        <v>1agqTy8ODsUfNuR8A2GzGp3_Gb5oKxa04ZxPCTZ4jQEE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IFERROR(__xludf.DUMMYFUNCTION("""COMPUTED_VALUE"""),"1bxIll2-_r6nIdBU5BDupSdTWZM-4ZIgSxN2lDwPlyV0")</f>
        <v>1bxIll2-_r6nIdBU5BDupSdTWZM-4ZIgSxN2lDwPlyV0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IFERROR(__xludf.DUMMYFUNCTION("""COMPUTED_VALUE"""),"1VbNnoezmSIsbkZrumDKpPBQV7dd2w_tXh_5KZD1fS1g")</f>
        <v>1VbNnoezmSIsbkZrumDKpPBQV7dd2w_tXh_5KZD1fS1g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IFERROR(__xludf.DUMMYFUNCTION("""COMPUTED_VALUE"""),"1nlzyKt77FsFAQVk5JnD-eRJd0GhkFyyq22Np46z4LBQ")</f>
        <v>1nlzyKt77FsFAQVk5JnD-eRJd0GhkFyyq22Np46z4LBQ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IFERROR(__xludf.DUMMYFUNCTION("""COMPUTED_VALUE"""),"10dzEbmMqSEFoyEQpGvfRBGkGUrZT9nMgCEU9mLlrjXc")</f>
        <v>10dzEbmMqSEFoyEQpGvfRBGkGUrZT9nMgCEU9mLlrjXc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IFERROR(__xludf.DUMMYFUNCTION("""COMPUTED_VALUE"""),"1QiPkyR6XoPva-Y8Gr2o5tuIKxzA8YGA-Bi26TT3QwUM")</f>
        <v>1QiPkyR6XoPva-Y8Gr2o5tuIKxzA8YGA-Bi26TT3QwUM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IFERROR(__xludf.DUMMYFUNCTION("""COMPUTED_VALUE"""),"1_H_v-FL2GL1VYRQfF102TJK8lcPuFLC2dcFfpVsrOyA")</f>
        <v>1_H_v-FL2GL1VYRQfF102TJK8lcPuFLC2dcFfpVsrOyA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IFERROR(__xludf.DUMMYFUNCTION("""COMPUTED_VALUE"""),"1_FK3luW0u1bVUl_-uuhjD3pjwJIEAlKxRSV9t7lDgUU")</f>
        <v>1_FK3luW0u1bVUl_-uuhjD3pjwJIEAlKxRSV9t7lDgUU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IFERROR(__xludf.DUMMYFUNCTION("""COMPUTED_VALUE"""),"12dAzLg9OkaQ3A4alK8t63FnQc47Y0DtLXmwjEZn8CSw")</f>
        <v>12dAzLg9OkaQ3A4alK8t63FnQc47Y0DtLXmwjEZn8CSw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IFERROR(__xludf.DUMMYFUNCTION("""COMPUTED_VALUE"""),"19v7mgj_xrXR2b9J5hjpqub6H625ytQdJy5zpbsnIFH4")</f>
        <v>19v7mgj_xrXR2b9J5hjpqub6H625ytQdJy5zpbsnIFH4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IFERROR(__xludf.DUMMYFUNCTION("""COMPUTED_VALUE"""),"1ZIFQW7-ZFHpYjXIplTSB3w5c7JkPAmMEZWZbDpwxjZo")</f>
        <v>1ZIFQW7-ZFHpYjXIplTSB3w5c7JkPAmMEZWZbDpwxjZo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IFERROR(__xludf.DUMMYFUNCTION("""COMPUTED_VALUE"""),"1JjHe2mZGs8SAE4eN3h87nS9KazhAoVJpI6j0AX_oubY")</f>
        <v>1JjHe2mZGs8SAE4eN3h87nS9KazhAoVJpI6j0AX_oubY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IFERROR(__xludf.DUMMYFUNCTION("""COMPUTED_VALUE"""),"1ykZ4MIm4DO4OhMcn3zzi6zmFtHasVXbVlOjaDs3-tq4")</f>
        <v>1ykZ4MIm4DO4OhMcn3zzi6zmFtHasVXbVlOjaDs3-tq4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IFERROR(__xludf.DUMMYFUNCTION("""COMPUTED_VALUE"""),"16apla3tEdh0I55JbktufeygtzLD6sU2RLBlpNGPo6jU")</f>
        <v>16apla3tEdh0I55JbktufeygtzLD6sU2RLBlpNGPo6jU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IFERROR(__xludf.DUMMYFUNCTION("""COMPUTED_VALUE"""),"1XPVuFci2z8Xs5bHgq7R4GP5O-nMmceuB3GqwX3XUbMs")</f>
        <v>1XPVuFci2z8Xs5bHgq7R4GP5O-nMmceuB3GqwX3XUbMs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IFERROR(__xludf.DUMMYFUNCTION("""COMPUTED_VALUE"""),"1ykMuKT7G3fZay84WDR96P4BQAMkqahw_GnQUsNX6CUs")</f>
        <v>1ykMuKT7G3fZay84WDR96P4BQAMkqahw_GnQUsNX6CUs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IFERROR(__xludf.DUMMYFUNCTION("""COMPUTED_VALUE"""),"12Jx4NXByLH6uo6cPIxdMtXDCyjjQWME89tyeXROMOEI")</f>
        <v>12Jx4NXByLH6uo6cPIxdMtXDCyjjQWME89tyeXROMOEI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IFERROR(__xludf.DUMMYFUNCTION("""COMPUTED_VALUE"""),"15lHiiD5KNoqjZ_E7zX2pdw18IuAiYsL-UDVc6jfQ3XA")</f>
        <v>15lHiiD5KNoqjZ_E7zX2pdw18IuAiYsL-UDVc6jfQ3XA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IFERROR(__xludf.DUMMYFUNCTION("""COMPUTED_VALUE"""),"1ziZg3lBx_aPu8TPjMl_etXMuscnllJoJ-hKOa19ozD8")</f>
        <v>1ziZg3lBx_aPu8TPjMl_etXMuscnllJoJ-hKOa19ozD8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IFERROR(__xludf.DUMMYFUNCTION("""COMPUTED_VALUE"""),"1deZMQypRUScM3WPe16oDMBJHXNPOEE6OdOQVZzCgqlg")</f>
        <v>1deZMQypRUScM3WPe16oDMBJHXNPOEE6OdOQVZzCgqlg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IFERROR(__xludf.DUMMYFUNCTION("""COMPUTED_VALUE"""),"1m8KITORxMaLAk_kTE9RoRrZGpX_RqAvqHaJaPvAMN1k")</f>
        <v>1m8KITORxMaLAk_kTE9RoRrZGpX_RqAvqHaJaPvAMN1k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IFERROR(__xludf.DUMMYFUNCTION("""COMPUTED_VALUE"""),"1pBql_NGTQ6e2Tp98WnKsZdd2-EmEgzai_fwgSes2nfA")</f>
        <v>1pBql_NGTQ6e2Tp98WnKsZdd2-EmEgzai_fwgSes2nfA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IFERROR(__xludf.DUMMYFUNCTION("""COMPUTED_VALUE"""),"1el2vWtad5wFUgZD-G2vhj_JEQpXWHjJ20TsLR5e5LPs")</f>
        <v>1el2vWtad5wFUgZD-G2vhj_JEQpXWHjJ20TsLR5e5LPs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IFERROR(__xludf.DUMMYFUNCTION("""COMPUTED_VALUE"""),"1gOBL7LK5RLxmH5-hs1IHMpTADwDAYXAONJ6KgNVLtDs")</f>
        <v>1gOBL7LK5RLxmH5-hs1IHMpTADwDAYXAONJ6KgNVLtDs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IFERROR(__xludf.DUMMYFUNCTION("""COMPUTED_VALUE"""),"1yg-Xv6suVFcIrKHhZALMgS9t4msvFsDbvs7wNuoGR3I")</f>
        <v>1yg-Xv6suVFcIrKHhZALMgS9t4msvFsDbvs7wNuoGR3I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IFERROR(__xludf.DUMMYFUNCTION("""COMPUTED_VALUE"""),"1-cH_lnOgKQ1kVk7m6ulPrC1FoXeCqZ4vubHVYxrwQpk")</f>
        <v>1-cH_lnOgKQ1kVk7m6ulPrC1FoXeCqZ4vubHVYxrwQpk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IFERROR(__xludf.DUMMYFUNCTION("""COMPUTED_VALUE"""),"14mYs8ZnER2nYec1-jsXJ6oDp-Vw4B_Jq1BBaYBTraJQ")</f>
        <v>14mYs8ZnER2nYec1-jsXJ6oDp-Vw4B_Jq1BBaYBTraJQ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IFERROR(__xludf.DUMMYFUNCTION("""COMPUTED_VALUE"""),"1p2gNYBHk_zK7IVosy1KF26530YQABTpkgHuzRoHEtrE")</f>
        <v>1p2gNYBHk_zK7IVosy1KF26530YQABTpkgHuzRoHEtrE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IFERROR(__xludf.DUMMYFUNCTION("""COMPUTED_VALUE"""),"1-fTs6_RktuYpTbjZRrT_FVnPuHToyVZ28RezlVOilDQ")</f>
        <v>1-fTs6_RktuYpTbjZRrT_FVnPuHToyVZ28RezlVOilDQ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IFERROR(__xludf.DUMMYFUNCTION("""COMPUTED_VALUE"""),"1fsW3FLBLQSnAB1FTWbZOYZ1c8y_T0pXdchJoJKojQ5U")</f>
        <v>1fsW3FLBLQSnAB1FTWbZOYZ1c8y_T0pXdchJoJKojQ5U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IFERROR(__xludf.DUMMYFUNCTION("""COMPUTED_VALUE"""),"1RdLSqhBlKnI7H96oYs9VsGECGlykHpR2OqPkN9FwCpA")</f>
        <v>1RdLSqhBlKnI7H96oYs9VsGECGlykHpR2OqPkN9FwCpA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IFERROR(__xludf.DUMMYFUNCTION("""COMPUTED_VALUE"""),"1IJ0ITE6kAXc0SGfd95PYFTvX-K-fjbi9rjfbaVF_8_o")</f>
        <v>1IJ0ITE6kAXc0SGfd95PYFTvX-K-fjbi9rjfbaVF_8_o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IFERROR(__xludf.DUMMYFUNCTION("""COMPUTED_VALUE"""),"1JXgefFxiOZYiu3nvqHgqGC5961DevvA1p-zE8Q1gFmQ")</f>
        <v>1JXgefFxiOZYiu3nvqHgqGC5961DevvA1p-zE8Q1gFmQ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IFERROR(__xludf.DUMMYFUNCTION("""COMPUTED_VALUE"""),"1FaRUR8eAdOKdosN0J6gNT494O3LIUjOW6UENL8-QaqI")</f>
        <v>1FaRUR8eAdOKdosN0J6gNT494O3LIUjOW6UENL8-QaqI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IFERROR(__xludf.DUMMYFUNCTION("""COMPUTED_VALUE"""),"1aTAOxKd-OKfDMtOkbD2qjNA7heK3JaL80oWOPJWR-m4")</f>
        <v>1aTAOxKd-OKfDMtOkbD2qjNA7heK3JaL80oWOPJWR-m4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IFERROR(__xludf.DUMMYFUNCTION("""COMPUTED_VALUE"""),"1iC5h3lmVz1lkFi3hXF5Nay_GLbs1D6oy7-RHYXL-GIo")</f>
        <v>1iC5h3lmVz1lkFi3hXF5Nay_GLbs1D6oy7-RHYXL-GIo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IFERROR(__xludf.DUMMYFUNCTION("""COMPUTED_VALUE"""),"1aaU_cMiBcryIk1mv61Bk8nzw1uuGyeojYzruzun4vn4")</f>
        <v>1aaU_cMiBcryIk1mv61Bk8nzw1uuGyeojYzruzun4vn4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IFERROR(__xludf.DUMMYFUNCTION("""COMPUTED_VALUE"""),"15Ue38beZCcRwHWaVV0RfQpiUhL8BQtHdJOWFk8Vn8nU")</f>
        <v>15Ue38beZCcRwHWaVV0RfQpiUhL8BQtHdJOWFk8Vn8nU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IFERROR(__xludf.DUMMYFUNCTION("""COMPUTED_VALUE"""),"17KJQ2JG3exSQFsCEREc0fo3OlCzwQ87QrIrxDvJOTL0")</f>
        <v>17KJQ2JG3exSQFsCEREc0fo3OlCzwQ87QrIrxDvJOTL0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IFERROR(__xludf.DUMMYFUNCTION("""COMPUTED_VALUE"""),"1BBuNgcMvzUvD-gZVr3XXF6T3_SSkXRMD323rt_wpPKQ")</f>
        <v>1BBuNgcMvzUvD-gZVr3XXF6T3_SSkXRMD323rt_wpPKQ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IFERROR(__xludf.DUMMYFUNCTION("""COMPUTED_VALUE"""),"1MPicLh4_cRx3ynhn68KNyk7US2TRsT--AJ1FJ5xfra0")</f>
        <v>1MPicLh4_cRx3ynhn68KNyk7US2TRsT--AJ1FJ5xfra0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IFERROR(__xludf.DUMMYFUNCTION("""COMPUTED_VALUE"""),"1zJpo_fvgHnAOKIroxu4Yg4YOEDG9ihIiNdRpdZkyouY")</f>
        <v>1zJpo_fvgHnAOKIroxu4Yg4YOEDG9ihIiNdRpdZkyouY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IFERROR(__xludf.DUMMYFUNCTION("""COMPUTED_VALUE"""),"1rclWjN3ooT5nL8wJDLv7VJcrOapNKjyFsXn1lWIijgU")</f>
        <v>1rclWjN3ooT5nL8wJDLv7VJcrOapNKjyFsXn1lWIijgU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IFERROR(__xludf.DUMMYFUNCTION("""COMPUTED_VALUE"""),"1eVMpcX298QLEFSZ68GvnaqAVsPnc1_WsBBr6lGLL_xk")</f>
        <v>1eVMpcX298QLEFSZ68GvnaqAVsPnc1_WsBBr6lGLL_xk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IFERROR(__xludf.DUMMYFUNCTION("""COMPUTED_VALUE"""),"1G7aw6OsfKe48YJ4wZlpaiwUF7EyEmGjzKmTHSnLwsjM")</f>
        <v>1G7aw6OsfKe48YJ4wZlpaiwUF7EyEmGjzKmTHSnLwsjM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IFERROR(__xludf.DUMMYFUNCTION("""COMPUTED_VALUE"""),"1YDZT2-LkX-MtNExlMwysopJtKzIHr8GDRqmX7oNqceY")</f>
        <v>1YDZT2-LkX-MtNExlMwysopJtKzIHr8GDRqmX7oNqceY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IFERROR(__xludf.DUMMYFUNCTION("""COMPUTED_VALUE"""),"1M7t0Pc0QArtvID6fnn4iOri5a5SS5W6RhUNxDg4qxyM")</f>
        <v>1M7t0Pc0QArtvID6fnn4iOri5a5SS5W6RhUNxDg4qxyM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IFERROR(__xludf.DUMMYFUNCTION("""COMPUTED_VALUE"""),"13piHoSaVK7A8I4KAXLsA5Men3ngoqvqpTG-lZD_1KUo")</f>
        <v>13piHoSaVK7A8I4KAXLsA5Men3ngoqvqpTG-lZD_1KUo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IFERROR(__xludf.DUMMYFUNCTION("""COMPUTED_VALUE"""),"1k8C-LBwz3GlNV3C5E3QvzqBFewYG5vG9ugiipS-_zD4")</f>
        <v>1k8C-LBwz3GlNV3C5E3QvzqBFewYG5vG9ugiipS-_zD4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IFERROR(__xludf.DUMMYFUNCTION("""COMPUTED_VALUE"""),"1ncl7te4f_dGYzCuZzxcRCwr4yZrX3tLKvh23s23mlUQ")</f>
        <v>1ncl7te4f_dGYzCuZzxcRCwr4yZrX3tLKvh23s23mlUQ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IFERROR(__xludf.DUMMYFUNCTION("""COMPUTED_VALUE"""),"1vAN2zxByVTbuFRgUg-THlwpw7k28QMwQHGoxf_n8Ges")</f>
        <v>1vAN2zxByVTbuFRgUg-THlwpw7k28QMwQHGoxf_n8Ges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IFERROR(__xludf.DUMMYFUNCTION("""COMPUTED_VALUE"""),"1oTTQbLhHic8oL_svmQ0qdjBVLpJCcQnyu-u9b8rHbtE")</f>
        <v>1oTTQbLhHic8oL_svmQ0qdjBVLpJCcQnyu-u9b8rHbtE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IFERROR(__xludf.DUMMYFUNCTION("""COMPUTED_VALUE"""),"1Eg48tr0_jcvY-tLu_SbsvR2u64NRBp2N6ZODjJbPWF0")</f>
        <v>1Eg48tr0_jcvY-tLu_SbsvR2u64NRBp2N6ZODjJbPWF0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IFERROR(__xludf.DUMMYFUNCTION("""COMPUTED_VALUE"""),"1jumsAa4jYebpWTdXyCrsYPMpgMy3AAAb0E6m3pq9zfQ")</f>
        <v>1jumsAa4jYebpWTdXyCrsYPMpgMy3AAAb0E6m3pq9zfQ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IFERROR(__xludf.DUMMYFUNCTION("""COMPUTED_VALUE"""),"1IWThU1tr1c83LHshXuPtQhnsEDrVfBxHlVdCTs3_gI0")</f>
        <v>1IWThU1tr1c83LHshXuPtQhnsEDrVfBxHlVdCTs3_gI0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IFERROR(__xludf.DUMMYFUNCTION("""COMPUTED_VALUE"""),"18YN65KpXjKBHvfHbcTAJVt8VQ29ANoekyOrzV_UinlU")</f>
        <v>18YN65KpXjKBHvfHbcTAJVt8VQ29ANoekyOrzV_UinlU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IFERROR(__xludf.DUMMYFUNCTION("""COMPUTED_VALUE"""),"1aAKrLLBUkdPmY-u1TvvBjiwsLoIqEjpaZv0vuuwgDXc")</f>
        <v>1aAKrLLBUkdPmY-u1TvvBjiwsLoIqEjpaZv0vuuwgDXc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IFERROR(__xludf.DUMMYFUNCTION("""COMPUTED_VALUE"""),"1STRhvXDmA77-EUfXkerb9M6KavHQa6ufPlKbKQFnacs")</f>
        <v>1STRhvXDmA77-EUfXkerb9M6KavHQa6ufPlKbKQFnacs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IFERROR(__xludf.DUMMYFUNCTION("""COMPUTED_VALUE"""),"1eQ3bSd8sNOPS2QEo6_h1dSmrCHItkDjuQE6HDsmi2A4")</f>
        <v>1eQ3bSd8sNOPS2QEo6_h1dSmrCHItkDjuQE6HDsmi2A4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IFERROR(__xludf.DUMMYFUNCTION("""COMPUTED_VALUE"""),"12FTcBcbaShH13w8bkrZeiFv_kNMJJP9FHGmxLKHRaus")</f>
        <v>12FTcBcbaShH13w8bkrZeiFv_kNMJJP9FHGmxLKHRaus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IFERROR(__xludf.DUMMYFUNCTION("""COMPUTED_VALUE"""),"1CwPykEk7zMYYVBkEvkTfslvYso3Klr69YGyT7h7jC8g")</f>
        <v>1CwPykEk7zMYYVBkEvkTfslvYso3Klr69YGyT7h7jC8g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IFERROR(__xludf.DUMMYFUNCTION("""COMPUTED_VALUE"""),"1yX-FUpbSMuYg2jkSUK8wa37Ri2EzHCqLAyUV1GkKGxQ")</f>
        <v>1yX-FUpbSMuYg2jkSUK8wa37Ri2EzHCqLAyUV1GkKGxQ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IFERROR(__xludf.DUMMYFUNCTION("""COMPUTED_VALUE"""),"1AUGavKEtSuKHgAjuYtsiF071G0-SoUFfzD6Y42IYV7g")</f>
        <v>1AUGavKEtSuKHgAjuYtsiF071G0-SoUFfzD6Y42IYV7g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IFERROR(__xludf.DUMMYFUNCTION("""COMPUTED_VALUE"""),"1bdWChE4lhNkRFvBKdaIRusR869a1vAjS5u0gpQB83gg")</f>
        <v>1bdWChE4lhNkRFvBKdaIRusR869a1vAjS5u0gpQB83gg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IFERROR(__xludf.DUMMYFUNCTION("""COMPUTED_VALUE"""),"1wpP_Any4jtABxcsXGPSKAO7xmt0PgI3SAKvkYdj0XNk")</f>
        <v>1wpP_Any4jtABxcsXGPSKAO7xmt0PgI3SAKvkYdj0XNk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IFERROR(__xludf.DUMMYFUNCTION("""COMPUTED_VALUE"""),"1YqC1JbdGvSDN-uKdsTx8E6wcPDlCy33jsQ4uTHe1Ea0")</f>
        <v>1YqC1JbdGvSDN-uKdsTx8E6wcPDlCy33jsQ4uTHe1Ea0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IFERROR(__xludf.DUMMYFUNCTION("""COMPUTED_VALUE"""),"1BgKv-LW3Zj48Qo2Ee7DjbP2A-k7zRQ6Y25DwtcXod04")</f>
        <v>1BgKv-LW3Zj48Qo2Ee7DjbP2A-k7zRQ6Y25DwtcXod04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IFERROR(__xludf.DUMMYFUNCTION("""COMPUTED_VALUE"""),"1Bhq-a_LzI2roHS4ah4FyrUJ2yYXN7T16HEPh2paEGp8")</f>
        <v>1Bhq-a_LzI2roHS4ah4FyrUJ2yYXN7T16HEPh2paEGp8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IFERROR(__xludf.DUMMYFUNCTION("""COMPUTED_VALUE"""),"1y0uDmVZUA0KssyJ6ayaDJLLsFJ-XstBpZASkuWd6Kvw")</f>
        <v>1y0uDmVZUA0KssyJ6ayaDJLLsFJ-XstBpZASkuWd6Kvw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IFERROR(__xludf.DUMMYFUNCTION("""COMPUTED_VALUE"""),"1wA9--G72aVEWqaqmqr86HqJaqyM523Pt40dw38mxM0I")</f>
        <v>1wA9--G72aVEWqaqmqr86HqJaqyM523Pt40dw38mxM0I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IFERROR(__xludf.DUMMYFUNCTION("""COMPUTED_VALUE"""),"1z0feEuKarwoE0a0VhYLSs24xA2zNHnyVITHLS2bPy7c")</f>
        <v>1z0feEuKarwoE0a0VhYLSs24xA2zNHnyVITHLS2bPy7c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IFERROR(__xludf.DUMMYFUNCTION("""COMPUTED_VALUE"""),"1xCLqu3szSvwk7DiskB14PZD-kHv3CU4mXgzWmrhfoTU")</f>
        <v>1xCLqu3szSvwk7DiskB14PZD-kHv3CU4mXgzWmrhfoTU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IFERROR(__xludf.DUMMYFUNCTION("""COMPUTED_VALUE"""),"1G_Uk8JTVlSprGyR-gsarPm44MVSB-m__w9gx5dz8g3s")</f>
        <v>1G_Uk8JTVlSprGyR-gsarPm44MVSB-m__w9gx5dz8g3s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IFERROR(__xludf.DUMMYFUNCTION("""COMPUTED_VALUE"""),"1b8KJ45vuNWv0h-8vF72b3PqTJGjKgmQdgVHyXoLISM8")</f>
        <v>1b8KJ45vuNWv0h-8vF72b3PqTJGjKgmQdgVHyXoLISM8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IFERROR(__xludf.DUMMYFUNCTION("""COMPUTED_VALUE"""),"1jbQw_xeWwzEkaaG_HDlLasp2Ti0S1Fb7R8MXW7PQWjY")</f>
        <v>1jbQw_xeWwzEkaaG_HDlLasp2Ti0S1Fb7R8MXW7PQWjY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IFERROR(__xludf.DUMMYFUNCTION("""COMPUTED_VALUE"""),"1tpmrgkVmPSPSg99RKo6LwLAhQ8M3eONGctKXc_537qE")</f>
        <v>1tpmrgkVmPSPSg99RKo6LwLAhQ8M3eONGctKXc_537qE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IFERROR(__xludf.DUMMYFUNCTION("""COMPUTED_VALUE"""),"1Ps79IPxJ5FGHg7xZORovz5nFqA4B-gG5zxYXyju8o0Y")</f>
        <v>1Ps79IPxJ5FGHg7xZORovz5nFqA4B-gG5zxYXyju8o0Y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IFERROR(__xludf.DUMMYFUNCTION("""COMPUTED_VALUE"""),"1MKg6U1zZlssS3MzoDjqF0yoSDf9NnReKcSlKOdmPSa0")</f>
        <v>1MKg6U1zZlssS3MzoDjqF0yoSDf9NnReKcSlKOdmPSa0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IFERROR(__xludf.DUMMYFUNCTION("""COMPUTED_VALUE"""),"13uphyNpV-lIcdnnRCDD0ufiubKQK77lTDMmRb4aZUH8")</f>
        <v>13uphyNpV-lIcdnnRCDD0ufiubKQK77lTDMmRb4aZUH8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IFERROR(__xludf.DUMMYFUNCTION("""COMPUTED_VALUE"""),"1G7Ye63Sk3lyG-vcaryo0GGGqUkzHGGzGt2O3FNdECro")</f>
        <v>1G7Ye63Sk3lyG-vcaryo0GGGqUkzHGGzGt2O3FNdECro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IFERROR(__xludf.DUMMYFUNCTION("""COMPUTED_VALUE"""),"1X9ZLs6zkOiyry8bzRkBLkxA8dDiRH1dhu8licsT5kTk")</f>
        <v>1X9ZLs6zkOiyry8bzRkBLkxA8dDiRH1dhu8licsT5kTk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IFERROR(__xludf.DUMMYFUNCTION("""COMPUTED_VALUE"""),"1eZXt6er6ekDW3vEUci-S-LNDowWjzf-SH9znUNtFyzg")</f>
        <v>1eZXt6er6ekDW3vEUci-S-LNDowWjzf-SH9znUNtFyzg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IFERROR(__xludf.DUMMYFUNCTION("""COMPUTED_VALUE"""),"1Z7OOAb9FwPIKp3RjfxeFrnTdJVfMLbCrmS-3obeYxxg")</f>
        <v>1Z7OOAb9FwPIKp3RjfxeFrnTdJVfMLbCrmS-3obeYxxg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IFERROR(__xludf.DUMMYFUNCTION("""COMPUTED_VALUE"""),"18xmdZqLW5pnA6FkxzF2PF2hG7bGqwTKhy-Mn_UAyi2w")</f>
        <v>18xmdZqLW5pnA6FkxzF2PF2hG7bGqwTKhy-Mn_UAyi2w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IFERROR(__xludf.DUMMYFUNCTION("""COMPUTED_VALUE"""),"1KwYK5wCdNK4x9Nb2ODpwqlIRF15bF5lm33yF-rE0E88")</f>
        <v>1KwYK5wCdNK4x9Nb2ODpwqlIRF15bF5lm33yF-rE0E88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IFERROR(__xludf.DUMMYFUNCTION("""COMPUTED_VALUE"""),"1EYkSaFCb1-cfMdhGTqVQ93F1B1fAGibLJGFBaO4IKK8")</f>
        <v>1EYkSaFCb1-cfMdhGTqVQ93F1B1fAGibLJGFBaO4IKK8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IFERROR(__xludf.DUMMYFUNCTION("""COMPUTED_VALUE"""),"1NTrrGa3uWN4TviPU6osMMGTU2_Pzk0cTaF7B9fuF1Zc")</f>
        <v>1NTrrGa3uWN4TviPU6osMMGTU2_Pzk0cTaF7B9fuF1Zc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IFERROR(__xludf.DUMMYFUNCTION("""COMPUTED_VALUE"""),"1Jz-1DjEIXVhNWL1-97QH77oH1Zaxtvi3jXe39t48nXM")</f>
        <v>1Jz-1DjEIXVhNWL1-97QH77oH1Zaxtvi3jXe39t48nXM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IFERROR(__xludf.DUMMYFUNCTION("""COMPUTED_VALUE"""),"1_BAhdKmc47MhjFQ82axBd5g9A4h_olwLQzwkxxBFlSA")</f>
        <v>1_BAhdKmc47MhjFQ82axBd5g9A4h_olwLQzwkxxBFlSA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IFERROR(__xludf.DUMMYFUNCTION("""COMPUTED_VALUE"""),"1NLRYNwnDa02qeea2mvWlimsdnr_FnF-9zA3yQfPGpNk")</f>
        <v>1NLRYNwnDa02qeea2mvWlimsdnr_FnF-9zA3yQfPGpNk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IFERROR(__xludf.DUMMYFUNCTION("""COMPUTED_VALUE"""),"19w_Ks_xSuyS2DhQ4ueygTaw8a-fX6Zv_NRtSNtkeJcw")</f>
        <v>19w_Ks_xSuyS2DhQ4ueygTaw8a-fX6Zv_NRtSNtkeJcw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IFERROR(__xludf.DUMMYFUNCTION("""COMPUTED_VALUE"""),"1UYQAxEz0yKJ_n6eK0MJTVwXlv21-STgSHETQUy3An8w")</f>
        <v>1UYQAxEz0yKJ_n6eK0MJTVwXlv21-STgSHETQUy3An8w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IFERROR(__xludf.DUMMYFUNCTION("""COMPUTED_VALUE"""),"1dKfTnjNHlB-imf6ZI2iECsJdz-r-aLBTFIKoPO_nLU8")</f>
        <v>1dKfTnjNHlB-imf6ZI2iECsJdz-r-aLBTFIKoPO_nLU8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IFERROR(__xludf.DUMMYFUNCTION("""COMPUTED_VALUE"""),"17wpuicUWWz3ldMURoDLDbJRohRCnjcpTGhocntZfKsc")</f>
        <v>17wpuicUWWz3ldMURoDLDbJRohRCnjcpTGhocntZfKsc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IFERROR(__xludf.DUMMYFUNCTION("""COMPUTED_VALUE"""),"1QfJsdf4NGj4Dj0YIxbSTXTjhynFG2X_qswbZp4VEBo4")</f>
        <v>1QfJsdf4NGj4Dj0YIxbSTXTjhynFG2X_qswbZp4VEBo4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IFERROR(__xludf.DUMMYFUNCTION("""COMPUTED_VALUE"""),"10ZNA5DvAU__HVHWvyAxsJMI8GemQ7y3ryoI2yFrCc5s")</f>
        <v>10ZNA5DvAU__HVHWvyAxsJMI8GemQ7y3ryoI2yFrCc5s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IFERROR(__xludf.DUMMYFUNCTION("""COMPUTED_VALUE"""),"18xmdZqLW5pnA6FkxzF2PF2hG7bGqwTKhy-Mn_UAyi2w")</f>
        <v>18xmdZqLW5pnA6FkxzF2PF2hG7bGqwTKhy-Mn_UAyi2w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IFERROR(__xludf.DUMMYFUNCTION("""COMPUTED_VALUE"""),"15sEcD0nSlwM0bIlhN_Z36hpeQYWbVL5d5AK5kVqm1m8")</f>
        <v>15sEcD0nSlwM0bIlhN_Z36hpeQYWbVL5d5AK5kVqm1m8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IFERROR(__xludf.DUMMYFUNCTION("""COMPUTED_VALUE"""),"18xmdZqLW5pnA6FkxzF2PF2hG7bGqwTKhy-Mn_UAyi2w")</f>
        <v>18xmdZqLW5pnA6FkxzF2PF2hG7bGqwTKhy-Mn_UAyi2w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IFERROR(__xludf.DUMMYFUNCTION("""COMPUTED_VALUE"""),"1eShiZeHy6PMki2w9zAroJwtcU8DJAD3rGlyetDKwNsQ")</f>
        <v>1eShiZeHy6PMki2w9zAroJwtcU8DJAD3rGlyetDKwNsQ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IFERROR(__xludf.DUMMYFUNCTION("""COMPUTED_VALUE"""),"1--BWTsPeHeaUWrFxnJJ4Hxg1RMHz7TMg9PNL6IG--bQ")</f>
        <v>1--BWTsPeHeaUWrFxnJJ4Hxg1RMHz7TMg9PNL6IG--bQ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IFERROR(__xludf.DUMMYFUNCTION("""COMPUTED_VALUE"""),"1XcSN66s5Sbt3BBDBESO_MzCX19JEubK7C7JEhc1P6Dg")</f>
        <v>1XcSN66s5Sbt3BBDBESO_MzCX19JEubK7C7JEhc1P6Dg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IFERROR(__xludf.DUMMYFUNCTION("""COMPUTED_VALUE"""),"1Hsk7z4Hl0qfkVqTQ-ho4nDmWzTS7QuBrYDmVZp2fyfU")</f>
        <v>1Hsk7z4Hl0qfkVqTQ-ho4nDmWzTS7QuBrYDmVZp2fyfU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IFERROR(__xludf.DUMMYFUNCTION("""COMPUTED_VALUE"""),"1kZ0HZFDzYAoCBydDBtPNqvOI-eyPeqVxEOYYndrkOKY")</f>
        <v>1kZ0HZFDzYAoCBydDBtPNqvOI-eyPeqVxEOYYndrkOKY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IFERROR(__xludf.DUMMYFUNCTION("""COMPUTED_VALUE"""),"1PYDvpEzlMfU1DsvGlSfmKshHxHyMHpl_Zb58SSDakb8")</f>
        <v>1PYDvpEzlMfU1DsvGlSfmKshHxHyMHpl_Zb58SSDakb8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IFERROR(__xludf.DUMMYFUNCTION("""COMPUTED_VALUE"""),"1cNt_QPH0xThwJY57mw3JMlkf6u0xY_Xhs2hcsg54wKs")</f>
        <v>1cNt_QPH0xThwJY57mw3JMlkf6u0xY_Xhs2hcsg54wKs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IFERROR(__xludf.DUMMYFUNCTION("""COMPUTED_VALUE"""),"1kgv7MgVOFU-SgqnnvM5c1KY2c35xLXsCrPpr7YcOqvA")</f>
        <v>1kgv7MgVOFU-SgqnnvM5c1KY2c35xLXsCrPpr7YcOqvA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IFERROR(__xludf.DUMMYFUNCTION("""COMPUTED_VALUE"""),"1BFMeTTBAJUjY8UWwoGYx5d_suxQqoXCu2AtVXDs2DI8")</f>
        <v>1BFMeTTBAJUjY8UWwoGYx5d_suxQqoXCu2AtVXDs2DI8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IFERROR(__xludf.DUMMYFUNCTION("""COMPUTED_VALUE"""),"1CJZHfIxDvKYXPM4TcwOIjmKY8kzg4_zJFRj4pZloBg0")</f>
        <v>1CJZHfIxDvKYXPM4TcwOIjmKY8kzg4_zJFRj4pZloBg0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IFERROR(__xludf.DUMMYFUNCTION("""COMPUTED_VALUE"""),"1Ec0_nwlu5YKn069vknmktkFStzY4YdPEFRwMqViwG-k")</f>
        <v>1Ec0_nwlu5YKn069vknmktkFStzY4YdPEFRwMqViwG-k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IFERROR(__xludf.DUMMYFUNCTION("""COMPUTED_VALUE"""),"1Y8No6h6-FS0LbyDQM9oxk7_oi9yfsEmLLN_JqCjSctE")</f>
        <v>1Y8No6h6-FS0LbyDQM9oxk7_oi9yfsEmLLN_JqCjSctE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IFERROR(__xludf.DUMMYFUNCTION("""COMPUTED_VALUE"""),"10BNZLMtk4R3em8SD0JoDVdQl_KjTinG0m3lpnUVi1yw")</f>
        <v>10BNZLMtk4R3em8SD0JoDVdQl_KjTinG0m3lpnUVi1yw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IFERROR(__xludf.DUMMYFUNCTION("""COMPUTED_VALUE"""),"11NutoTY7szRH7Ii8fI1SJm0EiZnCQW4E_GzEoR2IX7g")</f>
        <v>11NutoTY7szRH7Ii8fI1SJm0EiZnCQW4E_GzEoR2IX7g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IFERROR(__xludf.DUMMYFUNCTION("""COMPUTED_VALUE"""),"1OWSBdhy6y8XGJ0saWSWhIG9VTKIREEL_6c14b5Suo8s")</f>
        <v>1OWSBdhy6y8XGJ0saWSWhIG9VTKIREEL_6c14b5Suo8s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IFERROR(__xludf.DUMMYFUNCTION("""COMPUTED_VALUE"""),"1j62jfW0WnlPy6Si0tJH2NI89M1AlLAIFxvhoySEfcNA")</f>
        <v>1j62jfW0WnlPy6Si0tJH2NI89M1AlLAIFxvhoySEfcNA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IFERROR(__xludf.DUMMYFUNCTION("""COMPUTED_VALUE"""),"1oMi0q843iNKIPgczycexiZ4cleEBD7cCoDEyD8lNclE")</f>
        <v>1oMi0q843iNKIPgczycexiZ4cleEBD7cCoDEyD8lNclE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IFERROR(__xludf.DUMMYFUNCTION("""COMPUTED_VALUE"""),"124Iufd2K3SWQjqbZ8ImMaHsn7IVbVolzLSUNj2xuCag")</f>
        <v>124Iufd2K3SWQjqbZ8ImMaHsn7IVbVolzLSUNj2xuCag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IFERROR(__xludf.DUMMYFUNCTION("""COMPUTED_VALUE"""),"17RhtcYRrs_YN-vBidOyMUbbAxKnGeQ-2JIt8vs9rE5o")</f>
        <v>17RhtcYRrs_YN-vBidOyMUbbAxKnGeQ-2JIt8vs9rE5o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IFERROR(__xludf.DUMMYFUNCTION("""COMPUTED_VALUE"""),"1ZfIgMPS9NpuMtE47suVwo-kA1KXMaKf-ADsjK3-OiFk")</f>
        <v>1ZfIgMPS9NpuMtE47suVwo-kA1KXMaKf-ADsjK3-OiFk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IFERROR(__xludf.DUMMYFUNCTION("""COMPUTED_VALUE"""),"18YSGcykX6msu9uJFtoPx85HXHvQ-faE6GL1h89yp0fE")</f>
        <v>18YSGcykX6msu9uJFtoPx85HXHvQ-faE6GL1h89yp0fE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IFERROR(__xludf.DUMMYFUNCTION("""COMPUTED_VALUE"""),"1Bhq-a_LzI2roHS4ah4FyrUJ2yYXN7T16HEPh2paEGp8")</f>
        <v>1Bhq-a_LzI2roHS4ah4FyrUJ2yYXN7T16HEPh2paEGp8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IFERROR(__xludf.DUMMYFUNCTION("""COMPUTED_VALUE"""),"1KiJe0t8f-Z3sMbprzhIS2_jGwhE9yeai46VmZqqyF84")</f>
        <v>1KiJe0t8f-Z3sMbprzhIS2_jGwhE9yeai46VmZqqyF84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IFERROR(__xludf.DUMMYFUNCTION("""COMPUTED_VALUE"""),"1ZMM3Z5j3worIFB7Wt8pYTm9vtKAiVyUiBNGIHZsfUVU")</f>
        <v>1ZMM3Z5j3worIFB7Wt8pYTm9vtKAiVyUiBNGIHZsfUVU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IFERROR(__xludf.DUMMYFUNCTION("""COMPUTED_VALUE"""),"1fwDymVh1YPwRLS0OVzxhYbkeKbRpUl4prFO7SRyV_hA")</f>
        <v>1fwDymVh1YPwRLS0OVzxhYbkeKbRpUl4prFO7SRyV_hA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IFERROR(__xludf.DUMMYFUNCTION("""COMPUTED_VALUE"""),"1bam3UDAybELVmpnYwPQATi99nl9DpQ99A7IjE7vdsi8")</f>
        <v>1bam3UDAybELVmpnYwPQATi99nl9DpQ99A7IjE7vdsi8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IFERROR(__xludf.DUMMYFUNCTION("""COMPUTED_VALUE"""),"1xJ7gTQfVMeCflKCHTwKYrNQ-Tcf0AYboaATXwHNAslk")</f>
        <v>1xJ7gTQfVMeCflKCHTwKYrNQ-Tcf0AYboaATXwHNAslk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IFERROR(__xludf.DUMMYFUNCTION("""COMPUTED_VALUE"""),"1WdCxXHsuQ3erH24MGTT104a5o2YheSROQebMeF3i0aI")</f>
        <v>1WdCxXHsuQ3erH24MGTT104a5o2YheSROQebMeF3i0aI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IFERROR(__xludf.DUMMYFUNCTION("""COMPUTED_VALUE"""),"1daWmaCLtl5-u8RrR38duUYZoUwwRdmQNmQUk-UFSbh8")</f>
        <v>1daWmaCLtl5-u8RrR38duUYZoUwwRdmQNmQUk-UFSbh8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IFERROR(__xludf.DUMMYFUNCTION("""COMPUTED_VALUE"""),"1gPMin1udTRZeqwLV9tSHt5nU8vpqc3NVx2Q0Tg0-p7Y")</f>
        <v>1gPMin1udTRZeqwLV9tSHt5nU8vpqc3NVx2Q0Tg0-p7Y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IFERROR(__xludf.DUMMYFUNCTION("""COMPUTED_VALUE"""),"12-zLeaphbhmHtw8rRK5ThIs7me8PklDclwlNwfPbXK4")</f>
        <v>12-zLeaphbhmHtw8rRK5ThIs7me8PklDclwlNwfPbXK4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IFERROR(__xludf.DUMMYFUNCTION("""COMPUTED_VALUE"""),"1PQwArcRUuaOQiz5S2jeaenwj9qNZTWgzfhAlHT-Pd1E")</f>
        <v>1PQwArcRUuaOQiz5S2jeaenwj9qNZTWgzfhAlHT-Pd1E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IFERROR(__xludf.DUMMYFUNCTION("""COMPUTED_VALUE"""),"18KFx8YJjXeehMrsrxPVrAlsqv5cDNM4sL10WRca5NKM")</f>
        <v>18KFx8YJjXeehMrsrxPVrAlsqv5cDNM4sL10WRca5NKM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IFERROR(__xludf.DUMMYFUNCTION("""COMPUTED_VALUE"""),"1rmMKHzR6LMbriTLpSwsWo5h7qfkUwKO5MIi-cWWx8-k")</f>
        <v>1rmMKHzR6LMbriTLpSwsWo5h7qfkUwKO5MIi-cWWx8-k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IFERROR(__xludf.DUMMYFUNCTION("""COMPUTED_VALUE"""),"1QwZRlBhhx0osi-B1PdxvO3P3W3BAXkDzM2yrJmnO__c")</f>
        <v>1QwZRlBhhx0osi-B1PdxvO3P3W3BAXkDzM2yrJmnO__c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IFERROR(__xludf.DUMMYFUNCTION("""COMPUTED_VALUE"""),"146PST8sP3dOm_SLLf4EP05WMQk8v95fnGk_VMEIiZeQ")</f>
        <v>146PST8sP3dOm_SLLf4EP05WMQk8v95fnGk_VMEIiZeQ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IFERROR(__xludf.DUMMYFUNCTION("""COMPUTED_VALUE"""),"17MMLrGtrNy7Qk2KDYSM_5mxeBqL4fj27RTyoqb753r4")</f>
        <v>17MMLrGtrNy7Qk2KDYSM_5mxeBqL4fj27RTyoqb753r4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IFERROR(__xludf.DUMMYFUNCTION("""COMPUTED_VALUE"""),"12YzpBbctXJ7tt5Rs3yVMyYiFexSCsLCSFZxRmOTGAnA")</f>
        <v>12YzpBbctXJ7tt5Rs3yVMyYiFexSCsLCSFZxRmOTGAnA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IFERROR(__xludf.DUMMYFUNCTION("""COMPUTED_VALUE"""),"11h9NAV7B59X8ff2awrMfG6bGhrk-CohPIDGmN5O1Z0s")</f>
        <v>11h9NAV7B59X8ff2awrMfG6bGhrk-CohPIDGmN5O1Z0s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IFERROR(__xludf.DUMMYFUNCTION("""COMPUTED_VALUE"""),"1NIGFq7xyMD3dCAzBn7Aybj88-zVYS-uQkEl_uOTRFLk")</f>
        <v>1NIGFq7xyMD3dCAzBn7Aybj88-zVYS-uQkEl_uOTRFLk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IFERROR(__xludf.DUMMYFUNCTION("""COMPUTED_VALUE"""),"1uyEgk_IU7WhZZ2gCVbVNLBNZhgXB_2p-G9ibtBRvqYE")</f>
        <v>1uyEgk_IU7WhZZ2gCVbVNLBNZhgXB_2p-G9ibtBRvqYE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IFERROR(__xludf.DUMMYFUNCTION("""COMPUTED_VALUE"""),"15GaszFrxEJPxL05WiuB3JgAc-7Uig-iyDZRrmgpAvyQ")</f>
        <v>15GaszFrxEJPxL05WiuB3JgAc-7Uig-iyDZRrmgpAvyQ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IFERROR(__xludf.DUMMYFUNCTION("""COMPUTED_VALUE"""),"1H3NF3ekEB_jtnQ6nAPayaHaGtx_2kLuKvJ9qyzd2I2I")</f>
        <v>1H3NF3ekEB_jtnQ6nAPayaHaGtx_2kLuKvJ9qyzd2I2I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IFERROR(__xludf.DUMMYFUNCTION("""COMPUTED_VALUE"""),"1sBgTfLxjF-eLDEQovNIQXxVdy87Sx0Cb24sVDh10pXM")</f>
        <v>1sBgTfLxjF-eLDEQovNIQXxVdy87Sx0Cb24sVDh10pXM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IFERROR(__xludf.DUMMYFUNCTION("""COMPUTED_VALUE"""),"1n-h3PT-RQ62N_5RLlf__-_nBt6pX6gTeokAqyHCUydw")</f>
        <v>1n-h3PT-RQ62N_5RLlf__-_nBt6pX6gTeokAqyHCUydw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IFERROR(__xludf.DUMMYFUNCTION("""COMPUTED_VALUE"""),"1bL3Mc9ko2ABUfRaygcH05a75HlVgOJoZg1ZR8VFCx2s")</f>
        <v>1bL3Mc9ko2ABUfRaygcH05a75HlVgOJoZg1ZR8VFCx2s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IFERROR(__xludf.DUMMYFUNCTION("""COMPUTED_VALUE"""),"1p3N5fuIHZooLiXra7t901Un-5BX1Dub2GwRau5xmnzY")</f>
        <v>1p3N5fuIHZooLiXra7t901Un-5BX1Dub2GwRau5xmnzY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IFERROR(__xludf.DUMMYFUNCTION("""COMPUTED_VALUE"""),"1g8yHX3NgTZ69qR9sJuH4OwZDcdDQ4zNzTUIz8i9c8Wc")</f>
        <v>1g8yHX3NgTZ69qR9sJuH4OwZDcdDQ4zNzTUIz8i9c8Wc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IFERROR(__xludf.DUMMYFUNCTION("""COMPUTED_VALUE"""),"1YmNAq8VlKqlQdZW8Qb-4HKEvna5uWGWWZ257kBzZ3g8")</f>
        <v>1YmNAq8VlKqlQdZW8Qb-4HKEvna5uWGWWZ257kBzZ3g8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IFERROR(__xludf.DUMMYFUNCTION("""COMPUTED_VALUE"""),"1aoefQ2rn_ekQSQ5w1OA5dDn-kkC5Mhjygz9lUK_INpw")</f>
        <v>1aoefQ2rn_ekQSQ5w1OA5dDn-kkC5Mhjygz9lUK_INpw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IFERROR(__xludf.DUMMYFUNCTION("""COMPUTED_VALUE"""),"1zLKKBGrkdJnOK0je8SVf7FNy8N74M1Y58Ijeg4-2PoM")</f>
        <v>1zLKKBGrkdJnOK0je8SVf7FNy8N74M1Y58Ijeg4-2PoM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IFERROR(__xludf.DUMMYFUNCTION("""COMPUTED_VALUE"""),"1yl-Ggnzc6WlzcJkjk53PzqzifLSUFBSUWedGjO2j1sI")</f>
        <v>1yl-Ggnzc6WlzcJkjk53PzqzifLSUFBSUWedGjO2j1sI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IFERROR(__xludf.DUMMYFUNCTION("""COMPUTED_VALUE"""),"1BioDAFgRK9uBg8Ftw35Xfp5pj4WxwmmYzwIJBuO-DwQ")</f>
        <v>1BioDAFgRK9uBg8Ftw35Xfp5pj4WxwmmYzwIJBuO-DwQ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IFERROR(__xludf.DUMMYFUNCTION("""COMPUTED_VALUE"""),"16Qb8L4YsI0WqV4SeARzc48bRpwR2V4Z0MV8OYoCFGhk")</f>
        <v>16Qb8L4YsI0WqV4SeARzc48bRpwR2V4Z0MV8OYoCFGhk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IFERROR(__xludf.DUMMYFUNCTION("""COMPUTED_VALUE"""),"1DTWgrx0dU8hFuUe5pmBqyj4Lg5WTlhIj6qkrNZ9ICjk")</f>
        <v>1DTWgrx0dU8hFuUe5pmBqyj4Lg5WTlhIj6qkrNZ9ICjk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IFERROR(__xludf.DUMMYFUNCTION("""COMPUTED_VALUE"""),"15i1dY6hiW1m4QYwSjhx4JAOW2WLNuZU-m8pp-a1afIc")</f>
        <v>15i1dY6hiW1m4QYwSjhx4JAOW2WLNuZU-m8pp-a1afIc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IFERROR(__xludf.DUMMYFUNCTION("""COMPUTED_VALUE"""),"1FoMj8Y6YQKmNanRt2lm2Bh_abv6-z3QHsKHrSZf0fzk")</f>
        <v>1FoMj8Y6YQKmNanRt2lm2Bh_abv6-z3QHsKHrSZf0fzk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IFERROR(__xludf.DUMMYFUNCTION("""COMPUTED_VALUE"""),"1kJHggZBmha8GLtaL5ZV_B3BS4Gwe7Lz8xw9VxE7dOZo")</f>
        <v>1kJHggZBmha8GLtaL5ZV_B3BS4Gwe7Lz8xw9VxE7dOZo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IFERROR(__xludf.DUMMYFUNCTION("""COMPUTED_VALUE"""),"1oXhOfdNQe4jyRJ2C0rhWTdFRGTIOV39EEnimfabEDfg")</f>
        <v>1oXhOfdNQe4jyRJ2C0rhWTdFRGTIOV39EEnimfabEDfg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IFERROR(__xludf.DUMMYFUNCTION("""COMPUTED_VALUE"""),"1oCioVWRpfyuyVxfO16G2yJ720gXGkma0qGlK4ZyrYg4")</f>
        <v>1oCioVWRpfyuyVxfO16G2yJ720gXGkma0qGlK4ZyrYg4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IFERROR(__xludf.DUMMYFUNCTION("""COMPUTED_VALUE"""),"10uiIcQww3gObeTuZg8B6hz4zaM4MJICGafz7PPnEHAs")</f>
        <v>10uiIcQww3gObeTuZg8B6hz4zaM4MJICGafz7PPnEHAs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IFERROR(__xludf.DUMMYFUNCTION("""COMPUTED_VALUE"""),"18Q05MSktNTIHVgTsRKNrAGtMDLi69cwqazVhf_5vGUs")</f>
        <v>18Q05MSktNTIHVgTsRKNrAGtMDLi69cwqazVhf_5vGUs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IFERROR(__xludf.DUMMYFUNCTION("""COMPUTED_VALUE"""),"1lE_cU-tlZ7oe5H_dwFeCKyUTo0QAax5WNCxb0aT0h3k")</f>
        <v>1lE_cU-tlZ7oe5H_dwFeCKyUTo0QAax5WNCxb0aT0h3k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IFERROR(__xludf.DUMMYFUNCTION("""COMPUTED_VALUE"""),"1d_eucCmN5G9f8_NiLaxsLdEikfWW-iKoCQ7vev7O0zU")</f>
        <v>1d_eucCmN5G9f8_NiLaxsLdEikfWW-iKoCQ7vev7O0zU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IFERROR(__xludf.DUMMYFUNCTION("""COMPUTED_VALUE"""),"1o5yFjfxSDwUZg4TV7tpFK_WjNSoNTnfL0wboLVCUm1c")</f>
        <v>1o5yFjfxSDwUZg4TV7tpFK_WjNSoNTnfL0wboLVCUm1c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IFERROR(__xludf.DUMMYFUNCTION("""COMPUTED_VALUE"""),"1bucapBjYv7lpkviHI-0ZpKwEa06hE9XLTYxCAkiqv1Y")</f>
        <v>1bucapBjYv7lpkviHI-0ZpKwEa06hE9XLTYxCAkiqv1Y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IFERROR(__xludf.DUMMYFUNCTION("""COMPUTED_VALUE"""),"1wpKxeuT5ngykDq8oxD8v-gkl_lDsqPEk3FXZl1BBGNU")</f>
        <v>1wpKxeuT5ngykDq8oxD8v-gkl_lDsqPEk3FXZl1BBGNU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IFERROR(__xludf.DUMMYFUNCTION("""COMPUTED_VALUE"""),"1QjBxJ-nrJcTpAkTasi94_sVisBgMGti7OMQXSW2qseQ")</f>
        <v>1QjBxJ-nrJcTpAkTasi94_sVisBgMGti7OMQXSW2qseQ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IFERROR(__xludf.DUMMYFUNCTION("""COMPUTED_VALUE"""),"1AQwPv2q79wcTa3HlFCQkHG7umwMKlkwPJ1HUBORVfsc")</f>
        <v>1AQwPv2q79wcTa3HlFCQkHG7umwMKlkwPJ1HUBORVfsc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IFERROR(__xludf.DUMMYFUNCTION("""COMPUTED_VALUE"""),"1HyQP4Vrh5_w30EPDJEhjFufpoV-ySJfmHbrzDDK_XLA")</f>
        <v>1HyQP4Vrh5_w30EPDJEhjFufpoV-ySJfmHbrzDDK_XLA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IFERROR(__xludf.DUMMYFUNCTION("""COMPUTED_VALUE"""),"1-86nRBAwVMofYmwMdMDgXGJGcmif9ZGSu6dQcsjk8mA")</f>
        <v>1-86nRBAwVMofYmwMdMDgXGJGcmif9ZGSu6dQcsjk8mA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IFERROR(__xludf.DUMMYFUNCTION("""COMPUTED_VALUE"""),"1Te-cBRFv_FKkvhELasch4HdUPvbgmGvyaL6GSm8rfJ8")</f>
        <v>1Te-cBRFv_FKkvhELasch4HdUPvbgmGvyaL6GSm8rfJ8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IFERROR(__xludf.DUMMYFUNCTION("""COMPUTED_VALUE"""),"1dJTHiT90Stsu7bgBQnfHKxlF7IvmTIhNFC2w3EdJlw0")</f>
        <v>1dJTHiT90Stsu7bgBQnfHKxlF7IvmTIhNFC2w3EdJlw0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IFERROR(__xludf.DUMMYFUNCTION("""COMPUTED_VALUE"""),"1euGFLIds_3eA9FuJ69reigrp7frEDEtKK3dBvh99T0k")</f>
        <v>1euGFLIds_3eA9FuJ69reigrp7frEDEtKK3dBvh99T0k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IFERROR(__xludf.DUMMYFUNCTION("""COMPUTED_VALUE"""),"1wafvyb438EvqeluBWDpXJE8X9Q8gOn3Ijw3caT3wgio")</f>
        <v>1wafvyb438EvqeluBWDpXJE8X9Q8gOn3Ijw3caT3wgio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IFERROR(__xludf.DUMMYFUNCTION("""COMPUTED_VALUE"""),"1l4Egceegv_mDnvE4M_HcBbuAgQh8NhlmPu_10KloWAg")</f>
        <v>1l4Egceegv_mDnvE4M_HcBbuAgQh8NhlmPu_10KloWAg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IFERROR(__xludf.DUMMYFUNCTION("""COMPUTED_VALUE"""),"19Yxtc0mG-kYgx9XiMj2EmICwIzmI7MHhVW5H8sXjfqc")</f>
        <v>19Yxtc0mG-kYgx9XiMj2EmICwIzmI7MHhVW5H8sXjfqc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IFERROR(__xludf.DUMMYFUNCTION("""COMPUTED_VALUE"""),"1leOcJPhSPuUZuc26liYTUkBEgS0ZkyPgfsQ2q70vYYU")</f>
        <v>1leOcJPhSPuUZuc26liYTUkBEgS0ZkyPgfsQ2q70vYYU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IFERROR(__xludf.DUMMYFUNCTION("""COMPUTED_VALUE"""),"1EV6M1kdYbGffiAWDGUsHZDUm9EMHjyVnQif2Bq_w5YQ")</f>
        <v>1EV6M1kdYbGffiAWDGUsHZDUm9EMHjyVnQif2Bq_w5YQ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IFERROR(__xludf.DUMMYFUNCTION("""COMPUTED_VALUE"""),"1NWy1tNLHXUklTVeScryRsYAkdc5-LJ3oDBhQkv8WT8M")</f>
        <v>1NWy1tNLHXUklTVeScryRsYAkdc5-LJ3oDBhQkv8WT8M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IFERROR(__xludf.DUMMYFUNCTION("""COMPUTED_VALUE"""),"1bVPxA0zNj_p7pg9E8mTgLU7yGIrp_WO7jQMtzLb9etg")</f>
        <v>1bVPxA0zNj_p7pg9E8mTgLU7yGIrp_WO7jQMtzLb9etg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IFERROR(__xludf.DUMMYFUNCTION("""COMPUTED_VALUE"""),"1pI0OFiaN7-udDb32hud9I-wifPd3OsRMQPJXWrVRGYE")</f>
        <v>1pI0OFiaN7-udDb32hud9I-wifPd3OsRMQPJXWrVRGYE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IFERROR(__xludf.DUMMYFUNCTION("""COMPUTED_VALUE"""),"1MR0CqV87GTUrjVmW-u4lucv_hu_DKW9AesdoirhhPoE")</f>
        <v>1MR0CqV87GTUrjVmW-u4lucv_hu_DKW9AesdoirhhPoE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IFERROR(__xludf.DUMMYFUNCTION("""COMPUTED_VALUE"""),"1VZd-w4B9IFs_jtM2q4yseIyXmK7riLhK8i1YlvU3OJ4")</f>
        <v>1VZd-w4B9IFs_jtM2q4yseIyXmK7riLhK8i1YlvU3OJ4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IFERROR(__xludf.DUMMYFUNCTION("""COMPUTED_VALUE"""),"1kyDKqBSEYxIlVdn2RdP-ZHnw5fK3SeBCqbpEqQfktbQ")</f>
        <v>1kyDKqBSEYxIlVdn2RdP-ZHnw5fK3SeBCqbpEqQfktbQ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IFERROR(__xludf.DUMMYFUNCTION("""COMPUTED_VALUE"""),"1dFUyUk6aFrwRW0TKRMWTlK9vFTp49OVXBqXSHz95DkI")</f>
        <v>1dFUyUk6aFrwRW0TKRMWTlK9vFTp49OVXBqXSHz95DkI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IFERROR(__xludf.DUMMYFUNCTION("""COMPUTED_VALUE"""),"1-xB5jbzgNDsYwxNItM2igLx6ybosKhYJDG45Cf1B00s")</f>
        <v>1-xB5jbzgNDsYwxNItM2igLx6ybosKhYJDG45Cf1B00s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IFERROR(__xludf.DUMMYFUNCTION("""COMPUTED_VALUE"""),"1j3XobpWhCBX14E7l14SxsGfD41uorXKq0Dzi78xEAl0")</f>
        <v>1j3XobpWhCBX14E7l14SxsGfD41uorXKq0Dzi78xEAl0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IFERROR(__xludf.DUMMYFUNCTION("""COMPUTED_VALUE"""),"1CGteHSn0TR35mDibHM_mvLDac-OHhb53IYGxYOU4O8c")</f>
        <v>1CGteHSn0TR35mDibHM_mvLDac-OHhb53IYGxYOU4O8c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IFERROR(__xludf.DUMMYFUNCTION("""COMPUTED_VALUE"""),"1N8yfRgpk29yJ2RajAJrKlhzej1Vm_fg2kmJVyjXLrvg")</f>
        <v>1N8yfRgpk29yJ2RajAJrKlhzej1Vm_fg2kmJVyjXLrvg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IFERROR(__xludf.DUMMYFUNCTION("""COMPUTED_VALUE"""),"1cUNtTiujid_O-E1ZKZwAgG6FILaEpJPyU8e7KNenYXI")</f>
        <v>1cUNtTiujid_O-E1ZKZwAgG6FILaEpJPyU8e7KNenYXI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IFERROR(__xludf.DUMMYFUNCTION("""COMPUTED_VALUE"""),"1WxElTsVLEdnCe639nqI7szGn5lHG-xxKjGMKw890Nxs")</f>
        <v>1WxElTsVLEdnCe639nqI7szGn5lHG-xxKjGMKw890Nxs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IFERROR(__xludf.DUMMYFUNCTION("""COMPUTED_VALUE"""),"1gMSDalyxsP_enjWpKNvUKpnf9DVP87AgNzPibA-eyb0")</f>
        <v>1gMSDalyxsP_enjWpKNvUKpnf9DVP87AgNzPibA-eyb0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IFERROR(__xludf.DUMMYFUNCTION("""COMPUTED_VALUE"""),"1XgMq7YXIsXKsvwpomSkKrDlipk4Y-ffMAHhllAES020")</f>
        <v>1XgMq7YXIsXKsvwpomSkKrDlipk4Y-ffMAHhllAES020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IFERROR(__xludf.DUMMYFUNCTION("""COMPUTED_VALUE"""),"1Ovwt1TBMu4eX_5xPIErUMp0szT3pOQv-xpOMc_u8oTQ")</f>
        <v>1Ovwt1TBMu4eX_5xPIErUMp0szT3pOQv-xpOMc_u8oTQ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IFERROR(__xludf.DUMMYFUNCTION("""COMPUTED_VALUE"""),"1MffewIlf1S9vLrAIh3aiDyNp7gGbrYIPJ5afHeDrnVY")</f>
        <v>1MffewIlf1S9vLrAIh3aiDyNp7gGbrYIPJ5afHeDrnVY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IFERROR(__xludf.DUMMYFUNCTION("""COMPUTED_VALUE"""),"1g5KDLoyLmVz3yEiZzqea5rWpYDsJy0U5SKzio29JwFw")</f>
        <v>1g5KDLoyLmVz3yEiZzqea5rWpYDsJy0U5SKzio29JwFw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IFERROR(__xludf.DUMMYFUNCTION("""COMPUTED_VALUE"""),"1OmAaisxsenYaDlJ4dEuvm14OJefiALIjp5WHk5BiW4M")</f>
        <v>1OmAaisxsenYaDlJ4dEuvm14OJefiALIjp5WHk5BiW4M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IFERROR(__xludf.DUMMYFUNCTION("""COMPUTED_VALUE"""),"1u5co1GxTETT-t-Y-D0bp3gH4_470l1tV19b2Ge9cabM")</f>
        <v>1u5co1GxTETT-t-Y-D0bp3gH4_470l1tV19b2Ge9cabM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IFERROR(__xludf.DUMMYFUNCTION("""COMPUTED_VALUE"""),"1Q0qEAvdybmeczJnkPdgP8k0_TaW0HOeRFexMckMR-18")</f>
        <v>1Q0qEAvdybmeczJnkPdgP8k0_TaW0HOeRFexMckMR-18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IFERROR(__xludf.DUMMYFUNCTION("""COMPUTED_VALUE"""),"1_wE7yP7PUnttaLCmZoDnxxzk_PFNSFCOma_pC4ViU6E")</f>
        <v>1_wE7yP7PUnttaLCmZoDnxxzk_PFNSFCOma_pC4ViU6E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IFERROR(__xludf.DUMMYFUNCTION("""COMPUTED_VALUE"""),"1JxgHW7rNshltHJ_tYhcbx1WTeF-Ge0ipf7IzTYHWuGc")</f>
        <v>1JxgHW7rNshltHJ_tYhcbx1WTeF-Ge0ipf7IzTYHWuGc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IFERROR(__xludf.DUMMYFUNCTION("""COMPUTED_VALUE"""),"1EfN5-n0Flku86UC55Hrfb0fwDOOr0WS_pPckzAO-Nuk")</f>
        <v>1EfN5-n0Flku86UC55Hrfb0fwDOOr0WS_pPckzAO-Nuk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IFERROR(__xludf.DUMMYFUNCTION("""COMPUTED_VALUE"""),"1rtkxweRxmt7T-ctvx_6DrnlqP57bpTIP6Ieul7_mP6A")</f>
        <v>1rtkxweRxmt7T-ctvx_6DrnlqP57bpTIP6Ieul7_mP6A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IFERROR(__xludf.DUMMYFUNCTION("""COMPUTED_VALUE"""),"1bYrBAoKW9vS-yV7iY_o_bSeBsS4YGKCqurg8f5zUrJ8")</f>
        <v>1bYrBAoKW9vS-yV7iY_o_bSeBsS4YGKCqurg8f5zUrJ8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IFERROR(__xludf.DUMMYFUNCTION("""COMPUTED_VALUE"""),"1jh-uMffIi0EiSv0QmaxSeDY5pD0Bo-YUzVPlNlIB5sk")</f>
        <v>1jh-uMffIi0EiSv0QmaxSeDY5pD0Bo-YUzVPlNlIB5sk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IFERROR(__xludf.DUMMYFUNCTION("""COMPUTED_VALUE"""),"18prvJHsrb-rcZzLiFugnRouMTG2v1w23-4XsA6vdq28")</f>
        <v>18prvJHsrb-rcZzLiFugnRouMTG2v1w23-4XsA6vdq28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IFERROR(__xludf.DUMMYFUNCTION("""COMPUTED_VALUE"""),"10Qkq27hhdOEj1Wsc8HDmoaYNRjZvZz3hYs_g-o2srD4")</f>
        <v>10Qkq27hhdOEj1Wsc8HDmoaYNRjZvZz3hYs_g-o2srD4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IFERROR(__xludf.DUMMYFUNCTION("""COMPUTED_VALUE"""),"12JlWbwTibBQxTu6k-LfAtZm3Ge3zv_5pTxfwGMUw41Y")</f>
        <v>12JlWbwTibBQxTu6k-LfAtZm3Ge3zv_5pTxfwGMUw41Y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IFERROR(__xludf.DUMMYFUNCTION("""COMPUTED_VALUE"""),"1y-8IjqY0F-JaHDEQlN0WPEnzbLFvyaXbrTNH8_TVTks")</f>
        <v>1y-8IjqY0F-JaHDEQlN0WPEnzbLFvyaXbrTNH8_TVTks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IFERROR(__xludf.DUMMYFUNCTION("""COMPUTED_VALUE"""),"1nR5JdSa_bHe_xGX50gs4EzgjOu_OvNU3Jr03lpqD0xw")</f>
        <v>1nR5JdSa_bHe_xGX50gs4EzgjOu_OvNU3Jr03lpqD0xw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IFERROR(__xludf.DUMMYFUNCTION("""COMPUTED_VALUE"""),"1y76YUxz2PJo3dkDwBM0DtU6wDkbeltscHEvWIbis6PU")</f>
        <v>1y76YUxz2PJo3dkDwBM0DtU6wDkbeltscHEvWIbis6PU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IFERROR(__xludf.DUMMYFUNCTION("""COMPUTED_VALUE"""),"1yt7YEJD5SbOmQGT4lGjpllft89GAxVsEpZGz0MjiwoE")</f>
        <v>1yt7YEJD5SbOmQGT4lGjpllft89GAxVsEpZGz0MjiwoE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IFERROR(__xludf.DUMMYFUNCTION("""COMPUTED_VALUE"""),"1NAb2WMfxxO3WY8IHkZpmM2CEoQJdLSaSUKkJGXbMhpM")</f>
        <v>1NAb2WMfxxO3WY8IHkZpmM2CEoQJdLSaSUKkJGXbMhpM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IFERROR(__xludf.DUMMYFUNCTION("""COMPUTED_VALUE"""),"1jzzm_gfQ-iQdhfat681yxboDYvsF3ICqvTE6xBuUuPw")</f>
        <v>1jzzm_gfQ-iQdhfat681yxboDYvsF3ICqvTE6xBuUuPw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IFERROR(__xludf.DUMMYFUNCTION("""COMPUTED_VALUE"""),"1QDVVpmU4OpSVy0QKxTmM6zg2QX4-s7c-SloWYxSfj2I")</f>
        <v>1QDVVpmU4OpSVy0QKxTmM6zg2QX4-s7c-SloWYxSfj2I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IFERROR(__xludf.DUMMYFUNCTION("""COMPUTED_VALUE"""),"1r_n-pmrLMgF_C8aeuNDr7tWOA0Y7GBcfWpC4prA7BYY")</f>
        <v>1r_n-pmrLMgF_C8aeuNDr7tWOA0Y7GBcfWpC4prA7BYY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IFERROR(__xludf.DUMMYFUNCTION("""COMPUTED_VALUE"""),"1CpQZAB4vlNmqvzO989xcBSpzc0NPLej2NvhLbdUyWTQ")</f>
        <v>1CpQZAB4vlNmqvzO989xcBSpzc0NPLej2NvhLbdUyWTQ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IFERROR(__xludf.DUMMYFUNCTION("""COMPUTED_VALUE"""),"14X5jPuAG23EQhbOfO3DylrVujon3mSElP-txsSkRnA8")</f>
        <v>14X5jPuAG23EQhbOfO3DylrVujon3mSElP-txsSkRnA8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IFERROR(__xludf.DUMMYFUNCTION("""COMPUTED_VALUE"""),"1Nhl_j0HYixYX2VQ1rak-5gFIBhJ4VoCwaftlalTj1bk")</f>
        <v>1Nhl_j0HYixYX2VQ1rak-5gFIBhJ4VoCwaftlalTj1bk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IFERROR(__xludf.DUMMYFUNCTION("""COMPUTED_VALUE"""),"18edwL6Y0tYzP2zrxa0QRcpYxjVV6krJxukXjossj_MM")</f>
        <v>18edwL6Y0tYzP2zrxa0QRcpYxjVV6krJxukXjossj_MM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IFERROR(__xludf.DUMMYFUNCTION("""COMPUTED_VALUE"""),"1rXpxTwvAlfhYJ9c_7pzI4e6qsq11B1glzjELJaxdM78")</f>
        <v>1rXpxTwvAlfhYJ9c_7pzI4e6qsq11B1glzjELJaxdM78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IFERROR(__xludf.DUMMYFUNCTION("""COMPUTED_VALUE"""),"1Ysz8uKnxRqT6F3_Q057BzV3ZZSVUtxBeQC04LlklMkA")</f>
        <v>1Ysz8uKnxRqT6F3_Q057BzV3ZZSVUtxBeQC04LlklMkA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IFERROR(__xludf.DUMMYFUNCTION("""COMPUTED_VALUE"""),"1Lo2aHDGLaNwTN4R8-xwG0BQ40lg7UQinHAGEpxz69js")</f>
        <v>1Lo2aHDGLaNwTN4R8-xwG0BQ40lg7UQinHAGEpxz69js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IFERROR(__xludf.DUMMYFUNCTION("""COMPUTED_VALUE"""),"1U6qgMqp1MPriWKxHsZuuHuHlmM-rJxqIxG5W7SUpFSg")</f>
        <v>1U6qgMqp1MPriWKxHsZuuHuHlmM-rJxqIxG5W7SUpFSg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IFERROR(__xludf.DUMMYFUNCTION("""COMPUTED_VALUE"""),"1PYf32wTc6i8YjkRz-Q53X6MYDiD5LoHyy9NsZwpOwGc")</f>
        <v>1PYf32wTc6i8YjkRz-Q53X6MYDiD5LoHyy9NsZwpOwGc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IFERROR(__xludf.DUMMYFUNCTION("""COMPUTED_VALUE"""),"1931c1Bd7mkuw8ktAOnJ1wXHqdWYL0uX2gQ9uIP2NnkI")</f>
        <v>1931c1Bd7mkuw8ktAOnJ1wXHqdWYL0uX2gQ9uIP2NnkI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IFERROR(__xludf.DUMMYFUNCTION("""COMPUTED_VALUE"""),"1nr3BA7Flp5cWiyNKfvlxJQEbl_IdNqrIInUcX8x159M")</f>
        <v>1nr3BA7Flp5cWiyNKfvlxJQEbl_IdNqrIInUcX8x159M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IFERROR(__xludf.DUMMYFUNCTION("""COMPUTED_VALUE"""),"1Jhbk5bZEf1nNxzsfiuLvF70SiNRDu-1THAWzNNwbi4Y")</f>
        <v>1Jhbk5bZEf1nNxzsfiuLvF70SiNRDu-1THAWzNNwbi4Y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IFERROR(__xludf.DUMMYFUNCTION("""COMPUTED_VALUE"""),"162dD8bZg-298j6PezrW145xv1_C6x4Isd0rGv85ZCII")</f>
        <v>162dD8bZg-298j6PezrW145xv1_C6x4Isd0rGv85ZCII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IFERROR(__xludf.DUMMYFUNCTION("""COMPUTED_VALUE"""),"1dZ1FWxsWVvPQ6jyA-ksyvErraF0tisehi5j1I2FOkRw")</f>
        <v>1dZ1FWxsWVvPQ6jyA-ksyvErraF0tisehi5j1I2FOkRw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IFERROR(__xludf.DUMMYFUNCTION("""COMPUTED_VALUE"""),"11jhyREfVfPzaKHLxIklzEiVpo7QOG5knwgpEA7Hkzto")</f>
        <v>11jhyREfVfPzaKHLxIklzEiVpo7QOG5knwgpEA7Hkzto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IFERROR(__xludf.DUMMYFUNCTION("""COMPUTED_VALUE"""),"12x8yk-qXOBJRoW8RyxDDfI4tsK-lzo85opA2CvzjQoA")</f>
        <v>12x8yk-qXOBJRoW8RyxDDfI4tsK-lzo85opA2CvzjQoA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IFERROR(__xludf.DUMMYFUNCTION("""COMPUTED_VALUE"""),"ReloadOrderFromBlotter")</f>
        <v>ReloadOrderFromBlotter</v>
      </c>
      <c r="C517" t="str">
        <f>IFERROR(__xludf.DUMMYFUNCTION("""COMPUTED_VALUE"""),"1KTgBgigwVrlQbk-675Krfsd2QqH49pqRvlWifYUtQ5g")</f>
        <v>1KTgBgigwVrlQbk-675Krfsd2QqH49pqRvlWifYUtQ5g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IFERROR(__xludf.DUMMYFUNCTION("""COMPUTED_VALUE"""),"ReloadOrderFromSubOrder")</f>
        <v>ReloadOrderFromSubOrder</v>
      </c>
      <c r="C518" t="str">
        <f>IFERROR(__xludf.DUMMYFUNCTION("""COMPUTED_VALUE"""),"1a8denPrrrZ6CU7m_5pyvuX8v3Z1WPbnkCQZRqkPZEj8")</f>
        <v>1a8denPrrrZ6CU7m_5pyvuX8v3Z1WPbnkCQZRqkPZEj8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IFERROR(__xludf.DUMMYFUNCTION("""COMPUTED_VALUE"""),"ReloadOrderFromWorkingSubs")</f>
        <v>ReloadOrderFromWorkingSubs</v>
      </c>
      <c r="C519" t="str">
        <f>IFERROR(__xludf.DUMMYFUNCTION("""COMPUTED_VALUE"""),"1Qy10BJ2vPY3GZqXNi1sf4HN4-VBeDTN2tZbIrlL9_tM")</f>
        <v>1Qy10BJ2vPY3GZqXNi1sf4HN4-VBeDTN2tZbIrlL9_tM</v>
      </c>
    </row>
    <row r="520" ht="15.75" customHeight="1">
      <c r="A520" t="str">
        <f>IFERROR(__xludf.DUMMYFUNCTION("""COMPUTED_VALUE"""),"Closing")</f>
        <v>Closing</v>
      </c>
      <c r="B520" t="str">
        <f>IFERROR(__xludf.DUMMYFUNCTION("""COMPUTED_VALUE"""),"AutoExercise")</f>
        <v>AutoExercise</v>
      </c>
      <c r="C520" t="str">
        <f>IFERROR(__xludf.DUMMYFUNCTION("""COMPUTED_VALUE"""),"1VkyCG4QZGXFJyz0uDReEN_PMiHJtUbU9MzJ18dR7djs")</f>
        <v>1VkyCG4QZGXFJyz0uDReEN_PMiHJtUbU9MzJ18dR7djs</v>
      </c>
    </row>
    <row r="521" ht="15.75" customHeight="1">
      <c r="A521" t="str">
        <f>IFERROR(__xludf.DUMMYFUNCTION("""COMPUTED_VALUE"""),"PortfolioManagement")</f>
        <v>PortfolioManagement</v>
      </c>
      <c r="B521" t="str">
        <f>IFERROR(__xludf.DUMMYFUNCTION("""COMPUTED_VALUE"""),"IncreasePositionFromPM")</f>
        <v>IncreasePositionFromPM</v>
      </c>
      <c r="C521" t="str">
        <f>IFERROR(__xludf.DUMMYFUNCTION("""COMPUTED_VALUE"""),"1xln3IHIAQBsFIP_BTRt6nFOFbhoLbe-sRdYWCguKd7k")</f>
        <v>1xln3IHIAQBsFIP_BTRt6nFOFbhoLbe-sRdYWCguKd7k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IFERROR(__xludf.DUMMYFUNCTION("""COMPUTED_VALUE"""),"AddOptionTrade")</f>
        <v>AddOptionTrade</v>
      </c>
      <c r="C522" t="str">
        <f>IFERROR(__xludf.DUMMYFUNCTION("""COMPUTED_VALUE"""),"1zk0UoVrMV0oINBkU2tXEcmh42lo2poOp5V2voemUQOc")</f>
        <v>1zk0UoVrMV0oINBkU2tXEcmh42lo2poOp5V2voemUQOc</v>
      </c>
    </row>
    <row r="523" ht="15.75" customHeight="1">
      <c r="A523" t="str">
        <f>IFERROR(__xludf.DUMMYFUNCTION("""COMPUTED_VALUE"""),"TradingTicket")</f>
        <v>TradingTicket</v>
      </c>
      <c r="B523" t="str">
        <f>IFERROR(__xludf.DUMMYFUNCTION("""COMPUTED_VALUE"""),"SendLiveBloomberg")</f>
        <v>SendLiveBloomberg</v>
      </c>
      <c r="C523" t="str">
        <f>IFERROR(__xludf.DUMMYFUNCTION("""COMPUTED_VALUE"""),"1YDY4PrQHIwjAVV7ZS5FxsT9X35VMSfx9lUFZ6KS0TT4")</f>
        <v>1YDY4PrQHIwjAVV7ZS5FxsT9X35VMSfx9lUFZ6KS0TT4</v>
      </c>
    </row>
    <row r="524" ht="15.75" customHeight="1">
      <c r="A524" t="str">
        <f>IFERROR(__xludf.DUMMYFUNCTION("""COMPUTED_VALUE"""),"Admin")</f>
        <v>Admin</v>
      </c>
      <c r="B524" t="str">
        <f>IFERROR(__xludf.DUMMYFUNCTION("""COMPUTED_VALUE"""),"UpdateExpirationDate")</f>
        <v>UpdateExpirationDate</v>
      </c>
      <c r="C524" t="str">
        <f>IFERROR(__xludf.DUMMYFUNCTION("""COMPUTED_VALUE"""),"1m5emwEeVJWl1_OB8Nsr7sbSKCTBM_edzEbP7vtPiImU")</f>
        <v>1m5emwEeVJWl1_OB8Nsr7sbSKCTBM_edzEbP7vtPiImU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IFERROR(__xludf.DUMMYFUNCTION("""COMPUTED_VALUE"""),"1siER4KgCo3rya7jG6bOEOQMJ5jolS_sgeWzVIaXVnOA")</f>
        <v>1siER4KgCo3rya7jG6bOEOQMJ5jolS_sgeWzVIaXVnOA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IFERROR(__xludf.DUMMYFUNCTION("""COMPUTED_VALUE"""),"17O0fiItP8De4QvAabOMWsJRuFVwYQ4vcaWY9LIrA4AM")</f>
        <v>17O0fiItP8De4QvAabOMWsJRuFVwYQ4vcaWY9LIrA4AM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IFERROR(__xludf.DUMMYFUNCTION("""COMPUTED_VALUE"""),"1KmDGWLo9fXILo47E7QiLk8PcgyXyPWDYLSmlv1U7OEI")</f>
        <v>1KmDGWLo9fXILo47E7QiLk8PcgyXyPWDYLSmlv1U7OEI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IFERROR(__xludf.DUMMYFUNCTION("""COMPUTED_VALUE"""),"1kjhDPh6h17F_qQ5SR_vaGjeQJ54-Cnj0LAluw9XRR9E")</f>
        <v>1kjhDPh6h17F_qQ5SR_vaGjeQJ54-Cnj0LAluw9XRR9E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IFERROR(__xludf.DUMMYFUNCTION("""COMPUTED_VALUE"""),"1oOEnrCswh1E2gMB7QLb7Kzwn1g_U9MdoUM8ZuU4xpqM")</f>
        <v>1oOEnrCswh1E2gMB7QLb7Kzwn1g_U9MdoUM8ZuU4xpqM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IFERROR(__xludf.DUMMYFUNCTION("""COMPUTED_VALUE"""),"1GFVJ-sKAde1ojd0Fe4n6uFMFg_t5ihjSGwIRBDNxnSQ")</f>
        <v>1GFVJ-sKAde1ojd0Fe4n6uFMFg_t5ihjSGwIRBDNxnSQ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IFERROR(__xludf.DUMMYFUNCTION("""COMPUTED_VALUE"""),"1fZ_P02eEi4GavSkUo3cpan_Jh4xz0OQjidMUwzCMms8")</f>
        <v>1fZ_P02eEi4GavSkUo3cpan_Jh4xz0OQjidMUwzCMms8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IFERROR(__xludf.DUMMYFUNCTION("""COMPUTED_VALUE"""),"1XGzqnk2nunw7F--MNGHLzH3F0YYmIumyegAncIZZB6k")</f>
        <v>1XGzqnk2nunw7F--MNGHLzH3F0YYmIumyegAncIZZB6k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IFERROR(__xludf.DUMMYFUNCTION("""COMPUTED_VALUE"""),"1QufyUdyJ0hiResW8bLzTI1qcoXAtWh2TTAg4KNj2kv4")</f>
        <v>1QufyUdyJ0hiResW8bLzTI1qcoXAtWh2TTAg4KNj2kv4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IFERROR(__xludf.DUMMYFUNCTION("""COMPUTED_VALUE"""),"1qQcdc8yQuKhwDznJZ6pFksOXC_DRFeEcZJNoYabCqoo")</f>
        <v>1qQcdc8yQuKhwDznJZ6pFksOXC_DRFeEcZJNoYabCqoo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IFERROR(__xludf.DUMMYFUNCTION("""COMPUTED_VALUE"""),"165ONyZgtypA9enxNYG1RIGJ0QQBpn60s9uk-ZFwfAQI")</f>
        <v>165ONyZgtypA9enxNYG1RIGJ0QQBpn60s9uk-ZFwfAQI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IFERROR(__xludf.DUMMYFUNCTION("""COMPUTED_VALUE"""),"1dO0ymjm2QUZjeMDVWKonhU6YqesW2cr7p8PLsR8JxaA")</f>
        <v>1dO0ymjm2QUZjeMDVWKonhU6YqesW2cr7p8PLsR8JxaA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IFERROR(__xludf.DUMMYFUNCTION("""COMPUTED_VALUE"""),"1elBNb12z0vBYbY9P3ZtJ0q2SWz7SHF34zwW-QQZxQH0")</f>
        <v>1elBNb12z0vBYbY9P3ZtJ0q2SWz7SHF34zwW-QQZxQH0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IFERROR(__xludf.DUMMYFUNCTION("""COMPUTED_VALUE"""),"1ZmcENUuCOmbgT4qA2jopXrJlm_NQ2yxiHmw457oO6Ks")</f>
        <v>1ZmcENUuCOmbgT4qA2jopXrJlm_NQ2yxiHmw457oO6Ks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IFERROR(__xludf.DUMMYFUNCTION("""COMPUTED_VALUE"""),"1kB5ouEy35PLGrGH3P7q6zhj1lAakSOshbaFfRSxUYuI")</f>
        <v>1kB5ouEy35PLGrGH3P7q6zhj1lAakSOshbaFfRSxUYuI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IFERROR(__xludf.DUMMYFUNCTION("""COMPUTED_VALUE"""),"1cWbQrLhcx-DBTt83fk27awIMhSdKtj7wh0dnffqkyEg")</f>
        <v>1cWbQrLhcx-DBTt83fk27awIMhSdKtj7wh0dnffqkyEg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IFERROR(__xludf.DUMMYFUNCTION("""COMPUTED_VALUE"""),"1atfQajSO79BpNABHuWDu-qwEpzSPXeTPKhLrVf3qAJQ")</f>
        <v>1atfQajSO79BpNABHuWDu-qwEpzSPXeTPKhLrVf3qAJQ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IFERROR(__xludf.DUMMYFUNCTION("""COMPUTED_VALUE"""),"1ynZmQFpgGOcXlnL_2G1gIugXpfbDTFt91dNyM50VdQI")</f>
        <v>1ynZmQFpgGOcXlnL_2G1gIugXpfbDTFt91dNyM50VdQI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IFERROR(__xludf.DUMMYFUNCTION("""COMPUTED_VALUE"""),"1iWCPXe0tXJ4PIDbwGLtBOVNSJ2s7YN4z8ZTJcr0Wuw4")</f>
        <v>1iWCPXe0tXJ4PIDbwGLtBOVNSJ2s7YN4z8ZTJcr0Wuw4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IFERROR(__xludf.DUMMYFUNCTION("""COMPUTED_VALUE"""),"EnterEquity")</f>
        <v>EnterEquity</v>
      </c>
      <c r="C544" t="str">
        <f>IFERROR(__xludf.DUMMYFUNCTION("""COMPUTED_VALUE"""),"1fz65nnl1EeQopbyOQst6wzPdLRIHU1-7mjW2sgFXCAo")</f>
        <v>1fz65nnl1EeQopbyOQst6wzPdLRIHU1-7mjW2sgFXCAo</v>
      </c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IFERROR(__xludf.DUMMYFUNCTION("""COMPUTED_VALUE"""),"RestrictedSecuritiesList")</f>
        <v>RestrictedSecuritiesList</v>
      </c>
      <c r="C5" s="28" t="str">
        <f>IFERROR(__xludf.DUMMYFUNCTION("""COMPUTED_VALUE"""),"AllowedSecuritiesList")</f>
        <v>AllowedSecuritiesList</v>
      </c>
      <c r="D5" s="28" t="str">
        <f>IFERROR(__xludf.DUMMYFUNCTION("""COMPUTED_VALUE"""),"AllowAllUserToCancelReplaceRemove")</f>
        <v>AllowAllUserToCancelReplaceRemove</v>
      </c>
      <c r="E5" s="28" t="str">
        <f>IFERROR(__xludf.DUMMYFUNCTION("""COMPUTED_VALUE"""),"MasterUserPermission")</f>
        <v>MasterUserPermission</v>
      </c>
      <c r="F5" s="29" t="str">
        <f>IFERROR(__xludf.DUMMYFUNCTION("""COMPUTED_VALUE"""),"AllowAllUserToTransferTrade")</f>
        <v>AllowAllUserToTransferTrade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/>
      <c r="C6" s="32" t="b">
        <v>1</v>
      </c>
      <c r="D6" s="31"/>
      <c r="E6" s="33"/>
      <c r="F6" s="33"/>
      <c r="G6" s="33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File")</f>
        <v>Select File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8"/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ImportSymbol!$4:$4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IFERROR(__xludf.DUMMYFUNCTION("IF(C3="""","""",Transpose(IMPORTRANGE('_Settings'!$B$3,C3&amp;""!A4:A1000"")))"),"Import")</f>
        <v>Import</v>
      </c>
      <c r="C4" s="25" t="str">
        <f>IFERROR(__xludf.DUMMYFUNCTION("""COMPUTED_VALUE"""),"SelectTransactionImportType")</f>
        <v>SelectTransactionImportType</v>
      </c>
      <c r="D4" s="25" t="str">
        <f>IFERROR(__xludf.DUMMYFUNCTION("""COMPUTED_VALUE"""),"SelectAllOnImport")</f>
        <v>SelectAllOnImport</v>
      </c>
      <c r="E4" s="25" t="str">
        <f>IFERROR(__xludf.DUMMYFUNCTION("""COMPUTED_VALUE"""),"SelectMarkPriceImportType")</f>
        <v>SelectMarkPriceImportType</v>
      </c>
      <c r="F4" s="25" t="str">
        <f>IFERROR(__xludf.DUMMYFUNCTION("""COMPUTED_VALUE"""),"SelectForexImportType")</f>
        <v>SelectForexImportType</v>
      </c>
      <c r="G4" s="25" t="str">
        <f>IFERROR(__xludf.DUMMYFUNCTION("""COMPUTED_VALUE"""),"SelectDoubleEntryCashImportType")</f>
        <v>SelectDoubleEntryCashImportType</v>
      </c>
      <c r="H4" s="25" t="str">
        <f>IFERROR(__xludf.DUMMYFUNCTION("""COMPUTED_VALUE"""),"SelectActivitiesImportType")</f>
        <v>SelectActivitiesImportType</v>
      </c>
      <c r="I4" s="25" t="str">
        <f>IFERROR(__xludf.DUMMYFUNCTION("""COMPUTED_VALUE"""),"ApplyFilterOnImport")</f>
        <v>ApplyFilterOnImport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IFERROR(__xludf.DUMMYFUNCTION("""COMPUTED_VALUE"""),"Select Date")</f>
        <v>Select Date</v>
      </c>
      <c r="D5" s="28" t="str">
        <f>IFERROR(__xludf.DUMMYFUNCTION("""COMPUTED_VALUE"""),"Date")</f>
        <v>Date</v>
      </c>
      <c r="E5" s="28" t="str">
        <f>IFERROR(__xludf.DUMMYFUNCTION("""COMPUTED_VALUE"""),"Select File")</f>
        <v>Select File</v>
      </c>
      <c r="F5" s="29" t="str">
        <f>IFERROR(__xludf.DUMMYFUNCTION("""COMPUTED_VALUE"""),"Upload ThirdParty")</f>
        <v>Upload ThirdParty</v>
      </c>
      <c r="G5" s="28" t="str">
        <f>IFERROR(__xludf.DUMMYFUNCTION("""COMPUTED_VALUE"""),"Import Type")</f>
        <v>Import Type</v>
      </c>
      <c r="H5" s="28" t="str">
        <f>IFERROR(__xludf.DUMMYFUNCTION("""COMPUTED_VALUE"""),"Import Type Format Name")</f>
        <v>Import Type Format 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5"/>
      <c r="C6" s="32" t="b">
        <v>0</v>
      </c>
      <c r="D6" s="35"/>
      <c r="E6" s="36" t="s">
        <v>20</v>
      </c>
      <c r="F6" s="36" t="s">
        <v>21</v>
      </c>
      <c r="G6" s="36" t="s">
        <v>22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Import!$4:$4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IFERROR(__xludf.DUMMYFUNCTION("IF(C3="""","""",Transpose(IMPORTRANGE('_Settings'!$B$3,C3&amp;""!A4:A1000"")))"),"Import")</f>
        <v>Import</v>
      </c>
      <c r="C4" s="25" t="str">
        <f>IFERROR(__xludf.DUMMYFUNCTION("""COMPUTED_VALUE"""),"SelectTransactionImportType")</f>
        <v>SelectTransactionImportType</v>
      </c>
      <c r="D4" s="25" t="str">
        <f>IFERROR(__xludf.DUMMYFUNCTION("""COMPUTED_VALUE"""),"SelectAllOnImport")</f>
        <v>SelectAllOnImport</v>
      </c>
      <c r="E4" s="25" t="str">
        <f>IFERROR(__xludf.DUMMYFUNCTION("""COMPUTED_VALUE"""),"SelectMarkPriceImportType")</f>
        <v>SelectMarkPriceImportType</v>
      </c>
      <c r="F4" s="25" t="str">
        <f>IFERROR(__xludf.DUMMYFUNCTION("""COMPUTED_VALUE"""),"SelectForexImportType")</f>
        <v>SelectForexImportType</v>
      </c>
      <c r="G4" s="25" t="str">
        <f>IFERROR(__xludf.DUMMYFUNCTION("""COMPUTED_VALUE"""),"SelectDoubleEntryCashImportType")</f>
        <v>SelectDoubleEntryCashImportType</v>
      </c>
      <c r="H4" s="25" t="str">
        <f>IFERROR(__xludf.DUMMYFUNCTION("""COMPUTED_VALUE"""),"SelectActivitiesImportType")</f>
        <v>SelectActivitiesImportType</v>
      </c>
      <c r="I4" s="25" t="str">
        <f>IFERROR(__xludf.DUMMYFUNCTION("""COMPUTED_VALUE"""),"ApplyFilterOnImport")</f>
        <v>ApplyFilterOnImport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IFERROR(__xludf.DUMMYFUNCTION("""COMPUTED_VALUE"""),"Import Type")</f>
        <v>Import Type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 t="s">
        <v>22</v>
      </c>
      <c r="C6" s="8"/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SelectAllOnImport!$4:$4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IFERROR(__xludf.DUMMYFUNCTION("""COMPUTED_VALUE"""),"RestrictedSecuritiesList")</f>
        <v>RestrictedSecuritiesList</v>
      </c>
      <c r="C5" s="28" t="str">
        <f>IFERROR(__xludf.DUMMYFUNCTION("""COMPUTED_VALUE"""),"AllowedSecuritiesList")</f>
        <v>AllowedSecuritiesList</v>
      </c>
      <c r="D5" s="28" t="str">
        <f>IFERROR(__xludf.DUMMYFUNCTION("""COMPUTED_VALUE"""),"AllowAllUserToCancelReplaceRemove")</f>
        <v>AllowAllUserToCancelReplaceRemove</v>
      </c>
      <c r="E5" s="28" t="str">
        <f>IFERROR(__xludf.DUMMYFUNCTION("""COMPUTED_VALUE"""),"MasterUserPermission")</f>
        <v>MasterUserPermission</v>
      </c>
      <c r="F5" s="29" t="str">
        <f>IFERROR(__xludf.DUMMYFUNCTION("""COMPUTED_VALUE"""),"AllowAllUserToTransferTrade")</f>
        <v>AllowAllUserToTransferTrade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SetTTGeneralPreferences1!$4:$4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File")</f>
        <v>Select File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8"/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ImportSymbol1!$4:$4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IFERROR(__xludf.DUMMYFUNCTION("IF(C3="""","""",Transpose(IMPORTRANGE('_Settings'!$B$3,C3&amp;""!A4:A1000"")))"),"Import")</f>
        <v>Import</v>
      </c>
      <c r="C4" s="25" t="str">
        <f>IFERROR(__xludf.DUMMYFUNCTION("""COMPUTED_VALUE"""),"SelectTransactionImportType")</f>
        <v>SelectTransactionImportType</v>
      </c>
      <c r="D4" s="25" t="str">
        <f>IFERROR(__xludf.DUMMYFUNCTION("""COMPUTED_VALUE"""),"SelectAllOnImport")</f>
        <v>SelectAllOnImport</v>
      </c>
      <c r="E4" s="25" t="str">
        <f>IFERROR(__xludf.DUMMYFUNCTION("""COMPUTED_VALUE"""),"SelectMarkPriceImportType")</f>
        <v>SelectMarkPriceImportType</v>
      </c>
      <c r="F4" s="25" t="str">
        <f>IFERROR(__xludf.DUMMYFUNCTION("""COMPUTED_VALUE"""),"SelectForexImportType")</f>
        <v>SelectForexImportType</v>
      </c>
      <c r="G4" s="25" t="str">
        <f>IFERROR(__xludf.DUMMYFUNCTION("""COMPUTED_VALUE"""),"SelectDoubleEntryCashImportType")</f>
        <v>SelectDoubleEntryCashImportType</v>
      </c>
      <c r="H4" s="25" t="str">
        <f>IFERROR(__xludf.DUMMYFUNCTION("""COMPUTED_VALUE"""),"SelectActivitiesImportType")</f>
        <v>SelectActivitiesImportType</v>
      </c>
      <c r="I4" s="25" t="str">
        <f>IFERROR(__xludf.DUMMYFUNCTION("""COMPUTED_VALUE"""),"ApplyFilterOnImport")</f>
        <v>ApplyFilterOnImport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IFERROR(__xludf.DUMMYFUNCTION("""COMPUTED_VALUE"""),"Select Date")</f>
        <v>Select Date</v>
      </c>
      <c r="D5" s="28" t="str">
        <f>IFERROR(__xludf.DUMMYFUNCTION("""COMPUTED_VALUE"""),"Date")</f>
        <v>Date</v>
      </c>
      <c r="E5" s="28" t="str">
        <f>IFERROR(__xludf.DUMMYFUNCTION("""COMPUTED_VALUE"""),"Select File")</f>
        <v>Select File</v>
      </c>
      <c r="F5" s="29" t="str">
        <f>IFERROR(__xludf.DUMMYFUNCTION("""COMPUTED_VALUE"""),"Upload ThirdParty")</f>
        <v>Upload ThirdParty</v>
      </c>
      <c r="G5" s="28" t="str">
        <f>IFERROR(__xludf.DUMMYFUNCTION("""COMPUTED_VALUE"""),"Import Type")</f>
        <v>Import Type</v>
      </c>
      <c r="H5" s="28" t="str">
        <f>IFERROR(__xludf.DUMMYFUNCTION("""COMPUTED_VALUE"""),"Import Type Format Name")</f>
        <v>Import Type Format 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5"/>
      <c r="C6" s="32" t="b">
        <v>0</v>
      </c>
      <c r="D6" s="35"/>
      <c r="E6" s="36" t="s">
        <v>20</v>
      </c>
      <c r="F6" s="36" t="s">
        <v>21</v>
      </c>
      <c r="G6" s="36" t="s">
        <v>22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Import1!$4:$4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IFERROR(__xludf.DUMMYFUNCTION("IF(C3="""","""",Transpose(IMPORTRANGE('_Settings'!$B$3,C3&amp;""!A4:A1000"")))"),"Import")</f>
        <v>Import</v>
      </c>
      <c r="C4" s="25" t="str">
        <f>IFERROR(__xludf.DUMMYFUNCTION("""COMPUTED_VALUE"""),"SelectTransactionImportType")</f>
        <v>SelectTransactionImportType</v>
      </c>
      <c r="D4" s="25" t="str">
        <f>IFERROR(__xludf.DUMMYFUNCTION("""COMPUTED_VALUE"""),"SelectAllOnImport")</f>
        <v>SelectAllOnImport</v>
      </c>
      <c r="E4" s="25" t="str">
        <f>IFERROR(__xludf.DUMMYFUNCTION("""COMPUTED_VALUE"""),"SelectMarkPriceImportType")</f>
        <v>SelectMarkPriceImportType</v>
      </c>
      <c r="F4" s="25" t="str">
        <f>IFERROR(__xludf.DUMMYFUNCTION("""COMPUTED_VALUE"""),"SelectForexImportType")</f>
        <v>SelectForexImportType</v>
      </c>
      <c r="G4" s="25" t="str">
        <f>IFERROR(__xludf.DUMMYFUNCTION("""COMPUTED_VALUE"""),"SelectDoubleEntryCashImportType")</f>
        <v>SelectDoubleEntryCashImportType</v>
      </c>
      <c r="H4" s="25" t="str">
        <f>IFERROR(__xludf.DUMMYFUNCTION("""COMPUTED_VALUE"""),"SelectActivitiesImportType")</f>
        <v>SelectActivitiesImportType</v>
      </c>
      <c r="I4" s="25" t="str">
        <f>IFERROR(__xludf.DUMMYFUNCTION("""COMPUTED_VALUE"""),"ApplyFilterOnImport")</f>
        <v>ApplyFilterOnImport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IFERROR(__xludf.DUMMYFUNCTION("""COMPUTED_VALUE"""),"Import Type")</f>
        <v>Import Type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 t="s">
        <v>22</v>
      </c>
      <c r="C6" s="8"/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SelectAllOnImport1!$4:$4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37">
        <v>43905.0</v>
      </c>
      <c r="D6" s="37">
        <v>44270.0</v>
      </c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8" t="s">
        <v>28</v>
      </c>
      <c r="C6" s="38" t="s">
        <v>29</v>
      </c>
      <c r="D6" s="8"/>
      <c r="E6" s="39">
        <v>100.0</v>
      </c>
      <c r="F6" s="38" t="s">
        <v>30</v>
      </c>
      <c r="G6" s="38" t="s">
        <v>31</v>
      </c>
      <c r="H6" s="8"/>
      <c r="I6" s="8"/>
      <c r="J6" s="8"/>
      <c r="K6" s="39">
        <v>10.0</v>
      </c>
      <c r="L6" s="39">
        <v>10.0</v>
      </c>
      <c r="M6" s="38" t="s">
        <v>32</v>
      </c>
      <c r="N6" s="38" t="s">
        <v>33</v>
      </c>
      <c r="O6" s="8"/>
      <c r="Z6" s="38" t="s">
        <v>34</v>
      </c>
      <c r="AD6" s="38" t="s">
        <v>31</v>
      </c>
      <c r="AE6" s="39">
        <v>100.0</v>
      </c>
      <c r="AT6" s="40">
        <v>1000.0</v>
      </c>
      <c r="AU6" s="39">
        <v>100.0</v>
      </c>
      <c r="BJ6" s="39">
        <v>100.0</v>
      </c>
      <c r="BO6" s="38" t="s">
        <v>35</v>
      </c>
      <c r="BT6" s="38" t="s">
        <v>36</v>
      </c>
    </row>
    <row r="7" ht="15.75" customHeight="1">
      <c r="A7" s="8"/>
      <c r="B7" s="38" t="s">
        <v>28</v>
      </c>
      <c r="C7" s="38" t="s">
        <v>29</v>
      </c>
      <c r="D7" s="8"/>
      <c r="E7" s="39">
        <v>150.0</v>
      </c>
      <c r="F7" s="38" t="s">
        <v>30</v>
      </c>
      <c r="G7" s="38" t="s">
        <v>37</v>
      </c>
      <c r="H7" s="8"/>
      <c r="I7" s="8"/>
      <c r="J7" s="8"/>
      <c r="K7" s="39">
        <v>15.0</v>
      </c>
      <c r="L7" s="39">
        <v>15.0</v>
      </c>
      <c r="M7" s="38" t="s">
        <v>38</v>
      </c>
      <c r="N7" s="38" t="s">
        <v>33</v>
      </c>
      <c r="O7" s="8"/>
      <c r="Z7" s="38" t="s">
        <v>39</v>
      </c>
      <c r="AD7" s="38" t="s">
        <v>40</v>
      </c>
      <c r="AE7" s="39">
        <v>150.0</v>
      </c>
      <c r="AT7" s="40">
        <v>225000.0</v>
      </c>
      <c r="AU7" s="40">
        <v>225000.0</v>
      </c>
      <c r="BJ7" s="39">
        <v>150.0</v>
      </c>
      <c r="BO7" s="38" t="s">
        <v>41</v>
      </c>
      <c r="BT7" s="38" t="s">
        <v>42</v>
      </c>
    </row>
    <row r="8" ht="15.75" customHeight="1">
      <c r="A8" s="8"/>
      <c r="B8" s="38" t="s">
        <v>28</v>
      </c>
      <c r="C8" s="38" t="s">
        <v>29</v>
      </c>
      <c r="D8" s="8"/>
      <c r="E8" s="39">
        <v>150.0</v>
      </c>
      <c r="F8" s="38" t="s">
        <v>30</v>
      </c>
      <c r="G8" s="38" t="s">
        <v>37</v>
      </c>
      <c r="H8" s="8"/>
      <c r="I8" s="8"/>
      <c r="J8" s="8"/>
      <c r="K8" s="39">
        <v>15.0</v>
      </c>
      <c r="L8" s="39">
        <v>15.0</v>
      </c>
      <c r="M8" s="38" t="s">
        <v>38</v>
      </c>
      <c r="N8" s="38" t="s">
        <v>33</v>
      </c>
      <c r="O8" s="8"/>
      <c r="Z8" s="38" t="s">
        <v>39</v>
      </c>
      <c r="AD8" s="38" t="s">
        <v>40</v>
      </c>
      <c r="AE8" s="39">
        <v>150.0</v>
      </c>
      <c r="AT8" s="40">
        <v>225000.0</v>
      </c>
      <c r="AU8" s="40">
        <v>225000.0</v>
      </c>
      <c r="BJ8" s="39">
        <v>150.0</v>
      </c>
      <c r="BO8" s="38" t="s">
        <v>41</v>
      </c>
      <c r="BT8" s="38" t="s">
        <v>42</v>
      </c>
    </row>
    <row r="9" ht="15.75" customHeight="1">
      <c r="A9" s="8"/>
      <c r="B9" s="38" t="s">
        <v>28</v>
      </c>
      <c r="C9" s="38" t="s">
        <v>29</v>
      </c>
      <c r="D9" s="8"/>
      <c r="E9" s="39">
        <v>200.0</v>
      </c>
      <c r="F9" s="38" t="s">
        <v>30</v>
      </c>
      <c r="G9" s="38" t="s">
        <v>43</v>
      </c>
      <c r="H9" s="8"/>
      <c r="I9" s="8"/>
      <c r="J9" s="8"/>
      <c r="K9" s="39">
        <v>20.0</v>
      </c>
      <c r="L9" s="39">
        <v>20.0</v>
      </c>
      <c r="M9" s="38" t="s">
        <v>44</v>
      </c>
      <c r="N9" s="38" t="s">
        <v>33</v>
      </c>
      <c r="O9" s="8"/>
      <c r="Z9" s="38" t="s">
        <v>39</v>
      </c>
      <c r="AD9" s="38" t="s">
        <v>45</v>
      </c>
      <c r="AE9" s="39">
        <v>200.0</v>
      </c>
      <c r="AT9" s="40">
        <v>4000.0</v>
      </c>
      <c r="AU9" s="40">
        <v>4000.0</v>
      </c>
      <c r="BJ9" s="39">
        <v>200.0</v>
      </c>
      <c r="BO9" s="38" t="s">
        <v>35</v>
      </c>
      <c r="BT9" s="38" t="s">
        <v>46</v>
      </c>
    </row>
    <row r="10" ht="15.75" customHeight="1">
      <c r="A10" s="8"/>
      <c r="B10" s="38" t="s">
        <v>28</v>
      </c>
      <c r="C10" s="38" t="s">
        <v>29</v>
      </c>
      <c r="D10" s="8"/>
      <c r="E10" s="39">
        <v>100.0</v>
      </c>
      <c r="F10" s="38" t="s">
        <v>30</v>
      </c>
      <c r="G10" s="38" t="s">
        <v>31</v>
      </c>
      <c r="H10" s="8"/>
      <c r="I10" s="8"/>
      <c r="J10" s="8"/>
      <c r="K10" s="39">
        <v>10.0</v>
      </c>
      <c r="L10" s="39">
        <v>10.0</v>
      </c>
      <c r="M10" s="38" t="s">
        <v>32</v>
      </c>
      <c r="N10" s="38" t="s">
        <v>33</v>
      </c>
      <c r="O10" s="8"/>
      <c r="Z10" s="38" t="s">
        <v>34</v>
      </c>
      <c r="AD10" s="38" t="s">
        <v>31</v>
      </c>
      <c r="AE10" s="39">
        <v>100.0</v>
      </c>
      <c r="AT10" s="40">
        <v>1000.0</v>
      </c>
      <c r="AU10" s="39">
        <v>100.0</v>
      </c>
      <c r="BJ10" s="39">
        <v>100.0</v>
      </c>
      <c r="BO10" s="38" t="s">
        <v>35</v>
      </c>
      <c r="BT10" s="38" t="s">
        <v>36</v>
      </c>
    </row>
    <row r="11" ht="15.75" customHeight="1">
      <c r="A11" s="8"/>
      <c r="B11" s="38" t="s">
        <v>28</v>
      </c>
      <c r="C11" s="38" t="s">
        <v>29</v>
      </c>
      <c r="D11" s="8"/>
      <c r="E11" s="39">
        <v>200.0</v>
      </c>
      <c r="F11" s="38" t="s">
        <v>30</v>
      </c>
      <c r="G11" s="38" t="s">
        <v>43</v>
      </c>
      <c r="H11" s="8"/>
      <c r="I11" s="8"/>
      <c r="J11" s="8"/>
      <c r="K11" s="39">
        <v>20.0</v>
      </c>
      <c r="L11" s="39">
        <v>20.0</v>
      </c>
      <c r="M11" s="38" t="s">
        <v>44</v>
      </c>
      <c r="N11" s="38" t="s">
        <v>33</v>
      </c>
      <c r="O11" s="8"/>
      <c r="Z11" s="38" t="s">
        <v>39</v>
      </c>
      <c r="AD11" s="38" t="s">
        <v>45</v>
      </c>
      <c r="AE11" s="39">
        <v>200.0</v>
      </c>
      <c r="AT11" s="40">
        <v>4000.0</v>
      </c>
      <c r="AU11" s="40">
        <v>4000.0</v>
      </c>
      <c r="BJ11" s="39">
        <v>200.0</v>
      </c>
      <c r="BO11" s="38" t="s">
        <v>35</v>
      </c>
      <c r="BT11" s="38" t="s">
        <v>46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41"/>
      <c r="L12" s="41"/>
      <c r="M12" s="41"/>
      <c r="N12" s="41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68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</row>
    <row r="6" ht="15.75" customHeight="1">
      <c r="A6" s="13"/>
      <c r="B6" s="42"/>
      <c r="C6" s="42" t="s">
        <v>46</v>
      </c>
      <c r="D6" s="43">
        <v>200.0</v>
      </c>
      <c r="E6" s="42" t="s">
        <v>28</v>
      </c>
      <c r="F6" s="42" t="s">
        <v>49</v>
      </c>
      <c r="G6" s="43">
        <v>20.0</v>
      </c>
      <c r="H6" s="42" t="s">
        <v>50</v>
      </c>
      <c r="I6" s="43">
        <v>0.0</v>
      </c>
      <c r="J6" s="42"/>
      <c r="K6" s="43">
        <v>0.0</v>
      </c>
      <c r="L6" s="42"/>
      <c r="M6" s="42"/>
      <c r="N6" s="43">
        <v>-4000.0</v>
      </c>
      <c r="O6" s="42"/>
      <c r="P6" s="42" t="s">
        <v>51</v>
      </c>
      <c r="Q6" s="44">
        <v>-4000.0</v>
      </c>
      <c r="R6" s="42"/>
      <c r="S6" s="42"/>
      <c r="T6" s="45" t="s">
        <v>43</v>
      </c>
      <c r="U6" s="45" t="s">
        <v>52</v>
      </c>
      <c r="V6" s="45" t="s">
        <v>45</v>
      </c>
      <c r="W6" s="45" t="s">
        <v>39</v>
      </c>
      <c r="X6" s="45"/>
      <c r="Y6" s="46">
        <v>1.0</v>
      </c>
      <c r="Z6" s="45"/>
      <c r="AA6" s="45"/>
      <c r="AB6" s="46">
        <v>0.0</v>
      </c>
      <c r="AC6" s="46">
        <v>0.0</v>
      </c>
      <c r="AD6" s="46">
        <v>0.0</v>
      </c>
      <c r="AE6" s="46">
        <v>0.0</v>
      </c>
      <c r="AF6" s="46">
        <v>200.0</v>
      </c>
      <c r="AG6" s="46">
        <v>0.0</v>
      </c>
      <c r="AH6" s="46">
        <v>0.0</v>
      </c>
      <c r="AI6" s="46">
        <v>0.0</v>
      </c>
      <c r="AJ6" s="46">
        <v>0.0</v>
      </c>
      <c r="AK6" s="46">
        <v>-4000.0</v>
      </c>
      <c r="AL6" s="46">
        <v>1.0</v>
      </c>
      <c r="AM6" s="46">
        <v>1.0</v>
      </c>
      <c r="AN6" s="45" t="s">
        <v>35</v>
      </c>
      <c r="AO6" s="45"/>
      <c r="AP6" s="45" t="s">
        <v>53</v>
      </c>
      <c r="AQ6" s="45" t="s">
        <v>46</v>
      </c>
      <c r="AR6" s="46">
        <v>0.0</v>
      </c>
      <c r="AS6" s="46">
        <v>1.0</v>
      </c>
      <c r="AT6" s="45"/>
      <c r="AU6" s="45"/>
      <c r="AV6" s="46">
        <v>1.0</v>
      </c>
      <c r="AW6" s="46">
        <v>-4000.0</v>
      </c>
      <c r="AX6" s="46">
        <v>0.0</v>
      </c>
      <c r="AY6" s="46">
        <v>0.0</v>
      </c>
      <c r="AZ6" s="46">
        <v>0.0</v>
      </c>
      <c r="BA6" s="46">
        <v>-100.0</v>
      </c>
      <c r="BB6" s="45"/>
      <c r="BC6" s="46">
        <v>1.0</v>
      </c>
      <c r="BD6" s="46">
        <v>-4000.0</v>
      </c>
      <c r="BE6" s="45"/>
      <c r="BF6" s="45"/>
      <c r="BG6" s="45"/>
      <c r="BH6" s="45"/>
      <c r="BI6" s="45"/>
      <c r="BJ6" s="46">
        <v>0.0</v>
      </c>
      <c r="BK6" s="46">
        <v>0.0</v>
      </c>
      <c r="BL6" s="46">
        <v>0.0</v>
      </c>
      <c r="BM6" s="46">
        <v>0.0</v>
      </c>
      <c r="BN6" s="45"/>
      <c r="BO6" s="46">
        <v>-4000.0</v>
      </c>
      <c r="BP6" s="45"/>
      <c r="BQ6" s="45"/>
      <c r="BR6" s="45"/>
      <c r="BS6" s="46">
        <v>0.0</v>
      </c>
      <c r="BT6" s="46">
        <v>0.0</v>
      </c>
      <c r="BU6" s="45" t="s">
        <v>43</v>
      </c>
      <c r="BV6" s="45"/>
      <c r="BW6" s="46">
        <v>0.0</v>
      </c>
      <c r="BX6" s="46">
        <v>0.0</v>
      </c>
      <c r="BY6" s="46">
        <v>0.0</v>
      </c>
      <c r="BZ6" s="46">
        <v>0.0</v>
      </c>
      <c r="CA6" s="46">
        <v>0.0</v>
      </c>
      <c r="CB6" s="45"/>
      <c r="CC6" s="46">
        <v>0.0</v>
      </c>
      <c r="CD6" s="46">
        <v>-4000.0</v>
      </c>
      <c r="CE6" s="46">
        <v>0.0</v>
      </c>
      <c r="CF6" s="46">
        <v>0.0</v>
      </c>
      <c r="CG6" s="46">
        <v>-4000.0</v>
      </c>
      <c r="CH6" s="46">
        <v>-100.0</v>
      </c>
      <c r="CI6" s="46">
        <v>0.0</v>
      </c>
      <c r="CJ6" s="46">
        <v>0.0</v>
      </c>
      <c r="CK6" s="45"/>
      <c r="CL6" s="45"/>
      <c r="CM6" s="45"/>
      <c r="CN6" s="45"/>
      <c r="CO6" s="45"/>
      <c r="CP6" s="45"/>
      <c r="CQ6" s="45"/>
      <c r="CR6" s="45"/>
      <c r="CS6" s="45"/>
      <c r="CT6" s="45"/>
      <c r="CU6" s="45"/>
      <c r="CV6" s="45"/>
      <c r="CW6" s="45"/>
      <c r="CX6" s="45"/>
      <c r="CY6" s="45"/>
      <c r="CZ6" s="45"/>
      <c r="DA6" s="45"/>
      <c r="DB6" s="45"/>
      <c r="DC6" s="45"/>
      <c r="DD6" s="45"/>
      <c r="DE6" s="45"/>
      <c r="DF6" s="45"/>
      <c r="DG6" s="45"/>
      <c r="DH6" s="45"/>
      <c r="DI6" s="45"/>
      <c r="DJ6" s="45"/>
      <c r="DK6" s="45"/>
      <c r="DL6" s="45"/>
      <c r="DM6" s="45"/>
      <c r="DN6" s="45"/>
      <c r="DO6" s="45"/>
      <c r="DP6" s="45"/>
      <c r="DQ6" s="45"/>
      <c r="DR6" s="45"/>
      <c r="DS6" s="45"/>
      <c r="DT6" s="45"/>
      <c r="DU6" s="45"/>
      <c r="DV6" s="45"/>
      <c r="DW6" s="45"/>
      <c r="DX6" s="45"/>
      <c r="DY6" s="45"/>
      <c r="DZ6" s="45"/>
      <c r="EA6" s="45"/>
    </row>
    <row r="7" ht="15.75" customHeight="1">
      <c r="A7" s="8"/>
      <c r="B7" s="45"/>
      <c r="C7" s="45" t="s">
        <v>42</v>
      </c>
      <c r="D7" s="47">
        <v>-150.0</v>
      </c>
      <c r="E7" s="45" t="s">
        <v>28</v>
      </c>
      <c r="F7" s="45" t="s">
        <v>49</v>
      </c>
      <c r="G7" s="47">
        <v>15.0</v>
      </c>
      <c r="H7" s="45" t="s">
        <v>54</v>
      </c>
      <c r="I7" s="47">
        <v>0.0</v>
      </c>
      <c r="J7" s="45"/>
      <c r="K7" s="47">
        <v>0.0</v>
      </c>
      <c r="L7" s="45"/>
      <c r="M7" s="45"/>
      <c r="N7" s="47">
        <v>225000.0</v>
      </c>
      <c r="O7" s="45"/>
      <c r="P7" s="45" t="s">
        <v>51</v>
      </c>
      <c r="Q7" s="46">
        <v>225000.0</v>
      </c>
      <c r="R7" s="45"/>
      <c r="S7" s="45"/>
      <c r="T7" s="45" t="s">
        <v>37</v>
      </c>
      <c r="U7" s="45" t="s">
        <v>52</v>
      </c>
      <c r="V7" s="45" t="s">
        <v>40</v>
      </c>
      <c r="W7" s="45" t="s">
        <v>39</v>
      </c>
      <c r="X7" s="45"/>
      <c r="Y7" s="46">
        <v>1.0</v>
      </c>
      <c r="Z7" s="45"/>
      <c r="AA7" s="45"/>
      <c r="AB7" s="46">
        <v>0.0</v>
      </c>
      <c r="AC7" s="46">
        <v>0.0</v>
      </c>
      <c r="AD7" s="46">
        <v>0.0</v>
      </c>
      <c r="AE7" s="46">
        <v>0.0</v>
      </c>
      <c r="AF7" s="46">
        <v>0.0</v>
      </c>
      <c r="AG7" s="46">
        <v>0.0</v>
      </c>
      <c r="AH7" s="46">
        <v>0.0</v>
      </c>
      <c r="AI7" s="46">
        <v>0.0</v>
      </c>
      <c r="AJ7" s="46">
        <v>0.0</v>
      </c>
      <c r="AK7" s="46">
        <v>225000.0</v>
      </c>
      <c r="AL7" s="46">
        <v>0.0</v>
      </c>
      <c r="AM7" s="46">
        <v>1.0</v>
      </c>
      <c r="AN7" s="45" t="s">
        <v>41</v>
      </c>
      <c r="AO7" s="45"/>
      <c r="AP7" s="45" t="s">
        <v>53</v>
      </c>
      <c r="AQ7" s="45" t="s">
        <v>55</v>
      </c>
      <c r="AR7" s="46">
        <v>0.0</v>
      </c>
      <c r="AS7" s="46">
        <v>-1.0</v>
      </c>
      <c r="AT7" s="45"/>
      <c r="AU7" s="45"/>
      <c r="AV7" s="46">
        <v>1.0</v>
      </c>
      <c r="AW7" s="46">
        <v>225000.0</v>
      </c>
      <c r="AX7" s="46">
        <v>0.0</v>
      </c>
      <c r="AY7" s="46">
        <v>0.0</v>
      </c>
      <c r="AZ7" s="46">
        <v>0.0</v>
      </c>
      <c r="BA7" s="46">
        <v>100.0</v>
      </c>
      <c r="BB7" s="45"/>
      <c r="BC7" s="46">
        <v>1.0</v>
      </c>
      <c r="BD7" s="46">
        <v>225000.0</v>
      </c>
      <c r="BE7" s="45"/>
      <c r="BF7" s="45"/>
      <c r="BG7" s="45"/>
      <c r="BH7" s="45"/>
      <c r="BI7" s="45"/>
      <c r="BJ7" s="46">
        <v>0.0</v>
      </c>
      <c r="BK7" s="46">
        <v>0.0</v>
      </c>
      <c r="BL7" s="46">
        <v>0.0</v>
      </c>
      <c r="BM7" s="46">
        <v>0.0</v>
      </c>
      <c r="BN7" s="45"/>
      <c r="BO7" s="46">
        <v>225000.0</v>
      </c>
      <c r="BP7" s="45"/>
      <c r="BQ7" s="45"/>
      <c r="BR7" s="45"/>
      <c r="BS7" s="46">
        <v>0.0</v>
      </c>
      <c r="BT7" s="46">
        <v>0.0</v>
      </c>
      <c r="BU7" s="45" t="s">
        <v>56</v>
      </c>
      <c r="BV7" s="45"/>
      <c r="BW7" s="46">
        <v>95.0</v>
      </c>
      <c r="BX7" s="46">
        <v>0.0</v>
      </c>
      <c r="BY7" s="46">
        <v>0.0</v>
      </c>
      <c r="BZ7" s="46">
        <v>0.0</v>
      </c>
      <c r="CA7" s="46">
        <v>0.0</v>
      </c>
      <c r="CB7" s="45"/>
      <c r="CC7" s="46">
        <v>0.0</v>
      </c>
      <c r="CD7" s="46">
        <v>225000.0</v>
      </c>
      <c r="CE7" s="46">
        <v>0.0</v>
      </c>
      <c r="CF7" s="46">
        <v>0.0</v>
      </c>
      <c r="CG7" s="46">
        <v>225000.0</v>
      </c>
      <c r="CH7" s="46">
        <v>100.0</v>
      </c>
      <c r="CI7" s="46">
        <v>0.0</v>
      </c>
      <c r="CJ7" s="46">
        <v>0.0</v>
      </c>
      <c r="CK7" s="45"/>
      <c r="CL7" s="45"/>
      <c r="CM7" s="45"/>
      <c r="CN7" s="45"/>
      <c r="CO7" s="45"/>
      <c r="CP7" s="45"/>
      <c r="CQ7" s="45"/>
      <c r="CR7" s="45"/>
      <c r="CS7" s="45"/>
      <c r="CT7" s="45"/>
      <c r="CU7" s="45"/>
      <c r="CV7" s="45"/>
      <c r="CW7" s="45"/>
      <c r="CX7" s="45"/>
      <c r="CY7" s="45"/>
      <c r="CZ7" s="45"/>
      <c r="DA7" s="45"/>
      <c r="DB7" s="45"/>
      <c r="DC7" s="45"/>
      <c r="DD7" s="45"/>
      <c r="DE7" s="45"/>
      <c r="DF7" s="45"/>
      <c r="DG7" s="45"/>
      <c r="DH7" s="45"/>
      <c r="DI7" s="45"/>
      <c r="DJ7" s="45"/>
      <c r="DK7" s="45"/>
      <c r="DL7" s="45"/>
      <c r="DM7" s="45"/>
      <c r="DN7" s="45"/>
      <c r="DO7" s="45"/>
      <c r="DP7" s="45"/>
      <c r="DQ7" s="45"/>
      <c r="DR7" s="45"/>
      <c r="DS7" s="45"/>
      <c r="DT7" s="45"/>
      <c r="DU7" s="45"/>
      <c r="DV7" s="45"/>
      <c r="DW7" s="45"/>
      <c r="DX7" s="45"/>
      <c r="DY7" s="45"/>
      <c r="DZ7" s="45"/>
      <c r="EA7" s="45"/>
    </row>
    <row r="8" ht="15.75" customHeight="1">
      <c r="A8" s="8"/>
      <c r="B8" s="45"/>
      <c r="C8" s="45" t="s">
        <v>57</v>
      </c>
      <c r="D8" s="47">
        <v>100.0</v>
      </c>
      <c r="E8" s="45" t="s">
        <v>58</v>
      </c>
      <c r="F8" s="45" t="s">
        <v>59</v>
      </c>
      <c r="G8" s="47">
        <v>10.0</v>
      </c>
      <c r="H8" s="45" t="s">
        <v>50</v>
      </c>
      <c r="I8" s="47">
        <v>0.0</v>
      </c>
      <c r="J8" s="45"/>
      <c r="K8" s="47">
        <v>0.0</v>
      </c>
      <c r="L8" s="45"/>
      <c r="M8" s="45"/>
      <c r="N8" s="47">
        <v>-1000.0</v>
      </c>
      <c r="O8" s="45"/>
      <c r="P8" s="45" t="s">
        <v>51</v>
      </c>
      <c r="Q8" s="46">
        <v>-1000.0</v>
      </c>
      <c r="R8" s="45"/>
      <c r="S8" s="45"/>
      <c r="T8" s="45" t="s">
        <v>43</v>
      </c>
      <c r="U8" s="45" t="s">
        <v>52</v>
      </c>
      <c r="V8" s="45" t="s">
        <v>45</v>
      </c>
      <c r="W8" s="45" t="s">
        <v>39</v>
      </c>
      <c r="X8" s="45"/>
      <c r="Y8" s="46">
        <v>1.0</v>
      </c>
      <c r="Z8" s="45"/>
      <c r="AA8" s="45"/>
      <c r="AB8" s="46">
        <v>0.0</v>
      </c>
      <c r="AC8" s="46">
        <v>0.0</v>
      </c>
      <c r="AD8" s="46">
        <v>0.0</v>
      </c>
      <c r="AE8" s="46">
        <v>0.0</v>
      </c>
      <c r="AF8" s="46">
        <v>100.0</v>
      </c>
      <c r="AG8" s="46">
        <v>0.0</v>
      </c>
      <c r="AH8" s="46">
        <v>0.0</v>
      </c>
      <c r="AI8" s="46">
        <v>0.0</v>
      </c>
      <c r="AJ8" s="46">
        <v>0.0</v>
      </c>
      <c r="AK8" s="46">
        <v>-1000.0</v>
      </c>
      <c r="AL8" s="46">
        <v>1.0</v>
      </c>
      <c r="AM8" s="46">
        <v>1.0</v>
      </c>
      <c r="AN8" s="45" t="s">
        <v>35</v>
      </c>
      <c r="AO8" s="45"/>
      <c r="AP8" s="45" t="s">
        <v>53</v>
      </c>
      <c r="AQ8" s="45" t="s">
        <v>57</v>
      </c>
      <c r="AR8" s="46">
        <v>0.0</v>
      </c>
      <c r="AS8" s="46">
        <v>1.0</v>
      </c>
      <c r="AT8" s="45"/>
      <c r="AU8" s="45"/>
      <c r="AV8" s="46">
        <v>1.0</v>
      </c>
      <c r="AW8" s="46">
        <v>-1000.0</v>
      </c>
      <c r="AX8" s="46">
        <v>0.0</v>
      </c>
      <c r="AY8" s="46">
        <v>0.0</v>
      </c>
      <c r="AZ8" s="46">
        <v>0.0</v>
      </c>
      <c r="BA8" s="46">
        <v>-100.0</v>
      </c>
      <c r="BB8" s="45"/>
      <c r="BC8" s="46">
        <v>1.0</v>
      </c>
      <c r="BD8" s="46">
        <v>-1000.0</v>
      </c>
      <c r="BE8" s="45"/>
      <c r="BF8" s="45"/>
      <c r="BG8" s="45"/>
      <c r="BH8" s="45"/>
      <c r="BI8" s="45"/>
      <c r="BJ8" s="46">
        <v>0.0</v>
      </c>
      <c r="BK8" s="46">
        <v>0.0</v>
      </c>
      <c r="BL8" s="46">
        <v>0.0</v>
      </c>
      <c r="BM8" s="46">
        <v>0.0</v>
      </c>
      <c r="BN8" s="45"/>
      <c r="BO8" s="46">
        <v>-1000.0</v>
      </c>
      <c r="BP8" s="45"/>
      <c r="BQ8" s="45"/>
      <c r="BR8" s="45"/>
      <c r="BS8" s="46">
        <v>0.0</v>
      </c>
      <c r="BT8" s="46">
        <v>0.0</v>
      </c>
      <c r="BU8" s="45" t="s">
        <v>43</v>
      </c>
      <c r="BV8" s="45"/>
      <c r="BW8" s="46">
        <v>0.0</v>
      </c>
      <c r="BX8" s="46">
        <v>0.0</v>
      </c>
      <c r="BY8" s="46">
        <v>0.0</v>
      </c>
      <c r="BZ8" s="46">
        <v>0.0</v>
      </c>
      <c r="CA8" s="46">
        <v>0.0</v>
      </c>
      <c r="CB8" s="45"/>
      <c r="CC8" s="46">
        <v>0.0</v>
      </c>
      <c r="CD8" s="46">
        <v>-1000.0</v>
      </c>
      <c r="CE8" s="46">
        <v>0.0</v>
      </c>
      <c r="CF8" s="46">
        <v>0.0</v>
      </c>
      <c r="CG8" s="46">
        <v>-1000.0</v>
      </c>
      <c r="CH8" s="46">
        <v>-100.0</v>
      </c>
      <c r="CI8" s="46">
        <v>0.0</v>
      </c>
      <c r="CJ8" s="46">
        <v>0.0</v>
      </c>
      <c r="CK8" s="45"/>
      <c r="CL8" s="45"/>
      <c r="CM8" s="45"/>
      <c r="CN8" s="45"/>
      <c r="CO8" s="45"/>
      <c r="CP8" s="45"/>
      <c r="CQ8" s="45"/>
      <c r="CR8" s="45"/>
      <c r="CS8" s="45"/>
      <c r="CT8" s="45"/>
      <c r="CU8" s="45"/>
      <c r="CV8" s="45"/>
      <c r="CW8" s="45"/>
      <c r="CX8" s="45"/>
      <c r="CY8" s="45"/>
      <c r="CZ8" s="45"/>
      <c r="DA8" s="45"/>
      <c r="DB8" s="45"/>
      <c r="DC8" s="45"/>
      <c r="DD8" s="45"/>
      <c r="DE8" s="45"/>
      <c r="DF8" s="45"/>
      <c r="DG8" s="45"/>
      <c r="DH8" s="45"/>
      <c r="DI8" s="45"/>
      <c r="DJ8" s="45"/>
      <c r="DK8" s="45"/>
      <c r="DL8" s="45"/>
      <c r="DM8" s="45"/>
      <c r="DN8" s="45"/>
      <c r="DO8" s="45"/>
      <c r="DP8" s="45"/>
      <c r="DQ8" s="45"/>
      <c r="DR8" s="45"/>
      <c r="DS8" s="45"/>
      <c r="DT8" s="45"/>
      <c r="DU8" s="45"/>
      <c r="DV8" s="45"/>
      <c r="DW8" s="45"/>
      <c r="DX8" s="45"/>
      <c r="DY8" s="45"/>
      <c r="DZ8" s="45"/>
      <c r="EA8" s="45"/>
      <c r="EB8" s="45"/>
      <c r="EC8" s="45"/>
      <c r="ED8" s="45"/>
      <c r="EE8" s="45"/>
      <c r="EF8" s="45"/>
      <c r="EG8" s="45"/>
      <c r="EH8" s="45"/>
      <c r="EI8" s="45"/>
      <c r="EJ8" s="48"/>
      <c r="EK8" s="48"/>
      <c r="EL8" s="48"/>
    </row>
    <row r="9" ht="15.75" customHeight="1">
      <c r="A9" s="8"/>
      <c r="B9" s="45"/>
      <c r="C9" s="45" t="s">
        <v>60</v>
      </c>
      <c r="D9" s="47">
        <v>-150.0</v>
      </c>
      <c r="E9" s="45" t="s">
        <v>58</v>
      </c>
      <c r="F9" s="45" t="s">
        <v>59</v>
      </c>
      <c r="G9" s="47">
        <v>15.0</v>
      </c>
      <c r="H9" s="45" t="s">
        <v>54</v>
      </c>
      <c r="I9" s="47">
        <v>0.0</v>
      </c>
      <c r="J9" s="45"/>
      <c r="K9" s="47">
        <v>0.0</v>
      </c>
      <c r="L9" s="45"/>
      <c r="M9" s="45"/>
      <c r="N9" s="47">
        <v>225000.0</v>
      </c>
      <c r="O9" s="45"/>
      <c r="P9" s="45" t="s">
        <v>51</v>
      </c>
      <c r="Q9" s="46">
        <v>225000.0</v>
      </c>
      <c r="R9" s="45"/>
      <c r="S9" s="45"/>
      <c r="T9" s="45" t="s">
        <v>37</v>
      </c>
      <c r="U9" s="45" t="s">
        <v>52</v>
      </c>
      <c r="V9" s="45" t="s">
        <v>40</v>
      </c>
      <c r="W9" s="45" t="s">
        <v>39</v>
      </c>
      <c r="X9" s="45"/>
      <c r="Y9" s="46">
        <v>1.0</v>
      </c>
      <c r="Z9" s="45"/>
      <c r="AA9" s="45"/>
      <c r="AB9" s="46">
        <v>0.0</v>
      </c>
      <c r="AC9" s="46">
        <v>0.0</v>
      </c>
      <c r="AD9" s="46">
        <v>0.0</v>
      </c>
      <c r="AE9" s="46">
        <v>0.0</v>
      </c>
      <c r="AF9" s="46">
        <v>0.0</v>
      </c>
      <c r="AG9" s="46">
        <v>0.0</v>
      </c>
      <c r="AH9" s="46">
        <v>0.0</v>
      </c>
      <c r="AI9" s="46">
        <v>0.0</v>
      </c>
      <c r="AJ9" s="46">
        <v>0.0</v>
      </c>
      <c r="AK9" s="46">
        <v>225000.0</v>
      </c>
      <c r="AL9" s="46">
        <v>0.0</v>
      </c>
      <c r="AM9" s="46">
        <v>1.0</v>
      </c>
      <c r="AN9" s="45" t="s">
        <v>41</v>
      </c>
      <c r="AO9" s="45"/>
      <c r="AP9" s="45" t="s">
        <v>53</v>
      </c>
      <c r="AQ9" s="45" t="s">
        <v>61</v>
      </c>
      <c r="AR9" s="46">
        <v>0.0</v>
      </c>
      <c r="AS9" s="46">
        <v>-1.0</v>
      </c>
      <c r="AT9" s="45"/>
      <c r="AU9" s="45"/>
      <c r="AV9" s="46">
        <v>1.0</v>
      </c>
      <c r="AW9" s="46">
        <v>225000.0</v>
      </c>
      <c r="AX9" s="46">
        <v>0.0</v>
      </c>
      <c r="AY9" s="46">
        <v>0.0</v>
      </c>
      <c r="AZ9" s="46">
        <v>0.0</v>
      </c>
      <c r="BA9" s="46">
        <v>100.0</v>
      </c>
      <c r="BB9" s="45"/>
      <c r="BC9" s="46">
        <v>1.0</v>
      </c>
      <c r="BD9" s="46">
        <v>225000.0</v>
      </c>
      <c r="BE9" s="45"/>
      <c r="BF9" s="45"/>
      <c r="BG9" s="45"/>
      <c r="BH9" s="45"/>
      <c r="BI9" s="45"/>
      <c r="BJ9" s="46">
        <v>0.0</v>
      </c>
      <c r="BK9" s="46">
        <v>0.0</v>
      </c>
      <c r="BL9" s="46">
        <v>0.0</v>
      </c>
      <c r="BM9" s="46">
        <v>0.0</v>
      </c>
      <c r="BN9" s="45"/>
      <c r="BO9" s="46">
        <v>225000.0</v>
      </c>
      <c r="BP9" s="45"/>
      <c r="BQ9" s="45"/>
      <c r="BR9" s="45"/>
      <c r="BS9" s="46">
        <v>0.0</v>
      </c>
      <c r="BT9" s="46">
        <v>0.0</v>
      </c>
      <c r="BU9" s="45" t="s">
        <v>56</v>
      </c>
      <c r="BV9" s="45"/>
      <c r="BW9" s="46">
        <v>20.0</v>
      </c>
      <c r="BX9" s="46">
        <v>0.0</v>
      </c>
      <c r="BY9" s="46">
        <v>0.0</v>
      </c>
      <c r="BZ9" s="46">
        <v>0.0</v>
      </c>
      <c r="CA9" s="46">
        <v>0.0</v>
      </c>
      <c r="CB9" s="45"/>
      <c r="CC9" s="46">
        <v>0.0</v>
      </c>
      <c r="CD9" s="46">
        <v>225000.0</v>
      </c>
      <c r="CE9" s="46">
        <v>0.0</v>
      </c>
      <c r="CF9" s="46">
        <v>0.0</v>
      </c>
      <c r="CG9" s="46">
        <v>225000.0</v>
      </c>
      <c r="CH9" s="46">
        <v>100.0</v>
      </c>
      <c r="CI9" s="46">
        <v>0.0</v>
      </c>
      <c r="CJ9" s="46">
        <v>0.0</v>
      </c>
      <c r="CK9" s="45"/>
      <c r="CL9" s="45"/>
      <c r="CM9" s="45"/>
      <c r="CN9" s="45"/>
      <c r="CO9" s="45"/>
      <c r="CP9" s="45"/>
      <c r="CQ9" s="45"/>
      <c r="CR9" s="45"/>
      <c r="CS9" s="45"/>
      <c r="CT9" s="45"/>
      <c r="CU9" s="45"/>
      <c r="CV9" s="45"/>
      <c r="CW9" s="45"/>
      <c r="CX9" s="45"/>
      <c r="CY9" s="45"/>
      <c r="CZ9" s="45"/>
      <c r="DA9" s="45"/>
      <c r="DB9" s="45"/>
      <c r="DC9" s="45"/>
      <c r="DD9" s="45"/>
      <c r="DE9" s="45"/>
      <c r="DF9" s="45"/>
      <c r="DG9" s="45"/>
      <c r="DH9" s="45"/>
      <c r="DI9" s="45"/>
      <c r="DJ9" s="45"/>
      <c r="DK9" s="45"/>
      <c r="DL9" s="45"/>
      <c r="DM9" s="45"/>
      <c r="DN9" s="45"/>
      <c r="DO9" s="45"/>
      <c r="DP9" s="45"/>
      <c r="DQ9" s="45"/>
      <c r="DR9" s="45"/>
      <c r="DS9" s="45"/>
      <c r="DT9" s="45"/>
      <c r="DU9" s="45"/>
      <c r="DV9" s="45"/>
      <c r="DW9" s="45"/>
      <c r="DX9" s="45"/>
      <c r="DY9" s="45"/>
      <c r="DZ9" s="45"/>
      <c r="EA9" s="45"/>
      <c r="EB9" s="45"/>
      <c r="EC9" s="45"/>
      <c r="ED9" s="45"/>
      <c r="EE9" s="45"/>
      <c r="EF9" s="45"/>
      <c r="EG9" s="45"/>
      <c r="EH9" s="45"/>
      <c r="EI9" s="45"/>
      <c r="EJ9" s="48"/>
      <c r="EK9" s="48"/>
      <c r="EL9" s="4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