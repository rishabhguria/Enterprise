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GetDailyCash" sheetId="5" r:id="rId7"/>
    <sheet state="visible" name="UpdateMultipleDailyCash" sheetId="6" r:id="rId8"/>
    <sheet state="visible" name="CreateDoneAwayOrder" sheetId="7" r:id="rId9"/>
    <sheet state="visible" name="CheckAllocatedGroups" sheetId="8" r:id="rId10"/>
    <sheet state="visible" name="CheckAllocatedTaxlots" sheetId="9" r:id="rId11"/>
  </sheets>
  <definedNames/>
  <calcPr/>
</workbook>
</file>

<file path=xl/sharedStrings.xml><?xml version="1.0" encoding="utf-8"?>
<sst xmlns="http://schemas.openxmlformats.org/spreadsheetml/2006/main" count="95" uniqueCount="49">
  <si>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</si>
  <si>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</si>
  <si>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</si>
  <si>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</si>
  <si>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</si>
  <si>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</si>
  <si>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</si>
  <si>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</si>
  <si>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</si>
  <si>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</si>
  <si>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</si>
  <si>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</si>
  <si>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</si>
  <si>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</si>
  <si>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</si>
  <si>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</si>
  <si>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</si>
  <si>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DailyValuation</t>
  </si>
  <si>
    <t>GetDailyCash</t>
  </si>
  <si>
    <t>UpdateMultipleDailyCash</t>
  </si>
  <si>
    <t>Allocation1</t>
  </si>
  <si>
    <t>USD</t>
  </si>
  <si>
    <t>Allocation2</t>
  </si>
  <si>
    <t>TradingTicket</t>
  </si>
  <si>
    <t>CreateDoneAwayOrder</t>
  </si>
  <si>
    <t>O:ABM 10D20.00</t>
  </si>
  <si>
    <t>Buy to Open</t>
  </si>
  <si>
    <t>Stop</t>
  </si>
  <si>
    <t>Allocation1,Allocation2</t>
  </si>
  <si>
    <t>50,50</t>
  </si>
  <si>
    <t>Allocation</t>
  </si>
  <si>
    <t>CheckAllocatedGroups</t>
  </si>
  <si>
    <t>Multiple</t>
  </si>
  <si>
    <t>EquityOption</t>
  </si>
  <si>
    <t>Treasury</t>
  </si>
  <si>
    <t>MS</t>
  </si>
  <si>
    <t>BrokerNotes</t>
  </si>
  <si>
    <t>OPTS</t>
  </si>
  <si>
    <t>M</t>
  </si>
  <si>
    <t>Strategy Unallocated</t>
  </si>
  <si>
    <t>GCCAP1</t>
  </si>
  <si>
    <t>BuytoOpen</t>
  </si>
  <si>
    <t>US</t>
  </si>
  <si>
    <t>ABM</t>
  </si>
  <si>
    <t>jpearce</t>
  </si>
  <si>
    <t>NASDAQ</t>
  </si>
  <si>
    <t>NONE</t>
  </si>
  <si>
    <t>CheckAllocatedTaxlots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</si>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</sst>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2" numFmtId="4" xfId="0" applyAlignment="1" applyFont="1" applyNumberFormat="1">
      <alignment readingOrder="0"/>
    </xf>
    <xf borderId="0" fillId="0" fontId="5" numFmtId="4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 t="str">
        <f>IFERROR(__xludf.DUMMYFUNCTION("""COMPUTED_VALUE"""),"IsAbsoluteAmountOrDefinePercent")</f>
        <v>IsAbsoluteAmountOrDefinePercent</v>
      </c>
      <c r="M5" s="27" t="str">
        <f>IFERROR(__xludf.DUMMYFUNCTION("""COMPUTED_VALUE"""),"IsInMarketIncluded")</f>
        <v>IsInMarketIncluded</v>
      </c>
      <c r="N5" s="27" t="str">
        <f>IFERROR(__xludf.DUMMYFUNCTION("""COMPUTED_VALUE"""),"IsSharesOutstandingRule")</f>
        <v>IsSharesOutstandingRule</v>
      </c>
      <c r="O5" s="27" t="str">
        <f>IFERROR(__xludf.DUMMYFUNCTION("""COMPUTED_VALUE"""),"SharesOutstandingPercent")</f>
        <v>SharesOutstandingPercent</v>
      </c>
      <c r="P5" s="27" t="str">
        <f>IFERROR(__xludf.DUMMYFUNCTION("""COMPUTED_VALUE"""),"SharesOutstandingAccountOrMF")</f>
        <v>SharesOutstandingAccountOrMF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2" t="b">
        <v>1</v>
      </c>
      <c r="E6" s="31"/>
      <c r="F6" s="31"/>
      <c r="G6" s="31"/>
      <c r="H6" s="33">
        <v>5.0</v>
      </c>
      <c r="I6" s="31"/>
      <c r="J6" s="31"/>
      <c r="K6" s="34" t="s">
        <v>16</v>
      </c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5">
        <f>TODAY()-1</f>
        <v>45801</v>
      </c>
      <c r="C6" s="36">
        <f>TODAY()</f>
        <v>45802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 t="s">
        <v>20</v>
      </c>
      <c r="C6" s="34" t="s">
        <v>21</v>
      </c>
      <c r="D6" s="39">
        <v>100000.0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22</v>
      </c>
      <c r="C7" s="34" t="s">
        <v>21</v>
      </c>
      <c r="D7" s="33">
        <v>100000.0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s">
        <v>26</v>
      </c>
      <c r="D6" s="12">
        <v>100.0</v>
      </c>
      <c r="E6" s="37"/>
      <c r="F6" s="8"/>
      <c r="G6" s="8"/>
      <c r="H6" s="8"/>
      <c r="I6" s="12" t="s">
        <v>27</v>
      </c>
      <c r="J6" s="12">
        <v>56.08</v>
      </c>
      <c r="K6" s="12">
        <v>2.0</v>
      </c>
      <c r="L6" s="8"/>
      <c r="M6" s="8"/>
      <c r="N6" s="8"/>
      <c r="O6" s="8"/>
      <c r="AK6" s="31" t="s">
        <v>28</v>
      </c>
      <c r="AL6" s="31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32</v>
      </c>
      <c r="C6" s="8"/>
      <c r="D6" s="12"/>
      <c r="E6" s="12">
        <v>100.0</v>
      </c>
      <c r="F6" s="12"/>
      <c r="G6" s="12" t="s">
        <v>33</v>
      </c>
      <c r="H6" s="8"/>
      <c r="I6" s="8"/>
      <c r="J6" s="12">
        <v>12.0</v>
      </c>
      <c r="K6" s="12">
        <v>56.08</v>
      </c>
      <c r="L6" s="12">
        <v>56.08</v>
      </c>
      <c r="M6" s="12"/>
      <c r="N6" s="12" t="s">
        <v>34</v>
      </c>
      <c r="O6" s="12" t="s">
        <v>35</v>
      </c>
      <c r="W6" s="9">
        <v>100.0</v>
      </c>
      <c r="Z6" s="9" t="s">
        <v>21</v>
      </c>
      <c r="AB6" s="9">
        <v>1.0</v>
      </c>
      <c r="AC6" s="9" t="s">
        <v>36</v>
      </c>
      <c r="AD6" s="9" t="s">
        <v>37</v>
      </c>
      <c r="AE6" s="9">
        <v>100.0</v>
      </c>
      <c r="AH6" s="9" t="s">
        <v>38</v>
      </c>
      <c r="AI6" s="9">
        <v>1.0</v>
      </c>
      <c r="AR6" s="9" t="b">
        <v>1</v>
      </c>
      <c r="AT6" s="40">
        <v>560800.0</v>
      </c>
      <c r="AU6" s="40">
        <v>560800.0</v>
      </c>
      <c r="AY6" s="9" t="s">
        <v>27</v>
      </c>
      <c r="BE6" s="40">
        <v>560800.0</v>
      </c>
      <c r="BF6" s="40">
        <v>560800.0</v>
      </c>
      <c r="BJ6" s="9">
        <v>100.0</v>
      </c>
      <c r="BK6" s="9">
        <v>0.0</v>
      </c>
      <c r="BM6" s="9" t="s">
        <v>21</v>
      </c>
      <c r="BO6" s="9" t="s">
        <v>26</v>
      </c>
      <c r="BS6" s="9" t="s">
        <v>39</v>
      </c>
      <c r="BT6" s="9" t="s">
        <v>25</v>
      </c>
      <c r="CF6" s="9" t="s">
        <v>40</v>
      </c>
      <c r="CG6" s="9">
        <v>0.0</v>
      </c>
      <c r="CH6" s="9" t="s">
        <v>23</v>
      </c>
      <c r="CI6" s="9" t="s">
        <v>41</v>
      </c>
      <c r="CJ6" s="9">
        <v>0.0</v>
      </c>
      <c r="CK6" s="9" t="s">
        <v>42</v>
      </c>
      <c r="CL6" s="9">
        <v>1.0</v>
      </c>
      <c r="CM6" s="9" t="s">
        <v>43</v>
      </c>
      <c r="CN6" s="9" t="s">
        <v>44</v>
      </c>
      <c r="CO6" s="9" t="s">
        <v>45</v>
      </c>
      <c r="CP6" s="9" t="s">
        <v>46</v>
      </c>
      <c r="CX6" s="9" t="s">
        <v>32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IFERROR(__xludf.DUMMYFUNCTION("""COMPUTED_VALUE"""),"Net Amount(Local)")</f>
        <v>Net Amount(Local)</v>
      </c>
      <c r="C5" s="27" t="str">
        <f>IFERROR(__xludf.DUMMYFUNCTION("""COMPUTED_VALUE"""),"Net Amount(Base)")</f>
        <v>Net Amount(Base)</v>
      </c>
      <c r="D5" s="27" t="str">
        <f>IFERROR(__xludf.DUMMYFUNCTION("""COMPUTED_VALUE"""),"Principal Amount(Local)")</f>
        <v>Principal Amount(Local)</v>
      </c>
      <c r="E5" s="27" t="str">
        <f>IFERROR(__xludf.DUMMYFUNCTION("""COMPUTED_VALUE"""),"Principal Amount(Base)")</f>
        <v>Principal Amount(Base)</v>
      </c>
      <c r="F5" s="28" t="str">
        <f>IFERROR(__xludf.DUMMYFUNCTION("""COMPUTED_VALUE"""),"FX Conversion Operator")</f>
        <v>FX Conversion Operator</v>
      </c>
      <c r="G5" s="27" t="str">
        <f>IFERROR(__xludf.DUMMYFUNCTION("""COMPUTED_VALUE"""),"TaxLotID")</f>
        <v>TaxLotID</v>
      </c>
      <c r="H5" s="27" t="str">
        <f>IFERROR(__xludf.DUMMYFUNCTION("""COMPUTED_VALUE"""),"Settlement Currency")</f>
        <v>Settlement Currency</v>
      </c>
      <c r="I5" s="27" t="str">
        <f>IFERROR(__xludf.DUMMYFUNCTION("""COMPUTED_VALUE"""),"Trade Attribute 1")</f>
        <v>Trade Attribute 1</v>
      </c>
      <c r="J5" s="27" t="str">
        <f>IFERROR(__xludf.DUMMYFUNCTION("""COMPUTED_VALUE"""),"Trade Attribute 2")</f>
        <v>Trade Attribute 2</v>
      </c>
      <c r="K5" s="27" t="str">
        <f>IFERROR(__xludf.DUMMYFUNCTION("""COMPUTED_VALUE"""),"Trade Attribute 3")</f>
        <v>Trade Attribute 3</v>
      </c>
      <c r="L5" s="27" t="str">
        <f>IFERROR(__xludf.DUMMYFUNCTION("""COMPUTED_VALUE"""),"Trade Attribute 4")</f>
        <v>Trade Attribute 4</v>
      </c>
      <c r="M5" s="27" t="str">
        <f>IFERROR(__xludf.DUMMYFUNCTION("""COMPUTED_VALUE"""),"Trade Attribute 5")</f>
        <v>Trade Attribute 5</v>
      </c>
      <c r="N5" s="27" t="str">
        <f>IFERROR(__xludf.DUMMYFUNCTION("""COMPUTED_VALUE"""),"Trade Attribute 6")</f>
        <v>Trade Attribute 6</v>
      </c>
      <c r="O5" s="27" t="str">
        <f>IFERROR(__xludf.DUMMYFUNCTION("""COMPUTED_VALUE"""),"Account Name")</f>
        <v>Account Name</v>
      </c>
      <c r="P5" s="27" t="str">
        <f>IFERROR(__xludf.DUMMYFUNCTION("""COMPUTED_VALUE"""),"Strategy Name")</f>
        <v>Strategy Name</v>
      </c>
      <c r="Q5" s="27" t="str">
        <f>IFERROR(__xludf.DUMMYFUNCTION("""COMPUTED_VALUE"""),"Percentage")</f>
        <v>Percentage</v>
      </c>
      <c r="R5" s="27" t="str">
        <f>IFERROR(__xludf.DUMMYFUNCTION("""COMPUTED_VALUE"""),"Taxlot Qty")</f>
        <v>Taxlot Qty</v>
      </c>
      <c r="S5" s="27" t="str">
        <f>IFERROR(__xludf.DUMMYFUNCTION("""COMPUTED_VALUE"""),"Commission")</f>
        <v>Commission</v>
      </c>
      <c r="T5" s="29" t="str">
        <f>IFERROR(__xludf.DUMMYFUNCTION("""COMPUTED_VALUE"""),"Soft Commission")</f>
        <v>Soft Commission</v>
      </c>
      <c r="U5" s="29" t="str">
        <f>IFERROR(__xludf.DUMMYFUNCTION("""COMPUTED_VALUE"""),"Other Broker Fees")</f>
        <v>Other Broker Fees</v>
      </c>
      <c r="V5" s="29" t="str">
        <f>IFERROR(__xludf.DUMMYFUNCTION("""COMPUTED_VALUE"""),"Clearing Broker Fees")</f>
        <v>Clearing Broker Fees</v>
      </c>
      <c r="W5" s="29" t="str">
        <f>IFERROR(__xludf.DUMMYFUNCTION("""COMPUTED_VALUE"""),"Stamp Duty")</f>
        <v>Stamp Duty</v>
      </c>
      <c r="X5" s="29" t="str">
        <f>IFERROR(__xludf.DUMMYFUNCTION("""COMPUTED_VALUE"""),"Transaction Levy")</f>
        <v>Transaction Levy</v>
      </c>
      <c r="Y5" s="29" t="str">
        <f>IFERROR(__xludf.DUMMYFUNCTION("""COMPUTED_VALUE"""),"AUEC Fee1")</f>
        <v>AUEC Fee1</v>
      </c>
      <c r="Z5" s="29" t="str">
        <f>IFERROR(__xludf.DUMMYFUNCTION("""COMPUTED_VALUE"""),"Tax On Commissions")</f>
        <v>Tax On Commissions</v>
      </c>
      <c r="AA5" s="29" t="str">
        <f>IFERROR(__xludf.DUMMYFUNCTION("""COMPUTED_VALUE"""),"AUEC Fee2")</f>
        <v>AUEC Fee2</v>
      </c>
      <c r="AB5" s="29" t="str">
        <f>IFERROR(__xludf.DUMMYFUNCTION("""COMPUTED_VALUE"""),"SEC Fee")</f>
        <v>SEC Fee</v>
      </c>
      <c r="AC5" s="29" t="str">
        <f>IFERROR(__xludf.DUMMYFUNCTION("""COMPUTED_VALUE"""),"OCC Fee")</f>
        <v>OCC Fee</v>
      </c>
      <c r="AD5" s="29" t="str">
        <f>IFERROR(__xludf.DUMMYFUNCTION("""COMPUTED_VALUE"""),"ORF Fee")</f>
        <v>ORF Fee</v>
      </c>
      <c r="AE5" s="29" t="str">
        <f>IFERROR(__xludf.DUMMYFUNCTION("""COMPUTED_VALUE"""),"Option Premium Adjustment")</f>
        <v>Option Premium Adjustment</v>
      </c>
      <c r="AF5" s="29" t="str">
        <f>IFERROR(__xludf.DUMMYFUNCTION("""COMPUTED_VALUE"""),"Closing Status")</f>
        <v>Closing Status</v>
      </c>
      <c r="AG5" s="29" t="str">
        <f>IFERROR(__xludf.DUMMYFUNCTION("""COMPUTED_VALUE"""),"External Transaction ID")</f>
        <v>External Transaction ID</v>
      </c>
      <c r="AH5" s="29" t="str">
        <f>IFERROR(__xludf.DUMMYFUNCTION("""COMPUTED_VALUE"""),"Lot ID")</f>
        <v>Lot ID</v>
      </c>
      <c r="AI5" s="29" t="str">
        <f>IFERROR(__xludf.DUMMYFUNCTION("""COMPUTED_VALUE"""),"AvgPriceBase")</f>
        <v>AvgPriceBase</v>
      </c>
      <c r="AJ5" s="29" t="str">
        <f>IFERROR(__xludf.DUMMYFUNCTION("""COMPUTED_VALUE"""),"Accrued Interest")</f>
        <v>Accrued Interest</v>
      </c>
      <c r="AK5" s="29" t="str">
        <f>IFERROR(__xludf.DUMMYFUNCTION("""COMPUTED_VALUE"""),"FXRate")</f>
        <v>FXRate</v>
      </c>
      <c r="AL5" s="29" t="str">
        <f>IFERROR(__xludf.DUMMYFUNCTION("""COMPUTED_VALUE"""),"Change Type")</f>
        <v>Change Type</v>
      </c>
      <c r="AM5" s="29" t="str">
        <f>IFERROR(__xludf.DUMMYFUNCTION("""COMPUTED_VALUE"""),"MandatoryColumn")</f>
        <v>MandatoryColumn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1">
        <v>280400.0</v>
      </c>
      <c r="C6" s="41">
        <v>280400.0</v>
      </c>
      <c r="D6" s="41">
        <v>280400.0</v>
      </c>
      <c r="E6" s="41">
        <v>280400.0</v>
      </c>
      <c r="F6" s="12" t="s">
        <v>38</v>
      </c>
      <c r="G6" s="12"/>
      <c r="H6" s="12" t="s">
        <v>21</v>
      </c>
      <c r="I6" s="8"/>
      <c r="J6" s="8"/>
      <c r="K6" s="8"/>
      <c r="L6" s="8"/>
      <c r="M6" s="8"/>
      <c r="N6" s="8"/>
      <c r="O6" s="12" t="s">
        <v>22</v>
      </c>
      <c r="P6" s="9" t="s">
        <v>39</v>
      </c>
      <c r="Q6" s="9">
        <v>50.0</v>
      </c>
      <c r="R6" s="9">
        <v>50.0</v>
      </c>
      <c r="AF6" s="9" t="s">
        <v>48</v>
      </c>
      <c r="AI6" s="9">
        <v>56.08</v>
      </c>
      <c r="AJ6" s="9">
        <v>0.0</v>
      </c>
      <c r="AK6" s="9">
        <v>1.0</v>
      </c>
      <c r="AL6" s="9">
        <v>3.0</v>
      </c>
    </row>
    <row r="7" ht="15.75" customHeight="1">
      <c r="A7" s="8"/>
      <c r="B7" s="41">
        <v>280400.0</v>
      </c>
      <c r="C7" s="41">
        <v>280400.0</v>
      </c>
      <c r="D7" s="41">
        <v>280400.0</v>
      </c>
      <c r="E7" s="41">
        <v>280400.0</v>
      </c>
      <c r="F7" s="12" t="s">
        <v>38</v>
      </c>
      <c r="G7" s="12"/>
      <c r="H7" s="12" t="s">
        <v>21</v>
      </c>
      <c r="I7" s="8"/>
      <c r="J7" s="8"/>
      <c r="K7" s="8"/>
      <c r="L7" s="8"/>
      <c r="M7" s="8"/>
      <c r="N7" s="8"/>
      <c r="O7" s="12" t="s">
        <v>20</v>
      </c>
      <c r="P7" s="9" t="s">
        <v>39</v>
      </c>
      <c r="Q7" s="9">
        <v>50.0</v>
      </c>
      <c r="R7" s="9">
        <v>50.0</v>
      </c>
      <c r="AF7" s="9" t="s">
        <v>48</v>
      </c>
      <c r="AI7" s="9">
        <v>56.08</v>
      </c>
      <c r="AJ7" s="9">
        <v>0.0</v>
      </c>
      <c r="AK7" s="9">
        <v>1.0</v>
      </c>
      <c r="AL7" s="9">
        <v>3.0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