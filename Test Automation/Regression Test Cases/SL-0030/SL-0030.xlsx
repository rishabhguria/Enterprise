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ImportOnShortLocate" sheetId="5" r:id="rId7"/>
    <sheet state="visible" name="VerifyShortLocateGrid" sheetId="6" r:id="rId8"/>
    <sheet state="visible" name="CreateDoneAwayOrder" sheetId="7" r:id="rId9"/>
    <sheet state="visible" name="VerifyShortLocateGrid1" sheetId="8" r:id="rId10"/>
  </sheets>
  <definedNames/>
  <calcPr/>
</workbook>
</file>

<file path=xl/sharedStrings.xml><?xml version="1.0" encoding="utf-8"?>
<sst xmlns="http://schemas.openxmlformats.org/spreadsheetml/2006/main" count="60" uniqueCount="29">
  <si>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</si>
  <si>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</si>
  <si>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</si>
  <si>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</si>
  <si>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</si>
  <si>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</si>
  <si>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</si>
  <si>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</si>
  <si>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</si>
  <si>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</si>
  <si>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</si>
  <si>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</si>
  <si>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</si>
  <si>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</si>
  <si>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</si>
  <si>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</si>
  <si>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</si>
  <si>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ShortLocate</t>
  </si>
  <si>
    <t>ImportOnShortLocate</t>
  </si>
  <si>
    <t>MS</t>
  </si>
  <si>
    <t>\\192.168.2.108\DistributedAutomation_Master\Import Cases\ShortLocate-009</t>
  </si>
  <si>
    <t>VerifyShortLocateGrid</t>
  </si>
  <si>
    <t>MSFT</t>
  </si>
  <si>
    <t>GS4566232</t>
  </si>
  <si>
    <t>API</t>
  </si>
  <si>
    <t>TradingTicket</t>
  </si>
  <si>
    <t>CreateDoneAwayOrder</t>
  </si>
  <si>
    <t>Sell short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</si>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</sst>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>
      <c r="A636" t="str">
        <f>IFERROR(__xludf.DUMMYFUNCTION("""COMPUTED_VALUE"""),"Simulator")</f>
        <v>Simulator</v>
      </c>
      <c r="B636" t="str">
        <f>IFERROR(__xludf.DUMMYFUNCTION("""COMPUTED_VALUE"""),"VerifyTagInAllFixLogs")</f>
        <v>VerifyTagInAllFixLogs</v>
      </c>
      <c r="C636" t="str">
        <f>IFERROR(__xludf.DUMMYFUNCTION("""COMPUTED_VALUE"""),"1jKDiJYpLWAfkSGRoeJ_liPC1ZaTdCTC5AqjDzj9I61Q")</f>
        <v>1jKDiJYpLWAfkSGRoeJ_liPC1ZaTdCTC5AqjDzj9I61Q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IFERROR(__xludf.DUMMYFUNCTION("""COMPUTED_VALUE"""),"isEnableModule")</f>
        <v>isEnableModule</v>
      </c>
      <c r="C5" s="28" t="str">
        <f>IFERROR(__xludf.DUMMYFUNCTION("""COMPUTED_VALUE"""),"moduleName")</f>
        <v>moduleName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b">
        <v>1</v>
      </c>
      <c r="C6" s="32" t="s">
        <v>16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IFERROR(__xludf.DUMMYFUNCTION("""COMPUTED_VALUE"""),"Upload ThirdParty")</f>
        <v>Upload ThirdParty</v>
      </c>
      <c r="C5" s="28" t="str">
        <f>IFERROR(__xludf.DUMMYFUNCTION("""COMPUTED_VALUE"""),"Select File")</f>
        <v>Select 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19</v>
      </c>
      <c r="C6" s="33" t="s">
        <v>20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>
        <v>0.0</v>
      </c>
      <c r="E6" s="35">
        <v>0.0</v>
      </c>
      <c r="F6" s="35">
        <v>5000.0</v>
      </c>
      <c r="G6" s="35">
        <v>2.0</v>
      </c>
      <c r="H6" s="35">
        <v>0.0</v>
      </c>
      <c r="I6" s="34" t="s">
        <v>23</v>
      </c>
      <c r="J6" s="35">
        <v>0.0</v>
      </c>
      <c r="K6" s="35">
        <v>0.0</v>
      </c>
      <c r="L6" s="35">
        <v>0.0</v>
      </c>
      <c r="M6" s="35">
        <v>5000.0</v>
      </c>
      <c r="N6" s="35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22</v>
      </c>
      <c r="C6" s="32" t="s">
        <v>27</v>
      </c>
      <c r="D6" s="36">
        <v>5000.0</v>
      </c>
      <c r="E6" s="32"/>
      <c r="F6" s="32" t="s">
        <v>28</v>
      </c>
      <c r="G6" s="32"/>
      <c r="H6" s="32"/>
      <c r="I6" s="32"/>
      <c r="J6" s="32">
        <v>5.0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6">
        <v>5000.0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IFERROR(__xludf.DUMMYFUNCTION("IF(C3="""","""",Transpose(IMPORTRANGE('_Settings'!$B$3,C3&amp;""!A4:A1000"")))"),"SetShortLocatePreferences")</f>
        <v>SetShortLocatePreferences</v>
      </c>
      <c r="C4" s="25" t="str">
        <f>IFERROR(__xludf.DUMMYFUNCTION("""COMPUTED_VALUE"""),"SearchShortLocateUI")</f>
        <v>SearchShortLocateUI</v>
      </c>
      <c r="D4" s="25" t="str">
        <f>IFERROR(__xludf.DUMMYFUNCTION("""COMPUTED_VALUE"""),"DownloadFile")</f>
        <v>DownloadFile</v>
      </c>
      <c r="E4" s="25" t="str">
        <f>IFERROR(__xludf.DUMMYFUNCTION("""COMPUTED_VALUE"""),"VerifyShortLocateGrid")</f>
        <v>VerifyShortLocateGrid</v>
      </c>
      <c r="F4" s="25" t="str">
        <f>IFERROR(__xludf.DUMMYFUNCTION("""COMPUTED_VALUE"""),"Upload")</f>
        <v>Upload</v>
      </c>
      <c r="G4" s="25" t="str">
        <f>IFERROR(__xludf.DUMMYFUNCTION("""COMPUTED_VALUE"""),"OpenTTFromShortLocate")</f>
        <v>OpenTTFromShortLocate</v>
      </c>
      <c r="H4" s="25" t="str">
        <f>IFERROR(__xludf.DUMMYFUNCTION("""COMPUTED_VALUE"""),"ApplyFilterOnShortLocate")</f>
        <v>ApplyFilterOnShortLocate</v>
      </c>
      <c r="I4" s="25" t="str">
        <f>IFERROR(__xludf.DUMMYFUNCTION("""COMPUTED_VALUE"""),"ImportOnShortLocate")</f>
        <v>ImportOnShortLocate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IFERROR(__xludf.DUMMYFUNCTION("""COMPUTED_VALUE"""),"Borrow Broker")</f>
        <v>Borrow Broker</v>
      </c>
      <c r="D5" s="28" t="str">
        <f>IFERROR(__xludf.DUMMYFUNCTION("""COMPUTED_VALUE"""),"Last PX")</f>
        <v>Last PX</v>
      </c>
      <c r="E5" s="28" t="str">
        <f>IFERROR(__xludf.DUMMYFUNCTION("""COMPUTED_VALUE"""),"Trade Quantity")</f>
        <v>Trade Quantity</v>
      </c>
      <c r="F5" s="29" t="str">
        <f>IFERROR(__xludf.DUMMYFUNCTION("""COMPUTED_VALUE"""),"Borrow Shares Available")</f>
        <v>Borrow Shares Available</v>
      </c>
      <c r="G5" s="28" t="str">
        <f>IFERROR(__xludf.DUMMYFUNCTION("""COMPUTED_VALUE"""),"Borrow Rate(%)")</f>
        <v>Borrow Rate(%)</v>
      </c>
      <c r="H5" s="28" t="str">
        <f>IFERROR(__xludf.DUMMYFUNCTION("""COMPUTED_VALUE"""),"Total Borrow Value")</f>
        <v>Total Borrow Value</v>
      </c>
      <c r="I5" s="28" t="str">
        <f>IFERROR(__xludf.DUMMYFUNCTION("""COMPUTED_VALUE"""),"Borrower ID")</f>
        <v>Borrower ID</v>
      </c>
      <c r="J5" s="28" t="str">
        <f>IFERROR(__xludf.DUMMYFUNCTION("""COMPUTED_VALUE"""),"Borrowed Share")</f>
        <v>Borrowed Share</v>
      </c>
      <c r="K5" s="28" t="str">
        <f>IFERROR(__xludf.DUMMYFUNCTION("""COMPUTED_VALUE"""),"Borrowed Rate(%)")</f>
        <v>Borrowed Rate(%)</v>
      </c>
      <c r="L5" s="28" t="str">
        <f>IFERROR(__xludf.DUMMYFUNCTION("""COMPUTED_VALUE"""),"Total Borrowed Value")</f>
        <v>Total Borrowed Value</v>
      </c>
      <c r="M5" s="28" t="str">
        <f>IFERROR(__xludf.DUMMYFUNCTION("""COMPUTED_VALUE"""),"SOD Borrow share Available")</f>
        <v>SOD Borrow share Available</v>
      </c>
      <c r="N5" s="28" t="str">
        <f>IFERROR(__xludf.DUMMYFUNCTION("""COMPUTED_VALUE"""),"SOD BorrowRate(%)")</f>
        <v>SOD BorrowRate(%)</v>
      </c>
      <c r="O5" s="28" t="str">
        <f>IFERROR(__xludf.DUMMYFUNCTION("""COMPUTED_VALUE"""),"Status Source")</f>
        <v>Status Source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4" t="s">
        <v>22</v>
      </c>
      <c r="C6" s="34" t="s">
        <v>19</v>
      </c>
      <c r="D6" s="35">
        <v>0.0</v>
      </c>
      <c r="E6" s="35">
        <v>0.0</v>
      </c>
      <c r="F6" s="36">
        <v>0.0</v>
      </c>
      <c r="G6" s="35">
        <v>2.0</v>
      </c>
      <c r="H6" s="35">
        <v>0.0</v>
      </c>
      <c r="I6" s="34" t="s">
        <v>23</v>
      </c>
      <c r="J6" s="36">
        <v>5000.0</v>
      </c>
      <c r="K6" s="35">
        <v>2.0</v>
      </c>
      <c r="L6" s="35">
        <v>0.0</v>
      </c>
      <c r="M6" s="35">
        <v>5000.0</v>
      </c>
      <c r="N6" s="35">
        <v>2.0</v>
      </c>
      <c r="O6" s="34" t="s">
        <v>24</v>
      </c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