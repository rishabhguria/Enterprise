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activeTab="4"/>
  </bookViews>
  <sheets>
    <sheet name="_Modules" sheetId="1" r:id="rId1"/>
    <sheet name="_Settings" sheetId="2" r:id="rId2"/>
    <sheet name="_MasterData" sheetId="3" r:id="rId3"/>
    <sheet name="UpdateServerConfig" sheetId="4" r:id="rId4"/>
    <sheet name="Import" sheetId="5" r:id="rId5"/>
    <sheet name="SelectAllOnImport" sheetId="6" r:id="rId6"/>
    <sheet name="GetDataAllocation" sheetId="7" r:id="rId7"/>
    <sheet name="CheckAllocatedGroups" sheetId="8" r:id="rId8"/>
    <sheet name="Unallocate" sheetId="9" r:id="rId9"/>
    <sheet name="SelectUnallocatedGroup" sheetId="10" r:id="rId10"/>
    <sheet name="EnterAccountValuesToAllocate" sheetId="11" r:id="rId11"/>
    <sheet name="CheckAllocatedGroups1" sheetId="12" r:id="rId12"/>
    <sheet name="UpdateServerConfig1" sheetId="13" r:id="rId13"/>
    <sheet name="RestartExpnl" sheetId="14" r:id="rId14"/>
    <sheet name="Copy of Data" sheetId="15" r:id="rId15"/>
    <sheet name="CleanUp" sheetId="16" r:id="rId16"/>
  </sheets>
  <calcPr calcId="145621"/>
</workbook>
</file>

<file path=xl/calcChain.xml><?xml version="1.0" encoding="utf-8"?>
<calcChain xmlns="http://schemas.openxmlformats.org/spreadsheetml/2006/main">
  <c r="A5" i="16" l="1"/>
  <c r="BF4" i="16"/>
  <c r="O4" i="15"/>
  <c r="AX5" i="12"/>
  <c r="DC4" i="12"/>
  <c r="AQ4" i="12"/>
  <c r="CZ4" i="11"/>
  <c r="AN4" i="11"/>
  <c r="BT5" i="10"/>
  <c r="H5" i="10"/>
  <c r="BM4" i="10"/>
  <c r="DQ4" i="16"/>
  <c r="BE4" i="16"/>
  <c r="F4" i="15"/>
  <c r="AW5" i="12"/>
  <c r="DB4" i="12"/>
  <c r="AP4" i="12"/>
  <c r="CY4" i="11"/>
  <c r="AM4" i="11"/>
  <c r="BS5" i="10"/>
  <c r="G5" i="10"/>
  <c r="BL4" i="10"/>
  <c r="CR5" i="9"/>
  <c r="CB4" i="16"/>
  <c r="P4" i="16"/>
  <c r="BT5" i="12"/>
  <c r="H5" i="12"/>
  <c r="BM4" i="12"/>
  <c r="DN4" i="11"/>
  <c r="BB4" i="11"/>
  <c r="CH5" i="10"/>
  <c r="V5" i="10"/>
  <c r="CA4" i="10"/>
  <c r="O4" i="10"/>
  <c r="CA4" i="16"/>
  <c r="O4" i="16"/>
  <c r="CA5" i="12"/>
  <c r="O5" i="12"/>
  <c r="BT4" i="12"/>
  <c r="H4" i="12"/>
  <c r="BQ4" i="11"/>
  <c r="E4" i="11"/>
  <c r="AK5" i="10"/>
  <c r="CP4" i="10"/>
  <c r="AD4" i="10"/>
  <c r="BJ5" i="9"/>
  <c r="DO4" i="9"/>
  <c r="BC4" i="9"/>
  <c r="CH4" i="16"/>
  <c r="V4" i="16"/>
  <c r="CH5" i="12"/>
  <c r="V5" i="12"/>
  <c r="CA4" i="12"/>
  <c r="O4" i="12"/>
  <c r="BX4" i="11"/>
  <c r="L4" i="11"/>
  <c r="AR5" i="10"/>
  <c r="CW4" i="10"/>
  <c r="AK4" i="10"/>
  <c r="BQ5" i="9"/>
  <c r="E5" i="9"/>
  <c r="BJ4" i="9"/>
  <c r="CG4" i="16"/>
  <c r="U4" i="16"/>
  <c r="CG5" i="12"/>
  <c r="U5" i="12"/>
  <c r="BZ4" i="12"/>
  <c r="N4" i="12"/>
  <c r="BW4" i="11"/>
  <c r="K4" i="11"/>
  <c r="AQ5" i="10"/>
  <c r="CV4" i="10"/>
  <c r="AJ4" i="10"/>
  <c r="BP5" i="9"/>
  <c r="D5" i="9"/>
  <c r="BI4" i="9"/>
  <c r="CF4" i="16"/>
  <c r="T4" i="16"/>
  <c r="BX5" i="12"/>
  <c r="L5" i="12"/>
  <c r="BQ4" i="12"/>
  <c r="E4" i="12"/>
  <c r="BN4" i="11"/>
  <c r="B4" i="11"/>
  <c r="AH5" i="10"/>
  <c r="CM4" i="10"/>
  <c r="AA4" i="10"/>
  <c r="CM4" i="16"/>
  <c r="AA4" i="16"/>
  <c r="CM5" i="12"/>
  <c r="AA5" i="12"/>
  <c r="CF4" i="12"/>
  <c r="T4" i="12"/>
  <c r="CC4" i="11"/>
  <c r="Q4" i="11"/>
  <c r="AO5" i="10"/>
  <c r="CT4" i="10"/>
  <c r="AH4" i="10"/>
  <c r="BN5" i="9"/>
  <c r="B5" i="9"/>
  <c r="BG4" i="9"/>
  <c r="CN5" i="8"/>
  <c r="AB5" i="8"/>
  <c r="G5" i="9"/>
  <c r="M4" i="9"/>
  <c r="AK5" i="8"/>
  <c r="CL4" i="8"/>
  <c r="Z4" i="8"/>
  <c r="CW4" i="7"/>
  <c r="AK4" i="7"/>
  <c r="C5" i="4"/>
  <c r="B6" i="3"/>
  <c r="C453" i="1"/>
  <c r="B432" i="1"/>
  <c r="A411" i="1"/>
  <c r="C389" i="1"/>
  <c r="B368" i="1"/>
  <c r="A347" i="1"/>
  <c r="C325" i="1"/>
  <c r="DD4" i="9"/>
  <c r="B4" i="9"/>
  <c r="Z5" i="8"/>
  <c r="CC4" i="8"/>
  <c r="Q4" i="8"/>
  <c r="CF4" i="7"/>
  <c r="T4" i="7"/>
  <c r="A18" i="3"/>
  <c r="DJ4" i="16"/>
  <c r="AX4" i="16"/>
  <c r="G4" i="15"/>
  <c r="AP5" i="12"/>
  <c r="CU4" i="12"/>
  <c r="AI4" i="12"/>
  <c r="CR4" i="11"/>
  <c r="AF4" i="11"/>
  <c r="BL5" i="10"/>
  <c r="DQ4" i="10"/>
  <c r="BE4" i="10"/>
  <c r="DI4" i="16"/>
  <c r="AW4" i="16"/>
  <c r="B4" i="14"/>
  <c r="AO5" i="12"/>
  <c r="CT4" i="12"/>
  <c r="AH4" i="12"/>
  <c r="CQ4" i="11"/>
  <c r="AE4" i="11"/>
  <c r="BK5" i="10"/>
  <c r="DP4" i="10"/>
  <c r="BD4" i="10"/>
  <c r="CJ5" i="9"/>
  <c r="BT4" i="16"/>
  <c r="H4" i="16"/>
  <c r="BL5" i="12"/>
  <c r="DQ4" i="12"/>
  <c r="BE4" i="12"/>
  <c r="DF4" i="11"/>
  <c r="AT4" i="11"/>
  <c r="BZ5" i="10"/>
  <c r="N5" i="10"/>
  <c r="BS4" i="10"/>
  <c r="G4" i="10"/>
  <c r="BS4" i="16"/>
  <c r="G4" i="16"/>
  <c r="BS5" i="12"/>
  <c r="G5" i="12"/>
  <c r="BL4" i="12"/>
  <c r="D5" i="11"/>
  <c r="BI4" i="11"/>
  <c r="CO5" i="10"/>
  <c r="AC5" i="10"/>
  <c r="CH4" i="10"/>
  <c r="V4" i="10"/>
  <c r="BB5" i="9"/>
  <c r="DG4" i="9"/>
  <c r="AU4" i="9"/>
  <c r="BZ4" i="16"/>
  <c r="N4" i="16"/>
  <c r="BZ5" i="12"/>
  <c r="N5" i="12"/>
  <c r="BS4" i="12"/>
  <c r="G4" i="12"/>
  <c r="BP4" i="11"/>
  <c r="D4" i="11"/>
  <c r="AJ5" i="10"/>
  <c r="CO4" i="10"/>
  <c r="AC4" i="10"/>
  <c r="BI5" i="9"/>
  <c r="DN4" i="9"/>
  <c r="BB4" i="9"/>
  <c r="BY4" i="16"/>
  <c r="M4" i="16"/>
  <c r="BY5" i="12"/>
  <c r="M5" i="12"/>
  <c r="BR4" i="12"/>
  <c r="F4" i="12"/>
  <c r="BO4" i="11"/>
  <c r="C4" i="11"/>
  <c r="AI5" i="10"/>
  <c r="CN4" i="10"/>
  <c r="AB4" i="10"/>
  <c r="BH5" i="9"/>
  <c r="DM4" i="9"/>
  <c r="BA4" i="9"/>
  <c r="BX4" i="16"/>
  <c r="L4" i="16"/>
  <c r="BP5" i="12"/>
  <c r="D5" i="12"/>
  <c r="BI4" i="12"/>
  <c r="A5" i="11"/>
  <c r="BF4" i="11"/>
  <c r="CL5" i="10"/>
  <c r="Z5" i="10"/>
  <c r="CE4" i="10"/>
  <c r="S4" i="10"/>
  <c r="CE4" i="16"/>
  <c r="S4" i="16"/>
  <c r="CE5" i="12"/>
  <c r="S5" i="12"/>
  <c r="BX4" i="12"/>
  <c r="L4" i="12"/>
  <c r="BU4" i="11"/>
  <c r="I4" i="11"/>
  <c r="AG5" i="10"/>
  <c r="CL4" i="10"/>
  <c r="Z4" i="10"/>
  <c r="BF5" i="9"/>
  <c r="DK4" i="9"/>
  <c r="AY4" i="9"/>
  <c r="CF5" i="8"/>
  <c r="T5" i="8"/>
  <c r="DH4" i="9"/>
  <c r="D4" i="9"/>
  <c r="AA5" i="8"/>
  <c r="CD4" i="8"/>
  <c r="R4" i="8"/>
  <c r="CO4" i="7"/>
  <c r="AC4" i="7"/>
  <c r="B20" i="3"/>
  <c r="B4" i="3"/>
  <c r="A451" i="1"/>
  <c r="C429" i="1"/>
  <c r="B408" i="1"/>
  <c r="A387" i="1"/>
  <c r="C365" i="1"/>
  <c r="B344" i="1"/>
  <c r="A323" i="1"/>
  <c r="CN4" i="9"/>
  <c r="CL5" i="8"/>
  <c r="Q5" i="8"/>
  <c r="BU4" i="8"/>
  <c r="I4" i="8"/>
  <c r="BX4" i="7"/>
  <c r="L4" i="7"/>
  <c r="A16" i="3"/>
  <c r="DB4" i="16"/>
  <c r="AP4" i="16"/>
  <c r="C4" i="14"/>
  <c r="AH5" i="12"/>
  <c r="CM4" i="12"/>
  <c r="AA4" i="12"/>
  <c r="CJ4" i="11"/>
  <c r="X4" i="11"/>
  <c r="BD5" i="10"/>
  <c r="DI4" i="10"/>
  <c r="AW4" i="10"/>
  <c r="DA4" i="16"/>
  <c r="AO4" i="16"/>
  <c r="CS5" i="12"/>
  <c r="AG5" i="12"/>
  <c r="CL4" i="12"/>
  <c r="Z4" i="12"/>
  <c r="CI4" i="11"/>
  <c r="W4" i="11"/>
  <c r="BC5" i="10"/>
  <c r="DH4" i="10"/>
  <c r="AV4" i="10"/>
  <c r="CB5" i="9"/>
  <c r="BL4" i="16"/>
  <c r="A5" i="15"/>
  <c r="BD5" i="12"/>
  <c r="DI4" i="12"/>
  <c r="AW4" i="12"/>
  <c r="CX4" i="11"/>
  <c r="AL4" i="11"/>
  <c r="BR5" i="10"/>
  <c r="F5" i="10"/>
  <c r="BK4" i="10"/>
  <c r="CQ5" i="9"/>
  <c r="BK4" i="16"/>
  <c r="T4" i="15"/>
  <c r="BK5" i="12"/>
  <c r="DP4" i="12"/>
  <c r="BD4" i="12"/>
  <c r="DM4" i="11"/>
  <c r="BA4" i="11"/>
  <c r="CG5" i="10"/>
  <c r="U5" i="10"/>
  <c r="BZ4" i="10"/>
  <c r="N4" i="10"/>
  <c r="AT5" i="9"/>
  <c r="CY4" i="9"/>
  <c r="AM4" i="9"/>
  <c r="BR4" i="16"/>
  <c r="F4" i="16"/>
  <c r="BR5" i="12"/>
  <c r="F5" i="12"/>
  <c r="BK4" i="12"/>
  <c r="C5" i="11"/>
  <c r="BH4" i="11"/>
  <c r="CN5" i="10"/>
  <c r="AB5" i="10"/>
  <c r="CG4" i="10"/>
  <c r="U4" i="10"/>
  <c r="BA5" i="9"/>
  <c r="DF4" i="9"/>
  <c r="AT4" i="9"/>
  <c r="BQ4" i="16"/>
  <c r="E4" i="16"/>
  <c r="BQ5" i="12"/>
  <c r="E5" i="12"/>
  <c r="BJ4" i="12"/>
  <c r="B5" i="11"/>
  <c r="BG4" i="11"/>
  <c r="CM5" i="10"/>
  <c r="AA5" i="10"/>
  <c r="CF4" i="10"/>
  <c r="T4" i="10"/>
  <c r="AZ5" i="9"/>
  <c r="DE4" i="9"/>
  <c r="AS4" i="9"/>
  <c r="BP4" i="16"/>
  <c r="D4" i="16"/>
  <c r="BH5" i="12"/>
  <c r="DM4" i="12"/>
  <c r="BA4" i="12"/>
  <c r="DJ4" i="11"/>
  <c r="AX4" i="11"/>
  <c r="CD5" i="10"/>
  <c r="R5" i="10"/>
  <c r="BW4" i="10"/>
  <c r="K4" i="10"/>
  <c r="BW4" i="16"/>
  <c r="K4" i="16"/>
  <c r="BW5" i="12"/>
  <c r="K5" i="12"/>
  <c r="BP4" i="12"/>
  <c r="D4" i="12"/>
  <c r="BM4" i="11"/>
  <c r="CK5" i="10"/>
  <c r="Y5" i="10"/>
  <c r="CD4" i="10"/>
  <c r="R4" i="10"/>
  <c r="AX5" i="9"/>
  <c r="DC4" i="9"/>
  <c r="AQ4" i="9"/>
  <c r="BX5" i="8"/>
  <c r="L5" i="8"/>
  <c r="CR4" i="9"/>
  <c r="CM5" i="8"/>
  <c r="R5" i="8"/>
  <c r="BV4" i="8"/>
  <c r="J4" i="8"/>
  <c r="CG4" i="7"/>
  <c r="U4" i="7"/>
  <c r="B18" i="3"/>
  <c r="CT4" i="16"/>
  <c r="AH4" i="16"/>
  <c r="CL5" i="12"/>
  <c r="Z5" i="12"/>
  <c r="CE4" i="12"/>
  <c r="S4" i="12"/>
  <c r="CB4" i="11"/>
  <c r="P4" i="11"/>
  <c r="AV5" i="10"/>
  <c r="DA4" i="10"/>
  <c r="AO4" i="10"/>
  <c r="CS4" i="16"/>
  <c r="AG4" i="16"/>
  <c r="CK5" i="12"/>
  <c r="Y5" i="12"/>
  <c r="CD4" i="12"/>
  <c r="R4" i="12"/>
  <c r="CA4" i="11"/>
  <c r="O4" i="11"/>
  <c r="AU5" i="10"/>
  <c r="CZ4" i="10"/>
  <c r="AN4" i="10"/>
  <c r="DP4" i="16"/>
  <c r="BD4" i="16"/>
  <c r="M4" i="15"/>
  <c r="AV5" i="12"/>
  <c r="DA4" i="12"/>
  <c r="AO4" i="12"/>
  <c r="CP4" i="11"/>
  <c r="AD4" i="11"/>
  <c r="BJ5" i="10"/>
  <c r="DO4" i="10"/>
  <c r="BC4" i="10"/>
  <c r="DO4" i="16"/>
  <c r="BC4" i="16"/>
  <c r="L4" i="15"/>
  <c r="BC5" i="12"/>
  <c r="DH4" i="12"/>
  <c r="AV4" i="12"/>
  <c r="DE4" i="11"/>
  <c r="AS4" i="11"/>
  <c r="BY5" i="10"/>
  <c r="M5" i="10"/>
  <c r="BR4" i="10"/>
  <c r="F4" i="10"/>
  <c r="AL5" i="9"/>
  <c r="CQ4" i="9"/>
  <c r="AE4" i="9"/>
  <c r="BJ4" i="16"/>
  <c r="S4" i="15"/>
  <c r="BJ5" i="12"/>
  <c r="DO4" i="12"/>
  <c r="BC4" i="12"/>
  <c r="DL4" i="11"/>
  <c r="AZ4" i="11"/>
  <c r="CF5" i="10"/>
  <c r="T5" i="10"/>
  <c r="BY4" i="10"/>
  <c r="M4" i="10"/>
  <c r="AS5" i="9"/>
  <c r="CX4" i="9"/>
  <c r="AL4" i="9"/>
  <c r="BI4" i="16"/>
  <c r="R4" i="15"/>
  <c r="BI5" i="12"/>
  <c r="DN4" i="12"/>
  <c r="BB4" i="12"/>
  <c r="DK4" i="11"/>
  <c r="AY4" i="11"/>
  <c r="CE5" i="10"/>
  <c r="S5" i="10"/>
  <c r="BX4" i="10"/>
  <c r="L4" i="10"/>
  <c r="AR5" i="9"/>
  <c r="CW4" i="9"/>
  <c r="AK4" i="9"/>
  <c r="BH4" i="16"/>
  <c r="Q4" i="15"/>
  <c r="AZ5" i="12"/>
  <c r="DE4" i="12"/>
  <c r="AS4" i="12"/>
  <c r="DB4" i="11"/>
  <c r="AP4" i="11"/>
  <c r="BV5" i="10"/>
  <c r="J5" i="10"/>
  <c r="BO4" i="10"/>
  <c r="C4" i="10"/>
  <c r="BO4" i="16"/>
  <c r="C4" i="16"/>
  <c r="BO5" i="12"/>
  <c r="C5" i="12"/>
  <c r="BH4" i="12"/>
  <c r="DQ4" i="11"/>
  <c r="BE4" i="11"/>
  <c r="CC5" i="10"/>
  <c r="Q5" i="10"/>
  <c r="BV4" i="10"/>
  <c r="J4" i="10"/>
  <c r="AP5" i="9"/>
  <c r="CU4" i="9"/>
  <c r="AI4" i="9"/>
  <c r="BP5" i="8"/>
  <c r="CK5" i="9"/>
  <c r="CB4" i="9"/>
  <c r="CD5" i="8"/>
  <c r="I5" i="8"/>
  <c r="BN4" i="8"/>
  <c r="B4" i="8"/>
  <c r="BY4" i="7"/>
  <c r="M4" i="7"/>
  <c r="B16" i="3"/>
  <c r="A467" i="1"/>
  <c r="C445" i="1"/>
  <c r="B424" i="1"/>
  <c r="A403" i="1"/>
  <c r="C381" i="1"/>
  <c r="B360" i="1"/>
  <c r="A339" i="1"/>
  <c r="BO5" i="9"/>
  <c r="BH4" i="9"/>
  <c r="BT5" i="8"/>
  <c r="DQ4" i="8"/>
  <c r="BE4" i="8"/>
  <c r="C5" i="7"/>
  <c r="BH4" i="7"/>
  <c r="G4" i="6"/>
  <c r="A12" i="3"/>
  <c r="CL4" i="16"/>
  <c r="Z4" i="16"/>
  <c r="CD5" i="12"/>
  <c r="R5" i="12"/>
  <c r="BW4" i="12"/>
  <c r="K4" i="12"/>
  <c r="BT4" i="11"/>
  <c r="H4" i="11"/>
  <c r="AN5" i="10"/>
  <c r="CS4" i="10"/>
  <c r="AG4" i="10"/>
  <c r="CK4" i="16"/>
  <c r="Y4" i="16"/>
  <c r="CC5" i="12"/>
  <c r="Q5" i="12"/>
  <c r="BV4" i="12"/>
  <c r="J4" i="12"/>
  <c r="BS4" i="11"/>
  <c r="G4" i="11"/>
  <c r="AM5" i="10"/>
  <c r="CR4" i="10"/>
  <c r="AF4" i="10"/>
  <c r="DH4" i="16"/>
  <c r="AV4" i="16"/>
  <c r="E4" i="15"/>
  <c r="AN5" i="12"/>
  <c r="CS4" i="12"/>
  <c r="AG4" i="12"/>
  <c r="CH4" i="11"/>
  <c r="V4" i="11"/>
  <c r="BB5" i="10"/>
  <c r="DG4" i="10"/>
  <c r="AU4" i="10"/>
  <c r="DG4" i="16"/>
  <c r="AU4" i="16"/>
  <c r="D4" i="15"/>
  <c r="AU5" i="12"/>
  <c r="CZ4" i="12"/>
  <c r="AN4" i="12"/>
  <c r="CW4" i="11"/>
  <c r="AK4" i="11"/>
  <c r="BQ5" i="10"/>
  <c r="E5" i="10"/>
  <c r="BJ4" i="10"/>
  <c r="CP5" i="9"/>
  <c r="AD5" i="9"/>
  <c r="CI4" i="9"/>
  <c r="DN4" i="16"/>
  <c r="BB4" i="16"/>
  <c r="K4" i="15"/>
  <c r="BB5" i="12"/>
  <c r="DG4" i="12"/>
  <c r="AU4" i="12"/>
  <c r="DD4" i="11"/>
  <c r="AR4" i="11"/>
  <c r="BX5" i="10"/>
  <c r="L5" i="10"/>
  <c r="BQ4" i="10"/>
  <c r="E4" i="10"/>
  <c r="AK5" i="9"/>
  <c r="CP4" i="9"/>
  <c r="DM4" i="16"/>
  <c r="BA4" i="16"/>
  <c r="J4" i="15"/>
  <c r="BA5" i="12"/>
  <c r="DF4" i="12"/>
  <c r="AT4" i="12"/>
  <c r="DC4" i="11"/>
  <c r="AQ4" i="11"/>
  <c r="BW5" i="10"/>
  <c r="K5" i="10"/>
  <c r="BP4" i="10"/>
  <c r="D4" i="10"/>
  <c r="AJ5" i="9"/>
  <c r="CO4" i="9"/>
  <c r="DL4" i="16"/>
  <c r="AZ4" i="16"/>
  <c r="I4" i="15"/>
  <c r="AR5" i="12"/>
  <c r="CW4" i="12"/>
  <c r="AK4" i="12"/>
  <c r="CT4" i="11"/>
  <c r="AH4" i="11"/>
  <c r="BN5" i="10"/>
  <c r="B5" i="10"/>
  <c r="BG4" i="10"/>
  <c r="CM5" i="9"/>
  <c r="BG4" i="16"/>
  <c r="P4" i="15"/>
  <c r="BG5" i="12"/>
  <c r="DL4" i="12"/>
  <c r="AZ4" i="12"/>
  <c r="DI4" i="11"/>
  <c r="AW4" i="11"/>
  <c r="BU5" i="10"/>
  <c r="I5" i="10"/>
  <c r="BN4" i="10"/>
  <c r="B4" i="10"/>
  <c r="AH5" i="9"/>
  <c r="CM4" i="9"/>
  <c r="AA4" i="9"/>
  <c r="BH5" i="8"/>
  <c r="BS5" i="9"/>
  <c r="BL4" i="9"/>
  <c r="BU5" i="8"/>
  <c r="A5" i="8"/>
  <c r="BF4" i="8"/>
  <c r="L5" i="7"/>
  <c r="BQ4" i="7"/>
  <c r="E4" i="7"/>
  <c r="B14" i="3"/>
  <c r="B464" i="1"/>
  <c r="A443" i="1"/>
  <c r="C421" i="1"/>
  <c r="B400" i="1"/>
  <c r="A379" i="1"/>
  <c r="C357" i="1"/>
  <c r="B336" i="1"/>
  <c r="AY5" i="9"/>
  <c r="AR4" i="9"/>
  <c r="BK5" i="8"/>
  <c r="DI4" i="8"/>
  <c r="AW4" i="8"/>
  <c r="DL4" i="7"/>
  <c r="AZ4" i="7"/>
  <c r="CD4" i="16"/>
  <c r="R4" i="16"/>
  <c r="BV5" i="12"/>
  <c r="J5" i="12"/>
  <c r="BO4" i="12"/>
  <c r="C4" i="12"/>
  <c r="BL4" i="11"/>
  <c r="CR5" i="10"/>
  <c r="AF5" i="10"/>
  <c r="CK4" i="10"/>
  <c r="Y4" i="10"/>
  <c r="CC4" i="16"/>
  <c r="Q4" i="16"/>
  <c r="BU5" i="12"/>
  <c r="I5" i="12"/>
  <c r="BN4" i="12"/>
  <c r="B4" i="12"/>
  <c r="BK4" i="11"/>
  <c r="CQ5" i="10"/>
  <c r="AE5" i="10"/>
  <c r="CJ4" i="10"/>
  <c r="X4" i="10"/>
  <c r="CZ4" i="16"/>
  <c r="AN4" i="16"/>
  <c r="CR5" i="12"/>
  <c r="AF5" i="12"/>
  <c r="CK4" i="12"/>
  <c r="Y4" i="12"/>
  <c r="BZ4" i="11"/>
  <c r="N4" i="11"/>
  <c r="AT5" i="10"/>
  <c r="CY4" i="10"/>
  <c r="AM4" i="10"/>
  <c r="CY4" i="16"/>
  <c r="AM4" i="16"/>
  <c r="C5" i="13"/>
  <c r="AM5" i="12"/>
  <c r="CR4" i="12"/>
  <c r="AF4" i="12"/>
  <c r="CO4" i="11"/>
  <c r="AC4" i="11"/>
  <c r="BI5" i="10"/>
  <c r="DN4" i="10"/>
  <c r="BB4" i="10"/>
  <c r="CH5" i="9"/>
  <c r="V5" i="9"/>
  <c r="CA4" i="9"/>
  <c r="DF4" i="16"/>
  <c r="AT4" i="16"/>
  <c r="C4" i="15"/>
  <c r="AT5" i="12"/>
  <c r="CY4" i="12"/>
  <c r="AM4" i="12"/>
  <c r="CV4" i="11"/>
  <c r="AJ4" i="11"/>
  <c r="BP5" i="10"/>
  <c r="D5" i="10"/>
  <c r="BI4" i="10"/>
  <c r="CO5" i="9"/>
  <c r="AC5" i="9"/>
  <c r="CH4" i="9"/>
  <c r="DE4" i="16"/>
  <c r="AS4" i="16"/>
  <c r="B4" i="15"/>
  <c r="AS5" i="12"/>
  <c r="CX4" i="12"/>
  <c r="AL4" i="12"/>
  <c r="CU4" i="11"/>
  <c r="AI4" i="11"/>
  <c r="BO5" i="10"/>
  <c r="C5" i="10"/>
  <c r="BH4" i="10"/>
  <c r="CN5" i="9"/>
  <c r="AB5" i="9"/>
  <c r="CG4" i="9"/>
  <c r="DD4" i="16"/>
  <c r="AR4" i="16"/>
  <c r="C4" i="13"/>
  <c r="AJ5" i="12"/>
  <c r="CO4" i="12"/>
  <c r="AC4" i="12"/>
  <c r="CL4" i="11"/>
  <c r="Z4" i="11"/>
  <c r="BF5" i="10"/>
  <c r="DK4" i="10"/>
  <c r="AY4" i="10"/>
  <c r="DK4" i="16"/>
  <c r="AY4" i="16"/>
  <c r="H4" i="15"/>
  <c r="AY5" i="12"/>
  <c r="DD4" i="12"/>
  <c r="AR4" i="12"/>
  <c r="DA4" i="11"/>
  <c r="AO4" i="11"/>
  <c r="BM5" i="10"/>
  <c r="A5" i="10"/>
  <c r="BF4" i="10"/>
  <c r="CL5" i="9"/>
  <c r="Z5" i="9"/>
  <c r="CE4" i="9"/>
  <c r="S4" i="9"/>
  <c r="AZ5" i="8"/>
  <c r="BC5" i="9"/>
  <c r="AV4" i="9"/>
  <c r="BL5" i="8"/>
  <c r="DJ4" i="8"/>
  <c r="AX4" i="8"/>
  <c r="D5" i="7"/>
  <c r="BI4" i="7"/>
  <c r="H4" i="6"/>
  <c r="B12" i="3"/>
  <c r="BV4" i="16"/>
  <c r="J4" i="16"/>
  <c r="BN5" i="12"/>
  <c r="B5" i="12"/>
  <c r="BG4" i="12"/>
  <c r="DP4" i="11"/>
  <c r="BD4" i="11"/>
  <c r="CJ5" i="10"/>
  <c r="X5" i="10"/>
  <c r="CC4" i="10"/>
  <c r="Q4" i="10"/>
  <c r="BU4" i="16"/>
  <c r="I4" i="16"/>
  <c r="BM5" i="12"/>
  <c r="A5" i="12"/>
  <c r="BF4" i="12"/>
  <c r="DO4" i="11"/>
  <c r="BC4" i="11"/>
  <c r="CI5" i="10"/>
  <c r="W5" i="10"/>
  <c r="CB4" i="10"/>
  <c r="P4" i="10"/>
  <c r="CR4" i="16"/>
  <c r="AF4" i="16"/>
  <c r="CJ5" i="12"/>
  <c r="X5" i="12"/>
  <c r="CC4" i="12"/>
  <c r="Q4" i="12"/>
  <c r="BR4" i="11"/>
  <c r="F4" i="11"/>
  <c r="AL5" i="10"/>
  <c r="CQ4" i="10"/>
  <c r="AE4" i="10"/>
  <c r="CQ4" i="16"/>
  <c r="AE4" i="16"/>
  <c r="CQ5" i="12"/>
  <c r="AE5" i="12"/>
  <c r="CJ4" i="12"/>
  <c r="X4" i="12"/>
  <c r="CG4" i="11"/>
  <c r="U4" i="11"/>
  <c r="BA5" i="10"/>
  <c r="DF4" i="10"/>
  <c r="AT4" i="10"/>
  <c r="BZ5" i="9"/>
  <c r="N5" i="9"/>
  <c r="BS4" i="9"/>
  <c r="CX4" i="16"/>
  <c r="AL4" i="16"/>
  <c r="B5" i="13"/>
  <c r="AL5" i="12"/>
  <c r="CQ4" i="12"/>
  <c r="AE4" i="12"/>
  <c r="CN4" i="11"/>
  <c r="AB4" i="11"/>
  <c r="BH5" i="10"/>
  <c r="DM4" i="10"/>
  <c r="BA4" i="10"/>
  <c r="CG5" i="9"/>
  <c r="U5" i="9"/>
  <c r="BZ4" i="9"/>
  <c r="CW4" i="16"/>
  <c r="AK4" i="16"/>
  <c r="A5" i="13"/>
  <c r="AK5" i="12"/>
  <c r="CP4" i="12"/>
  <c r="AD4" i="12"/>
  <c r="CM4" i="11"/>
  <c r="AA4" i="11"/>
  <c r="BG5" i="10"/>
  <c r="DL4" i="10"/>
  <c r="AZ4" i="10"/>
  <c r="CF5" i="9"/>
  <c r="T5" i="9"/>
  <c r="BY4" i="9"/>
  <c r="CV4" i="16"/>
  <c r="AJ4" i="16"/>
  <c r="CN5" i="12"/>
  <c r="AB5" i="12"/>
  <c r="CG4" i="12"/>
  <c r="U4" i="12"/>
  <c r="CD4" i="11"/>
  <c r="R4" i="11"/>
  <c r="AX5" i="10"/>
  <c r="DC4" i="10"/>
  <c r="AQ4" i="10"/>
  <c r="DC4" i="16"/>
  <c r="AQ4" i="16"/>
  <c r="A5" i="14"/>
  <c r="AQ5" i="12"/>
  <c r="CV4" i="12"/>
  <c r="AJ4" i="12"/>
  <c r="CS4" i="11"/>
  <c r="AG4" i="11"/>
  <c r="BE5" i="10"/>
  <c r="DJ4" i="10"/>
  <c r="AX4" i="10"/>
  <c r="CD5" i="9"/>
  <c r="R5" i="9"/>
  <c r="BN4" i="16"/>
  <c r="B4" i="16"/>
  <c r="BF5" i="12"/>
  <c r="DK4" i="12"/>
  <c r="AY4" i="12"/>
  <c r="DH4" i="11"/>
  <c r="AV4" i="11"/>
  <c r="CB5" i="10"/>
  <c r="P5" i="10"/>
  <c r="BU4" i="10"/>
  <c r="I4" i="10"/>
  <c r="BM4" i="16"/>
  <c r="N4" i="15"/>
  <c r="BE5" i="12"/>
  <c r="DJ4" i="12"/>
  <c r="AX4" i="12"/>
  <c r="DG4" i="11"/>
  <c r="AU4" i="11"/>
  <c r="CA5" i="10"/>
  <c r="O5" i="10"/>
  <c r="BT4" i="10"/>
  <c r="H4" i="10"/>
  <c r="CJ4" i="16"/>
  <c r="X4" i="16"/>
  <c r="CB5" i="12"/>
  <c r="P5" i="12"/>
  <c r="BU4" i="12"/>
  <c r="I4" i="12"/>
  <c r="BJ4" i="11"/>
  <c r="CP5" i="10"/>
  <c r="AD5" i="10"/>
  <c r="CI4" i="10"/>
  <c r="W4" i="10"/>
  <c r="CI4" i="16"/>
  <c r="W4" i="16"/>
  <c r="CI5" i="12"/>
  <c r="W5" i="12"/>
  <c r="CB4" i="12"/>
  <c r="P4" i="12"/>
  <c r="BY4" i="11"/>
  <c r="M4" i="11"/>
  <c r="AS5" i="10"/>
  <c r="CX4" i="10"/>
  <c r="AL4" i="10"/>
  <c r="BR5" i="9"/>
  <c r="F5" i="9"/>
  <c r="BK4" i="9"/>
  <c r="CP4" i="16"/>
  <c r="AD4" i="16"/>
  <c r="CP5" i="12"/>
  <c r="AD5" i="12"/>
  <c r="CI4" i="12"/>
  <c r="W4" i="12"/>
  <c r="CF4" i="11"/>
  <c r="T4" i="11"/>
  <c r="AZ5" i="10"/>
  <c r="DE4" i="10"/>
  <c r="AS4" i="10"/>
  <c r="BY5" i="9"/>
  <c r="M5" i="9"/>
  <c r="BR4" i="9"/>
  <c r="CO4" i="16"/>
  <c r="AC4" i="16"/>
  <c r="CO5" i="12"/>
  <c r="AC5" i="12"/>
  <c r="CH4" i="12"/>
  <c r="V4" i="12"/>
  <c r="CE4" i="11"/>
  <c r="S4" i="11"/>
  <c r="AY5" i="10"/>
  <c r="DD4" i="10"/>
  <c r="AR4" i="10"/>
  <c r="BX5" i="9"/>
  <c r="L5" i="9"/>
  <c r="BQ4" i="9"/>
  <c r="CN4" i="16"/>
  <c r="AB4" i="16"/>
  <c r="CF5" i="12"/>
  <c r="T5" i="12"/>
  <c r="BY4" i="12"/>
  <c r="M4" i="12"/>
  <c r="BV4" i="11"/>
  <c r="J4" i="11"/>
  <c r="AP5" i="10"/>
  <c r="CU4" i="10"/>
  <c r="AI4" i="10"/>
  <c r="CU4" i="16"/>
  <c r="AI4" i="16"/>
  <c r="B4" i="13"/>
  <c r="AI5" i="12"/>
  <c r="CN4" i="12"/>
  <c r="AB4" i="12"/>
  <c r="CK4" i="11"/>
  <c r="Y4" i="11"/>
  <c r="AW5" i="10"/>
  <c r="DB4" i="10"/>
  <c r="AP4" i="10"/>
  <c r="AJ5" i="8"/>
  <c r="CT4" i="8"/>
  <c r="H4" i="5"/>
  <c r="B440" i="1"/>
  <c r="C397" i="1"/>
  <c r="A355" i="1"/>
  <c r="AI5" i="9"/>
  <c r="BB5" i="8"/>
  <c r="AO4" i="8"/>
  <c r="AR4" i="7"/>
  <c r="A14" i="3"/>
  <c r="B461" i="1"/>
  <c r="A440" i="1"/>
  <c r="C418" i="1"/>
  <c r="B397" i="1"/>
  <c r="A376" i="1"/>
  <c r="C354" i="1"/>
  <c r="B333" i="1"/>
  <c r="AG5" i="9"/>
  <c r="AC4" i="9"/>
  <c r="AQ5" i="8"/>
  <c r="CR4" i="8"/>
  <c r="AF4" i="8"/>
  <c r="DC4" i="7"/>
  <c r="AQ4" i="7"/>
  <c r="F4" i="5"/>
  <c r="D7" i="3"/>
  <c r="C455" i="1"/>
  <c r="B434" i="1"/>
  <c r="A413" i="1"/>
  <c r="C391" i="1"/>
  <c r="B370" i="1"/>
  <c r="A349" i="1"/>
  <c r="C327" i="1"/>
  <c r="DQ4" i="9"/>
  <c r="I4" i="9"/>
  <c r="AG5" i="8"/>
  <c r="CI4" i="8"/>
  <c r="W4" i="8"/>
  <c r="CT4" i="7"/>
  <c r="AH4" i="7"/>
  <c r="C4" i="4"/>
  <c r="C5" i="3"/>
  <c r="C452" i="1"/>
  <c r="B431" i="1"/>
  <c r="A410" i="1"/>
  <c r="C388" i="1"/>
  <c r="B367" i="1"/>
  <c r="A346" i="1"/>
  <c r="C324" i="1"/>
  <c r="CZ4" i="9"/>
  <c r="CR5" i="8"/>
  <c r="W5" i="8"/>
  <c r="BZ4" i="8"/>
  <c r="N4" i="8"/>
  <c r="CK4" i="7"/>
  <c r="Y4" i="7"/>
  <c r="B17" i="3"/>
  <c r="B468" i="1"/>
  <c r="A447" i="1"/>
  <c r="C425" i="1"/>
  <c r="B404" i="1"/>
  <c r="A383" i="1"/>
  <c r="C361" i="1"/>
  <c r="BW5" i="9"/>
  <c r="BP4" i="9"/>
  <c r="BY5" i="8"/>
  <c r="D5" i="8"/>
  <c r="BI4" i="8"/>
  <c r="O5" i="7"/>
  <c r="BT4" i="7"/>
  <c r="H4" i="7"/>
  <c r="A13" i="3"/>
  <c r="C462" i="1"/>
  <c r="B441" i="1"/>
  <c r="A420" i="1"/>
  <c r="C398" i="1"/>
  <c r="B377" i="1"/>
  <c r="A356" i="1"/>
  <c r="C334" i="1"/>
  <c r="AO5" i="9"/>
  <c r="AH4" i="9"/>
  <c r="BE5" i="8"/>
  <c r="DD4" i="8"/>
  <c r="AR4" i="8"/>
  <c r="DO4" i="7"/>
  <c r="BC4" i="7"/>
  <c r="B4" i="6"/>
  <c r="D10" i="3"/>
  <c r="C459" i="1"/>
  <c r="B438" i="1"/>
  <c r="A417" i="1"/>
  <c r="C395" i="1"/>
  <c r="B374" i="1"/>
  <c r="A353" i="1"/>
  <c r="C331" i="1"/>
  <c r="H5" i="9"/>
  <c r="N4" i="9"/>
  <c r="AL5" i="8"/>
  <c r="CM4" i="8"/>
  <c r="AA4" i="8"/>
  <c r="CX4" i="7"/>
  <c r="AL4" i="7"/>
  <c r="C18" i="3"/>
  <c r="A470" i="1"/>
  <c r="C448" i="1"/>
  <c r="B427" i="1"/>
  <c r="A406" i="1"/>
  <c r="C384" i="1"/>
  <c r="B363" i="1"/>
  <c r="A342" i="1"/>
  <c r="B340" i="1"/>
  <c r="B302" i="1"/>
  <c r="A281" i="1"/>
  <c r="C259" i="1"/>
  <c r="B238" i="1"/>
  <c r="A217" i="1"/>
  <c r="C195" i="1"/>
  <c r="B174" i="1"/>
  <c r="A153" i="1"/>
  <c r="C131" i="1"/>
  <c r="B110" i="1"/>
  <c r="A89" i="1"/>
  <c r="C67" i="1"/>
  <c r="B46" i="1"/>
  <c r="A25" i="1"/>
  <c r="C337" i="1"/>
  <c r="BV5" i="9"/>
  <c r="AM5" i="9"/>
  <c r="AP4" i="8"/>
  <c r="B10" i="3"/>
  <c r="C437" i="1"/>
  <c r="A395" i="1"/>
  <c r="B352" i="1"/>
  <c r="S5" i="9"/>
  <c r="AS5" i="8"/>
  <c r="AG4" i="8"/>
  <c r="AJ4" i="7"/>
  <c r="A10" i="3"/>
  <c r="C458" i="1"/>
  <c r="B437" i="1"/>
  <c r="A416" i="1"/>
  <c r="C394" i="1"/>
  <c r="B373" i="1"/>
  <c r="A352" i="1"/>
  <c r="C330" i="1"/>
  <c r="Q5" i="9"/>
  <c r="T4" i="9"/>
  <c r="AH5" i="8"/>
  <c r="CJ4" i="8"/>
  <c r="X4" i="8"/>
  <c r="CU4" i="7"/>
  <c r="AI4" i="7"/>
  <c r="A5" i="4"/>
  <c r="D5" i="3"/>
  <c r="A453" i="1"/>
  <c r="C431" i="1"/>
  <c r="B410" i="1"/>
  <c r="A389" i="1"/>
  <c r="C367" i="1"/>
  <c r="B346" i="1"/>
  <c r="A325" i="1"/>
  <c r="DA4" i="9"/>
  <c r="CS5" i="8"/>
  <c r="X5" i="8"/>
  <c r="CA4" i="8"/>
  <c r="O4" i="8"/>
  <c r="CL4" i="7"/>
  <c r="Z4" i="7"/>
  <c r="C19" i="3"/>
  <c r="B471" i="1"/>
  <c r="A450" i="1"/>
  <c r="C428" i="1"/>
  <c r="B407" i="1"/>
  <c r="A386" i="1"/>
  <c r="C364" i="1"/>
  <c r="B343" i="1"/>
  <c r="A322" i="1"/>
  <c r="CJ4" i="9"/>
  <c r="CI5" i="8"/>
  <c r="N5" i="8"/>
  <c r="BR4" i="8"/>
  <c r="F4" i="8"/>
  <c r="CC4" i="7"/>
  <c r="Q4" i="7"/>
  <c r="B15" i="3"/>
  <c r="C465" i="1"/>
  <c r="B444" i="1"/>
  <c r="A423" i="1"/>
  <c r="C401" i="1"/>
  <c r="B380" i="1"/>
  <c r="A359" i="1"/>
  <c r="BG5" i="9"/>
  <c r="AZ4" i="9"/>
  <c r="BO5" i="8"/>
  <c r="DM4" i="8"/>
  <c r="BA4" i="8"/>
  <c r="G5" i="7"/>
  <c r="BL4" i="7"/>
  <c r="B5" i="6"/>
  <c r="A11" i="3"/>
  <c r="A460" i="1"/>
  <c r="C438" i="1"/>
  <c r="B417" i="1"/>
  <c r="A396" i="1"/>
  <c r="C374" i="1"/>
  <c r="B353" i="1"/>
  <c r="A332" i="1"/>
  <c r="Y5" i="9"/>
  <c r="X4" i="9"/>
  <c r="AV5" i="8"/>
  <c r="CV4" i="8"/>
  <c r="AJ4" i="8"/>
  <c r="DG4" i="7"/>
  <c r="AU4" i="7"/>
  <c r="A5" i="5"/>
  <c r="D8" i="3"/>
  <c r="A457" i="1"/>
  <c r="C435" i="1"/>
  <c r="B414" i="1"/>
  <c r="A393" i="1"/>
  <c r="C371" i="1"/>
  <c r="B350" i="1"/>
  <c r="A329" i="1"/>
  <c r="DI4" i="9"/>
  <c r="E4" i="9"/>
  <c r="AC5" i="8"/>
  <c r="CE4" i="8"/>
  <c r="S4" i="8"/>
  <c r="CP4" i="7"/>
  <c r="AD4" i="7"/>
  <c r="C16" i="3"/>
  <c r="B467" i="1"/>
  <c r="A446" i="1"/>
  <c r="C424" i="1"/>
  <c r="B403" i="1"/>
  <c r="A382" i="1"/>
  <c r="C360" i="1"/>
  <c r="B339" i="1"/>
  <c r="A321" i="1"/>
  <c r="C299" i="1"/>
  <c r="B278" i="1"/>
  <c r="A257" i="1"/>
  <c r="C235" i="1"/>
  <c r="B214" i="1"/>
  <c r="A193" i="1"/>
  <c r="C171" i="1"/>
  <c r="B150" i="1"/>
  <c r="A129" i="1"/>
  <c r="C107" i="1"/>
  <c r="B86" i="1"/>
  <c r="A65" i="1"/>
  <c r="C43" i="1"/>
  <c r="B22" i="1"/>
  <c r="J5" i="9"/>
  <c r="W5" i="9"/>
  <c r="AH4" i="8"/>
  <c r="B8" i="3"/>
  <c r="A435" i="1"/>
  <c r="B392" i="1"/>
  <c r="C349" i="1"/>
  <c r="C5" i="9"/>
  <c r="AI5" i="8"/>
  <c r="Y4" i="8"/>
  <c r="AB4" i="7"/>
  <c r="A8" i="3"/>
  <c r="A456" i="1"/>
  <c r="C434" i="1"/>
  <c r="B413" i="1"/>
  <c r="A392" i="1"/>
  <c r="C370" i="1"/>
  <c r="B349" i="1"/>
  <c r="A328" i="1"/>
  <c r="A5" i="9"/>
  <c r="J4" i="9"/>
  <c r="Y5" i="8"/>
  <c r="CB4" i="8"/>
  <c r="P4" i="8"/>
  <c r="CM4" i="7"/>
  <c r="AA4" i="7"/>
  <c r="D19" i="3"/>
  <c r="C471" i="1"/>
  <c r="B450" i="1"/>
  <c r="A429" i="1"/>
  <c r="C407" i="1"/>
  <c r="B386" i="1"/>
  <c r="A365" i="1"/>
  <c r="C343" i="1"/>
  <c r="B322" i="1"/>
  <c r="CK4" i="9"/>
  <c r="CJ5" i="8"/>
  <c r="O5" i="8"/>
  <c r="BS4" i="8"/>
  <c r="G4" i="8"/>
  <c r="CD4" i="7"/>
  <c r="R4" i="7"/>
  <c r="C17" i="3"/>
  <c r="C468" i="1"/>
  <c r="B447" i="1"/>
  <c r="A426" i="1"/>
  <c r="C404" i="1"/>
  <c r="B383" i="1"/>
  <c r="A362" i="1"/>
  <c r="C340" i="1"/>
  <c r="CA5" i="9"/>
  <c r="BT4" i="9"/>
  <c r="BZ5" i="8"/>
  <c r="E5" i="8"/>
  <c r="BJ4" i="8"/>
  <c r="P5" i="7"/>
  <c r="BU4" i="7"/>
  <c r="I4" i="7"/>
  <c r="B13" i="3"/>
  <c r="A463" i="1"/>
  <c r="C441" i="1"/>
  <c r="B420" i="1"/>
  <c r="A399" i="1"/>
  <c r="C377" i="1"/>
  <c r="B356" i="1"/>
  <c r="AQ5" i="9"/>
  <c r="AJ4" i="9"/>
  <c r="BF5" i="8"/>
  <c r="DE4" i="8"/>
  <c r="AS4" i="8"/>
  <c r="DP4" i="7"/>
  <c r="BD4" i="7"/>
  <c r="C4" i="6"/>
  <c r="A9" i="3"/>
  <c r="B457" i="1"/>
  <c r="A436" i="1"/>
  <c r="C414" i="1"/>
  <c r="B393" i="1"/>
  <c r="A372" i="1"/>
  <c r="C350" i="1"/>
  <c r="B329" i="1"/>
  <c r="I5" i="9"/>
  <c r="O4" i="9"/>
  <c r="AM5" i="8"/>
  <c r="CN4" i="8"/>
  <c r="AB4" i="8"/>
  <c r="CY4" i="7"/>
  <c r="AM4" i="7"/>
  <c r="B4" i="5"/>
  <c r="D6" i="3"/>
  <c r="B454" i="1"/>
  <c r="A433" i="1"/>
  <c r="C411" i="1"/>
  <c r="B390" i="1"/>
  <c r="A369" i="1"/>
  <c r="C347" i="1"/>
  <c r="B326" i="1"/>
  <c r="CS4" i="9"/>
  <c r="CO5" i="8"/>
  <c r="S5" i="8"/>
  <c r="BW4" i="8"/>
  <c r="K4" i="8"/>
  <c r="CH4" i="7"/>
  <c r="V4" i="7"/>
  <c r="C14" i="3"/>
  <c r="C464" i="1"/>
  <c r="B443" i="1"/>
  <c r="A422" i="1"/>
  <c r="C400" i="1"/>
  <c r="B379" i="1"/>
  <c r="A358" i="1"/>
  <c r="C336" i="1"/>
  <c r="B318" i="1"/>
  <c r="A297" i="1"/>
  <c r="C275" i="1"/>
  <c r="B254" i="1"/>
  <c r="A233" i="1"/>
  <c r="C211" i="1"/>
  <c r="B190" i="1"/>
  <c r="A169" i="1"/>
  <c r="C147" i="1"/>
  <c r="B126" i="1"/>
  <c r="A105" i="1"/>
  <c r="C83" i="1"/>
  <c r="B62" i="1"/>
  <c r="A41" i="1"/>
  <c r="C19" i="1"/>
  <c r="BW4" i="9"/>
  <c r="AF4" i="9"/>
  <c r="DM4" i="7"/>
  <c r="C469" i="1"/>
  <c r="A427" i="1"/>
  <c r="B384" i="1"/>
  <c r="C341" i="1"/>
  <c r="BX4" i="9"/>
  <c r="H5" i="8"/>
  <c r="K5" i="7"/>
  <c r="D4" i="7"/>
  <c r="A6" i="3"/>
  <c r="B453" i="1"/>
  <c r="A432" i="1"/>
  <c r="C410" i="1"/>
  <c r="B389" i="1"/>
  <c r="A368" i="1"/>
  <c r="C346" i="1"/>
  <c r="B325" i="1"/>
  <c r="DB4" i="9"/>
  <c r="CK5" i="8"/>
  <c r="P5" i="8"/>
  <c r="BT4" i="8"/>
  <c r="H4" i="8"/>
  <c r="CE4" i="7"/>
  <c r="S4" i="7"/>
  <c r="D17" i="3"/>
  <c r="A469" i="1"/>
  <c r="C447" i="1"/>
  <c r="B426" i="1"/>
  <c r="A405" i="1"/>
  <c r="C383" i="1"/>
  <c r="B362" i="1"/>
  <c r="A341" i="1"/>
  <c r="CC5" i="9"/>
  <c r="BU4" i="9"/>
  <c r="CA5" i="8"/>
  <c r="F5" i="8"/>
  <c r="BK4" i="8"/>
  <c r="Q5" i="7"/>
  <c r="BV4" i="7"/>
  <c r="J4" i="7"/>
  <c r="C15" i="3"/>
  <c r="A466" i="1"/>
  <c r="C444" i="1"/>
  <c r="B423" i="1"/>
  <c r="A402" i="1"/>
  <c r="C380" i="1"/>
  <c r="B359" i="1"/>
  <c r="A338" i="1"/>
  <c r="BK5" i="9"/>
  <c r="BD4" i="9"/>
  <c r="BQ5" i="8"/>
  <c r="DN4" i="8"/>
  <c r="BB4" i="8"/>
  <c r="H5" i="7"/>
  <c r="BM4" i="7"/>
  <c r="D4" i="6"/>
  <c r="B11" i="3"/>
  <c r="B460" i="1"/>
  <c r="A439" i="1"/>
  <c r="C417" i="1"/>
  <c r="B396" i="1"/>
  <c r="A375" i="1"/>
  <c r="C353" i="1"/>
  <c r="AA5" i="9"/>
  <c r="Y4" i="9"/>
  <c r="AW5" i="8"/>
  <c r="CW4" i="8"/>
  <c r="AK4" i="8"/>
  <c r="DH4" i="7"/>
  <c r="AV4" i="7"/>
  <c r="B5" i="5"/>
  <c r="A7" i="3"/>
  <c r="C454" i="1"/>
  <c r="B433" i="1"/>
  <c r="A412" i="1"/>
  <c r="C390" i="1"/>
  <c r="B369" i="1"/>
  <c r="A348" i="1"/>
  <c r="C326" i="1"/>
  <c r="DJ4" i="9"/>
  <c r="F4" i="9"/>
  <c r="AD5" i="8"/>
  <c r="CF4" i="8"/>
  <c r="T4" i="8"/>
  <c r="CQ4" i="7"/>
  <c r="AE4" i="7"/>
  <c r="D20" i="3"/>
  <c r="D4" i="3"/>
  <c r="C451" i="1"/>
  <c r="B430" i="1"/>
  <c r="A409" i="1"/>
  <c r="C387" i="1"/>
  <c r="B366" i="1"/>
  <c r="A345" i="1"/>
  <c r="C323" i="1"/>
  <c r="CC4" i="9"/>
  <c r="CE5" i="8"/>
  <c r="J5" i="8"/>
  <c r="BO4" i="8"/>
  <c r="C4" i="8"/>
  <c r="BZ4" i="7"/>
  <c r="N4" i="7"/>
  <c r="C12" i="3"/>
  <c r="A462" i="1"/>
  <c r="C440" i="1"/>
  <c r="B419" i="1"/>
  <c r="A398" i="1"/>
  <c r="C376" i="1"/>
  <c r="B355" i="1"/>
  <c r="A334" i="1"/>
  <c r="C315" i="1"/>
  <c r="B294" i="1"/>
  <c r="A273" i="1"/>
  <c r="C251" i="1"/>
  <c r="B230" i="1"/>
  <c r="A209" i="1"/>
  <c r="C187" i="1"/>
  <c r="B166" i="1"/>
  <c r="A145" i="1"/>
  <c r="C123" i="1"/>
  <c r="B102" i="1"/>
  <c r="A81" i="1"/>
  <c r="C59" i="1"/>
  <c r="B38" i="1"/>
  <c r="A17" i="1"/>
  <c r="BO4" i="9"/>
  <c r="V4" i="9"/>
  <c r="DE4" i="7"/>
  <c r="C461" i="1"/>
  <c r="A419" i="1"/>
  <c r="B376" i="1"/>
  <c r="C333" i="1"/>
  <c r="AD4" i="9"/>
  <c r="DA4" i="8"/>
  <c r="DD4" i="7"/>
  <c r="F5" i="5"/>
  <c r="A4" i="3"/>
  <c r="C450" i="1"/>
  <c r="B429" i="1"/>
  <c r="A408" i="1"/>
  <c r="C386" i="1"/>
  <c r="B365" i="1"/>
  <c r="A344" i="1"/>
  <c r="C322" i="1"/>
  <c r="CL4" i="9"/>
  <c r="CB5" i="8"/>
  <c r="G5" i="8"/>
  <c r="BL4" i="8"/>
  <c r="R5" i="7"/>
  <c r="BW4" i="7"/>
  <c r="K4" i="7"/>
  <c r="D15" i="3"/>
  <c r="B466" i="1"/>
  <c r="A445" i="1"/>
  <c r="C423" i="1"/>
  <c r="B402" i="1"/>
  <c r="A381" i="1"/>
  <c r="C359" i="1"/>
  <c r="B338" i="1"/>
  <c r="BL5" i="9"/>
  <c r="BE4" i="9"/>
  <c r="BR5" i="8"/>
  <c r="DO4" i="8"/>
  <c r="BC4" i="8"/>
  <c r="I5" i="7"/>
  <c r="BN4" i="7"/>
  <c r="B4" i="7"/>
  <c r="C13" i="3"/>
  <c r="B463" i="1"/>
  <c r="A442" i="1"/>
  <c r="C420" i="1"/>
  <c r="B399" i="1"/>
  <c r="A378" i="1"/>
  <c r="C356" i="1"/>
  <c r="B335" i="1"/>
  <c r="AU5" i="9"/>
  <c r="AN4" i="9"/>
  <c r="BG5" i="8"/>
  <c r="DF4" i="8"/>
  <c r="AT4" i="8"/>
  <c r="DQ4" i="7"/>
  <c r="BE4" i="7"/>
  <c r="C5" i="5"/>
  <c r="B9" i="3"/>
  <c r="C457" i="1"/>
  <c r="B436" i="1"/>
  <c r="A415" i="1"/>
  <c r="C393" i="1"/>
  <c r="B372" i="1"/>
  <c r="A351" i="1"/>
  <c r="K5" i="9"/>
  <c r="P4" i="9"/>
  <c r="AN5" i="8"/>
  <c r="CO4" i="8"/>
  <c r="AC4" i="8"/>
  <c r="CZ4" i="7"/>
  <c r="AN4" i="7"/>
  <c r="C4" i="5"/>
  <c r="A5" i="3"/>
  <c r="A452" i="1"/>
  <c r="C430" i="1"/>
  <c r="B409" i="1"/>
  <c r="A388" i="1"/>
  <c r="C366" i="1"/>
  <c r="B345" i="1"/>
  <c r="A324" i="1"/>
  <c r="CT4" i="9"/>
  <c r="CP5" i="8"/>
  <c r="U5" i="8"/>
  <c r="BX4" i="8"/>
  <c r="L4" i="8"/>
  <c r="CI4" i="7"/>
  <c r="W4" i="7"/>
  <c r="D18" i="3"/>
  <c r="B470" i="1"/>
  <c r="A449" i="1"/>
  <c r="C427" i="1"/>
  <c r="B406" i="1"/>
  <c r="A385" i="1"/>
  <c r="C363" i="1"/>
  <c r="B342" i="1"/>
  <c r="BT5" i="9"/>
  <c r="BM4" i="9"/>
  <c r="BV5" i="8"/>
  <c r="B5" i="8"/>
  <c r="BG4" i="8"/>
  <c r="M5" i="7"/>
  <c r="BR4" i="7"/>
  <c r="F4" i="7"/>
  <c r="C10" i="3"/>
  <c r="B459" i="1"/>
  <c r="A438" i="1"/>
  <c r="C416" i="1"/>
  <c r="B395" i="1"/>
  <c r="A374" i="1"/>
  <c r="C352" i="1"/>
  <c r="B331" i="1"/>
  <c r="A313" i="1"/>
  <c r="C291" i="1"/>
  <c r="B270" i="1"/>
  <c r="A249" i="1"/>
  <c r="C227" i="1"/>
  <c r="B206" i="1"/>
  <c r="A185" i="1"/>
  <c r="C163" i="1"/>
  <c r="B142" i="1"/>
  <c r="A121" i="1"/>
  <c r="C99" i="1"/>
  <c r="B78" i="1"/>
  <c r="A57" i="1"/>
  <c r="C35" i="1"/>
  <c r="B14" i="1"/>
  <c r="K4" i="9"/>
  <c r="BC5" i="8"/>
  <c r="BA4" i="7"/>
  <c r="A459" i="1"/>
  <c r="B416" i="1"/>
  <c r="C373" i="1"/>
  <c r="A331" i="1"/>
  <c r="U4" i="9"/>
  <c r="CS4" i="8"/>
  <c r="CV4" i="7"/>
  <c r="G4" i="5"/>
  <c r="B469" i="1"/>
  <c r="A448" i="1"/>
  <c r="C426" i="1"/>
  <c r="B405" i="1"/>
  <c r="A384" i="1"/>
  <c r="C362" i="1"/>
  <c r="B341" i="1"/>
  <c r="CE5" i="9"/>
  <c r="BV4" i="9"/>
  <c r="BS5" i="8"/>
  <c r="DP4" i="8"/>
  <c r="BD4" i="8"/>
  <c r="J5" i="7"/>
  <c r="BO4" i="7"/>
  <c r="C4" i="7"/>
  <c r="D13" i="3"/>
  <c r="C463" i="1"/>
  <c r="B442" i="1"/>
  <c r="A421" i="1"/>
  <c r="C399" i="1"/>
  <c r="B378" i="1"/>
  <c r="A357" i="1"/>
  <c r="C335" i="1"/>
  <c r="AV5" i="9"/>
  <c r="AO4" i="9"/>
  <c r="BI5" i="8"/>
  <c r="DG4" i="8"/>
  <c r="AU4" i="8"/>
  <c r="A5" i="7"/>
  <c r="BF4" i="7"/>
  <c r="E4" i="6"/>
  <c r="C11" i="3"/>
  <c r="C460" i="1"/>
  <c r="B439" i="1"/>
  <c r="A418" i="1"/>
  <c r="C396" i="1"/>
  <c r="B375" i="1"/>
  <c r="A354" i="1"/>
  <c r="C332" i="1"/>
  <c r="AE5" i="9"/>
  <c r="Z4" i="9"/>
  <c r="AX5" i="8"/>
  <c r="CX4" i="8"/>
  <c r="AL4" i="8"/>
  <c r="DI4" i="7"/>
  <c r="AW4" i="7"/>
  <c r="D4" i="5"/>
  <c r="B7" i="3"/>
  <c r="A455" i="1"/>
  <c r="C433" i="1"/>
  <c r="B412" i="1"/>
  <c r="A391" i="1"/>
  <c r="C369" i="1"/>
  <c r="B348" i="1"/>
  <c r="DL4" i="9"/>
  <c r="G4" i="9"/>
  <c r="AE5" i="8"/>
  <c r="CG4" i="8"/>
  <c r="U4" i="8"/>
  <c r="CR4" i="7"/>
  <c r="AF4" i="7"/>
  <c r="A19" i="3"/>
  <c r="C470" i="1"/>
  <c r="B449" i="1"/>
  <c r="A428" i="1"/>
  <c r="C406" i="1"/>
  <c r="B385" i="1"/>
  <c r="A364" i="1"/>
  <c r="C342" i="1"/>
  <c r="B321" i="1"/>
  <c r="CD4" i="9"/>
  <c r="CG5" i="8"/>
  <c r="K5" i="8"/>
  <c r="BP4" i="8"/>
  <c r="D4" i="8"/>
  <c r="CA4" i="7"/>
  <c r="O4" i="7"/>
  <c r="D16" i="3"/>
  <c r="C467" i="1"/>
  <c r="B446" i="1"/>
  <c r="A425" i="1"/>
  <c r="C403" i="1"/>
  <c r="B382" i="1"/>
  <c r="A361" i="1"/>
  <c r="C339" i="1"/>
  <c r="BD5" i="9"/>
  <c r="AW4" i="9"/>
  <c r="BM5" i="8"/>
  <c r="DK4" i="8"/>
  <c r="AY4" i="8"/>
  <c r="E5" i="7"/>
  <c r="BJ4" i="7"/>
  <c r="I4" i="6"/>
  <c r="C8" i="3"/>
  <c r="C456" i="1"/>
  <c r="B435" i="1"/>
  <c r="A414" i="1"/>
  <c r="C392" i="1"/>
  <c r="B371" i="1"/>
  <c r="A350" i="1"/>
  <c r="C328" i="1"/>
  <c r="B310" i="1"/>
  <c r="A289" i="1"/>
  <c r="C267" i="1"/>
  <c r="B246" i="1"/>
  <c r="A225" i="1"/>
  <c r="C203" i="1"/>
  <c r="B182" i="1"/>
  <c r="A161" i="1"/>
  <c r="C139" i="1"/>
  <c r="B118" i="1"/>
  <c r="A97" i="1"/>
  <c r="C75" i="1"/>
  <c r="B54" i="1"/>
  <c r="A33" i="1"/>
  <c r="C11" i="1"/>
  <c r="C4" i="9"/>
  <c r="AT5" i="8"/>
  <c r="AS4" i="7"/>
  <c r="B456" i="1"/>
  <c r="C413" i="1"/>
  <c r="A371" i="1"/>
  <c r="B328" i="1"/>
  <c r="L4" i="9"/>
  <c r="CK4" i="8"/>
  <c r="CN4" i="7"/>
  <c r="B5" i="4"/>
  <c r="C466" i="1"/>
  <c r="B445" i="1"/>
  <c r="A424" i="1"/>
  <c r="C402" i="1"/>
  <c r="B381" i="1"/>
  <c r="A360" i="1"/>
  <c r="C338" i="1"/>
  <c r="BM5" i="9"/>
  <c r="BF4" i="9"/>
  <c r="BJ5" i="8"/>
  <c r="DH4" i="8"/>
  <c r="AV4" i="8"/>
  <c r="B5" i="7"/>
  <c r="BG4" i="7"/>
  <c r="F4" i="6"/>
  <c r="D11" i="3"/>
  <c r="A461" i="1"/>
  <c r="C439" i="1"/>
  <c r="B418" i="1"/>
  <c r="A397" i="1"/>
  <c r="C375" i="1"/>
  <c r="B354" i="1"/>
  <c r="A333" i="1"/>
  <c r="AF5" i="9"/>
  <c r="AB4" i="9"/>
  <c r="AY5" i="8"/>
  <c r="CY4" i="8"/>
  <c r="AM4" i="8"/>
  <c r="DJ4" i="7"/>
  <c r="AX4" i="7"/>
  <c r="D5" i="5"/>
  <c r="C9" i="3"/>
  <c r="A458" i="1"/>
  <c r="C436" i="1"/>
  <c r="B415" i="1"/>
  <c r="A394" i="1"/>
  <c r="C372" i="1"/>
  <c r="B351" i="1"/>
  <c r="A330" i="1"/>
  <c r="O5" i="9"/>
  <c r="Q4" i="9"/>
  <c r="AO5" i="8"/>
  <c r="CP4" i="8"/>
  <c r="AD4" i="8"/>
  <c r="DA4" i="7"/>
  <c r="AO4" i="7"/>
  <c r="B4" i="4"/>
  <c r="B5" i="3"/>
  <c r="B452" i="1"/>
  <c r="A431" i="1"/>
  <c r="C409" i="1"/>
  <c r="B388" i="1"/>
  <c r="A367" i="1"/>
  <c r="C345" i="1"/>
  <c r="CV4" i="9"/>
  <c r="CQ5" i="8"/>
  <c r="V5" i="8"/>
  <c r="BY4" i="8"/>
  <c r="M4" i="8"/>
  <c r="CJ4" i="7"/>
  <c r="X4" i="7"/>
  <c r="A17" i="3"/>
  <c r="A468" i="1"/>
  <c r="C446" i="1"/>
  <c r="B425" i="1"/>
  <c r="A404" i="1"/>
  <c r="C382" i="1"/>
  <c r="B361" i="1"/>
  <c r="A340" i="1"/>
  <c r="BU5" i="9"/>
  <c r="BN4" i="9"/>
  <c r="BW5" i="8"/>
  <c r="C5" i="8"/>
  <c r="BH4" i="8"/>
  <c r="N5" i="7"/>
  <c r="BS4" i="7"/>
  <c r="G4" i="7"/>
  <c r="D14" i="3"/>
  <c r="A465" i="1"/>
  <c r="C443" i="1"/>
  <c r="B422" i="1"/>
  <c r="A401" i="1"/>
  <c r="C379" i="1"/>
  <c r="B358" i="1"/>
  <c r="A337" i="1"/>
  <c r="AN5" i="9"/>
  <c r="AG4" i="9"/>
  <c r="BD5" i="8"/>
  <c r="DC4" i="8"/>
  <c r="AQ4" i="8"/>
  <c r="DN4" i="7"/>
  <c r="BB4" i="7"/>
  <c r="I4" i="5"/>
  <c r="C6" i="3"/>
  <c r="A454" i="1"/>
  <c r="C432" i="1"/>
  <c r="B411" i="1"/>
  <c r="A390" i="1"/>
  <c r="C368" i="1"/>
  <c r="B347" i="1"/>
  <c r="A326" i="1"/>
  <c r="C307" i="1"/>
  <c r="B286" i="1"/>
  <c r="A265" i="1"/>
  <c r="C243" i="1"/>
  <c r="B222" i="1"/>
  <c r="A201" i="1"/>
  <c r="C179" i="1"/>
  <c r="B158" i="1"/>
  <c r="A137" i="1"/>
  <c r="C115" i="1"/>
  <c r="B94" i="1"/>
  <c r="A73" i="1"/>
  <c r="C51" i="1"/>
  <c r="B30" i="1"/>
  <c r="A9" i="1"/>
  <c r="AR5" i="8"/>
  <c r="DB4" i="8"/>
  <c r="G5" i="5"/>
  <c r="B448" i="1"/>
  <c r="C405" i="1"/>
  <c r="A363" i="1"/>
  <c r="CI5" i="9"/>
  <c r="CC5" i="8"/>
  <c r="BM4" i="8"/>
  <c r="BP4" i="7"/>
  <c r="A20" i="3"/>
  <c r="A464" i="1"/>
  <c r="C442" i="1"/>
  <c r="B421" i="1"/>
  <c r="A400" i="1"/>
  <c r="C378" i="1"/>
  <c r="B357" i="1"/>
  <c r="A336" i="1"/>
  <c r="AW5" i="9"/>
  <c r="AP4" i="9"/>
  <c r="BA5" i="8"/>
  <c r="CZ4" i="8"/>
  <c r="AN4" i="8"/>
  <c r="DK4" i="7"/>
  <c r="AY4" i="7"/>
  <c r="E5" i="5"/>
  <c r="D9" i="3"/>
  <c r="B458" i="1"/>
  <c r="A437" i="1"/>
  <c r="C415" i="1"/>
  <c r="B394" i="1"/>
  <c r="A373" i="1"/>
  <c r="C351" i="1"/>
  <c r="B330" i="1"/>
  <c r="P5" i="9"/>
  <c r="R4" i="9"/>
  <c r="AP5" i="8"/>
  <c r="CQ4" i="8"/>
  <c r="AE4" i="8"/>
  <c r="DB4" i="7"/>
  <c r="AP4" i="7"/>
  <c r="E4" i="5"/>
  <c r="C7" i="3"/>
  <c r="B455" i="1"/>
  <c r="A434" i="1"/>
  <c r="C412" i="1"/>
  <c r="B391" i="1"/>
  <c r="A370" i="1"/>
  <c r="C348" i="1"/>
  <c r="B327" i="1"/>
  <c r="DP4" i="9"/>
  <c r="H4" i="9"/>
  <c r="AF5" i="8"/>
  <c r="CH4" i="8"/>
  <c r="V4" i="8"/>
  <c r="CS4" i="7"/>
  <c r="AG4" i="7"/>
  <c r="B19" i="3"/>
  <c r="A471" i="1"/>
  <c r="C449" i="1"/>
  <c r="B428" i="1"/>
  <c r="A407" i="1"/>
  <c r="C385" i="1"/>
  <c r="B364" i="1"/>
  <c r="A343" i="1"/>
  <c r="CF4" i="9"/>
  <c r="CH5" i="8"/>
  <c r="M5" i="8"/>
  <c r="BQ4" i="8"/>
  <c r="E4" i="8"/>
  <c r="CB4" i="7"/>
  <c r="P4" i="7"/>
  <c r="A15" i="3"/>
  <c r="B465" i="1"/>
  <c r="A444" i="1"/>
  <c r="C422" i="1"/>
  <c r="B401" i="1"/>
  <c r="A380" i="1"/>
  <c r="C358" i="1"/>
  <c r="B337" i="1"/>
  <c r="BE5" i="9"/>
  <c r="AX4" i="9"/>
  <c r="BN5" i="8"/>
  <c r="DL4" i="8"/>
  <c r="AZ4" i="8"/>
  <c r="F5" i="7"/>
  <c r="BK4" i="7"/>
  <c r="A5" i="6"/>
  <c r="D12" i="3"/>
  <c r="B462" i="1"/>
  <c r="A441" i="1"/>
  <c r="C419" i="1"/>
  <c r="B398" i="1"/>
  <c r="A377" i="1"/>
  <c r="C355" i="1"/>
  <c r="B334" i="1"/>
  <c r="X5" i="9"/>
  <c r="W4" i="9"/>
  <c r="AU5" i="8"/>
  <c r="CU4" i="8"/>
  <c r="AI4" i="8"/>
  <c r="DF4" i="7"/>
  <c r="AT4" i="7"/>
  <c r="C20" i="3"/>
  <c r="C4" i="3"/>
  <c r="B451" i="1"/>
  <c r="A430" i="1"/>
  <c r="C408" i="1"/>
  <c r="B387" i="1"/>
  <c r="A366" i="1"/>
  <c r="C344" i="1"/>
  <c r="B323" i="1"/>
  <c r="A305" i="1"/>
  <c r="C283" i="1"/>
  <c r="B262" i="1"/>
  <c r="A241" i="1"/>
  <c r="C219" i="1"/>
  <c r="B198" i="1"/>
  <c r="A177" i="1"/>
  <c r="C155" i="1"/>
  <c r="B134" i="1"/>
  <c r="A113" i="1"/>
  <c r="C91" i="1"/>
  <c r="B70" i="1"/>
  <c r="A49" i="1"/>
  <c r="C27" i="1"/>
  <c r="B6" i="1"/>
  <c r="C320" i="1"/>
  <c r="B299" i="1"/>
  <c r="A278" i="1"/>
  <c r="C256" i="1"/>
  <c r="B235" i="1"/>
  <c r="A214" i="1"/>
  <c r="C192" i="1"/>
  <c r="B171" i="1"/>
  <c r="A150" i="1"/>
  <c r="C128" i="1"/>
  <c r="B107" i="1"/>
  <c r="A86" i="1"/>
  <c r="C64" i="1"/>
  <c r="B43" i="1"/>
  <c r="A22" i="1"/>
  <c r="B320" i="1"/>
  <c r="A299" i="1"/>
  <c r="C277" i="1"/>
  <c r="B256" i="1"/>
  <c r="A235" i="1"/>
  <c r="C213" i="1"/>
  <c r="B192" i="1"/>
  <c r="A171" i="1"/>
  <c r="C149" i="1"/>
  <c r="B128" i="1"/>
  <c r="A107" i="1"/>
  <c r="C85" i="1"/>
  <c r="B64" i="1"/>
  <c r="A43" i="1"/>
  <c r="C21" i="1"/>
  <c r="A320" i="1"/>
  <c r="C298" i="1"/>
  <c r="B277" i="1"/>
  <c r="A256" i="1"/>
  <c r="C234" i="1"/>
  <c r="B213" i="1"/>
  <c r="A192" i="1"/>
  <c r="C170" i="1"/>
  <c r="B149" i="1"/>
  <c r="A128" i="1"/>
  <c r="C106" i="1"/>
  <c r="B85" i="1"/>
  <c r="A64" i="1"/>
  <c r="C42" i="1"/>
  <c r="B21" i="1"/>
  <c r="C319" i="1"/>
  <c r="B298" i="1"/>
  <c r="A277" i="1"/>
  <c r="C255" i="1"/>
  <c r="B234" i="1"/>
  <c r="A213" i="1"/>
  <c r="C191" i="1"/>
  <c r="B170" i="1"/>
  <c r="A149" i="1"/>
  <c r="C127" i="1"/>
  <c r="B106" i="1"/>
  <c r="A85" i="1"/>
  <c r="C63" i="1"/>
  <c r="B42" i="1"/>
  <c r="A21" i="1"/>
  <c r="B319" i="1"/>
  <c r="A298" i="1"/>
  <c r="C276" i="1"/>
  <c r="B255" i="1"/>
  <c r="A234" i="1"/>
  <c r="C212" i="1"/>
  <c r="B191" i="1"/>
  <c r="A170" i="1"/>
  <c r="C148" i="1"/>
  <c r="B127" i="1"/>
  <c r="A106" i="1"/>
  <c r="C84" i="1"/>
  <c r="B63" i="1"/>
  <c r="A42" i="1"/>
  <c r="C20" i="1"/>
  <c r="A319" i="1"/>
  <c r="C297" i="1"/>
  <c r="B276" i="1"/>
  <c r="A255" i="1"/>
  <c r="C233" i="1"/>
  <c r="B212" i="1"/>
  <c r="A191" i="1"/>
  <c r="C169" i="1"/>
  <c r="B148" i="1"/>
  <c r="A127" i="1"/>
  <c r="C105" i="1"/>
  <c r="B84" i="1"/>
  <c r="A63" i="1"/>
  <c r="C41" i="1"/>
  <c r="B20" i="1"/>
  <c r="C318" i="1"/>
  <c r="B297" i="1"/>
  <c r="A276" i="1"/>
  <c r="C254" i="1"/>
  <c r="B233" i="1"/>
  <c r="A212" i="1"/>
  <c r="C190" i="1"/>
  <c r="B169" i="1"/>
  <c r="A148" i="1"/>
  <c r="C126" i="1"/>
  <c r="B105" i="1"/>
  <c r="A84" i="1"/>
  <c r="C62" i="1"/>
  <c r="B41" i="1"/>
  <c r="A20" i="1"/>
  <c r="B17" i="1"/>
  <c r="B57" i="1"/>
  <c r="A12" i="1"/>
  <c r="A318" i="1"/>
  <c r="C296" i="1"/>
  <c r="B275" i="1"/>
  <c r="A254" i="1"/>
  <c r="C232" i="1"/>
  <c r="B211" i="1"/>
  <c r="A190" i="1"/>
  <c r="C168" i="1"/>
  <c r="B147" i="1"/>
  <c r="A126" i="1"/>
  <c r="C104" i="1"/>
  <c r="B83" i="1"/>
  <c r="A62" i="1"/>
  <c r="C40" i="1"/>
  <c r="B19" i="1"/>
  <c r="C317" i="1"/>
  <c r="B296" i="1"/>
  <c r="A275" i="1"/>
  <c r="C253" i="1"/>
  <c r="B232" i="1"/>
  <c r="A211" i="1"/>
  <c r="C189" i="1"/>
  <c r="B168" i="1"/>
  <c r="A147" i="1"/>
  <c r="C125" i="1"/>
  <c r="B104" i="1"/>
  <c r="A83" i="1"/>
  <c r="C61" i="1"/>
  <c r="B40" i="1"/>
  <c r="A19" i="1"/>
  <c r="B317" i="1"/>
  <c r="A296" i="1"/>
  <c r="C274" i="1"/>
  <c r="B253" i="1"/>
  <c r="A232" i="1"/>
  <c r="C210" i="1"/>
  <c r="B189" i="1"/>
  <c r="A168" i="1"/>
  <c r="C146" i="1"/>
  <c r="B125" i="1"/>
  <c r="A104" i="1"/>
  <c r="C82" i="1"/>
  <c r="B61" i="1"/>
  <c r="A40" i="1"/>
  <c r="C18" i="1"/>
  <c r="A317" i="1"/>
  <c r="C295" i="1"/>
  <c r="B274" i="1"/>
  <c r="A253" i="1"/>
  <c r="C231" i="1"/>
  <c r="B210" i="1"/>
  <c r="A189" i="1"/>
  <c r="C167" i="1"/>
  <c r="B146" i="1"/>
  <c r="A125" i="1"/>
  <c r="C103" i="1"/>
  <c r="B82" i="1"/>
  <c r="A61" i="1"/>
  <c r="C39" i="1"/>
  <c r="B18" i="1"/>
  <c r="C316" i="1"/>
  <c r="B295" i="1"/>
  <c r="A274" i="1"/>
  <c r="C252" i="1"/>
  <c r="B231" i="1"/>
  <c r="A210" i="1"/>
  <c r="C188" i="1"/>
  <c r="B167" i="1"/>
  <c r="A146" i="1"/>
  <c r="C124" i="1"/>
  <c r="B103" i="1"/>
  <c r="A82" i="1"/>
  <c r="C60" i="1"/>
  <c r="B39" i="1"/>
  <c r="A18" i="1"/>
  <c r="B316" i="1"/>
  <c r="A295" i="1"/>
  <c r="C273" i="1"/>
  <c r="B252" i="1"/>
  <c r="A231" i="1"/>
  <c r="C209" i="1"/>
  <c r="B188" i="1"/>
  <c r="A167" i="1"/>
  <c r="C145" i="1"/>
  <c r="B124" i="1"/>
  <c r="A103" i="1"/>
  <c r="C81" i="1"/>
  <c r="B60" i="1"/>
  <c r="A39" i="1"/>
  <c r="C17" i="1"/>
  <c r="A316" i="1"/>
  <c r="C294" i="1"/>
  <c r="B273" i="1"/>
  <c r="A252" i="1"/>
  <c r="C230" i="1"/>
  <c r="B209" i="1"/>
  <c r="A188" i="1"/>
  <c r="C166" i="1"/>
  <c r="B145" i="1"/>
  <c r="A124" i="1"/>
  <c r="C102" i="1"/>
  <c r="B81" i="1"/>
  <c r="A60" i="1"/>
  <c r="C38" i="1"/>
  <c r="A36" i="1"/>
  <c r="A4" i="1"/>
  <c r="B315" i="1"/>
  <c r="A294" i="1"/>
  <c r="C272" i="1"/>
  <c r="B251" i="1"/>
  <c r="A230" i="1"/>
  <c r="C208" i="1"/>
  <c r="B187" i="1"/>
  <c r="A166" i="1"/>
  <c r="C144" i="1"/>
  <c r="B123" i="1"/>
  <c r="A102" i="1"/>
  <c r="C80" i="1"/>
  <c r="B59" i="1"/>
  <c r="A38" i="1"/>
  <c r="C16" i="1"/>
  <c r="A315" i="1"/>
  <c r="C293" i="1"/>
  <c r="B272" i="1"/>
  <c r="A251" i="1"/>
  <c r="C229" i="1"/>
  <c r="B208" i="1"/>
  <c r="A187" i="1"/>
  <c r="C165" i="1"/>
  <c r="B144" i="1"/>
  <c r="A123" i="1"/>
  <c r="C101" i="1"/>
  <c r="B80" i="1"/>
  <c r="A59" i="1"/>
  <c r="C37" i="1"/>
  <c r="B16" i="1"/>
  <c r="C314" i="1"/>
  <c r="B293" i="1"/>
  <c r="A272" i="1"/>
  <c r="C250" i="1"/>
  <c r="B229" i="1"/>
  <c r="A208" i="1"/>
  <c r="C186" i="1"/>
  <c r="B165" i="1"/>
  <c r="A144" i="1"/>
  <c r="C122" i="1"/>
  <c r="B101" i="1"/>
  <c r="A80" i="1"/>
  <c r="C58" i="1"/>
  <c r="B37" i="1"/>
  <c r="A16" i="1"/>
  <c r="B314" i="1"/>
  <c r="A293" i="1"/>
  <c r="C271" i="1"/>
  <c r="B250" i="1"/>
  <c r="A229" i="1"/>
  <c r="C207" i="1"/>
  <c r="B186" i="1"/>
  <c r="A165" i="1"/>
  <c r="C143" i="1"/>
  <c r="B122" i="1"/>
  <c r="A101" i="1"/>
  <c r="C79" i="1"/>
  <c r="B58" i="1"/>
  <c r="A37" i="1"/>
  <c r="C15" i="1"/>
  <c r="A314" i="1"/>
  <c r="C292" i="1"/>
  <c r="B271" i="1"/>
  <c r="A250" i="1"/>
  <c r="C228" i="1"/>
  <c r="B207" i="1"/>
  <c r="A186" i="1"/>
  <c r="C164" i="1"/>
  <c r="B143" i="1"/>
  <c r="A122" i="1"/>
  <c r="C100" i="1"/>
  <c r="B79" i="1"/>
  <c r="A58" i="1"/>
  <c r="C36" i="1"/>
  <c r="B15" i="1"/>
  <c r="C313" i="1"/>
  <c r="B292" i="1"/>
  <c r="A271" i="1"/>
  <c r="C249" i="1"/>
  <c r="B228" i="1"/>
  <c r="A207" i="1"/>
  <c r="C185" i="1"/>
  <c r="B164" i="1"/>
  <c r="A143" i="1"/>
  <c r="C121" i="1"/>
  <c r="B100" i="1"/>
  <c r="A79" i="1"/>
  <c r="C57" i="1"/>
  <c r="B36" i="1"/>
  <c r="A15" i="1"/>
  <c r="B313" i="1"/>
  <c r="A292" i="1"/>
  <c r="C270" i="1"/>
  <c r="B249" i="1"/>
  <c r="A228" i="1"/>
  <c r="C206" i="1"/>
  <c r="B185" i="1"/>
  <c r="A164" i="1"/>
  <c r="C142" i="1"/>
  <c r="B121" i="1"/>
  <c r="A100" i="1"/>
  <c r="C78" i="1"/>
  <c r="C14" i="1"/>
  <c r="C312" i="1"/>
  <c r="B291" i="1"/>
  <c r="A270" i="1"/>
  <c r="C248" i="1"/>
  <c r="B227" i="1"/>
  <c r="A206" i="1"/>
  <c r="C184" i="1"/>
  <c r="B163" i="1"/>
  <c r="A142" i="1"/>
  <c r="C120" i="1"/>
  <c r="B99" i="1"/>
  <c r="A78" i="1"/>
  <c r="C56" i="1"/>
  <c r="B35" i="1"/>
  <c r="A14" i="1"/>
  <c r="B312" i="1"/>
  <c r="A291" i="1"/>
  <c r="C269" i="1"/>
  <c r="B248" i="1"/>
  <c r="A227" i="1"/>
  <c r="C205" i="1"/>
  <c r="B184" i="1"/>
  <c r="A163" i="1"/>
  <c r="C141" i="1"/>
  <c r="B120" i="1"/>
  <c r="A99" i="1"/>
  <c r="C77" i="1"/>
  <c r="B56" i="1"/>
  <c r="A35" i="1"/>
  <c r="C13" i="1"/>
  <c r="A312" i="1"/>
  <c r="C290" i="1"/>
  <c r="B269" i="1"/>
  <c r="A248" i="1"/>
  <c r="C226" i="1"/>
  <c r="B205" i="1"/>
  <c r="A184" i="1"/>
  <c r="C162" i="1"/>
  <c r="B141" i="1"/>
  <c r="A120" i="1"/>
  <c r="C98" i="1"/>
  <c r="B77" i="1"/>
  <c r="A56" i="1"/>
  <c r="C34" i="1"/>
  <c r="B13" i="1"/>
  <c r="C311" i="1"/>
  <c r="B290" i="1"/>
  <c r="A269" i="1"/>
  <c r="C247" i="1"/>
  <c r="B226" i="1"/>
  <c r="A205" i="1"/>
  <c r="C183" i="1"/>
  <c r="B162" i="1"/>
  <c r="A141" i="1"/>
  <c r="C119" i="1"/>
  <c r="B98" i="1"/>
  <c r="A77" i="1"/>
  <c r="C55" i="1"/>
  <c r="B34" i="1"/>
  <c r="A13" i="1"/>
  <c r="B311" i="1"/>
  <c r="A290" i="1"/>
  <c r="C268" i="1"/>
  <c r="B247" i="1"/>
  <c r="A226" i="1"/>
  <c r="C204" i="1"/>
  <c r="B183" i="1"/>
  <c r="A162" i="1"/>
  <c r="C140" i="1"/>
  <c r="B119" i="1"/>
  <c r="A98" i="1"/>
  <c r="C76" i="1"/>
  <c r="B55" i="1"/>
  <c r="A34" i="1"/>
  <c r="C12" i="1"/>
  <c r="A311" i="1"/>
  <c r="C289" i="1"/>
  <c r="B268" i="1"/>
  <c r="A247" i="1"/>
  <c r="C225" i="1"/>
  <c r="B204" i="1"/>
  <c r="A183" i="1"/>
  <c r="C161" i="1"/>
  <c r="B140" i="1"/>
  <c r="A119" i="1"/>
  <c r="C97" i="1"/>
  <c r="B76" i="1"/>
  <c r="A55" i="1"/>
  <c r="C33" i="1"/>
  <c r="B12" i="1"/>
  <c r="C310" i="1"/>
  <c r="B289" i="1"/>
  <c r="A268" i="1"/>
  <c r="C246" i="1"/>
  <c r="B225" i="1"/>
  <c r="A204" i="1"/>
  <c r="C182" i="1"/>
  <c r="B161" i="1"/>
  <c r="A140" i="1"/>
  <c r="C118" i="1"/>
  <c r="B97" i="1"/>
  <c r="A76" i="1"/>
  <c r="C54" i="1"/>
  <c r="B33" i="1"/>
  <c r="A310" i="1"/>
  <c r="C288" i="1"/>
  <c r="B267" i="1"/>
  <c r="A246" i="1"/>
  <c r="C224" i="1"/>
  <c r="B203" i="1"/>
  <c r="A182" i="1"/>
  <c r="C160" i="1"/>
  <c r="B139" i="1"/>
  <c r="A118" i="1"/>
  <c r="C96" i="1"/>
  <c r="B75" i="1"/>
  <c r="A54" i="1"/>
  <c r="C32" i="1"/>
  <c r="B11" i="1"/>
  <c r="C309" i="1"/>
  <c r="B288" i="1"/>
  <c r="A267" i="1"/>
  <c r="C245" i="1"/>
  <c r="B224" i="1"/>
  <c r="A203" i="1"/>
  <c r="C181" i="1"/>
  <c r="B160" i="1"/>
  <c r="A139" i="1"/>
  <c r="C117" i="1"/>
  <c r="B96" i="1"/>
  <c r="A75" i="1"/>
  <c r="C53" i="1"/>
  <c r="B32" i="1"/>
  <c r="A11" i="1"/>
  <c r="B309" i="1"/>
  <c r="A288" i="1"/>
  <c r="C266" i="1"/>
  <c r="B245" i="1"/>
  <c r="A224" i="1"/>
  <c r="C202" i="1"/>
  <c r="B181" i="1"/>
  <c r="A160" i="1"/>
  <c r="C138" i="1"/>
  <c r="B117" i="1"/>
  <c r="A96" i="1"/>
  <c r="C74" i="1"/>
  <c r="B53" i="1"/>
  <c r="A32" i="1"/>
  <c r="C10" i="1"/>
  <c r="A309" i="1"/>
  <c r="C287" i="1"/>
  <c r="B266" i="1"/>
  <c r="A245" i="1"/>
  <c r="C223" i="1"/>
  <c r="B202" i="1"/>
  <c r="A181" i="1"/>
  <c r="C159" i="1"/>
  <c r="B138" i="1"/>
  <c r="A117" i="1"/>
  <c r="C95" i="1"/>
  <c r="B74" i="1"/>
  <c r="A53" i="1"/>
  <c r="C31" i="1"/>
  <c r="B10" i="1"/>
  <c r="C308" i="1"/>
  <c r="B287" i="1"/>
  <c r="A266" i="1"/>
  <c r="C244" i="1"/>
  <c r="B223" i="1"/>
  <c r="A202" i="1"/>
  <c r="C180" i="1"/>
  <c r="B159" i="1"/>
  <c r="A138" i="1"/>
  <c r="C116" i="1"/>
  <c r="B95" i="1"/>
  <c r="A74" i="1"/>
  <c r="C52" i="1"/>
  <c r="B31" i="1"/>
  <c r="A10" i="1"/>
  <c r="B308" i="1"/>
  <c r="A287" i="1"/>
  <c r="C265" i="1"/>
  <c r="B244" i="1"/>
  <c r="A223" i="1"/>
  <c r="C201" i="1"/>
  <c r="B180" i="1"/>
  <c r="A159" i="1"/>
  <c r="C137" i="1"/>
  <c r="B116" i="1"/>
  <c r="A95" i="1"/>
  <c r="C73" i="1"/>
  <c r="B52" i="1"/>
  <c r="A31" i="1"/>
  <c r="C9" i="1"/>
  <c r="A308" i="1"/>
  <c r="C286" i="1"/>
  <c r="B265" i="1"/>
  <c r="A244" i="1"/>
  <c r="C222" i="1"/>
  <c r="B201" i="1"/>
  <c r="A180" i="1"/>
  <c r="C158" i="1"/>
  <c r="B137" i="1"/>
  <c r="A116" i="1"/>
  <c r="C94" i="1"/>
  <c r="B73" i="1"/>
  <c r="A52" i="1"/>
  <c r="C30" i="1"/>
  <c r="B9" i="1"/>
  <c r="C6" i="1"/>
  <c r="A132" i="1"/>
  <c r="C46" i="1"/>
  <c r="B307" i="1"/>
  <c r="A286" i="1"/>
  <c r="C264" i="1"/>
  <c r="B243" i="1"/>
  <c r="A222" i="1"/>
  <c r="C200" i="1"/>
  <c r="B179" i="1"/>
  <c r="A158" i="1"/>
  <c r="C136" i="1"/>
  <c r="B115" i="1"/>
  <c r="A94" i="1"/>
  <c r="C72" i="1"/>
  <c r="B51" i="1"/>
  <c r="A30" i="1"/>
  <c r="C8" i="1"/>
  <c r="A307" i="1"/>
  <c r="C285" i="1"/>
  <c r="B264" i="1"/>
  <c r="A243" i="1"/>
  <c r="C221" i="1"/>
  <c r="B200" i="1"/>
  <c r="A179" i="1"/>
  <c r="C157" i="1"/>
  <c r="B136" i="1"/>
  <c r="A115" i="1"/>
  <c r="C93" i="1"/>
  <c r="B72" i="1"/>
  <c r="A51" i="1"/>
  <c r="C29" i="1"/>
  <c r="B8" i="1"/>
  <c r="C306" i="1"/>
  <c r="B285" i="1"/>
  <c r="A264" i="1"/>
  <c r="C242" i="1"/>
  <c r="B221" i="1"/>
  <c r="A200" i="1"/>
  <c r="C178" i="1"/>
  <c r="B157" i="1"/>
  <c r="A136" i="1"/>
  <c r="C114" i="1"/>
  <c r="B93" i="1"/>
  <c r="A72" i="1"/>
  <c r="C50" i="1"/>
  <c r="B29" i="1"/>
  <c r="A8" i="1"/>
  <c r="B306" i="1"/>
  <c r="A285" i="1"/>
  <c r="C263" i="1"/>
  <c r="B242" i="1"/>
  <c r="A221" i="1"/>
  <c r="C199" i="1"/>
  <c r="B178" i="1"/>
  <c r="A157" i="1"/>
  <c r="C135" i="1"/>
  <c r="B114" i="1"/>
  <c r="A93" i="1"/>
  <c r="C71" i="1"/>
  <c r="B50" i="1"/>
  <c r="A29" i="1"/>
  <c r="C7" i="1"/>
  <c r="A306" i="1"/>
  <c r="C284" i="1"/>
  <c r="B263" i="1"/>
  <c r="A242" i="1"/>
  <c r="C220" i="1"/>
  <c r="B199" i="1"/>
  <c r="A178" i="1"/>
  <c r="C156" i="1"/>
  <c r="B135" i="1"/>
  <c r="A114" i="1"/>
  <c r="C92" i="1"/>
  <c r="B71" i="1"/>
  <c r="A50" i="1"/>
  <c r="C28" i="1"/>
  <c r="B7" i="1"/>
  <c r="C305" i="1"/>
  <c r="B284" i="1"/>
  <c r="A263" i="1"/>
  <c r="C241" i="1"/>
  <c r="B220" i="1"/>
  <c r="A199" i="1"/>
  <c r="C177" i="1"/>
  <c r="B156" i="1"/>
  <c r="A135" i="1"/>
  <c r="C113" i="1"/>
  <c r="B92" i="1"/>
  <c r="A71" i="1"/>
  <c r="C49" i="1"/>
  <c r="B28" i="1"/>
  <c r="A7" i="1"/>
  <c r="B305" i="1"/>
  <c r="A284" i="1"/>
  <c r="C262" i="1"/>
  <c r="B241" i="1"/>
  <c r="A220" i="1"/>
  <c r="C198" i="1"/>
  <c r="B177" i="1"/>
  <c r="A156" i="1"/>
  <c r="C134" i="1"/>
  <c r="B113" i="1"/>
  <c r="A92" i="1"/>
  <c r="C70" i="1"/>
  <c r="B49" i="1"/>
  <c r="A28" i="1"/>
  <c r="C110" i="1"/>
  <c r="A68" i="1"/>
  <c r="C304" i="1"/>
  <c r="B283" i="1"/>
  <c r="A262" i="1"/>
  <c r="C240" i="1"/>
  <c r="B219" i="1"/>
  <c r="A198" i="1"/>
  <c r="C176" i="1"/>
  <c r="B155" i="1"/>
  <c r="A134" i="1"/>
  <c r="C112" i="1"/>
  <c r="B91" i="1"/>
  <c r="A70" i="1"/>
  <c r="C48" i="1"/>
  <c r="B27" i="1"/>
  <c r="A6" i="1"/>
  <c r="B304" i="1"/>
  <c r="A283" i="1"/>
  <c r="C261" i="1"/>
  <c r="B240" i="1"/>
  <c r="A219" i="1"/>
  <c r="C197" i="1"/>
  <c r="B176" i="1"/>
  <c r="A155" i="1"/>
  <c r="C133" i="1"/>
  <c r="B112" i="1"/>
  <c r="A91" i="1"/>
  <c r="C69" i="1"/>
  <c r="B48" i="1"/>
  <c r="A27" i="1"/>
  <c r="C5" i="1"/>
  <c r="A304" i="1"/>
  <c r="C282" i="1"/>
  <c r="B261" i="1"/>
  <c r="A240" i="1"/>
  <c r="C218" i="1"/>
  <c r="B197" i="1"/>
  <c r="A176" i="1"/>
  <c r="C154" i="1"/>
  <c r="B133" i="1"/>
  <c r="A112" i="1"/>
  <c r="C90" i="1"/>
  <c r="B69" i="1"/>
  <c r="A48" i="1"/>
  <c r="C26" i="1"/>
  <c r="B5" i="1"/>
  <c r="C303" i="1"/>
  <c r="B282" i="1"/>
  <c r="A261" i="1"/>
  <c r="C239" i="1"/>
  <c r="B218" i="1"/>
  <c r="A197" i="1"/>
  <c r="C175" i="1"/>
  <c r="B154" i="1"/>
  <c r="A133" i="1"/>
  <c r="C111" i="1"/>
  <c r="B90" i="1"/>
  <c r="A69" i="1"/>
  <c r="C47" i="1"/>
  <c r="B26" i="1"/>
  <c r="A5" i="1"/>
  <c r="B303" i="1"/>
  <c r="A282" i="1"/>
  <c r="C260" i="1"/>
  <c r="B239" i="1"/>
  <c r="A218" i="1"/>
  <c r="C196" i="1"/>
  <c r="B175" i="1"/>
  <c r="A154" i="1"/>
  <c r="C132" i="1"/>
  <c r="B111" i="1"/>
  <c r="A90" i="1"/>
  <c r="C68" i="1"/>
  <c r="B47" i="1"/>
  <c r="A26" i="1"/>
  <c r="C4" i="1"/>
  <c r="A303" i="1"/>
  <c r="C281" i="1"/>
  <c r="B260" i="1"/>
  <c r="A239" i="1"/>
  <c r="C217" i="1"/>
  <c r="B196" i="1"/>
  <c r="A175" i="1"/>
  <c r="C153" i="1"/>
  <c r="B132" i="1"/>
  <c r="A111" i="1"/>
  <c r="C89" i="1"/>
  <c r="B68" i="1"/>
  <c r="A47" i="1"/>
  <c r="C25" i="1"/>
  <c r="B4" i="1"/>
  <c r="C302" i="1"/>
  <c r="B281" i="1"/>
  <c r="A260" i="1"/>
  <c r="C238" i="1"/>
  <c r="B217" i="1"/>
  <c r="A196" i="1"/>
  <c r="C174" i="1"/>
  <c r="B153" i="1"/>
  <c r="B89" i="1"/>
  <c r="B25" i="1"/>
  <c r="A302" i="1"/>
  <c r="C280" i="1"/>
  <c r="B259" i="1"/>
  <c r="A238" i="1"/>
  <c r="C216" i="1"/>
  <c r="B195" i="1"/>
  <c r="A174" i="1"/>
  <c r="C152" i="1"/>
  <c r="B131" i="1"/>
  <c r="A110" i="1"/>
  <c r="C88" i="1"/>
  <c r="B67" i="1"/>
  <c r="A46" i="1"/>
  <c r="C24" i="1"/>
  <c r="A335" i="1"/>
  <c r="C301" i="1"/>
  <c r="B280" i="1"/>
  <c r="A259" i="1"/>
  <c r="C237" i="1"/>
  <c r="B216" i="1"/>
  <c r="A195" i="1"/>
  <c r="C173" i="1"/>
  <c r="B152" i="1"/>
  <c r="A131" i="1"/>
  <c r="C109" i="1"/>
  <c r="B88" i="1"/>
  <c r="A67" i="1"/>
  <c r="C45" i="1"/>
  <c r="B24" i="1"/>
  <c r="B332" i="1"/>
  <c r="B301" i="1"/>
  <c r="A280" i="1"/>
  <c r="C258" i="1"/>
  <c r="B237" i="1"/>
  <c r="A216" i="1"/>
  <c r="C194" i="1"/>
  <c r="B173" i="1"/>
  <c r="A152" i="1"/>
  <c r="C130" i="1"/>
  <c r="B109" i="1"/>
  <c r="A88" i="1"/>
  <c r="C66" i="1"/>
  <c r="B45" i="1"/>
  <c r="A24" i="1"/>
  <c r="C329" i="1"/>
  <c r="A301" i="1"/>
  <c r="C279" i="1"/>
  <c r="B258" i="1"/>
  <c r="A237" i="1"/>
  <c r="C215" i="1"/>
  <c r="B194" i="1"/>
  <c r="A173" i="1"/>
  <c r="C151" i="1"/>
  <c r="B130" i="1"/>
  <c r="A109" i="1"/>
  <c r="C87" i="1"/>
  <c r="B66" i="1"/>
  <c r="A45" i="1"/>
  <c r="C23" i="1"/>
  <c r="A327" i="1"/>
  <c r="C300" i="1"/>
  <c r="B279" i="1"/>
  <c r="A258" i="1"/>
  <c r="C236" i="1"/>
  <c r="B215" i="1"/>
  <c r="A194" i="1"/>
  <c r="C172" i="1"/>
  <c r="B151" i="1"/>
  <c r="A130" i="1"/>
  <c r="C108" i="1"/>
  <c r="B87" i="1"/>
  <c r="A66" i="1"/>
  <c r="C44" i="1"/>
  <c r="B23" i="1"/>
  <c r="B324" i="1"/>
  <c r="B300" i="1"/>
  <c r="A279" i="1"/>
  <c r="C257" i="1"/>
  <c r="B236" i="1"/>
  <c r="A215" i="1"/>
  <c r="C193" i="1"/>
  <c r="B172" i="1"/>
  <c r="A151" i="1"/>
  <c r="C129" i="1"/>
  <c r="B108" i="1"/>
  <c r="A87" i="1"/>
  <c r="C65" i="1"/>
  <c r="B44" i="1"/>
  <c r="A23" i="1"/>
  <c r="C321" i="1"/>
  <c r="A300" i="1"/>
  <c r="C278" i="1"/>
  <c r="B257" i="1"/>
  <c r="A236" i="1"/>
  <c r="C214" i="1"/>
  <c r="B193" i="1"/>
  <c r="A172" i="1"/>
  <c r="C150" i="1"/>
  <c r="B129" i="1"/>
  <c r="A108" i="1"/>
  <c r="C86" i="1"/>
  <c r="B65" i="1"/>
  <c r="A44" i="1"/>
  <c r="C22" i="1"/>
  <c r="J2" i="13" l="1"/>
  <c r="J2" i="10"/>
  <c r="J2" i="16"/>
  <c r="J2" i="14"/>
  <c r="J2" i="12"/>
  <c r="J2" i="5"/>
  <c r="J2" i="9"/>
  <c r="J2" i="4"/>
  <c r="J2" i="6"/>
  <c r="J2" i="15"/>
  <c r="J2" i="7"/>
  <c r="J2" i="11"/>
  <c r="J2" i="8"/>
</calcChain>
</file>

<file path=xl/sharedStrings.xml><?xml version="1.0" encoding="utf-8"?>
<sst xmlns="http://schemas.openxmlformats.org/spreadsheetml/2006/main" count="134" uniqueCount="40">
  <si>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</si>
  <si>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</si>
  <si>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</si>
  <si>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</si>
  <si>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</si>
  <si>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</si>
  <si>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</si>
  <si>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</si>
  <si>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</si>
  <si>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</si>
  <si>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</si>
  <si>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</si>
  <si>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</si>
  <si>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</si>
  <si>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</si>
  <si>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</si>
  <si>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CreateCacheInAllocation</t>
  </si>
  <si>
    <t>UseCacheInAllocation</t>
  </si>
  <si>
    <t>Import</t>
  </si>
  <si>
    <t>Allocation1</t>
  </si>
  <si>
    <t>Cameron</t>
  </si>
  <si>
    <t>Transaction</t>
  </si>
  <si>
    <t>SelectAllOnImport</t>
  </si>
  <si>
    <t>Allocation</t>
  </si>
  <si>
    <t>GetDataAllocation</t>
  </si>
  <si>
    <t>Historical</t>
  </si>
  <si>
    <t>CheckAllocatedGroups</t>
  </si>
  <si>
    <t>FixedIncome</t>
  </si>
  <si>
    <t>M</t>
  </si>
  <si>
    <t>Buy</t>
  </si>
  <si>
    <t>EF828225</t>
  </si>
  <si>
    <t>Unallocate</t>
  </si>
  <si>
    <t>SelectUnallocatedGroup</t>
  </si>
  <si>
    <t>EnterAccountValuesToAllocate</t>
  </si>
  <si>
    <t>Expnl</t>
  </si>
  <si>
    <t>CreateDoneAwayOrder</t>
  </si>
  <si>
    <t>msft</t>
  </si>
  <si>
    <t>buy</t>
  </si>
  <si>
    <t>TradingTicket</t>
  </si>
  <si>
    <t>\\192.168.2.108\DistributedAutomation_Master\Import Cases\Trade_Import.csv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</si>
</sst>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0"/>
      <color rgb="FF000000"/>
      <name val="Arial"/>
    </font>
    <font>
      <u/>
      <sz val="10"/>
      <color theme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8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0" xfId="0" applyFont="1" applyAlignment="1"/>
    <xf numFmtId="0" fontId="5" fillId="0" borderId="0" xfId="0" applyFont="1" applyAlignment="1"/>
    <xf numFmtId="0" fontId="5" fillId="0" borderId="5" xfId="0" applyFont="1" applyBorder="1" applyAlignment="1"/>
    <xf numFmtId="14" fontId="5" fillId="0" borderId="0" xfId="0" applyNumberFormat="1" applyFont="1" applyAlignment="1"/>
    <xf numFmtId="0" fontId="13" fillId="0" borderId="0" xfId="0" applyFont="1" applyAlignment="1"/>
    <xf numFmtId="0" fontId="5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  <xf numFmtId="0" fontId="14" fillId="0" borderId="5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file:///\\192.168.2.108\DistributedAutomation_Master\Import%20Cases\Trade_Import.csv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3" t="s">
        <v>0</v>
      </c>
      <c r="B1" s="34"/>
      <c r="C1" s="34"/>
      <c r="D1" s="34"/>
      <c r="E1" s="34"/>
      <c r="F1" s="35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/>
    <row r="473" spans="1:3" ht="15.75" customHeight="1" x14ac:dyDescent="0.2"/>
    <row r="474" spans="1:3" ht="15.75" customHeight="1" x14ac:dyDescent="0.2"/>
    <row r="475" spans="1:3" ht="15.75" customHeight="1" x14ac:dyDescent="0.2"/>
    <row r="476" spans="1:3" ht="15.75" customHeight="1" x14ac:dyDescent="0.2"/>
    <row r="477" spans="1:3" ht="15.75" customHeight="1" x14ac:dyDescent="0.2"/>
    <row r="478" spans="1:3" ht="15.75" customHeight="1" x14ac:dyDescent="0.2"/>
    <row r="479" spans="1:3" ht="15.75" customHeight="1" x14ac:dyDescent="0.2"/>
    <row r="480" spans="1:3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6" t="s">
        <v>2</v>
      </c>
      <c r="B1" s="34"/>
      <c r="C1" s="35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3" t="s">
        <v>7</v>
      </c>
      <c r="B1" s="34"/>
      <c r="C1" s="34"/>
      <c r="D1" s="34"/>
      <c r="E1" s="34"/>
      <c r="F1" s="35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IFERROR(__xludf.DUMMYFUNCTION("IF(C3="""","""",Transpose(IMPORTRANGE('_Settings'!$B$3,C3&amp;""!A4:A1000"")))"),"RestartServer")</f>
        <v>RestartServer</v>
      </c>
      <c r="C4" s="19" t="str">
        <f ca="1">IFERROR(__xludf.DUMMYFUNCTION("""COMPUTED_VALUE"""),"UpdateServerConfig")</f>
        <v>UpdateServerConfig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IFERROR(__xludf.DUMMYFUNCTION("""COMPUTED_VALUE"""),"AppSetting_Key")</f>
        <v>AppSetting_Key</v>
      </c>
      <c r="C5" s="22" t="str">
        <f ca="1">IFERROR(__xludf.DUMMYFUNCTION("""COMPUTED_VALUE"""),"AppSetting_Value")</f>
        <v>AppSetting_Value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6" t="b">
        <v>0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28" t="s">
        <v>17</v>
      </c>
      <c r="C7" s="26" t="b">
        <v>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E6" sqref="E6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18</v>
      </c>
      <c r="D3" s="2" t="s">
        <v>9</v>
      </c>
      <c r="E3" s="17" t="s">
        <v>18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IFERROR(__xludf.DUMMYFUNCTION("IF(C3="""","""",Transpose(IMPORTRANGE('_Settings'!$B$3,C3&amp;""!A4:A1000"")))"),"Import")</f>
        <v>Import</v>
      </c>
      <c r="C4" s="19" t="str">
        <f ca="1">IFERROR(__xludf.DUMMYFUNCTION("""COMPUTED_VALUE"""),"SelectAllOnImport")</f>
        <v>SelectAllOnImport</v>
      </c>
      <c r="D4" s="19" t="str">
        <f ca="1">IFERROR(__xludf.DUMMYFUNCTION("""COMPUTED_VALUE"""),"SelectTransactionImportType")</f>
        <v>SelectTransactionImportType</v>
      </c>
      <c r="E4" s="19" t="str">
        <f ca="1">IFERROR(__xludf.DUMMYFUNCTION("""COMPUTED_VALUE"""),"SelectMarkPriceImportType")</f>
        <v>SelectMarkPriceImportType</v>
      </c>
      <c r="F4" s="19" t="str">
        <f ca="1">IFERROR(__xludf.DUMMYFUNCTION("""COMPUTED_VALUE"""),"SelectForexImportType")</f>
        <v>SelectForexImportType</v>
      </c>
      <c r="G4" s="19" t="str">
        <f ca="1">IFERROR(__xludf.DUMMYFUNCTION("""COMPUTED_VALUE"""),"SelectDoubleEntryCashImportType")</f>
        <v>SelectDoubleEntryCashImportType</v>
      </c>
      <c r="H4" s="19" t="str">
        <f ca="1">IFERROR(__xludf.DUMMYFUNCTION("""COMPUTED_VALUE"""),"SelectActivitiesImportType")</f>
        <v>SelectActivitiesImportType</v>
      </c>
      <c r="I4" s="19" t="str">
        <f ca="1">IFERROR(__xludf.DUMMYFUNCTION("""COMPUTED_VALUE"""),"ApplyFilterOnImport")</f>
        <v>ApplyFilterOnImport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IFERROR(__xludf.DUMMYFUNCTION("""COMPUTED_VALUE"""),"Select Date")</f>
        <v>Select Date</v>
      </c>
      <c r="D5" s="22" t="str">
        <f ca="1">IFERROR(__xludf.DUMMYFUNCTION("""COMPUTED_VALUE"""),"Date")</f>
        <v>Date</v>
      </c>
      <c r="E5" s="22" t="str">
        <f ca="1">IFERROR(__xludf.DUMMYFUNCTION("""COMPUTED_VALUE"""),"Select File")</f>
        <v>Select File</v>
      </c>
      <c r="F5" s="23" t="str">
        <f ca="1">IFERROR(__xludf.DUMMYFUNCTION("""COMPUTED_VALUE"""),"Upload ThirdParty")</f>
        <v>Upload ThirdParty</v>
      </c>
      <c r="G5" s="22" t="str">
        <f ca="1">IFERROR(__xludf.DUMMYFUNCTION("""COMPUTED_VALUE"""),"Import Type")</f>
        <v>Import Type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19</v>
      </c>
      <c r="C6" s="26" t="b">
        <v>0</v>
      </c>
      <c r="D6" s="25"/>
      <c r="E6" s="37" t="s">
        <v>39</v>
      </c>
      <c r="F6" s="29" t="s">
        <v>20</v>
      </c>
      <c r="G6" s="29" t="s">
        <v>21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hyperlinks>
    <hyperlink ref="E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18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IFERROR(__xludf.DUMMYFUNCTION("IF(C3="""","""",Transpose(IMPORTRANGE('_Settings'!$B$3,C3&amp;""!A4:A1000"")))"),"Import")</f>
        <v>Import</v>
      </c>
      <c r="C4" s="19" t="str">
        <f ca="1">IFERROR(__xludf.DUMMYFUNCTION("""COMPUTED_VALUE"""),"SelectAllOnImport")</f>
        <v>SelectAllOnImport</v>
      </c>
      <c r="D4" s="19" t="str">
        <f ca="1">IFERROR(__xludf.DUMMYFUNCTION("""COMPUTED_VALUE"""),"SelectTransactionImportType")</f>
        <v>SelectTransactionImportType</v>
      </c>
      <c r="E4" s="19" t="str">
        <f ca="1">IFERROR(__xludf.DUMMYFUNCTION("""COMPUTED_VALUE"""),"SelectMarkPriceImportType")</f>
        <v>SelectMarkPriceImportType</v>
      </c>
      <c r="F4" s="19" t="str">
        <f ca="1">IFERROR(__xludf.DUMMYFUNCTION("""COMPUTED_VALUE"""),"SelectForexImportType")</f>
        <v>SelectForexImportType</v>
      </c>
      <c r="G4" s="19" t="str">
        <f ca="1">IFERROR(__xludf.DUMMYFUNCTION("""COMPUTED_VALUE"""),"SelectDoubleEntryCashImportType")</f>
        <v>SelectDoubleEntryCashImportType</v>
      </c>
      <c r="H4" s="19" t="str">
        <f ca="1">IFERROR(__xludf.DUMMYFUNCTION("""COMPUTED_VALUE"""),"SelectActivitiesImportType")</f>
        <v>SelectActivitiesImportType</v>
      </c>
      <c r="I4" s="19" t="str">
        <f ca="1">IFERROR(__xludf.DUMMYFUNCTION("""COMPUTED_VALUE"""),"ApplyFilterOnImport")</f>
        <v>ApplyFilterOnImport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IFERROR(__xludf.DUMMYFUNCTION("""COMPUTED_VALUE"""),"Import Type")</f>
        <v>Import Type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21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25</v>
      </c>
      <c r="C6" s="30">
        <v>44089</v>
      </c>
      <c r="D6" s="30">
        <v>44090</v>
      </c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56" width="14.42578125" customWidth="1"/>
    <col min="57" max="57" width="20.42578125" customWidth="1"/>
    <col min="58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19</v>
      </c>
      <c r="C6" s="5"/>
      <c r="D6" s="7">
        <v>0</v>
      </c>
      <c r="E6" s="7">
        <v>1500</v>
      </c>
      <c r="F6" s="5"/>
      <c r="G6" s="7" t="s">
        <v>27</v>
      </c>
      <c r="H6" s="5"/>
      <c r="I6" s="5"/>
      <c r="J6" s="5"/>
      <c r="K6" s="7">
        <v>44.1</v>
      </c>
      <c r="L6" s="7">
        <v>35</v>
      </c>
      <c r="M6" s="5"/>
      <c r="N6" s="5"/>
      <c r="O6" s="5"/>
      <c r="AE6" s="6">
        <v>1500</v>
      </c>
      <c r="AH6" s="6" t="s">
        <v>28</v>
      </c>
      <c r="AI6" s="6">
        <v>1.26</v>
      </c>
      <c r="AT6" s="6">
        <v>68188.05</v>
      </c>
      <c r="AU6" s="6">
        <v>54117.5</v>
      </c>
      <c r="BE6" s="6">
        <v>68134.5</v>
      </c>
      <c r="BF6" s="6">
        <v>54075</v>
      </c>
      <c r="BJ6" s="6">
        <v>1500</v>
      </c>
      <c r="BO6" s="6" t="s">
        <v>29</v>
      </c>
      <c r="BT6" s="31" t="s">
        <v>30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IFERROR(__xludf.DUMMYFUNCTION("""COMPUTED_VALUE"""),"Quantity")</f>
        <v>Quantity</v>
      </c>
      <c r="D5" s="22" t="str">
        <f ca="1">IFERROR(__xludf.DUMMYFUNCTION("""COMPUTED_VALUE"""),"Trade Date")</f>
        <v>Trade Date</v>
      </c>
      <c r="E5" s="22" t="str">
        <f ca="1">IFERROR(__xludf.DUMMYFUNCTION("""COMPUTED_VALUE"""),"Account Name")</f>
        <v>Account Name</v>
      </c>
      <c r="F5" s="23" t="str">
        <f ca="1">IFERROR(__xludf.DUMMYFUNCTION("""COMPUTED_VALUE"""),"Side")</f>
        <v>Side</v>
      </c>
      <c r="G5" s="22" t="str">
        <f ca="1">IFERROR(__xludf.DUMMYFUNCTION("""COMPUTED_VALUE"""),"Group Status")</f>
        <v>Group Status</v>
      </c>
      <c r="H5" s="22" t="str">
        <f ca="1">IFERROR(__xludf.DUMMYFUNCTION("""COMPUTED_VALUE"""),"Avg Price( Base)")</f>
        <v>Avg Price( Base)</v>
      </c>
      <c r="I5" s="22" t="str">
        <f ca="1">IFERROR(__xludf.DUMMYFUNCTION("""COMPUTED_VALUE"""),"Execution Time")</f>
        <v>Execution Time</v>
      </c>
      <c r="J5" s="22" t="str">
        <f ca="1">IFERROR(__xludf.DUMMYFUNCTION("""COMPUTED_VALUE"""),"Trade Attribute 1")</f>
        <v>Trade Attribute 1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IFERROR(__xludf.DUMMYFUNCTION("""COMPUTED_VALUE"""),"Trade Attribute 2")</f>
        <v>Trade Attribute 2</v>
      </c>
      <c r="M5" s="22" t="str">
        <f ca="1">IFERROR(__xludf.DUMMYFUNCTION("""COMPUTED_VALUE"""),"Accrued Interest")</f>
        <v>Accrued Interest</v>
      </c>
      <c r="N5" s="22" t="str">
        <f ca="1">IFERROR(__xludf.DUMMYFUNCTION("""COMPUTED_VALUE"""),"Commission")</f>
        <v>Commission</v>
      </c>
      <c r="O5" s="22" t="str">
        <f ca="1">IFERROR(__xludf.DUMMYFUNCTION("""COMPUTED_VALUE"""),"Soft Commission")</f>
        <v>Soft Commission</v>
      </c>
      <c r="P5" s="22" t="str">
        <f ca="1">IFERROR(__xludf.DUMMYFUNCTION("""COMPUTED_VALUE"""),"Broker")</f>
        <v>Broker</v>
      </c>
      <c r="Q5" s="22" t="str">
        <f ca="1">IFERROR(__xludf.DUMMYFUNCTION("""COMPUTED_VALUE"""),"Transaction Type")</f>
        <v>Transaction Type</v>
      </c>
      <c r="R5" s="22" t="str">
        <f ca="1">IFERROR(__xludf.DUMMYFUNCTION("""COMPUTED_VALUE"""),"AUEC Fee1")</f>
        <v>AUEC Fee1</v>
      </c>
      <c r="S5" s="22" t="str">
        <f ca="1">IFERROR(__xludf.DUMMYFUNCTION("""COMPUTED_VALUE"""),"AUEC Fee2")</f>
        <v>AUEC Fee2</v>
      </c>
      <c r="T5" s="24" t="str">
        <f ca="1">IFERROR(__xludf.DUMMYFUNCTION("""COMPUTED_VALUE"""),"Clearing Broker Fee")</f>
        <v>Clearing Broker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IFERROR(__xludf.DUMMYFUNCTION("""COMPUTED_VALUE"""),"OCC Fee")</f>
        <v>OCC Fee</v>
      </c>
      <c r="W5" s="24" t="str">
        <f ca="1">IFERROR(__xludf.DUMMYFUNCTION("""COMPUTED_VALUE"""),"SEC Fee")</f>
        <v>SEC Fee</v>
      </c>
      <c r="X5" s="24" t="str">
        <f ca="1">IFERROR(__xludf.DUMMYFUNCTION("""COMPUTED_VALUE"""),"ORF Fee")</f>
        <v>ORF Fee</v>
      </c>
      <c r="Y5" s="24" t="str">
        <f ca="1">IFERROR(__xludf.DUMMYFUNCTION("""COMPUTED_VALUE"""),"IsPreAllocated")</f>
        <v>IsPreAllocated</v>
      </c>
      <c r="Z5" s="24" t="str">
        <f ca="1">IFERROR(__xludf.DUMMYFUNCTION("""COMPUTED_VALUE"""),"Stamp Duty")</f>
        <v>Stamp Duty</v>
      </c>
      <c r="AA5" s="24" t="str">
        <f ca="1">IFERROR(__xludf.DUMMYFUNCTION("""COMPUTED_VALUE"""),"IsManual Group")</f>
        <v>IsManual Group</v>
      </c>
      <c r="AB5" s="24" t="str">
        <f ca="1">IFERROR(__xludf.DUMMYFUNCTION("""COMPUTED_VALUE"""),"Tax On Commissions")</f>
        <v>Tax On Commissions</v>
      </c>
      <c r="AC5" s="24" t="str">
        <f ca="1">IFERROR(__xludf.DUMMYFUNCTION("""COMPUTED_VALUE"""),"IsAnotherTaxlotAttributesUpdated")</f>
        <v>IsAnotherTaxlotAttributesUpdated</v>
      </c>
      <c r="AD5" s="24" t="str">
        <f ca="1">IFERROR(__xludf.DUMMYFUNCTION("""COMPUTED_VALUE"""),"ISNDF")</f>
        <v>ISNDF</v>
      </c>
      <c r="AE5" s="24" t="str">
        <f ca="1">IFERROR(__xludf.DUMMYFUNCTION("""COMPUTED_VALUE"""),"Transaction Levy")</f>
        <v>Transaction Levy</v>
      </c>
      <c r="AF5" s="24" t="str">
        <f ca="1">IFERROR(__xludf.DUMMYFUNCTION("""COMPUTED_VALUE"""),"Description")</f>
        <v>Description</v>
      </c>
      <c r="AG5" s="24" t="str">
        <f ca="1">IFERROR(__xludf.DUMMYFUNCTION("""COMPUTED_VALUE"""),"GroupID")</f>
        <v>GroupID</v>
      </c>
      <c r="AH5" s="24" t="str">
        <f ca="1">IFERROR(__xludf.DUMMYFUNCTION("""COMPUTED_VALUE"""),"Internal Comments")</f>
        <v>Internal Comments</v>
      </c>
      <c r="AI5" s="24" t="str">
        <f ca="1">IFERROR(__xludf.DUMMYFUNCTION("""COMPUTED_VALUE"""),"M2MProfitLoss")</f>
        <v>M2MProfitLoss</v>
      </c>
      <c r="AJ5" s="24" t="str">
        <f ca="1">IFERROR(__xludf.DUMMYFUNCTION("""COMPUTED_VALUE"""),"FX Rate")</f>
        <v>FX Rate</v>
      </c>
      <c r="AK5" s="24" t="str">
        <f ca="1">IFERROR(__xludf.DUMMYFUNCTION("""COMPUTED_VALUE"""),"FX Conversion Operator")</f>
        <v>FX Conversion Operator</v>
      </c>
      <c r="AL5" s="24" t="str">
        <f ca="1">IFERROR(__xludf.DUMMYFUNCTION("""COMPUTED_VALUE"""),"Trade Attribute 3")</f>
        <v>Trade Attribute 3</v>
      </c>
      <c r="AM5" s="24" t="str">
        <f ca="1">IFERROR(__xludf.DUMMYFUNCTION("""COMPUTED_VALUE"""),"Trade Attribute 4")</f>
        <v>Trade Attribute 4</v>
      </c>
      <c r="AN5" s="24" t="str">
        <f ca="1">IFERROR(__xludf.DUMMYFUNCTION("""COMPUTED_VALUE"""),"Trade Attribute 5")</f>
        <v>Trade Attribute 5</v>
      </c>
      <c r="AO5" s="24" t="str">
        <f ca="1">IFERROR(__xludf.DUMMYFUNCTION("""COMPUTED_VALUE"""),"Trade Attribute 6")</f>
        <v>Trade Attribute 6</v>
      </c>
      <c r="AP5" s="24" t="str">
        <f ca="1">IFERROR(__xludf.DUMMYFUNCTION("""COMPUTED_VALUE"""),"Put Or Call")</f>
        <v>Put Or Call</v>
      </c>
      <c r="AQ5" s="24" t="str">
        <f ca="1">IFERROR(__xludf.DUMMYFUNCTION("""COMPUTED_VALUE"""),"Allocated Qty")</f>
        <v>Allocated Qty</v>
      </c>
      <c r="AR5" s="24" t="str">
        <f ca="1">IFERROR(__xludf.DUMMYFUNCTION("""COMPUTED_VALUE"""),"Total Commission And Fee")</f>
        <v>Total Commission And Fee</v>
      </c>
      <c r="AS5" s="24" t="str">
        <f ca="1">IFERROR(__xludf.DUMMYFUNCTION("""COMPUTED_VALUE"""),"Executed Qty")</f>
        <v>Executed Qty</v>
      </c>
      <c r="AT5" s="24" t="str">
        <f ca="1">IFERROR(__xludf.DUMMYFUNCTION("""COMPUTED_VALUE"""),"Net Amount( Local)")</f>
        <v>Net Amount( Local)</v>
      </c>
      <c r="AU5" s="24" t="str">
        <f ca="1">IFERROR(__xludf.DUMMYFUNCTION("""COMPUTED_VALUE"""),"Net Amount( Base)")</f>
        <v>Net Amount( Base)</v>
      </c>
      <c r="AV5" s="24" t="str">
        <f ca="1">IFERROR(__xludf.DUMMYFUNCTION("""COMPUTED_VALUE"""),"UnAllocatedQty")</f>
        <v>UnAllocatedQty</v>
      </c>
      <c r="AW5" s="24" t="str">
        <f ca="1">IFERROR(__xludf.DUMMYFUNCTION("""COMPUTED_VALUE"""),"Option Premium Adjustment")</f>
        <v>Option Premium Adjustment</v>
      </c>
      <c r="AX5" s="24" t="str">
        <f ca="1">IFERROR(__xludf.DUMMYFUNCTION("""COMPUTED_VALUE"""),"Principal Amount( Local)")</f>
        <v>Principal Amount( Local)</v>
      </c>
      <c r="AY5" s="24" t="str">
        <f ca="1">IFERROR(__xludf.DUMMYFUNCTION("""COMPUTED_VALUE"""),"Principal Amount( Base)")</f>
        <v>Principal Amount( Base)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IFERROR(__xludf.DUMMYFUNCTION("""COMPUTED_VALUE"""),"User")</f>
        <v>User</v>
      </c>
      <c r="BB5" s="24" t="str">
        <f ca="1">IFERROR(__xludf.DUMMYFUNCTION("""COMPUTED_VALUE"""),"Asset Category")</f>
        <v>Asset Category</v>
      </c>
      <c r="BC5" s="24" t="str">
        <f ca="1">IFERROR(__xludf.DUMMYFUNCTION("""COMPUTED_VALUE"""),"Change Type")</f>
        <v>Change Type</v>
      </c>
      <c r="BD5" s="24" t="str">
        <f ca="1">IFERROR(__xludf.DUMMYFUNCTION("""COMPUTED_VALUE"""),"Strategy Name")</f>
        <v>Strategy Name</v>
      </c>
      <c r="BE5" s="24" t="str">
        <f ca="1">IFERROR(__xludf.DUMMYFUNCTION("""COMPUTED_VALUE"""),"Prana Msg Type")</f>
        <v>Prana Msg Type</v>
      </c>
      <c r="BF5" s="24" t="str">
        <f ca="1">IFERROR(__xludf.DUMMYFUNCTION("""COMPUTED_VALUE"""),"Total Commission")</f>
        <v>Total Commission</v>
      </c>
      <c r="BG5" s="24" t="str">
        <f ca="1">IFERROR(__xludf.DUMMYFUNCTION("""COMPUTED_VALUE"""),"Commission Per Share")</f>
        <v>Commission Per Share</v>
      </c>
      <c r="BH5" s="24" t="str">
        <f ca="1">IFERROR(__xludf.DUMMYFUNCTION("""COMPUTED_VALUE"""),"Soft Commission Per Share")</f>
        <v>Soft Commission Per Share</v>
      </c>
      <c r="BI5" s="24" t="str">
        <f ca="1">IFERROR(__xludf.DUMMYFUNCTION("""COMPUTED_VALUE"""),"Total Commission Per Share")</f>
        <v>Total Commission Per Share</v>
      </c>
      <c r="BJ5" s="24" t="str">
        <f ca="1">IFERROR(__xludf.DUMMYFUNCTION("""COMPUTED_VALUE"""),"Closing Status")</f>
        <v>Closing Status</v>
      </c>
      <c r="BK5" s="24" t="str">
        <f ca="1">IFERROR(__xludf.DUMMYFUNCTION("""COMPUTED_VALUE"""),"Closing Method")</f>
        <v>Closing Method</v>
      </c>
      <c r="BL5" s="24" t="str">
        <f ca="1">IFERROR(__xludf.DUMMYFUNCTION("""COMPUTED_VALUE"""),"Allocation Scheme Name")</f>
        <v>Allocation Scheme Name</v>
      </c>
      <c r="BM5" s="24" t="str">
        <f ca="1">IFERROR(__xludf.DUMMYFUNCTION("""COMPUTED_VALUE"""),"Change Comment")</f>
        <v>Change Comment</v>
      </c>
      <c r="BN5" s="24" t="str">
        <f ca="1">IFERROR(__xludf.DUMMYFUNCTION("""COMPUTED_VALUE"""),"Order Type")</f>
        <v>Order Type</v>
      </c>
      <c r="BO5" s="24" t="str">
        <f ca="1">IFERROR(__xludf.DUMMYFUNCTION("""COMPUTED_VALUE"""),"Underlying")</f>
        <v>Underlying</v>
      </c>
      <c r="BP5" s="24" t="str">
        <f ca="1">IFERROR(__xludf.DUMMYFUNCTION("""COMPUTED_VALUE"""),"Exchange")</f>
        <v>Exchange</v>
      </c>
      <c r="BQ5" s="24" t="str">
        <f ca="1">IFERROR(__xludf.DUMMYFUNCTION("""COMPUTED_VALUE"""),"Currency")</f>
        <v>Currency</v>
      </c>
      <c r="BR5" s="24" t="str">
        <f ca="1">IFERROR(__xludf.DUMMYFUNCTION("""COMPUTED_VALUE"""),"AUECID")</f>
        <v>AUECID</v>
      </c>
      <c r="BS5" s="24" t="str">
        <f ca="1">IFERROR(__xludf.DUMMYFUNCTION("""COMPUTED_VALUE"""),"Trading Account")</f>
        <v>Trading Account</v>
      </c>
      <c r="BT5" s="24" t="str">
        <f ca="1">IFERROR(__xludf.DUMMYFUNCTION("""COMPUTED_VALUE"""),"Venue")</f>
        <v>Venue</v>
      </c>
      <c r="BU5" s="24" t="str">
        <f ca="1">IFERROR(__xludf.DUMMYFUNCTION("""COMPUTED_VALUE"""),"Cum Qty For Sub Order")</f>
        <v>Cum Qty For Sub Order</v>
      </c>
      <c r="BV5" s="24" t="str">
        <f ca="1">IFERROR(__xludf.DUMMYFUNCTION("""COMPUTED_VALUE"""),"Contract Multiplier")</f>
        <v>Contract Multiplier</v>
      </c>
      <c r="BW5" s="24" t="str">
        <f ca="1">IFERROR(__xludf.DUMMYFUNCTION("""COMPUTED_VALUE"""),"Company")</f>
        <v>Company</v>
      </c>
      <c r="BX5" s="24" t="str">
        <f ca="1">IFERROR(__xludf.DUMMYFUNCTION("""COMPUTED_VALUE"""),"Nirvana Process Date")</f>
        <v>Nirvana Process Date</v>
      </c>
      <c r="BY5" s="24" t="str">
        <f ca="1">IFERROR(__xludf.DUMMYFUNCTION("""COMPUTED_VALUE"""),"Process Date")</f>
        <v>Process Date</v>
      </c>
      <c r="BZ5" s="24" t="str">
        <f ca="1">IFERROR(__xludf.DUMMYFUNCTION("""COMPUTED_VALUE"""),"Original Purchase Date")</f>
        <v>Original Purchase Date</v>
      </c>
      <c r="CA5" s="24" t="str">
        <f ca="1">IFERROR(__xludf.DUMMYFUNCTION("""COMPUTED_VALUE"""),"Closing Date")</f>
        <v>Closing Date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IFERROR(__xludf.DUMMYFUNCTION("""COMPUTED_VALUE"""),"Expiration Date")</f>
        <v>Expiration Date</v>
      </c>
      <c r="CD5" s="24" t="str">
        <f ca="1">IFERROR(__xludf.DUMMYFUNCTION("""COMPUTED_VALUE"""),"Underlying Symbol")</f>
        <v>Underlying Symbol</v>
      </c>
      <c r="CE5" s="24" t="str">
        <f ca="1">IFERROR(__xludf.DUMMYFUNCTION("""COMPUTED_VALUE"""),"Accrual Basis")</f>
        <v>Accrual Basis</v>
      </c>
      <c r="CF5" s="24" t="str">
        <f ca="1">IFERROR(__xludf.DUMMYFUNCTION("""COMPUTED_VALUE"""),"Bond Type")</f>
        <v>Bond Type</v>
      </c>
      <c r="CG5" s="24" t="str">
        <f ca="1">IFERROR(__xludf.DUMMYFUNCTION("""COMPUTED_VALUE"""),"Coupon Rate")</f>
        <v>Coupon Rate</v>
      </c>
      <c r="CH5" s="24" t="str">
        <f ca="1">IFERROR(__xludf.DUMMYFUNCTION("""COMPUTED_VALUE"""),"Delta")</f>
        <v>Delta</v>
      </c>
      <c r="CI5" s="24" t="str">
        <f ca="1">IFERROR(__xludf.DUMMYFUNCTION("""COMPUTED_VALUE"""),"Bloomberg")</f>
        <v>Bloomberg</v>
      </c>
      <c r="CJ5" s="24" t="str">
        <f ca="1">IFERROR(__xludf.DUMMYFUNCTION("""COMPUTED_VALUE"""),"Sedol Symbol")</f>
        <v>Sedol Symbol</v>
      </c>
      <c r="CK5" s="24" t="str">
        <f ca="1">IFERROR(__xludf.DUMMYFUNCTION("""COMPUTED_VALUE"""),"Cusip Symbol")</f>
        <v>Cusip Symbol</v>
      </c>
      <c r="CL5" s="24" t="str">
        <f ca="1">IFERROR(__xludf.DUMMYFUNCTION("""COMPUTED_VALUE"""),"ISIN")</f>
        <v>ISIN</v>
      </c>
      <c r="CM5" s="24" t="str">
        <f ca="1">IFERROR(__xludf.DUMMYFUNCTION("""COMPUTED_VALUE"""),"OSISSymbol")</f>
        <v>OSISSymbol</v>
      </c>
      <c r="CN5" s="24" t="str">
        <f ca="1">IFERROR(__xludf.DUMMYFUNCTION("""COMPUTED_VALUE"""),"IDCOSymbol")</f>
        <v>IDCOSymbol</v>
      </c>
      <c r="CO5" s="24" t="str">
        <f ca="1">IFERROR(__xludf.DUMMYFUNCTION("""COMPUTED_VALUE"""),"Underlying Delta")</f>
        <v>Underlying Delta</v>
      </c>
      <c r="CP5" s="24" t="str">
        <f ca="1">IFERROR(__xludf.DUMMYFUNCTION("""COMPUTED_VALUE"""),"Proxy Symbol")</f>
        <v>Proxy Symbol</v>
      </c>
      <c r="CQ5" s="24" t="str">
        <f ca="1">IFERROR(__xludf.DUMMYFUNCTION("""COMPUTED_VALUE"""),"Transaction Source")</f>
        <v>Transaction Source</v>
      </c>
      <c r="CR5" s="24" t="str">
        <f ca="1">IFERROR(__xludf.DUMMYFUNCTION("""COMPUTED_VALUE"""),"Import File Name")</f>
        <v>Import File Name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1" t="s">
        <v>30</v>
      </c>
      <c r="C6" s="7">
        <v>1500</v>
      </c>
      <c r="D6" s="7"/>
      <c r="E6" s="7" t="s">
        <v>19</v>
      </c>
      <c r="F6" s="7" t="s">
        <v>29</v>
      </c>
      <c r="G6" s="5"/>
      <c r="H6" s="7"/>
      <c r="I6" s="5"/>
      <c r="J6" s="5"/>
      <c r="K6" s="7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1-RJhOo2E5PhyqaiMEjsPi8RpfYBuiSqE9fj_-bRpkKw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IFERROR(__xludf.DUMMYFUNCTION("""COMPUTED_VALUE"""),"Trade Date")</f>
        <v>Trade Date</v>
      </c>
      <c r="G5" s="22" t="str">
        <f ca="1">IFERROR(__xludf.DUMMYFUNCTION("""COMPUTED_VALUE"""),"Net Amount( Local)")</f>
        <v>Net Amount( Local)</v>
      </c>
      <c r="H5" s="22" t="str">
        <f ca="1">IFERROR(__xludf.DUMMYFUNCTION("""COMPUTED_VALUE"""),"Net Amount( Base)")</f>
        <v>Net Amount( Base)</v>
      </c>
      <c r="I5" s="22" t="str">
        <f ca="1">IFERROR(__xludf.DUMMYFUNCTION("""COMPUTED_VALUE"""),"Principal Amount( Local)")</f>
        <v>Principal Amount( Local)</v>
      </c>
      <c r="J5" s="22" t="str">
        <f ca="1">IFERROR(__xludf.DUMMYFUNCTION("""COMPUTED_VALUE"""),"Transaction Type")</f>
        <v>Transaction Type</v>
      </c>
      <c r="K5" s="22" t="str">
        <f ca="1">IFERROR(__xludf.DUMMYFUNCTION("""COMPUTED_VALUE"""),"Principal Amount( Base)")</f>
        <v>Principal Amount( Base)</v>
      </c>
      <c r="L5" s="22" t="str">
        <f ca="1">IFERROR(__xludf.DUMMYFUNCTION("""COMPUTED_VALUE"""),"Execution Time")</f>
        <v>Execution Time</v>
      </c>
      <c r="M5" s="22" t="str">
        <f ca="1">IFERROR(__xludf.DUMMYFUNCTION("""COMPUTED_VALUE"""),"Trading Account")</f>
        <v>Trading Account</v>
      </c>
      <c r="N5" s="22" t="str">
        <f ca="1">IFERROR(__xludf.DUMMYFUNCTION("""COMPUTED_VALUE"""),"Avg Price(Local)")</f>
        <v>Avg Price(Local)</v>
      </c>
      <c r="O5" s="22" t="str">
        <f ca="1">IFERROR(__xludf.DUMMYFUNCTION("""COMPUTED_VALUE"""),"Avg Price(Base)")</f>
        <v>Avg Price(Base)</v>
      </c>
      <c r="P5" s="22" t="str">
        <f ca="1">IFERROR(__xludf.DUMMYFUNCTION("""COMPUTED_VALUE"""),"Broker")</f>
        <v>Broker</v>
      </c>
      <c r="Q5" s="22" t="str">
        <f ca="1">IFERROR(__xludf.DUMMYFUNCTION("""COMPUTED_VALUE"""),"FX Rate")</f>
        <v>FX Rate</v>
      </c>
      <c r="R5" s="22" t="str">
        <f ca="1">IFERROR(__xludf.DUMMYFUNCTION("""COMPUTED_VALUE"""),"Venue")</f>
        <v>Venue</v>
      </c>
      <c r="S5" s="22" t="str">
        <f ca="1">IFERROR(__xludf.DUMMYFUNCTION("""COMPUTED_VALUE"""),"FX Conversion Operator")</f>
        <v>FX Conversion Operator</v>
      </c>
      <c r="T5" s="24" t="str">
        <f ca="1">IFERROR(__xludf.DUMMYFUNCTION("""COMPUTED_VALUE"""),"User")</f>
        <v>User</v>
      </c>
      <c r="U5" s="24" t="str">
        <f ca="1">IFERROR(__xludf.DUMMYFUNCTION("""COMPUTED_VALUE"""),"Asset Category")</f>
        <v>Asset Category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IFERROR(__xludf.DUMMYFUNCTION("""COMPUTED_VALUE"""),"Commission Per Share")</f>
        <v>Commission Per Share</v>
      </c>
      <c r="X5" s="24" t="str">
        <f ca="1">IFERROR(__xludf.DUMMYFUNCTION("""COMPUTED_VALUE"""),"Soft Commission Per Share")</f>
        <v>Soft Commission Per Share</v>
      </c>
      <c r="Y5" s="24" t="str">
        <f ca="1">IFERROR(__xludf.DUMMYFUNCTION("""COMPUTED_VALUE"""),"Total Commission Per Share")</f>
        <v>Total Commission Per Share</v>
      </c>
      <c r="Z5" s="24" t="str">
        <f ca="1">IFERROR(__xludf.DUMMYFUNCTION("""COMPUTED_VALUE"""),"Change Type")</f>
        <v>Change Type</v>
      </c>
      <c r="AA5" s="24" t="str">
        <f ca="1">IFERROR(__xludf.DUMMYFUNCTION("""COMPUTED_VALUE"""),"Trade Attribute 1")</f>
        <v>Trade Attribute 1</v>
      </c>
      <c r="AB5" s="24" t="str">
        <f ca="1">IFERROR(__xludf.DUMMYFUNCTION("""COMPUTED_VALUE"""),"Trade Attribute 2")</f>
        <v>Trade Attribute 2</v>
      </c>
      <c r="AC5" s="24" t="str">
        <f ca="1">IFERROR(__xludf.DUMMYFUNCTION("""COMPUTED_VALUE"""),"Trade Attribute 3")</f>
        <v>Trade Attribute 3</v>
      </c>
      <c r="AD5" s="24" t="str">
        <f ca="1">IFERROR(__xludf.DUMMYFUNCTION("""COMPUTED_VALUE"""),"Trade Attribute 4")</f>
        <v>Trade Attribute 4</v>
      </c>
      <c r="AE5" s="24" t="str">
        <f ca="1">IFERROR(__xludf.DUMMYFUNCTION("""COMPUTED_VALUE"""),"Trade Attribute 5")</f>
        <v>Trade Attribute 5</v>
      </c>
      <c r="AF5" s="24" t="str">
        <f ca="1">IFERROR(__xludf.DUMMYFUNCTION("""COMPUTED_VALUE"""),"Trade Attribute 6")</f>
        <v>Trade Attribute 6</v>
      </c>
      <c r="AG5" s="24" t="str">
        <f ca="1">IFERROR(__xludf.DUMMYFUNCTION("""COMPUTED_VALUE"""),"IsPreAllocated")</f>
        <v>IsPreAllocated</v>
      </c>
      <c r="AH5" s="24" t="str">
        <f ca="1">IFERROR(__xludf.DUMMYFUNCTION("""COMPUTED_VALUE"""),"IsManual Group")</f>
        <v>IsManual Group</v>
      </c>
      <c r="AI5" s="24" t="str">
        <f ca="1">IFERROR(__xludf.DUMMYFUNCTION("""COMPUTED_VALUE"""),"IsAnotherTaxlotAttributesUpdated")</f>
        <v>IsAnotherTaxlotAttributesUpdated</v>
      </c>
      <c r="AJ5" s="24" t="str">
        <f ca="1">IFERROR(__xludf.DUMMYFUNCTION("""COMPUTED_VALUE"""),"ISNDF")</f>
        <v>ISNDF</v>
      </c>
      <c r="AK5" s="24" t="str">
        <f ca="1">IFERROR(__xludf.DUMMYFUNCTION("""COMPUTED_VALUE"""),"M2MProfitLoss")</f>
        <v>M2MProfitLoss</v>
      </c>
      <c r="AL5" s="24" t="str">
        <f ca="1">IFERROR(__xludf.DUMMYFUNCTION("""COMPUTED_VALUE"""),"Put Or Call")</f>
        <v>Put Or Call</v>
      </c>
      <c r="AM5" s="24" t="str">
        <f ca="1">IFERROR(__xludf.DUMMYFUNCTION("""COMPUTED_VALUE"""),"GroupID")</f>
        <v>GroupID</v>
      </c>
      <c r="AN5" s="24" t="str">
        <f ca="1">IFERROR(__xludf.DUMMYFUNCTION("""COMPUTED_VALUE"""),"UnAllocatedQty")</f>
        <v>UnAllocatedQty</v>
      </c>
      <c r="AO5" s="24" t="str">
        <f ca="1">IFERROR(__xludf.DUMMYFUNCTION("""COMPUTED_VALUE"""),"Allocated Qty")</f>
        <v>Allocated Qty</v>
      </c>
      <c r="AP5" s="24" t="str">
        <f ca="1">IFERROR(__xludf.DUMMYFUNCTION("""COMPUTED_VALUE"""),"Commission")</f>
        <v>Commission</v>
      </c>
      <c r="AQ5" s="24" t="str">
        <f ca="1">IFERROR(__xludf.DUMMYFUNCTION("""COMPUTED_VALUE"""),"Soft Commission")</f>
        <v>Soft Commission</v>
      </c>
      <c r="AR5" s="24" t="str">
        <f ca="1">IFERROR(__xludf.DUMMYFUNCTION("""COMPUTED_VALUE"""),"Other Broker Fees")</f>
        <v>Other Broker Fees</v>
      </c>
      <c r="AS5" s="24" t="str">
        <f ca="1">IFERROR(__xludf.DUMMYFUNCTION("""COMPUTED_VALUE"""),"Clearing Broker Fee")</f>
        <v>Clearing Broker Fee</v>
      </c>
      <c r="AT5" s="24" t="str">
        <f ca="1">IFERROR(__xludf.DUMMYFUNCTION("""COMPUTED_VALUE"""),"Total Commission And Fee")</f>
        <v>Total Commission And Fee</v>
      </c>
      <c r="AU5" s="24" t="str">
        <f ca="1">IFERROR(__xludf.DUMMYFUNCTION("""COMPUTED_VALUE"""),"Transaction Levy")</f>
        <v>Transaction Levy</v>
      </c>
      <c r="AV5" s="24" t="str">
        <f ca="1">IFERROR(__xludf.DUMMYFUNCTION("""COMPUTED_VALUE"""),"Stamp Duty")</f>
        <v>Stamp Duty</v>
      </c>
      <c r="AW5" s="24" t="str">
        <f ca="1">IFERROR(__xludf.DUMMYFUNCTION("""COMPUTED_VALUE"""),"AUEC Fee1")</f>
        <v>AUEC Fee1</v>
      </c>
      <c r="AX5" s="24" t="str">
        <f ca="1">IFERROR(__xludf.DUMMYFUNCTION("""COMPUTED_VALUE"""),"Tax On Commissions")</f>
        <v>Tax On Commissions</v>
      </c>
      <c r="AY5" s="24" t="str">
        <f ca="1">IFERROR(__xludf.DUMMYFUNCTION("""COMPUTED_VALUE"""),"AUEC Fee2")</f>
        <v>AUEC Fee2</v>
      </c>
      <c r="AZ5" s="24" t="str">
        <f ca="1">IFERROR(__xludf.DUMMYFUNCTION("""COMPUTED_VALUE"""),"SEC Fee")</f>
        <v>SEC Fee</v>
      </c>
      <c r="BA5" s="24" t="str">
        <f ca="1">IFERROR(__xludf.DUMMYFUNCTION("""COMPUTED_VALUE"""),"OCC Fee")</f>
        <v>OCC Fee</v>
      </c>
      <c r="BB5" s="24" t="str">
        <f ca="1">IFERROR(__xludf.DUMMYFUNCTION("""COMPUTED_VALUE"""),"ORF Fee")</f>
        <v>ORF Fee</v>
      </c>
      <c r="BC5" s="24" t="str">
        <f ca="1">IFERROR(__xludf.DUMMYFUNCTION("""COMPUTED_VALUE"""),"Option Premium Adjustment")</f>
        <v>Option Premium Adjustment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IFERROR(__xludf.DUMMYFUNCTION("""COMPUTED_VALUE"""),"Total Commission")</f>
        <v>Total Commission</v>
      </c>
      <c r="BF5" s="24" t="str">
        <f ca="1">IFERROR(__xludf.DUMMYFUNCTION("""COMPUTED_VALUE"""),"Closing Status")</f>
        <v>Closing Status</v>
      </c>
      <c r="BG5" s="24" t="str">
        <f ca="1">IFERROR(__xludf.DUMMYFUNCTION("""COMPUTED_VALUE"""),"Closing Method")</f>
        <v>Closing Method</v>
      </c>
      <c r="BH5" s="24" t="str">
        <f ca="1">IFERROR(__xludf.DUMMYFUNCTION("""COMPUTED_VALUE"""),"Group Status")</f>
        <v>Group Status</v>
      </c>
      <c r="BI5" s="24" t="str">
        <f ca="1">IFERROR(__xludf.DUMMYFUNCTION("""COMPUTED_VALUE"""),"Allocation Scheme Name")</f>
        <v>Allocation Scheme Name</v>
      </c>
      <c r="BJ5" s="24" t="str">
        <f ca="1">IFERROR(__xludf.DUMMYFUNCTION("""COMPUTED_VALUE"""),"Change Comment")</f>
        <v>Change Comment</v>
      </c>
      <c r="BK5" s="24" t="str">
        <f ca="1">IFERROR(__xludf.DUMMYFUNCTION("""COMPUTED_VALUE"""),"Order Type")</f>
        <v>Order Type</v>
      </c>
      <c r="BL5" s="24" t="str">
        <f ca="1">IFERROR(__xludf.DUMMYFUNCTION("""COMPUTED_VALUE"""),"Underlying")</f>
        <v>Underlying</v>
      </c>
      <c r="BM5" s="24" t="str">
        <f ca="1">IFERROR(__xludf.DUMMYFUNCTION("""COMPUTED_VALUE"""),"Exchange")</f>
        <v>Exchange</v>
      </c>
      <c r="BN5" s="24" t="str">
        <f ca="1">IFERROR(__xludf.DUMMYFUNCTION("""COMPUTED_VALUE"""),"Currency")</f>
        <v>Currency</v>
      </c>
      <c r="BO5" s="24" t="str">
        <f ca="1">IFERROR(__xludf.DUMMYFUNCTION("""COMPUTED_VALUE"""),"AUECID")</f>
        <v>AUECID</v>
      </c>
      <c r="BP5" s="24" t="str">
        <f ca="1">IFERROR(__xludf.DUMMYFUNCTION("""COMPUTED_VALUE"""),"Cum Qty For Sub Order")</f>
        <v>Cum Qty For Sub Order</v>
      </c>
      <c r="BQ5" s="24" t="str">
        <f ca="1">IFERROR(__xludf.DUMMYFUNCTION("""COMPUTED_VALUE"""),"Contract Multiplier")</f>
        <v>Contract Multiplier</v>
      </c>
      <c r="BR5" s="24" t="str">
        <f ca="1">IFERROR(__xludf.DUMMYFUNCTION("""COMPUTED_VALUE"""),"Company")</f>
        <v>Company</v>
      </c>
      <c r="BS5" s="24" t="str">
        <f ca="1">IFERROR(__xludf.DUMMYFUNCTION("""COMPUTED_VALUE"""),"Nirvana Process Date")</f>
        <v>Nirvana Process Date</v>
      </c>
      <c r="BT5" s="24" t="str">
        <f ca="1">IFERROR(__xludf.DUMMYFUNCTION("""COMPUTED_VALUE"""),"Process Date")</f>
        <v>Process Date</v>
      </c>
      <c r="BU5" s="24" t="str">
        <f ca="1">IFERROR(__xludf.DUMMYFUNCTION("""COMPUTED_VALUE"""),"Original Purchase Date")</f>
        <v>Original Purchase Date</v>
      </c>
      <c r="BV5" s="24" t="str">
        <f ca="1">IFERROR(__xludf.DUMMYFUNCTION("""COMPUTED_VALUE"""),"Closing Date")</f>
        <v>Closing Date</v>
      </c>
      <c r="BW5" s="24" t="str">
        <f ca="1">IFERROR(__xludf.DUMMYFUNCTION("""COMPUTED_VALUE"""),"Settlement Date")</f>
        <v>Settlement Date</v>
      </c>
      <c r="BX5" s="24" t="str">
        <f ca="1">IFERROR(__xludf.DUMMYFUNCTION("""COMPUTED_VALUE"""),"Expiration Date")</f>
        <v>Expiration Date</v>
      </c>
      <c r="BY5" s="24" t="str">
        <f ca="1">IFERROR(__xludf.DUMMYFUNCTION("""COMPUTED_VALUE"""),"Description")</f>
        <v>Description</v>
      </c>
      <c r="BZ5" s="24" t="str">
        <f ca="1">IFERROR(__xludf.DUMMYFUNCTION("""COMPUTED_VALUE"""),"Underlying Symbol")</f>
        <v>Underlying Symbol</v>
      </c>
      <c r="CA5" s="24" t="str">
        <f ca="1">IFERROR(__xludf.DUMMYFUNCTION("""COMPUTED_VALUE"""),"Accrued Interest")</f>
        <v>Accrued Interest</v>
      </c>
      <c r="CB5" s="24" t="str">
        <f ca="1">IFERROR(__xludf.DUMMYFUNCTION("""COMPUTED_VALUE"""),"Accrual Basis")</f>
        <v>Accrual Basis</v>
      </c>
      <c r="CC5" s="24" t="str">
        <f ca="1">IFERROR(__xludf.DUMMYFUNCTION("""COMPUTED_VALUE"""),"Bond Type")</f>
        <v>Bond Type</v>
      </c>
      <c r="CD5" s="24" t="str">
        <f ca="1">IFERROR(__xludf.DUMMYFUNCTION("""COMPUTED_VALUE"""),"Coupon Rate")</f>
        <v>Coupon Rate</v>
      </c>
      <c r="CE5" s="24" t="str">
        <f ca="1">IFERROR(__xludf.DUMMYFUNCTION("""COMPUTED_VALUE"""),"Delta")</f>
        <v>Delta</v>
      </c>
      <c r="CF5" s="24" t="str">
        <f ca="1">IFERROR(__xludf.DUMMYFUNCTION("""COMPUTED_VALUE"""),"Bloomberg")</f>
        <v>Bloomberg</v>
      </c>
      <c r="CG5" s="24" t="str">
        <f ca="1">IFERROR(__xludf.DUMMYFUNCTION("""COMPUTED_VALUE"""),"Sedol Symbol")</f>
        <v>Sedol Symbol</v>
      </c>
      <c r="CH5" s="24" t="str">
        <f ca="1">IFERROR(__xludf.DUMMYFUNCTION("""COMPUTED_VALUE"""),"Cusip Symbol")</f>
        <v>Cusip Symbol</v>
      </c>
      <c r="CI5" s="24" t="str">
        <f ca="1">IFERROR(__xludf.DUMMYFUNCTION("""COMPUTED_VALUE"""),"ISIN")</f>
        <v>ISIN</v>
      </c>
      <c r="CJ5" s="24" t="str">
        <f ca="1">IFERROR(__xludf.DUMMYFUNCTION("""COMPUTED_VALUE"""),"OSISSymbol")</f>
        <v>OSISSymbol</v>
      </c>
      <c r="CK5" s="24" t="str">
        <f ca="1">IFERROR(__xludf.DUMMYFUNCTION("""COMPUTED_VALUE"""),"IDCOSymbol")</f>
        <v>IDCOSymbol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IFERROR(__xludf.DUMMYFUNCTION("""COMPUTED_VALUE"""),"Internal Comments")</f>
        <v>Internal Comments</v>
      </c>
      <c r="CN5" s="24" t="str">
        <f ca="1">IFERROR(__xludf.DUMMYFUNCTION("""COMPUTED_VALUE"""),"Proxy Symbol")</f>
        <v>Proxy Symbol</v>
      </c>
      <c r="CO5" s="24" t="str">
        <f ca="1">IFERROR(__xludf.DUMMYFUNCTION("""COMPUTED_VALUE"""),"Transaction Source")</f>
        <v>Transaction Source</v>
      </c>
      <c r="CP5" s="24" t="str">
        <f ca="1">IFERROR(__xludf.DUMMYFUNCTION("""COMPUTED_VALUE"""),"Import File Name")</f>
        <v>Import File Name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IFERROR(__xludf.DUMMYFUNCTION("""COMPUTED_VALUE"""),"Client")</f>
        <v>Client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1" t="s">
        <v>30</v>
      </c>
      <c r="C6" s="7" t="s">
        <v>29</v>
      </c>
      <c r="D6" s="7">
        <v>1500</v>
      </c>
      <c r="E6" s="7">
        <v>1500</v>
      </c>
      <c r="F6" s="5"/>
      <c r="G6" s="5"/>
      <c r="H6" s="5"/>
      <c r="I6" s="5"/>
      <c r="J6" s="5"/>
      <c r="K6" s="5"/>
      <c r="L6" s="5"/>
      <c r="M6" s="5"/>
      <c r="N6" s="7"/>
      <c r="O6" s="7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1mOtszotVOdqHquQTLi-4CBnAUrtAF2MEABuvYJh_hzw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Percentage")</f>
        <v>Account Percentage</v>
      </c>
      <c r="D5" s="22" t="str">
        <f ca="1">IFERROR(__xludf.DUMMYFUNCTION("""COMPUTED_VALUE"""),"Account Quantity")</f>
        <v>Account Quantity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19</v>
      </c>
      <c r="C6" s="7">
        <v>100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56" width="14.42578125" customWidth="1"/>
    <col min="57" max="57" width="20" customWidth="1"/>
    <col min="58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19</v>
      </c>
      <c r="C6" s="5"/>
      <c r="D6" s="7">
        <v>143.91800000000001</v>
      </c>
      <c r="E6" s="7">
        <v>1500</v>
      </c>
      <c r="F6" s="5"/>
      <c r="G6" s="7" t="s">
        <v>27</v>
      </c>
      <c r="H6" s="5"/>
      <c r="I6" s="5"/>
      <c r="J6" s="5"/>
      <c r="K6" s="7">
        <v>44.1</v>
      </c>
      <c r="L6" s="7">
        <v>35</v>
      </c>
      <c r="M6" s="5"/>
      <c r="N6" s="5"/>
      <c r="O6" s="5"/>
      <c r="AE6" s="6">
        <v>1500</v>
      </c>
      <c r="AH6" s="6" t="s">
        <v>28</v>
      </c>
      <c r="AI6" s="6">
        <v>1.26</v>
      </c>
      <c r="AT6" s="6">
        <v>68369.385999999999</v>
      </c>
      <c r="AU6" s="6">
        <v>54261.417999999998</v>
      </c>
      <c r="BE6" s="6">
        <v>68134.5</v>
      </c>
      <c r="BF6" s="6">
        <v>54075</v>
      </c>
      <c r="BJ6" s="6">
        <v>1500</v>
      </c>
      <c r="BO6" s="6" t="s">
        <v>29</v>
      </c>
      <c r="BT6" s="31" t="s">
        <v>30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IFERROR(__xludf.DUMMYFUNCTION("IF(C3="""","""",Transpose(IMPORTRANGE('_Settings'!$B$3,C3&amp;""!A4:A1000"")))"),"RestartServer")</f>
        <v>RestartServer</v>
      </c>
      <c r="C4" s="19" t="str">
        <f ca="1">IFERROR(__xludf.DUMMYFUNCTION("""COMPUTED_VALUE"""),"UpdateServerConfig")</f>
        <v>UpdateServerConfig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IFERROR(__xludf.DUMMYFUNCTION("""COMPUTED_VALUE"""),"AppSetting_Key")</f>
        <v>AppSetting_Key</v>
      </c>
      <c r="C5" s="22" t="str">
        <f ca="1">IFERROR(__xludf.DUMMYFUNCTION("""COMPUTED_VALUE"""),"AppSetting_Value")</f>
        <v>AppSetting_Value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32" t="b">
        <v>1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28" t="s">
        <v>17</v>
      </c>
      <c r="C7" s="32" t="b">
        <v>1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34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IFERROR(__xludf.DUMMYFUNCTION("IF(C3="""","""",Transpose(IMPORTRANGE('_Settings'!$B$3,C3&amp;""!A4:A1000"")))"),"RestartExpnl")</f>
        <v>RestartExpnl</v>
      </c>
      <c r="C4" s="19" t="str">
        <f ca="1">IFERROR(__xludf.DUMMYFUNCTION("""COMPUTED_VALUE"""),"UpdateExpnlConfig")</f>
        <v>UpdateExpnlConfig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IFERROR(__xludf.DUMMYFUNCTION("TRANSPOSE(IMPORTRANGE(VLOOKUP($E$3,IMPORTRANGE('_Settings'!$B$3,$C$3&amp;""!A4:B1000""),2,FALSE),$G$3&amp;""!A4:A1000""))"),"#N/A")</f>
        <v>#N/A</v>
      </c>
      <c r="B5" s="22"/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36</v>
      </c>
      <c r="C6" s="5"/>
      <c r="D6" s="7" t="s">
        <v>37</v>
      </c>
      <c r="E6" s="27">
        <v>1000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38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IFERROR(__xludf.DUMMYFUNCTION("TRANSPOSE(IMPORTRANGE(VLOOKUP($E$3,IMPORTRANGE('_Settings'!$B$3,$C$3&amp;""!A4:B1000""),2,FALSE),$G$3&amp;""!A4:A1000""))"),"#REF!")</f>
        <v>#REF!</v>
      </c>
      <c r="B5" s="22"/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36</v>
      </c>
      <c r="C6" s="5"/>
      <c r="D6" s="7" t="s">
        <v>37</v>
      </c>
      <c r="E6" s="27">
        <v>1000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23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IFERROR(__xludf.DUMMYFUNCTION("TRANSPOSE(IMPORTRANGE(VLOOKUP($E$3,IMPORTRANGE('_Settings'!$B$3,$C$3&amp;""!A4:B1000""),2,FALSE),$G$3&amp;""!A4:A1000""))"),"#N/A")</f>
        <v>#N/A</v>
      </c>
      <c r="B5" s="22"/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36</v>
      </c>
      <c r="C6" s="5"/>
      <c r="D6" s="7" t="s">
        <v>37</v>
      </c>
      <c r="E6" s="27">
        <v>1000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_Modules</vt:lpstr>
      <vt:lpstr>_Settings</vt:lpstr>
      <vt:lpstr>_MasterData</vt:lpstr>
      <vt:lpstr>UpdateServerConfig</vt:lpstr>
      <vt:lpstr>Import</vt:lpstr>
      <vt:lpstr>SelectAllOnImport</vt:lpstr>
      <vt:lpstr>GetDataAllocation</vt:lpstr>
      <vt:lpstr>CheckAllocatedGroups</vt:lpstr>
      <vt:lpstr>Unallocate</vt:lpstr>
      <vt:lpstr>SelectUnallocatedGroup</vt:lpstr>
      <vt:lpstr>EnterAccountValuesToAllocate</vt:lpstr>
      <vt:lpstr>CheckAllocatedGroups1</vt:lpstr>
      <vt:lpstr>UpdateServerConfig1</vt:lpstr>
      <vt:lpstr>RestartExpnl</vt:lpstr>
      <vt:lpstr>Copy of Data</vt:lpstr>
      <vt:lpstr>CleanUp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2021-08-25T12:10:25Z</dcterms:modified>
</cp:coreProperties>
</file>