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AcknowledgeTrade1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CheckAllocatedGroups" sheetId="11" r:id="rId13"/>
    <sheet state="visible" name="ExecuteTrade1" sheetId="12" r:id="rId14"/>
    <sheet state="visible" name="AllocateFromBlotter1" sheetId="13" r:id="rId15"/>
    <sheet state="visible" name="VerifyBlotter" sheetId="14" r:id="rId16"/>
    <sheet state="visible" name="CheckAllocatedGroups1" sheetId="15" r:id="rId17"/>
    <sheet state="visible" name="VerifyWorkingSubs" sheetId="16" r:id="rId18"/>
    <sheet state="visible" name="SelectTrade" sheetId="17" r:id="rId19"/>
    <sheet state="visible" name="SelectTrade1" sheetId="18" r:id="rId20"/>
  </sheets>
  <definedNames/>
  <calcPr/>
</workbook>
</file>

<file path=xl/sharedStrings.xml><?xml version="1.0" encoding="utf-8"?>
<sst xmlns="http://schemas.openxmlformats.org/spreadsheetml/2006/main" count="1246" uniqueCount="136">
  <si>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</si>
  <si>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</si>
  <si>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</si>
  <si>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</si>
  <si>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</si>
  <si>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</si>
  <si>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</si>
  <si>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</si>
  <si>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</si>
  <si>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</si>
  <si>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</si>
  <si>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</si>
  <si>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</si>
  <si>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</si>
  <si>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</si>
  <si>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</si>
  <si>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</si>
  <si>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</si>
  <si>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</si>
  <si>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</si>
  <si>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</si>
  <si>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</si>
  <si>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</si>
  <si>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</si>
  <si>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</si>
  <si>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</si>
  <si>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</si>
  <si>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</si>
  <si>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</si>
  <si>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</si>
  <si>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</si>
  <si>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</si>
  <si>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</si>
  <si>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</si>
  <si>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</si>
  <si>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</si>
  <si>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</si>
  <si>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</si>
  <si>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</si>
  <si>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</si>
  <si>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</si>
  <si>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</si>
  <si>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</si>
  <si>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</si>
  <si>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</si>
  <si>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</si>
  <si>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</si>
  <si>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</si>
  <si>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</si>
  <si>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</si>
  <si>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Send</t>
  </si>
  <si>
    <t>Unallocated</t>
  </si>
  <si>
    <t>Good Till Date</t>
  </si>
  <si>
    <t>MSFT</t>
  </si>
  <si>
    <t>GTC</t>
  </si>
  <si>
    <t>Simulator</t>
  </si>
  <si>
    <t>AcknowledgeTrade</t>
  </si>
  <si>
    <t>ExecuteTrade</t>
  </si>
  <si>
    <t>Blotter</t>
  </si>
  <si>
    <t>SelectTradeOnOrderGrid</t>
  </si>
  <si>
    <t>AllocateFromBlotter</t>
  </si>
  <si>
    <t>Allocation1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</si>
  <si>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</si>
  <si>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</si>
  <si>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</si>
  <si>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</si>
  <si>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</si>
  <si>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</si>
  <si>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</si>
  <si>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</si>
  <si>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</si>
  <si>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</si>
  <si>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</si>
  <si>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</si>
  <si>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</si>
  <si>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</si>
  <si>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</si>
  <si>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7,89,889.4423</t>
  </si>
  <si>
    <t>InternalOrder</t>
  </si>
  <si>
    <t>7,89,875.00</t>
  </si>
  <si>
    <t>Buy</t>
  </si>
  <si>
    <t>Strategy Unallocated</t>
  </si>
  <si>
    <t>GCCAP1</t>
  </si>
  <si>
    <t>US</t>
  </si>
  <si>
    <t>Samsara</t>
  </si>
  <si>
    <t>NONE</t>
  </si>
  <si>
    <t>NewMF</t>
  </si>
  <si>
    <t>MSFT US EQUITY</t>
  </si>
  <si>
    <t>MICROSOFT INC</t>
  </si>
  <si>
    <t>Allocation3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</si>
  <si>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</si>
  <si>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</si>
  <si>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</si>
  <si>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</si>
  <si>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</si>
  <si>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</si>
  <si>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</si>
  <si>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</si>
  <si>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</si>
  <si>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</si>
  <si>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</si>
  <si>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</si>
  <si>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</si>
  <si>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</si>
  <si>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</si>
  <si>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</si>
  <si>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</si>
  <si>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</si>
  <si>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</si>
  <si>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</si>
  <si>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</si>
  <si>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</si>
  <si>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</si>
  <si>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</si>
  <si>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</si>
  <si>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</si>
  <si>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</si>
  <si>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</si>
  <si>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</si>
  <si>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</si>
  <si>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</si>
  <si>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</si>
  <si>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</si>
  <si>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</si>
  <si>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</si>
  <si>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</si>
  <si>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</si>
  <si>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</si>
  <si>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</si>
  <si>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</si>
  <si>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</si>
  <si>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PartiallyFilled</t>
  </si>
  <si>
    <t>9,45,989.5297</t>
  </si>
  <si>
    <t>9,45,975.00</t>
  </si>
  <si>
    <t>VerifyWorkingSubs</t>
  </si>
  <si>
    <t>SelectTrade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</si>
</sst>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11" numFmtId="0" xfId="0" applyFont="1"/>
    <xf borderId="0" fillId="0" fontId="2" numFmtId="14" xfId="0" applyFont="1" applyNumberFormat="1"/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 t="s">
        <v>49</v>
      </c>
      <c r="C6" s="13">
        <v>5000.0</v>
      </c>
      <c r="D6" s="13">
        <v>315.95</v>
      </c>
      <c r="E6" s="13" t="s">
        <v>50</v>
      </c>
      <c r="F6" s="8"/>
      <c r="G6" s="8"/>
      <c r="H6" s="8"/>
      <c r="I6" s="13" t="s">
        <v>51</v>
      </c>
      <c r="J6" s="8"/>
      <c r="K6" s="8"/>
      <c r="L6" s="8"/>
      <c r="M6" s="8"/>
      <c r="N6" s="8"/>
      <c r="O6" s="8"/>
      <c r="U6" s="9" t="s">
        <v>52</v>
      </c>
      <c r="Y6" s="33">
        <f>TODAY()+1</f>
        <v>45837</v>
      </c>
    </row>
    <row r="7" ht="15.75" customHeight="1">
      <c r="A7" s="13"/>
      <c r="B7" s="13" t="s">
        <v>53</v>
      </c>
      <c r="C7" s="13">
        <v>5000.0</v>
      </c>
      <c r="D7" s="13">
        <v>315.95</v>
      </c>
      <c r="E7" s="13" t="s">
        <v>50</v>
      </c>
      <c r="F7" s="8"/>
      <c r="G7" s="8"/>
      <c r="H7" s="8"/>
      <c r="I7" s="13" t="s">
        <v>51</v>
      </c>
      <c r="J7" s="8"/>
      <c r="K7" s="8"/>
      <c r="L7" s="8"/>
      <c r="M7" s="8"/>
      <c r="N7" s="8"/>
      <c r="O7" s="8"/>
      <c r="U7" s="9" t="s">
        <v>54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IFERROR(__xludf.DUMMYFUNCTION("""COMPUTED_VALUE"""),"Side")</f>
        <v>Side</v>
      </c>
      <c r="C5" s="34" t="str">
        <f>IFERROR(__xludf.DUMMYFUNCTION("""COMPUTED_VALUE"""),"Symbol")</f>
        <v>Symbol</v>
      </c>
      <c r="D5" s="34" t="str">
        <f>IFERROR(__xludf.DUMMYFUNCTION("""COMPUTED_VALUE"""),"Order Type")</f>
        <v>Order Type</v>
      </c>
      <c r="E5" s="34" t="str">
        <f>IFERROR(__xludf.DUMMYFUNCTION("""COMPUTED_VALUE"""),"Price")</f>
        <v>Price</v>
      </c>
      <c r="F5" s="35" t="str">
        <f>IFERROR(__xludf.DUMMYFUNCTION("""COMPUTED_VALUE"""),"AvgPrice")</f>
        <v>AvgPrice</v>
      </c>
      <c r="G5" s="34" t="str">
        <f>IFERROR(__xludf.DUMMYFUNCTION("""COMPUTED_VALUE"""),"Quantity")</f>
        <v>Quantity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 t="s">
        <v>49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IFERROR(__xludf.DUMMYFUNCTION("""COMPUTED_VALUE"""),"Price")</f>
        <v>Price</v>
      </c>
      <c r="C5" s="34" t="str">
        <f>IFERROR(__xludf.DUMMYFUNCTION("""COMPUTED_VALUE"""),"Shares")</f>
        <v>Shares</v>
      </c>
      <c r="D5" s="34" t="str">
        <f>IFERROR(__xludf.DUMMYFUNCTION("""COMPUTED_VALUE"""),"ClearAllPrice")</f>
        <v>ClearAllPrice</v>
      </c>
      <c r="E5" s="34"/>
      <c r="F5" s="35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>
        <v>15.95</v>
      </c>
      <c r="C6" s="13">
        <v>2500.0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IFERROR(__xludf.DUMMYFUNCTION("""COMPUTED_VALUE"""),"Side")</f>
        <v>Side</v>
      </c>
      <c r="C5" s="34" t="str">
        <f>IFERROR(__xludf.DUMMYFUNCTION("""COMPUTED_VALUE"""),"Symbol")</f>
        <v>Symbol</v>
      </c>
      <c r="D5" s="34" t="str">
        <f>IFERROR(__xludf.DUMMYFUNCTION("""COMPUTED_VALUE"""),"Order Type")</f>
        <v>Order Type</v>
      </c>
      <c r="E5" s="34" t="str">
        <f>IFERROR(__xludf.DUMMYFUNCTION("""COMPUTED_VALUE"""),"Price")</f>
        <v>Price</v>
      </c>
      <c r="F5" s="35" t="str">
        <f>IFERROR(__xludf.DUMMYFUNCTION("""COMPUTED_VALUE"""),"AvgPrice")</f>
        <v>AvgPrice</v>
      </c>
      <c r="G5" s="34" t="str">
        <f>IFERROR(__xludf.DUMMYFUNCTION("""COMPUTED_VALUE"""),"Quantity")</f>
        <v>Quantity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 t="s">
        <v>53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IFERROR(__xludf.DUMMYFUNCTION("""COMPUTED_VALUE"""),"Avg Fill Price (Base)")</f>
        <v>Avg Fill Price (Base)</v>
      </c>
      <c r="C5" s="34" t="str">
        <f>IFERROR(__xludf.DUMMYFUNCTION("""COMPUTED_VALUE"""),"Transaction Time")</f>
        <v>Transaction Time</v>
      </c>
      <c r="D5" s="34" t="str">
        <f>IFERROR(__xludf.DUMMYFUNCTION("""COMPUTED_VALUE"""),"Symbol")</f>
        <v>Symbol</v>
      </c>
      <c r="E5" s="34" t="str">
        <f>IFERROR(__xludf.DUMMYFUNCTION("""COMPUTED_VALUE"""),"Algo")</f>
        <v>Algo</v>
      </c>
      <c r="F5" s="35" t="str">
        <f>IFERROR(__xludf.DUMMYFUNCTION("""COMPUTED_VALUE"""),"Side")</f>
        <v>Side</v>
      </c>
      <c r="G5" s="34" t="str">
        <f>IFERROR(__xludf.DUMMYFUNCTION("""COMPUTED_VALUE"""),"Status")</f>
        <v>Status</v>
      </c>
      <c r="H5" s="34" t="str">
        <f>IFERROR(__xludf.DUMMYFUNCTION("""COMPUTED_VALUE"""),"Target Qty")</f>
        <v>Target Qty</v>
      </c>
      <c r="I5" s="34" t="str">
        <f>IFERROR(__xludf.DUMMYFUNCTION("""COMPUTED_VALUE"""),"Total Executed Qty")</f>
        <v>Total Executed Qty</v>
      </c>
      <c r="J5" s="34" t="str">
        <f>IFERROR(__xludf.DUMMYFUNCTION("""COMPUTED_VALUE"""),"% Executed")</f>
        <v>% Executed</v>
      </c>
      <c r="K5" s="34" t="str">
        <f>IFERROR(__xludf.DUMMYFUNCTION("""COMPUTED_VALUE"""),"Day Executed Qty")</f>
        <v>Day Executed Qty</v>
      </c>
      <c r="L5" s="34" t="str">
        <f>IFERROR(__xludf.DUMMYFUNCTION("""COMPUTED_VALUE"""),"Uncommitted Qty")</f>
        <v>Uncommitted Qty</v>
      </c>
      <c r="M5" s="34" t="str">
        <f>IFERROR(__xludf.DUMMYFUNCTION("""COMPUTED_VALUE"""),"Limit Price")</f>
        <v>Limit Price</v>
      </c>
      <c r="N5" s="34" t="str">
        <f>IFERROR(__xludf.DUMMYFUNCTION("""COMPUTED_VALUE"""),"Last Fill Price (Local)")</f>
        <v>Last Fill Price (Local)</v>
      </c>
      <c r="O5" s="34" t="str">
        <f>IFERROR(__xludf.DUMMYFUNCTION("""COMPUTED_VALUE"""),"Stop Price")</f>
        <v>Stop Price</v>
      </c>
      <c r="P5" s="34" t="str">
        <f>IFERROR(__xludf.DUMMYFUNCTION("""COMPUTED_VALUE"""),"Avg Fill Price (Local)")</f>
        <v>Avg Fill Price (Local)</v>
      </c>
      <c r="Q5" s="34" t="str">
        <f>IFERROR(__xludf.DUMMYFUNCTION("""COMPUTED_VALUE"""),"Broker")</f>
        <v>Broker</v>
      </c>
      <c r="R5" s="34" t="str">
        <f>IFERROR(__xludf.DUMMYFUNCTION("""COMPUTED_VALUE"""),"Account")</f>
        <v>Account</v>
      </c>
      <c r="S5" s="34" t="str">
        <f>IFERROR(__xludf.DUMMYFUNCTION("""COMPUTED_VALUE"""),"OrderID")</f>
        <v>OrderID</v>
      </c>
      <c r="T5" s="32" t="str">
        <f>IFERROR(__xludf.DUMMYFUNCTION("""COMPUTED_VALUE"""),"Order Type")</f>
        <v>Order Type</v>
      </c>
      <c r="U5" s="32" t="str">
        <f>IFERROR(__xludf.DUMMYFUNCTION("""COMPUTED_VALUE"""),"Principal Amount (Local)")</f>
        <v>Principal Amount (Local)</v>
      </c>
      <c r="V5" s="32" t="str">
        <f>IFERROR(__xludf.DUMMYFUNCTION("""COMPUTED_VALUE"""),"Principal Amount (Base)")</f>
        <v>Principal Amount (Base)</v>
      </c>
      <c r="W5" s="32" t="str">
        <f>IFERROR(__xludf.DUMMYFUNCTION("""COMPUTED_VALUE"""),"Peg")</f>
        <v>Peg</v>
      </c>
      <c r="X5" s="32" t="str">
        <f>IFERROR(__xludf.DUMMYFUNCTION("""COMPUTED_VALUE"""),"ParentClOrderID")</f>
        <v>ParentClOrderID</v>
      </c>
      <c r="Y5" s="32" t="str">
        <f>IFERROR(__xludf.DUMMYFUNCTION("""COMPUTED_VALUE"""),"Strike Price")</f>
        <v>Strike Price</v>
      </c>
      <c r="Z5" s="32" t="str">
        <f>IFERROR(__xludf.DUMMYFUNCTION("""COMPUTED_VALUE"""),"Last Shares")</f>
        <v>Last Shares</v>
      </c>
      <c r="AA5" s="32" t="str">
        <f>IFERROR(__xludf.DUMMYFUNCTION("""COMPUTED_VALUE"""),"Working Qty")</f>
        <v>Working Qty</v>
      </c>
      <c r="AB5" s="32" t="str">
        <f>IFERROR(__xludf.DUMMYFUNCTION("""COMPUTED_VALUE"""),"Bloomberg Symbol")</f>
        <v>Bloomberg Symbol</v>
      </c>
      <c r="AC5" s="32" t="str">
        <f>IFERROR(__xludf.DUMMYFUNCTION("""COMPUTED_VALUE"""),"Imported File Name")</f>
        <v>Imported File Name</v>
      </c>
      <c r="AD5" s="32" t="str">
        <f>IFERROR(__xludf.DUMMYFUNCTION("""COMPUTED_VALUE"""),"Master Fund")</f>
        <v>Master Fund</v>
      </c>
      <c r="AE5" s="32" t="str">
        <f>IFERROR(__xludf.DUMMYFUNCTION("""COMPUTED_VALUE"""),"Day Average Price")</f>
        <v>Day Average Price</v>
      </c>
      <c r="AF5" s="32" t="str">
        <f>IFERROR(__xludf.DUMMYFUNCTION("""COMPUTED_VALUE"""),"Asset Class")</f>
        <v>Asset Class</v>
      </c>
      <c r="AG5" s="32" t="str">
        <f>IFERROR(__xludf.DUMMYFUNCTION("""COMPUTED_VALUE"""),"Underlying Country")</f>
        <v>Underlying Country</v>
      </c>
      <c r="AH5" s="32" t="str">
        <f>IFERROR(__xludf.DUMMYFUNCTION("""COMPUTED_VALUE"""),"Trader")</f>
        <v>Trader</v>
      </c>
      <c r="AI5" s="32" t="str">
        <f>IFERROR(__xludf.DUMMYFUNCTION("""COMPUTED_VALUE"""),"User")</f>
        <v>User</v>
      </c>
      <c r="AJ5" s="32" t="str">
        <f>IFERROR(__xludf.DUMMYFUNCTION("""COMPUTED_VALUE"""),"Venue")</f>
        <v>Venue</v>
      </c>
      <c r="AK5" s="32" t="str">
        <f>IFERROR(__xludf.DUMMYFUNCTION("""COMPUTED_VALUE"""),"Settlement Currency")</f>
        <v>Settlement Currency</v>
      </c>
      <c r="AL5" s="32" t="str">
        <f>IFERROR(__xludf.DUMMYFUNCTION("""COMPUTED_VALUE"""),"FX Conversion Operator")</f>
        <v>FX Conversion Operator</v>
      </c>
      <c r="AM5" s="32" t="str">
        <f>IFERROR(__xludf.DUMMYFUNCTION("""COMPUTED_VALUE"""),"Process Date")</f>
        <v>Process Date</v>
      </c>
      <c r="AN5" s="32" t="str">
        <f>IFERROR(__xludf.DUMMYFUNCTION("""COMPUTED_VALUE"""),"Underlying Symbol")</f>
        <v>Underlying Symbol</v>
      </c>
      <c r="AO5" s="32" t="str">
        <f>IFERROR(__xludf.DUMMYFUNCTION("""COMPUTED_VALUE"""),"Put/Call")</f>
        <v>Put/Call</v>
      </c>
      <c r="AP5" s="32" t="str">
        <f>IFERROR(__xludf.DUMMYFUNCTION("""COMPUTED_VALUE"""),"FX Rate")</f>
        <v>FX Rate</v>
      </c>
      <c r="AQ5" s="32" t="str">
        <f>IFERROR(__xludf.DUMMYFUNCTION("""COMPUTED_VALUE"""),"Trade Attribute 1")</f>
        <v>Trade Attribute 1</v>
      </c>
      <c r="AR5" s="32" t="str">
        <f>IFERROR(__xludf.DUMMYFUNCTION("""COMPUTED_VALUE"""),"Trade Attribute 2")</f>
        <v>Trade Attribute 2</v>
      </c>
      <c r="AS5" s="32" t="str">
        <f>IFERROR(__xludf.DUMMYFUNCTION("""COMPUTED_VALUE"""),"Trade Attribute 3")</f>
        <v>Trade Attribute 3</v>
      </c>
      <c r="AT5" s="32" t="str">
        <f>IFERROR(__xludf.DUMMYFUNCTION("""COMPUTED_VALUE"""),"Trade Attribute 4")</f>
        <v>Trade Attribute 4</v>
      </c>
      <c r="AU5" s="32" t="str">
        <f>IFERROR(__xludf.DUMMYFUNCTION("""COMPUTED_VALUE"""),"Trade Attribute 5")</f>
        <v>Trade Attribute 5</v>
      </c>
      <c r="AV5" s="32" t="str">
        <f>IFERROR(__xludf.DUMMYFUNCTION("""COMPUTED_VALUE"""),"Trade Attribute 6")</f>
        <v>Trade Attribute 6</v>
      </c>
      <c r="AW5" s="32" t="str">
        <f>IFERROR(__xludf.DUMMYFUNCTION("""COMPUTED_VALUE"""),"Internal Comments")</f>
        <v>Internal Comments</v>
      </c>
      <c r="AX5" s="32" t="str">
        <f>IFERROR(__xludf.DUMMYFUNCTION("""COMPUTED_VALUE"""),"Allocation Scheme Name")</f>
        <v>Allocation Scheme Name</v>
      </c>
      <c r="AY5" s="32" t="str">
        <f>IFERROR(__xludf.DUMMYFUNCTION("""COMPUTED_VALUE"""),"Start of Day Qty")</f>
        <v>Start of Day Qty</v>
      </c>
      <c r="AZ5" s="32" t="str">
        <f>IFERROR(__xludf.DUMMYFUNCTION("""COMPUTED_VALUE"""),"Leaves")</f>
        <v>Leaves</v>
      </c>
      <c r="BA5" s="32" t="str">
        <f>IFERROR(__xludf.DUMMYFUNCTION("""COMPUTED_VALUE"""),"CheckBox")</f>
        <v>CheckBox</v>
      </c>
      <c r="BB5" s="32" t="str">
        <f>IFERROR(__xludf.DUMMYFUNCTION("""COMPUTED_VALUE"""),"Action on toolbar")</f>
        <v>Action on toolbar</v>
      </c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8"/>
      <c r="D6" s="13" t="s">
        <v>49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IFERROR(__xludf.DUMMYFUNCTION("""COMPUTED_VALUE"""),"PreferenceName")</f>
        <v>PreferenceName</v>
      </c>
      <c r="C5" s="34" t="str">
        <f>IFERROR(__xludf.DUMMYFUNCTION("""COMPUTED_VALUE"""),"Account")</f>
        <v>Account</v>
      </c>
      <c r="D5" s="34" t="str">
        <f>IFERROR(__xludf.DUMMYFUNCTION("""COMPUTED_VALUE"""),"Target Allocation Percentage")</f>
        <v>Target Allocation Percentage</v>
      </c>
      <c r="E5" s="34" t="str">
        <f>IFERROR(__xludf.DUMMYFUNCTION("""COMPUTED_VALUE"""),"TargetAllocationQuantity")</f>
        <v>TargetAllocationQuantity</v>
      </c>
      <c r="F5" s="35" t="str">
        <f>IFERROR(__xludf.DUMMYFUNCTION("""COMPUTED_VALUE"""),"ViewAllocationVerfication")</f>
        <v>ViewAllocationVerfication</v>
      </c>
      <c r="G5" s="34" t="str">
        <f>IFERROR(__xludf.DUMMYFUNCTION("""COMPUTED_VALUE"""),"RESET")</f>
        <v>RESET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 t="s">
        <v>61</v>
      </c>
      <c r="D6" s="1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IFERROR(__xludf.DUMMYFUNCTION("""COMPUTED_VALUE"""),"Avg Fill Price (Base)")</f>
        <v>Avg Fill Price (Base)</v>
      </c>
      <c r="C5" s="34" t="str">
        <f>IFERROR(__xludf.DUMMYFUNCTION("""COMPUTED_VALUE"""),"Transaction Time")</f>
        <v>Transaction Time</v>
      </c>
      <c r="D5" s="34" t="str">
        <f>IFERROR(__xludf.DUMMYFUNCTION("""COMPUTED_VALUE"""),"Symbol")</f>
        <v>Symbol</v>
      </c>
      <c r="E5" s="34" t="str">
        <f>IFERROR(__xludf.DUMMYFUNCTION("""COMPUTED_VALUE"""),"Algo")</f>
        <v>Algo</v>
      </c>
      <c r="F5" s="35" t="str">
        <f>IFERROR(__xludf.DUMMYFUNCTION("""COMPUTED_VALUE"""),"Side")</f>
        <v>Side</v>
      </c>
      <c r="G5" s="34" t="str">
        <f>IFERROR(__xludf.DUMMYFUNCTION("""COMPUTED_VALUE"""),"Status")</f>
        <v>Status</v>
      </c>
      <c r="H5" s="34" t="str">
        <f>IFERROR(__xludf.DUMMYFUNCTION("""COMPUTED_VALUE"""),"Target Qty")</f>
        <v>Target Qty</v>
      </c>
      <c r="I5" s="34" t="str">
        <f>IFERROR(__xludf.DUMMYFUNCTION("""COMPUTED_VALUE"""),"Total Executed Qty")</f>
        <v>Total Executed Qty</v>
      </c>
      <c r="J5" s="34" t="str">
        <f>IFERROR(__xludf.DUMMYFUNCTION("""COMPUTED_VALUE"""),"% Executed")</f>
        <v>% Executed</v>
      </c>
      <c r="K5" s="34" t="str">
        <f>IFERROR(__xludf.DUMMYFUNCTION("""COMPUTED_VALUE"""),"Day Executed Qty")</f>
        <v>Day Executed Qty</v>
      </c>
      <c r="L5" s="34" t="str">
        <f>IFERROR(__xludf.DUMMYFUNCTION("""COMPUTED_VALUE"""),"Uncommitted Qty")</f>
        <v>Uncommitted Qty</v>
      </c>
      <c r="M5" s="34" t="str">
        <f>IFERROR(__xludf.DUMMYFUNCTION("""COMPUTED_VALUE"""),"Limit Price")</f>
        <v>Limit Price</v>
      </c>
      <c r="N5" s="34" t="str">
        <f>IFERROR(__xludf.DUMMYFUNCTION("""COMPUTED_VALUE"""),"Last Fill Price (Local)")</f>
        <v>Last Fill Price (Local)</v>
      </c>
      <c r="O5" s="34" t="str">
        <f>IFERROR(__xludf.DUMMYFUNCTION("""COMPUTED_VALUE"""),"Stop Price")</f>
        <v>Stop Price</v>
      </c>
      <c r="P5" s="34" t="str">
        <f>IFERROR(__xludf.DUMMYFUNCTION("""COMPUTED_VALUE"""),"Avg Fill Price (Local)")</f>
        <v>Avg Fill Price (Local)</v>
      </c>
      <c r="Q5" s="34" t="str">
        <f>IFERROR(__xludf.DUMMYFUNCTION("""COMPUTED_VALUE"""),"Broker")</f>
        <v>Broker</v>
      </c>
      <c r="R5" s="34" t="str">
        <f>IFERROR(__xludf.DUMMYFUNCTION("""COMPUTED_VALUE"""),"Account")</f>
        <v>Account</v>
      </c>
      <c r="S5" s="34" t="str">
        <f>IFERROR(__xludf.DUMMYFUNCTION("""COMPUTED_VALUE"""),"OrderID")</f>
        <v>OrderID</v>
      </c>
      <c r="T5" s="32" t="str">
        <f>IFERROR(__xludf.DUMMYFUNCTION("""COMPUTED_VALUE"""),"Order Type")</f>
        <v>Order Type</v>
      </c>
      <c r="U5" s="32" t="str">
        <f>IFERROR(__xludf.DUMMYFUNCTION("""COMPUTED_VALUE"""),"Principal Amount (Local)")</f>
        <v>Principal Amount (Local)</v>
      </c>
      <c r="V5" s="32" t="str">
        <f>IFERROR(__xludf.DUMMYFUNCTION("""COMPUTED_VALUE"""),"Principal Amount (Base)")</f>
        <v>Principal Amount (Base)</v>
      </c>
      <c r="W5" s="32" t="str">
        <f>IFERROR(__xludf.DUMMYFUNCTION("""COMPUTED_VALUE"""),"Peg")</f>
        <v>Peg</v>
      </c>
      <c r="X5" s="32" t="str">
        <f>IFERROR(__xludf.DUMMYFUNCTION("""COMPUTED_VALUE"""),"ParentClOrderID")</f>
        <v>ParentClOrderID</v>
      </c>
      <c r="Y5" s="32" t="str">
        <f>IFERROR(__xludf.DUMMYFUNCTION("""COMPUTED_VALUE"""),"Strike Price")</f>
        <v>Strike Price</v>
      </c>
      <c r="Z5" s="32" t="str">
        <f>IFERROR(__xludf.DUMMYFUNCTION("""COMPUTED_VALUE"""),"Last Shares")</f>
        <v>Last Shares</v>
      </c>
      <c r="AA5" s="32" t="str">
        <f>IFERROR(__xludf.DUMMYFUNCTION("""COMPUTED_VALUE"""),"Working Qty")</f>
        <v>Working Qty</v>
      </c>
      <c r="AB5" s="32" t="str">
        <f>IFERROR(__xludf.DUMMYFUNCTION("""COMPUTED_VALUE"""),"Bloomberg Symbol")</f>
        <v>Bloomberg Symbol</v>
      </c>
      <c r="AC5" s="32" t="str">
        <f>IFERROR(__xludf.DUMMYFUNCTION("""COMPUTED_VALUE"""),"Imported File Name")</f>
        <v>Imported File Name</v>
      </c>
      <c r="AD5" s="32" t="str">
        <f>IFERROR(__xludf.DUMMYFUNCTION("""COMPUTED_VALUE"""),"Master Fund")</f>
        <v>Master Fund</v>
      </c>
      <c r="AE5" s="32" t="str">
        <f>IFERROR(__xludf.DUMMYFUNCTION("""COMPUTED_VALUE"""),"Day Average Price")</f>
        <v>Day Average Price</v>
      </c>
      <c r="AF5" s="32" t="str">
        <f>IFERROR(__xludf.DUMMYFUNCTION("""COMPUTED_VALUE"""),"Asset Class")</f>
        <v>Asset Class</v>
      </c>
      <c r="AG5" s="32" t="str">
        <f>IFERROR(__xludf.DUMMYFUNCTION("""COMPUTED_VALUE"""),"Underlying Country")</f>
        <v>Underlying Country</v>
      </c>
      <c r="AH5" s="32" t="str">
        <f>IFERROR(__xludf.DUMMYFUNCTION("""COMPUTED_VALUE"""),"Trader")</f>
        <v>Trader</v>
      </c>
      <c r="AI5" s="32" t="str">
        <f>IFERROR(__xludf.DUMMYFUNCTION("""COMPUTED_VALUE"""),"User")</f>
        <v>User</v>
      </c>
      <c r="AJ5" s="32" t="str">
        <f>IFERROR(__xludf.DUMMYFUNCTION("""COMPUTED_VALUE"""),"Venue")</f>
        <v>Venue</v>
      </c>
      <c r="AK5" s="32" t="str">
        <f>IFERROR(__xludf.DUMMYFUNCTION("""COMPUTED_VALUE"""),"Settlement Currency")</f>
        <v>Settlement Currency</v>
      </c>
      <c r="AL5" s="32" t="str">
        <f>IFERROR(__xludf.DUMMYFUNCTION("""COMPUTED_VALUE"""),"FX Conversion Operator")</f>
        <v>FX Conversion Operator</v>
      </c>
      <c r="AM5" s="32" t="str">
        <f>IFERROR(__xludf.DUMMYFUNCTION("""COMPUTED_VALUE"""),"Process Date")</f>
        <v>Process Date</v>
      </c>
      <c r="AN5" s="32" t="str">
        <f>IFERROR(__xludf.DUMMYFUNCTION("""COMPUTED_VALUE"""),"Underlying Symbol")</f>
        <v>Underlying Symbol</v>
      </c>
      <c r="AO5" s="32" t="str">
        <f>IFERROR(__xludf.DUMMYFUNCTION("""COMPUTED_VALUE"""),"Put/Call")</f>
        <v>Put/Call</v>
      </c>
      <c r="AP5" s="32" t="str">
        <f>IFERROR(__xludf.DUMMYFUNCTION("""COMPUTED_VALUE"""),"FX Rate")</f>
        <v>FX Rate</v>
      </c>
      <c r="AQ5" s="32" t="str">
        <f>IFERROR(__xludf.DUMMYFUNCTION("""COMPUTED_VALUE"""),"Trade Attribute 1")</f>
        <v>Trade Attribute 1</v>
      </c>
      <c r="AR5" s="32" t="str">
        <f>IFERROR(__xludf.DUMMYFUNCTION("""COMPUTED_VALUE"""),"Trade Attribute 2")</f>
        <v>Trade Attribute 2</v>
      </c>
      <c r="AS5" s="32" t="str">
        <f>IFERROR(__xludf.DUMMYFUNCTION("""COMPUTED_VALUE"""),"Trade Attribute 3")</f>
        <v>Trade Attribute 3</v>
      </c>
      <c r="AT5" s="32" t="str">
        <f>IFERROR(__xludf.DUMMYFUNCTION("""COMPUTED_VALUE"""),"Trade Attribute 4")</f>
        <v>Trade Attribute 4</v>
      </c>
      <c r="AU5" s="32" t="str">
        <f>IFERROR(__xludf.DUMMYFUNCTION("""COMPUTED_VALUE"""),"Trade Attribute 5")</f>
        <v>Trade Attribute 5</v>
      </c>
      <c r="AV5" s="32" t="str">
        <f>IFERROR(__xludf.DUMMYFUNCTION("""COMPUTED_VALUE"""),"Trade Attribute 6")</f>
        <v>Trade Attribute 6</v>
      </c>
      <c r="AW5" s="32" t="str">
        <f>IFERROR(__xludf.DUMMYFUNCTION("""COMPUTED_VALUE"""),"Internal Comments")</f>
        <v>Internal Comments</v>
      </c>
      <c r="AX5" s="32" t="str">
        <f>IFERROR(__xludf.DUMMYFUNCTION("""COMPUTED_VALUE"""),"Allocation Scheme Name")</f>
        <v>Allocation Scheme Name</v>
      </c>
      <c r="AY5" s="32" t="str">
        <f>IFERROR(__xludf.DUMMYFUNCTION("""COMPUTED_VALUE"""),"Start of Day Qty")</f>
        <v>Start of Day Qty</v>
      </c>
      <c r="AZ5" s="32" t="str">
        <f>IFERROR(__xludf.DUMMYFUNCTION("""COMPUTED_VALUE"""),"Leaves")</f>
        <v>Leaves</v>
      </c>
      <c r="BA5" s="32" t="str">
        <f>IFERROR(__xludf.DUMMYFUNCTION("""COMPUTED_VALUE"""),"CheckBox")</f>
        <v>CheckBox</v>
      </c>
      <c r="BB5" s="32" t="str">
        <f>IFERROR(__xludf.DUMMYFUNCTION("""COMPUTED_VALUE"""),"Action on toolbar")</f>
        <v>Action on toolbar</v>
      </c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8"/>
      <c r="D6" s="13" t="s">
        <v>53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IFERROR(__xludf.DUMMYFUNCTION("""COMPUTED_VALUE"""),"Account Name")</f>
        <v>Account Name</v>
      </c>
      <c r="C5" s="34" t="str">
        <f>IFERROR(__xludf.DUMMYFUNCTION("""COMPUTED_VALUE"""),"Accrual Basis")</f>
        <v>Accrual Basis</v>
      </c>
      <c r="D5" s="34" t="str">
        <f>IFERROR(__xludf.DUMMYFUNCTION("""COMPUTED_VALUE"""),"Accrued Interest")</f>
        <v>Accrued Interest</v>
      </c>
      <c r="E5" s="34" t="str">
        <f>IFERROR(__xludf.DUMMYFUNCTION("""COMPUTED_VALUE"""),"Allocated Qty")</f>
        <v>Allocated Qty</v>
      </c>
      <c r="F5" s="35" t="str">
        <f>IFERROR(__xludf.DUMMYFUNCTION("""COMPUTED_VALUE"""),"Allocation Scheme Name")</f>
        <v>Allocation Scheme Name</v>
      </c>
      <c r="G5" s="34" t="str">
        <f>IFERROR(__xludf.DUMMYFUNCTION("""COMPUTED_VALUE"""),"Asset Category")</f>
        <v>Asset Category</v>
      </c>
      <c r="H5" s="34" t="str">
        <f>IFERROR(__xludf.DUMMYFUNCTION("""COMPUTED_VALUE"""),"AUEC Fee1")</f>
        <v>AUEC Fee1</v>
      </c>
      <c r="I5" s="34" t="str">
        <f>IFERROR(__xludf.DUMMYFUNCTION("""COMPUTED_VALUE"""),"AUEC Fee2")</f>
        <v>AUEC Fee2</v>
      </c>
      <c r="J5" s="34" t="str">
        <f>IFERROR(__xludf.DUMMYFUNCTION("""COMPUTED_VALUE"""),"AUECID")</f>
        <v>AUECID</v>
      </c>
      <c r="K5" s="34" t="str">
        <f>IFERROR(__xludf.DUMMYFUNCTION("""COMPUTED_VALUE"""),"Avg Price(Base)")</f>
        <v>Avg Price(Base)</v>
      </c>
      <c r="L5" s="34" t="str">
        <f>IFERROR(__xludf.DUMMYFUNCTION("""COMPUTED_VALUE"""),"Avg Price(Local)")</f>
        <v>Avg Price(Local)</v>
      </c>
      <c r="M5" s="34" t="str">
        <f>IFERROR(__xludf.DUMMYFUNCTION("""COMPUTED_VALUE"""),"Bloomberg")</f>
        <v>Bloomberg</v>
      </c>
      <c r="N5" s="34" t="str">
        <f>IFERROR(__xludf.DUMMYFUNCTION("""COMPUTED_VALUE"""),"Bond Type")</f>
        <v>Bond Type</v>
      </c>
      <c r="O5" s="34" t="str">
        <f>IFERROR(__xludf.DUMMYFUNCTION("""COMPUTED_VALUE"""),"Broker")</f>
        <v>Broker</v>
      </c>
      <c r="P5" s="34" t="str">
        <f>IFERROR(__xludf.DUMMYFUNCTION("""COMPUTED_VALUE"""),"Change Comment")</f>
        <v>Change Comment</v>
      </c>
      <c r="Q5" s="34" t="str">
        <f>IFERROR(__xludf.DUMMYFUNCTION("""COMPUTED_VALUE"""),"Change Type")</f>
        <v>Change Type</v>
      </c>
      <c r="R5" s="34" t="str">
        <f>IFERROR(__xludf.DUMMYFUNCTION("""COMPUTED_VALUE"""),"Clearing Broker Fee")</f>
        <v>Clearing Broker Fee</v>
      </c>
      <c r="S5" s="34" t="str">
        <f>IFERROR(__xludf.DUMMYFUNCTION("""COMPUTED_VALUE"""),"Closing Status")</f>
        <v>Closing Status</v>
      </c>
      <c r="T5" s="32" t="str">
        <f>IFERROR(__xludf.DUMMYFUNCTION("""COMPUTED_VALUE"""),"Commission")</f>
        <v>Commission</v>
      </c>
      <c r="U5" s="32" t="str">
        <f>IFERROR(__xludf.DUMMYFUNCTION("""COMPUTED_VALUE"""),"Commission Per Share")</f>
        <v>Commission Per Share</v>
      </c>
      <c r="V5" s="32" t="str">
        <f>IFERROR(__xludf.DUMMYFUNCTION("""COMPUTED_VALUE"""),"Company")</f>
        <v>Company</v>
      </c>
      <c r="W5" s="32" t="str">
        <f>IFERROR(__xludf.DUMMYFUNCTION("""COMPUTED_VALUE"""),"Contract Multiplier")</f>
        <v>Contract Multiplier</v>
      </c>
      <c r="X5" s="32" t="str">
        <f>IFERROR(__xludf.DUMMYFUNCTION("""COMPUTED_VALUE"""),"Coupon Rate")</f>
        <v>Coupon Rate</v>
      </c>
      <c r="Y5" s="32" t="str">
        <f>IFERROR(__xludf.DUMMYFUNCTION("""COMPUTED_VALUE"""),"Cum Qty For Sub Order")</f>
        <v>Cum Qty For Sub Order</v>
      </c>
      <c r="Z5" s="32" t="str">
        <f>IFERROR(__xludf.DUMMYFUNCTION("""COMPUTED_VALUE"""),"Currency")</f>
        <v>Currency</v>
      </c>
      <c r="AA5" s="32" t="str">
        <f>IFERROR(__xludf.DUMMYFUNCTION("""COMPUTED_VALUE"""),"Cusip Symbol")</f>
        <v>Cusip Symbol</v>
      </c>
      <c r="AB5" s="32" t="str">
        <f>IFERROR(__xludf.DUMMYFUNCTION("""COMPUTED_VALUE"""),"Delta")</f>
        <v>Delta</v>
      </c>
      <c r="AC5" s="32" t="str">
        <f>IFERROR(__xludf.DUMMYFUNCTION("""COMPUTED_VALUE"""),"Description")</f>
        <v>Description</v>
      </c>
      <c r="AD5" s="32" t="str">
        <f>IFERROR(__xludf.DUMMYFUNCTION("""COMPUTED_VALUE"""),"Exchange")</f>
        <v>Exchange</v>
      </c>
      <c r="AE5" s="32" t="str">
        <f>IFERROR(__xludf.DUMMYFUNCTION("""COMPUTED_VALUE"""),"Executed Qty")</f>
        <v>Executed Qty</v>
      </c>
      <c r="AF5" s="32" t="str">
        <f>IFERROR(__xludf.DUMMYFUNCTION("""COMPUTED_VALUE"""),"Exceution Time")</f>
        <v>Exceution Time</v>
      </c>
      <c r="AG5" s="32" t="str">
        <f>IFERROR(__xludf.DUMMYFUNCTION("""COMPUTED_VALUE"""),"Expiration Date")</f>
        <v>Expiration Date</v>
      </c>
      <c r="AH5" s="32" t="str">
        <f>IFERROR(__xludf.DUMMYFUNCTION("""COMPUTED_VALUE"""),"FX Conversion Operator")</f>
        <v>FX Conversion Operator</v>
      </c>
      <c r="AI5" s="32" t="str">
        <f>IFERROR(__xludf.DUMMYFUNCTION("""COMPUTED_VALUE"""),"FX Rate")</f>
        <v>FX Rate</v>
      </c>
      <c r="AJ5" s="32" t="str">
        <f>IFERROR(__xludf.DUMMYFUNCTION("""COMPUTED_VALUE"""),"Group Status")</f>
        <v>Group Status</v>
      </c>
      <c r="AK5" s="32" t="str">
        <f>IFERROR(__xludf.DUMMYFUNCTION("""COMPUTED_VALUE"""),"IDCOSymbol")</f>
        <v>IDCOSymbol</v>
      </c>
      <c r="AL5" s="32" t="str">
        <f>IFERROR(__xludf.DUMMYFUNCTION("""COMPUTED_VALUE"""),"Import File Name")</f>
        <v>Import File Name</v>
      </c>
      <c r="AM5" s="32" t="str">
        <f>IFERROR(__xludf.DUMMYFUNCTION("""COMPUTED_VALUE"""),"Internal Comments")</f>
        <v>Internal Comments</v>
      </c>
      <c r="AN5" s="32" t="str">
        <f>IFERROR(__xludf.DUMMYFUNCTION("""COMPUTED_VALUE"""),"IsAnotherTaxlotAttributesUpdated")</f>
        <v>IsAnotherTaxlotAttributesUpdated</v>
      </c>
      <c r="AO5" s="32" t="str">
        <f>IFERROR(__xludf.DUMMYFUNCTION("""COMPUTED_VALUE"""),"ISIN")</f>
        <v>ISIN</v>
      </c>
      <c r="AP5" s="32" t="str">
        <f>IFERROR(__xludf.DUMMYFUNCTION("""COMPUTED_VALUE"""),"IsManual Group")</f>
        <v>IsManual Group</v>
      </c>
      <c r="AQ5" s="32" t="str">
        <f>IFERROR(__xludf.DUMMYFUNCTION("""COMPUTED_VALUE"""),"ISNDF")</f>
        <v>ISNDF</v>
      </c>
      <c r="AR5" s="32" t="str">
        <f>IFERROR(__xludf.DUMMYFUNCTION("""COMPUTED_VALUE"""),"IsPreAllocated")</f>
        <v>IsPreAllocated</v>
      </c>
      <c r="AS5" s="32" t="str">
        <f>IFERROR(__xludf.DUMMYFUNCTION("""COMPUTED_VALUE"""),"M2MProfitLoss")</f>
        <v>M2MProfitLoss</v>
      </c>
      <c r="AT5" s="32" t="str">
        <f>IFERROR(__xludf.DUMMYFUNCTION("""COMPUTED_VALUE"""),"Net Amount( Base)")</f>
        <v>Net Amount( Base)</v>
      </c>
      <c r="AU5" s="32" t="str">
        <f>IFERROR(__xludf.DUMMYFUNCTION("""COMPUTED_VALUE"""),"Net Amount( Local)")</f>
        <v>Net Amount( Local)</v>
      </c>
      <c r="AV5" s="32" t="str">
        <f>IFERROR(__xludf.DUMMYFUNCTION("""COMPUTED_VALUE"""),"Nirvana Process Date")</f>
        <v>Nirvana Process Date</v>
      </c>
      <c r="AW5" s="32" t="str">
        <f>IFERROR(__xludf.DUMMYFUNCTION("""COMPUTED_VALUE"""),"OCC Fee")</f>
        <v>OCC Fee</v>
      </c>
      <c r="AX5" s="32" t="str">
        <f>IFERROR(__xludf.DUMMYFUNCTION("""COMPUTED_VALUE"""),"Option Premium Adjustment")</f>
        <v>Option Premium Adjustment</v>
      </c>
      <c r="AY5" s="32" t="str">
        <f>IFERROR(__xludf.DUMMYFUNCTION("""COMPUTED_VALUE"""),"Order Type")</f>
        <v>Order Type</v>
      </c>
      <c r="AZ5" s="32" t="str">
        <f>IFERROR(__xludf.DUMMYFUNCTION("""COMPUTED_VALUE"""),"ORF Fee")</f>
        <v>ORF Fee</v>
      </c>
      <c r="BA5" s="32" t="str">
        <f>IFERROR(__xludf.DUMMYFUNCTION("""COMPUTED_VALUE"""),"Original Purchase Date")</f>
        <v>Original Purchase Date</v>
      </c>
      <c r="BB5" s="32" t="str">
        <f>IFERROR(__xludf.DUMMYFUNCTION("""COMPUTED_VALUE"""),"OSISSymbol")</f>
        <v>OSISSymbol</v>
      </c>
      <c r="BC5" s="32" t="str">
        <f>IFERROR(__xludf.DUMMYFUNCTION("""COMPUTED_VALUE"""),"Other Broker Fees")</f>
        <v>Other Broker Fees</v>
      </c>
      <c r="BD5" s="32" t="str">
        <f>IFERROR(__xludf.DUMMYFUNCTION("""COMPUTED_VALUE"""),"Prana Msg Type")</f>
        <v>Prana Msg Type</v>
      </c>
      <c r="BE5" s="32" t="str">
        <f>IFERROR(__xludf.DUMMYFUNCTION("""COMPUTED_VALUE"""),"Principal Amount( Base)")</f>
        <v>Principal Amount( Base)</v>
      </c>
      <c r="BF5" s="32" t="str">
        <f>IFERROR(__xludf.DUMMYFUNCTION("""COMPUTED_VALUE"""),"Principal Amount( Local)")</f>
        <v>Principal Amount( Local)</v>
      </c>
      <c r="BG5" s="32" t="str">
        <f>IFERROR(__xludf.DUMMYFUNCTION("""COMPUTED_VALUE"""),"Process Date")</f>
        <v>Process Date</v>
      </c>
      <c r="BH5" s="32" t="str">
        <f>IFERROR(__xludf.DUMMYFUNCTION("""COMPUTED_VALUE"""),"Proxy Symbol")</f>
        <v>Proxy Symbol</v>
      </c>
      <c r="BI5" s="32" t="str">
        <f>IFERROR(__xludf.DUMMYFUNCTION("""COMPUTED_VALUE"""),"Put Or Call")</f>
        <v>Put Or Call</v>
      </c>
      <c r="BJ5" s="32" t="str">
        <f>IFERROR(__xludf.DUMMYFUNCTION("""COMPUTED_VALUE"""),"Quantity")</f>
        <v>Quantity</v>
      </c>
      <c r="BK5" s="32" t="str">
        <f>IFERROR(__xludf.DUMMYFUNCTION("""COMPUTED_VALUE"""),"SEC Fee")</f>
        <v>SEC Fee</v>
      </c>
      <c r="BL5" s="32" t="str">
        <f>IFERROR(__xludf.DUMMYFUNCTION("""COMPUTED_VALUE"""),"Sedol Symbol")</f>
        <v>Sedol Symbol</v>
      </c>
      <c r="BM5" s="32" t="str">
        <f>IFERROR(__xludf.DUMMYFUNCTION("""COMPUTED_VALUE"""),"Settlement Currency")</f>
        <v>Settlement Currency</v>
      </c>
      <c r="BN5" s="32" t="str">
        <f>IFERROR(__xludf.DUMMYFUNCTION("""COMPUTED_VALUE"""),"Settlement Date")</f>
        <v>Settlement Date</v>
      </c>
      <c r="BO5" s="32" t="str">
        <f>IFERROR(__xludf.DUMMYFUNCTION("""COMPUTED_VALUE"""),"Side")</f>
        <v>Side</v>
      </c>
      <c r="BP5" s="32" t="str">
        <f>IFERROR(__xludf.DUMMYFUNCTION("""COMPUTED_VALUE"""),"Soft Commission")</f>
        <v>Soft Commission</v>
      </c>
      <c r="BQ5" s="32" t="str">
        <f>IFERROR(__xludf.DUMMYFUNCTION("""COMPUTED_VALUE"""),"Soft Commission Per Share")</f>
        <v>Soft Commission Per Share</v>
      </c>
      <c r="BR5" s="32" t="str">
        <f>IFERROR(__xludf.DUMMYFUNCTION("""COMPUTED_VALUE"""),"Stamp Duty")</f>
        <v>Stamp Duty</v>
      </c>
      <c r="BS5" s="32" t="str">
        <f>IFERROR(__xludf.DUMMYFUNCTION("""COMPUTED_VALUE"""),"Strategy Name")</f>
        <v>Strategy Name</v>
      </c>
      <c r="BT5" s="32" t="str">
        <f>IFERROR(__xludf.DUMMYFUNCTION("""COMPUTED_VALUE"""),"Symbol")</f>
        <v>Symbol</v>
      </c>
      <c r="BU5" s="32" t="str">
        <f>IFERROR(__xludf.DUMMYFUNCTION("""COMPUTED_VALUE"""),"Tax On Commissions")</f>
        <v>Tax On Commissions</v>
      </c>
      <c r="BV5" s="32" t="str">
        <f>IFERROR(__xludf.DUMMYFUNCTION("""COMPUTED_VALUE"""),"Total Commission")</f>
        <v>Total Commission</v>
      </c>
      <c r="BW5" s="32" t="str">
        <f>IFERROR(__xludf.DUMMYFUNCTION("""COMPUTED_VALUE"""),"Total Commission And Fee")</f>
        <v>Total Commission And Fee</v>
      </c>
      <c r="BX5" s="32" t="str">
        <f>IFERROR(__xludf.DUMMYFUNCTION("""COMPUTED_VALUE"""),"Total Commission Per Share")</f>
        <v>Total Commission Per Share</v>
      </c>
      <c r="BY5" s="32" t="str">
        <f>IFERROR(__xludf.DUMMYFUNCTION("""COMPUTED_VALUE"""),"Trade Attribute 1")</f>
        <v>Trade Attribute 1</v>
      </c>
      <c r="BZ5" s="32" t="str">
        <f>IFERROR(__xludf.DUMMYFUNCTION("""COMPUTED_VALUE"""),"Trade Attribute 2")</f>
        <v>Trade Attribute 2</v>
      </c>
      <c r="CA5" s="32" t="str">
        <f>IFERROR(__xludf.DUMMYFUNCTION("""COMPUTED_VALUE"""),"Trade Attribute 3")</f>
        <v>Trade Attribute 3</v>
      </c>
      <c r="CB5" s="32" t="str">
        <f>IFERROR(__xludf.DUMMYFUNCTION("""COMPUTED_VALUE"""),"Trade Attribute 4")</f>
        <v>Trade Attribute 4</v>
      </c>
      <c r="CC5" s="32" t="str">
        <f>IFERROR(__xludf.DUMMYFUNCTION("""COMPUTED_VALUE"""),"Trade Attribute 5")</f>
        <v>Trade Attribute 5</v>
      </c>
      <c r="CD5" s="32" t="str">
        <f>IFERROR(__xludf.DUMMYFUNCTION("""COMPUTED_VALUE"""),"Trade Attribute 6")</f>
        <v>Trade Attribute 6</v>
      </c>
      <c r="CE5" s="32" t="str">
        <f>IFERROR(__xludf.DUMMYFUNCTION("""COMPUTED_VALUE"""),"Trade Date")</f>
        <v>Trade Date</v>
      </c>
      <c r="CF5" s="32" t="str">
        <f>IFERROR(__xludf.DUMMYFUNCTION("""COMPUTED_VALUE"""),"Trading Account")</f>
        <v>Trading Account</v>
      </c>
      <c r="CG5" s="32" t="str">
        <f>IFERROR(__xludf.DUMMYFUNCTION("""COMPUTED_VALUE"""),"Transaction Levy")</f>
        <v>Transaction Levy</v>
      </c>
      <c r="CH5" s="32" t="str">
        <f>IFERROR(__xludf.DUMMYFUNCTION("""COMPUTED_VALUE"""),"Transaction Source")</f>
        <v>Transaction Source</v>
      </c>
      <c r="CI5" s="32" t="str">
        <f>IFERROR(__xludf.DUMMYFUNCTION("""COMPUTED_VALUE"""),"Transaction Type")</f>
        <v>Transaction Type</v>
      </c>
      <c r="CJ5" s="32" t="str">
        <f>IFERROR(__xludf.DUMMYFUNCTION("""COMPUTED_VALUE"""),"UnAllocatedQty")</f>
        <v>UnAllocatedQty</v>
      </c>
      <c r="CK5" s="32" t="str">
        <f>IFERROR(__xludf.DUMMYFUNCTION("""COMPUTED_VALUE"""),"Underlying")</f>
        <v>Underlying</v>
      </c>
      <c r="CL5" s="32" t="str">
        <f>IFERROR(__xludf.DUMMYFUNCTION("""COMPUTED_VALUE"""),"Underlying Delta")</f>
        <v>Underlying Delta</v>
      </c>
      <c r="CM5" s="32" t="str">
        <f>IFERROR(__xludf.DUMMYFUNCTION("""COMPUTED_VALUE"""),"Underlying Symbol")</f>
        <v>Underlying Symbol</v>
      </c>
      <c r="CN5" s="32" t="str">
        <f>IFERROR(__xludf.DUMMYFUNCTION("""COMPUTED_VALUE"""),"User")</f>
        <v>User</v>
      </c>
      <c r="CO5" s="32" t="str">
        <f>IFERROR(__xludf.DUMMYFUNCTION("""COMPUTED_VALUE"""),"Venue")</f>
        <v>Venue</v>
      </c>
      <c r="CP5" s="32" t="str">
        <f>IFERROR(__xludf.DUMMYFUNCTION("""COMPUTED_VALUE"""),"Closing Method")</f>
        <v>Closing Method</v>
      </c>
      <c r="CQ5" s="32" t="str">
        <f>IFERROR(__xludf.DUMMYFUNCTION("""COMPUTED_VALUE"""),"Closing Date")</f>
        <v>Closing Date</v>
      </c>
      <c r="CR5" s="32" t="str">
        <f>IFERROR(__xludf.DUMMYFUNCTION("""COMPUTED_VALUE"""),"GroupID")</f>
        <v>GroupID</v>
      </c>
      <c r="CS5" s="32" t="str">
        <f>IFERROR(__xludf.DUMMYFUNCTION("""COMPUTED_VALUE"""),"Client")</f>
        <v>Client</v>
      </c>
      <c r="CT5" s="32" t="str">
        <f>IFERROR(__xludf.DUMMYFUNCTION("""COMPUTED_VALUE"""),"Borrow Broker")</f>
        <v>Borrow Broker</v>
      </c>
      <c r="CU5" s="32" t="str">
        <f>IFERROR(__xludf.DUMMYFUNCTION("""COMPUTED_VALUE"""),"ACTIV Symbol")</f>
        <v>ACTIV Symbol</v>
      </c>
      <c r="CV5" s="32" t="str">
        <f>IFERROR(__xludf.DUMMYFUNCTION("""COMPUTED_VALUE"""),"Borrower Id")</f>
        <v>Borrower Id</v>
      </c>
      <c r="CW5" s="32" t="str">
        <f>IFERROR(__xludf.DUMMYFUNCTION("""COMPUTED_VALUE"""),"Borrow Rate(%)")</f>
        <v>Borrow Rate(%)</v>
      </c>
      <c r="CX5" s="32" t="str">
        <f>IFERROR(__xludf.DUMMYFUNCTION("""COMPUTED_VALUE"""),"Master Fund")</f>
        <v>Master Fund</v>
      </c>
      <c r="CY5" s="32" t="str">
        <f>IFERROR(__xludf.DUMMYFUNCTION("""COMPUTED_VALUE"""),"MandatoryColumn")</f>
        <v>MandatoryColumn</v>
      </c>
      <c r="CZ5" s="32" t="str">
        <f>IFERROR(__xludf.DUMMYFUNCTION("""COMPUTED_VALUE"""),"Testing Type")</f>
        <v>Testing Type</v>
      </c>
      <c r="DA5" s="32" t="str">
        <f>IFERROR(__xludf.DUMMYFUNCTION("""COMPUTED_VALUE"""),"Testing Column")</f>
        <v>Testing Column</v>
      </c>
      <c r="DB5" s="32" t="str">
        <f>IFERROR(__xludf.DUMMYFUNCTION("""COMPUTED_VALUE"""),"Testing Col Value")</f>
        <v>Testing Col Value</v>
      </c>
      <c r="DC5" s="32" t="str">
        <f>IFERROR(__xludf.DUMMYFUNCTION("""COMPUTED_VALUE"""),"DuplicateRow")</f>
        <v>DuplicateRow</v>
      </c>
      <c r="DD5" s="32" t="str">
        <f>IFERROR(__xludf.DUMMYFUNCTION("""COMPUTED_VALUE"""),"DuplicateCountOnUI")</f>
        <v>DuplicateCountOnUI</v>
      </c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</row>
    <row r="6" ht="15.75" customHeight="1">
      <c r="A6" s="37" t="s">
        <v>64</v>
      </c>
      <c r="B6" s="37" t="s">
        <v>61</v>
      </c>
      <c r="C6" s="8" t="s">
        <v>65</v>
      </c>
      <c r="D6" s="37"/>
      <c r="E6" s="8">
        <v>2500.0</v>
      </c>
      <c r="F6" s="8" t="s">
        <v>66</v>
      </c>
      <c r="G6" s="8" t="s">
        <v>67</v>
      </c>
      <c r="H6" s="8">
        <v>4.0</v>
      </c>
      <c r="I6" s="8">
        <v>5.0</v>
      </c>
      <c r="J6" s="8">
        <v>1.0</v>
      </c>
      <c r="K6" s="8">
        <v>315.95</v>
      </c>
      <c r="L6" s="8">
        <v>315.95</v>
      </c>
      <c r="M6" s="8" t="s">
        <v>68</v>
      </c>
      <c r="N6" s="8" t="s">
        <v>69</v>
      </c>
      <c r="O6" s="8" t="s">
        <v>70</v>
      </c>
      <c r="Q6">
        <v>3.0</v>
      </c>
      <c r="R6">
        <v>0.0</v>
      </c>
      <c r="S6" t="s">
        <v>71</v>
      </c>
      <c r="T6">
        <v>0.0</v>
      </c>
      <c r="U6">
        <v>0.0</v>
      </c>
      <c r="V6" t="s">
        <v>72</v>
      </c>
      <c r="W6">
        <v>1.0</v>
      </c>
      <c r="X6">
        <v>0.0</v>
      </c>
      <c r="Y6" t="s">
        <v>64</v>
      </c>
      <c r="Z6" t="s">
        <v>73</v>
      </c>
      <c r="AB6">
        <v>1.0</v>
      </c>
      <c r="AD6" t="s">
        <v>74</v>
      </c>
      <c r="AE6">
        <v>2500.0</v>
      </c>
      <c r="AF6" t="s">
        <v>64</v>
      </c>
      <c r="AH6" t="s">
        <v>75</v>
      </c>
      <c r="AI6">
        <v>1.0</v>
      </c>
      <c r="AJ6" t="s">
        <v>76</v>
      </c>
      <c r="AN6" t="b">
        <v>0</v>
      </c>
      <c r="AP6" t="b">
        <v>0</v>
      </c>
      <c r="AQ6" t="b">
        <v>0</v>
      </c>
      <c r="AR6" t="b">
        <v>0</v>
      </c>
      <c r="AT6" t="s">
        <v>77</v>
      </c>
      <c r="AU6" t="s">
        <v>77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78</v>
      </c>
      <c r="BE6" t="s">
        <v>79</v>
      </c>
      <c r="BF6" t="s">
        <v>79</v>
      </c>
      <c r="BJ6">
        <v>5000.0</v>
      </c>
      <c r="BK6">
        <v>0.0</v>
      </c>
      <c r="BL6" t="s">
        <v>64</v>
      </c>
      <c r="BM6" t="s">
        <v>73</v>
      </c>
      <c r="BO6" t="s">
        <v>80</v>
      </c>
      <c r="BP6">
        <v>0.0</v>
      </c>
      <c r="BQ6">
        <v>0.0</v>
      </c>
      <c r="BR6">
        <v>0.4423</v>
      </c>
      <c r="BS6" t="s">
        <v>81</v>
      </c>
      <c r="BT6" t="s">
        <v>49</v>
      </c>
      <c r="BU6">
        <v>3.0</v>
      </c>
      <c r="BV6">
        <v>0.0</v>
      </c>
      <c r="BW6">
        <v>14.4423</v>
      </c>
      <c r="BX6">
        <v>0.0</v>
      </c>
      <c r="CF6" t="s">
        <v>82</v>
      </c>
      <c r="CG6">
        <v>2.0</v>
      </c>
      <c r="CI6" t="s">
        <v>80</v>
      </c>
      <c r="CJ6">
        <v>0.0</v>
      </c>
      <c r="CK6" t="s">
        <v>83</v>
      </c>
      <c r="CL6">
        <v>1.0</v>
      </c>
      <c r="CM6" t="s">
        <v>49</v>
      </c>
      <c r="CN6" t="s">
        <v>84</v>
      </c>
      <c r="CO6" t="s">
        <v>74</v>
      </c>
      <c r="CP6" t="s">
        <v>85</v>
      </c>
      <c r="CS6" t="s">
        <v>64</v>
      </c>
      <c r="CW6">
        <v>0.0</v>
      </c>
      <c r="CX6" t="s">
        <v>86</v>
      </c>
      <c r="CY6" t="s">
        <v>64</v>
      </c>
      <c r="CZ6" t="s">
        <v>64</v>
      </c>
      <c r="DA6" t="s">
        <v>64</v>
      </c>
      <c r="DB6" t="s">
        <v>64</v>
      </c>
      <c r="DC6" t="s">
        <v>64</v>
      </c>
      <c r="DD6" t="s">
        <v>64</v>
      </c>
      <c r="DE6" t="s">
        <v>64</v>
      </c>
      <c r="DF6" t="s">
        <v>64</v>
      </c>
      <c r="DG6" t="s">
        <v>64</v>
      </c>
      <c r="DH6" t="s">
        <v>64</v>
      </c>
      <c r="DI6" t="s">
        <v>64</v>
      </c>
      <c r="DJ6" t="s">
        <v>64</v>
      </c>
      <c r="DK6" t="s">
        <v>64</v>
      </c>
      <c r="DL6" t="s">
        <v>64</v>
      </c>
      <c r="DM6" t="s">
        <v>64</v>
      </c>
      <c r="DN6" t="s">
        <v>64</v>
      </c>
      <c r="DO6" t="s">
        <v>64</v>
      </c>
      <c r="DP6" t="s">
        <v>64</v>
      </c>
      <c r="DQ6" t="s">
        <v>64</v>
      </c>
      <c r="DR6" t="s">
        <v>64</v>
      </c>
      <c r="DS6" t="s">
        <v>64</v>
      </c>
      <c r="DT6" t="s">
        <v>64</v>
      </c>
      <c r="DU6" t="s">
        <v>64</v>
      </c>
      <c r="DV6" t="s">
        <v>64</v>
      </c>
      <c r="DW6" t="s">
        <v>64</v>
      </c>
      <c r="DX6" t="s">
        <v>64</v>
      </c>
      <c r="DY6" t="s">
        <v>64</v>
      </c>
      <c r="DZ6" t="s">
        <v>64</v>
      </c>
      <c r="EA6" t="s">
        <v>64</v>
      </c>
      <c r="EB6" t="s">
        <v>64</v>
      </c>
      <c r="EC6" t="s">
        <v>64</v>
      </c>
      <c r="ED6" t="s">
        <v>64</v>
      </c>
      <c r="EE6" t="s">
        <v>64</v>
      </c>
      <c r="EF6" t="s">
        <v>64</v>
      </c>
      <c r="EG6" t="s">
        <v>64</v>
      </c>
      <c r="EH6" t="s">
        <v>64</v>
      </c>
      <c r="EI6" t="s">
        <v>64</v>
      </c>
      <c r="EJ6" t="s">
        <v>64</v>
      </c>
      <c r="EK6" t="s">
        <v>64</v>
      </c>
      <c r="EL6" t="s">
        <v>64</v>
      </c>
      <c r="EM6" t="s">
        <v>64</v>
      </c>
      <c r="EN6" t="s">
        <v>64</v>
      </c>
      <c r="EO6" t="s">
        <v>64</v>
      </c>
      <c r="EP6" t="s">
        <v>64</v>
      </c>
      <c r="EQ6" t="s">
        <v>64</v>
      </c>
      <c r="ER6" t="s">
        <v>64</v>
      </c>
      <c r="ES6" t="s">
        <v>64</v>
      </c>
      <c r="ET6" t="s">
        <v>64</v>
      </c>
      <c r="EU6" t="s">
        <v>64</v>
      </c>
      <c r="EV6" t="s">
        <v>64</v>
      </c>
      <c r="EW6" t="s">
        <v>64</v>
      </c>
      <c r="EX6" t="s">
        <v>64</v>
      </c>
      <c r="FA6" t="s">
        <v>64</v>
      </c>
      <c r="FB6" t="s">
        <v>64</v>
      </c>
      <c r="FC6" t="s">
        <v>64</v>
      </c>
      <c r="FD6" t="s">
        <v>64</v>
      </c>
      <c r="FE6" t="s">
        <v>64</v>
      </c>
      <c r="FF6" t="s">
        <v>64</v>
      </c>
      <c r="FG6" t="s">
        <v>64</v>
      </c>
      <c r="FH6" t="s">
        <v>64</v>
      </c>
      <c r="FI6" t="s">
        <v>64</v>
      </c>
      <c r="FK6" t="s">
        <v>64</v>
      </c>
      <c r="FL6" t="s">
        <v>64</v>
      </c>
      <c r="FM6" t="s">
        <v>64</v>
      </c>
      <c r="FN6" t="s">
        <v>64</v>
      </c>
      <c r="FO6" t="s">
        <v>64</v>
      </c>
      <c r="FP6" t="s">
        <v>64</v>
      </c>
      <c r="FQ6" t="s">
        <v>64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64</v>
      </c>
      <c r="B7" s="8" t="s">
        <v>61</v>
      </c>
      <c r="C7" s="8" t="s">
        <v>65</v>
      </c>
      <c r="D7" s="8"/>
      <c r="E7" s="8">
        <v>2500.0</v>
      </c>
      <c r="F7" s="8" t="s">
        <v>66</v>
      </c>
      <c r="G7" s="8" t="s">
        <v>67</v>
      </c>
      <c r="H7" s="8">
        <v>4.0</v>
      </c>
      <c r="I7" s="8">
        <v>5.0</v>
      </c>
      <c r="J7" s="8">
        <v>1.0</v>
      </c>
      <c r="K7" s="8">
        <v>315.95</v>
      </c>
      <c r="L7" s="8">
        <v>315.95</v>
      </c>
      <c r="M7" s="8" t="s">
        <v>87</v>
      </c>
      <c r="N7" s="8" t="s">
        <v>69</v>
      </c>
      <c r="O7" s="8" t="s">
        <v>70</v>
      </c>
      <c r="Q7">
        <v>3.0</v>
      </c>
      <c r="R7">
        <v>0.0</v>
      </c>
      <c r="S7" t="s">
        <v>71</v>
      </c>
      <c r="T7">
        <v>0.0</v>
      </c>
      <c r="U7">
        <v>0.0</v>
      </c>
      <c r="V7" t="s">
        <v>88</v>
      </c>
      <c r="W7">
        <v>1.0</v>
      </c>
      <c r="X7">
        <v>0.0</v>
      </c>
      <c r="Y7" t="s">
        <v>64</v>
      </c>
      <c r="Z7" t="s">
        <v>73</v>
      </c>
      <c r="AB7">
        <v>1.0</v>
      </c>
      <c r="AD7" t="s">
        <v>74</v>
      </c>
      <c r="AE7">
        <v>2500.0</v>
      </c>
      <c r="AF7" t="s">
        <v>64</v>
      </c>
      <c r="AH7" t="s">
        <v>75</v>
      </c>
      <c r="AI7">
        <v>1.0</v>
      </c>
      <c r="AJ7" t="s">
        <v>76</v>
      </c>
      <c r="AN7" t="b">
        <v>0</v>
      </c>
      <c r="AP7" t="b">
        <v>0</v>
      </c>
      <c r="AQ7" t="b">
        <v>0</v>
      </c>
      <c r="AR7" t="b">
        <v>0</v>
      </c>
      <c r="AT7" t="s">
        <v>77</v>
      </c>
      <c r="AU7" t="s">
        <v>77</v>
      </c>
      <c r="AW7">
        <v>0.0</v>
      </c>
      <c r="AX7">
        <v>0.0</v>
      </c>
      <c r="AY7" t="s">
        <v>38</v>
      </c>
      <c r="AZ7">
        <v>0.0</v>
      </c>
      <c r="BC7">
        <v>0.0</v>
      </c>
      <c r="BD7" t="s">
        <v>78</v>
      </c>
      <c r="BE7" t="s">
        <v>79</v>
      </c>
      <c r="BF7" t="s">
        <v>79</v>
      </c>
      <c r="BJ7">
        <v>5000.0</v>
      </c>
      <c r="BK7">
        <v>0.0</v>
      </c>
      <c r="BL7" t="s">
        <v>64</v>
      </c>
      <c r="BM7" t="s">
        <v>73</v>
      </c>
      <c r="BO7" t="s">
        <v>80</v>
      </c>
      <c r="BP7">
        <v>0.0</v>
      </c>
      <c r="BQ7">
        <v>0.0</v>
      </c>
      <c r="BR7">
        <v>0.4423</v>
      </c>
      <c r="BS7" t="s">
        <v>81</v>
      </c>
      <c r="BT7" t="s">
        <v>53</v>
      </c>
      <c r="BU7">
        <v>3.0</v>
      </c>
      <c r="BV7">
        <v>0.0</v>
      </c>
      <c r="BW7">
        <v>14.4423</v>
      </c>
      <c r="BX7">
        <v>0.0</v>
      </c>
      <c r="CF7" t="s">
        <v>82</v>
      </c>
      <c r="CG7">
        <v>2.0</v>
      </c>
      <c r="CI7" t="s">
        <v>80</v>
      </c>
      <c r="CJ7">
        <v>0.0</v>
      </c>
      <c r="CK7" t="s">
        <v>83</v>
      </c>
      <c r="CL7">
        <v>1.0</v>
      </c>
      <c r="CM7" t="s">
        <v>53</v>
      </c>
      <c r="CN7" t="s">
        <v>84</v>
      </c>
      <c r="CO7" t="s">
        <v>74</v>
      </c>
      <c r="CP7" t="s">
        <v>85</v>
      </c>
      <c r="CS7" t="s">
        <v>64</v>
      </c>
      <c r="CW7">
        <v>0.0</v>
      </c>
      <c r="CX7" t="s">
        <v>86</v>
      </c>
      <c r="CY7" t="s">
        <v>64</v>
      </c>
      <c r="CZ7" t="s">
        <v>64</v>
      </c>
      <c r="DA7" t="s">
        <v>64</v>
      </c>
      <c r="DB7" t="s">
        <v>64</v>
      </c>
      <c r="DC7" t="s">
        <v>64</v>
      </c>
      <c r="DD7" t="s">
        <v>64</v>
      </c>
      <c r="DE7" t="s">
        <v>64</v>
      </c>
      <c r="DF7" t="s">
        <v>64</v>
      </c>
      <c r="DG7" t="s">
        <v>64</v>
      </c>
      <c r="DH7" t="s">
        <v>64</v>
      </c>
      <c r="DI7" t="s">
        <v>64</v>
      </c>
      <c r="DJ7" t="s">
        <v>64</v>
      </c>
      <c r="DK7" t="s">
        <v>64</v>
      </c>
      <c r="DL7" t="s">
        <v>64</v>
      </c>
      <c r="DM7" t="s">
        <v>64</v>
      </c>
      <c r="DN7" t="s">
        <v>64</v>
      </c>
      <c r="DO7" t="s">
        <v>64</v>
      </c>
      <c r="DP7" t="s">
        <v>64</v>
      </c>
      <c r="DQ7" t="s">
        <v>64</v>
      </c>
      <c r="DR7" t="s">
        <v>64</v>
      </c>
      <c r="DS7" t="s">
        <v>64</v>
      </c>
      <c r="DT7" t="s">
        <v>64</v>
      </c>
      <c r="DU7" t="s">
        <v>64</v>
      </c>
      <c r="DV7" t="s">
        <v>64</v>
      </c>
      <c r="DW7" t="s">
        <v>64</v>
      </c>
      <c r="DX7" t="s">
        <v>64</v>
      </c>
      <c r="DY7" t="s">
        <v>64</v>
      </c>
      <c r="DZ7" t="s">
        <v>64</v>
      </c>
      <c r="EA7" t="s">
        <v>64</v>
      </c>
      <c r="EB7" t="s">
        <v>64</v>
      </c>
      <c r="EC7" t="s">
        <v>64</v>
      </c>
      <c r="ED7" t="s">
        <v>64</v>
      </c>
      <c r="EE7" t="s">
        <v>64</v>
      </c>
      <c r="EF7" t="s">
        <v>64</v>
      </c>
      <c r="EG7" t="s">
        <v>64</v>
      </c>
      <c r="EH7" t="s">
        <v>64</v>
      </c>
      <c r="EI7" t="s">
        <v>64</v>
      </c>
      <c r="EJ7" t="s">
        <v>64</v>
      </c>
      <c r="EK7" t="s">
        <v>64</v>
      </c>
      <c r="EL7" t="s">
        <v>64</v>
      </c>
      <c r="EM7" t="s">
        <v>64</v>
      </c>
      <c r="EN7" t="s">
        <v>64</v>
      </c>
      <c r="EO7" t="s">
        <v>64</v>
      </c>
      <c r="EP7" t="s">
        <v>64</v>
      </c>
      <c r="EQ7" t="s">
        <v>64</v>
      </c>
      <c r="ER7" t="s">
        <v>64</v>
      </c>
      <c r="ES7" t="s">
        <v>64</v>
      </c>
      <c r="ET7" t="s">
        <v>64</v>
      </c>
      <c r="EU7" t="s">
        <v>64</v>
      </c>
      <c r="EV7" t="s">
        <v>64</v>
      </c>
      <c r="EW7" t="s">
        <v>64</v>
      </c>
      <c r="EX7" t="s">
        <v>64</v>
      </c>
      <c r="FA7" t="s">
        <v>64</v>
      </c>
      <c r="FB7" t="s">
        <v>64</v>
      </c>
      <c r="FC7" t="s">
        <v>64</v>
      </c>
      <c r="FD7" t="s">
        <v>64</v>
      </c>
      <c r="FE7" t="s">
        <v>64</v>
      </c>
      <c r="FF7" t="s">
        <v>64</v>
      </c>
      <c r="FG7" t="s">
        <v>64</v>
      </c>
      <c r="FH7" t="s">
        <v>64</v>
      </c>
      <c r="FI7" t="s">
        <v>64</v>
      </c>
      <c r="FK7" t="s">
        <v>64</v>
      </c>
      <c r="FL7" t="s">
        <v>64</v>
      </c>
      <c r="FM7" t="s">
        <v>64</v>
      </c>
      <c r="FN7" t="s">
        <v>64</v>
      </c>
      <c r="FO7" t="s">
        <v>64</v>
      </c>
      <c r="FP7" t="s">
        <v>64</v>
      </c>
      <c r="FQ7" t="s">
        <v>64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IFERROR(__xludf.DUMMYFUNCTION("""COMPUTED_VALUE"""),"Price")</f>
        <v>Price</v>
      </c>
      <c r="C5" s="34" t="str">
        <f>IFERROR(__xludf.DUMMYFUNCTION("""COMPUTED_VALUE"""),"Shares")</f>
        <v>Shares</v>
      </c>
      <c r="D5" s="34" t="str">
        <f>IFERROR(__xludf.DUMMYFUNCTION("""COMPUTED_VALUE"""),"ClearAllPrice")</f>
        <v>ClearAllPrice</v>
      </c>
      <c r="E5" s="34"/>
      <c r="F5" s="35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>
        <v>12.2</v>
      </c>
      <c r="C6" s="13">
        <v>500.0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IFERROR(__xludf.DUMMYFUNCTION("""COMPUTED_VALUE"""),"PreferenceName")</f>
        <v>PreferenceName</v>
      </c>
      <c r="C5" s="34" t="str">
        <f>IFERROR(__xludf.DUMMYFUNCTION("""COMPUTED_VALUE"""),"Account")</f>
        <v>Account</v>
      </c>
      <c r="D5" s="34" t="str">
        <f>IFERROR(__xludf.DUMMYFUNCTION("""COMPUTED_VALUE"""),"Target Allocation Percentage")</f>
        <v>Target Allocation Percentage</v>
      </c>
      <c r="E5" s="34" t="str">
        <f>IFERROR(__xludf.DUMMYFUNCTION("""COMPUTED_VALUE"""),"TargetAllocationQuantity")</f>
        <v>TargetAllocationQuantity</v>
      </c>
      <c r="F5" s="35" t="str">
        <f>IFERROR(__xludf.DUMMYFUNCTION("""COMPUTED_VALUE"""),"ViewAllocationVerfication")</f>
        <v>ViewAllocationVerfication</v>
      </c>
      <c r="G5" s="34" t="str">
        <f>IFERROR(__xludf.DUMMYFUNCTION("""COMPUTED_VALUE"""),"RESET")</f>
        <v>RESET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 t="s">
        <v>89</v>
      </c>
      <c r="D6" s="13">
        <v>100.0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9"/>
      <c r="B5" s="40" t="s">
        <v>91</v>
      </c>
      <c r="C5" s="40" t="s">
        <v>92</v>
      </c>
      <c r="D5" s="40" t="s">
        <v>93</v>
      </c>
      <c r="E5" s="40" t="s">
        <v>94</v>
      </c>
      <c r="F5" s="41" t="s">
        <v>95</v>
      </c>
      <c r="G5" s="40" t="s">
        <v>96</v>
      </c>
      <c r="H5" s="40" t="s">
        <v>97</v>
      </c>
      <c r="I5" s="40" t="s">
        <v>98</v>
      </c>
      <c r="J5" s="40" t="s">
        <v>99</v>
      </c>
      <c r="K5" s="40" t="s">
        <v>100</v>
      </c>
      <c r="L5" s="40" t="s">
        <v>101</v>
      </c>
      <c r="M5" s="40" t="s">
        <v>102</v>
      </c>
      <c r="N5" s="40" t="s">
        <v>103</v>
      </c>
      <c r="O5" s="40" t="s">
        <v>104</v>
      </c>
      <c r="P5" s="40" t="s">
        <v>105</v>
      </c>
      <c r="Q5" s="40" t="s">
        <v>106</v>
      </c>
      <c r="R5" s="40" t="s">
        <v>107</v>
      </c>
      <c r="S5" s="40" t="s">
        <v>108</v>
      </c>
      <c r="T5" s="40" t="s">
        <v>109</v>
      </c>
      <c r="U5" s="40" t="s">
        <v>30</v>
      </c>
      <c r="V5" s="40" t="s">
        <v>110</v>
      </c>
      <c r="W5" s="40" t="s">
        <v>111</v>
      </c>
      <c r="X5" s="40" t="s">
        <v>112</v>
      </c>
      <c r="Y5" s="40" t="s">
        <v>113</v>
      </c>
      <c r="Z5" s="40" t="s">
        <v>114</v>
      </c>
      <c r="AA5" s="40" t="s">
        <v>36</v>
      </c>
      <c r="AB5" s="40" t="s">
        <v>16</v>
      </c>
      <c r="AC5" s="40" t="s">
        <v>115</v>
      </c>
      <c r="AD5" s="40" t="s">
        <v>116</v>
      </c>
      <c r="AE5" s="40" t="s">
        <v>117</v>
      </c>
      <c r="AF5" s="40" t="s">
        <v>118</v>
      </c>
      <c r="AG5" s="40" t="s">
        <v>119</v>
      </c>
      <c r="AH5" s="40" t="s">
        <v>120</v>
      </c>
      <c r="AI5" s="40" t="s">
        <v>121</v>
      </c>
      <c r="AJ5" s="40" t="s">
        <v>122</v>
      </c>
      <c r="AK5" s="40" t="s">
        <v>41</v>
      </c>
      <c r="AL5" s="40" t="s">
        <v>44</v>
      </c>
      <c r="AM5" s="40" t="s">
        <v>123</v>
      </c>
      <c r="AN5" s="40" t="s">
        <v>124</v>
      </c>
      <c r="AO5" s="40" t="s">
        <v>125</v>
      </c>
      <c r="AP5" s="40" t="s">
        <v>126</v>
      </c>
      <c r="AQ5" s="40" t="s">
        <v>127</v>
      </c>
      <c r="AR5" s="40" t="s">
        <v>128</v>
      </c>
      <c r="AS5" s="40" t="s">
        <v>129</v>
      </c>
      <c r="AT5" s="40" t="s">
        <v>130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</row>
    <row r="6" ht="15.75" customHeight="1">
      <c r="A6" s="37" t="s">
        <v>64</v>
      </c>
      <c r="B6" s="37" t="s">
        <v>64</v>
      </c>
      <c r="C6" s="8" t="s">
        <v>64</v>
      </c>
      <c r="D6" s="37" t="s">
        <v>64</v>
      </c>
      <c r="E6" s="8"/>
      <c r="F6" s="8" t="s">
        <v>131</v>
      </c>
      <c r="G6" s="8" t="s">
        <v>64</v>
      </c>
      <c r="H6" s="8" t="s">
        <v>64</v>
      </c>
      <c r="I6" s="8"/>
      <c r="J6" s="8"/>
      <c r="K6" s="8" t="s">
        <v>64</v>
      </c>
      <c r="L6" s="8" t="s">
        <v>64</v>
      </c>
      <c r="M6" s="8" t="s">
        <v>64</v>
      </c>
      <c r="N6" s="8">
        <v>2000.0</v>
      </c>
      <c r="O6" s="8" t="s">
        <v>64</v>
      </c>
      <c r="Q6" t="s">
        <v>68</v>
      </c>
      <c r="R6" t="s">
        <v>64</v>
      </c>
      <c r="S6" t="s">
        <v>64</v>
      </c>
      <c r="W6" t="s">
        <v>64</v>
      </c>
      <c r="X6" t="s">
        <v>64</v>
      </c>
      <c r="Y6" t="s">
        <v>64</v>
      </c>
      <c r="Z6" t="s">
        <v>80</v>
      </c>
      <c r="AB6" t="s">
        <v>49</v>
      </c>
      <c r="AC6" s="9">
        <v>5000.0</v>
      </c>
      <c r="AD6" t="s">
        <v>64</v>
      </c>
      <c r="AE6" t="s">
        <v>64</v>
      </c>
      <c r="AF6" t="s">
        <v>67</v>
      </c>
      <c r="AG6" t="s">
        <v>64</v>
      </c>
      <c r="AH6" t="s">
        <v>64</v>
      </c>
      <c r="AI6" t="s">
        <v>84</v>
      </c>
      <c r="AJ6" t="s">
        <v>84</v>
      </c>
      <c r="AK6" t="s">
        <v>70</v>
      </c>
      <c r="AL6" t="s">
        <v>74</v>
      </c>
      <c r="AM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t="s">
        <v>64</v>
      </c>
      <c r="AZ6" t="s">
        <v>64</v>
      </c>
      <c r="BA6" t="s">
        <v>64</v>
      </c>
      <c r="BB6" t="s">
        <v>64</v>
      </c>
      <c r="BC6" t="s">
        <v>64</v>
      </c>
      <c r="BD6" t="s">
        <v>64</v>
      </c>
      <c r="BE6" t="s">
        <v>64</v>
      </c>
      <c r="BF6" t="s">
        <v>64</v>
      </c>
      <c r="BG6" t="s">
        <v>64</v>
      </c>
      <c r="BH6" t="s">
        <v>64</v>
      </c>
      <c r="BI6" t="s">
        <v>64</v>
      </c>
      <c r="BJ6" t="s">
        <v>64</v>
      </c>
      <c r="BK6" t="s">
        <v>64</v>
      </c>
      <c r="BL6" t="s">
        <v>64</v>
      </c>
      <c r="BM6" t="s">
        <v>64</v>
      </c>
      <c r="BN6" t="s">
        <v>64</v>
      </c>
      <c r="BO6" t="s">
        <v>64</v>
      </c>
      <c r="BP6" t="s">
        <v>64</v>
      </c>
      <c r="BQ6" t="s">
        <v>64</v>
      </c>
      <c r="BR6" t="s">
        <v>64</v>
      </c>
      <c r="BS6" t="s">
        <v>64</v>
      </c>
      <c r="BT6" t="s">
        <v>64</v>
      </c>
      <c r="BU6" t="s">
        <v>64</v>
      </c>
      <c r="BV6" t="s">
        <v>64</v>
      </c>
      <c r="BW6" t="s">
        <v>64</v>
      </c>
      <c r="BX6" t="s">
        <v>64</v>
      </c>
      <c r="BY6" t="s">
        <v>64</v>
      </c>
      <c r="BZ6" t="s">
        <v>64</v>
      </c>
      <c r="CA6" t="s">
        <v>64</v>
      </c>
      <c r="CB6" t="s">
        <v>64</v>
      </c>
      <c r="CC6" t="s">
        <v>64</v>
      </c>
      <c r="CD6" t="s">
        <v>64</v>
      </c>
      <c r="CE6" t="s">
        <v>64</v>
      </c>
      <c r="CF6" t="s">
        <v>64</v>
      </c>
      <c r="CG6" t="s">
        <v>64</v>
      </c>
      <c r="CH6" t="s">
        <v>64</v>
      </c>
      <c r="CI6" t="s">
        <v>64</v>
      </c>
      <c r="CJ6" t="s">
        <v>64</v>
      </c>
      <c r="CK6" t="s">
        <v>64</v>
      </c>
      <c r="CL6" t="s">
        <v>64</v>
      </c>
      <c r="CM6" t="s">
        <v>64</v>
      </c>
      <c r="CN6" t="s">
        <v>64</v>
      </c>
      <c r="CO6" t="s">
        <v>64</v>
      </c>
      <c r="CP6" t="s">
        <v>64</v>
      </c>
      <c r="CQ6" t="s">
        <v>64</v>
      </c>
      <c r="CR6" t="s">
        <v>64</v>
      </c>
      <c r="CS6" t="s">
        <v>64</v>
      </c>
      <c r="CT6" t="s">
        <v>64</v>
      </c>
      <c r="CU6" t="s">
        <v>64</v>
      </c>
      <c r="CV6" t="s">
        <v>64</v>
      </c>
      <c r="CW6" t="s">
        <v>64</v>
      </c>
      <c r="CX6" t="s">
        <v>64</v>
      </c>
      <c r="CY6" t="s">
        <v>64</v>
      </c>
      <c r="CZ6" t="s">
        <v>64</v>
      </c>
      <c r="DA6" t="s">
        <v>64</v>
      </c>
      <c r="DB6" t="s">
        <v>64</v>
      </c>
      <c r="DC6" t="s">
        <v>64</v>
      </c>
      <c r="DD6" t="s">
        <v>64</v>
      </c>
      <c r="DE6" t="s">
        <v>64</v>
      </c>
      <c r="DF6" t="s">
        <v>64</v>
      </c>
      <c r="DG6" t="s">
        <v>64</v>
      </c>
      <c r="DH6" t="s">
        <v>64</v>
      </c>
      <c r="DI6" t="s">
        <v>64</v>
      </c>
      <c r="DJ6" t="s">
        <v>64</v>
      </c>
      <c r="DK6" t="s">
        <v>64</v>
      </c>
      <c r="DL6" t="s">
        <v>64</v>
      </c>
      <c r="DM6" t="s">
        <v>64</v>
      </c>
      <c r="DN6" t="s">
        <v>64</v>
      </c>
      <c r="DO6" t="s">
        <v>64</v>
      </c>
      <c r="DP6" t="s">
        <v>64</v>
      </c>
      <c r="DQ6" t="s">
        <v>64</v>
      </c>
      <c r="DR6" t="s">
        <v>64</v>
      </c>
      <c r="DS6" t="s">
        <v>64</v>
      </c>
      <c r="DT6" t="s">
        <v>64</v>
      </c>
      <c r="DU6" t="s">
        <v>64</v>
      </c>
      <c r="DV6" t="s">
        <v>64</v>
      </c>
      <c r="DW6" t="s">
        <v>64</v>
      </c>
      <c r="DX6" t="s">
        <v>64</v>
      </c>
      <c r="DY6" t="s">
        <v>64</v>
      </c>
      <c r="DZ6" t="s">
        <v>64</v>
      </c>
      <c r="EA6" t="s">
        <v>64</v>
      </c>
      <c r="EB6" t="s">
        <v>64</v>
      </c>
      <c r="EC6" t="s">
        <v>64</v>
      </c>
      <c r="ED6" t="s">
        <v>64</v>
      </c>
      <c r="EE6" t="s">
        <v>64</v>
      </c>
      <c r="EF6" t="s">
        <v>64</v>
      </c>
      <c r="EG6" t="s">
        <v>64</v>
      </c>
      <c r="EH6" t="s">
        <v>64</v>
      </c>
      <c r="EI6" t="s">
        <v>64</v>
      </c>
      <c r="EJ6" t="s">
        <v>64</v>
      </c>
      <c r="EK6" t="s">
        <v>64</v>
      </c>
      <c r="EL6" t="s">
        <v>64</v>
      </c>
      <c r="EM6" t="s">
        <v>64</v>
      </c>
      <c r="EN6" t="s">
        <v>64</v>
      </c>
      <c r="EO6" t="s">
        <v>64</v>
      </c>
      <c r="EP6" t="s">
        <v>64</v>
      </c>
      <c r="EQ6" t="s">
        <v>64</v>
      </c>
      <c r="ER6" t="s">
        <v>64</v>
      </c>
      <c r="ES6" t="s">
        <v>64</v>
      </c>
      <c r="ET6" t="s">
        <v>64</v>
      </c>
      <c r="EU6" t="s">
        <v>64</v>
      </c>
      <c r="EV6" t="s">
        <v>64</v>
      </c>
      <c r="EW6" t="s">
        <v>64</v>
      </c>
      <c r="EX6" t="s">
        <v>64</v>
      </c>
      <c r="EY6" t="s">
        <v>64</v>
      </c>
      <c r="EZ6" t="s">
        <v>64</v>
      </c>
      <c r="FA6" t="s">
        <v>64</v>
      </c>
      <c r="FB6" t="s">
        <v>64</v>
      </c>
      <c r="FC6" t="s">
        <v>64</v>
      </c>
      <c r="FD6" t="s">
        <v>64</v>
      </c>
      <c r="FE6" t="s">
        <v>64</v>
      </c>
      <c r="FF6" t="s">
        <v>64</v>
      </c>
      <c r="FG6" t="s">
        <v>64</v>
      </c>
      <c r="FH6" t="s">
        <v>64</v>
      </c>
      <c r="FI6" t="s">
        <v>64</v>
      </c>
      <c r="FJ6" t="s">
        <v>64</v>
      </c>
      <c r="FK6" t="s">
        <v>64</v>
      </c>
      <c r="FL6" t="s">
        <v>64</v>
      </c>
      <c r="FM6" t="s">
        <v>64</v>
      </c>
      <c r="FN6" t="s">
        <v>64</v>
      </c>
      <c r="FO6" t="s">
        <v>64</v>
      </c>
      <c r="FP6" t="s">
        <v>64</v>
      </c>
      <c r="FQ6" t="s">
        <v>64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64</v>
      </c>
      <c r="B7" s="8" t="s">
        <v>64</v>
      </c>
      <c r="C7" s="8" t="s">
        <v>64</v>
      </c>
      <c r="D7" s="8" t="s">
        <v>64</v>
      </c>
      <c r="E7" s="8"/>
      <c r="F7" s="8" t="s">
        <v>131</v>
      </c>
      <c r="G7" s="8" t="s">
        <v>64</v>
      </c>
      <c r="H7" s="8" t="s">
        <v>64</v>
      </c>
      <c r="I7" s="8"/>
      <c r="J7" s="8"/>
      <c r="K7" s="8" t="s">
        <v>64</v>
      </c>
      <c r="L7" s="8" t="s">
        <v>64</v>
      </c>
      <c r="M7" s="8" t="s">
        <v>64</v>
      </c>
      <c r="N7" s="8">
        <v>2000.0</v>
      </c>
      <c r="O7" s="8" t="s">
        <v>64</v>
      </c>
      <c r="Q7" t="s">
        <v>87</v>
      </c>
      <c r="R7" t="s">
        <v>64</v>
      </c>
      <c r="S7" t="s">
        <v>64</v>
      </c>
      <c r="W7" t="s">
        <v>64</v>
      </c>
      <c r="X7" t="s">
        <v>64</v>
      </c>
      <c r="Y7" t="s">
        <v>64</v>
      </c>
      <c r="Z7" t="s">
        <v>80</v>
      </c>
      <c r="AB7" t="s">
        <v>53</v>
      </c>
      <c r="AC7" s="9">
        <v>5000.0</v>
      </c>
      <c r="AD7" t="s">
        <v>64</v>
      </c>
      <c r="AE7" t="s">
        <v>64</v>
      </c>
      <c r="AF7" t="s">
        <v>67</v>
      </c>
      <c r="AG7" t="s">
        <v>64</v>
      </c>
      <c r="AH7" t="s">
        <v>64</v>
      </c>
      <c r="AI7" t="s">
        <v>84</v>
      </c>
      <c r="AJ7" t="s">
        <v>84</v>
      </c>
      <c r="AK7" t="s">
        <v>70</v>
      </c>
      <c r="AL7" t="s">
        <v>74</v>
      </c>
      <c r="AM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t="s">
        <v>64</v>
      </c>
      <c r="AZ7" t="s">
        <v>64</v>
      </c>
      <c r="BA7" t="s">
        <v>64</v>
      </c>
      <c r="BB7" t="s">
        <v>64</v>
      </c>
      <c r="BC7" t="s">
        <v>64</v>
      </c>
      <c r="BD7" t="s">
        <v>64</v>
      </c>
      <c r="BE7" t="s">
        <v>64</v>
      </c>
      <c r="BF7" t="s">
        <v>64</v>
      </c>
      <c r="BG7" t="s">
        <v>64</v>
      </c>
      <c r="BH7" t="s">
        <v>64</v>
      </c>
      <c r="BI7" t="s">
        <v>64</v>
      </c>
      <c r="BJ7" t="s">
        <v>64</v>
      </c>
      <c r="BK7" t="s">
        <v>64</v>
      </c>
      <c r="BL7" t="s">
        <v>64</v>
      </c>
      <c r="BM7" t="s">
        <v>64</v>
      </c>
      <c r="BN7" t="s">
        <v>64</v>
      </c>
      <c r="BO7" t="s">
        <v>64</v>
      </c>
      <c r="BP7" t="s">
        <v>64</v>
      </c>
      <c r="BQ7" t="s">
        <v>64</v>
      </c>
      <c r="BR7" t="s">
        <v>64</v>
      </c>
      <c r="BS7" t="s">
        <v>64</v>
      </c>
      <c r="BT7" t="s">
        <v>64</v>
      </c>
      <c r="BU7" t="s">
        <v>64</v>
      </c>
      <c r="BV7" t="s">
        <v>64</v>
      </c>
      <c r="BW7" t="s">
        <v>64</v>
      </c>
      <c r="BX7" t="s">
        <v>64</v>
      </c>
      <c r="BY7" t="s">
        <v>64</v>
      </c>
      <c r="BZ7" t="s">
        <v>64</v>
      </c>
      <c r="CA7" t="s">
        <v>64</v>
      </c>
      <c r="CB7" t="s">
        <v>64</v>
      </c>
      <c r="CC7" t="s">
        <v>64</v>
      </c>
      <c r="CD7" t="s">
        <v>64</v>
      </c>
      <c r="CE7" t="s">
        <v>64</v>
      </c>
      <c r="CF7" t="s">
        <v>64</v>
      </c>
      <c r="CG7" t="s">
        <v>64</v>
      </c>
      <c r="CH7" t="s">
        <v>64</v>
      </c>
      <c r="CI7" t="s">
        <v>64</v>
      </c>
      <c r="CJ7" t="s">
        <v>64</v>
      </c>
      <c r="CK7" t="s">
        <v>64</v>
      </c>
      <c r="CL7" t="s">
        <v>64</v>
      </c>
      <c r="CM7" t="s">
        <v>64</v>
      </c>
      <c r="CN7" t="s">
        <v>64</v>
      </c>
      <c r="CO7" t="s">
        <v>64</v>
      </c>
      <c r="CP7" t="s">
        <v>64</v>
      </c>
      <c r="CQ7" t="s">
        <v>64</v>
      </c>
      <c r="CR7" t="s">
        <v>64</v>
      </c>
      <c r="CS7" t="s">
        <v>64</v>
      </c>
      <c r="CT7" t="s">
        <v>64</v>
      </c>
      <c r="CU7" t="s">
        <v>64</v>
      </c>
      <c r="CV7" t="s">
        <v>64</v>
      </c>
      <c r="CW7" t="s">
        <v>64</v>
      </c>
      <c r="CX7" t="s">
        <v>64</v>
      </c>
      <c r="CY7" t="s">
        <v>64</v>
      </c>
      <c r="CZ7" t="s">
        <v>64</v>
      </c>
      <c r="DA7" t="s">
        <v>64</v>
      </c>
      <c r="DB7" t="s">
        <v>64</v>
      </c>
      <c r="DC7" t="s">
        <v>64</v>
      </c>
      <c r="DD7" t="s">
        <v>64</v>
      </c>
      <c r="DE7" t="s">
        <v>64</v>
      </c>
      <c r="DF7" t="s">
        <v>64</v>
      </c>
      <c r="DG7" t="s">
        <v>64</v>
      </c>
      <c r="DH7" t="s">
        <v>64</v>
      </c>
      <c r="DI7" t="s">
        <v>64</v>
      </c>
      <c r="DJ7" t="s">
        <v>64</v>
      </c>
      <c r="DK7" t="s">
        <v>64</v>
      </c>
      <c r="DL7" t="s">
        <v>64</v>
      </c>
      <c r="DM7" t="s">
        <v>64</v>
      </c>
      <c r="DN7" t="s">
        <v>64</v>
      </c>
      <c r="DO7" t="s">
        <v>64</v>
      </c>
      <c r="DP7" t="s">
        <v>64</v>
      </c>
      <c r="DQ7" t="s">
        <v>64</v>
      </c>
      <c r="DR7" t="s">
        <v>64</v>
      </c>
      <c r="DS7" t="s">
        <v>64</v>
      </c>
      <c r="DT7" t="s">
        <v>64</v>
      </c>
      <c r="DU7" t="s">
        <v>64</v>
      </c>
      <c r="DV7" t="s">
        <v>64</v>
      </c>
      <c r="DW7" t="s">
        <v>64</v>
      </c>
      <c r="DX7" t="s">
        <v>64</v>
      </c>
      <c r="DY7" t="s">
        <v>64</v>
      </c>
      <c r="DZ7" t="s">
        <v>64</v>
      </c>
      <c r="EA7" t="s">
        <v>64</v>
      </c>
      <c r="EB7" t="s">
        <v>64</v>
      </c>
      <c r="EC7" t="s">
        <v>64</v>
      </c>
      <c r="ED7" t="s">
        <v>64</v>
      </c>
      <c r="EE7" t="s">
        <v>64</v>
      </c>
      <c r="EF7" t="s">
        <v>64</v>
      </c>
      <c r="EG7" t="s">
        <v>64</v>
      </c>
      <c r="EH7" t="s">
        <v>64</v>
      </c>
      <c r="EI7" t="s">
        <v>64</v>
      </c>
      <c r="EJ7" t="s">
        <v>64</v>
      </c>
      <c r="EK7" t="s">
        <v>64</v>
      </c>
      <c r="EL7" t="s">
        <v>64</v>
      </c>
      <c r="EM7" t="s">
        <v>64</v>
      </c>
      <c r="EN7" t="s">
        <v>64</v>
      </c>
      <c r="EO7" t="s">
        <v>64</v>
      </c>
      <c r="EP7" t="s">
        <v>64</v>
      </c>
      <c r="EQ7" t="s">
        <v>64</v>
      </c>
      <c r="ER7" t="s">
        <v>64</v>
      </c>
      <c r="ES7" t="s">
        <v>64</v>
      </c>
      <c r="ET7" t="s">
        <v>64</v>
      </c>
      <c r="EU7" t="s">
        <v>64</v>
      </c>
      <c r="EV7" t="s">
        <v>64</v>
      </c>
      <c r="EW7" t="s">
        <v>64</v>
      </c>
      <c r="EX7" t="s">
        <v>64</v>
      </c>
      <c r="EY7" t="s">
        <v>64</v>
      </c>
      <c r="EZ7" t="s">
        <v>64</v>
      </c>
      <c r="FA7" t="s">
        <v>64</v>
      </c>
      <c r="FB7" t="s">
        <v>64</v>
      </c>
      <c r="FC7" t="s">
        <v>64</v>
      </c>
      <c r="FD7" t="s">
        <v>64</v>
      </c>
      <c r="FE7" t="s">
        <v>64</v>
      </c>
      <c r="FF7" t="s">
        <v>64</v>
      </c>
      <c r="FG7" t="s">
        <v>64</v>
      </c>
      <c r="FH7" t="s">
        <v>64</v>
      </c>
      <c r="FI7" t="s">
        <v>64</v>
      </c>
      <c r="FJ7" t="s">
        <v>64</v>
      </c>
      <c r="FK7" t="s">
        <v>64</v>
      </c>
      <c r="FL7" t="s">
        <v>64</v>
      </c>
      <c r="FM7" t="s">
        <v>64</v>
      </c>
      <c r="FN7" t="s">
        <v>64</v>
      </c>
      <c r="FO7" t="s">
        <v>64</v>
      </c>
      <c r="FP7" t="s">
        <v>64</v>
      </c>
      <c r="FQ7" t="s">
        <v>64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IFERROR(__xludf.DUMMYFUNCTION("""COMPUTED_VALUE"""),"Account Name")</f>
        <v>Account Name</v>
      </c>
      <c r="C5" s="34" t="str">
        <f>IFERROR(__xludf.DUMMYFUNCTION("""COMPUTED_VALUE"""),"Accrual Basis")</f>
        <v>Accrual Basis</v>
      </c>
      <c r="D5" s="34" t="str">
        <f>IFERROR(__xludf.DUMMYFUNCTION("""COMPUTED_VALUE"""),"Accrued Interest")</f>
        <v>Accrued Interest</v>
      </c>
      <c r="E5" s="34" t="str">
        <f>IFERROR(__xludf.DUMMYFUNCTION("""COMPUTED_VALUE"""),"Allocated Qty")</f>
        <v>Allocated Qty</v>
      </c>
      <c r="F5" s="35" t="str">
        <f>IFERROR(__xludf.DUMMYFUNCTION("""COMPUTED_VALUE"""),"Allocation Scheme Name")</f>
        <v>Allocation Scheme Name</v>
      </c>
      <c r="G5" s="34" t="str">
        <f>IFERROR(__xludf.DUMMYFUNCTION("""COMPUTED_VALUE"""),"Asset Category")</f>
        <v>Asset Category</v>
      </c>
      <c r="H5" s="34" t="str">
        <f>IFERROR(__xludf.DUMMYFUNCTION("""COMPUTED_VALUE"""),"AUEC Fee1")</f>
        <v>AUEC Fee1</v>
      </c>
      <c r="I5" s="34" t="str">
        <f>IFERROR(__xludf.DUMMYFUNCTION("""COMPUTED_VALUE"""),"AUEC Fee2")</f>
        <v>AUEC Fee2</v>
      </c>
      <c r="J5" s="34" t="str">
        <f>IFERROR(__xludf.DUMMYFUNCTION("""COMPUTED_VALUE"""),"AUECID")</f>
        <v>AUECID</v>
      </c>
      <c r="K5" s="34" t="str">
        <f>IFERROR(__xludf.DUMMYFUNCTION("""COMPUTED_VALUE"""),"Avg Price(Base)")</f>
        <v>Avg Price(Base)</v>
      </c>
      <c r="L5" s="34" t="str">
        <f>IFERROR(__xludf.DUMMYFUNCTION("""COMPUTED_VALUE"""),"Avg Price(Local)")</f>
        <v>Avg Price(Local)</v>
      </c>
      <c r="M5" s="34" t="str">
        <f>IFERROR(__xludf.DUMMYFUNCTION("""COMPUTED_VALUE"""),"Bloomberg")</f>
        <v>Bloomberg</v>
      </c>
      <c r="N5" s="34" t="str">
        <f>IFERROR(__xludf.DUMMYFUNCTION("""COMPUTED_VALUE"""),"Bond Type")</f>
        <v>Bond Type</v>
      </c>
      <c r="O5" s="34" t="str">
        <f>IFERROR(__xludf.DUMMYFUNCTION("""COMPUTED_VALUE"""),"Broker")</f>
        <v>Broker</v>
      </c>
      <c r="P5" s="34" t="str">
        <f>IFERROR(__xludf.DUMMYFUNCTION("""COMPUTED_VALUE"""),"Change Comment")</f>
        <v>Change Comment</v>
      </c>
      <c r="Q5" s="34" t="str">
        <f>IFERROR(__xludf.DUMMYFUNCTION("""COMPUTED_VALUE"""),"Change Type")</f>
        <v>Change Type</v>
      </c>
      <c r="R5" s="34" t="str">
        <f>IFERROR(__xludf.DUMMYFUNCTION("""COMPUTED_VALUE"""),"Clearing Broker Fee")</f>
        <v>Clearing Broker Fee</v>
      </c>
      <c r="S5" s="34" t="str">
        <f>IFERROR(__xludf.DUMMYFUNCTION("""COMPUTED_VALUE"""),"Closing Status")</f>
        <v>Closing Status</v>
      </c>
      <c r="T5" s="32" t="str">
        <f>IFERROR(__xludf.DUMMYFUNCTION("""COMPUTED_VALUE"""),"Commission")</f>
        <v>Commission</v>
      </c>
      <c r="U5" s="32" t="str">
        <f>IFERROR(__xludf.DUMMYFUNCTION("""COMPUTED_VALUE"""),"Commission Per Share")</f>
        <v>Commission Per Share</v>
      </c>
      <c r="V5" s="32" t="str">
        <f>IFERROR(__xludf.DUMMYFUNCTION("""COMPUTED_VALUE"""),"Company")</f>
        <v>Company</v>
      </c>
      <c r="W5" s="32" t="str">
        <f>IFERROR(__xludf.DUMMYFUNCTION("""COMPUTED_VALUE"""),"Contract Multiplier")</f>
        <v>Contract Multiplier</v>
      </c>
      <c r="X5" s="32" t="str">
        <f>IFERROR(__xludf.DUMMYFUNCTION("""COMPUTED_VALUE"""),"Coupon Rate")</f>
        <v>Coupon Rate</v>
      </c>
      <c r="Y5" s="32" t="str">
        <f>IFERROR(__xludf.DUMMYFUNCTION("""COMPUTED_VALUE"""),"Cum Qty For Sub Order")</f>
        <v>Cum Qty For Sub Order</v>
      </c>
      <c r="Z5" s="32" t="str">
        <f>IFERROR(__xludf.DUMMYFUNCTION("""COMPUTED_VALUE"""),"Currency")</f>
        <v>Currency</v>
      </c>
      <c r="AA5" s="32" t="str">
        <f>IFERROR(__xludf.DUMMYFUNCTION("""COMPUTED_VALUE"""),"Cusip Symbol")</f>
        <v>Cusip Symbol</v>
      </c>
      <c r="AB5" s="32" t="str">
        <f>IFERROR(__xludf.DUMMYFUNCTION("""COMPUTED_VALUE"""),"Delta")</f>
        <v>Delta</v>
      </c>
      <c r="AC5" s="32" t="str">
        <f>IFERROR(__xludf.DUMMYFUNCTION("""COMPUTED_VALUE"""),"Description")</f>
        <v>Description</v>
      </c>
      <c r="AD5" s="32" t="str">
        <f>IFERROR(__xludf.DUMMYFUNCTION("""COMPUTED_VALUE"""),"Exchange")</f>
        <v>Exchange</v>
      </c>
      <c r="AE5" s="32" t="str">
        <f>IFERROR(__xludf.DUMMYFUNCTION("""COMPUTED_VALUE"""),"Executed Qty")</f>
        <v>Executed Qty</v>
      </c>
      <c r="AF5" s="32" t="str">
        <f>IFERROR(__xludf.DUMMYFUNCTION("""COMPUTED_VALUE"""),"Exceution Time")</f>
        <v>Exceution Time</v>
      </c>
      <c r="AG5" s="32" t="str">
        <f>IFERROR(__xludf.DUMMYFUNCTION("""COMPUTED_VALUE"""),"Expiration Date")</f>
        <v>Expiration Date</v>
      </c>
      <c r="AH5" s="32" t="str">
        <f>IFERROR(__xludf.DUMMYFUNCTION("""COMPUTED_VALUE"""),"FX Conversion Operator")</f>
        <v>FX Conversion Operator</v>
      </c>
      <c r="AI5" s="32" t="str">
        <f>IFERROR(__xludf.DUMMYFUNCTION("""COMPUTED_VALUE"""),"FX Rate")</f>
        <v>FX Rate</v>
      </c>
      <c r="AJ5" s="32" t="str">
        <f>IFERROR(__xludf.DUMMYFUNCTION("""COMPUTED_VALUE"""),"Group Status")</f>
        <v>Group Status</v>
      </c>
      <c r="AK5" s="32" t="str">
        <f>IFERROR(__xludf.DUMMYFUNCTION("""COMPUTED_VALUE"""),"IDCOSymbol")</f>
        <v>IDCOSymbol</v>
      </c>
      <c r="AL5" s="32" t="str">
        <f>IFERROR(__xludf.DUMMYFUNCTION("""COMPUTED_VALUE"""),"Import File Name")</f>
        <v>Import File Name</v>
      </c>
      <c r="AM5" s="32" t="str">
        <f>IFERROR(__xludf.DUMMYFUNCTION("""COMPUTED_VALUE"""),"Internal Comments")</f>
        <v>Internal Comments</v>
      </c>
      <c r="AN5" s="32" t="str">
        <f>IFERROR(__xludf.DUMMYFUNCTION("""COMPUTED_VALUE"""),"IsAnotherTaxlotAttributesUpdated")</f>
        <v>IsAnotherTaxlotAttributesUpdated</v>
      </c>
      <c r="AO5" s="32" t="str">
        <f>IFERROR(__xludf.DUMMYFUNCTION("""COMPUTED_VALUE"""),"ISIN")</f>
        <v>ISIN</v>
      </c>
      <c r="AP5" s="32" t="str">
        <f>IFERROR(__xludf.DUMMYFUNCTION("""COMPUTED_VALUE"""),"IsManual Group")</f>
        <v>IsManual Group</v>
      </c>
      <c r="AQ5" s="32" t="str">
        <f>IFERROR(__xludf.DUMMYFUNCTION("""COMPUTED_VALUE"""),"ISNDF")</f>
        <v>ISNDF</v>
      </c>
      <c r="AR5" s="32" t="str">
        <f>IFERROR(__xludf.DUMMYFUNCTION("""COMPUTED_VALUE"""),"IsPreAllocated")</f>
        <v>IsPreAllocated</v>
      </c>
      <c r="AS5" s="32" t="str">
        <f>IFERROR(__xludf.DUMMYFUNCTION("""COMPUTED_VALUE"""),"M2MProfitLoss")</f>
        <v>M2MProfitLoss</v>
      </c>
      <c r="AT5" s="32" t="str">
        <f>IFERROR(__xludf.DUMMYFUNCTION("""COMPUTED_VALUE"""),"Net Amount( Base)")</f>
        <v>Net Amount( Base)</v>
      </c>
      <c r="AU5" s="32" t="str">
        <f>IFERROR(__xludf.DUMMYFUNCTION("""COMPUTED_VALUE"""),"Net Amount( Local)")</f>
        <v>Net Amount( Local)</v>
      </c>
      <c r="AV5" s="32" t="str">
        <f>IFERROR(__xludf.DUMMYFUNCTION("""COMPUTED_VALUE"""),"Nirvana Process Date")</f>
        <v>Nirvana Process Date</v>
      </c>
      <c r="AW5" s="32" t="str">
        <f>IFERROR(__xludf.DUMMYFUNCTION("""COMPUTED_VALUE"""),"OCC Fee")</f>
        <v>OCC Fee</v>
      </c>
      <c r="AX5" s="32" t="str">
        <f>IFERROR(__xludf.DUMMYFUNCTION("""COMPUTED_VALUE"""),"Option Premium Adjustment")</f>
        <v>Option Premium Adjustment</v>
      </c>
      <c r="AY5" s="32" t="str">
        <f>IFERROR(__xludf.DUMMYFUNCTION("""COMPUTED_VALUE"""),"Order Type")</f>
        <v>Order Type</v>
      </c>
      <c r="AZ5" s="32" t="str">
        <f>IFERROR(__xludf.DUMMYFUNCTION("""COMPUTED_VALUE"""),"ORF Fee")</f>
        <v>ORF Fee</v>
      </c>
      <c r="BA5" s="32" t="str">
        <f>IFERROR(__xludf.DUMMYFUNCTION("""COMPUTED_VALUE"""),"Original Purchase Date")</f>
        <v>Original Purchase Date</v>
      </c>
      <c r="BB5" s="32" t="str">
        <f>IFERROR(__xludf.DUMMYFUNCTION("""COMPUTED_VALUE"""),"OSISSymbol")</f>
        <v>OSISSymbol</v>
      </c>
      <c r="BC5" s="32" t="str">
        <f>IFERROR(__xludf.DUMMYFUNCTION("""COMPUTED_VALUE"""),"Other Broker Fees")</f>
        <v>Other Broker Fees</v>
      </c>
      <c r="BD5" s="32" t="str">
        <f>IFERROR(__xludf.DUMMYFUNCTION("""COMPUTED_VALUE"""),"Prana Msg Type")</f>
        <v>Prana Msg Type</v>
      </c>
      <c r="BE5" s="32" t="str">
        <f>IFERROR(__xludf.DUMMYFUNCTION("""COMPUTED_VALUE"""),"Principal Amount( Base)")</f>
        <v>Principal Amount( Base)</v>
      </c>
      <c r="BF5" s="32" t="str">
        <f>IFERROR(__xludf.DUMMYFUNCTION("""COMPUTED_VALUE"""),"Principal Amount( Local)")</f>
        <v>Principal Amount( Local)</v>
      </c>
      <c r="BG5" s="32" t="str">
        <f>IFERROR(__xludf.DUMMYFUNCTION("""COMPUTED_VALUE"""),"Process Date")</f>
        <v>Process Date</v>
      </c>
      <c r="BH5" s="32" t="str">
        <f>IFERROR(__xludf.DUMMYFUNCTION("""COMPUTED_VALUE"""),"Proxy Symbol")</f>
        <v>Proxy Symbol</v>
      </c>
      <c r="BI5" s="32" t="str">
        <f>IFERROR(__xludf.DUMMYFUNCTION("""COMPUTED_VALUE"""),"Put Or Call")</f>
        <v>Put Or Call</v>
      </c>
      <c r="BJ5" s="32" t="str">
        <f>IFERROR(__xludf.DUMMYFUNCTION("""COMPUTED_VALUE"""),"Quantity")</f>
        <v>Quantity</v>
      </c>
      <c r="BK5" s="32" t="str">
        <f>IFERROR(__xludf.DUMMYFUNCTION("""COMPUTED_VALUE"""),"SEC Fee")</f>
        <v>SEC Fee</v>
      </c>
      <c r="BL5" s="32" t="str">
        <f>IFERROR(__xludf.DUMMYFUNCTION("""COMPUTED_VALUE"""),"Sedol Symbol")</f>
        <v>Sedol Symbol</v>
      </c>
      <c r="BM5" s="32" t="str">
        <f>IFERROR(__xludf.DUMMYFUNCTION("""COMPUTED_VALUE"""),"Settlement Currency")</f>
        <v>Settlement Currency</v>
      </c>
      <c r="BN5" s="32" t="str">
        <f>IFERROR(__xludf.DUMMYFUNCTION("""COMPUTED_VALUE"""),"Settlement Date")</f>
        <v>Settlement Date</v>
      </c>
      <c r="BO5" s="32" t="str">
        <f>IFERROR(__xludf.DUMMYFUNCTION("""COMPUTED_VALUE"""),"Side")</f>
        <v>Side</v>
      </c>
      <c r="BP5" s="32" t="str">
        <f>IFERROR(__xludf.DUMMYFUNCTION("""COMPUTED_VALUE"""),"Soft Commission")</f>
        <v>Soft Commission</v>
      </c>
      <c r="BQ5" s="32" t="str">
        <f>IFERROR(__xludf.DUMMYFUNCTION("""COMPUTED_VALUE"""),"Soft Commission Per Share")</f>
        <v>Soft Commission Per Share</v>
      </c>
      <c r="BR5" s="32" t="str">
        <f>IFERROR(__xludf.DUMMYFUNCTION("""COMPUTED_VALUE"""),"Stamp Duty")</f>
        <v>Stamp Duty</v>
      </c>
      <c r="BS5" s="32" t="str">
        <f>IFERROR(__xludf.DUMMYFUNCTION("""COMPUTED_VALUE"""),"Strategy Name")</f>
        <v>Strategy Name</v>
      </c>
      <c r="BT5" s="32" t="str">
        <f>IFERROR(__xludf.DUMMYFUNCTION("""COMPUTED_VALUE"""),"Symbol")</f>
        <v>Symbol</v>
      </c>
      <c r="BU5" s="32" t="str">
        <f>IFERROR(__xludf.DUMMYFUNCTION("""COMPUTED_VALUE"""),"Tax On Commissions")</f>
        <v>Tax On Commissions</v>
      </c>
      <c r="BV5" s="32" t="str">
        <f>IFERROR(__xludf.DUMMYFUNCTION("""COMPUTED_VALUE"""),"Total Commission")</f>
        <v>Total Commission</v>
      </c>
      <c r="BW5" s="32" t="str">
        <f>IFERROR(__xludf.DUMMYFUNCTION("""COMPUTED_VALUE"""),"Total Commission And Fee")</f>
        <v>Total Commission And Fee</v>
      </c>
      <c r="BX5" s="32" t="str">
        <f>IFERROR(__xludf.DUMMYFUNCTION("""COMPUTED_VALUE"""),"Total Commission Per Share")</f>
        <v>Total Commission Per Share</v>
      </c>
      <c r="BY5" s="32" t="str">
        <f>IFERROR(__xludf.DUMMYFUNCTION("""COMPUTED_VALUE"""),"Trade Attribute 1")</f>
        <v>Trade Attribute 1</v>
      </c>
      <c r="BZ5" s="32" t="str">
        <f>IFERROR(__xludf.DUMMYFUNCTION("""COMPUTED_VALUE"""),"Trade Attribute 2")</f>
        <v>Trade Attribute 2</v>
      </c>
      <c r="CA5" s="32" t="str">
        <f>IFERROR(__xludf.DUMMYFUNCTION("""COMPUTED_VALUE"""),"Trade Attribute 3")</f>
        <v>Trade Attribute 3</v>
      </c>
      <c r="CB5" s="32" t="str">
        <f>IFERROR(__xludf.DUMMYFUNCTION("""COMPUTED_VALUE"""),"Trade Attribute 4")</f>
        <v>Trade Attribute 4</v>
      </c>
      <c r="CC5" s="32" t="str">
        <f>IFERROR(__xludf.DUMMYFUNCTION("""COMPUTED_VALUE"""),"Trade Attribute 5")</f>
        <v>Trade Attribute 5</v>
      </c>
      <c r="CD5" s="32" t="str">
        <f>IFERROR(__xludf.DUMMYFUNCTION("""COMPUTED_VALUE"""),"Trade Attribute 6")</f>
        <v>Trade Attribute 6</v>
      </c>
      <c r="CE5" s="32" t="str">
        <f>IFERROR(__xludf.DUMMYFUNCTION("""COMPUTED_VALUE"""),"Trade Date")</f>
        <v>Trade Date</v>
      </c>
      <c r="CF5" s="32" t="str">
        <f>IFERROR(__xludf.DUMMYFUNCTION("""COMPUTED_VALUE"""),"Trading Account")</f>
        <v>Trading Account</v>
      </c>
      <c r="CG5" s="32" t="str">
        <f>IFERROR(__xludf.DUMMYFUNCTION("""COMPUTED_VALUE"""),"Transaction Levy")</f>
        <v>Transaction Levy</v>
      </c>
      <c r="CH5" s="32" t="str">
        <f>IFERROR(__xludf.DUMMYFUNCTION("""COMPUTED_VALUE"""),"Transaction Source")</f>
        <v>Transaction Source</v>
      </c>
      <c r="CI5" s="32" t="str">
        <f>IFERROR(__xludf.DUMMYFUNCTION("""COMPUTED_VALUE"""),"Transaction Type")</f>
        <v>Transaction Type</v>
      </c>
      <c r="CJ5" s="32" t="str">
        <f>IFERROR(__xludf.DUMMYFUNCTION("""COMPUTED_VALUE"""),"UnAllocatedQty")</f>
        <v>UnAllocatedQty</v>
      </c>
      <c r="CK5" s="32" t="str">
        <f>IFERROR(__xludf.DUMMYFUNCTION("""COMPUTED_VALUE"""),"Underlying")</f>
        <v>Underlying</v>
      </c>
      <c r="CL5" s="32" t="str">
        <f>IFERROR(__xludf.DUMMYFUNCTION("""COMPUTED_VALUE"""),"Underlying Delta")</f>
        <v>Underlying Delta</v>
      </c>
      <c r="CM5" s="32" t="str">
        <f>IFERROR(__xludf.DUMMYFUNCTION("""COMPUTED_VALUE"""),"Underlying Symbol")</f>
        <v>Underlying Symbol</v>
      </c>
      <c r="CN5" s="32" t="str">
        <f>IFERROR(__xludf.DUMMYFUNCTION("""COMPUTED_VALUE"""),"User")</f>
        <v>User</v>
      </c>
      <c r="CO5" s="32" t="str">
        <f>IFERROR(__xludf.DUMMYFUNCTION("""COMPUTED_VALUE"""),"Venue")</f>
        <v>Venue</v>
      </c>
      <c r="CP5" s="32" t="str">
        <f>IFERROR(__xludf.DUMMYFUNCTION("""COMPUTED_VALUE"""),"Closing Method")</f>
        <v>Closing Method</v>
      </c>
      <c r="CQ5" s="32" t="str">
        <f>IFERROR(__xludf.DUMMYFUNCTION("""COMPUTED_VALUE"""),"Closing Date")</f>
        <v>Closing Date</v>
      </c>
      <c r="CR5" s="32" t="str">
        <f>IFERROR(__xludf.DUMMYFUNCTION("""COMPUTED_VALUE"""),"GroupID")</f>
        <v>GroupID</v>
      </c>
      <c r="CS5" s="32" t="str">
        <f>IFERROR(__xludf.DUMMYFUNCTION("""COMPUTED_VALUE"""),"Client")</f>
        <v>Client</v>
      </c>
      <c r="CT5" s="32" t="str">
        <f>IFERROR(__xludf.DUMMYFUNCTION("""COMPUTED_VALUE"""),"Borrow Broker")</f>
        <v>Borrow Broker</v>
      </c>
      <c r="CU5" s="32" t="str">
        <f>IFERROR(__xludf.DUMMYFUNCTION("""COMPUTED_VALUE"""),"ACTIV Symbol")</f>
        <v>ACTIV Symbol</v>
      </c>
      <c r="CV5" s="32" t="str">
        <f>IFERROR(__xludf.DUMMYFUNCTION("""COMPUTED_VALUE"""),"Borrower Id")</f>
        <v>Borrower Id</v>
      </c>
      <c r="CW5" s="32" t="str">
        <f>IFERROR(__xludf.DUMMYFUNCTION("""COMPUTED_VALUE"""),"Borrow Rate(%)")</f>
        <v>Borrow Rate(%)</v>
      </c>
      <c r="CX5" s="32" t="str">
        <f>IFERROR(__xludf.DUMMYFUNCTION("""COMPUTED_VALUE"""),"Master Fund")</f>
        <v>Master Fund</v>
      </c>
      <c r="CY5" s="32" t="str">
        <f>IFERROR(__xludf.DUMMYFUNCTION("""COMPUTED_VALUE"""),"MandatoryColumn")</f>
        <v>MandatoryColumn</v>
      </c>
      <c r="CZ5" s="32" t="str">
        <f>IFERROR(__xludf.DUMMYFUNCTION("""COMPUTED_VALUE"""),"Testing Type")</f>
        <v>Testing Type</v>
      </c>
      <c r="DA5" s="32" t="str">
        <f>IFERROR(__xludf.DUMMYFUNCTION("""COMPUTED_VALUE"""),"Testing Column")</f>
        <v>Testing Column</v>
      </c>
      <c r="DB5" s="32" t="str">
        <f>IFERROR(__xludf.DUMMYFUNCTION("""COMPUTED_VALUE"""),"Testing Col Value")</f>
        <v>Testing Col Value</v>
      </c>
      <c r="DC5" s="32" t="str">
        <f>IFERROR(__xludf.DUMMYFUNCTION("""COMPUTED_VALUE"""),"DuplicateRow")</f>
        <v>DuplicateRow</v>
      </c>
      <c r="DD5" s="32" t="str">
        <f>IFERROR(__xludf.DUMMYFUNCTION("""COMPUTED_VALUE"""),"DuplicateCountOnUI")</f>
        <v>DuplicateCountOnUI</v>
      </c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</row>
    <row r="6" ht="15.75" customHeight="1">
      <c r="A6" s="37" t="s">
        <v>64</v>
      </c>
      <c r="B6" s="37" t="s">
        <v>89</v>
      </c>
      <c r="C6" s="8" t="s">
        <v>65</v>
      </c>
      <c r="D6" s="37">
        <v>0.0</v>
      </c>
      <c r="E6" s="8">
        <v>3000.0</v>
      </c>
      <c r="F6" s="8" t="s">
        <v>66</v>
      </c>
      <c r="G6" s="8" t="s">
        <v>67</v>
      </c>
      <c r="H6" s="8">
        <v>4.0</v>
      </c>
      <c r="I6" s="8">
        <v>5.0</v>
      </c>
      <c r="J6" s="8">
        <v>1.0</v>
      </c>
      <c r="K6" s="8">
        <v>315.325</v>
      </c>
      <c r="L6" s="8">
        <v>315.325</v>
      </c>
      <c r="M6" s="8" t="s">
        <v>68</v>
      </c>
      <c r="N6" s="8" t="s">
        <v>69</v>
      </c>
      <c r="O6" s="8" t="s">
        <v>70</v>
      </c>
      <c r="Q6">
        <v>3.0</v>
      </c>
      <c r="R6">
        <v>0.0</v>
      </c>
      <c r="S6" t="s">
        <v>71</v>
      </c>
      <c r="T6">
        <v>0.0</v>
      </c>
      <c r="U6">
        <v>0.0</v>
      </c>
      <c r="V6" t="s">
        <v>72</v>
      </c>
      <c r="W6">
        <v>1.0</v>
      </c>
      <c r="X6">
        <v>0.0</v>
      </c>
      <c r="Y6" t="s">
        <v>64</v>
      </c>
      <c r="Z6" t="s">
        <v>73</v>
      </c>
      <c r="AB6">
        <v>1.0</v>
      </c>
      <c r="AD6" t="s">
        <v>74</v>
      </c>
      <c r="AE6">
        <v>3000.0</v>
      </c>
      <c r="AF6" t="s">
        <v>64</v>
      </c>
      <c r="AH6" t="s">
        <v>75</v>
      </c>
      <c r="AI6">
        <v>1.0</v>
      </c>
      <c r="AJ6" t="s">
        <v>76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 t="s">
        <v>132</v>
      </c>
      <c r="AU6" t="s">
        <v>132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78</v>
      </c>
      <c r="BE6" t="s">
        <v>133</v>
      </c>
      <c r="BF6" t="s">
        <v>133</v>
      </c>
      <c r="BJ6">
        <v>5000.0</v>
      </c>
      <c r="BK6">
        <v>0.0</v>
      </c>
      <c r="BL6" t="s">
        <v>64</v>
      </c>
      <c r="BM6" t="s">
        <v>73</v>
      </c>
      <c r="BO6" t="s">
        <v>80</v>
      </c>
      <c r="BP6">
        <v>0.0</v>
      </c>
      <c r="BQ6">
        <v>0.0</v>
      </c>
      <c r="BR6">
        <v>0.5297</v>
      </c>
      <c r="BS6" t="s">
        <v>81</v>
      </c>
      <c r="BT6" t="s">
        <v>49</v>
      </c>
      <c r="BU6">
        <v>3.0</v>
      </c>
      <c r="BV6">
        <v>0.0</v>
      </c>
      <c r="BW6">
        <v>14.5297</v>
      </c>
      <c r="BX6">
        <v>0.0</v>
      </c>
      <c r="CF6" t="s">
        <v>82</v>
      </c>
      <c r="CG6">
        <v>2.0</v>
      </c>
      <c r="CI6" t="s">
        <v>80</v>
      </c>
      <c r="CJ6">
        <v>0.0</v>
      </c>
      <c r="CK6" t="s">
        <v>83</v>
      </c>
      <c r="CL6">
        <v>1.0</v>
      </c>
      <c r="CM6" t="s">
        <v>49</v>
      </c>
      <c r="CN6" t="s">
        <v>84</v>
      </c>
      <c r="CO6" t="s">
        <v>74</v>
      </c>
      <c r="CP6" t="s">
        <v>85</v>
      </c>
      <c r="CS6" t="s">
        <v>64</v>
      </c>
      <c r="CW6">
        <v>0.0</v>
      </c>
      <c r="CX6" t="s">
        <v>86</v>
      </c>
      <c r="CY6" t="s">
        <v>64</v>
      </c>
      <c r="CZ6" t="s">
        <v>64</v>
      </c>
      <c r="DA6" t="s">
        <v>64</v>
      </c>
      <c r="DB6" t="s">
        <v>64</v>
      </c>
      <c r="DC6" t="s">
        <v>64</v>
      </c>
      <c r="DD6" t="s">
        <v>64</v>
      </c>
      <c r="DE6" t="s">
        <v>64</v>
      </c>
      <c r="DF6" t="s">
        <v>64</v>
      </c>
      <c r="DG6" t="s">
        <v>64</v>
      </c>
      <c r="DH6" t="s">
        <v>64</v>
      </c>
      <c r="DI6" t="s">
        <v>64</v>
      </c>
      <c r="DJ6" t="s">
        <v>64</v>
      </c>
      <c r="DK6" t="s">
        <v>64</v>
      </c>
      <c r="DL6" t="s">
        <v>64</v>
      </c>
      <c r="DM6" t="s">
        <v>64</v>
      </c>
      <c r="DN6" t="s">
        <v>64</v>
      </c>
      <c r="DO6" t="s">
        <v>64</v>
      </c>
      <c r="DP6" t="s">
        <v>64</v>
      </c>
      <c r="DQ6" t="s">
        <v>64</v>
      </c>
      <c r="DR6" t="s">
        <v>64</v>
      </c>
      <c r="DS6" t="s">
        <v>64</v>
      </c>
      <c r="DT6" t="s">
        <v>64</v>
      </c>
      <c r="DU6" t="s">
        <v>64</v>
      </c>
      <c r="DV6" t="s">
        <v>64</v>
      </c>
      <c r="DW6" t="s">
        <v>64</v>
      </c>
      <c r="DX6" t="s">
        <v>64</v>
      </c>
      <c r="DY6" t="s">
        <v>64</v>
      </c>
      <c r="DZ6" t="s">
        <v>64</v>
      </c>
      <c r="EA6" t="s">
        <v>64</v>
      </c>
      <c r="EB6" t="s">
        <v>64</v>
      </c>
      <c r="EC6" t="s">
        <v>64</v>
      </c>
      <c r="ED6" t="s">
        <v>64</v>
      </c>
      <c r="EE6" t="s">
        <v>64</v>
      </c>
      <c r="EF6" t="s">
        <v>64</v>
      </c>
      <c r="EG6" t="s">
        <v>64</v>
      </c>
      <c r="EH6" t="s">
        <v>64</v>
      </c>
      <c r="EI6" t="s">
        <v>64</v>
      </c>
      <c r="EJ6" t="s">
        <v>64</v>
      </c>
      <c r="EK6" t="s">
        <v>64</v>
      </c>
      <c r="EL6" t="s">
        <v>64</v>
      </c>
      <c r="EM6" t="s">
        <v>64</v>
      </c>
      <c r="EN6" t="s">
        <v>64</v>
      </c>
      <c r="EO6" t="s">
        <v>64</v>
      </c>
      <c r="EP6" t="s">
        <v>64</v>
      </c>
      <c r="EQ6" t="s">
        <v>64</v>
      </c>
      <c r="ER6" t="s">
        <v>64</v>
      </c>
      <c r="ES6" t="s">
        <v>64</v>
      </c>
      <c r="ET6" t="s">
        <v>64</v>
      </c>
      <c r="EU6" t="s">
        <v>64</v>
      </c>
      <c r="EV6" t="s">
        <v>64</v>
      </c>
      <c r="EW6" t="s">
        <v>64</v>
      </c>
      <c r="EX6" t="s">
        <v>64</v>
      </c>
      <c r="EY6" t="s">
        <v>64</v>
      </c>
      <c r="EZ6" t="s">
        <v>64</v>
      </c>
      <c r="FA6" t="s">
        <v>64</v>
      </c>
      <c r="FB6" t="s">
        <v>64</v>
      </c>
      <c r="FC6" t="s">
        <v>64</v>
      </c>
      <c r="FD6" t="s">
        <v>64</v>
      </c>
      <c r="FE6" t="s">
        <v>64</v>
      </c>
      <c r="FF6" t="s">
        <v>64</v>
      </c>
      <c r="FG6" t="s">
        <v>64</v>
      </c>
      <c r="FH6" t="s">
        <v>64</v>
      </c>
      <c r="FI6" t="s">
        <v>64</v>
      </c>
      <c r="FJ6" t="s">
        <v>64</v>
      </c>
      <c r="FK6" t="s">
        <v>64</v>
      </c>
      <c r="FL6" t="s">
        <v>64</v>
      </c>
      <c r="FM6" t="s">
        <v>64</v>
      </c>
      <c r="FN6" t="s">
        <v>64</v>
      </c>
      <c r="FO6" t="s">
        <v>64</v>
      </c>
      <c r="FP6" t="s">
        <v>64</v>
      </c>
      <c r="FQ6" t="s">
        <v>64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64</v>
      </c>
      <c r="B7" s="8" t="s">
        <v>89</v>
      </c>
      <c r="C7" s="8" t="s">
        <v>65</v>
      </c>
      <c r="D7" s="8">
        <v>0.0</v>
      </c>
      <c r="E7" s="8">
        <v>3000.0</v>
      </c>
      <c r="F7" s="8" t="s">
        <v>66</v>
      </c>
      <c r="G7" s="8" t="s">
        <v>67</v>
      </c>
      <c r="H7" s="8">
        <v>4.0</v>
      </c>
      <c r="I7" s="8">
        <v>5.0</v>
      </c>
      <c r="J7" s="8">
        <v>1.0</v>
      </c>
      <c r="K7" s="8">
        <v>315.325</v>
      </c>
      <c r="L7" s="8">
        <v>315.325</v>
      </c>
      <c r="M7" s="8" t="s">
        <v>87</v>
      </c>
      <c r="N7" s="8" t="s">
        <v>69</v>
      </c>
      <c r="O7" s="8" t="s">
        <v>70</v>
      </c>
      <c r="Q7">
        <v>3.0</v>
      </c>
      <c r="R7">
        <v>0.0</v>
      </c>
      <c r="S7" t="s">
        <v>71</v>
      </c>
      <c r="T7">
        <v>0.0</v>
      </c>
      <c r="U7">
        <v>0.0</v>
      </c>
      <c r="V7" t="s">
        <v>88</v>
      </c>
      <c r="W7">
        <v>1.0</v>
      </c>
      <c r="X7">
        <v>0.0</v>
      </c>
      <c r="Y7" t="s">
        <v>64</v>
      </c>
      <c r="Z7" t="s">
        <v>73</v>
      </c>
      <c r="AB7">
        <v>1.0</v>
      </c>
      <c r="AD7" t="s">
        <v>74</v>
      </c>
      <c r="AE7">
        <v>3000.0</v>
      </c>
      <c r="AF7" t="s">
        <v>64</v>
      </c>
      <c r="AH7" t="s">
        <v>75</v>
      </c>
      <c r="AI7">
        <v>1.0</v>
      </c>
      <c r="AJ7" t="s">
        <v>76</v>
      </c>
      <c r="AN7" t="b">
        <v>0</v>
      </c>
      <c r="AP7" t="b">
        <v>0</v>
      </c>
      <c r="AQ7" t="b">
        <v>0</v>
      </c>
      <c r="AR7" t="b">
        <v>0</v>
      </c>
      <c r="AS7">
        <v>0.0</v>
      </c>
      <c r="AT7" t="s">
        <v>132</v>
      </c>
      <c r="AU7" t="s">
        <v>132</v>
      </c>
      <c r="AW7">
        <v>0.0</v>
      </c>
      <c r="AX7">
        <v>0.0</v>
      </c>
      <c r="AY7" t="s">
        <v>38</v>
      </c>
      <c r="AZ7">
        <v>0.0</v>
      </c>
      <c r="BC7">
        <v>0.0</v>
      </c>
      <c r="BD7" t="s">
        <v>78</v>
      </c>
      <c r="BE7" t="s">
        <v>133</v>
      </c>
      <c r="BF7" t="s">
        <v>133</v>
      </c>
      <c r="BJ7">
        <v>5000.0</v>
      </c>
      <c r="BK7">
        <v>0.0</v>
      </c>
      <c r="BL7" t="s">
        <v>64</v>
      </c>
      <c r="BM7" t="s">
        <v>73</v>
      </c>
      <c r="BO7" t="s">
        <v>80</v>
      </c>
      <c r="BP7">
        <v>0.0</v>
      </c>
      <c r="BQ7">
        <v>0.0</v>
      </c>
      <c r="BR7">
        <v>0.5297</v>
      </c>
      <c r="BS7" t="s">
        <v>81</v>
      </c>
      <c r="BT7" t="s">
        <v>53</v>
      </c>
      <c r="BU7">
        <v>3.0</v>
      </c>
      <c r="BV7">
        <v>0.0</v>
      </c>
      <c r="BW7">
        <v>14.5297</v>
      </c>
      <c r="BX7">
        <v>0.0</v>
      </c>
      <c r="CF7" t="s">
        <v>82</v>
      </c>
      <c r="CG7">
        <v>2.0</v>
      </c>
      <c r="CI7" t="s">
        <v>80</v>
      </c>
      <c r="CJ7">
        <v>0.0</v>
      </c>
      <c r="CK7" t="s">
        <v>83</v>
      </c>
      <c r="CL7">
        <v>1.0</v>
      </c>
      <c r="CM7" t="s">
        <v>53</v>
      </c>
      <c r="CN7" t="s">
        <v>84</v>
      </c>
      <c r="CO7" t="s">
        <v>74</v>
      </c>
      <c r="CP7" t="s">
        <v>85</v>
      </c>
      <c r="CS7" t="s">
        <v>64</v>
      </c>
      <c r="CW7">
        <v>0.0</v>
      </c>
      <c r="CX7" t="s">
        <v>86</v>
      </c>
      <c r="CY7" t="s">
        <v>64</v>
      </c>
      <c r="CZ7" t="s">
        <v>64</v>
      </c>
      <c r="DA7" t="s">
        <v>64</v>
      </c>
      <c r="DB7" t="s">
        <v>64</v>
      </c>
      <c r="DC7" t="s">
        <v>64</v>
      </c>
      <c r="DD7" t="s">
        <v>64</v>
      </c>
      <c r="DE7" t="s">
        <v>64</v>
      </c>
      <c r="DF7" t="s">
        <v>64</v>
      </c>
      <c r="DG7" t="s">
        <v>64</v>
      </c>
      <c r="DH7" t="s">
        <v>64</v>
      </c>
      <c r="DI7" t="s">
        <v>64</v>
      </c>
      <c r="DJ7" t="s">
        <v>64</v>
      </c>
      <c r="DK7" t="s">
        <v>64</v>
      </c>
      <c r="DL7" t="s">
        <v>64</v>
      </c>
      <c r="DM7" t="s">
        <v>64</v>
      </c>
      <c r="DN7" t="s">
        <v>64</v>
      </c>
      <c r="DO7" t="s">
        <v>64</v>
      </c>
      <c r="DP7" t="s">
        <v>64</v>
      </c>
      <c r="DQ7" t="s">
        <v>64</v>
      </c>
      <c r="DR7" t="s">
        <v>64</v>
      </c>
      <c r="DS7" t="s">
        <v>64</v>
      </c>
      <c r="DT7" t="s">
        <v>64</v>
      </c>
      <c r="DU7" t="s">
        <v>64</v>
      </c>
      <c r="DV7" t="s">
        <v>64</v>
      </c>
      <c r="DW7" t="s">
        <v>64</v>
      </c>
      <c r="DX7" t="s">
        <v>64</v>
      </c>
      <c r="DY7" t="s">
        <v>64</v>
      </c>
      <c r="DZ7" t="s">
        <v>64</v>
      </c>
      <c r="EA7" t="s">
        <v>64</v>
      </c>
      <c r="EB7" t="s">
        <v>64</v>
      </c>
      <c r="EC7" t="s">
        <v>64</v>
      </c>
      <c r="ED7" t="s">
        <v>64</v>
      </c>
      <c r="EE7" t="s">
        <v>64</v>
      </c>
      <c r="EF7" t="s">
        <v>64</v>
      </c>
      <c r="EG7" t="s">
        <v>64</v>
      </c>
      <c r="EH7" t="s">
        <v>64</v>
      </c>
      <c r="EI7" t="s">
        <v>64</v>
      </c>
      <c r="EJ7" t="s">
        <v>64</v>
      </c>
      <c r="EK7" t="s">
        <v>64</v>
      </c>
      <c r="EL7" t="s">
        <v>64</v>
      </c>
      <c r="EM7" t="s">
        <v>64</v>
      </c>
      <c r="EN7" t="s">
        <v>64</v>
      </c>
      <c r="EO7" t="s">
        <v>64</v>
      </c>
      <c r="EP7" t="s">
        <v>64</v>
      </c>
      <c r="EQ7" t="s">
        <v>64</v>
      </c>
      <c r="ER7" t="s">
        <v>64</v>
      </c>
      <c r="ES7" t="s">
        <v>64</v>
      </c>
      <c r="ET7" t="s">
        <v>64</v>
      </c>
      <c r="EU7" t="s">
        <v>64</v>
      </c>
      <c r="EV7" t="s">
        <v>64</v>
      </c>
      <c r="EW7" t="s">
        <v>64</v>
      </c>
      <c r="EX7" t="s">
        <v>64</v>
      </c>
      <c r="EY7" t="s">
        <v>64</v>
      </c>
      <c r="EZ7" t="s">
        <v>64</v>
      </c>
      <c r="FA7" t="s">
        <v>64</v>
      </c>
      <c r="FB7" t="s">
        <v>64</v>
      </c>
      <c r="FC7" t="s">
        <v>64</v>
      </c>
      <c r="FD7" t="s">
        <v>64</v>
      </c>
      <c r="FE7" t="s">
        <v>64</v>
      </c>
      <c r="FF7" t="s">
        <v>64</v>
      </c>
      <c r="FG7" t="s">
        <v>64</v>
      </c>
      <c r="FH7" t="s">
        <v>64</v>
      </c>
      <c r="FI7" t="s">
        <v>64</v>
      </c>
      <c r="FJ7" t="s">
        <v>64</v>
      </c>
      <c r="FK7" t="s">
        <v>64</v>
      </c>
      <c r="FL7" t="s">
        <v>64</v>
      </c>
      <c r="FM7" t="s">
        <v>64</v>
      </c>
      <c r="FN7" t="s">
        <v>64</v>
      </c>
      <c r="FO7" t="s">
        <v>64</v>
      </c>
      <c r="FP7" t="s">
        <v>64</v>
      </c>
      <c r="FQ7" t="s">
        <v>64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134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IFERROR(__xludf.DUMMYFUNCTION("""COMPUTED_VALUE"""),"Symbol")</f>
        <v>Symbol</v>
      </c>
      <c r="C5" s="34" t="str">
        <f>IFERROR(__xludf.DUMMYFUNCTION("""COMPUTED_VALUE"""),"Side")</f>
        <v>Side</v>
      </c>
      <c r="D5" s="34" t="str">
        <f>IFERROR(__xludf.DUMMYFUNCTION("""COMPUTED_VALUE"""),"Quantity")</f>
        <v>Quantity</v>
      </c>
      <c r="E5" s="34" t="str">
        <f>IFERROR(__xludf.DUMMYFUNCTION("""COMPUTED_VALUE"""),"Executed Qty")</f>
        <v>Executed Qty</v>
      </c>
      <c r="F5" s="35" t="str">
        <f>IFERROR(__xludf.DUMMYFUNCTION("""COMPUTED_VALUE"""),"Unexecuted Qty")</f>
        <v>Unexecuted Qty</v>
      </c>
      <c r="G5" s="34" t="str">
        <f>IFERROR(__xludf.DUMMYFUNCTION("""COMPUTED_VALUE"""),"Status")</f>
        <v>Status</v>
      </c>
      <c r="H5" s="34" t="str">
        <f>IFERROR(__xludf.DUMMYFUNCTION("""COMPUTED_VALUE"""),"Last Shares")</f>
        <v>Last Shares</v>
      </c>
      <c r="I5" s="34" t="str">
        <f>IFERROR(__xludf.DUMMYFUNCTION("""COMPUTED_VALUE"""),"Last Fill Price (Local)")</f>
        <v>Last Fill Price (Local)</v>
      </c>
      <c r="J5" s="34" t="str">
        <f>IFERROR(__xludf.DUMMYFUNCTION("""COMPUTED_VALUE"""),"Avg Fill Price (Local)")</f>
        <v>Avg Fill Price (Local)</v>
      </c>
      <c r="K5" s="34" t="str">
        <f>IFERROR(__xludf.DUMMYFUNCTION("""COMPUTED_VALUE"""),"Broker")</f>
        <v>Broker</v>
      </c>
      <c r="L5" s="34" t="str">
        <f>IFERROR(__xludf.DUMMYFUNCTION("""COMPUTED_VALUE"""),"Account")</f>
        <v>Account</v>
      </c>
      <c r="M5" s="34" t="str">
        <f>IFERROR(__xludf.DUMMYFUNCTION("""COMPUTED_VALUE"""),"Order Type")</f>
        <v>Order Type</v>
      </c>
      <c r="N5" s="34" t="str">
        <f>IFERROR(__xludf.DUMMYFUNCTION("""COMPUTED_VALUE"""),"OrderStatus")</f>
        <v>OrderStatus</v>
      </c>
      <c r="O5" s="34" t="str">
        <f>IFERROR(__xludf.DUMMYFUNCTION("""COMPUTED_VALUE"""),"Avg Fill Price (Base)")</f>
        <v>Avg Fill Price (Base)</v>
      </c>
      <c r="P5" s="34" t="str">
        <f>IFERROR(__xludf.DUMMYFUNCTION("""COMPUTED_VALUE"""),"Limit Price")</f>
        <v>Limit Price</v>
      </c>
      <c r="Q5" s="34" t="str">
        <f>IFERROR(__xludf.DUMMYFUNCTION("""COMPUTED_VALUE"""),"Stop Price")</f>
        <v>Stop Price</v>
      </c>
      <c r="R5" s="34" t="str">
        <f>IFERROR(__xludf.DUMMYFUNCTION("""COMPUTED_VALUE"""),"Actual User")</f>
        <v>Actual User</v>
      </c>
      <c r="S5" s="34" t="str">
        <f>IFERROR(__xludf.DUMMYFUNCTION("""COMPUTED_VALUE"""),"Bloomberg Symbol")</f>
        <v>Bloomberg Symbol</v>
      </c>
      <c r="T5" s="32" t="str">
        <f>IFERROR(__xludf.DUMMYFUNCTION("""COMPUTED_VALUE"""),"Algo")</f>
        <v>Algo</v>
      </c>
      <c r="U5" s="32" t="str">
        <f>IFERROR(__xludf.DUMMYFUNCTION("""COMPUTED_VALUE"""),"Allocation Scheme Name")</f>
        <v>Allocation Scheme Name</v>
      </c>
      <c r="V5" s="32" t="str">
        <f>IFERROR(__xludf.DUMMYFUNCTION("""COMPUTED_VALUE"""),"Allocation Status")</f>
        <v>Allocation Status</v>
      </c>
      <c r="W5" s="32" t="str">
        <f>IFERROR(__xludf.DUMMYFUNCTION("""COMPUTED_VALUE"""),"Asset Class")</f>
        <v>Asset Class</v>
      </c>
      <c r="X5" s="32" t="str">
        <f>IFERROR(__xludf.DUMMYFUNCTION("""COMPUTED_VALUE"""),"FX Conversion Operator")</f>
        <v>FX Conversion Operator</v>
      </c>
      <c r="Y5" s="32" t="str">
        <f>IFERROR(__xludf.DUMMYFUNCTION("""COMPUTED_VALUE"""),"FX Rate")</f>
        <v>FX Rate</v>
      </c>
      <c r="Z5" s="32" t="str">
        <f>IFERROR(__xludf.DUMMYFUNCTION("""COMPUTED_VALUE"""),"Imported File Name")</f>
        <v>Imported File Name</v>
      </c>
      <c r="AA5" s="32" t="str">
        <f>IFERROR(__xludf.DUMMYFUNCTION("""COMPUTED_VALUE"""),"Internal Comments")</f>
        <v>Internal Comments</v>
      </c>
      <c r="AB5" s="32" t="str">
        <f>IFERROR(__xludf.DUMMYFUNCTION("""COMPUTED_VALUE"""),"Peg")</f>
        <v>Peg</v>
      </c>
      <c r="AC5" s="32" t="str">
        <f>IFERROR(__xludf.DUMMYFUNCTION("""COMPUTED_VALUE"""),"Principal Amount (Base)")</f>
        <v>Principal Amount (Base)</v>
      </c>
      <c r="AD5" s="32" t="str">
        <f>IFERROR(__xludf.DUMMYFUNCTION("""COMPUTED_VALUE"""),"Principal Amount (Local)")</f>
        <v>Principal Amount (Local)</v>
      </c>
      <c r="AE5" s="32" t="str">
        <f>IFERROR(__xludf.DUMMYFUNCTION("""COMPUTED_VALUE"""),"Process Date")</f>
        <v>Process Date</v>
      </c>
      <c r="AF5" s="32" t="str">
        <f>IFERROR(__xludf.DUMMYFUNCTION("""COMPUTED_VALUE"""),"Put/Call")</f>
        <v>Put/Call</v>
      </c>
      <c r="AG5" s="32" t="str">
        <f>IFERROR(__xludf.DUMMYFUNCTION("""COMPUTED_VALUE"""),"Settlement Currency")</f>
        <v>Settlement Currency</v>
      </c>
      <c r="AH5" s="32" t="str">
        <f>IFERROR(__xludf.DUMMYFUNCTION("""COMPUTED_VALUE"""),"Source")</f>
        <v>Source</v>
      </c>
      <c r="AI5" s="32" t="str">
        <f>IFERROR(__xludf.DUMMYFUNCTION("""COMPUTED_VALUE"""),"Status (With Rollover)")</f>
        <v>Status (With Rollover)</v>
      </c>
      <c r="AJ5" s="32" t="str">
        <f>IFERROR(__xludf.DUMMYFUNCTION("""COMPUTED_VALUE"""),"Strategy")</f>
        <v>Strategy</v>
      </c>
      <c r="AK5" s="32" t="str">
        <f>IFERROR(__xludf.DUMMYFUNCTION("""COMPUTED_VALUE"""),"Strike Price")</f>
        <v>Strike Price</v>
      </c>
      <c r="AL5" s="32" t="str">
        <f>IFERROR(__xludf.DUMMYFUNCTION("""COMPUTED_VALUE"""),"Trade Attribute 1")</f>
        <v>Trade Attribute 1</v>
      </c>
      <c r="AM5" s="32" t="str">
        <f>IFERROR(__xludf.DUMMYFUNCTION("""COMPUTED_VALUE"""),"Trade Attribute 2")</f>
        <v>Trade Attribute 2</v>
      </c>
      <c r="AN5" s="32" t="str">
        <f>IFERROR(__xludf.DUMMYFUNCTION("""COMPUTED_VALUE"""),"Trade Attribute 3")</f>
        <v>Trade Attribute 3</v>
      </c>
      <c r="AO5" s="32" t="str">
        <f>IFERROR(__xludf.DUMMYFUNCTION("""COMPUTED_VALUE"""),"Trade Attribute 4")</f>
        <v>Trade Attribute 4</v>
      </c>
      <c r="AP5" s="32" t="str">
        <f>IFERROR(__xludf.DUMMYFUNCTION("""COMPUTED_VALUE"""),"Trade Attribute 5")</f>
        <v>Trade Attribute 5</v>
      </c>
      <c r="AQ5" s="32" t="str">
        <f>IFERROR(__xludf.DUMMYFUNCTION("""COMPUTED_VALUE"""),"Trade Attribute 6")</f>
        <v>Trade Attribute 6</v>
      </c>
      <c r="AR5" s="32" t="str">
        <f>IFERROR(__xludf.DUMMYFUNCTION("""COMPUTED_VALUE"""),"Trader")</f>
        <v>Trader</v>
      </c>
      <c r="AS5" s="32" t="str">
        <f>IFERROR(__xludf.DUMMYFUNCTION("""COMPUTED_VALUE"""),"Transaction Time")</f>
        <v>Transaction Time</v>
      </c>
      <c r="AT5" s="32" t="str">
        <f>IFERROR(__xludf.DUMMYFUNCTION("""COMPUTED_VALUE"""),"Underlying Country")</f>
        <v>Underlying Country</v>
      </c>
      <c r="AU5" s="32" t="str">
        <f>IFERROR(__xludf.DUMMYFUNCTION("""COMPUTED_VALUE"""),"Underlying Symbol")</f>
        <v>Underlying Symbol</v>
      </c>
      <c r="AV5" s="32" t="str">
        <f>IFERROR(__xludf.DUMMYFUNCTION("""COMPUTED_VALUE"""),"Venue")</f>
        <v>Venue</v>
      </c>
      <c r="AW5" s="32" t="str">
        <f>IFERROR(__xludf.DUMMYFUNCTION("""COMPUTED_VALUE"""),"Working Qty")</f>
        <v>Working Qty</v>
      </c>
      <c r="AX5" s="32" t="str">
        <f>IFERROR(__xludf.DUMMYFUNCTION("""COMPUTED_VALUE"""),"Client")</f>
        <v>Client</v>
      </c>
      <c r="AY5" s="32" t="str">
        <f>IFERROR(__xludf.DUMMYFUNCTION("""COMPUTED_VALUE"""),"OrderID")</f>
        <v>OrderID</v>
      </c>
      <c r="AZ5" s="32" t="str">
        <f>IFERROR(__xludf.DUMMYFUNCTION("""COMPUTED_VALUE"""),"ParentClOrderID")</f>
        <v>ParentClOrderID</v>
      </c>
      <c r="BA5" s="32" t="str">
        <f>IFERROR(__xludf.DUMMYFUNCTION("""COMPUTED_VALUE"""),"Master Fund")</f>
        <v>Master Fund</v>
      </c>
      <c r="BB5" s="32" t="str">
        <f>IFERROR(__xludf.DUMMYFUNCTION("""COMPUTED_VALUE"""),"Current User")</f>
        <v>Current User</v>
      </c>
      <c r="BC5" s="32" t="str">
        <f>IFERROR(__xludf.DUMMYFUNCTION("""COMPUTED_VALUE"""),"% Completed")</f>
        <v>% Completed</v>
      </c>
      <c r="BD5" s="32" t="str">
        <f>IFERROR(__xludf.DUMMYFUNCTION("""COMPUTED_VALUE"""),"isRowCountCheck")</f>
        <v>isRowCountCheck</v>
      </c>
      <c r="BE5" s="32" t="str">
        <f>IFERROR(__xludf.DUMMYFUNCTION("""COMPUTED_VALUE"""),"MandatoryColumn")</f>
        <v>MandatoryColumn</v>
      </c>
      <c r="BF5" s="32" t="str">
        <f>IFERROR(__xludf.DUMMYFUNCTION("""COMPUTED_VALUE"""),"Testing Type")</f>
        <v>Testing Type</v>
      </c>
      <c r="BG5" s="32" t="str">
        <f>IFERROR(__xludf.DUMMYFUNCTION("""COMPUTED_VALUE"""),"Testing Column")</f>
        <v>Testing Column</v>
      </c>
      <c r="BH5" s="32" t="str">
        <f>IFERROR(__xludf.DUMMYFUNCTION("""COMPUTED_VALUE"""),"Testing Col Value")</f>
        <v>Testing Col Value</v>
      </c>
      <c r="BI5" s="32" t="str">
        <f>IFERROR(__xludf.DUMMYFUNCTION("""COMPUTED_VALUE"""),"DuplicateRow")</f>
        <v>DuplicateRow</v>
      </c>
      <c r="BJ5" s="32" t="str">
        <f>IFERROR(__xludf.DUMMYFUNCTION("""COMPUTED_VALUE"""),"DuplicateCountOnUI")</f>
        <v>DuplicateCountOnUI</v>
      </c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</row>
    <row r="6" ht="15.75" customHeight="1">
      <c r="A6" s="37" t="s">
        <v>64</v>
      </c>
      <c r="B6" s="37" t="s">
        <v>49</v>
      </c>
      <c r="C6" s="8" t="s">
        <v>80</v>
      </c>
      <c r="D6" s="37">
        <v>5000.0</v>
      </c>
      <c r="E6" s="8">
        <v>3000.0</v>
      </c>
      <c r="F6" s="8" t="s">
        <v>64</v>
      </c>
      <c r="G6" s="8" t="s">
        <v>131</v>
      </c>
      <c r="H6" s="8" t="s">
        <v>64</v>
      </c>
      <c r="I6" s="8" t="s">
        <v>64</v>
      </c>
      <c r="J6" s="8" t="s">
        <v>64</v>
      </c>
      <c r="K6" s="8" t="s">
        <v>70</v>
      </c>
      <c r="L6" s="8" t="s">
        <v>89</v>
      </c>
      <c r="M6" s="8"/>
      <c r="N6" s="8" t="s">
        <v>64</v>
      </c>
      <c r="O6" s="8" t="s">
        <v>64</v>
      </c>
      <c r="P6" t="s">
        <v>64</v>
      </c>
      <c r="Q6" t="s">
        <v>64</v>
      </c>
      <c r="R6" t="s">
        <v>84</v>
      </c>
      <c r="S6" t="s">
        <v>68</v>
      </c>
      <c r="V6" t="s">
        <v>64</v>
      </c>
      <c r="W6" t="s">
        <v>67</v>
      </c>
      <c r="AF6" t="s">
        <v>64</v>
      </c>
      <c r="AG6" t="s">
        <v>73</v>
      </c>
      <c r="AH6" t="s">
        <v>64</v>
      </c>
      <c r="AJ6" t="s">
        <v>64</v>
      </c>
      <c r="AK6" t="s">
        <v>64</v>
      </c>
      <c r="AR6" t="s">
        <v>82</v>
      </c>
      <c r="AT6" t="s">
        <v>64</v>
      </c>
      <c r="AU6" t="s">
        <v>49</v>
      </c>
      <c r="AV6" t="s">
        <v>74</v>
      </c>
      <c r="AW6">
        <v>2000.0</v>
      </c>
      <c r="AX6" t="s">
        <v>64</v>
      </c>
      <c r="AY6" t="s">
        <v>64</v>
      </c>
      <c r="AZ6" t="s">
        <v>64</v>
      </c>
      <c r="BB6" t="s">
        <v>84</v>
      </c>
      <c r="BC6" t="s">
        <v>64</v>
      </c>
      <c r="BD6" t="s">
        <v>64</v>
      </c>
      <c r="BE6" t="s">
        <v>64</v>
      </c>
      <c r="BF6" t="s">
        <v>64</v>
      </c>
      <c r="BG6" t="s">
        <v>64</v>
      </c>
      <c r="BH6" t="s">
        <v>64</v>
      </c>
      <c r="BI6" t="s">
        <v>64</v>
      </c>
      <c r="BJ6" t="s">
        <v>64</v>
      </c>
      <c r="BK6" t="s">
        <v>64</v>
      </c>
      <c r="BL6" t="s">
        <v>64</v>
      </c>
      <c r="BM6" t="s">
        <v>64</v>
      </c>
      <c r="BN6" t="s">
        <v>64</v>
      </c>
      <c r="BO6" t="s">
        <v>64</v>
      </c>
      <c r="BP6" t="s">
        <v>64</v>
      </c>
      <c r="BQ6" t="s">
        <v>64</v>
      </c>
      <c r="BR6" t="s">
        <v>64</v>
      </c>
      <c r="BS6" t="s">
        <v>64</v>
      </c>
      <c r="BT6" t="s">
        <v>64</v>
      </c>
      <c r="BU6" t="s">
        <v>64</v>
      </c>
      <c r="BV6" t="s">
        <v>64</v>
      </c>
      <c r="BW6" t="s">
        <v>64</v>
      </c>
      <c r="BX6" t="s">
        <v>64</v>
      </c>
      <c r="BY6" t="s">
        <v>64</v>
      </c>
      <c r="BZ6" t="s">
        <v>64</v>
      </c>
      <c r="CA6" t="s">
        <v>64</v>
      </c>
      <c r="CB6" t="s">
        <v>64</v>
      </c>
      <c r="CC6" t="s">
        <v>64</v>
      </c>
      <c r="CD6" t="s">
        <v>64</v>
      </c>
      <c r="CE6" t="s">
        <v>64</v>
      </c>
      <c r="CF6" t="s">
        <v>64</v>
      </c>
      <c r="CG6" t="s">
        <v>64</v>
      </c>
      <c r="CH6" t="s">
        <v>64</v>
      </c>
      <c r="CI6" t="s">
        <v>64</v>
      </c>
      <c r="CJ6" t="s">
        <v>64</v>
      </c>
      <c r="CK6" t="s">
        <v>64</v>
      </c>
      <c r="CL6" t="s">
        <v>64</v>
      </c>
      <c r="CM6" t="s">
        <v>64</v>
      </c>
      <c r="CN6" t="s">
        <v>64</v>
      </c>
      <c r="CO6" t="s">
        <v>64</v>
      </c>
      <c r="CP6" t="s">
        <v>64</v>
      </c>
      <c r="CQ6" t="s">
        <v>64</v>
      </c>
      <c r="CR6" t="s">
        <v>64</v>
      </c>
      <c r="CS6" t="s">
        <v>64</v>
      </c>
      <c r="CT6" t="s">
        <v>64</v>
      </c>
      <c r="CU6" t="s">
        <v>64</v>
      </c>
      <c r="CV6" t="s">
        <v>64</v>
      </c>
      <c r="CW6" t="s">
        <v>64</v>
      </c>
      <c r="CX6" t="s">
        <v>64</v>
      </c>
      <c r="CY6" t="s">
        <v>64</v>
      </c>
      <c r="CZ6" t="s">
        <v>64</v>
      </c>
      <c r="DA6" t="s">
        <v>64</v>
      </c>
      <c r="DB6" t="s">
        <v>64</v>
      </c>
      <c r="DC6" t="s">
        <v>64</v>
      </c>
      <c r="DD6" t="s">
        <v>64</v>
      </c>
      <c r="DE6" t="s">
        <v>64</v>
      </c>
      <c r="DF6" t="s">
        <v>64</v>
      </c>
      <c r="DG6" t="s">
        <v>64</v>
      </c>
      <c r="DH6" t="s">
        <v>64</v>
      </c>
      <c r="DI6" t="s">
        <v>64</v>
      </c>
      <c r="DJ6" t="s">
        <v>64</v>
      </c>
      <c r="DK6" t="s">
        <v>64</v>
      </c>
      <c r="DL6" t="s">
        <v>64</v>
      </c>
      <c r="DM6" t="s">
        <v>64</v>
      </c>
      <c r="DN6" t="s">
        <v>64</v>
      </c>
      <c r="DO6" t="s">
        <v>64</v>
      </c>
      <c r="DP6" t="s">
        <v>64</v>
      </c>
      <c r="DQ6" t="s">
        <v>64</v>
      </c>
      <c r="DR6" t="s">
        <v>64</v>
      </c>
      <c r="DS6" t="s">
        <v>64</v>
      </c>
      <c r="DT6" t="s">
        <v>64</v>
      </c>
      <c r="DU6" t="s">
        <v>64</v>
      </c>
      <c r="DV6" t="s">
        <v>64</v>
      </c>
      <c r="DW6" t="s">
        <v>64</v>
      </c>
      <c r="DX6" t="s">
        <v>64</v>
      </c>
      <c r="DY6" t="s">
        <v>64</v>
      </c>
      <c r="DZ6" t="s">
        <v>64</v>
      </c>
      <c r="EA6" t="s">
        <v>64</v>
      </c>
      <c r="EB6" t="s">
        <v>64</v>
      </c>
      <c r="EC6" t="s">
        <v>64</v>
      </c>
      <c r="ED6" t="s">
        <v>64</v>
      </c>
      <c r="EE6" t="s">
        <v>64</v>
      </c>
      <c r="EF6" t="s">
        <v>64</v>
      </c>
      <c r="EG6" t="s">
        <v>64</v>
      </c>
      <c r="EH6" t="s">
        <v>64</v>
      </c>
      <c r="EI6" t="s">
        <v>64</v>
      </c>
      <c r="EJ6" t="s">
        <v>64</v>
      </c>
      <c r="EK6" t="s">
        <v>64</v>
      </c>
      <c r="EL6" t="s">
        <v>64</v>
      </c>
      <c r="EM6" t="s">
        <v>64</v>
      </c>
      <c r="EN6" t="s">
        <v>64</v>
      </c>
      <c r="EO6" t="s">
        <v>64</v>
      </c>
      <c r="EP6" t="s">
        <v>64</v>
      </c>
      <c r="EQ6" t="s">
        <v>64</v>
      </c>
      <c r="ER6" t="s">
        <v>64</v>
      </c>
      <c r="ES6" t="s">
        <v>64</v>
      </c>
      <c r="ET6" t="s">
        <v>64</v>
      </c>
      <c r="EU6" t="s">
        <v>64</v>
      </c>
      <c r="EV6" t="s">
        <v>64</v>
      </c>
      <c r="EW6" t="s">
        <v>64</v>
      </c>
      <c r="EX6" t="s">
        <v>64</v>
      </c>
      <c r="EY6" t="s">
        <v>64</v>
      </c>
      <c r="EZ6" t="s">
        <v>64</v>
      </c>
      <c r="FA6" t="s">
        <v>64</v>
      </c>
      <c r="FB6" t="s">
        <v>64</v>
      </c>
      <c r="FC6" t="s">
        <v>64</v>
      </c>
      <c r="FD6" t="s">
        <v>64</v>
      </c>
      <c r="FE6" t="s">
        <v>64</v>
      </c>
      <c r="FF6" t="s">
        <v>64</v>
      </c>
      <c r="FG6" t="s">
        <v>64</v>
      </c>
      <c r="FH6" t="s">
        <v>64</v>
      </c>
      <c r="FI6" t="s">
        <v>64</v>
      </c>
      <c r="FJ6" t="s">
        <v>64</v>
      </c>
      <c r="FK6" t="s">
        <v>64</v>
      </c>
      <c r="FL6" t="s">
        <v>64</v>
      </c>
      <c r="FM6" t="s">
        <v>64</v>
      </c>
      <c r="FN6" t="s">
        <v>64</v>
      </c>
      <c r="FO6" t="s">
        <v>64</v>
      </c>
      <c r="FP6" t="s">
        <v>64</v>
      </c>
      <c r="FQ6" t="s">
        <v>64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 t="s">
        <v>64</v>
      </c>
      <c r="B7" s="8" t="s">
        <v>53</v>
      </c>
      <c r="C7" s="8" t="s">
        <v>80</v>
      </c>
      <c r="D7" s="8">
        <v>5000.0</v>
      </c>
      <c r="E7" s="8">
        <v>3000.0</v>
      </c>
      <c r="F7" s="8" t="s">
        <v>64</v>
      </c>
      <c r="G7" s="8" t="s">
        <v>131</v>
      </c>
      <c r="H7" s="8" t="s">
        <v>64</v>
      </c>
      <c r="I7" s="8" t="s">
        <v>64</v>
      </c>
      <c r="J7" s="8" t="s">
        <v>64</v>
      </c>
      <c r="K7" s="8" t="s">
        <v>70</v>
      </c>
      <c r="L7" s="8" t="s">
        <v>89</v>
      </c>
      <c r="M7" s="8"/>
      <c r="N7" s="8" t="s">
        <v>64</v>
      </c>
      <c r="O7" s="8" t="s">
        <v>64</v>
      </c>
      <c r="P7" t="s">
        <v>64</v>
      </c>
      <c r="Q7" t="s">
        <v>64</v>
      </c>
      <c r="R7" t="s">
        <v>84</v>
      </c>
      <c r="S7" t="s">
        <v>87</v>
      </c>
      <c r="V7" t="s">
        <v>64</v>
      </c>
      <c r="W7" t="s">
        <v>67</v>
      </c>
      <c r="AF7" t="s">
        <v>64</v>
      </c>
      <c r="AG7" t="s">
        <v>73</v>
      </c>
      <c r="AH7" t="s">
        <v>64</v>
      </c>
      <c r="AJ7" t="s">
        <v>64</v>
      </c>
      <c r="AK7" t="s">
        <v>64</v>
      </c>
      <c r="AR7" t="s">
        <v>82</v>
      </c>
      <c r="AT7" t="s">
        <v>64</v>
      </c>
      <c r="AU7" t="s">
        <v>53</v>
      </c>
      <c r="AV7" t="s">
        <v>74</v>
      </c>
      <c r="AW7">
        <v>2000.0</v>
      </c>
      <c r="AX7" t="s">
        <v>64</v>
      </c>
      <c r="AY7" t="s">
        <v>64</v>
      </c>
      <c r="AZ7" t="s">
        <v>64</v>
      </c>
      <c r="BB7" t="s">
        <v>84</v>
      </c>
      <c r="BC7" t="s">
        <v>64</v>
      </c>
      <c r="BD7" t="s">
        <v>64</v>
      </c>
      <c r="BE7" t="s">
        <v>64</v>
      </c>
      <c r="BF7" t="s">
        <v>64</v>
      </c>
      <c r="BG7" t="s">
        <v>64</v>
      </c>
      <c r="BH7" t="s">
        <v>64</v>
      </c>
      <c r="BI7" t="s">
        <v>64</v>
      </c>
      <c r="BJ7" t="s">
        <v>64</v>
      </c>
      <c r="BK7" t="s">
        <v>64</v>
      </c>
      <c r="BL7" t="s">
        <v>64</v>
      </c>
      <c r="BM7" t="s">
        <v>64</v>
      </c>
      <c r="BN7" t="s">
        <v>64</v>
      </c>
      <c r="BO7" t="s">
        <v>64</v>
      </c>
      <c r="BP7" t="s">
        <v>64</v>
      </c>
      <c r="BQ7" t="s">
        <v>64</v>
      </c>
      <c r="BR7" t="s">
        <v>64</v>
      </c>
      <c r="BS7" t="s">
        <v>64</v>
      </c>
      <c r="BT7" t="s">
        <v>64</v>
      </c>
      <c r="BU7" t="s">
        <v>64</v>
      </c>
      <c r="BV7" t="s">
        <v>64</v>
      </c>
      <c r="BW7" t="s">
        <v>64</v>
      </c>
      <c r="BX7" t="s">
        <v>64</v>
      </c>
      <c r="BY7" t="s">
        <v>64</v>
      </c>
      <c r="BZ7" t="s">
        <v>64</v>
      </c>
      <c r="CA7" t="s">
        <v>64</v>
      </c>
      <c r="CB7" t="s">
        <v>64</v>
      </c>
      <c r="CC7" t="s">
        <v>64</v>
      </c>
      <c r="CD7" t="s">
        <v>64</v>
      </c>
      <c r="CE7" t="s">
        <v>64</v>
      </c>
      <c r="CF7" t="s">
        <v>64</v>
      </c>
      <c r="CG7" t="s">
        <v>64</v>
      </c>
      <c r="CH7" t="s">
        <v>64</v>
      </c>
      <c r="CI7" t="s">
        <v>64</v>
      </c>
      <c r="CJ7" t="s">
        <v>64</v>
      </c>
      <c r="CK7" t="s">
        <v>64</v>
      </c>
      <c r="CL7" t="s">
        <v>64</v>
      </c>
      <c r="CM7" t="s">
        <v>64</v>
      </c>
      <c r="CN7" t="s">
        <v>64</v>
      </c>
      <c r="CO7" t="s">
        <v>64</v>
      </c>
      <c r="CP7" t="s">
        <v>64</v>
      </c>
      <c r="CQ7" t="s">
        <v>64</v>
      </c>
      <c r="CR7" t="s">
        <v>64</v>
      </c>
      <c r="CS7" t="s">
        <v>64</v>
      </c>
      <c r="CT7" t="s">
        <v>64</v>
      </c>
      <c r="CU7" t="s">
        <v>64</v>
      </c>
      <c r="CV7" t="s">
        <v>64</v>
      </c>
      <c r="CW7" t="s">
        <v>64</v>
      </c>
      <c r="CX7" t="s">
        <v>64</v>
      </c>
      <c r="CY7" t="s">
        <v>64</v>
      </c>
      <c r="CZ7" t="s">
        <v>64</v>
      </c>
      <c r="DA7" t="s">
        <v>64</v>
      </c>
      <c r="DB7" t="s">
        <v>64</v>
      </c>
      <c r="DC7" t="s">
        <v>64</v>
      </c>
      <c r="DD7" t="s">
        <v>64</v>
      </c>
      <c r="DE7" t="s">
        <v>64</v>
      </c>
      <c r="DF7" t="s">
        <v>64</v>
      </c>
      <c r="DG7" t="s">
        <v>64</v>
      </c>
      <c r="DH7" t="s">
        <v>64</v>
      </c>
      <c r="DI7" t="s">
        <v>64</v>
      </c>
      <c r="DJ7" t="s">
        <v>64</v>
      </c>
      <c r="DK7" t="s">
        <v>64</v>
      </c>
      <c r="DL7" t="s">
        <v>64</v>
      </c>
      <c r="DM7" t="s">
        <v>64</v>
      </c>
      <c r="DN7" t="s">
        <v>64</v>
      </c>
      <c r="DO7" t="s">
        <v>64</v>
      </c>
      <c r="DP7" t="s">
        <v>64</v>
      </c>
      <c r="DQ7" t="s">
        <v>64</v>
      </c>
      <c r="DR7" t="s">
        <v>64</v>
      </c>
      <c r="DS7" t="s">
        <v>64</v>
      </c>
      <c r="DT7" t="s">
        <v>64</v>
      </c>
      <c r="DU7" t="s">
        <v>64</v>
      </c>
      <c r="DV7" t="s">
        <v>64</v>
      </c>
      <c r="DW7" t="s">
        <v>64</v>
      </c>
      <c r="DX7" t="s">
        <v>64</v>
      </c>
      <c r="DY7" t="s">
        <v>64</v>
      </c>
      <c r="DZ7" t="s">
        <v>64</v>
      </c>
      <c r="EA7" t="s">
        <v>64</v>
      </c>
      <c r="EB7" t="s">
        <v>64</v>
      </c>
      <c r="EC7" t="s">
        <v>64</v>
      </c>
      <c r="ED7" t="s">
        <v>64</v>
      </c>
      <c r="EE7" t="s">
        <v>64</v>
      </c>
      <c r="EF7" t="s">
        <v>64</v>
      </c>
      <c r="EG7" t="s">
        <v>64</v>
      </c>
      <c r="EH7" t="s">
        <v>64</v>
      </c>
      <c r="EI7" t="s">
        <v>64</v>
      </c>
      <c r="EJ7" t="s">
        <v>64</v>
      </c>
      <c r="EK7" t="s">
        <v>64</v>
      </c>
      <c r="EL7" t="s">
        <v>64</v>
      </c>
      <c r="EM7" t="s">
        <v>64</v>
      </c>
      <c r="EN7" t="s">
        <v>64</v>
      </c>
      <c r="EO7" t="s">
        <v>64</v>
      </c>
      <c r="EP7" t="s">
        <v>64</v>
      </c>
      <c r="EQ7" t="s">
        <v>64</v>
      </c>
      <c r="ER7" t="s">
        <v>64</v>
      </c>
      <c r="ES7" t="s">
        <v>64</v>
      </c>
      <c r="ET7" t="s">
        <v>64</v>
      </c>
      <c r="EU7" t="s">
        <v>64</v>
      </c>
      <c r="EV7" t="s">
        <v>64</v>
      </c>
      <c r="EW7" t="s">
        <v>64</v>
      </c>
      <c r="EX7" t="s">
        <v>64</v>
      </c>
      <c r="EY7" t="s">
        <v>64</v>
      </c>
      <c r="EZ7" t="s">
        <v>64</v>
      </c>
      <c r="FA7" t="s">
        <v>64</v>
      </c>
      <c r="FB7" t="s">
        <v>64</v>
      </c>
      <c r="FC7" t="s">
        <v>64</v>
      </c>
      <c r="FD7" t="s">
        <v>64</v>
      </c>
      <c r="FE7" t="s">
        <v>64</v>
      </c>
      <c r="FF7" t="s">
        <v>64</v>
      </c>
      <c r="FG7" t="s">
        <v>64</v>
      </c>
      <c r="FH7" t="s">
        <v>64</v>
      </c>
      <c r="FI7" t="s">
        <v>64</v>
      </c>
      <c r="FJ7" t="s">
        <v>64</v>
      </c>
      <c r="FK7" t="s">
        <v>64</v>
      </c>
      <c r="FL7" t="s">
        <v>64</v>
      </c>
      <c r="FM7" t="s">
        <v>64</v>
      </c>
      <c r="FN7" t="s">
        <v>64</v>
      </c>
      <c r="FO7" t="s">
        <v>64</v>
      </c>
      <c r="FP7" t="s">
        <v>64</v>
      </c>
      <c r="FQ7" t="s">
        <v>64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IFERROR(__xludf.DUMMYFUNCTION("""COMPUTED_VALUE"""),"Side")</f>
        <v>Side</v>
      </c>
      <c r="C5" s="34" t="str">
        <f>IFERROR(__xludf.DUMMYFUNCTION("""COMPUTED_VALUE"""),"Symbol")</f>
        <v>Symbol</v>
      </c>
      <c r="D5" s="34" t="str">
        <f>IFERROR(__xludf.DUMMYFUNCTION("""COMPUTED_VALUE"""),"Order Type")</f>
        <v>Order Type</v>
      </c>
      <c r="E5" s="34" t="str">
        <f>IFERROR(__xludf.DUMMYFUNCTION("""COMPUTED_VALUE"""),"Price")</f>
        <v>Price</v>
      </c>
      <c r="F5" s="35" t="str">
        <f>IFERROR(__xludf.DUMMYFUNCTION("""COMPUTED_VALUE"""),"AvgPrice")</f>
        <v>AvgPrice</v>
      </c>
      <c r="G5" s="34" t="str">
        <f>IFERROR(__xludf.DUMMYFUNCTION("""COMPUTED_VALUE"""),"Quantity")</f>
        <v>Quantity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 t="s">
        <v>49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IFERROR(__xludf.DUMMYFUNCTION("""COMPUTED_VALUE"""),"Side")</f>
        <v>Side</v>
      </c>
      <c r="C5" s="34" t="str">
        <f>IFERROR(__xludf.DUMMYFUNCTION("""COMPUTED_VALUE"""),"Symbol")</f>
        <v>Symbol</v>
      </c>
      <c r="D5" s="34" t="str">
        <f>IFERROR(__xludf.DUMMYFUNCTION("""COMPUTED_VALUE"""),"Order Type")</f>
        <v>Order Type</v>
      </c>
      <c r="E5" s="34" t="str">
        <f>IFERROR(__xludf.DUMMYFUNCTION("""COMPUTED_VALUE"""),"Price")</f>
        <v>Price</v>
      </c>
      <c r="F5" s="35" t="str">
        <f>IFERROR(__xludf.DUMMYFUNCTION("""COMPUTED_VALUE"""),"AvgPrice")</f>
        <v>AvgPrice</v>
      </c>
      <c r="G5" s="34" t="str">
        <f>IFERROR(__xludf.DUMMYFUNCTION("""COMPUTED_VALUE"""),"Quantity")</f>
        <v>Quantity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3"/>
      <c r="B6" s="13"/>
      <c r="C6" s="13" t="s">
        <v>53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