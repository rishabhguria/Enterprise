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3" activeTab="17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GetDailyCash" sheetId="5" r:id="rId5"/>
    <sheet name="UpdateDailyCash" sheetId="6" r:id="rId6"/>
    <sheet name="CreateDoneAwayOrder" sheetId="7" r:id="rId7"/>
    <sheet name="CreateLiveOrder" sheetId="8" r:id="rId8"/>
    <sheet name="SelectTrade" sheetId="9" r:id="rId9"/>
    <sheet name="AcknowledgeTrade" sheetId="10" r:id="rId10"/>
    <sheet name="ExecuteTrade" sheetId="11" r:id="rId11"/>
    <sheet name="SelectTrade1" sheetId="12" r:id="rId12"/>
    <sheet name="AcknowledgeTrade1" sheetId="13" r:id="rId13"/>
    <sheet name="ExecuteTrade1" sheetId="14" r:id="rId14"/>
    <sheet name="VerifyOrder" sheetId="15" r:id="rId15"/>
    <sheet name="GetDataAllocation" sheetId="16" r:id="rId16"/>
    <sheet name="CheckAllocatedGroups" sheetId="17" r:id="rId17"/>
    <sheet name="CheckPortfolioManagement" sheetId="18" r:id="rId18"/>
  </sheets>
  <calcPr calcId="145621"/>
</workbook>
</file>

<file path=xl/calcChain.xml><?xml version="1.0" encoding="utf-8"?>
<calcChain xmlns="http://schemas.openxmlformats.org/spreadsheetml/2006/main">
  <c r="N7" i="8" l="1"/>
  <c r="N6" i="8"/>
  <c r="N7" i="7"/>
  <c r="N6" i="7"/>
  <c r="C6" i="5"/>
  <c r="B6" i="5"/>
  <c r="BK5" i="18"/>
  <c r="FB5" i="18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X4" i="18"/>
  <c r="P4" i="18"/>
  <c r="H4" i="18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AX5" i="15"/>
  <c r="AP5" i="15"/>
  <c r="AH5" i="15"/>
  <c r="Z5" i="15"/>
  <c r="R5" i="15"/>
  <c r="J5" i="15"/>
  <c r="B5" i="15"/>
  <c r="AQ4" i="15"/>
  <c r="AI4" i="15"/>
  <c r="AA4" i="15"/>
  <c r="S4" i="15"/>
  <c r="K4" i="15"/>
  <c r="C4" i="15"/>
  <c r="H4" i="14"/>
  <c r="G5" i="13"/>
  <c r="I4" i="13"/>
  <c r="J4" i="12"/>
  <c r="B4" i="12"/>
  <c r="G4" i="11"/>
  <c r="F5" i="10"/>
  <c r="H4" i="10"/>
  <c r="G5" i="9"/>
  <c r="I4" i="9"/>
  <c r="AI5" i="8"/>
  <c r="AA5" i="8"/>
  <c r="S5" i="8"/>
  <c r="K5" i="8"/>
  <c r="C5" i="8"/>
  <c r="V4" i="8"/>
  <c r="N4" i="8"/>
  <c r="F4" i="8"/>
  <c r="AP5" i="7"/>
  <c r="AH5" i="7"/>
  <c r="Z5" i="7"/>
  <c r="R5" i="7"/>
  <c r="J5" i="7"/>
  <c r="B5" i="7"/>
  <c r="U4" i="7"/>
  <c r="M4" i="7"/>
  <c r="E4" i="7"/>
  <c r="A5" i="6"/>
  <c r="Z4" i="6"/>
  <c r="R4" i="6"/>
  <c r="J4" i="6"/>
  <c r="B4" i="6"/>
  <c r="AF4" i="5"/>
  <c r="X4" i="5"/>
  <c r="P4" i="5"/>
  <c r="H4" i="5"/>
  <c r="K5" i="4"/>
  <c r="C5" i="4"/>
  <c r="E4" i="4"/>
  <c r="A20" i="3"/>
  <c r="A18" i="3"/>
  <c r="A16" i="3"/>
  <c r="A14" i="3"/>
  <c r="FA5" i="18"/>
  <c r="ES5" i="18"/>
  <c r="EK5" i="18"/>
  <c r="EC5" i="18"/>
  <c r="DU5" i="18"/>
  <c r="DM5" i="18"/>
  <c r="DE5" i="18"/>
  <c r="CW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W4" i="18"/>
  <c r="O4" i="18"/>
  <c r="G4" i="18"/>
  <c r="CR5" i="17"/>
  <c r="CJ5" i="17"/>
  <c r="CB5" i="17"/>
  <c r="BT5" i="17"/>
  <c r="BL5" i="17"/>
  <c r="BD5" i="17"/>
  <c r="AV5" i="17"/>
  <c r="AN5" i="17"/>
  <c r="AF5" i="17"/>
  <c r="X5" i="17"/>
  <c r="P5" i="17"/>
  <c r="H5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AW5" i="15"/>
  <c r="AO5" i="15"/>
  <c r="AG5" i="15"/>
  <c r="Y5" i="15"/>
  <c r="Q5" i="15"/>
  <c r="I5" i="15"/>
  <c r="A5" i="15"/>
  <c r="AP4" i="15"/>
  <c r="AH4" i="15"/>
  <c r="Z4" i="15"/>
  <c r="R4" i="15"/>
  <c r="J4" i="15"/>
  <c r="B4" i="15"/>
  <c r="G4" i="14"/>
  <c r="F5" i="13"/>
  <c r="H4" i="13"/>
  <c r="G5" i="12"/>
  <c r="I4" i="12"/>
  <c r="F4" i="11"/>
  <c r="E5" i="10"/>
  <c r="G4" i="10"/>
  <c r="F5" i="9"/>
  <c r="H4" i="9"/>
  <c r="EZ5" i="18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V4" i="18"/>
  <c r="N4" i="18"/>
  <c r="F4" i="18"/>
  <c r="CQ5" i="17"/>
  <c r="CI5" i="17"/>
  <c r="CA5" i="17"/>
  <c r="BS5" i="17"/>
  <c r="BK5" i="17"/>
  <c r="BC5" i="17"/>
  <c r="AU5" i="17"/>
  <c r="AM5" i="17"/>
  <c r="AE5" i="17"/>
  <c r="W5" i="17"/>
  <c r="O5" i="17"/>
  <c r="G5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AV5" i="15"/>
  <c r="AN5" i="15"/>
  <c r="AF5" i="15"/>
  <c r="X5" i="15"/>
  <c r="P5" i="15"/>
  <c r="H5" i="15"/>
  <c r="AW4" i="15"/>
  <c r="AO4" i="15"/>
  <c r="AG4" i="15"/>
  <c r="Y4" i="15"/>
  <c r="Q4" i="15"/>
  <c r="I4" i="15"/>
  <c r="F4" i="14"/>
  <c r="E5" i="13"/>
  <c r="G4" i="13"/>
  <c r="F5" i="12"/>
  <c r="H4" i="12"/>
  <c r="C5" i="11"/>
  <c r="E4" i="11"/>
  <c r="D5" i="10"/>
  <c r="F4" i="10"/>
  <c r="E5" i="9"/>
  <c r="G4" i="9"/>
  <c r="EY5" i="18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U4" i="18"/>
  <c r="M4" i="18"/>
  <c r="E4" i="18"/>
  <c r="CP5" i="17"/>
  <c r="CH5" i="17"/>
  <c r="BZ5" i="17"/>
  <c r="BR5" i="17"/>
  <c r="BJ5" i="17"/>
  <c r="BB5" i="17"/>
  <c r="AT5" i="17"/>
  <c r="AL5" i="17"/>
  <c r="AD5" i="17"/>
  <c r="V5" i="17"/>
  <c r="N5" i="17"/>
  <c r="F5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AU5" i="15"/>
  <c r="AM5" i="15"/>
  <c r="AE5" i="15"/>
  <c r="W5" i="15"/>
  <c r="O5" i="15"/>
  <c r="G5" i="15"/>
  <c r="AV4" i="15"/>
  <c r="AN4" i="15"/>
  <c r="AF4" i="15"/>
  <c r="X4" i="15"/>
  <c r="P4" i="15"/>
  <c r="H4" i="15"/>
  <c r="C5" i="14"/>
  <c r="E4" i="14"/>
  <c r="D5" i="13"/>
  <c r="F4" i="13"/>
  <c r="E5" i="12"/>
  <c r="G4" i="12"/>
  <c r="B5" i="11"/>
  <c r="D4" i="11"/>
  <c r="C5" i="10"/>
  <c r="E4" i="10"/>
  <c r="D5" i="9"/>
  <c r="F4" i="9"/>
  <c r="AN5" i="8"/>
  <c r="AF5" i="8"/>
  <c r="X5" i="8"/>
  <c r="P5" i="8"/>
  <c r="H5" i="8"/>
  <c r="AA4" i="8"/>
  <c r="S4" i="8"/>
  <c r="K4" i="8"/>
  <c r="C4" i="8"/>
  <c r="AM5" i="7"/>
  <c r="AE5" i="7"/>
  <c r="W5" i="7"/>
  <c r="O5" i="7"/>
  <c r="G5" i="7"/>
  <c r="Z4" i="7"/>
  <c r="R4" i="7"/>
  <c r="J4" i="7"/>
  <c r="B4" i="7"/>
  <c r="AE4" i="6"/>
  <c r="W4" i="6"/>
  <c r="O4" i="6"/>
  <c r="G4" i="6"/>
  <c r="EX5" i="18"/>
  <c r="EP5" i="18"/>
  <c r="EH5" i="18"/>
  <c r="DZ5" i="18"/>
  <c r="DR5" i="18"/>
  <c r="DJ5" i="18"/>
  <c r="DB5" i="18"/>
  <c r="CT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T4" i="18"/>
  <c r="L4" i="18"/>
  <c r="D4" i="18"/>
  <c r="CO5" i="17"/>
  <c r="CG5" i="17"/>
  <c r="BY5" i="17"/>
  <c r="BQ5" i="17"/>
  <c r="BI5" i="17"/>
  <c r="BA5" i="17"/>
  <c r="AS5" i="17"/>
  <c r="AK5" i="17"/>
  <c r="AC5" i="17"/>
  <c r="U5" i="17"/>
  <c r="M5" i="17"/>
  <c r="E5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AT5" i="15"/>
  <c r="AL5" i="15"/>
  <c r="AD5" i="15"/>
  <c r="V5" i="15"/>
  <c r="N5" i="15"/>
  <c r="F5" i="15"/>
  <c r="AU4" i="15"/>
  <c r="AM4" i="15"/>
  <c r="AE4" i="15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S4" i="18"/>
  <c r="K4" i="18"/>
  <c r="C4" i="18"/>
  <c r="CN5" i="17"/>
  <c r="CF5" i="17"/>
  <c r="BX5" i="17"/>
  <c r="BP5" i="17"/>
  <c r="BH5" i="17"/>
  <c r="AZ5" i="17"/>
  <c r="AR5" i="17"/>
  <c r="AJ5" i="17"/>
  <c r="AB5" i="17"/>
  <c r="T5" i="17"/>
  <c r="L5" i="17"/>
  <c r="D5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BA5" i="15"/>
  <c r="AS5" i="15"/>
  <c r="AK5" i="15"/>
  <c r="AC5" i="15"/>
  <c r="U5" i="15"/>
  <c r="M5" i="15"/>
  <c r="E5" i="15"/>
  <c r="AT4" i="15"/>
  <c r="AL4" i="15"/>
  <c r="AD4" i="15"/>
  <c r="V4" i="15"/>
  <c r="N4" i="15"/>
  <c r="F4" i="15"/>
  <c r="A5" i="14"/>
  <c r="C4" i="14"/>
  <c r="B5" i="13"/>
  <c r="D4" i="13"/>
  <c r="C5" i="12"/>
  <c r="E4" i="12"/>
  <c r="J4" i="11"/>
  <c r="B4" i="11"/>
  <c r="A5" i="10"/>
  <c r="C4" i="10"/>
  <c r="B5" i="9"/>
  <c r="D4" i="9"/>
  <c r="AL5" i="8"/>
  <c r="AD5" i="8"/>
  <c r="V5" i="8"/>
  <c r="N5" i="8"/>
  <c r="F5" i="8"/>
  <c r="Y4" i="8"/>
  <c r="Q4" i="8"/>
  <c r="I4" i="8"/>
  <c r="AK5" i="7"/>
  <c r="AC5" i="7"/>
  <c r="U5" i="7"/>
  <c r="M5" i="7"/>
  <c r="E5" i="7"/>
  <c r="X4" i="7"/>
  <c r="P4" i="7"/>
  <c r="H4" i="7"/>
  <c r="D5" i="6"/>
  <c r="AC4" i="6"/>
  <c r="U4" i="6"/>
  <c r="M4" i="6"/>
  <c r="E4" i="6"/>
  <c r="B5" i="5"/>
  <c r="AA4" i="5"/>
  <c r="S4" i="5"/>
  <c r="K4" i="5"/>
  <c r="C4" i="5"/>
  <c r="F5" i="4"/>
  <c r="H4" i="4"/>
  <c r="D20" i="3"/>
  <c r="D18" i="3"/>
  <c r="D16" i="3"/>
  <c r="D14" i="3"/>
  <c r="D12" i="3"/>
  <c r="D10" i="3"/>
  <c r="EV5" i="18"/>
  <c r="EN5" i="18"/>
  <c r="EF5" i="18"/>
  <c r="DX5" i="18"/>
  <c r="DP5" i="18"/>
  <c r="DH5" i="18"/>
  <c r="CZ5" i="18"/>
  <c r="CR5" i="18"/>
  <c r="CJ5" i="18"/>
  <c r="CB5" i="18"/>
  <c r="BT5" i="18"/>
  <c r="BL5" i="18"/>
  <c r="BD5" i="18"/>
  <c r="AV5" i="18"/>
  <c r="AN5" i="18"/>
  <c r="AF5" i="18"/>
  <c r="X5" i="18"/>
  <c r="P5" i="18"/>
  <c r="H5" i="18"/>
  <c r="Z4" i="18"/>
  <c r="R4" i="18"/>
  <c r="J4" i="18"/>
  <c r="B4" i="18"/>
  <c r="CM5" i="17"/>
  <c r="CE5" i="17"/>
  <c r="BW5" i="17"/>
  <c r="BO5" i="17"/>
  <c r="BG5" i="17"/>
  <c r="AY5" i="17"/>
  <c r="AQ5" i="17"/>
  <c r="AI5" i="17"/>
  <c r="AA5" i="17"/>
  <c r="S5" i="17"/>
  <c r="K5" i="17"/>
  <c r="C5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AZ5" i="15"/>
  <c r="AR5" i="15"/>
  <c r="AJ5" i="15"/>
  <c r="AB5" i="15"/>
  <c r="T5" i="15"/>
  <c r="L5" i="15"/>
  <c r="D5" i="15"/>
  <c r="AS4" i="15"/>
  <c r="AK4" i="15"/>
  <c r="AC4" i="15"/>
  <c r="U4" i="15"/>
  <c r="M4" i="15"/>
  <c r="E4" i="15"/>
  <c r="J4" i="14"/>
  <c r="B4" i="14"/>
  <c r="A5" i="13"/>
  <c r="C4" i="13"/>
  <c r="B5" i="12"/>
  <c r="D4" i="12"/>
  <c r="I4" i="11"/>
  <c r="J4" i="10"/>
  <c r="B4" i="10"/>
  <c r="A5" i="9"/>
  <c r="C4" i="9"/>
  <c r="AK5" i="8"/>
  <c r="AC5" i="8"/>
  <c r="U5" i="8"/>
  <c r="M5" i="8"/>
  <c r="E5" i="8"/>
  <c r="X4" i="8"/>
  <c r="P4" i="8"/>
  <c r="H4" i="8"/>
  <c r="EU5" i="18"/>
  <c r="EM5" i="18"/>
  <c r="EE5" i="18"/>
  <c r="DW5" i="18"/>
  <c r="DO5" i="18"/>
  <c r="DG5" i="18"/>
  <c r="CY5" i="18"/>
  <c r="CQ5" i="18"/>
  <c r="CI5" i="18"/>
  <c r="CA5" i="18"/>
  <c r="BS5" i="18"/>
  <c r="BC5" i="18"/>
  <c r="AU5" i="18"/>
  <c r="AM5" i="18"/>
  <c r="AE5" i="18"/>
  <c r="W5" i="18"/>
  <c r="O5" i="18"/>
  <c r="G5" i="18"/>
  <c r="Y4" i="18"/>
  <c r="Q4" i="18"/>
  <c r="I4" i="18"/>
  <c r="CL5" i="17"/>
  <c r="CD5" i="17"/>
  <c r="BV5" i="17"/>
  <c r="BN5" i="17"/>
  <c r="BF5" i="17"/>
  <c r="AX5" i="17"/>
  <c r="AP5" i="17"/>
  <c r="AH5" i="17"/>
  <c r="Z5" i="17"/>
  <c r="R5" i="17"/>
  <c r="J5" i="17"/>
  <c r="B5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AY5" i="15"/>
  <c r="AQ5" i="15"/>
  <c r="AI5" i="15"/>
  <c r="AA5" i="15"/>
  <c r="S5" i="15"/>
  <c r="K5" i="15"/>
  <c r="C5" i="15"/>
  <c r="AR4" i="15"/>
  <c r="AJ4" i="15"/>
  <c r="AB4" i="15"/>
  <c r="T4" i="15"/>
  <c r="L4" i="15"/>
  <c r="D4" i="15"/>
  <c r="I4" i="14"/>
  <c r="J4" i="13"/>
  <c r="B4" i="13"/>
  <c r="A5" i="12"/>
  <c r="C4" i="12"/>
  <c r="H4" i="11"/>
  <c r="G5" i="10"/>
  <c r="I4" i="10"/>
  <c r="J4" i="9"/>
  <c r="B4" i="9"/>
  <c r="AJ5" i="8"/>
  <c r="AB5" i="8"/>
  <c r="T5" i="8"/>
  <c r="L5" i="8"/>
  <c r="D5" i="8"/>
  <c r="W4" i="8"/>
  <c r="O4" i="8"/>
  <c r="G4" i="8"/>
  <c r="W4" i="15"/>
  <c r="F4" i="12"/>
  <c r="R5" i="8"/>
  <c r="Z4" i="8"/>
  <c r="D4" i="8"/>
  <c r="AI5" i="7"/>
  <c r="V5" i="7"/>
  <c r="I5" i="7"/>
  <c r="W4" i="7"/>
  <c r="K4" i="7"/>
  <c r="B5" i="6"/>
  <c r="V4" i="6"/>
  <c r="I4" i="6"/>
  <c r="C5" i="5"/>
  <c r="Y4" i="5"/>
  <c r="N4" i="5"/>
  <c r="D4" i="5"/>
  <c r="D5" i="4"/>
  <c r="C4" i="4"/>
  <c r="A19" i="3"/>
  <c r="B16" i="3"/>
  <c r="C13" i="3"/>
  <c r="B11" i="3"/>
  <c r="A9" i="3"/>
  <c r="A7" i="3"/>
  <c r="A5" i="3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O4" i="15"/>
  <c r="A5" i="11"/>
  <c r="AM5" i="8"/>
  <c r="Q5" i="8"/>
  <c r="U4" i="8"/>
  <c r="B4" i="8"/>
  <c r="AG5" i="7"/>
  <c r="T5" i="7"/>
  <c r="H5" i="7"/>
  <c r="V4" i="7"/>
  <c r="I4" i="7"/>
  <c r="AG4" i="6"/>
  <c r="T4" i="6"/>
  <c r="H4" i="6"/>
  <c r="A5" i="5"/>
  <c r="W4" i="5"/>
  <c r="M4" i="5"/>
  <c r="B4" i="5"/>
  <c r="B5" i="4"/>
  <c r="B4" i="4"/>
  <c r="C18" i="3"/>
  <c r="D15" i="3"/>
  <c r="B13" i="3"/>
  <c r="A11" i="3"/>
  <c r="D8" i="3"/>
  <c r="D6" i="3"/>
  <c r="D4" i="3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G4" i="15"/>
  <c r="C4" i="11"/>
  <c r="AH5" i="8"/>
  <c r="O5" i="8"/>
  <c r="T4" i="8"/>
  <c r="AF5" i="7"/>
  <c r="S5" i="7"/>
  <c r="F5" i="7"/>
  <c r="T4" i="7"/>
  <c r="G4" i="7"/>
  <c r="AF4" i="6"/>
  <c r="S4" i="6"/>
  <c r="F4" i="6"/>
  <c r="AG4" i="5"/>
  <c r="V4" i="5"/>
  <c r="L4" i="5"/>
  <c r="A5" i="4"/>
  <c r="B18" i="3"/>
  <c r="C15" i="3"/>
  <c r="A13" i="3"/>
  <c r="C10" i="3"/>
  <c r="C8" i="3"/>
  <c r="C6" i="3"/>
  <c r="C4" i="3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B5" i="14"/>
  <c r="B5" i="10"/>
  <c r="AG5" i="8"/>
  <c r="J5" i="8"/>
  <c r="R4" i="8"/>
  <c r="AD5" i="7"/>
  <c r="Q5" i="7"/>
  <c r="D5" i="7"/>
  <c r="S4" i="7"/>
  <c r="F4" i="7"/>
  <c r="AD4" i="6"/>
  <c r="Q4" i="6"/>
  <c r="D4" i="6"/>
  <c r="AE4" i="5"/>
  <c r="U4" i="5"/>
  <c r="J4" i="5"/>
  <c r="J5" i="4"/>
  <c r="J4" i="4"/>
  <c r="C20" i="3"/>
  <c r="D17" i="3"/>
  <c r="B15" i="3"/>
  <c r="C12" i="3"/>
  <c r="B10" i="3"/>
  <c r="B8" i="3"/>
  <c r="B6" i="3"/>
  <c r="B4" i="3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D4" i="14"/>
  <c r="D4" i="10"/>
  <c r="AE5" i="8"/>
  <c r="I5" i="8"/>
  <c r="M4" i="8"/>
  <c r="AO5" i="7"/>
  <c r="AB5" i="7"/>
  <c r="P5" i="7"/>
  <c r="C5" i="7"/>
  <c r="Q4" i="7"/>
  <c r="D4" i="7"/>
  <c r="AB4" i="6"/>
  <c r="P4" i="6"/>
  <c r="C4" i="6"/>
  <c r="AD4" i="5"/>
  <c r="T4" i="5"/>
  <c r="I4" i="5"/>
  <c r="I5" i="4"/>
  <c r="I4" i="4"/>
  <c r="B20" i="3"/>
  <c r="C17" i="3"/>
  <c r="A15" i="3"/>
  <c r="B12" i="3"/>
  <c r="A10" i="3"/>
  <c r="A8" i="3"/>
  <c r="A6" i="3"/>
  <c r="A4" i="3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C5" i="13"/>
  <c r="C5" i="9"/>
  <c r="Z5" i="8"/>
  <c r="G5" i="8"/>
  <c r="L4" i="8"/>
  <c r="AN5" i="7"/>
  <c r="AA5" i="7"/>
  <c r="N5" i="7"/>
  <c r="A5" i="7"/>
  <c r="O4" i="7"/>
  <c r="C4" i="7"/>
  <c r="AA4" i="6"/>
  <c r="N4" i="6"/>
  <c r="AC4" i="5"/>
  <c r="R4" i="5"/>
  <c r="G4" i="5"/>
  <c r="H5" i="4"/>
  <c r="G4" i="4"/>
  <c r="D19" i="3"/>
  <c r="B17" i="3"/>
  <c r="C14" i="3"/>
  <c r="A12" i="3"/>
  <c r="D9" i="3"/>
  <c r="D7" i="3"/>
  <c r="D5" i="3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E4" i="13"/>
  <c r="E4" i="9"/>
  <c r="Y5" i="8"/>
  <c r="B5" i="8"/>
  <c r="J4" i="8"/>
  <c r="AL5" i="7"/>
  <c r="Y5" i="7"/>
  <c r="L5" i="7"/>
  <c r="AA4" i="7"/>
  <c r="N4" i="7"/>
  <c r="Y4" i="6"/>
  <c r="L4" i="6"/>
  <c r="AB4" i="5"/>
  <c r="Q4" i="5"/>
  <c r="F4" i="5"/>
  <c r="G5" i="4"/>
  <c r="F4" i="4"/>
  <c r="C19" i="3"/>
  <c r="A17" i="3"/>
  <c r="B14" i="3"/>
  <c r="D11" i="3"/>
  <c r="C9" i="3"/>
  <c r="C7" i="3"/>
  <c r="C5" i="3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D5" i="12"/>
  <c r="W5" i="8"/>
  <c r="A5" i="8"/>
  <c r="E4" i="8"/>
  <c r="AJ5" i="7"/>
  <c r="X5" i="7"/>
  <c r="K5" i="7"/>
  <c r="Y4" i="7"/>
  <c r="L4" i="7"/>
  <c r="C5" i="6"/>
  <c r="X4" i="6"/>
  <c r="K4" i="6"/>
  <c r="Z4" i="5"/>
  <c r="O4" i="5"/>
  <c r="E4" i="5"/>
  <c r="E5" i="4"/>
  <c r="D4" i="4"/>
  <c r="B19" i="3"/>
  <c r="C16" i="3"/>
  <c r="D13" i="3"/>
  <c r="C11" i="3"/>
  <c r="B9" i="3"/>
  <c r="B7" i="3"/>
  <c r="B5" i="3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225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J2" i="13" l="1"/>
  <c r="J2" i="9"/>
  <c r="J2" i="17"/>
  <c r="J2" i="12"/>
  <c r="J2" i="15"/>
  <c r="J2" i="16"/>
  <c r="J2" i="8"/>
  <c r="J2" i="11"/>
  <c r="J2" i="18"/>
  <c r="J2" i="14"/>
  <c r="J2" i="10"/>
  <c r="J2" i="5"/>
  <c r="J2" i="4"/>
  <c r="J2" i="6"/>
  <c r="J2" i="7"/>
</calcChain>
</file>

<file path=xl/sharedStrings.xml><?xml version="1.0" encoding="utf-8"?>
<sst xmlns="http://schemas.openxmlformats.org/spreadsheetml/2006/main" count="515" uniqueCount="80">
  <si>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</si>
  <si>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</si>
  <si>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</si>
  <si>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</si>
  <si>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</si>
  <si>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</si>
  <si>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</si>
  <si>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</si>
  <si>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</si>
  <si>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</si>
  <si>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</si>
  <si>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</si>
  <si>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</si>
  <si>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</si>
  <si>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</si>
  <si>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</si>
  <si>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</si>
  <si>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</si>
  <si>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</si>
  <si>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</si>
  <si>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</si>
  <si>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</si>
  <si>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</si>
  <si>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</si>
  <si>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</si>
  <si>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</si>
  <si>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</si>
  <si>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</si>
  <si>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</si>
  <si>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</si>
  <si>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</si>
  <si>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</si>
  <si>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</si>
  <si>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</si>
  <si>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VerifyOrder</t>
  </si>
  <si>
    <t>AAPL US EQUITY</t>
  </si>
  <si>
    <t>NASDAQ</t>
  </si>
  <si>
    <t>jpearce</t>
  </si>
  <si>
    <t>US</t>
  </si>
  <si>
    <t>GCCAP1</t>
  </si>
  <si>
    <t>NONE</t>
  </si>
  <si>
    <t>NewMF</t>
  </si>
  <si>
    <t>DefaultNotes</t>
  </si>
  <si>
    <t>M</t>
  </si>
  <si>
    <t>Equity</t>
  </si>
  <si>
    <t>Filled</t>
  </si>
  <si>
    <t>MS</t>
  </si>
  <si>
    <t>Market</t>
  </si>
  <si>
    <t>Manual</t>
  </si>
  <si>
    <t>NewMF1</t>
  </si>
  <si>
    <t>MSFT US EQUITY</t>
  </si>
  <si>
    <t>Allocation</t>
  </si>
  <si>
    <t>GetDataAllocation</t>
  </si>
  <si>
    <t>Current</t>
  </si>
  <si>
    <t>CheckAllocatedGroups</t>
  </si>
  <si>
    <t>Open</t>
  </si>
  <si>
    <t>APPLE</t>
  </si>
  <si>
    <t>BrokerNotes</t>
  </si>
  <si>
    <t>None</t>
  </si>
  <si>
    <t>Strategy Unallocated</t>
  </si>
  <si>
    <t>FIX</t>
  </si>
  <si>
    <t>MICROSOFT INC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</si>
  <si>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</si>
  <si>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</si>
  <si>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</si>
  <si>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</si>
  <si>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</si>
  <si>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</si>
  <si>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</si>
  <si>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N/A</t>
  </si>
  <si>
    <t>Default</t>
  </si>
  <si>
    <t>test1</t>
  </si>
  <si>
    <t>india</t>
  </si>
  <si>
    <t>test 1</t>
  </si>
  <si>
    <t>Yes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</si>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</sst>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63238"/>
      <name val="Roboto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0" borderId="0" xfId="0" applyFont="1" applyAlignment="1">
      <alignment horizontal="left"/>
    </xf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4" borderId="0" xfId="0" applyFont="1" applyFill="1" applyAlignment="1"/>
    <xf numFmtId="0" fontId="13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1" fillId="5" borderId="0" xfId="0" applyFont="1" applyFill="1"/>
    <xf numFmtId="0" fontId="5" fillId="0" borderId="0" xfId="0" applyFont="1" applyAlignment="1">
      <alignment horizontal="center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14" fontId="5" fillId="0" borderId="0" xfId="0" applyNumberFormat="1" applyFont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14" fontId="14" fillId="6" borderId="5" xfId="0" applyNumberFormat="1" applyFont="1" applyFill="1" applyBorder="1" applyAlignment="1">
      <alignment horizontal="right"/>
    </xf>
    <xf numFmtId="0" fontId="5" fillId="0" borderId="5" xfId="0" applyFont="1" applyBorder="1" applyAlignment="1"/>
    <xf numFmtId="164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E25" sqref="E25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1" t="s">
        <v>0</v>
      </c>
      <c r="B1" s="42"/>
      <c r="C1" s="42"/>
      <c r="D1" s="42"/>
      <c r="E1" s="42"/>
      <c r="F1" s="43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4" t="s">
        <v>2</v>
      </c>
      <c r="B1" s="42"/>
      <c r="C1" s="43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1" t="s">
        <v>7</v>
      </c>
      <c r="B1" s="42"/>
      <c r="C1" s="42"/>
      <c r="D1" s="42"/>
      <c r="E1" s="42"/>
      <c r="F1" s="43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IFERROR(__xludf.DUMMYFUNCTION("""COMPUTED_VALUE"""),"OverSellTradingRule")</f>
        <v>OverSellTradingRule</v>
      </c>
      <c r="C5" s="23" t="str">
        <f ca="1">IFERROR(__xludf.DUMMYFUNCTION("""COMPUTED_VALUE"""),"OverBuyTradingRule")</f>
        <v>OverBuyTradingRule</v>
      </c>
      <c r="D5" s="23" t="str">
        <f ca="1">IFERROR(__xludf.DUMMYFUNCTION("""COMPUTED_VALUE"""),"FatFingerTradingRule")</f>
        <v>FatFingerTradingRule</v>
      </c>
      <c r="E5" s="23" t="str">
        <f ca="1">IFERROR(__xludf.DUMMYFUNCTION("""COMPUTED_VALUE"""),"UnallocatedTradeAlert")</f>
        <v>UnallocatedTradeAlert</v>
      </c>
      <c r="F5" s="24" t="str">
        <f ca="1">IFERROR(__xludf.DUMMYFUNCTION("""COMPUTED_VALUE"""),"DuplicateTradeAlert")</f>
        <v>DuplicateTradeAlert</v>
      </c>
      <c r="G5" s="23" t="str">
        <f ca="1">IFERROR(__xludf.DUMMYFUNCTION("""COMPUTED_VALUE"""),"PendingNewOrderAlert")</f>
        <v>PendingNewOrderAlert</v>
      </c>
      <c r="H5" s="23" t="str">
        <f ca="1">IFERROR(__xludf.DUMMYFUNCTION("""COMPUTED_VALUE"""),"FatFingerPercent")</f>
        <v>FatFingerPercent</v>
      </c>
      <c r="I5" s="23" t="str">
        <f ca="1">IFERROR(__xludf.DUMMYFUNCTION("""COMPUTED_VALUE"""),"DuplicateTradeAlertTime")</f>
        <v>DuplicateTradeAlertTime</v>
      </c>
      <c r="J5" s="23" t="str">
        <f ca="1">IFERROR(__xludf.DUMMYFUNCTION("""COMPUTED_VALUE"""),"PendingNewOrderAlertTime")</f>
        <v>PendingNewOrderAlertTime</v>
      </c>
      <c r="K5" s="23" t="str">
        <f ca="1">IFERROR(__xludf.DUMMYFUNCTION("""COMPUTED_VALUE"""),"FatFingerAccountOrMasterFund")</f>
        <v>FatFingerAccountOrMasterFund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26" t="b">
        <v>1</v>
      </c>
      <c r="E6" s="27"/>
      <c r="F6" s="27"/>
      <c r="G6" s="27"/>
      <c r="H6" s="28">
        <v>10.25</v>
      </c>
      <c r="I6" s="27"/>
      <c r="J6" s="27"/>
      <c r="K6" s="29" t="s">
        <v>16</v>
      </c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Date")</f>
        <v>Select Date</v>
      </c>
      <c r="C5" s="23" t="str">
        <f ca="1">IFERROR(__xludf.DUMMYFUNCTION("""COMPUTED_VALUE"""),"Copy From")</f>
        <v>Copy From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0">
        <f t="shared" ref="B6:C6" ca="1" si="0">TODAY()-1</f>
        <v>44411</v>
      </c>
      <c r="C6" s="31">
        <f t="shared" ca="1" si="0"/>
        <v>44411</v>
      </c>
      <c r="D6" s="9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19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IFERROR(__xludf.DUMMYFUNCTION("""COMPUTED_VALUE"""),"Local Currency")</f>
        <v>Local Currency</v>
      </c>
      <c r="D5" s="23" t="str">
        <f ca="1">IFERROR(__xludf.DUMMYFUNCTION("""COMPUTED_VALUE"""),"Cash Value Local")</f>
        <v>Cash Value Local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20</v>
      </c>
      <c r="C6" s="29" t="s">
        <v>21</v>
      </c>
      <c r="D6" s="34">
        <v>300000</v>
      </c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35" t="s">
        <v>22</v>
      </c>
      <c r="C7" s="29" t="s">
        <v>21</v>
      </c>
      <c r="D7" s="36">
        <v>300000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23</v>
      </c>
      <c r="D3" s="2" t="s">
        <v>9</v>
      </c>
      <c r="E3" s="18" t="s">
        <v>24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7" t="s">
        <v>25</v>
      </c>
      <c r="C6" s="29" t="s">
        <v>26</v>
      </c>
      <c r="D6" s="34">
        <v>100</v>
      </c>
      <c r="E6" s="36">
        <v>100</v>
      </c>
      <c r="F6" s="29" t="s">
        <v>20</v>
      </c>
      <c r="G6" s="27"/>
      <c r="H6" s="27"/>
      <c r="I6" s="27"/>
      <c r="J6" s="28">
        <v>210</v>
      </c>
      <c r="K6" s="27"/>
      <c r="L6" s="27"/>
      <c r="M6" s="27"/>
      <c r="N6" s="38">
        <f t="shared" ref="N6:N7" ca="1" si="0">TODAY()</f>
        <v>44412</v>
      </c>
      <c r="O6" s="27"/>
    </row>
    <row r="7" spans="1:154" ht="15.75" customHeight="1">
      <c r="A7" s="5"/>
      <c r="B7" s="29" t="s">
        <v>25</v>
      </c>
      <c r="C7" s="29" t="s">
        <v>26</v>
      </c>
      <c r="D7" s="28">
        <v>100000</v>
      </c>
      <c r="E7" s="28">
        <v>100000</v>
      </c>
      <c r="F7" s="29" t="s">
        <v>20</v>
      </c>
      <c r="G7" s="27"/>
      <c r="H7" s="27"/>
      <c r="I7" s="27"/>
      <c r="J7" s="28">
        <v>210</v>
      </c>
      <c r="K7" s="27"/>
      <c r="L7" s="27"/>
      <c r="M7" s="27"/>
      <c r="N7" s="38">
        <f t="shared" ca="1" si="0"/>
        <v>44412</v>
      </c>
      <c r="O7" s="27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23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IFERROR(__xludf.DUMMYFUNCTION("""COMPUTED_VALUE"""),"EditOrder")</f>
        <v>EditOrder</v>
      </c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7" t="s">
        <v>25</v>
      </c>
      <c r="C6" s="29" t="s">
        <v>26</v>
      </c>
      <c r="D6" s="28">
        <v>100000</v>
      </c>
      <c r="E6" s="28">
        <v>100000</v>
      </c>
      <c r="F6" s="39" t="s">
        <v>22</v>
      </c>
      <c r="G6" s="27"/>
      <c r="H6" s="27"/>
      <c r="I6" s="27"/>
      <c r="J6" s="28">
        <v>210</v>
      </c>
      <c r="K6" s="27"/>
      <c r="L6" s="27"/>
      <c r="M6" s="27"/>
      <c r="N6" s="38">
        <f t="shared" ref="N6:N7" ca="1" si="0">TODAY()</f>
        <v>44412</v>
      </c>
      <c r="O6" s="5"/>
    </row>
    <row r="7" spans="1:154" ht="15.75" customHeight="1">
      <c r="A7" s="5"/>
      <c r="B7" s="39" t="s">
        <v>28</v>
      </c>
      <c r="C7" s="29" t="s">
        <v>26</v>
      </c>
      <c r="D7" s="34">
        <v>100</v>
      </c>
      <c r="E7" s="36">
        <v>100</v>
      </c>
      <c r="F7" s="39" t="s">
        <v>22</v>
      </c>
      <c r="G7" s="27"/>
      <c r="H7" s="27"/>
      <c r="I7" s="27"/>
      <c r="J7" s="28">
        <v>210</v>
      </c>
      <c r="K7" s="27"/>
      <c r="L7" s="27"/>
      <c r="M7" s="27"/>
      <c r="N7" s="38">
        <f t="shared" ca="1" si="0"/>
        <v>44412</v>
      </c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29</v>
      </c>
      <c r="D3" s="2" t="s">
        <v>9</v>
      </c>
      <c r="E3" s="18" t="s">
        <v>30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9" t="s">
        <v>26</v>
      </c>
      <c r="C6" s="39" t="s">
        <v>25</v>
      </c>
      <c r="D6" s="37"/>
      <c r="E6" s="27"/>
      <c r="F6" s="27"/>
      <c r="G6" s="28">
        <v>100000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29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9" t="s">
        <v>26</v>
      </c>
      <c r="C6" s="39" t="s">
        <v>25</v>
      </c>
      <c r="D6" s="37"/>
      <c r="E6" s="27"/>
      <c r="F6" s="27"/>
      <c r="G6" s="28">
        <v>100000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29</v>
      </c>
      <c r="D3" s="2" t="s">
        <v>9</v>
      </c>
      <c r="E3" s="18" t="s">
        <v>32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IFERROR(__xludf.DUMMYFUNCTION("""COMPUTED_VALUE"""),"Price")</f>
        <v>Price</v>
      </c>
      <c r="C5" s="23" t="str">
        <f ca="1">IFERROR(__xludf.DUMMYFUNCTION("""COMPUTED_VALUE"""),"Shares")</f>
        <v>Shares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8">
        <v>210</v>
      </c>
      <c r="C6" s="28">
        <v>100000</v>
      </c>
      <c r="D6" s="9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29</v>
      </c>
      <c r="D3" s="2" t="s">
        <v>9</v>
      </c>
      <c r="E3" s="18" t="s">
        <v>30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9" t="s">
        <v>26</v>
      </c>
      <c r="C6" s="39" t="s">
        <v>28</v>
      </c>
      <c r="D6" s="37"/>
      <c r="E6" s="27"/>
      <c r="F6" s="27"/>
      <c r="G6" s="28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29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9" t="s">
        <v>26</v>
      </c>
      <c r="C6" s="39" t="s">
        <v>28</v>
      </c>
      <c r="D6" s="37"/>
      <c r="E6" s="27"/>
      <c r="F6" s="27"/>
      <c r="G6" s="28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29</v>
      </c>
      <c r="D3" s="2" t="s">
        <v>9</v>
      </c>
      <c r="E3" s="18" t="s">
        <v>32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IFERROR(__xludf.DUMMYFUNCTION("""COMPUTED_VALUE"""),"Price")</f>
        <v>Price</v>
      </c>
      <c r="C5" s="23" t="str">
        <f ca="1">IFERROR(__xludf.DUMMYFUNCTION("""COMPUTED_VALUE"""),"Shares")</f>
        <v>Shares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8">
        <v>210</v>
      </c>
      <c r="C6" s="28">
        <v>100</v>
      </c>
      <c r="D6" s="9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33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6">
        <v>210</v>
      </c>
      <c r="E6" s="6" t="s">
        <v>35</v>
      </c>
      <c r="F6" s="6">
        <v>0</v>
      </c>
      <c r="G6" s="5"/>
      <c r="H6" s="6" t="s">
        <v>36</v>
      </c>
      <c r="I6" s="6" t="s">
        <v>37</v>
      </c>
      <c r="J6" s="6" t="s">
        <v>25</v>
      </c>
      <c r="K6" s="6" t="s">
        <v>38</v>
      </c>
      <c r="L6" s="6" t="s">
        <v>39</v>
      </c>
      <c r="T6" s="6">
        <v>0</v>
      </c>
      <c r="U6" s="6" t="s">
        <v>21</v>
      </c>
      <c r="V6" s="6" t="s">
        <v>40</v>
      </c>
      <c r="AA6" s="6" t="s">
        <v>41</v>
      </c>
      <c r="AB6" s="6">
        <v>100</v>
      </c>
      <c r="AC6" s="6" t="s">
        <v>42</v>
      </c>
      <c r="AD6" s="6">
        <v>1</v>
      </c>
      <c r="AF6" s="6" t="s">
        <v>43</v>
      </c>
      <c r="AG6" s="6">
        <v>210</v>
      </c>
      <c r="AH6" s="6" t="s">
        <v>44</v>
      </c>
      <c r="AI6" s="6" t="s">
        <v>25</v>
      </c>
      <c r="AJ6" s="6" t="s">
        <v>26</v>
      </c>
      <c r="AK6" s="6" t="s">
        <v>45</v>
      </c>
      <c r="AL6" s="6">
        <v>100</v>
      </c>
      <c r="AM6" s="6">
        <v>100</v>
      </c>
      <c r="AN6" s="6">
        <v>100</v>
      </c>
      <c r="AO6" s="6">
        <v>100</v>
      </c>
      <c r="AQ6" s="6">
        <v>210</v>
      </c>
      <c r="AR6" s="6">
        <v>210</v>
      </c>
      <c r="AS6" s="6" t="s">
        <v>46</v>
      </c>
      <c r="AT6" s="6" t="s">
        <v>20</v>
      </c>
      <c r="AU6" s="6" t="s">
        <v>47</v>
      </c>
      <c r="AV6" s="6">
        <v>21000</v>
      </c>
      <c r="AW6" s="6">
        <v>21000</v>
      </c>
      <c r="AX6" s="6" t="s">
        <v>48</v>
      </c>
      <c r="AY6" s="6">
        <v>100</v>
      </c>
      <c r="AZ6" s="6">
        <v>0</v>
      </c>
      <c r="BA6" s="6" t="s">
        <v>37</v>
      </c>
    </row>
    <row r="7" spans="1:154" ht="15.75" customHeight="1">
      <c r="A7" s="5"/>
      <c r="B7" s="5"/>
      <c r="C7" s="5"/>
      <c r="D7" s="6">
        <v>210</v>
      </c>
      <c r="E7" s="6" t="s">
        <v>35</v>
      </c>
      <c r="F7" s="6">
        <v>0</v>
      </c>
      <c r="G7" s="5"/>
      <c r="H7" s="6" t="s">
        <v>36</v>
      </c>
      <c r="I7" s="6" t="s">
        <v>37</v>
      </c>
      <c r="J7" s="6" t="s">
        <v>25</v>
      </c>
      <c r="K7" s="6" t="s">
        <v>38</v>
      </c>
      <c r="L7" s="6" t="s">
        <v>39</v>
      </c>
      <c r="T7" s="6">
        <v>0</v>
      </c>
      <c r="U7" s="6" t="s">
        <v>21</v>
      </c>
      <c r="V7" s="6" t="s">
        <v>40</v>
      </c>
      <c r="AA7" s="6" t="s">
        <v>41</v>
      </c>
      <c r="AB7" s="6">
        <v>100000</v>
      </c>
      <c r="AC7" s="6" t="s">
        <v>42</v>
      </c>
      <c r="AD7" s="6">
        <v>1</v>
      </c>
      <c r="AF7" s="6" t="s">
        <v>43</v>
      </c>
      <c r="AG7" s="6">
        <v>210</v>
      </c>
      <c r="AH7" s="6" t="s">
        <v>44</v>
      </c>
      <c r="AI7" s="6" t="s">
        <v>25</v>
      </c>
      <c r="AJ7" s="6" t="s">
        <v>26</v>
      </c>
      <c r="AK7" s="6" t="s">
        <v>45</v>
      </c>
      <c r="AL7" s="6">
        <v>100000</v>
      </c>
      <c r="AM7" s="6">
        <v>100000</v>
      </c>
      <c r="AN7" s="6">
        <v>100</v>
      </c>
      <c r="AO7" s="6">
        <v>100000</v>
      </c>
      <c r="AQ7" s="6">
        <v>210</v>
      </c>
      <c r="AR7" s="6">
        <v>210</v>
      </c>
      <c r="AS7" s="6" t="s">
        <v>46</v>
      </c>
      <c r="AT7" s="6" t="s">
        <v>20</v>
      </c>
      <c r="AU7" s="6" t="s">
        <v>47</v>
      </c>
      <c r="AV7" s="6">
        <v>21000000</v>
      </c>
      <c r="AW7" s="6">
        <v>21000000</v>
      </c>
      <c r="AX7" s="6" t="s">
        <v>48</v>
      </c>
      <c r="AY7" s="6">
        <v>100000</v>
      </c>
      <c r="AZ7" s="6">
        <v>0</v>
      </c>
      <c r="BA7" s="6" t="s">
        <v>37</v>
      </c>
    </row>
    <row r="8" spans="1:154" ht="15.75" customHeight="1">
      <c r="A8" s="5"/>
      <c r="B8" s="5"/>
      <c r="C8" s="5"/>
      <c r="D8" s="6">
        <v>210</v>
      </c>
      <c r="E8" s="6" t="s">
        <v>35</v>
      </c>
      <c r="F8" s="6">
        <v>0</v>
      </c>
      <c r="G8" s="5"/>
      <c r="H8" s="6" t="s">
        <v>36</v>
      </c>
      <c r="I8" s="6" t="s">
        <v>37</v>
      </c>
      <c r="J8" s="6" t="s">
        <v>25</v>
      </c>
      <c r="K8" s="6" t="s">
        <v>38</v>
      </c>
      <c r="L8" s="6" t="s">
        <v>39</v>
      </c>
      <c r="T8" s="6">
        <v>0</v>
      </c>
      <c r="U8" s="6" t="s">
        <v>21</v>
      </c>
      <c r="V8" s="6" t="s">
        <v>40</v>
      </c>
      <c r="AA8" s="6" t="s">
        <v>49</v>
      </c>
      <c r="AB8" s="6">
        <v>100000</v>
      </c>
      <c r="AC8" s="6" t="s">
        <v>42</v>
      </c>
      <c r="AD8" s="6">
        <v>1</v>
      </c>
      <c r="AF8" s="6" t="s">
        <v>43</v>
      </c>
      <c r="AG8" s="6">
        <v>210</v>
      </c>
      <c r="AH8" s="6" t="s">
        <v>44</v>
      </c>
      <c r="AI8" s="6" t="s">
        <v>25</v>
      </c>
      <c r="AJ8" s="6" t="s">
        <v>26</v>
      </c>
      <c r="AK8" s="6" t="s">
        <v>45</v>
      </c>
      <c r="AL8" s="6">
        <v>100000</v>
      </c>
      <c r="AM8" s="6">
        <v>100000</v>
      </c>
      <c r="AN8" s="6">
        <v>100</v>
      </c>
      <c r="AO8" s="6">
        <v>100000</v>
      </c>
      <c r="AQ8" s="6">
        <v>210</v>
      </c>
      <c r="AR8" s="6">
        <v>210</v>
      </c>
      <c r="AS8" s="6" t="s">
        <v>46</v>
      </c>
      <c r="AT8" s="6" t="s">
        <v>22</v>
      </c>
      <c r="AU8" s="6" t="s">
        <v>47</v>
      </c>
      <c r="AV8" s="6">
        <v>21000000</v>
      </c>
      <c r="AW8" s="6">
        <v>21000000</v>
      </c>
      <c r="AX8" s="6" t="s">
        <v>48</v>
      </c>
      <c r="AY8" s="6">
        <v>100000</v>
      </c>
      <c r="AZ8" s="6">
        <v>0</v>
      </c>
      <c r="BA8" s="6" t="s">
        <v>37</v>
      </c>
    </row>
    <row r="9" spans="1:154" ht="15.75" customHeight="1">
      <c r="A9" s="5"/>
      <c r="B9" s="5"/>
      <c r="C9" s="5"/>
      <c r="D9" s="6">
        <v>210</v>
      </c>
      <c r="E9" s="6" t="s">
        <v>50</v>
      </c>
      <c r="F9" s="6">
        <v>0</v>
      </c>
      <c r="G9" s="5"/>
      <c r="H9" s="6" t="s">
        <v>36</v>
      </c>
      <c r="I9" s="6" t="s">
        <v>37</v>
      </c>
      <c r="J9" s="6" t="s">
        <v>28</v>
      </c>
      <c r="K9" s="6" t="s">
        <v>38</v>
      </c>
      <c r="L9" s="6" t="s">
        <v>39</v>
      </c>
      <c r="T9" s="6">
        <v>0</v>
      </c>
      <c r="U9" s="6" t="s">
        <v>21</v>
      </c>
      <c r="V9" s="6" t="s">
        <v>40</v>
      </c>
      <c r="AA9" s="6" t="s">
        <v>49</v>
      </c>
      <c r="AB9" s="6">
        <v>100</v>
      </c>
      <c r="AC9" s="6" t="s">
        <v>42</v>
      </c>
      <c r="AD9" s="6">
        <v>1</v>
      </c>
      <c r="AF9" s="6" t="s">
        <v>43</v>
      </c>
      <c r="AG9" s="6">
        <v>210</v>
      </c>
      <c r="AH9" s="6" t="s">
        <v>44</v>
      </c>
      <c r="AI9" s="6" t="s">
        <v>28</v>
      </c>
      <c r="AJ9" s="6" t="s">
        <v>26</v>
      </c>
      <c r="AK9" s="6" t="s">
        <v>45</v>
      </c>
      <c r="AL9" s="6">
        <v>100</v>
      </c>
      <c r="AM9" s="6">
        <v>100</v>
      </c>
      <c r="AN9" s="6">
        <v>100</v>
      </c>
      <c r="AO9" s="6">
        <v>100</v>
      </c>
      <c r="AQ9" s="6">
        <v>210</v>
      </c>
      <c r="AR9" s="6">
        <v>210</v>
      </c>
      <c r="AS9" s="6" t="s">
        <v>46</v>
      </c>
      <c r="AT9" s="6" t="s">
        <v>22</v>
      </c>
      <c r="AU9" s="6" t="s">
        <v>47</v>
      </c>
      <c r="AV9" s="6">
        <v>21000</v>
      </c>
      <c r="AW9" s="6">
        <v>21000</v>
      </c>
      <c r="AX9" s="6" t="s">
        <v>48</v>
      </c>
      <c r="AY9" s="6">
        <v>100</v>
      </c>
      <c r="AZ9" s="6">
        <v>0</v>
      </c>
      <c r="BA9" s="6" t="s">
        <v>37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51</v>
      </c>
      <c r="D3" s="2" t="s">
        <v>9</v>
      </c>
      <c r="E3" s="18" t="s">
        <v>52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53</v>
      </c>
      <c r="C6" s="5"/>
      <c r="D6" s="9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51</v>
      </c>
      <c r="D3" s="2" t="s">
        <v>9</v>
      </c>
      <c r="E3" s="18" t="s">
        <v>54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6" t="s">
        <v>20</v>
      </c>
      <c r="C6" s="5"/>
      <c r="D6" s="6">
        <v>0</v>
      </c>
      <c r="E6" s="6">
        <v>100</v>
      </c>
      <c r="F6" s="6" t="s">
        <v>48</v>
      </c>
      <c r="G6" s="6" t="s">
        <v>44</v>
      </c>
      <c r="H6" s="5"/>
      <c r="I6" s="5"/>
      <c r="J6" s="5"/>
      <c r="K6" s="6">
        <v>210</v>
      </c>
      <c r="L6" s="6">
        <v>210</v>
      </c>
      <c r="M6" s="6" t="s">
        <v>35</v>
      </c>
      <c r="N6" s="5"/>
      <c r="O6" s="6" t="s">
        <v>46</v>
      </c>
      <c r="S6" s="6" t="s">
        <v>55</v>
      </c>
      <c r="T6" s="6">
        <v>0</v>
      </c>
      <c r="U6" s="6">
        <v>0</v>
      </c>
      <c r="V6" s="6" t="s">
        <v>56</v>
      </c>
      <c r="W6" s="6">
        <v>1</v>
      </c>
      <c r="Z6" s="6" t="s">
        <v>21</v>
      </c>
      <c r="AB6" s="6">
        <v>1</v>
      </c>
      <c r="AC6" s="6" t="s">
        <v>57</v>
      </c>
      <c r="AD6" s="6" t="s">
        <v>36</v>
      </c>
      <c r="AE6" s="6">
        <v>100</v>
      </c>
      <c r="AH6" s="6" t="s">
        <v>43</v>
      </c>
      <c r="AI6" s="6">
        <v>1</v>
      </c>
      <c r="AJ6" s="6" t="s">
        <v>58</v>
      </c>
      <c r="AN6" s="6" t="b">
        <v>0</v>
      </c>
      <c r="AQ6" s="6" t="b">
        <v>0</v>
      </c>
      <c r="AR6" s="6" t="b">
        <v>1</v>
      </c>
      <c r="AT6" s="6">
        <v>21014.01</v>
      </c>
      <c r="AU6" s="6">
        <v>21014.01</v>
      </c>
      <c r="AX6" s="6">
        <v>0</v>
      </c>
      <c r="AY6" s="6" t="s">
        <v>47</v>
      </c>
      <c r="AZ6" s="6">
        <v>0</v>
      </c>
      <c r="BC6" s="6">
        <v>0</v>
      </c>
      <c r="BE6" s="6">
        <v>21000</v>
      </c>
      <c r="BF6" s="6">
        <v>21000</v>
      </c>
      <c r="BJ6" s="6">
        <v>100</v>
      </c>
      <c r="BM6" s="6" t="s">
        <v>21</v>
      </c>
      <c r="BO6" s="6" t="s">
        <v>26</v>
      </c>
      <c r="BP6" s="6">
        <v>0</v>
      </c>
      <c r="BQ6" s="6">
        <v>0</v>
      </c>
      <c r="BS6" s="6" t="s">
        <v>59</v>
      </c>
      <c r="BT6" s="6" t="s">
        <v>25</v>
      </c>
      <c r="BV6" s="6">
        <v>0</v>
      </c>
      <c r="BX6" s="6">
        <v>0</v>
      </c>
      <c r="CF6" s="6" t="s">
        <v>39</v>
      </c>
      <c r="CH6" s="6" t="s">
        <v>23</v>
      </c>
      <c r="CI6" s="6" t="s">
        <v>26</v>
      </c>
      <c r="CJ6" s="6">
        <v>0</v>
      </c>
      <c r="CK6" s="6" t="s">
        <v>38</v>
      </c>
      <c r="CM6" s="6" t="s">
        <v>25</v>
      </c>
      <c r="CN6" s="6" t="s">
        <v>37</v>
      </c>
      <c r="CO6" s="6" t="s">
        <v>36</v>
      </c>
      <c r="CP6" s="6" t="s">
        <v>40</v>
      </c>
    </row>
    <row r="7" spans="1:154" ht="15.75" customHeight="1">
      <c r="A7" s="5"/>
      <c r="B7" s="6" t="s">
        <v>20</v>
      </c>
      <c r="C7" s="5"/>
      <c r="D7" s="6">
        <v>0</v>
      </c>
      <c r="E7" s="6">
        <v>100000</v>
      </c>
      <c r="F7" s="6" t="s">
        <v>48</v>
      </c>
      <c r="G7" s="6" t="s">
        <v>44</v>
      </c>
      <c r="H7" s="5"/>
      <c r="I7" s="5"/>
      <c r="J7" s="5"/>
      <c r="K7" s="6">
        <v>210</v>
      </c>
      <c r="L7" s="6">
        <v>210</v>
      </c>
      <c r="M7" s="6" t="s">
        <v>35</v>
      </c>
      <c r="N7" s="5"/>
      <c r="O7" s="6" t="s">
        <v>46</v>
      </c>
      <c r="S7" s="6" t="s">
        <v>55</v>
      </c>
      <c r="T7" s="6">
        <v>0</v>
      </c>
      <c r="U7" s="6">
        <v>0</v>
      </c>
      <c r="V7" s="6" t="s">
        <v>56</v>
      </c>
      <c r="W7" s="6">
        <v>1</v>
      </c>
      <c r="Z7" s="6" t="s">
        <v>21</v>
      </c>
      <c r="AB7" s="6">
        <v>1</v>
      </c>
      <c r="AC7" s="6" t="s">
        <v>57</v>
      </c>
      <c r="AD7" s="6" t="s">
        <v>36</v>
      </c>
      <c r="AE7" s="6">
        <v>100000</v>
      </c>
      <c r="AH7" s="6" t="s">
        <v>43</v>
      </c>
      <c r="AI7" s="6">
        <v>1</v>
      </c>
      <c r="AJ7" s="6" t="s">
        <v>58</v>
      </c>
      <c r="AN7" s="6" t="b">
        <v>0</v>
      </c>
      <c r="AQ7" s="6" t="b">
        <v>0</v>
      </c>
      <c r="AR7" s="6" t="b">
        <v>1</v>
      </c>
      <c r="AT7" s="6">
        <v>21000025.760000002</v>
      </c>
      <c r="AU7" s="6">
        <v>21000025.760000002</v>
      </c>
      <c r="AX7" s="6">
        <v>0</v>
      </c>
      <c r="AY7" s="6" t="s">
        <v>47</v>
      </c>
      <c r="AZ7" s="6">
        <v>0</v>
      </c>
      <c r="BC7" s="6">
        <v>0</v>
      </c>
      <c r="BE7" s="6">
        <v>21000000</v>
      </c>
      <c r="BF7" s="6">
        <v>21000000</v>
      </c>
      <c r="BJ7" s="6">
        <v>100000</v>
      </c>
      <c r="BM7" s="6" t="s">
        <v>21</v>
      </c>
      <c r="BO7" s="6" t="s">
        <v>26</v>
      </c>
      <c r="BP7" s="6">
        <v>0</v>
      </c>
      <c r="BQ7" s="6">
        <v>0</v>
      </c>
      <c r="BS7" s="6" t="s">
        <v>59</v>
      </c>
      <c r="BT7" s="6" t="s">
        <v>25</v>
      </c>
      <c r="BV7" s="6">
        <v>0</v>
      </c>
      <c r="BX7" s="6">
        <v>0</v>
      </c>
      <c r="CF7" s="6" t="s">
        <v>39</v>
      </c>
      <c r="CH7" s="6" t="s">
        <v>23</v>
      </c>
      <c r="CI7" s="6" t="s">
        <v>26</v>
      </c>
      <c r="CJ7" s="6">
        <v>0</v>
      </c>
      <c r="CK7" s="6" t="s">
        <v>38</v>
      </c>
      <c r="CM7" s="6" t="s">
        <v>25</v>
      </c>
      <c r="CN7" s="6" t="s">
        <v>37</v>
      </c>
      <c r="CO7" s="6" t="s">
        <v>36</v>
      </c>
      <c r="CP7" s="6" t="s">
        <v>40</v>
      </c>
    </row>
    <row r="8" spans="1:154" ht="15.75" customHeight="1">
      <c r="A8" s="5"/>
      <c r="B8" s="6" t="s">
        <v>22</v>
      </c>
      <c r="C8" s="5"/>
      <c r="D8" s="6">
        <v>0</v>
      </c>
      <c r="E8" s="6">
        <v>100000</v>
      </c>
      <c r="F8" s="6" t="s">
        <v>48</v>
      </c>
      <c r="G8" s="6" t="s">
        <v>44</v>
      </c>
      <c r="H8" s="5"/>
      <c r="I8" s="5"/>
      <c r="J8" s="5"/>
      <c r="K8" s="6">
        <v>210</v>
      </c>
      <c r="L8" s="6">
        <v>210</v>
      </c>
      <c r="M8" s="6" t="s">
        <v>35</v>
      </c>
      <c r="N8" s="5"/>
      <c r="O8" s="6" t="s">
        <v>46</v>
      </c>
      <c r="S8" s="6" t="s">
        <v>55</v>
      </c>
      <c r="T8" s="6">
        <v>0</v>
      </c>
      <c r="U8" s="6">
        <v>0</v>
      </c>
      <c r="V8" s="6" t="s">
        <v>56</v>
      </c>
      <c r="W8" s="6">
        <v>1</v>
      </c>
      <c r="Z8" s="6" t="s">
        <v>21</v>
      </c>
      <c r="AB8" s="6">
        <v>1</v>
      </c>
      <c r="AD8" s="6" t="s">
        <v>36</v>
      </c>
      <c r="AE8" s="6">
        <v>100000</v>
      </c>
      <c r="AH8" s="6" t="s">
        <v>43</v>
      </c>
      <c r="AI8" s="6">
        <v>1</v>
      </c>
      <c r="AJ8" s="6" t="s">
        <v>58</v>
      </c>
      <c r="AN8" s="6" t="b">
        <v>0</v>
      </c>
      <c r="AQ8" s="6" t="b">
        <v>0</v>
      </c>
      <c r="AR8" s="6" t="b">
        <v>1</v>
      </c>
      <c r="AT8" s="6">
        <v>21000025.760000002</v>
      </c>
      <c r="AU8" s="6">
        <v>21000025.760000002</v>
      </c>
      <c r="AX8" s="6">
        <v>0</v>
      </c>
      <c r="AY8" s="6" t="s">
        <v>47</v>
      </c>
      <c r="AZ8" s="6">
        <v>0</v>
      </c>
      <c r="BC8" s="6">
        <v>0</v>
      </c>
      <c r="BE8" s="6">
        <v>21000000</v>
      </c>
      <c r="BF8" s="6">
        <v>21000000</v>
      </c>
      <c r="BJ8" s="6">
        <v>100000</v>
      </c>
      <c r="BM8" s="6" t="s">
        <v>21</v>
      </c>
      <c r="BO8" s="6" t="s">
        <v>26</v>
      </c>
      <c r="BP8" s="6">
        <v>0</v>
      </c>
      <c r="BQ8" s="6">
        <v>0</v>
      </c>
      <c r="BS8" s="6" t="s">
        <v>59</v>
      </c>
      <c r="BT8" s="6" t="s">
        <v>25</v>
      </c>
      <c r="BV8" s="6">
        <v>0</v>
      </c>
      <c r="BX8" s="6">
        <v>0</v>
      </c>
      <c r="CF8" s="6" t="s">
        <v>39</v>
      </c>
      <c r="CH8" s="6" t="s">
        <v>60</v>
      </c>
      <c r="CI8" s="6" t="s">
        <v>26</v>
      </c>
      <c r="CJ8" s="6">
        <v>0</v>
      </c>
      <c r="CK8" s="6" t="s">
        <v>38</v>
      </c>
      <c r="CM8" s="6" t="s">
        <v>25</v>
      </c>
      <c r="CN8" s="6" t="s">
        <v>37</v>
      </c>
      <c r="CO8" s="6" t="s">
        <v>36</v>
      </c>
      <c r="CP8" s="6" t="s">
        <v>40</v>
      </c>
    </row>
    <row r="9" spans="1:154" ht="15.75" customHeight="1">
      <c r="A9" s="5"/>
      <c r="B9" s="6" t="s">
        <v>22</v>
      </c>
      <c r="C9" s="5"/>
      <c r="D9" s="6">
        <v>0</v>
      </c>
      <c r="E9" s="6">
        <v>100</v>
      </c>
      <c r="F9" s="6" t="s">
        <v>48</v>
      </c>
      <c r="G9" s="6" t="s">
        <v>44</v>
      </c>
      <c r="H9" s="5"/>
      <c r="I9" s="5"/>
      <c r="J9" s="5"/>
      <c r="K9" s="6">
        <v>210</v>
      </c>
      <c r="L9" s="6">
        <v>210</v>
      </c>
      <c r="M9" s="6" t="s">
        <v>50</v>
      </c>
      <c r="N9" s="5"/>
      <c r="O9" s="6" t="s">
        <v>46</v>
      </c>
      <c r="S9" s="6" t="s">
        <v>55</v>
      </c>
      <c r="T9" s="6">
        <v>0</v>
      </c>
      <c r="U9" s="6">
        <v>0</v>
      </c>
      <c r="V9" s="6" t="s">
        <v>61</v>
      </c>
      <c r="W9" s="6">
        <v>1</v>
      </c>
      <c r="Z9" s="6" t="s">
        <v>21</v>
      </c>
      <c r="AB9" s="6">
        <v>1</v>
      </c>
      <c r="AD9" s="6" t="s">
        <v>36</v>
      </c>
      <c r="AE9" s="6">
        <v>100</v>
      </c>
      <c r="AH9" s="6" t="s">
        <v>43</v>
      </c>
      <c r="AI9" s="6">
        <v>1</v>
      </c>
      <c r="AJ9" s="6" t="s">
        <v>58</v>
      </c>
      <c r="AN9" s="6" t="b">
        <v>0</v>
      </c>
      <c r="AQ9" s="6" t="b">
        <v>0</v>
      </c>
      <c r="AR9" s="6" t="b">
        <v>1</v>
      </c>
      <c r="AT9" s="6">
        <v>21014.01</v>
      </c>
      <c r="AU9" s="6">
        <v>21014.01</v>
      </c>
      <c r="AX9" s="6">
        <v>0</v>
      </c>
      <c r="AY9" s="6" t="s">
        <v>47</v>
      </c>
      <c r="AZ9" s="6">
        <v>0</v>
      </c>
      <c r="BC9" s="6">
        <v>0</v>
      </c>
      <c r="BE9" s="6">
        <v>21000</v>
      </c>
      <c r="BF9" s="6">
        <v>21000</v>
      </c>
      <c r="BJ9" s="6">
        <v>100</v>
      </c>
      <c r="BM9" s="6" t="s">
        <v>21</v>
      </c>
      <c r="BO9" s="6" t="s">
        <v>26</v>
      </c>
      <c r="BP9" s="6">
        <v>0</v>
      </c>
      <c r="BQ9" s="6">
        <v>0</v>
      </c>
      <c r="BS9" s="6" t="s">
        <v>59</v>
      </c>
      <c r="BT9" s="6" t="s">
        <v>28</v>
      </c>
      <c r="BV9" s="6">
        <v>0</v>
      </c>
      <c r="BX9" s="6">
        <v>0</v>
      </c>
      <c r="CF9" s="6" t="s">
        <v>39</v>
      </c>
      <c r="CH9" s="6" t="s">
        <v>60</v>
      </c>
      <c r="CI9" s="6" t="s">
        <v>26</v>
      </c>
      <c r="CJ9" s="6">
        <v>0</v>
      </c>
      <c r="CK9" s="6" t="s">
        <v>38</v>
      </c>
      <c r="CM9" s="6" t="s">
        <v>28</v>
      </c>
      <c r="CN9" s="6" t="s">
        <v>37</v>
      </c>
      <c r="CO9" s="6" t="s">
        <v>36</v>
      </c>
      <c r="CP9" s="6" t="s">
        <v>40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L20" sqref="BL2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4.42578125" customWidth="1"/>
    <col min="64" max="168" width="14.42578125" customWidth="1"/>
  </cols>
  <sheetData>
    <row r="1" spans="1:168" ht="15.75" customHeight="1">
      <c r="A1" s="14"/>
      <c r="B1" s="41" t="s">
        <v>11</v>
      </c>
      <c r="C1" s="42"/>
      <c r="D1" s="42"/>
      <c r="E1" s="42"/>
      <c r="F1" s="42"/>
      <c r="G1" s="42"/>
      <c r="H1" s="4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62</v>
      </c>
      <c r="D3" s="2" t="s">
        <v>9</v>
      </c>
      <c r="E3" s="18" t="s">
        <v>63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6" t="s">
        <v>25</v>
      </c>
      <c r="D6" s="6">
        <v>100</v>
      </c>
      <c r="E6" s="6" t="s">
        <v>20</v>
      </c>
      <c r="F6" s="6" t="s">
        <v>41</v>
      </c>
      <c r="G6" s="6">
        <v>210</v>
      </c>
      <c r="H6" s="6" t="s">
        <v>64</v>
      </c>
      <c r="I6" s="5"/>
      <c r="J6" s="6">
        <v>0</v>
      </c>
      <c r="K6" s="6">
        <v>0</v>
      </c>
      <c r="L6" s="9">
        <v>0</v>
      </c>
      <c r="M6" s="9">
        <v>0</v>
      </c>
      <c r="N6" s="6">
        <v>-21000</v>
      </c>
      <c r="O6" s="6" t="s">
        <v>56</v>
      </c>
      <c r="P6" s="6" t="s">
        <v>65</v>
      </c>
      <c r="Q6" s="6">
        <v>-21000</v>
      </c>
      <c r="R6" s="6" t="s">
        <v>66</v>
      </c>
      <c r="S6" s="6" t="s">
        <v>59</v>
      </c>
      <c r="T6" s="6" t="s">
        <v>44</v>
      </c>
      <c r="U6" s="6" t="s">
        <v>38</v>
      </c>
      <c r="V6" s="6" t="s">
        <v>36</v>
      </c>
      <c r="W6" s="6" t="s">
        <v>21</v>
      </c>
      <c r="X6" s="6">
        <v>1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100</v>
      </c>
      <c r="AG6" s="6">
        <v>0</v>
      </c>
      <c r="AH6" s="6">
        <v>0</v>
      </c>
      <c r="AI6" s="6">
        <v>0</v>
      </c>
      <c r="AJ6" s="6">
        <v>0</v>
      </c>
      <c r="AK6" s="6">
        <v>-21000</v>
      </c>
      <c r="AL6" s="6">
        <v>1</v>
      </c>
      <c r="AM6" s="6">
        <v>1</v>
      </c>
      <c r="AN6" s="6" t="s">
        <v>26</v>
      </c>
      <c r="AP6" s="6" t="s">
        <v>64</v>
      </c>
      <c r="AQ6" s="6" t="s">
        <v>25</v>
      </c>
      <c r="AR6" s="6">
        <v>0</v>
      </c>
      <c r="AS6" s="6">
        <v>1</v>
      </c>
      <c r="AT6" s="6" t="s">
        <v>57</v>
      </c>
      <c r="AU6" s="6" t="s">
        <v>42</v>
      </c>
      <c r="AV6" s="6">
        <v>1</v>
      </c>
      <c r="AW6" s="6">
        <v>-21000</v>
      </c>
      <c r="AX6" s="6">
        <v>0</v>
      </c>
      <c r="AY6" s="6">
        <v>0</v>
      </c>
      <c r="AZ6" s="6">
        <v>0</v>
      </c>
      <c r="BA6" s="6">
        <v>-100</v>
      </c>
      <c r="BC6" s="6">
        <v>1</v>
      </c>
      <c r="BD6" s="6">
        <v>-21000</v>
      </c>
      <c r="BE6" s="6" t="s">
        <v>44</v>
      </c>
      <c r="BF6" s="6" t="s">
        <v>67</v>
      </c>
      <c r="BG6" s="6" t="s">
        <v>68</v>
      </c>
      <c r="BH6" s="6" t="s">
        <v>65</v>
      </c>
      <c r="BI6" s="6">
        <v>5</v>
      </c>
      <c r="BJ6" s="6">
        <v>0</v>
      </c>
      <c r="BK6" s="6">
        <v>0</v>
      </c>
      <c r="BL6" s="6">
        <v>0</v>
      </c>
      <c r="BM6" s="6">
        <v>0</v>
      </c>
      <c r="BO6" s="6">
        <v>-21000</v>
      </c>
      <c r="BP6" s="6">
        <v>0</v>
      </c>
      <c r="BQ6" s="6" t="s">
        <v>37</v>
      </c>
      <c r="BR6" s="6" t="s">
        <v>46</v>
      </c>
      <c r="BS6" s="6">
        <v>0</v>
      </c>
      <c r="BT6" s="6">
        <v>0</v>
      </c>
      <c r="BU6" s="6" t="s">
        <v>44</v>
      </c>
      <c r="BV6" s="6" t="s">
        <v>69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-21000</v>
      </c>
      <c r="CE6" s="6">
        <v>0</v>
      </c>
      <c r="CF6" s="6">
        <v>0</v>
      </c>
      <c r="CG6" s="6">
        <v>-21000</v>
      </c>
      <c r="CH6" s="6">
        <v>-100</v>
      </c>
      <c r="CI6" s="6">
        <v>0</v>
      </c>
      <c r="CJ6" s="6">
        <v>0</v>
      </c>
      <c r="CK6" s="6" t="b">
        <v>0</v>
      </c>
      <c r="CN6" s="6" t="s">
        <v>25</v>
      </c>
      <c r="CO6" s="6" t="s">
        <v>25</v>
      </c>
      <c r="CP6" s="6" t="s">
        <v>35</v>
      </c>
      <c r="CS6" s="6">
        <v>210</v>
      </c>
      <c r="CY6" s="6" t="s">
        <v>58</v>
      </c>
      <c r="CZ6" s="6" t="s">
        <v>70</v>
      </c>
      <c r="DA6" s="6">
        <v>0</v>
      </c>
      <c r="DB6" s="6">
        <v>0</v>
      </c>
      <c r="DD6" s="6">
        <v>100</v>
      </c>
      <c r="DE6" s="6">
        <v>0</v>
      </c>
      <c r="DF6" s="6">
        <v>0</v>
      </c>
      <c r="DG6" s="6">
        <v>0</v>
      </c>
      <c r="DH6" s="6" t="s">
        <v>65</v>
      </c>
      <c r="DI6" s="6">
        <v>0</v>
      </c>
      <c r="DJ6" s="6" t="s">
        <v>26</v>
      </c>
      <c r="DK6" s="6">
        <v>0</v>
      </c>
      <c r="DL6" s="6">
        <v>0</v>
      </c>
      <c r="DM6" s="6">
        <v>1</v>
      </c>
      <c r="DN6" s="6">
        <v>0</v>
      </c>
      <c r="DP6" s="6" t="s">
        <v>64</v>
      </c>
      <c r="DQ6" s="6" t="s">
        <v>71</v>
      </c>
      <c r="DR6" s="6" t="s">
        <v>72</v>
      </c>
      <c r="DS6" s="6" t="s">
        <v>71</v>
      </c>
      <c r="DT6" s="6" t="s">
        <v>71</v>
      </c>
      <c r="DU6" s="6" t="s">
        <v>73</v>
      </c>
      <c r="DV6" s="6" t="s">
        <v>71</v>
      </c>
      <c r="DW6" s="6" t="s">
        <v>71</v>
      </c>
      <c r="DX6" s="6" t="s">
        <v>71</v>
      </c>
      <c r="DY6" s="6" t="s">
        <v>71</v>
      </c>
      <c r="DZ6" s="6" t="s">
        <v>56</v>
      </c>
      <c r="EA6" s="6" t="s">
        <v>73</v>
      </c>
      <c r="EB6" s="6" t="s">
        <v>71</v>
      </c>
      <c r="EC6" s="6" t="s">
        <v>71</v>
      </c>
      <c r="ED6" s="6" t="s">
        <v>21</v>
      </c>
      <c r="EE6" s="6" t="s">
        <v>74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 t="s">
        <v>64</v>
      </c>
      <c r="EM6" s="6">
        <v>0</v>
      </c>
      <c r="EN6" s="6">
        <v>0</v>
      </c>
      <c r="EO6" s="6">
        <v>-3.5</v>
      </c>
      <c r="EP6" s="6">
        <v>600000</v>
      </c>
      <c r="EQ6" s="6">
        <v>0</v>
      </c>
      <c r="ER6" s="6">
        <v>0</v>
      </c>
      <c r="ES6" s="6">
        <v>-41442000</v>
      </c>
      <c r="ET6" s="6">
        <v>0</v>
      </c>
      <c r="EU6" s="6">
        <v>0</v>
      </c>
      <c r="EV6" s="6" t="s">
        <v>64</v>
      </c>
      <c r="EW6" s="6">
        <v>-20721000</v>
      </c>
      <c r="EX6" s="6" t="b">
        <v>0</v>
      </c>
    </row>
    <row r="7" spans="1:168" ht="15.75" customHeight="1">
      <c r="A7" s="5"/>
      <c r="B7" s="5"/>
      <c r="C7" s="6" t="s">
        <v>25</v>
      </c>
      <c r="D7" s="6">
        <v>100000</v>
      </c>
      <c r="E7" s="6" t="s">
        <v>20</v>
      </c>
      <c r="F7" s="6" t="s">
        <v>41</v>
      </c>
      <c r="G7" s="6">
        <v>210</v>
      </c>
      <c r="H7" s="6" t="s">
        <v>64</v>
      </c>
      <c r="I7" s="5"/>
      <c r="J7" s="6">
        <v>0</v>
      </c>
      <c r="K7" s="6">
        <v>0</v>
      </c>
      <c r="L7" s="9">
        <v>0</v>
      </c>
      <c r="M7" s="9">
        <v>0</v>
      </c>
      <c r="N7" s="6">
        <v>-21000000</v>
      </c>
      <c r="O7" s="6" t="s">
        <v>56</v>
      </c>
      <c r="P7" s="6" t="s">
        <v>65</v>
      </c>
      <c r="Q7" s="6">
        <v>-21000000</v>
      </c>
      <c r="R7" s="6" t="s">
        <v>66</v>
      </c>
      <c r="S7" s="6" t="s">
        <v>59</v>
      </c>
      <c r="T7" s="6" t="s">
        <v>44</v>
      </c>
      <c r="U7" s="6" t="s">
        <v>38</v>
      </c>
      <c r="V7" s="6" t="s">
        <v>36</v>
      </c>
      <c r="W7" s="6" t="s">
        <v>21</v>
      </c>
      <c r="X7" s="6">
        <v>1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100000</v>
      </c>
      <c r="AG7" s="6">
        <v>0</v>
      </c>
      <c r="AH7" s="6">
        <v>0</v>
      </c>
      <c r="AI7" s="6">
        <v>0</v>
      </c>
      <c r="AJ7" s="6">
        <v>0</v>
      </c>
      <c r="AK7" s="6">
        <v>-21000000</v>
      </c>
      <c r="AL7" s="6">
        <v>1</v>
      </c>
      <c r="AM7" s="6">
        <v>1</v>
      </c>
      <c r="AN7" s="6" t="s">
        <v>26</v>
      </c>
      <c r="AP7" s="6" t="s">
        <v>64</v>
      </c>
      <c r="AQ7" s="6" t="s">
        <v>25</v>
      </c>
      <c r="AR7" s="6">
        <v>0</v>
      </c>
      <c r="AS7" s="6">
        <v>1</v>
      </c>
      <c r="AT7" s="6" t="s">
        <v>57</v>
      </c>
      <c r="AU7" s="6" t="s">
        <v>42</v>
      </c>
      <c r="AV7" s="6">
        <v>1</v>
      </c>
      <c r="AW7" s="6">
        <v>-21000000</v>
      </c>
      <c r="AX7" s="6">
        <v>0</v>
      </c>
      <c r="AY7" s="6">
        <v>0</v>
      </c>
      <c r="AZ7" s="6">
        <v>0</v>
      </c>
      <c r="BA7" s="6">
        <v>-100</v>
      </c>
      <c r="BC7" s="6">
        <v>1</v>
      </c>
      <c r="BD7" s="6">
        <v>-21000000</v>
      </c>
      <c r="BE7" s="6" t="s">
        <v>44</v>
      </c>
      <c r="BF7" s="6" t="s">
        <v>67</v>
      </c>
      <c r="BG7" s="6" t="s">
        <v>68</v>
      </c>
      <c r="BH7" s="6" t="s">
        <v>65</v>
      </c>
      <c r="BI7" s="6">
        <v>5</v>
      </c>
      <c r="BJ7" s="6">
        <v>0</v>
      </c>
      <c r="BK7" s="6">
        <v>0</v>
      </c>
      <c r="BL7" s="6">
        <v>0</v>
      </c>
      <c r="BM7" s="6">
        <v>0</v>
      </c>
      <c r="BO7" s="6">
        <v>-21000000</v>
      </c>
      <c r="BP7" s="6">
        <v>0</v>
      </c>
      <c r="BQ7" s="6" t="s">
        <v>37</v>
      </c>
      <c r="BR7" s="6" t="s">
        <v>46</v>
      </c>
      <c r="BS7" s="6">
        <v>0</v>
      </c>
      <c r="BT7" s="6">
        <v>0</v>
      </c>
      <c r="BU7" s="6" t="s">
        <v>44</v>
      </c>
      <c r="BV7" s="6" t="s">
        <v>69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-21000000</v>
      </c>
      <c r="CE7" s="6">
        <v>0</v>
      </c>
      <c r="CF7" s="6">
        <v>0</v>
      </c>
      <c r="CG7" s="6">
        <v>-21000000</v>
      </c>
      <c r="CH7" s="6">
        <v>-100</v>
      </c>
      <c r="CI7" s="6">
        <v>0</v>
      </c>
      <c r="CJ7" s="6">
        <v>0</v>
      </c>
      <c r="CK7" s="6" t="b">
        <v>0</v>
      </c>
      <c r="CN7" s="6" t="s">
        <v>25</v>
      </c>
      <c r="CO7" s="6" t="s">
        <v>25</v>
      </c>
      <c r="CP7" s="6" t="s">
        <v>35</v>
      </c>
      <c r="CS7" s="6">
        <v>210</v>
      </c>
      <c r="CY7" s="6" t="s">
        <v>58</v>
      </c>
      <c r="CZ7" s="6" t="s">
        <v>70</v>
      </c>
      <c r="DA7" s="6">
        <v>0</v>
      </c>
      <c r="DB7" s="6">
        <v>0</v>
      </c>
      <c r="DD7" s="6">
        <v>100000</v>
      </c>
      <c r="DE7" s="6">
        <v>0</v>
      </c>
      <c r="DF7" s="6">
        <v>0</v>
      </c>
      <c r="DG7" s="6">
        <v>0</v>
      </c>
      <c r="DH7" s="6" t="s">
        <v>65</v>
      </c>
      <c r="DI7" s="6">
        <v>0</v>
      </c>
      <c r="DJ7" s="6" t="s">
        <v>26</v>
      </c>
      <c r="DK7" s="6">
        <v>0</v>
      </c>
      <c r="DL7" s="6">
        <v>0</v>
      </c>
      <c r="DM7" s="6">
        <v>1</v>
      </c>
      <c r="DN7" s="6">
        <v>0</v>
      </c>
      <c r="DP7" s="6" t="s">
        <v>64</v>
      </c>
      <c r="DQ7" s="6" t="s">
        <v>71</v>
      </c>
      <c r="DR7" s="6" t="s">
        <v>72</v>
      </c>
      <c r="DS7" s="6" t="s">
        <v>71</v>
      </c>
      <c r="DT7" s="6" t="s">
        <v>71</v>
      </c>
      <c r="DU7" s="6" t="s">
        <v>73</v>
      </c>
      <c r="DV7" s="6" t="s">
        <v>71</v>
      </c>
      <c r="DW7" s="6" t="s">
        <v>71</v>
      </c>
      <c r="DX7" s="6" t="s">
        <v>71</v>
      </c>
      <c r="DY7" s="6" t="s">
        <v>71</v>
      </c>
      <c r="DZ7" s="6" t="s">
        <v>56</v>
      </c>
      <c r="EA7" s="6" t="s">
        <v>73</v>
      </c>
      <c r="EB7" s="6" t="s">
        <v>71</v>
      </c>
      <c r="EC7" s="6" t="s">
        <v>71</v>
      </c>
      <c r="ED7" s="6" t="s">
        <v>21</v>
      </c>
      <c r="EE7" s="6" t="s">
        <v>74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 t="s">
        <v>64</v>
      </c>
      <c r="EM7" s="6">
        <v>0</v>
      </c>
      <c r="EN7" s="6">
        <v>0</v>
      </c>
      <c r="EO7" s="6">
        <v>-3500</v>
      </c>
      <c r="EP7" s="6">
        <v>600000</v>
      </c>
      <c r="EQ7" s="6">
        <v>0</v>
      </c>
      <c r="ER7" s="6">
        <v>0</v>
      </c>
      <c r="ES7" s="6">
        <v>-41442000</v>
      </c>
      <c r="ET7" s="6">
        <v>0</v>
      </c>
      <c r="EU7" s="6">
        <v>0</v>
      </c>
      <c r="EV7" s="6" t="s">
        <v>64</v>
      </c>
      <c r="EW7" s="6">
        <v>-20721000</v>
      </c>
      <c r="EX7" s="6" t="b">
        <v>0</v>
      </c>
    </row>
    <row r="8" spans="1:168" ht="15.75" customHeight="1">
      <c r="A8" s="5"/>
      <c r="B8" s="5"/>
      <c r="C8" s="6" t="s">
        <v>25</v>
      </c>
      <c r="D8" s="6">
        <v>100000</v>
      </c>
      <c r="E8" s="6" t="s">
        <v>22</v>
      </c>
      <c r="F8" s="6" t="s">
        <v>49</v>
      </c>
      <c r="G8" s="6">
        <v>210</v>
      </c>
      <c r="H8" s="6" t="s">
        <v>64</v>
      </c>
      <c r="I8" s="5"/>
      <c r="J8" s="6">
        <v>0</v>
      </c>
      <c r="K8" s="6">
        <v>0</v>
      </c>
      <c r="L8" s="9">
        <v>0</v>
      </c>
      <c r="M8" s="9">
        <v>0</v>
      </c>
      <c r="N8" s="6">
        <v>-21000000</v>
      </c>
      <c r="O8" s="6" t="s">
        <v>56</v>
      </c>
      <c r="P8" s="6" t="s">
        <v>65</v>
      </c>
      <c r="Q8" s="6">
        <v>-21000000</v>
      </c>
      <c r="R8" s="6" t="s">
        <v>46</v>
      </c>
      <c r="S8" s="6" t="s">
        <v>59</v>
      </c>
      <c r="T8" s="6" t="s">
        <v>44</v>
      </c>
      <c r="U8" s="6" t="s">
        <v>38</v>
      </c>
      <c r="V8" s="6" t="s">
        <v>36</v>
      </c>
      <c r="W8" s="6" t="s">
        <v>21</v>
      </c>
      <c r="X8" s="6">
        <v>1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100000</v>
      </c>
      <c r="AG8" s="6">
        <v>0</v>
      </c>
      <c r="AH8" s="6">
        <v>0</v>
      </c>
      <c r="AI8" s="6">
        <v>0</v>
      </c>
      <c r="AJ8" s="6">
        <v>0</v>
      </c>
      <c r="AK8" s="6">
        <v>-21000000</v>
      </c>
      <c r="AL8" s="6">
        <v>1</v>
      </c>
      <c r="AM8" s="6">
        <v>1</v>
      </c>
      <c r="AN8" s="6" t="s">
        <v>26</v>
      </c>
      <c r="AP8" s="6" t="s">
        <v>64</v>
      </c>
      <c r="AQ8" s="6" t="s">
        <v>25</v>
      </c>
      <c r="AR8" s="6">
        <v>0</v>
      </c>
      <c r="AS8" s="6">
        <v>1</v>
      </c>
      <c r="AU8" s="6" t="s">
        <v>42</v>
      </c>
      <c r="AV8" s="6">
        <v>1</v>
      </c>
      <c r="AW8" s="6">
        <v>-21000000</v>
      </c>
      <c r="AX8" s="6">
        <v>0</v>
      </c>
      <c r="AY8" s="6">
        <v>0</v>
      </c>
      <c r="AZ8" s="6">
        <v>0</v>
      </c>
      <c r="BA8" s="6">
        <v>-100</v>
      </c>
      <c r="BC8" s="6">
        <v>1</v>
      </c>
      <c r="BD8" s="6">
        <v>-21000000</v>
      </c>
      <c r="BE8" s="6" t="s">
        <v>44</v>
      </c>
      <c r="BF8" s="6" t="s">
        <v>67</v>
      </c>
      <c r="BG8" s="6" t="s">
        <v>68</v>
      </c>
      <c r="BH8" s="6" t="s">
        <v>65</v>
      </c>
      <c r="BI8" s="6">
        <v>5</v>
      </c>
      <c r="BJ8" s="6">
        <v>0</v>
      </c>
      <c r="BK8" s="6">
        <v>0</v>
      </c>
      <c r="BL8" s="6">
        <v>0</v>
      </c>
      <c r="BM8" s="6">
        <v>0</v>
      </c>
      <c r="BO8" s="6">
        <v>-21000000</v>
      </c>
      <c r="BP8" s="6">
        <v>0</v>
      </c>
      <c r="BQ8" s="6" t="s">
        <v>37</v>
      </c>
      <c r="BR8" s="6" t="s">
        <v>46</v>
      </c>
      <c r="BS8" s="6">
        <v>0</v>
      </c>
      <c r="BT8" s="6">
        <v>0</v>
      </c>
      <c r="BU8" s="6" t="s">
        <v>44</v>
      </c>
      <c r="BV8" s="6" t="s">
        <v>69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6">
        <v>-21000000</v>
      </c>
      <c r="CE8" s="6">
        <v>0</v>
      </c>
      <c r="CF8" s="6">
        <v>0</v>
      </c>
      <c r="CG8" s="6">
        <v>-21000000</v>
      </c>
      <c r="CH8" s="6">
        <v>-100</v>
      </c>
      <c r="CI8" s="6">
        <v>0</v>
      </c>
      <c r="CJ8" s="6">
        <v>0</v>
      </c>
      <c r="CK8" s="6" t="b">
        <v>0</v>
      </c>
      <c r="CN8" s="6" t="s">
        <v>25</v>
      </c>
      <c r="CO8" s="6" t="s">
        <v>25</v>
      </c>
      <c r="CP8" s="6" t="s">
        <v>35</v>
      </c>
      <c r="CS8" s="6">
        <v>210</v>
      </c>
      <c r="CY8" s="6" t="s">
        <v>58</v>
      </c>
      <c r="CZ8" s="6" t="s">
        <v>70</v>
      </c>
      <c r="DA8" s="6">
        <v>0</v>
      </c>
      <c r="DB8" s="6">
        <v>0</v>
      </c>
      <c r="DD8" s="6">
        <v>100000</v>
      </c>
      <c r="DE8" s="6">
        <v>0</v>
      </c>
      <c r="DF8" s="6">
        <v>0</v>
      </c>
      <c r="DG8" s="6">
        <v>0</v>
      </c>
      <c r="DH8" s="6" t="s">
        <v>65</v>
      </c>
      <c r="DI8" s="6">
        <v>0</v>
      </c>
      <c r="DJ8" s="6" t="s">
        <v>26</v>
      </c>
      <c r="DK8" s="6">
        <v>0</v>
      </c>
      <c r="DL8" s="6">
        <v>0</v>
      </c>
      <c r="DM8" s="6">
        <v>1</v>
      </c>
      <c r="DN8" s="6">
        <v>0</v>
      </c>
      <c r="DP8" s="6" t="s">
        <v>64</v>
      </c>
      <c r="DQ8" s="6" t="s">
        <v>71</v>
      </c>
      <c r="DR8" s="6" t="s">
        <v>72</v>
      </c>
      <c r="DS8" s="6" t="s">
        <v>71</v>
      </c>
      <c r="DT8" s="6" t="s">
        <v>71</v>
      </c>
      <c r="DU8" s="6" t="s">
        <v>73</v>
      </c>
      <c r="DV8" s="6" t="s">
        <v>71</v>
      </c>
      <c r="DW8" s="6" t="s">
        <v>71</v>
      </c>
      <c r="DX8" s="6" t="s">
        <v>71</v>
      </c>
      <c r="DY8" s="6" t="s">
        <v>71</v>
      </c>
      <c r="DZ8" s="6" t="s">
        <v>56</v>
      </c>
      <c r="EA8" s="6" t="s">
        <v>73</v>
      </c>
      <c r="EB8" s="6" t="s">
        <v>71</v>
      </c>
      <c r="EC8" s="6" t="s">
        <v>71</v>
      </c>
      <c r="ED8" s="6" t="s">
        <v>21</v>
      </c>
      <c r="EE8" s="6" t="s">
        <v>74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 t="s">
        <v>64</v>
      </c>
      <c r="EM8" s="6">
        <v>0</v>
      </c>
      <c r="EN8" s="6">
        <v>0</v>
      </c>
      <c r="EO8" s="6">
        <v>-3500</v>
      </c>
      <c r="EP8" s="6">
        <v>600000</v>
      </c>
      <c r="EQ8" s="6">
        <v>0</v>
      </c>
      <c r="ER8" s="6">
        <v>0</v>
      </c>
      <c r="ES8" s="6">
        <v>-41442000</v>
      </c>
      <c r="ET8" s="6">
        <v>0</v>
      </c>
      <c r="EU8" s="6">
        <v>0</v>
      </c>
      <c r="EV8" s="6" t="s">
        <v>64</v>
      </c>
      <c r="EW8" s="6">
        <v>-20721000</v>
      </c>
      <c r="EX8" s="6" t="b">
        <v>0</v>
      </c>
    </row>
    <row r="9" spans="1:168" ht="15.75" customHeight="1">
      <c r="A9" s="5"/>
      <c r="B9" s="5"/>
      <c r="C9" s="6" t="s">
        <v>28</v>
      </c>
      <c r="D9" s="6">
        <v>100</v>
      </c>
      <c r="E9" s="6" t="s">
        <v>22</v>
      </c>
      <c r="F9" s="6" t="s">
        <v>49</v>
      </c>
      <c r="G9" s="6">
        <v>210</v>
      </c>
      <c r="H9" s="6" t="s">
        <v>64</v>
      </c>
      <c r="I9" s="5"/>
      <c r="J9" s="6">
        <v>0</v>
      </c>
      <c r="K9" s="6">
        <v>0</v>
      </c>
      <c r="L9" s="9">
        <v>0</v>
      </c>
      <c r="M9" s="9">
        <v>0</v>
      </c>
      <c r="N9" s="6">
        <v>-21000</v>
      </c>
      <c r="O9" s="6" t="s">
        <v>61</v>
      </c>
      <c r="P9" s="6" t="s">
        <v>65</v>
      </c>
      <c r="Q9" s="6">
        <v>-21000</v>
      </c>
      <c r="R9" s="6" t="s">
        <v>46</v>
      </c>
      <c r="S9" s="6" t="s">
        <v>59</v>
      </c>
      <c r="T9" s="6" t="s">
        <v>44</v>
      </c>
      <c r="U9" s="6" t="s">
        <v>38</v>
      </c>
      <c r="V9" s="6" t="s">
        <v>36</v>
      </c>
      <c r="W9" s="6" t="s">
        <v>21</v>
      </c>
      <c r="X9" s="6">
        <v>1</v>
      </c>
      <c r="Y9" s="6">
        <v>1</v>
      </c>
      <c r="AB9" s="6">
        <v>0</v>
      </c>
      <c r="AC9" s="6">
        <v>0</v>
      </c>
      <c r="AD9" s="6">
        <v>0</v>
      </c>
      <c r="AE9" s="6">
        <v>0</v>
      </c>
      <c r="AF9" s="6">
        <v>100</v>
      </c>
      <c r="AG9" s="6">
        <v>0</v>
      </c>
      <c r="AH9" s="6">
        <v>0</v>
      </c>
      <c r="AI9" s="6">
        <v>0</v>
      </c>
      <c r="AJ9" s="6">
        <v>0</v>
      </c>
      <c r="AK9" s="6">
        <v>-21000</v>
      </c>
      <c r="AL9" s="6">
        <v>1</v>
      </c>
      <c r="AM9" s="6">
        <v>1</v>
      </c>
      <c r="AN9" s="6" t="s">
        <v>26</v>
      </c>
      <c r="AP9" s="6" t="s">
        <v>64</v>
      </c>
      <c r="AQ9" s="6" t="s">
        <v>28</v>
      </c>
      <c r="AR9" s="6">
        <v>0</v>
      </c>
      <c r="AS9" s="6">
        <v>1</v>
      </c>
      <c r="AU9" s="6" t="s">
        <v>42</v>
      </c>
      <c r="AV9" s="6">
        <v>1</v>
      </c>
      <c r="AW9" s="6">
        <v>-21000</v>
      </c>
      <c r="AX9" s="6">
        <v>0</v>
      </c>
      <c r="AY9" s="6">
        <v>0</v>
      </c>
      <c r="AZ9" s="6">
        <v>0</v>
      </c>
      <c r="BA9" s="6">
        <v>-100</v>
      </c>
      <c r="BC9" s="6">
        <v>1</v>
      </c>
      <c r="BD9" s="6">
        <v>-21000</v>
      </c>
      <c r="BE9" s="6" t="s">
        <v>44</v>
      </c>
      <c r="BF9" s="6" t="s">
        <v>75</v>
      </c>
      <c r="BG9" s="6" t="s">
        <v>76</v>
      </c>
      <c r="BH9" s="6" t="s">
        <v>77</v>
      </c>
      <c r="BI9" s="6" t="s">
        <v>65</v>
      </c>
      <c r="BJ9" s="6">
        <v>0</v>
      </c>
      <c r="BK9" s="6">
        <v>0</v>
      </c>
      <c r="BL9" s="6">
        <v>0</v>
      </c>
      <c r="BM9" s="6">
        <v>0</v>
      </c>
      <c r="BO9" s="6">
        <v>-21000</v>
      </c>
      <c r="BP9" s="6">
        <v>0</v>
      </c>
      <c r="BQ9" s="6" t="s">
        <v>37</v>
      </c>
      <c r="BR9" s="6" t="s">
        <v>46</v>
      </c>
      <c r="BS9" s="6">
        <v>0</v>
      </c>
      <c r="BT9" s="6">
        <v>0</v>
      </c>
      <c r="BU9" s="6" t="s">
        <v>44</v>
      </c>
      <c r="BV9" s="6" t="s">
        <v>69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C9" s="6">
        <v>0</v>
      </c>
      <c r="CD9" s="6">
        <v>-21000</v>
      </c>
      <c r="CE9" s="6">
        <v>0</v>
      </c>
      <c r="CF9" s="6">
        <v>0</v>
      </c>
      <c r="CG9" s="6">
        <v>-21000</v>
      </c>
      <c r="CH9" s="6">
        <v>-100</v>
      </c>
      <c r="CI9" s="6">
        <v>0</v>
      </c>
      <c r="CJ9" s="6">
        <v>0</v>
      </c>
      <c r="CK9" s="6" t="b">
        <v>0</v>
      </c>
      <c r="CP9" s="6" t="s">
        <v>50</v>
      </c>
      <c r="CS9" s="6">
        <v>210</v>
      </c>
      <c r="CY9" s="6" t="s">
        <v>58</v>
      </c>
      <c r="CZ9" s="6" t="s">
        <v>70</v>
      </c>
      <c r="DA9" s="6">
        <v>0</v>
      </c>
      <c r="DB9" s="6">
        <v>0</v>
      </c>
      <c r="DD9" s="6">
        <v>100</v>
      </c>
      <c r="DE9" s="6">
        <v>0</v>
      </c>
      <c r="DF9" s="6">
        <v>0</v>
      </c>
      <c r="DG9" s="6">
        <v>0</v>
      </c>
      <c r="DH9" s="6" t="s">
        <v>65</v>
      </c>
      <c r="DI9" s="6">
        <v>0</v>
      </c>
      <c r="DJ9" s="6" t="s">
        <v>26</v>
      </c>
      <c r="DK9" s="6">
        <v>0</v>
      </c>
      <c r="DL9" s="6">
        <v>0</v>
      </c>
      <c r="DM9" s="6">
        <v>1</v>
      </c>
      <c r="DN9" s="6">
        <v>0</v>
      </c>
      <c r="DP9" s="6" t="s">
        <v>64</v>
      </c>
      <c r="DQ9" s="6" t="s">
        <v>65</v>
      </c>
      <c r="DR9" s="6" t="s">
        <v>78</v>
      </c>
      <c r="DS9" s="6" t="s">
        <v>79</v>
      </c>
      <c r="DT9" s="6" t="s">
        <v>65</v>
      </c>
      <c r="DU9" s="6" t="s">
        <v>65</v>
      </c>
      <c r="DV9" s="6" t="s">
        <v>65</v>
      </c>
      <c r="DW9" s="40"/>
      <c r="DY9" s="6" t="s">
        <v>65</v>
      </c>
      <c r="DZ9" s="6" t="s">
        <v>61</v>
      </c>
      <c r="EA9" s="6" t="s">
        <v>74</v>
      </c>
      <c r="EB9" s="6" t="s">
        <v>65</v>
      </c>
      <c r="EC9" s="6" t="s">
        <v>65</v>
      </c>
      <c r="ED9" s="6" t="s">
        <v>21</v>
      </c>
      <c r="EE9" s="6" t="s">
        <v>74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 t="s">
        <v>64</v>
      </c>
      <c r="EM9" s="6">
        <v>0</v>
      </c>
      <c r="EN9" s="6">
        <v>0</v>
      </c>
      <c r="EO9" s="6">
        <v>-3.5</v>
      </c>
      <c r="EP9" s="6">
        <v>600000</v>
      </c>
      <c r="EQ9" s="6">
        <v>0</v>
      </c>
      <c r="ER9" s="6">
        <v>0</v>
      </c>
      <c r="ES9" s="6">
        <v>-41442000</v>
      </c>
      <c r="ET9" s="6">
        <v>0</v>
      </c>
      <c r="EU9" s="6">
        <v>0</v>
      </c>
      <c r="EV9" s="6" t="s">
        <v>64</v>
      </c>
      <c r="EW9" s="6">
        <v>-20721000</v>
      </c>
      <c r="EX9" s="6" t="b">
        <v>0</v>
      </c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_Modules</vt:lpstr>
      <vt:lpstr>_Settings</vt:lpstr>
      <vt:lpstr>_MasterData</vt:lpstr>
      <vt:lpstr>SetTradingComplianceRules</vt:lpstr>
      <vt:lpstr>GetDailyCash</vt:lpstr>
      <vt:lpstr>UpdateDailyCash</vt:lpstr>
      <vt:lpstr>CreateDoneAwayOrder</vt:lpstr>
      <vt:lpstr>CreateLiveOrder</vt:lpstr>
      <vt:lpstr>SelectTrade</vt:lpstr>
      <vt:lpstr>AcknowledgeTrade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2021-08-04T13:46:48Z</dcterms:modified>
</cp:coreProperties>
</file>