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AllocatedGroups" sheetId="5" r:id="rId7"/>
    <sheet state="visible" name="SelectTradeUnexpiredUnsettled" sheetId="6" r:id="rId8"/>
    <sheet state="visible" name="VerifyUnExpiredUnSettledGrid" sheetId="7" r:id="rId9"/>
    <sheet state="visible" name="ExerciseAssignment" sheetId="8" r:id="rId10"/>
    <sheet state="visible" name="VerifyExpiredSettledGrid" sheetId="9" r:id="rId11"/>
    <sheet state="visible" name="EditAllocatedGrid" sheetId="10" r:id="rId12"/>
    <sheet state="visible" name="UnwindClosing" sheetId="11" r:id="rId13"/>
  </sheets>
  <definedNames/>
  <calcPr/>
</workbook>
</file>

<file path=xl/sharedStrings.xml><?xml version="1.0" encoding="utf-8"?>
<sst xmlns="http://schemas.openxmlformats.org/spreadsheetml/2006/main" count="207" uniqueCount="69">
  <si>
    <t>Modules Info</t>
  </si>
  <si>
    <t>Modules</t>
  </si>
  <si>
    <t>Settings</t>
  </si>
  <si>
    <t>Module Step Setting File</t>
  </si>
  <si>
    <t>1njGxNbI2NR3nqQDk5lTKx4so0tQjoi9u2bypOu6AkKU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</si>
  <si>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</si>
  <si>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</si>
  <si>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</si>
  <si>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</si>
  <si>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</si>
  <si>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</si>
  <si>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</si>
  <si>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</si>
  <si>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</si>
  <si>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</si>
  <si>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</si>
  <si>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O:ABM 10D20.00</t>
  </si>
  <si>
    <t>Buy to open</t>
  </si>
  <si>
    <t>Allocation1</t>
  </si>
  <si>
    <t>O:EOG 10D95.00</t>
  </si>
  <si>
    <t>Buy to close</t>
  </si>
  <si>
    <t>Allocation</t>
  </si>
  <si>
    <t>CheckAllocatedGroups</t>
  </si>
  <si>
    <t>EquityOption</t>
  </si>
  <si>
    <t>ABM APR 2018 20 CALL</t>
  </si>
  <si>
    <t>USD</t>
  </si>
  <si>
    <t>NASDAQ</t>
  </si>
  <si>
    <t>M</t>
  </si>
  <si>
    <t>Buy to Open</t>
  </si>
  <si>
    <t>O:ABM 10D20.00</t>
  </si>
  <si>
    <t>GCCAP1</t>
  </si>
  <si>
    <t>CreateTransactionUI</t>
  </si>
  <si>
    <t>BuytoOpen</t>
  </si>
  <si>
    <t>US</t>
  </si>
  <si>
    <t>ABM</t>
  </si>
  <si>
    <t>jpearce</t>
  </si>
  <si>
    <t>EOG APR 2010 95 CALL</t>
  </si>
  <si>
    <t>Buy to Close</t>
  </si>
  <si>
    <t>BuytoClose</t>
  </si>
  <si>
    <t>EOG</t>
  </si>
  <si>
    <t>Closing</t>
  </si>
  <si>
    <t>SelectTradeUnexpiredUnsettled</t>
  </si>
  <si>
    <t>MS</t>
  </si>
  <si>
    <t>VerifyUnExpiredUnSettledGrid</t>
  </si>
  <si>
    <t>Auto</t>
  </si>
  <si>
    <t>Open</t>
  </si>
  <si>
    <t>Undefined</t>
  </si>
  <si>
    <t>COR</t>
  </si>
  <si>
    <t>OPTS</t>
  </si>
  <si>
    <t>Long</t>
  </si>
  <si>
    <t>NewMF</t>
  </si>
  <si>
    <t>LONG</t>
  </si>
  <si>
    <t>CALL</t>
  </si>
  <si>
    <t>None</t>
  </si>
  <si>
    <t>UK</t>
  </si>
  <si>
    <t>Short</t>
  </si>
  <si>
    <t>ExerciseAssignment</t>
  </si>
  <si>
    <t>VerifyExpiredSettledGrid</t>
  </si>
  <si>
    <t>NONE</t>
  </si>
  <si>
    <t>Exercise</t>
  </si>
  <si>
    <t>Sell to Close</t>
  </si>
  <si>
    <t>Sell to Open</t>
  </si>
  <si>
    <t>EditAllocatedGrid</t>
  </si>
  <si>
    <t>GS</t>
  </si>
  <si>
    <t>DB</t>
  </si>
  <si>
    <t>UBS</t>
  </si>
  <si>
    <t>FIMAT</t>
  </si>
  <si>
    <t>Source</t>
  </si>
  <si>
    <t>UnwindClosing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</si>
</sst>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0.0000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Arial"/>
    </font>
    <font>
      <sz val="11.0"/>
      <color rgb="FF000000"/>
      <name val="Calibri"/>
    </font>
    <font>
      <sz val="11.0"/>
      <name val="Calibri"/>
    </font>
    <font>
      <sz val="11.0"/>
      <color rgb="FF000000"/>
      <name val="Arial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13" numFmtId="4" xfId="0" applyAlignment="1" applyFont="1" applyNumberFormat="1">
      <alignment readingOrder="0" shrinkToFit="0" wrapText="0"/>
    </xf>
    <xf borderId="0" fillId="0" fontId="13" numFmtId="4" xfId="0" applyAlignment="1" applyFont="1" applyNumberFormat="1">
      <alignment shrinkToFit="0" wrapText="0"/>
    </xf>
    <xf borderId="5" fillId="0" fontId="13" numFmtId="4" xfId="0" applyAlignment="1" applyBorder="1" applyFont="1" applyNumberFormat="1">
      <alignment horizontal="right" vertical="bottom"/>
    </xf>
    <xf borderId="5" fillId="0" fontId="13" numFmtId="4" xfId="0" applyAlignment="1" applyBorder="1" applyFont="1" applyNumberFormat="1">
      <alignment readingOrder="0" vertical="bottom"/>
    </xf>
    <xf borderId="0" fillId="0" fontId="13" numFmtId="4" xfId="0" applyFont="1" applyNumberFormat="1"/>
    <xf borderId="5" fillId="0" fontId="0" numFmtId="4" xfId="0" applyAlignment="1" applyBorder="1" applyFont="1" applyNumberFormat="1">
      <alignment horizontal="right" vertical="bottom"/>
    </xf>
    <xf borderId="0" fillId="0" fontId="0" numFmtId="4" xfId="0" applyAlignment="1" applyFont="1" applyNumberFormat="1">
      <alignment horizontal="right" vertical="bottom"/>
    </xf>
    <xf borderId="0" fillId="0" fontId="13" numFmtId="4" xfId="0" applyAlignment="1" applyFont="1" applyNumberFormat="1">
      <alignment readingOrder="0"/>
    </xf>
    <xf borderId="0" fillId="0" fontId="13" numFmtId="4" xfId="0" applyAlignment="1" applyFont="1" applyNumberFormat="1">
      <alignment horizontal="right" readingOrder="0" vertical="bottom"/>
    </xf>
    <xf borderId="0" fillId="0" fontId="13" numFmtId="4" xfId="0" applyAlignment="1" applyFont="1" applyNumberForma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0" numFmtId="4" xfId="0" applyAlignment="1" applyFont="1" applyNumberForma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readingOrder="0" shrinkToFit="0" vertical="bottom" wrapText="0"/>
    </xf>
    <xf borderId="5" fillId="0" fontId="0" numFmtId="4" xfId="0" applyAlignment="1" applyBorder="1" applyFont="1" applyNumberFormat="1">
      <alignment horizontal="right" readingOrder="0" vertical="bottom"/>
    </xf>
    <xf borderId="5" fillId="0" fontId="13" numFmtId="4" xfId="0" applyAlignment="1" applyBorder="1" applyFont="1" applyNumberFormat="1">
      <alignment horizontal="right" readingOrder="0" vertical="bottom"/>
    </xf>
    <xf borderId="5" fillId="0" fontId="13" numFmtId="4" xfId="0" applyAlignment="1" applyBorder="1" applyFont="1" applyNumberFormat="1">
      <alignment vertical="bottom"/>
    </xf>
    <xf borderId="0" fillId="0" fontId="0" numFmtId="4" xfId="0" applyAlignment="1" applyFont="1" applyNumberFormat="1">
      <alignment readingOrder="0" vertical="bottom"/>
    </xf>
    <xf borderId="0" fillId="0" fontId="13" numFmtId="164" xfId="0" applyAlignment="1" applyFont="1" applyNumberFormat="1">
      <alignment horizontal="right" readingOrder="0" vertical="bottom"/>
    </xf>
    <xf borderId="0" fillId="0" fontId="5" numFmtId="4" xfId="0" applyAlignment="1" applyFont="1" applyNumberFormat="1">
      <alignment shrinkToFit="0" wrapText="0"/>
    </xf>
    <xf borderId="0" fillId="0" fontId="5" numFmtId="4" xfId="0" applyAlignment="1" applyFont="1" applyNumberFormat="1">
      <alignment readingOrder="0" shrinkToFit="0" wrapText="0"/>
    </xf>
    <xf borderId="5" fillId="0" fontId="15" numFmtId="4" xfId="0" applyAlignment="1" applyBorder="1" applyFont="1" applyNumberFormat="1">
      <alignment horizontal="right" vertical="bottom"/>
    </xf>
    <xf borderId="5" fillId="0" fontId="15" numFmtId="4" xfId="0" applyAlignment="1" applyBorder="1" applyFont="1" applyNumberFormat="1">
      <alignment vertical="bottom"/>
    </xf>
    <xf borderId="5" fillId="0" fontId="16" numFmtId="4" xfId="0" applyAlignment="1" applyBorder="1" applyFont="1" applyNumberFormat="1">
      <alignment horizontal="right" vertical="bottom"/>
    </xf>
    <xf borderId="5" fillId="0" fontId="3" numFmtId="4" xfId="0" applyAlignment="1" applyBorder="1" applyFont="1" applyNumberFormat="1">
      <alignment horizontal="right" vertical="bottom"/>
    </xf>
    <xf borderId="5" fillId="0" fontId="3" numFmtId="4" xfId="0" applyAlignment="1" applyBorder="1" applyFont="1" applyNumberFormat="1">
      <alignment vertical="bottom"/>
    </xf>
    <xf borderId="0" fillId="0" fontId="2" numFmtId="4" xfId="0" applyFont="1" applyNumberFormat="1"/>
    <xf borderId="5" fillId="0" fontId="17" numFmtId="4" xfId="0" applyAlignment="1" applyBorder="1" applyFont="1" applyNumberFormat="1">
      <alignment horizontal="right" vertical="bottom"/>
    </xf>
    <xf borderId="0" fillId="0" fontId="16" numFmtId="4" xfId="0" applyAlignment="1" applyFont="1" applyNumberFormat="1">
      <alignment horizontal="right" vertical="bottom"/>
    </xf>
    <xf borderId="0" fillId="0" fontId="17" numFmtId="4" xfId="0" applyAlignment="1" applyFont="1" applyNumberFormat="1">
      <alignment vertical="bottom"/>
    </xf>
    <xf borderId="0" fillId="0" fontId="3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2" numFmtId="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5" numFmtId="164" xfId="0" applyAlignment="1" applyFont="1" applyNumberFormat="1">
      <alignment horizontal="right" vertical="bottom"/>
    </xf>
    <xf borderId="0" fillId="0" fontId="16" numFmtId="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3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1" t="s">
        <v>17</v>
      </c>
      <c r="D6" s="32">
        <v>100.0</v>
      </c>
      <c r="E6" s="33">
        <v>100.0</v>
      </c>
      <c r="F6" s="34" t="s">
        <v>18</v>
      </c>
      <c r="G6" s="31"/>
      <c r="H6" s="34"/>
      <c r="I6" s="34"/>
      <c r="J6" s="33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19</v>
      </c>
      <c r="C7" s="36" t="s">
        <v>20</v>
      </c>
      <c r="D7" s="37">
        <v>100.0</v>
      </c>
      <c r="E7" s="37">
        <v>100.0</v>
      </c>
      <c r="F7" s="35" t="s">
        <v>18</v>
      </c>
      <c r="G7" s="35"/>
      <c r="H7" s="35"/>
      <c r="I7" s="35"/>
      <c r="J7" s="37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1" width="12.63"/>
    <col customWidth="1" min="22" max="22" width="19.13"/>
    <col customWidth="1" min="23" max="71" width="12.63"/>
    <col customWidth="1" min="72" max="72" width="18.75"/>
    <col customWidth="1" min="73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 t="s">
        <v>18</v>
      </c>
      <c r="C6" s="39"/>
      <c r="D6" s="40">
        <v>0.0</v>
      </c>
      <c r="E6" s="38">
        <v>100.0</v>
      </c>
      <c r="F6" s="39"/>
      <c r="G6" s="41" t="s">
        <v>23</v>
      </c>
      <c r="H6" s="40">
        <v>0.0</v>
      </c>
      <c r="I6" s="40">
        <v>0.0</v>
      </c>
      <c r="J6" s="39"/>
      <c r="K6" s="38">
        <v>10.0</v>
      </c>
      <c r="L6" s="38">
        <v>10.0</v>
      </c>
      <c r="M6" s="39"/>
      <c r="N6" s="39"/>
      <c r="O6" s="38"/>
      <c r="P6" s="42"/>
      <c r="Q6" s="43">
        <v>3.0</v>
      </c>
      <c r="R6" s="40">
        <v>0.0</v>
      </c>
      <c r="S6" s="42"/>
      <c r="T6" s="44">
        <v>0.0</v>
      </c>
      <c r="U6" s="44">
        <v>0.0</v>
      </c>
      <c r="V6" s="45" t="s">
        <v>24</v>
      </c>
      <c r="W6" s="46">
        <v>100.0</v>
      </c>
      <c r="X6" s="42"/>
      <c r="Y6" s="42"/>
      <c r="Z6" s="47" t="s">
        <v>25</v>
      </c>
      <c r="AA6" s="42"/>
      <c r="AB6" s="48">
        <v>1.0</v>
      </c>
      <c r="AC6" s="42"/>
      <c r="AD6" s="49" t="s">
        <v>26</v>
      </c>
      <c r="AE6" s="45">
        <v>100.0</v>
      </c>
      <c r="AF6" s="42"/>
      <c r="AG6" s="42"/>
      <c r="AH6" s="47" t="s">
        <v>27</v>
      </c>
      <c r="AI6" s="48">
        <v>1.0</v>
      </c>
      <c r="AJ6" s="42"/>
      <c r="AK6" s="42"/>
      <c r="AL6" s="42"/>
      <c r="AM6" s="42"/>
      <c r="AN6" s="49"/>
      <c r="AO6" s="42"/>
      <c r="AP6" s="42"/>
      <c r="AQ6" s="49"/>
      <c r="AR6" s="49"/>
      <c r="AS6" s="44">
        <v>0.0</v>
      </c>
      <c r="AT6" s="45">
        <v>100000.0</v>
      </c>
      <c r="AU6" s="45">
        <v>100000.0</v>
      </c>
      <c r="AV6" s="42"/>
      <c r="AW6" s="44">
        <v>0.0</v>
      </c>
      <c r="AX6" s="44">
        <v>0.0</v>
      </c>
      <c r="AY6" s="42"/>
      <c r="AZ6" s="44">
        <v>0.0</v>
      </c>
      <c r="BA6" s="42"/>
      <c r="BB6" s="42"/>
      <c r="BC6" s="44">
        <v>0.0</v>
      </c>
      <c r="BD6" s="42"/>
      <c r="BE6" s="50">
        <v>100000.0</v>
      </c>
      <c r="BF6" s="50">
        <v>100000.0</v>
      </c>
      <c r="BG6" s="42"/>
      <c r="BH6" s="42"/>
      <c r="BI6" s="42"/>
      <c r="BJ6" s="45">
        <v>100.0</v>
      </c>
      <c r="BK6" s="44">
        <v>0.0</v>
      </c>
      <c r="BL6" s="42"/>
      <c r="BM6" s="47" t="s">
        <v>25</v>
      </c>
      <c r="BN6" s="42"/>
      <c r="BO6" s="51" t="s">
        <v>28</v>
      </c>
      <c r="BP6" s="44">
        <v>0.0</v>
      </c>
      <c r="BQ6" s="42"/>
      <c r="BR6" s="45">
        <v>0.0</v>
      </c>
      <c r="BS6" s="42"/>
      <c r="BT6" s="51" t="s">
        <v>29</v>
      </c>
      <c r="BU6" s="45">
        <v>0.0</v>
      </c>
      <c r="BV6" s="44">
        <v>0.0</v>
      </c>
      <c r="BW6" s="44">
        <v>0.0</v>
      </c>
      <c r="BX6" s="44">
        <v>0.0</v>
      </c>
      <c r="BY6" s="42"/>
      <c r="BZ6" s="42"/>
      <c r="CA6" s="42"/>
      <c r="CB6" s="42"/>
      <c r="CC6" s="42"/>
      <c r="CD6" s="42"/>
      <c r="CE6" s="42"/>
      <c r="CF6" s="51" t="s">
        <v>30</v>
      </c>
      <c r="CG6" s="45">
        <v>0.0</v>
      </c>
      <c r="CH6" s="45" t="s">
        <v>31</v>
      </c>
      <c r="CI6" s="51" t="s">
        <v>32</v>
      </c>
      <c r="CJ6" s="44">
        <v>0.0</v>
      </c>
      <c r="CK6" s="47" t="s">
        <v>33</v>
      </c>
      <c r="CL6" s="48">
        <v>1.0</v>
      </c>
      <c r="CM6" s="45" t="s">
        <v>34</v>
      </c>
      <c r="CN6" s="47" t="s">
        <v>35</v>
      </c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39"/>
      <c r="B7" s="38" t="s">
        <v>18</v>
      </c>
      <c r="C7" s="39"/>
      <c r="D7" s="40">
        <v>0.0</v>
      </c>
      <c r="E7" s="38">
        <v>100.0</v>
      </c>
      <c r="F7" s="39"/>
      <c r="G7" s="41" t="s">
        <v>23</v>
      </c>
      <c r="H7" s="52">
        <v>0.0</v>
      </c>
      <c r="I7" s="53">
        <v>0.0</v>
      </c>
      <c r="J7" s="39"/>
      <c r="K7" s="38">
        <v>10.0</v>
      </c>
      <c r="L7" s="38">
        <v>10.0</v>
      </c>
      <c r="M7" s="39"/>
      <c r="N7" s="39"/>
      <c r="O7" s="54"/>
      <c r="P7" s="42"/>
      <c r="Q7" s="43">
        <v>3.0</v>
      </c>
      <c r="R7" s="40">
        <v>0.0</v>
      </c>
      <c r="S7" s="42"/>
      <c r="T7" s="44">
        <v>0.0</v>
      </c>
      <c r="U7" s="44">
        <v>0.0</v>
      </c>
      <c r="V7" s="55" t="s">
        <v>36</v>
      </c>
      <c r="W7" s="46">
        <v>100.0</v>
      </c>
      <c r="X7" s="42"/>
      <c r="Y7" s="42"/>
      <c r="Z7" s="47" t="s">
        <v>25</v>
      </c>
      <c r="AA7" s="42"/>
      <c r="AB7" s="48">
        <v>1.0</v>
      </c>
      <c r="AC7" s="42"/>
      <c r="AD7" s="49" t="s">
        <v>26</v>
      </c>
      <c r="AE7" s="45">
        <v>100.0</v>
      </c>
      <c r="AF7" s="42"/>
      <c r="AG7" s="42"/>
      <c r="AH7" s="47" t="s">
        <v>27</v>
      </c>
      <c r="AI7" s="48">
        <v>1.0</v>
      </c>
      <c r="AJ7" s="42"/>
      <c r="AK7" s="42"/>
      <c r="AL7" s="42"/>
      <c r="AM7" s="42"/>
      <c r="AN7" s="49"/>
      <c r="AO7" s="42"/>
      <c r="AP7" s="42"/>
      <c r="AQ7" s="49"/>
      <c r="AR7" s="49"/>
      <c r="AS7" s="44">
        <v>0.0</v>
      </c>
      <c r="AT7" s="45">
        <v>100000.0</v>
      </c>
      <c r="AU7" s="45">
        <v>100000.0</v>
      </c>
      <c r="AV7" s="42"/>
      <c r="AW7" s="44">
        <v>0.0</v>
      </c>
      <c r="AX7" s="44">
        <v>0.0</v>
      </c>
      <c r="AY7" s="47"/>
      <c r="AZ7" s="44">
        <v>0.0</v>
      </c>
      <c r="BA7" s="42"/>
      <c r="BB7" s="42"/>
      <c r="BC7" s="44">
        <v>0.0</v>
      </c>
      <c r="BD7" s="42"/>
      <c r="BE7" s="50">
        <v>100000.0</v>
      </c>
      <c r="BF7" s="50">
        <v>100000.0</v>
      </c>
      <c r="BG7" s="42"/>
      <c r="BH7" s="42"/>
      <c r="BI7" s="42"/>
      <c r="BJ7" s="45">
        <v>100.0</v>
      </c>
      <c r="BK7" s="44">
        <v>0.0</v>
      </c>
      <c r="BL7" s="42"/>
      <c r="BM7" s="47" t="s">
        <v>25</v>
      </c>
      <c r="BN7" s="42"/>
      <c r="BO7" s="51" t="s">
        <v>37</v>
      </c>
      <c r="BP7" s="44">
        <v>0.0</v>
      </c>
      <c r="BQ7" s="42"/>
      <c r="BR7" s="45">
        <v>0.0</v>
      </c>
      <c r="BS7" s="42"/>
      <c r="BT7" s="51" t="s">
        <v>19</v>
      </c>
      <c r="BU7" s="56">
        <v>0.0</v>
      </c>
      <c r="BV7" s="44">
        <v>0.0</v>
      </c>
      <c r="BW7" s="44">
        <v>0.0</v>
      </c>
      <c r="BX7" s="44">
        <v>0.0</v>
      </c>
      <c r="BY7" s="42"/>
      <c r="BZ7" s="42"/>
      <c r="CA7" s="42"/>
      <c r="CB7" s="42"/>
      <c r="CC7" s="42"/>
      <c r="CD7" s="42"/>
      <c r="CE7" s="42"/>
      <c r="CF7" s="51" t="s">
        <v>30</v>
      </c>
      <c r="CG7" s="46">
        <v>0.0</v>
      </c>
      <c r="CH7" s="45" t="s">
        <v>31</v>
      </c>
      <c r="CI7" s="51" t="s">
        <v>38</v>
      </c>
      <c r="CJ7" s="44">
        <v>0.0</v>
      </c>
      <c r="CK7" s="47" t="s">
        <v>33</v>
      </c>
      <c r="CL7" s="48">
        <v>1.0</v>
      </c>
      <c r="CM7" s="45" t="s">
        <v>39</v>
      </c>
      <c r="CN7" s="47" t="s">
        <v>35</v>
      </c>
      <c r="CO7" s="47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</row>
    <row r="8" ht="15.75" customHeight="1">
      <c r="A8" s="57"/>
      <c r="B8" s="58"/>
      <c r="C8" s="57"/>
      <c r="D8" s="59"/>
      <c r="E8" s="58"/>
      <c r="F8" s="57"/>
      <c r="G8" s="60"/>
      <c r="H8" s="61"/>
      <c r="I8" s="62"/>
      <c r="J8" s="57"/>
      <c r="K8" s="58"/>
      <c r="L8" s="58"/>
      <c r="M8" s="57"/>
      <c r="N8" s="57"/>
      <c r="O8" s="63"/>
      <c r="P8" s="64"/>
      <c r="Q8" s="65"/>
      <c r="R8" s="59"/>
      <c r="S8" s="64"/>
      <c r="T8" s="66"/>
      <c r="U8" s="66"/>
      <c r="V8" s="67"/>
      <c r="W8" s="68"/>
      <c r="X8" s="64"/>
      <c r="Y8" s="64"/>
      <c r="Z8" s="69"/>
      <c r="AA8" s="64"/>
      <c r="AB8" s="68"/>
      <c r="AC8" s="64"/>
      <c r="AD8" s="67"/>
      <c r="AE8" s="70"/>
      <c r="AF8" s="64"/>
      <c r="AG8" s="64"/>
      <c r="AH8" s="69"/>
      <c r="AI8" s="68"/>
      <c r="AJ8" s="64"/>
      <c r="AK8" s="64"/>
      <c r="AL8" s="64"/>
      <c r="AM8" s="64"/>
      <c r="AN8" s="67"/>
      <c r="AO8" s="64"/>
      <c r="AP8" s="64"/>
      <c r="AQ8" s="67"/>
      <c r="AR8" s="67"/>
      <c r="AS8" s="66"/>
      <c r="AT8" s="71"/>
      <c r="AU8" s="71"/>
      <c r="AV8" s="64"/>
      <c r="AW8" s="66"/>
      <c r="AX8" s="66"/>
      <c r="AY8" s="69"/>
      <c r="AZ8" s="66"/>
      <c r="BA8" s="64"/>
      <c r="BB8" s="64"/>
      <c r="BC8" s="66"/>
      <c r="BD8" s="64"/>
      <c r="BE8" s="70"/>
      <c r="BF8" s="70"/>
      <c r="BG8" s="64"/>
      <c r="BH8" s="64"/>
      <c r="BI8" s="64"/>
      <c r="BJ8" s="70"/>
      <c r="BK8" s="66"/>
      <c r="BL8" s="64"/>
      <c r="BM8" s="69"/>
      <c r="BN8" s="64"/>
      <c r="BO8" s="70"/>
      <c r="BP8" s="66"/>
      <c r="BQ8" s="64"/>
      <c r="BR8" s="71"/>
      <c r="BS8" s="64"/>
      <c r="BT8" s="70"/>
      <c r="BU8" s="72"/>
      <c r="BV8" s="66"/>
      <c r="BW8" s="71"/>
      <c r="BX8" s="66"/>
      <c r="BY8" s="64"/>
      <c r="BZ8" s="64"/>
      <c r="CA8" s="64"/>
      <c r="CB8" s="64"/>
      <c r="CC8" s="64"/>
      <c r="CD8" s="64"/>
      <c r="CE8" s="64"/>
      <c r="CF8" s="67"/>
      <c r="CG8" s="68"/>
      <c r="CH8" s="70"/>
      <c r="CI8" s="73"/>
      <c r="CJ8" s="66"/>
      <c r="CK8" s="69"/>
      <c r="CL8" s="68"/>
      <c r="CM8" s="70"/>
      <c r="CN8" s="69"/>
      <c r="CO8" s="69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</row>
    <row r="9" ht="15.75" customHeight="1">
      <c r="A9" s="57"/>
      <c r="B9" s="58"/>
      <c r="C9" s="57"/>
      <c r="D9" s="59"/>
      <c r="E9" s="58"/>
      <c r="F9" s="57"/>
      <c r="G9" s="60"/>
      <c r="H9" s="61"/>
      <c r="I9" s="62"/>
      <c r="J9" s="57"/>
      <c r="K9" s="58"/>
      <c r="L9" s="58"/>
      <c r="M9" s="57"/>
      <c r="N9" s="57"/>
      <c r="O9" s="63"/>
      <c r="P9" s="64"/>
      <c r="Q9" s="65"/>
      <c r="R9" s="59"/>
      <c r="S9" s="64"/>
      <c r="T9" s="66"/>
      <c r="U9" s="66"/>
      <c r="V9" s="70"/>
      <c r="W9" s="68"/>
      <c r="X9" s="64"/>
      <c r="Y9" s="64"/>
      <c r="Z9" s="69"/>
      <c r="AA9" s="64"/>
      <c r="AB9" s="68"/>
      <c r="AC9" s="64"/>
      <c r="AD9" s="67"/>
      <c r="AE9" s="70"/>
      <c r="AF9" s="64"/>
      <c r="AG9" s="64"/>
      <c r="AH9" s="69"/>
      <c r="AI9" s="68"/>
      <c r="AJ9" s="64"/>
      <c r="AK9" s="64"/>
      <c r="AL9" s="64"/>
      <c r="AM9" s="64"/>
      <c r="AN9" s="67"/>
      <c r="AO9" s="64"/>
      <c r="AP9" s="64"/>
      <c r="AQ9" s="67"/>
      <c r="AR9" s="67"/>
      <c r="AS9" s="66"/>
      <c r="AT9" s="71"/>
      <c r="AU9" s="71"/>
      <c r="AV9" s="64"/>
      <c r="AW9" s="66"/>
      <c r="AX9" s="66"/>
      <c r="AY9" s="69"/>
      <c r="AZ9" s="66"/>
      <c r="BA9" s="64"/>
      <c r="BB9" s="64"/>
      <c r="BC9" s="66"/>
      <c r="BD9" s="64"/>
      <c r="BE9" s="70"/>
      <c r="BF9" s="70"/>
      <c r="BG9" s="64"/>
      <c r="BH9" s="64"/>
      <c r="BI9" s="64"/>
      <c r="BJ9" s="70"/>
      <c r="BK9" s="66"/>
      <c r="BL9" s="64"/>
      <c r="BM9" s="69"/>
      <c r="BN9" s="64"/>
      <c r="BO9" s="70"/>
      <c r="BP9" s="66"/>
      <c r="BQ9" s="64"/>
      <c r="BR9" s="71"/>
      <c r="BS9" s="64"/>
      <c r="BT9" s="70"/>
      <c r="BU9" s="72"/>
      <c r="BV9" s="66"/>
      <c r="BW9" s="71"/>
      <c r="BX9" s="66"/>
      <c r="BY9" s="64"/>
      <c r="BZ9" s="64"/>
      <c r="CA9" s="64"/>
      <c r="CB9" s="64"/>
      <c r="CC9" s="64"/>
      <c r="CD9" s="64"/>
      <c r="CE9" s="64"/>
      <c r="CF9" s="67"/>
      <c r="CG9" s="68"/>
      <c r="CH9" s="70"/>
      <c r="CI9" s="73"/>
      <c r="CJ9" s="66"/>
      <c r="CK9" s="69"/>
      <c r="CL9" s="68"/>
      <c r="CM9" s="70"/>
      <c r="CN9" s="69"/>
      <c r="CO9" s="69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</row>
    <row r="10" ht="15.75" customHeight="1">
      <c r="A10" s="8"/>
      <c r="B10" s="8"/>
      <c r="C10" s="8"/>
      <c r="D10" s="5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11" width="12.63"/>
    <col customWidth="1" min="112" max="112" width="18.38"/>
    <col customWidth="1" min="113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74"/>
      <c r="F6" s="8"/>
      <c r="G6" s="8"/>
      <c r="H6" s="8"/>
      <c r="I6" s="11">
        <v>10.0</v>
      </c>
      <c r="J6" s="8"/>
      <c r="K6" s="11" t="s">
        <v>42</v>
      </c>
      <c r="L6" s="8"/>
      <c r="M6" s="8"/>
      <c r="N6" s="8"/>
      <c r="O6" s="8"/>
      <c r="AQ6" s="9">
        <v>100.0</v>
      </c>
      <c r="BV6" s="36" t="s">
        <v>28</v>
      </c>
      <c r="CG6" s="9">
        <v>100.0</v>
      </c>
      <c r="DH6" s="51" t="s">
        <v>29</v>
      </c>
    </row>
    <row r="7" ht="15.75" customHeight="1">
      <c r="A7" s="8"/>
      <c r="B7" s="11" t="s">
        <v>18</v>
      </c>
      <c r="C7" s="8"/>
      <c r="D7" s="8"/>
      <c r="E7" s="8"/>
      <c r="F7" s="8"/>
      <c r="G7" s="8"/>
      <c r="H7" s="8"/>
      <c r="I7" s="11">
        <v>10.0</v>
      </c>
      <c r="J7" s="8"/>
      <c r="K7" s="11" t="s">
        <v>42</v>
      </c>
      <c r="L7" s="8"/>
      <c r="M7" s="8"/>
      <c r="N7" s="8"/>
      <c r="O7" s="8"/>
      <c r="AQ7" s="9">
        <v>100.0</v>
      </c>
      <c r="BV7" s="36" t="s">
        <v>37</v>
      </c>
      <c r="CG7" s="9">
        <v>100.0</v>
      </c>
      <c r="DH7" s="51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90" width="12.63"/>
    <col customWidth="1" min="91" max="91" width="22.38"/>
    <col customWidth="1" min="9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 t="str">
        <f>IFERROR(__xludf.DUMMYFUNCTION("""COMPUTED_VALUE"""),"ITM/OTM")</f>
        <v>ITM/OTM</v>
      </c>
      <c r="EN5" s="29" t="str">
        <f>IFERROR(__xludf.DUMMYFUNCTION("""COMPUTED_VALUE"""),"Days to Expiry")</f>
        <v>Days to Expiry</v>
      </c>
      <c r="EO5" s="29" t="str">
        <f>IFERROR(__xludf.DUMMYFUNCTION("""COMPUTED_VALUE"""),"% of ITM/OTM")</f>
        <v>% of ITM/OTM</v>
      </c>
      <c r="EP5" s="29" t="str">
        <f>IFERROR(__xludf.DUMMYFUNCTION("""COMPUTED_VALUE"""),"Intrinsic value")</f>
        <v>Intrinsic value</v>
      </c>
      <c r="EQ5" s="29" t="str">
        <f>IFERROR(__xludf.DUMMYFUNCTION("""COMPUTED_VALUE"""),"Gain/Loss if Ex./Assign")</f>
        <v>Gain/Loss if Ex./Assign</v>
      </c>
      <c r="ER5" s="29" t="str">
        <f>IFERROR(__xludf.DUMMYFUNCTION("""COMPUTED_VALUE"""),"isRowCountCheck")</f>
        <v>isRowCountCheck</v>
      </c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>
        <v>0.0</v>
      </c>
      <c r="D6" s="11"/>
      <c r="E6" s="11" t="s">
        <v>23</v>
      </c>
      <c r="F6" s="8"/>
      <c r="G6" s="8"/>
      <c r="H6" s="8"/>
      <c r="I6" s="11">
        <v>10.0</v>
      </c>
      <c r="J6" s="8"/>
      <c r="K6" s="11" t="s">
        <v>42</v>
      </c>
      <c r="L6" s="11" t="s">
        <v>44</v>
      </c>
      <c r="M6" s="8"/>
      <c r="N6" s="8"/>
      <c r="O6" s="11">
        <v>3.0</v>
      </c>
      <c r="P6" s="9">
        <v>0.0</v>
      </c>
      <c r="Q6" s="9">
        <v>0.0</v>
      </c>
      <c r="R6" s="9">
        <v>0.0</v>
      </c>
      <c r="S6" s="9">
        <v>0.0</v>
      </c>
      <c r="U6" s="9" t="s">
        <v>45</v>
      </c>
      <c r="V6" s="9">
        <v>0.0</v>
      </c>
      <c r="W6" s="9">
        <v>0.0</v>
      </c>
      <c r="X6" s="9">
        <v>0.0</v>
      </c>
      <c r="Y6" s="9" t="s">
        <v>35</v>
      </c>
      <c r="Z6" s="9">
        <v>100.0</v>
      </c>
      <c r="AA6" s="9" t="s">
        <v>46</v>
      </c>
      <c r="AB6" s="9" t="s">
        <v>47</v>
      </c>
      <c r="AC6" s="9">
        <v>100.0</v>
      </c>
      <c r="AD6" s="9">
        <v>1.0</v>
      </c>
      <c r="AE6" s="9" t="s">
        <v>25</v>
      </c>
      <c r="AN6" s="9">
        <v>0.0</v>
      </c>
      <c r="AP6" s="9" t="s">
        <v>48</v>
      </c>
      <c r="AQ6" s="9">
        <v>100.0</v>
      </c>
      <c r="AT6" s="9" t="s">
        <v>27</v>
      </c>
      <c r="AU6" s="9">
        <v>1.0</v>
      </c>
      <c r="BH6" s="9" t="s">
        <v>49</v>
      </c>
      <c r="BK6" s="9">
        <v>0.0</v>
      </c>
      <c r="BL6" s="9" t="s">
        <v>50</v>
      </c>
      <c r="BO6" s="9">
        <v>100000.0</v>
      </c>
      <c r="BV6" s="9" t="s">
        <v>28</v>
      </c>
      <c r="CA6" s="9">
        <v>100.0</v>
      </c>
      <c r="CB6" s="9" t="s">
        <v>51</v>
      </c>
      <c r="CC6" s="9" t="s">
        <v>51</v>
      </c>
      <c r="CF6" s="9" t="s">
        <v>52</v>
      </c>
      <c r="CG6" s="9">
        <v>100.0</v>
      </c>
      <c r="CM6" s="9" t="s">
        <v>24</v>
      </c>
      <c r="CS6" s="9" t="s">
        <v>53</v>
      </c>
      <c r="CT6" s="9">
        <v>0.0</v>
      </c>
      <c r="CW6" s="9">
        <v>1.0</v>
      </c>
      <c r="CX6" s="9">
        <v>0.0</v>
      </c>
      <c r="CY6" s="9">
        <v>0.0</v>
      </c>
      <c r="CZ6" s="9" t="s">
        <v>44</v>
      </c>
      <c r="DA6" s="9">
        <v>0.0</v>
      </c>
      <c r="DG6" s="51" t="s">
        <v>29</v>
      </c>
      <c r="DN6" s="9">
        <v>0.0</v>
      </c>
      <c r="DO6" s="9">
        <v>0.0</v>
      </c>
      <c r="EJ6" s="9">
        <v>10.0</v>
      </c>
      <c r="EL6" s="9">
        <v>10.0</v>
      </c>
    </row>
    <row r="7" ht="15.75" customHeight="1">
      <c r="A7" s="8"/>
      <c r="B7" s="11" t="s">
        <v>18</v>
      </c>
      <c r="C7" s="11">
        <v>0.0</v>
      </c>
      <c r="D7" s="8"/>
      <c r="E7" s="11" t="s">
        <v>23</v>
      </c>
      <c r="F7" s="8"/>
      <c r="G7" s="8"/>
      <c r="H7" s="8"/>
      <c r="I7" s="11">
        <v>10.0</v>
      </c>
      <c r="J7" s="8"/>
      <c r="K7" s="11" t="s">
        <v>42</v>
      </c>
      <c r="L7" s="11" t="s">
        <v>44</v>
      </c>
      <c r="M7" s="8"/>
      <c r="N7" s="8"/>
      <c r="O7" s="11">
        <v>3.0</v>
      </c>
      <c r="P7" s="9">
        <v>0.0</v>
      </c>
      <c r="Q7" s="9">
        <v>0.0</v>
      </c>
      <c r="R7" s="9">
        <v>0.0</v>
      </c>
      <c r="S7" s="9">
        <v>0.0</v>
      </c>
      <c r="U7" s="9" t="s">
        <v>45</v>
      </c>
      <c r="V7" s="9">
        <v>0.0</v>
      </c>
      <c r="W7" s="9">
        <v>0.0</v>
      </c>
      <c r="X7" s="9">
        <v>0.0</v>
      </c>
      <c r="Y7" s="9" t="s">
        <v>35</v>
      </c>
      <c r="Z7" s="9">
        <v>100.0</v>
      </c>
      <c r="AA7" s="9" t="s">
        <v>46</v>
      </c>
      <c r="AB7" s="9" t="s">
        <v>54</v>
      </c>
      <c r="AC7" s="9">
        <v>100.0</v>
      </c>
      <c r="AD7" s="9">
        <v>1.0</v>
      </c>
      <c r="AE7" s="9" t="s">
        <v>25</v>
      </c>
      <c r="AN7" s="9">
        <v>0.0</v>
      </c>
      <c r="AP7" s="9" t="s">
        <v>48</v>
      </c>
      <c r="AQ7" s="9">
        <v>100.0</v>
      </c>
      <c r="AT7" s="9" t="s">
        <v>27</v>
      </c>
      <c r="AU7" s="9">
        <v>1.0</v>
      </c>
      <c r="BH7" s="9" t="s">
        <v>55</v>
      </c>
      <c r="BK7" s="9">
        <v>0.0</v>
      </c>
      <c r="BL7" s="9" t="s">
        <v>50</v>
      </c>
      <c r="BO7" s="9">
        <v>100000.0</v>
      </c>
      <c r="BV7" s="9" t="s">
        <v>37</v>
      </c>
      <c r="CA7" s="9">
        <v>100.0</v>
      </c>
      <c r="CB7" s="9" t="s">
        <v>51</v>
      </c>
      <c r="CC7" s="9" t="s">
        <v>51</v>
      </c>
      <c r="CF7" s="9" t="s">
        <v>52</v>
      </c>
      <c r="CG7" s="9">
        <v>100.0</v>
      </c>
      <c r="CM7" s="9" t="s">
        <v>36</v>
      </c>
      <c r="CS7" s="9" t="s">
        <v>53</v>
      </c>
      <c r="CT7" s="9">
        <v>0.0</v>
      </c>
      <c r="CW7" s="9">
        <v>1.0</v>
      </c>
      <c r="CX7" s="9">
        <v>0.0</v>
      </c>
      <c r="CY7" s="9">
        <v>0.0</v>
      </c>
      <c r="CZ7" s="9" t="s">
        <v>44</v>
      </c>
      <c r="DA7" s="9">
        <v>0.0</v>
      </c>
      <c r="DG7" s="51" t="s">
        <v>19</v>
      </c>
      <c r="DN7" s="9">
        <v>0.0</v>
      </c>
      <c r="DO7" s="9">
        <v>0.0</v>
      </c>
      <c r="EJ7" s="9">
        <v>10.0</v>
      </c>
      <c r="EL7" s="9">
        <v>10.0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VerifyUnExpiredUnSettledGrid!$4:$4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 t="str">
        <f>IFERROR(__xludf.DUMMYFUNCTION("""COMPUTED_VALUE"""),"Settlement Qty")</f>
        <v>Settlement Qty</v>
      </c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>
        <v>0.0</v>
      </c>
      <c r="E6" s="75" t="s">
        <v>23</v>
      </c>
      <c r="F6" s="8"/>
      <c r="G6" s="8"/>
      <c r="H6" s="8"/>
      <c r="I6" s="8"/>
      <c r="J6" s="11">
        <v>10.0</v>
      </c>
      <c r="K6" s="8"/>
      <c r="L6" s="11" t="s">
        <v>42</v>
      </c>
      <c r="M6" s="8"/>
      <c r="N6" s="8"/>
      <c r="O6" s="11">
        <v>0.0</v>
      </c>
      <c r="AO6" s="35" t="s">
        <v>28</v>
      </c>
      <c r="AT6" s="9" t="s">
        <v>49</v>
      </c>
      <c r="AW6" s="9">
        <v>100.0</v>
      </c>
      <c r="BL6" s="51" t="s">
        <v>29</v>
      </c>
      <c r="BT6" s="9" t="s">
        <v>34</v>
      </c>
    </row>
    <row r="7" ht="15.75" customHeight="1">
      <c r="A7" s="8"/>
      <c r="B7" s="11" t="s">
        <v>18</v>
      </c>
      <c r="C7" s="8"/>
      <c r="D7" s="11">
        <v>0.0</v>
      </c>
      <c r="E7" s="76" t="s">
        <v>23</v>
      </c>
      <c r="F7" s="8"/>
      <c r="G7" s="8"/>
      <c r="H7" s="8"/>
      <c r="I7" s="8"/>
      <c r="J7" s="11">
        <v>10.0</v>
      </c>
      <c r="K7" s="8"/>
      <c r="L7" s="11" t="s">
        <v>42</v>
      </c>
      <c r="M7" s="8"/>
      <c r="N7" s="8"/>
      <c r="O7" s="11">
        <v>0.0</v>
      </c>
      <c r="AO7" s="35" t="s">
        <v>37</v>
      </c>
      <c r="AT7" s="9" t="s">
        <v>49</v>
      </c>
      <c r="AW7" s="9">
        <v>100.0</v>
      </c>
      <c r="BL7" s="51" t="s">
        <v>19</v>
      </c>
      <c r="BT7" s="9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74"/>
      <c r="F6" s="11">
        <v>0.0</v>
      </c>
      <c r="G6" s="11">
        <v>100.0</v>
      </c>
      <c r="H6" s="11" t="s">
        <v>58</v>
      </c>
      <c r="I6" s="8"/>
      <c r="J6" s="11" t="s">
        <v>59</v>
      </c>
      <c r="K6" s="11" t="s">
        <v>55</v>
      </c>
      <c r="L6" s="11" t="s">
        <v>60</v>
      </c>
      <c r="M6" s="11">
        <v>-100000.0</v>
      </c>
      <c r="N6" s="8"/>
      <c r="O6" s="11">
        <v>-100000.0</v>
      </c>
      <c r="P6" s="9" t="s">
        <v>25</v>
      </c>
      <c r="Q6" s="9">
        <v>1.0</v>
      </c>
      <c r="R6" s="9" t="s">
        <v>48</v>
      </c>
      <c r="S6" s="9">
        <v>0.0</v>
      </c>
      <c r="T6" s="9">
        <v>10.0</v>
      </c>
      <c r="V6" s="9" t="s">
        <v>49</v>
      </c>
      <c r="W6" s="9" t="s">
        <v>49</v>
      </c>
      <c r="X6" s="9">
        <v>0.0</v>
      </c>
      <c r="AB6" s="51" t="s">
        <v>29</v>
      </c>
    </row>
    <row r="7" ht="15.75" customHeight="1">
      <c r="A7" s="8"/>
      <c r="B7" s="11" t="s">
        <v>18</v>
      </c>
      <c r="C7" s="11" t="s">
        <v>23</v>
      </c>
      <c r="D7" s="8"/>
      <c r="E7" s="8"/>
      <c r="F7" s="11">
        <v>0.0</v>
      </c>
      <c r="G7" s="11">
        <v>100.0</v>
      </c>
      <c r="H7" s="11" t="s">
        <v>58</v>
      </c>
      <c r="I7" s="8"/>
      <c r="J7" s="11" t="s">
        <v>59</v>
      </c>
      <c r="K7" s="11" t="s">
        <v>55</v>
      </c>
      <c r="L7" s="11" t="s">
        <v>61</v>
      </c>
      <c r="M7" s="11">
        <v>-100000.0</v>
      </c>
      <c r="N7" s="8"/>
      <c r="O7" s="11">
        <v>-100000.0</v>
      </c>
      <c r="P7" s="9" t="s">
        <v>25</v>
      </c>
      <c r="Q7" s="9">
        <v>1.0</v>
      </c>
      <c r="R7" s="9" t="s">
        <v>48</v>
      </c>
      <c r="S7" s="9">
        <v>0.0</v>
      </c>
      <c r="T7" s="9">
        <v>10.0</v>
      </c>
      <c r="V7" s="9" t="s">
        <v>49</v>
      </c>
      <c r="W7" s="9" t="s">
        <v>49</v>
      </c>
      <c r="X7" s="9">
        <v>0.0</v>
      </c>
      <c r="AB7" s="51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0.0</v>
      </c>
      <c r="C6" s="11" t="s">
        <v>63</v>
      </c>
      <c r="D6" s="11" t="s">
        <v>32</v>
      </c>
      <c r="E6" s="74"/>
      <c r="F6" s="8"/>
      <c r="G6" s="8"/>
      <c r="H6" s="8"/>
      <c r="I6" s="8"/>
      <c r="J6" s="8"/>
      <c r="K6" s="11">
        <v>4.0</v>
      </c>
      <c r="L6" s="11">
        <v>0.0</v>
      </c>
      <c r="M6" s="11">
        <v>0.0</v>
      </c>
      <c r="N6" s="8"/>
      <c r="O6" s="8"/>
      <c r="AD6" s="51" t="s">
        <v>29</v>
      </c>
      <c r="AE6" s="9">
        <v>100.0</v>
      </c>
      <c r="AF6" s="9">
        <v>10.0</v>
      </c>
    </row>
    <row r="7" ht="15.75" customHeight="1">
      <c r="A7" s="8"/>
      <c r="B7" s="11">
        <v>0.0</v>
      </c>
      <c r="C7" s="11" t="s">
        <v>64</v>
      </c>
      <c r="D7" s="11" t="s">
        <v>59</v>
      </c>
      <c r="E7" s="8"/>
      <c r="F7" s="8"/>
      <c r="G7" s="8"/>
      <c r="H7" s="8"/>
      <c r="I7" s="8"/>
      <c r="J7" s="8"/>
      <c r="K7" s="11">
        <v>5.0</v>
      </c>
      <c r="L7" s="11">
        <v>0.0</v>
      </c>
      <c r="M7" s="11">
        <v>0.0</v>
      </c>
      <c r="N7" s="8"/>
      <c r="O7" s="8"/>
      <c r="AD7" s="51" t="s">
        <v>29</v>
      </c>
      <c r="AE7" s="9">
        <v>100.0</v>
      </c>
      <c r="AF7" s="9">
        <v>10.0</v>
      </c>
    </row>
    <row r="8" ht="15.75" customHeight="1">
      <c r="A8" s="8"/>
      <c r="B8" s="11">
        <v>0.0</v>
      </c>
      <c r="C8" s="11" t="s">
        <v>65</v>
      </c>
      <c r="D8" s="11" t="s">
        <v>59</v>
      </c>
      <c r="E8" s="8"/>
      <c r="F8" s="8"/>
      <c r="G8" s="8"/>
      <c r="H8" s="8"/>
      <c r="I8" s="8"/>
      <c r="J8" s="8"/>
      <c r="K8" s="11">
        <v>6.0</v>
      </c>
      <c r="L8" s="11">
        <v>0.0</v>
      </c>
      <c r="M8" s="11">
        <v>0.0</v>
      </c>
      <c r="N8" s="8"/>
      <c r="O8" s="8"/>
      <c r="AD8" s="9" t="s">
        <v>34</v>
      </c>
      <c r="AE8" s="9">
        <v>10000.0</v>
      </c>
      <c r="AF8" s="9">
        <v>20.0</v>
      </c>
    </row>
    <row r="9" ht="15.75" customHeight="1">
      <c r="A9" s="8"/>
      <c r="B9" s="11">
        <v>0.0</v>
      </c>
      <c r="C9" s="11" t="s">
        <v>66</v>
      </c>
      <c r="D9" s="11" t="s">
        <v>38</v>
      </c>
      <c r="E9" s="8"/>
      <c r="F9" s="8"/>
      <c r="G9" s="8"/>
      <c r="H9" s="8"/>
      <c r="I9" s="8"/>
      <c r="J9" s="8"/>
      <c r="K9" s="11">
        <v>7.0</v>
      </c>
      <c r="L9" s="11">
        <v>0.0</v>
      </c>
      <c r="M9" s="11">
        <v>0.0</v>
      </c>
      <c r="N9" s="8"/>
      <c r="O9" s="8"/>
      <c r="AD9" s="51" t="s">
        <v>19</v>
      </c>
      <c r="AE9" s="9">
        <v>100.0</v>
      </c>
      <c r="AF9" s="9">
        <v>10.0</v>
      </c>
    </row>
    <row r="10" ht="15.75" customHeight="1">
      <c r="A10" s="8"/>
      <c r="B10" s="11">
        <v>0.0</v>
      </c>
      <c r="C10" s="11" t="s">
        <v>67</v>
      </c>
      <c r="D10" s="11" t="s">
        <v>59</v>
      </c>
      <c r="E10" s="8"/>
      <c r="F10" s="8"/>
      <c r="G10" s="8"/>
      <c r="H10" s="8"/>
      <c r="I10" s="8"/>
      <c r="J10" s="8"/>
      <c r="K10" s="11">
        <v>8.0</v>
      </c>
      <c r="L10" s="11">
        <v>0.0</v>
      </c>
      <c r="M10" s="11">
        <v>0.0</v>
      </c>
      <c r="N10" s="8"/>
      <c r="O10" s="8"/>
      <c r="AD10" s="51" t="s">
        <v>19</v>
      </c>
      <c r="AE10" s="9">
        <v>100.0</v>
      </c>
      <c r="AF10" s="9">
        <v>10.0</v>
      </c>
    </row>
    <row r="11" ht="15.75" customHeight="1">
      <c r="A11" s="8"/>
      <c r="B11" s="11">
        <v>0.0</v>
      </c>
      <c r="C11" s="11" t="s">
        <v>64</v>
      </c>
      <c r="D11" s="11" t="s">
        <v>59</v>
      </c>
      <c r="E11" s="8"/>
      <c r="F11" s="8"/>
      <c r="G11" s="8"/>
      <c r="H11" s="8"/>
      <c r="I11" s="8"/>
      <c r="J11" s="8"/>
      <c r="K11" s="11">
        <v>9.0</v>
      </c>
      <c r="L11" s="11">
        <v>0.0</v>
      </c>
      <c r="M11" s="11">
        <v>0.0</v>
      </c>
      <c r="N11" s="8"/>
      <c r="O11" s="8"/>
      <c r="AD11" s="9" t="s">
        <v>39</v>
      </c>
      <c r="AE11" s="9">
        <v>10000.0</v>
      </c>
      <c r="AF11" s="9">
        <v>95.0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7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