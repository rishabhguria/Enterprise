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EnableAutoGroupingAllocation" sheetId="4" r:id="rId7"/>
    <sheet state="visible" name="RestartReleasesAndServices" sheetId="5" r:id="rId8"/>
    <sheet state="visible" name="CustomOrderTT" sheetId="6" r:id="rId9"/>
    <sheet state="visible" name="GetDataAllocation" sheetId="7" r:id="rId10"/>
    <sheet state="visible" name="VerifyWorkingSubs" sheetId="8" r:id="rId11"/>
    <sheet state="visible" name="SelectTradeOnOrderGrid" sheetId="9" r:id="rId12"/>
    <sheet state="visible" name="EditTradeAttributesOrders" sheetId="10" r:id="rId13"/>
    <sheet state="visible" name="EditTradeAttributesWindow" sheetId="11" r:id="rId14"/>
    <sheet state="visible" name="VerifyWorkingSubs1" sheetId="12" r:id="rId15"/>
    <sheet state="visible" name="CheckAllocatedGroups" sheetId="13" r:id="rId16"/>
    <sheet state="visible" name="SelectTrade" sheetId="14" r:id="rId17"/>
    <sheet state="visible" name="AcknowledgeTrade" sheetId="15" r:id="rId18"/>
    <sheet state="visible" name="ExecuteTrade" sheetId="16" r:id="rId19"/>
    <sheet state="visible" name="SelectTrade1" sheetId="17" r:id="rId20"/>
    <sheet state="visible" name="AcknowledgeTrade1" sheetId="18" r:id="rId21"/>
    <sheet state="visible" name="ExecuteTrade1" sheetId="19" r:id="rId22"/>
    <sheet state="visible" name="CheckPortfolioManagement" sheetId="20" r:id="rId23"/>
  </sheets>
  <definedNames/>
  <calcPr/>
  <extLst>
    <ext uri="GoogleSheetsCustomDataVersion2">
      <go:sheetsCustomData xmlns:go="http://customooxmlschemas.google.com/" r:id="rId24" roundtripDataChecksum="LVjieUzEdE2TmFnybDhdESwiuk04yD2MRRICHQ1v7hc="/>
    </ext>
  </extLst>
</workbook>
</file>

<file path=xl/sharedStrings.xml><?xml version="1.0" encoding="utf-8"?>
<sst xmlns="http://schemas.openxmlformats.org/spreadsheetml/2006/main" count="680" uniqueCount="359">
  <si>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</si>
  <si>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</si>
  <si>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</si>
  <si>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</si>
  <si>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</si>
  <si>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</si>
  <si>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</si>
  <si>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</si>
  <si>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</si>
  <si>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</si>
  <si>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</si>
  <si>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Enable</t>
  </si>
  <si>
    <t>EnableAllFunds</t>
  </si>
  <si>
    <t>Restart Basket</t>
  </si>
  <si>
    <t>DontShutSimulator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</si>
  <si>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</si>
  <si>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</si>
  <si>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</si>
  <si>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</si>
  <si>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</si>
  <si>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</si>
  <si>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</si>
  <si>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</si>
  <si>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</si>
  <si>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Test1</t>
  </si>
  <si>
    <t>Test2</t>
  </si>
  <si>
    <t>Test3</t>
  </si>
  <si>
    <t>Test4</t>
  </si>
  <si>
    <t>Test5</t>
  </si>
  <si>
    <t>Test6</t>
  </si>
  <si>
    <t>Allocation</t>
  </si>
  <si>
    <t>GetDataAllocation</t>
  </si>
  <si>
    <t>Current</t>
  </si>
  <si>
    <t>Blotter</t>
  </si>
  <si>
    <t>VerifyWorkingSubs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</si>
  <si>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</si>
  <si>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</si>
  <si>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</si>
  <si>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</si>
  <si>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</si>
  <si>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</si>
  <si>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</si>
  <si>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</si>
  <si>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</si>
  <si>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</si>
  <si>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</si>
  <si>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</si>
  <si>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</si>
  <si>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</si>
  <si>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</si>
  <si>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</si>
  <si>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</si>
  <si>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</si>
  <si>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</si>
  <si>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</si>
  <si>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</si>
  <si>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</si>
  <si>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</si>
  <si>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</si>
  <si>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</si>
  <si>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</si>
  <si>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</si>
  <si>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</si>
  <si>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</si>
  <si>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</si>
  <si>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</si>
  <si>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</si>
  <si>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</si>
  <si>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</si>
  <si>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</si>
  <si>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</si>
  <si>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</si>
  <si>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</si>
  <si>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</si>
  <si>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</si>
  <si>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</si>
  <si>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</si>
  <si>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Trader</t>
  </si>
  <si>
    <t>Transaction Time</t>
  </si>
  <si>
    <t>Underlying Country</t>
  </si>
  <si>
    <t>Underlying Symbol</t>
  </si>
  <si>
    <t>Venue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</si>
  <si>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</si>
  <si>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</si>
  <si>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</si>
  <si>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</si>
  <si>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</si>
  <si>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</si>
  <si>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</si>
  <si>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</si>
  <si>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</si>
  <si>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>Testing Type</t>
  </si>
  <si>
    <t>Testing Column</t>
  </si>
  <si>
    <t>Testing Col Value</t>
  </si>
  <si>
    <t>DuplicateRow</t>
  </si>
  <si>
    <t>DuplicateCountOnUI</t>
  </si>
  <si>
    <t>Filled</t>
  </si>
  <si>
    <t>MS</t>
  </si>
  <si>
    <t>Market</t>
  </si>
  <si>
    <t>Samsara</t>
  </si>
  <si>
    <t>AAPL US EQUITY</t>
  </si>
  <si>
    <t>Equity</t>
  </si>
  <si>
    <t>NASDAQ</t>
  </si>
  <si>
    <t>NewMF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</si>
  <si>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</si>
  <si>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</si>
  <si>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</si>
  <si>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</si>
  <si>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</si>
  <si>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</si>
  <si>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</si>
  <si>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</si>
  <si>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</si>
  <si>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Submit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</si>
  <si>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</si>
  <si>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</si>
  <si>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</si>
  <si>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</si>
  <si>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</si>
  <si>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</si>
  <si>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</si>
  <si>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</si>
  <si>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</si>
  <si>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</si>
  <si>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</si>
  <si>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</si>
  <si>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</si>
  <si>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</si>
  <si>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</si>
  <si>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</si>
  <si>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</si>
  <si>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</si>
  <si>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</si>
  <si>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</si>
  <si>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</si>
  <si>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</si>
  <si>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</si>
  <si>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</si>
  <si>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</si>
  <si>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</si>
  <si>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</si>
  <si>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</si>
  <si>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</si>
  <si>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</si>
  <si>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</si>
  <si>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</si>
  <si>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</si>
  <si>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</si>
  <si>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</si>
  <si>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</si>
  <si>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</si>
  <si>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</si>
  <si>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</si>
  <si>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</si>
  <si>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</si>
  <si>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</si>
  <si>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</si>
  <si>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</si>
  <si>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</si>
  <si>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</si>
  <si>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</si>
  <si>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</si>
  <si>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</si>
  <si>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</si>
  <si>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</si>
  <si>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</si>
  <si>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</si>
  <si>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</si>
  <si>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</si>
  <si>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</si>
  <si>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</si>
  <si>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</si>
  <si>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</si>
  <si>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</si>
  <si>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</si>
  <si>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</si>
  <si>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</si>
  <si>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</si>
  <si>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</si>
  <si>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</si>
  <si>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</si>
  <si>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</si>
  <si>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</si>
  <si>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</si>
  <si>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</si>
  <si>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</si>
  <si>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</si>
  <si>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</si>
  <si>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</si>
  <si>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GroupID</t>
  </si>
  <si>
    <t>Borrow Broker</t>
  </si>
  <si>
    <t>ACTIV Symbol</t>
  </si>
  <si>
    <t>Borrower Id</t>
  </si>
  <si>
    <t>Borrow Rate(%)</t>
  </si>
  <si>
    <t>Manual</t>
  </si>
  <si>
    <t>Treasury</t>
  </si>
  <si>
    <t>Open</t>
  </si>
  <si>
    <t>APPLE</t>
  </si>
  <si>
    <t>USD</t>
  </si>
  <si>
    <t>M</t>
  </si>
  <si>
    <t>None</t>
  </si>
  <si>
    <t>Strategy Unallocated</t>
  </si>
  <si>
    <t>GCCAP1</t>
  </si>
  <si>
    <t>US</t>
  </si>
  <si>
    <t>NONE</t>
  </si>
  <si>
    <t>Price</t>
  </si>
  <si>
    <t>AvgPrice</t>
  </si>
  <si>
    <t>Shares</t>
  </si>
  <si>
    <t>ClearAllPrice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</si>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</sst>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0" fontId="6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readingOrder="0" shrinkToFit="0" wrapText="0"/>
    </xf>
    <xf borderId="0" fillId="5" fontId="15" numFmtId="0" xfId="0" applyAlignment="1" applyFont="1">
      <alignment vertical="bottom"/>
    </xf>
    <xf borderId="0" fillId="0" fontId="3" numFmtId="0" xfId="0" applyAlignment="1" applyFont="1">
      <alignment vertical="bottom"/>
    </xf>
    <xf borderId="3" fillId="3" fontId="9" numFmtId="0" xfId="0" applyAlignment="1" applyBorder="1" applyFont="1">
      <alignment readingOrder="0" shrinkToFit="0" wrapText="0"/>
    </xf>
    <xf borderId="3" fillId="5" fontId="4" numFmtId="0" xfId="0" applyAlignment="1" applyBorder="1" applyFont="1">
      <alignment readingOrder="0" shrinkToFit="0" wrapText="0"/>
    </xf>
    <xf borderId="0" fillId="5" fontId="1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6" numFmtId="4" xfId="0" applyFont="1" applyNumberFormat="1"/>
    <xf borderId="0" fillId="0" fontId="6" numFmtId="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11</v>
      </c>
      <c r="C5" s="14" t="s">
        <v>12</v>
      </c>
    </row>
    <row r="6">
      <c r="B6" s="14" t="b">
        <v>1</v>
      </c>
      <c r="C6" s="14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15"/>
      <c r="B5" s="15" t="s">
        <v>13</v>
      </c>
      <c r="C5" s="15" t="s">
        <v>14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</row>
    <row r="6">
      <c r="A6" s="15"/>
      <c r="B6" s="15"/>
      <c r="C6" s="16" t="b">
        <v>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16</v>
      </c>
      <c r="D3" s="4" t="s">
        <v>9</v>
      </c>
      <c r="E3" s="11" t="s">
        <v>17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IFERROR(__xludf.DUMMYFUNCTION("""COMPUTED_VALUE"""),"VerifyComplianceOrder")</f>
        <v>VerifyComplianceOrder</v>
      </c>
      <c r="I4" s="22" t="str">
        <f>IFERROR(__xludf.DUMMYFUNCTION("""COMPUTED_VALUE"""),"TradeNewSub")</f>
        <v>TradeNewSub</v>
      </c>
      <c r="J4" s="22" t="str">
        <f>IFERROR(__xludf.DUMMYFUNCTION("""COMPUTED_VALUE"""),"CreateStageOrder")</f>
        <v>CreateStageOrder</v>
      </c>
      <c r="K4" s="22" t="str">
        <f>IFERROR(__xludf.DUMMYFUNCTION("""COMPUTED_VALUE"""),"CreateReplaceOrder")</f>
        <v>CreateReplaceOrder</v>
      </c>
      <c r="L4" s="22" t="str">
        <f>IFERROR(__xludf.DUMMYFUNCTION("""COMPUTED_VALUE"""),"SetGeneralPreference")</f>
        <v>SetGeneralPreference</v>
      </c>
      <c r="M4" s="22" t="str">
        <f>IFERROR(__xludf.DUMMYFUNCTION("""COMPUTED_VALUE"""),"CreateNewSubOrder")</f>
        <v>CreateNewSubOrder</v>
      </c>
      <c r="N4" s="22" t="str">
        <f>IFERROR(__xludf.DUMMYFUNCTION("""COMPUTED_VALUE"""),"TradeBloomberg")</f>
        <v>TradeBloomberg</v>
      </c>
      <c r="O4" s="22" t="str">
        <f>IFERROR(__xludf.DUMMYFUNCTION("""COMPUTED_VALUE"""),"ClickSymbolLookup")</f>
        <v>ClickSymbolLookup</v>
      </c>
      <c r="P4" s="23" t="str">
        <f>IFERROR(__xludf.DUMMYFUNCTION("""COMPUTED_VALUE"""),"VerifyTT")</f>
        <v>VerifyTT</v>
      </c>
      <c r="Q4" s="23" t="str">
        <f>IFERROR(__xludf.DUMMYFUNCTION("""COMPUTED_VALUE"""),"CreateLiveOrder")</f>
        <v>CreateLiveOrder</v>
      </c>
      <c r="R4" s="23" t="str">
        <f>IFERROR(__xludf.DUMMYFUNCTION("""COMPUTED_VALUE"""),"UpdateMasterFundOnTT")</f>
        <v>UpdateMasterFundOnTT</v>
      </c>
      <c r="S4" s="23" t="str">
        <f>IFERROR(__xludf.DUMMYFUNCTION("""COMPUTED_VALUE"""),"SetTTCompliancePreference")</f>
        <v>SetTTCompliancePreference</v>
      </c>
      <c r="T4" s="23" t="str">
        <f>IFERROR(__xludf.DUMMYFUNCTION("""COMPUTED_VALUE"""),"ImportSymbol")</f>
        <v>ImportSymbol</v>
      </c>
      <c r="U4" s="23" t="str">
        <f>IFERROR(__xludf.DUMMYFUNCTION("""COMPUTED_VALUE"""),"ExportSymbolFromRAList")</f>
        <v>ExportSymbolFromRAList</v>
      </c>
      <c r="V4" s="23" t="str">
        <f>IFERROR(__xludf.DUMMYFUNCTION("""COMPUTED_VALUE"""),"CheckPendingNewOrderAlert")</f>
        <v>CheckPendingNewOrderAlert</v>
      </c>
      <c r="W4" s="23" t="str">
        <f>IFERROR(__xludf.DUMMYFUNCTION("""COMPUTED_VALUE"""),"AddSymbolOnRAList")</f>
        <v>AddSymbolOnRAList</v>
      </c>
      <c r="X4" s="23" t="str">
        <f>IFERROR(__xludf.DUMMYFUNCTION("""COMPUTED_VALUE"""),"DeleteSymbolListFromRA")</f>
        <v>DeleteSymbolListFromRA</v>
      </c>
      <c r="Y4" s="23" t="str">
        <f>IFERROR(__xludf.DUMMYFUNCTION("""COMPUTED_VALUE"""),"RemoveSymbolFromRAList")</f>
        <v>RemoveSymbolFromRAList</v>
      </c>
      <c r="Z4" s="23" t="str">
        <f>IFERROR(__xludf.DUMMYFUNCTION("""COMPUTED_VALUE"""),"ToggleBlombergOnRA")</f>
        <v>ToggleBlombergOnRA</v>
      </c>
      <c r="AA4" s="23" t="str">
        <f>IFERROR(__xludf.DUMMYFUNCTION("""COMPUTED_VALUE"""),"CreateDoneAwayOrder")</f>
        <v>CreateDoneAwayOrder</v>
      </c>
      <c r="AB4" s="23" t="str">
        <f>IFERROR(__xludf.DUMMYFUNCTION("""COMPUTED_VALUE"""),"CreateComplianceOrder")</f>
        <v>CreateComplianceOrder</v>
      </c>
      <c r="AC4" s="23" t="str">
        <f>IFERROR(__xludf.DUMMYFUNCTION("""COMPUTED_VALUE"""),"AddOptionTrade")</f>
        <v>AddOptionTrade</v>
      </c>
      <c r="AD4" s="23" t="str">
        <f>IFERROR(__xludf.DUMMYFUNCTION("""COMPUTED_VALUE"""),"SendLiveBloomberg")</f>
        <v>SendLiveBloomberg</v>
      </c>
      <c r="AE4" s="23" t="str">
        <f>IFERROR(__xludf.DUMMYFUNCTION("""COMPUTED_VALUE"""),"ViewAllocation")</f>
        <v>ViewAllocation</v>
      </c>
      <c r="AF4" s="23" t="str">
        <f>IFERROR(__xludf.DUMMYFUNCTION("""COMPUTED_VALUE"""),"CreateReplaceLiveOrder")</f>
        <v>CreateReplaceLiveOrder</v>
      </c>
      <c r="AG4" s="23" t="str">
        <f>IFERROR(__xludf.DUMMYFUNCTION("""COMPUTED_VALUE"""),"CreateNewSubLiveOrder")</f>
        <v>CreateNewSubLiveOrder</v>
      </c>
      <c r="AH4" s="23" t="str">
        <f>IFERROR(__xludf.DUMMYFUNCTION("""COMPUTED_VALUE"""),"VerifyBasketExport")</f>
        <v>VerifyBasketExport</v>
      </c>
      <c r="AI4" s="23" t="str">
        <f>IFERROR(__xludf.DUMMYFUNCTION("""COMPUTED_VALUE"""),"VerifyCustomAllocationonTT")</f>
        <v>VerifyCustomAllocationonTT</v>
      </c>
      <c r="AJ4" s="23" t="str">
        <f>IFERROR(__xludf.DUMMYFUNCTION("""COMPUTED_VALUE"""),"CustomOrderTT")</f>
        <v>CustomOrderTT</v>
      </c>
      <c r="AK4" s="23" t="str">
        <f>IFERROR(__xludf.DUMMYFUNCTION("""COMPUTED_VALUE"""),"CheckStepSheet")</f>
        <v>CheckStepSheet</v>
      </c>
      <c r="AL4" s="23" t="str">
        <f>IFERROR(__xludf.DUMMYFUNCTION("""COMPUTED_VALUE"""),"OptionTradingThroughSecurity")</f>
        <v>OptionTradingThroughSecurity</v>
      </c>
      <c r="AM4" s="23" t="str">
        <f>IFERROR(__xludf.DUMMYFUNCTION("""COMPUTED_VALUE"""),"CreateTradeWithAlgoBroker")</f>
        <v>CreateTradeWithAlgoBroker</v>
      </c>
      <c r="AN4" s="23" t="str">
        <f>IFERROR(__xludf.DUMMYFUNCTION("""COMPUTED_VALUE"""),"VerifyOrderSide")</f>
        <v>VerifyOrderSide</v>
      </c>
      <c r="AO4" s="23" t="str">
        <f>IFERROR(__xludf.DUMMYFUNCTION("""COMPUTED_VALUE"""),"CreateOrEditSymbolTT")</f>
        <v>CreateOrEditSymbolTT</v>
      </c>
      <c r="AP4" s="23" t="str">
        <f>IFERROR(__xludf.DUMMYFUNCTION("""COMPUTED_VALUE"""),"VerifyTTNavLockPopup")</f>
        <v>VerifyTTNavLockPopup</v>
      </c>
      <c r="AQ4" s="23" t="str">
        <f>IFERROR(__xludf.DUMMYFUNCTION("""COMPUTED_VALUE"""),"VerifyCustomAllocationSecondUI")</f>
        <v>VerifyCustomAllocationSecondUI</v>
      </c>
      <c r="AR4" s="23" t="str">
        <f>IFERROR(__xludf.DUMMYFUNCTION("""COMPUTED_VALUE"""),"ShortLocateFromTT")</f>
        <v>ShortLocateFromTT</v>
      </c>
      <c r="AS4" s="23" t="str">
        <f>IFERROR(__xludf.DUMMYFUNCTION("""COMPUTED_VALUE"""),"ShortLocateFromTT")</f>
        <v>ShortLocateFromTT</v>
      </c>
      <c r="AT4" s="23" t="str">
        <f>IFERROR(__xludf.DUMMYFUNCTION("""COMPUTED_VALUE"""),"ShortLocateFromTT")</f>
        <v>ShortLocateFromTT</v>
      </c>
      <c r="AU4" s="23" t="str">
        <f>IFERROR(__xludf.DUMMYFUNCTION("""COMPUTED_VALUE"""),"VerifyShortLocateWindowOnTT")</f>
        <v>VerifyShortLocateWindowOnTT</v>
      </c>
      <c r="AV4" s="23" t="str">
        <f>IFERROR(__xludf.DUMMYFUNCTION("""COMPUTED_VALUE"""),"AlgoUIOperations")</f>
        <v>AlgoUIOperations</v>
      </c>
      <c r="AW4" s="23" t="str">
        <f>IFERROR(__xludf.DUMMYFUNCTION("""COMPUTED_VALUE"""),"UpdateShortLocateFromTT")</f>
        <v>UpdateShortLocateFromTT</v>
      </c>
      <c r="AX4" s="23" t="str">
        <f>IFERROR(__xludf.DUMMYFUNCTION("""COMPUTED_VALUE"""),"ResetTT")</f>
        <v>ResetTT</v>
      </c>
      <c r="AY4" s="23" t="str">
        <f>IFERROR(__xludf.DUMMYFUNCTION("""COMPUTED_VALUE"""),"MergeTT")</f>
        <v>MergeTT</v>
      </c>
      <c r="AZ4" s="23" t="str">
        <f>IFERROR(__xludf.DUMMYFUNCTION("""COMPUTED_VALUE"""),"ResizeEnsureTT")</f>
        <v>ResizeEnsureTT</v>
      </c>
      <c r="BA4" s="23" t="str">
        <f>IFERROR(__xludf.DUMMYFUNCTION("""COMPUTED_VALUE"""),"VerifyExecutionType")</f>
        <v>VerifyExecutionType</v>
      </c>
      <c r="BB4" s="23" t="str">
        <f>IFERROR(__xludf.DUMMYFUNCTION("""COMPUTED_VALUE"""),"VerifyPopupAlignment")</f>
        <v>VerifyPopupAlignment</v>
      </c>
      <c r="BC4" s="23" t="str">
        <f>IFERROR(__xludf.DUMMYFUNCTION("""COMPUTED_VALUE"""),"SelectET")</f>
        <v>SelectET</v>
      </c>
      <c r="BD4" s="23" t="str">
        <f>IFERROR(__xludf.DUMMYFUNCTION("""COMPUTED_VALUE"""),"SymbolSuggestionVerify")</f>
        <v>SymbolSuggestionVerify</v>
      </c>
      <c r="BE4" s="23" t="str">
        <f>IFERROR(__xludf.DUMMYFUNCTION("""COMPUTED_VALUE"""),"EditAuecWindow")</f>
        <v>EditAuecWindow</v>
      </c>
      <c r="BF4" s="23" t="str">
        <f>IFERROR(__xludf.DUMMYFUNCTION("""COMPUTED_VALUE"""),"VerifyBrokerSummary")</f>
        <v>VerifyBrokerSummary</v>
      </c>
      <c r="BG4" s="23" t="str">
        <f>IFERROR(__xludf.DUMMYFUNCTION("""COMPUTED_VALUE"""),"QTTHamburg")</f>
        <v>QTTHamburg</v>
      </c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IFERROR(__xludf.DUMMYFUNCTION("""COMPUTED_VALUE"""),"Quantity")</f>
        <v>Quantity</v>
      </c>
      <c r="D5" s="25" t="str">
        <f>IFERROR(__xludf.DUMMYFUNCTION("""COMPUTED_VALUE"""),"Price")</f>
        <v>Price</v>
      </c>
      <c r="E5" s="25" t="str">
        <f>IFERROR(__xludf.DUMMYFUNCTION("""COMPUTED_VALUE"""),"Order type button")</f>
        <v>Order type button</v>
      </c>
      <c r="F5" s="25" t="str">
        <f>IFERROR(__xludf.DUMMYFUNCTION("""COMPUTED_VALUE"""),"SharesOutstandingPopUp")</f>
        <v>SharesOutstandingPopUp</v>
      </c>
      <c r="G5" s="25" t="str">
        <f>IFERROR(__xludf.DUMMYFUNCTION("""COMPUTED_VALUE"""),"TT_Open")</f>
        <v>TT_Open</v>
      </c>
      <c r="H5" s="25" t="str">
        <f>IFERROR(__xludf.DUMMYFUNCTION("""COMPUTED_VALUE"""),"SharesOutstandingPopUpQty")</f>
        <v>SharesOutstandingPopUpQty</v>
      </c>
      <c r="I5" s="25" t="str">
        <f>IFERROR(__xludf.DUMMYFUNCTION("""COMPUTED_VALUE"""),"AllocationMethod")</f>
        <v>AllocationMethod</v>
      </c>
      <c r="J5" s="25" t="str">
        <f>IFERROR(__xludf.DUMMYFUNCTION("""COMPUTED_VALUE"""),"Order Side")</f>
        <v>Order Side</v>
      </c>
      <c r="K5" s="25" t="str">
        <f>IFERROR(__xludf.DUMMYFUNCTION("""COMPUTED_VALUE"""),"DB_Check")</f>
        <v>DB_Check</v>
      </c>
      <c r="L5" s="25" t="str">
        <f>IFERROR(__xludf.DUMMYFUNCTION("""COMPUTED_VALUE"""),"CommissionBasis")</f>
        <v>CommissionBasis</v>
      </c>
      <c r="M5" s="25" t="str">
        <f>IFERROR(__xludf.DUMMYFUNCTION("""COMPUTED_VALUE"""),"CommissionRate")</f>
        <v>CommissionRate</v>
      </c>
      <c r="N5" s="25" t="str">
        <f>IFERROR(__xludf.DUMMYFUNCTION("""COMPUTED_VALUE"""),"SoftBasis")</f>
        <v>SoftBasis</v>
      </c>
      <c r="O5" s="25" t="str">
        <f>IFERROR(__xludf.DUMMYFUNCTION("""COMPUTED_VALUE"""),"SoftRate")</f>
        <v>SoftRate</v>
      </c>
      <c r="P5" s="25" t="str">
        <f>IFERROR(__xludf.DUMMYFUNCTION("""COMPUTED_VALUE"""),"Account")</f>
        <v>Account</v>
      </c>
      <c r="Q5" s="25" t="str">
        <f>IFERROR(__xludf.DUMMYFUNCTION("""COMPUTED_VALUE"""),"Account %")</f>
        <v>Account %</v>
      </c>
      <c r="R5" s="25" t="str">
        <f>IFERROR(__xludf.DUMMYFUNCTION("""COMPUTED_VALUE"""),"VerifySuggestions")</f>
        <v>VerifySuggestions</v>
      </c>
      <c r="S5" s="25" t="str">
        <f>IFERROR(__xludf.DUMMYFUNCTION("""COMPUTED_VALUE"""),"SymbolToPickFromSuggesstions")</f>
        <v>SymbolToPickFromSuggesstions</v>
      </c>
      <c r="T5" s="26" t="str">
        <f>IFERROR(__xludf.DUMMYFUNCTION("""COMPUTED_VALUE"""),"TypedSymbolAvailableOnSuggestion")</f>
        <v>TypedSymbolAvailableOnSuggestion</v>
      </c>
      <c r="U5" s="26" t="str">
        <f>IFERROR(__xludf.DUMMYFUNCTION("""COMPUTED_VALUE"""),"TIF")</f>
        <v>TIF</v>
      </c>
      <c r="V5" s="26" t="str">
        <f>IFERROR(__xludf.DUMMYFUNCTION("""COMPUTED_VALUE"""),"Order Type")</f>
        <v>Order Type</v>
      </c>
      <c r="W5" s="26" t="str">
        <f>IFERROR(__xludf.DUMMYFUNCTION("""COMPUTED_VALUE"""),"Stop")</f>
        <v>Stop</v>
      </c>
      <c r="X5" s="26" t="str">
        <f>IFERROR(__xludf.DUMMYFUNCTION("""COMPUTED_VALUE"""),"Limit")</f>
        <v>Limit</v>
      </c>
      <c r="Y5" s="26" t="str">
        <f>IFERROR(__xludf.DUMMYFUNCTION("""COMPUTED_VALUE"""),"Expiration Date")</f>
        <v>Expiration Date</v>
      </c>
      <c r="Z5" s="26" t="str">
        <f>IFERROR(__xludf.DUMMYFUNCTION("""COMPUTED_VALUE"""),"Trade Date")</f>
        <v>Trade Date</v>
      </c>
      <c r="AA5" s="26" t="str">
        <f>IFERROR(__xludf.DUMMYFUNCTION("""COMPUTED_VALUE"""),"Broker")</f>
        <v>Broker</v>
      </c>
      <c r="AB5" s="26" t="str">
        <f>IFERROR(__xludf.DUMMYFUNCTION("""COMPUTED_VALUE"""),"Padlock Visiblity")</f>
        <v>Padlock Visiblity</v>
      </c>
      <c r="AC5" s="26" t="str">
        <f>IFERROR(__xludf.DUMMYFUNCTION("""COMPUTED_VALUE"""),"Padlock Unlock")</f>
        <v>Padlock Unlock</v>
      </c>
      <c r="AD5" s="26" t="str">
        <f>IFERROR(__xludf.DUMMYFUNCTION("""COMPUTED_VALUE"""),"Venue")</f>
        <v>Venue</v>
      </c>
      <c r="AE5" s="26" t="str">
        <f>IFERROR(__xludf.DUMMYFUNCTION("""COMPUTED_VALUE"""),"Fx Rate")</f>
        <v>Fx Rate</v>
      </c>
      <c r="AF5" s="26" t="str">
        <f>IFERROR(__xludf.DUMMYFUNCTION("""COMPUTED_VALUE"""),"Fx Operator")</f>
        <v>Fx Operator</v>
      </c>
      <c r="AG5" s="26" t="str">
        <f>IFERROR(__xludf.DUMMYFUNCTION("""COMPUTED_VALUE"""),"PendingApprovalPopUp")</f>
        <v>PendingApprovalPopUp</v>
      </c>
      <c r="AH5" s="26" t="str">
        <f>IFERROR(__xludf.DUMMYFUNCTION("""COMPUTED_VALUE"""),"TradeBy")</f>
        <v>TradeBy</v>
      </c>
      <c r="AI5" s="26" t="str">
        <f>IFERROR(__xludf.DUMMYFUNCTION("""COMPUTED_VALUE"""),"BookAsSwap")</f>
        <v>BookAsSwap</v>
      </c>
      <c r="AJ5" s="26" t="str">
        <f>IFERROR(__xludf.DUMMYFUNCTION("""COMPUTED_VALUE"""),"RoundLot")</f>
        <v>RoundLot</v>
      </c>
      <c r="AK5" s="26" t="str">
        <f>IFERROR(__xludf.DUMMYFUNCTION("""COMPUTED_VALUE"""),"Increment")</f>
        <v>Increment</v>
      </c>
      <c r="AL5" s="26" t="str">
        <f>IFERROR(__xludf.DUMMYFUNCTION("""COMPUTED_VALUE"""),"Decrement")</f>
        <v>Decrement</v>
      </c>
      <c r="AM5" s="26" t="str">
        <f>IFERROR(__xludf.DUMMYFUNCTION("""COMPUTED_VALUE"""),"Trade Attribute 01")</f>
        <v>Trade Attribute 01</v>
      </c>
      <c r="AN5" s="26" t="str">
        <f>IFERROR(__xludf.DUMMYFUNCTION("""COMPUTED_VALUE"""),"Trade Attribute 02")</f>
        <v>Trade Attribute 02</v>
      </c>
      <c r="AO5" s="26" t="str">
        <f>IFERROR(__xludf.DUMMYFUNCTION("""COMPUTED_VALUE"""),"Trade Attribute 03")</f>
        <v>Trade Attribute 03</v>
      </c>
      <c r="AP5" s="26" t="str">
        <f>IFERROR(__xludf.DUMMYFUNCTION("""COMPUTED_VALUE"""),"Trade Attribute 04")</f>
        <v>Trade Attribute 04</v>
      </c>
      <c r="AQ5" s="26" t="str">
        <f>IFERROR(__xludf.DUMMYFUNCTION("""COMPUTED_VALUE"""),"Trade Attribute 05")</f>
        <v>Trade Attribute 05</v>
      </c>
      <c r="AR5" s="26" t="str">
        <f>IFERROR(__xludf.DUMMYFUNCTION("""COMPUTED_VALUE"""),"Trade Attribute 06")</f>
        <v>Trade Attribute 06</v>
      </c>
      <c r="AS5" s="26" t="str">
        <f>IFERROR(__xludf.DUMMYFUNCTION("""COMPUTED_VALUE"""),"Trade Attribute 01 suggestion")</f>
        <v>Trade Attribute 01 suggestion</v>
      </c>
      <c r="AT5" s="26" t="str">
        <f>IFERROR(__xludf.DUMMYFUNCTION("""COMPUTED_VALUE"""),"Trade Attribute 02 suggestion")</f>
        <v>Trade Attribute 02 suggestion</v>
      </c>
      <c r="AU5" s="26" t="str">
        <f>IFERROR(__xludf.DUMMYFUNCTION("""COMPUTED_VALUE"""),"Trade Attribute 03 suggestion")</f>
        <v>Trade Attribute 03 suggestion</v>
      </c>
      <c r="AV5" s="26" t="str">
        <f>IFERROR(__xludf.DUMMYFUNCTION("""COMPUTED_VALUE"""),"Trade Attribute 04 suggestion")</f>
        <v>Trade Attribute 04 suggestion</v>
      </c>
      <c r="AW5" s="26" t="str">
        <f>IFERROR(__xludf.DUMMYFUNCTION("""COMPUTED_VALUE"""),"Trade Attribute 05 suggestion")</f>
        <v>Trade Attribute 05 suggestion</v>
      </c>
      <c r="AX5" s="26" t="str">
        <f>IFERROR(__xludf.DUMMYFUNCTION("""COMPUTED_VALUE"""),"Trade Attribute 06 suggestion")</f>
        <v>Trade Attribute 06 suggestion</v>
      </c>
      <c r="AY5" s="26" t="str">
        <f>IFERROR(__xludf.DUMMYFUNCTION("""COMPUTED_VALUE"""),"Strategy")</f>
        <v>Strategy</v>
      </c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</row>
    <row r="6" ht="15.75" customHeight="1">
      <c r="A6" s="6"/>
      <c r="B6" s="6" t="s">
        <v>20</v>
      </c>
      <c r="C6" s="6">
        <v>100.0</v>
      </c>
      <c r="D6" s="6">
        <v>10.0</v>
      </c>
      <c r="E6" s="27" t="s">
        <v>21</v>
      </c>
      <c r="F6" s="6"/>
      <c r="G6" s="6"/>
      <c r="H6" s="6"/>
      <c r="I6" s="27" t="s">
        <v>22</v>
      </c>
      <c r="J6" s="6" t="s">
        <v>23</v>
      </c>
      <c r="K6" s="6"/>
      <c r="L6" s="6"/>
      <c r="M6" s="6"/>
      <c r="N6" s="6"/>
      <c r="O6" s="6"/>
      <c r="AM6" s="8" t="s">
        <v>24</v>
      </c>
      <c r="AN6" s="8" t="s">
        <v>25</v>
      </c>
      <c r="AO6" s="8" t="s">
        <v>26</v>
      </c>
      <c r="AP6" s="8" t="s">
        <v>27</v>
      </c>
      <c r="AQ6" s="8" t="s">
        <v>28</v>
      </c>
      <c r="AR6" s="8" t="s">
        <v>29</v>
      </c>
    </row>
    <row r="7" ht="15.75" customHeight="1">
      <c r="A7" s="6"/>
      <c r="B7" s="6" t="s">
        <v>20</v>
      </c>
      <c r="C7" s="6">
        <v>110.0</v>
      </c>
      <c r="D7" s="6">
        <v>10.0</v>
      </c>
      <c r="E7" s="27" t="s">
        <v>21</v>
      </c>
      <c r="F7" s="6"/>
      <c r="G7" s="6"/>
      <c r="H7" s="6"/>
      <c r="I7" s="27" t="s">
        <v>22</v>
      </c>
      <c r="J7" s="6" t="s">
        <v>23</v>
      </c>
      <c r="K7" s="6"/>
      <c r="L7" s="6"/>
      <c r="M7" s="6"/>
      <c r="N7" s="6"/>
      <c r="O7" s="6"/>
      <c r="AM7" s="8" t="s">
        <v>24</v>
      </c>
      <c r="AN7" s="8" t="s">
        <v>25</v>
      </c>
      <c r="AO7" s="8" t="s">
        <v>26</v>
      </c>
      <c r="AP7" s="8" t="s">
        <v>27</v>
      </c>
      <c r="AQ7" s="8" t="s">
        <v>28</v>
      </c>
      <c r="AR7" s="8" t="s">
        <v>29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30</v>
      </c>
      <c r="D3" s="4" t="s">
        <v>9</v>
      </c>
      <c r="E3" s="11" t="s">
        <v>31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IFERROR(__xludf.DUMMYFUNCTION("""COMPUTED_VALUE"""),"GetDataAllocation")</f>
        <v>GetDataAllocation</v>
      </c>
      <c r="E4" s="22" t="str">
        <f>IFERROR(__xludf.DUMMYFUNCTION("""COMPUTED_VALUE"""),"SelectAllocatedGroup")</f>
        <v>SelectAllocatedGroup</v>
      </c>
      <c r="F4" s="22" t="str">
        <f>IFERROR(__xludf.DUMMYFUNCTION("""COMPUTED_VALUE"""),"EditTradesAllocated")</f>
        <v>EditTradesAllocated</v>
      </c>
      <c r="G4" s="22" t="str">
        <f>IFERROR(__xludf.DUMMYFUNCTION("""COMPUTED_VALUE"""),"EditTradesUnallocated")</f>
        <v>EditTradesUnallocated</v>
      </c>
      <c r="H4" s="22" t="str">
        <f>IFERROR(__xludf.DUMMYFUNCTION("""COMPUTED_VALUE"""),"EditTradesAllocated")</f>
        <v>EditTradesAllocated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IFERROR(__xludf.DUMMYFUNCTION("""COMPUTED_VALUE"""),"DisableChecksideForAsset")</f>
        <v>DisableChecksideForAsset</v>
      </c>
      <c r="CX4" s="23" t="str">
        <f>IFERROR(__xludf.DUMMYFUNCTION("""COMPUTED_VALUE"""),"DisableChecksideForAccount")</f>
        <v>DisableChecksideForAccount</v>
      </c>
      <c r="CY4" s="23" t="str">
        <f>IFERROR(__xludf.DUMMYFUNCTION("""COMPUTED_VALUE"""),"DisableChecksideForCounterParty")</f>
        <v>DisableChecksideForCounterParty</v>
      </c>
      <c r="CZ4" s="23" t="str">
        <f>IFERROR(__xludf.DUMMYFUNCTION("""COMPUTED_VALUE"""),"DisableCheckside")</f>
        <v>DisableCheckside</v>
      </c>
      <c r="DA4" s="23" t="str">
        <f>IFERROR(__xludf.DUMMYFUNCTION("""COMPUTED_VALUE"""),"ApplyMasterFundFilter")</f>
        <v>ApplyMasterFundFilter</v>
      </c>
      <c r="DB4" s="23" t="str">
        <f>IFERROR(__xludf.DUMMYFUNCTION("""COMPUTED_VALUE"""),"ShowMasterFundOnTT")</f>
        <v>ShowMasterFundOnTT</v>
      </c>
      <c r="DC4" s="23" t="str">
        <f>IFERROR(__xludf.DUMMYFUNCTION("""COMPUTED_VALUE"""),"ShowMasterFundAsClient")</f>
        <v>ShowMasterFundAsClient</v>
      </c>
      <c r="DD4" s="23" t="str">
        <f>IFERROR(__xludf.DUMMYFUNCTION("""COMPUTED_VALUE"""),"SetBrokerAccountMapping")</f>
        <v>SetBrokerAccountMapping</v>
      </c>
      <c r="DE4" s="23" t="str">
        <f>IFERROR(__xludf.DUMMYFUNCTION("""COMPUTED_VALUE"""),"EditUnallocatedGridWPF")</f>
        <v>EditUnallocatedGridWPF</v>
      </c>
      <c r="DF4" s="23" t="str">
        <f>IFERROR(__xludf.DUMMYFUNCTION("""COMPUTED_VALUE"""),"EditAllocatedGridWPF")</f>
        <v>EditAllocatedGridWPF</v>
      </c>
      <c r="DG4" s="23" t="str">
        <f>IFERROR(__xludf.DUMMYFUNCTION("""COMPUTED_VALUE"""),"EditAllocatedGridTaxlot")</f>
        <v>EditAllocatedGridTaxlot</v>
      </c>
      <c r="DH4" s="23" t="str">
        <f>IFERROR(__xludf.DUMMYFUNCTION("""COMPUTED_VALUE"""),"ExpandCollapseAllocatedGrid")</f>
        <v>ExpandCollapseAllocatedGrid</v>
      </c>
      <c r="DI4" s="23" t="str">
        <f>IFERROR(__xludf.DUMMYFUNCTION("""COMPUTED_VALUE"""),"ExpandCollapseUnallocatedGrid")</f>
        <v>ExpandCollapseUnallocatedGrid</v>
      </c>
      <c r="DJ4" s="23" t="str">
        <f>IFERROR(__xludf.DUMMYFUNCTION("""COMPUTED_VALUE"""),"SetTradeAttributePreferences")</f>
        <v>SetTradeAttributePreferences</v>
      </c>
      <c r="DK4" s="23" t="str">
        <f>IFERROR(__xludf.DUMMYFUNCTION("""COMPUTED_VALUE"""),"EnterCustomAllocatePreference")</f>
        <v>EnterCustomAllocatePreference</v>
      </c>
      <c r="DL4" s="23" t="str">
        <f>IFERROR(__xludf.DUMMYFUNCTION("""COMPUTED_VALUE"""),"SetAutoGroupingPreferences")</f>
        <v>SetAutoGroupingPreferences</v>
      </c>
      <c r="DM4" s="23" t="str">
        <f>IFERROR(__xludf.DUMMYFUNCTION("""COMPUTED_VALUE"""),"SetAutoGroupingAccount")</f>
        <v>SetAutoGroupingAccount</v>
      </c>
      <c r="DN4" s="23" t="str">
        <f>IFERROR(__xludf.DUMMYFUNCTION("""COMPUTED_VALUE"""),"SetAvgPriceRounding")</f>
        <v>SetAvgPriceRounding</v>
      </c>
      <c r="DO4" s="23" t="str">
        <f>IFERROR(__xludf.DUMMYFUNCTION("""COMPUTED_VALUE"""),"IsAllocationOpen")</f>
        <v>IsAllocationOpen</v>
      </c>
      <c r="DP4" s="23" t="str">
        <f>IFERROR(__xludf.DUMMYFUNCTION("""COMPUTED_VALUE"""),"AllocationAuditTrail")</f>
        <v>AllocationAuditTrail</v>
      </c>
      <c r="DQ4" s="23" t="str">
        <f>IFERROR(__xludf.DUMMYFUNCTION("""COMPUTED_VALUE"""),"GetAuditTrailData")</f>
        <v>GetAuditTrailData</v>
      </c>
      <c r="DR4" s="23" t="str">
        <f>IFERROR(__xludf.DUMMYFUNCTION("""COMPUTED_VALUE"""),"CheckAuditTrailData")</f>
        <v>CheckAuditTrailData</v>
      </c>
      <c r="DS4" s="23" t="str">
        <f>IFERROR(__xludf.DUMMYFUNCTION("""COMPUTED_VALUE"""),"DeleteGroupWithOutSave")</f>
        <v>DeleteGroupWithOutSave</v>
      </c>
      <c r="DT4" s="23" t="str">
        <f>IFERROR(__xludf.DUMMYFUNCTION("""COMPUTED_VALUE"""),"CheckPreferences")</f>
        <v>CheckPreferences</v>
      </c>
      <c r="DU4" s="23" t="str">
        <f>IFERROR(__xludf.DUMMYFUNCTION("""COMPUTED_VALUE"""),"AllocateWithPopUp")</f>
        <v>AllocateWithPopUp</v>
      </c>
      <c r="DV4" s="23" t="str">
        <f>IFERROR(__xludf.DUMMYFUNCTION("""COMPUTED_VALUE"""),"SelectAllRowsAllocated")</f>
        <v>SelectAllRowsAllocated</v>
      </c>
      <c r="DW4" s="23" t="str">
        <f>IFERROR(__xludf.DUMMYFUNCTION("""COMPUTED_VALUE"""),"ModifyGRPreferenceValues")</f>
        <v>ModifyGRPreferenceValues</v>
      </c>
      <c r="DX4" s="23" t="str">
        <f>IFERROR(__xludf.DUMMYFUNCTION("""COMPUTED_VALUE"""),"VerifyAllocationNavLockPopup")</f>
        <v>VerifyAllocationNavLockPopup</v>
      </c>
      <c r="DY4" s="23" t="str">
        <f>IFERROR(__xludf.DUMMYFUNCTION("""COMPUTED_VALUE"""),"ReviewExistingPositions")</f>
        <v>ReviewExistingPositions</v>
      </c>
      <c r="DZ4" s="23" t="str">
        <f>IFERROR(__xludf.DUMMYFUNCTION("""COMPUTED_VALUE"""),"OperationsonAllocation")</f>
        <v>OperationsonAllocation</v>
      </c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5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</row>
    <row r="6" ht="15.75" customHeight="1">
      <c r="A6" s="6"/>
      <c r="B6" s="6" t="s">
        <v>32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33</v>
      </c>
      <c r="D3" s="4" t="s">
        <v>9</v>
      </c>
      <c r="E3" s="11" t="s">
        <v>34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IFERROR(__xludf.DUMMYFUNCTION("""COMPUTED_VALUE"""),"RemoveManualExecution")</f>
        <v>RemoveManualExecution</v>
      </c>
      <c r="AW4" s="23" t="str">
        <f>IFERROR(__xludf.DUMMYFUNCTION("""COMPUTED_VALUE"""),"RemoveExecutionWorkingSubs")</f>
        <v>RemoveExecutionWorkingSubs</v>
      </c>
      <c r="AX4" s="23" t="str">
        <f>IFERROR(__xludf.DUMMYFUNCTION("""COMPUTED_VALUE"""),"GetExecutionReportOrders")</f>
        <v>GetExecutionReportOrders</v>
      </c>
      <c r="AY4" s="23" t="str">
        <f>IFERROR(__xludf.DUMMYFUNCTION("""COMPUTED_VALUE"""),"GetExecutionReportDetails")</f>
        <v>GetExecutionReportDetails</v>
      </c>
      <c r="AZ4" s="23" t="str">
        <f>IFERROR(__xludf.DUMMYFUNCTION("""COMPUTED_VALUE"""),"ExportExecutionReportData")</f>
        <v>ExportExecutionReportData</v>
      </c>
      <c r="BA4" s="23" t="str">
        <f>IFERROR(__xludf.DUMMYFUNCTION("""COMPUTED_VALUE"""),"VerifyExecutionReport")</f>
        <v>VerifyExecutionReport</v>
      </c>
      <c r="BB4" s="23" t="str">
        <f>IFERROR(__xludf.DUMMYFUNCTION("""COMPUTED_VALUE"""),"BlotterExecutionReportSnapshot")</f>
        <v>BlotterExecutionReportSnapshot</v>
      </c>
      <c r="BC4" s="23" t="str">
        <f>IFERROR(__xludf.DUMMYFUNCTION("""COMPUTED_VALUE"""),"MultipleTradeTransferToUser")</f>
        <v>MultipleTradeTransferToUser</v>
      </c>
      <c r="BD4" s="23" t="str">
        <f>IFERROR(__xludf.DUMMYFUNCTION("""COMPUTED_VALUE"""),"ReloadOrderFromBlotter")</f>
        <v>ReloadOrderFromBlotter</v>
      </c>
      <c r="BE4" s="23" t="str">
        <f>IFERROR(__xludf.DUMMYFUNCTION("""COMPUTED_VALUE"""),"ReloadOrderFromSubOrder")</f>
        <v>ReloadOrderFromSubOrder</v>
      </c>
      <c r="BF4" s="23" t="str">
        <f>IFERROR(__xludf.DUMMYFUNCTION("""COMPUTED_VALUE"""),"ReloadOrderFromWorkingSubs")</f>
        <v>ReloadOrderFromWorkingSubs</v>
      </c>
      <c r="BG4" s="23" t="str">
        <f>IFERROR(__xludf.DUMMYFUNCTION("""COMPUTED_VALUE"""),"SelectFills")</f>
        <v>SelectFills</v>
      </c>
      <c r="BH4" s="23" t="str">
        <f>IFERROR(__xludf.DUMMYFUNCTION("""COMPUTED_VALUE"""),"ModifyFills")</f>
        <v>ModifyFills</v>
      </c>
      <c r="BI4" s="23" t="str">
        <f>IFERROR(__xludf.DUMMYFUNCTION("""COMPUTED_VALUE"""),"AllocateFromBlotter")</f>
        <v>AllocateFromBlotter</v>
      </c>
      <c r="BJ4" s="23" t="str">
        <f>IFERROR(__xludf.DUMMYFUNCTION("""COMPUTED_VALUE"""),"ViewPTTAllocationDetails")</f>
        <v>ViewPTTAllocationDetails</v>
      </c>
      <c r="BK4" s="23" t="str">
        <f>IFERROR(__xludf.DUMMYFUNCTION("""COMPUTED_VALUE"""),"MergeOrder")</f>
        <v>MergeOrder</v>
      </c>
      <c r="BL4" s="23" t="str">
        <f>IFERROR(__xludf.DUMMYFUNCTION("""COMPUTED_VALUE"""),"VerifyMergeOrder")</f>
        <v>VerifyMergeOrder</v>
      </c>
      <c r="BM4" s="23" t="str">
        <f>IFERROR(__xludf.DUMMYFUNCTION("""COMPUTED_VALUE"""),"AddTabBlotter")</f>
        <v>AddTabBlotter</v>
      </c>
      <c r="BN4" s="23" t="str">
        <f>IFERROR(__xludf.DUMMYFUNCTION("""COMPUTED_VALUE"""),"VerifyLowerStripBlotterUI")</f>
        <v>VerifyLowerStripBlotterUI</v>
      </c>
      <c r="BO4" s="23" t="str">
        <f>IFERROR(__xludf.DUMMYFUNCTION("""COMPUTED_VALUE"""),"SaveOrRemoveInSummaryTab")</f>
        <v>SaveOrRemoveInSummaryTab</v>
      </c>
      <c r="BP4" s="23" t="str">
        <f>IFERROR(__xludf.DUMMYFUNCTION("""COMPUTED_VALUE"""),"SaveOrRemoveInWorkingSubsTab")</f>
        <v>SaveOrRemoveInWorkingSubsTab</v>
      </c>
      <c r="BQ4" s="23" t="str">
        <f>IFERROR(__xludf.DUMMYFUNCTION("""COMPUTED_VALUE"""),"SelectCheckBoxOnOrderGrid")</f>
        <v>SelectCheckBoxOnOrderGrid</v>
      </c>
      <c r="BR4" s="23" t="str">
        <f>IFERROR(__xludf.DUMMYFUNCTION("""COMPUTED_VALUE"""),"ReAllocateFromBlotterByAllocate")</f>
        <v>ReAllocateFromBlotterByAllocate</v>
      </c>
      <c r="BS4" s="23" t="str">
        <f>IFERROR(__xludf.DUMMYFUNCTION("""COMPUTED_VALUE"""),"RemoveOrderFromCustomTab")</f>
        <v>RemoveOrderFromCustomTab</v>
      </c>
      <c r="BT4" s="23" t="str">
        <f>IFERROR(__xludf.DUMMYFUNCTION("""COMPUTED_VALUE"""),"ReloadFromSummary")</f>
        <v>ReloadFromSummary</v>
      </c>
      <c r="BU4" s="23" t="str">
        <f>IFERROR(__xludf.DUMMYFUNCTION("""COMPUTED_VALUE"""),"AllocateFromWorkingSubsBlotter")</f>
        <v>AllocateFromWorkingSubsBlotter</v>
      </c>
      <c r="BV4" s="23" t="str">
        <f>IFERROR(__xludf.DUMMYFUNCTION("""COMPUTED_VALUE"""),"EditOrderForMTT")</f>
        <v>EditOrderForMTT</v>
      </c>
      <c r="BW4" s="23" t="str">
        <f>IFERROR(__xludf.DUMMYFUNCTION("""COMPUTED_VALUE"""),"VerifyCustomTabs")</f>
        <v>VerifyCustomTabs</v>
      </c>
      <c r="BX4" s="23" t="str">
        <f>IFERROR(__xludf.DUMMYFUNCTION("""COMPUTED_VALUE"""),"SelectCheckBoxOnCustomTab")</f>
        <v>SelectCheckBoxOnCustomTab</v>
      </c>
      <c r="BY4" s="23" t="str">
        <f>IFERROR(__xludf.DUMMYFUNCTION("""COMPUTED_VALUE"""),"UploadStageOrder")</f>
        <v>UploadStageOrder</v>
      </c>
      <c r="BZ4" s="23" t="str">
        <f>IFERROR(__xludf.DUMMYFUNCTION("""COMPUTED_VALUE"""),"RefreshBlotter")</f>
        <v>RefreshBlotter</v>
      </c>
      <c r="CA4" s="23" t="str">
        <f>IFERROR(__xludf.DUMMYFUNCTION("""COMPUTED_VALUE"""),"CancelFromSummary")</f>
        <v>CancelFromSummary</v>
      </c>
      <c r="CB4" s="23" t="str">
        <f>IFERROR(__xludf.DUMMYFUNCTION("""COMPUTED_VALUE"""),"VerifyAuditTrail")</f>
        <v>VerifyAuditTrail</v>
      </c>
      <c r="CC4" s="23" t="str">
        <f>IFERROR(__xludf.DUMMYFUNCTION("""COMPUTED_VALUE"""),"AddOrRemoveColumnFromBlotter")</f>
        <v>AddOrRemoveColumnFromBlotter</v>
      </c>
      <c r="CD4" s="23" t="str">
        <f>IFERROR(__xludf.DUMMYFUNCTION("""COMPUTED_VALUE"""),"ApplyFilterOnBlotter")</f>
        <v>ApplyFilterOnBlotter</v>
      </c>
      <c r="CE4" s="23" t="str">
        <f>IFERROR(__xludf.DUMMYFUNCTION("""COMPUTED_VALUE"""),"SortGridOnBlotter")</f>
        <v>SortGridOnBlotter</v>
      </c>
      <c r="CF4" s="23" t="str">
        <f>IFERROR(__xludf.DUMMYFUNCTION("""COMPUTED_VALUE"""),"VerifyDataIndexWise")</f>
        <v>VerifyDataIndexWise</v>
      </c>
      <c r="CG4" s="23" t="str">
        <f>IFERROR(__xludf.DUMMYFUNCTION("""COMPUTED_VALUE"""),"ReplaceFillsOnBlotter")</f>
        <v>ReplaceFillsOnBlotter</v>
      </c>
      <c r="CH4" s="23" t="str">
        <f>IFERROR(__xludf.DUMMYFUNCTION("""COMPUTED_VALUE"""),"ReplaceFillsOnBlotter")</f>
        <v>ReplaceFillsOnBlotter</v>
      </c>
      <c r="CI4" s="23" t="str">
        <f>IFERROR(__xludf.DUMMYFUNCTION("""COMPUTED_VALUE"""),"SaveLayoutBlotter")</f>
        <v>SaveLayoutBlotter</v>
      </c>
      <c r="CJ4" s="23" t="str">
        <f>IFERROR(__xludf.DUMMYFUNCTION("""COMPUTED_VALUE"""),"VerifyBlotterNavLockPopup")</f>
        <v>VerifyBlotterNavLockPopup</v>
      </c>
      <c r="CK4" s="23" t="str">
        <f>IFERROR(__xludf.DUMMYFUNCTION("""COMPUTED_VALUE"""),"CustomTabActions")</f>
        <v>CustomTabActions</v>
      </c>
      <c r="CL4" s="23" t="str">
        <f>IFERROR(__xludf.DUMMYFUNCTION("""COMPUTED_VALUE"""),"VerifyAllocationWindow")</f>
        <v>VerifyAllocationWindow</v>
      </c>
      <c r="CM4" s="23" t="str">
        <f>IFERROR(__xludf.DUMMYFUNCTION("""COMPUTED_VALUE"""),"VerifyViewAllocationOrder")</f>
        <v>VerifyViewAllocationOrder</v>
      </c>
      <c r="CN4" s="23" t="str">
        <f>IFERROR(__xludf.DUMMYFUNCTION("""COMPUTED_VALUE"""),"ResizeEnsureBlotter")</f>
        <v>ResizeEnsureBlotter</v>
      </c>
      <c r="CO4" s="23" t="str">
        <f>IFERROR(__xludf.DUMMYFUNCTION("""COMPUTED_VALUE"""),"RightClickOperations")</f>
        <v>RightClickOperations</v>
      </c>
      <c r="CP4" s="23" t="str">
        <f>IFERROR(__xludf.DUMMYFUNCTION("""COMPUTED_VALUE"""),"BlotterToolBarAction")</f>
        <v>BlotterToolBarAction</v>
      </c>
      <c r="CQ4" s="23" t="str">
        <f>IFERROR(__xludf.DUMMYFUNCTION("""COMPUTED_VALUE"""),"SelectTradeOnBlotter")</f>
        <v>SelectTradeOnBlotter</v>
      </c>
      <c r="CR4" s="23" t="str">
        <f>IFERROR(__xludf.DUMMYFUNCTION("""COMPUTED_VALUE"""),"SelectTradeSummary")</f>
        <v>SelectTradeSummary</v>
      </c>
      <c r="CS4" s="23" t="str">
        <f>IFERROR(__xludf.DUMMYFUNCTION("""COMPUTED_VALUE"""),"MergeOrderMessage")</f>
        <v>MergeOrderMessage</v>
      </c>
      <c r="CT4" s="23" t="str">
        <f>IFERROR(__xludf.DUMMYFUNCTION("""COMPUTED_VALUE"""),"SwitchTabBlotter")</f>
        <v>SwitchTabBlotter</v>
      </c>
      <c r="CU4" s="23" t="str">
        <f>IFERROR(__xludf.DUMMYFUNCTION("""COMPUTED_VALUE"""),"AddTab")</f>
        <v>AddTab</v>
      </c>
      <c r="CV4" s="23" t="str">
        <f>IFERROR(__xludf.DUMMYFUNCTION("""COMPUTED_VALUE"""),"UploadStageOrders")</f>
        <v>UploadStageOrders</v>
      </c>
      <c r="CW4" s="23" t="str">
        <f>IFERROR(__xludf.DUMMYFUNCTION("""COMPUTED_VALUE"""),"AddTabToFav")</f>
        <v>AddTabToFav</v>
      </c>
      <c r="CX4" s="23" t="str">
        <f>IFERROR(__xludf.DUMMYFUNCTION("""COMPUTED_VALUE"""),"RollOverContextMenu")</f>
        <v>RollOverContextMenu</v>
      </c>
      <c r="CY4" s="23" t="str">
        <f>IFERROR(__xludf.DUMMYFUNCTION("""COMPUTED_VALUE"""),"BookAsSwap")</f>
        <v>BookAsSwap</v>
      </c>
      <c r="CZ4" s="23" t="str">
        <f>IFERROR(__xludf.DUMMYFUNCTION("""COMPUTED_VALUE"""),"ActionOnFloatingWindow")</f>
        <v>ActionOnFloatingWindow</v>
      </c>
      <c r="DA4" s="23" t="str">
        <f>IFERROR(__xludf.DUMMYFUNCTION("""COMPUTED_VALUE"""),"EnableOrVerifyHotButton")</f>
        <v>EnableOrVerifyHotButton</v>
      </c>
      <c r="DB4" s="23" t="str">
        <f>IFERROR(__xludf.DUMMYFUNCTION("""COMPUTED_VALUE"""),"VerifyFilterUiRC")</f>
        <v>VerifyFilterUiRC</v>
      </c>
      <c r="DC4" s="23" t="str">
        <f>IFERROR(__xludf.DUMMYFUNCTION("""COMPUTED_VALUE"""),"CreateHotButtonOnBlotter")</f>
        <v>CreateHotButtonOnBlotter</v>
      </c>
      <c r="DD4" s="23" t="str">
        <f>IFERROR(__xludf.DUMMYFUNCTION("""COMPUTED_VALUE"""),"FillHBdetailsOnBlotter")</f>
        <v>FillHBdetailsOnBlotter</v>
      </c>
      <c r="DE4" s="23" t="str">
        <f>IFERROR(__xludf.DUMMYFUNCTION("""COMPUTED_VALUE"""),"BlotterColumnChooser")</f>
        <v>BlotterColumnChooser</v>
      </c>
      <c r="DF4" s="23" t="str">
        <f>IFERROR(__xludf.DUMMYFUNCTION("""COMPUTED_VALUE"""),"CaptureHotButtonDetails")</f>
        <v>CaptureHotButtonDetails</v>
      </c>
      <c r="DG4" s="23" t="str">
        <f>IFERROR(__xludf.DUMMYFUNCTION("""COMPUTED_VALUE"""),"RightClickActionVerification")</f>
        <v>RightClickActionVerification</v>
      </c>
      <c r="DH4" s="23" t="str">
        <f>IFERROR(__xludf.DUMMYFUNCTION("""COMPUTED_VALUE"""),"ManageHotButton")</f>
        <v>ManageHotButton</v>
      </c>
      <c r="DI4" s="23" t="str">
        <f>IFERROR(__xludf.DUMMYFUNCTION("""COMPUTED_VALUE"""),"EditTradeAttributesWindow")</f>
        <v>EditTradeAttributesWindow</v>
      </c>
      <c r="DJ4" s="23" t="str">
        <f>IFERROR(__xludf.DUMMYFUNCTION("""COMPUTED_VALUE"""),"EditTradeAttributesOrders")</f>
        <v>EditTradeAttributesOrders</v>
      </c>
      <c r="DK4" s="23" t="str">
        <f>IFERROR(__xludf.DUMMYFUNCTION("""COMPUTED_VALUE"""),"EditTradeAttributesWorkingSub")</f>
        <v>EditTradeAttributesWorkingSub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</row>
    <row r="5" ht="15.75" customHeight="1">
      <c r="A5" s="24"/>
      <c r="B5" s="25" t="s">
        <v>35</v>
      </c>
      <c r="C5" s="25" t="s">
        <v>36</v>
      </c>
      <c r="D5" s="25" t="s">
        <v>37</v>
      </c>
      <c r="E5" s="25" t="s">
        <v>38</v>
      </c>
      <c r="F5" s="25" t="s">
        <v>39</v>
      </c>
      <c r="G5" s="25" t="s">
        <v>40</v>
      </c>
      <c r="H5" s="25" t="s">
        <v>41</v>
      </c>
      <c r="I5" s="25" t="s">
        <v>42</v>
      </c>
      <c r="J5" s="25" t="s">
        <v>43</v>
      </c>
      <c r="K5" s="25" t="s">
        <v>44</v>
      </c>
      <c r="L5" s="25" t="s">
        <v>45</v>
      </c>
      <c r="M5" s="25" t="s">
        <v>46</v>
      </c>
      <c r="N5" s="25" t="s">
        <v>47</v>
      </c>
      <c r="O5" s="25" t="s">
        <v>48</v>
      </c>
      <c r="P5" s="25" t="s">
        <v>49</v>
      </c>
      <c r="Q5" s="25" t="s">
        <v>50</v>
      </c>
      <c r="R5" s="25" t="s">
        <v>51</v>
      </c>
      <c r="S5" s="25" t="s">
        <v>52</v>
      </c>
      <c r="T5" s="26" t="s">
        <v>53</v>
      </c>
      <c r="U5" s="26" t="s">
        <v>54</v>
      </c>
      <c r="V5" s="26" t="s">
        <v>55</v>
      </c>
      <c r="W5" s="26" t="s">
        <v>56</v>
      </c>
      <c r="X5" s="26" t="s">
        <v>57</v>
      </c>
      <c r="Y5" s="26" t="s">
        <v>58</v>
      </c>
      <c r="Z5" s="26" t="s">
        <v>59</v>
      </c>
      <c r="AA5" s="26" t="s">
        <v>60</v>
      </c>
      <c r="AB5" s="26" t="s">
        <v>61</v>
      </c>
      <c r="AC5" s="26" t="s">
        <v>62</v>
      </c>
      <c r="AD5" s="26" t="s">
        <v>63</v>
      </c>
      <c r="AE5" s="26" t="s">
        <v>64</v>
      </c>
      <c r="AF5" s="26" t="s">
        <v>65</v>
      </c>
      <c r="AG5" s="26" t="s">
        <v>66</v>
      </c>
      <c r="AH5" s="26" t="s">
        <v>67</v>
      </c>
      <c r="AI5" s="26" t="s">
        <v>68</v>
      </c>
      <c r="AJ5" s="26" t="s">
        <v>69</v>
      </c>
      <c r="AK5" s="26" t="s">
        <v>70</v>
      </c>
      <c r="AL5" s="28" t="s">
        <v>71</v>
      </c>
      <c r="AM5" s="28" t="s">
        <v>72</v>
      </c>
      <c r="AN5" s="28" t="s">
        <v>73</v>
      </c>
      <c r="AO5" s="28" t="s">
        <v>74</v>
      </c>
      <c r="AP5" s="28" t="s">
        <v>75</v>
      </c>
      <c r="AQ5" s="28" t="s">
        <v>76</v>
      </c>
      <c r="AR5" s="26" t="s">
        <v>77</v>
      </c>
      <c r="AS5" s="26" t="s">
        <v>78</v>
      </c>
      <c r="AT5" s="26" t="s">
        <v>79</v>
      </c>
      <c r="AU5" s="26" t="s">
        <v>80</v>
      </c>
      <c r="AV5" s="26" t="s">
        <v>81</v>
      </c>
      <c r="AW5" s="26" t="s">
        <v>82</v>
      </c>
      <c r="AX5" s="26" t="s">
        <v>83</v>
      </c>
      <c r="AY5" s="26" t="s">
        <v>84</v>
      </c>
      <c r="AZ5" s="26" t="s">
        <v>85</v>
      </c>
      <c r="BA5" s="26" t="s">
        <v>86</v>
      </c>
      <c r="BB5" s="26" t="s">
        <v>87</v>
      </c>
      <c r="BC5" s="26" t="s">
        <v>88</v>
      </c>
      <c r="BD5" s="26" t="s">
        <v>89</v>
      </c>
      <c r="BE5" s="26" t="s">
        <v>90</v>
      </c>
      <c r="BF5" s="26" t="s">
        <v>91</v>
      </c>
      <c r="BG5" s="26" t="s">
        <v>92</v>
      </c>
      <c r="BH5" s="26" t="s">
        <v>93</v>
      </c>
      <c r="BI5" s="26" t="s">
        <v>94</v>
      </c>
      <c r="BJ5" s="26" t="s">
        <v>95</v>
      </c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</row>
    <row r="6" ht="16.5" customHeight="1">
      <c r="A6" s="6"/>
      <c r="B6" s="6" t="s">
        <v>20</v>
      </c>
      <c r="C6" s="6" t="s">
        <v>23</v>
      </c>
      <c r="D6" s="6">
        <v>100.0</v>
      </c>
      <c r="E6" s="6">
        <v>100.0</v>
      </c>
      <c r="F6" s="6"/>
      <c r="G6" s="6" t="s">
        <v>96</v>
      </c>
      <c r="H6" s="6"/>
      <c r="I6" s="6"/>
      <c r="J6" s="6"/>
      <c r="K6" s="6" t="s">
        <v>97</v>
      </c>
      <c r="L6" s="27" t="s">
        <v>22</v>
      </c>
      <c r="M6" s="6" t="s">
        <v>98</v>
      </c>
      <c r="N6" s="6"/>
      <c r="O6" s="6">
        <v>10.0</v>
      </c>
      <c r="R6" s="8" t="s">
        <v>99</v>
      </c>
      <c r="S6" s="8" t="s">
        <v>100</v>
      </c>
      <c r="W6" s="8" t="s">
        <v>101</v>
      </c>
      <c r="AL6" s="29" t="s">
        <v>24</v>
      </c>
      <c r="AM6" s="29" t="s">
        <v>25</v>
      </c>
      <c r="AN6" s="29" t="s">
        <v>26</v>
      </c>
      <c r="AO6" s="29" t="s">
        <v>27</v>
      </c>
      <c r="AP6" s="29" t="s">
        <v>28</v>
      </c>
      <c r="AQ6" s="29" t="s">
        <v>29</v>
      </c>
      <c r="AV6" s="8" t="s">
        <v>102</v>
      </c>
      <c r="BA6" s="8" t="s">
        <v>103</v>
      </c>
      <c r="BB6" s="8" t="s">
        <v>99</v>
      </c>
    </row>
    <row r="7" ht="16.5" customHeight="1">
      <c r="A7" s="6"/>
      <c r="B7" s="6" t="s">
        <v>20</v>
      </c>
      <c r="C7" s="6" t="s">
        <v>23</v>
      </c>
      <c r="D7" s="6">
        <v>110.0</v>
      </c>
      <c r="E7" s="6">
        <v>110.0</v>
      </c>
      <c r="F7" s="6"/>
      <c r="G7" s="6" t="s">
        <v>96</v>
      </c>
      <c r="H7" s="6"/>
      <c r="I7" s="6"/>
      <c r="J7" s="6"/>
      <c r="K7" s="6" t="s">
        <v>97</v>
      </c>
      <c r="L7" s="27" t="s">
        <v>22</v>
      </c>
      <c r="M7" s="6" t="s">
        <v>98</v>
      </c>
      <c r="N7" s="6"/>
      <c r="O7" s="6">
        <v>10.0</v>
      </c>
      <c r="R7" s="8" t="s">
        <v>99</v>
      </c>
      <c r="S7" s="8" t="s">
        <v>100</v>
      </c>
      <c r="W7" s="8" t="s">
        <v>101</v>
      </c>
      <c r="AL7" s="29" t="s">
        <v>24</v>
      </c>
      <c r="AM7" s="29" t="s">
        <v>25</v>
      </c>
      <c r="AN7" s="29" t="s">
        <v>26</v>
      </c>
      <c r="AO7" s="29" t="s">
        <v>27</v>
      </c>
      <c r="AP7" s="29" t="s">
        <v>28</v>
      </c>
      <c r="AQ7" s="29" t="s">
        <v>29</v>
      </c>
      <c r="AV7" s="8" t="s">
        <v>102</v>
      </c>
      <c r="BA7" s="8" t="s">
        <v>103</v>
      </c>
      <c r="BB7" s="8" t="s">
        <v>99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33</v>
      </c>
      <c r="D3" s="4" t="s">
        <v>9</v>
      </c>
      <c r="E3" s="11" t="s">
        <v>104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IFERROR(__xludf.DUMMYFUNCTION("""COMPUTED_VALUE"""),"RemoveManualExecution")</f>
        <v>RemoveManualExecution</v>
      </c>
      <c r="AW4" s="23" t="str">
        <f>IFERROR(__xludf.DUMMYFUNCTION("""COMPUTED_VALUE"""),"RemoveExecutionWorkingSubs")</f>
        <v>RemoveExecutionWorkingSubs</v>
      </c>
      <c r="AX4" s="23" t="str">
        <f>IFERROR(__xludf.DUMMYFUNCTION("""COMPUTED_VALUE"""),"GetExecutionReportOrders")</f>
        <v>GetExecutionReportOrders</v>
      </c>
      <c r="AY4" s="23" t="str">
        <f>IFERROR(__xludf.DUMMYFUNCTION("""COMPUTED_VALUE"""),"GetExecutionReportDetails")</f>
        <v>GetExecutionReportDetails</v>
      </c>
      <c r="AZ4" s="23" t="str">
        <f>IFERROR(__xludf.DUMMYFUNCTION("""COMPUTED_VALUE"""),"ExportExecutionReportData")</f>
        <v>ExportExecutionReportData</v>
      </c>
      <c r="BA4" s="23" t="str">
        <f>IFERROR(__xludf.DUMMYFUNCTION("""COMPUTED_VALUE"""),"VerifyExecutionReport")</f>
        <v>VerifyExecutionReport</v>
      </c>
      <c r="BB4" s="23" t="str">
        <f>IFERROR(__xludf.DUMMYFUNCTION("""COMPUTED_VALUE"""),"BlotterExecutionReportSnapshot")</f>
        <v>BlotterExecutionReportSnapshot</v>
      </c>
      <c r="BC4" s="23" t="str">
        <f>IFERROR(__xludf.DUMMYFUNCTION("""COMPUTED_VALUE"""),"MultipleTradeTransferToUser")</f>
        <v>MultipleTradeTransferToUser</v>
      </c>
      <c r="BD4" s="23" t="str">
        <f>IFERROR(__xludf.DUMMYFUNCTION("""COMPUTED_VALUE"""),"ReloadOrderFromBlotter")</f>
        <v>ReloadOrderFromBlotter</v>
      </c>
      <c r="BE4" s="23" t="str">
        <f>IFERROR(__xludf.DUMMYFUNCTION("""COMPUTED_VALUE"""),"ReloadOrderFromSubOrder")</f>
        <v>ReloadOrderFromSubOrder</v>
      </c>
      <c r="BF4" s="23" t="str">
        <f>IFERROR(__xludf.DUMMYFUNCTION("""COMPUTED_VALUE"""),"ReloadOrderFromWorkingSubs")</f>
        <v>ReloadOrderFromWorkingSubs</v>
      </c>
      <c r="BG4" s="23" t="str">
        <f>IFERROR(__xludf.DUMMYFUNCTION("""COMPUTED_VALUE"""),"SelectFills")</f>
        <v>SelectFills</v>
      </c>
      <c r="BH4" s="23" t="str">
        <f>IFERROR(__xludf.DUMMYFUNCTION("""COMPUTED_VALUE"""),"ModifyFills")</f>
        <v>ModifyFills</v>
      </c>
      <c r="BI4" s="23" t="str">
        <f>IFERROR(__xludf.DUMMYFUNCTION("""COMPUTED_VALUE"""),"AllocateFromBlotter")</f>
        <v>AllocateFromBlotter</v>
      </c>
      <c r="BJ4" s="23" t="str">
        <f>IFERROR(__xludf.DUMMYFUNCTION("""COMPUTED_VALUE"""),"ViewPTTAllocationDetails")</f>
        <v>ViewPTTAllocationDetails</v>
      </c>
      <c r="BK4" s="23" t="str">
        <f>IFERROR(__xludf.DUMMYFUNCTION("""COMPUTED_VALUE"""),"MergeOrder")</f>
        <v>MergeOrder</v>
      </c>
      <c r="BL4" s="23" t="str">
        <f>IFERROR(__xludf.DUMMYFUNCTION("""COMPUTED_VALUE"""),"VerifyMergeOrder")</f>
        <v>VerifyMergeOrder</v>
      </c>
      <c r="BM4" s="23" t="str">
        <f>IFERROR(__xludf.DUMMYFUNCTION("""COMPUTED_VALUE"""),"AddTabBlotter")</f>
        <v>AddTabBlotter</v>
      </c>
      <c r="BN4" s="23" t="str">
        <f>IFERROR(__xludf.DUMMYFUNCTION("""COMPUTED_VALUE"""),"VerifyLowerStripBlotterUI")</f>
        <v>VerifyLowerStripBlotterUI</v>
      </c>
      <c r="BO4" s="23" t="str">
        <f>IFERROR(__xludf.DUMMYFUNCTION("""COMPUTED_VALUE"""),"SaveOrRemoveInSummaryTab")</f>
        <v>SaveOrRemoveInSummaryTab</v>
      </c>
      <c r="BP4" s="23" t="str">
        <f>IFERROR(__xludf.DUMMYFUNCTION("""COMPUTED_VALUE"""),"SaveOrRemoveInWorkingSubsTab")</f>
        <v>SaveOrRemoveInWorkingSubsTab</v>
      </c>
      <c r="BQ4" s="23" t="str">
        <f>IFERROR(__xludf.DUMMYFUNCTION("""COMPUTED_VALUE"""),"SelectCheckBoxOnOrderGrid")</f>
        <v>SelectCheckBoxOnOrderGrid</v>
      </c>
      <c r="BR4" s="23" t="str">
        <f>IFERROR(__xludf.DUMMYFUNCTION("""COMPUTED_VALUE"""),"ReAllocateFromBlotterByAllocate")</f>
        <v>ReAllocateFromBlotterByAllocate</v>
      </c>
      <c r="BS4" s="23" t="str">
        <f>IFERROR(__xludf.DUMMYFUNCTION("""COMPUTED_VALUE"""),"RemoveOrderFromCustomTab")</f>
        <v>RemoveOrderFromCustomTab</v>
      </c>
      <c r="BT4" s="23" t="str">
        <f>IFERROR(__xludf.DUMMYFUNCTION("""COMPUTED_VALUE"""),"ReloadFromSummary")</f>
        <v>ReloadFromSummary</v>
      </c>
      <c r="BU4" s="23" t="str">
        <f>IFERROR(__xludf.DUMMYFUNCTION("""COMPUTED_VALUE"""),"AllocateFromWorkingSubsBlotter")</f>
        <v>AllocateFromWorkingSubsBlotter</v>
      </c>
      <c r="BV4" s="23" t="str">
        <f>IFERROR(__xludf.DUMMYFUNCTION("""COMPUTED_VALUE"""),"EditOrderForMTT")</f>
        <v>EditOrderForMTT</v>
      </c>
      <c r="BW4" s="23" t="str">
        <f>IFERROR(__xludf.DUMMYFUNCTION("""COMPUTED_VALUE"""),"VerifyCustomTabs")</f>
        <v>VerifyCustomTabs</v>
      </c>
      <c r="BX4" s="23" t="str">
        <f>IFERROR(__xludf.DUMMYFUNCTION("""COMPUTED_VALUE"""),"SelectCheckBoxOnCustomTab")</f>
        <v>SelectCheckBoxOnCustomTab</v>
      </c>
      <c r="BY4" s="23" t="str">
        <f>IFERROR(__xludf.DUMMYFUNCTION("""COMPUTED_VALUE"""),"UploadStageOrder")</f>
        <v>UploadStageOrder</v>
      </c>
      <c r="BZ4" s="23" t="str">
        <f>IFERROR(__xludf.DUMMYFUNCTION("""COMPUTED_VALUE"""),"RefreshBlotter")</f>
        <v>RefreshBlotter</v>
      </c>
      <c r="CA4" s="23" t="str">
        <f>IFERROR(__xludf.DUMMYFUNCTION("""COMPUTED_VALUE"""),"CancelFromSummary")</f>
        <v>CancelFromSummary</v>
      </c>
      <c r="CB4" s="23" t="str">
        <f>IFERROR(__xludf.DUMMYFUNCTION("""COMPUTED_VALUE"""),"VerifyAuditTrail")</f>
        <v>VerifyAuditTrail</v>
      </c>
      <c r="CC4" s="23" t="str">
        <f>IFERROR(__xludf.DUMMYFUNCTION("""COMPUTED_VALUE"""),"AddOrRemoveColumnFromBlotter")</f>
        <v>AddOrRemoveColumnFromBlotter</v>
      </c>
      <c r="CD4" s="23" t="str">
        <f>IFERROR(__xludf.DUMMYFUNCTION("""COMPUTED_VALUE"""),"ApplyFilterOnBlotter")</f>
        <v>ApplyFilterOnBlotter</v>
      </c>
      <c r="CE4" s="23" t="str">
        <f>IFERROR(__xludf.DUMMYFUNCTION("""COMPUTED_VALUE"""),"SortGridOnBlotter")</f>
        <v>SortGridOnBlotter</v>
      </c>
      <c r="CF4" s="23" t="str">
        <f>IFERROR(__xludf.DUMMYFUNCTION("""COMPUTED_VALUE"""),"VerifyDataIndexWise")</f>
        <v>VerifyDataIndexWise</v>
      </c>
      <c r="CG4" s="23" t="str">
        <f>IFERROR(__xludf.DUMMYFUNCTION("""COMPUTED_VALUE"""),"ReplaceFillsOnBlotter")</f>
        <v>ReplaceFillsOnBlotter</v>
      </c>
      <c r="CH4" s="23" t="str">
        <f>IFERROR(__xludf.DUMMYFUNCTION("""COMPUTED_VALUE"""),"ReplaceFillsOnBlotter")</f>
        <v>ReplaceFillsOnBlotter</v>
      </c>
      <c r="CI4" s="23" t="str">
        <f>IFERROR(__xludf.DUMMYFUNCTION("""COMPUTED_VALUE"""),"SaveLayoutBlotter")</f>
        <v>SaveLayoutBlotter</v>
      </c>
      <c r="CJ4" s="23" t="str">
        <f>IFERROR(__xludf.DUMMYFUNCTION("""COMPUTED_VALUE"""),"VerifyBlotterNavLockPopup")</f>
        <v>VerifyBlotterNavLockPopup</v>
      </c>
      <c r="CK4" s="23" t="str">
        <f>IFERROR(__xludf.DUMMYFUNCTION("""COMPUTED_VALUE"""),"CustomTabActions")</f>
        <v>CustomTabActions</v>
      </c>
      <c r="CL4" s="23" t="str">
        <f>IFERROR(__xludf.DUMMYFUNCTION("""COMPUTED_VALUE"""),"VerifyAllocationWindow")</f>
        <v>VerifyAllocationWindow</v>
      </c>
      <c r="CM4" s="23" t="str">
        <f>IFERROR(__xludf.DUMMYFUNCTION("""COMPUTED_VALUE"""),"VerifyViewAllocationOrder")</f>
        <v>VerifyViewAllocationOrder</v>
      </c>
      <c r="CN4" s="23" t="str">
        <f>IFERROR(__xludf.DUMMYFUNCTION("""COMPUTED_VALUE"""),"ResizeEnsureBlotter")</f>
        <v>ResizeEnsureBlotter</v>
      </c>
      <c r="CO4" s="23" t="str">
        <f>IFERROR(__xludf.DUMMYFUNCTION("""COMPUTED_VALUE"""),"RightClickOperations")</f>
        <v>RightClickOperations</v>
      </c>
      <c r="CP4" s="23" t="str">
        <f>IFERROR(__xludf.DUMMYFUNCTION("""COMPUTED_VALUE"""),"BlotterToolBarAction")</f>
        <v>BlotterToolBarAction</v>
      </c>
      <c r="CQ4" s="23" t="str">
        <f>IFERROR(__xludf.DUMMYFUNCTION("""COMPUTED_VALUE"""),"SelectTradeOnBlotter")</f>
        <v>SelectTradeOnBlotter</v>
      </c>
      <c r="CR4" s="23" t="str">
        <f>IFERROR(__xludf.DUMMYFUNCTION("""COMPUTED_VALUE"""),"SelectTradeSummary")</f>
        <v>SelectTradeSummary</v>
      </c>
      <c r="CS4" s="23" t="str">
        <f>IFERROR(__xludf.DUMMYFUNCTION("""COMPUTED_VALUE"""),"MergeOrderMessage")</f>
        <v>MergeOrderMessage</v>
      </c>
      <c r="CT4" s="23" t="str">
        <f>IFERROR(__xludf.DUMMYFUNCTION("""COMPUTED_VALUE"""),"SwitchTabBlotter")</f>
        <v>SwitchTabBlotter</v>
      </c>
      <c r="CU4" s="23" t="str">
        <f>IFERROR(__xludf.DUMMYFUNCTION("""COMPUTED_VALUE"""),"AddTab")</f>
        <v>AddTab</v>
      </c>
      <c r="CV4" s="23" t="str">
        <f>IFERROR(__xludf.DUMMYFUNCTION("""COMPUTED_VALUE"""),"UploadStageOrders")</f>
        <v>UploadStageOrders</v>
      </c>
      <c r="CW4" s="23" t="str">
        <f>IFERROR(__xludf.DUMMYFUNCTION("""COMPUTED_VALUE"""),"AddTabToFav")</f>
        <v>AddTabToFav</v>
      </c>
      <c r="CX4" s="23" t="str">
        <f>IFERROR(__xludf.DUMMYFUNCTION("""COMPUTED_VALUE"""),"RollOverContextMenu")</f>
        <v>RollOverContextMenu</v>
      </c>
      <c r="CY4" s="23" t="str">
        <f>IFERROR(__xludf.DUMMYFUNCTION("""COMPUTED_VALUE"""),"BookAsSwap")</f>
        <v>BookAsSwap</v>
      </c>
      <c r="CZ4" s="23" t="str">
        <f>IFERROR(__xludf.DUMMYFUNCTION("""COMPUTED_VALUE"""),"ActionOnFloatingWindow")</f>
        <v>ActionOnFloatingWindow</v>
      </c>
      <c r="DA4" s="23" t="str">
        <f>IFERROR(__xludf.DUMMYFUNCTION("""COMPUTED_VALUE"""),"EnableOrVerifyHotButton")</f>
        <v>EnableOrVerifyHotButton</v>
      </c>
      <c r="DB4" s="23" t="str">
        <f>IFERROR(__xludf.DUMMYFUNCTION("""COMPUTED_VALUE"""),"VerifyFilterUiRC")</f>
        <v>VerifyFilterUiRC</v>
      </c>
      <c r="DC4" s="23" t="str">
        <f>IFERROR(__xludf.DUMMYFUNCTION("""COMPUTED_VALUE"""),"CreateHotButtonOnBlotter")</f>
        <v>CreateHotButtonOnBlotter</v>
      </c>
      <c r="DD4" s="23" t="str">
        <f>IFERROR(__xludf.DUMMYFUNCTION("""COMPUTED_VALUE"""),"FillHBdetailsOnBlotter")</f>
        <v>FillHBdetailsOnBlotter</v>
      </c>
      <c r="DE4" s="23" t="str">
        <f>IFERROR(__xludf.DUMMYFUNCTION("""COMPUTED_VALUE"""),"BlotterColumnChooser")</f>
        <v>BlotterColumnChooser</v>
      </c>
      <c r="DF4" s="23" t="str">
        <f>IFERROR(__xludf.DUMMYFUNCTION("""COMPUTED_VALUE"""),"CaptureHotButtonDetails")</f>
        <v>CaptureHotButtonDetails</v>
      </c>
      <c r="DG4" s="23" t="str">
        <f>IFERROR(__xludf.DUMMYFUNCTION("""COMPUTED_VALUE"""),"RightClickActionVerification")</f>
        <v>RightClickActionVerification</v>
      </c>
      <c r="DH4" s="23" t="str">
        <f>IFERROR(__xludf.DUMMYFUNCTION("""COMPUTED_VALUE"""),"ManageHotButton")</f>
        <v>ManageHotButton</v>
      </c>
      <c r="DI4" s="23" t="str">
        <f>IFERROR(__xludf.DUMMYFUNCTION("""COMPUTED_VALUE"""),"EditTradeAttributesWindow")</f>
        <v>EditTradeAttributesWindow</v>
      </c>
      <c r="DJ4" s="23" t="str">
        <f>IFERROR(__xludf.DUMMYFUNCTION("""COMPUTED_VALUE"""),"EditTradeAttributesOrders")</f>
        <v>EditTradeAttributesOrders</v>
      </c>
      <c r="DK4" s="23" t="str">
        <f>IFERROR(__xludf.DUMMYFUNCTION("""COMPUTED_VALUE"""),"EditTradeAttributesWorkingSub")</f>
        <v>EditTradeAttributesWorkingSub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IFERROR(__xludf.DUMMYFUNCTION("""COMPUTED_VALUE"""),"Avg Fill Price (Base)")</f>
        <v>Avg Fill Price (Base)</v>
      </c>
      <c r="C5" s="25" t="str">
        <f>IFERROR(__xludf.DUMMYFUNCTION("""COMPUTED_VALUE"""),"Transaction Time")</f>
        <v>Transaction Time</v>
      </c>
      <c r="D5" s="25" t="str">
        <f>IFERROR(__xludf.DUMMYFUNCTION("""COMPUTED_VALUE"""),"Symbol")</f>
        <v>Symbol</v>
      </c>
      <c r="E5" s="25" t="str">
        <f>IFERROR(__xludf.DUMMYFUNCTION("""COMPUTED_VALUE"""),"Algo")</f>
        <v>Algo</v>
      </c>
      <c r="F5" s="25" t="str">
        <f>IFERROR(__xludf.DUMMYFUNCTION("""COMPUTED_VALUE"""),"Side")</f>
        <v>Side</v>
      </c>
      <c r="G5" s="25" t="str">
        <f>IFERROR(__xludf.DUMMYFUNCTION("""COMPUTED_VALUE"""),"Status")</f>
        <v>Status</v>
      </c>
      <c r="H5" s="25" t="str">
        <f>IFERROR(__xludf.DUMMYFUNCTION("""COMPUTED_VALUE"""),"Target Qty")</f>
        <v>Target Qty</v>
      </c>
      <c r="I5" s="25" t="str">
        <f>IFERROR(__xludf.DUMMYFUNCTION("""COMPUTED_VALUE"""),"Total Executed Qty")</f>
        <v>Total Executed Qty</v>
      </c>
      <c r="J5" s="25" t="str">
        <f>IFERROR(__xludf.DUMMYFUNCTION("""COMPUTED_VALUE"""),"% Executed")</f>
        <v>% Executed</v>
      </c>
      <c r="K5" s="25" t="str">
        <f>IFERROR(__xludf.DUMMYFUNCTION("""COMPUTED_VALUE"""),"Day Executed Qty")</f>
        <v>Day Executed Qty</v>
      </c>
      <c r="L5" s="25" t="str">
        <f>IFERROR(__xludf.DUMMYFUNCTION("""COMPUTED_VALUE"""),"Uncommitted Qty")</f>
        <v>Uncommitted Qty</v>
      </c>
      <c r="M5" s="25" t="str">
        <f>IFERROR(__xludf.DUMMYFUNCTION("""COMPUTED_VALUE"""),"Limit Price")</f>
        <v>Limit Price</v>
      </c>
      <c r="N5" s="25" t="str">
        <f>IFERROR(__xludf.DUMMYFUNCTION("""COMPUTED_VALUE"""),"Last Fill Price (Local)")</f>
        <v>Last Fill Price (Local)</v>
      </c>
      <c r="O5" s="25" t="str">
        <f>IFERROR(__xludf.DUMMYFUNCTION("""COMPUTED_VALUE"""),"Stop Price")</f>
        <v>Stop Price</v>
      </c>
      <c r="P5" s="25" t="str">
        <f>IFERROR(__xludf.DUMMYFUNCTION("""COMPUTED_VALUE"""),"Avg Fill Price (Local)")</f>
        <v>Avg Fill Price (Local)</v>
      </c>
      <c r="Q5" s="25" t="str">
        <f>IFERROR(__xludf.DUMMYFUNCTION("""COMPUTED_VALUE"""),"Broker")</f>
        <v>Broker</v>
      </c>
      <c r="R5" s="25" t="str">
        <f>IFERROR(__xludf.DUMMYFUNCTION("""COMPUTED_VALUE"""),"Account")</f>
        <v>Account</v>
      </c>
      <c r="S5" s="25" t="str">
        <f>IFERROR(__xludf.DUMMYFUNCTION("""COMPUTED_VALUE"""),"OrderID")</f>
        <v>OrderID</v>
      </c>
      <c r="T5" s="26" t="str">
        <f>IFERROR(__xludf.DUMMYFUNCTION("""COMPUTED_VALUE"""),"Order Type")</f>
        <v>Order Type</v>
      </c>
      <c r="U5" s="26" t="str">
        <f>IFERROR(__xludf.DUMMYFUNCTION("""COMPUTED_VALUE"""),"Principal Amount (Local)")</f>
        <v>Principal Amount (Local)</v>
      </c>
      <c r="V5" s="26" t="str">
        <f>IFERROR(__xludf.DUMMYFUNCTION("""COMPUTED_VALUE"""),"Principal Amount (Base)")</f>
        <v>Principal Amount (Base)</v>
      </c>
      <c r="W5" s="26" t="str">
        <f>IFERROR(__xludf.DUMMYFUNCTION("""COMPUTED_VALUE"""),"Peg")</f>
        <v>Peg</v>
      </c>
      <c r="X5" s="26" t="str">
        <f>IFERROR(__xludf.DUMMYFUNCTION("""COMPUTED_VALUE"""),"ParentClOrderID")</f>
        <v>ParentClOrderID</v>
      </c>
      <c r="Y5" s="26" t="str">
        <f>IFERROR(__xludf.DUMMYFUNCTION("""COMPUTED_VALUE"""),"Strike Price")</f>
        <v>Strike Price</v>
      </c>
      <c r="Z5" s="26" t="str">
        <f>IFERROR(__xludf.DUMMYFUNCTION("""COMPUTED_VALUE"""),"Last Shares")</f>
        <v>Last Shares</v>
      </c>
      <c r="AA5" s="26" t="str">
        <f>IFERROR(__xludf.DUMMYFUNCTION("""COMPUTED_VALUE"""),"Working Qty")</f>
        <v>Working Qty</v>
      </c>
      <c r="AB5" s="26" t="str">
        <f>IFERROR(__xludf.DUMMYFUNCTION("""COMPUTED_VALUE"""),"Bloomberg Symbol")</f>
        <v>Bloomberg Symbol</v>
      </c>
      <c r="AC5" s="26" t="str">
        <f>IFERROR(__xludf.DUMMYFUNCTION("""COMPUTED_VALUE"""),"Imported File Name")</f>
        <v>Imported File Name</v>
      </c>
      <c r="AD5" s="26" t="str">
        <f>IFERROR(__xludf.DUMMYFUNCTION("""COMPUTED_VALUE"""),"Master Fund")</f>
        <v>Master Fund</v>
      </c>
      <c r="AE5" s="26" t="str">
        <f>IFERROR(__xludf.DUMMYFUNCTION("""COMPUTED_VALUE"""),"Day Average Price")</f>
        <v>Day Average Price</v>
      </c>
      <c r="AF5" s="26" t="str">
        <f>IFERROR(__xludf.DUMMYFUNCTION("""COMPUTED_VALUE"""),"Asset Class")</f>
        <v>Asset Class</v>
      </c>
      <c r="AG5" s="26" t="str">
        <f>IFERROR(__xludf.DUMMYFUNCTION("""COMPUTED_VALUE"""),"Underlying Country")</f>
        <v>Underlying Country</v>
      </c>
      <c r="AH5" s="26" t="str">
        <f>IFERROR(__xludf.DUMMYFUNCTION("""COMPUTED_VALUE"""),"Trader")</f>
        <v>Trader</v>
      </c>
      <c r="AI5" s="26" t="str">
        <f>IFERROR(__xludf.DUMMYFUNCTION("""COMPUTED_VALUE"""),"User")</f>
        <v>User</v>
      </c>
      <c r="AJ5" s="26" t="str">
        <f>IFERROR(__xludf.DUMMYFUNCTION("""COMPUTED_VALUE"""),"Venue")</f>
        <v>Venue</v>
      </c>
      <c r="AK5" s="26" t="str">
        <f>IFERROR(__xludf.DUMMYFUNCTION("""COMPUTED_VALUE"""),"Settlement Currency")</f>
        <v>Settlement Currency</v>
      </c>
      <c r="AL5" s="26" t="str">
        <f>IFERROR(__xludf.DUMMYFUNCTION("""COMPUTED_VALUE"""),"FX Conversion Operator")</f>
        <v>FX Conversion Operator</v>
      </c>
      <c r="AM5" s="26" t="str">
        <f>IFERROR(__xludf.DUMMYFUNCTION("""COMPUTED_VALUE"""),"Process Date")</f>
        <v>Process Date</v>
      </c>
      <c r="AN5" s="26" t="str">
        <f>IFERROR(__xludf.DUMMYFUNCTION("""COMPUTED_VALUE"""),"Underlying Symbol")</f>
        <v>Underlying Symbol</v>
      </c>
      <c r="AO5" s="26" t="str">
        <f>IFERROR(__xludf.DUMMYFUNCTION("""COMPUTED_VALUE"""),"Put/Call")</f>
        <v>Put/Call</v>
      </c>
      <c r="AP5" s="26" t="str">
        <f>IFERROR(__xludf.DUMMYFUNCTION("""COMPUTED_VALUE"""),"FX Rate")</f>
        <v>FX Rate</v>
      </c>
      <c r="AQ5" s="26" t="str">
        <f>IFERROR(__xludf.DUMMYFUNCTION("""COMPUTED_VALUE"""),"Trade Attribute 1")</f>
        <v>Trade Attribute 1</v>
      </c>
      <c r="AR5" s="26" t="str">
        <f>IFERROR(__xludf.DUMMYFUNCTION("""COMPUTED_VALUE"""),"Trade Attribute 2")</f>
        <v>Trade Attribute 2</v>
      </c>
      <c r="AS5" s="26" t="str">
        <f>IFERROR(__xludf.DUMMYFUNCTION("""COMPUTED_VALUE"""),"Trade Attribute 3")</f>
        <v>Trade Attribute 3</v>
      </c>
      <c r="AT5" s="26" t="str">
        <f>IFERROR(__xludf.DUMMYFUNCTION("""COMPUTED_VALUE"""),"Trade Attribute 4")</f>
        <v>Trade Attribute 4</v>
      </c>
      <c r="AU5" s="26" t="str">
        <f>IFERROR(__xludf.DUMMYFUNCTION("""COMPUTED_VALUE"""),"Trade Attribute 5")</f>
        <v>Trade Attribute 5</v>
      </c>
      <c r="AV5" s="26" t="str">
        <f>IFERROR(__xludf.DUMMYFUNCTION("""COMPUTED_VALUE"""),"Trade Attribute 6")</f>
        <v>Trade Attribute 6</v>
      </c>
      <c r="AW5" s="26" t="str">
        <f>IFERROR(__xludf.DUMMYFUNCTION("""COMPUTED_VALUE"""),"Internal Comments")</f>
        <v>Internal Comments</v>
      </c>
      <c r="AX5" s="26" t="str">
        <f>IFERROR(__xludf.DUMMYFUNCTION("""COMPUTED_VALUE"""),"Allocation Scheme Name")</f>
        <v>Allocation Scheme Name</v>
      </c>
      <c r="AY5" s="26" t="str">
        <f>IFERROR(__xludf.DUMMYFUNCTION("""COMPUTED_VALUE"""),"Start of Day Qty")</f>
        <v>Start of Day Qty</v>
      </c>
      <c r="AZ5" s="26" t="str">
        <f>IFERROR(__xludf.DUMMYFUNCTION("""COMPUTED_VALUE"""),"Leaves")</f>
        <v>Leaves</v>
      </c>
      <c r="BA5" s="26" t="str">
        <f>IFERROR(__xludf.DUMMYFUNCTION("""COMPUTED_VALUE"""),"CheckBox")</f>
        <v>CheckBox</v>
      </c>
      <c r="BB5" s="26" t="str">
        <f>IFERROR(__xludf.DUMMYFUNCTION("""COMPUTED_VALUE"""),"Action on toolbar")</f>
        <v>Action on toolbar</v>
      </c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</row>
    <row r="6" ht="15.75" customHeight="1">
      <c r="A6" s="6"/>
      <c r="B6" s="6"/>
      <c r="C6" s="6"/>
      <c r="D6" s="6" t="s">
        <v>20</v>
      </c>
      <c r="E6" s="6"/>
      <c r="F6" s="6" t="s">
        <v>23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33</v>
      </c>
      <c r="D3" s="4" t="s">
        <v>9</v>
      </c>
      <c r="E3" s="11" t="s">
        <v>105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IFERROR(__xludf.DUMMYFUNCTION("""COMPUTED_VALUE"""),"RemoveManualExecution")</f>
        <v>RemoveManualExecution</v>
      </c>
      <c r="AW4" s="23" t="str">
        <f>IFERROR(__xludf.DUMMYFUNCTION("""COMPUTED_VALUE"""),"RemoveExecutionWorkingSubs")</f>
        <v>RemoveExecutionWorkingSubs</v>
      </c>
      <c r="AX4" s="23" t="str">
        <f>IFERROR(__xludf.DUMMYFUNCTION("""COMPUTED_VALUE"""),"GetExecutionReportOrders")</f>
        <v>GetExecutionReportOrders</v>
      </c>
      <c r="AY4" s="23" t="str">
        <f>IFERROR(__xludf.DUMMYFUNCTION("""COMPUTED_VALUE"""),"GetExecutionReportDetails")</f>
        <v>GetExecutionReportDetails</v>
      </c>
      <c r="AZ4" s="23" t="str">
        <f>IFERROR(__xludf.DUMMYFUNCTION("""COMPUTED_VALUE"""),"ExportExecutionReportData")</f>
        <v>ExportExecutionReportData</v>
      </c>
      <c r="BA4" s="23" t="str">
        <f>IFERROR(__xludf.DUMMYFUNCTION("""COMPUTED_VALUE"""),"VerifyExecutionReport")</f>
        <v>VerifyExecutionReport</v>
      </c>
      <c r="BB4" s="23" t="str">
        <f>IFERROR(__xludf.DUMMYFUNCTION("""COMPUTED_VALUE"""),"BlotterExecutionReportSnapshot")</f>
        <v>BlotterExecutionReportSnapshot</v>
      </c>
      <c r="BC4" s="23" t="str">
        <f>IFERROR(__xludf.DUMMYFUNCTION("""COMPUTED_VALUE"""),"MultipleTradeTransferToUser")</f>
        <v>MultipleTradeTransferToUser</v>
      </c>
      <c r="BD4" s="23" t="str">
        <f>IFERROR(__xludf.DUMMYFUNCTION("""COMPUTED_VALUE"""),"ReloadOrderFromBlotter")</f>
        <v>ReloadOrderFromBlotter</v>
      </c>
      <c r="BE4" s="23" t="str">
        <f>IFERROR(__xludf.DUMMYFUNCTION("""COMPUTED_VALUE"""),"ReloadOrderFromSubOrder")</f>
        <v>ReloadOrderFromSubOrder</v>
      </c>
      <c r="BF4" s="23" t="str">
        <f>IFERROR(__xludf.DUMMYFUNCTION("""COMPUTED_VALUE"""),"ReloadOrderFromWorkingSubs")</f>
        <v>ReloadOrderFromWorkingSubs</v>
      </c>
      <c r="BG4" s="23" t="str">
        <f>IFERROR(__xludf.DUMMYFUNCTION("""COMPUTED_VALUE"""),"SelectFills")</f>
        <v>SelectFills</v>
      </c>
      <c r="BH4" s="23" t="str">
        <f>IFERROR(__xludf.DUMMYFUNCTION("""COMPUTED_VALUE"""),"ModifyFills")</f>
        <v>ModifyFills</v>
      </c>
      <c r="BI4" s="23" t="str">
        <f>IFERROR(__xludf.DUMMYFUNCTION("""COMPUTED_VALUE"""),"AllocateFromBlotter")</f>
        <v>AllocateFromBlotter</v>
      </c>
      <c r="BJ4" s="23" t="str">
        <f>IFERROR(__xludf.DUMMYFUNCTION("""COMPUTED_VALUE"""),"ViewPTTAllocationDetails")</f>
        <v>ViewPTTAllocationDetails</v>
      </c>
      <c r="BK4" s="23" t="str">
        <f>IFERROR(__xludf.DUMMYFUNCTION("""COMPUTED_VALUE"""),"MergeOrder")</f>
        <v>MergeOrder</v>
      </c>
      <c r="BL4" s="23" t="str">
        <f>IFERROR(__xludf.DUMMYFUNCTION("""COMPUTED_VALUE"""),"VerifyMergeOrder")</f>
        <v>VerifyMergeOrder</v>
      </c>
      <c r="BM4" s="23" t="str">
        <f>IFERROR(__xludf.DUMMYFUNCTION("""COMPUTED_VALUE"""),"AddTabBlotter")</f>
        <v>AddTabBlotter</v>
      </c>
      <c r="BN4" s="23" t="str">
        <f>IFERROR(__xludf.DUMMYFUNCTION("""COMPUTED_VALUE"""),"VerifyLowerStripBlotterUI")</f>
        <v>VerifyLowerStripBlotterUI</v>
      </c>
      <c r="BO4" s="23" t="str">
        <f>IFERROR(__xludf.DUMMYFUNCTION("""COMPUTED_VALUE"""),"SaveOrRemoveInSummaryTab")</f>
        <v>SaveOrRemoveInSummaryTab</v>
      </c>
      <c r="BP4" s="23" t="str">
        <f>IFERROR(__xludf.DUMMYFUNCTION("""COMPUTED_VALUE"""),"SaveOrRemoveInWorkingSubsTab")</f>
        <v>SaveOrRemoveInWorkingSubsTab</v>
      </c>
      <c r="BQ4" s="23" t="str">
        <f>IFERROR(__xludf.DUMMYFUNCTION("""COMPUTED_VALUE"""),"SelectCheckBoxOnOrderGrid")</f>
        <v>SelectCheckBoxOnOrderGrid</v>
      </c>
      <c r="BR4" s="23" t="str">
        <f>IFERROR(__xludf.DUMMYFUNCTION("""COMPUTED_VALUE"""),"ReAllocateFromBlotterByAllocate")</f>
        <v>ReAllocateFromBlotterByAllocate</v>
      </c>
      <c r="BS4" s="23" t="str">
        <f>IFERROR(__xludf.DUMMYFUNCTION("""COMPUTED_VALUE"""),"RemoveOrderFromCustomTab")</f>
        <v>RemoveOrderFromCustomTab</v>
      </c>
      <c r="BT4" s="23" t="str">
        <f>IFERROR(__xludf.DUMMYFUNCTION("""COMPUTED_VALUE"""),"ReloadFromSummary")</f>
        <v>ReloadFromSummary</v>
      </c>
      <c r="BU4" s="23" t="str">
        <f>IFERROR(__xludf.DUMMYFUNCTION("""COMPUTED_VALUE"""),"AllocateFromWorkingSubsBlotter")</f>
        <v>AllocateFromWorkingSubsBlotter</v>
      </c>
      <c r="BV4" s="23" t="str">
        <f>IFERROR(__xludf.DUMMYFUNCTION("""COMPUTED_VALUE"""),"EditOrderForMTT")</f>
        <v>EditOrderForMTT</v>
      </c>
      <c r="BW4" s="23" t="str">
        <f>IFERROR(__xludf.DUMMYFUNCTION("""COMPUTED_VALUE"""),"VerifyCustomTabs")</f>
        <v>VerifyCustomTabs</v>
      </c>
      <c r="BX4" s="23" t="str">
        <f>IFERROR(__xludf.DUMMYFUNCTION("""COMPUTED_VALUE"""),"SelectCheckBoxOnCustomTab")</f>
        <v>SelectCheckBoxOnCustomTab</v>
      </c>
      <c r="BY4" s="23" t="str">
        <f>IFERROR(__xludf.DUMMYFUNCTION("""COMPUTED_VALUE"""),"UploadStageOrder")</f>
        <v>UploadStageOrder</v>
      </c>
      <c r="BZ4" s="23" t="str">
        <f>IFERROR(__xludf.DUMMYFUNCTION("""COMPUTED_VALUE"""),"RefreshBlotter")</f>
        <v>RefreshBlotter</v>
      </c>
      <c r="CA4" s="23" t="str">
        <f>IFERROR(__xludf.DUMMYFUNCTION("""COMPUTED_VALUE"""),"CancelFromSummary")</f>
        <v>CancelFromSummary</v>
      </c>
      <c r="CB4" s="23" t="str">
        <f>IFERROR(__xludf.DUMMYFUNCTION("""COMPUTED_VALUE"""),"VerifyAuditTrail")</f>
        <v>VerifyAuditTrail</v>
      </c>
      <c r="CC4" s="23" t="str">
        <f>IFERROR(__xludf.DUMMYFUNCTION("""COMPUTED_VALUE"""),"AddOrRemoveColumnFromBlotter")</f>
        <v>AddOrRemoveColumnFromBlotter</v>
      </c>
      <c r="CD4" s="23" t="str">
        <f>IFERROR(__xludf.DUMMYFUNCTION("""COMPUTED_VALUE"""),"ApplyFilterOnBlotter")</f>
        <v>ApplyFilterOnBlotter</v>
      </c>
      <c r="CE4" s="23" t="str">
        <f>IFERROR(__xludf.DUMMYFUNCTION("""COMPUTED_VALUE"""),"SortGridOnBlotter")</f>
        <v>SortGridOnBlotter</v>
      </c>
      <c r="CF4" s="23" t="str">
        <f>IFERROR(__xludf.DUMMYFUNCTION("""COMPUTED_VALUE"""),"VerifyDataIndexWise")</f>
        <v>VerifyDataIndexWise</v>
      </c>
      <c r="CG4" s="23" t="str">
        <f>IFERROR(__xludf.DUMMYFUNCTION("""COMPUTED_VALUE"""),"ReplaceFillsOnBlotter")</f>
        <v>ReplaceFillsOnBlotter</v>
      </c>
      <c r="CH4" s="23" t="str">
        <f>IFERROR(__xludf.DUMMYFUNCTION("""COMPUTED_VALUE"""),"ReplaceFillsOnBlotter")</f>
        <v>ReplaceFillsOnBlotter</v>
      </c>
      <c r="CI4" s="23" t="str">
        <f>IFERROR(__xludf.DUMMYFUNCTION("""COMPUTED_VALUE"""),"SaveLayoutBlotter")</f>
        <v>SaveLayoutBlotter</v>
      </c>
      <c r="CJ4" s="23" t="str">
        <f>IFERROR(__xludf.DUMMYFUNCTION("""COMPUTED_VALUE"""),"VerifyBlotterNavLockPopup")</f>
        <v>VerifyBlotterNavLockPopup</v>
      </c>
      <c r="CK4" s="23" t="str">
        <f>IFERROR(__xludf.DUMMYFUNCTION("""COMPUTED_VALUE"""),"CustomTabActions")</f>
        <v>CustomTabActions</v>
      </c>
      <c r="CL4" s="23" t="str">
        <f>IFERROR(__xludf.DUMMYFUNCTION("""COMPUTED_VALUE"""),"VerifyAllocationWindow")</f>
        <v>VerifyAllocationWindow</v>
      </c>
      <c r="CM4" s="23" t="str">
        <f>IFERROR(__xludf.DUMMYFUNCTION("""COMPUTED_VALUE"""),"VerifyViewAllocationOrder")</f>
        <v>VerifyViewAllocationOrder</v>
      </c>
      <c r="CN4" s="23" t="str">
        <f>IFERROR(__xludf.DUMMYFUNCTION("""COMPUTED_VALUE"""),"ResizeEnsureBlotter")</f>
        <v>ResizeEnsureBlotter</v>
      </c>
      <c r="CO4" s="23" t="str">
        <f>IFERROR(__xludf.DUMMYFUNCTION("""COMPUTED_VALUE"""),"RightClickOperations")</f>
        <v>RightClickOperations</v>
      </c>
      <c r="CP4" s="23" t="str">
        <f>IFERROR(__xludf.DUMMYFUNCTION("""COMPUTED_VALUE"""),"BlotterToolBarAction")</f>
        <v>BlotterToolBarAction</v>
      </c>
      <c r="CQ4" s="23" t="str">
        <f>IFERROR(__xludf.DUMMYFUNCTION("""COMPUTED_VALUE"""),"SelectTradeOnBlotter")</f>
        <v>SelectTradeOnBlotter</v>
      </c>
      <c r="CR4" s="23" t="str">
        <f>IFERROR(__xludf.DUMMYFUNCTION("""COMPUTED_VALUE"""),"SelectTradeSummary")</f>
        <v>SelectTradeSummary</v>
      </c>
      <c r="CS4" s="23" t="str">
        <f>IFERROR(__xludf.DUMMYFUNCTION("""COMPUTED_VALUE"""),"MergeOrderMessage")</f>
        <v>MergeOrderMessage</v>
      </c>
      <c r="CT4" s="23" t="str">
        <f>IFERROR(__xludf.DUMMYFUNCTION("""COMPUTED_VALUE"""),"SwitchTabBlotter")</f>
        <v>SwitchTabBlotter</v>
      </c>
      <c r="CU4" s="23" t="str">
        <f>IFERROR(__xludf.DUMMYFUNCTION("""COMPUTED_VALUE"""),"AddTab")</f>
        <v>AddTab</v>
      </c>
      <c r="CV4" s="23" t="str">
        <f>IFERROR(__xludf.DUMMYFUNCTION("""COMPUTED_VALUE"""),"UploadStageOrders")</f>
        <v>UploadStageOrders</v>
      </c>
      <c r="CW4" s="23" t="str">
        <f>IFERROR(__xludf.DUMMYFUNCTION("""COMPUTED_VALUE"""),"AddTabToFav")</f>
        <v>AddTabToFav</v>
      </c>
      <c r="CX4" s="23" t="str">
        <f>IFERROR(__xludf.DUMMYFUNCTION("""COMPUTED_VALUE"""),"RollOverContextMenu")</f>
        <v>RollOverContextMenu</v>
      </c>
      <c r="CY4" s="23" t="str">
        <f>IFERROR(__xludf.DUMMYFUNCTION("""COMPUTED_VALUE"""),"BookAsSwap")</f>
        <v>BookAsSwap</v>
      </c>
      <c r="CZ4" s="23" t="str">
        <f>IFERROR(__xludf.DUMMYFUNCTION("""COMPUTED_VALUE"""),"ActionOnFloatingWindow")</f>
        <v>ActionOnFloatingWindow</v>
      </c>
      <c r="DA4" s="23" t="str">
        <f>IFERROR(__xludf.DUMMYFUNCTION("""COMPUTED_VALUE"""),"EnableOrVerifyHotButton")</f>
        <v>EnableOrVerifyHotButton</v>
      </c>
      <c r="DB4" s="23" t="str">
        <f>IFERROR(__xludf.DUMMYFUNCTION("""COMPUTED_VALUE"""),"VerifyFilterUiRC")</f>
        <v>VerifyFilterUiRC</v>
      </c>
      <c r="DC4" s="23" t="str">
        <f>IFERROR(__xludf.DUMMYFUNCTION("""COMPUTED_VALUE"""),"CreateHotButtonOnBlotter")</f>
        <v>CreateHotButtonOnBlotter</v>
      </c>
      <c r="DD4" s="23" t="str">
        <f>IFERROR(__xludf.DUMMYFUNCTION("""COMPUTED_VALUE"""),"FillHBdetailsOnBlotter")</f>
        <v>FillHBdetailsOnBlotter</v>
      </c>
      <c r="DE4" s="23" t="str">
        <f>IFERROR(__xludf.DUMMYFUNCTION("""COMPUTED_VALUE"""),"BlotterColumnChooser")</f>
        <v>BlotterColumnChooser</v>
      </c>
      <c r="DF4" s="23" t="str">
        <f>IFERROR(__xludf.DUMMYFUNCTION("""COMPUTED_VALUE"""),"CaptureHotButtonDetails")</f>
        <v>CaptureHotButtonDetails</v>
      </c>
      <c r="DG4" s="23" t="str">
        <f>IFERROR(__xludf.DUMMYFUNCTION("""COMPUTED_VALUE"""),"RightClickActionVerification")</f>
        <v>RightClickActionVerification</v>
      </c>
      <c r="DH4" s="23" t="str">
        <f>IFERROR(__xludf.DUMMYFUNCTION("""COMPUTED_VALUE"""),"ManageHotButton")</f>
        <v>ManageHotButton</v>
      </c>
      <c r="DI4" s="23" t="str">
        <f>IFERROR(__xludf.DUMMYFUNCTION("""COMPUTED_VALUE"""),"EditTradeAttributesWindow")</f>
        <v>EditTradeAttributesWindow</v>
      </c>
      <c r="DJ4" s="23" t="str">
        <f>IFERROR(__xludf.DUMMYFUNCTION("""COMPUTED_VALUE"""),"EditTradeAttributesOrders")</f>
        <v>EditTradeAttributesOrders</v>
      </c>
      <c r="DK4" s="23" t="str">
        <f>IFERROR(__xludf.DUMMYFUNCTION("""COMPUTED_VALUE"""),"EditTradeAttributesWorkingSub")</f>
        <v>EditTradeAttributesWorkingSub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1")</f>
        <v>Trade Attribute 1</v>
      </c>
      <c r="N5" s="25" t="str">
        <f>IFERROR(__xludf.DUMMYFUNCTION("""COMPUTED_VALUE"""),"Trade Attribute 2")</f>
        <v>Trade Attribute 2</v>
      </c>
      <c r="O5" s="25" t="str">
        <f>IFERROR(__xludf.DUMMYFUNCTION("""COMPUTED_VALUE"""),"Trade Attribute 3")</f>
        <v>Trade Attribute 3</v>
      </c>
      <c r="P5" s="25" t="str">
        <f>IFERROR(__xludf.DUMMYFUNCTION("""COMPUTED_VALUE"""),"Trade Attribute 4")</f>
        <v>Trade Attribute 4</v>
      </c>
      <c r="Q5" s="25" t="str">
        <f>IFERROR(__xludf.DUMMYFUNCTION("""COMPUTED_VALUE"""),"Trade Attribute 5")</f>
        <v>Trade Attribute 5</v>
      </c>
      <c r="R5" s="25" t="str">
        <f>IFERROR(__xludf.DUMMYFUNCTION("""COMPUTED_VALUE"""),"Trade Attribute 6")</f>
        <v>Trade Attribute 6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FxRate Operator")</f>
        <v>Settlement FxRate Operator</v>
      </c>
      <c r="V5" s="26" t="str">
        <f>IFERROR(__xludf.DUMMYFUNCTION("""COMPUTED_VALUE"""),"Settlement Currency")</f>
        <v>Settlement Currency</v>
      </c>
      <c r="W5" s="26" t="str">
        <f>IFERROR(__xludf.DUMMYFUNCTION("""COMPUTED_VALUE"""),"Put/Call")</f>
        <v>Put/Call</v>
      </c>
      <c r="X5" s="26" t="str">
        <f>IFERROR(__xludf.DUMMYFUNCTION("""COMPUTED_VALUE"""),"Process Date")</f>
        <v>Process Date</v>
      </c>
      <c r="Y5" s="26" t="str">
        <f>IFERROR(__xludf.DUMMYFUNCTION("""COMPUTED_VALUE"""),"Peg")</f>
        <v>Peg</v>
      </c>
      <c r="Z5" s="26" t="str">
        <f>IFERROR(__xludf.DUMMYFUNCTION("""COMPUTED_VALUE"""),"ParentClOrderID")</f>
        <v>ParentClOrderID</v>
      </c>
      <c r="AA5" s="26" t="str">
        <f>IFERROR(__xludf.DUMMYFUNCTION("""COMPUTED_VALUE"""),"OrderID")</f>
        <v>OrderID</v>
      </c>
      <c r="AB5" s="26" t="str">
        <f>IFERROR(__xludf.DUMMYFUNCTION("""COMPUTED_VALUE"""),"Master Fund")</f>
        <v>Master Fund</v>
      </c>
      <c r="AC5" s="26" t="str">
        <f>IFERROR(__xludf.DUMMYFUNCTION("""COMPUTED_VALUE"""),"Last Shares")</f>
        <v>Last Shares</v>
      </c>
      <c r="AD5" s="26" t="str">
        <f>IFERROR(__xludf.DUMMYFUNCTION("""COMPUTED_VALUE"""),"Internal Comments")</f>
        <v>Internal Comments</v>
      </c>
      <c r="AE5" s="26" t="str">
        <f>IFERROR(__xludf.DUMMYFUNCTION("""COMPUTED_VALUE"""),"FX Rate")</f>
        <v>FX Rate</v>
      </c>
      <c r="AF5" s="26" t="str">
        <f>IFERROR(__xludf.DUMMYFUNCTION("""COMPUTED_VALUE"""),"Imported File Name")</f>
        <v>Imported File Name</v>
      </c>
      <c r="AG5" s="26" t="str">
        <f>IFERROR(__xludf.DUMMYFUNCTION("""COMPUTED_VALUE"""),"FX Conversion Operator")</f>
        <v>FX Conversion Operator</v>
      </c>
      <c r="AH5" s="26" t="str">
        <f>IFERROR(__xludf.DUMMYFUNCTION("""COMPUTED_VALUE"""),"Day Average Price")</f>
        <v>Day Average Price</v>
      </c>
      <c r="AI5" s="26" t="str">
        <f>IFERROR(__xludf.DUMMYFUNCTION("""COMPUTED_VALUE"""),"Asset Class")</f>
        <v>Asset Class</v>
      </c>
      <c r="AJ5" s="26" t="str">
        <f>IFERROR(__xludf.DUMMYFUNCTION("""COMPUTED_VALUE"""),"Symbol")</f>
        <v>Symbol</v>
      </c>
      <c r="AK5" s="26" t="str">
        <f>IFERROR(__xludf.DUMMYFUNCTION("""COMPUTED_VALUE"""),"Side")</f>
        <v>Side</v>
      </c>
      <c r="AL5" s="26" t="str">
        <f>IFERROR(__xludf.DUMMYFUNCTION("""COMPUTED_VALUE"""),"Status")</f>
        <v>Status</v>
      </c>
      <c r="AM5" s="26" t="str">
        <f>IFERROR(__xludf.DUMMYFUNCTION("""COMPUTED_VALUE"""),"Quantity")</f>
        <v>Quantity</v>
      </c>
      <c r="AN5" s="26" t="str">
        <f>IFERROR(__xludf.DUMMYFUNCTION("""COMPUTED_VALUE"""),"Executed Qty")</f>
        <v>Executed Qty</v>
      </c>
      <c r="AO5" s="26" t="str">
        <f>IFERROR(__xludf.DUMMYFUNCTION("""COMPUTED_VALUE"""),"% Executed")</f>
        <v>% Executed</v>
      </c>
      <c r="AP5" s="26" t="str">
        <f>IFERROR(__xludf.DUMMYFUNCTION("""COMPUTED_VALUE"""),"Day Executed Qty")</f>
        <v>Day Executed Qty</v>
      </c>
      <c r="AQ5" s="26" t="str">
        <f>IFERROR(__xludf.DUMMYFUNCTION("""COMPUTED_VALUE"""),"Remaining Qty")</f>
        <v>Remaining Qty</v>
      </c>
      <c r="AR5" s="26" t="str">
        <f>IFERROR(__xludf.DUMMYFUNCTION("""COMPUTED_VALUE"""),"Last Fill Price (Local)")</f>
        <v>Last Fill Price (Local)</v>
      </c>
      <c r="AS5" s="26" t="str">
        <f>IFERROR(__xludf.DUMMYFUNCTION("""COMPUTED_VALUE"""),"Avg Fill Price (Local)")</f>
        <v>Avg Fill Price (Local)</v>
      </c>
      <c r="AT5" s="26" t="str">
        <f>IFERROR(__xludf.DUMMYFUNCTION("""COMPUTED_VALUE"""),"Broker")</f>
        <v>Broker</v>
      </c>
      <c r="AU5" s="26" t="str">
        <f>IFERROR(__xludf.DUMMYFUNCTION("""COMPUTED_VALUE"""),"Account")</f>
        <v>Account</v>
      </c>
      <c r="AV5" s="26" t="str">
        <f>IFERROR(__xludf.DUMMYFUNCTION("""COMPUTED_VALUE"""),"Order Type")</f>
        <v>Order Type</v>
      </c>
      <c r="AW5" s="26" t="str">
        <f>IFERROR(__xludf.DUMMYFUNCTION("""COMPUTED_VALUE"""),"Principal Amount (Local)")</f>
        <v>Principal Amount (Local)</v>
      </c>
      <c r="AX5" s="26" t="str">
        <f>IFERROR(__xludf.DUMMYFUNCTION("""COMPUTED_VALUE"""),"Principal Amount (Base)")</f>
        <v>Principal Amount (Base)</v>
      </c>
      <c r="AY5" s="26" t="str">
        <f>IFERROR(__xludf.DUMMYFUNCTION("""COMPUTED_VALUE"""),"Settlement FxRate")</f>
        <v>Settlement FxRate</v>
      </c>
      <c r="AZ5" s="26" t="str">
        <f>IFERROR(__xludf.DUMMYFUNCTION("""COMPUTED_VALUE"""),"Settlement Price")</f>
        <v>Settlement Price</v>
      </c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20</v>
      </c>
      <c r="AK6" s="8" t="s">
        <v>23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33</v>
      </c>
      <c r="D3" s="4" t="s">
        <v>9</v>
      </c>
      <c r="E3" s="11" t="s">
        <v>106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IFERROR(__xludf.DUMMYFUNCTION("""COMPUTED_VALUE"""),"RemoveManualExecution")</f>
        <v>RemoveManualExecution</v>
      </c>
      <c r="AW4" s="23" t="str">
        <f>IFERROR(__xludf.DUMMYFUNCTION("""COMPUTED_VALUE"""),"RemoveExecutionWorkingSubs")</f>
        <v>RemoveExecutionWorkingSubs</v>
      </c>
      <c r="AX4" s="23" t="str">
        <f>IFERROR(__xludf.DUMMYFUNCTION("""COMPUTED_VALUE"""),"GetExecutionReportOrders")</f>
        <v>GetExecutionReportOrders</v>
      </c>
      <c r="AY4" s="23" t="str">
        <f>IFERROR(__xludf.DUMMYFUNCTION("""COMPUTED_VALUE"""),"GetExecutionReportDetails")</f>
        <v>GetExecutionReportDetails</v>
      </c>
      <c r="AZ4" s="23" t="str">
        <f>IFERROR(__xludf.DUMMYFUNCTION("""COMPUTED_VALUE"""),"ExportExecutionReportData")</f>
        <v>ExportExecutionReportData</v>
      </c>
      <c r="BA4" s="23" t="str">
        <f>IFERROR(__xludf.DUMMYFUNCTION("""COMPUTED_VALUE"""),"VerifyExecutionReport")</f>
        <v>VerifyExecutionReport</v>
      </c>
      <c r="BB4" s="23" t="str">
        <f>IFERROR(__xludf.DUMMYFUNCTION("""COMPUTED_VALUE"""),"BlotterExecutionReportSnapshot")</f>
        <v>BlotterExecutionReportSnapshot</v>
      </c>
      <c r="BC4" s="23" t="str">
        <f>IFERROR(__xludf.DUMMYFUNCTION("""COMPUTED_VALUE"""),"MultipleTradeTransferToUser")</f>
        <v>MultipleTradeTransferToUser</v>
      </c>
      <c r="BD4" s="23" t="str">
        <f>IFERROR(__xludf.DUMMYFUNCTION("""COMPUTED_VALUE"""),"ReloadOrderFromBlotter")</f>
        <v>ReloadOrderFromBlotter</v>
      </c>
      <c r="BE4" s="23" t="str">
        <f>IFERROR(__xludf.DUMMYFUNCTION("""COMPUTED_VALUE"""),"ReloadOrderFromSubOrder")</f>
        <v>ReloadOrderFromSubOrder</v>
      </c>
      <c r="BF4" s="23" t="str">
        <f>IFERROR(__xludf.DUMMYFUNCTION("""COMPUTED_VALUE"""),"ReloadOrderFromWorkingSubs")</f>
        <v>ReloadOrderFromWorkingSubs</v>
      </c>
      <c r="BG4" s="23" t="str">
        <f>IFERROR(__xludf.DUMMYFUNCTION("""COMPUTED_VALUE"""),"SelectFills")</f>
        <v>SelectFills</v>
      </c>
      <c r="BH4" s="23" t="str">
        <f>IFERROR(__xludf.DUMMYFUNCTION("""COMPUTED_VALUE"""),"ModifyFills")</f>
        <v>ModifyFills</v>
      </c>
      <c r="BI4" s="23" t="str">
        <f>IFERROR(__xludf.DUMMYFUNCTION("""COMPUTED_VALUE"""),"AllocateFromBlotter")</f>
        <v>AllocateFromBlotter</v>
      </c>
      <c r="BJ4" s="23" t="str">
        <f>IFERROR(__xludf.DUMMYFUNCTION("""COMPUTED_VALUE"""),"ViewPTTAllocationDetails")</f>
        <v>ViewPTTAllocationDetails</v>
      </c>
      <c r="BK4" s="23" t="str">
        <f>IFERROR(__xludf.DUMMYFUNCTION("""COMPUTED_VALUE"""),"MergeOrder")</f>
        <v>MergeOrder</v>
      </c>
      <c r="BL4" s="23" t="str">
        <f>IFERROR(__xludf.DUMMYFUNCTION("""COMPUTED_VALUE"""),"VerifyMergeOrder")</f>
        <v>VerifyMergeOrder</v>
      </c>
      <c r="BM4" s="23" t="str">
        <f>IFERROR(__xludf.DUMMYFUNCTION("""COMPUTED_VALUE"""),"AddTabBlotter")</f>
        <v>AddTabBlotter</v>
      </c>
      <c r="BN4" s="23" t="str">
        <f>IFERROR(__xludf.DUMMYFUNCTION("""COMPUTED_VALUE"""),"VerifyLowerStripBlotterUI")</f>
        <v>VerifyLowerStripBlotterUI</v>
      </c>
      <c r="BO4" s="23" t="str">
        <f>IFERROR(__xludf.DUMMYFUNCTION("""COMPUTED_VALUE"""),"SaveOrRemoveInSummaryTab")</f>
        <v>SaveOrRemoveInSummaryTab</v>
      </c>
      <c r="BP4" s="23" t="str">
        <f>IFERROR(__xludf.DUMMYFUNCTION("""COMPUTED_VALUE"""),"SaveOrRemoveInWorkingSubsTab")</f>
        <v>SaveOrRemoveInWorkingSubsTab</v>
      </c>
      <c r="BQ4" s="23" t="str">
        <f>IFERROR(__xludf.DUMMYFUNCTION("""COMPUTED_VALUE"""),"SelectCheckBoxOnOrderGrid")</f>
        <v>SelectCheckBoxOnOrderGrid</v>
      </c>
      <c r="BR4" s="23" t="str">
        <f>IFERROR(__xludf.DUMMYFUNCTION("""COMPUTED_VALUE"""),"ReAllocateFromBlotterByAllocate")</f>
        <v>ReAllocateFromBlotterByAllocate</v>
      </c>
      <c r="BS4" s="23" t="str">
        <f>IFERROR(__xludf.DUMMYFUNCTION("""COMPUTED_VALUE"""),"RemoveOrderFromCustomTab")</f>
        <v>RemoveOrderFromCustomTab</v>
      </c>
      <c r="BT4" s="23" t="str">
        <f>IFERROR(__xludf.DUMMYFUNCTION("""COMPUTED_VALUE"""),"ReloadFromSummary")</f>
        <v>ReloadFromSummary</v>
      </c>
      <c r="BU4" s="23" t="str">
        <f>IFERROR(__xludf.DUMMYFUNCTION("""COMPUTED_VALUE"""),"AllocateFromWorkingSubsBlotter")</f>
        <v>AllocateFromWorkingSubsBlotter</v>
      </c>
      <c r="BV4" s="23" t="str">
        <f>IFERROR(__xludf.DUMMYFUNCTION("""COMPUTED_VALUE"""),"EditOrderForMTT")</f>
        <v>EditOrderForMTT</v>
      </c>
      <c r="BW4" s="23" t="str">
        <f>IFERROR(__xludf.DUMMYFUNCTION("""COMPUTED_VALUE"""),"VerifyCustomTabs")</f>
        <v>VerifyCustomTabs</v>
      </c>
      <c r="BX4" s="23" t="str">
        <f>IFERROR(__xludf.DUMMYFUNCTION("""COMPUTED_VALUE"""),"SelectCheckBoxOnCustomTab")</f>
        <v>SelectCheckBoxOnCustomTab</v>
      </c>
      <c r="BY4" s="23" t="str">
        <f>IFERROR(__xludf.DUMMYFUNCTION("""COMPUTED_VALUE"""),"UploadStageOrder")</f>
        <v>UploadStageOrder</v>
      </c>
      <c r="BZ4" s="23" t="str">
        <f>IFERROR(__xludf.DUMMYFUNCTION("""COMPUTED_VALUE"""),"RefreshBlotter")</f>
        <v>RefreshBlotter</v>
      </c>
      <c r="CA4" s="23" t="str">
        <f>IFERROR(__xludf.DUMMYFUNCTION("""COMPUTED_VALUE"""),"CancelFromSummary")</f>
        <v>CancelFromSummary</v>
      </c>
      <c r="CB4" s="23" t="str">
        <f>IFERROR(__xludf.DUMMYFUNCTION("""COMPUTED_VALUE"""),"VerifyAuditTrail")</f>
        <v>VerifyAuditTrail</v>
      </c>
      <c r="CC4" s="23" t="str">
        <f>IFERROR(__xludf.DUMMYFUNCTION("""COMPUTED_VALUE"""),"AddOrRemoveColumnFromBlotter")</f>
        <v>AddOrRemoveColumnFromBlotter</v>
      </c>
      <c r="CD4" s="23" t="str">
        <f>IFERROR(__xludf.DUMMYFUNCTION("""COMPUTED_VALUE"""),"ApplyFilterOnBlotter")</f>
        <v>ApplyFilterOnBlotter</v>
      </c>
      <c r="CE4" s="23" t="str">
        <f>IFERROR(__xludf.DUMMYFUNCTION("""COMPUTED_VALUE"""),"SortGridOnBlotter")</f>
        <v>SortGridOnBlotter</v>
      </c>
      <c r="CF4" s="23" t="str">
        <f>IFERROR(__xludf.DUMMYFUNCTION("""COMPUTED_VALUE"""),"VerifyDataIndexWise")</f>
        <v>VerifyDataIndexWise</v>
      </c>
      <c r="CG4" s="23" t="str">
        <f>IFERROR(__xludf.DUMMYFUNCTION("""COMPUTED_VALUE"""),"ReplaceFillsOnBlotter")</f>
        <v>ReplaceFillsOnBlotter</v>
      </c>
      <c r="CH4" s="23" t="str">
        <f>IFERROR(__xludf.DUMMYFUNCTION("""COMPUTED_VALUE"""),"ReplaceFillsOnBlotter")</f>
        <v>ReplaceFillsOnBlotter</v>
      </c>
      <c r="CI4" s="23" t="str">
        <f>IFERROR(__xludf.DUMMYFUNCTION("""COMPUTED_VALUE"""),"SaveLayoutBlotter")</f>
        <v>SaveLayoutBlotter</v>
      </c>
      <c r="CJ4" s="23" t="str">
        <f>IFERROR(__xludf.DUMMYFUNCTION("""COMPUTED_VALUE"""),"VerifyBlotterNavLockPopup")</f>
        <v>VerifyBlotterNavLockPopup</v>
      </c>
      <c r="CK4" s="23" t="str">
        <f>IFERROR(__xludf.DUMMYFUNCTION("""COMPUTED_VALUE"""),"CustomTabActions")</f>
        <v>CustomTabActions</v>
      </c>
      <c r="CL4" s="23" t="str">
        <f>IFERROR(__xludf.DUMMYFUNCTION("""COMPUTED_VALUE"""),"VerifyAllocationWindow")</f>
        <v>VerifyAllocationWindow</v>
      </c>
      <c r="CM4" s="23" t="str">
        <f>IFERROR(__xludf.DUMMYFUNCTION("""COMPUTED_VALUE"""),"VerifyViewAllocationOrder")</f>
        <v>VerifyViewAllocationOrder</v>
      </c>
      <c r="CN4" s="23" t="str">
        <f>IFERROR(__xludf.DUMMYFUNCTION("""COMPUTED_VALUE"""),"ResizeEnsureBlotter")</f>
        <v>ResizeEnsureBlotter</v>
      </c>
      <c r="CO4" s="23" t="str">
        <f>IFERROR(__xludf.DUMMYFUNCTION("""COMPUTED_VALUE"""),"RightClickOperations")</f>
        <v>RightClickOperations</v>
      </c>
      <c r="CP4" s="23" t="str">
        <f>IFERROR(__xludf.DUMMYFUNCTION("""COMPUTED_VALUE"""),"BlotterToolBarAction")</f>
        <v>BlotterToolBarAction</v>
      </c>
      <c r="CQ4" s="23" t="str">
        <f>IFERROR(__xludf.DUMMYFUNCTION("""COMPUTED_VALUE"""),"SelectTradeOnBlotter")</f>
        <v>SelectTradeOnBlotter</v>
      </c>
      <c r="CR4" s="23" t="str">
        <f>IFERROR(__xludf.DUMMYFUNCTION("""COMPUTED_VALUE"""),"SelectTradeSummary")</f>
        <v>SelectTradeSummary</v>
      </c>
      <c r="CS4" s="23" t="str">
        <f>IFERROR(__xludf.DUMMYFUNCTION("""COMPUTED_VALUE"""),"MergeOrderMessage")</f>
        <v>MergeOrderMessage</v>
      </c>
      <c r="CT4" s="23" t="str">
        <f>IFERROR(__xludf.DUMMYFUNCTION("""COMPUTED_VALUE"""),"SwitchTabBlotter")</f>
        <v>SwitchTabBlotter</v>
      </c>
      <c r="CU4" s="23" t="str">
        <f>IFERROR(__xludf.DUMMYFUNCTION("""COMPUTED_VALUE"""),"AddTab")</f>
        <v>AddTab</v>
      </c>
      <c r="CV4" s="23" t="str">
        <f>IFERROR(__xludf.DUMMYFUNCTION("""COMPUTED_VALUE"""),"UploadStageOrders")</f>
        <v>UploadStageOrders</v>
      </c>
      <c r="CW4" s="23" t="str">
        <f>IFERROR(__xludf.DUMMYFUNCTION("""COMPUTED_VALUE"""),"AddTabToFav")</f>
        <v>AddTabToFav</v>
      </c>
      <c r="CX4" s="23" t="str">
        <f>IFERROR(__xludf.DUMMYFUNCTION("""COMPUTED_VALUE"""),"RollOverContextMenu")</f>
        <v>RollOverContextMenu</v>
      </c>
      <c r="CY4" s="23" t="str">
        <f>IFERROR(__xludf.DUMMYFUNCTION("""COMPUTED_VALUE"""),"BookAsSwap")</f>
        <v>BookAsSwap</v>
      </c>
      <c r="CZ4" s="23" t="str">
        <f>IFERROR(__xludf.DUMMYFUNCTION("""COMPUTED_VALUE"""),"ActionOnFloatingWindow")</f>
        <v>ActionOnFloatingWindow</v>
      </c>
      <c r="DA4" s="23" t="str">
        <f>IFERROR(__xludf.DUMMYFUNCTION("""COMPUTED_VALUE"""),"EnableOrVerifyHotButton")</f>
        <v>EnableOrVerifyHotButton</v>
      </c>
      <c r="DB4" s="23" t="str">
        <f>IFERROR(__xludf.DUMMYFUNCTION("""COMPUTED_VALUE"""),"VerifyFilterUiRC")</f>
        <v>VerifyFilterUiRC</v>
      </c>
      <c r="DC4" s="23" t="str">
        <f>IFERROR(__xludf.DUMMYFUNCTION("""COMPUTED_VALUE"""),"CreateHotButtonOnBlotter")</f>
        <v>CreateHotButtonOnBlotter</v>
      </c>
      <c r="DD4" s="23" t="str">
        <f>IFERROR(__xludf.DUMMYFUNCTION("""COMPUTED_VALUE"""),"FillHBdetailsOnBlotter")</f>
        <v>FillHBdetailsOnBlotter</v>
      </c>
      <c r="DE4" s="23" t="str">
        <f>IFERROR(__xludf.DUMMYFUNCTION("""COMPUTED_VALUE"""),"BlotterColumnChooser")</f>
        <v>BlotterColumnChooser</v>
      </c>
      <c r="DF4" s="23" t="str">
        <f>IFERROR(__xludf.DUMMYFUNCTION("""COMPUTED_VALUE"""),"CaptureHotButtonDetails")</f>
        <v>CaptureHotButtonDetails</v>
      </c>
      <c r="DG4" s="23" t="str">
        <f>IFERROR(__xludf.DUMMYFUNCTION("""COMPUTED_VALUE"""),"RightClickActionVerification")</f>
        <v>RightClickActionVerification</v>
      </c>
      <c r="DH4" s="23" t="str">
        <f>IFERROR(__xludf.DUMMYFUNCTION("""COMPUTED_VALUE"""),"ManageHotButton")</f>
        <v>ManageHotButton</v>
      </c>
      <c r="DI4" s="23" t="str">
        <f>IFERROR(__xludf.DUMMYFUNCTION("""COMPUTED_VALUE"""),"EditTradeAttributesWindow")</f>
        <v>EditTradeAttributesWindow</v>
      </c>
      <c r="DJ4" s="23" t="str">
        <f>IFERROR(__xludf.DUMMYFUNCTION("""COMPUTED_VALUE"""),"EditTradeAttributesOrders")</f>
        <v>EditTradeAttributesOrders</v>
      </c>
      <c r="DK4" s="23" t="str">
        <f>IFERROR(__xludf.DUMMYFUNCTION("""COMPUTED_VALUE"""),"EditTradeAttributesWorkingSub")</f>
        <v>EditTradeAttributesWorkingSub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Attribute 01")</f>
        <v>Trade Attribute 01</v>
      </c>
      <c r="C5" s="25" t="str">
        <f>IFERROR(__xludf.DUMMYFUNCTION("""COMPUTED_VALUE"""),"Trade Attribute 02")</f>
        <v>Trade Attribute 02</v>
      </c>
      <c r="D5" s="25" t="str">
        <f>IFERROR(__xludf.DUMMYFUNCTION("""COMPUTED_VALUE"""),"Trade Attribute 03")</f>
        <v>Trade Attribute 03</v>
      </c>
      <c r="E5" s="25" t="str">
        <f>IFERROR(__xludf.DUMMYFUNCTION("""COMPUTED_VALUE"""),"Trade Attribute 04")</f>
        <v>Trade Attribute 04</v>
      </c>
      <c r="F5" s="25" t="str">
        <f>IFERROR(__xludf.DUMMYFUNCTION("""COMPUTED_VALUE"""),"Trade Attribute 05")</f>
        <v>Trade Attribute 05</v>
      </c>
      <c r="G5" s="25" t="str">
        <f>IFERROR(__xludf.DUMMYFUNCTION("""COMPUTED_VALUE"""),"Trade Attribute 06")</f>
        <v>Trade Attribute 06</v>
      </c>
      <c r="H5" s="25" t="str">
        <f>IFERROR(__xludf.DUMMYFUNCTION("""COMPUTED_VALUE"""),"Trade Attribute 01 suggestion")</f>
        <v>Trade Attribute 01 suggestion</v>
      </c>
      <c r="I5" s="25" t="str">
        <f>IFERROR(__xludf.DUMMYFUNCTION("""COMPUTED_VALUE"""),"Trade Attribute 02 suggestion")</f>
        <v>Trade Attribute 02 suggestion</v>
      </c>
      <c r="J5" s="25" t="str">
        <f>IFERROR(__xludf.DUMMYFUNCTION("""COMPUTED_VALUE"""),"Trade Attribute 03 suggestion")</f>
        <v>Trade Attribute 03 suggestion</v>
      </c>
      <c r="K5" s="25" t="str">
        <f>IFERROR(__xludf.DUMMYFUNCTION("""COMPUTED_VALUE"""),"Trade Attribute 04 suggestion")</f>
        <v>Trade Attribute 04 suggestion</v>
      </c>
      <c r="L5" s="25" t="str">
        <f>IFERROR(__xludf.DUMMYFUNCTION("""COMPUTED_VALUE"""),"Trade Attribute 05 suggestion")</f>
        <v>Trade Attribute 05 suggestion</v>
      </c>
      <c r="M5" s="25" t="str">
        <f>IFERROR(__xludf.DUMMYFUNCTION("""COMPUTED_VALUE"""),"Trade Attribute 06 suggestion")</f>
        <v>Trade Attribute 06 suggestion</v>
      </c>
      <c r="N5" s="25" t="str">
        <f>IFERROR(__xludf.DUMMYFUNCTION("""COMPUTED_VALUE"""),"Symbol")</f>
        <v>Symbol</v>
      </c>
      <c r="O5" s="25" t="str">
        <f>IFERROR(__xludf.DUMMYFUNCTION("""COMPUTED_VALUE"""),"Side")</f>
        <v>Side</v>
      </c>
      <c r="P5" s="25" t="str">
        <f>IFERROR(__xludf.DUMMYFUNCTION("""COMPUTED_VALUE"""),"Broker")</f>
        <v>Broker</v>
      </c>
      <c r="Q5" s="25" t="str">
        <f>IFERROR(__xludf.DUMMYFUNCTION("""COMPUTED_VALUE"""),"Quantity")</f>
        <v>Quantity</v>
      </c>
      <c r="R5" s="25" t="str">
        <f>IFERROR(__xludf.DUMMYFUNCTION("""COMPUTED_VALUE"""),"Trade Attribute 01 value")</f>
        <v>Trade Attribute 01 value</v>
      </c>
      <c r="S5" s="25" t="str">
        <f>IFERROR(__xludf.DUMMYFUNCTION("""COMPUTED_VALUE"""),"Trade Attribute 02 value")</f>
        <v>Trade Attribute 02 value</v>
      </c>
      <c r="T5" s="26" t="str">
        <f>IFERROR(__xludf.DUMMYFUNCTION("""COMPUTED_VALUE"""),"Trade Attribute 03 value")</f>
        <v>Trade Attribute 03 value</v>
      </c>
      <c r="U5" s="26" t="str">
        <f>IFERROR(__xludf.DUMMYFUNCTION("""COMPUTED_VALUE"""),"Trade Attribute 04 value")</f>
        <v>Trade Attribute 04 value</v>
      </c>
      <c r="V5" s="26" t="str">
        <f>IFERROR(__xludf.DUMMYFUNCTION("""COMPUTED_VALUE"""),"Trade Attribute 05 value")</f>
        <v>Trade Attribute 05 value</v>
      </c>
      <c r="W5" s="26" t="str">
        <f>IFERROR(__xludf.DUMMYFUNCTION("""COMPUTED_VALUE"""),"Trade Attribute 06 value")</f>
        <v>Trade Attribute 06 value</v>
      </c>
      <c r="X5" s="26" t="str">
        <f>IFERROR(__xludf.DUMMYFUNCTION("""COMPUTED_VALUE"""),"CloseOrSubmit")</f>
        <v>CloseOrSubmit</v>
      </c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</row>
    <row r="6" ht="15.75" customHeight="1">
      <c r="A6" s="6"/>
      <c r="B6" s="6" t="s">
        <v>107</v>
      </c>
      <c r="C6" s="6" t="s">
        <v>108</v>
      </c>
      <c r="D6" s="6" t="s">
        <v>109</v>
      </c>
      <c r="E6" s="6" t="s">
        <v>110</v>
      </c>
      <c r="F6" s="6" t="s">
        <v>111</v>
      </c>
      <c r="G6" s="6" t="s">
        <v>112</v>
      </c>
      <c r="H6" s="6"/>
      <c r="I6" s="6"/>
      <c r="J6" s="6"/>
      <c r="K6" s="6"/>
      <c r="L6" s="6"/>
      <c r="M6" s="6"/>
      <c r="N6" s="6" t="s">
        <v>20</v>
      </c>
      <c r="O6" s="6" t="s">
        <v>23</v>
      </c>
      <c r="P6" s="8" t="s">
        <v>97</v>
      </c>
      <c r="Q6" s="8">
        <v>210.0</v>
      </c>
      <c r="X6" s="14" t="s">
        <v>113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33</v>
      </c>
      <c r="D3" s="4" t="s">
        <v>9</v>
      </c>
      <c r="E3" s="11" t="s">
        <v>34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IFERROR(__xludf.DUMMYFUNCTION("""COMPUTED_VALUE"""),"RemoveManualExecution")</f>
        <v>RemoveManualExecution</v>
      </c>
      <c r="AW4" s="23" t="str">
        <f>IFERROR(__xludf.DUMMYFUNCTION("""COMPUTED_VALUE"""),"RemoveExecutionWorkingSubs")</f>
        <v>RemoveExecutionWorkingSubs</v>
      </c>
      <c r="AX4" s="23" t="str">
        <f>IFERROR(__xludf.DUMMYFUNCTION("""COMPUTED_VALUE"""),"GetExecutionReportOrders")</f>
        <v>GetExecutionReportOrders</v>
      </c>
      <c r="AY4" s="23" t="str">
        <f>IFERROR(__xludf.DUMMYFUNCTION("""COMPUTED_VALUE"""),"GetExecutionReportDetails")</f>
        <v>GetExecutionReportDetails</v>
      </c>
      <c r="AZ4" s="23" t="str">
        <f>IFERROR(__xludf.DUMMYFUNCTION("""COMPUTED_VALUE"""),"ExportExecutionReportData")</f>
        <v>ExportExecutionReportData</v>
      </c>
      <c r="BA4" s="23" t="str">
        <f>IFERROR(__xludf.DUMMYFUNCTION("""COMPUTED_VALUE"""),"VerifyExecutionReport")</f>
        <v>VerifyExecutionReport</v>
      </c>
      <c r="BB4" s="23" t="str">
        <f>IFERROR(__xludf.DUMMYFUNCTION("""COMPUTED_VALUE"""),"BlotterExecutionReportSnapshot")</f>
        <v>BlotterExecutionReportSnapshot</v>
      </c>
      <c r="BC4" s="23" t="str">
        <f>IFERROR(__xludf.DUMMYFUNCTION("""COMPUTED_VALUE"""),"MultipleTradeTransferToUser")</f>
        <v>MultipleTradeTransferToUser</v>
      </c>
      <c r="BD4" s="23" t="str">
        <f>IFERROR(__xludf.DUMMYFUNCTION("""COMPUTED_VALUE"""),"ReloadOrderFromBlotter")</f>
        <v>ReloadOrderFromBlotter</v>
      </c>
      <c r="BE4" s="23" t="str">
        <f>IFERROR(__xludf.DUMMYFUNCTION("""COMPUTED_VALUE"""),"ReloadOrderFromSubOrder")</f>
        <v>ReloadOrderFromSubOrder</v>
      </c>
      <c r="BF4" s="23" t="str">
        <f>IFERROR(__xludf.DUMMYFUNCTION("""COMPUTED_VALUE"""),"ReloadOrderFromWorkingSubs")</f>
        <v>ReloadOrderFromWorkingSubs</v>
      </c>
      <c r="BG4" s="23" t="str">
        <f>IFERROR(__xludf.DUMMYFUNCTION("""COMPUTED_VALUE"""),"SelectFills")</f>
        <v>SelectFills</v>
      </c>
      <c r="BH4" s="23" t="str">
        <f>IFERROR(__xludf.DUMMYFUNCTION("""COMPUTED_VALUE"""),"ModifyFills")</f>
        <v>ModifyFills</v>
      </c>
      <c r="BI4" s="23" t="str">
        <f>IFERROR(__xludf.DUMMYFUNCTION("""COMPUTED_VALUE"""),"AllocateFromBlotter")</f>
        <v>AllocateFromBlotter</v>
      </c>
      <c r="BJ4" s="23" t="str">
        <f>IFERROR(__xludf.DUMMYFUNCTION("""COMPUTED_VALUE"""),"ViewPTTAllocationDetails")</f>
        <v>ViewPTTAllocationDetails</v>
      </c>
      <c r="BK4" s="23" t="str">
        <f>IFERROR(__xludf.DUMMYFUNCTION("""COMPUTED_VALUE"""),"MergeOrder")</f>
        <v>MergeOrder</v>
      </c>
      <c r="BL4" s="23" t="str">
        <f>IFERROR(__xludf.DUMMYFUNCTION("""COMPUTED_VALUE"""),"VerifyMergeOrder")</f>
        <v>VerifyMergeOrder</v>
      </c>
      <c r="BM4" s="23" t="str">
        <f>IFERROR(__xludf.DUMMYFUNCTION("""COMPUTED_VALUE"""),"AddTabBlotter")</f>
        <v>AddTabBlotter</v>
      </c>
      <c r="BN4" s="23" t="str">
        <f>IFERROR(__xludf.DUMMYFUNCTION("""COMPUTED_VALUE"""),"VerifyLowerStripBlotterUI")</f>
        <v>VerifyLowerStripBlotterUI</v>
      </c>
      <c r="BO4" s="23" t="str">
        <f>IFERROR(__xludf.DUMMYFUNCTION("""COMPUTED_VALUE"""),"SaveOrRemoveInSummaryTab")</f>
        <v>SaveOrRemoveInSummaryTab</v>
      </c>
      <c r="BP4" s="23" t="str">
        <f>IFERROR(__xludf.DUMMYFUNCTION("""COMPUTED_VALUE"""),"SaveOrRemoveInWorkingSubsTab")</f>
        <v>SaveOrRemoveInWorkingSubsTab</v>
      </c>
      <c r="BQ4" s="23" t="str">
        <f>IFERROR(__xludf.DUMMYFUNCTION("""COMPUTED_VALUE"""),"SelectCheckBoxOnOrderGrid")</f>
        <v>SelectCheckBoxOnOrderGrid</v>
      </c>
      <c r="BR4" s="23" t="str">
        <f>IFERROR(__xludf.DUMMYFUNCTION("""COMPUTED_VALUE"""),"ReAllocateFromBlotterByAllocate")</f>
        <v>ReAllocateFromBlotterByAllocate</v>
      </c>
      <c r="BS4" s="23" t="str">
        <f>IFERROR(__xludf.DUMMYFUNCTION("""COMPUTED_VALUE"""),"RemoveOrderFromCustomTab")</f>
        <v>RemoveOrderFromCustomTab</v>
      </c>
      <c r="BT4" s="23" t="str">
        <f>IFERROR(__xludf.DUMMYFUNCTION("""COMPUTED_VALUE"""),"ReloadFromSummary")</f>
        <v>ReloadFromSummary</v>
      </c>
      <c r="BU4" s="23" t="str">
        <f>IFERROR(__xludf.DUMMYFUNCTION("""COMPUTED_VALUE"""),"AllocateFromWorkingSubsBlotter")</f>
        <v>AllocateFromWorkingSubsBlotter</v>
      </c>
      <c r="BV4" s="23" t="str">
        <f>IFERROR(__xludf.DUMMYFUNCTION("""COMPUTED_VALUE"""),"EditOrderForMTT")</f>
        <v>EditOrderForMTT</v>
      </c>
      <c r="BW4" s="23" t="str">
        <f>IFERROR(__xludf.DUMMYFUNCTION("""COMPUTED_VALUE"""),"VerifyCustomTabs")</f>
        <v>VerifyCustomTabs</v>
      </c>
      <c r="BX4" s="23" t="str">
        <f>IFERROR(__xludf.DUMMYFUNCTION("""COMPUTED_VALUE"""),"SelectCheckBoxOnCustomTab")</f>
        <v>SelectCheckBoxOnCustomTab</v>
      </c>
      <c r="BY4" s="23" t="str">
        <f>IFERROR(__xludf.DUMMYFUNCTION("""COMPUTED_VALUE"""),"UploadStageOrder")</f>
        <v>UploadStageOrder</v>
      </c>
      <c r="BZ4" s="23" t="str">
        <f>IFERROR(__xludf.DUMMYFUNCTION("""COMPUTED_VALUE"""),"RefreshBlotter")</f>
        <v>RefreshBlotter</v>
      </c>
      <c r="CA4" s="23" t="str">
        <f>IFERROR(__xludf.DUMMYFUNCTION("""COMPUTED_VALUE"""),"CancelFromSummary")</f>
        <v>CancelFromSummary</v>
      </c>
      <c r="CB4" s="23" t="str">
        <f>IFERROR(__xludf.DUMMYFUNCTION("""COMPUTED_VALUE"""),"VerifyAuditTrail")</f>
        <v>VerifyAuditTrail</v>
      </c>
      <c r="CC4" s="23" t="str">
        <f>IFERROR(__xludf.DUMMYFUNCTION("""COMPUTED_VALUE"""),"AddOrRemoveColumnFromBlotter")</f>
        <v>AddOrRemoveColumnFromBlotter</v>
      </c>
      <c r="CD4" s="23" t="str">
        <f>IFERROR(__xludf.DUMMYFUNCTION("""COMPUTED_VALUE"""),"ApplyFilterOnBlotter")</f>
        <v>ApplyFilterOnBlotter</v>
      </c>
      <c r="CE4" s="23" t="str">
        <f>IFERROR(__xludf.DUMMYFUNCTION("""COMPUTED_VALUE"""),"SortGridOnBlotter")</f>
        <v>SortGridOnBlotter</v>
      </c>
      <c r="CF4" s="23" t="str">
        <f>IFERROR(__xludf.DUMMYFUNCTION("""COMPUTED_VALUE"""),"VerifyDataIndexWise")</f>
        <v>VerifyDataIndexWise</v>
      </c>
      <c r="CG4" s="23" t="str">
        <f>IFERROR(__xludf.DUMMYFUNCTION("""COMPUTED_VALUE"""),"ReplaceFillsOnBlotter")</f>
        <v>ReplaceFillsOnBlotter</v>
      </c>
      <c r="CH4" s="23" t="str">
        <f>IFERROR(__xludf.DUMMYFUNCTION("""COMPUTED_VALUE"""),"ReplaceFillsOnBlotter")</f>
        <v>ReplaceFillsOnBlotter</v>
      </c>
      <c r="CI4" s="23" t="str">
        <f>IFERROR(__xludf.DUMMYFUNCTION("""COMPUTED_VALUE"""),"SaveLayoutBlotter")</f>
        <v>SaveLayoutBlotter</v>
      </c>
      <c r="CJ4" s="23" t="str">
        <f>IFERROR(__xludf.DUMMYFUNCTION("""COMPUTED_VALUE"""),"VerifyBlotterNavLockPopup")</f>
        <v>VerifyBlotterNavLockPopup</v>
      </c>
      <c r="CK4" s="23" t="str">
        <f>IFERROR(__xludf.DUMMYFUNCTION("""COMPUTED_VALUE"""),"CustomTabActions")</f>
        <v>CustomTabActions</v>
      </c>
      <c r="CL4" s="23" t="str">
        <f>IFERROR(__xludf.DUMMYFUNCTION("""COMPUTED_VALUE"""),"VerifyAllocationWindow")</f>
        <v>VerifyAllocationWindow</v>
      </c>
      <c r="CM4" s="23" t="str">
        <f>IFERROR(__xludf.DUMMYFUNCTION("""COMPUTED_VALUE"""),"VerifyViewAllocationOrder")</f>
        <v>VerifyViewAllocationOrder</v>
      </c>
      <c r="CN4" s="23" t="str">
        <f>IFERROR(__xludf.DUMMYFUNCTION("""COMPUTED_VALUE"""),"ResizeEnsureBlotter")</f>
        <v>ResizeEnsureBlotter</v>
      </c>
      <c r="CO4" s="23" t="str">
        <f>IFERROR(__xludf.DUMMYFUNCTION("""COMPUTED_VALUE"""),"RightClickOperations")</f>
        <v>RightClickOperations</v>
      </c>
      <c r="CP4" s="23" t="str">
        <f>IFERROR(__xludf.DUMMYFUNCTION("""COMPUTED_VALUE"""),"BlotterToolBarAction")</f>
        <v>BlotterToolBarAction</v>
      </c>
      <c r="CQ4" s="23" t="str">
        <f>IFERROR(__xludf.DUMMYFUNCTION("""COMPUTED_VALUE"""),"SelectTradeOnBlotter")</f>
        <v>SelectTradeOnBlotter</v>
      </c>
      <c r="CR4" s="23" t="str">
        <f>IFERROR(__xludf.DUMMYFUNCTION("""COMPUTED_VALUE"""),"SelectTradeSummary")</f>
        <v>SelectTradeSummary</v>
      </c>
      <c r="CS4" s="23" t="str">
        <f>IFERROR(__xludf.DUMMYFUNCTION("""COMPUTED_VALUE"""),"MergeOrderMessage")</f>
        <v>MergeOrderMessage</v>
      </c>
      <c r="CT4" s="23" t="str">
        <f>IFERROR(__xludf.DUMMYFUNCTION("""COMPUTED_VALUE"""),"SwitchTabBlotter")</f>
        <v>SwitchTabBlotter</v>
      </c>
      <c r="CU4" s="23" t="str">
        <f>IFERROR(__xludf.DUMMYFUNCTION("""COMPUTED_VALUE"""),"AddTab")</f>
        <v>AddTab</v>
      </c>
      <c r="CV4" s="23" t="str">
        <f>IFERROR(__xludf.DUMMYFUNCTION("""COMPUTED_VALUE"""),"UploadStageOrders")</f>
        <v>UploadStageOrders</v>
      </c>
      <c r="CW4" s="23" t="str">
        <f>IFERROR(__xludf.DUMMYFUNCTION("""COMPUTED_VALUE"""),"AddTabToFav")</f>
        <v>AddTabToFav</v>
      </c>
      <c r="CX4" s="23" t="str">
        <f>IFERROR(__xludf.DUMMYFUNCTION("""COMPUTED_VALUE"""),"RollOverContextMenu")</f>
        <v>RollOverContextMenu</v>
      </c>
      <c r="CY4" s="23" t="str">
        <f>IFERROR(__xludf.DUMMYFUNCTION("""COMPUTED_VALUE"""),"BookAsSwap")</f>
        <v>BookAsSwap</v>
      </c>
      <c r="CZ4" s="23" t="str">
        <f>IFERROR(__xludf.DUMMYFUNCTION("""COMPUTED_VALUE"""),"ActionOnFloatingWindow")</f>
        <v>ActionOnFloatingWindow</v>
      </c>
      <c r="DA4" s="23" t="str">
        <f>IFERROR(__xludf.DUMMYFUNCTION("""COMPUTED_VALUE"""),"EnableOrVerifyHotButton")</f>
        <v>EnableOrVerifyHotButton</v>
      </c>
      <c r="DB4" s="23" t="str">
        <f>IFERROR(__xludf.DUMMYFUNCTION("""COMPUTED_VALUE"""),"VerifyFilterUiRC")</f>
        <v>VerifyFilterUiRC</v>
      </c>
      <c r="DC4" s="23" t="str">
        <f>IFERROR(__xludf.DUMMYFUNCTION("""COMPUTED_VALUE"""),"CreateHotButtonOnBlotter")</f>
        <v>CreateHotButtonOnBlotter</v>
      </c>
      <c r="DD4" s="23" t="str">
        <f>IFERROR(__xludf.DUMMYFUNCTION("""COMPUTED_VALUE"""),"FillHBdetailsOnBlotter")</f>
        <v>FillHBdetailsOnBlotter</v>
      </c>
      <c r="DE4" s="23" t="str">
        <f>IFERROR(__xludf.DUMMYFUNCTION("""COMPUTED_VALUE"""),"BlotterColumnChooser")</f>
        <v>BlotterColumnChooser</v>
      </c>
      <c r="DF4" s="23" t="str">
        <f>IFERROR(__xludf.DUMMYFUNCTION("""COMPUTED_VALUE"""),"CaptureHotButtonDetails")</f>
        <v>CaptureHotButtonDetails</v>
      </c>
      <c r="DG4" s="23" t="str">
        <f>IFERROR(__xludf.DUMMYFUNCTION("""COMPUTED_VALUE"""),"RightClickActionVerification")</f>
        <v>RightClickActionVerification</v>
      </c>
      <c r="DH4" s="23" t="str">
        <f>IFERROR(__xludf.DUMMYFUNCTION("""COMPUTED_VALUE"""),"ManageHotButton")</f>
        <v>ManageHotButton</v>
      </c>
      <c r="DI4" s="23" t="str">
        <f>IFERROR(__xludf.DUMMYFUNCTION("""COMPUTED_VALUE"""),"EditTradeAttributesWindow")</f>
        <v>EditTradeAttributesWindow</v>
      </c>
      <c r="DJ4" s="23" t="str">
        <f>IFERROR(__xludf.DUMMYFUNCTION("""COMPUTED_VALUE"""),"EditTradeAttributesOrders")</f>
        <v>EditTradeAttributesOrders</v>
      </c>
      <c r="DK4" s="23" t="str">
        <f>IFERROR(__xludf.DUMMYFUNCTION("""COMPUTED_VALUE"""),"EditTradeAttributesWorkingSub")</f>
        <v>EditTradeAttributesWorkingSub</v>
      </c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</row>
    <row r="5" ht="15.75" customHeight="1">
      <c r="A5" s="24"/>
      <c r="B5" s="25" t="s">
        <v>35</v>
      </c>
      <c r="C5" s="25" t="s">
        <v>36</v>
      </c>
      <c r="D5" s="25" t="s">
        <v>37</v>
      </c>
      <c r="E5" s="25" t="s">
        <v>38</v>
      </c>
      <c r="F5" s="25" t="s">
        <v>39</v>
      </c>
      <c r="G5" s="25" t="s">
        <v>40</v>
      </c>
      <c r="H5" s="25" t="s">
        <v>41</v>
      </c>
      <c r="I5" s="25" t="s">
        <v>42</v>
      </c>
      <c r="J5" s="25" t="s">
        <v>43</v>
      </c>
      <c r="K5" s="25" t="s">
        <v>44</v>
      </c>
      <c r="L5" s="25" t="s">
        <v>45</v>
      </c>
      <c r="M5" s="25" t="s">
        <v>46</v>
      </c>
      <c r="N5" s="25" t="s">
        <v>47</v>
      </c>
      <c r="O5" s="25" t="s">
        <v>48</v>
      </c>
      <c r="P5" s="25" t="s">
        <v>49</v>
      </c>
      <c r="Q5" s="25" t="s">
        <v>50</v>
      </c>
      <c r="R5" s="25" t="s">
        <v>51</v>
      </c>
      <c r="S5" s="25" t="s">
        <v>52</v>
      </c>
      <c r="T5" s="26" t="s">
        <v>53</v>
      </c>
      <c r="U5" s="26" t="s">
        <v>54</v>
      </c>
      <c r="V5" s="26" t="s">
        <v>55</v>
      </c>
      <c r="W5" s="26" t="s">
        <v>56</v>
      </c>
      <c r="X5" s="26" t="s">
        <v>57</v>
      </c>
      <c r="Y5" s="26" t="s">
        <v>58</v>
      </c>
      <c r="Z5" s="26" t="s">
        <v>59</v>
      </c>
      <c r="AA5" s="26" t="s">
        <v>60</v>
      </c>
      <c r="AB5" s="26" t="s">
        <v>61</v>
      </c>
      <c r="AC5" s="26" t="s">
        <v>62</v>
      </c>
      <c r="AD5" s="26" t="s">
        <v>63</v>
      </c>
      <c r="AE5" s="26" t="s">
        <v>64</v>
      </c>
      <c r="AF5" s="26" t="s">
        <v>65</v>
      </c>
      <c r="AG5" s="26" t="s">
        <v>66</v>
      </c>
      <c r="AH5" s="26" t="s">
        <v>67</v>
      </c>
      <c r="AI5" s="26" t="s">
        <v>68</v>
      </c>
      <c r="AJ5" s="26" t="s">
        <v>69</v>
      </c>
      <c r="AK5" s="26" t="s">
        <v>70</v>
      </c>
      <c r="AL5" s="28" t="s">
        <v>71</v>
      </c>
      <c r="AM5" s="28" t="s">
        <v>72</v>
      </c>
      <c r="AN5" s="28" t="s">
        <v>73</v>
      </c>
      <c r="AO5" s="28" t="s">
        <v>74</v>
      </c>
      <c r="AP5" s="28" t="s">
        <v>75</v>
      </c>
      <c r="AQ5" s="28" t="s">
        <v>76</v>
      </c>
      <c r="AR5" s="26" t="s">
        <v>77</v>
      </c>
      <c r="AS5" s="26" t="s">
        <v>78</v>
      </c>
      <c r="AT5" s="26" t="s">
        <v>79</v>
      </c>
      <c r="AU5" s="26" t="s">
        <v>80</v>
      </c>
      <c r="AV5" s="26" t="s">
        <v>81</v>
      </c>
      <c r="AW5" s="26" t="s">
        <v>82</v>
      </c>
      <c r="AX5" s="26" t="s">
        <v>83</v>
      </c>
      <c r="AY5" s="26" t="s">
        <v>84</v>
      </c>
      <c r="AZ5" s="26" t="s">
        <v>85</v>
      </c>
      <c r="BA5" s="26" t="s">
        <v>86</v>
      </c>
      <c r="BB5" s="26" t="s">
        <v>87</v>
      </c>
      <c r="BC5" s="26" t="s">
        <v>88</v>
      </c>
      <c r="BD5" s="26" t="s">
        <v>89</v>
      </c>
      <c r="BE5" s="26" t="s">
        <v>90</v>
      </c>
      <c r="BF5" s="26" t="s">
        <v>91</v>
      </c>
      <c r="BG5" s="26" t="s">
        <v>92</v>
      </c>
      <c r="BH5" s="26" t="s">
        <v>93</v>
      </c>
      <c r="BI5" s="26" t="s">
        <v>94</v>
      </c>
      <c r="BJ5" s="26" t="s">
        <v>95</v>
      </c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</row>
    <row r="6" ht="16.5" customHeight="1">
      <c r="A6" s="6"/>
      <c r="B6" s="6" t="s">
        <v>20</v>
      </c>
      <c r="C6" s="6" t="s">
        <v>23</v>
      </c>
      <c r="D6" s="6">
        <v>100.0</v>
      </c>
      <c r="E6" s="6">
        <v>100.0</v>
      </c>
      <c r="F6" s="6"/>
      <c r="G6" s="6" t="s">
        <v>96</v>
      </c>
      <c r="H6" s="6"/>
      <c r="I6" s="6"/>
      <c r="J6" s="6"/>
      <c r="K6" s="6" t="s">
        <v>97</v>
      </c>
      <c r="L6" s="6"/>
      <c r="M6" s="6" t="s">
        <v>98</v>
      </c>
      <c r="N6" s="6"/>
      <c r="O6" s="6">
        <v>10.0</v>
      </c>
      <c r="R6" s="8" t="s">
        <v>99</v>
      </c>
      <c r="S6" s="8" t="s">
        <v>100</v>
      </c>
      <c r="W6" s="8" t="s">
        <v>101</v>
      </c>
      <c r="AC6" s="8">
        <v>1000.0</v>
      </c>
      <c r="AD6" s="8">
        <v>1000.0</v>
      </c>
      <c r="AL6" s="6" t="s">
        <v>107</v>
      </c>
      <c r="AM6" s="6" t="s">
        <v>108</v>
      </c>
      <c r="AN6" s="6" t="s">
        <v>109</v>
      </c>
      <c r="AO6" s="6" t="s">
        <v>110</v>
      </c>
      <c r="AP6" s="6" t="s">
        <v>111</v>
      </c>
      <c r="AQ6" s="6" t="s">
        <v>112</v>
      </c>
      <c r="AV6" s="8" t="s">
        <v>102</v>
      </c>
      <c r="BA6" s="8" t="s">
        <v>103</v>
      </c>
      <c r="BB6" s="8" t="s">
        <v>99</v>
      </c>
    </row>
    <row r="7" ht="16.5" customHeight="1">
      <c r="A7" s="6"/>
      <c r="B7" s="6" t="s">
        <v>20</v>
      </c>
      <c r="C7" s="6" t="s">
        <v>23</v>
      </c>
      <c r="D7" s="6">
        <v>110.0</v>
      </c>
      <c r="E7" s="6">
        <v>110.0</v>
      </c>
      <c r="F7" s="6"/>
      <c r="G7" s="6" t="s">
        <v>96</v>
      </c>
      <c r="H7" s="6"/>
      <c r="I7" s="6"/>
      <c r="J7" s="6"/>
      <c r="K7" s="6" t="s">
        <v>97</v>
      </c>
      <c r="L7" s="6"/>
      <c r="M7" s="6" t="s">
        <v>98</v>
      </c>
      <c r="N7" s="6"/>
      <c r="O7" s="6">
        <v>10.0</v>
      </c>
      <c r="R7" s="8" t="s">
        <v>99</v>
      </c>
      <c r="S7" s="8" t="s">
        <v>100</v>
      </c>
      <c r="W7" s="8" t="s">
        <v>101</v>
      </c>
      <c r="AC7" s="8">
        <v>1100.0</v>
      </c>
      <c r="AD7" s="8">
        <v>1100.0</v>
      </c>
      <c r="AL7" s="6" t="s">
        <v>107</v>
      </c>
      <c r="AM7" s="6" t="s">
        <v>108</v>
      </c>
      <c r="AN7" s="6" t="s">
        <v>109</v>
      </c>
      <c r="AO7" s="6" t="s">
        <v>110</v>
      </c>
      <c r="AP7" s="6" t="s">
        <v>111</v>
      </c>
      <c r="AQ7" s="6" t="s">
        <v>112</v>
      </c>
      <c r="AV7" s="8" t="s">
        <v>102</v>
      </c>
      <c r="BA7" s="8" t="s">
        <v>103</v>
      </c>
      <c r="BB7" s="8" t="s">
        <v>99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  <col customWidth="1" min="63" max="63" width="20.25"/>
    <col customWidth="1" min="64" max="75" width="12.63"/>
    <col customWidth="1" min="76" max="76" width="15.38"/>
    <col customWidth="1" min="77" max="77" width="17.0"/>
    <col customWidth="1" min="78" max="78" width="16.88"/>
    <col customWidth="1" min="79" max="79" width="15.63"/>
    <col customWidth="1" min="80" max="80" width="14.63"/>
    <col customWidth="1" min="81" max="81" width="14.13"/>
    <col customWidth="1" min="82" max="192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30</v>
      </c>
      <c r="D3" s="4" t="s">
        <v>9</v>
      </c>
      <c r="E3" s="30" t="s">
        <v>114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IFERROR(__xludf.DUMMYFUNCTION("""COMPUTED_VALUE"""),"GetDataAllocation")</f>
        <v>GetDataAllocation</v>
      </c>
      <c r="E4" s="22" t="str">
        <f>IFERROR(__xludf.DUMMYFUNCTION("""COMPUTED_VALUE"""),"SelectAllocatedGroup")</f>
        <v>SelectAllocatedGroup</v>
      </c>
      <c r="F4" s="22" t="str">
        <f>IFERROR(__xludf.DUMMYFUNCTION("""COMPUTED_VALUE"""),"EditTradesAllocated")</f>
        <v>EditTradesAllocated</v>
      </c>
      <c r="G4" s="22" t="str">
        <f>IFERROR(__xludf.DUMMYFUNCTION("""COMPUTED_VALUE"""),"EditTradesUnallocated")</f>
        <v>EditTradesUnallocated</v>
      </c>
      <c r="H4" s="22" t="str">
        <f>IFERROR(__xludf.DUMMYFUNCTION("""COMPUTED_VALUE"""),"EditTradesAllocated")</f>
        <v>EditTradesAllocated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IFERROR(__xludf.DUMMYFUNCTION("""COMPUTED_VALUE"""),"DisableChecksideForAsset")</f>
        <v>DisableChecksideForAsset</v>
      </c>
      <c r="CX4" s="23" t="str">
        <f>IFERROR(__xludf.DUMMYFUNCTION("""COMPUTED_VALUE"""),"DisableChecksideForAccount")</f>
        <v>DisableChecksideForAccount</v>
      </c>
      <c r="CY4" s="23" t="str">
        <f>IFERROR(__xludf.DUMMYFUNCTION("""COMPUTED_VALUE"""),"DisableChecksideForCounterParty")</f>
        <v>DisableChecksideForCounterParty</v>
      </c>
      <c r="CZ4" s="23" t="str">
        <f>IFERROR(__xludf.DUMMYFUNCTION("""COMPUTED_VALUE"""),"DisableCheckside")</f>
        <v>DisableCheckside</v>
      </c>
      <c r="DA4" s="23" t="str">
        <f>IFERROR(__xludf.DUMMYFUNCTION("""COMPUTED_VALUE"""),"ApplyMasterFundFilter")</f>
        <v>ApplyMasterFundFilter</v>
      </c>
      <c r="DB4" s="23" t="str">
        <f>IFERROR(__xludf.DUMMYFUNCTION("""COMPUTED_VALUE"""),"ShowMasterFundOnTT")</f>
        <v>ShowMasterFundOnTT</v>
      </c>
      <c r="DC4" s="23" t="str">
        <f>IFERROR(__xludf.DUMMYFUNCTION("""COMPUTED_VALUE"""),"ShowMasterFundAsClient")</f>
        <v>ShowMasterFundAsClient</v>
      </c>
      <c r="DD4" s="23" t="str">
        <f>IFERROR(__xludf.DUMMYFUNCTION("""COMPUTED_VALUE"""),"SetBrokerAccountMapping")</f>
        <v>SetBrokerAccountMapping</v>
      </c>
      <c r="DE4" s="23" t="str">
        <f>IFERROR(__xludf.DUMMYFUNCTION("""COMPUTED_VALUE"""),"EditUnallocatedGridWPF")</f>
        <v>EditUnallocatedGridWPF</v>
      </c>
      <c r="DF4" s="23" t="str">
        <f>IFERROR(__xludf.DUMMYFUNCTION("""COMPUTED_VALUE"""),"EditAllocatedGridWPF")</f>
        <v>EditAllocatedGridWPF</v>
      </c>
      <c r="DG4" s="23" t="str">
        <f>IFERROR(__xludf.DUMMYFUNCTION("""COMPUTED_VALUE"""),"EditAllocatedGridTaxlot")</f>
        <v>EditAllocatedGridTaxlot</v>
      </c>
      <c r="DH4" s="23" t="str">
        <f>IFERROR(__xludf.DUMMYFUNCTION("""COMPUTED_VALUE"""),"ExpandCollapseAllocatedGrid")</f>
        <v>ExpandCollapseAllocatedGrid</v>
      </c>
      <c r="DI4" s="23" t="str">
        <f>IFERROR(__xludf.DUMMYFUNCTION("""COMPUTED_VALUE"""),"ExpandCollapseUnallocatedGrid")</f>
        <v>ExpandCollapseUnallocatedGrid</v>
      </c>
      <c r="DJ4" s="23" t="str">
        <f>IFERROR(__xludf.DUMMYFUNCTION("""COMPUTED_VALUE"""),"SetTradeAttributePreferences")</f>
        <v>SetTradeAttributePreferences</v>
      </c>
      <c r="DK4" s="23" t="str">
        <f>IFERROR(__xludf.DUMMYFUNCTION("""COMPUTED_VALUE"""),"EnterCustomAllocatePreference")</f>
        <v>EnterCustomAllocatePreference</v>
      </c>
      <c r="DL4" s="23" t="str">
        <f>IFERROR(__xludf.DUMMYFUNCTION("""COMPUTED_VALUE"""),"SetAutoGroupingPreferences")</f>
        <v>SetAutoGroupingPreferences</v>
      </c>
      <c r="DM4" s="23" t="str">
        <f>IFERROR(__xludf.DUMMYFUNCTION("""COMPUTED_VALUE"""),"SetAutoGroupingAccount")</f>
        <v>SetAutoGroupingAccount</v>
      </c>
      <c r="DN4" s="23" t="str">
        <f>IFERROR(__xludf.DUMMYFUNCTION("""COMPUTED_VALUE"""),"SetAvgPriceRounding")</f>
        <v>SetAvgPriceRounding</v>
      </c>
      <c r="DO4" s="23" t="str">
        <f>IFERROR(__xludf.DUMMYFUNCTION("""COMPUTED_VALUE"""),"IsAllocationOpen")</f>
        <v>IsAllocationOpen</v>
      </c>
      <c r="DP4" s="23" t="str">
        <f>IFERROR(__xludf.DUMMYFUNCTION("""COMPUTED_VALUE"""),"AllocationAuditTrail")</f>
        <v>AllocationAuditTrail</v>
      </c>
      <c r="DQ4" s="23" t="str">
        <f>IFERROR(__xludf.DUMMYFUNCTION("""COMPUTED_VALUE"""),"GetAuditTrailData")</f>
        <v>GetAuditTrailData</v>
      </c>
      <c r="DR4" s="23" t="str">
        <f>IFERROR(__xludf.DUMMYFUNCTION("""COMPUTED_VALUE"""),"CheckAuditTrailData")</f>
        <v>CheckAuditTrailData</v>
      </c>
      <c r="DS4" s="23" t="str">
        <f>IFERROR(__xludf.DUMMYFUNCTION("""COMPUTED_VALUE"""),"DeleteGroupWithOutSave")</f>
        <v>DeleteGroupWithOutSave</v>
      </c>
      <c r="DT4" s="23" t="str">
        <f>IFERROR(__xludf.DUMMYFUNCTION("""COMPUTED_VALUE"""),"CheckPreferences")</f>
        <v>CheckPreferences</v>
      </c>
      <c r="DU4" s="23" t="str">
        <f>IFERROR(__xludf.DUMMYFUNCTION("""COMPUTED_VALUE"""),"AllocateWithPopUp")</f>
        <v>AllocateWithPopUp</v>
      </c>
      <c r="DV4" s="23" t="str">
        <f>IFERROR(__xludf.DUMMYFUNCTION("""COMPUTED_VALUE"""),"SelectAllRowsAllocated")</f>
        <v>SelectAllRowsAllocated</v>
      </c>
      <c r="DW4" s="23" t="str">
        <f>IFERROR(__xludf.DUMMYFUNCTION("""COMPUTED_VALUE"""),"ModifyGRPreferenceValues")</f>
        <v>ModifyGRPreferenceValues</v>
      </c>
      <c r="DX4" s="23" t="str">
        <f>IFERROR(__xludf.DUMMYFUNCTION("""COMPUTED_VALUE"""),"VerifyAllocationNavLockPopup")</f>
        <v>VerifyAllocationNavLockPopup</v>
      </c>
      <c r="DY4" s="23" t="str">
        <f>IFERROR(__xludf.DUMMYFUNCTION("""COMPUTED_VALUE"""),"ReviewExistingPositions")</f>
        <v>ReviewExistingPositions</v>
      </c>
      <c r="DZ4" s="23" t="str">
        <f>IFERROR(__xludf.DUMMYFUNCTION("""COMPUTED_VALUE"""),"OperationsonAllocation")</f>
        <v>OperationsonAllocation</v>
      </c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</row>
    <row r="5" ht="15.75" customHeight="1">
      <c r="A5" s="24"/>
      <c r="B5" s="31" t="s">
        <v>115</v>
      </c>
      <c r="C5" s="31" t="s">
        <v>116</v>
      </c>
      <c r="D5" s="31" t="s">
        <v>117</v>
      </c>
      <c r="E5" s="31" t="s">
        <v>118</v>
      </c>
      <c r="F5" s="31" t="s">
        <v>54</v>
      </c>
      <c r="G5" s="31" t="s">
        <v>119</v>
      </c>
      <c r="H5" s="31" t="s">
        <v>120</v>
      </c>
      <c r="I5" s="31" t="s">
        <v>121</v>
      </c>
      <c r="J5" s="31" t="s">
        <v>122</v>
      </c>
      <c r="K5" s="31" t="s">
        <v>123</v>
      </c>
      <c r="L5" s="31" t="s">
        <v>124</v>
      </c>
      <c r="M5" s="31" t="s">
        <v>125</v>
      </c>
      <c r="N5" s="31" t="s">
        <v>126</v>
      </c>
      <c r="O5" s="31" t="s">
        <v>44</v>
      </c>
      <c r="P5" s="31" t="s">
        <v>127</v>
      </c>
      <c r="Q5" s="31" t="s">
        <v>128</v>
      </c>
      <c r="R5" s="31" t="s">
        <v>129</v>
      </c>
      <c r="S5" s="31" t="s">
        <v>130</v>
      </c>
      <c r="T5" s="32" t="s">
        <v>131</v>
      </c>
      <c r="U5" s="32" t="s">
        <v>132</v>
      </c>
      <c r="V5" s="32" t="s">
        <v>133</v>
      </c>
      <c r="W5" s="32" t="s">
        <v>134</v>
      </c>
      <c r="X5" s="32" t="s">
        <v>135</v>
      </c>
      <c r="Y5" s="32" t="s">
        <v>136</v>
      </c>
      <c r="Z5" s="32" t="s">
        <v>137</v>
      </c>
      <c r="AA5" s="32" t="s">
        <v>138</v>
      </c>
      <c r="AB5" s="32" t="s">
        <v>139</v>
      </c>
      <c r="AC5" s="32" t="s">
        <v>140</v>
      </c>
      <c r="AD5" s="32" t="s">
        <v>141</v>
      </c>
      <c r="AE5" s="32" t="s">
        <v>38</v>
      </c>
      <c r="AF5" s="32" t="s">
        <v>142</v>
      </c>
      <c r="AG5" s="32" t="s">
        <v>143</v>
      </c>
      <c r="AH5" s="32" t="s">
        <v>57</v>
      </c>
      <c r="AI5" s="32" t="s">
        <v>58</v>
      </c>
      <c r="AJ5" s="32" t="s">
        <v>144</v>
      </c>
      <c r="AK5" s="32" t="s">
        <v>145</v>
      </c>
      <c r="AL5" s="32" t="s">
        <v>146</v>
      </c>
      <c r="AM5" s="32" t="s">
        <v>60</v>
      </c>
      <c r="AN5" s="32" t="s">
        <v>147</v>
      </c>
      <c r="AO5" s="32" t="s">
        <v>148</v>
      </c>
      <c r="AP5" s="32" t="s">
        <v>149</v>
      </c>
      <c r="AQ5" s="32" t="s">
        <v>150</v>
      </c>
      <c r="AR5" s="32" t="s">
        <v>151</v>
      </c>
      <c r="AS5" s="32" t="s">
        <v>152</v>
      </c>
      <c r="AT5" s="32" t="s">
        <v>153</v>
      </c>
      <c r="AU5" s="32" t="s">
        <v>154</v>
      </c>
      <c r="AV5" s="32" t="s">
        <v>155</v>
      </c>
      <c r="AW5" s="32" t="s">
        <v>156</v>
      </c>
      <c r="AX5" s="32" t="s">
        <v>157</v>
      </c>
      <c r="AY5" s="32" t="s">
        <v>46</v>
      </c>
      <c r="AZ5" s="32" t="s">
        <v>158</v>
      </c>
      <c r="BA5" s="32" t="s">
        <v>159</v>
      </c>
      <c r="BB5" s="32" t="s">
        <v>160</v>
      </c>
      <c r="BC5" s="32" t="s">
        <v>161</v>
      </c>
      <c r="BD5" s="32" t="s">
        <v>162</v>
      </c>
      <c r="BE5" s="32" t="s">
        <v>163</v>
      </c>
      <c r="BF5" s="32" t="s">
        <v>164</v>
      </c>
      <c r="BG5" s="32" t="s">
        <v>64</v>
      </c>
      <c r="BH5" s="32" t="s">
        <v>165</v>
      </c>
      <c r="BI5" s="32" t="s">
        <v>166</v>
      </c>
      <c r="BJ5" s="32" t="s">
        <v>37</v>
      </c>
      <c r="BK5" s="32" t="s">
        <v>167</v>
      </c>
      <c r="BL5" s="32" t="s">
        <v>168</v>
      </c>
      <c r="BM5" s="32" t="s">
        <v>66</v>
      </c>
      <c r="BN5" s="32" t="s">
        <v>169</v>
      </c>
      <c r="BO5" s="32" t="s">
        <v>36</v>
      </c>
      <c r="BP5" s="32" t="s">
        <v>170</v>
      </c>
      <c r="BQ5" s="32" t="s">
        <v>171</v>
      </c>
      <c r="BR5" s="32" t="s">
        <v>172</v>
      </c>
      <c r="BS5" s="32" t="s">
        <v>173</v>
      </c>
      <c r="BT5" s="32" t="s">
        <v>35</v>
      </c>
      <c r="BU5" s="32" t="s">
        <v>174</v>
      </c>
      <c r="BV5" s="32" t="s">
        <v>175</v>
      </c>
      <c r="BW5" s="32" t="s">
        <v>176</v>
      </c>
      <c r="BX5" s="32" t="s">
        <v>177</v>
      </c>
      <c r="BY5" s="32" t="s">
        <v>71</v>
      </c>
      <c r="BZ5" s="32" t="s">
        <v>72</v>
      </c>
      <c r="CA5" s="32" t="s">
        <v>73</v>
      </c>
      <c r="CB5" s="32" t="s">
        <v>74</v>
      </c>
      <c r="CC5" s="32" t="s">
        <v>75</v>
      </c>
      <c r="CD5" s="32" t="s">
        <v>76</v>
      </c>
      <c r="CE5" s="32" t="s">
        <v>178</v>
      </c>
      <c r="CF5" s="32" t="s">
        <v>179</v>
      </c>
      <c r="CG5" s="32" t="s">
        <v>180</v>
      </c>
      <c r="CH5" s="32" t="s">
        <v>181</v>
      </c>
      <c r="CI5" s="32" t="s">
        <v>182</v>
      </c>
      <c r="CJ5" s="32" t="s">
        <v>183</v>
      </c>
      <c r="CK5" s="32" t="s">
        <v>184</v>
      </c>
      <c r="CL5" s="32" t="s">
        <v>185</v>
      </c>
      <c r="CM5" s="32" t="s">
        <v>80</v>
      </c>
      <c r="CN5" s="32" t="s">
        <v>186</v>
      </c>
      <c r="CO5" s="32" t="s">
        <v>81</v>
      </c>
      <c r="CP5" s="32" t="s">
        <v>187</v>
      </c>
      <c r="CQ5" s="32" t="s">
        <v>188</v>
      </c>
      <c r="CR5" s="32" t="s">
        <v>189</v>
      </c>
      <c r="CS5" s="32" t="s">
        <v>83</v>
      </c>
      <c r="CT5" s="32" t="s">
        <v>190</v>
      </c>
      <c r="CU5" s="32" t="s">
        <v>191</v>
      </c>
      <c r="CV5" s="32" t="s">
        <v>192</v>
      </c>
      <c r="CW5" s="32" t="s">
        <v>193</v>
      </c>
      <c r="CX5" s="32" t="s">
        <v>86</v>
      </c>
      <c r="CY5" s="32" t="s">
        <v>90</v>
      </c>
      <c r="CZ5" s="32" t="s">
        <v>91</v>
      </c>
      <c r="DA5" s="32" t="s">
        <v>92</v>
      </c>
      <c r="DB5" s="32" t="s">
        <v>93</v>
      </c>
      <c r="DC5" s="32" t="s">
        <v>94</v>
      </c>
      <c r="DD5" s="32" t="s">
        <v>95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</row>
    <row r="6" ht="15.75" customHeight="1">
      <c r="A6" s="6"/>
      <c r="B6" s="27" t="s">
        <v>22</v>
      </c>
      <c r="C6" s="6"/>
      <c r="D6" s="27"/>
      <c r="E6" s="27">
        <v>210.0</v>
      </c>
      <c r="F6" s="27" t="s">
        <v>194</v>
      </c>
      <c r="G6" s="27" t="s">
        <v>101</v>
      </c>
      <c r="H6" s="27">
        <v>4.0</v>
      </c>
      <c r="I6" s="27">
        <v>5.0</v>
      </c>
      <c r="J6" s="27">
        <v>1.0</v>
      </c>
      <c r="K6" s="27">
        <v>10.0</v>
      </c>
      <c r="L6" s="27">
        <v>10.0</v>
      </c>
      <c r="M6" s="27" t="s">
        <v>100</v>
      </c>
      <c r="N6" s="27" t="s">
        <v>195</v>
      </c>
      <c r="O6" s="14" t="s">
        <v>97</v>
      </c>
      <c r="Q6" s="14">
        <v>3.0</v>
      </c>
      <c r="R6" s="33">
        <v>0.0</v>
      </c>
      <c r="S6" s="29" t="s">
        <v>196</v>
      </c>
      <c r="T6" s="14">
        <v>0.0</v>
      </c>
      <c r="U6" s="14">
        <v>0.0</v>
      </c>
      <c r="V6" s="14" t="s">
        <v>197</v>
      </c>
      <c r="W6" s="14">
        <v>1.0</v>
      </c>
      <c r="Z6" s="14" t="s">
        <v>198</v>
      </c>
      <c r="AB6" s="14">
        <v>1.0</v>
      </c>
      <c r="AD6" s="14" t="s">
        <v>102</v>
      </c>
      <c r="AE6" s="14">
        <v>210.0</v>
      </c>
      <c r="AG6" s="8"/>
      <c r="AH6" s="29" t="s">
        <v>199</v>
      </c>
      <c r="AI6" s="33">
        <v>1.0</v>
      </c>
      <c r="AJ6" s="14" t="s">
        <v>200</v>
      </c>
      <c r="AN6" s="14" t="b">
        <v>0</v>
      </c>
      <c r="AR6" s="14" t="b">
        <v>1</v>
      </c>
      <c r="AT6" s="34">
        <v>2114.0012</v>
      </c>
      <c r="AU6" s="34">
        <v>2114.0012</v>
      </c>
      <c r="AV6" s="35"/>
      <c r="AW6" s="35"/>
      <c r="AY6" s="14" t="s">
        <v>98</v>
      </c>
      <c r="BC6" s="8"/>
      <c r="BE6" s="36">
        <v>2100.0</v>
      </c>
      <c r="BF6" s="36">
        <v>2100.0</v>
      </c>
      <c r="BJ6" s="14">
        <v>210.0</v>
      </c>
      <c r="BM6" s="14" t="s">
        <v>198</v>
      </c>
      <c r="BO6" s="14" t="s">
        <v>23</v>
      </c>
      <c r="BP6" s="8"/>
      <c r="BS6" s="14" t="s">
        <v>201</v>
      </c>
      <c r="BT6" s="14" t="s">
        <v>20</v>
      </c>
      <c r="BV6" s="8"/>
      <c r="BX6" s="8"/>
      <c r="BY6" s="14" t="s">
        <v>107</v>
      </c>
      <c r="BZ6" s="14" t="s">
        <v>108</v>
      </c>
      <c r="CA6" s="14" t="s">
        <v>109</v>
      </c>
      <c r="CB6" s="14" t="s">
        <v>110</v>
      </c>
      <c r="CC6" s="14" t="s">
        <v>111</v>
      </c>
      <c r="CD6" s="14" t="s">
        <v>112</v>
      </c>
      <c r="CE6" s="8"/>
      <c r="CF6" s="14" t="s">
        <v>202</v>
      </c>
      <c r="CG6" s="14">
        <v>2.0</v>
      </c>
      <c r="CH6" s="8"/>
      <c r="CI6" s="14" t="s">
        <v>23</v>
      </c>
      <c r="CJ6" s="14">
        <v>0.0</v>
      </c>
      <c r="CK6" s="14" t="s">
        <v>203</v>
      </c>
      <c r="CL6" s="8"/>
      <c r="CM6" s="8"/>
      <c r="CN6" s="8"/>
      <c r="CO6" s="14" t="s">
        <v>102</v>
      </c>
      <c r="CP6" s="14" t="s">
        <v>204</v>
      </c>
      <c r="CX6" s="14" t="s">
        <v>103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5.75" customHeight="1">
      <c r="A11" s="27"/>
      <c r="B11" s="27"/>
      <c r="C11" s="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AU11" s="37"/>
      <c r="AW11" s="37"/>
      <c r="BW11" s="36"/>
      <c r="BY11" s="36"/>
      <c r="CA11" s="38"/>
      <c r="CK11" s="38"/>
      <c r="CS11" s="36"/>
      <c r="CT11" s="36"/>
      <c r="CU11" s="38"/>
      <c r="DB11" s="38"/>
      <c r="DS11" s="38"/>
      <c r="EE11" s="37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36</v>
      </c>
      <c r="C5" s="14" t="s">
        <v>35</v>
      </c>
      <c r="D5" s="14" t="s">
        <v>46</v>
      </c>
      <c r="E5" s="14" t="s">
        <v>205</v>
      </c>
      <c r="F5" s="14" t="s">
        <v>206</v>
      </c>
      <c r="G5" s="14" t="s">
        <v>37</v>
      </c>
    </row>
    <row r="6">
      <c r="B6" s="14" t="s">
        <v>23</v>
      </c>
      <c r="C6" s="14" t="s">
        <v>20</v>
      </c>
      <c r="G6" s="14">
        <v>100.0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36</v>
      </c>
      <c r="C5" s="14" t="s">
        <v>35</v>
      </c>
      <c r="D5" s="14" t="s">
        <v>46</v>
      </c>
      <c r="E5" s="14" t="s">
        <v>205</v>
      </c>
      <c r="F5" s="14" t="s">
        <v>206</v>
      </c>
      <c r="G5" s="14" t="s">
        <v>37</v>
      </c>
    </row>
    <row r="6">
      <c r="B6" s="14" t="s">
        <v>23</v>
      </c>
      <c r="C6" s="14" t="s">
        <v>20</v>
      </c>
      <c r="G6" s="14">
        <v>100.0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205</v>
      </c>
      <c r="C5" s="14" t="s">
        <v>207</v>
      </c>
      <c r="D5" s="14" t="s">
        <v>208</v>
      </c>
    </row>
    <row r="6">
      <c r="B6" s="14">
        <v>10.0</v>
      </c>
      <c r="C6" s="14">
        <v>100.0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36</v>
      </c>
      <c r="C5" s="14" t="s">
        <v>35</v>
      </c>
      <c r="D5" s="14" t="s">
        <v>46</v>
      </c>
      <c r="E5" s="14" t="s">
        <v>205</v>
      </c>
      <c r="F5" s="14" t="s">
        <v>206</v>
      </c>
      <c r="G5" s="14" t="s">
        <v>37</v>
      </c>
    </row>
    <row r="6">
      <c r="B6" s="14" t="s">
        <v>23</v>
      </c>
      <c r="C6" s="14" t="s">
        <v>20</v>
      </c>
      <c r="G6" s="14">
        <v>110.0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36</v>
      </c>
      <c r="C5" s="14" t="s">
        <v>35</v>
      </c>
      <c r="D5" s="14" t="s">
        <v>46</v>
      </c>
      <c r="E5" s="14" t="s">
        <v>205</v>
      </c>
      <c r="F5" s="14" t="s">
        <v>206</v>
      </c>
      <c r="G5" s="14" t="s">
        <v>37</v>
      </c>
    </row>
    <row r="6">
      <c r="B6" s="14" t="s">
        <v>23</v>
      </c>
      <c r="C6" s="14" t="s">
        <v>20</v>
      </c>
      <c r="G6" s="14">
        <v>110.0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4" t="s">
        <v>205</v>
      </c>
      <c r="C5" s="14" t="s">
        <v>207</v>
      </c>
      <c r="D5" s="14" t="s">
        <v>208</v>
      </c>
    </row>
    <row r="6">
      <c r="B6" s="14">
        <v>10.0</v>
      </c>
      <c r="C6" s="14">
        <v>110.0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7" width="12.63"/>
    <col customWidth="1" min="98" max="98" width="15.5"/>
    <col customWidth="1" min="99" max="99" width="15.13"/>
    <col customWidth="1" min="100" max="100" width="15.25"/>
    <col customWidth="1" min="101" max="101" width="15.5"/>
    <col customWidth="1" min="102" max="154" width="12.63"/>
    <col customWidth="1" min="155" max="155" width="14.13"/>
    <col customWidth="1" min="156" max="156" width="17.13"/>
    <col customWidth="1" min="157" max="189" width="12.63"/>
  </cols>
  <sheetData>
    <row r="1" ht="15.75" customHeight="1">
      <c r="A1" s="17"/>
      <c r="B1" s="1" t="s">
        <v>15</v>
      </c>
      <c r="C1" s="2"/>
      <c r="D1" s="2"/>
      <c r="E1" s="2"/>
      <c r="F1" s="2"/>
      <c r="G1" s="2"/>
      <c r="H1" s="2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4" t="s">
        <v>8</v>
      </c>
      <c r="C3" s="11" t="s">
        <v>209</v>
      </c>
      <c r="D3" s="4" t="s">
        <v>9</v>
      </c>
      <c r="E3" s="11" t="s">
        <v>210</v>
      </c>
      <c r="F3" s="4" t="s">
        <v>18</v>
      </c>
      <c r="G3" s="11" t="s">
        <v>19</v>
      </c>
      <c r="H3" s="4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</row>
    <row r="4" ht="15.75" customHeight="1">
      <c r="A4" s="22"/>
      <c r="B4" s="22" t="str">
        <f>IFERROR(__xludf.DUMMYFUNCTION("IF(C3="""","""",Transpose(IMPORTRANGE('_Settings'!$B$3,C3&amp;""!A4:A1000"")))"),"CheckDashboardPM")</f>
        <v>CheckDashboardPM</v>
      </c>
      <c r="C4" s="22" t="str">
        <f>IFERROR(__xludf.DUMMYFUNCTION("""COMPUTED_VALUE"""),"CheckPortfolioManagement")</f>
        <v>CheckPortfolioManagement</v>
      </c>
      <c r="D4" s="22" t="str">
        <f>IFERROR(__xludf.DUMMYFUNCTION("""COMPUTED_VALUE"""),"CheckPMLiveFeed")</f>
        <v>CheckPMLiveFeed</v>
      </c>
      <c r="E4" s="22" t="str">
        <f>IFERROR(__xludf.DUMMYFUNCTION("""COMPUTED_VALUE"""),"OpenPSTFromPM")</f>
        <v>OpenPSTFromPM</v>
      </c>
      <c r="F4" s="22" t="str">
        <f>IFERROR(__xludf.DUMMYFUNCTION("""COMPUTED_VALUE"""),"ClosePM")</f>
        <v>ClosePM</v>
      </c>
      <c r="G4" s="22" t="str">
        <f>IFERROR(__xludf.DUMMYFUNCTION("""COMPUTED_VALUE"""),"FilterPM")</f>
        <v>FilterPM</v>
      </c>
      <c r="H4" s="22" t="str">
        <f>IFERROR(__xludf.DUMMYFUNCTION("""COMPUTED_VALUE"""),"GroupRowPM")</f>
        <v>GroupRowPM</v>
      </c>
      <c r="I4" s="22" t="str">
        <f>IFERROR(__xludf.DUMMYFUNCTION("""COMPUTED_VALUE"""),"CheckDashboardWithPM")</f>
        <v>CheckDashboardWithPM</v>
      </c>
      <c r="J4" s="22" t="str">
        <f>IFERROR(__xludf.DUMMYFUNCTION("""COMPUTED_VALUE"""),"RemoveFilterPM")</f>
        <v>RemoveFilterPM</v>
      </c>
      <c r="K4" s="22" t="str">
        <f>IFERROR(__xludf.DUMMYFUNCTION("""COMPUTED_VALUE"""),"CheckSummaryRowsPM")</f>
        <v>CheckSummaryRowsPM</v>
      </c>
      <c r="L4" s="22" t="str">
        <f>IFERROR(__xludf.DUMMYFUNCTION("""COMPUTED_VALUE"""),"OpenPTTFromPM")</f>
        <v>OpenPTTFromPM</v>
      </c>
      <c r="M4" s="22" t="str">
        <f>IFERROR(__xludf.DUMMYFUNCTION("""COMPUTED_VALUE"""),"OpenClosingFromPM")</f>
        <v>OpenClosingFromPM</v>
      </c>
      <c r="N4" s="22" t="str">
        <f>IFERROR(__xludf.DUMMYFUNCTION("""COMPUTED_VALUE"""),"OpenCorporateActionFromPM")</f>
        <v>OpenCorporateActionFromPM</v>
      </c>
      <c r="O4" s="22" t="str">
        <f>IFERROR(__xludf.DUMMYFUNCTION("""COMPUTED_VALUE"""),"OpenDailyValuationFromPM")</f>
        <v>OpenDailyValuationFromPM</v>
      </c>
      <c r="P4" s="23" t="str">
        <f>IFERROR(__xludf.DUMMYFUNCTION("""COMPUTED_VALUE"""),"ClosePositionFromPM")</f>
        <v>ClosePositionFromPM</v>
      </c>
      <c r="Q4" s="23" t="str">
        <f>IFERROR(__xludf.DUMMYFUNCTION("""COMPUTED_VALUE"""),"ShowSummaryToolFromPM")</f>
        <v>ShowSummaryToolFromPM</v>
      </c>
      <c r="R4" s="23" t="str">
        <f>IFERROR(__xludf.DUMMYFUNCTION("""COMPUTED_VALUE"""),"HideSummaryToolFromPM")</f>
        <v>HideSummaryToolFromPM</v>
      </c>
      <c r="S4" s="23" t="str">
        <f>IFERROR(__xludf.DUMMYFUNCTION("""COMPUTED_VALUE"""),"CloseAccountPositionFromPM")</f>
        <v>CloseAccountPositionFromPM</v>
      </c>
      <c r="T4" s="23" t="str">
        <f>IFERROR(__xludf.DUMMYFUNCTION("""COMPUTED_VALUE"""),"CloseSelectedTaxlotsFromPM")</f>
        <v>CloseSelectedTaxlotsFromPM</v>
      </c>
      <c r="U4" s="23" t="str">
        <f>IFERROR(__xludf.DUMMYFUNCTION("""COMPUTED_VALUE"""),"ExpandCollapsePM")</f>
        <v>ExpandCollapsePM</v>
      </c>
      <c r="V4" s="23" t="str">
        <f>IFERROR(__xludf.DUMMYFUNCTION("""COMPUTED_VALUE"""),"AddCustomViewPM")</f>
        <v>AddCustomViewPM</v>
      </c>
      <c r="W4" s="23" t="str">
        <f>IFERROR(__xludf.DUMMYFUNCTION("""COMPUTED_VALUE"""),"AddCustomViewRightClickPM")</f>
        <v>AddCustomViewRightClickPM</v>
      </c>
      <c r="X4" s="23" t="str">
        <f>IFERROR(__xludf.DUMMYFUNCTION("""COMPUTED_VALUE"""),"RenameCustomViewPM")</f>
        <v>RenameCustomViewPM</v>
      </c>
      <c r="Y4" s="23" t="str">
        <f>IFERROR(__xludf.DUMMYFUNCTION("""COMPUTED_VALUE"""),"DeleteCustomViewPM")</f>
        <v>DeleteCustomViewPM</v>
      </c>
      <c r="Z4" s="23" t="str">
        <f>IFERROR(__xludf.DUMMYFUNCTION("""COMPUTED_VALUE"""),"OpenCreateTransactionFromPM")</f>
        <v>OpenCreateTransactionFromPM</v>
      </c>
      <c r="AA4" s="23" t="str">
        <f>IFERROR(__xludf.DUMMYFUNCTION("""COMPUTED_VALUE"""),"RemoveGroupingFromPM")</f>
        <v>RemoveGroupingFromPM</v>
      </c>
      <c r="AB4" s="23" t="str">
        <f>IFERROR(__xludf.DUMMYFUNCTION("""COMPUTED_VALUE"""),"IncreasePositionFromPM")</f>
        <v>IncreasePositionFromPM</v>
      </c>
      <c r="AC4" s="23" t="str">
        <f>IFERROR(__xludf.DUMMYFUNCTION("""COMPUTED_VALUE"""),"SortAndVerifyPM")</f>
        <v>SortAndVerifyPM</v>
      </c>
      <c r="AD4" s="23" t="str">
        <f>IFERROR(__xludf.DUMMYFUNCTION("""COMPUTED_VALUE"""),"OpenPIFromPM")</f>
        <v>OpenPIFromPM</v>
      </c>
      <c r="AE4" s="23" t="str">
        <f>IFERROR(__xludf.DUMMYFUNCTION("""COMPUTED_VALUE"""),"ViewSettings")</f>
        <v>ViewSettings</v>
      </c>
      <c r="AF4" s="23" t="str">
        <f>IFERROR(__xludf.DUMMYFUNCTION("""COMPUTED_VALUE"""),"SaveLayoutPM")</f>
        <v>SaveLayoutPM</v>
      </c>
      <c r="AG4" s="23" t="str">
        <f>IFERROR(__xludf.DUMMYFUNCTION("""COMPUTED_VALUE"""),"SaveLayoutPM")</f>
        <v>SaveLayoutPM</v>
      </c>
      <c r="AH4" s="23" t="str">
        <f>IFERROR(__xludf.DUMMYFUNCTION("""COMPUTED_VALUE"""),"CustomView")</f>
        <v>CustomView</v>
      </c>
      <c r="AI4" s="23" t="str">
        <f>IFERROR(__xludf.DUMMYFUNCTION("""COMPUTED_VALUE"""),"OpenCustomView")</f>
        <v>OpenCustomView</v>
      </c>
      <c r="AJ4" s="23" t="str">
        <f>IFERROR(__xludf.DUMMYFUNCTION("""COMPUTED_VALUE"""),"CheckSummaryRowsPM")</f>
        <v>CheckSummaryRowsPM</v>
      </c>
      <c r="AK4" s="23" t="str">
        <f>IFERROR(__xludf.DUMMYFUNCTION("""COMPUTED_VALUE"""),"CheckCustomViewRowSummary")</f>
        <v>CheckCustomViewRowSummary</v>
      </c>
      <c r="AL4" s="23" t="str">
        <f>IFERROR(__xludf.DUMMYFUNCTION("""COMPUTED_VALUE"""),"GroupRowCustomView")</f>
        <v>GroupRowCustomView</v>
      </c>
      <c r="AM4" s="23" t="str">
        <f>IFERROR(__xludf.DUMMYFUNCTION("""COMPUTED_VALUE"""),"CheckCustomViewRowSummary")</f>
        <v>CheckCustomViewRowSummary</v>
      </c>
      <c r="AN4" s="23" t="str">
        <f>IFERROR(__xludf.DUMMYFUNCTION("""COMPUTED_VALUE"""),"OpenTaxlotDetails")</f>
        <v>OpenTaxlotDetails</v>
      </c>
      <c r="AO4" s="23" t="str">
        <f>IFERROR(__xludf.DUMMYFUNCTION("""COMPUTED_VALUE"""),"CheckTaxlotDetails")</f>
        <v>CheckTaxlotDetails</v>
      </c>
      <c r="AP4" s="23" t="str">
        <f>IFERROR(__xludf.DUMMYFUNCTION("""COMPUTED_VALUE"""),"SelectTradeOnPM")</f>
        <v>SelectTradeOnPM</v>
      </c>
      <c r="AQ4" s="23" t="str">
        <f>IFERROR(__xludf.DUMMYFUNCTION("""COMPUTED_VALUE"""),"OperationsonPM")</f>
        <v>OperationsonPM</v>
      </c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</row>
    <row r="5" ht="15.75" customHeight="1">
      <c r="A5" s="24"/>
      <c r="B5" s="25" t="s">
        <v>178</v>
      </c>
      <c r="C5" s="25" t="s">
        <v>35</v>
      </c>
      <c r="D5" s="25" t="s">
        <v>211</v>
      </c>
      <c r="E5" s="25" t="s">
        <v>45</v>
      </c>
      <c r="F5" s="25" t="s">
        <v>212</v>
      </c>
      <c r="G5" s="25" t="s">
        <v>213</v>
      </c>
      <c r="H5" s="25" t="s">
        <v>214</v>
      </c>
      <c r="I5" s="25" t="s">
        <v>215</v>
      </c>
      <c r="J5" s="25" t="s">
        <v>216</v>
      </c>
      <c r="K5" s="25" t="s">
        <v>217</v>
      </c>
      <c r="L5" s="25" t="s">
        <v>218</v>
      </c>
      <c r="M5" s="25" t="s">
        <v>219</v>
      </c>
      <c r="N5" s="25" t="s">
        <v>220</v>
      </c>
      <c r="O5" s="25" t="s">
        <v>221</v>
      </c>
      <c r="P5" s="25" t="s">
        <v>222</v>
      </c>
      <c r="Q5" s="25" t="s">
        <v>223</v>
      </c>
      <c r="R5" s="25" t="s">
        <v>224</v>
      </c>
      <c r="S5" s="25" t="s">
        <v>69</v>
      </c>
      <c r="T5" s="26" t="s">
        <v>56</v>
      </c>
      <c r="U5" s="26" t="s">
        <v>184</v>
      </c>
      <c r="V5" s="26" t="s">
        <v>141</v>
      </c>
      <c r="W5" s="26" t="s">
        <v>225</v>
      </c>
      <c r="X5" s="26" t="s">
        <v>226</v>
      </c>
      <c r="Y5" s="26" t="s">
        <v>58</v>
      </c>
      <c r="Z5" s="26" t="s">
        <v>227</v>
      </c>
      <c r="AA5" s="26" t="s">
        <v>228</v>
      </c>
      <c r="AB5" s="26" t="s">
        <v>229</v>
      </c>
      <c r="AC5" s="26" t="s">
        <v>230</v>
      </c>
      <c r="AD5" s="26" t="s">
        <v>231</v>
      </c>
      <c r="AE5" s="26" t="s">
        <v>232</v>
      </c>
      <c r="AF5" s="26" t="s">
        <v>233</v>
      </c>
      <c r="AG5" s="26" t="s">
        <v>234</v>
      </c>
      <c r="AH5" s="26" t="s">
        <v>235</v>
      </c>
      <c r="AI5" s="26" t="s">
        <v>236</v>
      </c>
      <c r="AJ5" s="26" t="s">
        <v>237</v>
      </c>
      <c r="AK5" s="26" t="s">
        <v>238</v>
      </c>
      <c r="AL5" s="26" t="s">
        <v>139</v>
      </c>
      <c r="AM5" s="26" t="s">
        <v>239</v>
      </c>
      <c r="AN5" s="26" t="s">
        <v>240</v>
      </c>
      <c r="AO5" s="26" t="s">
        <v>241</v>
      </c>
      <c r="AP5" s="26" t="s">
        <v>242</v>
      </c>
      <c r="AQ5" s="26" t="s">
        <v>80</v>
      </c>
      <c r="AR5" s="26" t="s">
        <v>243</v>
      </c>
      <c r="AS5" s="26" t="s">
        <v>244</v>
      </c>
      <c r="AT5" s="26" t="s">
        <v>140</v>
      </c>
      <c r="AU5" s="26" t="s">
        <v>60</v>
      </c>
      <c r="AV5" s="26" t="s">
        <v>245</v>
      </c>
      <c r="AW5" s="26" t="s">
        <v>246</v>
      </c>
      <c r="AX5" s="26" t="s">
        <v>247</v>
      </c>
      <c r="AY5" s="26" t="s">
        <v>248</v>
      </c>
      <c r="AZ5" s="26" t="s">
        <v>249</v>
      </c>
      <c r="BA5" s="26" t="s">
        <v>250</v>
      </c>
      <c r="BB5" s="26" t="s">
        <v>251</v>
      </c>
      <c r="BC5" s="26" t="s">
        <v>252</v>
      </c>
      <c r="BD5" s="26" t="s">
        <v>253</v>
      </c>
      <c r="BE5" s="26" t="s">
        <v>254</v>
      </c>
      <c r="BF5" s="26" t="s">
        <v>255</v>
      </c>
      <c r="BG5" s="26" t="s">
        <v>256</v>
      </c>
      <c r="BH5" s="26" t="s">
        <v>257</v>
      </c>
      <c r="BI5" s="26" t="s">
        <v>258</v>
      </c>
      <c r="BJ5" s="26" t="s">
        <v>259</v>
      </c>
      <c r="BK5" s="26" t="s">
        <v>260</v>
      </c>
      <c r="BL5" s="26" t="s">
        <v>261</v>
      </c>
      <c r="BM5" s="26" t="s">
        <v>262</v>
      </c>
      <c r="BN5" s="26" t="s">
        <v>263</v>
      </c>
      <c r="BO5" s="26" t="s">
        <v>264</v>
      </c>
      <c r="BP5" s="26" t="s">
        <v>265</v>
      </c>
      <c r="BQ5" s="26" t="s">
        <v>186</v>
      </c>
      <c r="BR5" s="26" t="s">
        <v>44</v>
      </c>
      <c r="BS5" s="26" t="s">
        <v>266</v>
      </c>
      <c r="BT5" s="26" t="s">
        <v>267</v>
      </c>
      <c r="BU5" s="26" t="s">
        <v>65</v>
      </c>
      <c r="BV5" s="26" t="s">
        <v>143</v>
      </c>
      <c r="BW5" s="26" t="s">
        <v>70</v>
      </c>
      <c r="BX5" s="26" t="s">
        <v>268</v>
      </c>
      <c r="BY5" s="26" t="s">
        <v>269</v>
      </c>
      <c r="BZ5" s="26" t="s">
        <v>270</v>
      </c>
      <c r="CA5" s="26" t="s">
        <v>271</v>
      </c>
      <c r="CB5" s="26" t="s">
        <v>169</v>
      </c>
      <c r="CC5" s="26" t="s">
        <v>272</v>
      </c>
      <c r="CD5" s="26" t="s">
        <v>273</v>
      </c>
      <c r="CE5" s="26" t="s">
        <v>274</v>
      </c>
      <c r="CF5" s="26" t="s">
        <v>275</v>
      </c>
      <c r="CG5" s="26" t="s">
        <v>276</v>
      </c>
      <c r="CH5" s="26" t="s">
        <v>277</v>
      </c>
      <c r="CI5" s="26" t="s">
        <v>278</v>
      </c>
      <c r="CJ5" s="26" t="s">
        <v>279</v>
      </c>
      <c r="CK5" s="26" t="s">
        <v>280</v>
      </c>
      <c r="CL5" s="26" t="s">
        <v>281</v>
      </c>
      <c r="CM5" s="26" t="s">
        <v>282</v>
      </c>
      <c r="CN5" s="26" t="s">
        <v>283</v>
      </c>
      <c r="CO5" s="26" t="s">
        <v>284</v>
      </c>
      <c r="CP5" s="26" t="s">
        <v>125</v>
      </c>
      <c r="CQ5" s="26" t="s">
        <v>148</v>
      </c>
      <c r="CR5" s="26" t="s">
        <v>285</v>
      </c>
      <c r="CS5" s="26" t="s">
        <v>286</v>
      </c>
      <c r="CT5" s="26" t="s">
        <v>73</v>
      </c>
      <c r="CU5" s="26" t="s">
        <v>74</v>
      </c>
      <c r="CV5" s="26" t="s">
        <v>75</v>
      </c>
      <c r="CW5" s="26" t="s">
        <v>76</v>
      </c>
      <c r="CX5" s="26" t="s">
        <v>165</v>
      </c>
      <c r="CY5" s="26" t="s">
        <v>287</v>
      </c>
      <c r="CZ5" s="26" t="s">
        <v>288</v>
      </c>
      <c r="DA5" s="26" t="s">
        <v>289</v>
      </c>
      <c r="DB5" s="26" t="s">
        <v>290</v>
      </c>
      <c r="DC5" s="26" t="s">
        <v>291</v>
      </c>
      <c r="DD5" s="26" t="s">
        <v>292</v>
      </c>
      <c r="DE5" s="26" t="s">
        <v>293</v>
      </c>
      <c r="DF5" s="26" t="s">
        <v>294</v>
      </c>
      <c r="DG5" s="26" t="s">
        <v>295</v>
      </c>
      <c r="DH5" s="26" t="s">
        <v>296</v>
      </c>
      <c r="DI5" s="26" t="s">
        <v>297</v>
      </c>
      <c r="DJ5" s="26" t="s">
        <v>182</v>
      </c>
      <c r="DK5" s="26" t="s">
        <v>298</v>
      </c>
      <c r="DL5" s="26" t="s">
        <v>299</v>
      </c>
      <c r="DM5" s="26" t="s">
        <v>300</v>
      </c>
      <c r="DN5" s="26" t="s">
        <v>301</v>
      </c>
      <c r="DO5" s="26" t="s">
        <v>302</v>
      </c>
      <c r="DP5" s="26" t="s">
        <v>303</v>
      </c>
      <c r="DQ5" s="26" t="s">
        <v>304</v>
      </c>
      <c r="DR5" s="26" t="s">
        <v>305</v>
      </c>
      <c r="DS5" s="26" t="s">
        <v>306</v>
      </c>
      <c r="DT5" s="26" t="s">
        <v>307</v>
      </c>
      <c r="DU5" s="26" t="s">
        <v>308</v>
      </c>
      <c r="DV5" s="26" t="s">
        <v>309</v>
      </c>
      <c r="DW5" s="26" t="s">
        <v>310</v>
      </c>
      <c r="DX5" s="26" t="s">
        <v>311</v>
      </c>
      <c r="DY5" s="26" t="s">
        <v>312</v>
      </c>
      <c r="DZ5" s="26" t="s">
        <v>313</v>
      </c>
      <c r="EA5" s="26" t="s">
        <v>314</v>
      </c>
      <c r="EB5" s="26" t="s">
        <v>315</v>
      </c>
      <c r="EC5" s="26" t="s">
        <v>316</v>
      </c>
      <c r="ED5" s="26" t="s">
        <v>317</v>
      </c>
      <c r="EE5" s="26" t="s">
        <v>318</v>
      </c>
      <c r="EF5" s="26" t="s">
        <v>319</v>
      </c>
      <c r="EG5" s="26" t="s">
        <v>320</v>
      </c>
      <c r="EH5" s="26" t="s">
        <v>321</v>
      </c>
      <c r="EI5" s="26" t="s">
        <v>322</v>
      </c>
      <c r="EJ5" s="26" t="s">
        <v>323</v>
      </c>
      <c r="EK5" s="26" t="s">
        <v>324</v>
      </c>
      <c r="EL5" s="26" t="s">
        <v>325</v>
      </c>
      <c r="EM5" s="26" t="s">
        <v>326</v>
      </c>
      <c r="EN5" s="26" t="s">
        <v>327</v>
      </c>
      <c r="EO5" s="26" t="s">
        <v>328</v>
      </c>
      <c r="EP5" s="26" t="s">
        <v>329</v>
      </c>
      <c r="EQ5" s="26" t="s">
        <v>330</v>
      </c>
      <c r="ER5" s="26" t="s">
        <v>331</v>
      </c>
      <c r="ES5" s="26" t="s">
        <v>332</v>
      </c>
      <c r="ET5" s="26" t="s">
        <v>333</v>
      </c>
      <c r="EU5" s="26" t="s">
        <v>334</v>
      </c>
      <c r="EV5" s="26" t="s">
        <v>335</v>
      </c>
      <c r="EW5" s="26" t="s">
        <v>336</v>
      </c>
      <c r="EX5" s="26" t="s">
        <v>337</v>
      </c>
      <c r="EY5" s="26" t="s">
        <v>71</v>
      </c>
      <c r="EZ5" s="26" t="s">
        <v>72</v>
      </c>
      <c r="FA5" s="26" t="s">
        <v>83</v>
      </c>
      <c r="FB5" s="26" t="s">
        <v>338</v>
      </c>
      <c r="FC5" s="26" t="s">
        <v>339</v>
      </c>
      <c r="FD5" s="26" t="s">
        <v>340</v>
      </c>
      <c r="FE5" s="26" t="s">
        <v>341</v>
      </c>
      <c r="FF5" s="26" t="s">
        <v>342</v>
      </c>
      <c r="FG5" s="26" t="s">
        <v>343</v>
      </c>
      <c r="FH5" s="26" t="s">
        <v>344</v>
      </c>
      <c r="FI5" s="26" t="s">
        <v>89</v>
      </c>
      <c r="FJ5" s="26" t="s">
        <v>191</v>
      </c>
      <c r="FK5" s="26" t="s">
        <v>345</v>
      </c>
      <c r="FL5" s="26" t="s">
        <v>90</v>
      </c>
      <c r="FM5" s="26" t="s">
        <v>346</v>
      </c>
      <c r="FN5" s="26" t="s">
        <v>347</v>
      </c>
      <c r="FO5" s="26" t="s">
        <v>348</v>
      </c>
      <c r="FP5" s="26" t="s">
        <v>349</v>
      </c>
      <c r="FQ5" s="26" t="s">
        <v>350</v>
      </c>
      <c r="FR5" s="26" t="s">
        <v>351</v>
      </c>
      <c r="FS5" s="26" t="s">
        <v>352</v>
      </c>
      <c r="FT5" s="26" t="s">
        <v>353</v>
      </c>
      <c r="FU5" s="26" t="s">
        <v>354</v>
      </c>
      <c r="FV5" s="26" t="s">
        <v>355</v>
      </c>
      <c r="FW5" s="26" t="s">
        <v>356</v>
      </c>
      <c r="FX5" s="26"/>
      <c r="FY5" s="26"/>
      <c r="FZ5" s="26"/>
      <c r="GA5" s="26"/>
      <c r="GB5" s="26"/>
      <c r="GC5" s="26"/>
      <c r="GD5" s="26"/>
      <c r="GE5" s="26"/>
      <c r="GF5" s="26"/>
      <c r="GG5" s="26"/>
    </row>
    <row r="6" ht="15.75" customHeight="1">
      <c r="A6" s="29"/>
      <c r="B6" s="29"/>
      <c r="C6" s="39" t="s">
        <v>20</v>
      </c>
      <c r="D6" s="40">
        <v>210.0</v>
      </c>
      <c r="E6" s="41" t="s">
        <v>22</v>
      </c>
      <c r="F6" s="41" t="s">
        <v>103</v>
      </c>
      <c r="G6" s="40">
        <v>10.0</v>
      </c>
      <c r="H6" s="39" t="s">
        <v>357</v>
      </c>
      <c r="I6" s="40">
        <v>0.0</v>
      </c>
      <c r="J6" s="40">
        <v>0.0</v>
      </c>
      <c r="K6" s="40">
        <v>0.0</v>
      </c>
      <c r="L6" s="40">
        <v>0.0</v>
      </c>
      <c r="M6" s="29"/>
      <c r="N6" s="29"/>
      <c r="O6" s="39" t="s">
        <v>197</v>
      </c>
      <c r="P6" s="29" t="s">
        <v>358</v>
      </c>
      <c r="Q6" s="29"/>
      <c r="R6" s="29"/>
      <c r="S6" s="29" t="s">
        <v>201</v>
      </c>
      <c r="T6" s="29" t="s">
        <v>101</v>
      </c>
      <c r="U6" s="29" t="s">
        <v>203</v>
      </c>
      <c r="V6" s="29" t="s">
        <v>102</v>
      </c>
      <c r="W6" s="29" t="s">
        <v>198</v>
      </c>
      <c r="X6" s="33">
        <v>1.0</v>
      </c>
      <c r="Y6" s="33">
        <v>1.0</v>
      </c>
      <c r="Z6" s="29"/>
      <c r="AA6" s="29"/>
      <c r="AB6" s="29"/>
      <c r="AC6" s="29"/>
      <c r="AD6" s="33">
        <v>0.0</v>
      </c>
      <c r="AE6" s="33">
        <v>0.0</v>
      </c>
      <c r="AF6" s="29"/>
      <c r="AG6" s="33">
        <v>0.0</v>
      </c>
      <c r="AH6" s="29"/>
      <c r="AI6" s="29"/>
      <c r="AJ6" s="29"/>
      <c r="AK6" s="29"/>
      <c r="AL6" s="33">
        <v>1.0</v>
      </c>
      <c r="AM6" s="29"/>
      <c r="AN6" s="29" t="s">
        <v>23</v>
      </c>
      <c r="AO6" s="29"/>
      <c r="AP6" s="29" t="s">
        <v>357</v>
      </c>
      <c r="AQ6" s="29" t="s">
        <v>20</v>
      </c>
      <c r="AR6" s="33">
        <v>0.0</v>
      </c>
      <c r="AS6" s="33">
        <v>1.0</v>
      </c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42"/>
      <c r="BR6" s="29" t="s">
        <v>97</v>
      </c>
      <c r="BS6" s="29"/>
      <c r="BT6" s="29"/>
      <c r="BU6" s="29" t="s">
        <v>101</v>
      </c>
      <c r="BV6" s="29"/>
      <c r="BW6" s="29"/>
      <c r="BX6" s="29"/>
      <c r="BY6" s="29"/>
      <c r="BZ6" s="29">
        <v>0.0</v>
      </c>
      <c r="CA6" s="33">
        <v>0.0</v>
      </c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 t="s">
        <v>100</v>
      </c>
      <c r="CQ6" s="29"/>
      <c r="CR6" s="29"/>
      <c r="CS6" s="33">
        <v>10.0</v>
      </c>
      <c r="CT6" s="29" t="s">
        <v>109</v>
      </c>
      <c r="CU6" s="29" t="s">
        <v>110</v>
      </c>
      <c r="CV6" s="29" t="s">
        <v>111</v>
      </c>
      <c r="CW6" s="29" t="s">
        <v>112</v>
      </c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 t="s">
        <v>107</v>
      </c>
      <c r="EZ6" s="29" t="s">
        <v>108</v>
      </c>
      <c r="FA6" s="29"/>
      <c r="FB6" s="29"/>
      <c r="FC6" s="29"/>
      <c r="FD6" s="29"/>
      <c r="FE6" s="29"/>
      <c r="FF6" s="29"/>
      <c r="FG6" s="29"/>
      <c r="FH6" s="33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