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UpateSymbolBlankMP" sheetId="7" r:id="rId9"/>
    <sheet state="visible" name="UpdateBlankMP" sheetId="8" r:id="rId10"/>
    <sheet state="visible" name="CheckPortfolioManagement" sheetId="9" r:id="rId11"/>
    <sheet state="visible" name="GetAccountBalance" sheetId="10" r:id="rId12"/>
    <sheet state="visible" name="VerifyAccountBalances" sheetId="11" r:id="rId13"/>
  </sheets>
  <definedNames/>
  <calcPr/>
</workbook>
</file>

<file path=xl/sharedStrings.xml><?xml version="1.0" encoding="utf-8"?>
<sst xmlns="http://schemas.openxmlformats.org/spreadsheetml/2006/main" count="90" uniqueCount="37">
  <si>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</si>
  <si>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</si>
  <si>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</si>
  <si>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</si>
  <si>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</si>
  <si>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</si>
  <si>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</si>
  <si>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</si>
  <si>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</si>
  <si>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</si>
  <si>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</si>
  <si>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</si>
  <si>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</si>
  <si>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</si>
  <si>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</si>
  <si>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</si>
  <si>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</si>
  <si>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</si>
  <si>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</si>
  <si>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</si>
  <si>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</si>
  <si>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GetMarkPriceData</t>
  </si>
  <si>
    <t>UpateSymbolBlankMP</t>
  </si>
  <si>
    <t>UpdateBlankMP</t>
  </si>
  <si>
    <t>MSFT US EQUITY</t>
  </si>
  <si>
    <t>PortfolioManagement</t>
  </si>
  <si>
    <t>CheckPortfolioManagement</t>
  </si>
  <si>
    <t>15*</t>
  </si>
  <si>
    <t>GeneralLedger</t>
  </si>
  <si>
    <t>GetAccountBalance</t>
  </si>
  <si>
    <t>All MasterFund(s) Selected</t>
  </si>
  <si>
    <t>VerifyAccountBalances</t>
  </si>
  <si>
    <t>Investment - Long Equity</t>
  </si>
  <si>
    <t>Asset</t>
  </si>
  <si>
    <t>Trade Transaction</t>
  </si>
  <si>
    <t>USD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</si>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</sst>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5" fillId="6" fontId="14" numFmtId="0" xfId="0" applyAlignment="1" applyBorder="1" applyFill="1" applyFont="1">
      <alignment horizontal="right" vertical="bottom"/>
    </xf>
    <xf borderId="6" fillId="6" fontId="14" numFmtId="0" xfId="0" applyAlignment="1" applyBorder="1" applyFont="1">
      <alignment horizontal="right" vertical="bottom"/>
    </xf>
    <xf borderId="6" fillId="6" fontId="14" numFmtId="0" xfId="0" applyAlignment="1" applyBorder="1" applyFont="1">
      <alignment horizontal="right" vertical="bottom"/>
    </xf>
    <xf borderId="7" fillId="7" fontId="14" numFmtId="0" xfId="0" applyAlignment="1" applyBorder="1" applyFill="1" applyFont="1">
      <alignment horizontal="right" vertical="bottom"/>
    </xf>
    <xf borderId="8" fillId="7" fontId="1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6">
        <v>44846.0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Today()-21</f>
        <v>44858</v>
      </c>
      <c r="C6" s="37">
        <f t="shared" si="1"/>
        <v>44858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UpateSymbolBlankMP!$4:$4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18</v>
      </c>
      <c r="C6" s="38" t="s">
        <v>24</v>
      </c>
      <c r="D6" s="39" t="s">
        <v>20</v>
      </c>
      <c r="E6" s="40">
        <v>15.0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2"/>
      <c r="B6" s="41"/>
      <c r="C6" s="42" t="s">
        <v>18</v>
      </c>
      <c r="D6" s="43">
        <v>100.0</v>
      </c>
      <c r="E6" s="42" t="s">
        <v>20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44" t="s">
        <v>27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19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45" t="s">
        <v>20</v>
      </c>
      <c r="D6" s="36">
        <v>44848.0</v>
      </c>
      <c r="E6" s="33"/>
      <c r="F6" s="46" t="b">
        <v>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IFERROR(__xludf.DUMMYFUNCTION("""COMPUTED_VALUE"""),"A/c")</f>
        <v>A/c</v>
      </c>
      <c r="D5" s="28" t="str">
        <f>IFERROR(__xludf.DUMMYFUNCTION("""COMPUTED_VALUE"""),"Master A/c")</f>
        <v>Master A/c</v>
      </c>
      <c r="E5" s="28" t="str">
        <f>IFERROR(__xludf.DUMMYFUNCTION("""COMPUTED_VALUE"""),"A/c Type")</f>
        <v>A/c Type</v>
      </c>
      <c r="F5" s="29" t="str">
        <f>IFERROR(__xludf.DUMMYFUNCTION("""COMPUTED_VALUE"""),"Currency")</f>
        <v>Currency</v>
      </c>
      <c r="G5" s="28" t="str">
        <f>IFERROR(__xludf.DUMMYFUNCTION("""COMPUTED_VALUE"""),"Closing Balance (Dr)")</f>
        <v>Closing Balance (Dr)</v>
      </c>
      <c r="H5" s="28" t="str">
        <f>IFERROR(__xludf.DUMMYFUNCTION("""COMPUTED_VALUE"""),"Closing Balance (Cr)")</f>
        <v>Closing Balance (Cr)</v>
      </c>
      <c r="I5" s="28" t="str">
        <f>IFERROR(__xludf.DUMMYFUNCTION("""COMPUTED_VALUE"""),"Closing Balance Base (Dr)")</f>
        <v>Closing Balance Base (Dr)</v>
      </c>
      <c r="J5" s="28" t="str">
        <f>IFERROR(__xludf.DUMMYFUNCTION("""COMPUTED_VALUE"""),"Closing Balance Base (Cr)")</f>
        <v>Closing Balance Base (Cr)</v>
      </c>
      <c r="K5" s="28" t="str">
        <f>IFERROR(__xludf.DUMMYFUNCTION("""COMPUTED_VALUE"""),"SubCategory A/c")</f>
        <v>SubCategory A/c</v>
      </c>
      <c r="L5" s="28" t="str">
        <f>IFERROR(__xludf.DUMMYFUNCTION("""COMPUTED_VALUE"""),"Opening Balance Date")</f>
        <v>Opening Balance Date</v>
      </c>
      <c r="M5" s="28" t="str">
        <f>IFERROR(__xludf.DUMMYFUNCTION("""COMPUTED_VALUE"""),"TransactionDate")</f>
        <v>TransactionDate</v>
      </c>
      <c r="N5" s="28" t="str">
        <f>IFERROR(__xludf.DUMMYFUNCTION("""COMPUTED_VALUE"""),"Opening Balance (Dr)")</f>
        <v>Opening Balance (Dr)</v>
      </c>
      <c r="O5" s="28" t="str">
        <f>IFERROR(__xludf.DUMMYFUNCTION("""COMPUTED_VALUE"""),"Opening Balance (Cr)")</f>
        <v>Opening Balance (Cr)</v>
      </c>
      <c r="P5" s="28" t="str">
        <f>IFERROR(__xludf.DUMMYFUNCTION("""COMPUTED_VALUE"""),"Day Balance (Dr)")</f>
        <v>Day Balance (Dr)</v>
      </c>
      <c r="Q5" s="28" t="str">
        <f>IFERROR(__xludf.DUMMYFUNCTION("""COMPUTED_VALUE"""),"Day Balance (Cr)")</f>
        <v>Day Balance (Cr)</v>
      </c>
      <c r="R5" s="28" t="str">
        <f>IFERROR(__xludf.DUMMYFUNCTION("""COMPUTED_VALUE"""),"Opening Balance Base (Dr)")</f>
        <v>Opening Balance Base (Dr)</v>
      </c>
      <c r="S5" s="28" t="str">
        <f>IFERROR(__xludf.DUMMYFUNCTION("""COMPUTED_VALUE"""),"Opening Balance Base (Cr)")</f>
        <v>Opening Balance Base (Cr)</v>
      </c>
      <c r="T5" s="30" t="str">
        <f>IFERROR(__xludf.DUMMYFUNCTION("""COMPUTED_VALUE"""),"Day Balance Base (Dr)")</f>
        <v>Day Balance Base (Dr)</v>
      </c>
      <c r="U5" s="30" t="str">
        <f>IFERROR(__xludf.DUMMYFUNCTION("""COMPUTED_VALUE"""),"Day Balance Base (Cr)")</f>
        <v>Day Balance Base (Cr)</v>
      </c>
      <c r="V5" s="30" t="str">
        <f>IFERROR(__xludf.DUMMYFUNCTION("""COMPUTED_VALUE"""),"Base Currency")</f>
        <v>Base Currency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20</v>
      </c>
      <c r="C6" s="48" t="s">
        <v>32</v>
      </c>
      <c r="D6" s="49" t="s">
        <v>33</v>
      </c>
      <c r="E6" s="48" t="s">
        <v>34</v>
      </c>
      <c r="F6" s="48" t="s">
        <v>35</v>
      </c>
      <c r="G6" s="48">
        <v>1014.0006</v>
      </c>
      <c r="H6" s="48">
        <v>0.0</v>
      </c>
      <c r="I6" s="48">
        <v>1014.0006</v>
      </c>
      <c r="J6" s="48">
        <v>0.0</v>
      </c>
      <c r="K6" s="8"/>
      <c r="L6" s="8"/>
      <c r="M6" s="8"/>
      <c r="N6" s="8"/>
      <c r="O6" s="8"/>
    </row>
    <row r="7" ht="15.75" customHeight="1">
      <c r="A7" s="8"/>
      <c r="B7" s="50" t="s">
        <v>20</v>
      </c>
      <c r="C7" s="51" t="s">
        <v>36</v>
      </c>
      <c r="D7" s="51" t="s">
        <v>36</v>
      </c>
      <c r="E7" s="51" t="s">
        <v>36</v>
      </c>
      <c r="F7" s="51" t="s">
        <v>35</v>
      </c>
      <c r="G7" s="51">
        <v>0.0</v>
      </c>
      <c r="H7" s="51">
        <v>1014.0006</v>
      </c>
      <c r="I7" s="51">
        <v>0.0</v>
      </c>
      <c r="J7" s="51">
        <v>1014.0006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VerifyAccountBalances!$4:$4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