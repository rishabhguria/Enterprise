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RowCalculationBaseWindow1" sheetId="13" r:id="rId15"/>
    <sheet state="visible" name="VerifyTaxlotWindow1" sheetId="14" r:id="rId16"/>
    <sheet state="visible" name="VerifySymbolDivisorWindow1" sheetId="15" r:id="rId17"/>
    <sheet state="visible" name="VerifyAggAccountSymbolWithNav1" sheetId="16" r:id="rId18"/>
    <sheet state="visible" name="SelectTrade2" sheetId="17" r:id="rId19"/>
    <sheet state="visible" name="AcknowledgeTrade1" sheetId="18" r:id="rId20"/>
    <sheet state="visible" name="VerifyRowCalculationBaseWindow2" sheetId="19" r:id="rId21"/>
    <sheet state="visible" name="VerifySymbolDivisorWindow2" sheetId="20" r:id="rId22"/>
    <sheet state="visible" name="VerifyAggAccountSymbolWithNav2" sheetId="21" r:id="rId23"/>
    <sheet state="visible" name="VerifyTaxlotWindow2" sheetId="22" r:id="rId24"/>
    <sheet state="visible" name="SelectTradeOnOrderGrid1" sheetId="23" r:id="rId25"/>
    <sheet state="visible" name="CancelSubOrder" sheetId="24" r:id="rId26"/>
    <sheet state="visible" name="VerifyRowCalculationBaseWindow3" sheetId="25" r:id="rId27"/>
    <sheet state="visible" name="VerifyTaxlotWindow3" sheetId="26" r:id="rId28"/>
    <sheet state="visible" name="VerifyAggAccountSymbolWithNav3" sheetId="27" r:id="rId29"/>
    <sheet state="visible" name="VerifySymbolDivisorWindow3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<sst xmlns="http://schemas.openxmlformats.org/spreadsheetml/2006/main" count="504" uniqueCount="73">
  <si>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</si>
  <si>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</si>
  <si>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</si>
  <si>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</si>
  <si>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</si>
  <si>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</si>
  <si>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</si>
  <si>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</si>
  <si>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</si>
  <si>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</si>
  <si>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</si>
  <si>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</si>
  <si>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</si>
  <si>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</si>
  <si>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</si>
  <si>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</si>
  <si>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</si>
  <si>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</si>
  <si>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</si>
  <si>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</si>
  <si>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</si>
  <si>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</si>
  <si>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</si>
  <si>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</si>
  <si>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</si>
  <si>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</si>
  <si>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</si>
  <si>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</si>
  <si>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</si>
  <si>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</si>
  <si>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</si>
  <si>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</si>
  <si>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</si>
  <si>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</si>
  <si>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</si>
  <si>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</si>
  <si>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</si>
  <si>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</si>
  <si>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</si>
  <si>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</si>
  <si>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</si>
  <si>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</si>
  <si>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</si>
  <si>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Post</t>
  </si>
  <si>
    <t>VerifyTaxlotWindow</t>
  </si>
  <si>
    <t>VerifySymbolDivisorWindow</t>
  </si>
  <si>
    <t>VerifyAggAccountSymbolWithNav</t>
  </si>
  <si>
    <t>Account-Symbol</t>
  </si>
  <si>
    <t>CancelSubOrder</t>
  </si>
  <si>
    <t>Replaced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</si>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</sst>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5" fillId="0" fontId="5" numFmtId="3" xfId="0" applyAlignment="1" applyBorder="1" applyFont="1" applyNumberForma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44348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41">
        <v>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36"/>
      <c r="M6" s="36"/>
      <c r="N6" s="42">
        <v>10.0</v>
      </c>
      <c r="O6" s="36"/>
      <c r="P6" s="42">
        <v>10.0</v>
      </c>
      <c r="Q6" s="36" t="s">
        <v>33</v>
      </c>
      <c r="R6" s="36" t="s">
        <v>34</v>
      </c>
      <c r="S6" s="36"/>
      <c r="T6" s="40" t="s">
        <v>35</v>
      </c>
      <c r="U6" s="44">
        <v>200.0</v>
      </c>
      <c r="V6" s="44">
        <v>200.0</v>
      </c>
      <c r="W6" s="40"/>
      <c r="X6" s="40"/>
      <c r="Y6" s="40"/>
      <c r="Z6" s="40"/>
      <c r="AA6" s="44">
        <v>80.0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1">
        <v>80.0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5" t="s">
        <v>21</v>
      </c>
      <c r="AK6" s="45" t="s">
        <v>22</v>
      </c>
      <c r="AL6" s="45" t="s">
        <v>32</v>
      </c>
      <c r="AM6" s="46">
        <v>100.0</v>
      </c>
      <c r="AN6" s="47">
        <v>20.0</v>
      </c>
      <c r="AO6" s="47">
        <v>20.0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9" t="s">
        <v>22</v>
      </c>
      <c r="D6" s="41">
        <v>30.0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40.0</v>
      </c>
      <c r="K6" s="52">
        <v>40.0</v>
      </c>
      <c r="L6" s="52">
        <v>40.0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5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40.0</v>
      </c>
      <c r="K7" s="52">
        <v>40.0</v>
      </c>
      <c r="L7" s="52">
        <v>40.0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5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5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5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9" t="str">
        <f>IFERROR(__xludf.DUMMYFUNCTION("""COMPUTED_VALUE"""),"VerifyDbNavWindow")</f>
        <v>VerifyDbNavWindow</v>
      </c>
      <c r="Q4" s="59" t="str">
        <f>IFERROR(__xludf.DUMMYFUNCTION("""COMPUTED_VALUE"""),"VerifyGlobalDivisorWindow")</f>
        <v>VerifyGlobalDivisorWindow</v>
      </c>
      <c r="R4" s="59" t="str">
        <f>IFERROR(__xludf.DUMMYFUNCTION("""COMPUTED_VALUE"""),"VerifyPmCalculationPreferenceWindow")</f>
        <v>VerifyPmCalculationPreferenceWindow</v>
      </c>
      <c r="S4" s="59" t="str">
        <f>IFERROR(__xludf.DUMMYFUNCTION("""COMPUTED_VALUE"""),"VerifyRowCalculationBaseWindow")</f>
        <v>VerifyRowCalculationBaseWindow</v>
      </c>
      <c r="T4" s="59" t="str">
        <f>IFERROR(__xludf.DUMMYFUNCTION("""COMPUTED_VALUE"""),"VerifySecurityWindow")</f>
        <v>VerifySecurityWindow</v>
      </c>
      <c r="U4" s="59" t="str">
        <f>IFERROR(__xludf.DUMMYFUNCTION("""COMPUTED_VALUE"""),"VerifySymbolDataWindow")</f>
        <v>VerifySymbolDataWindow</v>
      </c>
      <c r="V4" s="59" t="str">
        <f>IFERROR(__xludf.DUMMYFUNCTION("""COMPUTED_VALUE"""),"VerifySymbolDivisorWindow")</f>
        <v>VerifySymbolDivisorWindow</v>
      </c>
      <c r="W4" s="59" t="str">
        <f>IFERROR(__xludf.DUMMYFUNCTION("""COMPUTED_VALUE"""),"VerifyTaxlotWindow")</f>
        <v>VerifyTaxlotWindow</v>
      </c>
      <c r="X4" s="59" t="str">
        <f>IFERROR(__xludf.DUMMYFUNCTION("""COMPUTED_VALUE"""),"RestartEsper")</f>
        <v>RestartEsper</v>
      </c>
      <c r="Y4" s="59" t="str">
        <f>IFERROR(__xludf.DUMMYFUNCTION("""COMPUTED_VALUE"""),"VerifyAccountNavPreferenceWindow")</f>
        <v>VerifyAccountNavPreferenceWindow</v>
      </c>
      <c r="Z4" s="59" t="str">
        <f>IFERROR(__xludf.DUMMYFUNCTION("""COMPUTED_VALUE"""),"VerifyAggregationAccountUnderlyingSymbolWithNav")</f>
        <v>VerifyAggregationAccountUnderlyingSymbolWithNav</v>
      </c>
      <c r="AA4" s="59" t="str">
        <f>IFERROR(__xludf.DUMMYFUNCTION("""COMPUTED_VALUE"""),"VerifyAggregationAssetWithNav")</f>
        <v>VerifyAggregationAssetWithNav</v>
      </c>
      <c r="AB4" s="59" t="str">
        <f>IFERROR(__xludf.DUMMYFUNCTION("""COMPUTED_VALUE"""),"VerifyAggregationSymbolWithNav")</f>
        <v>VerifyAggregationSymbolWithNav</v>
      </c>
      <c r="AC4" s="59" t="str">
        <f>IFERROR(__xludf.DUMMYFUNCTION("""COMPUTED_VALUE"""),"VerifyAggregationSubSectorWithNav")</f>
        <v>VerifyAggregationSubSectorWithNav</v>
      </c>
      <c r="AD4" s="59" t="str">
        <f>IFERROR(__xludf.DUMMYFUNCTION("""COMPUTED_VALUE"""),"VerifyAggregationGlobalWithNav")</f>
        <v>VerifyAggregationGlobalWithNav</v>
      </c>
      <c r="AE4" s="59" t="str">
        <f>IFERROR(__xludf.DUMMYFUNCTION("""COMPUTED_VALUE"""),"VerifyAggregationGlobalWithNav")</f>
        <v>VerifyAggregationGlobalWithNav</v>
      </c>
      <c r="AF4" s="59" t="str">
        <f>IFERROR(__xludf.DUMMYFUNCTION("""COMPUTED_VALUE"""),"VerifyGlobalDivisorWindow")</f>
        <v>VerifyGlobalDivisorWindow</v>
      </c>
      <c r="AG4" s="59" t="str">
        <f>IFERROR(__xludf.DUMMYFUNCTION("""COMPUTED_VALUE"""),"VerifyAccrualForAccountWindow")</f>
        <v>VerifyAccrualForAccountWindow</v>
      </c>
      <c r="AH4" s="59" t="str">
        <f>IFERROR(__xludf.DUMMYFUNCTION("""COMPUTED_VALUE"""),"VerifyGlobalDivisorWindow")</f>
        <v>VerifyGlobalDivisorWindow</v>
      </c>
      <c r="AI4" s="59" t="str">
        <f>IFERROR(__xludf.DUMMYFUNCTION("""COMPUTED_VALUE"""),"VerifyMasterFundDivisorWindow")</f>
        <v>VerifyMasterFundDivisorWindow</v>
      </c>
      <c r="AJ4" s="59" t="str">
        <f>IFERROR(__xludf.DUMMYFUNCTION("""COMPUTED_VALUE"""),"VerifyMasterFundSymbolDivisorWindow")</f>
        <v>VerifyMasterFundSymbolDivisorWindow</v>
      </c>
      <c r="AK4" s="59" t="str">
        <f>IFERROR(__xludf.DUMMYFUNCTION("""COMPUTED_VALUE"""),"VerifyAggAccountSymbolWithNav")</f>
        <v>VerifyAggAccountSymbolWithNav</v>
      </c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60" t="str">
        <f>IFERROR(__xludf.DUMMYFUNCTION("""COMPUTED_VALUE"""),"isSwapped")</f>
        <v>isSwapped</v>
      </c>
      <c r="U5" s="60" t="str">
        <f>IFERROR(__xludf.DUMMYFUNCTION("""COMPUTED_VALUE"""),"benchMarkRate")</f>
        <v>benchMarkRate</v>
      </c>
      <c r="V5" s="60" t="str">
        <f>IFERROR(__xludf.DUMMYFUNCTION("""COMPUTED_VALUE"""),"differential")</f>
        <v>differential</v>
      </c>
      <c r="W5" s="60" t="str">
        <f>IFERROR(__xludf.DUMMYFUNCTION("""COMPUTED_VALUE"""),"swapNotional")</f>
        <v>swapNotional</v>
      </c>
      <c r="X5" s="60" t="str">
        <f>IFERROR(__xludf.DUMMYFUNCTION("""COMPUTED_VALUE"""),"dayCount")</f>
        <v>dayCount</v>
      </c>
      <c r="Y5" s="60" t="str">
        <f>IFERROR(__xludf.DUMMYFUNCTION("""COMPUTED_VALUE"""),"avgFxRateForTrade")</f>
        <v>avgFxRateForTrade</v>
      </c>
      <c r="Z5" s="60" t="str">
        <f>IFERROR(__xludf.DUMMYFUNCTION("""COMPUTED_VALUE"""),"conversionMethodOperator")</f>
        <v>conversionMethodOperator</v>
      </c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</row>
    <row r="6" ht="15.75" customHeight="1">
      <c r="A6" s="61"/>
      <c r="B6" s="62"/>
      <c r="C6" s="63" t="s">
        <v>21</v>
      </c>
      <c r="D6" s="62"/>
      <c r="E6" s="63"/>
      <c r="F6" s="63" t="s">
        <v>40</v>
      </c>
      <c r="G6" s="63"/>
      <c r="H6" s="63" t="s">
        <v>21</v>
      </c>
      <c r="I6" s="41">
        <v>40.0</v>
      </c>
      <c r="J6" s="38"/>
      <c r="K6" s="63"/>
      <c r="L6" s="63"/>
      <c r="M6" s="63"/>
      <c r="N6" s="63"/>
      <c r="O6" s="63"/>
      <c r="P6" s="63"/>
      <c r="Q6" s="63"/>
      <c r="R6" s="63"/>
      <c r="S6" s="63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</row>
    <row r="7" ht="15.75" customHeight="1">
      <c r="A7" s="63"/>
      <c r="B7" s="63"/>
      <c r="C7" s="63" t="s">
        <v>21</v>
      </c>
      <c r="D7" s="63"/>
      <c r="E7" s="63"/>
      <c r="F7" s="63" t="s">
        <v>40</v>
      </c>
      <c r="G7" s="63"/>
      <c r="H7" s="63" t="s">
        <v>21</v>
      </c>
      <c r="I7" s="41">
        <v>40.0</v>
      </c>
      <c r="J7" s="38"/>
      <c r="K7" s="63"/>
      <c r="L7" s="63"/>
      <c r="M7" s="63"/>
      <c r="N7" s="63"/>
      <c r="O7" s="63"/>
      <c r="P7" s="63"/>
      <c r="Q7" s="63"/>
      <c r="R7" s="63"/>
      <c r="S7" s="63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</row>
    <row r="8" ht="15.75" customHeight="1">
      <c r="A8" s="64"/>
      <c r="B8" s="64"/>
      <c r="C8" s="64" t="s">
        <v>21</v>
      </c>
      <c r="D8" s="64"/>
      <c r="E8" s="63"/>
      <c r="F8" s="63" t="s">
        <v>43</v>
      </c>
      <c r="G8" s="63"/>
      <c r="H8" s="63" t="s">
        <v>21</v>
      </c>
      <c r="I8" s="41">
        <v>10.0</v>
      </c>
      <c r="J8" s="65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</row>
    <row r="9" ht="15.75" customHeight="1">
      <c r="A9" s="64"/>
      <c r="B9" s="64"/>
      <c r="C9" s="64" t="s">
        <v>21</v>
      </c>
      <c r="D9" s="64"/>
      <c r="E9" s="63"/>
      <c r="F9" s="63" t="s">
        <v>43</v>
      </c>
      <c r="G9" s="63"/>
      <c r="H9" s="63" t="s">
        <v>21</v>
      </c>
      <c r="I9" s="41">
        <v>10.0</v>
      </c>
      <c r="J9" s="65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/>
      <c r="ES59" s="57"/>
      <c r="ET59" s="57"/>
      <c r="EU59" s="57"/>
      <c r="EV59" s="57"/>
      <c r="EW59" s="57"/>
      <c r="EX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43</v>
      </c>
      <c r="C6" s="36"/>
      <c r="D6" s="35" t="s">
        <v>47</v>
      </c>
      <c r="E6" s="66" t="s">
        <v>42</v>
      </c>
      <c r="F6" s="66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5">
        <v>500.0</v>
      </c>
      <c r="AQ6" s="65">
        <v>500.0</v>
      </c>
      <c r="AR6" s="65">
        <v>0.0</v>
      </c>
      <c r="AS6" s="65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47</v>
      </c>
      <c r="E7" s="66" t="s">
        <v>41</v>
      </c>
      <c r="F7" s="66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5">
        <v>500.0</v>
      </c>
      <c r="AQ7" s="65">
        <v>500.0</v>
      </c>
      <c r="AR7" s="65">
        <v>0.0</v>
      </c>
      <c r="AS7" s="65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9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9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5.0</v>
      </c>
      <c r="K6" s="52">
        <v>5.0</v>
      </c>
      <c r="L6" s="52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5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5.0</v>
      </c>
      <c r="K7" s="52">
        <v>5.0</v>
      </c>
      <c r="L7" s="52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5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5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5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30.0</v>
      </c>
      <c r="D6" s="41">
        <v>200.0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43</v>
      </c>
      <c r="C6" s="36"/>
      <c r="D6" s="35" t="s">
        <v>47</v>
      </c>
      <c r="E6" s="50" t="s">
        <v>42</v>
      </c>
      <c r="F6" s="50" t="s">
        <v>42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7">
        <v>100.0</v>
      </c>
      <c r="AQ6" s="67">
        <v>100.0</v>
      </c>
      <c r="AR6" s="65">
        <v>0.0</v>
      </c>
      <c r="AS6" s="67">
        <v>15.0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47</v>
      </c>
      <c r="E7" s="50" t="s">
        <v>41</v>
      </c>
      <c r="F7" s="50" t="s">
        <v>41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7">
        <v>100.0</v>
      </c>
      <c r="AQ7" s="67">
        <v>100.0</v>
      </c>
      <c r="AR7" s="65">
        <v>0.0</v>
      </c>
      <c r="AS7" s="67">
        <v>15.0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3" t="s">
        <v>21</v>
      </c>
      <c r="D6" s="35"/>
      <c r="E6" s="63"/>
      <c r="F6" s="63" t="s">
        <v>40</v>
      </c>
      <c r="G6" s="63"/>
      <c r="H6" s="63" t="s">
        <v>21</v>
      </c>
      <c r="I6" s="41">
        <v>5.0</v>
      </c>
      <c r="J6" s="38"/>
      <c r="K6" s="63"/>
      <c r="L6" s="63"/>
      <c r="M6" s="63"/>
      <c r="N6" s="63"/>
      <c r="O6" s="63"/>
      <c r="P6" s="63"/>
      <c r="Q6" s="63"/>
      <c r="R6" s="63"/>
      <c r="S6" s="6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3"/>
      <c r="B7" s="63"/>
      <c r="C7" s="63" t="s">
        <v>21</v>
      </c>
      <c r="D7" s="63"/>
      <c r="E7" s="63"/>
      <c r="F7" s="63" t="s">
        <v>40</v>
      </c>
      <c r="G7" s="63"/>
      <c r="H7" s="63" t="s">
        <v>21</v>
      </c>
      <c r="I7" s="41">
        <v>5.0</v>
      </c>
      <c r="J7" s="38"/>
      <c r="K7" s="63"/>
      <c r="L7" s="63"/>
      <c r="M7" s="63"/>
      <c r="N7" s="63"/>
      <c r="O7" s="63"/>
      <c r="P7" s="63"/>
      <c r="Q7" s="63"/>
      <c r="R7" s="63"/>
      <c r="S7" s="6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36"/>
      <c r="F8" s="63" t="s">
        <v>43</v>
      </c>
      <c r="G8" s="63"/>
      <c r="H8" s="63" t="s">
        <v>21</v>
      </c>
      <c r="I8" s="41">
        <v>10.0</v>
      </c>
      <c r="J8" s="65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36"/>
      <c r="F9" s="63" t="s">
        <v>43</v>
      </c>
      <c r="G9" s="63"/>
      <c r="H9" s="63" t="s">
        <v>21</v>
      </c>
      <c r="I9" s="41">
        <v>10.0</v>
      </c>
      <c r="J9" s="65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5"/>
      <c r="B6" s="68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43">
        <v>70.0</v>
      </c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69">
        <v>200.0</v>
      </c>
      <c r="V6" s="69">
        <v>200.0</v>
      </c>
      <c r="W6" s="40"/>
      <c r="X6" s="40"/>
      <c r="Y6" s="40"/>
      <c r="Z6" s="40"/>
      <c r="AA6" s="69">
        <v>10.0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41">
        <v>10.0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5" t="s">
        <v>22</v>
      </c>
      <c r="AK6" s="70" t="s">
        <v>49</v>
      </c>
      <c r="AL6" s="70">
        <v>30.0</v>
      </c>
      <c r="AM6" s="47">
        <v>20.0</v>
      </c>
      <c r="AN6" s="47">
        <v>20.0</v>
      </c>
      <c r="AO6" s="48"/>
      <c r="AP6" s="48"/>
      <c r="AQ6" s="46">
        <v>10.0</v>
      </c>
      <c r="AR6" s="46">
        <v>10.0</v>
      </c>
      <c r="AS6" s="48" t="s">
        <v>33</v>
      </c>
      <c r="AT6" s="45" t="s">
        <v>34</v>
      </c>
      <c r="AU6" s="48" t="s">
        <v>35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50" t="s">
        <v>21</v>
      </c>
      <c r="I6" s="51">
        <v>0.0</v>
      </c>
      <c r="J6" s="52">
        <v>5.0</v>
      </c>
      <c r="K6" s="52">
        <v>5.0</v>
      </c>
      <c r="L6" s="52">
        <v>5.0</v>
      </c>
      <c r="M6" s="50" t="s">
        <v>40</v>
      </c>
      <c r="N6" s="53"/>
      <c r="O6" s="50" t="s">
        <v>22</v>
      </c>
      <c r="P6" s="53"/>
      <c r="Q6" s="53" t="s">
        <v>21</v>
      </c>
      <c r="R6" s="53"/>
      <c r="S6" s="53"/>
      <c r="T6" s="54" t="s">
        <v>41</v>
      </c>
      <c r="U6" s="54" t="s">
        <v>41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5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50" t="s">
        <v>21</v>
      </c>
      <c r="I7" s="51">
        <v>0.0</v>
      </c>
      <c r="J7" s="52">
        <v>5.0</v>
      </c>
      <c r="K7" s="52">
        <v>5.0</v>
      </c>
      <c r="L7" s="52">
        <v>5.0</v>
      </c>
      <c r="M7" s="50" t="s">
        <v>40</v>
      </c>
      <c r="N7" s="53"/>
      <c r="O7" s="50" t="s">
        <v>22</v>
      </c>
      <c r="P7" s="53"/>
      <c r="Q7" s="53" t="s">
        <v>21</v>
      </c>
      <c r="R7" s="53"/>
      <c r="S7" s="53"/>
      <c r="T7" s="54" t="s">
        <v>42</v>
      </c>
      <c r="U7" s="54" t="s">
        <v>42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5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50" t="s">
        <v>21</v>
      </c>
      <c r="I8" s="51">
        <v>0.0</v>
      </c>
      <c r="J8" s="52">
        <v>10.0</v>
      </c>
      <c r="K8" s="52">
        <v>10.0</v>
      </c>
      <c r="L8" s="52">
        <v>10.0</v>
      </c>
      <c r="M8" s="50" t="s">
        <v>43</v>
      </c>
      <c r="N8" s="53"/>
      <c r="O8" s="50" t="s">
        <v>22</v>
      </c>
      <c r="P8" s="53"/>
      <c r="Q8" s="53" t="s">
        <v>21</v>
      </c>
      <c r="R8" s="53"/>
      <c r="S8" s="53"/>
      <c r="T8" s="54" t="s">
        <v>41</v>
      </c>
      <c r="U8" s="54" t="s">
        <v>41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5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50" t="s">
        <v>21</v>
      </c>
      <c r="I9" s="51">
        <v>0.0</v>
      </c>
      <c r="J9" s="52">
        <v>10.0</v>
      </c>
      <c r="K9" s="52">
        <v>10.0</v>
      </c>
      <c r="L9" s="52">
        <v>10.0</v>
      </c>
      <c r="M9" s="50" t="s">
        <v>43</v>
      </c>
      <c r="N9" s="53"/>
      <c r="O9" s="50" t="s">
        <v>22</v>
      </c>
      <c r="P9" s="53"/>
      <c r="Q9" s="53" t="s">
        <v>21</v>
      </c>
      <c r="R9" s="53"/>
      <c r="S9" s="53"/>
      <c r="T9" s="54" t="s">
        <v>42</v>
      </c>
      <c r="U9" s="54" t="s">
        <v>42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5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63" t="s">
        <v>21</v>
      </c>
      <c r="D6" s="35"/>
      <c r="E6" s="63"/>
      <c r="F6" s="63" t="s">
        <v>40</v>
      </c>
      <c r="G6" s="63"/>
      <c r="H6" s="63" t="s">
        <v>21</v>
      </c>
      <c r="I6" s="41">
        <v>5.0</v>
      </c>
      <c r="J6" s="38"/>
      <c r="K6" s="63"/>
      <c r="L6" s="63"/>
      <c r="M6" s="63"/>
      <c r="N6" s="63"/>
      <c r="O6" s="63"/>
      <c r="P6" s="63"/>
      <c r="Q6" s="63"/>
      <c r="R6" s="63"/>
      <c r="S6" s="63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63"/>
      <c r="B7" s="63"/>
      <c r="C7" s="63" t="s">
        <v>21</v>
      </c>
      <c r="D7" s="63"/>
      <c r="E7" s="63"/>
      <c r="F7" s="63" t="s">
        <v>40</v>
      </c>
      <c r="G7" s="63"/>
      <c r="H7" s="63" t="s">
        <v>21</v>
      </c>
      <c r="I7" s="41">
        <v>5.0</v>
      </c>
      <c r="J7" s="38"/>
      <c r="K7" s="63"/>
      <c r="L7" s="63"/>
      <c r="M7" s="63"/>
      <c r="N7" s="63"/>
      <c r="O7" s="63"/>
      <c r="P7" s="63"/>
      <c r="Q7" s="63"/>
      <c r="R7" s="63"/>
      <c r="S7" s="63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40"/>
      <c r="E8" s="36"/>
      <c r="F8" s="63" t="s">
        <v>43</v>
      </c>
      <c r="G8" s="63"/>
      <c r="H8" s="63" t="s">
        <v>21</v>
      </c>
      <c r="I8" s="41">
        <v>10.0</v>
      </c>
      <c r="J8" s="65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40"/>
      <c r="E9" s="36"/>
      <c r="F9" s="63" t="s">
        <v>43</v>
      </c>
      <c r="G9" s="63"/>
      <c r="H9" s="63" t="s">
        <v>21</v>
      </c>
      <c r="I9" s="41">
        <v>10.0</v>
      </c>
      <c r="J9" s="65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9" t="str">
        <f>IFERROR(__xludf.DUMMYFUNCTION("""COMPUTED_VALUE"""),"VerifyDbNavWindow")</f>
        <v>VerifyDbNavWindow</v>
      </c>
      <c r="Q4" s="59" t="str">
        <f>IFERROR(__xludf.DUMMYFUNCTION("""COMPUTED_VALUE"""),"VerifyGlobalDivisorWindow")</f>
        <v>VerifyGlobalDivisorWindow</v>
      </c>
      <c r="R4" s="59" t="str">
        <f>IFERROR(__xludf.DUMMYFUNCTION("""COMPUTED_VALUE"""),"VerifyPmCalculationPreferenceWindow")</f>
        <v>VerifyPmCalculationPreferenceWindow</v>
      </c>
      <c r="S4" s="59" t="str">
        <f>IFERROR(__xludf.DUMMYFUNCTION("""COMPUTED_VALUE"""),"VerifyRowCalculationBaseWindow")</f>
        <v>VerifyRowCalculationBaseWindow</v>
      </c>
      <c r="T4" s="59" t="str">
        <f>IFERROR(__xludf.DUMMYFUNCTION("""COMPUTED_VALUE"""),"VerifySecurityWindow")</f>
        <v>VerifySecurityWindow</v>
      </c>
      <c r="U4" s="59" t="str">
        <f>IFERROR(__xludf.DUMMYFUNCTION("""COMPUTED_VALUE"""),"VerifySymbolDataWindow")</f>
        <v>VerifySymbolDataWindow</v>
      </c>
      <c r="V4" s="59" t="str">
        <f>IFERROR(__xludf.DUMMYFUNCTION("""COMPUTED_VALUE"""),"VerifySymbolDivisorWindow")</f>
        <v>VerifySymbolDivisorWindow</v>
      </c>
      <c r="W4" s="59" t="str">
        <f>IFERROR(__xludf.DUMMYFUNCTION("""COMPUTED_VALUE"""),"VerifyTaxlotWindow")</f>
        <v>VerifyTaxlotWindow</v>
      </c>
      <c r="X4" s="59" t="str">
        <f>IFERROR(__xludf.DUMMYFUNCTION("""COMPUTED_VALUE"""),"RestartEsper")</f>
        <v>RestartEsper</v>
      </c>
      <c r="Y4" s="59" t="str">
        <f>IFERROR(__xludf.DUMMYFUNCTION("""COMPUTED_VALUE"""),"VerifyAccountNavPreferenceWindow")</f>
        <v>VerifyAccountNavPreferenceWindow</v>
      </c>
      <c r="Z4" s="59" t="str">
        <f>IFERROR(__xludf.DUMMYFUNCTION("""COMPUTED_VALUE"""),"VerifyAggregationAccountUnderlyingSymbolWithNav")</f>
        <v>VerifyAggregationAccountUnderlyingSymbolWithNav</v>
      </c>
      <c r="AA4" s="59" t="str">
        <f>IFERROR(__xludf.DUMMYFUNCTION("""COMPUTED_VALUE"""),"VerifyAggregationAssetWithNav")</f>
        <v>VerifyAggregationAssetWithNav</v>
      </c>
      <c r="AB4" s="59" t="str">
        <f>IFERROR(__xludf.DUMMYFUNCTION("""COMPUTED_VALUE"""),"VerifyAggregationSymbolWithNav")</f>
        <v>VerifyAggregationSymbolWithNav</v>
      </c>
      <c r="AC4" s="59" t="str">
        <f>IFERROR(__xludf.DUMMYFUNCTION("""COMPUTED_VALUE"""),"VerifyAggregationSubSectorWithNav")</f>
        <v>VerifyAggregationSubSectorWithNav</v>
      </c>
      <c r="AD4" s="59" t="str">
        <f>IFERROR(__xludf.DUMMYFUNCTION("""COMPUTED_VALUE"""),"VerifyAggregationGlobalWithNav")</f>
        <v>VerifyAggregationGlobalWithNav</v>
      </c>
      <c r="AE4" s="59" t="str">
        <f>IFERROR(__xludf.DUMMYFUNCTION("""COMPUTED_VALUE"""),"VerifyAggregationGlobalWithNav")</f>
        <v>VerifyAggregationGlobalWithNav</v>
      </c>
      <c r="AF4" s="59" t="str">
        <f>IFERROR(__xludf.DUMMYFUNCTION("""COMPUTED_VALUE"""),"VerifyGlobalDivisorWindow")</f>
        <v>VerifyGlobalDivisorWindow</v>
      </c>
      <c r="AG4" s="59" t="str">
        <f>IFERROR(__xludf.DUMMYFUNCTION("""COMPUTED_VALUE"""),"VerifyAccrualForAccountWindow")</f>
        <v>VerifyAccrualForAccountWindow</v>
      </c>
      <c r="AH4" s="59" t="str">
        <f>IFERROR(__xludf.DUMMYFUNCTION("""COMPUTED_VALUE"""),"VerifyGlobalDivisorWindow")</f>
        <v>VerifyGlobalDivisorWindow</v>
      </c>
      <c r="AI4" s="59" t="str">
        <f>IFERROR(__xludf.DUMMYFUNCTION("""COMPUTED_VALUE"""),"VerifyMasterFundDivisorWindow")</f>
        <v>VerifyMasterFundDivisorWindow</v>
      </c>
      <c r="AJ4" s="59" t="str">
        <f>IFERROR(__xludf.DUMMYFUNCTION("""COMPUTED_VALUE"""),"VerifyMasterFundSymbolDivisorWindow")</f>
        <v>VerifyMasterFundSymbolDivisorWindow</v>
      </c>
      <c r="AK4" s="59" t="str">
        <f>IFERROR(__xludf.DUMMYFUNCTION("""COMPUTED_VALUE"""),"VerifyAggAccountSymbolWithNav")</f>
        <v>VerifyAggAccountSymbolWithNav</v>
      </c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0" t="str">
        <f>IFERROR(__xludf.DUMMYFUNCTION("""COMPUTED_VALUE"""),"masterFundId")</f>
        <v>masterFundId</v>
      </c>
      <c r="U5" s="60" t="str">
        <f>IFERROR(__xludf.DUMMYFUNCTION("""COMPUTED_VALUE"""),"masterFundName")</f>
        <v>masterFundName</v>
      </c>
      <c r="V5" s="60" t="str">
        <f>IFERROR(__xludf.DUMMYFUNCTION("""COMPUTED_VALUE"""),"putOrCall")</f>
        <v>putOrCall</v>
      </c>
      <c r="W5" s="60" t="str">
        <f>IFERROR(__xludf.DUMMYFUNCTION("""COMPUTED_VALUE"""),"strikePrice")</f>
        <v>strikePrice</v>
      </c>
      <c r="X5" s="60" t="str">
        <f>IFERROR(__xludf.DUMMYFUNCTION("""COMPUTED_VALUE"""),"riskCurrency")</f>
        <v>riskCurrency</v>
      </c>
      <c r="Y5" s="60" t="str">
        <f>IFERROR(__xludf.DUMMYFUNCTION("""COMPUTED_VALUE"""),"issuer")</f>
        <v>issuer</v>
      </c>
      <c r="Z5" s="60" t="str">
        <f>IFERROR(__xludf.DUMMYFUNCTION("""COMPUTED_VALUE"""),"countryOfRisk")</f>
        <v>countryOfRisk</v>
      </c>
      <c r="AA5" s="60" t="str">
        <f>IFERROR(__xludf.DUMMYFUNCTION("""COMPUTED_VALUE"""),"region")</f>
        <v>region</v>
      </c>
      <c r="AB5" s="60" t="str">
        <f>IFERROR(__xludf.DUMMYFUNCTION("""COMPUTED_VALUE"""),"analyst")</f>
        <v>analyst</v>
      </c>
      <c r="AC5" s="60" t="str">
        <f>IFERROR(__xludf.DUMMYFUNCTION("""COMPUTED_VALUE"""),"ucitsEligibleTag")</f>
        <v>ucitsEligibleTag</v>
      </c>
      <c r="AD5" s="60" t="str">
        <f>IFERROR(__xludf.DUMMYFUNCTION("""COMPUTED_VALUE"""),"liquidTag")</f>
        <v>liquidTag</v>
      </c>
      <c r="AE5" s="60" t="str">
        <f>IFERROR(__xludf.DUMMYFUNCTION("""COMPUTED_VALUE"""),"marketCap")</f>
        <v>marketCap</v>
      </c>
      <c r="AF5" s="60" t="str">
        <f>IFERROR(__xludf.DUMMYFUNCTION("""COMPUTED_VALUE"""),"customUDA1")</f>
        <v>customUDA1</v>
      </c>
      <c r="AG5" s="60" t="str">
        <f>IFERROR(__xludf.DUMMYFUNCTION("""COMPUTED_VALUE"""),"customUDA2")</f>
        <v>customUDA2</v>
      </c>
      <c r="AH5" s="60" t="str">
        <f>IFERROR(__xludf.DUMMYFUNCTION("""COMPUTED_VALUE"""),"customUDA3")</f>
        <v>customUDA3</v>
      </c>
      <c r="AI5" s="60" t="str">
        <f>IFERROR(__xludf.DUMMYFUNCTION("""COMPUTED_VALUE"""),"customUDA4")</f>
        <v>customUDA4</v>
      </c>
      <c r="AJ5" s="60" t="str">
        <f>IFERROR(__xludf.DUMMYFUNCTION("""COMPUTED_VALUE"""),"customUDA5")</f>
        <v>customUDA5</v>
      </c>
      <c r="AK5" s="60" t="str">
        <f>IFERROR(__xludf.DUMMYFUNCTION("""COMPUTED_VALUE"""),"customUDA6")</f>
        <v>customUDA6</v>
      </c>
      <c r="AL5" s="60" t="str">
        <f>IFERROR(__xludf.DUMMYFUNCTION("""COMPUTED_VALUE"""),"customUDA7")</f>
        <v>customUDA7</v>
      </c>
      <c r="AM5" s="60" t="str">
        <f>IFERROR(__xludf.DUMMYFUNCTION("""COMPUTED_VALUE"""),"todayAbsTradeQuantity")</f>
        <v>todayAbsTradeQuantity</v>
      </c>
      <c r="AN5" s="60" t="str">
        <f>IFERROR(__xludf.DUMMYFUNCTION("""COMPUTED_VALUE"""),"todayLongTradeQuantity")</f>
        <v>todayLongTradeQuantity</v>
      </c>
      <c r="AO5" s="60" t="str">
        <f>IFERROR(__xludf.DUMMYFUNCTION("""COMPUTED_VALUE"""),"todayShortTradeQuantity")</f>
        <v>todayShortTradeQuantity</v>
      </c>
      <c r="AP5" s="60" t="str">
        <f>IFERROR(__xludf.DUMMYFUNCTION("""COMPUTED_VALUE"""),"todayNetNotionalBase")</f>
        <v>todayNetNotionalBase</v>
      </c>
      <c r="AQ5" s="60" t="str">
        <f>IFERROR(__xludf.DUMMYFUNCTION("""COMPUTED_VALUE"""),"todayLongNotionalBase")</f>
        <v>todayLongNotionalBase</v>
      </c>
      <c r="AR5" s="60" t="str">
        <f>IFERROR(__xludf.DUMMYFUNCTION("""COMPUTED_VALUE"""),"todayShortNotionalBase")</f>
        <v>todayShortNotionalBase</v>
      </c>
      <c r="AS5" s="60" t="str">
        <f>IFERROR(__xludf.DUMMYFUNCTION("""COMPUTED_VALUE"""),"quantity")</f>
        <v>quantity</v>
      </c>
      <c r="AT5" s="60" t="str">
        <f>IFERROR(__xludf.DUMMYFUNCTION("""COMPUTED_VALUE"""),"netMarketValueLocal")</f>
        <v>netMarketValueLocal</v>
      </c>
      <c r="AU5" s="60" t="str">
        <f>IFERROR(__xludf.DUMMYFUNCTION("""COMPUTED_VALUE"""),"yesterdayMarketValueLocal")</f>
        <v>yesterdayMarketValueLocal</v>
      </c>
      <c r="AV5" s="60" t="str">
        <f>IFERROR(__xludf.DUMMYFUNCTION("""COMPUTED_VALUE"""),"grossMarketValueLocal")</f>
        <v>grossMarketValueLocal</v>
      </c>
      <c r="AW5" s="60" t="str">
        <f>IFERROR(__xludf.DUMMYFUNCTION("""COMPUTED_VALUE"""),"notionalLocal")</f>
        <v>notionalLocal</v>
      </c>
      <c r="AX5" s="60" t="str">
        <f>IFERROR(__xludf.DUMMYFUNCTION("""COMPUTED_VALUE"""),"equityHaircutLocal")</f>
        <v>equityHaircutLocal</v>
      </c>
      <c r="AY5" s="60" t="str">
        <f>IFERROR(__xludf.DUMMYFUNCTION("""COMPUTED_VALUE"""),"indexHaircutLocal")</f>
        <v>indexHaircutLocal</v>
      </c>
      <c r="AZ5" s="60" t="str">
        <f>IFERROR(__xludf.DUMMYFUNCTION("""COMPUTED_VALUE"""),"equityHaircutBase")</f>
        <v>equityHaircutBase</v>
      </c>
      <c r="BA5" s="60" t="str">
        <f>IFERROR(__xludf.DUMMYFUNCTION("""COMPUTED_VALUE"""),"indexHaircutBase")</f>
        <v>indexHaircutBase</v>
      </c>
      <c r="BB5" s="60" t="str">
        <f>IFERROR(__xludf.DUMMYFUNCTION("""COMPUTED_VALUE"""),"cashImpactLocal")</f>
        <v>cashImpactLocal</v>
      </c>
      <c r="BC5" s="60" t="str">
        <f>IFERROR(__xludf.DUMMYFUNCTION("""COMPUTED_VALUE"""),"cashInflowLocal")</f>
        <v>cashInflowLocal</v>
      </c>
      <c r="BD5" s="60" t="str">
        <f>IFERROR(__xludf.DUMMYFUNCTION("""COMPUTED_VALUE"""),"cashOutflowLocal")</f>
        <v>cashOutflowLocal</v>
      </c>
      <c r="BE5" s="60" t="str">
        <f>IFERROR(__xludf.DUMMYFUNCTION("""COMPUTED_VALUE"""),"costBasisPnLLocal")</f>
        <v>costBasisPnLLocal</v>
      </c>
      <c r="BF5" s="60" t="str">
        <f>IFERROR(__xludf.DUMMYFUNCTION("""COMPUTED_VALUE"""),"dayPnLLocal")</f>
        <v>dayPnLLocal</v>
      </c>
      <c r="BG5" s="60" t="str">
        <f>IFERROR(__xludf.DUMMYFUNCTION("""COMPUTED_VALUE"""),"netExposureLocal")</f>
        <v>netExposureLocal</v>
      </c>
      <c r="BH5" s="60" t="str">
        <f>IFERROR(__xludf.DUMMYFUNCTION("""COMPUTED_VALUE"""),"grossExposureLocal")</f>
        <v>grossExposureLocal</v>
      </c>
      <c r="BI5" s="60" t="str">
        <f>IFERROR(__xludf.DUMMYFUNCTION("""COMPUTED_VALUE"""),"betaAdjustedExposureLocal")</f>
        <v>betaAdjustedExposureLocal</v>
      </c>
      <c r="BJ5" s="60" t="str">
        <f>IFERROR(__xludf.DUMMYFUNCTION("""COMPUTED_VALUE"""),"deltaAdjPosition")</f>
        <v>deltaAdjPosition</v>
      </c>
      <c r="BK5" s="60" t="str">
        <f>IFERROR(__xludf.DUMMYFUNCTION("""COMPUTED_VALUE"""),"liquidationPnlLocal")</f>
        <v>liquidationPnlLocal</v>
      </c>
      <c r="BL5" s="60" t="str">
        <f>IFERROR(__xludf.DUMMYFUNCTION("""COMPUTED_VALUE"""),"liquidationPnlBase")</f>
        <v>liquidationPnlBase</v>
      </c>
      <c r="BM5" s="60" t="str">
        <f>IFERROR(__xludf.DUMMYFUNCTION("""COMPUTED_VALUE"""),"underlyingValueForOptionsLocal")</f>
        <v>underlyingValueForOptionsLocal</v>
      </c>
      <c r="BN5" s="60" t="str">
        <f>IFERROR(__xludf.DUMMYFUNCTION("""COMPUTED_VALUE"""),"notionalBase")</f>
        <v>notionalBase</v>
      </c>
      <c r="BO5" s="60" t="str">
        <f>IFERROR(__xludf.DUMMYFUNCTION("""COMPUTED_VALUE"""),"cashImpactBase")</f>
        <v>cashImpactBase</v>
      </c>
      <c r="BP5" s="60" t="str">
        <f>IFERROR(__xludf.DUMMYFUNCTION("""COMPUTED_VALUE"""),"cashInflowBase")</f>
        <v>cashInflowBase</v>
      </c>
      <c r="BQ5" s="60" t="str">
        <f>IFERROR(__xludf.DUMMYFUNCTION("""COMPUTED_VALUE"""),"cashOutflowBase")</f>
        <v>cashOutflowBase</v>
      </c>
      <c r="BR5" s="60" t="str">
        <f>IFERROR(__xludf.DUMMYFUNCTION("""COMPUTED_VALUE"""),"netMarketValueBase")</f>
        <v>netMarketValueBase</v>
      </c>
      <c r="BS5" s="60" t="str">
        <f>IFERROR(__xludf.DUMMYFUNCTION("""COMPUTED_VALUE"""),"yesterdayMarketValueBase")</f>
        <v>yesterdayMarketValueBase</v>
      </c>
      <c r="BT5" s="60" t="str">
        <f>IFERROR(__xludf.DUMMYFUNCTION("""COMPUTED_VALUE"""),"grossMarketValueBase")</f>
        <v>grossMarketValueBase</v>
      </c>
      <c r="BU5" s="60" t="str">
        <f>IFERROR(__xludf.DUMMYFUNCTION("""COMPUTED_VALUE"""),"costBasisPnLBase")</f>
        <v>costBasisPnLBase</v>
      </c>
      <c r="BV5" s="60" t="str">
        <f>IFERROR(__xludf.DUMMYFUNCTION("""COMPUTED_VALUE"""),"dayPnLBase")</f>
        <v>dayPnLBase</v>
      </c>
      <c r="BW5" s="60" t="str">
        <f>IFERROR(__xludf.DUMMYFUNCTION("""COMPUTED_VALUE"""),"netExposureBase")</f>
        <v>netExposureBase</v>
      </c>
      <c r="BX5" s="60" t="str">
        <f>IFERROR(__xludf.DUMMYFUNCTION("""COMPUTED_VALUE"""),"grossExposureBase")</f>
        <v>grossExposureBase</v>
      </c>
      <c r="BY5" s="60" t="str">
        <f>IFERROR(__xludf.DUMMYFUNCTION("""COMPUTED_VALUE"""),"betaAdjustedExposureBase")</f>
        <v>betaAdjustedExposureBase</v>
      </c>
      <c r="BZ5" s="60" t="str">
        <f>IFERROR(__xludf.DUMMYFUNCTION("""COMPUTED_VALUE"""),"underlyingValueForOptionsBase")</f>
        <v>underlyingValueForOptionsBase</v>
      </c>
      <c r="CA5" s="60" t="str">
        <f>IFERROR(__xludf.DUMMYFUNCTION("""COMPUTED_VALUE"""),"currentFxRate")</f>
        <v>currentFxRate</v>
      </c>
      <c r="CB5" s="60" t="str">
        <f>IFERROR(__xludf.DUMMYFUNCTION("""COMPUTED_VALUE"""),"yesterdayFxRate")</f>
        <v>yesterdayFxRate</v>
      </c>
      <c r="CC5" s="60" t="str">
        <f>IFERROR(__xludf.DUMMYFUNCTION("""COMPUTED_VALUE"""),"fxConversionMethod")</f>
        <v>fxConversionMethod</v>
      </c>
      <c r="CD5" s="60" t="str">
        <f>IFERROR(__xludf.DUMMYFUNCTION("""COMPUTED_VALUE"""),"askPrice")</f>
        <v>askPrice</v>
      </c>
      <c r="CE5" s="60" t="str">
        <f>IFERROR(__xludf.DUMMYFUNCTION("""COMPUTED_VALUE"""),"bidPrice")</f>
        <v>bidPrice</v>
      </c>
      <c r="CF5" s="60" t="str">
        <f>IFERROR(__xludf.DUMMYFUNCTION("""COMPUTED_VALUE"""),"lowPrice")</f>
        <v>lowPrice</v>
      </c>
      <c r="CG5" s="60" t="str">
        <f>IFERROR(__xludf.DUMMYFUNCTION("""COMPUTED_VALUE"""),"highPrice")</f>
        <v>highPrice</v>
      </c>
      <c r="CH5" s="60" t="str">
        <f>IFERROR(__xludf.DUMMYFUNCTION("""COMPUTED_VALUE"""),"openPrice")</f>
        <v>openPrice</v>
      </c>
      <c r="CI5" s="60" t="str">
        <f>IFERROR(__xludf.DUMMYFUNCTION("""COMPUTED_VALUE"""),"closePrice")</f>
        <v>closePrice</v>
      </c>
      <c r="CJ5" s="60" t="str">
        <f>IFERROR(__xludf.DUMMYFUNCTION("""COMPUTED_VALUE"""),"lastPrice")</f>
        <v>lastPrice</v>
      </c>
      <c r="CK5" s="60" t="str">
        <f>IFERROR(__xludf.DUMMYFUNCTION("""COMPUTED_VALUE"""),"markPrice")</f>
        <v>markPrice</v>
      </c>
      <c r="CL5" s="60" t="str">
        <f>IFERROR(__xludf.DUMMYFUNCTION("""COMPUTED_VALUE"""),"delta")</f>
        <v>delta</v>
      </c>
      <c r="CM5" s="60" t="str">
        <f>IFERROR(__xludf.DUMMYFUNCTION("""COMPUTED_VALUE"""),"leveragedFactor")</f>
        <v>leveragedFactor</v>
      </c>
      <c r="CN5" s="60" t="str">
        <f>IFERROR(__xludf.DUMMYFUNCTION("""COMPUTED_VALUE"""),"beta5YearMonthly")</f>
        <v>beta5YearMonthly</v>
      </c>
      <c r="CO5" s="60" t="str">
        <f>IFERROR(__xludf.DUMMYFUNCTION("""COMPUTED_VALUE"""),"selectedFeedPrice")</f>
        <v>selectedFeedPrice</v>
      </c>
      <c r="CP5" s="60" t="str">
        <f>IFERROR(__xludf.DUMMYFUNCTION("""COMPUTED_VALUE"""),"openInterest")</f>
        <v>openInterest</v>
      </c>
      <c r="CQ5" s="60" t="str">
        <f>IFERROR(__xludf.DUMMYFUNCTION("""COMPUTED_VALUE"""),"underlyingPrice")</f>
        <v>underlyingPrice</v>
      </c>
      <c r="CR5" s="60" t="str">
        <f>IFERROR(__xludf.DUMMYFUNCTION("""COMPUTED_VALUE"""),"avgVolume20Days")</f>
        <v>avgVolume20Days</v>
      </c>
      <c r="CS5" s="60" t="str">
        <f>IFERROR(__xludf.DUMMYFUNCTION("""COMPUTED_VALUE"""),"percentAvgVolume")</f>
        <v>percentAvgVolume</v>
      </c>
      <c r="CT5" s="60" t="str">
        <f>IFERROR(__xludf.DUMMYFUNCTION("""COMPUTED_VALUE"""),"sharesOutstanding")</f>
        <v>sharesOutstanding</v>
      </c>
      <c r="CU5" s="60" t="str">
        <f>IFERROR(__xludf.DUMMYFUNCTION("""COMPUTED_VALUE"""),"underlyingSharesOutstanding")</f>
        <v>underlyingSharesOutstanding</v>
      </c>
      <c r="CV5" s="60" t="str">
        <f>IFERROR(__xludf.DUMMYFUNCTION("""COMPUTED_VALUE"""),"marketCapitalization")</f>
        <v>marketCapitalization</v>
      </c>
      <c r="CW5" s="60" t="str">
        <f>IFERROR(__xludf.DUMMYFUNCTION("""COMPUTED_VALUE"""),"underlyingMarketCapitalization")</f>
        <v>underlyingMarketCapitalization</v>
      </c>
      <c r="CX5" s="60" t="str">
        <f>IFERROR(__xludf.DUMMYFUNCTION("""COMPUTED_VALUE"""),"avgVolume")</f>
        <v>avgVolume</v>
      </c>
      <c r="CY5" s="60" t="str">
        <f>IFERROR(__xludf.DUMMYFUNCTION("""COMPUTED_VALUE"""),"businessDaysToExpire")</f>
        <v>businessDaysToExpire</v>
      </c>
      <c r="CZ5" s="60" t="str">
        <f>IFERROR(__xludf.DUMMYFUNCTION("""COMPUTED_VALUE"""),"actualDaysToExpire")</f>
        <v>actualDaysToExpire</v>
      </c>
      <c r="DA5" s="60" t="str">
        <f>IFERROR(__xludf.DUMMYFUNCTION("""COMPUTED_VALUE"""),"equivalent")</f>
        <v>equivalent</v>
      </c>
      <c r="DB5" s="60" t="str">
        <f>IFERROR(__xludf.DUMMYFUNCTION("""COMPUTED_VALUE"""),"multiplier")</f>
        <v>multiplier</v>
      </c>
      <c r="DC5" s="60" t="str">
        <f>IFERROR(__xludf.DUMMYFUNCTION("""COMPUTED_VALUE"""),"dayInterestBase")</f>
        <v>dayInterestBase</v>
      </c>
      <c r="DD5" s="60" t="str">
        <f>IFERROR(__xludf.DUMMYFUNCTION("""COMPUTED_VALUE"""),"totalInterestBase")</f>
        <v>totalInterestBase</v>
      </c>
      <c r="DE5" s="60" t="str">
        <f>IFERROR(__xludf.DUMMYFUNCTION("""COMPUTED_VALUE"""),"dayInterestLocal")</f>
        <v>dayInterestLocal</v>
      </c>
      <c r="DF5" s="60" t="str">
        <f>IFERROR(__xludf.DUMMYFUNCTION("""COMPUTED_VALUE"""),"totalInterestLocal")</f>
        <v>totalInterestLocal</v>
      </c>
      <c r="DG5" s="60" t="str">
        <f>IFERROR(__xludf.DUMMYFUNCTION("""COMPUTED_VALUE"""),"defaultPositionSide")</f>
        <v>defaultPositionSide</v>
      </c>
      <c r="DH5" s="60" t="str">
        <f>IFERROR(__xludf.DUMMYFUNCTION("""COMPUTED_VALUE"""),"exposurePositionSide")</f>
        <v>exposurePositionSide</v>
      </c>
      <c r="DI5" s="60" t="str">
        <f>IFERROR(__xludf.DUMMYFUNCTION("""COMPUTED_VALUE"""),"longNotionalBase")</f>
        <v>longNotionalBase</v>
      </c>
      <c r="DJ5" s="60" t="str">
        <f>IFERROR(__xludf.DUMMYFUNCTION("""COMPUTED_VALUE"""),"shortNotionalBase")</f>
        <v>shortNotionalBase</v>
      </c>
      <c r="DK5" s="60" t="str">
        <f>IFERROR(__xludf.DUMMYFUNCTION("""COMPUTED_VALUE"""),"shortMarketValueBase")</f>
        <v>shortMarketValueBase</v>
      </c>
      <c r="DL5" s="60" t="str">
        <f>IFERROR(__xludf.DUMMYFUNCTION("""COMPUTED_VALUE"""),"longMarketValueBase")</f>
        <v>longMarketValueBase</v>
      </c>
      <c r="DM5" s="60" t="str">
        <f>IFERROR(__xludf.DUMMYFUNCTION("""COMPUTED_VALUE"""),"shortExposureBase")</f>
        <v>shortExposureBase</v>
      </c>
      <c r="DN5" s="60" t="str">
        <f>IFERROR(__xludf.DUMMYFUNCTION("""COMPUTED_VALUE"""),"longExposureBase")</f>
        <v>longExposureBase</v>
      </c>
      <c r="DO5" s="60" t="str">
        <f>IFERROR(__xludf.DUMMYFUNCTION("""COMPUTED_VALUE"""),"globalNav")</f>
        <v>globalNav</v>
      </c>
      <c r="DP5" s="60" t="str">
        <f>IFERROR(__xludf.DUMMYFUNCTION("""COMPUTED_VALUE"""),"startOfDayNavGlobal")</f>
        <v>startOfDayNavGlobal</v>
      </c>
      <c r="DQ5" s="60" t="str">
        <f>IFERROR(__xludf.DUMMYFUNCTION("""COMPUTED_VALUE"""),"grossMarketValueBaseGlobal")</f>
        <v>grossMarketValueBaseGlobal</v>
      </c>
      <c r="DR5" s="60" t="str">
        <f>IFERROR(__xludf.DUMMYFUNCTION("""COMPUTED_VALUE"""),"grossExposureBaseGlobal")</f>
        <v>grossExposureBaseGlobal</v>
      </c>
      <c r="DS5" s="60" t="str">
        <f>IFERROR(__xludf.DUMMYFUNCTION("""COMPUTED_VALUE"""),"netExposureBaseGlobal")</f>
        <v>netExposureBaseGlobal</v>
      </c>
      <c r="DT5" s="60" t="str">
        <f>IFERROR(__xludf.DUMMYFUNCTION("""COMPUTED_VALUE"""),"accountNav")</f>
        <v>accountNav</v>
      </c>
      <c r="DU5" s="60" t="str">
        <f>IFERROR(__xludf.DUMMYFUNCTION("""COMPUTED_VALUE"""),"accountNRA")</f>
        <v>accountNRA</v>
      </c>
      <c r="DV5" s="60" t="str">
        <f>IFERROR(__xludf.DUMMYFUNCTION("""COMPUTED_VALUE"""),"startOfDayNavAccount")</f>
        <v>startOfDayNavAccount</v>
      </c>
      <c r="DW5" s="60" t="str">
        <f>IFERROR(__xludf.DUMMYFUNCTION("""COMPUTED_VALUE"""),"grossMarketValueBaseAccount")</f>
        <v>grossMarketValueBaseAccount</v>
      </c>
      <c r="DX5" s="60" t="str">
        <f>IFERROR(__xludf.DUMMYFUNCTION("""COMPUTED_VALUE"""),"grossExposureBaseAccount")</f>
        <v>grossExposureBaseAccount</v>
      </c>
      <c r="DY5" s="60" t="str">
        <f>IFERROR(__xludf.DUMMYFUNCTION("""COMPUTED_VALUE"""),"netExposureBaseAccount")</f>
        <v>netExposureBaseAccount</v>
      </c>
      <c r="DZ5" s="60" t="str">
        <f>IFERROR(__xludf.DUMMYFUNCTION("""COMPUTED_VALUE"""),"currentCash")</f>
        <v>currentCash</v>
      </c>
      <c r="EA5" s="60" t="str">
        <f>IFERROR(__xludf.DUMMYFUNCTION("""COMPUTED_VALUE"""),"accrual")</f>
        <v>accrual</v>
      </c>
      <c r="EB5" s="60" t="str">
        <f>IFERROR(__xludf.DUMMYFUNCTION("""COMPUTED_VALUE"""),"masterFundNav")</f>
        <v>masterFundNav</v>
      </c>
      <c r="EC5" s="60" t="str">
        <f>IFERROR(__xludf.DUMMYFUNCTION("""COMPUTED_VALUE"""),"startOfDayNavMasterFund")</f>
        <v>startOfDayNavMasterFund</v>
      </c>
      <c r="ED5" s="60" t="str">
        <f>IFERROR(__xludf.DUMMYFUNCTION("""COMPUTED_VALUE"""),"grossMarketValueBaseMasterFund")</f>
        <v>grossMarketValueBaseMasterFund</v>
      </c>
      <c r="EE5" s="60" t="str">
        <f>IFERROR(__xludf.DUMMYFUNCTION("""COMPUTED_VALUE"""),"grossExposureBaseMasterFund")</f>
        <v>grossExposureBaseMasterFund</v>
      </c>
      <c r="EF5" s="60" t="str">
        <f>IFERROR(__xludf.DUMMYFUNCTION("""COMPUTED_VALUE"""),"netExposureBaseMasterFund")</f>
        <v>netExposureBaseMasterFund</v>
      </c>
      <c r="EG5" s="60" t="str">
        <f>IFERROR(__xludf.DUMMYFUNCTION("""COMPUTED_VALUE"""),"percentNetMarketValueAccount")</f>
        <v>percentNetMarketValueAccount</v>
      </c>
      <c r="EH5" s="60" t="str">
        <f>IFERROR(__xludf.DUMMYFUNCTION("""COMPUTED_VALUE"""),"percentLongExposureAccount")</f>
        <v>percentLongExposureAccount</v>
      </c>
      <c r="EI5" s="60" t="str">
        <f>IFERROR(__xludf.DUMMYFUNCTION("""COMPUTED_VALUE"""),"percentShortExposureAccount")</f>
        <v>percentShortExposureAccount</v>
      </c>
      <c r="EJ5" s="60" t="str">
        <f>IFERROR(__xludf.DUMMYFUNCTION("""COMPUTED_VALUE"""),"percentNetExposureAccount")</f>
        <v>percentNetExposureAccount</v>
      </c>
      <c r="EK5" s="60" t="str">
        <f>IFERROR(__xludf.DUMMYFUNCTION("""COMPUTED_VALUE"""),"percentBetaAdjustedExposureAccount")</f>
        <v>percentBetaAdjustedExposureAccount</v>
      </c>
      <c r="EL5" s="60" t="str">
        <f>IFERROR(__xludf.DUMMYFUNCTION("""COMPUTED_VALUE"""),"percentGrossExposureAccount")</f>
        <v>percentGrossExposureAccount</v>
      </c>
      <c r="EM5" s="60" t="str">
        <f>IFERROR(__xludf.DUMMYFUNCTION("""COMPUTED_VALUE"""),"percentLongMarketValueAccount")</f>
        <v>percentLongMarketValueAccount</v>
      </c>
      <c r="EN5" s="60" t="str">
        <f>IFERROR(__xludf.DUMMYFUNCTION("""COMPUTED_VALUE"""),"percentShortMarketValueAccount")</f>
        <v>percentShortMarketValueAccount</v>
      </c>
      <c r="EO5" s="60" t="str">
        <f>IFERROR(__xludf.DUMMYFUNCTION("""COMPUTED_VALUE"""),"percentGrossMarketValueAccount")</f>
        <v>percentGrossMarketValueAccount</v>
      </c>
      <c r="EP5" s="60" t="str">
        <f>IFERROR(__xludf.DUMMYFUNCTION("""COMPUTED_VALUE"""),"percentLongNotionalAccount")</f>
        <v>percentLongNotionalAccount</v>
      </c>
      <c r="EQ5" s="60" t="str">
        <f>IFERROR(__xludf.DUMMYFUNCTION("""COMPUTED_VALUE"""),"percentShortNotionalAccount")</f>
        <v>percentShortNotionalAccount</v>
      </c>
      <c r="ER5" s="60" t="str">
        <f>IFERROR(__xludf.DUMMYFUNCTION("""COMPUTED_VALUE"""),"percentNetNotionalAccount")</f>
        <v>percentNetNotionalAccount</v>
      </c>
      <c r="ES5" s="60" t="str">
        <f>IFERROR(__xludf.DUMMYFUNCTION("""COMPUTED_VALUE"""),"pnlContributionAccount")</f>
        <v>pnlContributionAccount</v>
      </c>
      <c r="ET5" s="60" t="str">
        <f>IFERROR(__xludf.DUMMYFUNCTION("""COMPUTED_VALUE"""),"percentCostBasisPnlAccount")</f>
        <v>percentCostBasisPnlAccount</v>
      </c>
      <c r="EU5" s="60" t="str">
        <f>IFERROR(__xludf.DUMMYFUNCTION("""COMPUTED_VALUE"""),"dayReturnAccount")</f>
        <v>dayReturnAccount</v>
      </c>
      <c r="EV5" s="60" t="str">
        <f>IFERROR(__xludf.DUMMYFUNCTION("""COMPUTED_VALUE"""),"percentNetMarketValueMasterFund")</f>
        <v>percentNetMarketValueMasterFund</v>
      </c>
      <c r="EW5" s="60" t="str">
        <f>IFERROR(__xludf.DUMMYFUNCTION("""COMPUTED_VALUE"""),"percentLongExposureMasterFund")</f>
        <v>percentLongExposureMasterFund</v>
      </c>
      <c r="EX5" s="60" t="str">
        <f>IFERROR(__xludf.DUMMYFUNCTION("""COMPUTED_VALUE"""),"percentShortExposureMasterFund")</f>
        <v>percentShortExposureMasterFund</v>
      </c>
      <c r="EY5" s="60" t="str">
        <f>IFERROR(__xludf.DUMMYFUNCTION("""COMPUTED_VALUE"""),"percentNetExposureMasterFund")</f>
        <v>percentNetExposureMasterFund</v>
      </c>
      <c r="EZ5" s="60" t="str">
        <f>IFERROR(__xludf.DUMMYFUNCTION("""COMPUTED_VALUE"""),"percentBetaAdjustedExposureMasterFund")</f>
        <v>percentBetaAdjustedExposureMasterFund</v>
      </c>
      <c r="FA5" s="60" t="str">
        <f>IFERROR(__xludf.DUMMYFUNCTION("""COMPUTED_VALUE"""),"percentGrossExposureMasterFund")</f>
        <v>percentGrossExposureMasterFund</v>
      </c>
      <c r="FB5" s="60" t="str">
        <f>IFERROR(__xludf.DUMMYFUNCTION("""COMPUTED_VALUE"""),"percentLongMarketValueMasterFund")</f>
        <v>percentLongMarketValueMasterFund</v>
      </c>
      <c r="FC5" s="60" t="str">
        <f>IFERROR(__xludf.DUMMYFUNCTION("""COMPUTED_VALUE"""),"percentShortMarketValueMasterFund")</f>
        <v>percentShortMarketValueMasterFund</v>
      </c>
      <c r="FD5" s="60" t="str">
        <f>IFERROR(__xludf.DUMMYFUNCTION("""COMPUTED_VALUE"""),"percentGrossMarketValueMasterFund")</f>
        <v>percentGrossMarketValueMasterFund</v>
      </c>
      <c r="FE5" s="60" t="str">
        <f>IFERROR(__xludf.DUMMYFUNCTION("""COMPUTED_VALUE"""),"percentLongNotionalMasterFund")</f>
        <v>percentLongNotionalMasterFund</v>
      </c>
      <c r="FF5" s="60" t="str">
        <f>IFERROR(__xludf.DUMMYFUNCTION("""COMPUTED_VALUE"""),"percentShortNotionalMasterFund")</f>
        <v>percentShortNotionalMasterFund</v>
      </c>
      <c r="FG5" s="60" t="str">
        <f>IFERROR(__xludf.DUMMYFUNCTION("""COMPUTED_VALUE"""),"percentNetNotionalMasterFund")</f>
        <v>percentNetNotionalMasterFund</v>
      </c>
      <c r="FH5" s="60" t="str">
        <f>IFERROR(__xludf.DUMMYFUNCTION("""COMPUTED_VALUE"""),"pnlContributionMasterFund")</f>
        <v>pnlContributionMasterFund</v>
      </c>
      <c r="FI5" s="60" t="str">
        <f>IFERROR(__xludf.DUMMYFUNCTION("""COMPUTED_VALUE"""),"percentCostBasisPnlMasterFund")</f>
        <v>percentCostBasisPnlMasterFund</v>
      </c>
      <c r="FJ5" s="60" t="str">
        <f>IFERROR(__xludf.DUMMYFUNCTION("""COMPUTED_VALUE"""),"dayReturnMasterFund")</f>
        <v>dayReturnMasterFund</v>
      </c>
      <c r="FK5" s="60" t="str">
        <f>IFERROR(__xludf.DUMMYFUNCTION("""COMPUTED_VALUE"""),"percentNetMarketValueGlobal")</f>
        <v>percentNetMarketValueGlobal</v>
      </c>
      <c r="FL5" s="60" t="str">
        <f>IFERROR(__xludf.DUMMYFUNCTION("""COMPUTED_VALUE"""),"percentLongExposureGlobal")</f>
        <v>percentLongExposureGlobal</v>
      </c>
      <c r="FM5" s="60" t="str">
        <f>IFERROR(__xludf.DUMMYFUNCTION("""COMPUTED_VALUE"""),"percentShortExposureGlobal")</f>
        <v>percentShortExposureGlobal</v>
      </c>
      <c r="FN5" s="60" t="str">
        <f>IFERROR(__xludf.DUMMYFUNCTION("""COMPUTED_VALUE"""),"percentNetExposureGlobal")</f>
        <v>percentNetExposureGlobal</v>
      </c>
      <c r="FO5" s="60" t="str">
        <f>IFERROR(__xludf.DUMMYFUNCTION("""COMPUTED_VALUE"""),"percentBetaAdjustedExposureGlobal")</f>
        <v>percentBetaAdjustedExposureGlobal</v>
      </c>
      <c r="FP5" s="60" t="str">
        <f>IFERROR(__xludf.DUMMYFUNCTION("""COMPUTED_VALUE"""),"percentGrossExposureGlobal")</f>
        <v>percentGrossExposureGlobal</v>
      </c>
      <c r="FQ5" s="60" t="str">
        <f>IFERROR(__xludf.DUMMYFUNCTION("""COMPUTED_VALUE"""),"percentLongMarketValueGlobal")</f>
        <v>percentLongMarketValueGlobal</v>
      </c>
      <c r="FR5" s="60" t="str">
        <f>IFERROR(__xludf.DUMMYFUNCTION("""COMPUTED_VALUE"""),"percentShortMarketValueGlobal")</f>
        <v>percentShortMarketValueGlobal</v>
      </c>
      <c r="FS5" s="60" t="str">
        <f>IFERROR(__xludf.DUMMYFUNCTION("""COMPUTED_VALUE"""),"percentGrossMarketValueGlobal")</f>
        <v>percentGrossMarketValueGlobal</v>
      </c>
      <c r="FT5" s="60" t="str">
        <f>IFERROR(__xludf.DUMMYFUNCTION("""COMPUTED_VALUE"""),"percentLongNotionalGlobal")</f>
        <v>percentLongNotionalGlobal</v>
      </c>
      <c r="FU5" s="60" t="str">
        <f>IFERROR(__xludf.DUMMYFUNCTION("""COMPUTED_VALUE"""),"percentShortNotionalGlobal")</f>
        <v>percentShortNotionalGlobal</v>
      </c>
      <c r="FV5" s="60" t="str">
        <f>IFERROR(__xludf.DUMMYFUNCTION("""COMPUTED_VALUE"""),"percentNetNotionalGlobal")</f>
        <v>percentNetNotionalGlobal</v>
      </c>
      <c r="FW5" s="60" t="str">
        <f>IFERROR(__xludf.DUMMYFUNCTION("""COMPUTED_VALUE"""),"pnlContributionGlobal")</f>
        <v>pnlContributionGlobal</v>
      </c>
      <c r="FX5" s="60" t="str">
        <f>IFERROR(__xludf.DUMMYFUNCTION("""COMPUTED_VALUE"""),"percentCostBasisPnlGlobal")</f>
        <v>percentCostBasisPnlGlobal</v>
      </c>
      <c r="FY5" s="60" t="str">
        <f>IFERROR(__xludf.DUMMYFUNCTION("""COMPUTED_VALUE"""),"dayReturnGlobal")</f>
        <v>dayReturnGlobal</v>
      </c>
      <c r="FZ5" s="60" t="str">
        <f>IFERROR(__xludf.DUMMYFUNCTION("""COMPUTED_VALUE"""),"longDebitBalance")</f>
        <v>longDebitBalance</v>
      </c>
      <c r="GA5" s="60" t="str">
        <f>IFERROR(__xludf.DUMMYFUNCTION("""COMPUTED_VALUE"""),"shortCreditBalance")</f>
        <v>shortCreditBalance</v>
      </c>
      <c r="GB5" s="60"/>
      <c r="GC5" s="60"/>
      <c r="GD5" s="60"/>
      <c r="GE5" s="60"/>
      <c r="GF5" s="60"/>
      <c r="GG5" s="60"/>
      <c r="GH5" s="60"/>
      <c r="GI5" s="60"/>
      <c r="GJ5" s="60"/>
      <c r="GK5" s="60"/>
    </row>
    <row r="6" ht="15.75" customHeight="1">
      <c r="A6" s="61"/>
      <c r="B6" s="62" t="s">
        <v>43</v>
      </c>
      <c r="C6" s="63"/>
      <c r="D6" s="62" t="s">
        <v>47</v>
      </c>
      <c r="E6" s="66" t="s">
        <v>42</v>
      </c>
      <c r="F6" s="66" t="s">
        <v>42</v>
      </c>
      <c r="G6" s="63" t="s">
        <v>21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3"/>
      <c r="AG6" s="63"/>
      <c r="AH6" s="63"/>
      <c r="AI6" s="63"/>
      <c r="AJ6" s="63"/>
      <c r="AK6" s="63"/>
      <c r="AL6" s="63"/>
      <c r="AM6" s="63"/>
      <c r="AN6" s="64"/>
      <c r="AO6" s="64"/>
      <c r="AP6" s="67">
        <v>100.0</v>
      </c>
      <c r="AQ6" s="67">
        <v>100.0</v>
      </c>
      <c r="AR6" s="65">
        <v>0.0</v>
      </c>
      <c r="AS6" s="67">
        <v>15.0</v>
      </c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</row>
    <row r="7" ht="15.75" customHeight="1">
      <c r="A7" s="63"/>
      <c r="B7" s="63" t="s">
        <v>43</v>
      </c>
      <c r="C7" s="63"/>
      <c r="D7" s="63" t="s">
        <v>47</v>
      </c>
      <c r="E7" s="66" t="s">
        <v>41</v>
      </c>
      <c r="F7" s="66" t="s">
        <v>41</v>
      </c>
      <c r="G7" s="63" t="s">
        <v>21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3"/>
      <c r="AG7" s="63"/>
      <c r="AH7" s="63"/>
      <c r="AI7" s="63"/>
      <c r="AJ7" s="63"/>
      <c r="AK7" s="63"/>
      <c r="AL7" s="63"/>
      <c r="AM7" s="63"/>
      <c r="AN7" s="64"/>
      <c r="AO7" s="64"/>
      <c r="AP7" s="67">
        <v>100.0</v>
      </c>
      <c r="AQ7" s="67">
        <v>100.0</v>
      </c>
      <c r="AR7" s="65">
        <v>0.0</v>
      </c>
      <c r="AS7" s="67">
        <v>15.0</v>
      </c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</row>
    <row r="27" ht="15.7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</row>
    <row r="28" ht="15.7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</row>
    <row r="29" ht="15.7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</row>
    <row r="30" ht="15.7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</row>
    <row r="31" ht="15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</row>
    <row r="32" ht="15.7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</row>
    <row r="33" ht="15.7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</row>
    <row r="34" ht="15.7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</row>
    <row r="35" ht="15.7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</row>
    <row r="36" ht="15.7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</row>
    <row r="37" ht="15.7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</row>
    <row r="38" ht="15.7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</row>
    <row r="39" ht="15.7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</row>
    <row r="40" ht="15.7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</row>
    <row r="41" ht="15.7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</row>
    <row r="42" ht="15.7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</row>
    <row r="43" ht="15.7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</row>
    <row r="44" ht="15.7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</row>
    <row r="45" ht="15.7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</row>
    <row r="46" ht="15.7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</row>
    <row r="47" ht="15.7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</row>
    <row r="48" ht="15.7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</row>
    <row r="49" ht="15.7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</row>
    <row r="50" ht="15.7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</row>
    <row r="51" ht="15.7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</row>
    <row r="52" ht="15.7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</row>
    <row r="53" ht="15.7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</row>
    <row r="54" ht="15.7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</row>
    <row r="55" ht="15.7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</row>
    <row r="56" ht="15.7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</row>
    <row r="57" ht="15.7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</row>
    <row r="58" ht="15.7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</row>
    <row r="59" ht="15.7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/>
      <c r="ES59" s="57"/>
      <c r="ET59" s="57"/>
      <c r="EU59" s="57"/>
      <c r="EV59" s="57"/>
      <c r="EW59" s="57"/>
      <c r="EX59" s="57"/>
      <c r="EY59" s="57"/>
      <c r="EZ59" s="57"/>
      <c r="FA59" s="57"/>
      <c r="FB59" s="57"/>
      <c r="FC59" s="57"/>
      <c r="FD59" s="57"/>
      <c r="FE59" s="57"/>
      <c r="FF59" s="57"/>
      <c r="FG59" s="57"/>
      <c r="FH59" s="57"/>
      <c r="FI59" s="57"/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57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  <c r="FH60" s="57"/>
      <c r="FI60" s="57"/>
      <c r="FJ60" s="57"/>
      <c r="FK60" s="57"/>
      <c r="FL60" s="57"/>
      <c r="FM60" s="57"/>
      <c r="FN60" s="57"/>
      <c r="FO60" s="57"/>
      <c r="FP60" s="57"/>
      <c r="FQ60" s="57"/>
      <c r="FR60" s="57"/>
      <c r="FS60" s="57"/>
      <c r="FT60" s="57"/>
      <c r="FU60" s="57"/>
      <c r="FV60" s="57"/>
      <c r="FW60" s="57"/>
      <c r="FX60" s="57"/>
      <c r="FY60" s="57"/>
      <c r="FZ60" s="57"/>
      <c r="GA60" s="57"/>
      <c r="GB60" s="57"/>
      <c r="GC60" s="57"/>
      <c r="GD60" s="57"/>
      <c r="GE60" s="57"/>
      <c r="GF60" s="57"/>
      <c r="GG60" s="57"/>
      <c r="GH60" s="57"/>
      <c r="GI60" s="57"/>
      <c r="GJ60" s="57"/>
      <c r="GK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/>
      <c r="FX61" s="57"/>
      <c r="FY61" s="57"/>
      <c r="FZ61" s="57"/>
      <c r="GA61" s="57"/>
      <c r="GB61" s="57"/>
      <c r="GC61" s="57"/>
      <c r="GD61" s="57"/>
      <c r="GE61" s="57"/>
      <c r="GF61" s="57"/>
      <c r="GG61" s="57"/>
      <c r="GH61" s="57"/>
      <c r="GI61" s="57"/>
      <c r="GJ61" s="57"/>
      <c r="GK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</row>
    <row r="63" ht="15.7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</row>
    <row r="64" ht="15.7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</row>
    <row r="65" ht="15.7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</row>
    <row r="66" ht="15.7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</row>
    <row r="67" ht="15.7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</row>
    <row r="68" ht="15.7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</row>
    <row r="69" ht="15.7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</row>
    <row r="70" ht="15.7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</row>
    <row r="71" ht="15.7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</row>
    <row r="72" ht="15.7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</row>
    <row r="73" ht="15.7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</row>
    <row r="74" ht="15.7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</row>
    <row r="75" ht="15.7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</row>
    <row r="76" ht="15.7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</row>
    <row r="77" ht="15.7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57"/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/>
      <c r="FQ91" s="57"/>
      <c r="FR91" s="57"/>
      <c r="FS91" s="57"/>
      <c r="FT91" s="57"/>
      <c r="FU91" s="57"/>
      <c r="FV91" s="57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/>
      <c r="FX94" s="57"/>
      <c r="FY94" s="57"/>
      <c r="FZ94" s="57"/>
      <c r="GA94" s="57"/>
      <c r="GB94" s="57"/>
      <c r="GC94" s="57"/>
      <c r="GD94" s="57"/>
      <c r="GE94" s="57"/>
      <c r="GF94" s="57"/>
      <c r="GG94" s="57"/>
      <c r="GH94" s="57"/>
      <c r="GI94" s="57"/>
      <c r="GJ94" s="57"/>
      <c r="GK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57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57"/>
      <c r="FR99" s="57"/>
      <c r="FS99" s="57"/>
      <c r="FT99" s="57"/>
      <c r="FU99" s="57"/>
      <c r="FV99" s="57"/>
      <c r="FW99" s="57"/>
      <c r="FX99" s="57"/>
      <c r="FY99" s="57"/>
      <c r="FZ99" s="57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30.0</v>
      </c>
      <c r="D6" s="41">
        <v>200.0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32</v>
      </c>
      <c r="AL6" s="55">
        <v>100.0</v>
      </c>
      <c r="AM6" s="44">
        <v>20.0</v>
      </c>
      <c r="AN6" s="44">
        <v>20.0</v>
      </c>
      <c r="AO6" s="44">
        <v>20.0</v>
      </c>
      <c r="AP6" s="44">
        <v>70.0</v>
      </c>
      <c r="AQ6" s="55"/>
      <c r="AR6" s="55">
        <v>10.0</v>
      </c>
      <c r="AS6" s="40" t="s">
        <v>33</v>
      </c>
      <c r="AT6" s="40" t="s">
        <v>34</v>
      </c>
      <c r="AU6" s="40" t="s">
        <v>35</v>
      </c>
      <c r="AV6" s="44">
        <v>200.0</v>
      </c>
      <c r="AW6" s="44">
        <v>200.0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8">
        <v>10.0</v>
      </c>
      <c r="C6" s="36"/>
      <c r="D6" s="35" t="s">
        <v>21</v>
      </c>
      <c r="E6" s="36"/>
      <c r="F6" s="36" t="s">
        <v>22</v>
      </c>
      <c r="G6" s="36" t="s">
        <v>32</v>
      </c>
      <c r="H6" s="42">
        <v>100.0</v>
      </c>
      <c r="I6" s="43">
        <v>20.0</v>
      </c>
      <c r="J6" s="43">
        <v>20.0</v>
      </c>
      <c r="K6" s="43">
        <v>20.0</v>
      </c>
      <c r="L6" s="43">
        <v>70.0</v>
      </c>
      <c r="M6" s="36"/>
      <c r="N6" s="36"/>
      <c r="O6" s="36"/>
      <c r="P6" s="36"/>
      <c r="Q6" s="36" t="s">
        <v>33</v>
      </c>
      <c r="R6" s="36" t="s">
        <v>34</v>
      </c>
      <c r="S6" s="36"/>
      <c r="T6" s="40" t="s">
        <v>35</v>
      </c>
      <c r="U6" s="40"/>
      <c r="V6" s="40"/>
      <c r="W6" s="40"/>
      <c r="X6" s="40"/>
      <c r="Y6" s="40"/>
      <c r="Z6" s="40"/>
      <c r="AA6" s="69">
        <v>10.0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8">
        <v>10.0</v>
      </c>
      <c r="E6" s="36"/>
      <c r="F6" s="36"/>
      <c r="G6" s="38">
        <v>10.0</v>
      </c>
      <c r="H6" s="36"/>
      <c r="I6" s="36"/>
      <c r="J6" s="63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9" t="s">
        <v>52</v>
      </c>
      <c r="AL6" s="44">
        <v>30.0</v>
      </c>
      <c r="AM6" s="44">
        <v>20.0</v>
      </c>
      <c r="AN6" s="69"/>
      <c r="AO6" s="55"/>
      <c r="AP6" s="55">
        <v>10.0</v>
      </c>
      <c r="AQ6" s="40"/>
      <c r="AR6" s="40"/>
      <c r="AS6" s="40"/>
      <c r="AT6" s="40"/>
      <c r="AU6" s="40"/>
      <c r="AV6" s="40"/>
      <c r="AW6" s="40"/>
      <c r="AX6" s="55">
        <v>10.0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5"/>
      <c r="B6" s="35"/>
      <c r="C6" s="63" t="s">
        <v>21</v>
      </c>
      <c r="D6" s="71">
        <v>10.0</v>
      </c>
      <c r="E6" s="36" t="s">
        <v>42</v>
      </c>
      <c r="F6" s="36" t="s">
        <v>55</v>
      </c>
      <c r="G6" s="38">
        <v>10.0</v>
      </c>
      <c r="H6" s="36" t="s">
        <v>56</v>
      </c>
      <c r="I6" s="72"/>
      <c r="J6" s="36"/>
      <c r="K6" s="72">
        <v>0.0</v>
      </c>
      <c r="L6" s="36"/>
      <c r="M6" s="36"/>
      <c r="N6" s="71">
        <v>-100.0</v>
      </c>
      <c r="O6" s="63" t="s">
        <v>57</v>
      </c>
      <c r="P6" s="36" t="s">
        <v>58</v>
      </c>
      <c r="Q6" s="71">
        <v>-100.0</v>
      </c>
      <c r="R6" s="36" t="s">
        <v>33</v>
      </c>
      <c r="S6" s="36" t="s">
        <v>59</v>
      </c>
      <c r="T6" s="64" t="s">
        <v>60</v>
      </c>
      <c r="U6" s="64" t="s">
        <v>61</v>
      </c>
      <c r="V6" s="64" t="s">
        <v>62</v>
      </c>
      <c r="W6" s="64" t="s">
        <v>63</v>
      </c>
      <c r="X6" s="40"/>
      <c r="Y6" s="55">
        <v>1.0</v>
      </c>
      <c r="Z6" s="64"/>
      <c r="AA6" s="64"/>
      <c r="AB6" s="55">
        <v>0.0</v>
      </c>
      <c r="AC6" s="55">
        <v>0.0</v>
      </c>
      <c r="AD6" s="73">
        <v>0.0</v>
      </c>
      <c r="AE6" s="73">
        <v>0.0</v>
      </c>
      <c r="AF6" s="74">
        <v>10.0</v>
      </c>
      <c r="AG6" s="73">
        <v>0.0</v>
      </c>
      <c r="AH6" s="73">
        <v>0.0</v>
      </c>
      <c r="AI6" s="73">
        <v>0.0</v>
      </c>
      <c r="AJ6" s="75"/>
      <c r="AK6" s="74">
        <v>-100.0</v>
      </c>
      <c r="AL6" s="55">
        <v>1.0</v>
      </c>
      <c r="AM6" s="55">
        <v>1.0</v>
      </c>
      <c r="AN6" s="64" t="s">
        <v>22</v>
      </c>
      <c r="AO6" s="64"/>
      <c r="AP6" s="64" t="s">
        <v>56</v>
      </c>
      <c r="AQ6" s="64" t="s">
        <v>21</v>
      </c>
      <c r="AR6" s="65">
        <v>0.0</v>
      </c>
      <c r="AS6" s="55">
        <v>1.0</v>
      </c>
      <c r="AT6" s="64"/>
      <c r="AU6" s="64" t="s">
        <v>64</v>
      </c>
      <c r="AV6" s="64"/>
      <c r="AW6" s="74">
        <v>-100.0</v>
      </c>
      <c r="AX6" s="55">
        <v>0.0</v>
      </c>
      <c r="AY6" s="55">
        <v>0.0</v>
      </c>
      <c r="AZ6" s="73">
        <v>0.0</v>
      </c>
      <c r="BA6" s="69">
        <v>-100.0</v>
      </c>
      <c r="BB6" s="64"/>
      <c r="BC6" s="64"/>
      <c r="BD6" s="74">
        <v>-100.0</v>
      </c>
      <c r="BE6" s="64" t="s">
        <v>60</v>
      </c>
      <c r="BF6" s="64" t="s">
        <v>65</v>
      </c>
      <c r="BG6" s="64" t="s">
        <v>66</v>
      </c>
      <c r="BH6" s="64"/>
      <c r="BI6" s="64"/>
      <c r="BJ6" s="55">
        <v>0.0</v>
      </c>
      <c r="BK6" s="55">
        <v>0.0</v>
      </c>
      <c r="BL6" s="55">
        <v>0.0</v>
      </c>
      <c r="BM6" s="55">
        <v>0.0</v>
      </c>
      <c r="BN6" s="64"/>
      <c r="BO6" s="74">
        <v>-100.0</v>
      </c>
      <c r="BP6" s="55">
        <v>0.0</v>
      </c>
      <c r="BQ6" s="64"/>
      <c r="BR6" s="64" t="s">
        <v>33</v>
      </c>
      <c r="BS6" s="55">
        <v>0.0</v>
      </c>
      <c r="BT6" s="55">
        <v>0.0</v>
      </c>
      <c r="BU6" s="64" t="s">
        <v>60</v>
      </c>
      <c r="BV6" s="64"/>
      <c r="BW6" s="64"/>
      <c r="BX6" s="73">
        <v>0.0</v>
      </c>
      <c r="BY6" s="73">
        <v>0.0</v>
      </c>
      <c r="BZ6" s="55">
        <v>0.0</v>
      </c>
      <c r="CA6" s="55">
        <v>0.0</v>
      </c>
      <c r="CB6" s="64"/>
      <c r="CC6" s="55">
        <v>0.0</v>
      </c>
      <c r="CD6" s="74">
        <v>-100.0</v>
      </c>
      <c r="CE6" s="55">
        <v>0.0</v>
      </c>
      <c r="CF6" s="55">
        <v>0.0</v>
      </c>
      <c r="CG6" s="74">
        <v>-100.0</v>
      </c>
      <c r="CH6" s="55">
        <v>-100.0</v>
      </c>
      <c r="CI6" s="55">
        <v>0.0</v>
      </c>
      <c r="CJ6" s="55">
        <v>0.0</v>
      </c>
      <c r="CK6" s="76" t="b">
        <v>0</v>
      </c>
      <c r="CL6" s="64"/>
      <c r="CM6" s="64"/>
      <c r="CN6" s="64"/>
      <c r="CO6" s="64"/>
      <c r="CP6" s="64" t="s">
        <v>67</v>
      </c>
      <c r="CQ6" s="64"/>
      <c r="CR6" s="64"/>
      <c r="CS6" s="55">
        <v>10.0</v>
      </c>
      <c r="CT6" s="64"/>
      <c r="CU6" s="64"/>
      <c r="CV6" s="64"/>
      <c r="CW6" s="64"/>
      <c r="CX6" s="64"/>
      <c r="CY6" s="64"/>
      <c r="CZ6" s="64"/>
      <c r="DA6" s="73">
        <v>0.0</v>
      </c>
      <c r="DB6" s="40"/>
      <c r="DC6" s="64"/>
      <c r="DD6" s="74">
        <v>10.0</v>
      </c>
      <c r="DE6" s="64"/>
      <c r="DF6" s="64"/>
      <c r="DG6" s="64"/>
      <c r="DH6" s="64" t="s">
        <v>58</v>
      </c>
      <c r="DI6" s="55">
        <v>0.0</v>
      </c>
      <c r="DJ6" s="64" t="s">
        <v>22</v>
      </c>
      <c r="DK6" s="55">
        <v>0.0</v>
      </c>
      <c r="DL6" s="55">
        <v>0.0</v>
      </c>
      <c r="DM6" s="55">
        <v>1.0</v>
      </c>
      <c r="DN6" s="40"/>
      <c r="DO6" s="64"/>
      <c r="DP6" s="64" t="s">
        <v>56</v>
      </c>
      <c r="DQ6" s="64" t="s">
        <v>68</v>
      </c>
      <c r="DR6" s="64" t="s">
        <v>69</v>
      </c>
      <c r="DS6" s="64" t="s">
        <v>68</v>
      </c>
      <c r="DT6" s="64" t="s">
        <v>68</v>
      </c>
      <c r="DU6" s="77" t="s">
        <v>70</v>
      </c>
      <c r="DV6" s="64" t="s">
        <v>68</v>
      </c>
      <c r="DW6" s="78"/>
      <c r="DX6" s="64"/>
      <c r="DY6" s="79" t="s">
        <v>68</v>
      </c>
      <c r="DZ6" s="79" t="s">
        <v>57</v>
      </c>
      <c r="EA6" s="79" t="s">
        <v>70</v>
      </c>
      <c r="EB6" s="79" t="s">
        <v>68</v>
      </c>
      <c r="EC6" s="79" t="s">
        <v>68</v>
      </c>
      <c r="ED6" s="64" t="s">
        <v>63</v>
      </c>
      <c r="EE6" s="64"/>
      <c r="EF6" s="64"/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64" t="s">
        <v>56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74">
        <v>-200.0</v>
      </c>
      <c r="ET6" s="55">
        <v>0.0</v>
      </c>
      <c r="EU6" s="55">
        <v>0.0</v>
      </c>
      <c r="EV6" s="64" t="s">
        <v>56</v>
      </c>
      <c r="EW6" s="44">
        <v>-100.0</v>
      </c>
      <c r="EX6" s="80" t="b">
        <v>0</v>
      </c>
      <c r="EY6" s="64"/>
      <c r="EZ6" s="64"/>
      <c r="FA6" s="64"/>
      <c r="FB6" s="64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63" t="s">
        <v>21</v>
      </c>
      <c r="D7" s="71">
        <v>10.0</v>
      </c>
      <c r="E7" s="36" t="s">
        <v>41</v>
      </c>
      <c r="F7" s="36" t="s">
        <v>71</v>
      </c>
      <c r="G7" s="38">
        <v>10.0</v>
      </c>
      <c r="H7" s="36" t="s">
        <v>56</v>
      </c>
      <c r="I7" s="72"/>
      <c r="J7" s="36"/>
      <c r="K7" s="72">
        <v>0.0</v>
      </c>
      <c r="L7" s="36"/>
      <c r="M7" s="36"/>
      <c r="N7" s="41">
        <v>-100.0</v>
      </c>
      <c r="O7" s="63" t="s">
        <v>57</v>
      </c>
      <c r="P7" s="36" t="s">
        <v>58</v>
      </c>
      <c r="Q7" s="71">
        <v>-100.0</v>
      </c>
      <c r="R7" s="36" t="s">
        <v>72</v>
      </c>
      <c r="S7" s="36" t="s">
        <v>59</v>
      </c>
      <c r="T7" s="64" t="s">
        <v>60</v>
      </c>
      <c r="U7" s="64" t="s">
        <v>61</v>
      </c>
      <c r="V7" s="64" t="s">
        <v>62</v>
      </c>
      <c r="W7" s="64" t="s">
        <v>63</v>
      </c>
      <c r="X7" s="40"/>
      <c r="Y7" s="55">
        <v>1.0</v>
      </c>
      <c r="Z7" s="64"/>
      <c r="AA7" s="64"/>
      <c r="AB7" s="55">
        <v>0.0</v>
      </c>
      <c r="AC7" s="55">
        <v>0.0</v>
      </c>
      <c r="AD7" s="73">
        <v>0.0</v>
      </c>
      <c r="AE7" s="73">
        <v>0.0</v>
      </c>
      <c r="AF7" s="74">
        <v>10.0</v>
      </c>
      <c r="AG7" s="73">
        <v>0.0</v>
      </c>
      <c r="AH7" s="73">
        <v>0.0</v>
      </c>
      <c r="AI7" s="73">
        <v>0.0</v>
      </c>
      <c r="AJ7" s="75"/>
      <c r="AK7" s="74">
        <v>-100.0</v>
      </c>
      <c r="AL7" s="55">
        <v>1.0</v>
      </c>
      <c r="AM7" s="55">
        <v>1.0</v>
      </c>
      <c r="AN7" s="64" t="s">
        <v>22</v>
      </c>
      <c r="AO7" s="64"/>
      <c r="AP7" s="64" t="s">
        <v>56</v>
      </c>
      <c r="AQ7" s="64" t="s">
        <v>21</v>
      </c>
      <c r="AR7" s="65">
        <v>0.0</v>
      </c>
      <c r="AS7" s="55">
        <v>1.0</v>
      </c>
      <c r="AT7" s="64"/>
      <c r="AU7" s="64" t="s">
        <v>64</v>
      </c>
      <c r="AV7" s="64"/>
      <c r="AW7" s="74">
        <v>-100.0</v>
      </c>
      <c r="AX7" s="55">
        <v>0.0</v>
      </c>
      <c r="AY7" s="55">
        <v>0.0</v>
      </c>
      <c r="AZ7" s="73">
        <v>0.0</v>
      </c>
      <c r="BA7" s="69">
        <v>-100.0</v>
      </c>
      <c r="BB7" s="64"/>
      <c r="BC7" s="64"/>
      <c r="BD7" s="74">
        <v>-100.0</v>
      </c>
      <c r="BE7" s="64" t="s">
        <v>60</v>
      </c>
      <c r="BF7" s="64" t="s">
        <v>65</v>
      </c>
      <c r="BG7" s="64" t="s">
        <v>66</v>
      </c>
      <c r="BH7" s="64"/>
      <c r="BI7" s="64"/>
      <c r="BJ7" s="55">
        <v>0.0</v>
      </c>
      <c r="BK7" s="55">
        <v>0.0</v>
      </c>
      <c r="BL7" s="55">
        <v>0.0</v>
      </c>
      <c r="BM7" s="55">
        <v>0.0</v>
      </c>
      <c r="BN7" s="64"/>
      <c r="BO7" s="74">
        <v>-100.0</v>
      </c>
      <c r="BP7" s="55">
        <v>0.0</v>
      </c>
      <c r="BQ7" s="64"/>
      <c r="BR7" s="64" t="s">
        <v>33</v>
      </c>
      <c r="BS7" s="55">
        <v>0.0</v>
      </c>
      <c r="BT7" s="55">
        <v>0.0</v>
      </c>
      <c r="BU7" s="64" t="s">
        <v>60</v>
      </c>
      <c r="BV7" s="64"/>
      <c r="BW7" s="64"/>
      <c r="BX7" s="73">
        <v>0.0</v>
      </c>
      <c r="BY7" s="73">
        <v>0.0</v>
      </c>
      <c r="BZ7" s="55">
        <v>0.0</v>
      </c>
      <c r="CA7" s="55">
        <v>0.0</v>
      </c>
      <c r="CB7" s="64"/>
      <c r="CC7" s="55">
        <v>0.0</v>
      </c>
      <c r="CD7" s="74">
        <v>-100.0</v>
      </c>
      <c r="CE7" s="55">
        <v>0.0</v>
      </c>
      <c r="CF7" s="55">
        <v>0.0</v>
      </c>
      <c r="CG7" s="74">
        <v>-100.0</v>
      </c>
      <c r="CH7" s="55">
        <v>-100.0</v>
      </c>
      <c r="CI7" s="55">
        <v>0.0</v>
      </c>
      <c r="CJ7" s="55">
        <v>0.0</v>
      </c>
      <c r="CK7" s="76" t="b">
        <v>0</v>
      </c>
      <c r="CL7" s="64"/>
      <c r="CM7" s="64"/>
      <c r="CN7" s="64"/>
      <c r="CO7" s="64"/>
      <c r="CP7" s="64" t="s">
        <v>67</v>
      </c>
      <c r="CQ7" s="64"/>
      <c r="CR7" s="64"/>
      <c r="CS7" s="55">
        <v>10.0</v>
      </c>
      <c r="CT7" s="64"/>
      <c r="CU7" s="64"/>
      <c r="CV7" s="64"/>
      <c r="CW7" s="64"/>
      <c r="CX7" s="64"/>
      <c r="CY7" s="64"/>
      <c r="CZ7" s="64"/>
      <c r="DA7" s="73">
        <v>0.0</v>
      </c>
      <c r="DB7" s="40"/>
      <c r="DC7" s="64"/>
      <c r="DD7" s="74">
        <v>10.0</v>
      </c>
      <c r="DE7" s="64"/>
      <c r="DF7" s="64"/>
      <c r="DG7" s="64"/>
      <c r="DH7" s="64" t="s">
        <v>58</v>
      </c>
      <c r="DI7" s="55">
        <v>0.0</v>
      </c>
      <c r="DJ7" s="64" t="s">
        <v>22</v>
      </c>
      <c r="DK7" s="55">
        <v>0.0</v>
      </c>
      <c r="DL7" s="55">
        <v>0.0</v>
      </c>
      <c r="DM7" s="55">
        <v>1.0</v>
      </c>
      <c r="DN7" s="40"/>
      <c r="DO7" s="64"/>
      <c r="DP7" s="64" t="s">
        <v>56</v>
      </c>
      <c r="DQ7" s="64" t="s">
        <v>68</v>
      </c>
      <c r="DR7" s="64" t="s">
        <v>69</v>
      </c>
      <c r="DS7" s="64" t="s">
        <v>68</v>
      </c>
      <c r="DT7" s="64" t="s">
        <v>68</v>
      </c>
      <c r="DU7" s="77" t="s">
        <v>70</v>
      </c>
      <c r="DV7" s="64" t="s">
        <v>68</v>
      </c>
      <c r="DW7" s="78"/>
      <c r="DX7" s="64"/>
      <c r="DY7" s="79" t="s">
        <v>68</v>
      </c>
      <c r="DZ7" s="79" t="s">
        <v>57</v>
      </c>
      <c r="EA7" s="79" t="s">
        <v>70</v>
      </c>
      <c r="EB7" s="79" t="s">
        <v>68</v>
      </c>
      <c r="EC7" s="79" t="s">
        <v>68</v>
      </c>
      <c r="ED7" s="64" t="s">
        <v>63</v>
      </c>
      <c r="EE7" s="64"/>
      <c r="EF7" s="64"/>
      <c r="EG7" s="55">
        <v>0.0</v>
      </c>
      <c r="EH7" s="55">
        <v>0.0</v>
      </c>
      <c r="EI7" s="55">
        <v>0.0</v>
      </c>
      <c r="EJ7" s="55">
        <v>0.0</v>
      </c>
      <c r="EK7" s="55">
        <v>0.0</v>
      </c>
      <c r="EL7" s="64" t="s">
        <v>56</v>
      </c>
      <c r="EM7" s="55">
        <v>0.0</v>
      </c>
      <c r="EN7" s="55">
        <v>0.0</v>
      </c>
      <c r="EO7" s="55">
        <v>0.0</v>
      </c>
      <c r="EP7" s="55">
        <v>0.0</v>
      </c>
      <c r="EQ7" s="55">
        <v>0.0</v>
      </c>
      <c r="ER7" s="55">
        <v>0.0</v>
      </c>
      <c r="ES7" s="74">
        <v>-200.0</v>
      </c>
      <c r="ET7" s="55">
        <v>0.0</v>
      </c>
      <c r="EU7" s="55">
        <v>0.0</v>
      </c>
      <c r="EV7" s="64" t="s">
        <v>56</v>
      </c>
      <c r="EW7" s="44">
        <v>-100.0</v>
      </c>
      <c r="EX7" s="80" t="b">
        <v>0</v>
      </c>
      <c r="EY7" s="64"/>
      <c r="EZ7" s="64"/>
      <c r="FA7" s="64"/>
      <c r="FB7" s="64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