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<sst xmlns="http://schemas.openxmlformats.org/spreadsheetml/2006/main" count="66" uniqueCount="66">
  <si>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</si>
  <si>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</si>
  <si>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</si>
  <si>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</si>
  <si>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</si>
  <si>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</si>
  <si>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</si>
  <si>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</si>
  <si>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</si>
  <si>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</si>
  <si>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</si>
  <si>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</si>
  <si>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</si>
  <si>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</si>
  <si>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</si>
  <si>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</si>
  <si>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</si>
  <si>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</si>
  <si>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</si>
  <si>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</si>
  <si>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</si>
  <si>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</si>
  <si>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</si>
  <si>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</si>
  <si>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</si>
  <si>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</si>
  <si>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</si>
  <si>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</si>
  <si>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</si>
  <si>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</si>
  <si>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</si>
  <si>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</si>
  <si>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</si>
  <si>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</si>
  <si>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</si>
  <si>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</si>
  <si>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</si>
  <si>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</si>
  <si>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</si>
  <si>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</si>
  <si>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</si>
  <si>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</si>
  <si>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</si>
  <si>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</si>
  <si>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</si>
  <si>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</si>
  <si>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M</t>
  </si>
  <si>
    <t>None</t>
  </si>
  <si>
    <t>InternalOrder</t>
  </si>
  <si>
    <t>US</t>
  </si>
  <si>
    <t>EquityOption</t>
  </si>
  <si>
    <t>OPTS</t>
  </si>
  <si>
    <t>IsExercised</t>
  </si>
  <si>
    <t>Buy to Close</t>
  </si>
  <si>
    <t>D</t>
  </si>
  <si>
    <t>Exercise/Assign</t>
  </si>
  <si>
    <t>Sell short</t>
  </si>
  <si>
    <t>Sell</t>
  </si>
  <si>
    <t>CheckAllocatedTaxlots</t>
  </si>
  <si>
    <t>PortfolioManagement</t>
  </si>
  <si>
    <t>CheckPortfolioManagement</t>
  </si>
  <si>
    <t>NewMF</t>
  </si>
  <si>
    <t>Long</t>
  </si>
  <si>
    <t>jpearce</t>
  </si>
  <si>
    <t>Equity Call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</si>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</sst>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45067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45068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45069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5" t="s">
        <v>23</v>
      </c>
      <c r="D6" s="36">
        <v>1100</v>
      </c>
      <c r="E6" s="33"/>
      <c r="F6" s="33"/>
      <c r="G6" s="33"/>
      <c r="H6" s="33"/>
      <c r="I6" s="33"/>
      <c r="J6" s="37">
        <v>1</v>
      </c>
      <c r="K6" s="33"/>
      <c r="L6" s="33"/>
      <c r="M6" s="33"/>
      <c r="N6" s="32">
        <f ref="N6:N7" t="shared" si="1">TODAY()-8</f>
        <v>45039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5" t="s">
        <v>24</v>
      </c>
      <c r="D7" s="37">
        <v>10</v>
      </c>
      <c r="E7" s="33"/>
      <c r="F7" s="33"/>
      <c r="G7" s="33"/>
      <c r="H7" s="33"/>
      <c r="I7" s="33"/>
      <c r="J7" s="37">
        <v>10</v>
      </c>
      <c r="K7" s="33"/>
      <c r="L7" s="33"/>
      <c r="M7" s="33"/>
      <c r="N7" s="32">
        <f t="shared" si="1"/>
        <v>45039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5" t="s">
        <v>24</v>
      </c>
      <c r="D8" s="37">
        <v>10</v>
      </c>
      <c r="E8" s="33"/>
      <c r="F8" s="33"/>
      <c r="G8" s="33" t="s">
        <v>25</v>
      </c>
      <c r="H8" s="33"/>
      <c r="I8" s="33"/>
      <c r="J8" s="37">
        <v>10</v>
      </c>
      <c r="K8" s="33"/>
      <c r="L8" s="33"/>
      <c r="M8" s="33"/>
      <c r="N8" s="32">
        <f>TODAY()-7</f>
        <v>45040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5" t="s">
        <v>24</v>
      </c>
      <c r="D9" s="37">
        <v>10</v>
      </c>
      <c r="E9" s="33"/>
      <c r="F9" s="33"/>
      <c r="G9" s="33"/>
      <c r="H9" s="33"/>
      <c r="I9" s="33"/>
      <c r="J9" s="37">
        <v>10</v>
      </c>
      <c r="K9" s="33"/>
      <c r="L9" s="33"/>
      <c r="M9" s="35" t="s">
        <v>26</v>
      </c>
      <c r="N9" s="32">
        <f>TODAY()-6</f>
        <v>45041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45046</v>
      </c>
      <c r="C6" s="39">
        <f>TODAY()</f>
        <v>45047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1" t="s">
        <v>32</v>
      </c>
      <c r="D6" s="41">
        <f>TODAY()</f>
        <v>45047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42"/>
      <c r="B6" s="42" t="s">
        <v>34</v>
      </c>
      <c r="C6" s="43"/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4" t="s">
        <v>16</v>
      </c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  <c r="EV6" s="43"/>
      <c r="EW6" s="43"/>
      <c r="EX6" s="43"/>
    </row>
    <row r="7" ht="15.75" customHeight="1">
      <c r="A7" s="43"/>
      <c r="B7" s="43" t="s">
        <v>34</v>
      </c>
      <c r="C7" s="43"/>
      <c r="D7" s="43"/>
      <c r="E7" s="43"/>
      <c r="F7" s="43"/>
      <c r="G7" s="43"/>
      <c r="H7" s="43"/>
      <c r="I7" s="43"/>
      <c r="J7" s="43"/>
      <c r="K7" s="43" t="s">
        <v>25</v>
      </c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  <c r="EV7" s="43"/>
      <c r="EW7" s="43"/>
      <c r="EX7" s="43"/>
    </row>
    <row r="8" ht="15.75" customHeight="1">
      <c r="A8" s="43"/>
      <c r="B8" s="43" t="s">
        <v>34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5" t="s">
        <v>26</v>
      </c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1" t="s">
        <v>32</v>
      </c>
      <c r="D6" s="41">
        <f>TODAY()</f>
        <v>45047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39</v>
      </c>
      <c r="B6" s="47" t="s">
        <v>34</v>
      </c>
      <c r="C6" s="8" t="s">
        <v>39</v>
      </c>
      <c r="D6" s="47"/>
      <c r="E6" s="8"/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 t="s">
        <v>39</v>
      </c>
      <c r="O6" s="8" t="s">
        <v>42</v>
      </c>
      <c r="V6" s="0" t="s">
        <v>43</v>
      </c>
      <c r="X6" s="0" t="s">
        <v>39</v>
      </c>
      <c r="Y6" s="0" t="s">
        <v>39</v>
      </c>
      <c r="Z6" s="0" t="s">
        <v>44</v>
      </c>
      <c r="AD6" s="0" t="s">
        <v>45</v>
      </c>
      <c r="AH6" s="0" t="s">
        <v>46</v>
      </c>
      <c r="AJ6" s="0" t="s">
        <v>47</v>
      </c>
      <c r="BD6" s="0" t="s">
        <v>48</v>
      </c>
      <c r="BM6" s="0" t="s">
        <v>44</v>
      </c>
      <c r="BO6" s="0" t="s">
        <v>23</v>
      </c>
      <c r="BT6" s="0" t="s">
        <v>22</v>
      </c>
      <c r="CK6" s="0" t="s">
        <v>49</v>
      </c>
      <c r="CM6" s="0" t="s">
        <v>22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I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/>
      <c r="F7" s="8" t="s">
        <v>40</v>
      </c>
      <c r="G7" s="8" t="s">
        <v>50</v>
      </c>
      <c r="H7" s="8"/>
      <c r="I7" s="8"/>
      <c r="J7" s="8"/>
      <c r="K7" s="8"/>
      <c r="L7" s="8"/>
      <c r="M7" s="8"/>
      <c r="N7" s="8" t="s">
        <v>39</v>
      </c>
      <c r="O7" s="8" t="s">
        <v>25</v>
      </c>
      <c r="V7" s="0" t="s">
        <v>16</v>
      </c>
      <c r="X7" s="0" t="s">
        <v>39</v>
      </c>
      <c r="Y7" s="0" t="s">
        <v>39</v>
      </c>
      <c r="Z7" s="0" t="s">
        <v>44</v>
      </c>
      <c r="AD7" s="0" t="s">
        <v>51</v>
      </c>
      <c r="AH7" s="0" t="s">
        <v>46</v>
      </c>
      <c r="AJ7" s="0" t="s">
        <v>52</v>
      </c>
      <c r="BD7" s="0" t="s">
        <v>48</v>
      </c>
      <c r="BM7" s="0" t="s">
        <v>44</v>
      </c>
      <c r="BO7" s="0" t="s">
        <v>24</v>
      </c>
      <c r="BT7" s="0" t="s">
        <v>16</v>
      </c>
      <c r="CK7" s="0" t="s">
        <v>49</v>
      </c>
      <c r="CM7" s="0" t="s">
        <v>22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I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/>
      <c r="F8" s="8" t="s">
        <v>40</v>
      </c>
      <c r="G8" s="8" t="s">
        <v>50</v>
      </c>
      <c r="H8" s="8"/>
      <c r="I8" s="8"/>
      <c r="J8" s="8"/>
      <c r="K8" s="8"/>
      <c r="L8" s="8"/>
      <c r="M8" s="8"/>
      <c r="N8" s="8" t="s">
        <v>39</v>
      </c>
      <c r="O8" s="8" t="s">
        <v>42</v>
      </c>
      <c r="V8" s="0" t="s">
        <v>16</v>
      </c>
      <c r="X8" s="0" t="s">
        <v>39</v>
      </c>
      <c r="Y8" s="0" t="s">
        <v>39</v>
      </c>
      <c r="Z8" s="0" t="s">
        <v>44</v>
      </c>
      <c r="AD8" s="0" t="s">
        <v>51</v>
      </c>
      <c r="AH8" s="0" t="s">
        <v>46</v>
      </c>
      <c r="AJ8" s="0" t="s">
        <v>52</v>
      </c>
      <c r="BD8" s="0" t="s">
        <v>48</v>
      </c>
      <c r="BM8" s="0" t="s">
        <v>44</v>
      </c>
      <c r="BO8" s="0" t="s">
        <v>24</v>
      </c>
      <c r="BT8" s="0" t="s">
        <v>16</v>
      </c>
      <c r="CK8" s="0" t="s">
        <v>49</v>
      </c>
      <c r="CM8" s="0" t="s">
        <v>22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I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/>
      <c r="F9" s="8" t="s">
        <v>40</v>
      </c>
      <c r="G9" s="8" t="s">
        <v>50</v>
      </c>
      <c r="H9" s="8"/>
      <c r="I9" s="8"/>
      <c r="J9" s="8"/>
      <c r="K9" s="8"/>
      <c r="L9" s="8"/>
      <c r="M9" s="8"/>
      <c r="N9" s="8" t="s">
        <v>39</v>
      </c>
      <c r="O9" s="8" t="s">
        <v>42</v>
      </c>
      <c r="V9" s="0" t="s">
        <v>16</v>
      </c>
      <c r="X9" s="0" t="s">
        <v>39</v>
      </c>
      <c r="Y9" s="0" t="s">
        <v>39</v>
      </c>
      <c r="Z9" s="0" t="s">
        <v>44</v>
      </c>
      <c r="AD9" s="0" t="s">
        <v>51</v>
      </c>
      <c r="AH9" s="0" t="s">
        <v>46</v>
      </c>
      <c r="AJ9" s="0" t="s">
        <v>52</v>
      </c>
      <c r="BD9" s="0" t="s">
        <v>48</v>
      </c>
      <c r="BM9" s="0" t="s">
        <v>44</v>
      </c>
      <c r="BO9" s="0" t="s">
        <v>24</v>
      </c>
      <c r="BT9" s="0" t="s">
        <v>16</v>
      </c>
      <c r="CK9" s="0" t="s">
        <v>49</v>
      </c>
      <c r="CM9" s="0" t="s">
        <v>22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I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/>
      <c r="F10" s="8" t="s">
        <v>40</v>
      </c>
      <c r="G10" s="8" t="s">
        <v>50</v>
      </c>
      <c r="H10" s="8"/>
      <c r="I10" s="8"/>
      <c r="J10" s="8"/>
      <c r="K10" s="8"/>
      <c r="L10" s="8"/>
      <c r="M10" s="8"/>
      <c r="N10" s="8" t="s">
        <v>39</v>
      </c>
      <c r="O10" s="8" t="s">
        <v>42</v>
      </c>
      <c r="V10" s="0" t="s">
        <v>16</v>
      </c>
      <c r="X10" s="0" t="s">
        <v>39</v>
      </c>
      <c r="Y10" s="0" t="s">
        <v>39</v>
      </c>
      <c r="Z10" s="0" t="s">
        <v>44</v>
      </c>
      <c r="AD10" s="0" t="s">
        <v>51</v>
      </c>
      <c r="AH10" s="0" t="s">
        <v>46</v>
      </c>
      <c r="AJ10" s="0" t="s">
        <v>52</v>
      </c>
      <c r="BD10" s="0" t="s">
        <v>48</v>
      </c>
      <c r="BM10" s="0" t="s">
        <v>44</v>
      </c>
      <c r="BO10" s="0" t="s">
        <v>53</v>
      </c>
      <c r="BT10" s="0" t="s">
        <v>16</v>
      </c>
      <c r="CK10" s="0" t="s">
        <v>49</v>
      </c>
      <c r="CM10" s="0" t="s">
        <v>22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I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/>
      <c r="F11" s="8" t="s">
        <v>40</v>
      </c>
      <c r="G11" s="8" t="s">
        <v>50</v>
      </c>
      <c r="H11" s="8"/>
      <c r="I11" s="8"/>
      <c r="J11" s="8"/>
      <c r="K11" s="8"/>
      <c r="L11" s="8"/>
      <c r="M11" s="8"/>
      <c r="N11" s="8" t="s">
        <v>39</v>
      </c>
      <c r="O11" s="8" t="s">
        <v>42</v>
      </c>
      <c r="V11" s="0" t="s">
        <v>16</v>
      </c>
      <c r="X11" s="0" t="s">
        <v>39</v>
      </c>
      <c r="Y11" s="0" t="s">
        <v>39</v>
      </c>
      <c r="Z11" s="0" t="s">
        <v>44</v>
      </c>
      <c r="AD11" s="0" t="s">
        <v>51</v>
      </c>
      <c r="AH11" s="0" t="s">
        <v>46</v>
      </c>
      <c r="AJ11" s="0" t="s">
        <v>52</v>
      </c>
      <c r="BD11" s="0" t="s">
        <v>48</v>
      </c>
      <c r="BM11" s="0" t="s">
        <v>44</v>
      </c>
      <c r="BO11" s="0" t="s">
        <v>53</v>
      </c>
      <c r="BT11" s="0" t="s">
        <v>16</v>
      </c>
      <c r="CK11" s="0" t="s">
        <v>49</v>
      </c>
      <c r="CM11" s="0" t="s">
        <v>22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I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/>
      <c r="F12" s="8" t="s">
        <v>40</v>
      </c>
      <c r="G12" s="8" t="s">
        <v>50</v>
      </c>
      <c r="H12" s="8"/>
      <c r="I12" s="8"/>
      <c r="J12" s="8"/>
      <c r="K12" s="8"/>
      <c r="L12" s="8"/>
      <c r="M12" s="8"/>
      <c r="N12" s="8" t="s">
        <v>39</v>
      </c>
      <c r="O12" s="8" t="s">
        <v>25</v>
      </c>
      <c r="V12" s="0" t="s">
        <v>16</v>
      </c>
      <c r="X12" s="0" t="s">
        <v>39</v>
      </c>
      <c r="Y12" s="0" t="s">
        <v>39</v>
      </c>
      <c r="Z12" s="0" t="s">
        <v>44</v>
      </c>
      <c r="AD12" s="0" t="s">
        <v>51</v>
      </c>
      <c r="AH12" s="0" t="s">
        <v>46</v>
      </c>
      <c r="AJ12" s="0" t="s">
        <v>52</v>
      </c>
      <c r="BD12" s="0" t="s">
        <v>48</v>
      </c>
      <c r="BM12" s="0" t="s">
        <v>44</v>
      </c>
      <c r="BO12" s="0" t="s">
        <v>53</v>
      </c>
      <c r="BT12" s="0" t="s">
        <v>16</v>
      </c>
      <c r="CK12" s="0" t="s">
        <v>49</v>
      </c>
      <c r="CM12" s="0" t="s">
        <v>22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I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/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 t="s">
        <v>39</v>
      </c>
      <c r="O13" s="8" t="s">
        <v>42</v>
      </c>
      <c r="V13" s="0" t="s">
        <v>43</v>
      </c>
      <c r="X13" s="0" t="s">
        <v>39</v>
      </c>
      <c r="Y13" s="0" t="s">
        <v>39</v>
      </c>
      <c r="Z13" s="0" t="s">
        <v>44</v>
      </c>
      <c r="AD13" s="0" t="s">
        <v>45</v>
      </c>
      <c r="AH13" s="0" t="s">
        <v>54</v>
      </c>
      <c r="AJ13" s="0" t="s">
        <v>55</v>
      </c>
      <c r="BD13" s="0" t="s">
        <v>48</v>
      </c>
      <c r="BM13" s="0" t="s">
        <v>44</v>
      </c>
      <c r="BO13" s="0" t="s">
        <v>56</v>
      </c>
      <c r="BT13" s="0" t="s">
        <v>22</v>
      </c>
      <c r="CK13" s="0" t="s">
        <v>49</v>
      </c>
      <c r="CM13" s="0" t="s">
        <v>22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I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/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 t="s">
        <v>39</v>
      </c>
      <c r="O14" s="8" t="s">
        <v>25</v>
      </c>
      <c r="V14" s="0" t="s">
        <v>43</v>
      </c>
      <c r="X14" s="0" t="s">
        <v>39</v>
      </c>
      <c r="Y14" s="0" t="s">
        <v>39</v>
      </c>
      <c r="Z14" s="0" t="s">
        <v>44</v>
      </c>
      <c r="AD14" s="0" t="s">
        <v>45</v>
      </c>
      <c r="AH14" s="0" t="s">
        <v>54</v>
      </c>
      <c r="AJ14" s="0" t="s">
        <v>55</v>
      </c>
      <c r="BD14" s="0" t="s">
        <v>48</v>
      </c>
      <c r="BM14" s="0" t="s">
        <v>44</v>
      </c>
      <c r="BO14" s="0" t="s">
        <v>57</v>
      </c>
      <c r="BT14" s="0" t="s">
        <v>22</v>
      </c>
      <c r="CK14" s="0" t="s">
        <v>49</v>
      </c>
      <c r="CM14" s="0" t="s">
        <v>22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I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/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 t="s">
        <v>39</v>
      </c>
      <c r="O15" s="8" t="s">
        <v>25</v>
      </c>
      <c r="V15" s="0" t="s">
        <v>43</v>
      </c>
      <c r="X15" s="0" t="s">
        <v>39</v>
      </c>
      <c r="Y15" s="0" t="s">
        <v>39</v>
      </c>
      <c r="Z15" s="0" t="s">
        <v>44</v>
      </c>
      <c r="AD15" s="0" t="s">
        <v>45</v>
      </c>
      <c r="AH15" s="0" t="s">
        <v>46</v>
      </c>
      <c r="AJ15" s="0" t="s">
        <v>55</v>
      </c>
      <c r="BD15" s="0" t="s">
        <v>48</v>
      </c>
      <c r="BM15" s="0" t="s">
        <v>44</v>
      </c>
      <c r="BO15" s="0" t="s">
        <v>56</v>
      </c>
      <c r="BT15" s="0" t="s">
        <v>22</v>
      </c>
      <c r="CK15" s="0" t="s">
        <v>49</v>
      </c>
      <c r="CM15" s="0" t="s">
        <v>22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I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/>
      <c r="F16" s="8" t="s">
        <v>40</v>
      </c>
      <c r="G16" s="8" t="s">
        <v>41</v>
      </c>
      <c r="H16" s="8"/>
      <c r="I16" s="8"/>
      <c r="J16" s="8"/>
      <c r="K16" s="8"/>
      <c r="L16" s="8"/>
      <c r="M16" s="8"/>
      <c r="N16" s="8" t="s">
        <v>39</v>
      </c>
      <c r="O16" s="8" t="s">
        <v>42</v>
      </c>
      <c r="V16" s="0" t="s">
        <v>43</v>
      </c>
      <c r="X16" s="0" t="s">
        <v>39</v>
      </c>
      <c r="Y16" s="0" t="s">
        <v>39</v>
      </c>
      <c r="Z16" s="0" t="s">
        <v>44</v>
      </c>
      <c r="AD16" s="0" t="s">
        <v>45</v>
      </c>
      <c r="AH16" s="0" t="s">
        <v>54</v>
      </c>
      <c r="AJ16" s="0" t="s">
        <v>55</v>
      </c>
      <c r="BD16" s="0" t="s">
        <v>48</v>
      </c>
      <c r="BM16" s="0" t="s">
        <v>44</v>
      </c>
      <c r="BO16" s="0" t="s">
        <v>57</v>
      </c>
      <c r="BT16" s="0" t="s">
        <v>22</v>
      </c>
      <c r="CK16" s="0" t="s">
        <v>49</v>
      </c>
      <c r="CM16" s="0" t="s">
        <v>22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I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39</v>
      </c>
      <c r="B6" s="47">
        <v>1114.0006</v>
      </c>
      <c r="C6" s="8">
        <v>1114.0006</v>
      </c>
      <c r="D6" s="47">
        <v>1100</v>
      </c>
      <c r="E6" s="8">
        <v>1100</v>
      </c>
      <c r="F6" s="8" t="s">
        <v>46</v>
      </c>
      <c r="G6" s="8"/>
      <c r="H6" s="8"/>
      <c r="I6" s="8"/>
      <c r="J6" s="8"/>
      <c r="K6" s="8"/>
      <c r="L6" s="8"/>
      <c r="M6" s="8"/>
      <c r="N6" s="8"/>
      <c r="O6" s="8"/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 t="s">
        <v>46</v>
      </c>
      <c r="G7" s="8"/>
      <c r="H7" s="8"/>
      <c r="I7" s="8"/>
      <c r="J7" s="8"/>
      <c r="K7" s="8"/>
      <c r="L7" s="8"/>
      <c r="M7" s="8"/>
      <c r="N7" s="8"/>
      <c r="O7" s="8"/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 t="s">
        <v>46</v>
      </c>
      <c r="G8" s="8"/>
      <c r="H8" s="8"/>
      <c r="I8" s="8"/>
      <c r="J8" s="8"/>
      <c r="K8" s="8"/>
      <c r="L8" s="8"/>
      <c r="M8" s="8"/>
      <c r="N8" s="8"/>
      <c r="O8" s="8"/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10000</v>
      </c>
      <c r="C9" s="8">
        <v>10000</v>
      </c>
      <c r="D9" s="8">
        <v>10000</v>
      </c>
      <c r="E9" s="8">
        <v>10000</v>
      </c>
      <c r="F9" s="8" t="s">
        <v>46</v>
      </c>
      <c r="G9" s="8"/>
      <c r="H9" s="8"/>
      <c r="I9" s="8"/>
      <c r="J9" s="8"/>
      <c r="K9" s="8"/>
      <c r="L9" s="8"/>
      <c r="M9" s="8"/>
      <c r="N9" s="8"/>
      <c r="O9" s="8"/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0</v>
      </c>
      <c r="C10" s="8">
        <v>0</v>
      </c>
      <c r="D10" s="8">
        <v>0</v>
      </c>
      <c r="E10" s="8">
        <v>0</v>
      </c>
      <c r="F10" s="8" t="s">
        <v>46</v>
      </c>
      <c r="G10" s="8"/>
      <c r="H10" s="8"/>
      <c r="I10" s="8"/>
      <c r="J10" s="8"/>
      <c r="K10" s="8"/>
      <c r="L10" s="8"/>
      <c r="M10" s="8"/>
      <c r="N10" s="8"/>
      <c r="O10" s="8"/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0</v>
      </c>
      <c r="C11" s="8">
        <v>0</v>
      </c>
      <c r="D11" s="8">
        <v>0</v>
      </c>
      <c r="E11" s="8">
        <v>0</v>
      </c>
      <c r="F11" s="8" t="s">
        <v>46</v>
      </c>
      <c r="G11" s="8"/>
      <c r="H11" s="8"/>
      <c r="I11" s="8"/>
      <c r="J11" s="8"/>
      <c r="K11" s="8"/>
      <c r="L11" s="8"/>
      <c r="M11" s="8"/>
      <c r="N11" s="8"/>
      <c r="O11" s="8"/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 t="s">
        <v>46</v>
      </c>
      <c r="G12" s="8"/>
      <c r="H12" s="8"/>
      <c r="I12" s="8"/>
      <c r="J12" s="8"/>
      <c r="K12" s="8"/>
      <c r="L12" s="8"/>
      <c r="M12" s="8"/>
      <c r="N12" s="8"/>
      <c r="O12" s="8"/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 t="s">
        <v>54</v>
      </c>
      <c r="G13" s="8"/>
      <c r="H13" s="8"/>
      <c r="I13" s="8"/>
      <c r="J13" s="8"/>
      <c r="K13" s="8"/>
      <c r="L13" s="8"/>
      <c r="M13" s="8"/>
      <c r="N13" s="8"/>
      <c r="O13" s="8"/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6000</v>
      </c>
      <c r="C14" s="8">
        <v>6000</v>
      </c>
      <c r="D14" s="8">
        <v>6000</v>
      </c>
      <c r="E14" s="8">
        <v>6000</v>
      </c>
      <c r="F14" s="8" t="s">
        <v>54</v>
      </c>
      <c r="G14" s="8"/>
      <c r="H14" s="8"/>
      <c r="I14" s="8"/>
      <c r="J14" s="8"/>
      <c r="K14" s="8"/>
      <c r="L14" s="8"/>
      <c r="M14" s="8"/>
      <c r="N14" s="8"/>
      <c r="O14" s="8"/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54000</v>
      </c>
      <c r="C15" s="8">
        <v>54000</v>
      </c>
      <c r="D15" s="8">
        <v>54000</v>
      </c>
      <c r="E15" s="8">
        <v>54000</v>
      </c>
      <c r="F15" s="8" t="s">
        <v>46</v>
      </c>
      <c r="G15" s="8"/>
      <c r="H15" s="8"/>
      <c r="I15" s="8"/>
      <c r="J15" s="8"/>
      <c r="K15" s="8"/>
      <c r="L15" s="8"/>
      <c r="M15" s="8"/>
      <c r="N15" s="8"/>
      <c r="O15" s="8"/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>
        <v>60000</v>
      </c>
      <c r="C16" s="8">
        <v>60000</v>
      </c>
      <c r="D16" s="8">
        <v>60000</v>
      </c>
      <c r="E16" s="8">
        <v>60000</v>
      </c>
      <c r="F16" s="8" t="s">
        <v>54</v>
      </c>
      <c r="G16" s="8"/>
      <c r="H16" s="8"/>
      <c r="I16" s="8"/>
      <c r="J16" s="8"/>
      <c r="K16" s="8"/>
      <c r="L16" s="8"/>
      <c r="M16" s="8"/>
      <c r="N16" s="8"/>
      <c r="O16" s="8"/>
      <c r="AO16" s="0" t="s">
        <v>39</v>
      </c>
      <c r="AP16" s="0" t="s">
        <v>39</v>
      </c>
      <c r="AQ16" s="0" t="s">
        <v>39</v>
      </c>
      <c r="AR16" s="0" t="s">
        <v>39</v>
      </c>
      <c r="AS16" s="0" t="s">
        <v>39</v>
      </c>
      <c r="AT16" s="0" t="s">
        <v>39</v>
      </c>
      <c r="AU16" s="0" t="s">
        <v>39</v>
      </c>
      <c r="AV16" s="0" t="s">
        <v>39</v>
      </c>
      <c r="AW16" s="0" t="s">
        <v>39</v>
      </c>
      <c r="AX16" s="0" t="s">
        <v>39</v>
      </c>
      <c r="AY16" s="0" t="s">
        <v>39</v>
      </c>
      <c r="AZ16" s="0" t="s">
        <v>39</v>
      </c>
      <c r="BA16" s="0" t="s">
        <v>39</v>
      </c>
      <c r="BB16" s="0" t="s">
        <v>39</v>
      </c>
      <c r="BC16" s="0" t="s">
        <v>39</v>
      </c>
      <c r="BD16" s="0" t="s">
        <v>39</v>
      </c>
      <c r="BE16" s="0" t="s">
        <v>39</v>
      </c>
      <c r="BF16" s="0" t="s">
        <v>39</v>
      </c>
      <c r="BG16" s="0" t="s">
        <v>39</v>
      </c>
      <c r="BH16" s="0" t="s">
        <v>39</v>
      </c>
      <c r="BI16" s="0" t="s">
        <v>39</v>
      </c>
      <c r="BJ16" s="0" t="s">
        <v>39</v>
      </c>
      <c r="BK16" s="0" t="s">
        <v>39</v>
      </c>
      <c r="BL16" s="0" t="s">
        <v>39</v>
      </c>
      <c r="BM16" s="0" t="s">
        <v>39</v>
      </c>
      <c r="BN16" s="0" t="s">
        <v>39</v>
      </c>
      <c r="BO16" s="0" t="s">
        <v>39</v>
      </c>
      <c r="BP16" s="0" t="s">
        <v>39</v>
      </c>
      <c r="BQ16" s="0" t="s">
        <v>39</v>
      </c>
      <c r="BR16" s="0" t="s">
        <v>39</v>
      </c>
      <c r="BS16" s="0" t="s">
        <v>39</v>
      </c>
      <c r="BT16" s="0" t="s">
        <v>39</v>
      </c>
      <c r="BU16" s="0" t="s">
        <v>39</v>
      </c>
      <c r="BV16" s="0" t="s">
        <v>39</v>
      </c>
      <c r="BW16" s="0" t="s">
        <v>39</v>
      </c>
      <c r="BX16" s="0" t="s">
        <v>39</v>
      </c>
      <c r="BY16" s="0" t="s">
        <v>39</v>
      </c>
      <c r="BZ16" s="0" t="s">
        <v>39</v>
      </c>
      <c r="CA16" s="0" t="s">
        <v>39</v>
      </c>
      <c r="CB16" s="0" t="s">
        <v>39</v>
      </c>
      <c r="CC16" s="0" t="s">
        <v>39</v>
      </c>
      <c r="CD16" s="0" t="s">
        <v>39</v>
      </c>
      <c r="CE16" s="0" t="s">
        <v>39</v>
      </c>
      <c r="CF16" s="0" t="s">
        <v>39</v>
      </c>
      <c r="CG16" s="0" t="s">
        <v>39</v>
      </c>
      <c r="CH16" s="0" t="s">
        <v>39</v>
      </c>
      <c r="CI16" s="0" t="s">
        <v>39</v>
      </c>
      <c r="CJ16" s="0" t="s">
        <v>39</v>
      </c>
      <c r="CK16" s="0" t="s">
        <v>39</v>
      </c>
      <c r="CL16" s="0" t="s">
        <v>39</v>
      </c>
      <c r="CM16" s="0" t="s">
        <v>39</v>
      </c>
      <c r="CN16" s="0" t="s">
        <v>39</v>
      </c>
      <c r="CO16" s="0" t="s">
        <v>39</v>
      </c>
      <c r="CP16" s="0" t="s">
        <v>39</v>
      </c>
      <c r="CQ16" s="0" t="s">
        <v>39</v>
      </c>
      <c r="CR16" s="0" t="s">
        <v>39</v>
      </c>
      <c r="CS16" s="0" t="s">
        <v>39</v>
      </c>
      <c r="CT16" s="0" t="s">
        <v>39</v>
      </c>
      <c r="CU16" s="0" t="s">
        <v>39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39</v>
      </c>
      <c r="B6" s="47"/>
      <c r="C6" s="8" t="s">
        <v>22</v>
      </c>
      <c r="D6" s="47"/>
      <c r="E6" s="8" t="s">
        <v>34</v>
      </c>
      <c r="F6" s="8" t="s">
        <v>61</v>
      </c>
      <c r="G6" s="8"/>
      <c r="H6" s="8" t="s">
        <v>26</v>
      </c>
      <c r="I6" s="8"/>
      <c r="J6" s="8"/>
      <c r="K6" s="8"/>
      <c r="L6" s="8"/>
      <c r="M6" s="8"/>
      <c r="N6" s="8"/>
      <c r="O6" s="8"/>
      <c r="U6" s="0" t="s">
        <v>49</v>
      </c>
      <c r="V6" s="0" t="s">
        <v>45</v>
      </c>
      <c r="W6" s="0" t="s">
        <v>44</v>
      </c>
      <c r="AN6" s="0" t="s">
        <v>23</v>
      </c>
      <c r="AP6" s="0" t="s">
        <v>62</v>
      </c>
      <c r="AQ6" s="0" t="s">
        <v>22</v>
      </c>
      <c r="BE6" s="0" t="s">
        <v>41</v>
      </c>
      <c r="BQ6" s="0" t="s">
        <v>63</v>
      </c>
      <c r="BR6" s="0" t="s">
        <v>42</v>
      </c>
      <c r="BU6" s="0" t="s">
        <v>41</v>
      </c>
      <c r="DP6" s="0" t="s">
        <v>62</v>
      </c>
      <c r="EL6" s="0" t="s">
        <v>62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61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s="0" t="s">
        <v>49</v>
      </c>
      <c r="V7" s="0" t="s">
        <v>51</v>
      </c>
      <c r="W7" s="0" t="s">
        <v>44</v>
      </c>
      <c r="AN7" s="0" t="s">
        <v>24</v>
      </c>
      <c r="AP7" s="0" t="s">
        <v>62</v>
      </c>
      <c r="AQ7" s="0" t="s">
        <v>22</v>
      </c>
      <c r="BE7" s="0" t="s">
        <v>64</v>
      </c>
      <c r="BQ7" s="0" t="s">
        <v>63</v>
      </c>
      <c r="BR7" s="0" t="s">
        <v>42</v>
      </c>
      <c r="BU7" s="0" t="s">
        <v>65</v>
      </c>
      <c r="DP7" s="0" t="s">
        <v>26</v>
      </c>
      <c r="EL7" s="0" t="s">
        <v>62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61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s="0" t="s">
        <v>49</v>
      </c>
      <c r="V8" s="0" t="s">
        <v>51</v>
      </c>
      <c r="W8" s="0" t="s">
        <v>44</v>
      </c>
      <c r="AN8" s="0" t="s">
        <v>24</v>
      </c>
      <c r="AP8" s="0" t="s">
        <v>62</v>
      </c>
      <c r="AQ8" s="0" t="s">
        <v>22</v>
      </c>
      <c r="BE8" s="0" t="s">
        <v>64</v>
      </c>
      <c r="BQ8" s="0" t="s">
        <v>63</v>
      </c>
      <c r="BR8" s="0" t="s">
        <v>25</v>
      </c>
      <c r="BU8" s="0" t="s">
        <v>65</v>
      </c>
      <c r="DP8" s="0" t="s">
        <v>26</v>
      </c>
      <c r="EL8" s="0" t="s">
        <v>62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61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s="0" t="s">
        <v>49</v>
      </c>
      <c r="V9" s="0" t="s">
        <v>51</v>
      </c>
      <c r="W9" s="0" t="s">
        <v>44</v>
      </c>
      <c r="AN9" s="0" t="s">
        <v>24</v>
      </c>
      <c r="AP9" s="0" t="s">
        <v>62</v>
      </c>
      <c r="AQ9" s="0" t="s">
        <v>22</v>
      </c>
      <c r="BE9" s="0" t="s">
        <v>64</v>
      </c>
      <c r="BQ9" s="0" t="s">
        <v>63</v>
      </c>
      <c r="BR9" s="0" t="s">
        <v>42</v>
      </c>
      <c r="BU9" s="0" t="s">
        <v>65</v>
      </c>
      <c r="DP9" s="0" t="s">
        <v>26</v>
      </c>
      <c r="EL9" s="0" t="s">
        <v>62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61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s="0" t="s">
        <v>49</v>
      </c>
      <c r="V10" s="0" t="s">
        <v>51</v>
      </c>
      <c r="W10" s="0" t="s">
        <v>44</v>
      </c>
      <c r="AN10" s="0" t="s">
        <v>53</v>
      </c>
      <c r="AP10" s="0" t="s">
        <v>62</v>
      </c>
      <c r="AQ10" s="0" t="s">
        <v>22</v>
      </c>
      <c r="BE10" s="0" t="s">
        <v>64</v>
      </c>
      <c r="BQ10" s="0" t="s">
        <v>63</v>
      </c>
      <c r="BR10" s="0" t="s">
        <v>42</v>
      </c>
      <c r="BU10" s="0" t="s">
        <v>65</v>
      </c>
      <c r="DP10" s="0" t="s">
        <v>26</v>
      </c>
      <c r="EL10" s="0" t="s">
        <v>62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61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s="0" t="s">
        <v>49</v>
      </c>
      <c r="V11" s="0" t="s">
        <v>51</v>
      </c>
      <c r="W11" s="0" t="s">
        <v>44</v>
      </c>
      <c r="AN11" s="0" t="s">
        <v>53</v>
      </c>
      <c r="AP11" s="0" t="s">
        <v>62</v>
      </c>
      <c r="AQ11" s="0" t="s">
        <v>22</v>
      </c>
      <c r="BE11" s="0" t="s">
        <v>64</v>
      </c>
      <c r="BQ11" s="0" t="s">
        <v>63</v>
      </c>
      <c r="BR11" s="0" t="s">
        <v>25</v>
      </c>
      <c r="BU11" s="0" t="s">
        <v>65</v>
      </c>
      <c r="DP11" s="0" t="s">
        <v>26</v>
      </c>
      <c r="EL11" s="0" t="s">
        <v>62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61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s="0" t="s">
        <v>49</v>
      </c>
      <c r="V12" s="0" t="s">
        <v>51</v>
      </c>
      <c r="W12" s="0" t="s">
        <v>44</v>
      </c>
      <c r="AN12" s="0" t="s">
        <v>53</v>
      </c>
      <c r="AP12" s="0" t="s">
        <v>62</v>
      </c>
      <c r="AQ12" s="0" t="s">
        <v>22</v>
      </c>
      <c r="BE12" s="0" t="s">
        <v>64</v>
      </c>
      <c r="BQ12" s="0" t="s">
        <v>63</v>
      </c>
      <c r="BR12" s="0" t="s">
        <v>42</v>
      </c>
      <c r="BU12" s="0" t="s">
        <v>65</v>
      </c>
      <c r="DP12" s="0" t="s">
        <v>26</v>
      </c>
      <c r="EL12" s="0" t="s">
        <v>62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61</v>
      </c>
      <c r="G13" s="8"/>
      <c r="H13" s="8" t="s">
        <v>26</v>
      </c>
      <c r="I13" s="8"/>
      <c r="J13" s="8"/>
      <c r="K13" s="8"/>
      <c r="L13" s="8"/>
      <c r="M13" s="8"/>
      <c r="N13" s="8"/>
      <c r="O13" s="8"/>
      <c r="U13" s="0" t="s">
        <v>49</v>
      </c>
      <c r="V13" s="0" t="s">
        <v>45</v>
      </c>
      <c r="W13" s="0" t="s">
        <v>44</v>
      </c>
      <c r="AN13" s="0" t="s">
        <v>56</v>
      </c>
      <c r="AP13" s="0" t="s">
        <v>26</v>
      </c>
      <c r="AQ13" s="0" t="s">
        <v>22</v>
      </c>
      <c r="BE13" s="0" t="s">
        <v>41</v>
      </c>
      <c r="BQ13" s="0" t="s">
        <v>63</v>
      </c>
      <c r="BR13" s="0" t="s">
        <v>42</v>
      </c>
      <c r="BU13" s="0" t="s">
        <v>41</v>
      </c>
      <c r="DP13" s="0" t="s">
        <v>26</v>
      </c>
      <c r="EL13" s="0" t="s">
        <v>62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61</v>
      </c>
      <c r="G14" s="8"/>
      <c r="H14" s="8" t="s">
        <v>26</v>
      </c>
      <c r="I14" s="8"/>
      <c r="J14" s="8"/>
      <c r="K14" s="8"/>
      <c r="L14" s="8"/>
      <c r="M14" s="8"/>
      <c r="N14" s="8"/>
      <c r="O14" s="8"/>
      <c r="U14" s="0" t="s">
        <v>49</v>
      </c>
      <c r="V14" s="0" t="s">
        <v>45</v>
      </c>
      <c r="W14" s="0" t="s">
        <v>44</v>
      </c>
      <c r="AN14" s="0" t="s">
        <v>57</v>
      </c>
      <c r="AP14" s="0" t="s">
        <v>62</v>
      </c>
      <c r="AQ14" s="0" t="s">
        <v>22</v>
      </c>
      <c r="BE14" s="0" t="s">
        <v>41</v>
      </c>
      <c r="BQ14" s="0" t="s">
        <v>63</v>
      </c>
      <c r="BR14" s="0" t="s">
        <v>25</v>
      </c>
      <c r="BU14" s="0" t="s">
        <v>41</v>
      </c>
      <c r="DP14" s="0" t="s">
        <v>62</v>
      </c>
      <c r="EL14" s="0" t="s">
        <v>62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61</v>
      </c>
      <c r="G15" s="8"/>
      <c r="H15" s="8" t="s">
        <v>26</v>
      </c>
      <c r="I15" s="8"/>
      <c r="J15" s="8"/>
      <c r="K15" s="8"/>
      <c r="L15" s="8"/>
      <c r="M15" s="8"/>
      <c r="N15" s="8"/>
      <c r="O15" s="8"/>
      <c r="U15" s="0" t="s">
        <v>49</v>
      </c>
      <c r="V15" s="0" t="s">
        <v>45</v>
      </c>
      <c r="W15" s="0" t="s">
        <v>44</v>
      </c>
      <c r="AN15" s="0" t="s">
        <v>56</v>
      </c>
      <c r="AP15" s="0" t="s">
        <v>26</v>
      </c>
      <c r="AQ15" s="0" t="s">
        <v>22</v>
      </c>
      <c r="BE15" s="0" t="s">
        <v>41</v>
      </c>
      <c r="BQ15" s="0" t="s">
        <v>63</v>
      </c>
      <c r="BR15" s="0" t="s">
        <v>25</v>
      </c>
      <c r="BU15" s="0" t="s">
        <v>41</v>
      </c>
      <c r="DP15" s="0" t="s">
        <v>26</v>
      </c>
      <c r="EL15" s="0" t="s">
        <v>62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/>
      <c r="C16" s="8" t="s">
        <v>22</v>
      </c>
      <c r="D16" s="8"/>
      <c r="E16" s="8" t="s">
        <v>34</v>
      </c>
      <c r="F16" s="8" t="s">
        <v>61</v>
      </c>
      <c r="G16" s="8"/>
      <c r="H16" s="8" t="s">
        <v>26</v>
      </c>
      <c r="I16" s="8"/>
      <c r="J16" s="8"/>
      <c r="K16" s="8"/>
      <c r="L16" s="8"/>
      <c r="M16" s="8"/>
      <c r="N16" s="8"/>
      <c r="O16" s="8"/>
      <c r="U16" s="0" t="s">
        <v>49</v>
      </c>
      <c r="V16" s="0" t="s">
        <v>45</v>
      </c>
      <c r="W16" s="0" t="s">
        <v>44</v>
      </c>
      <c r="AN16" s="0" t="s">
        <v>57</v>
      </c>
      <c r="AP16" s="0" t="s">
        <v>62</v>
      </c>
      <c r="AQ16" s="0" t="s">
        <v>22</v>
      </c>
      <c r="BE16" s="0" t="s">
        <v>41</v>
      </c>
      <c r="BQ16" s="0" t="s">
        <v>63</v>
      </c>
      <c r="BR16" s="0" t="s">
        <v>42</v>
      </c>
      <c r="BU16" s="0" t="s">
        <v>41</v>
      </c>
      <c r="DP16" s="0" t="s">
        <v>62</v>
      </c>
      <c r="EL16" s="0" t="s">
        <v>62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