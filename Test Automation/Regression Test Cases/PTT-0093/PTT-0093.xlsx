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CalculatePTT" sheetId="11" r:id="rId13"/>
    <sheet state="visible" name="VerifyPTT" sheetId="12" r:id="rId14"/>
    <sheet state="visible" name="CreateOrderPTT" sheetId="13" r:id="rId15"/>
    <sheet state="visible" name="VerifyPTT1" sheetId="14" r:id="rId16"/>
    <sheet state="visible" name="CalculatePTT1" sheetId="15" r:id="rId17"/>
    <sheet state="visible" name="CreateOrderPTT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<sst xmlns="http://schemas.openxmlformats.org/spreadsheetml/2006/main" count="238" uniqueCount="53">
  <si>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</si>
  <si>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</si>
  <si>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</si>
  <si>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</si>
  <si>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</si>
  <si>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</si>
  <si>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</si>
  <si>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</si>
  <si>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</si>
  <si>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</si>
  <si>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</si>
  <si>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</si>
  <si>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</si>
  <si>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</si>
  <si>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</si>
  <si>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</si>
  <si>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</si>
  <si>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</si>
  <si>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</si>
  <si>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O:AAPL 13N715.00</t>
  </si>
  <si>
    <t>ND H9</t>
  </si>
  <si>
    <t>Door</t>
  </si>
  <si>
    <t>TradingTicket</t>
  </si>
  <si>
    <t>CreateDoneAwayOrder</t>
  </si>
  <si>
    <t>Buy</t>
  </si>
  <si>
    <t>Allocation1</t>
  </si>
  <si>
    <t>Allocation3</t>
  </si>
  <si>
    <t>DOOR</t>
  </si>
  <si>
    <t>Allocation2</t>
  </si>
  <si>
    <t>Allocation4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</si>
  <si>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</si>
  <si>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</si>
  <si>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</si>
  <si>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</si>
  <si>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</si>
  <si>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</si>
  <si>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</si>
  <si>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</si>
  <si>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</si>
  <si>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</si>
  <si>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</si>
  <si>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Decrease</t>
  </si>
  <si>
    <t>Percentage</t>
  </si>
  <si>
    <t>No</t>
  </si>
  <si>
    <t>MasterFund</t>
  </si>
  <si>
    <t>NewMF,NewMF1</t>
  </si>
  <si>
    <t>Yes</t>
  </si>
  <si>
    <t>VerifyPTT</t>
  </si>
  <si>
    <t>Sell</t>
  </si>
  <si>
    <t>CreateOrderPTT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</si>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</sst>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  <font>
      <sz val="9.0"/>
      <color rgb="FF00BFFF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5" fillId="7" fontId="15" numFmtId="0" xfId="0" applyAlignment="1" applyBorder="1" applyFill="1" applyFont="1">
      <alignment horizontal="right" readingOrder="0" shrinkToFit="0" vertical="top" wrapText="0"/>
    </xf>
    <xf borderId="5" fillId="8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>
      <c r="A615" t="str">
        <f>IFERROR(__xludf.DUMMYFUNCTION("""COMPUTED_VALUE"""),"SymbolLookup")</f>
        <v>SymbolLookup</v>
      </c>
      <c r="B615" t="str">
        <f>IFERROR(__xludf.DUMMYFUNCTION("""COMPUTED_VALUE"""),"SelectFromSMGridUI")</f>
        <v>SelectFromSMGridUI</v>
      </c>
      <c r="C615" t="str">
        <f>IFERROR(__xludf.DUMMYFUNCTION("""COMPUTED_VALUE"""),"1ywzFM2r--rfbRBBhj8dWR_174n0GJlN_5lVk5fP-EiQ")</f>
        <v>1ywzFM2r--rfbRBBhj8dWR_174n0GJlN_5lVk5fP-EiQ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IFERROR(__xludf.DUMMYFUNCTION("""COMPUTED_VALUE"""),"EditSMGridUi")</f>
        <v>EditSMGridUi</v>
      </c>
      <c r="C616" t="str">
        <f>IFERROR(__xludf.DUMMYFUNCTION("""COMPUTED_VALUE"""),"1l5FAkKhuW5nlw2IdKTrGdt79R2Zz2AccmJfeG28b9-U")</f>
        <v>1l5FAkKhuW5nlw2IdKTrGdt79R2Zz2AccmJfeG28b9-U</v>
      </c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16</v>
      </c>
      <c r="C6" s="32">
        <v>40.0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33" t="s">
        <v>17</v>
      </c>
      <c r="C7" s="34">
        <v>50.0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33"/>
      <c r="B8" s="33" t="s">
        <v>18</v>
      </c>
      <c r="C8" s="34">
        <v>120.0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</row>
    <row r="9" ht="15.75" customHeight="1">
      <c r="A9" s="33"/>
      <c r="B9" s="33" t="s">
        <v>19</v>
      </c>
      <c r="C9" s="34">
        <v>23.0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</row>
    <row r="10" ht="15.75" customHeight="1">
      <c r="A10" s="33"/>
      <c r="B10" s="34">
        <v>1.23456789E8</v>
      </c>
      <c r="C10" s="34">
        <v>756.0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</row>
    <row r="11" ht="15.75" customHeight="1">
      <c r="A11" s="33"/>
      <c r="B11" s="35" t="s">
        <v>20</v>
      </c>
      <c r="C11" s="34">
        <v>12.0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</row>
    <row r="12" ht="15.75" customHeight="1">
      <c r="A12" s="33"/>
      <c r="B12" s="35" t="s">
        <v>21</v>
      </c>
      <c r="C12" s="34">
        <v>100.0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16</v>
      </c>
      <c r="C6" s="33" t="s">
        <v>24</v>
      </c>
      <c r="D6" s="32">
        <v>1000.0</v>
      </c>
      <c r="E6" s="33"/>
      <c r="F6" s="33" t="s">
        <v>25</v>
      </c>
      <c r="G6" s="33"/>
      <c r="H6" s="33"/>
      <c r="I6" s="33"/>
      <c r="J6" s="34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33" t="s">
        <v>18</v>
      </c>
      <c r="C7" s="33" t="s">
        <v>24</v>
      </c>
      <c r="D7" s="34">
        <v>250.0</v>
      </c>
      <c r="E7" s="33"/>
      <c r="F7" s="33" t="s">
        <v>25</v>
      </c>
      <c r="G7" s="33"/>
      <c r="H7" s="33"/>
      <c r="I7" s="33"/>
      <c r="J7" s="34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33"/>
      <c r="B8" s="33" t="s">
        <v>17</v>
      </c>
      <c r="C8" s="33" t="s">
        <v>24</v>
      </c>
      <c r="D8" s="34">
        <v>1550.0</v>
      </c>
      <c r="E8" s="33"/>
      <c r="F8" s="33" t="s">
        <v>25</v>
      </c>
      <c r="G8" s="33"/>
      <c r="H8" s="33"/>
      <c r="I8" s="33"/>
      <c r="J8" s="34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</row>
    <row r="9" ht="15.75" customHeight="1">
      <c r="A9" s="33"/>
      <c r="B9" s="32">
        <v>1.23456789E8</v>
      </c>
      <c r="C9" s="33" t="s">
        <v>24</v>
      </c>
      <c r="D9" s="34">
        <v>2750.0</v>
      </c>
      <c r="E9" s="33"/>
      <c r="F9" s="33" t="s">
        <v>25</v>
      </c>
      <c r="G9" s="33"/>
      <c r="H9" s="33"/>
      <c r="I9" s="33"/>
      <c r="J9" s="34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</row>
    <row r="10" ht="15.75" customHeight="1">
      <c r="A10" s="33"/>
      <c r="B10" s="33" t="s">
        <v>20</v>
      </c>
      <c r="C10" s="33" t="s">
        <v>24</v>
      </c>
      <c r="D10" s="34">
        <v>465.0</v>
      </c>
      <c r="E10" s="33"/>
      <c r="F10" s="33" t="s">
        <v>25</v>
      </c>
      <c r="G10" s="33"/>
      <c r="H10" s="33"/>
      <c r="I10" s="33"/>
      <c r="J10" s="34">
        <v>2.0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</row>
    <row r="11" ht="15.75" customHeight="1">
      <c r="A11" s="33"/>
      <c r="B11" s="31" t="s">
        <v>19</v>
      </c>
      <c r="C11" s="33" t="s">
        <v>24</v>
      </c>
      <c r="D11" s="34">
        <v>80.0</v>
      </c>
      <c r="E11" s="33"/>
      <c r="F11" s="33" t="s">
        <v>25</v>
      </c>
      <c r="G11" s="33"/>
      <c r="H11" s="33"/>
      <c r="I11" s="33"/>
      <c r="J11" s="34">
        <v>2.0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</row>
    <row r="12" ht="15.75" customHeight="1">
      <c r="A12" s="33"/>
      <c r="B12" s="33" t="s">
        <v>16</v>
      </c>
      <c r="C12" s="33" t="s">
        <v>24</v>
      </c>
      <c r="D12" s="34">
        <v>1000.0</v>
      </c>
      <c r="E12" s="33"/>
      <c r="F12" s="33" t="s">
        <v>26</v>
      </c>
      <c r="G12" s="33"/>
      <c r="H12" s="33"/>
      <c r="I12" s="33"/>
      <c r="J12" s="34">
        <v>2.0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</row>
    <row r="13" ht="15.75" customHeight="1">
      <c r="A13" s="33"/>
      <c r="B13" s="33" t="s">
        <v>18</v>
      </c>
      <c r="C13" s="33" t="s">
        <v>24</v>
      </c>
      <c r="D13" s="34">
        <v>250.0</v>
      </c>
      <c r="E13" s="33"/>
      <c r="F13" s="33" t="s">
        <v>26</v>
      </c>
      <c r="G13" s="33"/>
      <c r="H13" s="33"/>
      <c r="I13" s="33"/>
      <c r="J13" s="34">
        <v>2.0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</row>
    <row r="14" ht="15.75" customHeight="1">
      <c r="A14" s="33"/>
      <c r="B14" s="33" t="s">
        <v>27</v>
      </c>
      <c r="C14" s="33" t="s">
        <v>24</v>
      </c>
      <c r="D14" s="34">
        <v>1250.0</v>
      </c>
      <c r="E14" s="33"/>
      <c r="F14" s="33" t="s">
        <v>26</v>
      </c>
      <c r="G14" s="33"/>
      <c r="H14" s="33"/>
      <c r="I14" s="33"/>
      <c r="J14" s="34">
        <v>2.0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</row>
    <row r="15" ht="15.75" customHeight="1">
      <c r="A15" s="33"/>
      <c r="B15" s="32">
        <v>1.23456789E8</v>
      </c>
      <c r="C15" s="33" t="s">
        <v>24</v>
      </c>
      <c r="D15" s="34">
        <v>2750.0</v>
      </c>
      <c r="E15" s="33"/>
      <c r="F15" s="33" t="s">
        <v>26</v>
      </c>
      <c r="G15" s="33"/>
      <c r="H15" s="33"/>
      <c r="I15" s="33"/>
      <c r="J15" s="34">
        <v>2.0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</row>
    <row r="16" ht="15.75" customHeight="1">
      <c r="A16" s="33"/>
      <c r="B16" s="33" t="s">
        <v>20</v>
      </c>
      <c r="C16" s="33" t="s">
        <v>24</v>
      </c>
      <c r="D16" s="34">
        <v>465.0</v>
      </c>
      <c r="E16" s="33"/>
      <c r="F16" s="33" t="s">
        <v>26</v>
      </c>
      <c r="G16" s="33"/>
      <c r="H16" s="33"/>
      <c r="I16" s="33"/>
      <c r="J16" s="34">
        <v>2.0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</row>
    <row r="17" ht="15.75" customHeight="1">
      <c r="A17" s="33"/>
      <c r="B17" s="31" t="s">
        <v>19</v>
      </c>
      <c r="C17" s="33" t="s">
        <v>24</v>
      </c>
      <c r="D17" s="34">
        <v>80.0</v>
      </c>
      <c r="E17" s="33"/>
      <c r="F17" s="33" t="s">
        <v>26</v>
      </c>
      <c r="G17" s="33"/>
      <c r="H17" s="33"/>
      <c r="I17" s="33"/>
      <c r="J17" s="34">
        <v>2.0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</row>
    <row r="18" ht="15.75" customHeight="1">
      <c r="A18" s="33"/>
      <c r="B18" s="33" t="s">
        <v>16</v>
      </c>
      <c r="C18" s="33" t="s">
        <v>24</v>
      </c>
      <c r="D18" s="34">
        <v>1000.0</v>
      </c>
      <c r="E18" s="33"/>
      <c r="F18" s="33" t="s">
        <v>28</v>
      </c>
      <c r="G18" s="33"/>
      <c r="H18" s="33"/>
      <c r="I18" s="33"/>
      <c r="J18" s="34">
        <v>2.0</v>
      </c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</row>
    <row r="19" ht="15.75" customHeight="1">
      <c r="A19" s="33"/>
      <c r="B19" s="33" t="s">
        <v>18</v>
      </c>
      <c r="C19" s="33" t="s">
        <v>24</v>
      </c>
      <c r="D19" s="34">
        <v>250.0</v>
      </c>
      <c r="E19" s="33"/>
      <c r="F19" s="33" t="s">
        <v>28</v>
      </c>
      <c r="G19" s="33"/>
      <c r="H19" s="33"/>
      <c r="I19" s="33"/>
      <c r="J19" s="34">
        <v>2.0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</row>
    <row r="20" ht="15.75" customHeight="1">
      <c r="A20" s="33"/>
      <c r="B20" s="33" t="s">
        <v>17</v>
      </c>
      <c r="C20" s="33" t="s">
        <v>24</v>
      </c>
      <c r="D20" s="34">
        <v>1550.0</v>
      </c>
      <c r="E20" s="33"/>
      <c r="F20" s="33" t="s">
        <v>28</v>
      </c>
      <c r="G20" s="33"/>
      <c r="H20" s="33"/>
      <c r="I20" s="33"/>
      <c r="J20" s="34">
        <v>2.0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</row>
    <row r="21" ht="15.75" customHeight="1">
      <c r="A21" s="33"/>
      <c r="B21" s="32">
        <v>1.23456789E8</v>
      </c>
      <c r="C21" s="33" t="s">
        <v>24</v>
      </c>
      <c r="D21" s="34">
        <v>2750.0</v>
      </c>
      <c r="E21" s="33"/>
      <c r="F21" s="33" t="s">
        <v>28</v>
      </c>
      <c r="G21" s="33"/>
      <c r="H21" s="33"/>
      <c r="I21" s="33"/>
      <c r="J21" s="34">
        <v>2.0</v>
      </c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</row>
    <row r="22" ht="15.75" customHeight="1">
      <c r="A22" s="33"/>
      <c r="B22" s="33" t="s">
        <v>20</v>
      </c>
      <c r="C22" s="33" t="s">
        <v>24</v>
      </c>
      <c r="D22" s="34">
        <v>465.0</v>
      </c>
      <c r="E22" s="33"/>
      <c r="F22" s="33" t="s">
        <v>28</v>
      </c>
      <c r="G22" s="33"/>
      <c r="H22" s="33"/>
      <c r="I22" s="33"/>
      <c r="J22" s="34">
        <v>2.0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</row>
    <row r="23" ht="15.75" customHeight="1">
      <c r="A23" s="33"/>
      <c r="B23" s="31" t="s">
        <v>19</v>
      </c>
      <c r="C23" s="33" t="s">
        <v>24</v>
      </c>
      <c r="D23" s="34">
        <v>80.0</v>
      </c>
      <c r="E23" s="33"/>
      <c r="F23" s="33" t="s">
        <v>28</v>
      </c>
      <c r="G23" s="33"/>
      <c r="H23" s="33"/>
      <c r="I23" s="33"/>
      <c r="J23" s="34">
        <v>2.0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</row>
    <row r="24" ht="15.75" customHeight="1">
      <c r="A24" s="33"/>
      <c r="B24" s="33" t="s">
        <v>16</v>
      </c>
      <c r="C24" s="33" t="s">
        <v>24</v>
      </c>
      <c r="D24" s="34">
        <v>1000.0</v>
      </c>
      <c r="E24" s="33"/>
      <c r="F24" s="33" t="s">
        <v>29</v>
      </c>
      <c r="G24" s="33"/>
      <c r="H24" s="33"/>
      <c r="I24" s="33"/>
      <c r="J24" s="34">
        <v>2.0</v>
      </c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</row>
    <row r="25" ht="15.75" customHeight="1">
      <c r="A25" s="33"/>
      <c r="B25" s="33" t="s">
        <v>18</v>
      </c>
      <c r="C25" s="33" t="s">
        <v>24</v>
      </c>
      <c r="D25" s="34">
        <v>250.0</v>
      </c>
      <c r="E25" s="33"/>
      <c r="F25" s="33" t="s">
        <v>29</v>
      </c>
      <c r="G25" s="33"/>
      <c r="H25" s="33"/>
      <c r="I25" s="33"/>
      <c r="J25" s="34">
        <v>2.0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</row>
    <row r="26" ht="15.75" customHeight="1">
      <c r="A26" s="33"/>
      <c r="B26" s="33" t="s">
        <v>27</v>
      </c>
      <c r="C26" s="33" t="s">
        <v>24</v>
      </c>
      <c r="D26" s="34">
        <v>1250.0</v>
      </c>
      <c r="E26" s="33"/>
      <c r="F26" s="33" t="s">
        <v>29</v>
      </c>
      <c r="G26" s="33"/>
      <c r="H26" s="33"/>
      <c r="I26" s="33"/>
      <c r="J26" s="34">
        <v>2.0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</row>
    <row r="27" ht="15.75" customHeight="1">
      <c r="A27" s="33"/>
      <c r="B27" s="32">
        <v>1.23456789E8</v>
      </c>
      <c r="C27" s="33" t="s">
        <v>24</v>
      </c>
      <c r="D27" s="34">
        <v>2750.0</v>
      </c>
      <c r="E27" s="33"/>
      <c r="F27" s="33" t="s">
        <v>29</v>
      </c>
      <c r="G27" s="33"/>
      <c r="H27" s="33"/>
      <c r="I27" s="33"/>
      <c r="J27" s="34">
        <v>2.0</v>
      </c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</row>
    <row r="28" ht="15.75" customHeight="1">
      <c r="A28" s="33"/>
      <c r="B28" s="33" t="s">
        <v>20</v>
      </c>
      <c r="C28" s="33" t="s">
        <v>24</v>
      </c>
      <c r="D28" s="34">
        <v>465.0</v>
      </c>
      <c r="E28" s="33"/>
      <c r="F28" s="33" t="s">
        <v>29</v>
      </c>
      <c r="G28" s="33"/>
      <c r="H28" s="33"/>
      <c r="I28" s="33"/>
      <c r="J28" s="34">
        <v>2.0</v>
      </c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</row>
    <row r="29" ht="15.75" customHeight="1">
      <c r="A29" s="33"/>
      <c r="B29" s="31" t="s">
        <v>19</v>
      </c>
      <c r="C29" s="33" t="s">
        <v>24</v>
      </c>
      <c r="D29" s="34">
        <v>80.0</v>
      </c>
      <c r="E29" s="33"/>
      <c r="F29" s="33" t="s">
        <v>29</v>
      </c>
      <c r="G29" s="33"/>
      <c r="H29" s="33"/>
      <c r="I29" s="33"/>
      <c r="J29" s="34">
        <v>2.0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6" t="s">
        <v>16</v>
      </c>
      <c r="C6" s="34">
        <v>85.0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37" t="s">
        <v>18</v>
      </c>
      <c r="C7" s="34">
        <v>67.0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33"/>
      <c r="B8" s="37" t="s">
        <v>17</v>
      </c>
      <c r="C8" s="34">
        <v>123.0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</row>
    <row r="9" ht="15.75" customHeight="1">
      <c r="A9" s="33"/>
      <c r="B9" s="37" t="s">
        <v>27</v>
      </c>
      <c r="C9" s="34">
        <v>127.0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</row>
    <row r="10" ht="15.75" customHeight="1">
      <c r="A10" s="33"/>
      <c r="B10" s="32">
        <v>1.23456789E8</v>
      </c>
      <c r="C10" s="34">
        <v>756.0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</row>
    <row r="11" ht="15.75" customHeight="1">
      <c r="A11" s="33"/>
      <c r="B11" s="37" t="s">
        <v>20</v>
      </c>
      <c r="C11" s="34">
        <v>12.0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</row>
    <row r="12" ht="15.75" customHeight="1">
      <c r="A12" s="33"/>
      <c r="B12" s="31" t="s">
        <v>19</v>
      </c>
      <c r="C12" s="34">
        <v>23.0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</f>
        <v>44883</v>
      </c>
      <c r="C6" s="38">
        <f t="shared" si="1"/>
        <v>44883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35</v>
      </c>
      <c r="D6" s="31" t="s">
        <v>36</v>
      </c>
      <c r="E6" s="34">
        <v>0.8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today()-1</f>
        <v>44882</v>
      </c>
      <c r="C6" s="38">
        <f t="shared" si="1"/>
        <v>44882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13" t="s">
        <v>25</v>
      </c>
      <c r="C6" s="13" t="s">
        <v>34</v>
      </c>
      <c r="D6" s="13">
        <v>2.0786034E8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34</v>
      </c>
      <c r="D7" s="13">
        <v>2.0786034E8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26</v>
      </c>
      <c r="C8" s="13" t="s">
        <v>34</v>
      </c>
      <c r="D8" s="13">
        <v>2.0793229E8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 t="s">
        <v>34</v>
      </c>
      <c r="D9" s="13">
        <v>2.0793229E8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40" t="s">
        <v>41</v>
      </c>
      <c r="D6" s="31" t="s">
        <v>42</v>
      </c>
      <c r="E6" s="34">
        <v>10.0</v>
      </c>
      <c r="F6" s="33"/>
      <c r="G6" s="40" t="s">
        <v>43</v>
      </c>
      <c r="H6" s="33" t="s">
        <v>44</v>
      </c>
      <c r="I6" s="33" t="s">
        <v>45</v>
      </c>
      <c r="J6" s="33"/>
      <c r="K6" s="37" t="s">
        <v>46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/>
      <c r="C6" s="42"/>
      <c r="D6" s="42">
        <v>2000.0</v>
      </c>
      <c r="E6" s="42"/>
      <c r="F6" s="8"/>
      <c r="G6" s="8"/>
      <c r="H6" s="8"/>
      <c r="I6" s="42">
        <v>2000.0</v>
      </c>
      <c r="J6" s="42"/>
      <c r="K6" s="42"/>
      <c r="L6" s="32">
        <v>50.0</v>
      </c>
      <c r="M6" s="32">
        <v>1.0</v>
      </c>
      <c r="N6" s="8"/>
      <c r="O6" s="8"/>
      <c r="R6" s="41" t="s">
        <v>48</v>
      </c>
    </row>
    <row r="7" ht="15.75" customHeight="1">
      <c r="A7" s="8"/>
      <c r="B7" s="41"/>
      <c r="C7" s="42"/>
      <c r="D7" s="42">
        <v>2000.0</v>
      </c>
      <c r="E7" s="42"/>
      <c r="F7" s="8"/>
      <c r="G7" s="8"/>
      <c r="H7" s="8"/>
      <c r="I7" s="42">
        <v>2000.0</v>
      </c>
      <c r="J7" s="42"/>
      <c r="K7" s="42"/>
      <c r="L7" s="32">
        <v>50.0</v>
      </c>
      <c r="M7" s="32">
        <v>1.0</v>
      </c>
      <c r="N7" s="8"/>
      <c r="O7" s="8"/>
      <c r="R7" s="41" t="s">
        <v>48</v>
      </c>
    </row>
    <row r="8" ht="15.75" customHeight="1">
      <c r="A8" s="8"/>
      <c r="B8" s="41"/>
      <c r="C8" s="42"/>
      <c r="D8" s="42"/>
      <c r="E8" s="42"/>
      <c r="F8" s="8"/>
      <c r="G8" s="8"/>
      <c r="H8" s="8"/>
      <c r="I8" s="42"/>
      <c r="J8" s="42"/>
      <c r="K8" s="42"/>
      <c r="L8" s="42"/>
      <c r="M8" s="42"/>
      <c r="N8" s="8"/>
      <c r="O8" s="8"/>
      <c r="R8" s="41"/>
    </row>
    <row r="9" ht="15.75" customHeight="1">
      <c r="A9" s="8"/>
      <c r="B9" s="41"/>
      <c r="C9" s="42"/>
      <c r="D9" s="42"/>
      <c r="E9" s="42"/>
      <c r="F9" s="8"/>
      <c r="G9" s="8"/>
      <c r="H9" s="8"/>
      <c r="I9" s="42"/>
      <c r="J9" s="42"/>
      <c r="K9" s="42"/>
      <c r="L9" s="42"/>
      <c r="M9" s="42"/>
      <c r="N9" s="8"/>
      <c r="O9" s="8"/>
      <c r="R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40" t="s">
        <v>41</v>
      </c>
      <c r="D6" s="31" t="s">
        <v>42</v>
      </c>
      <c r="E6" s="34">
        <v>10.0</v>
      </c>
      <c r="F6" s="33"/>
      <c r="G6" s="40" t="s">
        <v>43</v>
      </c>
      <c r="H6" s="33" t="s">
        <v>44</v>
      </c>
      <c r="I6" s="33" t="s">
        <v>45</v>
      </c>
      <c r="J6" s="33"/>
      <c r="L6" s="33"/>
      <c r="M6" s="37" t="s">
        <v>46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/>
      <c r="C6" s="42"/>
      <c r="D6" s="42">
        <v>500.0</v>
      </c>
      <c r="E6" s="42">
        <v>41875.0</v>
      </c>
      <c r="F6" s="8"/>
      <c r="G6" s="8"/>
      <c r="H6" s="8"/>
      <c r="I6" s="42">
        <v>480.0</v>
      </c>
      <c r="J6" s="42">
        <v>20.0</v>
      </c>
      <c r="K6" s="42"/>
      <c r="L6" s="42">
        <v>50.0</v>
      </c>
      <c r="M6" s="42">
        <v>1.25</v>
      </c>
      <c r="N6" s="8"/>
      <c r="O6" s="8"/>
      <c r="R6" s="41" t="s">
        <v>48</v>
      </c>
    </row>
    <row r="7" ht="15.75" customHeight="1">
      <c r="A7" s="8"/>
      <c r="B7" s="41"/>
      <c r="C7" s="42"/>
      <c r="D7" s="42">
        <v>500.0</v>
      </c>
      <c r="E7" s="42">
        <v>41875.0</v>
      </c>
      <c r="F7" s="8"/>
      <c r="G7" s="8"/>
      <c r="H7" s="8"/>
      <c r="I7" s="42">
        <v>480.0</v>
      </c>
      <c r="J7" s="42">
        <v>20.0</v>
      </c>
      <c r="K7" s="42"/>
      <c r="L7" s="42">
        <v>50.0</v>
      </c>
      <c r="M7" s="42">
        <v>1.25</v>
      </c>
      <c r="N7" s="8"/>
      <c r="O7" s="8"/>
      <c r="R7" s="41" t="s">
        <v>48</v>
      </c>
    </row>
    <row r="8" ht="15.75" customHeight="1">
      <c r="A8" s="8"/>
      <c r="B8" s="41"/>
      <c r="C8" s="42"/>
      <c r="D8" s="42"/>
      <c r="E8" s="42"/>
      <c r="F8" s="8"/>
      <c r="G8" s="8"/>
      <c r="H8" s="8"/>
      <c r="I8" s="42"/>
      <c r="J8" s="42"/>
      <c r="K8" s="42"/>
      <c r="L8" s="42"/>
      <c r="M8" s="42"/>
      <c r="N8" s="8"/>
      <c r="O8" s="8"/>
      <c r="R8" s="41"/>
    </row>
    <row r="9" ht="15.75" customHeight="1">
      <c r="A9" s="8"/>
      <c r="B9" s="41"/>
      <c r="C9" s="42"/>
      <c r="D9" s="42"/>
      <c r="E9" s="42"/>
      <c r="F9" s="8"/>
      <c r="G9" s="8"/>
      <c r="H9" s="8"/>
      <c r="I9" s="42"/>
      <c r="J9" s="42"/>
      <c r="K9" s="42"/>
      <c r="L9" s="42"/>
      <c r="M9" s="42"/>
      <c r="N9" s="8"/>
      <c r="O9" s="8"/>
      <c r="R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40" t="s">
        <v>41</v>
      </c>
      <c r="D6" s="31" t="s">
        <v>42</v>
      </c>
      <c r="E6" s="34">
        <v>10.0</v>
      </c>
      <c r="F6" s="33"/>
      <c r="G6" s="40" t="s">
        <v>43</v>
      </c>
      <c r="H6" s="33" t="s">
        <v>44</v>
      </c>
      <c r="I6" s="33" t="s">
        <v>45</v>
      </c>
      <c r="J6" s="33"/>
      <c r="K6" s="37" t="s">
        <v>46</v>
      </c>
      <c r="L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40" t="s">
        <v>41</v>
      </c>
      <c r="D6" s="31" t="s">
        <v>42</v>
      </c>
      <c r="E6" s="34">
        <v>10.0</v>
      </c>
      <c r="F6" s="33"/>
      <c r="G6" s="40" t="s">
        <v>43</v>
      </c>
      <c r="H6" s="33" t="s">
        <v>44</v>
      </c>
      <c r="I6" s="33" t="s">
        <v>45</v>
      </c>
      <c r="J6" s="33"/>
      <c r="L6" s="33"/>
      <c r="M6" s="37" t="s">
        <v>46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3">
        <v>85.0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43" t="s">
        <v>16</v>
      </c>
      <c r="AJ6" s="43" t="s">
        <v>48</v>
      </c>
      <c r="AK6" s="43" t="s">
        <v>52</v>
      </c>
      <c r="AL6" s="43">
        <v>4000.0</v>
      </c>
      <c r="AP6" s="43">
        <v>4000.0</v>
      </c>
      <c r="AQ6" s="43">
        <v>85.0</v>
      </c>
      <c r="AR6" s="43">
        <v>85.0</v>
      </c>
    </row>
    <row r="7" ht="15.75" customHeight="1">
      <c r="A7" s="8"/>
      <c r="B7" s="8"/>
      <c r="C7" s="8"/>
      <c r="D7" s="44">
        <v>83.75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4" t="s">
        <v>18</v>
      </c>
      <c r="AJ7" s="44" t="s">
        <v>48</v>
      </c>
      <c r="AK7" s="44" t="s">
        <v>52</v>
      </c>
      <c r="AL7" s="44">
        <v>960.0</v>
      </c>
      <c r="AP7" s="44">
        <v>960.0</v>
      </c>
      <c r="AQ7" s="44">
        <v>67.0</v>
      </c>
      <c r="AR7" s="44">
        <v>67.0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