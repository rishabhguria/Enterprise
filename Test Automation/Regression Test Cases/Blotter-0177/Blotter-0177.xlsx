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ixedPreference" sheetId="4" r:id="rId6"/>
    <sheet state="visible" name="CheckFixedPreference" sheetId="5" r:id="rId7"/>
    <sheet state="visible" name="CreateStageOrder" sheetId="6" r:id="rId8"/>
    <sheet state="visible" name="MergeOrder" sheetId="7" r:id="rId9"/>
    <sheet state="visible" name="VerifyMergeOrder" sheetId="8" r:id="rId10"/>
  </sheets>
  <definedNames/>
  <calcPr/>
</workbook>
</file>

<file path=xl/sharedStrings.xml><?xml version="1.0" encoding="utf-8"?>
<sst xmlns="http://schemas.openxmlformats.org/spreadsheetml/2006/main" count="102" uniqueCount="38">
  <si>
    <t>Modules Info</t>
  </si>
  <si>
    <t>Modules</t>
  </si>
  <si>
    <t>Settings</t>
  </si>
  <si>
    <t>Module Step Setting File</t>
  </si>
  <si>
    <t>1dHQh6vrIJEpnkoAN0EHT9vcEGjoBmisSvsbwWTSkQbE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</si>
  <si>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</si>
  <si>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</si>
  <si>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</si>
  <si>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</si>
  <si>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</si>
  <si>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</si>
  <si>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</si>
  <si>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</si>
  <si>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GetFixedPreference</t>
  </si>
  <si>
    <t>Data Format</t>
  </si>
  <si>
    <t>Input Format</t>
  </si>
  <si>
    <t>PositionFile</t>
  </si>
  <si>
    <t>CheckFixedPreference</t>
  </si>
  <si>
    <t>Allocation2</t>
  </si>
  <si>
    <t>AMZN</t>
  </si>
  <si>
    <t>Symbol</t>
  </si>
  <si>
    <t>Allocation3</t>
  </si>
  <si>
    <t>BALT</t>
  </si>
  <si>
    <t>Allocation1</t>
  </si>
  <si>
    <t>MSFT</t>
  </si>
  <si>
    <t>MUSA</t>
  </si>
  <si>
    <t>TradingTicket</t>
  </si>
  <si>
    <t>CreateStageOrder</t>
  </si>
  <si>
    <t>Buy</t>
  </si>
  <si>
    <t>MS</t>
  </si>
  <si>
    <t>Market</t>
  </si>
  <si>
    <t>NASDAQ</t>
  </si>
  <si>
    <t>Blotter</t>
  </si>
  <si>
    <t>MergeOrder</t>
  </si>
  <si>
    <t>New</t>
  </si>
  <si>
    <t>Multiple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</si>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</sst>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11.0"/>
      <color rgb="FF000000"/>
      <name val="Inconsolata"/>
    </font>
    <font>
      <sz val="9.0"/>
      <color rgb="FF000000"/>
      <name val="Arial"/>
    </font>
    <font>
      <b/>
      <sz val="9.0"/>
      <color rgb="FF000000"/>
      <name val="&quot;Segoe UI&quot;"/>
    </font>
    <font>
      <b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7" fontId="14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8" fontId="15" numFmtId="0" xfId="0" applyAlignment="1" applyBorder="1" applyFill="1" applyFont="1">
      <alignment horizontal="right" readingOrder="0" vertical="top"/>
    </xf>
    <xf borderId="5" fillId="6" fontId="3" numFmtId="0" xfId="0" applyAlignment="1" applyBorder="1" applyFont="1">
      <alignment horizontal="right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readingOrder="0" vertical="top"/>
    </xf>
    <xf borderId="5" fillId="6" fontId="3" numFmtId="0" xfId="0" applyAlignment="1" applyBorder="1" applyFont="1">
      <alignment shrinkToFit="0" vertical="top" wrapText="0"/>
    </xf>
    <xf borderId="0" fillId="6" fontId="3" numFmtId="0" xfId="0" applyAlignment="1" applyFont="1">
      <alignment vertical="top"/>
    </xf>
    <xf borderId="0" fillId="8" fontId="16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6" fontId="3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IFERROR(__xludf.DUMMYFUNCTION("""COMPUTED_VALUE"""),"Ticker Symbol")</f>
        <v>Ticker Symbol</v>
      </c>
      <c r="D5" s="28" t="str">
        <f>IFERROR(__xludf.DUMMYFUNCTION("""COMPUTED_VALUE"""),"Description")</f>
        <v>Description</v>
      </c>
      <c r="E5" s="28" t="str">
        <f>IFERROR(__xludf.DUMMYFUNCTION("""COMPUTED_VALUE"""),"Sedol Symbol")</f>
        <v>Sedol Symbol</v>
      </c>
      <c r="F5" s="29" t="str">
        <f>IFERROR(__xludf.DUMMYFUNCTION("""COMPUTED_VALUE"""),"Bloomberg Symbol")</f>
        <v>Bloomberg Symbol</v>
      </c>
      <c r="G5" s="28" t="str">
        <f>IFERROR(__xludf.DUMMYFUNCTION("""COMPUTED_VALUE"""),"Side")</f>
        <v>Side</v>
      </c>
      <c r="H5" s="28" t="str">
        <f>IFERROR(__xludf.DUMMYFUNCTION("""COMPUTED_VALUE"""),"Quantity")</f>
        <v>Quantity</v>
      </c>
      <c r="I5" s="28" t="str">
        <f>IFERROR(__xludf.DUMMYFUNCTION("""COMPUTED_VALUE"""),"Total Quantity")</f>
        <v>Total Quantity</v>
      </c>
      <c r="J5" s="28" t="str">
        <f>IFERROR(__xludf.DUMMYFUNCTION("""COMPUTED_VALUE"""),"Allocation %")</f>
        <v>Allocation %</v>
      </c>
      <c r="K5" s="28" t="str">
        <f>IFERROR(__xludf.DUMMYFUNCTION("""COMPUTED_VALUE"""),"RoundLots")</f>
        <v>RoundLots</v>
      </c>
      <c r="L5" s="28" t="str">
        <f>IFERROR(__xludf.DUMMYFUNCTION("""COMPUTED_VALUE"""),"Trade Type")</f>
        <v>Trade Type</v>
      </c>
      <c r="M5" s="28" t="str">
        <f>IFERROR(__xludf.DUMMYFUNCTION("""COMPUTED_VALUE"""),"Currency")</f>
        <v>Currency</v>
      </c>
      <c r="N5" s="28" t="str">
        <f>IFERROR(__xludf.DUMMYFUNCTION("""COMPUTED_VALUE"""),"PB")</f>
        <v>PB</v>
      </c>
      <c r="O5" s="28" t="str">
        <f>IFERROR(__xludf.DUMMYFUNCTION("""COMPUTED_VALUE"""),"Allocation Scheme Key")</f>
        <v>Allocation Scheme Key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8"/>
      <c r="E6" s="8"/>
      <c r="F6" s="8"/>
      <c r="G6" s="8"/>
      <c r="H6" s="13">
        <v>500.0</v>
      </c>
      <c r="I6" s="13">
        <v>1000.0</v>
      </c>
      <c r="J6" s="13">
        <v>50.0</v>
      </c>
      <c r="K6" s="13"/>
      <c r="L6" s="8"/>
      <c r="M6" s="8"/>
      <c r="N6" s="8"/>
      <c r="O6" s="13" t="s">
        <v>20</v>
      </c>
    </row>
    <row r="7" ht="15.75" customHeight="1">
      <c r="A7" s="8"/>
      <c r="B7" s="13" t="s">
        <v>21</v>
      </c>
      <c r="C7" s="13" t="s">
        <v>19</v>
      </c>
      <c r="D7" s="8"/>
      <c r="E7" s="8"/>
      <c r="F7" s="8"/>
      <c r="G7" s="8"/>
      <c r="H7" s="13">
        <v>500.0</v>
      </c>
      <c r="I7" s="13">
        <v>1000.0</v>
      </c>
      <c r="J7" s="13">
        <v>50.0</v>
      </c>
      <c r="K7" s="13"/>
      <c r="L7" s="8"/>
      <c r="M7" s="8"/>
      <c r="N7" s="8"/>
      <c r="O7" s="13" t="s">
        <v>20</v>
      </c>
    </row>
    <row r="8" ht="15.75" customHeight="1">
      <c r="A8" s="8"/>
      <c r="B8" s="13" t="s">
        <v>18</v>
      </c>
      <c r="C8" s="13" t="s">
        <v>22</v>
      </c>
      <c r="D8" s="8"/>
      <c r="E8" s="8"/>
      <c r="F8" s="8"/>
      <c r="G8" s="8"/>
      <c r="H8" s="13">
        <v>500.0</v>
      </c>
      <c r="I8" s="13">
        <v>1000.0</v>
      </c>
      <c r="J8" s="13">
        <v>50.0</v>
      </c>
      <c r="K8" s="13"/>
      <c r="L8" s="8"/>
      <c r="M8" s="8"/>
      <c r="N8" s="8"/>
      <c r="O8" s="13" t="s">
        <v>20</v>
      </c>
    </row>
    <row r="9" ht="15.75" customHeight="1">
      <c r="A9" s="8"/>
      <c r="B9" s="13" t="s">
        <v>21</v>
      </c>
      <c r="C9" s="13" t="s">
        <v>22</v>
      </c>
      <c r="D9" s="8"/>
      <c r="E9" s="8"/>
      <c r="F9" s="8"/>
      <c r="G9" s="8"/>
      <c r="H9" s="13">
        <v>500.0</v>
      </c>
      <c r="I9" s="13">
        <v>1000.0</v>
      </c>
      <c r="J9" s="13">
        <v>50.0</v>
      </c>
      <c r="K9" s="13"/>
      <c r="L9" s="8"/>
      <c r="M9" s="8"/>
      <c r="N9" s="8"/>
      <c r="O9" s="13" t="s">
        <v>20</v>
      </c>
    </row>
    <row r="10" ht="15.75" customHeight="1">
      <c r="A10" s="8"/>
      <c r="B10" s="13" t="s">
        <v>23</v>
      </c>
      <c r="C10" s="13" t="s">
        <v>24</v>
      </c>
      <c r="D10" s="8"/>
      <c r="E10" s="8"/>
      <c r="F10" s="8"/>
      <c r="G10" s="8"/>
      <c r="H10" s="13">
        <v>10000.0</v>
      </c>
      <c r="I10" s="13">
        <v>10000.0</v>
      </c>
      <c r="J10" s="13">
        <v>100.0</v>
      </c>
      <c r="K10" s="13"/>
      <c r="L10" s="8"/>
      <c r="M10" s="8"/>
      <c r="N10" s="8"/>
      <c r="O10" s="13" t="s">
        <v>20</v>
      </c>
    </row>
    <row r="11" ht="15.75" customHeight="1">
      <c r="A11" s="8"/>
      <c r="B11" s="13" t="s">
        <v>18</v>
      </c>
      <c r="C11" s="13" t="s">
        <v>25</v>
      </c>
      <c r="D11" s="8"/>
      <c r="E11" s="8"/>
      <c r="F11" s="8"/>
      <c r="G11" s="8"/>
      <c r="H11" s="13">
        <v>700.0</v>
      </c>
      <c r="I11" s="13">
        <v>1000.0</v>
      </c>
      <c r="J11" s="13">
        <v>70.0</v>
      </c>
      <c r="K11" s="13"/>
      <c r="L11" s="8"/>
      <c r="M11" s="8"/>
      <c r="N11" s="8"/>
      <c r="O11" s="13" t="s">
        <v>20</v>
      </c>
    </row>
    <row r="12" ht="15.75" customHeight="1">
      <c r="A12" s="8"/>
      <c r="B12" s="13" t="s">
        <v>21</v>
      </c>
      <c r="C12" s="13" t="s">
        <v>25</v>
      </c>
      <c r="D12" s="8"/>
      <c r="E12" s="8"/>
      <c r="F12" s="8"/>
      <c r="G12" s="8"/>
      <c r="H12" s="13">
        <v>300.0</v>
      </c>
      <c r="I12" s="13">
        <v>1000.0</v>
      </c>
      <c r="J12" s="13">
        <v>30.0</v>
      </c>
      <c r="K12" s="13"/>
      <c r="L12" s="8"/>
      <c r="M12" s="8"/>
      <c r="N12" s="8"/>
      <c r="O12" s="13" t="s">
        <v>20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CheckFixedPreference!$4:$4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2" t="s">
        <v>28</v>
      </c>
      <c r="D6" s="33">
        <v>100.0</v>
      </c>
      <c r="E6" s="31"/>
      <c r="F6" s="34" t="s">
        <v>16</v>
      </c>
      <c r="G6" s="35" t="s">
        <v>29</v>
      </c>
      <c r="H6" s="31"/>
      <c r="I6" s="36" t="s">
        <v>30</v>
      </c>
      <c r="J6" s="33">
        <v>110.0</v>
      </c>
      <c r="K6" s="32"/>
      <c r="L6" s="37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9" t="s">
        <v>31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13" t="s">
        <v>19</v>
      </c>
      <c r="C7" s="32" t="s">
        <v>28</v>
      </c>
      <c r="D7" s="33">
        <v>200.0</v>
      </c>
      <c r="E7" s="31"/>
      <c r="F7" s="34" t="s">
        <v>16</v>
      </c>
      <c r="G7" s="35" t="s">
        <v>29</v>
      </c>
      <c r="H7" s="31"/>
      <c r="I7" s="36" t="s">
        <v>30</v>
      </c>
      <c r="J7" s="33">
        <v>110.0</v>
      </c>
      <c r="K7" s="32"/>
      <c r="L7" s="37"/>
      <c r="M7" s="31"/>
      <c r="N7" s="31"/>
      <c r="O7" s="31"/>
      <c r="P7" s="31"/>
      <c r="Q7" s="31"/>
      <c r="R7" s="31"/>
      <c r="S7" s="31"/>
      <c r="T7" s="38"/>
      <c r="U7" s="38"/>
      <c r="V7" s="38"/>
      <c r="W7" s="38"/>
      <c r="X7" s="38"/>
      <c r="Y7" s="38"/>
      <c r="Z7" s="38"/>
      <c r="AA7" s="38"/>
      <c r="AB7" s="39" t="s">
        <v>31</v>
      </c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1"/>
      <c r="D6" s="13" t="s">
        <v>19</v>
      </c>
      <c r="E6" s="31"/>
      <c r="F6" s="40" t="s">
        <v>28</v>
      </c>
      <c r="G6" s="40" t="s">
        <v>34</v>
      </c>
      <c r="H6" s="37">
        <v>100.0</v>
      </c>
      <c r="I6" s="31"/>
      <c r="J6" s="31"/>
      <c r="K6" s="31"/>
      <c r="L6" s="31"/>
      <c r="M6" s="31"/>
      <c r="N6" s="31"/>
      <c r="O6" s="31"/>
      <c r="P6" s="31"/>
      <c r="Q6" s="40" t="s">
        <v>29</v>
      </c>
      <c r="R6" s="41" t="s">
        <v>35</v>
      </c>
      <c r="S6" s="31"/>
      <c r="T6" s="36" t="s">
        <v>30</v>
      </c>
      <c r="U6" s="38"/>
      <c r="V6" s="38"/>
      <c r="W6" s="38"/>
      <c r="X6" s="38"/>
      <c r="Y6" s="38"/>
      <c r="Z6" s="38"/>
      <c r="AA6" s="38"/>
      <c r="AB6" s="42"/>
      <c r="AC6" s="38"/>
      <c r="AD6" s="38"/>
      <c r="AE6" s="38"/>
      <c r="AF6" s="43"/>
      <c r="AG6" s="38"/>
      <c r="AH6" s="38"/>
      <c r="AI6" s="38"/>
      <c r="AJ6" s="38" t="s">
        <v>31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 t="s">
        <v>36</v>
      </c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3"/>
      <c r="C7" s="38"/>
      <c r="D7" s="13" t="s">
        <v>19</v>
      </c>
      <c r="E7" s="38"/>
      <c r="F7" s="44" t="s">
        <v>28</v>
      </c>
      <c r="G7" s="44" t="s">
        <v>34</v>
      </c>
      <c r="H7" s="45">
        <v>200.0</v>
      </c>
      <c r="I7" s="38"/>
      <c r="J7" s="38"/>
      <c r="K7" s="38"/>
      <c r="L7" s="38"/>
      <c r="M7" s="38"/>
      <c r="N7" s="38"/>
      <c r="O7" s="38"/>
      <c r="P7" s="38"/>
      <c r="Q7" s="44" t="s">
        <v>29</v>
      </c>
      <c r="R7" s="41" t="s">
        <v>35</v>
      </c>
      <c r="S7" s="38"/>
      <c r="T7" s="36" t="s">
        <v>30</v>
      </c>
      <c r="U7" s="38"/>
      <c r="V7" s="38"/>
      <c r="W7" s="38"/>
      <c r="X7" s="38"/>
      <c r="Y7" s="38"/>
      <c r="Z7" s="38"/>
      <c r="AA7" s="38"/>
      <c r="AB7" s="44"/>
      <c r="AC7" s="38"/>
      <c r="AD7" s="38"/>
      <c r="AE7" s="38"/>
      <c r="AF7" s="44"/>
      <c r="AG7" s="38"/>
      <c r="AH7" s="38"/>
      <c r="AI7" s="38"/>
      <c r="AJ7" s="38" t="s">
        <v>31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 t="s">
        <v>36</v>
      </c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4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13" t="s">
        <v>19</v>
      </c>
      <c r="AJ6" s="43" t="s">
        <v>28</v>
      </c>
      <c r="AK6" s="43" t="s">
        <v>34</v>
      </c>
      <c r="AL6" s="46">
        <v>300.0</v>
      </c>
      <c r="AM6" s="38"/>
      <c r="AN6" s="38"/>
      <c r="AO6" s="38"/>
      <c r="AP6" s="38"/>
      <c r="AQ6" s="38"/>
      <c r="AR6" s="38"/>
      <c r="AS6" s="43" t="s">
        <v>29</v>
      </c>
      <c r="AT6" s="41" t="s">
        <v>35</v>
      </c>
      <c r="AU6" s="36" t="s">
        <v>30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