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3" activeTab="16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GroupRowPM" sheetId="8" r:id="rId8"/>
    <sheet name="OpenPTTFromPM" sheetId="9" r:id="rId9"/>
    <sheet name="CalculatePTT" sheetId="10" r:id="rId10"/>
    <sheet name="VerifyPTT" sheetId="11" r:id="rId11"/>
    <sheet name="TradePTT" sheetId="12" r:id="rId12"/>
    <sheet name="CreateDoneAwayOrder1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J2" i="17" l="1"/>
  <c r="J2" i="16"/>
  <c r="J2" i="15"/>
  <c r="J2" i="14"/>
  <c r="J2" i="13"/>
  <c r="J2" i="12"/>
  <c r="J2" i="11"/>
  <c r="J2" i="10"/>
  <c r="J2" i="9"/>
  <c r="J2" i="8"/>
  <c r="J2" i="7"/>
  <c r="N7" i="6"/>
  <c r="N6" i="6"/>
  <c r="J2" i="6"/>
  <c r="J2" i="5"/>
  <c r="C6" i="4"/>
  <c r="B6" i="4"/>
  <c r="J2" i="4"/>
  <c r="BK5" i="17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AO5" i="13"/>
  <c r="AG5" i="13"/>
  <c r="Y5" i="13"/>
  <c r="Q5" i="13"/>
  <c r="I5" i="13"/>
  <c r="A5" i="13"/>
  <c r="M4" i="13"/>
  <c r="E4" i="13"/>
  <c r="F5" i="12"/>
  <c r="O4" i="12"/>
  <c r="G4" i="12"/>
  <c r="Q5" i="11"/>
  <c r="I5" i="11"/>
  <c r="A5" i="11"/>
  <c r="J4" i="11"/>
  <c r="B4" i="11"/>
  <c r="D5" i="10"/>
  <c r="M4" i="10"/>
  <c r="E4" i="10"/>
  <c r="B5" i="9"/>
  <c r="T4" i="9"/>
  <c r="L4" i="9"/>
  <c r="D4" i="9"/>
  <c r="X4" i="8"/>
  <c r="P4" i="8"/>
  <c r="H4" i="8"/>
  <c r="T5" i="7"/>
  <c r="L5" i="7"/>
  <c r="D5" i="7"/>
  <c r="AJ5" i="6"/>
  <c r="AB5" i="6"/>
  <c r="T5" i="6"/>
  <c r="L5" i="6"/>
  <c r="D5" i="6"/>
  <c r="P4" i="6"/>
  <c r="H4" i="6"/>
  <c r="D5" i="5"/>
  <c r="AC4" i="5"/>
  <c r="U4" i="5"/>
  <c r="M4" i="5"/>
  <c r="E4" i="5"/>
  <c r="B5" i="4"/>
  <c r="AA4" i="4"/>
  <c r="S4" i="4"/>
  <c r="K4" i="4"/>
  <c r="C4" i="4"/>
  <c r="B479" i="1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AN5" i="13"/>
  <c r="AF5" i="13"/>
  <c r="X5" i="13"/>
  <c r="P5" i="13"/>
  <c r="H5" i="13"/>
  <c r="T4" i="13"/>
  <c r="L4" i="13"/>
  <c r="D4" i="13"/>
  <c r="E5" i="12"/>
  <c r="N4" i="12"/>
  <c r="F4" i="12"/>
  <c r="P5" i="11"/>
  <c r="H5" i="11"/>
  <c r="Q4" i="11"/>
  <c r="I4" i="11"/>
  <c r="C5" i="10"/>
  <c r="L4" i="10"/>
  <c r="D4" i="10"/>
  <c r="A5" i="9"/>
  <c r="S4" i="9"/>
  <c r="K4" i="9"/>
  <c r="C4" i="9"/>
  <c r="W4" i="8"/>
  <c r="O4" i="8"/>
  <c r="G4" i="8"/>
  <c r="S5" i="7"/>
  <c r="K5" i="7"/>
  <c r="C5" i="7"/>
  <c r="EZ5" i="17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S4" i="14"/>
  <c r="AK4" i="14"/>
  <c r="AC4" i="14"/>
  <c r="U4" i="14"/>
  <c r="M4" i="14"/>
  <c r="E4" i="14"/>
  <c r="AL5" i="13"/>
  <c r="AD5" i="13"/>
  <c r="V5" i="13"/>
  <c r="N5" i="13"/>
  <c r="F5" i="13"/>
  <c r="R4" i="13"/>
  <c r="J4" i="13"/>
  <c r="B4" i="13"/>
  <c r="C5" i="12"/>
  <c r="L4" i="12"/>
  <c r="D4" i="12"/>
  <c r="N5" i="11"/>
  <c r="F5" i="11"/>
  <c r="O4" i="11"/>
  <c r="G4" i="11"/>
  <c r="I5" i="10"/>
  <c r="A5" i="10"/>
  <c r="J4" i="10"/>
  <c r="B4" i="10"/>
  <c r="Y4" i="9"/>
  <c r="Q4" i="9"/>
  <c r="I4" i="9"/>
  <c r="U4" i="8"/>
  <c r="M4" i="8"/>
  <c r="E4" i="8"/>
  <c r="Q5" i="7"/>
  <c r="I5" i="7"/>
  <c r="A5" i="7"/>
  <c r="AO5" i="6"/>
  <c r="AG5" i="6"/>
  <c r="Y5" i="6"/>
  <c r="Q5" i="6"/>
  <c r="I5" i="6"/>
  <c r="A5" i="6"/>
  <c r="M4" i="6"/>
  <c r="E4" i="6"/>
  <c r="A5" i="5"/>
  <c r="Z4" i="5"/>
  <c r="R4" i="5"/>
  <c r="J4" i="5"/>
  <c r="B4" i="5"/>
  <c r="AF4" i="4"/>
  <c r="EX5" i="17"/>
  <c r="EP5" i="17"/>
  <c r="EH5" i="17"/>
  <c r="DZ5" i="17"/>
  <c r="DR5" i="17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AI4" i="14"/>
  <c r="AA4" i="14"/>
  <c r="S4" i="14"/>
  <c r="K4" i="14"/>
  <c r="C4" i="14"/>
  <c r="AJ5" i="13"/>
  <c r="AB5" i="13"/>
  <c r="T5" i="13"/>
  <c r="L5" i="13"/>
  <c r="D5" i="13"/>
  <c r="P4" i="13"/>
  <c r="H4" i="13"/>
  <c r="I5" i="12"/>
  <c r="A5" i="12"/>
  <c r="J4" i="12"/>
  <c r="B4" i="12"/>
  <c r="L5" i="11"/>
  <c r="D5" i="11"/>
  <c r="M4" i="11"/>
  <c r="E4" i="11"/>
  <c r="G5" i="10"/>
  <c r="P4" i="10"/>
  <c r="H4" i="10"/>
  <c r="E5" i="9"/>
  <c r="W4" i="9"/>
  <c r="O4" i="9"/>
  <c r="G4" i="9"/>
  <c r="A5" i="8"/>
  <c r="S4" i="8"/>
  <c r="K4" i="8"/>
  <c r="C4" i="8"/>
  <c r="O5" i="7"/>
  <c r="G5" i="7"/>
  <c r="D4" i="7"/>
  <c r="AM5" i="6"/>
  <c r="AE5" i="6"/>
  <c r="W5" i="6"/>
  <c r="O5" i="6"/>
  <c r="G5" i="6"/>
  <c r="S4" i="6"/>
  <c r="K4" i="6"/>
  <c r="C4" i="6"/>
  <c r="AF4" i="5"/>
  <c r="X4" i="5"/>
  <c r="P4" i="5"/>
  <c r="H4" i="5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I5" i="13"/>
  <c r="AA5" i="13"/>
  <c r="S5" i="13"/>
  <c r="K5" i="13"/>
  <c r="C5" i="13"/>
  <c r="O4" i="13"/>
  <c r="G4" i="13"/>
  <c r="H5" i="12"/>
  <c r="Q4" i="12"/>
  <c r="I4" i="12"/>
  <c r="K5" i="11"/>
  <c r="C5" i="11"/>
  <c r="L4" i="11"/>
  <c r="D4" i="11"/>
  <c r="F5" i="10"/>
  <c r="O4" i="10"/>
  <c r="G4" i="10"/>
  <c r="D5" i="9"/>
  <c r="V4" i="9"/>
  <c r="N4" i="9"/>
  <c r="F4" i="9"/>
  <c r="Z4" i="8"/>
  <c r="R4" i="8"/>
  <c r="J4" i="8"/>
  <c r="B4" i="8"/>
  <c r="N5" i="7"/>
  <c r="F5" i="7"/>
  <c r="C4" i="7"/>
  <c r="AL5" i="6"/>
  <c r="AD5" i="6"/>
  <c r="V5" i="6"/>
  <c r="N5" i="6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O4" i="14"/>
  <c r="AG4" i="14"/>
  <c r="Y4" i="14"/>
  <c r="Q4" i="14"/>
  <c r="I4" i="14"/>
  <c r="AH5" i="13"/>
  <c r="Z5" i="13"/>
  <c r="R5" i="13"/>
  <c r="J5" i="13"/>
  <c r="B5" i="13"/>
  <c r="N4" i="13"/>
  <c r="F4" i="13"/>
  <c r="G5" i="12"/>
  <c r="P4" i="12"/>
  <c r="H4" i="12"/>
  <c r="R5" i="11"/>
  <c r="J5" i="11"/>
  <c r="B5" i="11"/>
  <c r="K4" i="11"/>
  <c r="C4" i="11"/>
  <c r="E5" i="10"/>
  <c r="N4" i="10"/>
  <c r="F4" i="10"/>
  <c r="C5" i="9"/>
  <c r="U4" i="9"/>
  <c r="M4" i="9"/>
  <c r="E4" i="9"/>
  <c r="Y4" i="8"/>
  <c r="Q4" i="8"/>
  <c r="ER5" i="17"/>
  <c r="CV5" i="17"/>
  <c r="BP5" i="17"/>
  <c r="AJ5" i="17"/>
  <c r="D5" i="17"/>
  <c r="BQ5" i="16"/>
  <c r="AK5" i="16"/>
  <c r="E5" i="16"/>
  <c r="CP4" i="16"/>
  <c r="BJ4" i="16"/>
  <c r="AD4" i="16"/>
  <c r="R5" i="15"/>
  <c r="DC4" i="15"/>
  <c r="BW4" i="15"/>
  <c r="AQ4" i="15"/>
  <c r="K4" i="15"/>
  <c r="AF5" i="14"/>
  <c r="AT4" i="14"/>
  <c r="N4" i="14"/>
  <c r="AC5" i="13"/>
  <c r="Q4" i="13"/>
  <c r="K4" i="12"/>
  <c r="P4" i="11"/>
  <c r="Q4" i="10"/>
  <c r="P4" i="9"/>
  <c r="N4" i="8"/>
  <c r="M5" i="7"/>
  <c r="AA5" i="6"/>
  <c r="K5" i="6"/>
  <c r="R4" i="6"/>
  <c r="F4" i="6"/>
  <c r="AD4" i="5"/>
  <c r="Q4" i="5"/>
  <c r="D4" i="5"/>
  <c r="AE4" i="4"/>
  <c r="V4" i="4"/>
  <c r="M4" i="4"/>
  <c r="D4" i="4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EJ5" i="17"/>
  <c r="CT5" i="17"/>
  <c r="BN5" i="17"/>
  <c r="AH5" i="17"/>
  <c r="B5" i="17"/>
  <c r="CQ5" i="16"/>
  <c r="BK5" i="16"/>
  <c r="AE5" i="16"/>
  <c r="DP4" i="16"/>
  <c r="CJ4" i="16"/>
  <c r="BD4" i="16"/>
  <c r="X4" i="16"/>
  <c r="P5" i="15"/>
  <c r="DA4" i="15"/>
  <c r="BU4" i="15"/>
  <c r="AO4" i="15"/>
  <c r="I4" i="15"/>
  <c r="AD5" i="14"/>
  <c r="AR4" i="14"/>
  <c r="L4" i="14"/>
  <c r="W5" i="13"/>
  <c r="K4" i="13"/>
  <c r="E4" i="12"/>
  <c r="N4" i="11"/>
  <c r="K4" i="10"/>
  <c r="J4" i="9"/>
  <c r="L4" i="8"/>
  <c r="J5" i="7"/>
  <c r="Z5" i="6"/>
  <c r="J5" i="6"/>
  <c r="Q4" i="6"/>
  <c r="D4" i="6"/>
  <c r="AB4" i="5"/>
  <c r="O4" i="5"/>
  <c r="C4" i="5"/>
  <c r="AD4" i="4"/>
  <c r="U4" i="4"/>
  <c r="L4" i="4"/>
  <c r="B4" i="4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EB5" i="17"/>
  <c r="CN5" i="17"/>
  <c r="BH5" i="17"/>
  <c r="AB5" i="17"/>
  <c r="V4" i="17"/>
  <c r="CO5" i="16"/>
  <c r="BI5" i="16"/>
  <c r="AC5" i="16"/>
  <c r="DN4" i="16"/>
  <c r="CH4" i="16"/>
  <c r="BB4" i="16"/>
  <c r="V4" i="16"/>
  <c r="J5" i="15"/>
  <c r="CU4" i="15"/>
  <c r="BO4" i="15"/>
  <c r="AI4" i="15"/>
  <c r="C4" i="15"/>
  <c r="X5" i="14"/>
  <c r="AL4" i="14"/>
  <c r="F4" i="14"/>
  <c r="U5" i="13"/>
  <c r="I4" i="13"/>
  <c r="C4" i="12"/>
  <c r="H4" i="11"/>
  <c r="I4" i="10"/>
  <c r="H4" i="9"/>
  <c r="I4" i="8"/>
  <c r="H5" i="7"/>
  <c r="AN5" i="6"/>
  <c r="X5" i="6"/>
  <c r="H5" i="6"/>
  <c r="O4" i="6"/>
  <c r="B4" i="6"/>
  <c r="AA4" i="5"/>
  <c r="N4" i="5"/>
  <c r="AC4" i="4"/>
  <c r="T4" i="4"/>
  <c r="J4" i="4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DT5" i="17"/>
  <c r="CL5" i="17"/>
  <c r="BF5" i="17"/>
  <c r="Z5" i="17"/>
  <c r="T4" i="17"/>
  <c r="CI5" i="16"/>
  <c r="BC5" i="16"/>
  <c r="W5" i="16"/>
  <c r="DH4" i="16"/>
  <c r="CB4" i="16"/>
  <c r="AV4" i="16"/>
  <c r="P4" i="16"/>
  <c r="H5" i="15"/>
  <c r="CS4" i="15"/>
  <c r="BM4" i="15"/>
  <c r="AG4" i="15"/>
  <c r="V5" i="14"/>
  <c r="AJ4" i="14"/>
  <c r="D4" i="14"/>
  <c r="O5" i="13"/>
  <c r="C4" i="13"/>
  <c r="F4" i="11"/>
  <c r="C4" i="10"/>
  <c r="B4" i="9"/>
  <c r="F4" i="8"/>
  <c r="E5" i="7"/>
  <c r="AK5" i="6"/>
  <c r="U5" i="6"/>
  <c r="F5" i="6"/>
  <c r="N4" i="6"/>
  <c r="Y4" i="5"/>
  <c r="L4" i="5"/>
  <c r="AB4" i="4"/>
  <c r="R4" i="4"/>
  <c r="I4" i="4"/>
  <c r="A4" i="3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DL5" i="17"/>
  <c r="CF5" i="17"/>
  <c r="AZ5" i="17"/>
  <c r="T5" i="17"/>
  <c r="N4" i="17"/>
  <c r="CG5" i="16"/>
  <c r="BA5" i="16"/>
  <c r="U5" i="16"/>
  <c r="DF4" i="16"/>
  <c r="BZ4" i="16"/>
  <c r="AT4" i="16"/>
  <c r="N4" i="16"/>
  <c r="B5" i="15"/>
  <c r="CM4" i="15"/>
  <c r="BG4" i="15"/>
  <c r="AA4" i="15"/>
  <c r="AV5" i="14"/>
  <c r="P5" i="14"/>
  <c r="AD4" i="14"/>
  <c r="M5" i="13"/>
  <c r="O5" i="11"/>
  <c r="D4" i="8"/>
  <c r="B5" i="7"/>
  <c r="AI5" i="6"/>
  <c r="S5" i="6"/>
  <c r="E5" i="6"/>
  <c r="L4" i="6"/>
  <c r="C5" i="5"/>
  <c r="W4" i="5"/>
  <c r="K4" i="5"/>
  <c r="Z4" i="4"/>
  <c r="Q4" i="4"/>
  <c r="H4" i="4"/>
  <c r="C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DD5" i="17"/>
  <c r="BX5" i="17"/>
  <c r="AR5" i="17"/>
  <c r="L5" i="17"/>
  <c r="F4" i="17"/>
  <c r="BY5" i="16"/>
  <c r="AS5" i="16"/>
  <c r="M5" i="16"/>
  <c r="CX4" i="16"/>
  <c r="BR4" i="16"/>
  <c r="AL4" i="16"/>
  <c r="F4" i="16"/>
  <c r="DK4" i="15"/>
  <c r="CE4" i="15"/>
  <c r="AY4" i="15"/>
  <c r="S4" i="15"/>
  <c r="AN5" i="14"/>
  <c r="H5" i="14"/>
  <c r="V4" i="14"/>
  <c r="AK5" i="13"/>
  <c r="E5" i="13"/>
  <c r="B5" i="12"/>
  <c r="G5" i="11"/>
  <c r="H5" i="10"/>
  <c r="X4" i="9"/>
  <c r="V4" i="8"/>
  <c r="R5" i="7"/>
  <c r="B4" i="7"/>
  <c r="AF5" i="6"/>
  <c r="P5" i="6"/>
  <c r="B5" i="6"/>
  <c r="I4" i="6"/>
  <c r="AG4" i="5"/>
  <c r="T4" i="5"/>
  <c r="G4" i="5"/>
  <c r="A5" i="4"/>
  <c r="X4" i="4"/>
  <c r="O4" i="4"/>
  <c r="F4" i="4"/>
  <c r="A480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DJ5" i="17"/>
  <c r="L4" i="17"/>
  <c r="G5" i="16"/>
  <c r="Q4" i="15"/>
  <c r="R4" i="9"/>
  <c r="J4" i="6"/>
  <c r="F4" i="5"/>
  <c r="P4" i="4"/>
  <c r="C476" i="1"/>
  <c r="A466" i="1"/>
  <c r="B455" i="1"/>
  <c r="C444" i="1"/>
  <c r="A434" i="1"/>
  <c r="B423" i="1"/>
  <c r="B415" i="1"/>
  <c r="A408" i="1"/>
  <c r="B400" i="1"/>
  <c r="A394" i="1"/>
  <c r="C386" i="1"/>
  <c r="A379" i="1"/>
  <c r="C372" i="1"/>
  <c r="B365" i="1"/>
  <c r="C357" i="1"/>
  <c r="B351" i="1"/>
  <c r="A344" i="1"/>
  <c r="C338" i="1"/>
  <c r="B333" i="1"/>
  <c r="A328" i="1"/>
  <c r="C322" i="1"/>
  <c r="B317" i="1"/>
  <c r="A312" i="1"/>
  <c r="C306" i="1"/>
  <c r="B301" i="1"/>
  <c r="B296" i="1"/>
  <c r="B292" i="1"/>
  <c r="A288" i="1"/>
  <c r="B284" i="1"/>
  <c r="C280" i="1"/>
  <c r="B277" i="1"/>
  <c r="C273" i="1"/>
  <c r="A270" i="1"/>
  <c r="C266" i="1"/>
  <c r="A263" i="1"/>
  <c r="B259" i="1"/>
  <c r="A256" i="1"/>
  <c r="B252" i="1"/>
  <c r="C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DB5" i="17"/>
  <c r="D4" i="17"/>
  <c r="CZ4" i="16"/>
  <c r="DQ4" i="15"/>
  <c r="AM5" i="13"/>
  <c r="M5" i="11"/>
  <c r="G4" i="6"/>
  <c r="N4" i="4"/>
  <c r="C474" i="1"/>
  <c r="A464" i="1"/>
  <c r="B453" i="1"/>
  <c r="C442" i="1"/>
  <c r="A432" i="1"/>
  <c r="B421" i="1"/>
  <c r="C413" i="1"/>
  <c r="B407" i="1"/>
  <c r="A400" i="1"/>
  <c r="B392" i="1"/>
  <c r="A386" i="1"/>
  <c r="C378" i="1"/>
  <c r="A371" i="1"/>
  <c r="C364" i="1"/>
  <c r="B357" i="1"/>
  <c r="C349" i="1"/>
  <c r="B343" i="1"/>
  <c r="A338" i="1"/>
  <c r="C332" i="1"/>
  <c r="B327" i="1"/>
  <c r="A322" i="1"/>
  <c r="C316" i="1"/>
  <c r="B311" i="1"/>
  <c r="A306" i="1"/>
  <c r="C300" i="1"/>
  <c r="A296" i="1"/>
  <c r="C291" i="1"/>
  <c r="B287" i="1"/>
  <c r="C283" i="1"/>
  <c r="B280" i="1"/>
  <c r="C276" i="1"/>
  <c r="A273" i="1"/>
  <c r="C269" i="1"/>
  <c r="A266" i="1"/>
  <c r="B262" i="1"/>
  <c r="A259" i="1"/>
  <c r="B255" i="1"/>
  <c r="C251" i="1"/>
  <c r="B248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CD5" i="17"/>
  <c r="CR4" i="16"/>
  <c r="DI4" i="15"/>
  <c r="AT5" i="14"/>
  <c r="AE5" i="13"/>
  <c r="E5" i="11"/>
  <c r="B5" i="8"/>
  <c r="AH5" i="6"/>
  <c r="G4" i="4"/>
  <c r="A474" i="1"/>
  <c r="B463" i="1"/>
  <c r="C452" i="1"/>
  <c r="A442" i="1"/>
  <c r="B431" i="1"/>
  <c r="C420" i="1"/>
  <c r="B413" i="1"/>
  <c r="C405" i="1"/>
  <c r="B399" i="1"/>
  <c r="A392" i="1"/>
  <c r="B384" i="1"/>
  <c r="A378" i="1"/>
  <c r="C370" i="1"/>
  <c r="A363" i="1"/>
  <c r="C356" i="1"/>
  <c r="B349" i="1"/>
  <c r="A343" i="1"/>
  <c r="C337" i="1"/>
  <c r="B332" i="1"/>
  <c r="A327" i="1"/>
  <c r="C321" i="1"/>
  <c r="B316" i="1"/>
  <c r="A311" i="1"/>
  <c r="C305" i="1"/>
  <c r="B300" i="1"/>
  <c r="B295" i="1"/>
  <c r="A291" i="1"/>
  <c r="A287" i="1"/>
  <c r="B283" i="1"/>
  <c r="A280" i="1"/>
  <c r="B276" i="1"/>
  <c r="C272" i="1"/>
  <c r="B269" i="1"/>
  <c r="C265" i="1"/>
  <c r="A262" i="1"/>
  <c r="C258" i="1"/>
  <c r="A255" i="1"/>
  <c r="B251" i="1"/>
  <c r="A248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BV5" i="17"/>
  <c r="CA5" i="16"/>
  <c r="BT4" i="16"/>
  <c r="CK4" i="15"/>
  <c r="AL5" i="14"/>
  <c r="G5" i="13"/>
  <c r="T4" i="8"/>
  <c r="AC5" i="6"/>
  <c r="B5" i="5"/>
  <c r="E4" i="4"/>
  <c r="A472" i="1"/>
  <c r="B461" i="1"/>
  <c r="C450" i="1"/>
  <c r="A440" i="1"/>
  <c r="B429" i="1"/>
  <c r="A419" i="1"/>
  <c r="C412" i="1"/>
  <c r="B405" i="1"/>
  <c r="C397" i="1"/>
  <c r="B391" i="1"/>
  <c r="A384" i="1"/>
  <c r="B376" i="1"/>
  <c r="A370" i="1"/>
  <c r="C362" i="1"/>
  <c r="A355" i="1"/>
  <c r="C348" i="1"/>
  <c r="C341" i="1"/>
  <c r="B336" i="1"/>
  <c r="A331" i="1"/>
  <c r="C325" i="1"/>
  <c r="B320" i="1"/>
  <c r="A315" i="1"/>
  <c r="C309" i="1"/>
  <c r="B304" i="1"/>
  <c r="A299" i="1"/>
  <c r="A295" i="1"/>
  <c r="C290" i="1"/>
  <c r="B286" i="1"/>
  <c r="A283" i="1"/>
  <c r="B279" i="1"/>
  <c r="C275" i="1"/>
  <c r="B272" i="1"/>
  <c r="C268" i="1"/>
  <c r="A265" i="1"/>
  <c r="C261" i="1"/>
  <c r="A258" i="1"/>
  <c r="B254" i="1"/>
  <c r="A251" i="1"/>
  <c r="B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AX5" i="17"/>
  <c r="BS5" i="16"/>
  <c r="BL4" i="16"/>
  <c r="CC4" i="15"/>
  <c r="N5" i="14"/>
  <c r="S4" i="13"/>
  <c r="J5" i="10"/>
  <c r="R5" i="6"/>
  <c r="AE4" i="5"/>
  <c r="C5" i="4"/>
  <c r="B471" i="1"/>
  <c r="C460" i="1"/>
  <c r="A450" i="1"/>
  <c r="B439" i="1"/>
  <c r="C428" i="1"/>
  <c r="C418" i="1"/>
  <c r="A411" i="1"/>
  <c r="C404" i="1"/>
  <c r="B397" i="1"/>
  <c r="C389" i="1"/>
  <c r="B383" i="1"/>
  <c r="A376" i="1"/>
  <c r="B368" i="1"/>
  <c r="A362" i="1"/>
  <c r="C354" i="1"/>
  <c r="A347" i="1"/>
  <c r="B341" i="1"/>
  <c r="A336" i="1"/>
  <c r="C330" i="1"/>
  <c r="B325" i="1"/>
  <c r="A320" i="1"/>
  <c r="C314" i="1"/>
  <c r="B309" i="1"/>
  <c r="A304" i="1"/>
  <c r="C298" i="1"/>
  <c r="B294" i="1"/>
  <c r="A290" i="1"/>
  <c r="A286" i="1"/>
  <c r="C282" i="1"/>
  <c r="A279" i="1"/>
  <c r="B275" i="1"/>
  <c r="A272" i="1"/>
  <c r="B268" i="1"/>
  <c r="C264" i="1"/>
  <c r="B261" i="1"/>
  <c r="C257" i="1"/>
  <c r="A254" i="1"/>
  <c r="C250" i="1"/>
  <c r="A247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P5" i="17"/>
  <c r="AU5" i="16"/>
  <c r="AN4" i="16"/>
  <c r="BE4" i="15"/>
  <c r="F5" i="14"/>
  <c r="B5" i="10"/>
  <c r="P5" i="7"/>
  <c r="M5" i="6"/>
  <c r="V4" i="5"/>
  <c r="AG4" i="4"/>
  <c r="B480" i="1"/>
  <c r="B469" i="1"/>
  <c r="C458" i="1"/>
  <c r="A448" i="1"/>
  <c r="B437" i="1"/>
  <c r="C426" i="1"/>
  <c r="A418" i="1"/>
  <c r="C410" i="1"/>
  <c r="A403" i="1"/>
  <c r="C396" i="1"/>
  <c r="B389" i="1"/>
  <c r="C381" i="1"/>
  <c r="B375" i="1"/>
  <c r="A368" i="1"/>
  <c r="B360" i="1"/>
  <c r="A354" i="1"/>
  <c r="C346" i="1"/>
  <c r="C340" i="1"/>
  <c r="B335" i="1"/>
  <c r="A330" i="1"/>
  <c r="C324" i="1"/>
  <c r="B319" i="1"/>
  <c r="A314" i="1"/>
  <c r="C308" i="1"/>
  <c r="B303" i="1"/>
  <c r="A298" i="1"/>
  <c r="C293" i="1"/>
  <c r="C289" i="1"/>
  <c r="C285" i="1"/>
  <c r="A282" i="1"/>
  <c r="B278" i="1"/>
  <c r="A275" i="1"/>
  <c r="B271" i="1"/>
  <c r="C267" i="1"/>
  <c r="B264" i="1"/>
  <c r="C260" i="1"/>
  <c r="A257" i="1"/>
  <c r="C253" i="1"/>
  <c r="A250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J5" i="17"/>
  <c r="O5" i="16"/>
  <c r="H4" i="16"/>
  <c r="Y4" i="15"/>
  <c r="T4" i="14"/>
  <c r="M4" i="12"/>
  <c r="Z4" i="9"/>
  <c r="T4" i="6"/>
  <c r="I4" i="5"/>
  <c r="W4" i="4"/>
  <c r="B477" i="1"/>
  <c r="C466" i="1"/>
  <c r="A456" i="1"/>
  <c r="B445" i="1"/>
  <c r="C434" i="1"/>
  <c r="A424" i="1"/>
  <c r="A416" i="1"/>
  <c r="B408" i="1"/>
  <c r="A402" i="1"/>
  <c r="C394" i="1"/>
  <c r="A387" i="1"/>
  <c r="C380" i="1"/>
  <c r="B373" i="1"/>
  <c r="C365" i="1"/>
  <c r="B359" i="1"/>
  <c r="A352" i="1"/>
  <c r="B344" i="1"/>
  <c r="A339" i="1"/>
  <c r="C333" i="1"/>
  <c r="B328" i="1"/>
  <c r="A323" i="1"/>
  <c r="C317" i="1"/>
  <c r="B312" i="1"/>
  <c r="A307" i="1"/>
  <c r="C301" i="1"/>
  <c r="A297" i="1"/>
  <c r="C292" i="1"/>
  <c r="B288" i="1"/>
  <c r="C284" i="1"/>
  <c r="A281" i="1"/>
  <c r="C277" i="1"/>
  <c r="A274" i="1"/>
  <c r="B270" i="1"/>
  <c r="A267" i="1"/>
  <c r="B263" i="1"/>
  <c r="C259" i="1"/>
  <c r="B256" i="1"/>
  <c r="C252" i="1"/>
  <c r="A249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R5" i="17"/>
  <c r="E4" i="7"/>
  <c r="C436" i="1"/>
  <c r="C373" i="1"/>
  <c r="B324" i="1"/>
  <c r="B285" i="1"/>
  <c r="C256" i="1"/>
  <c r="C232" i="1"/>
  <c r="B211" i="1"/>
  <c r="A190" i="1"/>
  <c r="C168" i="1"/>
  <c r="C149" i="1"/>
  <c r="A139" i="1"/>
  <c r="B128" i="1"/>
  <c r="C117" i="1"/>
  <c r="A107" i="1"/>
  <c r="B96" i="1"/>
  <c r="C85" i="1"/>
  <c r="A75" i="1"/>
  <c r="B64" i="1"/>
  <c r="C53" i="1"/>
  <c r="B49" i="1"/>
  <c r="B46" i="1"/>
  <c r="B43" i="1"/>
  <c r="B40" i="1"/>
  <c r="B37" i="1"/>
  <c r="B34" i="1"/>
  <c r="C31" i="1"/>
  <c r="A29" i="1"/>
  <c r="B26" i="1"/>
  <c r="C23" i="1"/>
  <c r="A21" i="1"/>
  <c r="B18" i="1"/>
  <c r="C15" i="1"/>
  <c r="A13" i="1"/>
  <c r="B10" i="1"/>
  <c r="C7" i="1"/>
  <c r="A5" i="1"/>
  <c r="A4" i="1"/>
  <c r="A335" i="1"/>
  <c r="A174" i="1"/>
  <c r="A99" i="1"/>
  <c r="A44" i="1"/>
  <c r="B24" i="1"/>
  <c r="A426" i="1"/>
  <c r="B367" i="1"/>
  <c r="A319" i="1"/>
  <c r="C281" i="1"/>
  <c r="B253" i="1"/>
  <c r="A230" i="1"/>
  <c r="C208" i="1"/>
  <c r="B187" i="1"/>
  <c r="A166" i="1"/>
  <c r="B147" i="1"/>
  <c r="C136" i="1"/>
  <c r="A126" i="1"/>
  <c r="B115" i="1"/>
  <c r="C104" i="1"/>
  <c r="A94" i="1"/>
  <c r="B83" i="1"/>
  <c r="C72" i="1"/>
  <c r="A62" i="1"/>
  <c r="A52" i="1"/>
  <c r="A49" i="1"/>
  <c r="A46" i="1"/>
  <c r="A43" i="1"/>
  <c r="A40" i="1"/>
  <c r="A37" i="1"/>
  <c r="A34" i="1"/>
  <c r="B31" i="1"/>
  <c r="C28" i="1"/>
  <c r="A26" i="1"/>
  <c r="B23" i="1"/>
  <c r="C20" i="1"/>
  <c r="A18" i="1"/>
  <c r="B15" i="1"/>
  <c r="C12" i="1"/>
  <c r="A10" i="1"/>
  <c r="B7" i="1"/>
  <c r="C4" i="1"/>
  <c r="A458" i="1"/>
  <c r="A131" i="1"/>
  <c r="B50" i="1"/>
  <c r="A27" i="1"/>
  <c r="B8" i="1"/>
  <c r="AM5" i="16"/>
  <c r="D5" i="12"/>
  <c r="Y4" i="4"/>
  <c r="B416" i="1"/>
  <c r="A360" i="1"/>
  <c r="C313" i="1"/>
  <c r="A278" i="1"/>
  <c r="C249" i="1"/>
  <c r="B227" i="1"/>
  <c r="A206" i="1"/>
  <c r="C184" i="1"/>
  <c r="B163" i="1"/>
  <c r="A147" i="1"/>
  <c r="B136" i="1"/>
  <c r="C125" i="1"/>
  <c r="A115" i="1"/>
  <c r="B104" i="1"/>
  <c r="C93" i="1"/>
  <c r="A83" i="1"/>
  <c r="B72" i="1"/>
  <c r="C61" i="1"/>
  <c r="C51" i="1"/>
  <c r="C48" i="1"/>
  <c r="C45" i="1"/>
  <c r="C42" i="1"/>
  <c r="C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388" i="1"/>
  <c r="A238" i="1"/>
  <c r="C141" i="1"/>
  <c r="B88" i="1"/>
  <c r="A47" i="1"/>
  <c r="C29" i="1"/>
  <c r="A11" i="1"/>
  <c r="AF4" i="16"/>
  <c r="A410" i="1"/>
  <c r="B352" i="1"/>
  <c r="B308" i="1"/>
  <c r="C274" i="1"/>
  <c r="A246" i="1"/>
  <c r="C224" i="1"/>
  <c r="B203" i="1"/>
  <c r="A182" i="1"/>
  <c r="C160" i="1"/>
  <c r="C144" i="1"/>
  <c r="A134" i="1"/>
  <c r="B123" i="1"/>
  <c r="C112" i="1"/>
  <c r="A102" i="1"/>
  <c r="B91" i="1"/>
  <c r="C80" i="1"/>
  <c r="A70" i="1"/>
  <c r="B59" i="1"/>
  <c r="B51" i="1"/>
  <c r="B48" i="1"/>
  <c r="B45" i="1"/>
  <c r="B42" i="1"/>
  <c r="A39" i="1"/>
  <c r="A36" i="1"/>
  <c r="B33" i="1"/>
  <c r="C30" i="1"/>
  <c r="A28" i="1"/>
  <c r="B25" i="1"/>
  <c r="C22" i="1"/>
  <c r="A20" i="1"/>
  <c r="B17" i="1"/>
  <c r="C14" i="1"/>
  <c r="A12" i="1"/>
  <c r="B9" i="1"/>
  <c r="C6" i="1"/>
  <c r="S4" i="5"/>
  <c r="C109" i="1"/>
  <c r="A41" i="1"/>
  <c r="A19" i="1"/>
  <c r="C5" i="6"/>
  <c r="C479" i="1"/>
  <c r="C402" i="1"/>
  <c r="A346" i="1"/>
  <c r="A303" i="1"/>
  <c r="A271" i="1"/>
  <c r="B243" i="1"/>
  <c r="A222" i="1"/>
  <c r="C200" i="1"/>
  <c r="B179" i="1"/>
  <c r="A158" i="1"/>
  <c r="B144" i="1"/>
  <c r="C133" i="1"/>
  <c r="A123" i="1"/>
  <c r="B112" i="1"/>
  <c r="C101" i="1"/>
  <c r="A91" i="1"/>
  <c r="B80" i="1"/>
  <c r="C69" i="1"/>
  <c r="A59" i="1"/>
  <c r="A51" i="1"/>
  <c r="A48" i="1"/>
  <c r="A45" i="1"/>
  <c r="C41" i="1"/>
  <c r="C38" i="1"/>
  <c r="C35" i="1"/>
  <c r="A33" i="1"/>
  <c r="B30" i="1"/>
  <c r="C27" i="1"/>
  <c r="A25" i="1"/>
  <c r="B22" i="1"/>
  <c r="C19" i="1"/>
  <c r="A17" i="1"/>
  <c r="B14" i="1"/>
  <c r="C11" i="1"/>
  <c r="A9" i="1"/>
  <c r="B6" i="1"/>
  <c r="B195" i="1"/>
  <c r="C77" i="1"/>
  <c r="A38" i="1"/>
  <c r="B16" i="1"/>
  <c r="AW4" i="15"/>
  <c r="C468" i="1"/>
  <c r="A395" i="1"/>
  <c r="B340" i="1"/>
  <c r="C297" i="1"/>
  <c r="B267" i="1"/>
  <c r="C240" i="1"/>
  <c r="B219" i="1"/>
  <c r="A198" i="1"/>
  <c r="C176" i="1"/>
  <c r="B155" i="1"/>
  <c r="A142" i="1"/>
  <c r="B131" i="1"/>
  <c r="C120" i="1"/>
  <c r="A110" i="1"/>
  <c r="B99" i="1"/>
  <c r="C88" i="1"/>
  <c r="A78" i="1"/>
  <c r="B67" i="1"/>
  <c r="C56" i="1"/>
  <c r="C50" i="1"/>
  <c r="C47" i="1"/>
  <c r="B44" i="1"/>
  <c r="B41" i="1"/>
  <c r="B38" i="1"/>
  <c r="B35" i="1"/>
  <c r="C32" i="1"/>
  <c r="A30" i="1"/>
  <c r="B27" i="1"/>
  <c r="C24" i="1"/>
  <c r="A22" i="1"/>
  <c r="B19" i="1"/>
  <c r="C16" i="1"/>
  <c r="A14" i="1"/>
  <c r="B11" i="1"/>
  <c r="C8" i="1"/>
  <c r="A6" i="1"/>
  <c r="C152" i="1"/>
  <c r="A67" i="1"/>
  <c r="B32" i="1"/>
  <c r="C13" i="1"/>
  <c r="AB4" i="14"/>
  <c r="B447" i="1"/>
  <c r="B381" i="1"/>
  <c r="C329" i="1"/>
  <c r="A289" i="1"/>
  <c r="B260" i="1"/>
  <c r="B235" i="1"/>
  <c r="A214" i="1"/>
  <c r="C192" i="1"/>
  <c r="B171" i="1"/>
  <c r="A150" i="1"/>
  <c r="B139" i="1"/>
  <c r="C128" i="1"/>
  <c r="A118" i="1"/>
  <c r="B107" i="1"/>
  <c r="C96" i="1"/>
  <c r="A86" i="1"/>
  <c r="B75" i="1"/>
  <c r="C64" i="1"/>
  <c r="A54" i="1"/>
  <c r="C49" i="1"/>
  <c r="C46" i="1"/>
  <c r="C43" i="1"/>
  <c r="C40" i="1"/>
  <c r="C37" i="1"/>
  <c r="C34" i="1"/>
  <c r="A32" i="1"/>
  <c r="B29" i="1"/>
  <c r="C26" i="1"/>
  <c r="A24" i="1"/>
  <c r="B21" i="1"/>
  <c r="C18" i="1"/>
  <c r="A16" i="1"/>
  <c r="B13" i="1"/>
  <c r="C10" i="1"/>
  <c r="A8" i="1"/>
  <c r="B5" i="1"/>
  <c r="B293" i="1"/>
  <c r="A264" i="1"/>
  <c r="C216" i="1"/>
  <c r="B120" i="1"/>
  <c r="B56" i="1"/>
  <c r="A35" i="1"/>
  <c r="C21" i="1"/>
  <c r="C5" i="1"/>
</calcChain>
</file>

<file path=xl/sharedStrings.xml><?xml version="1.0" encoding="utf-8"?>
<sst xmlns="http://schemas.openxmlformats.org/spreadsheetml/2006/main" count="241" uniqueCount="55">
  <si>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</si>
  <si>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</si>
  <si>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</si>
  <si>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</si>
  <si>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</si>
  <si>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</si>
  <si>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</si>
  <si>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</si>
  <si>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</si>
  <si>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</si>
  <si>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</si>
  <si>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</si>
  <si>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</si>
  <si>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</si>
  <si>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</si>
  <si>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</si>
  <si>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</si>
  <si>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</si>
  <si>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</si>
  <si>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</si>
  <si>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</si>
  <si>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</si>
  <si>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</si>
  <si>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</si>
  <si>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PricingInput</t>
  </si>
  <si>
    <t>PortfolioManagement</t>
  </si>
  <si>
    <t>GroupRowPM</t>
  </si>
  <si>
    <t>Symbol</t>
  </si>
  <si>
    <t>OpenPTTFromPM</t>
  </si>
  <si>
    <t>Decrease</t>
  </si>
  <si>
    <t>PTT</t>
  </si>
  <si>
    <t>CalculatePTT</t>
  </si>
  <si>
    <t>Percentage</t>
  </si>
  <si>
    <t>No</t>
  </si>
  <si>
    <t>Account</t>
  </si>
  <si>
    <t>Allocation1,Allocation2</t>
  </si>
  <si>
    <t>VerifyPTT</t>
  </si>
  <si>
    <t>TradePTT</t>
  </si>
  <si>
    <t>Sell</t>
  </si>
  <si>
    <t>Blotter</t>
  </si>
  <si>
    <t>VerifyOrder</t>
  </si>
  <si>
    <t>Equity</t>
  </si>
  <si>
    <t>Filled</t>
  </si>
  <si>
    <t>MS</t>
  </si>
  <si>
    <t>Market</t>
  </si>
  <si>
    <t>Multiple</t>
  </si>
  <si>
    <t>Allocation</t>
  </si>
  <si>
    <t>GetDataAllocation</t>
  </si>
  <si>
    <t>Current</t>
  </si>
  <si>
    <t>CheckAllocatedGroups</t>
  </si>
  <si>
    <t>Open</t>
  </si>
  <si>
    <t>CheckPortfolioManagement</t>
  </si>
  <si>
    <t>Long</t>
  </si>
  <si>
    <t>US</t>
  </si>
  <si>
    <t>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</si>
</sst>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5" xfId="0" applyFont="1" applyBorder="1" applyAlignment="1"/>
    <xf numFmtId="0" fontId="3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/>
    <xf numFmtId="3" fontId="3" fillId="0" borderId="0" xfId="0" applyNumberFormat="1" applyFont="1" applyAlignment="1">
      <alignment horizontal="right"/>
    </xf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4" fontId="13" fillId="0" borderId="5" xfId="0" applyNumberFormat="1" applyFont="1" applyBorder="1" applyAlignment="1">
      <alignment horizontal="right"/>
    </xf>
    <xf numFmtId="0" fontId="5" fillId="0" borderId="5" xfId="0" applyFont="1" applyBorder="1" applyAlignment="1"/>
    <xf numFmtId="0" fontId="13" fillId="0" borderId="5" xfId="0" applyFont="1" applyBorder="1" applyAlignment="1"/>
    <xf numFmtId="0" fontId="5" fillId="0" borderId="0" xfId="0" applyFont="1" applyAlignment="1"/>
    <xf numFmtId="0" fontId="13" fillId="0" borderId="0" xfId="0" applyFont="1" applyAlignment="1"/>
    <xf numFmtId="3" fontId="2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8" t="s">
        <v>0</v>
      </c>
      <c r="B1" s="59"/>
      <c r="C1" s="59"/>
      <c r="D1" s="59"/>
      <c r="E1" s="59"/>
      <c r="F1" s="6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1" t="s">
        <v>2</v>
      </c>
      <c r="B1" s="59"/>
      <c r="C1" s="6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8" t="s">
        <v>7</v>
      </c>
      <c r="B1" s="59"/>
      <c r="C1" s="59"/>
      <c r="D1" s="59"/>
      <c r="E1" s="59"/>
      <c r="F1" s="6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5">
        <f t="shared" ref="B6:C6" ca="1" si="0">TODAY()-1</f>
        <v>44411</v>
      </c>
      <c r="C6" s="26">
        <f t="shared" ca="1" si="0"/>
        <v>44411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17</v>
      </c>
      <c r="C6" s="30" t="s">
        <v>18</v>
      </c>
      <c r="D6" s="31">
        <v>10000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28" t="s">
        <v>19</v>
      </c>
      <c r="C7" s="32" t="s">
        <v>18</v>
      </c>
      <c r="D7" s="33">
        <v>10000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0" t="s">
        <v>23</v>
      </c>
      <c r="D6" s="31">
        <v>100</v>
      </c>
      <c r="E6" s="34">
        <v>100</v>
      </c>
      <c r="F6" s="30" t="s">
        <v>17</v>
      </c>
      <c r="G6" s="30"/>
      <c r="H6" s="30"/>
      <c r="I6" s="30"/>
      <c r="J6" s="34">
        <v>10</v>
      </c>
      <c r="K6" s="30"/>
      <c r="L6" s="30"/>
      <c r="M6" s="30"/>
      <c r="N6" s="35">
        <f t="shared" ref="N6:N7" ca="1" si="0">TODAY()</f>
        <v>44412</v>
      </c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22</v>
      </c>
      <c r="C7" s="32" t="s">
        <v>23</v>
      </c>
      <c r="D7" s="33">
        <v>100</v>
      </c>
      <c r="E7" s="33">
        <v>100</v>
      </c>
      <c r="F7" s="32" t="s">
        <v>19</v>
      </c>
      <c r="G7" s="32"/>
      <c r="H7" s="32"/>
      <c r="I7" s="32"/>
      <c r="J7" s="33">
        <v>10</v>
      </c>
      <c r="K7" s="32"/>
      <c r="L7" s="32"/>
      <c r="M7" s="32"/>
      <c r="N7" s="36">
        <f t="shared" ca="1" si="0"/>
        <v>44412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4">
        <v>10</v>
      </c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27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IFERROR(__xludf.DUMMYFUNCTION("""COMPUTED_VALUE"""),"MasterFund")</f>
        <v>MasterFund</v>
      </c>
      <c r="D5" s="22" t="str">
        <f ca="1">IFERROR(__xludf.DUMMYFUNCTION("""COMPUTED_VALUE"""),"Symbol")</f>
        <v>Symbol</v>
      </c>
      <c r="E5" s="22" t="str">
        <f ca="1">IFERROR(__xludf.DUMMYFUNCTION("""COMPUTED_VALUE"""),"AdjustPosition")</f>
        <v>AdjustPosition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/>
      <c r="C6" s="30"/>
      <c r="D6" s="29" t="s">
        <v>22</v>
      </c>
      <c r="E6" s="37" t="s">
        <v>29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7" t="s">
        <v>29</v>
      </c>
      <c r="D6" s="29" t="s">
        <v>32</v>
      </c>
      <c r="E6" s="34">
        <v>5</v>
      </c>
      <c r="F6" s="34">
        <v>10</v>
      </c>
      <c r="G6" s="30" t="s">
        <v>33</v>
      </c>
      <c r="H6" s="30" t="s">
        <v>34</v>
      </c>
      <c r="I6" s="38" t="s">
        <v>35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17</v>
      </c>
      <c r="C6" s="39">
        <v>10000</v>
      </c>
      <c r="D6" s="31">
        <v>100</v>
      </c>
      <c r="E6" s="39">
        <v>1000</v>
      </c>
      <c r="F6" s="34">
        <v>10</v>
      </c>
      <c r="G6" s="40">
        <v>-5</v>
      </c>
      <c r="H6" s="40">
        <v>5</v>
      </c>
      <c r="I6" s="34">
        <v>50</v>
      </c>
      <c r="J6" s="40">
        <v>50</v>
      </c>
      <c r="K6" s="41">
        <v>500</v>
      </c>
      <c r="L6" s="34">
        <v>50</v>
      </c>
      <c r="M6" s="34">
        <v>1</v>
      </c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19</v>
      </c>
      <c r="C7" s="42">
        <v>10000</v>
      </c>
      <c r="D7" s="33">
        <v>100</v>
      </c>
      <c r="E7" s="42">
        <v>1000</v>
      </c>
      <c r="F7" s="33">
        <v>10</v>
      </c>
      <c r="G7" s="43">
        <v>-5</v>
      </c>
      <c r="H7" s="43">
        <v>5</v>
      </c>
      <c r="I7" s="33">
        <v>50</v>
      </c>
      <c r="J7" s="43">
        <v>50</v>
      </c>
      <c r="K7" s="44">
        <v>500</v>
      </c>
      <c r="L7" s="33">
        <v>50</v>
      </c>
      <c r="M7" s="33">
        <v>1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22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7" t="s">
        <v>29</v>
      </c>
      <c r="D6" s="29" t="s">
        <v>32</v>
      </c>
      <c r="E6" s="34">
        <v>5</v>
      </c>
      <c r="F6" s="34">
        <v>10</v>
      </c>
      <c r="G6" s="30" t="s">
        <v>33</v>
      </c>
      <c r="H6" s="30" t="s">
        <v>34</v>
      </c>
      <c r="I6" s="38" t="s">
        <v>35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38</v>
      </c>
      <c r="D6" s="7">
        <v>100</v>
      </c>
      <c r="E6" s="7">
        <v>100</v>
      </c>
      <c r="F6" s="5"/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/>
      <c r="C6" s="30"/>
      <c r="D6" s="31">
        <v>10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45">
        <v>1</v>
      </c>
      <c r="AE6" s="32"/>
      <c r="AF6" s="32"/>
      <c r="AG6" s="32"/>
      <c r="AH6" s="32" t="s">
        <v>41</v>
      </c>
      <c r="AI6" s="32" t="s">
        <v>22</v>
      </c>
      <c r="AJ6" s="32" t="s">
        <v>23</v>
      </c>
      <c r="AK6" s="32" t="s">
        <v>42</v>
      </c>
      <c r="AL6" s="45">
        <v>100</v>
      </c>
      <c r="AM6" s="45">
        <v>100</v>
      </c>
      <c r="AN6" s="45">
        <v>100</v>
      </c>
      <c r="AO6" s="45">
        <v>100</v>
      </c>
      <c r="AP6" s="32"/>
      <c r="AQ6" s="45">
        <v>10</v>
      </c>
      <c r="AR6" s="45">
        <v>10</v>
      </c>
      <c r="AS6" s="32" t="s">
        <v>43</v>
      </c>
      <c r="AT6" s="32" t="s">
        <v>17</v>
      </c>
      <c r="AU6" s="32" t="s">
        <v>44</v>
      </c>
      <c r="AV6" s="46">
        <v>1000</v>
      </c>
      <c r="AW6" s="46">
        <v>1000</v>
      </c>
      <c r="AX6" s="32"/>
      <c r="AY6" s="45">
        <v>100</v>
      </c>
      <c r="AZ6" s="45">
        <v>0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33">
        <v>10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45">
        <v>1</v>
      </c>
      <c r="AE7" s="32"/>
      <c r="AF7" s="32"/>
      <c r="AG7" s="32"/>
      <c r="AH7" s="32" t="s">
        <v>41</v>
      </c>
      <c r="AI7" s="32" t="s">
        <v>22</v>
      </c>
      <c r="AJ7" s="32" t="s">
        <v>23</v>
      </c>
      <c r="AK7" s="32" t="s">
        <v>42</v>
      </c>
      <c r="AL7" s="45">
        <v>100</v>
      </c>
      <c r="AM7" s="45">
        <v>100</v>
      </c>
      <c r="AN7" s="45">
        <v>100</v>
      </c>
      <c r="AO7" s="45">
        <v>100</v>
      </c>
      <c r="AP7" s="32"/>
      <c r="AQ7" s="45">
        <v>10</v>
      </c>
      <c r="AR7" s="45">
        <v>10</v>
      </c>
      <c r="AS7" s="32" t="s">
        <v>43</v>
      </c>
      <c r="AT7" s="32" t="s">
        <v>19</v>
      </c>
      <c r="AU7" s="32" t="s">
        <v>44</v>
      </c>
      <c r="AV7" s="46">
        <v>1000</v>
      </c>
      <c r="AW7" s="46">
        <v>1000</v>
      </c>
      <c r="AX7" s="32"/>
      <c r="AY7" s="45">
        <v>100</v>
      </c>
      <c r="AZ7" s="45">
        <v>0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/>
      <c r="C8" s="32"/>
      <c r="D8" s="33">
        <v>10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45">
        <v>1</v>
      </c>
      <c r="AE8" s="32"/>
      <c r="AF8" s="32"/>
      <c r="AG8" s="32"/>
      <c r="AH8" s="32" t="s">
        <v>41</v>
      </c>
      <c r="AI8" s="32" t="s">
        <v>22</v>
      </c>
      <c r="AJ8" s="47" t="s">
        <v>38</v>
      </c>
      <c r="AK8" s="32" t="s">
        <v>42</v>
      </c>
      <c r="AL8" s="45">
        <v>100</v>
      </c>
      <c r="AM8" s="45">
        <v>100</v>
      </c>
      <c r="AN8" s="45">
        <v>100</v>
      </c>
      <c r="AO8" s="45">
        <v>100</v>
      </c>
      <c r="AP8" s="32"/>
      <c r="AQ8" s="45">
        <v>10</v>
      </c>
      <c r="AR8" s="45">
        <v>10</v>
      </c>
      <c r="AS8" s="32" t="s">
        <v>43</v>
      </c>
      <c r="AT8" s="32" t="s">
        <v>45</v>
      </c>
      <c r="AU8" s="32" t="s">
        <v>44</v>
      </c>
      <c r="AV8" s="48">
        <v>-1000</v>
      </c>
      <c r="AW8" s="48">
        <v>-1000</v>
      </c>
      <c r="AX8" s="32"/>
      <c r="AY8" s="45">
        <v>100</v>
      </c>
      <c r="AZ8" s="45">
        <v>0</v>
      </c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48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9" t="s">
        <v>17</v>
      </c>
      <c r="C6" s="5"/>
      <c r="D6" s="50">
        <v>0</v>
      </c>
      <c r="E6" s="50">
        <v>100</v>
      </c>
      <c r="F6" s="5"/>
      <c r="G6" s="51" t="s">
        <v>41</v>
      </c>
      <c r="H6" s="50">
        <v>4</v>
      </c>
      <c r="I6" s="52">
        <v>5</v>
      </c>
      <c r="J6" s="30"/>
      <c r="K6" s="52">
        <v>10</v>
      </c>
      <c r="L6" s="52">
        <v>10</v>
      </c>
      <c r="M6" s="30"/>
      <c r="N6" s="30"/>
      <c r="O6" s="53" t="s">
        <v>43</v>
      </c>
      <c r="P6" s="30"/>
      <c r="Q6" s="52">
        <v>3</v>
      </c>
      <c r="R6" s="52">
        <v>0</v>
      </c>
      <c r="S6" s="54" t="s">
        <v>50</v>
      </c>
      <c r="T6" s="50">
        <v>0</v>
      </c>
      <c r="U6" s="50">
        <v>0</v>
      </c>
      <c r="AE6" s="50">
        <v>100</v>
      </c>
      <c r="AI6" s="6">
        <v>1</v>
      </c>
      <c r="AT6" s="50">
        <v>1014.0006</v>
      </c>
      <c r="AU6" s="50">
        <v>1014.0006</v>
      </c>
      <c r="AW6" s="50">
        <v>0</v>
      </c>
      <c r="AX6" s="50">
        <v>0</v>
      </c>
      <c r="AY6" s="32" t="s">
        <v>44</v>
      </c>
      <c r="AZ6" s="50">
        <v>0</v>
      </c>
      <c r="BA6" s="32"/>
      <c r="BB6" s="32"/>
      <c r="BC6" s="50">
        <v>0</v>
      </c>
      <c r="BD6" s="32"/>
      <c r="BE6" s="50">
        <v>1000</v>
      </c>
      <c r="BF6" s="50">
        <v>1000</v>
      </c>
      <c r="BJ6" s="50">
        <v>100</v>
      </c>
      <c r="BK6" s="50">
        <v>0</v>
      </c>
      <c r="BO6" s="51" t="s">
        <v>23</v>
      </c>
      <c r="BT6" s="6" t="s">
        <v>22</v>
      </c>
      <c r="BU6" s="50">
        <v>3</v>
      </c>
      <c r="BV6" s="50">
        <v>0</v>
      </c>
      <c r="BW6" s="50">
        <v>14.0006</v>
      </c>
      <c r="BX6" s="50">
        <v>0</v>
      </c>
      <c r="CI6" s="51" t="s">
        <v>23</v>
      </c>
      <c r="CJ6" s="50">
        <v>0</v>
      </c>
    </row>
    <row r="7" spans="1:154" ht="15.75" customHeight="1">
      <c r="A7" s="5"/>
      <c r="B7" s="51" t="s">
        <v>19</v>
      </c>
      <c r="C7" s="5"/>
      <c r="D7" s="50">
        <v>0</v>
      </c>
      <c r="E7" s="50">
        <v>100</v>
      </c>
      <c r="F7" s="5"/>
      <c r="G7" s="51" t="s">
        <v>41</v>
      </c>
      <c r="H7" s="50">
        <v>4</v>
      </c>
      <c r="I7" s="50">
        <v>5</v>
      </c>
      <c r="J7" s="32"/>
      <c r="K7" s="50">
        <v>10</v>
      </c>
      <c r="L7" s="50">
        <v>10</v>
      </c>
      <c r="M7" s="32"/>
      <c r="N7" s="32"/>
      <c r="O7" s="55" t="s">
        <v>43</v>
      </c>
      <c r="P7" s="32"/>
      <c r="Q7" s="50">
        <v>3</v>
      </c>
      <c r="R7" s="50">
        <v>0</v>
      </c>
      <c r="S7" s="51" t="s">
        <v>50</v>
      </c>
      <c r="T7" s="50">
        <v>0</v>
      </c>
      <c r="U7" s="50">
        <v>0</v>
      </c>
      <c r="AE7" s="50">
        <v>100</v>
      </c>
      <c r="AI7" s="6">
        <v>1</v>
      </c>
      <c r="AT7" s="50">
        <v>1014.0006</v>
      </c>
      <c r="AU7" s="50">
        <v>1014.0006</v>
      </c>
      <c r="AW7" s="50">
        <v>0</v>
      </c>
      <c r="AX7" s="50">
        <v>0</v>
      </c>
      <c r="AY7" s="32" t="s">
        <v>44</v>
      </c>
      <c r="AZ7" s="50">
        <v>0</v>
      </c>
      <c r="BA7" s="32"/>
      <c r="BB7" s="32"/>
      <c r="BC7" s="50">
        <v>0</v>
      </c>
      <c r="BD7" s="32"/>
      <c r="BE7" s="50">
        <v>1000</v>
      </c>
      <c r="BF7" s="50">
        <v>1000</v>
      </c>
      <c r="BJ7" s="50">
        <v>100</v>
      </c>
      <c r="BK7" s="50">
        <v>0</v>
      </c>
      <c r="BO7" s="51" t="s">
        <v>23</v>
      </c>
      <c r="BT7" s="6" t="s">
        <v>22</v>
      </c>
      <c r="BU7" s="50">
        <v>3</v>
      </c>
      <c r="BV7" s="50">
        <v>0</v>
      </c>
      <c r="BW7" s="50">
        <v>14.0006</v>
      </c>
      <c r="BX7" s="50">
        <v>0</v>
      </c>
      <c r="CI7" s="51" t="s">
        <v>23</v>
      </c>
      <c r="CJ7" s="50">
        <v>0</v>
      </c>
    </row>
    <row r="8" spans="1:154" ht="15.75" customHeight="1">
      <c r="A8" s="5"/>
      <c r="B8" s="51" t="s">
        <v>45</v>
      </c>
      <c r="C8" s="5"/>
      <c r="D8" s="50">
        <v>0</v>
      </c>
      <c r="E8" s="50">
        <v>100</v>
      </c>
      <c r="F8" s="5"/>
      <c r="G8" s="51" t="s">
        <v>41</v>
      </c>
      <c r="H8" s="50">
        <v>4</v>
      </c>
      <c r="I8" s="50">
        <v>5</v>
      </c>
      <c r="J8" s="32"/>
      <c r="K8" s="50">
        <v>10</v>
      </c>
      <c r="L8" s="50">
        <v>10</v>
      </c>
      <c r="M8" s="32"/>
      <c r="N8" s="32"/>
      <c r="O8" s="55" t="s">
        <v>43</v>
      </c>
      <c r="P8" s="32"/>
      <c r="Q8" s="50">
        <v>3</v>
      </c>
      <c r="R8" s="50">
        <v>0</v>
      </c>
      <c r="S8" s="51" t="s">
        <v>50</v>
      </c>
      <c r="T8" s="50">
        <v>0</v>
      </c>
      <c r="U8" s="50">
        <v>0</v>
      </c>
      <c r="AE8" s="50">
        <v>100</v>
      </c>
      <c r="AI8" s="6">
        <v>1</v>
      </c>
      <c r="AT8" s="50">
        <v>985.99940000000004</v>
      </c>
      <c r="AU8" s="50">
        <v>985.99940000000004</v>
      </c>
      <c r="AW8" s="50">
        <v>0</v>
      </c>
      <c r="AX8" s="50">
        <v>0</v>
      </c>
      <c r="AY8" s="32" t="s">
        <v>44</v>
      </c>
      <c r="AZ8" s="50">
        <v>0</v>
      </c>
      <c r="BA8" s="32"/>
      <c r="BB8" s="32"/>
      <c r="BC8" s="50">
        <v>0</v>
      </c>
      <c r="BD8" s="32"/>
      <c r="BE8" s="50">
        <v>1000</v>
      </c>
      <c r="BF8" s="50">
        <v>1000</v>
      </c>
      <c r="BJ8" s="50">
        <v>100</v>
      </c>
      <c r="BK8" s="50">
        <v>0</v>
      </c>
      <c r="BO8" s="51" t="s">
        <v>38</v>
      </c>
      <c r="BT8" s="6" t="s">
        <v>22</v>
      </c>
      <c r="BU8" s="50">
        <v>3</v>
      </c>
      <c r="BV8" s="50">
        <v>0</v>
      </c>
      <c r="BW8" s="50">
        <v>14.0006</v>
      </c>
      <c r="BX8" s="50">
        <v>0</v>
      </c>
      <c r="CI8" s="56" t="s">
        <v>38</v>
      </c>
      <c r="CJ8" s="50">
        <v>0</v>
      </c>
    </row>
    <row r="9" spans="1:154" ht="15.75" customHeight="1">
      <c r="A9" s="5"/>
      <c r="B9" s="5"/>
      <c r="C9" s="5"/>
      <c r="D9" s="51"/>
      <c r="E9" s="5"/>
      <c r="F9" s="5"/>
      <c r="G9" s="5"/>
      <c r="H9" s="5"/>
      <c r="I9" s="32"/>
      <c r="J9" s="32"/>
      <c r="K9" s="32"/>
      <c r="L9" s="32"/>
      <c r="M9" s="32"/>
      <c r="N9" s="32"/>
      <c r="O9" s="32"/>
      <c r="P9" s="32"/>
      <c r="Q9" s="32"/>
      <c r="R9" s="32"/>
      <c r="S9" s="51"/>
      <c r="T9" s="32"/>
      <c r="U9" s="32"/>
      <c r="BJ9" s="32"/>
      <c r="BK9" s="32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L12" sqref="BL12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25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7" t="s">
        <v>22</v>
      </c>
      <c r="D6" s="7">
        <v>100</v>
      </c>
      <c r="E6" s="7" t="s">
        <v>19</v>
      </c>
      <c r="F6" s="5"/>
      <c r="G6" s="34">
        <v>10</v>
      </c>
      <c r="H6" s="53" t="s">
        <v>52</v>
      </c>
      <c r="I6" s="39">
        <v>1000</v>
      </c>
      <c r="J6" s="5"/>
      <c r="K6" s="39">
        <v>1000</v>
      </c>
      <c r="L6" s="5"/>
      <c r="M6" s="5"/>
      <c r="N6" s="7">
        <v>0</v>
      </c>
      <c r="O6" s="5"/>
      <c r="Q6" s="6">
        <v>0</v>
      </c>
      <c r="T6" s="32" t="s">
        <v>41</v>
      </c>
      <c r="U6" s="32" t="s">
        <v>53</v>
      </c>
      <c r="V6" s="32" t="s">
        <v>54</v>
      </c>
      <c r="W6" s="32" t="s">
        <v>18</v>
      </c>
      <c r="X6" s="32"/>
      <c r="Y6" s="45">
        <v>1</v>
      </c>
      <c r="AB6" s="6">
        <v>0</v>
      </c>
      <c r="AC6" s="6">
        <v>0</v>
      </c>
      <c r="AD6" s="39">
        <v>1000</v>
      </c>
      <c r="AE6" s="39">
        <v>1000</v>
      </c>
      <c r="AF6" s="6">
        <v>100</v>
      </c>
      <c r="AG6" s="39">
        <v>1000</v>
      </c>
      <c r="AH6" s="39">
        <v>1000</v>
      </c>
      <c r="AI6" s="39">
        <v>1000</v>
      </c>
      <c r="AJ6" s="6">
        <v>500</v>
      </c>
      <c r="AK6" s="6">
        <v>0</v>
      </c>
      <c r="AL6" s="6">
        <v>1</v>
      </c>
      <c r="AM6" s="6">
        <v>1</v>
      </c>
      <c r="AN6" s="6" t="s">
        <v>23</v>
      </c>
      <c r="AP6" s="6" t="s">
        <v>52</v>
      </c>
      <c r="AQ6" s="32" t="s">
        <v>22</v>
      </c>
      <c r="AR6" s="45">
        <v>10</v>
      </c>
      <c r="AS6" s="32"/>
      <c r="AT6" s="32"/>
      <c r="AU6" s="32"/>
      <c r="AV6" s="45">
        <v>1</v>
      </c>
      <c r="AW6" s="45">
        <v>0</v>
      </c>
      <c r="AX6" s="45">
        <v>0</v>
      </c>
      <c r="AY6" s="45">
        <v>0</v>
      </c>
      <c r="AZ6" s="39">
        <v>1000</v>
      </c>
      <c r="BA6" s="6">
        <v>0</v>
      </c>
      <c r="BC6" s="6">
        <v>1</v>
      </c>
      <c r="BD6" s="57">
        <v>-1000</v>
      </c>
      <c r="BE6" s="32" t="s">
        <v>41</v>
      </c>
      <c r="BF6" s="32"/>
      <c r="BG6" s="32"/>
      <c r="BH6" s="32"/>
      <c r="BI6" s="32"/>
      <c r="BJ6" s="45">
        <v>0</v>
      </c>
      <c r="BK6" s="45">
        <v>0</v>
      </c>
      <c r="BL6" s="45">
        <v>0</v>
      </c>
      <c r="BM6" s="45">
        <v>0</v>
      </c>
      <c r="BO6" s="57">
        <v>-1000</v>
      </c>
      <c r="BP6" s="45">
        <v>0</v>
      </c>
      <c r="BQ6" s="32"/>
      <c r="BR6" s="32" t="s">
        <v>43</v>
      </c>
      <c r="BS6" s="45">
        <v>0</v>
      </c>
      <c r="BT6" s="45">
        <v>0</v>
      </c>
      <c r="BW6" s="45">
        <v>0</v>
      </c>
      <c r="BX6" s="42">
        <v>1000</v>
      </c>
      <c r="BY6" s="42">
        <v>1000</v>
      </c>
      <c r="BZ6" s="45">
        <v>10</v>
      </c>
      <c r="CA6" s="45">
        <v>10</v>
      </c>
      <c r="CC6" s="45">
        <v>0</v>
      </c>
      <c r="CD6" s="45">
        <v>0</v>
      </c>
      <c r="CE6" s="45">
        <v>0</v>
      </c>
      <c r="CF6" s="45">
        <v>0</v>
      </c>
      <c r="CG6" s="45">
        <v>0</v>
      </c>
      <c r="CH6" s="45">
        <v>0</v>
      </c>
      <c r="CI6" s="45">
        <v>0</v>
      </c>
      <c r="CJ6" s="45">
        <v>0</v>
      </c>
      <c r="DA6" s="42">
        <v>1000</v>
      </c>
      <c r="DB6" s="45">
        <v>0</v>
      </c>
      <c r="DC6" s="32"/>
      <c r="DD6" s="32"/>
      <c r="DE6" s="45">
        <v>0</v>
      </c>
      <c r="DF6" s="45">
        <v>0</v>
      </c>
      <c r="DG6" s="45">
        <v>0</v>
      </c>
      <c r="DH6" s="32"/>
      <c r="DI6" s="45">
        <v>0</v>
      </c>
      <c r="DJ6" s="6" t="s">
        <v>23</v>
      </c>
      <c r="DK6" s="45">
        <v>0</v>
      </c>
      <c r="DL6" s="45">
        <v>0</v>
      </c>
      <c r="DM6" s="45">
        <v>1</v>
      </c>
      <c r="DN6" s="45">
        <v>10</v>
      </c>
      <c r="DO6" s="32"/>
      <c r="EG6" s="6">
        <v>5</v>
      </c>
      <c r="EH6" s="6">
        <v>5</v>
      </c>
      <c r="EI6" s="6">
        <v>5</v>
      </c>
      <c r="EJ6" s="6">
        <v>5</v>
      </c>
      <c r="EK6" s="6">
        <v>5</v>
      </c>
      <c r="EL6" s="6" t="s">
        <v>52</v>
      </c>
      <c r="EM6" s="57">
        <v>1000</v>
      </c>
      <c r="EN6" s="57">
        <v>1000</v>
      </c>
      <c r="EO6" s="6">
        <v>0</v>
      </c>
    </row>
    <row r="7" spans="1:168" ht="15.75" customHeight="1">
      <c r="A7" s="5"/>
      <c r="B7" s="5"/>
      <c r="C7" s="7" t="s">
        <v>22</v>
      </c>
      <c r="D7" s="7">
        <v>100</v>
      </c>
      <c r="E7" s="7" t="s">
        <v>17</v>
      </c>
      <c r="F7" s="5"/>
      <c r="G7" s="33">
        <v>10</v>
      </c>
      <c r="H7" s="55" t="s">
        <v>52</v>
      </c>
      <c r="I7" s="42">
        <v>1000</v>
      </c>
      <c r="J7" s="5"/>
      <c r="K7" s="42">
        <v>1000</v>
      </c>
      <c r="L7" s="5"/>
      <c r="M7" s="5"/>
      <c r="N7" s="7">
        <v>0</v>
      </c>
      <c r="O7" s="5"/>
      <c r="Q7" s="6">
        <v>0</v>
      </c>
      <c r="T7" s="32" t="s">
        <v>41</v>
      </c>
      <c r="U7" s="32" t="s">
        <v>53</v>
      </c>
      <c r="V7" s="32" t="s">
        <v>54</v>
      </c>
      <c r="W7" s="32" t="s">
        <v>18</v>
      </c>
      <c r="X7" s="32"/>
      <c r="Y7" s="45">
        <v>1</v>
      </c>
      <c r="AB7" s="6">
        <v>0</v>
      </c>
      <c r="AC7" s="6">
        <v>0</v>
      </c>
      <c r="AD7" s="42">
        <v>1000</v>
      </c>
      <c r="AE7" s="42">
        <v>1000</v>
      </c>
      <c r="AF7" s="6">
        <v>100</v>
      </c>
      <c r="AG7" s="42">
        <v>1000</v>
      </c>
      <c r="AH7" s="42">
        <v>1000</v>
      </c>
      <c r="AI7" s="42">
        <v>1000</v>
      </c>
      <c r="AJ7" s="6">
        <v>500</v>
      </c>
      <c r="AK7" s="6">
        <v>0</v>
      </c>
      <c r="AL7" s="6">
        <v>1</v>
      </c>
      <c r="AM7" s="6">
        <v>1</v>
      </c>
      <c r="AN7" s="6" t="s">
        <v>23</v>
      </c>
      <c r="AP7" s="6" t="s">
        <v>52</v>
      </c>
      <c r="AQ7" s="32" t="s">
        <v>22</v>
      </c>
      <c r="AR7" s="45">
        <v>10</v>
      </c>
      <c r="AS7" s="32"/>
      <c r="AT7" s="32"/>
      <c r="AU7" s="32"/>
      <c r="AV7" s="45">
        <v>1</v>
      </c>
      <c r="AW7" s="45">
        <v>0</v>
      </c>
      <c r="AX7" s="45">
        <v>0</v>
      </c>
      <c r="AY7" s="45">
        <v>0</v>
      </c>
      <c r="AZ7" s="42">
        <v>1000</v>
      </c>
      <c r="BA7" s="6">
        <v>0</v>
      </c>
      <c r="BC7" s="6">
        <v>1</v>
      </c>
      <c r="BD7" s="57">
        <v>-1000</v>
      </c>
      <c r="BE7" s="32" t="s">
        <v>41</v>
      </c>
      <c r="BF7" s="32"/>
      <c r="BG7" s="32"/>
      <c r="BH7" s="32"/>
      <c r="BI7" s="32"/>
      <c r="BJ7" s="45">
        <v>0</v>
      </c>
      <c r="BK7" s="45">
        <v>0</v>
      </c>
      <c r="BL7" s="45">
        <v>0</v>
      </c>
      <c r="BM7" s="45">
        <v>0</v>
      </c>
      <c r="BO7" s="57">
        <v>-1000</v>
      </c>
      <c r="BP7" s="45">
        <v>0</v>
      </c>
      <c r="BQ7" s="32"/>
      <c r="BR7" s="32" t="s">
        <v>43</v>
      </c>
      <c r="BS7" s="45">
        <v>0</v>
      </c>
      <c r="BT7" s="45">
        <v>0</v>
      </c>
      <c r="BW7" s="45">
        <v>0</v>
      </c>
      <c r="BX7" s="42">
        <v>1000</v>
      </c>
      <c r="BY7" s="42">
        <v>1000</v>
      </c>
      <c r="BZ7" s="45">
        <v>10</v>
      </c>
      <c r="CA7" s="45">
        <v>10</v>
      </c>
      <c r="CC7" s="45">
        <v>0</v>
      </c>
      <c r="CD7" s="45">
        <v>0</v>
      </c>
      <c r="CE7" s="45">
        <v>0</v>
      </c>
      <c r="CF7" s="45">
        <v>0</v>
      </c>
      <c r="CG7" s="45">
        <v>0</v>
      </c>
      <c r="CH7" s="45">
        <v>0</v>
      </c>
      <c r="CI7" s="45">
        <v>0</v>
      </c>
      <c r="CJ7" s="45">
        <v>0</v>
      </c>
      <c r="DA7" s="42">
        <v>1000</v>
      </c>
      <c r="DB7" s="45">
        <v>0</v>
      </c>
      <c r="DC7" s="32"/>
      <c r="DD7" s="32"/>
      <c r="DE7" s="45">
        <v>0</v>
      </c>
      <c r="DF7" s="45">
        <v>0</v>
      </c>
      <c r="DG7" s="45">
        <v>0</v>
      </c>
      <c r="DH7" s="32"/>
      <c r="DI7" s="45">
        <v>0</v>
      </c>
      <c r="DJ7" s="6" t="s">
        <v>23</v>
      </c>
      <c r="DK7" s="45">
        <v>0</v>
      </c>
      <c r="DL7" s="45">
        <v>0</v>
      </c>
      <c r="DM7" s="45">
        <v>1</v>
      </c>
      <c r="DN7" s="45">
        <v>10</v>
      </c>
      <c r="DO7" s="32"/>
      <c r="EG7" s="6">
        <v>5</v>
      </c>
      <c r="EH7" s="6">
        <v>5</v>
      </c>
      <c r="EI7" s="6">
        <v>5</v>
      </c>
      <c r="EJ7" s="6">
        <v>5</v>
      </c>
      <c r="EK7" s="6">
        <v>5</v>
      </c>
      <c r="EL7" s="6" t="s">
        <v>52</v>
      </c>
      <c r="EM7" s="57">
        <v>1000</v>
      </c>
      <c r="EN7" s="57">
        <v>1000</v>
      </c>
      <c r="EO7" s="6">
        <v>0</v>
      </c>
    </row>
    <row r="8" spans="1:168" ht="15.75" customHeight="1">
      <c r="A8" s="5"/>
      <c r="B8" s="5"/>
      <c r="C8" s="7" t="s">
        <v>22</v>
      </c>
      <c r="D8" s="7">
        <v>-50</v>
      </c>
      <c r="E8" s="7" t="s">
        <v>17</v>
      </c>
      <c r="F8" s="5"/>
      <c r="G8" s="33">
        <v>10</v>
      </c>
      <c r="H8" s="55" t="s">
        <v>52</v>
      </c>
      <c r="I8" s="43">
        <v>-500</v>
      </c>
      <c r="J8" s="5"/>
      <c r="K8" s="43">
        <v>-500</v>
      </c>
      <c r="L8" s="5"/>
      <c r="M8" s="5"/>
      <c r="N8" s="7">
        <v>0</v>
      </c>
      <c r="O8" s="5"/>
      <c r="Q8" s="6">
        <v>0</v>
      </c>
      <c r="T8" s="32" t="s">
        <v>41</v>
      </c>
      <c r="U8" s="32" t="s">
        <v>53</v>
      </c>
      <c r="V8" s="32" t="s">
        <v>54</v>
      </c>
      <c r="W8" s="32" t="s">
        <v>18</v>
      </c>
      <c r="X8" s="32"/>
      <c r="Y8" s="45">
        <v>1</v>
      </c>
      <c r="AB8" s="6">
        <v>0</v>
      </c>
      <c r="AC8" s="6">
        <v>0</v>
      </c>
      <c r="AD8" s="43">
        <v>-500</v>
      </c>
      <c r="AE8" s="43">
        <v>-500</v>
      </c>
      <c r="AF8" s="6">
        <v>-50</v>
      </c>
      <c r="AG8" s="43">
        <v>-500</v>
      </c>
      <c r="AH8" s="43">
        <v>-500</v>
      </c>
      <c r="AI8" s="43">
        <v>-500</v>
      </c>
      <c r="AJ8" s="6">
        <v>-250</v>
      </c>
      <c r="AK8" s="6">
        <v>0</v>
      </c>
      <c r="AL8" s="6">
        <v>1</v>
      </c>
      <c r="AM8" s="6">
        <v>1</v>
      </c>
      <c r="AN8" s="6" t="s">
        <v>38</v>
      </c>
      <c r="AP8" s="6" t="s">
        <v>52</v>
      </c>
      <c r="AQ8" s="32" t="s">
        <v>22</v>
      </c>
      <c r="AR8" s="45">
        <v>10</v>
      </c>
      <c r="AS8" s="32"/>
      <c r="AT8" s="32"/>
      <c r="AU8" s="32"/>
      <c r="AV8" s="45">
        <v>1</v>
      </c>
      <c r="AW8" s="45">
        <v>0</v>
      </c>
      <c r="AX8" s="45">
        <v>0</v>
      </c>
      <c r="AY8" s="45">
        <v>0</v>
      </c>
      <c r="AZ8" s="43">
        <v>-500</v>
      </c>
      <c r="BA8" s="6">
        <v>0</v>
      </c>
      <c r="BC8" s="6">
        <v>1</v>
      </c>
      <c r="BD8" s="6">
        <v>500</v>
      </c>
      <c r="BE8" s="32" t="s">
        <v>41</v>
      </c>
      <c r="BF8" s="32"/>
      <c r="BG8" s="32"/>
      <c r="BH8" s="32"/>
      <c r="BI8" s="32"/>
      <c r="BJ8" s="45">
        <v>0</v>
      </c>
      <c r="BK8" s="45">
        <v>0</v>
      </c>
      <c r="BL8" s="45">
        <v>0</v>
      </c>
      <c r="BM8" s="45">
        <v>0</v>
      </c>
      <c r="BO8" s="6">
        <v>500</v>
      </c>
      <c r="BP8" s="45">
        <v>0</v>
      </c>
      <c r="BQ8" s="32"/>
      <c r="BR8" s="32" t="s">
        <v>43</v>
      </c>
      <c r="BS8" s="45">
        <v>0</v>
      </c>
      <c r="BT8" s="45">
        <v>0</v>
      </c>
      <c r="BW8" s="45">
        <v>0</v>
      </c>
      <c r="BX8" s="33">
        <v>500</v>
      </c>
      <c r="BY8" s="33">
        <v>500</v>
      </c>
      <c r="BZ8" s="45">
        <v>10</v>
      </c>
      <c r="CA8" s="45">
        <v>10</v>
      </c>
      <c r="CC8" s="45">
        <v>0</v>
      </c>
      <c r="CD8" s="45">
        <v>0</v>
      </c>
      <c r="CE8" s="45">
        <v>0</v>
      </c>
      <c r="CF8" s="45">
        <v>0</v>
      </c>
      <c r="CG8" s="45">
        <v>0</v>
      </c>
      <c r="CH8" s="45">
        <v>0</v>
      </c>
      <c r="CI8" s="45">
        <v>0</v>
      </c>
      <c r="CJ8" s="45">
        <v>0</v>
      </c>
      <c r="DA8" s="33">
        <v>500</v>
      </c>
      <c r="DB8" s="45">
        <v>0</v>
      </c>
      <c r="DC8" s="32"/>
      <c r="DD8" s="32"/>
      <c r="DE8" s="45">
        <v>0</v>
      </c>
      <c r="DF8" s="45">
        <v>0</v>
      </c>
      <c r="DG8" s="45">
        <v>0</v>
      </c>
      <c r="DH8" s="32"/>
      <c r="DI8" s="45">
        <v>0</v>
      </c>
      <c r="DJ8" s="6" t="s">
        <v>38</v>
      </c>
      <c r="DK8" s="45">
        <v>0</v>
      </c>
      <c r="DL8" s="45">
        <v>0</v>
      </c>
      <c r="DM8" s="45">
        <v>1</v>
      </c>
      <c r="DN8" s="45">
        <v>10</v>
      </c>
      <c r="DO8" s="32"/>
      <c r="EG8" s="6">
        <v>-2.5</v>
      </c>
      <c r="EH8" s="6">
        <v>2.5</v>
      </c>
      <c r="EI8" s="6">
        <v>-2.5</v>
      </c>
      <c r="EJ8" s="6">
        <v>5</v>
      </c>
      <c r="EK8" s="6">
        <v>5</v>
      </c>
      <c r="EL8" s="6" t="s">
        <v>52</v>
      </c>
      <c r="EM8" s="57">
        <v>1000</v>
      </c>
      <c r="EN8" s="57">
        <v>1000</v>
      </c>
      <c r="EO8" s="6">
        <v>0</v>
      </c>
    </row>
    <row r="9" spans="1:168" ht="15.75" customHeight="1">
      <c r="A9" s="5"/>
      <c r="B9" s="5"/>
      <c r="C9" s="7" t="s">
        <v>22</v>
      </c>
      <c r="D9" s="7">
        <v>-50</v>
      </c>
      <c r="E9" s="7" t="s">
        <v>19</v>
      </c>
      <c r="F9" s="5"/>
      <c r="G9" s="33">
        <v>10</v>
      </c>
      <c r="H9" s="55" t="s">
        <v>52</v>
      </c>
      <c r="I9" s="43">
        <v>-500</v>
      </c>
      <c r="J9" s="5"/>
      <c r="K9" s="43">
        <v>-500</v>
      </c>
      <c r="L9" s="5"/>
      <c r="M9" s="5"/>
      <c r="N9" s="7">
        <v>0</v>
      </c>
      <c r="O9" s="5"/>
      <c r="Q9" s="6">
        <v>0</v>
      </c>
      <c r="T9" s="32" t="s">
        <v>41</v>
      </c>
      <c r="U9" s="32" t="s">
        <v>53</v>
      </c>
      <c r="V9" s="32" t="s">
        <v>54</v>
      </c>
      <c r="W9" s="32" t="s">
        <v>18</v>
      </c>
      <c r="X9" s="32"/>
      <c r="Y9" s="45">
        <v>1</v>
      </c>
      <c r="AB9" s="6">
        <v>0</v>
      </c>
      <c r="AC9" s="6">
        <v>0</v>
      </c>
      <c r="AD9" s="43">
        <v>-500</v>
      </c>
      <c r="AE9" s="43">
        <v>-500</v>
      </c>
      <c r="AF9" s="6">
        <v>-50</v>
      </c>
      <c r="AG9" s="43">
        <v>-500</v>
      </c>
      <c r="AH9" s="43">
        <v>-500</v>
      </c>
      <c r="AI9" s="43">
        <v>-500</v>
      </c>
      <c r="AJ9" s="6">
        <v>-250</v>
      </c>
      <c r="AK9" s="6">
        <v>0</v>
      </c>
      <c r="AL9" s="6">
        <v>1</v>
      </c>
      <c r="AM9" s="6">
        <v>1</v>
      </c>
      <c r="AN9" s="6" t="s">
        <v>38</v>
      </c>
      <c r="AP9" s="6" t="s">
        <v>52</v>
      </c>
      <c r="AQ9" s="32" t="s">
        <v>22</v>
      </c>
      <c r="AR9" s="45">
        <v>10</v>
      </c>
      <c r="AS9" s="32"/>
      <c r="AT9" s="32"/>
      <c r="AU9" s="32"/>
      <c r="AV9" s="45">
        <v>1</v>
      </c>
      <c r="AW9" s="45">
        <v>0</v>
      </c>
      <c r="AX9" s="45">
        <v>0</v>
      </c>
      <c r="AY9" s="45">
        <v>0</v>
      </c>
      <c r="AZ9" s="43">
        <v>-500</v>
      </c>
      <c r="BA9" s="6">
        <v>0</v>
      </c>
      <c r="BC9" s="6">
        <v>1</v>
      </c>
      <c r="BD9" s="6">
        <v>500</v>
      </c>
      <c r="BE9" s="32" t="s">
        <v>41</v>
      </c>
      <c r="BF9" s="32"/>
      <c r="BG9" s="32"/>
      <c r="BH9" s="32"/>
      <c r="BI9" s="32"/>
      <c r="BJ9" s="45">
        <v>0</v>
      </c>
      <c r="BK9" s="45">
        <v>0</v>
      </c>
      <c r="BL9" s="45">
        <v>0</v>
      </c>
      <c r="BM9" s="45">
        <v>0</v>
      </c>
      <c r="BO9" s="6">
        <v>500</v>
      </c>
      <c r="BP9" s="45">
        <v>0</v>
      </c>
      <c r="BQ9" s="32"/>
      <c r="BR9" s="32" t="s">
        <v>43</v>
      </c>
      <c r="BS9" s="45">
        <v>0</v>
      </c>
      <c r="BT9" s="45">
        <v>0</v>
      </c>
      <c r="BW9" s="45">
        <v>0</v>
      </c>
      <c r="BX9" s="33">
        <v>500</v>
      </c>
      <c r="BY9" s="33">
        <v>500</v>
      </c>
      <c r="BZ9" s="45">
        <v>10</v>
      </c>
      <c r="CA9" s="45">
        <v>10</v>
      </c>
      <c r="CC9" s="45">
        <v>0</v>
      </c>
      <c r="CD9" s="45">
        <v>0</v>
      </c>
      <c r="CE9" s="45">
        <v>0</v>
      </c>
      <c r="CF9" s="45">
        <v>0</v>
      </c>
      <c r="CG9" s="45">
        <v>0</v>
      </c>
      <c r="CH9" s="45">
        <v>0</v>
      </c>
      <c r="CI9" s="45">
        <v>0</v>
      </c>
      <c r="CJ9" s="45">
        <v>0</v>
      </c>
      <c r="DA9" s="33">
        <v>500</v>
      </c>
      <c r="DB9" s="45">
        <v>0</v>
      </c>
      <c r="DC9" s="32"/>
      <c r="DD9" s="32"/>
      <c r="DE9" s="45">
        <v>0</v>
      </c>
      <c r="DF9" s="45">
        <v>0</v>
      </c>
      <c r="DG9" s="45">
        <v>0</v>
      </c>
      <c r="DH9" s="32"/>
      <c r="DI9" s="45">
        <v>0</v>
      </c>
      <c r="DJ9" s="6" t="s">
        <v>38</v>
      </c>
      <c r="DK9" s="45">
        <v>0</v>
      </c>
      <c r="DL9" s="45">
        <v>0</v>
      </c>
      <c r="DM9" s="45">
        <v>1</v>
      </c>
      <c r="DN9" s="45">
        <v>10</v>
      </c>
      <c r="DO9" s="32"/>
      <c r="EG9" s="6">
        <v>-2.5</v>
      </c>
      <c r="EH9" s="6">
        <v>2.5</v>
      </c>
      <c r="EI9" s="6">
        <v>-2.5</v>
      </c>
      <c r="EJ9" s="6">
        <v>5</v>
      </c>
      <c r="EK9" s="6">
        <v>5</v>
      </c>
      <c r="EL9" s="6" t="s">
        <v>52</v>
      </c>
      <c r="EM9" s="57">
        <v>1000</v>
      </c>
      <c r="EN9" s="57">
        <v>1000</v>
      </c>
      <c r="EO9" s="6">
        <v>0</v>
      </c>
    </row>
    <row r="10" spans="1:168" ht="15.75" customHeight="1">
      <c r="A10" s="5"/>
      <c r="B10" s="5"/>
      <c r="C10" s="5"/>
      <c r="D10" s="5"/>
      <c r="E10" s="5"/>
      <c r="F10" s="5"/>
      <c r="G10" s="32"/>
      <c r="H10" s="32"/>
      <c r="I10" s="32"/>
      <c r="J10" s="5"/>
      <c r="K10" s="5"/>
      <c r="L10" s="5"/>
      <c r="M10" s="5"/>
      <c r="N10" s="5"/>
      <c r="O10" s="5"/>
      <c r="BE10" s="32"/>
      <c r="BF10" s="32"/>
      <c r="BG10" s="32"/>
      <c r="BH10" s="32"/>
      <c r="BI10" s="32"/>
      <c r="BJ10" s="32"/>
      <c r="BK10" s="32"/>
      <c r="BL10" s="32"/>
      <c r="BM10" s="32"/>
      <c r="BW10" s="32"/>
      <c r="BX10" s="32"/>
      <c r="BY10" s="32"/>
      <c r="BZ10" s="32"/>
      <c r="CA10" s="32"/>
      <c r="CC10" s="32"/>
      <c r="CD10" s="32"/>
      <c r="CE10" s="32"/>
      <c r="CF10" s="32"/>
      <c r="CG10" s="32"/>
      <c r="CH10" s="32"/>
      <c r="CI10" s="32"/>
      <c r="CJ10" s="32"/>
      <c r="DK10" s="32"/>
      <c r="DL10" s="32"/>
      <c r="DM10" s="32"/>
      <c r="DN10" s="32"/>
      <c r="DO10" s="32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GroupRowPM</vt:lpstr>
      <vt:lpstr>OpenPTTFromPM</vt:lpstr>
      <vt:lpstr>CalculatePTT</vt:lpstr>
      <vt:lpstr>VerifyPTT</vt:lpstr>
      <vt:lpstr>TradePTT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2021-08-04T13:54:15Z</dcterms:modified>
</cp:coreProperties>
</file>