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MFPreferences" sheetId="5" r:id="rId7"/>
    <sheet state="visible" name="SetMFPrefFundDistribution" sheetId="6" r:id="rId8"/>
    <sheet state="visible" name="SetMFPrefFundDefaultRule" sheetId="7" r:id="rId9"/>
    <sheet state="visible" name="SetMFPrefGeneralRule" sheetId="8" r:id="rId10"/>
    <sheet state="visible" name="UpdateGRAccountValue" sheetId="9" r:id="rId11"/>
    <sheet state="visible" name="SetMFPrefFundDefaultRule1" sheetId="10" r:id="rId12"/>
    <sheet state="visible" name="SetMFPrefGeneralRule1" sheetId="11" r:id="rId13"/>
    <sheet state="visible" name="UpdateGRAccountValue1" sheetId="12" r:id="rId14"/>
    <sheet state="visible" name="CreateLiveOrder" sheetId="13" r:id="rId15"/>
    <sheet state="visible" name="SelectTrade" sheetId="14" r:id="rId16"/>
    <sheet state="visible" name="AcknowledgeTrade" sheetId="15" r:id="rId17"/>
    <sheet state="visible" name="ExecuteTrade" sheetId="16" r:id="rId18"/>
    <sheet state="visible" name="SelectTrade1" sheetId="17" r:id="rId19"/>
    <sheet state="visible" name="AcknowledgeTrade1" sheetId="18" r:id="rId20"/>
    <sheet state="visible" name="ExecuteTrade1" sheetId="19" r:id="rId21"/>
    <sheet state="visible" name="SelectTrade2" sheetId="20" r:id="rId22"/>
    <sheet state="visible" name="AcknowledgeTrade2" sheetId="21" r:id="rId23"/>
    <sheet state="visible" name="ExecuteTrade2" sheetId="22" r:id="rId24"/>
    <sheet state="visible" name="SelectTrade3" sheetId="23" r:id="rId25"/>
    <sheet state="visible" name="AcknowledgeTrade3" sheetId="24" r:id="rId26"/>
    <sheet state="visible" name="ExecuteTrade3" sheetId="25" r:id="rId27"/>
    <sheet state="visible" name="SelectTrade4" sheetId="26" r:id="rId28"/>
    <sheet state="visible" name="AcknowledgeTrade4" sheetId="27" r:id="rId29"/>
    <sheet state="visible" name="ExecuteTrade4" sheetId="28" r:id="rId30"/>
    <sheet state="visible" name="SelectTrade5" sheetId="29" r:id="rId31"/>
    <sheet state="visible" name="AcknowledgeTrade5" sheetId="30" r:id="rId32"/>
    <sheet state="visible" name="ExecuteTrade5" sheetId="31" r:id="rId33"/>
    <sheet state="visible" name="SelectTradeOnOrderGrid" sheetId="32" r:id="rId34"/>
    <sheet state="visible" name="AllocateFromBlotter" sheetId="33" r:id="rId35"/>
    <sheet state="visible" name="SelectTradeOnOrderGrid1" sheetId="34" r:id="rId36"/>
    <sheet state="visible" name="AllocateFromBlotter1" sheetId="35" r:id="rId37"/>
    <sheet state="visible" name="GetDataAllocation" sheetId="36" r:id="rId38"/>
    <sheet state="visible" name="CheckAllocatedGroups" sheetId="37" r:id="rId39"/>
    <sheet state="visible" name="VerifyOrder" sheetId="38" r:id="rId40"/>
    <sheet state="visible" name="CheckPortfolioManagement" sheetId="39" r:id="rId41"/>
    <sheet state="visible" name="GetDailyCash" sheetId="40" r:id="rId42"/>
    <sheet state="visible" name="UpdateDailyCash" sheetId="41" r:id="rId43"/>
    <sheet state="visible" name="PricingInput" sheetId="42" r:id="rId44"/>
    <sheet state="visible" name="CheckAllocatedTaxlots1" sheetId="43" r:id="rId45"/>
  </sheets>
  <definedNames/>
  <calcPr/>
</workbook>
</file>

<file path=xl/sharedStrings.xml><?xml version="1.0" encoding="utf-8"?>
<sst xmlns="http://schemas.openxmlformats.org/spreadsheetml/2006/main" count="967" uniqueCount="94">
  <si>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</si>
  <si>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</si>
  <si>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</si>
  <si>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</si>
  <si>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</si>
  <si>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</si>
  <si>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</si>
  <si>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</si>
  <si>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</si>
  <si>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</si>
  <si>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</si>
  <si>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</si>
  <si>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</si>
  <si>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</si>
  <si>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</si>
  <si>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</si>
  <si>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AddMFPreferences</t>
  </si>
  <si>
    <t>Pref5-10-10-21</t>
  </si>
  <si>
    <t>SetMFPrefFundDistribution</t>
  </si>
  <si>
    <t>NewMF</t>
  </si>
  <si>
    <t>NewMF1</t>
  </si>
  <si>
    <t>SetMFPrefFundDefaultRule</t>
  </si>
  <si>
    <t>Trade Quantity</t>
  </si>
  <si>
    <t>Leveling</t>
  </si>
  <si>
    <t>Allocation1,Allocation3</t>
  </si>
  <si>
    <t>SetMFPrefGeneralRule</t>
  </si>
  <si>
    <t>Include</t>
  </si>
  <si>
    <t>Equity</t>
  </si>
  <si>
    <t>Buy,Sell</t>
  </si>
  <si>
    <t>UpdateGRAccountValue</t>
  </si>
  <si>
    <t>Allocation1</t>
  </si>
  <si>
    <t>Allocation3</t>
  </si>
  <si>
    <t>Allocation2,Allocation4</t>
  </si>
  <si>
    <t>Allocation2</t>
  </si>
  <si>
    <t>Allocation4</t>
  </si>
  <si>
    <t>TradingTicket</t>
  </si>
  <si>
    <t>CreateLiveOrder</t>
  </si>
  <si>
    <t>AAPL</t>
  </si>
  <si>
    <t>Buy</t>
  </si>
  <si>
    <t>Unallocated</t>
  </si>
  <si>
    <t>MS</t>
  </si>
  <si>
    <t>Market</t>
  </si>
  <si>
    <t>MSFT</t>
  </si>
  <si>
    <t>Simulator</t>
  </si>
  <si>
    <t>SelectTrade</t>
  </si>
  <si>
    <t>AcknowledgeTrade</t>
  </si>
  <si>
    <t>ExecuteTrade</t>
  </si>
  <si>
    <t>Blotter</t>
  </si>
  <si>
    <t>SelectTradeOnOrderGrid</t>
  </si>
  <si>
    <t>Filled</t>
  </si>
  <si>
    <t>AllocateFromBlotter</t>
  </si>
  <si>
    <t>GetDataAllocation</t>
  </si>
  <si>
    <t>Current</t>
  </si>
  <si>
    <t>CheckAllocatedGroups</t>
  </si>
  <si>
    <t>Manual</t>
  </si>
  <si>
    <t>AAPL US EQUITY</t>
  </si>
  <si>
    <t>Open</t>
  </si>
  <si>
    <t>USD</t>
  </si>
  <si>
    <t>NASDAQ</t>
  </si>
  <si>
    <t>M</t>
  </si>
  <si>
    <t>None</t>
  </si>
  <si>
    <t>DefaultNotes</t>
  </si>
  <si>
    <t>InternalOrder</t>
  </si>
  <si>
    <t>Strategy Unallocated</t>
  </si>
  <si>
    <t>GCCAP1</t>
  </si>
  <si>
    <t>FIX</t>
  </si>
  <si>
    <t>US</t>
  </si>
  <si>
    <t>jpearce</t>
  </si>
  <si>
    <t>NONE</t>
  </si>
  <si>
    <t>MSFT US EQUITY</t>
  </si>
  <si>
    <t>VerifyOrder</t>
  </si>
  <si>
    <t>PortfolioManagement</t>
  </si>
  <si>
    <t>CheckPortfolioManagement</t>
  </si>
  <si>
    <t>Long</t>
  </si>
  <si>
    <t>APPLE</t>
  </si>
  <si>
    <t>Undefined</t>
  </si>
  <si>
    <t>FIMAT</t>
  </si>
  <si>
    <t>New Hedge</t>
  </si>
  <si>
    <t>Small Cap</t>
  </si>
  <si>
    <t>User Defined</t>
  </si>
  <si>
    <t>Default</t>
  </si>
  <si>
    <t>test1</t>
  </si>
  <si>
    <t>india</t>
  </si>
  <si>
    <t>test 1</t>
  </si>
  <si>
    <t>Yes</t>
  </si>
  <si>
    <t>MICROSOFT INC</t>
  </si>
  <si>
    <t>Equity General</t>
  </si>
  <si>
    <t>Information Technology</t>
  </si>
  <si>
    <t>Copper</t>
  </si>
  <si>
    <t>DailyValuation</t>
  </si>
  <si>
    <t>GetDailyCash</t>
  </si>
  <si>
    <t>UpdateDailyCash</t>
  </si>
  <si>
    <t>PricingInput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</si>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</sst>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 am/pm"/>
    <numFmt numFmtId="165" formatCode="m/d/yyyy h:mm"/>
    <numFmt numFmtId="166" formatCode="yyyy-mm-dd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Inconsolata"/>
    </font>
    <font>
      <color rgb="FF000000"/>
      <name val="Calibri"/>
    </font>
    <font>
      <color rgb="FF000000"/>
      <name val="Arial"/>
    </font>
    <font>
      <sz val="9.0"/>
      <color rgb="FF000000"/>
      <name val="Arial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F6F6F8"/>
        <bgColor rgb="FFF6F6F8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/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5" fillId="6" fontId="14" numFmtId="0" xfId="0" applyAlignment="1" applyBorder="1" applyFill="1" applyFont="1">
      <alignment readingOrder="0" shrinkToFit="0" vertical="bottom" wrapText="0"/>
    </xf>
    <xf borderId="5" fillId="6" fontId="14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6" fontId="14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shrinkToFit="0" vertical="bottom" wrapText="0"/>
    </xf>
    <xf borderId="5" fillId="0" fontId="15" numFmtId="0" xfId="0" applyAlignment="1" applyBorder="1" applyFont="1">
      <alignment vertical="bottom"/>
    </xf>
    <xf borderId="5" fillId="0" fontId="16" numFmtId="0" xfId="0" applyAlignment="1" applyBorder="1" applyFont="1">
      <alignment vertical="bottom"/>
    </xf>
    <xf borderId="5" fillId="0" fontId="15" numFmtId="0" xfId="0" applyAlignment="1" applyBorder="1" applyFont="1">
      <alignment horizontal="right" vertical="bottom"/>
    </xf>
    <xf borderId="0" fillId="0" fontId="16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6" fillId="0" fontId="3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7" fillId="0" fontId="5" numFmtId="0" xfId="0" applyAlignment="1" applyBorder="1" applyFont="1">
      <alignment horizontal="right" readingOrder="0" vertical="bottom"/>
    </xf>
    <xf borderId="7" fillId="0" fontId="5" numFmtId="0" xfId="0" applyAlignment="1" applyBorder="1" applyFont="1">
      <alignment readingOrder="0" vertical="bottom"/>
    </xf>
    <xf borderId="7" fillId="0" fontId="5" numFmtId="0" xfId="0" applyAlignment="1" applyBorder="1" applyFont="1">
      <alignment horizontal="right" vertical="bottom"/>
    </xf>
    <xf borderId="5" fillId="0" fontId="3" numFmtId="14" xfId="0" applyAlignment="1" applyBorder="1" applyFont="1" applyNumberForma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vertical="bottom"/>
    </xf>
    <xf borderId="8" fillId="0" fontId="5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8" fillId="0" fontId="5" numFmtId="0" xfId="0" applyAlignment="1" applyBorder="1" applyFont="1">
      <alignment horizontal="right" vertical="bottom"/>
    </xf>
    <xf borderId="8" fillId="0" fontId="5" numFmtId="0" xfId="0" applyAlignment="1" applyBorder="1" applyFont="1">
      <alignment vertical="bottom"/>
    </xf>
    <xf borderId="8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right" vertical="bottom"/>
    </xf>
    <xf borderId="5" fillId="6" fontId="17" numFmtId="0" xfId="0" applyAlignment="1" applyBorder="1" applyFont="1">
      <alignment horizontal="right" vertical="bottom"/>
    </xf>
    <xf borderId="5" fillId="7" fontId="3" numFmtId="0" xfId="0" applyAlignment="1" applyBorder="1" applyFill="1" applyFont="1">
      <alignment vertical="top"/>
    </xf>
    <xf borderId="5" fillId="7" fontId="3" numFmtId="0" xfId="0" applyAlignment="1" applyBorder="1" applyFont="1">
      <alignment horizontal="right" vertical="top"/>
    </xf>
    <xf borderId="0" fillId="6" fontId="17" numFmtId="0" xfId="0" applyAlignment="1" applyFont="1">
      <alignment horizontal="right" vertical="bottom"/>
    </xf>
    <xf borderId="0" fillId="8" fontId="3" numFmtId="0" xfId="0" applyAlignment="1" applyFill="1" applyFont="1">
      <alignment vertical="bottom"/>
    </xf>
    <xf borderId="5" fillId="6" fontId="14" numFmtId="0" xfId="0" applyAlignment="1" applyBorder="1" applyFont="1">
      <alignment shrinkToFit="0" vertical="bottom" wrapText="0"/>
    </xf>
    <xf borderId="5" fillId="0" fontId="18" numFmtId="0" xfId="0" applyAlignment="1" applyBorder="1" applyFont="1">
      <alignment vertical="bottom"/>
    </xf>
    <xf borderId="5" fillId="0" fontId="18" numFmtId="0" xfId="0" applyAlignment="1" applyBorder="1" applyFont="1">
      <alignment horizontal="right" vertical="bottom"/>
    </xf>
    <xf borderId="5" fillId="0" fontId="18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18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8" numFmtId="0" xfId="0" applyAlignment="1" applyFont="1">
      <alignment horizontal="center" vertical="bottom"/>
    </xf>
    <xf borderId="0" fillId="0" fontId="18" numFmtId="4" xfId="0" applyAlignment="1" applyFont="1" applyNumberFormat="1">
      <alignment horizontal="right" readingOrder="0" shrinkToFit="0" vertical="bottom" wrapText="0"/>
    </xf>
    <xf borderId="0" fillId="0" fontId="3" numFmtId="165" xfId="0" applyAlignment="1" applyFont="1" applyNumberFormat="1">
      <alignment vertical="bottom"/>
    </xf>
    <xf borderId="0" fillId="0" fontId="18" numFmtId="165" xfId="0" applyAlignment="1" applyFont="1" applyNumberFormat="1">
      <alignment shrinkToFit="0" vertical="bottom" wrapText="0"/>
    </xf>
    <xf borderId="0" fillId="0" fontId="18" numFmtId="0" xfId="0" applyAlignment="1" applyFont="1">
      <alignment vertical="bottom"/>
    </xf>
    <xf borderId="0" fillId="0" fontId="18" numFmtId="0" xfId="0" applyAlignment="1" applyFont="1">
      <alignment horizontal="right" readingOrder="0" shrinkToFit="0" vertical="bottom" wrapText="0"/>
    </xf>
    <xf borderId="0" fillId="0" fontId="18" numFmtId="0" xfId="0" applyAlignment="1" applyFont="1">
      <alignment readingOrder="0" shrinkToFit="0" vertical="bottom" wrapText="0"/>
    </xf>
    <xf borderId="5" fillId="0" fontId="18" numFmtId="0" xfId="0" applyAlignment="1" applyBorder="1" applyFont="1">
      <alignment shrinkToFit="0" vertical="bottom" wrapText="0"/>
    </xf>
    <xf borderId="0" fillId="0" fontId="18" numFmtId="0" xfId="0" applyAlignment="1" applyFont="1">
      <alignment shrinkToFit="0" vertical="bottom" wrapText="0"/>
    </xf>
    <xf borderId="5" fillId="0" fontId="5" numFmtId="0" xfId="0" applyAlignment="1" applyBorder="1" applyFont="1">
      <alignment vertical="bottom"/>
    </xf>
    <xf borderId="0" fillId="0" fontId="18" numFmtId="3" xfId="0" applyAlignment="1" applyFont="1" applyNumberFormat="1">
      <alignment horizontal="right" readingOrder="0" shrinkToFit="0" vertical="bottom" wrapText="0"/>
    </xf>
    <xf borderId="0" fillId="0" fontId="18" numFmtId="166" xfId="0" applyAlignment="1" applyFont="1" applyNumberFormat="1">
      <alignment readingOrder="0" shrinkToFit="0" vertical="bottom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3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39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47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56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6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60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6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7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53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3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4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70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71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8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73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80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77.png"/><Relationship Id="rId2" Type="http://schemas.openxmlformats.org/officeDocument/2006/relationships/image" Target="../media/image79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75.png"/><Relationship Id="rId2" Type="http://schemas.openxmlformats.org/officeDocument/2006/relationships/image" Target="../media/image7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4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1lI4loUxqzsE3IjuxIjsVY3cB4J_eTKFPPDuXngut4FE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IFERROR(__xludf.DUMMYFUNCTION("""COMPUTED_VALUE"""),"ValidateCheckSide")</f>
        <v>ValidateCheckSide</v>
      </c>
      <c r="C5" s="29" t="str">
        <f>IFERROR(__xludf.DUMMYFUNCTION("""COMPUTED_VALUE"""),"DisabledChecksideAssets")</f>
        <v>DisabledChecksideAssets</v>
      </c>
      <c r="D5" s="29" t="str">
        <f>IFERROR(__xludf.DUMMYFUNCTION("""COMPUTED_VALUE"""),"PrecisionValue")</f>
        <v>PrecisionValue</v>
      </c>
      <c r="E5" s="29" t="str">
        <f>IFERROR(__xludf.DUMMYFUNCTION("""COMPUTED_VALUE"""),"UseCommissionInNetAmount")</f>
        <v>UseCommissionInNetAmount</v>
      </c>
      <c r="F5" s="30" t="str">
        <f>IFERROR(__xludf.DUMMYFUNCTION("""COMPUTED_VALUE"""),"SaveWithoutState")</f>
        <v>SaveWithoutState</v>
      </c>
      <c r="G5" s="29" t="str">
        <f>IFERROR(__xludf.DUMMYFUNCTION("""COMPUTED_VALUE"""),"SaveWithState")</f>
        <v>SaveWithState</v>
      </c>
      <c r="H5" s="29" t="str">
        <f>IFERROR(__xludf.DUMMYFUNCTION("""COMPUTED_VALUE"""),"ClearQuantities")</f>
        <v>ClearQuantities</v>
      </c>
      <c r="I5" s="29" t="str">
        <f>IFERROR(__xludf.DUMMYFUNCTION("""COMPUTED_VALUE"""),"ReapplyAllocation")</f>
        <v>ReapplyAllocation</v>
      </c>
      <c r="J5" s="29" t="str">
        <f>IFERROR(__xludf.DUMMYFUNCTION("""COMPUTED_VALUE"""),"DefaultAllocation")</f>
        <v>DefaultAllocation</v>
      </c>
      <c r="K5" s="29" t="str">
        <f>IFERROR(__xludf.DUMMYFUNCTION("""COMPUTED_VALUE"""),"IsCustomPreference")</f>
        <v>IsCustomPreference</v>
      </c>
      <c r="L5" s="29" t="str">
        <f>IFERROR(__xludf.DUMMYFUNCTION("""COMPUTED_VALUE"""),"AllocationMethod")</f>
        <v>AllocationMethod</v>
      </c>
      <c r="M5" s="29" t="str">
        <f>IFERROR(__xludf.DUMMYFUNCTION("""COMPUTED_VALUE"""),"RemainderAllocationTo")</f>
        <v>RemainderAllocationTo</v>
      </c>
      <c r="N5" s="29" t="str">
        <f>IFERROR(__xludf.DUMMYFUNCTION("""COMPUTED_VALUE"""),"Target%AsOf")</f>
        <v>Target%AsOf</v>
      </c>
      <c r="O5" s="29" t="str">
        <f>IFERROR(__xludf.DUMMYFUNCTION("""COMPUTED_VALUE"""),"ProrataAccounts")</f>
        <v>ProrataAccounts</v>
      </c>
      <c r="P5" s="29" t="str">
        <f>IFERROR(__xludf.DUMMYFUNCTION("""COMPUTED_VALUE"""),"DateUptoDays")</f>
        <v>DateUptoDays</v>
      </c>
      <c r="Q5" s="29" t="str">
        <f>IFERROR(__xludf.DUMMYFUNCTION("""COMPUTED_VALUE"""),"MatchClosing")</f>
        <v>MatchClosing</v>
      </c>
      <c r="R5" s="29" t="str">
        <f>IFERROR(__xludf.DUMMYFUNCTION("""COMPUTED_VALUE"""),"CommissionAlertOnBrokerChange")</f>
        <v>CommissionAlertOnBrokerChange</v>
      </c>
      <c r="S5" s="29" t="str">
        <f>IFERROR(__xludf.DUMMYFUNCTION("""COMPUTED_VALUE"""),"RecalculateCommissionOnBrokerChange")</f>
        <v>RecalculateCommissionOnBrokerChange</v>
      </c>
      <c r="T5" s="31" t="str">
        <f>IFERROR(__xludf.DUMMYFUNCTION("""COMPUTED_VALUE"""),"CommissionAlertOnAllocation")</f>
        <v>CommissionAlertOnAllocation</v>
      </c>
      <c r="U5" s="31" t="str">
        <f>IFERROR(__xludf.DUMMYFUNCTION("""COMPUTED_VALUE"""),"RecalculateCommissionOnAllocation")</f>
        <v>RecalculateCommissionOnAllocation</v>
      </c>
      <c r="V5" s="31" t="str">
        <f>IFERROR(__xludf.DUMMYFUNCTION("""COMPUTED_VALUE"""),"EnableMasterFund")</f>
        <v>EnableMasterFund</v>
      </c>
      <c r="W5" s="31" t="str">
        <f>IFERROR(__xludf.DUMMYFUNCTION("""COMPUTED_VALUE"""),"1MasterFund/1Symbol")</f>
        <v>1MasterFund/1Symbol</v>
      </c>
      <c r="X5" s="31" t="str">
        <f>IFERROR(__xludf.DUMMYFUNCTION("""COMPUTED_VALUE"""),"ProrataSchemeName")</f>
        <v>ProrataSchemeName</v>
      </c>
      <c r="Y5" s="31" t="str">
        <f>IFERROR(__xludf.DUMMYFUNCTION("""COMPUTED_VALUE"""),"ProrataAllocationSchemeBasis")</f>
        <v>ProrataAllocationSchemeBasis</v>
      </c>
      <c r="Z5" s="31" t="str">
        <f>IFERROR(__xludf.DUMMYFUNCTION("""COMPUTED_VALUE"""),"ShowAdvancedProrataUI")</f>
        <v>ShowAdvancedProrataUI</v>
      </c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2"/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5" t="b">
        <v>1</v>
      </c>
      <c r="W6" s="35" t="b">
        <v>0</v>
      </c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/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37" t="s">
        <v>17</v>
      </c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IFERROR(__xludf.DUMMYFUNCTION("""COMPUTED_VALUE"""),"MasterFundName")</f>
        <v>MasterFundName</v>
      </c>
      <c r="D5" s="29" t="str">
        <f>IFERROR(__xludf.DUMMYFUNCTION("""COMPUTED_VALUE"""),"TargetPercentage")</f>
        <v>TargetPercentage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38" t="s">
        <v>17</v>
      </c>
      <c r="C6" s="33" t="s">
        <v>19</v>
      </c>
      <c r="D6" s="39">
        <v>50.0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0" t="s">
        <v>17</v>
      </c>
      <c r="C7" s="34" t="s">
        <v>20</v>
      </c>
      <c r="D7" s="41">
        <v>50.0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SetMFPrefFundDistribution!$4:$4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IFERROR(__xludf.DUMMYFUNCTION("""COMPUTED_VALUE"""),"MasterFund")</f>
        <v>MasterFund</v>
      </c>
      <c r="D5" s="29" t="str">
        <f>IFERROR(__xludf.DUMMYFUNCTION("""COMPUTED_VALUE"""),"AllocationMethod")</f>
        <v>AllocationMethod</v>
      </c>
      <c r="E5" s="29" t="str">
        <f>IFERROR(__xludf.DUMMYFUNCTION("""COMPUTED_VALUE"""),"RemainderAllocationTo")</f>
        <v>RemainderAllocationTo</v>
      </c>
      <c r="F5" s="30" t="str">
        <f>IFERROR(__xludf.DUMMYFUNCTION("""COMPUTED_VALUE"""),"Target%AsOf")</f>
        <v>Target%AsOf</v>
      </c>
      <c r="G5" s="29" t="str">
        <f>IFERROR(__xludf.DUMMYFUNCTION("""COMPUTED_VALUE"""),"ProrataAccounts")</f>
        <v>ProrataAccounts</v>
      </c>
      <c r="H5" s="29" t="str">
        <f>IFERROR(__xludf.DUMMYFUNCTION("""COMPUTED_VALUE"""),"DateUptoDays")</f>
        <v>DateUptoDays</v>
      </c>
      <c r="I5" s="29" t="str">
        <f>IFERROR(__xludf.DUMMYFUNCTION("""COMPUTED_VALUE"""),"MatchClosingTransactions")</f>
        <v>MatchClosingTransactions</v>
      </c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38" t="s">
        <v>17</v>
      </c>
      <c r="C6" s="33" t="s">
        <v>19</v>
      </c>
      <c r="D6" s="32" t="s">
        <v>22</v>
      </c>
      <c r="E6" s="33"/>
      <c r="F6" s="42" t="s">
        <v>23</v>
      </c>
      <c r="G6" s="43" t="s">
        <v>24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IFERROR(__xludf.DUMMYFUNCTION("""COMPUTED_VALUE"""),"MasterFund")</f>
        <v>MasterFund</v>
      </c>
      <c r="D5" s="29" t="str">
        <f>IFERROR(__xludf.DUMMYFUNCTION("""COMPUTED_VALUE"""),"Exchange Selector")</f>
        <v>Exchange Selector</v>
      </c>
      <c r="E5" s="29" t="str">
        <f>IFERROR(__xludf.DUMMYFUNCTION("""COMPUTED_VALUE"""),"Exchange List")</f>
        <v>Exchange List</v>
      </c>
      <c r="F5" s="30" t="str">
        <f>IFERROR(__xludf.DUMMYFUNCTION("""COMPUTED_VALUE"""),"Asset Selector")</f>
        <v>Asset Selector</v>
      </c>
      <c r="G5" s="29" t="str">
        <f>IFERROR(__xludf.DUMMYFUNCTION("""COMPUTED_VALUE"""),"Asset List")</f>
        <v>Asset List</v>
      </c>
      <c r="H5" s="29" t="str">
        <f>IFERROR(__xludf.DUMMYFUNCTION("""COMPUTED_VALUE"""),"PR Selector")</f>
        <v>PR Selector</v>
      </c>
      <c r="I5" s="29" t="str">
        <f>IFERROR(__xludf.DUMMYFUNCTION("""COMPUTED_VALUE"""),"PR List")</f>
        <v>PR List</v>
      </c>
      <c r="J5" s="29" t="str">
        <f>IFERROR(__xludf.DUMMYFUNCTION("""COMPUTED_VALUE"""),"Order Side Selector")</f>
        <v>Order Side Selector</v>
      </c>
      <c r="K5" s="29" t="str">
        <f>IFERROR(__xludf.DUMMYFUNCTION("""COMPUTED_VALUE"""),"Order Side List")</f>
        <v>Order Side List</v>
      </c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38" t="s">
        <v>17</v>
      </c>
      <c r="C6" s="44" t="s">
        <v>19</v>
      </c>
      <c r="D6" s="32"/>
      <c r="E6" s="33"/>
      <c r="F6" s="45" t="s">
        <v>26</v>
      </c>
      <c r="G6" s="45" t="s">
        <v>27</v>
      </c>
      <c r="H6" s="33"/>
      <c r="I6" s="33"/>
      <c r="J6" s="45" t="s">
        <v>26</v>
      </c>
      <c r="K6" s="45" t="s">
        <v>28</v>
      </c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SetMFPrefGeneralRule!$4:$4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IFERROR(__xludf.DUMMYFUNCTION("""COMPUTED_VALUE"""),"AccountName")</f>
        <v>AccountName</v>
      </c>
      <c r="D5" s="29" t="str">
        <f>IFERROR(__xludf.DUMMYFUNCTION("""COMPUTED_VALUE"""),"Percentage")</f>
        <v>Percentage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38" t="s">
        <v>17</v>
      </c>
      <c r="C6" s="45" t="s">
        <v>30</v>
      </c>
      <c r="D6" s="46">
        <v>50.0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0" t="s">
        <v>17</v>
      </c>
      <c r="C7" s="47" t="s">
        <v>31</v>
      </c>
      <c r="D7" s="48">
        <v>50.0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UpdateGRAccountValue!$4:$4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IFERROR(__xludf.DUMMYFUNCTION("""COMPUTED_VALUE"""),"MasterFund")</f>
        <v>MasterFund</v>
      </c>
      <c r="D5" s="29" t="str">
        <f>IFERROR(__xludf.DUMMYFUNCTION("""COMPUTED_VALUE"""),"AllocationMethod")</f>
        <v>AllocationMethod</v>
      </c>
      <c r="E5" s="29" t="str">
        <f>IFERROR(__xludf.DUMMYFUNCTION("""COMPUTED_VALUE"""),"RemainderAllocationTo")</f>
        <v>RemainderAllocationTo</v>
      </c>
      <c r="F5" s="30" t="str">
        <f>IFERROR(__xludf.DUMMYFUNCTION("""COMPUTED_VALUE"""),"Target%AsOf")</f>
        <v>Target%AsOf</v>
      </c>
      <c r="G5" s="29" t="str">
        <f>IFERROR(__xludf.DUMMYFUNCTION("""COMPUTED_VALUE"""),"ProrataAccounts")</f>
        <v>ProrataAccounts</v>
      </c>
      <c r="H5" s="29" t="str">
        <f>IFERROR(__xludf.DUMMYFUNCTION("""COMPUTED_VALUE"""),"DateUptoDays")</f>
        <v>DateUptoDays</v>
      </c>
      <c r="I5" s="29" t="str">
        <f>IFERROR(__xludf.DUMMYFUNCTION("""COMPUTED_VALUE"""),"MatchClosingTransactions")</f>
        <v>MatchClosingTransactions</v>
      </c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38" t="s">
        <v>17</v>
      </c>
      <c r="C6" s="33" t="s">
        <v>20</v>
      </c>
      <c r="D6" s="32" t="s">
        <v>22</v>
      </c>
      <c r="E6" s="33"/>
      <c r="F6" s="42" t="s">
        <v>23</v>
      </c>
      <c r="G6" s="43" t="s">
        <v>32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IFERROR(__xludf.DUMMYFUNCTION("""COMPUTED_VALUE"""),"MasterFund")</f>
        <v>MasterFund</v>
      </c>
      <c r="D5" s="29" t="str">
        <f>IFERROR(__xludf.DUMMYFUNCTION("""COMPUTED_VALUE"""),"Exchange Selector")</f>
        <v>Exchange Selector</v>
      </c>
      <c r="E5" s="29" t="str">
        <f>IFERROR(__xludf.DUMMYFUNCTION("""COMPUTED_VALUE"""),"Exchange List")</f>
        <v>Exchange List</v>
      </c>
      <c r="F5" s="30" t="str">
        <f>IFERROR(__xludf.DUMMYFUNCTION("""COMPUTED_VALUE"""),"Asset Selector")</f>
        <v>Asset Selector</v>
      </c>
      <c r="G5" s="29" t="str">
        <f>IFERROR(__xludf.DUMMYFUNCTION("""COMPUTED_VALUE"""),"Asset List")</f>
        <v>Asset List</v>
      </c>
      <c r="H5" s="29" t="str">
        <f>IFERROR(__xludf.DUMMYFUNCTION("""COMPUTED_VALUE"""),"PR Selector")</f>
        <v>PR Selector</v>
      </c>
      <c r="I5" s="29" t="str">
        <f>IFERROR(__xludf.DUMMYFUNCTION("""COMPUTED_VALUE"""),"PR List")</f>
        <v>PR List</v>
      </c>
      <c r="J5" s="29" t="str">
        <f>IFERROR(__xludf.DUMMYFUNCTION("""COMPUTED_VALUE"""),"Order Side Selector")</f>
        <v>Order Side Selector</v>
      </c>
      <c r="K5" s="29" t="str">
        <f>IFERROR(__xludf.DUMMYFUNCTION("""COMPUTED_VALUE"""),"Order Side List")</f>
        <v>Order Side List</v>
      </c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38" t="s">
        <v>17</v>
      </c>
      <c r="C6" s="44" t="s">
        <v>20</v>
      </c>
      <c r="D6" s="32"/>
      <c r="E6" s="33"/>
      <c r="F6" s="45" t="s">
        <v>26</v>
      </c>
      <c r="G6" s="45" t="s">
        <v>27</v>
      </c>
      <c r="H6" s="33"/>
      <c r="I6" s="33"/>
      <c r="J6" s="45" t="s">
        <v>26</v>
      </c>
      <c r="K6" s="45" t="s">
        <v>28</v>
      </c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SetMFPrefGeneralRule1!$4:$4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IFERROR(__xludf.DUMMYFUNCTION("""COMPUTED_VALUE"""),"AccountName")</f>
        <v>AccountName</v>
      </c>
      <c r="D5" s="29" t="str">
        <f>IFERROR(__xludf.DUMMYFUNCTION("""COMPUTED_VALUE"""),"Percentage")</f>
        <v>Percentage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38" t="s">
        <v>17</v>
      </c>
      <c r="C6" s="45" t="s">
        <v>33</v>
      </c>
      <c r="D6" s="46">
        <v>50.0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0" t="s">
        <v>17</v>
      </c>
      <c r="C7" s="47" t="s">
        <v>34</v>
      </c>
      <c r="D7" s="48">
        <v>50.0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UpdateGRAccountValue1!$4:$4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IFERROR(__xludf.DUMMYFUNCTION("""COMPUTED_VALUE"""),"EditOrder")</f>
        <v>EditOrder</v>
      </c>
      <c r="AO5" s="31" t="str">
        <f>IFERROR(__xludf.DUMMYFUNCTION("""COMPUTED_VALUE"""),"AllowTrade")</f>
        <v>AllowTrade</v>
      </c>
      <c r="AP5" s="31" t="str">
        <f>IFERROR(__xludf.DUMMYFUNCTION("""COMPUTED_VALUE"""),"SharesOutstandingPopUpQty")</f>
        <v>SharesOutstandingPopUpQty</v>
      </c>
      <c r="AQ5" s="31" t="str">
        <f>IFERROR(__xludf.DUMMYFUNCTION("""COMPUTED_VALUE"""),"SharesOutstandingPopUp")</f>
        <v>SharesOutstandingPopUp</v>
      </c>
      <c r="AR5" s="31" t="str">
        <f>IFERROR(__xludf.DUMMYFUNCTION("""COMPUTED_VALUE"""),"ResAllowedListPopUp")</f>
        <v>ResAllowedListPopUp</v>
      </c>
      <c r="AS5" s="31" t="str">
        <f>IFERROR(__xludf.DUMMYFUNCTION("""COMPUTED_VALUE"""),"ChkBoxBookAsSwap")</f>
        <v>ChkBoxBookAsSwap</v>
      </c>
      <c r="AT5" s="31" t="str">
        <f>IFERROR(__xludf.DUMMYFUNCTION("""COMPUTED_VALUE"""),"Interest Rate")</f>
        <v>Interest Rate</v>
      </c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49"/>
      <c r="B6" s="50" t="s">
        <v>37</v>
      </c>
      <c r="C6" s="51" t="s">
        <v>38</v>
      </c>
      <c r="D6" s="52">
        <v>100.0</v>
      </c>
      <c r="E6" s="51"/>
      <c r="F6" s="53" t="s">
        <v>39</v>
      </c>
      <c r="G6" s="51" t="s">
        <v>40</v>
      </c>
      <c r="H6" s="51"/>
      <c r="I6" s="51" t="s">
        <v>41</v>
      </c>
      <c r="J6" s="54">
        <v>10.0</v>
      </c>
      <c r="K6" s="33"/>
      <c r="L6" s="33"/>
      <c r="M6" s="33"/>
      <c r="N6" s="55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56" t="s">
        <v>42</v>
      </c>
      <c r="C7" s="34" t="s">
        <v>38</v>
      </c>
      <c r="D7" s="57">
        <v>100.0</v>
      </c>
      <c r="E7" s="34"/>
      <c r="F7" s="56" t="s">
        <v>39</v>
      </c>
      <c r="G7" s="34" t="s">
        <v>40</v>
      </c>
      <c r="H7" s="34"/>
      <c r="I7" s="34" t="s">
        <v>41</v>
      </c>
      <c r="J7" s="41">
        <v>10.0</v>
      </c>
      <c r="K7" s="34"/>
      <c r="L7" s="34"/>
      <c r="M7" s="34"/>
      <c r="N7" s="58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59" t="s">
        <v>37</v>
      </c>
      <c r="C8" s="34" t="s">
        <v>38</v>
      </c>
      <c r="D8" s="57">
        <v>200.0</v>
      </c>
      <c r="E8" s="34"/>
      <c r="F8" s="56" t="s">
        <v>30</v>
      </c>
      <c r="G8" s="34" t="s">
        <v>40</v>
      </c>
      <c r="H8" s="34"/>
      <c r="I8" s="34" t="s">
        <v>41</v>
      </c>
      <c r="J8" s="41">
        <v>10.0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60" t="s">
        <v>37</v>
      </c>
      <c r="C9" s="61" t="s">
        <v>38</v>
      </c>
      <c r="D9" s="62">
        <v>300.0</v>
      </c>
      <c r="E9" s="61"/>
      <c r="F9" s="63" t="s">
        <v>33</v>
      </c>
      <c r="G9" s="61" t="s">
        <v>40</v>
      </c>
      <c r="H9" s="61"/>
      <c r="I9" s="61" t="s">
        <v>41</v>
      </c>
      <c r="J9" s="64">
        <v>10.0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59" t="s">
        <v>37</v>
      </c>
      <c r="C10" s="34" t="s">
        <v>38</v>
      </c>
      <c r="D10" s="41">
        <v>400.0</v>
      </c>
      <c r="E10" s="34"/>
      <c r="F10" s="59" t="s">
        <v>31</v>
      </c>
      <c r="G10" s="34" t="s">
        <v>40</v>
      </c>
      <c r="H10" s="34"/>
      <c r="I10" s="34" t="s">
        <v>41</v>
      </c>
      <c r="J10" s="41">
        <v>10.0</v>
      </c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59" t="s">
        <v>37</v>
      </c>
      <c r="C11" s="34" t="s">
        <v>38</v>
      </c>
      <c r="D11" s="41">
        <v>500.0</v>
      </c>
      <c r="E11" s="34"/>
      <c r="F11" s="59" t="s">
        <v>34</v>
      </c>
      <c r="G11" s="34" t="s">
        <v>40</v>
      </c>
      <c r="H11" s="34"/>
      <c r="I11" s="34" t="s">
        <v>41</v>
      </c>
      <c r="J11" s="41">
        <v>10.0</v>
      </c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/>
      <c r="C6" s="13" t="s">
        <v>37</v>
      </c>
      <c r="D6" s="13"/>
      <c r="E6" s="65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38</v>
      </c>
      <c r="C6" s="13" t="s">
        <v>37</v>
      </c>
      <c r="D6" s="13"/>
      <c r="E6" s="65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IFERROR(__xludf.DUMMYFUNCTION("""COMPUTED_VALUE"""),"Price")</f>
        <v>Price</v>
      </c>
      <c r="C5" s="29" t="str">
        <f>IFERROR(__xludf.DUMMYFUNCTION("""COMPUTED_VALUE"""),"Shares")</f>
        <v>Shares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>
        <v>10.0</v>
      </c>
      <c r="C6" s="13">
        <v>100.0</v>
      </c>
      <c r="D6" s="13"/>
      <c r="E6" s="6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38</v>
      </c>
      <c r="C6" s="13" t="s">
        <v>42</v>
      </c>
      <c r="D6" s="13"/>
      <c r="E6" s="65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38</v>
      </c>
      <c r="C6" s="13" t="s">
        <v>42</v>
      </c>
      <c r="D6" s="13"/>
      <c r="E6" s="65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IFERROR(__xludf.DUMMYFUNCTION("""COMPUTED_VALUE"""),"Price")</f>
        <v>Price</v>
      </c>
      <c r="C5" s="29" t="str">
        <f>IFERROR(__xludf.DUMMYFUNCTION("""COMPUTED_VALUE"""),"Shares")</f>
        <v>Shares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>
        <v>10.0</v>
      </c>
      <c r="C6" s="13">
        <v>100.0</v>
      </c>
      <c r="D6" s="13"/>
      <c r="E6" s="6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38</v>
      </c>
      <c r="C6" s="13" t="s">
        <v>37</v>
      </c>
      <c r="D6" s="13"/>
      <c r="E6" s="65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38</v>
      </c>
      <c r="C6" s="13" t="s">
        <v>37</v>
      </c>
      <c r="D6" s="13"/>
      <c r="E6" s="65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IFERROR(__xludf.DUMMYFUNCTION("""COMPUTED_VALUE"""),"Price")</f>
        <v>Price</v>
      </c>
      <c r="C5" s="29" t="str">
        <f>IFERROR(__xludf.DUMMYFUNCTION("""COMPUTED_VALUE"""),"Shares")</f>
        <v>Shares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>
        <v>10.0</v>
      </c>
      <c r="C6" s="13">
        <v>200.0</v>
      </c>
      <c r="D6" s="13"/>
      <c r="E6" s="6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38</v>
      </c>
      <c r="C6" s="13" t="s">
        <v>37</v>
      </c>
      <c r="D6" s="13"/>
      <c r="E6" s="65"/>
      <c r="F6" s="8"/>
      <c r="G6" s="13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38</v>
      </c>
      <c r="C6" s="13" t="s">
        <v>37</v>
      </c>
      <c r="D6" s="13"/>
      <c r="E6" s="65"/>
      <c r="F6" s="8"/>
      <c r="G6" s="13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IFERROR(__xludf.DUMMYFUNCTION("""COMPUTED_VALUE"""),"Price")</f>
        <v>Price</v>
      </c>
      <c r="C5" s="29" t="str">
        <f>IFERROR(__xludf.DUMMYFUNCTION("""COMPUTED_VALUE"""),"Shares")</f>
        <v>Shares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>
        <v>10.0</v>
      </c>
      <c r="C6" s="13">
        <v>300.0</v>
      </c>
      <c r="D6" s="13"/>
      <c r="E6" s="6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38</v>
      </c>
      <c r="C6" s="13" t="s">
        <v>37</v>
      </c>
      <c r="D6" s="13"/>
      <c r="E6" s="65"/>
      <c r="F6" s="8"/>
      <c r="G6" s="13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38</v>
      </c>
      <c r="C6" s="13" t="s">
        <v>37</v>
      </c>
      <c r="D6" s="13"/>
      <c r="E6" s="65"/>
      <c r="F6" s="8"/>
      <c r="G6" s="13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IFERROR(__xludf.DUMMYFUNCTION("""COMPUTED_VALUE"""),"Price")</f>
        <v>Price</v>
      </c>
      <c r="C5" s="29" t="str">
        <f>IFERROR(__xludf.DUMMYFUNCTION("""COMPUTED_VALUE"""),"Shares")</f>
        <v>Shares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>
        <v>10.0</v>
      </c>
      <c r="C6" s="13">
        <v>400.0</v>
      </c>
      <c r="D6" s="13"/>
      <c r="E6" s="6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ExecuteTrade4!$4:$4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38</v>
      </c>
      <c r="C6" s="13" t="s">
        <v>37</v>
      </c>
      <c r="D6" s="13"/>
      <c r="E6" s="65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38</v>
      </c>
      <c r="C6" s="13" t="s">
        <v>37</v>
      </c>
      <c r="D6" s="13"/>
      <c r="E6" s="65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IFERROR(__xludf.DUMMYFUNCTION("""COMPUTED_VALUE"""),"Price")</f>
        <v>Price</v>
      </c>
      <c r="C5" s="29" t="str">
        <f>IFERROR(__xludf.DUMMYFUNCTION("""COMPUTED_VALUE"""),"Shares")</f>
        <v>Shares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>
        <v>10.0</v>
      </c>
      <c r="C6" s="13">
        <v>500.0</v>
      </c>
      <c r="D6" s="13"/>
      <c r="E6" s="6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IFERROR(__xludf.DUMMYFUNCTION("""COMPUTED_VALUE"""),"Avg Fill Price (Base)")</f>
        <v>Avg Fill Price (Base)</v>
      </c>
      <c r="C5" s="29" t="str">
        <f>IFERROR(__xludf.DUMMYFUNCTION("""COMPUTED_VALUE"""),"Transaction Time")</f>
        <v>Transaction Time</v>
      </c>
      <c r="D5" s="29" t="str">
        <f>IFERROR(__xludf.DUMMYFUNCTION("""COMPUTED_VALUE"""),"Symbol")</f>
        <v>Symbol</v>
      </c>
      <c r="E5" s="29" t="str">
        <f>IFERROR(__xludf.DUMMYFUNCTION("""COMPUTED_VALUE"""),"Algo")</f>
        <v>Algo</v>
      </c>
      <c r="F5" s="30" t="str">
        <f>IFERROR(__xludf.DUMMYFUNCTION("""COMPUTED_VALUE"""),"Side")</f>
        <v>Side</v>
      </c>
      <c r="G5" s="29" t="str">
        <f>IFERROR(__xludf.DUMMYFUNCTION("""COMPUTED_VALUE"""),"Status")</f>
        <v>Status</v>
      </c>
      <c r="H5" s="29" t="str">
        <f>IFERROR(__xludf.DUMMYFUNCTION("""COMPUTED_VALUE"""),"Target Qty")</f>
        <v>Target Qty</v>
      </c>
      <c r="I5" s="29" t="str">
        <f>IFERROR(__xludf.DUMMYFUNCTION("""COMPUTED_VALUE"""),"Total Executed Qty")</f>
        <v>Total Executed Qty</v>
      </c>
      <c r="J5" s="29" t="str">
        <f>IFERROR(__xludf.DUMMYFUNCTION("""COMPUTED_VALUE"""),"% Executed")</f>
        <v>% Executed</v>
      </c>
      <c r="K5" s="29" t="str">
        <f>IFERROR(__xludf.DUMMYFUNCTION("""COMPUTED_VALUE"""),"Day Executed Qty")</f>
        <v>Day Executed Qty</v>
      </c>
      <c r="L5" s="29" t="str">
        <f>IFERROR(__xludf.DUMMYFUNCTION("""COMPUTED_VALUE"""),"Uncommitted Qty")</f>
        <v>Uncommitted Qty</v>
      </c>
      <c r="M5" s="29" t="str">
        <f>IFERROR(__xludf.DUMMYFUNCTION("""COMPUTED_VALUE"""),"Limit Price")</f>
        <v>Limit Price</v>
      </c>
      <c r="N5" s="29" t="str">
        <f>IFERROR(__xludf.DUMMYFUNCTION("""COMPUTED_VALUE"""),"Last Fill Price (Local)")</f>
        <v>Last Fill Price (Local)</v>
      </c>
      <c r="O5" s="29" t="str">
        <f>IFERROR(__xludf.DUMMYFUNCTION("""COMPUTED_VALUE"""),"Stop Price")</f>
        <v>Stop Price</v>
      </c>
      <c r="P5" s="29" t="str">
        <f>IFERROR(__xludf.DUMMYFUNCTION("""COMPUTED_VALUE"""),"Avg Fill Price (Local)")</f>
        <v>Avg Fill Price (Local)</v>
      </c>
      <c r="Q5" s="29" t="str">
        <f>IFERROR(__xludf.DUMMYFUNCTION("""COMPUTED_VALUE"""),"Broker")</f>
        <v>Broker</v>
      </c>
      <c r="R5" s="29" t="str">
        <f>IFERROR(__xludf.DUMMYFUNCTION("""COMPUTED_VALUE"""),"Account")</f>
        <v>Account</v>
      </c>
      <c r="S5" s="29" t="str">
        <f>IFERROR(__xludf.DUMMYFUNCTION("""COMPUTED_VALUE"""),"OrderID")</f>
        <v>OrderID</v>
      </c>
      <c r="T5" s="31" t="str">
        <f>IFERROR(__xludf.DUMMYFUNCTION("""COMPUTED_VALUE"""),"Order Type")</f>
        <v>Order Type</v>
      </c>
      <c r="U5" s="31" t="str">
        <f>IFERROR(__xludf.DUMMYFUNCTION("""COMPUTED_VALUE"""),"Principal Amount (Local)")</f>
        <v>Principal Amount (Local)</v>
      </c>
      <c r="V5" s="31" t="str">
        <f>IFERROR(__xludf.DUMMYFUNCTION("""COMPUTED_VALUE"""),"Principal Amount (Base)")</f>
        <v>Principal Amount (Base)</v>
      </c>
      <c r="W5" s="31" t="str">
        <f>IFERROR(__xludf.DUMMYFUNCTION("""COMPUTED_VALUE"""),"Peg")</f>
        <v>Peg</v>
      </c>
      <c r="X5" s="31" t="str">
        <f>IFERROR(__xludf.DUMMYFUNCTION("""COMPUTED_VALUE"""),"ParentClOrderID")</f>
        <v>ParentClOrderID</v>
      </c>
      <c r="Y5" s="31" t="str">
        <f>IFERROR(__xludf.DUMMYFUNCTION("""COMPUTED_VALUE"""),"Strike Price")</f>
        <v>Strike Price</v>
      </c>
      <c r="Z5" s="31" t="str">
        <f>IFERROR(__xludf.DUMMYFUNCTION("""COMPUTED_VALUE"""),"Last Shares")</f>
        <v>Last Shares</v>
      </c>
      <c r="AA5" s="31" t="str">
        <f>IFERROR(__xludf.DUMMYFUNCTION("""COMPUTED_VALUE"""),"Working Qty")</f>
        <v>Working Qty</v>
      </c>
      <c r="AB5" s="31" t="str">
        <f>IFERROR(__xludf.DUMMYFUNCTION("""COMPUTED_VALUE"""),"Bloomberg Symbol")</f>
        <v>Bloomberg Symbol</v>
      </c>
      <c r="AC5" s="31" t="str">
        <f>IFERROR(__xludf.DUMMYFUNCTION("""COMPUTED_VALUE"""),"Imported File Name")</f>
        <v>Imported File Name</v>
      </c>
      <c r="AD5" s="31" t="str">
        <f>IFERROR(__xludf.DUMMYFUNCTION("""COMPUTED_VALUE"""),"Master Fund")</f>
        <v>Master Fund</v>
      </c>
      <c r="AE5" s="31" t="str">
        <f>IFERROR(__xludf.DUMMYFUNCTION("""COMPUTED_VALUE"""),"Day Average Price")</f>
        <v>Day Average Price</v>
      </c>
      <c r="AF5" s="31" t="str">
        <f>IFERROR(__xludf.DUMMYFUNCTION("""COMPUTED_VALUE"""),"Asset Class")</f>
        <v>Asset Class</v>
      </c>
      <c r="AG5" s="31" t="str">
        <f>IFERROR(__xludf.DUMMYFUNCTION("""COMPUTED_VALUE"""),"Underlying Country")</f>
        <v>Underlying Country</v>
      </c>
      <c r="AH5" s="31" t="str">
        <f>IFERROR(__xludf.DUMMYFUNCTION("""COMPUTED_VALUE"""),"Trader")</f>
        <v>Trader</v>
      </c>
      <c r="AI5" s="31" t="str">
        <f>IFERROR(__xludf.DUMMYFUNCTION("""COMPUTED_VALUE"""),"User")</f>
        <v>User</v>
      </c>
      <c r="AJ5" s="31" t="str">
        <f>IFERROR(__xludf.DUMMYFUNCTION("""COMPUTED_VALUE"""),"Venue")</f>
        <v>Venue</v>
      </c>
      <c r="AK5" s="31" t="str">
        <f>IFERROR(__xludf.DUMMYFUNCTION("""COMPUTED_VALUE"""),"Settlement Currency")</f>
        <v>Settlement Currency</v>
      </c>
      <c r="AL5" s="31" t="str">
        <f>IFERROR(__xludf.DUMMYFUNCTION("""COMPUTED_VALUE"""),"FX Conversion Operator")</f>
        <v>FX Conversion Operator</v>
      </c>
      <c r="AM5" s="31" t="str">
        <f>IFERROR(__xludf.DUMMYFUNCTION("""COMPUTED_VALUE"""),"Process Date")</f>
        <v>Process Date</v>
      </c>
      <c r="AN5" s="31" t="str">
        <f>IFERROR(__xludf.DUMMYFUNCTION("""COMPUTED_VALUE"""),"Underlying Symbol")</f>
        <v>Underlying Symbol</v>
      </c>
      <c r="AO5" s="31" t="str">
        <f>IFERROR(__xludf.DUMMYFUNCTION("""COMPUTED_VALUE"""),"Put/Call")</f>
        <v>Put/Call</v>
      </c>
      <c r="AP5" s="31" t="str">
        <f>IFERROR(__xludf.DUMMYFUNCTION("""COMPUTED_VALUE"""),"FX Rate")</f>
        <v>FX Rate</v>
      </c>
      <c r="AQ5" s="31" t="str">
        <f>IFERROR(__xludf.DUMMYFUNCTION("""COMPUTED_VALUE"""),"Trade Attribute 1")</f>
        <v>Trade Attribute 1</v>
      </c>
      <c r="AR5" s="31" t="str">
        <f>IFERROR(__xludf.DUMMYFUNCTION("""COMPUTED_VALUE"""),"Trade Attribute 2")</f>
        <v>Trade Attribute 2</v>
      </c>
      <c r="AS5" s="31" t="str">
        <f>IFERROR(__xludf.DUMMYFUNCTION("""COMPUTED_VALUE"""),"Trade Attribute 3")</f>
        <v>Trade Attribute 3</v>
      </c>
      <c r="AT5" s="31" t="str">
        <f>IFERROR(__xludf.DUMMYFUNCTION("""COMPUTED_VALUE"""),"Trade Attribute 4")</f>
        <v>Trade Attribute 4</v>
      </c>
      <c r="AU5" s="31" t="str">
        <f>IFERROR(__xludf.DUMMYFUNCTION("""COMPUTED_VALUE"""),"Trade Attribute 5")</f>
        <v>Trade Attribute 5</v>
      </c>
      <c r="AV5" s="31" t="str">
        <f>IFERROR(__xludf.DUMMYFUNCTION("""COMPUTED_VALUE"""),"Trade Attribute 6")</f>
        <v>Trade Attribute 6</v>
      </c>
      <c r="AW5" s="31" t="str">
        <f>IFERROR(__xludf.DUMMYFUNCTION("""COMPUTED_VALUE"""),"Internal Comments")</f>
        <v>Internal Comments</v>
      </c>
      <c r="AX5" s="31" t="str">
        <f>IFERROR(__xludf.DUMMYFUNCTION("""COMPUTED_VALUE"""),"Allocation Scheme Name")</f>
        <v>Allocation Scheme Name</v>
      </c>
      <c r="AY5" s="31" t="str">
        <f>IFERROR(__xludf.DUMMYFUNCTION("""COMPUTED_VALUE"""),"Start of Day Qty")</f>
        <v>Start of Day Qty</v>
      </c>
      <c r="AZ5" s="31" t="str">
        <f>IFERROR(__xludf.DUMMYFUNCTION("""COMPUTED_VALUE"""),"Leaves")</f>
        <v>Leaves</v>
      </c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9">
        <v>10.0</v>
      </c>
      <c r="C6" s="33"/>
      <c r="D6" s="32" t="s">
        <v>37</v>
      </c>
      <c r="E6" s="33"/>
      <c r="F6" s="33" t="s">
        <v>38</v>
      </c>
      <c r="G6" s="33" t="s">
        <v>49</v>
      </c>
      <c r="H6" s="66">
        <v>100.0</v>
      </c>
      <c r="I6" s="67">
        <v>100.0</v>
      </c>
      <c r="J6" s="68"/>
      <c r="K6" s="68"/>
      <c r="L6" s="33"/>
      <c r="M6" s="33"/>
      <c r="N6" s="68"/>
      <c r="O6" s="33"/>
      <c r="P6" s="69">
        <v>10.0</v>
      </c>
      <c r="Q6" s="68" t="s">
        <v>40</v>
      </c>
      <c r="R6" s="68"/>
      <c r="S6" s="33"/>
      <c r="T6" s="34"/>
      <c r="U6" s="70">
        <v>1000.0</v>
      </c>
      <c r="V6" s="70">
        <v>1000.0</v>
      </c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IFERROR(__xludf.DUMMYFUNCTION("""COMPUTED_VALUE"""),"Account")</f>
        <v>Account</v>
      </c>
      <c r="D5" s="29" t="str">
        <f>IFERROR(__xludf.DUMMYFUNCTION("""COMPUTED_VALUE"""),"Target Allocation Percentage")</f>
        <v>Target Allocation Percentage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72" t="s">
        <v>17</v>
      </c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IFERROR(__xludf.DUMMYFUNCTION("""COMPUTED_VALUE"""),"Avg Fill Price (Base)")</f>
        <v>Avg Fill Price (Base)</v>
      </c>
      <c r="C5" s="29" t="str">
        <f>IFERROR(__xludf.DUMMYFUNCTION("""COMPUTED_VALUE"""),"Transaction Time")</f>
        <v>Transaction Time</v>
      </c>
      <c r="D5" s="29" t="str">
        <f>IFERROR(__xludf.DUMMYFUNCTION("""COMPUTED_VALUE"""),"Symbol")</f>
        <v>Symbol</v>
      </c>
      <c r="E5" s="29" t="str">
        <f>IFERROR(__xludf.DUMMYFUNCTION("""COMPUTED_VALUE"""),"Algo")</f>
        <v>Algo</v>
      </c>
      <c r="F5" s="30" t="str">
        <f>IFERROR(__xludf.DUMMYFUNCTION("""COMPUTED_VALUE"""),"Side")</f>
        <v>Side</v>
      </c>
      <c r="G5" s="29" t="str">
        <f>IFERROR(__xludf.DUMMYFUNCTION("""COMPUTED_VALUE"""),"Status")</f>
        <v>Status</v>
      </c>
      <c r="H5" s="29" t="str">
        <f>IFERROR(__xludf.DUMMYFUNCTION("""COMPUTED_VALUE"""),"Target Qty")</f>
        <v>Target Qty</v>
      </c>
      <c r="I5" s="29" t="str">
        <f>IFERROR(__xludf.DUMMYFUNCTION("""COMPUTED_VALUE"""),"Total Executed Qty")</f>
        <v>Total Executed Qty</v>
      </c>
      <c r="J5" s="29" t="str">
        <f>IFERROR(__xludf.DUMMYFUNCTION("""COMPUTED_VALUE"""),"% Executed")</f>
        <v>% Executed</v>
      </c>
      <c r="K5" s="29" t="str">
        <f>IFERROR(__xludf.DUMMYFUNCTION("""COMPUTED_VALUE"""),"Day Executed Qty")</f>
        <v>Day Executed Qty</v>
      </c>
      <c r="L5" s="29" t="str">
        <f>IFERROR(__xludf.DUMMYFUNCTION("""COMPUTED_VALUE"""),"Uncommitted Qty")</f>
        <v>Uncommitted Qty</v>
      </c>
      <c r="M5" s="29" t="str">
        <f>IFERROR(__xludf.DUMMYFUNCTION("""COMPUTED_VALUE"""),"Limit Price")</f>
        <v>Limit Price</v>
      </c>
      <c r="N5" s="29" t="str">
        <f>IFERROR(__xludf.DUMMYFUNCTION("""COMPUTED_VALUE"""),"Last Fill Price (Local)")</f>
        <v>Last Fill Price (Local)</v>
      </c>
      <c r="O5" s="29" t="str">
        <f>IFERROR(__xludf.DUMMYFUNCTION("""COMPUTED_VALUE"""),"Stop Price")</f>
        <v>Stop Price</v>
      </c>
      <c r="P5" s="29" t="str">
        <f>IFERROR(__xludf.DUMMYFUNCTION("""COMPUTED_VALUE"""),"Avg Fill Price (Local)")</f>
        <v>Avg Fill Price (Local)</v>
      </c>
      <c r="Q5" s="29" t="str">
        <f>IFERROR(__xludf.DUMMYFUNCTION("""COMPUTED_VALUE"""),"Broker")</f>
        <v>Broker</v>
      </c>
      <c r="R5" s="29" t="str">
        <f>IFERROR(__xludf.DUMMYFUNCTION("""COMPUTED_VALUE"""),"Account")</f>
        <v>Account</v>
      </c>
      <c r="S5" s="29" t="str">
        <f>IFERROR(__xludf.DUMMYFUNCTION("""COMPUTED_VALUE"""),"OrderID")</f>
        <v>OrderID</v>
      </c>
      <c r="T5" s="31" t="str">
        <f>IFERROR(__xludf.DUMMYFUNCTION("""COMPUTED_VALUE"""),"Order Type")</f>
        <v>Order Type</v>
      </c>
      <c r="U5" s="31" t="str">
        <f>IFERROR(__xludf.DUMMYFUNCTION("""COMPUTED_VALUE"""),"Principal Amount (Local)")</f>
        <v>Principal Amount (Local)</v>
      </c>
      <c r="V5" s="31" t="str">
        <f>IFERROR(__xludf.DUMMYFUNCTION("""COMPUTED_VALUE"""),"Principal Amount (Base)")</f>
        <v>Principal Amount (Base)</v>
      </c>
      <c r="W5" s="31" t="str">
        <f>IFERROR(__xludf.DUMMYFUNCTION("""COMPUTED_VALUE"""),"Peg")</f>
        <v>Peg</v>
      </c>
      <c r="X5" s="31" t="str">
        <f>IFERROR(__xludf.DUMMYFUNCTION("""COMPUTED_VALUE"""),"ParentClOrderID")</f>
        <v>ParentClOrderID</v>
      </c>
      <c r="Y5" s="31" t="str">
        <f>IFERROR(__xludf.DUMMYFUNCTION("""COMPUTED_VALUE"""),"Strike Price")</f>
        <v>Strike Price</v>
      </c>
      <c r="Z5" s="31" t="str">
        <f>IFERROR(__xludf.DUMMYFUNCTION("""COMPUTED_VALUE"""),"Last Shares")</f>
        <v>Last Shares</v>
      </c>
      <c r="AA5" s="31" t="str">
        <f>IFERROR(__xludf.DUMMYFUNCTION("""COMPUTED_VALUE"""),"Working Qty")</f>
        <v>Working Qty</v>
      </c>
      <c r="AB5" s="31" t="str">
        <f>IFERROR(__xludf.DUMMYFUNCTION("""COMPUTED_VALUE"""),"Bloomberg Symbol")</f>
        <v>Bloomberg Symbol</v>
      </c>
      <c r="AC5" s="31" t="str">
        <f>IFERROR(__xludf.DUMMYFUNCTION("""COMPUTED_VALUE"""),"Imported File Name")</f>
        <v>Imported File Name</v>
      </c>
      <c r="AD5" s="31" t="str">
        <f>IFERROR(__xludf.DUMMYFUNCTION("""COMPUTED_VALUE"""),"Master Fund")</f>
        <v>Master Fund</v>
      </c>
      <c r="AE5" s="31" t="str">
        <f>IFERROR(__xludf.DUMMYFUNCTION("""COMPUTED_VALUE"""),"Day Average Price")</f>
        <v>Day Average Price</v>
      </c>
      <c r="AF5" s="31" t="str">
        <f>IFERROR(__xludf.DUMMYFUNCTION("""COMPUTED_VALUE"""),"Asset Class")</f>
        <v>Asset Class</v>
      </c>
      <c r="AG5" s="31" t="str">
        <f>IFERROR(__xludf.DUMMYFUNCTION("""COMPUTED_VALUE"""),"Underlying Country")</f>
        <v>Underlying Country</v>
      </c>
      <c r="AH5" s="31" t="str">
        <f>IFERROR(__xludf.DUMMYFUNCTION("""COMPUTED_VALUE"""),"Trader")</f>
        <v>Trader</v>
      </c>
      <c r="AI5" s="31" t="str">
        <f>IFERROR(__xludf.DUMMYFUNCTION("""COMPUTED_VALUE"""),"User")</f>
        <v>User</v>
      </c>
      <c r="AJ5" s="31" t="str">
        <f>IFERROR(__xludf.DUMMYFUNCTION("""COMPUTED_VALUE"""),"Venue")</f>
        <v>Venue</v>
      </c>
      <c r="AK5" s="31" t="str">
        <f>IFERROR(__xludf.DUMMYFUNCTION("""COMPUTED_VALUE"""),"Settlement Currency")</f>
        <v>Settlement Currency</v>
      </c>
      <c r="AL5" s="31" t="str">
        <f>IFERROR(__xludf.DUMMYFUNCTION("""COMPUTED_VALUE"""),"FX Conversion Operator")</f>
        <v>FX Conversion Operator</v>
      </c>
      <c r="AM5" s="31" t="str">
        <f>IFERROR(__xludf.DUMMYFUNCTION("""COMPUTED_VALUE"""),"Process Date")</f>
        <v>Process Date</v>
      </c>
      <c r="AN5" s="31" t="str">
        <f>IFERROR(__xludf.DUMMYFUNCTION("""COMPUTED_VALUE"""),"Underlying Symbol")</f>
        <v>Underlying Symbol</v>
      </c>
      <c r="AO5" s="31" t="str">
        <f>IFERROR(__xludf.DUMMYFUNCTION("""COMPUTED_VALUE"""),"Put/Call")</f>
        <v>Put/Call</v>
      </c>
      <c r="AP5" s="31" t="str">
        <f>IFERROR(__xludf.DUMMYFUNCTION("""COMPUTED_VALUE"""),"FX Rate")</f>
        <v>FX Rate</v>
      </c>
      <c r="AQ5" s="31" t="str">
        <f>IFERROR(__xludf.DUMMYFUNCTION("""COMPUTED_VALUE"""),"Trade Attribute 1")</f>
        <v>Trade Attribute 1</v>
      </c>
      <c r="AR5" s="31" t="str">
        <f>IFERROR(__xludf.DUMMYFUNCTION("""COMPUTED_VALUE"""),"Trade Attribute 2")</f>
        <v>Trade Attribute 2</v>
      </c>
      <c r="AS5" s="31" t="str">
        <f>IFERROR(__xludf.DUMMYFUNCTION("""COMPUTED_VALUE"""),"Trade Attribute 3")</f>
        <v>Trade Attribute 3</v>
      </c>
      <c r="AT5" s="31" t="str">
        <f>IFERROR(__xludf.DUMMYFUNCTION("""COMPUTED_VALUE"""),"Trade Attribute 4")</f>
        <v>Trade Attribute 4</v>
      </c>
      <c r="AU5" s="31" t="str">
        <f>IFERROR(__xludf.DUMMYFUNCTION("""COMPUTED_VALUE"""),"Trade Attribute 5")</f>
        <v>Trade Attribute 5</v>
      </c>
      <c r="AV5" s="31" t="str">
        <f>IFERROR(__xludf.DUMMYFUNCTION("""COMPUTED_VALUE"""),"Trade Attribute 6")</f>
        <v>Trade Attribute 6</v>
      </c>
      <c r="AW5" s="31" t="str">
        <f>IFERROR(__xludf.DUMMYFUNCTION("""COMPUTED_VALUE"""),"Internal Comments")</f>
        <v>Internal Comments</v>
      </c>
      <c r="AX5" s="31" t="str">
        <f>IFERROR(__xludf.DUMMYFUNCTION("""COMPUTED_VALUE"""),"Allocation Scheme Name")</f>
        <v>Allocation Scheme Name</v>
      </c>
      <c r="AY5" s="31" t="str">
        <f>IFERROR(__xludf.DUMMYFUNCTION("""COMPUTED_VALUE"""),"Start of Day Qty")</f>
        <v>Start of Day Qty</v>
      </c>
      <c r="AZ5" s="31" t="str">
        <f>IFERROR(__xludf.DUMMYFUNCTION("""COMPUTED_VALUE"""),"Leaves")</f>
        <v>Leaves</v>
      </c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9">
        <v>10.0</v>
      </c>
      <c r="C6" s="33"/>
      <c r="D6" s="32" t="s">
        <v>42</v>
      </c>
      <c r="E6" s="33"/>
      <c r="F6" s="33" t="s">
        <v>38</v>
      </c>
      <c r="G6" s="33" t="s">
        <v>49</v>
      </c>
      <c r="H6" s="66">
        <v>100.0</v>
      </c>
      <c r="I6" s="67">
        <v>100.0</v>
      </c>
      <c r="J6" s="68"/>
      <c r="K6" s="68"/>
      <c r="L6" s="33"/>
      <c r="M6" s="33"/>
      <c r="N6" s="68"/>
      <c r="O6" s="33"/>
      <c r="P6" s="69">
        <v>10.0</v>
      </c>
      <c r="Q6" s="68" t="s">
        <v>40</v>
      </c>
      <c r="R6" s="68"/>
      <c r="S6" s="33"/>
      <c r="T6" s="34"/>
      <c r="U6" s="70">
        <v>1000.0</v>
      </c>
      <c r="V6" s="70">
        <v>1000.0</v>
      </c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IFERROR(__xludf.DUMMYFUNCTION("""COMPUTED_VALUE"""),"Account")</f>
        <v>Account</v>
      </c>
      <c r="D5" s="29" t="str">
        <f>IFERROR(__xludf.DUMMYFUNCTION("""COMPUTED_VALUE"""),"Target Allocation Percentage")</f>
        <v>Target Allocation Percentage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2"/>
      <c r="C6" s="33" t="s">
        <v>31</v>
      </c>
      <c r="D6" s="39">
        <v>100.0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AllocateFromBlotter1!$4:$4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IFERROR(__xludf.DUMMYFUNCTION("""COMPUTED_VALUE"""),"RangeType")</f>
        <v>RangeType</v>
      </c>
      <c r="C5" s="29" t="str">
        <f>IFERROR(__xludf.DUMMYFUNCTION("""COMPUTED_VALUE"""),"From")</f>
        <v>From</v>
      </c>
      <c r="D5" s="29" t="str">
        <f>IFERROR(__xludf.DUMMYFUNCTION("""COMPUTED_VALUE"""),"To")</f>
        <v>To</v>
      </c>
      <c r="E5" s="29" t="str">
        <f>IFERROR(__xludf.DUMMYFUNCTION("""COMPUTED_VALUE"""),"FilterTabName")</f>
        <v>FilterTabName</v>
      </c>
      <c r="F5" s="30" t="str">
        <f>IFERROR(__xludf.DUMMYFUNCTION("""COMPUTED_VALUE"""),"Symbol")</f>
        <v>Symbol</v>
      </c>
      <c r="G5" s="29" t="str">
        <f>IFERROR(__xludf.DUMMYFUNCTION("""COMPUTED_VALUE"""),"Asset")</f>
        <v>Asset</v>
      </c>
      <c r="H5" s="29" t="str">
        <f>IFERROR(__xludf.DUMMYFUNCTION("""COMPUTED_VALUE"""),"Side")</f>
        <v>Side</v>
      </c>
      <c r="I5" s="29" t="str">
        <f>IFERROR(__xludf.DUMMYFUNCTION("""COMPUTED_VALUE"""),"Account")</f>
        <v>Account</v>
      </c>
      <c r="J5" s="29" t="str">
        <f>IFERROR(__xludf.DUMMYFUNCTION("""COMPUTED_VALUE"""),"Broker")</f>
        <v>Broker</v>
      </c>
      <c r="K5" s="29" t="str">
        <f>IFERROR(__xludf.DUMMYFUNCTION("""COMPUTED_VALUE"""),"Currency")</f>
        <v>Currency</v>
      </c>
      <c r="L5" s="29" t="str">
        <f>IFERROR(__xludf.DUMMYFUNCTION("""COMPUTED_VALUE"""),"Exchange")</f>
        <v>Exchange</v>
      </c>
      <c r="M5" s="29" t="str">
        <f>IFERROR(__xludf.DUMMYFUNCTION("""COMPUTED_VALUE"""),"StrategyName")</f>
        <v>StrategyName</v>
      </c>
      <c r="N5" s="29" t="str">
        <f>IFERROR(__xludf.DUMMYFUNCTION("""COMPUTED_VALUE"""),"Underlying")</f>
        <v>Underlying</v>
      </c>
      <c r="O5" s="29" t="str">
        <f>IFERROR(__xludf.DUMMYFUNCTION("""COMPUTED_VALUE"""),"Venue")</f>
        <v>Venue</v>
      </c>
      <c r="P5" s="29" t="str">
        <f>IFERROR(__xludf.DUMMYFUNCTION("""COMPUTED_VALUE"""),"TradingAccount")</f>
        <v>TradingAccount</v>
      </c>
      <c r="Q5" s="29" t="str">
        <f>IFERROR(__xludf.DUMMYFUNCTION("""COMPUTED_VALUE"""),"PreAllocated")</f>
        <v>PreAllocated</v>
      </c>
      <c r="R5" s="29" t="str">
        <f>IFERROR(__xludf.DUMMYFUNCTION("""COMPUTED_VALUE"""),"ManualGroup")</f>
        <v>ManualGroup</v>
      </c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52</v>
      </c>
      <c r="C6" s="8"/>
      <c r="D6" s="13"/>
      <c r="E6" s="6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 Name")</f>
        <v>Account Name</v>
      </c>
      <c r="C5" s="29" t="str">
        <f>IFERROR(__xludf.DUMMYFUNCTION("""COMPUTED_VALUE"""),"Accrual Basis")</f>
        <v>Accrual Basis</v>
      </c>
      <c r="D5" s="29" t="str">
        <f>IFERROR(__xludf.DUMMYFUNCTION("""COMPUTED_VALUE"""),"Accrued Interest")</f>
        <v>Accrued Interest</v>
      </c>
      <c r="E5" s="29" t="str">
        <f>IFERROR(__xludf.DUMMYFUNCTION("""COMPUTED_VALUE"""),"Allocated Qty")</f>
        <v>Allocated Qty</v>
      </c>
      <c r="F5" s="30" t="str">
        <f>IFERROR(__xludf.DUMMYFUNCTION("""COMPUTED_VALUE"""),"Allocation Scheme Name")</f>
        <v>Allocation Scheme Name</v>
      </c>
      <c r="G5" s="29" t="str">
        <f>IFERROR(__xludf.DUMMYFUNCTION("""COMPUTED_VALUE"""),"Asset Category")</f>
        <v>Asset Category</v>
      </c>
      <c r="H5" s="29" t="str">
        <f>IFERROR(__xludf.DUMMYFUNCTION("""COMPUTED_VALUE"""),"AUEC Fee1")</f>
        <v>AUEC Fee1</v>
      </c>
      <c r="I5" s="29" t="str">
        <f>IFERROR(__xludf.DUMMYFUNCTION("""COMPUTED_VALUE"""),"AUEC Fee2")</f>
        <v>AUEC Fee2</v>
      </c>
      <c r="J5" s="29" t="str">
        <f>IFERROR(__xludf.DUMMYFUNCTION("""COMPUTED_VALUE"""),"AUECID")</f>
        <v>AUECID</v>
      </c>
      <c r="K5" s="29" t="str">
        <f>IFERROR(__xludf.DUMMYFUNCTION("""COMPUTED_VALUE"""),"Avg Price(Base)")</f>
        <v>Avg Price(Base)</v>
      </c>
      <c r="L5" s="29" t="str">
        <f>IFERROR(__xludf.DUMMYFUNCTION("""COMPUTED_VALUE"""),"Avg Price(Local)")</f>
        <v>Avg Price(Local)</v>
      </c>
      <c r="M5" s="29" t="str">
        <f>IFERROR(__xludf.DUMMYFUNCTION("""COMPUTED_VALUE"""),"Bloomberg")</f>
        <v>Bloomberg</v>
      </c>
      <c r="N5" s="29" t="str">
        <f>IFERROR(__xludf.DUMMYFUNCTION("""COMPUTED_VALUE"""),"Bond Type")</f>
        <v>Bond Type</v>
      </c>
      <c r="O5" s="29" t="str">
        <f>IFERROR(__xludf.DUMMYFUNCTION("""COMPUTED_VALUE"""),"Broker")</f>
        <v>Broker</v>
      </c>
      <c r="P5" s="29" t="str">
        <f>IFERROR(__xludf.DUMMYFUNCTION("""COMPUTED_VALUE"""),"Change Comment")</f>
        <v>Change Comment</v>
      </c>
      <c r="Q5" s="29" t="str">
        <f>IFERROR(__xludf.DUMMYFUNCTION("""COMPUTED_VALUE"""),"Change Type")</f>
        <v>Change Type</v>
      </c>
      <c r="R5" s="29" t="str">
        <f>IFERROR(__xludf.DUMMYFUNCTION("""COMPUTED_VALUE"""),"Clearing Broker Fee")</f>
        <v>Clearing Broker Fee</v>
      </c>
      <c r="S5" s="29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IFERROR(__xludf.DUMMYFUNCTION("""COMPUTED_VALUE"""),"Exceution Time")</f>
        <v>Exceution Time</v>
      </c>
      <c r="AG5" s="31" t="str">
        <f>IFERROR(__xludf.DUMMYFUNCTION("""COMPUTED_VALUE"""),"Expiration Date")</f>
        <v>Expiration Date</v>
      </c>
      <c r="AH5" s="31" t="str">
        <f>IFERROR(__xludf.DUMMYFUNCTION("""COMPUTED_VALUE"""),"FX Conversion Operator")</f>
        <v>FX Conversion Operator</v>
      </c>
      <c r="AI5" s="31" t="str">
        <f>IFERROR(__xludf.DUMMYFUNCTION("""COMPUTED_VALUE"""),"FX Rate")</f>
        <v>FX Rate</v>
      </c>
      <c r="AJ5" s="31" t="str">
        <f>IFERROR(__xludf.DUMMYFUNCTION("""COMPUTED_VALUE"""),"Group Status")</f>
        <v>Group Status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IFERROR(__xludf.DUMMYFUNCTION("""COMPUTED_VALUE"""),"Strategy Name")</f>
        <v>Strategy Name</v>
      </c>
      <c r="BT5" s="31" t="str">
        <f>IFERROR(__xludf.DUMMYFUNCTION("""COMPUTED_VALUE"""),"Symbol")</f>
        <v>Symbol</v>
      </c>
      <c r="BU5" s="31" t="str">
        <f>IFERROR(__xludf.DUMMYFUNCTION("""COMPUTED_VALUE"""),"Tax On Commissions")</f>
        <v>Tax On Commissions</v>
      </c>
      <c r="BV5" s="31" t="str">
        <f>IFERROR(__xludf.DUMMYFUNCTION("""COMPUTED_VALUE"""),"Total Commission")</f>
        <v>Total Commission</v>
      </c>
      <c r="BW5" s="31" t="str">
        <f>IFERROR(__xludf.DUMMYFUNCTION("""COMPUTED_VALUE"""),"Total Commission And Fee")</f>
        <v>Total Commission And Fee</v>
      </c>
      <c r="BX5" s="31" t="str">
        <f>IFERROR(__xludf.DUMMYFUNCTION("""COMPUTED_VALUE"""),"Total Commission Per Share")</f>
        <v>Total Commission Per Share</v>
      </c>
      <c r="BY5" s="31" t="str">
        <f>IFERROR(__xludf.DUMMYFUNCTION("""COMPUTED_VALUE"""),"Trade Attribute 1")</f>
        <v>Trade Attribute 1</v>
      </c>
      <c r="BZ5" s="31" t="str">
        <f>IFERROR(__xludf.DUMMYFUNCTION("""COMPUTED_VALUE"""),"Trade Attribute 2")</f>
        <v>Trade Attribute 2</v>
      </c>
      <c r="CA5" s="31" t="str">
        <f>IFERROR(__xludf.DUMMYFUNCTION("""COMPUTED_VALUE"""),"Trade Attribute 3")</f>
        <v>Trade Attribute 3</v>
      </c>
      <c r="CB5" s="31" t="str">
        <f>IFERROR(__xludf.DUMMYFUNCTION("""COMPUTED_VALUE"""),"Trade Attribute 4")</f>
        <v>Trade Attribute 4</v>
      </c>
      <c r="CC5" s="31" t="str">
        <f>IFERROR(__xludf.DUMMYFUNCTION("""COMPUTED_VALUE"""),"Trade Attribute 5")</f>
        <v>Trade Attribute 5</v>
      </c>
      <c r="CD5" s="31" t="str">
        <f>IFERROR(__xludf.DUMMYFUNCTION("""COMPUTED_VALUE"""),"Trade Attribute 6")</f>
        <v>Trade Attribute 6</v>
      </c>
      <c r="CE5" s="31" t="str">
        <f>IFERROR(__xludf.DUMMYFUNCTION("""COMPUTED_VALUE"""),"Trade Date")</f>
        <v>Trade Date</v>
      </c>
      <c r="CF5" s="31" t="str">
        <f>IFERROR(__xludf.DUMMYFUNCTION("""COMPUTED_VALUE"""),"Trading Account")</f>
        <v>Trading Account</v>
      </c>
      <c r="CG5" s="31" t="str">
        <f>IFERROR(__xludf.DUMMYFUNCTION("""COMPUTED_VALUE"""),"Transaction Levy")</f>
        <v>Transaction Levy</v>
      </c>
      <c r="CH5" s="31" t="str">
        <f>IFERROR(__xludf.DUMMYFUNCTION("""COMPUTED_VALUE"""),"Transaction Source")</f>
        <v>Transaction Source</v>
      </c>
      <c r="CI5" s="31" t="str">
        <f>IFERROR(__xludf.DUMMYFUNCTION("""COMPUTED_VALUE"""),"Transaction Type")</f>
        <v>Transaction Type</v>
      </c>
      <c r="CJ5" s="31" t="str">
        <f>IFERROR(__xludf.DUMMYFUNCTION("""COMPUTED_VALUE"""),"UnAllocatedQty")</f>
        <v>UnAllocatedQty</v>
      </c>
      <c r="CK5" s="31" t="str">
        <f>IFERROR(__xludf.DUMMYFUNCTION("""COMPUTED_VALUE"""),"Underlying")</f>
        <v>Underlying</v>
      </c>
      <c r="CL5" s="31" t="str">
        <f>IFERROR(__xludf.DUMMYFUNCTION("""COMPUTED_VALUE"""),"Underlying Delta")</f>
        <v>Underlying Delta</v>
      </c>
      <c r="CM5" s="31" t="str">
        <f>IFERROR(__xludf.DUMMYFUNCTION("""COMPUTED_VALUE"""),"Underlying Symbol")</f>
        <v>Underlying Symbol</v>
      </c>
      <c r="CN5" s="31" t="str">
        <f>IFERROR(__xludf.DUMMYFUNCTION("""COMPUTED_VALUE"""),"User")</f>
        <v>User</v>
      </c>
      <c r="CO5" s="31" t="str">
        <f>IFERROR(__xludf.DUMMYFUNCTION("""COMPUTED_VALUE"""),"Venue")</f>
        <v>Venue</v>
      </c>
      <c r="CP5" s="31" t="str">
        <f>IFERROR(__xludf.DUMMYFUNCTION("""COMPUTED_VALUE"""),"Closing Method")</f>
        <v>Closing Method</v>
      </c>
      <c r="CQ5" s="31" t="str">
        <f>IFERROR(__xludf.DUMMYFUNCTION("""COMPUTED_VALUE"""),"Closing Date")</f>
        <v>Closing Date</v>
      </c>
      <c r="CR5" s="31" t="str">
        <f>IFERROR(__xludf.DUMMYFUNCTION("""COMPUTED_VALUE"""),"GroupID")</f>
        <v>GroupID</v>
      </c>
      <c r="CS5" s="31" t="str">
        <f>IFERROR(__xludf.DUMMYFUNCTION("""COMPUTED_VALUE"""),"Client")</f>
        <v>Client</v>
      </c>
      <c r="CT5" s="31" t="str">
        <f>IFERROR(__xludf.DUMMYFUNCTION("""COMPUTED_VALUE"""),"Borrow Broker")</f>
        <v>Borrow Broker</v>
      </c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73" t="s">
        <v>30</v>
      </c>
      <c r="C6" s="33"/>
      <c r="D6" s="32"/>
      <c r="E6" s="74">
        <v>200.0</v>
      </c>
      <c r="F6" s="75" t="s">
        <v>54</v>
      </c>
      <c r="G6" s="33" t="s">
        <v>27</v>
      </c>
      <c r="H6" s="76">
        <v>4.0</v>
      </c>
      <c r="I6" s="76">
        <v>5.0</v>
      </c>
      <c r="J6" s="76">
        <v>1.0</v>
      </c>
      <c r="K6" s="76">
        <v>10.0</v>
      </c>
      <c r="L6" s="76">
        <v>10.0</v>
      </c>
      <c r="M6" s="75" t="s">
        <v>55</v>
      </c>
      <c r="N6" s="33"/>
      <c r="O6" s="33" t="s">
        <v>40</v>
      </c>
      <c r="P6" s="33"/>
      <c r="Q6" s="76">
        <v>3.0</v>
      </c>
      <c r="R6" s="76">
        <v>0.0</v>
      </c>
      <c r="S6" s="33" t="s">
        <v>56</v>
      </c>
      <c r="T6" s="77">
        <v>0.0</v>
      </c>
      <c r="U6" s="77">
        <v>0.0</v>
      </c>
      <c r="V6" s="34"/>
      <c r="W6" s="77">
        <v>1.0</v>
      </c>
      <c r="X6" s="34"/>
      <c r="Y6" s="34"/>
      <c r="Z6" s="34" t="s">
        <v>57</v>
      </c>
      <c r="AA6" s="34"/>
      <c r="AB6" s="77">
        <v>1.0</v>
      </c>
      <c r="AC6" s="34"/>
      <c r="AD6" s="34" t="s">
        <v>58</v>
      </c>
      <c r="AE6" s="78">
        <v>200.0</v>
      </c>
      <c r="AF6" s="79"/>
      <c r="AG6" s="79"/>
      <c r="AH6" s="34" t="s">
        <v>59</v>
      </c>
      <c r="AI6" s="77">
        <v>1.0</v>
      </c>
      <c r="AJ6" s="34" t="s">
        <v>60</v>
      </c>
      <c r="AK6" s="34"/>
      <c r="AL6" s="34"/>
      <c r="AM6" s="34" t="s">
        <v>61</v>
      </c>
      <c r="AN6" s="80" t="b">
        <v>0</v>
      </c>
      <c r="AO6" s="34"/>
      <c r="AP6" s="80"/>
      <c r="AQ6" s="80" t="b">
        <v>0</v>
      </c>
      <c r="AR6" s="80" t="b">
        <v>1</v>
      </c>
      <c r="AS6" s="77">
        <v>0.0</v>
      </c>
      <c r="AT6" s="81">
        <v>2014.0011</v>
      </c>
      <c r="AU6" s="81">
        <v>2014.0011</v>
      </c>
      <c r="AV6" s="82"/>
      <c r="AW6" s="77">
        <v>0.0</v>
      </c>
      <c r="AX6" s="77">
        <v>0.0</v>
      </c>
      <c r="AY6" s="34" t="s">
        <v>41</v>
      </c>
      <c r="AZ6" s="77">
        <v>0.0</v>
      </c>
      <c r="BA6" s="82"/>
      <c r="BB6" s="34"/>
      <c r="BC6" s="77">
        <v>0.0</v>
      </c>
      <c r="BD6" s="34" t="s">
        <v>62</v>
      </c>
      <c r="BE6" s="81">
        <v>2000.0</v>
      </c>
      <c r="BF6" s="81">
        <v>2000.0</v>
      </c>
      <c r="BG6" s="83"/>
      <c r="BH6" s="34"/>
      <c r="BI6" s="34"/>
      <c r="BJ6" s="78">
        <v>200.0</v>
      </c>
      <c r="BK6" s="77">
        <v>0.0</v>
      </c>
      <c r="BL6" s="34"/>
      <c r="BM6" s="34" t="s">
        <v>57</v>
      </c>
      <c r="BN6" s="82"/>
      <c r="BO6" s="34" t="s">
        <v>38</v>
      </c>
      <c r="BP6" s="77">
        <v>0.0</v>
      </c>
      <c r="BQ6" s="77">
        <v>0.0</v>
      </c>
      <c r="BR6" s="77"/>
      <c r="BS6" s="34" t="s">
        <v>63</v>
      </c>
      <c r="BT6" s="84" t="s">
        <v>37</v>
      </c>
      <c r="BU6" s="77">
        <v>3.0</v>
      </c>
      <c r="BV6" s="77">
        <v>0.0</v>
      </c>
      <c r="BW6" s="85">
        <v>14.0011</v>
      </c>
      <c r="BX6" s="77">
        <v>0.0</v>
      </c>
      <c r="BY6" s="34"/>
      <c r="BZ6" s="34"/>
      <c r="CA6" s="34"/>
      <c r="CB6" s="34"/>
      <c r="CC6" s="34"/>
      <c r="CD6" s="34"/>
      <c r="CE6" s="34"/>
      <c r="CF6" s="34" t="s">
        <v>64</v>
      </c>
      <c r="CG6" s="77">
        <v>2.0</v>
      </c>
      <c r="CH6" s="86" t="s">
        <v>65</v>
      </c>
      <c r="CI6" s="34" t="s">
        <v>38</v>
      </c>
      <c r="CJ6" s="77">
        <v>0.0</v>
      </c>
      <c r="CK6" s="34" t="s">
        <v>66</v>
      </c>
      <c r="CL6" s="77">
        <v>1.0</v>
      </c>
      <c r="CM6" s="84" t="s">
        <v>37</v>
      </c>
      <c r="CN6" s="34" t="s">
        <v>67</v>
      </c>
      <c r="CO6" s="34" t="s">
        <v>58</v>
      </c>
      <c r="CP6" s="34" t="s">
        <v>68</v>
      </c>
      <c r="CQ6" s="34"/>
      <c r="CR6" s="34"/>
      <c r="CS6" s="34"/>
      <c r="CT6" s="34"/>
      <c r="CU6" s="82"/>
      <c r="CV6" s="79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84" t="s">
        <v>33</v>
      </c>
      <c r="C7" s="33"/>
      <c r="D7" s="33"/>
      <c r="E7" s="78">
        <v>300.0</v>
      </c>
      <c r="F7" s="84" t="s">
        <v>54</v>
      </c>
      <c r="G7" s="33" t="s">
        <v>27</v>
      </c>
      <c r="H7" s="76">
        <v>4.0</v>
      </c>
      <c r="I7" s="76">
        <v>5.0</v>
      </c>
      <c r="J7" s="76">
        <v>1.0</v>
      </c>
      <c r="K7" s="76">
        <v>10.0</v>
      </c>
      <c r="L7" s="76">
        <v>10.0</v>
      </c>
      <c r="M7" s="84" t="s">
        <v>55</v>
      </c>
      <c r="N7" s="33"/>
      <c r="O7" s="33" t="s">
        <v>40</v>
      </c>
      <c r="P7" s="33"/>
      <c r="Q7" s="76">
        <v>3.0</v>
      </c>
      <c r="R7" s="76">
        <v>0.0</v>
      </c>
      <c r="S7" s="33" t="s">
        <v>56</v>
      </c>
      <c r="T7" s="77">
        <v>0.0</v>
      </c>
      <c r="U7" s="77">
        <v>0.0</v>
      </c>
      <c r="V7" s="34"/>
      <c r="W7" s="77">
        <v>1.0</v>
      </c>
      <c r="X7" s="34"/>
      <c r="Y7" s="34"/>
      <c r="Z7" s="34" t="s">
        <v>57</v>
      </c>
      <c r="AA7" s="34"/>
      <c r="AB7" s="77">
        <v>1.0</v>
      </c>
      <c r="AC7" s="34"/>
      <c r="AD7" s="34" t="s">
        <v>58</v>
      </c>
      <c r="AE7" s="78">
        <v>300.0</v>
      </c>
      <c r="AF7" s="79"/>
      <c r="AG7" s="79"/>
      <c r="AH7" s="34" t="s">
        <v>59</v>
      </c>
      <c r="AI7" s="77">
        <v>1.0</v>
      </c>
      <c r="AJ7" s="34" t="s">
        <v>60</v>
      </c>
      <c r="AK7" s="34"/>
      <c r="AL7" s="34"/>
      <c r="AM7" s="34" t="s">
        <v>61</v>
      </c>
      <c r="AN7" s="80" t="b">
        <v>0</v>
      </c>
      <c r="AO7" s="34"/>
      <c r="AP7" s="80"/>
      <c r="AQ7" s="80" t="b">
        <v>0</v>
      </c>
      <c r="AR7" s="80" t="b">
        <v>1</v>
      </c>
      <c r="AS7" s="77">
        <v>0.0</v>
      </c>
      <c r="AT7" s="81">
        <v>3014.0017</v>
      </c>
      <c r="AU7" s="81">
        <v>3014.0017</v>
      </c>
      <c r="AV7" s="82"/>
      <c r="AW7" s="77">
        <v>0.0</v>
      </c>
      <c r="AX7" s="77">
        <v>0.0</v>
      </c>
      <c r="AY7" s="34" t="s">
        <v>41</v>
      </c>
      <c r="AZ7" s="77">
        <v>0.0</v>
      </c>
      <c r="BA7" s="82"/>
      <c r="BB7" s="34"/>
      <c r="BC7" s="77">
        <v>0.0</v>
      </c>
      <c r="BD7" s="34" t="s">
        <v>62</v>
      </c>
      <c r="BE7" s="81">
        <v>3000.0</v>
      </c>
      <c r="BF7" s="81">
        <v>3000.0</v>
      </c>
      <c r="BG7" s="83"/>
      <c r="BH7" s="34"/>
      <c r="BI7" s="34"/>
      <c r="BJ7" s="78">
        <v>300.0</v>
      </c>
      <c r="BK7" s="77">
        <v>0.0</v>
      </c>
      <c r="BL7" s="34"/>
      <c r="BM7" s="34" t="s">
        <v>57</v>
      </c>
      <c r="BN7" s="82"/>
      <c r="BO7" s="34" t="s">
        <v>38</v>
      </c>
      <c r="BP7" s="77">
        <v>0.0</v>
      </c>
      <c r="BQ7" s="77">
        <v>0.0</v>
      </c>
      <c r="BR7" s="77"/>
      <c r="BS7" s="34" t="s">
        <v>63</v>
      </c>
      <c r="BT7" s="84" t="s">
        <v>37</v>
      </c>
      <c r="BU7" s="77">
        <v>3.0</v>
      </c>
      <c r="BV7" s="77">
        <v>0.0</v>
      </c>
      <c r="BW7" s="85">
        <v>14.0017</v>
      </c>
      <c r="BX7" s="77">
        <v>0.0</v>
      </c>
      <c r="BY7" s="34"/>
      <c r="BZ7" s="34"/>
      <c r="CA7" s="34"/>
      <c r="CB7" s="34"/>
      <c r="CC7" s="34"/>
      <c r="CD7" s="34"/>
      <c r="CE7" s="34"/>
      <c r="CF7" s="34" t="s">
        <v>64</v>
      </c>
      <c r="CG7" s="77">
        <v>2.0</v>
      </c>
      <c r="CH7" s="86" t="s">
        <v>65</v>
      </c>
      <c r="CI7" s="34" t="s">
        <v>38</v>
      </c>
      <c r="CJ7" s="77">
        <v>0.0</v>
      </c>
      <c r="CK7" s="34" t="s">
        <v>66</v>
      </c>
      <c r="CL7" s="77">
        <v>1.0</v>
      </c>
      <c r="CM7" s="84" t="s">
        <v>37</v>
      </c>
      <c r="CN7" s="34" t="s">
        <v>67</v>
      </c>
      <c r="CO7" s="34" t="s">
        <v>58</v>
      </c>
      <c r="CP7" s="34" t="s">
        <v>68</v>
      </c>
      <c r="CQ7" s="34"/>
      <c r="CR7" s="34"/>
      <c r="CS7" s="34"/>
      <c r="CT7" s="34"/>
      <c r="CU7" s="82"/>
      <c r="CV7" s="79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75" t="s">
        <v>31</v>
      </c>
      <c r="C8" s="33"/>
      <c r="D8" s="33"/>
      <c r="E8" s="78">
        <v>400.0</v>
      </c>
      <c r="F8" s="75" t="s">
        <v>54</v>
      </c>
      <c r="G8" s="33" t="s">
        <v>27</v>
      </c>
      <c r="H8" s="76">
        <v>4.0</v>
      </c>
      <c r="I8" s="76">
        <v>5.0</v>
      </c>
      <c r="J8" s="76">
        <v>1.0</v>
      </c>
      <c r="K8" s="76">
        <v>10.0</v>
      </c>
      <c r="L8" s="76">
        <v>10.0</v>
      </c>
      <c r="M8" s="75" t="s">
        <v>55</v>
      </c>
      <c r="N8" s="33"/>
      <c r="O8" s="33" t="s">
        <v>40</v>
      </c>
      <c r="P8" s="33"/>
      <c r="Q8" s="76">
        <v>3.0</v>
      </c>
      <c r="R8" s="76">
        <v>0.0</v>
      </c>
      <c r="S8" s="33" t="s">
        <v>56</v>
      </c>
      <c r="T8" s="77">
        <v>0.0</v>
      </c>
      <c r="U8" s="77">
        <v>0.0</v>
      </c>
      <c r="V8" s="34"/>
      <c r="W8" s="77">
        <v>1.0</v>
      </c>
      <c r="X8" s="34"/>
      <c r="Y8" s="34"/>
      <c r="Z8" s="34" t="s">
        <v>57</v>
      </c>
      <c r="AA8" s="34"/>
      <c r="AB8" s="77">
        <v>1.0</v>
      </c>
      <c r="AC8" s="34"/>
      <c r="AD8" s="34" t="s">
        <v>58</v>
      </c>
      <c r="AE8" s="78">
        <v>400.0</v>
      </c>
      <c r="AF8" s="79"/>
      <c r="AG8" s="79"/>
      <c r="AH8" s="34" t="s">
        <v>59</v>
      </c>
      <c r="AI8" s="77">
        <v>1.0</v>
      </c>
      <c r="AJ8" s="34" t="s">
        <v>60</v>
      </c>
      <c r="AK8" s="34"/>
      <c r="AL8" s="34"/>
      <c r="AM8" s="34" t="s">
        <v>61</v>
      </c>
      <c r="AN8" s="80" t="b">
        <v>0</v>
      </c>
      <c r="AO8" s="34"/>
      <c r="AP8" s="80"/>
      <c r="AQ8" s="80" t="b">
        <v>0</v>
      </c>
      <c r="AR8" s="80" t="b">
        <v>1</v>
      </c>
      <c r="AS8" s="77">
        <v>0.0</v>
      </c>
      <c r="AT8" s="81">
        <v>4014.0022</v>
      </c>
      <c r="AU8" s="81">
        <v>4014.0022</v>
      </c>
      <c r="AV8" s="82"/>
      <c r="AW8" s="77">
        <v>0.0</v>
      </c>
      <c r="AX8" s="77">
        <v>0.0</v>
      </c>
      <c r="AY8" s="34" t="s">
        <v>41</v>
      </c>
      <c r="AZ8" s="77">
        <v>0.0</v>
      </c>
      <c r="BA8" s="82"/>
      <c r="BB8" s="34"/>
      <c r="BC8" s="77">
        <v>0.0</v>
      </c>
      <c r="BD8" s="34" t="s">
        <v>62</v>
      </c>
      <c r="BE8" s="81">
        <v>4000.0</v>
      </c>
      <c r="BF8" s="81">
        <v>4000.0</v>
      </c>
      <c r="BG8" s="83"/>
      <c r="BH8" s="34"/>
      <c r="BI8" s="34"/>
      <c r="BJ8" s="78">
        <v>400.0</v>
      </c>
      <c r="BK8" s="77">
        <v>0.0</v>
      </c>
      <c r="BL8" s="34"/>
      <c r="BM8" s="34" t="s">
        <v>57</v>
      </c>
      <c r="BN8" s="82"/>
      <c r="BO8" s="34" t="s">
        <v>38</v>
      </c>
      <c r="BP8" s="77">
        <v>0.0</v>
      </c>
      <c r="BQ8" s="77">
        <v>0.0</v>
      </c>
      <c r="BR8" s="77"/>
      <c r="BS8" s="34" t="s">
        <v>63</v>
      </c>
      <c r="BT8" s="84" t="s">
        <v>37</v>
      </c>
      <c r="BU8" s="77">
        <v>3.0</v>
      </c>
      <c r="BV8" s="77">
        <v>0.0</v>
      </c>
      <c r="BW8" s="85">
        <v>14.0022</v>
      </c>
      <c r="BX8" s="77">
        <v>0.0</v>
      </c>
      <c r="BY8" s="34"/>
      <c r="BZ8" s="34"/>
      <c r="CA8" s="34"/>
      <c r="CB8" s="34"/>
      <c r="CC8" s="34"/>
      <c r="CD8" s="34"/>
      <c r="CE8" s="34"/>
      <c r="CF8" s="34" t="s">
        <v>64</v>
      </c>
      <c r="CG8" s="77">
        <v>2.0</v>
      </c>
      <c r="CH8" s="86" t="s">
        <v>65</v>
      </c>
      <c r="CI8" s="34" t="s">
        <v>38</v>
      </c>
      <c r="CJ8" s="77">
        <v>0.0</v>
      </c>
      <c r="CK8" s="34" t="s">
        <v>66</v>
      </c>
      <c r="CL8" s="77">
        <v>1.0</v>
      </c>
      <c r="CM8" s="84" t="s">
        <v>37</v>
      </c>
      <c r="CN8" s="34" t="s">
        <v>67</v>
      </c>
      <c r="CO8" s="34" t="s">
        <v>58</v>
      </c>
      <c r="CP8" s="34" t="s">
        <v>68</v>
      </c>
      <c r="CQ8" s="34"/>
      <c r="CR8" s="34"/>
      <c r="CS8" s="34"/>
      <c r="CT8" s="34"/>
      <c r="CU8" s="82"/>
      <c r="CV8" s="79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84" t="s">
        <v>34</v>
      </c>
      <c r="C9" s="33"/>
      <c r="D9" s="33"/>
      <c r="E9" s="78">
        <v>500.0</v>
      </c>
      <c r="F9" s="84" t="s">
        <v>54</v>
      </c>
      <c r="G9" s="33" t="s">
        <v>27</v>
      </c>
      <c r="H9" s="76">
        <v>4.0</v>
      </c>
      <c r="I9" s="76">
        <v>5.0</v>
      </c>
      <c r="J9" s="76">
        <v>1.0</v>
      </c>
      <c r="K9" s="76">
        <v>10.0</v>
      </c>
      <c r="L9" s="76">
        <v>10.0</v>
      </c>
      <c r="M9" s="84" t="s">
        <v>55</v>
      </c>
      <c r="N9" s="33"/>
      <c r="O9" s="33" t="s">
        <v>40</v>
      </c>
      <c r="P9" s="33"/>
      <c r="Q9" s="76">
        <v>3.0</v>
      </c>
      <c r="R9" s="76">
        <v>0.0</v>
      </c>
      <c r="S9" s="33" t="s">
        <v>56</v>
      </c>
      <c r="T9" s="77">
        <v>0.0</v>
      </c>
      <c r="U9" s="77">
        <v>0.0</v>
      </c>
      <c r="V9" s="34"/>
      <c r="W9" s="77">
        <v>1.0</v>
      </c>
      <c r="X9" s="34"/>
      <c r="Y9" s="34"/>
      <c r="Z9" s="34" t="s">
        <v>57</v>
      </c>
      <c r="AA9" s="34"/>
      <c r="AB9" s="77">
        <v>1.0</v>
      </c>
      <c r="AC9" s="34"/>
      <c r="AD9" s="34" t="s">
        <v>58</v>
      </c>
      <c r="AE9" s="78">
        <v>500.0</v>
      </c>
      <c r="AF9" s="79"/>
      <c r="AG9" s="79"/>
      <c r="AH9" s="34" t="s">
        <v>59</v>
      </c>
      <c r="AI9" s="77">
        <v>1.0</v>
      </c>
      <c r="AJ9" s="34" t="s">
        <v>60</v>
      </c>
      <c r="AK9" s="34"/>
      <c r="AL9" s="34"/>
      <c r="AM9" s="34" t="s">
        <v>61</v>
      </c>
      <c r="AN9" s="80" t="b">
        <v>0</v>
      </c>
      <c r="AO9" s="34"/>
      <c r="AP9" s="80"/>
      <c r="AQ9" s="80" t="b">
        <v>0</v>
      </c>
      <c r="AR9" s="80" t="b">
        <v>1</v>
      </c>
      <c r="AS9" s="77">
        <v>0.0</v>
      </c>
      <c r="AT9" s="81">
        <v>5014.0028</v>
      </c>
      <c r="AU9" s="81">
        <v>5014.0028</v>
      </c>
      <c r="AV9" s="82"/>
      <c r="AW9" s="77">
        <v>0.0</v>
      </c>
      <c r="AX9" s="77">
        <v>0.0</v>
      </c>
      <c r="AY9" s="34" t="s">
        <v>41</v>
      </c>
      <c r="AZ9" s="77">
        <v>0.0</v>
      </c>
      <c r="BA9" s="82"/>
      <c r="BB9" s="34"/>
      <c r="BC9" s="77">
        <v>0.0</v>
      </c>
      <c r="BD9" s="34" t="s">
        <v>62</v>
      </c>
      <c r="BE9" s="81">
        <v>5000.0</v>
      </c>
      <c r="BF9" s="81">
        <v>5000.0</v>
      </c>
      <c r="BG9" s="83"/>
      <c r="BH9" s="34"/>
      <c r="BI9" s="34"/>
      <c r="BJ9" s="78">
        <v>500.0</v>
      </c>
      <c r="BK9" s="77">
        <v>0.0</v>
      </c>
      <c r="BL9" s="34"/>
      <c r="BM9" s="34" t="s">
        <v>57</v>
      </c>
      <c r="BN9" s="82"/>
      <c r="BO9" s="34" t="s">
        <v>38</v>
      </c>
      <c r="BP9" s="77">
        <v>0.0</v>
      </c>
      <c r="BQ9" s="77">
        <v>0.0</v>
      </c>
      <c r="BR9" s="77"/>
      <c r="BS9" s="34" t="s">
        <v>63</v>
      </c>
      <c r="BT9" s="84" t="s">
        <v>37</v>
      </c>
      <c r="BU9" s="77">
        <v>3.0</v>
      </c>
      <c r="BV9" s="77">
        <v>0.0</v>
      </c>
      <c r="BW9" s="85">
        <v>14.0028</v>
      </c>
      <c r="BX9" s="77">
        <v>0.0</v>
      </c>
      <c r="BY9" s="34"/>
      <c r="BZ9" s="34"/>
      <c r="CA9" s="34"/>
      <c r="CB9" s="34"/>
      <c r="CC9" s="34"/>
      <c r="CD9" s="34"/>
      <c r="CE9" s="34"/>
      <c r="CF9" s="34" t="s">
        <v>64</v>
      </c>
      <c r="CG9" s="77">
        <v>2.0</v>
      </c>
      <c r="CH9" s="86" t="s">
        <v>65</v>
      </c>
      <c r="CI9" s="34" t="s">
        <v>38</v>
      </c>
      <c r="CJ9" s="77">
        <v>0.0</v>
      </c>
      <c r="CK9" s="34" t="s">
        <v>66</v>
      </c>
      <c r="CL9" s="77">
        <v>1.0</v>
      </c>
      <c r="CM9" s="84" t="s">
        <v>37</v>
      </c>
      <c r="CN9" s="34" t="s">
        <v>67</v>
      </c>
      <c r="CO9" s="34" t="s">
        <v>58</v>
      </c>
      <c r="CP9" s="34" t="s">
        <v>68</v>
      </c>
      <c r="CQ9" s="34"/>
      <c r="CR9" s="34"/>
      <c r="CS9" s="34"/>
      <c r="CT9" s="34"/>
      <c r="CU9" s="82"/>
      <c r="CV9" s="79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84" t="s">
        <v>31</v>
      </c>
      <c r="C10" s="34"/>
      <c r="D10" s="34"/>
      <c r="E10" s="78">
        <v>100.0</v>
      </c>
      <c r="F10" s="84" t="s">
        <v>54</v>
      </c>
      <c r="G10" s="34" t="s">
        <v>27</v>
      </c>
      <c r="H10" s="77">
        <v>4.0</v>
      </c>
      <c r="I10" s="77">
        <v>5.0</v>
      </c>
      <c r="J10" s="76">
        <v>1.0</v>
      </c>
      <c r="K10" s="76">
        <v>10.0</v>
      </c>
      <c r="L10" s="76">
        <v>10.0</v>
      </c>
      <c r="M10" s="87" t="s">
        <v>69</v>
      </c>
      <c r="N10" s="34"/>
      <c r="O10" s="34" t="s">
        <v>40</v>
      </c>
      <c r="P10" s="34"/>
      <c r="Q10" s="77">
        <v>3.0</v>
      </c>
      <c r="R10" s="77">
        <v>0.0</v>
      </c>
      <c r="S10" s="34" t="s">
        <v>56</v>
      </c>
      <c r="T10" s="77">
        <v>0.0</v>
      </c>
      <c r="U10" s="77">
        <v>0.0</v>
      </c>
      <c r="V10" s="34"/>
      <c r="W10" s="77">
        <v>1.0</v>
      </c>
      <c r="X10" s="34"/>
      <c r="Y10" s="34"/>
      <c r="Z10" s="34" t="s">
        <v>57</v>
      </c>
      <c r="AA10" s="34"/>
      <c r="AB10" s="77">
        <v>1.0</v>
      </c>
      <c r="AC10" s="34"/>
      <c r="AD10" s="34" t="s">
        <v>58</v>
      </c>
      <c r="AE10" s="78">
        <v>100.0</v>
      </c>
      <c r="AF10" s="79"/>
      <c r="AG10" s="79"/>
      <c r="AH10" s="34" t="s">
        <v>59</v>
      </c>
      <c r="AI10" s="77">
        <v>1.0</v>
      </c>
      <c r="AJ10" s="34" t="s">
        <v>60</v>
      </c>
      <c r="AK10" s="34"/>
      <c r="AL10" s="34"/>
      <c r="AM10" s="34" t="s">
        <v>61</v>
      </c>
      <c r="AN10" s="80" t="b">
        <v>0</v>
      </c>
      <c r="AO10" s="34"/>
      <c r="AP10" s="80"/>
      <c r="AQ10" s="80" t="b">
        <v>0</v>
      </c>
      <c r="AR10" s="80" t="b">
        <v>0</v>
      </c>
      <c r="AS10" s="77">
        <v>0.0</v>
      </c>
      <c r="AT10" s="81">
        <v>1014.0006</v>
      </c>
      <c r="AU10" s="81">
        <v>1014.0006</v>
      </c>
      <c r="AV10" s="82"/>
      <c r="AW10" s="77">
        <v>0.0</v>
      </c>
      <c r="AX10" s="77">
        <v>0.0</v>
      </c>
      <c r="AY10" s="34" t="s">
        <v>41</v>
      </c>
      <c r="AZ10" s="77">
        <v>0.0</v>
      </c>
      <c r="BA10" s="82"/>
      <c r="BB10" s="34"/>
      <c r="BC10" s="77">
        <v>0.0</v>
      </c>
      <c r="BD10" s="34" t="s">
        <v>62</v>
      </c>
      <c r="BE10" s="81">
        <v>1000.0</v>
      </c>
      <c r="BF10" s="81">
        <v>1000.0</v>
      </c>
      <c r="BG10" s="83"/>
      <c r="BH10" s="34"/>
      <c r="BI10" s="34"/>
      <c r="BJ10" s="78">
        <v>100.0</v>
      </c>
      <c r="BK10" s="77">
        <v>0.0</v>
      </c>
      <c r="BL10" s="34"/>
      <c r="BM10" s="34" t="s">
        <v>57</v>
      </c>
      <c r="BN10" s="82"/>
      <c r="BO10" s="34" t="s">
        <v>38</v>
      </c>
      <c r="BP10" s="77">
        <v>0.0</v>
      </c>
      <c r="BQ10" s="77">
        <v>0.0</v>
      </c>
      <c r="BR10" s="77"/>
      <c r="BS10" s="34" t="s">
        <v>63</v>
      </c>
      <c r="BT10" s="84" t="s">
        <v>42</v>
      </c>
      <c r="BU10" s="77">
        <v>3.0</v>
      </c>
      <c r="BV10" s="77">
        <v>0.0</v>
      </c>
      <c r="BW10" s="85">
        <v>14.0006</v>
      </c>
      <c r="BX10" s="77">
        <v>0.0</v>
      </c>
      <c r="BY10" s="34"/>
      <c r="BZ10" s="34"/>
      <c r="CA10" s="34"/>
      <c r="CB10" s="34"/>
      <c r="CC10" s="34"/>
      <c r="CD10" s="34"/>
      <c r="CE10" s="34"/>
      <c r="CF10" s="34" t="s">
        <v>64</v>
      </c>
      <c r="CG10" s="77">
        <v>2.0</v>
      </c>
      <c r="CH10" s="86" t="s">
        <v>65</v>
      </c>
      <c r="CI10" s="34" t="s">
        <v>38</v>
      </c>
      <c r="CJ10" s="77">
        <v>0.0</v>
      </c>
      <c r="CK10" s="34" t="s">
        <v>66</v>
      </c>
      <c r="CL10" s="77">
        <v>1.0</v>
      </c>
      <c r="CM10" s="84" t="s">
        <v>42</v>
      </c>
      <c r="CN10" s="34" t="s">
        <v>67</v>
      </c>
      <c r="CO10" s="34" t="s">
        <v>58</v>
      </c>
      <c r="CP10" s="34" t="s">
        <v>68</v>
      </c>
      <c r="CQ10" s="34"/>
      <c r="CR10" s="34"/>
      <c r="CS10" s="34"/>
      <c r="CT10" s="34"/>
      <c r="CU10" s="82"/>
      <c r="CV10" s="79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BE11" s="88"/>
      <c r="BF11" s="88"/>
      <c r="BG11" s="8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BE12" s="88"/>
      <c r="BF12" s="88"/>
      <c r="BG12" s="8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BE13" s="88"/>
      <c r="BF13" s="88"/>
      <c r="BG13" s="8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BE14" s="88"/>
      <c r="BF14" s="88"/>
      <c r="BG14" s="8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70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IFERROR(__xludf.DUMMYFUNCTION("""COMPUTED_VALUE"""),"Transaction Time")</f>
        <v>Transaction Time</v>
      </c>
      <c r="C5" s="29" t="str">
        <f>IFERROR(__xludf.DUMMYFUNCTION("""COMPUTED_VALUE"""),"Algo")</f>
        <v>Algo</v>
      </c>
      <c r="D5" s="29" t="str">
        <f>IFERROR(__xludf.DUMMYFUNCTION("""COMPUTED_VALUE"""),"Avg Fill Price (Base)")</f>
        <v>Avg Fill Price (Base)</v>
      </c>
      <c r="E5" s="29" t="str">
        <f>IFERROR(__xludf.DUMMYFUNCTION("""COMPUTED_VALUE"""),"Bloomberg Symbol")</f>
        <v>Bloomberg Symbol</v>
      </c>
      <c r="F5" s="30" t="str">
        <f>IFERROR(__xludf.DUMMYFUNCTION("""COMPUTED_VALUE"""),"Limit Price")</f>
        <v>Limit Price</v>
      </c>
      <c r="G5" s="29" t="str">
        <f>IFERROR(__xludf.DUMMYFUNCTION("""COMPUTED_VALUE"""),"Working Qty")</f>
        <v>Working Qty</v>
      </c>
      <c r="H5" s="29" t="str">
        <f>IFERROR(__xludf.DUMMYFUNCTION("""COMPUTED_VALUE"""),"Venue")</f>
        <v>Venue</v>
      </c>
      <c r="I5" s="29" t="str">
        <f>IFERROR(__xludf.DUMMYFUNCTION("""COMPUTED_VALUE"""),"Current User")</f>
        <v>Current User</v>
      </c>
      <c r="J5" s="29" t="str">
        <f>IFERROR(__xludf.DUMMYFUNCTION("""COMPUTED_VALUE"""),"Underlying Symbol")</f>
        <v>Underlying Symbol</v>
      </c>
      <c r="K5" s="29" t="str">
        <f>IFERROR(__xludf.DUMMYFUNCTION("""COMPUTED_VALUE"""),"Underlying Country")</f>
        <v>Underlying Country</v>
      </c>
      <c r="L5" s="29" t="str">
        <f>IFERROR(__xludf.DUMMYFUNCTION("""COMPUTED_VALUE"""),"Trader")</f>
        <v>Trader</v>
      </c>
      <c r="M5" s="29" t="str">
        <f>IFERROR(__xludf.DUMMYFUNCTION("""COMPUTED_VALUE"""),"Trade Attribute 6")</f>
        <v>Trade Attribute 6</v>
      </c>
      <c r="N5" s="29" t="str">
        <f>IFERROR(__xludf.DUMMYFUNCTION("""COMPUTED_VALUE"""),"Trade Attribute 5")</f>
        <v>Trade Attribute 5</v>
      </c>
      <c r="O5" s="29" t="str">
        <f>IFERROR(__xludf.DUMMYFUNCTION("""COMPUTED_VALUE"""),"Trade Attribute 4")</f>
        <v>Trade Attribute 4</v>
      </c>
      <c r="P5" s="29" t="str">
        <f>IFERROR(__xludf.DUMMYFUNCTION("""COMPUTED_VALUE"""),"Trade Attribute 3")</f>
        <v>Trade Attribute 3</v>
      </c>
      <c r="Q5" s="29" t="str">
        <f>IFERROR(__xludf.DUMMYFUNCTION("""COMPUTED_VALUE"""),"Trade Attribute 1")</f>
        <v>Trade Attribute 1</v>
      </c>
      <c r="R5" s="29" t="str">
        <f>IFERROR(__xludf.DUMMYFUNCTION("""COMPUTED_VALUE"""),"Trade Attribute 2")</f>
        <v>Trade Attribute 2</v>
      </c>
      <c r="S5" s="29" t="str">
        <f>IFERROR(__xludf.DUMMYFUNCTION("""COMPUTED_VALUE"""),"Strike Price")</f>
        <v>Strike Price</v>
      </c>
      <c r="T5" s="31" t="str">
        <f>IFERROR(__xludf.DUMMYFUNCTION("""COMPUTED_VALUE"""),"Stop Price")</f>
        <v>Stop Price</v>
      </c>
      <c r="U5" s="31" t="str">
        <f>IFERROR(__xludf.DUMMYFUNCTION("""COMPUTED_VALUE"""),"Settlement Currency")</f>
        <v>Settlement Currency</v>
      </c>
      <c r="V5" s="31" t="str">
        <f>IFERROR(__xludf.DUMMYFUNCTION("""COMPUTED_VALUE"""),"Put/Call")</f>
        <v>Put/Call</v>
      </c>
      <c r="W5" s="31" t="str">
        <f>IFERROR(__xludf.DUMMYFUNCTION("""COMPUTED_VALUE"""),"Process Date")</f>
        <v>Process Date</v>
      </c>
      <c r="X5" s="31" t="str">
        <f>IFERROR(__xludf.DUMMYFUNCTION("""COMPUTED_VALUE"""),"Peg")</f>
        <v>Peg</v>
      </c>
      <c r="Y5" s="31" t="str">
        <f>IFERROR(__xludf.DUMMYFUNCTION("""COMPUTED_VALUE"""),"ParentClOrderID")</f>
        <v>ParentClOrderID</v>
      </c>
      <c r="Z5" s="31" t="str">
        <f>IFERROR(__xludf.DUMMYFUNCTION("""COMPUTED_VALUE"""),"OrderID")</f>
        <v>OrderID</v>
      </c>
      <c r="AA5" s="31" t="str">
        <f>IFERROR(__xludf.DUMMYFUNCTION("""COMPUTED_VALUE"""),"Master Fund")</f>
        <v>Master Fund</v>
      </c>
      <c r="AB5" s="31" t="str">
        <f>IFERROR(__xludf.DUMMYFUNCTION("""COMPUTED_VALUE"""),"Last Shares")</f>
        <v>Last Shares</v>
      </c>
      <c r="AC5" s="31" t="str">
        <f>IFERROR(__xludf.DUMMYFUNCTION("""COMPUTED_VALUE"""),"Internal Comments")</f>
        <v>Internal Comments</v>
      </c>
      <c r="AD5" s="31" t="str">
        <f>IFERROR(__xludf.DUMMYFUNCTION("""COMPUTED_VALUE"""),"FX Rate")</f>
        <v>FX Rate</v>
      </c>
      <c r="AE5" s="31" t="str">
        <f>IFERROR(__xludf.DUMMYFUNCTION("""COMPUTED_VALUE"""),"Imported File Name")</f>
        <v>Imported File Name</v>
      </c>
      <c r="AF5" s="31" t="str">
        <f>IFERROR(__xludf.DUMMYFUNCTION("""COMPUTED_VALUE"""),"FX Conversion Operator")</f>
        <v>FX Conversion Operator</v>
      </c>
      <c r="AG5" s="31" t="str">
        <f>IFERROR(__xludf.DUMMYFUNCTION("""COMPUTED_VALUE"""),"Day Average Price")</f>
        <v>Day Average Price</v>
      </c>
      <c r="AH5" s="31" t="str">
        <f>IFERROR(__xludf.DUMMYFUNCTION("""COMPUTED_VALUE"""),"Asset Class")</f>
        <v>Asset Class</v>
      </c>
      <c r="AI5" s="31" t="str">
        <f>IFERROR(__xludf.DUMMYFUNCTION("""COMPUTED_VALUE"""),"Symbol")</f>
        <v>Symbol</v>
      </c>
      <c r="AJ5" s="31" t="str">
        <f>IFERROR(__xludf.DUMMYFUNCTION("""COMPUTED_VALUE"""),"Side")</f>
        <v>Side</v>
      </c>
      <c r="AK5" s="31" t="str">
        <f>IFERROR(__xludf.DUMMYFUNCTION("""COMPUTED_VALUE"""),"Status")</f>
        <v>Status</v>
      </c>
      <c r="AL5" s="31" t="str">
        <f>IFERROR(__xludf.DUMMYFUNCTION("""COMPUTED_VALUE"""),"Target Qty")</f>
        <v>Target Qty</v>
      </c>
      <c r="AM5" s="31" t="str">
        <f>IFERROR(__xludf.DUMMYFUNCTION("""COMPUTED_VALUE"""),"Total Executed Qty")</f>
        <v>Total Executed Qty</v>
      </c>
      <c r="AN5" s="31" t="str">
        <f>IFERROR(__xludf.DUMMYFUNCTION("""COMPUTED_VALUE"""),"% Executed")</f>
        <v>% Executed</v>
      </c>
      <c r="AO5" s="31" t="str">
        <f>IFERROR(__xludf.DUMMYFUNCTION("""COMPUTED_VALUE"""),"Day Executed Qty")</f>
        <v>Day Executed Qty</v>
      </c>
      <c r="AP5" s="31" t="str">
        <f>IFERROR(__xludf.DUMMYFUNCTION("""COMPUTED_VALUE"""),"Uncommitted Qty")</f>
        <v>Uncommitted Qty</v>
      </c>
      <c r="AQ5" s="31" t="str">
        <f>IFERROR(__xludf.DUMMYFUNCTION("""COMPUTED_VALUE"""),"Last Fill Price (Local)")</f>
        <v>Last Fill Price (Local)</v>
      </c>
      <c r="AR5" s="31" t="str">
        <f>IFERROR(__xludf.DUMMYFUNCTION("""COMPUTED_VALUE"""),"Avg Fill Price (Local)")</f>
        <v>Avg Fill Price (Local)</v>
      </c>
      <c r="AS5" s="31" t="str">
        <f>IFERROR(__xludf.DUMMYFUNCTION("""COMPUTED_VALUE"""),"Broker")</f>
        <v>Broker</v>
      </c>
      <c r="AT5" s="31" t="str">
        <f>IFERROR(__xludf.DUMMYFUNCTION("""COMPUTED_VALUE"""),"Account")</f>
        <v>Account</v>
      </c>
      <c r="AU5" s="31" t="str">
        <f>IFERROR(__xludf.DUMMYFUNCTION("""COMPUTED_VALUE"""),"Order Type")</f>
        <v>Order Type</v>
      </c>
      <c r="AV5" s="31" t="str">
        <f>IFERROR(__xludf.DUMMYFUNCTION("""COMPUTED_VALUE"""),"Principal Amount (Local)")</f>
        <v>Principal Amount (Local)</v>
      </c>
      <c r="AW5" s="31" t="str">
        <f>IFERROR(__xludf.DUMMYFUNCTION("""COMPUTED_VALUE"""),"Principal Amount (Base)")</f>
        <v>Principal Amount (Base)</v>
      </c>
      <c r="AX5" s="31" t="str">
        <f>IFERROR(__xludf.DUMMYFUNCTION("""COMPUTED_VALUE"""),"Allocation Scheme Name")</f>
        <v>Allocation Scheme Name</v>
      </c>
      <c r="AY5" s="31" t="str">
        <f>IFERROR(__xludf.DUMMYFUNCTION("""COMPUTED_VALUE"""),"Start of Day Qty")</f>
        <v>Start of Day Qty</v>
      </c>
      <c r="AZ5" s="31" t="str">
        <f>IFERROR(__xludf.DUMMYFUNCTION("""COMPUTED_VALUE"""),"Leaves")</f>
        <v>Leaves</v>
      </c>
      <c r="BA5" s="31" t="str">
        <f>IFERROR(__xludf.DUMMYFUNCTION("""COMPUTED_VALUE"""),"Actual User")</f>
        <v>Actual User</v>
      </c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2"/>
      <c r="C6" s="33"/>
      <c r="D6" s="39">
        <v>10.0</v>
      </c>
      <c r="E6" s="89" t="s">
        <v>55</v>
      </c>
      <c r="F6" s="66">
        <v>0.0</v>
      </c>
      <c r="G6" s="66"/>
      <c r="H6" s="89" t="s">
        <v>58</v>
      </c>
      <c r="I6" s="89" t="s">
        <v>67</v>
      </c>
      <c r="J6" s="89" t="s">
        <v>37</v>
      </c>
      <c r="K6" s="89" t="s">
        <v>66</v>
      </c>
      <c r="L6" s="89" t="s">
        <v>64</v>
      </c>
      <c r="M6" s="33"/>
      <c r="N6" s="33"/>
      <c r="O6" s="33"/>
      <c r="P6" s="33"/>
      <c r="Q6" s="33"/>
      <c r="R6" s="33"/>
      <c r="S6" s="66">
        <v>0.0</v>
      </c>
      <c r="T6" s="77">
        <v>0.0</v>
      </c>
      <c r="U6" s="34" t="s">
        <v>57</v>
      </c>
      <c r="V6" s="34" t="s">
        <v>68</v>
      </c>
      <c r="W6" s="34"/>
      <c r="X6" s="77">
        <v>0.0</v>
      </c>
      <c r="Y6" s="34"/>
      <c r="Z6" s="34"/>
      <c r="AA6" s="34"/>
      <c r="AB6" s="77"/>
      <c r="AC6" s="34" t="s">
        <v>61</v>
      </c>
      <c r="AD6" s="77">
        <v>1.0</v>
      </c>
      <c r="AE6" s="82"/>
      <c r="AF6" s="34" t="s">
        <v>59</v>
      </c>
      <c r="AG6" s="77">
        <v>10.0</v>
      </c>
      <c r="AH6" s="34" t="s">
        <v>27</v>
      </c>
      <c r="AI6" s="34" t="s">
        <v>37</v>
      </c>
      <c r="AJ6" s="34" t="s">
        <v>38</v>
      </c>
      <c r="AK6" s="34" t="s">
        <v>49</v>
      </c>
      <c r="AL6" s="77">
        <v>100.0</v>
      </c>
      <c r="AM6" s="77">
        <v>100.0</v>
      </c>
      <c r="AN6" s="77">
        <v>100.0</v>
      </c>
      <c r="AO6" s="77">
        <v>100.0</v>
      </c>
      <c r="AP6" s="34"/>
      <c r="AQ6" s="77">
        <v>10.0</v>
      </c>
      <c r="AR6" s="77">
        <v>10.0</v>
      </c>
      <c r="AS6" s="34" t="s">
        <v>40</v>
      </c>
      <c r="AT6" s="34"/>
      <c r="AU6" s="34" t="s">
        <v>41</v>
      </c>
      <c r="AV6" s="77">
        <v>1000.0</v>
      </c>
      <c r="AW6" s="77">
        <v>1000.0</v>
      </c>
      <c r="AX6" s="34"/>
      <c r="AY6" s="77">
        <v>100.0</v>
      </c>
      <c r="AZ6" s="82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3"/>
      <c r="C7" s="33"/>
      <c r="D7" s="66">
        <v>10.0</v>
      </c>
      <c r="E7" s="89" t="s">
        <v>69</v>
      </c>
      <c r="F7" s="66">
        <v>0.0</v>
      </c>
      <c r="G7" s="66"/>
      <c r="H7" s="89" t="s">
        <v>58</v>
      </c>
      <c r="I7" s="89" t="s">
        <v>67</v>
      </c>
      <c r="J7" s="89" t="s">
        <v>42</v>
      </c>
      <c r="K7" s="89" t="s">
        <v>66</v>
      </c>
      <c r="L7" s="89" t="s">
        <v>64</v>
      </c>
      <c r="M7" s="33"/>
      <c r="N7" s="33"/>
      <c r="O7" s="33"/>
      <c r="P7" s="33"/>
      <c r="Q7" s="33"/>
      <c r="R7" s="33"/>
      <c r="S7" s="66">
        <v>0.0</v>
      </c>
      <c r="T7" s="77">
        <v>0.0</v>
      </c>
      <c r="U7" s="34" t="s">
        <v>57</v>
      </c>
      <c r="V7" s="34" t="s">
        <v>68</v>
      </c>
      <c r="W7" s="34"/>
      <c r="X7" s="77">
        <v>0.0</v>
      </c>
      <c r="Y7" s="34"/>
      <c r="Z7" s="34"/>
      <c r="AA7" s="34"/>
      <c r="AB7" s="77"/>
      <c r="AC7" s="34" t="s">
        <v>61</v>
      </c>
      <c r="AD7" s="77">
        <v>1.0</v>
      </c>
      <c r="AE7" s="82"/>
      <c r="AF7" s="34" t="s">
        <v>59</v>
      </c>
      <c r="AG7" s="77">
        <v>10.0</v>
      </c>
      <c r="AH7" s="34" t="s">
        <v>27</v>
      </c>
      <c r="AI7" s="34" t="s">
        <v>42</v>
      </c>
      <c r="AJ7" s="34" t="s">
        <v>38</v>
      </c>
      <c r="AK7" s="34" t="s">
        <v>49</v>
      </c>
      <c r="AL7" s="77">
        <v>100.0</v>
      </c>
      <c r="AM7" s="77">
        <v>100.0</v>
      </c>
      <c r="AN7" s="77">
        <v>100.0</v>
      </c>
      <c r="AO7" s="77">
        <v>100.0</v>
      </c>
      <c r="AP7" s="34"/>
      <c r="AQ7" s="77">
        <v>10.0</v>
      </c>
      <c r="AR7" s="77">
        <v>10.0</v>
      </c>
      <c r="AS7" s="34" t="s">
        <v>40</v>
      </c>
      <c r="AT7" s="34"/>
      <c r="AU7" s="34" t="s">
        <v>41</v>
      </c>
      <c r="AV7" s="77">
        <v>1000.0</v>
      </c>
      <c r="AW7" s="77">
        <v>1000.0</v>
      </c>
      <c r="AX7" s="34"/>
      <c r="AY7" s="77">
        <v>100.0</v>
      </c>
      <c r="AZ7" s="82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3"/>
      <c r="B8" s="33"/>
      <c r="C8" s="33"/>
      <c r="D8" s="66">
        <v>10.0</v>
      </c>
      <c r="E8" s="89" t="s">
        <v>55</v>
      </c>
      <c r="F8" s="66">
        <v>0.0</v>
      </c>
      <c r="G8" s="66"/>
      <c r="H8" s="89" t="s">
        <v>58</v>
      </c>
      <c r="I8" s="89" t="s">
        <v>67</v>
      </c>
      <c r="J8" s="89" t="s">
        <v>37</v>
      </c>
      <c r="K8" s="89" t="s">
        <v>66</v>
      </c>
      <c r="L8" s="89" t="s">
        <v>64</v>
      </c>
      <c r="M8" s="33"/>
      <c r="N8" s="33"/>
      <c r="O8" s="33"/>
      <c r="P8" s="33"/>
      <c r="Q8" s="33"/>
      <c r="R8" s="33"/>
      <c r="S8" s="66">
        <v>0.0</v>
      </c>
      <c r="T8" s="77">
        <v>0.0</v>
      </c>
      <c r="U8" s="34" t="s">
        <v>57</v>
      </c>
      <c r="V8" s="34" t="s">
        <v>68</v>
      </c>
      <c r="W8" s="34"/>
      <c r="X8" s="77">
        <v>0.0</v>
      </c>
      <c r="Y8" s="34"/>
      <c r="Z8" s="34"/>
      <c r="AA8" s="34"/>
      <c r="AB8" s="77"/>
      <c r="AC8" s="34" t="s">
        <v>61</v>
      </c>
      <c r="AD8" s="77">
        <v>1.0</v>
      </c>
      <c r="AE8" s="82"/>
      <c r="AF8" s="34" t="s">
        <v>59</v>
      </c>
      <c r="AG8" s="77">
        <v>10.0</v>
      </c>
      <c r="AH8" s="34" t="s">
        <v>27</v>
      </c>
      <c r="AI8" s="34" t="s">
        <v>37</v>
      </c>
      <c r="AJ8" s="34" t="s">
        <v>38</v>
      </c>
      <c r="AK8" s="34" t="s">
        <v>49</v>
      </c>
      <c r="AL8" s="77">
        <v>200.0</v>
      </c>
      <c r="AM8" s="77">
        <v>200.0</v>
      </c>
      <c r="AN8" s="77">
        <v>100.0</v>
      </c>
      <c r="AO8" s="77">
        <v>200.0</v>
      </c>
      <c r="AP8" s="34"/>
      <c r="AQ8" s="77">
        <v>10.0</v>
      </c>
      <c r="AR8" s="77">
        <v>10.0</v>
      </c>
      <c r="AS8" s="34" t="s">
        <v>40</v>
      </c>
      <c r="AT8" s="34"/>
      <c r="AU8" s="34" t="s">
        <v>41</v>
      </c>
      <c r="AV8" s="77">
        <v>2000.0</v>
      </c>
      <c r="AW8" s="77">
        <v>2000.0</v>
      </c>
      <c r="AX8" s="34"/>
      <c r="AY8" s="77">
        <v>200.0</v>
      </c>
      <c r="AZ8" s="82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3"/>
      <c r="B9" s="33"/>
      <c r="C9" s="33"/>
      <c r="D9" s="66">
        <v>10.0</v>
      </c>
      <c r="E9" s="89" t="s">
        <v>55</v>
      </c>
      <c r="F9" s="66">
        <v>0.0</v>
      </c>
      <c r="G9" s="66"/>
      <c r="H9" s="89" t="s">
        <v>58</v>
      </c>
      <c r="I9" s="89" t="s">
        <v>67</v>
      </c>
      <c r="J9" s="89" t="s">
        <v>37</v>
      </c>
      <c r="K9" s="89" t="s">
        <v>66</v>
      </c>
      <c r="L9" s="89" t="s">
        <v>64</v>
      </c>
      <c r="M9" s="33"/>
      <c r="N9" s="33"/>
      <c r="O9" s="33"/>
      <c r="P9" s="33"/>
      <c r="Q9" s="33"/>
      <c r="R9" s="33"/>
      <c r="S9" s="66">
        <v>0.0</v>
      </c>
      <c r="T9" s="77">
        <v>0.0</v>
      </c>
      <c r="U9" s="34" t="s">
        <v>57</v>
      </c>
      <c r="V9" s="34" t="s">
        <v>68</v>
      </c>
      <c r="W9" s="34"/>
      <c r="X9" s="77">
        <v>0.0</v>
      </c>
      <c r="Y9" s="34"/>
      <c r="Z9" s="34"/>
      <c r="AA9" s="34"/>
      <c r="AB9" s="77"/>
      <c r="AC9" s="34" t="s">
        <v>61</v>
      </c>
      <c r="AD9" s="77">
        <v>1.0</v>
      </c>
      <c r="AE9" s="82"/>
      <c r="AF9" s="34" t="s">
        <v>59</v>
      </c>
      <c r="AG9" s="77">
        <v>10.0</v>
      </c>
      <c r="AH9" s="34" t="s">
        <v>27</v>
      </c>
      <c r="AI9" s="34" t="s">
        <v>37</v>
      </c>
      <c r="AJ9" s="34" t="s">
        <v>38</v>
      </c>
      <c r="AK9" s="34" t="s">
        <v>49</v>
      </c>
      <c r="AL9" s="77">
        <v>300.0</v>
      </c>
      <c r="AM9" s="77">
        <v>300.0</v>
      </c>
      <c r="AN9" s="77">
        <v>100.0</v>
      </c>
      <c r="AO9" s="77">
        <v>300.0</v>
      </c>
      <c r="AP9" s="34"/>
      <c r="AQ9" s="77">
        <v>10.0</v>
      </c>
      <c r="AR9" s="77">
        <v>10.0</v>
      </c>
      <c r="AS9" s="34" t="s">
        <v>40</v>
      </c>
      <c r="AT9" s="34"/>
      <c r="AU9" s="34" t="s">
        <v>41</v>
      </c>
      <c r="AV9" s="77">
        <v>3000.0</v>
      </c>
      <c r="AW9" s="77">
        <v>3000.0</v>
      </c>
      <c r="AX9" s="34"/>
      <c r="AY9" s="77">
        <v>300.0</v>
      </c>
      <c r="AZ9" s="82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3"/>
      <c r="B10" s="33"/>
      <c r="C10" s="33"/>
      <c r="D10" s="66">
        <v>10.0</v>
      </c>
      <c r="E10" s="89" t="s">
        <v>55</v>
      </c>
      <c r="F10" s="66">
        <v>0.0</v>
      </c>
      <c r="G10" s="66"/>
      <c r="H10" s="89" t="s">
        <v>58</v>
      </c>
      <c r="I10" s="89" t="s">
        <v>67</v>
      </c>
      <c r="J10" s="89" t="s">
        <v>37</v>
      </c>
      <c r="K10" s="89" t="s">
        <v>66</v>
      </c>
      <c r="L10" s="89" t="s">
        <v>64</v>
      </c>
      <c r="M10" s="33"/>
      <c r="N10" s="33"/>
      <c r="O10" s="33"/>
      <c r="P10" s="33"/>
      <c r="Q10" s="33"/>
      <c r="R10" s="33"/>
      <c r="S10" s="66">
        <v>0.0</v>
      </c>
      <c r="T10" s="77">
        <v>0.0</v>
      </c>
      <c r="U10" s="34" t="s">
        <v>57</v>
      </c>
      <c r="V10" s="34" t="s">
        <v>68</v>
      </c>
      <c r="W10" s="34"/>
      <c r="X10" s="77">
        <v>0.0</v>
      </c>
      <c r="Y10" s="34"/>
      <c r="Z10" s="34"/>
      <c r="AA10" s="34"/>
      <c r="AB10" s="77"/>
      <c r="AC10" s="34" t="s">
        <v>61</v>
      </c>
      <c r="AD10" s="77">
        <v>1.0</v>
      </c>
      <c r="AE10" s="82"/>
      <c r="AF10" s="34" t="s">
        <v>59</v>
      </c>
      <c r="AG10" s="77">
        <v>10.0</v>
      </c>
      <c r="AH10" s="34" t="s">
        <v>27</v>
      </c>
      <c r="AI10" s="34" t="s">
        <v>37</v>
      </c>
      <c r="AJ10" s="34" t="s">
        <v>38</v>
      </c>
      <c r="AK10" s="34" t="s">
        <v>49</v>
      </c>
      <c r="AL10" s="77">
        <v>400.0</v>
      </c>
      <c r="AM10" s="77">
        <v>400.0</v>
      </c>
      <c r="AN10" s="77">
        <v>100.0</v>
      </c>
      <c r="AO10" s="77">
        <v>400.0</v>
      </c>
      <c r="AP10" s="34"/>
      <c r="AQ10" s="77">
        <v>10.0</v>
      </c>
      <c r="AR10" s="77">
        <v>10.0</v>
      </c>
      <c r="AS10" s="34" t="s">
        <v>40</v>
      </c>
      <c r="AT10" s="34"/>
      <c r="AU10" s="34" t="s">
        <v>41</v>
      </c>
      <c r="AV10" s="77">
        <v>4000.0</v>
      </c>
      <c r="AW10" s="77">
        <v>4000.0</v>
      </c>
      <c r="AX10" s="34"/>
      <c r="AY10" s="77">
        <v>400.0</v>
      </c>
      <c r="AZ10" s="82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3"/>
      <c r="B11" s="33"/>
      <c r="C11" s="33"/>
      <c r="D11" s="66">
        <v>10.0</v>
      </c>
      <c r="E11" s="89" t="s">
        <v>55</v>
      </c>
      <c r="F11" s="66">
        <v>0.0</v>
      </c>
      <c r="G11" s="66"/>
      <c r="H11" s="89" t="s">
        <v>58</v>
      </c>
      <c r="I11" s="89" t="s">
        <v>67</v>
      </c>
      <c r="J11" s="89" t="s">
        <v>37</v>
      </c>
      <c r="K11" s="89" t="s">
        <v>66</v>
      </c>
      <c r="L11" s="89" t="s">
        <v>64</v>
      </c>
      <c r="M11" s="33"/>
      <c r="N11" s="33"/>
      <c r="O11" s="33"/>
      <c r="P11" s="33"/>
      <c r="Q11" s="33"/>
      <c r="R11" s="33"/>
      <c r="S11" s="66">
        <v>0.0</v>
      </c>
      <c r="T11" s="77">
        <v>0.0</v>
      </c>
      <c r="U11" s="34" t="s">
        <v>57</v>
      </c>
      <c r="V11" s="34" t="s">
        <v>68</v>
      </c>
      <c r="W11" s="34"/>
      <c r="X11" s="77">
        <v>0.0</v>
      </c>
      <c r="Y11" s="34"/>
      <c r="Z11" s="34"/>
      <c r="AA11" s="34"/>
      <c r="AB11" s="77"/>
      <c r="AC11" s="34" t="s">
        <v>61</v>
      </c>
      <c r="AD11" s="77">
        <v>1.0</v>
      </c>
      <c r="AE11" s="82"/>
      <c r="AF11" s="34" t="s">
        <v>59</v>
      </c>
      <c r="AG11" s="77">
        <v>10.0</v>
      </c>
      <c r="AH11" s="34" t="s">
        <v>27</v>
      </c>
      <c r="AI11" s="34" t="s">
        <v>37</v>
      </c>
      <c r="AJ11" s="34" t="s">
        <v>38</v>
      </c>
      <c r="AK11" s="34" t="s">
        <v>49</v>
      </c>
      <c r="AL11" s="77">
        <v>500.0</v>
      </c>
      <c r="AM11" s="77">
        <v>500.0</v>
      </c>
      <c r="AN11" s="77">
        <v>100.0</v>
      </c>
      <c r="AO11" s="77">
        <v>500.0</v>
      </c>
      <c r="AP11" s="34"/>
      <c r="AQ11" s="77">
        <v>10.0</v>
      </c>
      <c r="AR11" s="77">
        <v>10.0</v>
      </c>
      <c r="AS11" s="34" t="s">
        <v>40</v>
      </c>
      <c r="AT11" s="34"/>
      <c r="AU11" s="34" t="s">
        <v>41</v>
      </c>
      <c r="AV11" s="77">
        <v>5000.0</v>
      </c>
      <c r="AW11" s="77">
        <v>5000.0</v>
      </c>
      <c r="AX11" s="34"/>
      <c r="AY11" s="77">
        <v>500.0</v>
      </c>
      <c r="AZ11" s="82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71</v>
      </c>
      <c r="D3" s="5" t="s">
        <v>9</v>
      </c>
      <c r="E3" s="23" t="s">
        <v>72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IFERROR(__xludf.DUMMYFUNCTION("""COMPUTED_VALUE"""),"Trade Date")</f>
        <v>Trade Date</v>
      </c>
      <c r="C5" s="29" t="str">
        <f>IFERROR(__xludf.DUMMYFUNCTION("""COMPUTED_VALUE"""),"Symbol")</f>
        <v>Symbol</v>
      </c>
      <c r="D5" s="29" t="str">
        <f>IFERROR(__xludf.DUMMYFUNCTION("""COMPUTED_VALUE"""),"Position")</f>
        <v>Position</v>
      </c>
      <c r="E5" s="29" t="str">
        <f>IFERROR(__xludf.DUMMYFUNCTION("""COMPUTED_VALUE"""),"Account")</f>
        <v>Account</v>
      </c>
      <c r="F5" s="30" t="str">
        <f>IFERROR(__xludf.DUMMYFUNCTION("""COMPUTED_VALUE"""),"MasterFund")</f>
        <v>MasterFund</v>
      </c>
      <c r="G5" s="29" t="str">
        <f>IFERROR(__xludf.DUMMYFUNCTION("""COMPUTED_VALUE"""),"Cost Basis")</f>
        <v>Cost Basis</v>
      </c>
      <c r="H5" s="29" t="str">
        <f>IFERROR(__xludf.DUMMYFUNCTION("""COMPUTED_VALUE"""),"Position Side")</f>
        <v>Position Side</v>
      </c>
      <c r="I5" s="29" t="str">
        <f>IFERROR(__xludf.DUMMYFUNCTION("""COMPUTED_VALUE"""),"Market Value (Base)")</f>
        <v>Market Value (Base)</v>
      </c>
      <c r="J5" s="29" t="str">
        <f>IFERROR(__xludf.DUMMYFUNCTION("""COMPUTED_VALUE"""),"% Day P&amp;L (Gross MV)")</f>
        <v>% Day P&amp;L (Gross MV)</v>
      </c>
      <c r="K5" s="29" t="str">
        <f>IFERROR(__xludf.DUMMYFUNCTION("""COMPUTED_VALUE"""),"Net Exposure (Base)")</f>
        <v>Net Exposure (Base)</v>
      </c>
      <c r="L5" s="29" t="str">
        <f>IFERROR(__xludf.DUMMYFUNCTION("""COMPUTED_VALUE"""),"Beta Adj. Gross Exposure (Base)")</f>
        <v>Beta Adj. Gross Exposure (Base)</v>
      </c>
      <c r="M5" s="29" t="str">
        <f>IFERROR(__xludf.DUMMYFUNCTION("""COMPUTED_VALUE"""),"Beta Adj. Gross Exposure (Underlying) (Base)")</f>
        <v>Beta Adj. Gross Exposure (Underlying) (Base)</v>
      </c>
      <c r="N5" s="29" t="str">
        <f>IFERROR(__xludf.DUMMYFUNCTION("""COMPUTED_VALUE"""),"Day P&amp;L (Base)")</f>
        <v>Day P&amp;L (Base)</v>
      </c>
      <c r="O5" s="29" t="str">
        <f>IFERROR(__xludf.DUMMYFUNCTION("""COMPUTED_VALUE"""),"Security Name")</f>
        <v>Security Name</v>
      </c>
      <c r="P5" s="29" t="str">
        <f>IFERROR(__xludf.DUMMYFUNCTION("""COMPUTED_VALUE"""),"Closing Mark")</f>
        <v>Closing Mark</v>
      </c>
      <c r="Q5" s="29" t="str">
        <f>IFERROR(__xludf.DUMMYFUNCTION("""COMPUTED_VALUE"""),"Cost Basis P&amp;L (Base)")</f>
        <v>Cost Basis P&amp;L (Base)</v>
      </c>
      <c r="R5" s="29" t="str">
        <f>IFERROR(__xludf.DUMMYFUNCTION("""COMPUTED_VALUE"""),"Prime Broker")</f>
        <v>Prime Broker</v>
      </c>
      <c r="S5" s="29" t="str">
        <f>IFERROR(__xludf.DUMMYFUNCTION("""COMPUTED_VALUE"""),"Strategy")</f>
        <v>Strategy</v>
      </c>
      <c r="T5" s="31" t="str">
        <f>IFERROR(__xludf.DUMMYFUNCTION("""COMPUTED_VALUE"""),"Asset Class")</f>
        <v>Asset Class</v>
      </c>
      <c r="U5" s="31" t="str">
        <f>IFERROR(__xludf.DUMMYFUNCTION("""COMPUTED_VALUE"""),"Underlying")</f>
        <v>Underlying</v>
      </c>
      <c r="V5" s="31" t="str">
        <f>IFERROR(__xludf.DUMMYFUNCTION("""COMPUTED_VALUE"""),"Exchange")</f>
        <v>Exchange</v>
      </c>
      <c r="W5" s="31" t="str">
        <f>IFERROR(__xludf.DUMMYFUNCTION("""COMPUTED_VALUE"""),"Trade Currency")</f>
        <v>Trade Currency</v>
      </c>
      <c r="X5" s="31" t="str">
        <f>IFERROR(__xludf.DUMMYFUNCTION("""COMPUTED_VALUE"""),"Multiplier")</f>
        <v>Multiplier</v>
      </c>
      <c r="Y5" s="31" t="str">
        <f>IFERROR(__xludf.DUMMYFUNCTION("""COMPUTED_VALUE"""),"FX Rate")</f>
        <v>FX Rate</v>
      </c>
      <c r="Z5" s="31" t="str">
        <f>IFERROR(__xludf.DUMMYFUNCTION("""COMPUTED_VALUE"""),"Vs Currency")</f>
        <v>Vs Currency</v>
      </c>
      <c r="AA5" s="31" t="str">
        <f>IFERROR(__xludf.DUMMYFUNCTION("""COMPUTED_VALUE"""),"Lead Currency")</f>
        <v>Lead Currency</v>
      </c>
      <c r="AB5" s="31" t="str">
        <f>IFERROR(__xludf.DUMMYFUNCTION("""COMPUTED_VALUE"""),"Dividend Yield (%)")</f>
        <v>Dividend Yield (%)</v>
      </c>
      <c r="AC5" s="31" t="str">
        <f>IFERROR(__xludf.DUMMYFUNCTION("""COMPUTED_VALUE"""),"% Change")</f>
        <v>% Change</v>
      </c>
      <c r="AD5" s="31" t="str">
        <f>IFERROR(__xludf.DUMMYFUNCTION("""COMPUTED_VALUE"""),"Net Exposure (Local)")</f>
        <v>Net Exposure (Local)</v>
      </c>
      <c r="AE5" s="31" t="str">
        <f>IFERROR(__xludf.DUMMYFUNCTION("""COMPUTED_VALUE"""),"Exposure (Local)")</f>
        <v>Exposure (Local)</v>
      </c>
      <c r="AF5" s="31" t="str">
        <f>IFERROR(__xludf.DUMMYFUNCTION("""COMPUTED_VALUE"""),"Delta Adj. Position")</f>
        <v>Delta Adj. Position</v>
      </c>
      <c r="AG5" s="31" t="str">
        <f>IFERROR(__xludf.DUMMYFUNCTION("""COMPUTED_VALUE"""),"Exposure (Base)")</f>
        <v>Exposure (Base)</v>
      </c>
      <c r="AH5" s="31" t="str">
        <f>IFERROR(__xludf.DUMMYFUNCTION("""COMPUTED_VALUE"""),"Beta Adj. Exposure (Local)")</f>
        <v>Beta Adj. Exposure (Local)</v>
      </c>
      <c r="AI5" s="31" t="str">
        <f>IFERROR(__xludf.DUMMYFUNCTION("""COMPUTED_VALUE"""),"Beta Adj. Exposure (Base)")</f>
        <v>Beta Adj. Exposure (Base)</v>
      </c>
      <c r="AJ5" s="31" t="str">
        <f>IFERROR(__xludf.DUMMYFUNCTION("""COMPUTED_VALUE"""),"Exposure (BP)(Base)")</f>
        <v>Exposure (BP)(Base)</v>
      </c>
      <c r="AK5" s="31" t="str">
        <f>IFERROR(__xludf.DUMMYFUNCTION("""COMPUTED_VALUE"""),"Day P&amp;L (Local)")</f>
        <v>Day P&amp;L (Local)</v>
      </c>
      <c r="AL5" s="31" t="str">
        <f>IFERROR(__xludf.DUMMYFUNCTION("""COMPUTED_VALUE"""),"Delta")</f>
        <v>Delta</v>
      </c>
      <c r="AM5" s="31" t="str">
        <f>IFERROR(__xludf.DUMMYFUNCTION("""COMPUTED_VALUE"""),"Leveraged Factor")</f>
        <v>Leveraged Factor</v>
      </c>
      <c r="AN5" s="31" t="str">
        <f>IFERROR(__xludf.DUMMYFUNCTION("""COMPUTED_VALUE"""),"Order Side")</f>
        <v>Order Side</v>
      </c>
      <c r="AO5" s="31" t="str">
        <f>IFERROR(__xludf.DUMMYFUNCTION("""COMPUTED_VALUE"""),"Master Strategy")</f>
        <v>Master Strategy</v>
      </c>
      <c r="AP5" s="31" t="str">
        <f>IFERROR(__xludf.DUMMYFUNCTION("""COMPUTED_VALUE"""),"Transaction Side")</f>
        <v>Transaction Side</v>
      </c>
      <c r="AQ5" s="31" t="str">
        <f>IFERROR(__xludf.DUMMYFUNCTION("""COMPUTED_VALUE"""),"Underlying Symbol")</f>
        <v>Underlying Symbol</v>
      </c>
      <c r="AR5" s="31" t="str">
        <f>IFERROR(__xludf.DUMMYFUNCTION("""COMPUTED_VALUE"""),"Underlying Price")</f>
        <v>Underlying Price</v>
      </c>
      <c r="AS5" s="31" t="str">
        <f>IFERROR(__xludf.DUMMYFUNCTION("""COMPUTED_VALUE"""),"Side Multiplier")</f>
        <v>Side Multiplier</v>
      </c>
      <c r="AT5" s="31" t="str">
        <f>IFERROR(__xludf.DUMMYFUNCTION("""COMPUTED_VALUE"""),"Description")</f>
        <v>Description</v>
      </c>
      <c r="AU5" s="31" t="str">
        <f>IFERROR(__xludf.DUMMYFUNCTION("""COMPUTED_VALUE"""),"Internal Comments")</f>
        <v>Internal Comments</v>
      </c>
      <c r="AV5" s="31" t="str">
        <f>IFERROR(__xludf.DUMMYFUNCTION("""COMPUTED_VALUE"""),"FX Rate On Trade Date")</f>
        <v>FX Rate On Trade Date</v>
      </c>
      <c r="AW5" s="31" t="str">
        <f>IFERROR(__xludf.DUMMYFUNCTION("""COMPUTED_VALUE"""),"Cost Basis P&amp;L (Local)")</f>
        <v>Cost Basis P&amp;L (Local)</v>
      </c>
      <c r="AX5" s="31" t="str">
        <f>IFERROR(__xludf.DUMMYFUNCTION("""COMPUTED_VALUE"""),"Day Interest")</f>
        <v>Day Interest</v>
      </c>
      <c r="AY5" s="31" t="str">
        <f>IFERROR(__xludf.DUMMYFUNCTION("""COMPUTED_VALUE"""),"Total Interest")</f>
        <v>Total Interest</v>
      </c>
      <c r="AZ5" s="31" t="str">
        <f>IFERROR(__xludf.DUMMYFUNCTION("""COMPUTED_VALUE"""),"Market Value (Local)")</f>
        <v>Market Value (Local)</v>
      </c>
      <c r="BA5" s="31" t="str">
        <f>IFERROR(__xludf.DUMMYFUNCTION("""COMPUTED_VALUE"""),"% Gain/Loss Day")</f>
        <v>% Gain/Loss Day</v>
      </c>
      <c r="BB5" s="31" t="str">
        <f>IFERROR(__xludf.DUMMYFUNCTION("""COMPUTED_VALUE"""),"Update Time (Last Price)")</f>
        <v>Update Time (Last Price)</v>
      </c>
      <c r="BC5" s="31" t="str">
        <f>IFERROR(__xludf.DUMMYFUNCTION("""COMPUTED_VALUE"""),"Beta")</f>
        <v>Beta</v>
      </c>
      <c r="BD5" s="31" t="str">
        <f>IFERROR(__xludf.DUMMYFUNCTION("""COMPUTED_VALUE"""),"Cash Impact (Local)")</f>
        <v>Cash Impact (Local)</v>
      </c>
      <c r="BE5" s="31" t="str">
        <f>IFERROR(__xludf.DUMMYFUNCTION("""COMPUTED_VALUE"""),"User Asset")</f>
        <v>User Asset</v>
      </c>
      <c r="BF5" s="31" t="str">
        <f>IFERROR(__xludf.DUMMYFUNCTION("""COMPUTED_VALUE"""),"Security Type")</f>
        <v>Security Type</v>
      </c>
      <c r="BG5" s="31" t="str">
        <f>IFERROR(__xludf.DUMMYFUNCTION("""COMPUTED_VALUE"""),"Sector")</f>
        <v>Sector</v>
      </c>
      <c r="BH5" s="31" t="str">
        <f>IFERROR(__xludf.DUMMYFUNCTION("""COMPUTED_VALUE"""),"Sub Sector")</f>
        <v>Sub Sector</v>
      </c>
      <c r="BI5" s="31" t="str">
        <f>IFERROR(__xludf.DUMMYFUNCTION("""COMPUTED_VALUE"""),"Country")</f>
        <v>Country</v>
      </c>
      <c r="BJ5" s="31" t="str">
        <f>IFERROR(__xludf.DUMMYFUNCTION("""COMPUTED_VALUE"""),"Market Cap")</f>
        <v>Market Cap</v>
      </c>
      <c r="BK5" s="31" t="str">
        <f>IFERROR(__xludf.DUMMYFUNCTION("""COMPUTED_VALUE"""),"Shares Outstanding (MM)")</f>
        <v>Shares Outstanding (MM)</v>
      </c>
      <c r="BL5" s="31" t="str">
        <f>IFERROR(__xludf.DUMMYFUNCTION("""COMPUTED_VALUE"""),"Avg Volume 20 Day")</f>
        <v>Avg Volume 20 Day</v>
      </c>
      <c r="BM5" s="31" t="str">
        <f>IFERROR(__xludf.DUMMYFUNCTION("""COMPUTED_VALUE"""),"% Avg Volume (Delta Adj.)")</f>
        <v>% Avg Volume (Delta Adj.)</v>
      </c>
      <c r="BN5" s="31" t="str">
        <f>IFERROR(__xludf.DUMMYFUNCTION("""COMPUTED_VALUE"""),"Ex Dividend Date")</f>
        <v>Ex Dividend Date</v>
      </c>
      <c r="BO5" s="31" t="str">
        <f>IFERROR(__xludf.DUMMYFUNCTION("""COMPUTED_VALUE"""),"Cash Impact (Base)")</f>
        <v>Cash Impact (Base)</v>
      </c>
      <c r="BP5" s="31" t="str">
        <f>IFERROR(__xludf.DUMMYFUNCTION("""COMPUTED_VALUE"""),"Volatility (%)")</f>
        <v>Volatility (%)</v>
      </c>
      <c r="BQ5" s="31" t="str">
        <f>IFERROR(__xludf.DUMMYFUNCTION("""COMPUTED_VALUE"""),"User")</f>
        <v>User</v>
      </c>
      <c r="BR5" s="31" t="str">
        <f>IFERROR(__xludf.DUMMYFUNCTION("""COMPUTED_VALUE"""),"Broker")</f>
        <v>Broker</v>
      </c>
      <c r="BS5" s="31" t="str">
        <f>IFERROR(__xludf.DUMMYFUNCTION("""COMPUTED_VALUE"""),"Earned Dividend (Local)")</f>
        <v>Earned Dividend (Local)</v>
      </c>
      <c r="BT5" s="31" t="str">
        <f>IFERROR(__xludf.DUMMYFUNCTION("""COMPUTED_VALUE"""),"Earned Dividend (Base)")</f>
        <v>Earned Dividend (Base)</v>
      </c>
      <c r="BU5" s="31" t="str">
        <f>IFERROR(__xludf.DUMMYFUNCTION("""COMPUTED_VALUE"""),"Put/Call")</f>
        <v>Put/Call</v>
      </c>
      <c r="BV5" s="31" t="str">
        <f>IFERROR(__xludf.DUMMYFUNCTION("""COMPUTED_VALUE"""),"Expiration Date")</f>
        <v>Expiration Date</v>
      </c>
      <c r="BW5" s="31" t="str">
        <f>IFERROR(__xludf.DUMMYFUNCTION("""COMPUTED_VALUE"""),"Strike Price")</f>
        <v>Strike Price</v>
      </c>
      <c r="BX5" s="31" t="str">
        <f>IFERROR(__xludf.DUMMYFUNCTION("""COMPUTED_VALUE"""),"Gross Exposure (Base)")</f>
        <v>Gross Exposure (Base)</v>
      </c>
      <c r="BY5" s="31" t="str">
        <f>IFERROR(__xludf.DUMMYFUNCTION("""COMPUTED_VALUE"""),"Gross Market Value (Base)")</f>
        <v>Gross Market Value (Base)</v>
      </c>
      <c r="BZ5" s="31" t="str">
        <f>IFERROR(__xludf.DUMMYFUNCTION("""COMPUTED_VALUE"""),"Px Selected Feed (Local)")</f>
        <v>Px Selected Feed (Local)</v>
      </c>
      <c r="CA5" s="31" t="str">
        <f>IFERROR(__xludf.DUMMYFUNCTION("""COMPUTED_VALUE"""),"Px Selected Feed (Base)")</f>
        <v>Px Selected Feed (Base)</v>
      </c>
      <c r="CB5" s="31" t="str">
        <f>IFERROR(__xludf.DUMMYFUNCTION("""COMPUTED_VALUE"""),"Settlement Date")</f>
        <v>Settlement Date</v>
      </c>
      <c r="CC5" s="31" t="str">
        <f>IFERROR(__xludf.DUMMYFUNCTION("""COMPUTED_VALUE"""),"% Avg Volume")</f>
        <v>% Avg Volume</v>
      </c>
      <c r="CD5" s="31" t="str">
        <f>IFERROR(__xludf.DUMMYFUNCTION("""COMPUTED_VALUE"""),"Day P&amp;L (Base)(Price Gain)")</f>
        <v>Day P&amp;L (Base)(Price Gain)</v>
      </c>
      <c r="CE5" s="31" t="str">
        <f>IFERROR(__xludf.DUMMYFUNCTION("""COMPUTED_VALUE"""),"Day P&amp;L (Base)(FX Gain)")</f>
        <v>Day P&amp;L (Base)(FX Gain)</v>
      </c>
      <c r="CF5" s="31" t="str">
        <f>IFERROR(__xludf.DUMMYFUNCTION("""COMPUTED_VALUE"""),"Cost Basis P&amp;L (Base)(FX Gain)")</f>
        <v>Cost Basis P&amp;L (Base)(FX Gain)</v>
      </c>
      <c r="CG5" s="31" t="str">
        <f>IFERROR(__xludf.DUMMYFUNCTION("""COMPUTED_VALUE"""),"Cost Basis P&amp;L (Base)(Price Gain)")</f>
        <v>Cost Basis P&amp;L (Base)(Price Gain)</v>
      </c>
      <c r="CH5" s="31" t="str">
        <f>IFERROR(__xludf.DUMMYFUNCTION("""COMPUTED_VALUE"""),"% Gain/Loss Cost")</f>
        <v>% Gain/Loss Cost</v>
      </c>
      <c r="CI5" s="31" t="str">
        <f>IFERROR(__xludf.DUMMYFUNCTION("""COMPUTED_VALUE"""),"Underlying Value (Options)")</f>
        <v>Underlying Value (Options)</v>
      </c>
      <c r="CJ5" s="31" t="str">
        <f>IFERROR(__xludf.DUMMYFUNCTION("""COMPUTED_VALUE"""),"Avg Volume 20 Day (Underlying Symbol)")</f>
        <v>Avg Volume 20 Day (Underlying Symbol)</v>
      </c>
      <c r="CK5" s="31" t="str">
        <f>IFERROR(__xludf.DUMMYFUNCTION("""COMPUTED_VALUE"""),"IsStaleData")</f>
        <v>IsStaleData</v>
      </c>
      <c r="CL5" s="31" t="str">
        <f>IFERROR(__xludf.DUMMYFUNCTION("""COMPUTED_VALUE"""),"IDCO")</f>
        <v>IDCO</v>
      </c>
      <c r="CM5" s="31" t="str">
        <f>IFERROR(__xludf.DUMMYFUNCTION("""COMPUTED_VALUE"""),"OSI")</f>
        <v>OSI</v>
      </c>
      <c r="CN5" s="31" t="str">
        <f>IFERROR(__xludf.DUMMYFUNCTION("""COMPUTED_VALUE"""),"SEDOL")</f>
        <v>SEDOL</v>
      </c>
      <c r="CO5" s="31" t="str">
        <f>IFERROR(__xludf.DUMMYFUNCTION("""COMPUTED_VALUE"""),"CUSIP")</f>
        <v>CUSIP</v>
      </c>
      <c r="CP5" s="31" t="str">
        <f>IFERROR(__xludf.DUMMYFUNCTION("""COMPUTED_VALUE"""),"Bloomberg")</f>
        <v>Bloomberg</v>
      </c>
      <c r="CQ5" s="31" t="str">
        <f>IFERROR(__xludf.DUMMYFUNCTION("""COMPUTED_VALUE"""),"ISIN")</f>
        <v>ISIN</v>
      </c>
      <c r="CR5" s="31" t="str">
        <f>IFERROR(__xludf.DUMMYFUNCTION("""COMPUTED_VALUE"""),"Start Trade Date")</f>
        <v>Start Trade Date</v>
      </c>
      <c r="CS5" s="31" t="str">
        <f>IFERROR(__xludf.DUMMYFUNCTION("""COMPUTED_VALUE"""),"Cost Basis (Break Even)")</f>
        <v>Cost Basis (Break Even)</v>
      </c>
      <c r="CT5" s="31" t="str">
        <f>IFERROR(__xludf.DUMMYFUNCTION("""COMPUTED_VALUE"""),"Trade Attribute 3")</f>
        <v>Trade Attribute 3</v>
      </c>
      <c r="CU5" s="31" t="str">
        <f>IFERROR(__xludf.DUMMYFUNCTION("""COMPUTED_VALUE"""),"Trade Attribute 4")</f>
        <v>Trade Attribute 4</v>
      </c>
      <c r="CV5" s="31" t="str">
        <f>IFERROR(__xludf.DUMMYFUNCTION("""COMPUTED_VALUE"""),"Trade Attribute 5")</f>
        <v>Trade Attribute 5</v>
      </c>
      <c r="CW5" s="31" t="str">
        <f>IFERROR(__xludf.DUMMYFUNCTION("""COMPUTED_VALUE"""),"Trade Attribute 6")</f>
        <v>Trade Attribute 6</v>
      </c>
      <c r="CX5" s="31" t="str">
        <f>IFERROR(__xludf.DUMMYFUNCTION("""COMPUTED_VALUE"""),"Proxy Symbol")</f>
        <v>Proxy Symbol</v>
      </c>
      <c r="CY5" s="31" t="str">
        <f>IFERROR(__xludf.DUMMYFUNCTION("""COMPUTED_VALUE"""),"Pricing Source")</f>
        <v>Pricing Source</v>
      </c>
      <c r="CZ5" s="31" t="str">
        <f>IFERROR(__xludf.DUMMYFUNCTION("""COMPUTED_VALUE"""),"Delta Source")</f>
        <v>Delta Source</v>
      </c>
      <c r="DA5" s="31" t="str">
        <f>IFERROR(__xludf.DUMMYFUNCTION("""COMPUTED_VALUE"""),"Gross Exposure (Local)")</f>
        <v>Gross Exposure (Local)</v>
      </c>
      <c r="DB5" s="31" t="str">
        <f>IFERROR(__xludf.DUMMYFUNCTION("""COMPUTED_VALUE"""),"% Day P&amp;L (Net MV)")</f>
        <v>% Day P&amp;L (Net MV)</v>
      </c>
      <c r="DC5" s="31" t="str">
        <f>IFERROR(__xludf.DUMMYFUNCTION("""COMPUTED_VALUE"""),"Expiration Month")</f>
        <v>Expiration Month</v>
      </c>
      <c r="DD5" s="31" t="str">
        <f>IFERROR(__xludf.DUMMYFUNCTION("""COMPUTED_VALUE"""),"Delta Adj. Position (LME)")</f>
        <v>Delta Adj. Position (LME)</v>
      </c>
      <c r="DE5" s="31" t="str">
        <f>IFERROR(__xludf.DUMMYFUNCTION("""COMPUTED_VALUE"""),"Premium")</f>
        <v>Premium</v>
      </c>
      <c r="DF5" s="31" t="str">
        <f>IFERROR(__xludf.DUMMYFUNCTION("""COMPUTED_VALUE"""),"Premium $")</f>
        <v>Premium $</v>
      </c>
      <c r="DG5" s="31" t="str">
        <f>IFERROR(__xludf.DUMMYFUNCTION("""COMPUTED_VALUE"""),"Forward Points")</f>
        <v>Forward Points</v>
      </c>
      <c r="DH5" s="31" t="str">
        <f>IFERROR(__xludf.DUMMYFUNCTION("""COMPUTED_VALUE"""),"Closing Mark (Underlying)")</f>
        <v>Closing Mark (Underlying)</v>
      </c>
      <c r="DI5" s="31" t="str">
        <f>IFERROR(__xludf.DUMMYFUNCTION("""COMPUTED_VALUE"""),"% Change (Underlying Price)")</f>
        <v>% Change (Underlying Price)</v>
      </c>
      <c r="DJ5" s="31" t="str">
        <f>IFERROR(__xludf.DUMMYFUNCTION("""COMPUTED_VALUE"""),"Transaction Type")</f>
        <v>Transaction Type</v>
      </c>
      <c r="DK5" s="31" t="str">
        <f>IFERROR(__xludf.DUMMYFUNCTION("""COMPUTED_VALUE"""),"Closing Market Value (Local)")</f>
        <v>Closing Market Value (Local)</v>
      </c>
      <c r="DL5" s="31" t="str">
        <f>IFERROR(__xludf.DUMMYFUNCTION("""COMPUTED_VALUE"""),"Closing Market Value (Base)")</f>
        <v>Closing Market Value (Base)</v>
      </c>
      <c r="DM5" s="31" t="str">
        <f>IFERROR(__xludf.DUMMYFUNCTION("""COMPUTED_VALUE"""),"Closing FX Rate")</f>
        <v>Closing FX Rate</v>
      </c>
      <c r="DN5" s="31" t="str">
        <f>IFERROR(__xludf.DUMMYFUNCTION("""COMPUTED_VALUE"""),"Change In Underlying Price")</f>
        <v>Change In Underlying Price</v>
      </c>
      <c r="DO5" s="31" t="str">
        <f>IFERROR(__xludf.DUMMYFUNCTION("""COMPUTED_VALUE"""),"RIC")</f>
        <v>RIC</v>
      </c>
      <c r="DP5" s="31" t="str">
        <f>IFERROR(__xludf.DUMMYFUNCTION("""COMPUTED_VALUE"""),"Position Side Exposure (Boxed)")</f>
        <v>Position Side Exposure (Boxed)</v>
      </c>
      <c r="DQ5" s="31" t="str">
        <f>IFERROR(__xludf.DUMMYFUNCTION("""COMPUTED_VALUE"""),"Analyst")</f>
        <v>Analyst</v>
      </c>
      <c r="DR5" s="31" t="str">
        <f>IFERROR(__xludf.DUMMYFUNCTION("""COMPUTED_VALUE"""),"Country Of Risk")</f>
        <v>Country Of Risk</v>
      </c>
      <c r="DS5" s="31" t="str">
        <f>IFERROR(__xludf.DUMMYFUNCTION("""COMPUTED_VALUE"""),"Custom UDA1")</f>
        <v>Custom UDA1</v>
      </c>
      <c r="DT5" s="31" t="str">
        <f>IFERROR(__xludf.DUMMYFUNCTION("""COMPUTED_VALUE"""),"Custom UDA2")</f>
        <v>Custom UDA2</v>
      </c>
      <c r="DU5" s="31" t="str">
        <f>IFERROR(__xludf.DUMMYFUNCTION("""COMPUTED_VALUE"""),"Custom UDA3")</f>
        <v>Custom UDA3</v>
      </c>
      <c r="DV5" s="31" t="str">
        <f>IFERROR(__xludf.DUMMYFUNCTION("""COMPUTED_VALUE"""),"Custom UDA4")</f>
        <v>Custom UDA4</v>
      </c>
      <c r="DW5" s="31" t="str">
        <f>IFERROR(__xludf.DUMMYFUNCTION("""COMPUTED_VALUE"""),"Custom UDA5")</f>
        <v>Custom UDA5</v>
      </c>
      <c r="DX5" s="31" t="str">
        <f>IFERROR(__xludf.DUMMYFUNCTION("""COMPUTED_VALUE"""),"Custom UDA6")</f>
        <v>Custom UDA6</v>
      </c>
      <c r="DY5" s="31" t="str">
        <f>IFERROR(__xludf.DUMMYFUNCTION("""COMPUTED_VALUE"""),"Custom UDA7")</f>
        <v>Custom UDA7</v>
      </c>
      <c r="DZ5" s="31" t="str">
        <f>IFERROR(__xludf.DUMMYFUNCTION("""COMPUTED_VALUE"""),"Issuer")</f>
        <v>Issuer</v>
      </c>
      <c r="EA5" s="31" t="str">
        <f>IFERROR(__xludf.DUMMYFUNCTION("""COMPUTED_VALUE"""),"Liquid Tag")</f>
        <v>Liquid Tag</v>
      </c>
      <c r="EB5" s="31" t="str">
        <f>IFERROR(__xludf.DUMMYFUNCTION("""COMPUTED_VALUE"""),"Market Cap UDA")</f>
        <v>Market Cap UDA</v>
      </c>
      <c r="EC5" s="31" t="str">
        <f>IFERROR(__xludf.DUMMYFUNCTION("""COMPUTED_VALUE"""),"Region")</f>
        <v>Region</v>
      </c>
      <c r="ED5" s="31" t="str">
        <f>IFERROR(__xludf.DUMMYFUNCTION("""COMPUTED_VALUE"""),"Risk Currency")</f>
        <v>Risk Currency</v>
      </c>
      <c r="EE5" s="31" t="str">
        <f>IFERROR(__xludf.DUMMYFUNCTION("""COMPUTED_VALUE"""),"UCITS Eligible Tag")</f>
        <v>UCITS Eligible Tag</v>
      </c>
      <c r="EF5" s="31" t="str">
        <f>IFERROR(__xludf.DUMMYFUNCTION("""COMPUTED_VALUE"""),"FX Rate (Display)")</f>
        <v>FX Rate (Display)</v>
      </c>
      <c r="EG5" s="31" t="str">
        <f>IFERROR(__xludf.DUMMYFUNCTION("""COMPUTED_VALUE"""),"% Net Exposure (Base)")</f>
        <v>% Net Exposure (Base)</v>
      </c>
      <c r="EH5" s="31" t="str">
        <f>IFERROR(__xludf.DUMMYFUNCTION("""COMPUTED_VALUE"""),"% Gross Exposure (Base)")</f>
        <v>% Gross Exposure (Base)</v>
      </c>
      <c r="EI5" s="31" t="str">
        <f>IFERROR(__xludf.DUMMYFUNCTION("""COMPUTED_VALUE"""),"% Exposure (Base)")</f>
        <v>% Exposure (Base)</v>
      </c>
      <c r="EJ5" s="31" t="str">
        <f>IFERROR(__xludf.DUMMYFUNCTION("""COMPUTED_VALUE"""),"% Gross Exposure (Underlying) (Base)")</f>
        <v>% Gross Exposure (Underlying) (Base)</v>
      </c>
      <c r="EK5" s="31" t="str">
        <f>IFERROR(__xludf.DUMMYFUNCTION("""COMPUTED_VALUE"""),"% Beta Adj. Gross Exposure (Base)")</f>
        <v>% Beta Adj. Gross Exposure (Base)</v>
      </c>
      <c r="EL5" s="31" t="str">
        <f>IFERROR(__xludf.DUMMYFUNCTION("""COMPUTED_VALUE"""),"Position Side Exposure (Underlying)")</f>
        <v>Position Side Exposure (Underlying)</v>
      </c>
      <c r="EM5" s="31" t="str">
        <f>IFERROR(__xludf.DUMMYFUNCTION("""COMPUTED_VALUE"""),"Gross Exposure (Underlying) (Base)")</f>
        <v>Gross Exposure (Underlying) (Base)</v>
      </c>
      <c r="EN5" s="31" t="str">
        <f>IFERROR(__xludf.DUMMYFUNCTION("""COMPUTED_VALUE"""),"Gross Exposure (Underlying)")</f>
        <v>Gross Exposure (Underlying)</v>
      </c>
      <c r="EO5" s="31" t="str">
        <f>IFERROR(__xludf.DUMMYFUNCTION("""COMPUTED_VALUE"""),"Day Return")</f>
        <v>Day Return</v>
      </c>
      <c r="EP5" s="31" t="str">
        <f>IFERROR(__xludf.DUMMYFUNCTION("""COMPUTED_VALUE"""),"Start of Day NAV")</f>
        <v>Start of Day NAV</v>
      </c>
      <c r="EQ5" s="31" t="str">
        <f>IFERROR(__xludf.DUMMYFUNCTION("""COMPUTED_VALUE"""),"% Gross Market Value (Base)")</f>
        <v>% Gross Market Value (Base)</v>
      </c>
      <c r="ER5" s="31" t="str">
        <f>IFERROR(__xludf.DUMMYFUNCTION("""COMPUTED_VALUE"""),"Beta Adj. Gross Exposure (Underlying) (Local)")</f>
        <v>Beta Adj. Gross Exposure (Underlying) (Local)</v>
      </c>
      <c r="ES5" s="31" t="str">
        <f>IFERROR(__xludf.DUMMYFUNCTION("""COMPUTED_VALUE"""),"NAV")</f>
        <v>NAV</v>
      </c>
      <c r="ET5" s="31" t="str">
        <f>IFERROR(__xludf.DUMMYFUNCTION("""COMPUTED_VALUE"""),"% P&amp;L Contribution")</f>
        <v>% P&amp;L Contribution</v>
      </c>
      <c r="EU5" s="31" t="str">
        <f>IFERROR(__xludf.DUMMYFUNCTION("""COMPUTED_VALUE"""),"% Net Market Value (Base)")</f>
        <v>% Net Market Value (Base)</v>
      </c>
      <c r="EV5" s="31" t="str">
        <f>IFERROR(__xludf.DUMMYFUNCTION("""COMPUTED_VALUE"""),"Position Side Exposure")</f>
        <v>Position Side Exposure</v>
      </c>
      <c r="EW5" s="31" t="str">
        <f>IFERROR(__xludf.DUMMYFUNCTION("""COMPUTED_VALUE"""),"NAV (Touch)")</f>
        <v>NAV (Touch)</v>
      </c>
      <c r="EX5" s="31" t="str">
        <f>IFERROR(__xludf.DUMMYFUNCTION("""COMPUTED_VALUE"""),"IgnorePropertyChangeEvents")</f>
        <v>IgnorePropertyChangeEvents</v>
      </c>
      <c r="EY5" s="31" t="str">
        <f>IFERROR(__xludf.DUMMYFUNCTION("""COMPUTED_VALUE"""),"Trade Attribute 1")</f>
        <v>Trade Attribute 1</v>
      </c>
      <c r="EZ5" s="31" t="str">
        <f>IFERROR(__xludf.DUMMYFUNCTION("""COMPUTED_VALUE"""),"Trade Attribute 2")</f>
        <v>Trade Attribute 2</v>
      </c>
      <c r="FA5" s="31" t="str">
        <f>IFERROR(__xludf.DUMMYFUNCTION("""COMPUTED_VALUE"""),"Client")</f>
        <v>Client</v>
      </c>
      <c r="FB5" s="31" t="str">
        <f>IFERROR(__xludf.DUMMYFUNCTION("""COMPUTED_VALUE"""),"IsCustomViewTab")</f>
        <v>IsCustomViewTab</v>
      </c>
      <c r="FC5" s="31" t="str">
        <f>IFERROR(__xludf.DUMMYFUNCTION("""COMPUTED_VALUE"""),"ITM/OTM")</f>
        <v>ITM/OTM</v>
      </c>
      <c r="FD5" s="31" t="str">
        <f>IFERROR(__xludf.DUMMYFUNCTION("""COMPUTED_VALUE"""),"Days to Expiry")</f>
        <v>Days to Expiry</v>
      </c>
      <c r="FE5" s="31" t="str">
        <f>IFERROR(__xludf.DUMMYFUNCTION("""COMPUTED_VALUE"""),"% of Underlying Price")</f>
        <v>% of Underlying Price</v>
      </c>
      <c r="FF5" s="31" t="str">
        <f>IFERROR(__xludf.DUMMYFUNCTION("""COMPUTED_VALUE"""),"Intrinsic value")</f>
        <v>Intrinsic value</v>
      </c>
      <c r="FG5" s="31" t="str">
        <f>IFERROR(__xludf.DUMMYFUNCTION("""COMPUTED_VALUE"""),"Gain/Loss if Ex./Assign")</f>
        <v>Gain/Loss if Ex./Assign</v>
      </c>
      <c r="FH5" s="31" t="str">
        <f>IFERROR(__xludf.DUMMYFUNCTION("""COMPUTED_VALUE"""),"Day Traded Position")</f>
        <v>Day Traded Position</v>
      </c>
      <c r="FI5" s="31"/>
      <c r="FJ5" s="31"/>
      <c r="FK5" s="31"/>
      <c r="FL5" s="31"/>
      <c r="FM5" s="31"/>
      <c r="FN5" s="31"/>
      <c r="FO5" s="31"/>
      <c r="FP5" s="31"/>
      <c r="FQ5" s="31"/>
    </row>
    <row r="6" ht="15.75" customHeight="1">
      <c r="A6" s="13"/>
      <c r="B6" s="13"/>
      <c r="C6" s="86" t="s">
        <v>37</v>
      </c>
      <c r="D6" s="85">
        <v>200.0</v>
      </c>
      <c r="E6" s="86" t="s">
        <v>30</v>
      </c>
      <c r="F6" s="86" t="s">
        <v>19</v>
      </c>
      <c r="G6" s="13">
        <v>10.0</v>
      </c>
      <c r="H6" s="86" t="s">
        <v>73</v>
      </c>
      <c r="I6" s="90">
        <v>2000.0</v>
      </c>
      <c r="J6" s="8"/>
      <c r="K6" s="90">
        <v>2000.0</v>
      </c>
      <c r="L6" s="8"/>
      <c r="M6" s="8"/>
      <c r="N6" s="85">
        <v>0.0</v>
      </c>
      <c r="O6" s="86" t="s">
        <v>74</v>
      </c>
      <c r="P6" s="86" t="s">
        <v>75</v>
      </c>
      <c r="Q6" s="85">
        <v>0.0</v>
      </c>
      <c r="R6" s="86" t="s">
        <v>76</v>
      </c>
      <c r="S6" s="86" t="s">
        <v>63</v>
      </c>
      <c r="T6" s="86" t="s">
        <v>27</v>
      </c>
      <c r="U6" s="86" t="s">
        <v>66</v>
      </c>
      <c r="V6" s="86" t="s">
        <v>58</v>
      </c>
      <c r="W6" s="86" t="s">
        <v>57</v>
      </c>
      <c r="Y6" s="85">
        <v>1.0</v>
      </c>
      <c r="AB6" s="85">
        <v>0.0</v>
      </c>
      <c r="AC6" s="85">
        <v>0.0</v>
      </c>
      <c r="AD6" s="90">
        <v>2000.0</v>
      </c>
      <c r="AE6" s="90">
        <v>2000.0</v>
      </c>
      <c r="AF6" s="85">
        <v>200.0</v>
      </c>
      <c r="AG6" s="90">
        <v>2000.0</v>
      </c>
      <c r="AH6" s="90">
        <v>2000.0</v>
      </c>
      <c r="AI6" s="90">
        <v>2000.0</v>
      </c>
      <c r="AJ6" s="85">
        <v>253.0</v>
      </c>
      <c r="AK6" s="85">
        <v>0.0</v>
      </c>
      <c r="AL6" s="85">
        <v>1.0</v>
      </c>
      <c r="AM6" s="85">
        <v>1.0</v>
      </c>
      <c r="AN6" s="9" t="s">
        <v>38</v>
      </c>
      <c r="AP6" s="86" t="s">
        <v>73</v>
      </c>
      <c r="AQ6" s="86" t="s">
        <v>37</v>
      </c>
      <c r="AR6" s="85">
        <v>10.0</v>
      </c>
      <c r="AS6" s="85">
        <v>1.0</v>
      </c>
      <c r="AU6" s="86" t="s">
        <v>61</v>
      </c>
      <c r="AV6" s="85">
        <v>1.0</v>
      </c>
      <c r="AW6" s="85">
        <v>0.0</v>
      </c>
      <c r="AX6" s="85">
        <v>0.0</v>
      </c>
      <c r="AY6" s="85">
        <v>0.0</v>
      </c>
      <c r="AZ6" s="90">
        <v>2000.0</v>
      </c>
      <c r="BA6" s="85">
        <v>0.0</v>
      </c>
      <c r="BC6" s="85">
        <v>1.0</v>
      </c>
      <c r="BD6" s="90">
        <v>-2000.0</v>
      </c>
      <c r="BE6" s="86" t="s">
        <v>27</v>
      </c>
      <c r="BF6" s="86" t="s">
        <v>77</v>
      </c>
      <c r="BG6" s="86" t="s">
        <v>78</v>
      </c>
      <c r="BH6" s="86" t="s">
        <v>75</v>
      </c>
      <c r="BI6" s="85">
        <v>5.0</v>
      </c>
      <c r="BJ6" s="85">
        <v>0.0</v>
      </c>
      <c r="BK6" s="85">
        <v>0.0</v>
      </c>
      <c r="BL6" s="85">
        <v>0.0</v>
      </c>
      <c r="BM6" s="85">
        <v>0.0</v>
      </c>
      <c r="BO6" s="90">
        <v>-2000.0</v>
      </c>
      <c r="BP6" s="85">
        <v>0.0</v>
      </c>
      <c r="BQ6" s="86" t="s">
        <v>67</v>
      </c>
      <c r="BR6" s="86" t="s">
        <v>40</v>
      </c>
      <c r="BS6" s="85">
        <v>0.0</v>
      </c>
      <c r="BT6" s="85">
        <v>0.0</v>
      </c>
      <c r="BU6" s="86" t="s">
        <v>27</v>
      </c>
      <c r="BW6" s="85">
        <v>0.0</v>
      </c>
      <c r="BX6" s="90">
        <v>2000.0</v>
      </c>
      <c r="BY6" s="90">
        <v>2000.0</v>
      </c>
      <c r="BZ6" s="90">
        <v>10.0</v>
      </c>
      <c r="CA6" s="85">
        <v>10.0</v>
      </c>
      <c r="CB6" s="85"/>
      <c r="CC6" s="85">
        <v>0.0</v>
      </c>
      <c r="CD6" s="85">
        <v>0.0</v>
      </c>
      <c r="CE6" s="85">
        <v>0.0</v>
      </c>
      <c r="CF6" s="85">
        <v>0.0</v>
      </c>
      <c r="CG6" s="85">
        <v>0.0</v>
      </c>
      <c r="CH6" s="85">
        <v>0.0</v>
      </c>
      <c r="CI6" s="85">
        <v>0.0</v>
      </c>
      <c r="CJ6" s="85">
        <v>0.0</v>
      </c>
      <c r="CK6" s="86" t="b">
        <v>0</v>
      </c>
      <c r="CL6" s="88"/>
      <c r="CN6" s="86" t="s">
        <v>37</v>
      </c>
      <c r="CO6" s="86" t="s">
        <v>37</v>
      </c>
      <c r="CP6" s="86" t="s">
        <v>55</v>
      </c>
      <c r="CQ6" s="88"/>
      <c r="CS6" s="85">
        <v>10.0</v>
      </c>
      <c r="CY6" s="86" t="s">
        <v>79</v>
      </c>
      <c r="CZ6" s="86" t="s">
        <v>80</v>
      </c>
      <c r="DA6" s="90">
        <v>2000.0</v>
      </c>
      <c r="DB6" s="85"/>
      <c r="DC6" s="85"/>
      <c r="DD6" s="85">
        <v>200.0</v>
      </c>
      <c r="DE6" s="85">
        <v>0.0</v>
      </c>
      <c r="DF6" s="85">
        <v>0.0</v>
      </c>
      <c r="DG6" s="85">
        <v>0.0</v>
      </c>
      <c r="DH6" s="86" t="s">
        <v>75</v>
      </c>
      <c r="DI6" s="85">
        <v>0.0</v>
      </c>
      <c r="DJ6" s="86" t="s">
        <v>38</v>
      </c>
      <c r="DK6" s="85">
        <v>0.0</v>
      </c>
      <c r="DL6" s="85">
        <v>0.0</v>
      </c>
      <c r="DM6" s="85">
        <v>1.0</v>
      </c>
      <c r="DN6" s="85">
        <v>10.0</v>
      </c>
      <c r="DP6" s="86" t="s">
        <v>73</v>
      </c>
      <c r="DQ6" s="86" t="s">
        <v>81</v>
      </c>
      <c r="DR6" s="86" t="s">
        <v>82</v>
      </c>
      <c r="DS6" s="86" t="s">
        <v>81</v>
      </c>
      <c r="DT6" s="86" t="s">
        <v>81</v>
      </c>
      <c r="DU6" s="86" t="s">
        <v>83</v>
      </c>
      <c r="DV6" s="86" t="s">
        <v>81</v>
      </c>
      <c r="DW6" s="86" t="s">
        <v>81</v>
      </c>
      <c r="DX6" s="86" t="s">
        <v>81</v>
      </c>
      <c r="DY6" s="86" t="s">
        <v>81</v>
      </c>
      <c r="DZ6" s="86" t="s">
        <v>74</v>
      </c>
      <c r="EA6" s="86" t="s">
        <v>83</v>
      </c>
      <c r="EB6" s="86" t="s">
        <v>81</v>
      </c>
      <c r="EC6" s="86" t="s">
        <v>81</v>
      </c>
      <c r="ED6" s="86" t="s">
        <v>57</v>
      </c>
      <c r="EE6" s="86" t="s">
        <v>84</v>
      </c>
      <c r="EF6" s="85">
        <v>0.0</v>
      </c>
      <c r="EG6" s="85">
        <v>3.0</v>
      </c>
      <c r="EH6" s="85">
        <v>3.0</v>
      </c>
      <c r="EI6" s="85">
        <v>3.0</v>
      </c>
      <c r="EJ6" s="85">
        <v>19.0</v>
      </c>
      <c r="EK6" s="85">
        <v>19.0</v>
      </c>
      <c r="EL6" s="86" t="s">
        <v>73</v>
      </c>
      <c r="EM6" s="90">
        <v>15000.0</v>
      </c>
      <c r="EN6" s="90">
        <v>15000.0</v>
      </c>
      <c r="EO6" s="85">
        <v>0.0</v>
      </c>
      <c r="ET6" s="85">
        <v>0.0</v>
      </c>
    </row>
    <row r="7" ht="15.75" customHeight="1">
      <c r="A7" s="8"/>
      <c r="B7" s="8"/>
      <c r="C7" s="86" t="s">
        <v>37</v>
      </c>
      <c r="D7" s="85">
        <v>50.0</v>
      </c>
      <c r="E7" s="86" t="s">
        <v>30</v>
      </c>
      <c r="F7" s="86" t="s">
        <v>19</v>
      </c>
      <c r="G7" s="13">
        <v>10.0</v>
      </c>
      <c r="H7" s="86" t="s">
        <v>73</v>
      </c>
      <c r="I7" s="85">
        <v>500.0</v>
      </c>
      <c r="J7" s="8"/>
      <c r="K7" s="85">
        <v>500.0</v>
      </c>
      <c r="L7" s="8"/>
      <c r="M7" s="8"/>
      <c r="N7" s="85">
        <v>0.0</v>
      </c>
      <c r="O7" s="86" t="s">
        <v>74</v>
      </c>
      <c r="P7" s="86" t="s">
        <v>75</v>
      </c>
      <c r="Q7" s="85">
        <v>0.0</v>
      </c>
      <c r="R7" s="86" t="s">
        <v>76</v>
      </c>
      <c r="S7" s="86" t="s">
        <v>63</v>
      </c>
      <c r="T7" s="86" t="s">
        <v>27</v>
      </c>
      <c r="U7" s="86" t="s">
        <v>66</v>
      </c>
      <c r="V7" s="86" t="s">
        <v>58</v>
      </c>
      <c r="W7" s="86" t="s">
        <v>57</v>
      </c>
      <c r="Y7" s="85">
        <v>1.0</v>
      </c>
      <c r="AB7" s="85">
        <v>0.0</v>
      </c>
      <c r="AC7" s="85">
        <v>0.0</v>
      </c>
      <c r="AD7" s="85">
        <v>500.0</v>
      </c>
      <c r="AE7" s="85">
        <v>500.0</v>
      </c>
      <c r="AF7" s="85">
        <v>50.0</v>
      </c>
      <c r="AG7" s="85">
        <v>500.0</v>
      </c>
      <c r="AH7" s="85">
        <v>500.0</v>
      </c>
      <c r="AI7" s="85">
        <v>500.0</v>
      </c>
      <c r="AJ7" s="85">
        <v>63.0</v>
      </c>
      <c r="AK7" s="85">
        <v>0.0</v>
      </c>
      <c r="AL7" s="85">
        <v>1.0</v>
      </c>
      <c r="AM7" s="85">
        <v>1.0</v>
      </c>
      <c r="AN7" s="9" t="s">
        <v>38</v>
      </c>
      <c r="AP7" s="86" t="s">
        <v>73</v>
      </c>
      <c r="AQ7" s="86" t="s">
        <v>37</v>
      </c>
      <c r="AR7" s="85">
        <v>10.0</v>
      </c>
      <c r="AS7" s="85">
        <v>1.0</v>
      </c>
      <c r="AU7" s="86" t="s">
        <v>61</v>
      </c>
      <c r="AV7" s="85">
        <v>1.0</v>
      </c>
      <c r="AW7" s="85">
        <v>0.0</v>
      </c>
      <c r="AX7" s="85">
        <v>0.0</v>
      </c>
      <c r="AY7" s="85">
        <v>0.0</v>
      </c>
      <c r="AZ7" s="85">
        <v>500.0</v>
      </c>
      <c r="BA7" s="85">
        <v>0.0</v>
      </c>
      <c r="BC7" s="85">
        <v>1.0</v>
      </c>
      <c r="BD7" s="85">
        <v>-500.0</v>
      </c>
      <c r="BE7" s="86" t="s">
        <v>27</v>
      </c>
      <c r="BF7" s="86" t="s">
        <v>77</v>
      </c>
      <c r="BG7" s="86" t="s">
        <v>78</v>
      </c>
      <c r="BH7" s="86" t="s">
        <v>75</v>
      </c>
      <c r="BI7" s="85">
        <v>5.0</v>
      </c>
      <c r="BJ7" s="85">
        <v>0.0</v>
      </c>
      <c r="BK7" s="85">
        <v>0.0</v>
      </c>
      <c r="BL7" s="85">
        <v>0.0</v>
      </c>
      <c r="BM7" s="85">
        <v>0.0</v>
      </c>
      <c r="BO7" s="85">
        <v>-500.0</v>
      </c>
      <c r="BP7" s="85">
        <v>0.0</v>
      </c>
      <c r="BQ7" s="86" t="s">
        <v>67</v>
      </c>
      <c r="BR7" s="86" t="s">
        <v>40</v>
      </c>
      <c r="BS7" s="85">
        <v>0.0</v>
      </c>
      <c r="BT7" s="85">
        <v>0.0</v>
      </c>
      <c r="BU7" s="86" t="s">
        <v>27</v>
      </c>
      <c r="BW7" s="85">
        <v>0.0</v>
      </c>
      <c r="BX7" s="85">
        <v>500.0</v>
      </c>
      <c r="BY7" s="85">
        <v>500.0</v>
      </c>
      <c r="BZ7" s="85">
        <v>10.0</v>
      </c>
      <c r="CA7" s="85">
        <v>10.0</v>
      </c>
      <c r="CB7" s="85"/>
      <c r="CC7" s="85">
        <v>0.0</v>
      </c>
      <c r="CD7" s="85">
        <v>0.0</v>
      </c>
      <c r="CE7" s="85">
        <v>0.0</v>
      </c>
      <c r="CF7" s="85">
        <v>0.0</v>
      </c>
      <c r="CG7" s="85">
        <v>0.0</v>
      </c>
      <c r="CH7" s="85">
        <v>0.0</v>
      </c>
      <c r="CI7" s="85">
        <v>0.0</v>
      </c>
      <c r="CJ7" s="85">
        <v>0.0</v>
      </c>
      <c r="CK7" s="86" t="b">
        <v>0</v>
      </c>
      <c r="CL7" s="88"/>
      <c r="CN7" s="86" t="s">
        <v>37</v>
      </c>
      <c r="CO7" s="86" t="s">
        <v>37</v>
      </c>
      <c r="CP7" s="86" t="s">
        <v>55</v>
      </c>
      <c r="CQ7" s="88"/>
      <c r="CS7" s="85">
        <v>10.0</v>
      </c>
      <c r="CY7" s="86" t="s">
        <v>79</v>
      </c>
      <c r="CZ7" s="86" t="s">
        <v>80</v>
      </c>
      <c r="DA7" s="85">
        <v>500.0</v>
      </c>
      <c r="DB7" s="85"/>
      <c r="DC7" s="85"/>
      <c r="DD7" s="85">
        <v>50.0</v>
      </c>
      <c r="DE7" s="85">
        <v>0.0</v>
      </c>
      <c r="DF7" s="85">
        <v>0.0</v>
      </c>
      <c r="DG7" s="85">
        <v>0.0</v>
      </c>
      <c r="DH7" s="86" t="s">
        <v>75</v>
      </c>
      <c r="DI7" s="85">
        <v>0.0</v>
      </c>
      <c r="DJ7" s="86" t="s">
        <v>38</v>
      </c>
      <c r="DK7" s="85">
        <v>0.0</v>
      </c>
      <c r="DL7" s="85">
        <v>0.0</v>
      </c>
      <c r="DM7" s="85">
        <v>1.0</v>
      </c>
      <c r="DN7" s="85">
        <v>10.0</v>
      </c>
      <c r="DP7" s="86" t="s">
        <v>73</v>
      </c>
      <c r="DQ7" s="86" t="s">
        <v>81</v>
      </c>
      <c r="DR7" s="86" t="s">
        <v>82</v>
      </c>
      <c r="DS7" s="86" t="s">
        <v>81</v>
      </c>
      <c r="DT7" s="86" t="s">
        <v>81</v>
      </c>
      <c r="DU7" s="86" t="s">
        <v>83</v>
      </c>
      <c r="DV7" s="86" t="s">
        <v>81</v>
      </c>
      <c r="DW7" s="86" t="s">
        <v>81</v>
      </c>
      <c r="DX7" s="86" t="s">
        <v>81</v>
      </c>
      <c r="DY7" s="86" t="s">
        <v>81</v>
      </c>
      <c r="DZ7" s="86" t="s">
        <v>74</v>
      </c>
      <c r="EA7" s="86" t="s">
        <v>83</v>
      </c>
      <c r="EB7" s="86" t="s">
        <v>81</v>
      </c>
      <c r="EC7" s="86" t="s">
        <v>81</v>
      </c>
      <c r="ED7" s="86" t="s">
        <v>57</v>
      </c>
      <c r="EE7" s="86" t="s">
        <v>84</v>
      </c>
      <c r="EF7" s="85">
        <v>0.0</v>
      </c>
      <c r="EG7" s="85">
        <v>1.0</v>
      </c>
      <c r="EH7" s="85">
        <v>1.0</v>
      </c>
      <c r="EI7" s="85">
        <v>1.0</v>
      </c>
      <c r="EJ7" s="85">
        <v>19.0</v>
      </c>
      <c r="EK7" s="85">
        <v>19.0</v>
      </c>
      <c r="EL7" s="86" t="s">
        <v>73</v>
      </c>
      <c r="EM7" s="90">
        <v>15000.0</v>
      </c>
      <c r="EN7" s="90">
        <v>15000.0</v>
      </c>
      <c r="EO7" s="85">
        <v>0.0</v>
      </c>
      <c r="ET7" s="85">
        <v>0.0</v>
      </c>
    </row>
    <row r="8" ht="15.75" customHeight="1">
      <c r="A8" s="8"/>
      <c r="B8" s="8"/>
      <c r="C8" s="86" t="s">
        <v>37</v>
      </c>
      <c r="D8" s="85">
        <v>300.0</v>
      </c>
      <c r="E8" s="86" t="s">
        <v>33</v>
      </c>
      <c r="F8" s="86" t="s">
        <v>20</v>
      </c>
      <c r="G8" s="13">
        <v>10.0</v>
      </c>
      <c r="H8" s="86" t="s">
        <v>73</v>
      </c>
      <c r="I8" s="90">
        <v>3000.0</v>
      </c>
      <c r="J8" s="8"/>
      <c r="K8" s="90">
        <v>3000.0</v>
      </c>
      <c r="L8" s="8"/>
      <c r="M8" s="8"/>
      <c r="N8" s="85">
        <v>0.0</v>
      </c>
      <c r="O8" s="86" t="s">
        <v>74</v>
      </c>
      <c r="P8" s="86" t="s">
        <v>75</v>
      </c>
      <c r="Q8" s="85">
        <v>0.0</v>
      </c>
      <c r="R8" s="86" t="s">
        <v>40</v>
      </c>
      <c r="S8" s="86" t="s">
        <v>63</v>
      </c>
      <c r="T8" s="86" t="s">
        <v>27</v>
      </c>
      <c r="U8" s="86" t="s">
        <v>66</v>
      </c>
      <c r="V8" s="86" t="s">
        <v>58</v>
      </c>
      <c r="W8" s="86" t="s">
        <v>57</v>
      </c>
      <c r="Y8" s="85">
        <v>1.0</v>
      </c>
      <c r="AB8" s="85">
        <v>0.0</v>
      </c>
      <c r="AC8" s="85">
        <v>0.0</v>
      </c>
      <c r="AD8" s="90">
        <v>3000.0</v>
      </c>
      <c r="AE8" s="90">
        <v>3000.0</v>
      </c>
      <c r="AF8" s="85">
        <v>300.0</v>
      </c>
      <c r="AG8" s="90">
        <v>3000.0</v>
      </c>
      <c r="AH8" s="90">
        <v>3000.0</v>
      </c>
      <c r="AI8" s="90">
        <v>3000.0</v>
      </c>
      <c r="AJ8" s="85">
        <v>380.0</v>
      </c>
      <c r="AK8" s="85">
        <v>0.0</v>
      </c>
      <c r="AL8" s="85">
        <v>1.0</v>
      </c>
      <c r="AM8" s="85">
        <v>1.0</v>
      </c>
      <c r="AN8" s="9" t="s">
        <v>38</v>
      </c>
      <c r="AP8" s="86" t="s">
        <v>73</v>
      </c>
      <c r="AQ8" s="86" t="s">
        <v>37</v>
      </c>
      <c r="AR8" s="85">
        <v>10.0</v>
      </c>
      <c r="AS8" s="85">
        <v>1.0</v>
      </c>
      <c r="AU8" s="86" t="s">
        <v>61</v>
      </c>
      <c r="AV8" s="85">
        <v>1.0</v>
      </c>
      <c r="AW8" s="85">
        <v>0.0</v>
      </c>
      <c r="AX8" s="85">
        <v>0.0</v>
      </c>
      <c r="AY8" s="85">
        <v>0.0</v>
      </c>
      <c r="AZ8" s="90">
        <v>3000.0</v>
      </c>
      <c r="BA8" s="85">
        <v>0.0</v>
      </c>
      <c r="BC8" s="85">
        <v>1.0</v>
      </c>
      <c r="BD8" s="90">
        <v>-3000.0</v>
      </c>
      <c r="BE8" s="86" t="s">
        <v>27</v>
      </c>
      <c r="BF8" s="86" t="s">
        <v>77</v>
      </c>
      <c r="BG8" s="86" t="s">
        <v>78</v>
      </c>
      <c r="BH8" s="86" t="s">
        <v>75</v>
      </c>
      <c r="BI8" s="85">
        <v>5.0</v>
      </c>
      <c r="BJ8" s="85">
        <v>0.0</v>
      </c>
      <c r="BK8" s="85">
        <v>0.0</v>
      </c>
      <c r="BL8" s="85">
        <v>0.0</v>
      </c>
      <c r="BM8" s="85">
        <v>0.0</v>
      </c>
      <c r="BO8" s="90">
        <v>-3000.0</v>
      </c>
      <c r="BP8" s="85">
        <v>0.0</v>
      </c>
      <c r="BQ8" s="86" t="s">
        <v>67</v>
      </c>
      <c r="BR8" s="86" t="s">
        <v>40</v>
      </c>
      <c r="BS8" s="85">
        <v>0.0</v>
      </c>
      <c r="BT8" s="85">
        <v>0.0</v>
      </c>
      <c r="BU8" s="86" t="s">
        <v>27</v>
      </c>
      <c r="BW8" s="85">
        <v>0.0</v>
      </c>
      <c r="BX8" s="90">
        <v>3000.0</v>
      </c>
      <c r="BY8" s="90">
        <v>3000.0</v>
      </c>
      <c r="BZ8" s="90">
        <v>10.0</v>
      </c>
      <c r="CA8" s="85">
        <v>10.0</v>
      </c>
      <c r="CB8" s="85"/>
      <c r="CC8" s="85">
        <v>0.0</v>
      </c>
      <c r="CD8" s="85">
        <v>0.0</v>
      </c>
      <c r="CE8" s="85">
        <v>0.0</v>
      </c>
      <c r="CF8" s="85">
        <v>0.0</v>
      </c>
      <c r="CG8" s="85">
        <v>0.0</v>
      </c>
      <c r="CH8" s="85">
        <v>0.0</v>
      </c>
      <c r="CI8" s="85">
        <v>0.0</v>
      </c>
      <c r="CJ8" s="85">
        <v>0.0</v>
      </c>
      <c r="CK8" s="86" t="b">
        <v>0</v>
      </c>
      <c r="CL8" s="88"/>
      <c r="CN8" s="86" t="s">
        <v>37</v>
      </c>
      <c r="CO8" s="86" t="s">
        <v>37</v>
      </c>
      <c r="CP8" s="86" t="s">
        <v>55</v>
      </c>
      <c r="CQ8" s="88"/>
      <c r="CS8" s="85">
        <v>10.0</v>
      </c>
      <c r="CY8" s="86" t="s">
        <v>79</v>
      </c>
      <c r="CZ8" s="86" t="s">
        <v>80</v>
      </c>
      <c r="DA8" s="90">
        <v>3000.0</v>
      </c>
      <c r="DB8" s="85"/>
      <c r="DC8" s="85"/>
      <c r="DD8" s="85">
        <v>300.0</v>
      </c>
      <c r="DE8" s="85">
        <v>0.0</v>
      </c>
      <c r="DF8" s="85">
        <v>0.0</v>
      </c>
      <c r="DG8" s="85">
        <v>0.0</v>
      </c>
      <c r="DH8" s="86" t="s">
        <v>75</v>
      </c>
      <c r="DI8" s="85">
        <v>0.0</v>
      </c>
      <c r="DJ8" s="86" t="s">
        <v>38</v>
      </c>
      <c r="DK8" s="85">
        <v>0.0</v>
      </c>
      <c r="DL8" s="85">
        <v>0.0</v>
      </c>
      <c r="DM8" s="85">
        <v>1.0</v>
      </c>
      <c r="DN8" s="85">
        <v>10.0</v>
      </c>
      <c r="DP8" s="86" t="s">
        <v>73</v>
      </c>
      <c r="DQ8" s="86" t="s">
        <v>81</v>
      </c>
      <c r="DR8" s="86" t="s">
        <v>82</v>
      </c>
      <c r="DS8" s="86" t="s">
        <v>81</v>
      </c>
      <c r="DT8" s="86" t="s">
        <v>81</v>
      </c>
      <c r="DU8" s="86" t="s">
        <v>83</v>
      </c>
      <c r="DV8" s="86" t="s">
        <v>81</v>
      </c>
      <c r="DW8" s="86" t="s">
        <v>81</v>
      </c>
      <c r="DX8" s="86" t="s">
        <v>81</v>
      </c>
      <c r="DY8" s="86" t="s">
        <v>81</v>
      </c>
      <c r="DZ8" s="86" t="s">
        <v>74</v>
      </c>
      <c r="EA8" s="86" t="s">
        <v>83</v>
      </c>
      <c r="EB8" s="86" t="s">
        <v>81</v>
      </c>
      <c r="EC8" s="86" t="s">
        <v>81</v>
      </c>
      <c r="ED8" s="86" t="s">
        <v>57</v>
      </c>
      <c r="EE8" s="86" t="s">
        <v>84</v>
      </c>
      <c r="EF8" s="85">
        <v>0.0</v>
      </c>
      <c r="EG8" s="85">
        <v>4.0</v>
      </c>
      <c r="EH8" s="85">
        <v>4.0</v>
      </c>
      <c r="EI8" s="85">
        <v>4.0</v>
      </c>
      <c r="EJ8" s="85">
        <v>19.0</v>
      </c>
      <c r="EK8" s="85">
        <v>19.0</v>
      </c>
      <c r="EL8" s="86" t="s">
        <v>73</v>
      </c>
      <c r="EM8" s="90">
        <v>15000.0</v>
      </c>
      <c r="EN8" s="90">
        <v>15000.0</v>
      </c>
      <c r="EO8" s="85">
        <v>0.0</v>
      </c>
      <c r="ET8" s="85">
        <v>0.0</v>
      </c>
    </row>
    <row r="9" ht="15.75" customHeight="1">
      <c r="A9" s="8"/>
      <c r="B9" s="8"/>
      <c r="C9" s="86" t="s">
        <v>37</v>
      </c>
      <c r="D9" s="85">
        <v>50.0</v>
      </c>
      <c r="E9" s="86" t="s">
        <v>33</v>
      </c>
      <c r="F9" s="86" t="s">
        <v>20</v>
      </c>
      <c r="G9" s="13">
        <v>10.0</v>
      </c>
      <c r="H9" s="86" t="s">
        <v>73</v>
      </c>
      <c r="I9" s="85">
        <v>500.0</v>
      </c>
      <c r="J9" s="8"/>
      <c r="K9" s="85">
        <v>500.0</v>
      </c>
      <c r="L9" s="8"/>
      <c r="M9" s="8"/>
      <c r="N9" s="85">
        <v>0.0</v>
      </c>
      <c r="O9" s="86" t="s">
        <v>74</v>
      </c>
      <c r="P9" s="86" t="s">
        <v>75</v>
      </c>
      <c r="Q9" s="85">
        <v>0.0</v>
      </c>
      <c r="R9" s="86" t="s">
        <v>40</v>
      </c>
      <c r="S9" s="86" t="s">
        <v>63</v>
      </c>
      <c r="T9" s="86" t="s">
        <v>27</v>
      </c>
      <c r="U9" s="86" t="s">
        <v>66</v>
      </c>
      <c r="V9" s="86" t="s">
        <v>58</v>
      </c>
      <c r="W9" s="86" t="s">
        <v>57</v>
      </c>
      <c r="Y9" s="85">
        <v>1.0</v>
      </c>
      <c r="AB9" s="85">
        <v>0.0</v>
      </c>
      <c r="AC9" s="85">
        <v>0.0</v>
      </c>
      <c r="AD9" s="85">
        <v>500.0</v>
      </c>
      <c r="AE9" s="85">
        <v>500.0</v>
      </c>
      <c r="AF9" s="85">
        <v>50.0</v>
      </c>
      <c r="AG9" s="85">
        <v>500.0</v>
      </c>
      <c r="AH9" s="85">
        <v>500.0</v>
      </c>
      <c r="AI9" s="85">
        <v>500.0</v>
      </c>
      <c r="AJ9" s="85">
        <v>63.0</v>
      </c>
      <c r="AK9" s="85">
        <v>0.0</v>
      </c>
      <c r="AL9" s="85">
        <v>1.0</v>
      </c>
      <c r="AM9" s="85">
        <v>1.0</v>
      </c>
      <c r="AN9" s="9" t="s">
        <v>38</v>
      </c>
      <c r="AP9" s="86" t="s">
        <v>73</v>
      </c>
      <c r="AQ9" s="86" t="s">
        <v>37</v>
      </c>
      <c r="AR9" s="85">
        <v>10.0</v>
      </c>
      <c r="AS9" s="85">
        <v>1.0</v>
      </c>
      <c r="AU9" s="86" t="s">
        <v>61</v>
      </c>
      <c r="AV9" s="85">
        <v>1.0</v>
      </c>
      <c r="AW9" s="85">
        <v>0.0</v>
      </c>
      <c r="AX9" s="85">
        <v>0.0</v>
      </c>
      <c r="AY9" s="85">
        <v>0.0</v>
      </c>
      <c r="AZ9" s="85">
        <v>500.0</v>
      </c>
      <c r="BA9" s="85">
        <v>0.0</v>
      </c>
      <c r="BC9" s="85">
        <v>1.0</v>
      </c>
      <c r="BD9" s="85">
        <v>-500.0</v>
      </c>
      <c r="BE9" s="86" t="s">
        <v>27</v>
      </c>
      <c r="BF9" s="86" t="s">
        <v>77</v>
      </c>
      <c r="BG9" s="86" t="s">
        <v>78</v>
      </c>
      <c r="BH9" s="86" t="s">
        <v>75</v>
      </c>
      <c r="BI9" s="85">
        <v>5.0</v>
      </c>
      <c r="BJ9" s="85">
        <v>0.0</v>
      </c>
      <c r="BK9" s="85">
        <v>0.0</v>
      </c>
      <c r="BL9" s="85">
        <v>0.0</v>
      </c>
      <c r="BM9" s="85">
        <v>0.0</v>
      </c>
      <c r="BO9" s="85">
        <v>-500.0</v>
      </c>
      <c r="BP9" s="85">
        <v>0.0</v>
      </c>
      <c r="BQ9" s="86" t="s">
        <v>67</v>
      </c>
      <c r="BR9" s="86" t="s">
        <v>40</v>
      </c>
      <c r="BS9" s="85">
        <v>0.0</v>
      </c>
      <c r="BT9" s="85">
        <v>0.0</v>
      </c>
      <c r="BU9" s="86" t="s">
        <v>27</v>
      </c>
      <c r="BW9" s="85">
        <v>0.0</v>
      </c>
      <c r="BX9" s="85">
        <v>500.0</v>
      </c>
      <c r="BY9" s="85">
        <v>500.0</v>
      </c>
      <c r="BZ9" s="85">
        <v>10.0</v>
      </c>
      <c r="CA9" s="85">
        <v>10.0</v>
      </c>
      <c r="CB9" s="85"/>
      <c r="CC9" s="85">
        <v>0.0</v>
      </c>
      <c r="CD9" s="85">
        <v>0.0</v>
      </c>
      <c r="CE9" s="85">
        <v>0.0</v>
      </c>
      <c r="CF9" s="85">
        <v>0.0</v>
      </c>
      <c r="CG9" s="85">
        <v>0.0</v>
      </c>
      <c r="CH9" s="85">
        <v>0.0</v>
      </c>
      <c r="CI9" s="85">
        <v>0.0</v>
      </c>
      <c r="CJ9" s="85">
        <v>0.0</v>
      </c>
      <c r="CK9" s="86" t="b">
        <v>0</v>
      </c>
      <c r="CL9" s="88"/>
      <c r="CN9" s="86" t="s">
        <v>37</v>
      </c>
      <c r="CO9" s="86" t="s">
        <v>37</v>
      </c>
      <c r="CP9" s="86" t="s">
        <v>55</v>
      </c>
      <c r="CQ9" s="88"/>
      <c r="CS9" s="85">
        <v>10.0</v>
      </c>
      <c r="CY9" s="86" t="s">
        <v>79</v>
      </c>
      <c r="CZ9" s="86" t="s">
        <v>80</v>
      </c>
      <c r="DA9" s="85">
        <v>500.0</v>
      </c>
      <c r="DB9" s="85"/>
      <c r="DC9" s="85"/>
      <c r="DD9" s="85">
        <v>50.0</v>
      </c>
      <c r="DE9" s="85">
        <v>0.0</v>
      </c>
      <c r="DF9" s="85">
        <v>0.0</v>
      </c>
      <c r="DG9" s="85">
        <v>0.0</v>
      </c>
      <c r="DH9" s="86" t="s">
        <v>75</v>
      </c>
      <c r="DI9" s="85">
        <v>0.0</v>
      </c>
      <c r="DJ9" s="86" t="s">
        <v>38</v>
      </c>
      <c r="DK9" s="85">
        <v>0.0</v>
      </c>
      <c r="DL9" s="85">
        <v>0.0</v>
      </c>
      <c r="DM9" s="85">
        <v>1.0</v>
      </c>
      <c r="DN9" s="85">
        <v>10.0</v>
      </c>
      <c r="DP9" s="86" t="s">
        <v>73</v>
      </c>
      <c r="DQ9" s="86" t="s">
        <v>81</v>
      </c>
      <c r="DR9" s="86" t="s">
        <v>82</v>
      </c>
      <c r="DS9" s="86" t="s">
        <v>81</v>
      </c>
      <c r="DT9" s="86" t="s">
        <v>81</v>
      </c>
      <c r="DU9" s="86" t="s">
        <v>83</v>
      </c>
      <c r="DV9" s="86" t="s">
        <v>81</v>
      </c>
      <c r="DW9" s="86" t="s">
        <v>81</v>
      </c>
      <c r="DX9" s="86" t="s">
        <v>81</v>
      </c>
      <c r="DY9" s="86" t="s">
        <v>81</v>
      </c>
      <c r="DZ9" s="86" t="s">
        <v>74</v>
      </c>
      <c r="EA9" s="86" t="s">
        <v>83</v>
      </c>
      <c r="EB9" s="86" t="s">
        <v>81</v>
      </c>
      <c r="EC9" s="86" t="s">
        <v>81</v>
      </c>
      <c r="ED9" s="86" t="s">
        <v>57</v>
      </c>
      <c r="EE9" s="86" t="s">
        <v>84</v>
      </c>
      <c r="EF9" s="85">
        <v>0.0</v>
      </c>
      <c r="EG9" s="85">
        <v>1.0</v>
      </c>
      <c r="EH9" s="85">
        <v>1.0</v>
      </c>
      <c r="EI9" s="85">
        <v>1.0</v>
      </c>
      <c r="EJ9" s="85">
        <v>19.0</v>
      </c>
      <c r="EK9" s="85">
        <v>19.0</v>
      </c>
      <c r="EL9" s="86" t="s">
        <v>73</v>
      </c>
      <c r="EM9" s="90">
        <v>15000.0</v>
      </c>
      <c r="EN9" s="90">
        <v>15000.0</v>
      </c>
      <c r="EO9" s="85">
        <v>0.0</v>
      </c>
      <c r="ET9" s="85">
        <v>0.0</v>
      </c>
    </row>
    <row r="10" ht="15.75" customHeight="1">
      <c r="A10" s="8"/>
      <c r="B10" s="8"/>
      <c r="C10" s="86" t="s">
        <v>37</v>
      </c>
      <c r="D10" s="85">
        <v>400.0</v>
      </c>
      <c r="E10" s="86" t="s">
        <v>31</v>
      </c>
      <c r="F10" s="86" t="s">
        <v>19</v>
      </c>
      <c r="G10" s="13">
        <v>10.0</v>
      </c>
      <c r="H10" s="86" t="s">
        <v>73</v>
      </c>
      <c r="I10" s="90">
        <v>4000.0</v>
      </c>
      <c r="J10" s="8"/>
      <c r="K10" s="90">
        <v>4000.0</v>
      </c>
      <c r="L10" s="8"/>
      <c r="M10" s="8"/>
      <c r="N10" s="85">
        <v>0.0</v>
      </c>
      <c r="O10" s="86" t="s">
        <v>74</v>
      </c>
      <c r="P10" s="86" t="s">
        <v>75</v>
      </c>
      <c r="Q10" s="85">
        <v>0.0</v>
      </c>
      <c r="R10" s="86" t="s">
        <v>40</v>
      </c>
      <c r="S10" s="86" t="s">
        <v>63</v>
      </c>
      <c r="T10" s="86" t="s">
        <v>27</v>
      </c>
      <c r="U10" s="86" t="s">
        <v>66</v>
      </c>
      <c r="V10" s="86" t="s">
        <v>58</v>
      </c>
      <c r="W10" s="86" t="s">
        <v>57</v>
      </c>
      <c r="Y10" s="85">
        <v>1.0</v>
      </c>
      <c r="AB10" s="85">
        <v>0.0</v>
      </c>
      <c r="AC10" s="85">
        <v>0.0</v>
      </c>
      <c r="AD10" s="90">
        <v>4000.0</v>
      </c>
      <c r="AE10" s="90">
        <v>4000.0</v>
      </c>
      <c r="AF10" s="85">
        <v>400.0</v>
      </c>
      <c r="AG10" s="90">
        <v>4000.0</v>
      </c>
      <c r="AH10" s="90">
        <v>4000.0</v>
      </c>
      <c r="AI10" s="90">
        <v>4000.0</v>
      </c>
      <c r="AJ10" s="85">
        <v>506.0</v>
      </c>
      <c r="AK10" s="85">
        <v>0.0</v>
      </c>
      <c r="AL10" s="85">
        <v>1.0</v>
      </c>
      <c r="AM10" s="85">
        <v>1.0</v>
      </c>
      <c r="AN10" s="9" t="s">
        <v>38</v>
      </c>
      <c r="AP10" s="86" t="s">
        <v>73</v>
      </c>
      <c r="AQ10" s="86" t="s">
        <v>37</v>
      </c>
      <c r="AR10" s="85">
        <v>10.0</v>
      </c>
      <c r="AS10" s="85">
        <v>1.0</v>
      </c>
      <c r="AU10" s="86" t="s">
        <v>61</v>
      </c>
      <c r="AV10" s="85">
        <v>1.0</v>
      </c>
      <c r="AW10" s="85">
        <v>0.0</v>
      </c>
      <c r="AX10" s="85">
        <v>0.0</v>
      </c>
      <c r="AY10" s="85">
        <v>0.0</v>
      </c>
      <c r="AZ10" s="90">
        <v>4000.0</v>
      </c>
      <c r="BA10" s="85">
        <v>0.0</v>
      </c>
      <c r="BC10" s="85">
        <v>1.0</v>
      </c>
      <c r="BD10" s="90">
        <v>-4000.0</v>
      </c>
      <c r="BE10" s="86" t="s">
        <v>27</v>
      </c>
      <c r="BF10" s="86" t="s">
        <v>77</v>
      </c>
      <c r="BG10" s="86" t="s">
        <v>78</v>
      </c>
      <c r="BH10" s="86" t="s">
        <v>75</v>
      </c>
      <c r="BI10" s="85">
        <v>5.0</v>
      </c>
      <c r="BJ10" s="85">
        <v>0.0</v>
      </c>
      <c r="BK10" s="85">
        <v>0.0</v>
      </c>
      <c r="BL10" s="85">
        <v>0.0</v>
      </c>
      <c r="BM10" s="85">
        <v>0.0</v>
      </c>
      <c r="BO10" s="90">
        <v>-4000.0</v>
      </c>
      <c r="BP10" s="85">
        <v>0.0</v>
      </c>
      <c r="BQ10" s="86" t="s">
        <v>67</v>
      </c>
      <c r="BR10" s="86" t="s">
        <v>40</v>
      </c>
      <c r="BS10" s="85">
        <v>0.0</v>
      </c>
      <c r="BT10" s="85">
        <v>0.0</v>
      </c>
      <c r="BU10" s="86" t="s">
        <v>27</v>
      </c>
      <c r="BW10" s="85">
        <v>0.0</v>
      </c>
      <c r="BX10" s="90">
        <v>4000.0</v>
      </c>
      <c r="BY10" s="90">
        <v>4000.0</v>
      </c>
      <c r="BZ10" s="90">
        <v>10.0</v>
      </c>
      <c r="CA10" s="85">
        <v>10.0</v>
      </c>
      <c r="CB10" s="85"/>
      <c r="CC10" s="85">
        <v>0.0</v>
      </c>
      <c r="CD10" s="85">
        <v>0.0</v>
      </c>
      <c r="CE10" s="85">
        <v>0.0</v>
      </c>
      <c r="CF10" s="85">
        <v>0.0</v>
      </c>
      <c r="CG10" s="85">
        <v>0.0</v>
      </c>
      <c r="CH10" s="85">
        <v>0.0</v>
      </c>
      <c r="CI10" s="85">
        <v>0.0</v>
      </c>
      <c r="CJ10" s="85">
        <v>0.0</v>
      </c>
      <c r="CK10" s="86" t="b">
        <v>0</v>
      </c>
      <c r="CL10" s="88"/>
      <c r="CN10" s="86" t="s">
        <v>37</v>
      </c>
      <c r="CO10" s="86" t="s">
        <v>37</v>
      </c>
      <c r="CP10" s="86" t="s">
        <v>55</v>
      </c>
      <c r="CQ10" s="88"/>
      <c r="CS10" s="85">
        <v>10.0</v>
      </c>
      <c r="CY10" s="86" t="s">
        <v>79</v>
      </c>
      <c r="CZ10" s="86" t="s">
        <v>80</v>
      </c>
      <c r="DA10" s="90">
        <v>4000.0</v>
      </c>
      <c r="DB10" s="85"/>
      <c r="DC10" s="85"/>
      <c r="DD10" s="85">
        <v>400.0</v>
      </c>
      <c r="DE10" s="85">
        <v>0.0</v>
      </c>
      <c r="DF10" s="85">
        <v>0.0</v>
      </c>
      <c r="DG10" s="85">
        <v>0.0</v>
      </c>
      <c r="DH10" s="86" t="s">
        <v>75</v>
      </c>
      <c r="DI10" s="85">
        <v>0.0</v>
      </c>
      <c r="DJ10" s="86" t="s">
        <v>38</v>
      </c>
      <c r="DK10" s="85">
        <v>0.0</v>
      </c>
      <c r="DL10" s="85">
        <v>0.0</v>
      </c>
      <c r="DM10" s="85">
        <v>1.0</v>
      </c>
      <c r="DN10" s="85">
        <v>10.0</v>
      </c>
      <c r="DP10" s="86" t="s">
        <v>73</v>
      </c>
      <c r="DQ10" s="86" t="s">
        <v>81</v>
      </c>
      <c r="DR10" s="86" t="s">
        <v>82</v>
      </c>
      <c r="DS10" s="86" t="s">
        <v>81</v>
      </c>
      <c r="DT10" s="86" t="s">
        <v>81</v>
      </c>
      <c r="DU10" s="86" t="s">
        <v>83</v>
      </c>
      <c r="DV10" s="86" t="s">
        <v>81</v>
      </c>
      <c r="DW10" s="86" t="s">
        <v>81</v>
      </c>
      <c r="DX10" s="86" t="s">
        <v>81</v>
      </c>
      <c r="DY10" s="86" t="s">
        <v>81</v>
      </c>
      <c r="DZ10" s="86" t="s">
        <v>74</v>
      </c>
      <c r="EA10" s="86" t="s">
        <v>83</v>
      </c>
      <c r="EB10" s="86" t="s">
        <v>81</v>
      </c>
      <c r="EC10" s="86" t="s">
        <v>81</v>
      </c>
      <c r="ED10" s="86" t="s">
        <v>57</v>
      </c>
      <c r="EE10" s="86" t="s">
        <v>84</v>
      </c>
      <c r="EF10" s="85">
        <v>0.0</v>
      </c>
      <c r="EG10" s="85">
        <v>5.0</v>
      </c>
      <c r="EH10" s="85">
        <v>5.0</v>
      </c>
      <c r="EI10" s="85">
        <v>5.0</v>
      </c>
      <c r="EJ10" s="85">
        <v>19.0</v>
      </c>
      <c r="EK10" s="85">
        <v>19.0</v>
      </c>
      <c r="EL10" s="86" t="s">
        <v>73</v>
      </c>
      <c r="EM10" s="90">
        <v>15000.0</v>
      </c>
      <c r="EN10" s="90">
        <v>15000.0</v>
      </c>
      <c r="EO10" s="85">
        <v>0.0</v>
      </c>
      <c r="ET10" s="85">
        <v>0.0</v>
      </c>
    </row>
    <row r="11" ht="15.75" customHeight="1">
      <c r="A11" s="8"/>
      <c r="B11" s="8"/>
      <c r="C11" s="86" t="s">
        <v>42</v>
      </c>
      <c r="D11" s="85">
        <v>100.0</v>
      </c>
      <c r="E11" s="86" t="s">
        <v>31</v>
      </c>
      <c r="F11" s="86" t="s">
        <v>19</v>
      </c>
      <c r="G11" s="13">
        <v>10.0</v>
      </c>
      <c r="H11" s="86" t="s">
        <v>73</v>
      </c>
      <c r="I11" s="85">
        <v>0.0</v>
      </c>
      <c r="J11" s="8"/>
      <c r="K11" s="85">
        <v>0.0</v>
      </c>
      <c r="L11" s="8"/>
      <c r="M11" s="8"/>
      <c r="N11" s="90">
        <v>-1000.0</v>
      </c>
      <c r="O11" s="86" t="s">
        <v>85</v>
      </c>
      <c r="P11" s="86" t="s">
        <v>75</v>
      </c>
      <c r="Q11" s="90">
        <v>-1000.0</v>
      </c>
      <c r="R11" s="86" t="s">
        <v>40</v>
      </c>
      <c r="S11" s="86" t="s">
        <v>63</v>
      </c>
      <c r="T11" s="86" t="s">
        <v>27</v>
      </c>
      <c r="U11" s="86" t="s">
        <v>66</v>
      </c>
      <c r="V11" s="86" t="s">
        <v>58</v>
      </c>
      <c r="W11" s="86" t="s">
        <v>57</v>
      </c>
      <c r="Y11" s="85">
        <v>1.0</v>
      </c>
      <c r="AB11" s="85">
        <v>0.0</v>
      </c>
      <c r="AC11" s="85">
        <v>0.0</v>
      </c>
      <c r="AD11" s="85">
        <v>0.0</v>
      </c>
      <c r="AE11" s="85">
        <v>0.0</v>
      </c>
      <c r="AF11" s="85">
        <v>100.0</v>
      </c>
      <c r="AG11" s="85">
        <v>0.0</v>
      </c>
      <c r="AH11" s="85">
        <v>0.0</v>
      </c>
      <c r="AI11" s="85">
        <v>0.0</v>
      </c>
      <c r="AJ11" s="85">
        <v>0.0</v>
      </c>
      <c r="AK11" s="90">
        <v>-1000.0</v>
      </c>
      <c r="AL11" s="85">
        <v>1.0</v>
      </c>
      <c r="AM11" s="85">
        <v>1.0</v>
      </c>
      <c r="AN11" s="9" t="s">
        <v>38</v>
      </c>
      <c r="AP11" s="86" t="s">
        <v>73</v>
      </c>
      <c r="AQ11" s="86" t="s">
        <v>42</v>
      </c>
      <c r="AR11" s="85">
        <v>0.0</v>
      </c>
      <c r="AS11" s="85">
        <v>1.0</v>
      </c>
      <c r="AU11" s="86" t="s">
        <v>61</v>
      </c>
      <c r="AV11" s="85">
        <v>1.0</v>
      </c>
      <c r="AW11" s="90">
        <v>-1000.0</v>
      </c>
      <c r="AX11" s="85">
        <v>0.0</v>
      </c>
      <c r="AY11" s="85">
        <v>0.0</v>
      </c>
      <c r="AZ11" s="85">
        <v>0.0</v>
      </c>
      <c r="BA11" s="85">
        <v>-100.0</v>
      </c>
      <c r="BC11" s="85">
        <v>1.0</v>
      </c>
      <c r="BD11" s="90">
        <v>-1000.0</v>
      </c>
      <c r="BE11" s="86" t="s">
        <v>27</v>
      </c>
      <c r="BF11" s="86" t="s">
        <v>86</v>
      </c>
      <c r="BG11" s="86" t="s">
        <v>87</v>
      </c>
      <c r="BH11" s="86" t="s">
        <v>88</v>
      </c>
      <c r="BI11" s="86"/>
      <c r="BJ11" s="85">
        <v>0.0</v>
      </c>
      <c r="BK11" s="85">
        <v>0.0</v>
      </c>
      <c r="BL11" s="85">
        <v>0.0</v>
      </c>
      <c r="BM11" s="85">
        <v>0.0</v>
      </c>
      <c r="BO11" s="90">
        <v>-1000.0</v>
      </c>
      <c r="BP11" s="85">
        <v>0.0</v>
      </c>
      <c r="BQ11" s="86" t="s">
        <v>67</v>
      </c>
      <c r="BR11" s="86" t="s">
        <v>40</v>
      </c>
      <c r="BS11" s="85">
        <v>0.0</v>
      </c>
      <c r="BT11" s="85">
        <v>0.0</v>
      </c>
      <c r="BU11" s="86" t="s">
        <v>27</v>
      </c>
      <c r="BW11" s="85">
        <v>0.0</v>
      </c>
      <c r="BX11" s="85">
        <v>0.0</v>
      </c>
      <c r="BY11" s="85">
        <v>0.0</v>
      </c>
      <c r="BZ11" s="85">
        <v>0.0</v>
      </c>
      <c r="CA11" s="85">
        <v>0.0</v>
      </c>
      <c r="CB11" s="85"/>
      <c r="CC11" s="85">
        <v>0.0</v>
      </c>
      <c r="CD11" s="90">
        <v>-1000.0</v>
      </c>
      <c r="CE11" s="85">
        <v>0.0</v>
      </c>
      <c r="CF11" s="85">
        <v>0.0</v>
      </c>
      <c r="CG11" s="90">
        <v>-1000.0</v>
      </c>
      <c r="CH11" s="85">
        <v>-100.0</v>
      </c>
      <c r="CI11" s="85">
        <v>0.0</v>
      </c>
      <c r="CJ11" s="85">
        <v>0.0</v>
      </c>
      <c r="CK11" s="86" t="b">
        <v>0</v>
      </c>
      <c r="CL11" s="88"/>
      <c r="CN11" s="85"/>
      <c r="CO11" s="85"/>
      <c r="CP11" s="86" t="s">
        <v>69</v>
      </c>
      <c r="CQ11" s="86"/>
      <c r="CS11" s="85">
        <v>10.0</v>
      </c>
      <c r="CY11" s="86" t="s">
        <v>60</v>
      </c>
      <c r="CZ11" s="86" t="s">
        <v>80</v>
      </c>
      <c r="DA11" s="85">
        <v>0.0</v>
      </c>
      <c r="DB11" s="85"/>
      <c r="DC11" s="85"/>
      <c r="DD11" s="85">
        <v>100.0</v>
      </c>
      <c r="DE11" s="85">
        <v>0.0</v>
      </c>
      <c r="DF11" s="85">
        <v>0.0</v>
      </c>
      <c r="DG11" s="85">
        <v>0.0</v>
      </c>
      <c r="DH11" s="86" t="s">
        <v>75</v>
      </c>
      <c r="DI11" s="85">
        <v>0.0</v>
      </c>
      <c r="DJ11" s="86" t="s">
        <v>38</v>
      </c>
      <c r="DK11" s="85">
        <v>0.0</v>
      </c>
      <c r="DL11" s="85">
        <v>0.0</v>
      </c>
      <c r="DM11" s="85">
        <v>1.0</v>
      </c>
      <c r="DN11" s="85">
        <v>0.0</v>
      </c>
      <c r="DP11" s="86" t="s">
        <v>73</v>
      </c>
      <c r="DQ11" s="86"/>
      <c r="DR11" s="86"/>
      <c r="DS11" s="86"/>
      <c r="DT11" s="86"/>
      <c r="DU11" s="86"/>
      <c r="DV11" s="86"/>
      <c r="DW11" s="91"/>
      <c r="DX11" s="85"/>
      <c r="DY11" s="86"/>
      <c r="DZ11" s="86"/>
      <c r="EA11" s="86"/>
      <c r="EB11" s="86"/>
      <c r="EC11" s="86"/>
      <c r="ED11" s="86"/>
      <c r="EE11" s="86"/>
      <c r="EF11" s="85">
        <v>0.0</v>
      </c>
      <c r="EG11" s="85">
        <v>0.0</v>
      </c>
      <c r="EH11" s="85">
        <v>0.0</v>
      </c>
      <c r="EI11" s="85">
        <v>0.0</v>
      </c>
      <c r="EJ11" s="85">
        <v>0.0</v>
      </c>
      <c r="EK11" s="85">
        <v>0.0</v>
      </c>
      <c r="EL11" s="86" t="s">
        <v>73</v>
      </c>
      <c r="EM11" s="85">
        <v>0.0</v>
      </c>
      <c r="EN11" s="85">
        <v>0.0</v>
      </c>
      <c r="EO11" s="85">
        <v>-1.0</v>
      </c>
      <c r="ET11" s="85">
        <v>-1.0</v>
      </c>
    </row>
    <row r="12" ht="15.75" customHeight="1">
      <c r="A12" s="8"/>
      <c r="B12" s="8"/>
      <c r="C12" s="86" t="s">
        <v>37</v>
      </c>
      <c r="D12" s="85">
        <v>500.0</v>
      </c>
      <c r="E12" s="86" t="s">
        <v>34</v>
      </c>
      <c r="F12" s="86" t="s">
        <v>20</v>
      </c>
      <c r="G12" s="13">
        <v>10.0</v>
      </c>
      <c r="H12" s="86" t="s">
        <v>73</v>
      </c>
      <c r="I12" s="90">
        <v>5000.0</v>
      </c>
      <c r="J12" s="8"/>
      <c r="K12" s="90">
        <v>5000.0</v>
      </c>
      <c r="L12" s="8"/>
      <c r="M12" s="8"/>
      <c r="N12" s="85">
        <v>0.0</v>
      </c>
      <c r="O12" s="86" t="s">
        <v>74</v>
      </c>
      <c r="P12" s="86" t="s">
        <v>75</v>
      </c>
      <c r="Q12" s="85">
        <v>0.0</v>
      </c>
      <c r="R12" s="86" t="s">
        <v>40</v>
      </c>
      <c r="S12" s="86" t="s">
        <v>63</v>
      </c>
      <c r="T12" s="86" t="s">
        <v>27</v>
      </c>
      <c r="U12" s="86" t="s">
        <v>66</v>
      </c>
      <c r="V12" s="86" t="s">
        <v>58</v>
      </c>
      <c r="W12" s="86" t="s">
        <v>57</v>
      </c>
      <c r="Y12" s="85">
        <v>1.0</v>
      </c>
      <c r="AB12" s="85">
        <v>0.0</v>
      </c>
      <c r="AC12" s="85">
        <v>0.0</v>
      </c>
      <c r="AD12" s="90">
        <v>5000.0</v>
      </c>
      <c r="AE12" s="90">
        <v>5000.0</v>
      </c>
      <c r="AF12" s="85">
        <v>500.0</v>
      </c>
      <c r="AG12" s="90">
        <v>5000.0</v>
      </c>
      <c r="AH12" s="90">
        <v>5000.0</v>
      </c>
      <c r="AI12" s="90">
        <v>5000.0</v>
      </c>
      <c r="AJ12" s="85">
        <v>633.0</v>
      </c>
      <c r="AK12" s="85">
        <v>0.0</v>
      </c>
      <c r="AL12" s="85">
        <v>1.0</v>
      </c>
      <c r="AM12" s="85">
        <v>1.0</v>
      </c>
      <c r="AN12" s="9" t="s">
        <v>38</v>
      </c>
      <c r="AP12" s="86" t="s">
        <v>73</v>
      </c>
      <c r="AQ12" s="86" t="s">
        <v>37</v>
      </c>
      <c r="AR12" s="85">
        <v>10.0</v>
      </c>
      <c r="AS12" s="85">
        <v>1.0</v>
      </c>
      <c r="AU12" s="86" t="s">
        <v>61</v>
      </c>
      <c r="AV12" s="85">
        <v>1.0</v>
      </c>
      <c r="AW12" s="85">
        <v>0.0</v>
      </c>
      <c r="AX12" s="85">
        <v>0.0</v>
      </c>
      <c r="AY12" s="85">
        <v>0.0</v>
      </c>
      <c r="AZ12" s="90">
        <v>5000.0</v>
      </c>
      <c r="BA12" s="85">
        <v>0.0</v>
      </c>
      <c r="BC12" s="85">
        <v>1.0</v>
      </c>
      <c r="BD12" s="90">
        <v>-5000.0</v>
      </c>
      <c r="BE12" s="86" t="s">
        <v>27</v>
      </c>
      <c r="BF12" s="86" t="s">
        <v>77</v>
      </c>
      <c r="BG12" s="86" t="s">
        <v>78</v>
      </c>
      <c r="BH12" s="86" t="s">
        <v>75</v>
      </c>
      <c r="BI12" s="85">
        <v>5.0</v>
      </c>
      <c r="BJ12" s="85">
        <v>0.0</v>
      </c>
      <c r="BK12" s="85">
        <v>0.0</v>
      </c>
      <c r="BL12" s="85">
        <v>0.0</v>
      </c>
      <c r="BM12" s="85">
        <v>0.0</v>
      </c>
      <c r="BO12" s="90">
        <v>-5000.0</v>
      </c>
      <c r="BP12" s="85">
        <v>0.0</v>
      </c>
      <c r="BQ12" s="86" t="s">
        <v>67</v>
      </c>
      <c r="BR12" s="86" t="s">
        <v>40</v>
      </c>
      <c r="BS12" s="85">
        <v>0.0</v>
      </c>
      <c r="BT12" s="85">
        <v>0.0</v>
      </c>
      <c r="BU12" s="86" t="s">
        <v>27</v>
      </c>
      <c r="BW12" s="85">
        <v>0.0</v>
      </c>
      <c r="BX12" s="90">
        <v>5000.0</v>
      </c>
      <c r="BY12" s="90">
        <v>5000.0</v>
      </c>
      <c r="BZ12" s="90">
        <v>10.0</v>
      </c>
      <c r="CA12" s="85">
        <v>10.0</v>
      </c>
      <c r="CB12" s="85"/>
      <c r="CC12" s="85">
        <v>0.0</v>
      </c>
      <c r="CD12" s="85">
        <v>0.0</v>
      </c>
      <c r="CE12" s="85">
        <v>0.0</v>
      </c>
      <c r="CF12" s="85">
        <v>0.0</v>
      </c>
      <c r="CG12" s="85">
        <v>0.0</v>
      </c>
      <c r="CH12" s="85">
        <v>0.0</v>
      </c>
      <c r="CI12" s="85">
        <v>0.0</v>
      </c>
      <c r="CJ12" s="85">
        <v>0.0</v>
      </c>
      <c r="CK12" s="86" t="b">
        <v>0</v>
      </c>
      <c r="CL12" s="88"/>
      <c r="CN12" s="86" t="s">
        <v>37</v>
      </c>
      <c r="CO12" s="86" t="s">
        <v>37</v>
      </c>
      <c r="CP12" s="86" t="s">
        <v>55</v>
      </c>
      <c r="CQ12" s="88"/>
      <c r="CS12" s="85">
        <v>10.0</v>
      </c>
      <c r="CY12" s="86" t="s">
        <v>79</v>
      </c>
      <c r="CZ12" s="86" t="s">
        <v>80</v>
      </c>
      <c r="DA12" s="90">
        <v>5000.0</v>
      </c>
      <c r="DB12" s="85"/>
      <c r="DC12" s="85"/>
      <c r="DD12" s="85">
        <v>500.0</v>
      </c>
      <c r="DE12" s="85">
        <v>0.0</v>
      </c>
      <c r="DF12" s="85">
        <v>0.0</v>
      </c>
      <c r="DG12" s="85">
        <v>0.0</v>
      </c>
      <c r="DH12" s="86" t="s">
        <v>75</v>
      </c>
      <c r="DI12" s="85">
        <v>0.0</v>
      </c>
      <c r="DJ12" s="86" t="s">
        <v>38</v>
      </c>
      <c r="DK12" s="85">
        <v>0.0</v>
      </c>
      <c r="DL12" s="85">
        <v>0.0</v>
      </c>
      <c r="DM12" s="85">
        <v>1.0</v>
      </c>
      <c r="DN12" s="85">
        <v>10.0</v>
      </c>
      <c r="DP12" s="86" t="s">
        <v>73</v>
      </c>
      <c r="DQ12" s="86" t="s">
        <v>81</v>
      </c>
      <c r="DR12" s="86" t="s">
        <v>82</v>
      </c>
      <c r="DS12" s="86" t="s">
        <v>81</v>
      </c>
      <c r="DT12" s="86" t="s">
        <v>81</v>
      </c>
      <c r="DU12" s="86" t="s">
        <v>83</v>
      </c>
      <c r="DV12" s="86" t="s">
        <v>81</v>
      </c>
      <c r="DW12" s="86" t="s">
        <v>81</v>
      </c>
      <c r="DX12" s="86" t="s">
        <v>81</v>
      </c>
      <c r="DY12" s="86" t="s">
        <v>81</v>
      </c>
      <c r="DZ12" s="86" t="s">
        <v>74</v>
      </c>
      <c r="EA12" s="86" t="s">
        <v>83</v>
      </c>
      <c r="EB12" s="86" t="s">
        <v>81</v>
      </c>
      <c r="EC12" s="86" t="s">
        <v>81</v>
      </c>
      <c r="ED12" s="86" t="s">
        <v>57</v>
      </c>
      <c r="EE12" s="86" t="s">
        <v>84</v>
      </c>
      <c r="EF12" s="85">
        <v>0.0</v>
      </c>
      <c r="EG12" s="85">
        <v>6.0</v>
      </c>
      <c r="EH12" s="85">
        <v>6.0</v>
      </c>
      <c r="EI12" s="85">
        <v>6.0</v>
      </c>
      <c r="EJ12" s="85">
        <v>19.0</v>
      </c>
      <c r="EK12" s="85">
        <v>19.0</v>
      </c>
      <c r="EL12" s="86" t="s">
        <v>73</v>
      </c>
      <c r="EM12" s="90">
        <v>15000.0</v>
      </c>
      <c r="EN12" s="90">
        <v>15000.0</v>
      </c>
      <c r="EO12" s="85">
        <v>0.0</v>
      </c>
      <c r="ET12" s="85">
        <v>0.0</v>
      </c>
    </row>
    <row r="13" ht="15.75" customHeight="1">
      <c r="A13" s="8"/>
      <c r="B13" s="8"/>
      <c r="C13" s="88"/>
      <c r="D13" s="88"/>
      <c r="E13" s="88"/>
      <c r="G13" s="8"/>
      <c r="H13" s="88"/>
      <c r="I13" s="8"/>
      <c r="J13" s="8"/>
      <c r="K13" s="8"/>
      <c r="L13" s="8"/>
      <c r="M13" s="8"/>
      <c r="N13" s="88"/>
      <c r="O13" s="88"/>
      <c r="P13" s="88"/>
      <c r="Q13" s="88"/>
      <c r="V13" s="88"/>
      <c r="W13" s="88"/>
      <c r="Y13" s="88"/>
      <c r="AB13" s="88"/>
      <c r="AC13" s="88"/>
      <c r="AD13" s="88"/>
      <c r="AE13" s="88"/>
      <c r="AF13" s="88"/>
      <c r="AP13" s="88"/>
      <c r="AQ13" s="88"/>
      <c r="AR13" s="88"/>
      <c r="AS13" s="88"/>
      <c r="AU13" s="88"/>
      <c r="AV13" s="88"/>
      <c r="AW13" s="88"/>
      <c r="AX13" s="88"/>
      <c r="AY13" s="88"/>
      <c r="BC13" s="88"/>
      <c r="BD13" s="88"/>
      <c r="BE13" s="88"/>
      <c r="BF13" s="88"/>
      <c r="BG13" s="88"/>
      <c r="BM13" s="88"/>
      <c r="BO13" s="88"/>
      <c r="BP13" s="88"/>
      <c r="BQ13" s="88"/>
      <c r="BR13" s="88"/>
      <c r="BS13" s="88"/>
      <c r="BT13" s="88"/>
      <c r="BU13" s="88"/>
      <c r="BW13" s="88"/>
      <c r="BX13" s="88"/>
      <c r="BY13" s="88"/>
      <c r="BZ13" s="88"/>
      <c r="CA13" s="88"/>
      <c r="CB13" s="88"/>
      <c r="CC13" s="88"/>
      <c r="CD13" s="88"/>
      <c r="CE13" s="88"/>
      <c r="CF13" s="88"/>
      <c r="CG13" s="88"/>
      <c r="CH13" s="88"/>
      <c r="CI13" s="88"/>
      <c r="CJ13" s="88"/>
      <c r="CK13" s="88"/>
      <c r="CL13" s="88"/>
      <c r="CY13" s="88"/>
      <c r="CZ13" s="88"/>
      <c r="DA13" s="88"/>
      <c r="DB13" s="88"/>
      <c r="DC13" s="88"/>
      <c r="DD13" s="88"/>
      <c r="DE13" s="88"/>
      <c r="DF13" s="88"/>
      <c r="DG13" s="88"/>
      <c r="DH13" s="88"/>
      <c r="DI13" s="88"/>
      <c r="DJ13" s="88"/>
      <c r="DK13" s="88"/>
      <c r="DL13" s="88"/>
      <c r="DM13" s="88"/>
      <c r="DN13" s="88"/>
      <c r="DP13" s="88"/>
      <c r="DQ13" s="88"/>
      <c r="DR13" s="88"/>
      <c r="DS13" s="88"/>
      <c r="DT13" s="88"/>
      <c r="DU13" s="88"/>
      <c r="DV13" s="88"/>
      <c r="DW13" s="88"/>
      <c r="DX13" s="88"/>
      <c r="DY13" s="88"/>
      <c r="DZ13" s="88"/>
      <c r="EA13" s="88"/>
      <c r="EB13" s="88"/>
      <c r="EC13" s="88"/>
      <c r="ED13" s="88"/>
      <c r="EE13" s="88"/>
      <c r="EF13" s="88"/>
      <c r="EG13" s="88"/>
      <c r="EH13" s="88"/>
      <c r="EI13" s="88"/>
      <c r="EJ13" s="88"/>
      <c r="EM13" s="88"/>
      <c r="EN13" s="88"/>
      <c r="EO13" s="88"/>
    </row>
    <row r="14" ht="15.75" customHeight="1">
      <c r="A14" s="8"/>
      <c r="B14" s="8"/>
      <c r="C14" s="88"/>
      <c r="D14" s="8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V14" s="88"/>
      <c r="W14" s="88"/>
      <c r="X14" s="88"/>
      <c r="AB14" s="88"/>
      <c r="AC14" s="88"/>
      <c r="AD14" s="88"/>
      <c r="AE14" s="88"/>
      <c r="AF14" s="88"/>
      <c r="AU14" s="88"/>
      <c r="AV14" s="88"/>
      <c r="AW14" s="88"/>
      <c r="AX14" s="88"/>
      <c r="AY14" s="88"/>
      <c r="BW14" s="88"/>
      <c r="BX14" s="88"/>
      <c r="BY14" s="88"/>
      <c r="BZ14" s="88"/>
      <c r="CA14" s="88"/>
      <c r="CB14" s="88"/>
      <c r="CC14" s="88"/>
      <c r="CD14" s="88"/>
      <c r="CY14" s="88"/>
      <c r="CZ14" s="88"/>
      <c r="DA14" s="88"/>
      <c r="DB14" s="88"/>
      <c r="DC14" s="88"/>
      <c r="DI14" s="88"/>
      <c r="DJ14" s="88"/>
      <c r="DK14" s="88"/>
      <c r="DL14" s="88"/>
      <c r="DM14" s="88"/>
      <c r="DN14" s="8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V15" s="88"/>
      <c r="W15" s="88"/>
      <c r="X15" s="88"/>
      <c r="CY15" s="88"/>
      <c r="CZ15" s="88"/>
      <c r="DA15" s="88"/>
      <c r="DB15" s="88"/>
      <c r="DC15" s="8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89</v>
      </c>
      <c r="D3" s="5" t="s">
        <v>9</v>
      </c>
      <c r="E3" s="23" t="s">
        <v>90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IFERROR(__xludf.DUMMYFUNCTION("""COMPUTED_VALUE"""),"Select Date")</f>
        <v>Select Date</v>
      </c>
      <c r="C5" s="29" t="str">
        <f>IFERROR(__xludf.DUMMYFUNCTION("""COMPUTED_VALUE"""),"Copy From")</f>
        <v>Copy From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92">
        <f t="shared" ref="B6:C6" si="1">today()-1</f>
        <v>44550</v>
      </c>
      <c r="C6" s="93">
        <f t="shared" si="1"/>
        <v>44550</v>
      </c>
      <c r="D6" s="13"/>
      <c r="E6" s="6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89</v>
      </c>
      <c r="D3" s="5" t="s">
        <v>9</v>
      </c>
      <c r="E3" s="23" t="s">
        <v>91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IFERROR(__xludf.DUMMYFUNCTION("""COMPUTED_VALUE"""),"Local Currency")</f>
        <v>Local Currency</v>
      </c>
      <c r="D5" s="29" t="str">
        <f>IFERROR(__xludf.DUMMYFUNCTION("""COMPUTED_VALUE"""),"Cash Value Local")</f>
        <v>Cash Value Local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30</v>
      </c>
      <c r="C6" s="13" t="s">
        <v>57</v>
      </c>
      <c r="D6" s="13">
        <v>20000.0</v>
      </c>
      <c r="E6" s="6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33</v>
      </c>
      <c r="C7" s="13" t="s">
        <v>57</v>
      </c>
      <c r="D7" s="13">
        <v>20000.0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31</v>
      </c>
      <c r="C8" s="13" t="s">
        <v>57</v>
      </c>
      <c r="D8" s="13">
        <v>20000.0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34</v>
      </c>
      <c r="C9" s="13" t="s">
        <v>57</v>
      </c>
      <c r="D9" s="13">
        <v>20000.0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92</v>
      </c>
      <c r="D3" s="5" t="s">
        <v>9</v>
      </c>
      <c r="E3" s="23" t="s">
        <v>92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IFERROR(__xludf.DUMMYFUNCTION("""COMPUTED_VALUE"""),"User Px")</f>
        <v>User Px</v>
      </c>
      <c r="D5" s="29" t="str">
        <f>IFERROR(__xludf.DUMMYFUNCTION("""COMPUTED_VALUE"""),"Asset Class")</f>
        <v>Asset Class</v>
      </c>
      <c r="E5" s="29" t="str">
        <f>IFERROR(__xludf.DUMMYFUNCTION("""COMPUTED_VALUE"""),"Volatility(%)")</f>
        <v>Volatility(%)</v>
      </c>
      <c r="F5" s="30" t="str">
        <f>IFERROR(__xludf.DUMMYFUNCTION("""COMPUTED_VALUE"""),"Historical Volatility")</f>
        <v>Historical Volatility</v>
      </c>
      <c r="G5" s="29" t="str">
        <f>IFERROR(__xludf.DUMMYFUNCTION("""COMPUTED_VALUE"""),"User Volatility")</f>
        <v>User Volatility</v>
      </c>
      <c r="H5" s="29" t="str">
        <f>IFERROR(__xludf.DUMMYFUNCTION("""COMPUTED_VALUE"""),"Interest Rate")</f>
        <v>Interest Rate</v>
      </c>
      <c r="I5" s="29" t="str">
        <f>IFERROR(__xludf.DUMMYFUNCTION("""COMPUTED_VALUE"""),"User Interest Rate")</f>
        <v>User Interest Rate</v>
      </c>
      <c r="J5" s="29" t="str">
        <f>IFERROR(__xludf.DUMMYFUNCTION("""COMPUTED_VALUE"""),"Dividend Yield")</f>
        <v>Dividend Yield</v>
      </c>
      <c r="K5" s="29" t="str">
        <f>IFERROR(__xludf.DUMMYFUNCTION("""COMPUTED_VALUE"""),"User Dividend Yield")</f>
        <v>User Dividend Yield</v>
      </c>
      <c r="L5" s="29" t="str">
        <f>IFERROR(__xludf.DUMMYFUNCTION("""COMPUTED_VALUE"""),"Actual Delta")</f>
        <v>Actual Delta</v>
      </c>
      <c r="M5" s="29" t="str">
        <f>IFERROR(__xludf.DUMMYFUNCTION("""COMPUTED_VALUE"""),"User Delta")</f>
        <v>User Delta</v>
      </c>
      <c r="N5" s="29" t="str">
        <f>IFERROR(__xludf.DUMMYFUNCTION("""COMPUTED_VALUE"""),"Selected Px")</f>
        <v>Selected Px</v>
      </c>
      <c r="O5" s="29" t="str">
        <f>IFERROR(__xludf.DUMMYFUNCTION("""COMPUTED_VALUE"""),"Forward Points")</f>
        <v>Forward Points</v>
      </c>
      <c r="P5" s="29" t="str">
        <f>IFERROR(__xludf.DUMMYFUNCTION("""COMPUTED_VALUE"""),"Shares Outstanding")</f>
        <v>Shares Outstanding</v>
      </c>
      <c r="Q5" s="29" t="str">
        <f>IFERROR(__xludf.DUMMYFUNCTION("""COMPUTED_VALUE"""),"User Shares Outstanding")</f>
        <v>User Shares Outstanding</v>
      </c>
      <c r="R5" s="29" t="str">
        <f>IFERROR(__xludf.DUMMYFUNCTION("""COMPUTED_VALUE"""),"LastPriceUsed")</f>
        <v>LastPriceUsed</v>
      </c>
      <c r="S5" s="29" t="str">
        <f>IFERROR(__xludf.DUMMYFUNCTION("""COMPUTED_VALUE"""),"VolatilityUsed")</f>
        <v>VolatilityUsed</v>
      </c>
      <c r="T5" s="31" t="str">
        <f>IFERROR(__xludf.DUMMYFUNCTION("""COMPUTED_VALUE"""),"IntRateUsed")</f>
        <v>IntRateUsed</v>
      </c>
      <c r="U5" s="31" t="str">
        <f>IFERROR(__xludf.DUMMYFUNCTION("""COMPUTED_VALUE"""),"SM Shares Outstanding")</f>
        <v>SM Shares Outstanding</v>
      </c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37</v>
      </c>
      <c r="C6" s="13">
        <v>10.0</v>
      </c>
      <c r="D6" s="13"/>
      <c r="E6" s="6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93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IFERROR(__xludf.DUMMYFUNCTION("""COMPUTED_VALUE"""),"Net Amount(Local)")</f>
        <v>Net Amount(Local)</v>
      </c>
      <c r="C5" s="29" t="str">
        <f>IFERROR(__xludf.DUMMYFUNCTION("""COMPUTED_VALUE"""),"Net Amount(Base)")</f>
        <v>Net Amount(Base)</v>
      </c>
      <c r="D5" s="29" t="str">
        <f>IFERROR(__xludf.DUMMYFUNCTION("""COMPUTED_VALUE"""),"Principal Amount(Local)")</f>
        <v>Principal Amount(Local)</v>
      </c>
      <c r="E5" s="29" t="str">
        <f>IFERROR(__xludf.DUMMYFUNCTION("""COMPUTED_VALUE"""),"Principal Amount(Base)")</f>
        <v>Principal Amount(Base)</v>
      </c>
      <c r="F5" s="30" t="str">
        <f>IFERROR(__xludf.DUMMYFUNCTION("""COMPUTED_VALUE"""),"FX Conversion Operator")</f>
        <v>FX Conversion Operator</v>
      </c>
      <c r="G5" s="29" t="str">
        <f>IFERROR(__xludf.DUMMYFUNCTION("""COMPUTED_VALUE"""),"TaxLotID")</f>
        <v>TaxLotID</v>
      </c>
      <c r="H5" s="29" t="str">
        <f>IFERROR(__xludf.DUMMYFUNCTION("""COMPUTED_VALUE"""),"Settlement Currency")</f>
        <v>Settlement Currency</v>
      </c>
      <c r="I5" s="29" t="str">
        <f>IFERROR(__xludf.DUMMYFUNCTION("""COMPUTED_VALUE"""),"Trade Attribute 1")</f>
        <v>Trade Attribute 1</v>
      </c>
      <c r="J5" s="29" t="str">
        <f>IFERROR(__xludf.DUMMYFUNCTION("""COMPUTED_VALUE"""),"Trade Attribute 2")</f>
        <v>Trade Attribute 2</v>
      </c>
      <c r="K5" s="29" t="str">
        <f>IFERROR(__xludf.DUMMYFUNCTION("""COMPUTED_VALUE"""),"Trade Attribute 3")</f>
        <v>Trade Attribute 3</v>
      </c>
      <c r="L5" s="29" t="str">
        <f>IFERROR(__xludf.DUMMYFUNCTION("""COMPUTED_VALUE"""),"Trade Attribute 4")</f>
        <v>Trade Attribute 4</v>
      </c>
      <c r="M5" s="29" t="str">
        <f>IFERROR(__xludf.DUMMYFUNCTION("""COMPUTED_VALUE"""),"Trade Attribute 5")</f>
        <v>Trade Attribute 5</v>
      </c>
      <c r="N5" s="29" t="str">
        <f>IFERROR(__xludf.DUMMYFUNCTION("""COMPUTED_VALUE"""),"Trade Attribute 6")</f>
        <v>Trade Attribute 6</v>
      </c>
      <c r="O5" s="29" t="str">
        <f>IFERROR(__xludf.DUMMYFUNCTION("""COMPUTED_VALUE"""),"Account Name")</f>
        <v>Account Name</v>
      </c>
      <c r="P5" s="29" t="str">
        <f>IFERROR(__xludf.DUMMYFUNCTION("""COMPUTED_VALUE"""),"Strategy Name")</f>
        <v>Strategy Name</v>
      </c>
      <c r="Q5" s="29" t="str">
        <f>IFERROR(__xludf.DUMMYFUNCTION("""COMPUTED_VALUE"""),"Percentage")</f>
        <v>Percentage</v>
      </c>
      <c r="R5" s="29" t="str">
        <f>IFERROR(__xludf.DUMMYFUNCTION("""COMPUTED_VALUE"""),"Taxlot Qty")</f>
        <v>Taxlot Qty</v>
      </c>
      <c r="S5" s="29" t="str">
        <f>IFERROR(__xludf.DUMMYFUNCTION("""COMPUTED_VALUE"""),"Commission")</f>
        <v>Commission</v>
      </c>
      <c r="T5" s="31" t="str">
        <f>IFERROR(__xludf.DUMMYFUNCTION("""COMPUTED_VALUE"""),"Soft Commission")</f>
        <v>Soft Commission</v>
      </c>
      <c r="U5" s="31" t="str">
        <f>IFERROR(__xludf.DUMMYFUNCTION("""COMPUTED_VALUE"""),"Other Broker Fees")</f>
        <v>Other Broker Fees</v>
      </c>
      <c r="V5" s="31" t="str">
        <f>IFERROR(__xludf.DUMMYFUNCTION("""COMPUTED_VALUE"""),"Clearing Broker Fees")</f>
        <v>Clearing Broker Fees</v>
      </c>
      <c r="W5" s="31" t="str">
        <f>IFERROR(__xludf.DUMMYFUNCTION("""COMPUTED_VALUE"""),"Stamp Duty")</f>
        <v>Stamp Duty</v>
      </c>
      <c r="X5" s="31" t="str">
        <f>IFERROR(__xludf.DUMMYFUNCTION("""COMPUTED_VALUE"""),"Transaction Levy")</f>
        <v>Transaction Levy</v>
      </c>
      <c r="Y5" s="31" t="str">
        <f>IFERROR(__xludf.DUMMYFUNCTION("""COMPUTED_VALUE"""),"AUEC Fee1")</f>
        <v>AUEC Fee1</v>
      </c>
      <c r="Z5" s="31" t="str">
        <f>IFERROR(__xludf.DUMMYFUNCTION("""COMPUTED_VALUE"""),"Tax On Commissions")</f>
        <v>Tax On Commissions</v>
      </c>
      <c r="AA5" s="31" t="str">
        <f>IFERROR(__xludf.DUMMYFUNCTION("""COMPUTED_VALUE"""),"AUEC Fee2")</f>
        <v>AUEC Fee2</v>
      </c>
      <c r="AB5" s="31" t="str">
        <f>IFERROR(__xludf.DUMMYFUNCTION("""COMPUTED_VALUE"""),"SEC Fee")</f>
        <v>SEC Fee</v>
      </c>
      <c r="AC5" s="31" t="str">
        <f>IFERROR(__xludf.DUMMYFUNCTION("""COMPUTED_VALUE"""),"OCC Fee")</f>
        <v>OCC Fee</v>
      </c>
      <c r="AD5" s="31" t="str">
        <f>IFERROR(__xludf.DUMMYFUNCTION("""COMPUTED_VALUE"""),"ORF Fee")</f>
        <v>ORF Fee</v>
      </c>
      <c r="AE5" s="31" t="str">
        <f>IFERROR(__xludf.DUMMYFUNCTION("""COMPUTED_VALUE"""),"Option Premium Adjustment")</f>
        <v>Option Premium Adjustment</v>
      </c>
      <c r="AF5" s="31" t="str">
        <f>IFERROR(__xludf.DUMMYFUNCTION("""COMPUTED_VALUE"""),"Closing Status")</f>
        <v>Closing Status</v>
      </c>
      <c r="AG5" s="31" t="str">
        <f>IFERROR(__xludf.DUMMYFUNCTION("""COMPUTED_VALUE"""),"External Transaction ID")</f>
        <v>External Transaction ID</v>
      </c>
      <c r="AH5" s="31" t="str">
        <f>IFERROR(__xludf.DUMMYFUNCTION("""COMPUTED_VALUE"""),"Lot ID")</f>
        <v>Lot ID</v>
      </c>
      <c r="AI5" s="31" t="str">
        <f>IFERROR(__xludf.DUMMYFUNCTION("""COMPUTED_VALUE"""),"AvgPriceBase")</f>
        <v>AvgPriceBase</v>
      </c>
      <c r="AJ5" s="31" t="str">
        <f>IFERROR(__xludf.DUMMYFUNCTION("""COMPUTED_VALUE"""),"Accrued Interest")</f>
        <v>Accrued Interest</v>
      </c>
      <c r="AK5" s="31" t="str">
        <f>IFERROR(__xludf.DUMMYFUNCTION("""COMPUTED_VALUE"""),"FXRate")</f>
        <v>FXRate</v>
      </c>
      <c r="AL5" s="31" t="str">
        <f>IFERROR(__xludf.DUMMYFUNCTION("""COMPUTED_VALUE"""),"Change Type")</f>
        <v>Change Type</v>
      </c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81">
        <v>2014.0011</v>
      </c>
      <c r="C6" s="81">
        <v>2014.0011</v>
      </c>
      <c r="D6" s="81">
        <v>2000.0</v>
      </c>
      <c r="E6" s="81">
        <v>2000.0</v>
      </c>
      <c r="F6" s="86" t="s">
        <v>59</v>
      </c>
      <c r="G6" s="8"/>
      <c r="H6" s="86" t="s">
        <v>57</v>
      </c>
      <c r="I6" s="88"/>
      <c r="J6" s="88"/>
      <c r="K6" s="88"/>
      <c r="L6" s="88"/>
      <c r="M6" s="88"/>
      <c r="N6" s="88"/>
      <c r="O6" s="86" t="s">
        <v>30</v>
      </c>
      <c r="P6" s="86" t="s">
        <v>63</v>
      </c>
      <c r="Q6" s="85">
        <v>100.0</v>
      </c>
      <c r="R6" s="85">
        <v>200.0</v>
      </c>
      <c r="S6" s="85">
        <v>0.0</v>
      </c>
      <c r="T6" s="85">
        <v>0.0</v>
      </c>
      <c r="U6" s="85">
        <v>0.0</v>
      </c>
      <c r="V6" s="85">
        <v>0.0</v>
      </c>
      <c r="W6" s="85">
        <v>0.0011</v>
      </c>
      <c r="X6" s="85">
        <v>2.0</v>
      </c>
      <c r="Y6" s="85">
        <v>4.0</v>
      </c>
      <c r="Z6" s="85">
        <v>3.0</v>
      </c>
      <c r="AA6" s="85">
        <v>5.0</v>
      </c>
      <c r="AB6" s="85">
        <v>0.0</v>
      </c>
      <c r="AC6" s="85">
        <v>0.0</v>
      </c>
      <c r="AD6" s="85">
        <v>0.0</v>
      </c>
      <c r="AE6" s="85">
        <v>0.0</v>
      </c>
      <c r="AF6" s="86" t="s">
        <v>56</v>
      </c>
      <c r="AG6" s="88"/>
      <c r="AH6" s="88"/>
      <c r="AI6" s="85">
        <v>10.0</v>
      </c>
      <c r="AJ6" s="85">
        <v>0.0</v>
      </c>
      <c r="AK6" s="85">
        <v>1.0</v>
      </c>
      <c r="AL6" s="85">
        <v>3.0</v>
      </c>
      <c r="AM6" s="88"/>
      <c r="AN6" s="88"/>
    </row>
    <row r="7" ht="15.75" customHeight="1">
      <c r="A7" s="8"/>
      <c r="B7" s="81">
        <v>3014.0017</v>
      </c>
      <c r="C7" s="81">
        <v>3014.0017</v>
      </c>
      <c r="D7" s="81">
        <v>3000.0</v>
      </c>
      <c r="E7" s="81">
        <v>3000.0</v>
      </c>
      <c r="F7" s="86" t="s">
        <v>59</v>
      </c>
      <c r="G7" s="8"/>
      <c r="H7" s="86" t="s">
        <v>57</v>
      </c>
      <c r="I7" s="88"/>
      <c r="J7" s="88"/>
      <c r="K7" s="88"/>
      <c r="L7" s="88"/>
      <c r="M7" s="88"/>
      <c r="N7" s="88"/>
      <c r="O7" s="86" t="s">
        <v>33</v>
      </c>
      <c r="P7" s="86" t="s">
        <v>63</v>
      </c>
      <c r="Q7" s="85">
        <v>100.0</v>
      </c>
      <c r="R7" s="85">
        <v>300.0</v>
      </c>
      <c r="S7" s="85">
        <v>0.0</v>
      </c>
      <c r="T7" s="85">
        <v>0.0</v>
      </c>
      <c r="U7" s="85">
        <v>0.0</v>
      </c>
      <c r="V7" s="85">
        <v>0.0</v>
      </c>
      <c r="W7" s="85">
        <v>0.0017</v>
      </c>
      <c r="X7" s="85">
        <v>2.0</v>
      </c>
      <c r="Y7" s="85">
        <v>4.0</v>
      </c>
      <c r="Z7" s="85">
        <v>3.0</v>
      </c>
      <c r="AA7" s="85">
        <v>5.0</v>
      </c>
      <c r="AB7" s="85">
        <v>0.0</v>
      </c>
      <c r="AC7" s="85">
        <v>0.0</v>
      </c>
      <c r="AD7" s="85">
        <v>0.0</v>
      </c>
      <c r="AE7" s="85">
        <v>0.0</v>
      </c>
      <c r="AF7" s="86" t="s">
        <v>56</v>
      </c>
      <c r="AG7" s="88"/>
      <c r="AH7" s="88"/>
      <c r="AI7" s="85">
        <v>10.0</v>
      </c>
      <c r="AJ7" s="85">
        <v>0.0</v>
      </c>
      <c r="AK7" s="85">
        <v>1.0</v>
      </c>
      <c r="AL7" s="85">
        <v>3.0</v>
      </c>
      <c r="AM7" s="88"/>
      <c r="AN7" s="88"/>
    </row>
    <row r="8" ht="15.75" customHeight="1">
      <c r="A8" s="8"/>
      <c r="B8" s="81">
        <v>4014.0022</v>
      </c>
      <c r="C8" s="81">
        <v>4014.0022</v>
      </c>
      <c r="D8" s="81">
        <v>4000.0</v>
      </c>
      <c r="E8" s="81">
        <v>4000.0</v>
      </c>
      <c r="F8" s="86" t="s">
        <v>59</v>
      </c>
      <c r="G8" s="8"/>
      <c r="H8" s="86" t="s">
        <v>57</v>
      </c>
      <c r="I8" s="88"/>
      <c r="J8" s="88"/>
      <c r="K8" s="88"/>
      <c r="L8" s="88"/>
      <c r="M8" s="88"/>
      <c r="N8" s="88"/>
      <c r="O8" s="86" t="s">
        <v>31</v>
      </c>
      <c r="P8" s="86" t="s">
        <v>63</v>
      </c>
      <c r="Q8" s="85">
        <v>100.0</v>
      </c>
      <c r="R8" s="85">
        <v>400.0</v>
      </c>
      <c r="S8" s="85">
        <v>0.0</v>
      </c>
      <c r="T8" s="85">
        <v>0.0</v>
      </c>
      <c r="U8" s="85">
        <v>0.0</v>
      </c>
      <c r="V8" s="85">
        <v>0.0</v>
      </c>
      <c r="W8" s="85">
        <v>0.0022</v>
      </c>
      <c r="X8" s="85">
        <v>2.0</v>
      </c>
      <c r="Y8" s="85">
        <v>4.0</v>
      </c>
      <c r="Z8" s="85">
        <v>3.0</v>
      </c>
      <c r="AA8" s="85">
        <v>5.0</v>
      </c>
      <c r="AB8" s="85">
        <v>0.0</v>
      </c>
      <c r="AC8" s="85">
        <v>0.0</v>
      </c>
      <c r="AD8" s="85">
        <v>0.0</v>
      </c>
      <c r="AE8" s="85">
        <v>0.0</v>
      </c>
      <c r="AF8" s="86" t="s">
        <v>56</v>
      </c>
      <c r="AG8" s="88"/>
      <c r="AH8" s="88"/>
      <c r="AI8" s="85">
        <v>10.0</v>
      </c>
      <c r="AJ8" s="85">
        <v>0.0</v>
      </c>
      <c r="AK8" s="85">
        <v>1.0</v>
      </c>
      <c r="AL8" s="85">
        <v>3.0</v>
      </c>
      <c r="AM8" s="88"/>
      <c r="AN8" s="88"/>
    </row>
    <row r="9" ht="15.75" customHeight="1">
      <c r="A9" s="8"/>
      <c r="B9" s="81">
        <v>5014.0028</v>
      </c>
      <c r="C9" s="81">
        <v>5014.0028</v>
      </c>
      <c r="D9" s="81">
        <v>5000.0</v>
      </c>
      <c r="E9" s="81">
        <v>5000.0</v>
      </c>
      <c r="F9" s="86" t="s">
        <v>59</v>
      </c>
      <c r="G9" s="8"/>
      <c r="H9" s="86" t="s">
        <v>57</v>
      </c>
      <c r="I9" s="88"/>
      <c r="J9" s="88"/>
      <c r="K9" s="88"/>
      <c r="L9" s="88"/>
      <c r="M9" s="88"/>
      <c r="N9" s="88"/>
      <c r="O9" s="86" t="s">
        <v>34</v>
      </c>
      <c r="P9" s="86" t="s">
        <v>63</v>
      </c>
      <c r="Q9" s="85">
        <v>100.0</v>
      </c>
      <c r="R9" s="85">
        <v>500.0</v>
      </c>
      <c r="S9" s="85">
        <v>0.0</v>
      </c>
      <c r="T9" s="85">
        <v>0.0</v>
      </c>
      <c r="U9" s="85">
        <v>0.0</v>
      </c>
      <c r="V9" s="85">
        <v>0.0</v>
      </c>
      <c r="W9" s="85">
        <v>0.0028</v>
      </c>
      <c r="X9" s="85">
        <v>2.0</v>
      </c>
      <c r="Y9" s="85">
        <v>4.0</v>
      </c>
      <c r="Z9" s="85">
        <v>3.0</v>
      </c>
      <c r="AA9" s="85">
        <v>5.0</v>
      </c>
      <c r="AB9" s="85">
        <v>0.0</v>
      </c>
      <c r="AC9" s="85">
        <v>0.0</v>
      </c>
      <c r="AD9" s="85">
        <v>0.0</v>
      </c>
      <c r="AE9" s="85">
        <v>0.0</v>
      </c>
      <c r="AF9" s="86" t="s">
        <v>56</v>
      </c>
      <c r="AG9" s="88"/>
      <c r="AH9" s="88"/>
      <c r="AI9" s="85">
        <v>10.0</v>
      </c>
      <c r="AJ9" s="85">
        <v>0.0</v>
      </c>
      <c r="AK9" s="85">
        <v>1.0</v>
      </c>
      <c r="AL9" s="85">
        <v>3.0</v>
      </c>
      <c r="AM9" s="88"/>
      <c r="AN9" s="88"/>
    </row>
    <row r="10" ht="15.75" customHeight="1">
      <c r="A10" s="8"/>
      <c r="B10" s="85">
        <v>507.0003</v>
      </c>
      <c r="C10" s="85">
        <v>507.0003</v>
      </c>
      <c r="D10" s="85">
        <v>500.0</v>
      </c>
      <c r="E10" s="85">
        <v>500.0</v>
      </c>
      <c r="F10" s="86" t="s">
        <v>59</v>
      </c>
      <c r="G10" s="8"/>
      <c r="H10" s="86" t="s">
        <v>57</v>
      </c>
      <c r="I10" s="88"/>
      <c r="J10" s="88"/>
      <c r="K10" s="88"/>
      <c r="L10" s="88"/>
      <c r="M10" s="88"/>
      <c r="N10" s="88"/>
      <c r="O10" s="86" t="s">
        <v>33</v>
      </c>
      <c r="P10" s="86" t="s">
        <v>63</v>
      </c>
      <c r="Q10" s="85">
        <v>50.0</v>
      </c>
      <c r="R10" s="85">
        <v>50.0</v>
      </c>
      <c r="S10" s="85">
        <v>0.0</v>
      </c>
      <c r="T10" s="85">
        <v>0.0</v>
      </c>
      <c r="U10" s="85">
        <v>0.0</v>
      </c>
      <c r="V10" s="85">
        <v>0.0</v>
      </c>
      <c r="W10" s="85">
        <v>3.0E-4</v>
      </c>
      <c r="X10" s="85">
        <v>1.0</v>
      </c>
      <c r="Y10" s="85">
        <v>2.0</v>
      </c>
      <c r="Z10" s="85">
        <v>1.5</v>
      </c>
      <c r="AA10" s="85">
        <v>2.5</v>
      </c>
      <c r="AB10" s="85">
        <v>0.0</v>
      </c>
      <c r="AC10" s="85">
        <v>0.0</v>
      </c>
      <c r="AD10" s="85">
        <v>0.0</v>
      </c>
      <c r="AE10" s="85">
        <v>0.0</v>
      </c>
      <c r="AF10" s="86" t="s">
        <v>56</v>
      </c>
      <c r="AG10" s="88"/>
      <c r="AH10" s="88"/>
      <c r="AI10" s="85">
        <v>10.0</v>
      </c>
      <c r="AJ10" s="85">
        <v>0.0</v>
      </c>
      <c r="AK10" s="85">
        <v>1.0</v>
      </c>
      <c r="AL10" s="85">
        <v>3.0</v>
      </c>
      <c r="AM10" s="88"/>
      <c r="AN10" s="88"/>
    </row>
    <row r="11" ht="15.75" customHeight="1">
      <c r="A11" s="8"/>
      <c r="B11" s="85">
        <v>507.0003</v>
      </c>
      <c r="C11" s="85">
        <v>507.0003</v>
      </c>
      <c r="D11" s="85">
        <v>500.0</v>
      </c>
      <c r="E11" s="85">
        <v>500.0</v>
      </c>
      <c r="F11" s="86" t="s">
        <v>59</v>
      </c>
      <c r="G11" s="8"/>
      <c r="H11" s="86" t="s">
        <v>57</v>
      </c>
      <c r="I11" s="88"/>
      <c r="J11" s="88"/>
      <c r="K11" s="88"/>
      <c r="L11" s="88"/>
      <c r="M11" s="88"/>
      <c r="N11" s="88"/>
      <c r="O11" s="86" t="s">
        <v>30</v>
      </c>
      <c r="P11" s="86" t="s">
        <v>63</v>
      </c>
      <c r="Q11" s="85">
        <v>50.0</v>
      </c>
      <c r="R11" s="85">
        <v>50.0</v>
      </c>
      <c r="S11" s="85">
        <v>0.0</v>
      </c>
      <c r="T11" s="85">
        <v>0.0</v>
      </c>
      <c r="U11" s="85">
        <v>0.0</v>
      </c>
      <c r="V11" s="85">
        <v>0.0</v>
      </c>
      <c r="W11" s="85">
        <v>3.0E-4</v>
      </c>
      <c r="X11" s="85">
        <v>1.0</v>
      </c>
      <c r="Y11" s="85">
        <v>2.0</v>
      </c>
      <c r="Z11" s="85">
        <v>1.5</v>
      </c>
      <c r="AA11" s="85">
        <v>2.5</v>
      </c>
      <c r="AB11" s="85">
        <v>0.0</v>
      </c>
      <c r="AC11" s="85">
        <v>0.0</v>
      </c>
      <c r="AD11" s="85">
        <v>0.0</v>
      </c>
      <c r="AE11" s="85">
        <v>0.0</v>
      </c>
      <c r="AF11" s="86" t="s">
        <v>56</v>
      </c>
      <c r="AG11" s="88"/>
      <c r="AH11" s="88"/>
      <c r="AI11" s="85">
        <v>10.0</v>
      </c>
      <c r="AJ11" s="85">
        <v>0.0</v>
      </c>
      <c r="AK11" s="85">
        <v>1.0</v>
      </c>
      <c r="AL11" s="85">
        <v>3.0</v>
      </c>
      <c r="AM11" s="88"/>
      <c r="AN11" s="88"/>
    </row>
    <row r="12" ht="15.75" customHeight="1">
      <c r="A12" s="8"/>
      <c r="B12" s="81">
        <v>1014.0006</v>
      </c>
      <c r="C12" s="81">
        <v>1014.0006</v>
      </c>
      <c r="D12" s="81">
        <v>1000.0</v>
      </c>
      <c r="E12" s="81">
        <v>1000.0</v>
      </c>
      <c r="F12" s="86" t="s">
        <v>59</v>
      </c>
      <c r="G12" s="8"/>
      <c r="H12" s="86" t="s">
        <v>57</v>
      </c>
      <c r="I12" s="88"/>
      <c r="J12" s="88"/>
      <c r="K12" s="88"/>
      <c r="L12" s="88"/>
      <c r="M12" s="88"/>
      <c r="N12" s="88"/>
      <c r="O12" s="86" t="s">
        <v>31</v>
      </c>
      <c r="P12" s="86" t="s">
        <v>63</v>
      </c>
      <c r="Q12" s="85">
        <v>100.0</v>
      </c>
      <c r="R12" s="85">
        <v>100.0</v>
      </c>
      <c r="S12" s="85">
        <v>0.0</v>
      </c>
      <c r="T12" s="85">
        <v>0.0</v>
      </c>
      <c r="U12" s="85">
        <v>0.0</v>
      </c>
      <c r="V12" s="85">
        <v>0.0</v>
      </c>
      <c r="W12" s="85">
        <v>6.0E-4</v>
      </c>
      <c r="X12" s="85">
        <v>2.0</v>
      </c>
      <c r="Y12" s="85">
        <v>4.0</v>
      </c>
      <c r="Z12" s="85">
        <v>3.0</v>
      </c>
      <c r="AA12" s="85">
        <v>5.0</v>
      </c>
      <c r="AB12" s="85">
        <v>0.0</v>
      </c>
      <c r="AC12" s="85">
        <v>0.0</v>
      </c>
      <c r="AD12" s="85">
        <v>0.0</v>
      </c>
      <c r="AE12" s="85">
        <v>0.0</v>
      </c>
      <c r="AF12" s="86" t="s">
        <v>56</v>
      </c>
      <c r="AG12" s="88"/>
      <c r="AH12" s="88"/>
      <c r="AI12" s="85">
        <v>10.0</v>
      </c>
      <c r="AJ12" s="85">
        <v>0.0</v>
      </c>
      <c r="AK12" s="85">
        <v>1.0</v>
      </c>
      <c r="AL12" s="85">
        <v>3.0</v>
      </c>
      <c r="AM12" s="88"/>
      <c r="AN12" s="8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CheckAllocatedTaxlots1!$4:$4</formula1>
    </dataValidation>
  </dataValidations>
  <hyperlinks>
    <hyperlink r:id="rId1" ref="DT4"/>
  </hyperlinks>
  <drawing r:id="rId2"/>
</worksheet>
</file>