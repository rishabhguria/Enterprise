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UIPreferencesTT" sheetId="4" r:id="rId6"/>
    <sheet state="visible" name="GetDailyCash" sheetId="5" r:id="rId7"/>
    <sheet state="visible" name="UpdateMultipleDailyCash" sheetId="6" r:id="rId8"/>
    <sheet state="visible" name="CreateDoneAwayOrder" sheetId="7" r:id="rId9"/>
    <sheet state="visible" name="PricingInput" sheetId="8" r:id="rId10"/>
    <sheet state="visible" name="CalculatePTT" sheetId="9" r:id="rId11"/>
    <sheet state="visible" name="VerifyPTT" sheetId="10" r:id="rId12"/>
    <sheet state="visible" name="CalculatePTT1" sheetId="11" r:id="rId13"/>
    <sheet state="visible" name="VerifyPTT1" sheetId="12" r:id="rId14"/>
  </sheets>
  <definedNames/>
  <calcPr/>
</workbook>
</file>

<file path=xl/sharedStrings.xml><?xml version="1.0" encoding="utf-8"?>
<sst xmlns="http://schemas.openxmlformats.org/spreadsheetml/2006/main" count="95" uniqueCount="32">
  <si>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</si>
  <si>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</si>
  <si>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</si>
  <si>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</si>
  <si>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</si>
  <si>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</si>
  <si>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</si>
  <si>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</si>
  <si>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</si>
  <si>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</si>
  <si>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</si>
  <si>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</si>
  <si>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</si>
  <si>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SetUIPreferencesTT</t>
  </si>
  <si>
    <t>Data Format</t>
  </si>
  <si>
    <t>Input Format</t>
  </si>
  <si>
    <t>No</t>
  </si>
  <si>
    <t>DailyValuation</t>
  </si>
  <si>
    <t>GetDailyCash</t>
  </si>
  <si>
    <t>UpdateMultipleDailyCash</t>
  </si>
  <si>
    <t>Allocation1</t>
  </si>
  <si>
    <t>USD</t>
  </si>
  <si>
    <t>CreateDoneAwayOrder</t>
  </si>
  <si>
    <t>AAPL</t>
  </si>
  <si>
    <t>Buy</t>
  </si>
  <si>
    <t>PricingInput</t>
  </si>
  <si>
    <t>PTT</t>
  </si>
  <si>
    <t>CalculatePTT</t>
  </si>
  <si>
    <t>Increase</t>
  </si>
  <si>
    <t>VerifyPTT</t>
  </si>
  <si>
    <t/>
  </si>
  <si>
    <t>Yes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</si>
</sst>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1.0"/>
      <color rgb="FF1F1F1F"/>
      <name val="&quot;Google Sans&quot;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4" fontId="7" numFmtId="0" xfId="0" applyAlignment="1" applyFill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5" fontId="12" numFmtId="0" xfId="0" applyAlignment="1" applyFill="1" applyFont="1">
      <alignment shrinkToFit="0" wrapText="0"/>
    </xf>
    <xf borderId="0" fillId="5" fontId="13" numFmtId="0" xfId="0" applyFont="1"/>
    <xf borderId="0" fillId="6" fontId="4" numFmtId="0" xfId="0" applyAlignment="1" applyFill="1" applyFont="1">
      <alignment shrinkToFit="0" wrapText="0"/>
    </xf>
    <xf borderId="4" fillId="6" fontId="4" numFmtId="0" xfId="0" applyAlignment="1" applyBorder="1" applyFont="1">
      <alignment shrinkToFit="0" wrapText="0"/>
    </xf>
    <xf borderId="4" fillId="6" fontId="4" numFmtId="0" xfId="0" applyAlignment="1" applyBorder="1" applyFont="1">
      <alignment readingOrder="0" shrinkToFit="0" wrapText="0"/>
    </xf>
    <xf borderId="0" fillId="6" fontId="11" numFmtId="0" xfId="0" applyFont="1"/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14" xfId="0" applyAlignment="1" applyFont="1" applyNumberForma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7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7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7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7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7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7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7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IFERROR(__xludf.DUMMYFUNCTION("""COMPUTED_VALUE"""),"Broker")</f>
        <v>Broker</v>
      </c>
      <c r="C5" s="28" t="str">
        <f>IFERROR(__xludf.DUMMYFUNCTION("""COMPUTED_VALUE"""),"Venue")</f>
        <v>Venue</v>
      </c>
      <c r="D5" s="28" t="str">
        <f>IFERROR(__xludf.DUMMYFUNCTION("""COMPUTED_VALUE"""),"Order Type")</f>
        <v>Order Type</v>
      </c>
      <c r="E5" s="28" t="str">
        <f>IFERROR(__xludf.DUMMYFUNCTION("""COMPUTED_VALUE"""),"TIF")</f>
        <v>TIF</v>
      </c>
      <c r="F5" s="29" t="str">
        <f>IFERROR(__xludf.DUMMYFUNCTION("""COMPUTED_VALUE"""),"Handling Instruction")</f>
        <v>Handling Instruction</v>
      </c>
      <c r="G5" s="28" t="str">
        <f>IFERROR(__xludf.DUMMYFUNCTION("""COMPUTED_VALUE"""),"Execution Instruction")</f>
        <v>Execution Instruction</v>
      </c>
      <c r="H5" s="28" t="str">
        <f>IFERROR(__xludf.DUMMYFUNCTION("""COMPUTED_VALUE"""),"Strategy")</f>
        <v>Strategy</v>
      </c>
      <c r="I5" s="28" t="str">
        <f>IFERROR(__xludf.DUMMYFUNCTION("""COMPUTED_VALUE"""),"Account")</f>
        <v>Account</v>
      </c>
      <c r="J5" s="28" t="str">
        <f>IFERROR(__xludf.DUMMYFUNCTION("""COMPUTED_VALUE"""),"Settlement Currency")</f>
        <v>Settlement Currency</v>
      </c>
      <c r="K5" s="28" t="str">
        <f>IFERROR(__xludf.DUMMYFUNCTION("""COMPUTED_VALUE"""),"Trader")</f>
        <v>Trader</v>
      </c>
      <c r="L5" s="28" t="str">
        <f>IFERROR(__xludf.DUMMYFUNCTION("""COMPUTED_VALUE"""),"Default Quantity")</f>
        <v>Default Quantity</v>
      </c>
      <c r="M5" s="28" t="str">
        <f>IFERROR(__xludf.DUMMYFUNCTION("""COMPUTED_VALUE"""),"Apply Round Lots")</f>
        <v>Apply Round Lots</v>
      </c>
      <c r="N5" s="28" t="str">
        <f>IFERROR(__xludf.DUMMYFUNCTION("""COMPUTED_VALUE"""),"Quantity")</f>
        <v>Quantity</v>
      </c>
      <c r="O5" s="28" t="str">
        <f>IFERROR(__xludf.DUMMYFUNCTION("""COMPUTED_VALUE"""),"Increase On Quantity")</f>
        <v>Increase On Quantity</v>
      </c>
      <c r="P5" s="28" t="str">
        <f>IFERROR(__xludf.DUMMYFUNCTION("""COMPUTED_VALUE"""),"Increase On Stop")</f>
        <v>Increase On Stop</v>
      </c>
      <c r="Q5" s="28" t="str">
        <f>IFERROR(__xludf.DUMMYFUNCTION("""COMPUTED_VALUE"""),"Increase On Limit")</f>
        <v>Increase On Limit</v>
      </c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13" t="s">
        <v>16</v>
      </c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SetUIPreferencesTT!$4:$4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>
        <f>TODAY()-1</f>
        <v>45204</v>
      </c>
      <c r="C6" s="33">
        <f>TODAY()</f>
        <v>45205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 t="s">
        <v>20</v>
      </c>
      <c r="C6" s="35" t="s">
        <v>21</v>
      </c>
      <c r="D6" s="36">
        <v>100000.0</v>
      </c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UpdateMultipleDailyCash!$4:$4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 t="s">
        <v>23</v>
      </c>
      <c r="C6" s="35" t="s">
        <v>24</v>
      </c>
      <c r="D6" s="36">
        <v>100.0</v>
      </c>
      <c r="E6" s="35"/>
      <c r="F6" s="35"/>
      <c r="G6" s="35"/>
      <c r="H6" s="35"/>
      <c r="I6" s="35"/>
      <c r="J6" s="37">
        <v>10.0</v>
      </c>
      <c r="K6" s="35"/>
      <c r="L6" s="35"/>
      <c r="M6" s="35"/>
      <c r="N6" s="38">
        <f>TODAY()-1</f>
        <v>45204</v>
      </c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 t="s">
        <v>23</v>
      </c>
      <c r="C6" s="37">
        <v>10.0</v>
      </c>
      <c r="D6" s="34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 t="s">
        <v>23</v>
      </c>
      <c r="C6" s="35" t="s">
        <v>28</v>
      </c>
      <c r="D6" s="34"/>
      <c r="E6" s="37">
        <v>5.0</v>
      </c>
      <c r="F6" s="35"/>
      <c r="G6" s="35"/>
      <c r="H6" s="35"/>
      <c r="I6" s="35" t="s">
        <v>20</v>
      </c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CalculatePTT!$4:$4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IFERROR(__xludf.DUMMYFUNCTION("""COMPUTED_VALUE"""),"Verify RoundLots In Input Parameters")</f>
        <v>Verify RoundLots In Input Parameters</v>
      </c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39">
        <v>100.0</v>
      </c>
      <c r="M6" s="39">
        <v>1.0</v>
      </c>
      <c r="N6" s="35" t="s">
        <v>30</v>
      </c>
      <c r="O6" s="35" t="s">
        <v>30</v>
      </c>
      <c r="P6" s="35" t="s">
        <v>30</v>
      </c>
      <c r="Q6" s="35" t="s">
        <v>30</v>
      </c>
      <c r="R6" s="35" t="s">
        <v>24</v>
      </c>
      <c r="T6" s="9" t="s">
        <v>16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VerifyPTT!$4:$4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 t="s">
        <v>23</v>
      </c>
      <c r="C6" s="35" t="s">
        <v>28</v>
      </c>
      <c r="D6" s="34"/>
      <c r="E6" s="37">
        <v>5.0</v>
      </c>
      <c r="F6" s="35"/>
      <c r="G6" s="35"/>
      <c r="H6" s="35"/>
      <c r="I6" s="35" t="s">
        <v>20</v>
      </c>
      <c r="J6" s="35"/>
      <c r="K6" s="40" t="s">
        <v>31</v>
      </c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CalculatePTT1!$4:$4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IFERROR(__xludf.DUMMYFUNCTION("""COMPUTED_VALUE"""),"Verify RoundLots In Input Parameters")</f>
        <v>Verify RoundLots In Input Parameters</v>
      </c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/>
      <c r="C6" s="35"/>
      <c r="D6" s="34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 t="s">
        <v>24</v>
      </c>
      <c r="S6" s="39">
        <v>1.0</v>
      </c>
      <c r="T6" s="35" t="s">
        <v>31</v>
      </c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VerifyPTT1!$4:$4</formula1>
    </dataValidation>
  </dataValidations>
  <drawing r:id="rId1"/>
</worksheet>
</file>