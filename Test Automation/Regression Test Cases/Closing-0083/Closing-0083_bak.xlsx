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1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SelectTradeUnexpiredUnsettled" sheetId="8" r:id="rId10"/>
    <sheet state="visible" name="EditTradeUnexpiredUnsettled" sheetId="9" r:id="rId11"/>
    <sheet state="visible" name="CashSettlementAtCost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<sst xmlns="http://schemas.openxmlformats.org/spreadsheetml/2006/main" count="118" uniqueCount="39">
  <si>
    <t>Modules Info</t>
  </si>
  <si>
    <t>Modules</t>
  </si>
  <si>
    <t>Settings</t>
  </si>
  <si>
    <t>Module Step Setting File</t>
  </si>
  <si>
    <t>1_gsBVxvTjU4bPkvIItLDIaHOR46PfxOLdQyZ0-u_Ji0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</si>
  <si>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</si>
  <si>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</si>
  <si>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</si>
  <si>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</si>
  <si>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</si>
  <si>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</si>
  <si>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</si>
  <si>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</si>
  <si>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</si>
  <si>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</si>
  <si>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</si>
  <si>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BP H9</t>
  </si>
  <si>
    <t>TradingTicket</t>
  </si>
  <si>
    <t>CreateDoneAwayOrder</t>
  </si>
  <si>
    <t>Buy</t>
  </si>
  <si>
    <t>Allocation1</t>
  </si>
  <si>
    <t>Closing</t>
  </si>
  <si>
    <t>GetDataClosing</t>
  </si>
  <si>
    <t>Current</t>
  </si>
  <si>
    <t>VerifyLongPositionsGrid</t>
  </si>
  <si>
    <t>Future</t>
  </si>
  <si>
    <t>Long</t>
  </si>
  <si>
    <t>SelectTradeUnexpiredUnsettled</t>
  </si>
  <si>
    <t>Open</t>
  </si>
  <si>
    <t>EditTradeUnexpiredUnsettled</t>
  </si>
  <si>
    <t>CashSettlementAtCost</t>
  </si>
  <si>
    <t>VerifyExpiredSettledGrid</t>
  </si>
  <si>
    <t>Allocation</t>
  </si>
  <si>
    <t>GetDataAllocation</t>
  </si>
  <si>
    <t>CheckAllocatedGroups</t>
  </si>
  <si>
    <t>PartiallyClosed</t>
  </si>
  <si>
    <t>PortfolioManagement</t>
  </si>
  <si>
    <t>CheckPortfolioManagement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</si>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</sst>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IFERROR(__xludf.DUMMYFUNCTION("""COMPUTED_VALUE"""),"EnableDisableModule")</f>
        <v>EnableDisableModule</v>
      </c>
      <c r="M4" s="24" t="str">
        <f>IFERROR(__xludf.DUMMYFUNCTION("""COMPUTED_VALUE"""),"IsImportOverrideOnShortLocate")</f>
        <v>IsImportOverrideOnShortLocate</v>
      </c>
      <c r="N4" s="24" t="str">
        <f>IFERROR(__xludf.DUMMYFUNCTION("""COMPUTED_VALUE"""),"SetShortLocateStructures")</f>
        <v>SetShortLocateStructures</v>
      </c>
      <c r="O4" s="24" t="str">
        <f>IFERROR(__xludf.DUMMYFUNCTION("""COMPUTED_VALUE"""),"SetComplianceAlert")</f>
        <v>SetComplianceAlert</v>
      </c>
      <c r="P4" s="25" t="str">
        <f>IFERROR(__xludf.DUMMYFUNCTION("""COMPUTED_VALUE"""),"UpdateExpirationDate")</f>
        <v>UpdateExpirationDate</v>
      </c>
      <c r="Q4" s="25" t="str">
        <f>IFERROR(__xludf.DUMMYFUNCTION("""COMPUTED_VALUE"""),"RenameMasterStrategy")</f>
        <v>RenameMasterStrategy</v>
      </c>
      <c r="R4" s="25" t="str">
        <f>IFERROR(__xludf.DUMMYFUNCTION("""COMPUTED_VALUE"""),"SetTTUIAdminPreferences")</f>
        <v>SetTTUIAdminPreferences</v>
      </c>
      <c r="S4" s="25" t="str">
        <f>IFERROR(__xludf.DUMMYFUNCTION("""COMPUTED_VALUE"""),"UpdateSecFee")</f>
        <v>UpdateSecFee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30">
        <f>Today()+2</f>
        <v>44703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19</v>
      </c>
      <c r="D6" s="11">
        <v>100.0</v>
      </c>
      <c r="E6" s="11">
        <v>100.0</v>
      </c>
      <c r="F6" s="11" t="s">
        <v>20</v>
      </c>
      <c r="G6" s="8"/>
      <c r="H6" s="8"/>
      <c r="I6" s="8"/>
      <c r="J6" s="11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20</v>
      </c>
      <c r="C6" s="33" t="s">
        <v>25</v>
      </c>
      <c r="D6" s="32"/>
      <c r="E6" s="34"/>
      <c r="F6" s="34"/>
      <c r="G6" s="34"/>
      <c r="H6" s="34"/>
      <c r="I6" s="35">
        <v>20.0</v>
      </c>
      <c r="J6" s="36"/>
      <c r="K6" s="36" t="s">
        <v>26</v>
      </c>
      <c r="L6" s="34"/>
      <c r="M6" s="37">
        <v>100.0</v>
      </c>
      <c r="N6" s="34"/>
      <c r="O6" s="34"/>
      <c r="P6" s="34" t="s">
        <v>19</v>
      </c>
      <c r="Q6" s="34"/>
      <c r="R6" s="38" t="s">
        <v>16</v>
      </c>
      <c r="S6" s="34"/>
      <c r="T6" s="39"/>
      <c r="U6" s="39"/>
      <c r="V6" s="39"/>
      <c r="W6" s="39"/>
      <c r="X6" s="39"/>
      <c r="Y6" s="39"/>
      <c r="Z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20</v>
      </c>
      <c r="C6" s="34"/>
      <c r="D6" s="32"/>
      <c r="E6" s="36" t="s">
        <v>25</v>
      </c>
      <c r="F6" s="34"/>
      <c r="G6" s="34"/>
      <c r="H6" s="34"/>
      <c r="I6" s="35">
        <v>20.0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 t="s">
        <v>28</v>
      </c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40">
        <v>100.0</v>
      </c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41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IFERROR(__xludf.DUMMYFUNCTION("""COMPUTED_VALUE"""),"Original Side")</f>
        <v>Original Side</v>
      </c>
      <c r="D5" s="27" t="str">
        <f>IFERROR(__xludf.DUMMYFUNCTION("""COMPUTED_VALUE"""),"Symbol")</f>
        <v>Symbol</v>
      </c>
      <c r="E5" s="27" t="str">
        <f>IFERROR(__xludf.DUMMYFUNCTION("""COMPUTED_VALUE"""),"Settlement Qty")</f>
        <v>Settlement Qty</v>
      </c>
      <c r="F5" s="28" t="str">
        <f>IFERROR(__xludf.DUMMYFUNCTION("""COMPUTED_VALUE"""),"Quantity")</f>
        <v>Quantity</v>
      </c>
      <c r="G5" s="27" t="str">
        <f>IFERROR(__xludf.DUMMYFUNCTION("""COMPUTED_VALUE"""),"TotalCommission&amp;Fees")</f>
        <v>TotalCommission&amp;Fees</v>
      </c>
      <c r="H5" s="27" t="str">
        <f>IFERROR(__xludf.DUMMYFUNCTION("""COMPUTED_VALUE"""),"Net Notional")</f>
        <v>Net Notional</v>
      </c>
      <c r="I5" s="27" t="str">
        <f>IFERROR(__xludf.DUMMYFUNCTION("""COMPUTED_VALUE"""),"Average Price")</f>
        <v>Average Price</v>
      </c>
      <c r="J5" s="27" t="str">
        <f>IFERROR(__xludf.DUMMYFUNCTION("""COMPUTED_VALUE"""),"UnderlyingName")</f>
        <v>UnderlyingName</v>
      </c>
      <c r="K5" s="27" t="str">
        <f>IFERROR(__xludf.DUMMYFUNCTION("""COMPUTED_VALUE"""),"UnitCost")</f>
        <v>UnitCost</v>
      </c>
      <c r="L5" s="27" t="str">
        <f>IFERROR(__xludf.DUMMYFUNCTION("""COMPUTED_VALUE"""),"PositionTag")</f>
        <v>PositionTag</v>
      </c>
      <c r="M5" s="27" t="str">
        <f>IFERROR(__xludf.DUMMYFUNCTION("""COMPUTED_VALUE"""),"Strategy")</f>
        <v>Strategy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11">
        <v>25.0</v>
      </c>
      <c r="F6" s="8"/>
      <c r="G6" s="8"/>
      <c r="H6" s="8"/>
      <c r="I6" s="11">
        <v>20.0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IFERROR(__xludf.DUMMYFUNCTION("""COMPUTED_VALUE"""),"AccrudInterest")</f>
        <v>AccrudInterest</v>
      </c>
      <c r="C5" s="27" t="str">
        <f>IFERROR(__xludf.DUMMYFUNCTION("""COMPUTED_VALUE"""),"Analyst")</f>
        <v>Analyst</v>
      </c>
      <c r="D5" s="27" t="str">
        <f>IFERROR(__xludf.DUMMYFUNCTION("""COMPUTED_VALUE"""),"Asset Class")</f>
        <v>Asset Class</v>
      </c>
      <c r="E5" s="27" t="str">
        <f>IFERROR(__xludf.DUMMYFUNCTION("""COMPUTED_VALUE"""),"AUCID")</f>
        <v>AUCID</v>
      </c>
      <c r="F5" s="28" t="str">
        <f>IFERROR(__xludf.DUMMYFUNCTION("""COMPUTED_VALUE"""),"AUECModifiedDate")</f>
        <v>AUECModifiedDate</v>
      </c>
      <c r="G5" s="27" t="str">
        <f>IFERROR(__xludf.DUMMYFUNCTION("""COMPUTED_VALUE"""),"Average Price")</f>
        <v>Average Price</v>
      </c>
      <c r="H5" s="27" t="str">
        <f>IFERROR(__xludf.DUMMYFUNCTION("""COMPUTED_VALUE"""),"BloombergSymbol")</f>
        <v>BloombergSymbol</v>
      </c>
      <c r="I5" s="27" t="str">
        <f>IFERROR(__xludf.DUMMYFUNCTION("""COMPUTED_VALUE"""),"CalcBasis")</f>
        <v>CalcBasis</v>
      </c>
      <c r="J5" s="27" t="str">
        <f>IFERROR(__xludf.DUMMYFUNCTION("""COMPUTED_VALUE"""),"CashSettledPrice")</f>
        <v>CashSettledPrice</v>
      </c>
      <c r="K5" s="27" t="str">
        <f>IFERROR(__xludf.DUMMYFUNCTION("""COMPUTED_VALUE"""),"ChangeComment")</f>
        <v>ChangeComment</v>
      </c>
      <c r="L5" s="27" t="str">
        <f>IFERROR(__xludf.DUMMYFUNCTION("""COMPUTED_VALUE"""),"ChangeType")</f>
        <v>ChangeType</v>
      </c>
      <c r="M5" s="27" t="str">
        <f>IFERROR(__xludf.DUMMYFUNCTION("""COMPUTED_VALUE"""),"ChangeBrokerFee")</f>
        <v>ChangeBrokerFee</v>
      </c>
      <c r="N5" s="27" t="str">
        <f>IFERROR(__xludf.DUMMYFUNCTION("""COMPUTED_VALUE"""),"ClearingFee")</f>
        <v>ClearingFee</v>
      </c>
      <c r="O5" s="27" t="str">
        <f>IFERROR(__xludf.DUMMYFUNCTION("""COMPUTED_VALUE"""),"Close Date")</f>
        <v>Close Date</v>
      </c>
      <c r="P5" s="27" t="str">
        <f>IFERROR(__xludf.DUMMYFUNCTION("""COMPUTED_VALUE"""),"ClosedTotalCommissionandFees")</f>
        <v>ClosedTotalCommissionandFees</v>
      </c>
      <c r="Q5" s="27" t="str">
        <f>IFERROR(__xludf.DUMMYFUNCTION("""COMPUTED_VALUE"""),"ClosingAlgo")</f>
        <v>ClosingAlgo</v>
      </c>
      <c r="R5" s="27" t="str">
        <f>IFERROR(__xludf.DUMMYFUNCTION("""COMPUTED_VALUE"""),"ClosingDate")</f>
        <v>ClosingDate</v>
      </c>
      <c r="S5" s="27" t="str">
        <f>IFERROR(__xludf.DUMMYFUNCTION("""COMPUTED_VALUE"""),"ClosingMode")</f>
        <v>ClosingMode</v>
      </c>
      <c r="T5" s="29" t="str">
        <f>IFERROR(__xludf.DUMMYFUNCTION("""COMPUTED_VALUE"""),"ClosingStatus")</f>
        <v>ClosingStatus</v>
      </c>
      <c r="U5" s="29" t="str">
        <f>IFERROR(__xludf.DUMMYFUNCTION("""COMPUTED_VALUE"""),"CommissionAmt")</f>
        <v>CommissionAmt</v>
      </c>
      <c r="V5" s="29" t="str">
        <f>IFERROR(__xludf.DUMMYFUNCTION("""COMPUTED_VALUE"""),"CommissionRate")</f>
        <v>CommissionRate</v>
      </c>
      <c r="W5" s="29" t="str">
        <f>IFERROR(__xludf.DUMMYFUNCTION("""COMPUTED_VALUE"""),"CompanyName")</f>
        <v>CompanyName</v>
      </c>
      <c r="X5" s="29" t="str">
        <f>IFERROR(__xludf.DUMMYFUNCTION("""COMPUTED_VALUE"""),"CompanyuserName")</f>
        <v>CompanyuserName</v>
      </c>
      <c r="Y5" s="29" t="str">
        <f>IFERROR(__xludf.DUMMYFUNCTION("""COMPUTED_VALUE"""),"ContractMultiplier")</f>
        <v>ContractMultiplier</v>
      </c>
      <c r="Z5" s="29" t="str">
        <f>IFERROR(__xludf.DUMMYFUNCTION("""COMPUTED_VALUE"""),"CounterPartyName")</f>
        <v>CounterPartyName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IFERROR(__xludf.DUMMYFUNCTION("""COMPUTED_VALUE"""),"ExternalTransId")</f>
        <v>ExternalTransId</v>
      </c>
      <c r="AS5" s="29" t="str">
        <f>IFERROR(__xludf.DUMMYFUNCTION("""COMPUTED_VALUE"""),"ForexReq")</f>
        <v>ForexReq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IFERROR(__xludf.DUMMYFUNCTION("""COMPUTED_VALUE"""),"IsExcerciseAtZero")</f>
        <v>IsExcerciseAtZero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IFERROR(__xludf.DUMMYFUNCTION("""COMPUTED_VALUE"""),"ISSwap")</f>
        <v>ISSwap</v>
      </c>
      <c r="BF5" s="29" t="str">
        <f>IFERROR(__xludf.DUMMYFUNCTION("""COMPUTED_VALUE"""),"LeadCurrencyID")</f>
        <v>LeadCurrencyID</v>
      </c>
      <c r="BG5" s="29" t="str">
        <f>IFERROR(__xludf.DUMMYFUNCTION("""COMPUTED_VALUE"""),"Level1Name")</f>
        <v>Level1Name</v>
      </c>
      <c r="BH5" s="29" t="str">
        <f>IFERROR(__xludf.DUMMYFUNCTION("""COMPUTED_VALUE"""),"LevelName2")</f>
        <v>LevelName2</v>
      </c>
      <c r="BI5" s="29" t="str">
        <f>IFERROR(__xludf.DUMMYFUNCTION("""COMPUTED_VALUE"""),"LiquidTag")</f>
        <v>LiquidTag</v>
      </c>
      <c r="BJ5" s="29" t="str">
        <f>IFERROR(__xludf.DUMMYFUNCTION("""COMPUTED_VALUE"""),"LongOrShort")</f>
        <v>LongOrShort</v>
      </c>
      <c r="BK5" s="29" t="str">
        <f>IFERROR(__xludf.DUMMYFUNCTION("""COMPUTED_VALUE"""),"LotId")</f>
        <v>LotId</v>
      </c>
      <c r="BL5" s="29" t="str">
        <f>IFERROR(__xludf.DUMMYFUNCTION("""COMPUTED_VALUE"""),"M2MProfitLoss")</f>
        <v>M2MProfitLoss</v>
      </c>
      <c r="BM5" s="29" t="str">
        <f>IFERROR(__xludf.DUMMYFUNCTION("""COMPUTED_VALUE"""),"MarketCap")</f>
        <v>MarketCap</v>
      </c>
      <c r="BN5" s="29" t="str">
        <f>IFERROR(__xludf.DUMMYFUNCTION("""COMPUTED_VALUE"""),"MarkPrice")</f>
        <v>MarkPrice</v>
      </c>
      <c r="BO5" s="29" t="str">
        <f>IFERROR(__xludf.DUMMYFUNCTION("""COMPUTED_VALUE"""),"MasterFund")</f>
        <v>MasterFund</v>
      </c>
      <c r="BP5" s="29" t="str">
        <f>IFERROR(__xludf.DUMMYFUNCTION("""COMPUTED_VALUE"""),"MiscFees")</f>
        <v>MiscFees</v>
      </c>
      <c r="BQ5" s="29" t="str">
        <f>IFERROR(__xludf.DUMMYFUNCTION("""COMPUTED_VALUE"""),"NavLockStatus")</f>
        <v>NavLockStatus</v>
      </c>
      <c r="BR5" s="29" t="str">
        <f>IFERROR(__xludf.DUMMYFUNCTION("""COMPUTED_VALUE"""),"NetNotionalValue")</f>
        <v>NetNotionalValue</v>
      </c>
      <c r="BS5" s="29" t="str">
        <f>IFERROR(__xludf.DUMMYFUNCTION("""COMPUTED_VALUE"""),"NirvanaProcessDate")</f>
        <v>NirvanaProcessDate</v>
      </c>
      <c r="BT5" s="29" t="str">
        <f>IFERROR(__xludf.DUMMYFUNCTION("""COMPUTED_VALUE"""),"OCC Fee")</f>
        <v>OCC Fee</v>
      </c>
      <c r="BU5" s="29" t="str">
        <f>IFERROR(__xludf.DUMMYFUNCTION("""COMPUTED_VALUE"""),"OpenQty")</f>
        <v>OpenQty</v>
      </c>
      <c r="BV5" s="29" t="str">
        <f>IFERROR(__xludf.DUMMYFUNCTION("""COMPUTED_VALUE"""),"OpenTotalCommissionFees")</f>
        <v>OpenTotalCommissionFees</v>
      </c>
      <c r="BW5" s="29" t="str">
        <f>IFERROR(__xludf.DUMMYFUNCTION("""COMPUTED_VALUE"""),"OptionPremiumAdjustment")</f>
        <v>OptionPremiumAdjustment</v>
      </c>
      <c r="BX5" s="29" t="str">
        <f>IFERROR(__xludf.DUMMYFUNCTION("""COMPUTED_VALUE"""),"OrderSideTagValue")</f>
        <v>OrderSideTagValue</v>
      </c>
      <c r="BY5" s="29" t="str">
        <f>IFERROR(__xludf.DUMMYFUNCTION("""COMPUTED_VALUE"""),"orderType")</f>
        <v>orderType</v>
      </c>
      <c r="BZ5" s="29" t="str">
        <f>IFERROR(__xludf.DUMMYFUNCTION("""COMPUTED_VALUE"""),"OrfFee")</f>
        <v>OrfFee</v>
      </c>
      <c r="CA5" s="29" t="str">
        <f>IFERROR(__xludf.DUMMYFUNCTION("""COMPUTED_VALUE"""),"Original Side")</f>
        <v>Original Side</v>
      </c>
      <c r="CB5" s="29" t="str">
        <f>IFERROR(__xludf.DUMMYFUNCTION("""COMPUTED_VALUE"""),"OriginalPurchaseDate")</f>
        <v>OriginalPurchaseDate</v>
      </c>
      <c r="CC5" s="29" t="str">
        <f>IFERROR(__xludf.DUMMYFUNCTION("""COMPUTED_VALUE"""),"OSISymbol")</f>
        <v>OSISymbol</v>
      </c>
      <c r="CD5" s="29" t="str">
        <f>IFERROR(__xludf.DUMMYFUNCTION("""COMPUTED_VALUE"""),"OtherBrokerFees")</f>
        <v>OtherBrokerFees</v>
      </c>
      <c r="CE5" s="29" t="str">
        <f>IFERROR(__xludf.DUMMYFUNCTION("""COMPUTED_VALUE"""),"ParentRowPk")</f>
        <v>ParentRowPk</v>
      </c>
      <c r="CF5" s="29" t="str">
        <f>IFERROR(__xludf.DUMMYFUNCTION("""COMPUTED_VALUE"""),"Percentage")</f>
        <v>Percentage</v>
      </c>
      <c r="CG5" s="29" t="str">
        <f>IFERROR(__xludf.DUMMYFUNCTION("""COMPUTED_VALUE"""),"PositionTag")</f>
        <v>PositionTag</v>
      </c>
      <c r="CH5" s="29" t="str">
        <f>IFERROR(__xludf.DUMMYFUNCTION("""COMPUTED_VALUE"""),"PositionType")</f>
        <v>PositionType</v>
      </c>
      <c r="CI5" s="29" t="str">
        <f>IFERROR(__xludf.DUMMYFUNCTION("""COMPUTED_VALUE"""),"ProcessDate")</f>
        <v>ProcessDate</v>
      </c>
      <c r="CJ5" s="29" t="str">
        <f>IFERROR(__xludf.DUMMYFUNCTION("""COMPUTED_VALUE"""),"ProxySymbol")</f>
        <v>ProxySymbol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IFERROR(__xludf.DUMMYFUNCTION("""COMPUTED_VALUE"""),"SecurityTypeName")</f>
        <v>SecurityTypeName</v>
      </c>
      <c r="CN5" s="29" t="str">
        <f>IFERROR(__xludf.DUMMYFUNCTION("""COMPUTED_VALUE"""),"SedolSymbol")</f>
        <v>SedolSymbol</v>
      </c>
      <c r="CO5" s="29" t="str">
        <f>IFERROR(__xludf.DUMMYFUNCTION("""COMPUTED_VALUE"""),"SettlCurrAmt")</f>
        <v>SettlCurrAmt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IFERROR(__xludf.DUMMYFUNCTION("""COMPUTED_VALUE"""),"SettledQty")</f>
        <v>SettledQty</v>
      </c>
      <c r="CT5" s="29" t="str">
        <f>IFERROR(__xludf.DUMMYFUNCTION("""COMPUTED_VALUE"""),"Settlement Currency")</f>
        <v>Settlement Currency</v>
      </c>
      <c r="CU5" s="29" t="str">
        <f>IFERROR(__xludf.DUMMYFUNCTION("""COMPUTED_VALUE"""),"SettlementDate")</f>
        <v>SettlementDate</v>
      </c>
      <c r="CV5" s="29" t="str">
        <f>IFERROR(__xludf.DUMMYFUNCTION("""COMPUTED_VALUE"""),"SideMultiplier")</f>
        <v>SideMultiplier</v>
      </c>
      <c r="CW5" s="29" t="str">
        <f>IFERROR(__xludf.DUMMYFUNCTION("""COMPUTED_VALUE"""),"SoftCommission")</f>
        <v>SoftCommission</v>
      </c>
      <c r="CX5" s="29" t="str">
        <f>IFERROR(__xludf.DUMMYFUNCTION("""COMPUTED_VALUE"""),"SoftCommissionAmt")</f>
        <v>SoftCommissionAmt</v>
      </c>
      <c r="CY5" s="29" t="str">
        <f>IFERROR(__xludf.DUMMYFUNCTION("""COMPUTED_VALUE"""),"SoftCommissionCalcBasis")</f>
        <v>SoftCommissionCalcBasis</v>
      </c>
      <c r="CZ5" s="29" t="str">
        <f>IFERROR(__xludf.DUMMYFUNCTION("""COMPUTED_VALUE"""),"SoftCommissionRate")</f>
        <v>SoftCommissionRate</v>
      </c>
      <c r="DA5" s="29" t="str">
        <f>IFERROR(__xludf.DUMMYFUNCTION("""COMPUTED_VALUE"""),"StampDuty")</f>
        <v>StampDuty</v>
      </c>
      <c r="DB5" s="29" t="str">
        <f>IFERROR(__xludf.DUMMYFUNCTION("""COMPUTED_VALUE"""),"StrikePrice")</f>
        <v>StrikePrice</v>
      </c>
      <c r="DC5" s="29" t="str">
        <f>IFERROR(__xludf.DUMMYFUNCTION("""COMPUTED_VALUE"""),"SubSectorName")</f>
        <v>SubSectorName</v>
      </c>
      <c r="DD5" s="29" t="str">
        <f>IFERROR(__xludf.DUMMYFUNCTION("""COMPUTED_VALUE"""),"SwapParameters")</f>
        <v>SwapParameters</v>
      </c>
      <c r="DE5" s="29" t="str">
        <f>IFERROR(__xludf.DUMMYFUNCTION("""COMPUTED_VALUE"""),"Symbol")</f>
        <v>Symbol</v>
      </c>
      <c r="DF5" s="29" t="str">
        <f>IFERROR(__xludf.DUMMYFUNCTION("""COMPUTED_VALUE"""),"TaxlotClosingId")</f>
        <v>TaxlotClosingId</v>
      </c>
      <c r="DG5" s="29" t="str">
        <f>IFERROR(__xludf.DUMMYFUNCTION("""COMPUTED_VALUE"""),"TaxLotID")</f>
        <v>TaxLotID</v>
      </c>
      <c r="DH5" s="29" t="str">
        <f>IFERROR(__xludf.DUMMYFUNCTION("""COMPUTED_VALUE"""),"taxlotPk")</f>
        <v>taxlotPk</v>
      </c>
      <c r="DI5" s="29" t="str">
        <f>IFERROR(__xludf.DUMMYFUNCTION("""COMPUTED_VALUE"""),"TaxLotQtyToClose")</f>
        <v>TaxLotQtyToClose</v>
      </c>
      <c r="DJ5" s="29" t="str">
        <f>IFERROR(__xludf.DUMMYFUNCTION("""COMPUTED_VALUE"""),"TaxonCommissions")</f>
        <v>TaxonCommissions</v>
      </c>
      <c r="DK5" s="29" t="str">
        <f>IFERROR(__xludf.DUMMYFUNCTION("""COMPUTED_VALUE"""),"TimeOfSaveUTC")</f>
        <v>TimeOfSaveUTC</v>
      </c>
      <c r="DL5" s="29" t="str">
        <f>IFERROR(__xludf.DUMMYFUNCTION("""COMPUTED_VALUE"""),"TotalCommissionandFees")</f>
        <v>TotalCommissionandFees</v>
      </c>
      <c r="DM5" s="29" t="str">
        <f>IFERROR(__xludf.DUMMYFUNCTION("""COMPUTED_VALUE"""),"Tradedate")</f>
        <v>Tradedate</v>
      </c>
      <c r="DN5" s="29" t="str">
        <f>IFERROR(__xludf.DUMMYFUNCTION("""COMPUTED_VALUE"""),"TradeAttribute1")</f>
        <v>TradeAttribute1</v>
      </c>
      <c r="DO5" s="29" t="str">
        <f>IFERROR(__xludf.DUMMYFUNCTION("""COMPUTED_VALUE"""),"TradeAttribute2")</f>
        <v>TradeAttribute2</v>
      </c>
      <c r="DP5" s="29" t="str">
        <f>IFERROR(__xludf.DUMMYFUNCTION("""COMPUTED_VALUE"""),"TradeAttribute3")</f>
        <v>TradeAttribute3</v>
      </c>
      <c r="DQ5" s="29" t="str">
        <f>IFERROR(__xludf.DUMMYFUNCTION("""COMPUTED_VALUE"""),"TradeAttribute4")</f>
        <v>TradeAttribute4</v>
      </c>
      <c r="DR5" s="29" t="str">
        <f>IFERROR(__xludf.DUMMYFUNCTION("""COMPUTED_VALUE"""),"TradeAttribute5")</f>
        <v>TradeAttribute5</v>
      </c>
      <c r="DS5" s="29" t="str">
        <f>IFERROR(__xludf.DUMMYFUNCTION("""COMPUTED_VALUE"""),"TradeAttribute6")</f>
        <v>TradeAttribute6</v>
      </c>
      <c r="DT5" s="29" t="str">
        <f>IFERROR(__xludf.DUMMYFUNCTION("""COMPUTED_VALUE"""),"TradingAccountName")</f>
        <v>TradingAccountName</v>
      </c>
      <c r="DU5" s="29" t="str">
        <f>IFERROR(__xludf.DUMMYFUNCTION("""COMPUTED_VALUE"""),"TransactionLevy")</f>
        <v>TransactionLevy</v>
      </c>
      <c r="DV5" s="29" t="str">
        <f>IFERROR(__xludf.DUMMYFUNCTION("""COMPUTED_VALUE"""),"TransactionType")</f>
        <v>TransactionType</v>
      </c>
      <c r="DW5" s="29" t="str">
        <f>IFERROR(__xludf.DUMMYFUNCTION("""COMPUTED_VALUE"""),"UcitsEligibleTag")</f>
        <v>UcitsEligibleTag</v>
      </c>
      <c r="DX5" s="29" t="str">
        <f>IFERROR(__xludf.DUMMYFUNCTION("""COMPUTED_VALUE"""),"UDAAsset")</f>
        <v>UDAAsset</v>
      </c>
      <c r="DY5" s="29" t="str">
        <f>IFERROR(__xludf.DUMMYFUNCTION("""COMPUTED_VALUE"""),"UnderlyingDelta")</f>
        <v>UnderlyingDelta</v>
      </c>
      <c r="DZ5" s="29" t="str">
        <f>IFERROR(__xludf.DUMMYFUNCTION("""COMPUTED_VALUE"""),"UnderlyingName")</f>
        <v>UnderlyingName</v>
      </c>
      <c r="EA5" s="29" t="str">
        <f>IFERROR(__xludf.DUMMYFUNCTION("""COMPUTED_VALUE"""),"UnderlyingSymbol")</f>
        <v>UnderlyingSymbol</v>
      </c>
      <c r="EB5" s="29" t="str">
        <f>IFERROR(__xludf.DUMMYFUNCTION("""COMPUTED_VALUE"""),"UnitCost")</f>
        <v>UnitCost</v>
      </c>
      <c r="EC5" s="29" t="str">
        <f>IFERROR(__xludf.DUMMYFUNCTION("""COMPUTED_VALUE"""),"UnRealizedPNL")</f>
        <v>UnRealizedPNL</v>
      </c>
      <c r="ED5" s="29" t="str">
        <f>IFERROR(__xludf.DUMMYFUNCTION("""COMPUTED_VALUE"""),"Venue")</f>
        <v>Venue</v>
      </c>
      <c r="EE5" s="29" t="str">
        <f>IFERROR(__xludf.DUMMYFUNCTION("""COMPUTED_VALUE"""),"VsCurrencyID")</f>
        <v>VsCurrencyID</v>
      </c>
      <c r="EF5" s="29" t="str">
        <f>IFERROR(__xludf.DUMMYFUNCTION("""COMPUTED_VALUE"""),"WorkflowState")</f>
        <v>WorkflowState</v>
      </c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2"/>
      <c r="C6" s="34"/>
      <c r="D6" s="42"/>
      <c r="E6" s="34"/>
      <c r="F6" s="34"/>
      <c r="G6" s="38">
        <v>20.0</v>
      </c>
      <c r="H6" s="34"/>
      <c r="I6" s="34"/>
      <c r="J6" s="37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43">
        <v>25.0</v>
      </c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CashSettlementAtCost!$4:$4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tr">
        <f>IFERROR(__xludf.DUMMYFUNCTION("""COMPUTED_VALUE"""),"ManualClosing")</f>
        <v>ManualClosing</v>
      </c>
      <c r="D4" s="24" t="str">
        <f>IFERROR(__xludf.DUMMYFUNCTION("""COMPUTED_VALUE"""),"SwapExpire")</f>
        <v>SwapExpire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 t="str">
        <f>IFERROR(__xludf.DUMMYFUNCTION("""COMPUTED_VALUE"""),"EditMultipleCloseQuantity")</f>
        <v>EditMultipleCloseQuantity</v>
      </c>
      <c r="AF4" s="25" t="str">
        <f>IFERROR(__xludf.DUMMYFUNCTION("""COMPUTED_VALUE"""),"ManualCloseOrder")</f>
        <v>ManualCloseOrder</v>
      </c>
      <c r="AG4" s="25" t="str">
        <f>IFERROR(__xludf.DUMMYFUNCTION("""COMPUTED_VALUE"""),"PreviewDataWithFilters")</f>
        <v>PreviewDataWithFilters</v>
      </c>
      <c r="AH4" s="25" t="str">
        <f>IFERROR(__xludf.DUMMYFUNCTION("""COMPUTED_VALUE"""),"CreateClosingTemplate")</f>
        <v>CreateClosingTemplate</v>
      </c>
      <c r="AI4" s="25" t="str">
        <f>IFERROR(__xludf.DUMMYFUNCTION("""COMPUTED_VALUE"""),"CreateUnwindingTemplate")</f>
        <v>CreateUnwindingTemplate</v>
      </c>
      <c r="AJ4" s="25" t="str">
        <f>IFERROR(__xludf.DUMMYFUNCTION("""COMPUTED_VALUE"""),"EditTemplate")</f>
        <v>EditTemplate</v>
      </c>
      <c r="AK4" s="25" t="str">
        <f>IFERROR(__xludf.DUMMYFUNCTION("""COMPUTED_VALUE"""),"DeleteTemplate")</f>
        <v>DeleteTemplate</v>
      </c>
      <c r="AL4" s="25" t="str">
        <f>IFERROR(__xludf.DUMMYFUNCTION("""COMPUTED_VALUE"""),"RunTemplate")</f>
        <v>RunTemplate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20</v>
      </c>
      <c r="C6" s="34"/>
      <c r="D6" s="32"/>
      <c r="E6" s="34"/>
      <c r="F6" s="35">
        <v>20.0</v>
      </c>
      <c r="G6" s="35">
        <v>25.0</v>
      </c>
      <c r="H6" s="34"/>
      <c r="I6" s="34"/>
      <c r="J6" s="34"/>
      <c r="K6" s="36"/>
      <c r="L6" s="36"/>
      <c r="M6" s="34"/>
      <c r="N6" s="34"/>
      <c r="O6" s="34"/>
      <c r="P6" s="34"/>
      <c r="Q6" s="34"/>
      <c r="R6" s="34"/>
      <c r="S6" s="34"/>
      <c r="T6" s="43">
        <v>20.0</v>
      </c>
      <c r="U6" s="39"/>
      <c r="V6" s="39" t="s">
        <v>26</v>
      </c>
      <c r="W6" s="39"/>
      <c r="X6" s="39"/>
      <c r="Y6" s="39"/>
      <c r="Z6" s="39"/>
      <c r="AA6" s="39"/>
      <c r="AB6" s="41" t="s">
        <v>16</v>
      </c>
      <c r="AC6" s="39"/>
      <c r="AD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11"/>
      <c r="B6" s="32" t="s">
        <v>20</v>
      </c>
      <c r="C6" s="34"/>
      <c r="D6" s="32"/>
      <c r="E6" s="37">
        <v>100.0</v>
      </c>
      <c r="F6" s="34"/>
      <c r="G6" s="34"/>
      <c r="H6" s="34"/>
      <c r="I6" s="34"/>
      <c r="J6" s="34"/>
      <c r="K6" s="35">
        <v>20.0</v>
      </c>
      <c r="L6" s="35">
        <v>20.0</v>
      </c>
      <c r="M6" s="34"/>
      <c r="N6" s="34"/>
      <c r="O6" s="34"/>
      <c r="P6" s="34"/>
      <c r="Q6" s="34"/>
      <c r="R6" s="34"/>
      <c r="S6" s="38" t="s">
        <v>35</v>
      </c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40">
        <v>100.0</v>
      </c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40">
        <v>100.0</v>
      </c>
      <c r="BK6" s="39"/>
      <c r="BL6" s="39"/>
      <c r="BM6" s="39"/>
      <c r="BN6" s="39"/>
      <c r="BO6" s="39" t="s">
        <v>19</v>
      </c>
      <c r="BP6" s="39"/>
      <c r="BQ6" s="39"/>
      <c r="BR6" s="39"/>
      <c r="BS6" s="39"/>
      <c r="BT6" s="39" t="s">
        <v>16</v>
      </c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</row>
    <row r="6" ht="15.75" customHeight="1">
      <c r="A6" s="11"/>
      <c r="B6" s="42"/>
      <c r="C6" s="34" t="s">
        <v>16</v>
      </c>
      <c r="D6" s="44">
        <v>100.0</v>
      </c>
      <c r="E6" s="34" t="s">
        <v>20</v>
      </c>
      <c r="F6" s="34"/>
      <c r="G6" s="35">
        <v>20.0</v>
      </c>
      <c r="H6" s="34" t="s">
        <v>26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">
        <v>19</v>
      </c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</row>
    <row r="7" ht="15.75" customHeight="1">
      <c r="A7" s="8"/>
      <c r="B7" s="8"/>
      <c r="C7" s="11" t="s">
        <v>16</v>
      </c>
      <c r="D7" s="11">
        <v>-25.0</v>
      </c>
      <c r="E7" s="11" t="s">
        <v>20</v>
      </c>
      <c r="F7" s="8"/>
      <c r="G7" s="11">
        <v>20.0</v>
      </c>
      <c r="H7" s="11" t="s">
        <v>26</v>
      </c>
      <c r="I7" s="8"/>
      <c r="J7" s="8"/>
      <c r="K7" s="8"/>
      <c r="L7" s="8"/>
      <c r="M7" s="8"/>
      <c r="N7" s="8"/>
      <c r="O7" s="8"/>
      <c r="AN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