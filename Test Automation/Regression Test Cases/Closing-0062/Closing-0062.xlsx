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SelectTradeUnexpiredUnsettled" sheetId="6" r:id="rId6"/>
    <sheet name="ExerciseAssignment" sheetId="7" r:id="rId7"/>
    <sheet name="CheckAllocatedGroups" sheetId="8" r:id="rId8"/>
  </sheets>
  <calcPr calcId="145621"/>
</workbook>
</file>

<file path=xl/calcChain.xml><?xml version="1.0" encoding="utf-8"?>
<calcChain xmlns="http://schemas.openxmlformats.org/spreadsheetml/2006/main">
  <c r="N6" i="4" l="1"/>
  <c r="CT5" i="8"/>
  <c r="AH5" i="8"/>
  <c r="DT4" i="8"/>
  <c r="BH4" i="8"/>
  <c r="ET5" i="7"/>
  <c r="CH5" i="7"/>
  <c r="V5" i="7"/>
  <c r="DH4" i="7"/>
  <c r="AV4" i="7"/>
  <c r="EH5" i="6"/>
  <c r="BV5" i="6"/>
  <c r="J5" i="6"/>
  <c r="CV4" i="6"/>
  <c r="AJ4" i="6"/>
  <c r="DI5" i="8"/>
  <c r="AW5" i="8"/>
  <c r="EI4" i="8"/>
  <c r="BW4" i="8"/>
  <c r="K4" i="8"/>
  <c r="CW5" i="7"/>
  <c r="AK5" i="7"/>
  <c r="DW4" i="7"/>
  <c r="BK4" i="7"/>
  <c r="EW5" i="6"/>
  <c r="CK5" i="6"/>
  <c r="Y5" i="6"/>
  <c r="DK4" i="6"/>
  <c r="AY4" i="6"/>
  <c r="EN5" i="8"/>
  <c r="CB5" i="8"/>
  <c r="P5" i="8"/>
  <c r="DB4" i="8"/>
  <c r="AP4" i="8"/>
  <c r="EB5" i="7"/>
  <c r="BP5" i="7"/>
  <c r="D5" i="7"/>
  <c r="CP4" i="7"/>
  <c r="CY5" i="8"/>
  <c r="AM5" i="8"/>
  <c r="DY4" i="8"/>
  <c r="BM4" i="8"/>
  <c r="EQ5" i="7"/>
  <c r="CE5" i="7"/>
  <c r="S5" i="7"/>
  <c r="DE4" i="7"/>
  <c r="AS4" i="7"/>
  <c r="EE5" i="6"/>
  <c r="BS5" i="6"/>
  <c r="CP5" i="8"/>
  <c r="AD5" i="8"/>
  <c r="DP4" i="8"/>
  <c r="BD4" i="8"/>
  <c r="EP5" i="7"/>
  <c r="CD5" i="7"/>
  <c r="R5" i="7"/>
  <c r="DM5" i="8"/>
  <c r="BA5" i="8"/>
  <c r="EM4" i="8"/>
  <c r="DT5" i="8"/>
  <c r="BH5" i="8"/>
  <c r="ET4" i="8"/>
  <c r="CH4" i="8"/>
  <c r="V4" i="8"/>
  <c r="DH5" i="7"/>
  <c r="AV5" i="7"/>
  <c r="EH4" i="7"/>
  <c r="BV4" i="7"/>
  <c r="J4" i="7"/>
  <c r="CV5" i="6"/>
  <c r="AJ5" i="6"/>
  <c r="DV4" i="6"/>
  <c r="BJ4" i="6"/>
  <c r="EV5" i="5"/>
  <c r="CJ5" i="5"/>
  <c r="DK5" i="8"/>
  <c r="AY5" i="8"/>
  <c r="EK4" i="8"/>
  <c r="BY4" i="8"/>
  <c r="M4" i="8"/>
  <c r="CY5" i="7"/>
  <c r="AM5" i="7"/>
  <c r="DY4" i="7"/>
  <c r="BM4" i="7"/>
  <c r="EQ5" i="6"/>
  <c r="EX5" i="8"/>
  <c r="CL5" i="8"/>
  <c r="Z5" i="8"/>
  <c r="DL4" i="8"/>
  <c r="AZ4" i="8"/>
  <c r="EL5" i="7"/>
  <c r="BZ5" i="7"/>
  <c r="N5" i="7"/>
  <c r="CZ4" i="7"/>
  <c r="AN4" i="7"/>
  <c r="DZ5" i="6"/>
  <c r="BN5" i="6"/>
  <c r="B5" i="6"/>
  <c r="CN4" i="6"/>
  <c r="AB4" i="6"/>
  <c r="DA5" i="8"/>
  <c r="AO5" i="8"/>
  <c r="EA4" i="8"/>
  <c r="BO4" i="8"/>
  <c r="C4" i="8"/>
  <c r="CO5" i="7"/>
  <c r="AC5" i="7"/>
  <c r="DO4" i="7"/>
  <c r="BC4" i="7"/>
  <c r="EO5" i="6"/>
  <c r="CC5" i="6"/>
  <c r="Q5" i="6"/>
  <c r="DC4" i="6"/>
  <c r="AQ4" i="6"/>
  <c r="EF5" i="8"/>
  <c r="BT5" i="8"/>
  <c r="H5" i="8"/>
  <c r="CT4" i="8"/>
  <c r="AH4" i="8"/>
  <c r="DT5" i="7"/>
  <c r="BH5" i="7"/>
  <c r="ET4" i="7"/>
  <c r="CH4" i="7"/>
  <c r="CQ5" i="8"/>
  <c r="AE5" i="8"/>
  <c r="DQ4" i="8"/>
  <c r="BE4" i="8"/>
  <c r="EI5" i="7"/>
  <c r="BW5" i="7"/>
  <c r="K5" i="7"/>
  <c r="CW4" i="7"/>
  <c r="AK4" i="7"/>
  <c r="DW5" i="6"/>
  <c r="ET5" i="8"/>
  <c r="CH5" i="8"/>
  <c r="V5" i="8"/>
  <c r="DH4" i="8"/>
  <c r="AV4" i="8"/>
  <c r="EH5" i="7"/>
  <c r="BV5" i="7"/>
  <c r="J5" i="7"/>
  <c r="DE5" i="8"/>
  <c r="AS5" i="8"/>
  <c r="EE4" i="8"/>
  <c r="DL5" i="8"/>
  <c r="AZ5" i="8"/>
  <c r="EL4" i="8"/>
  <c r="BZ4" i="8"/>
  <c r="N4" i="8"/>
  <c r="CZ5" i="7"/>
  <c r="AN5" i="7"/>
  <c r="DZ4" i="7"/>
  <c r="BN4" i="7"/>
  <c r="B4" i="7"/>
  <c r="CN5" i="6"/>
  <c r="AB5" i="6"/>
  <c r="DN4" i="6"/>
  <c r="BB4" i="6"/>
  <c r="EN5" i="5"/>
  <c r="CB5" i="5"/>
  <c r="DC5" i="8"/>
  <c r="AQ5" i="8"/>
  <c r="EC4" i="8"/>
  <c r="BQ4" i="8"/>
  <c r="E4" i="8"/>
  <c r="CQ5" i="7"/>
  <c r="AE5" i="7"/>
  <c r="DQ4" i="7"/>
  <c r="BE4" i="7"/>
  <c r="EI5" i="6"/>
  <c r="BW5" i="6"/>
  <c r="K5" i="6"/>
  <c r="CW4" i="6"/>
  <c r="AK4" i="6"/>
  <c r="AM4" i="8"/>
  <c r="T4" i="7"/>
  <c r="U5" i="6"/>
  <c r="AU4" i="6"/>
  <c r="CT5" i="5"/>
  <c r="AC5" i="5"/>
  <c r="DO4" i="5"/>
  <c r="BC4" i="5"/>
  <c r="EP5" i="4"/>
  <c r="CD5" i="4"/>
  <c r="R5" i="4"/>
  <c r="DD4" i="4"/>
  <c r="AR4" i="4"/>
  <c r="D999" i="3"/>
  <c r="L993" i="3"/>
  <c r="H988" i="3"/>
  <c r="BE5" i="7"/>
  <c r="DX5" i="6"/>
  <c r="EH4" i="6"/>
  <c r="L4" i="6"/>
  <c r="CI5" i="5"/>
  <c r="T5" i="5"/>
  <c r="DF4" i="5"/>
  <c r="AT4" i="5"/>
  <c r="EG5" i="4"/>
  <c r="BU5" i="4"/>
  <c r="I5" i="4"/>
  <c r="CU4" i="4"/>
  <c r="EP5" i="8"/>
  <c r="CD5" i="8"/>
  <c r="R5" i="8"/>
  <c r="DD4" i="8"/>
  <c r="AR4" i="8"/>
  <c r="ED5" i="7"/>
  <c r="BR5" i="7"/>
  <c r="F5" i="7"/>
  <c r="CR4" i="7"/>
  <c r="AF4" i="7"/>
  <c r="DR5" i="6"/>
  <c r="BF5" i="6"/>
  <c r="ER4" i="6"/>
  <c r="CF4" i="6"/>
  <c r="T4" i="6"/>
  <c r="CS5" i="8"/>
  <c r="AG5" i="8"/>
  <c r="DS4" i="8"/>
  <c r="BG4" i="8"/>
  <c r="ES5" i="7"/>
  <c r="CG5" i="7"/>
  <c r="U5" i="7"/>
  <c r="DG4" i="7"/>
  <c r="AU4" i="7"/>
  <c r="EG5" i="6"/>
  <c r="BU5" i="6"/>
  <c r="I5" i="6"/>
  <c r="CU4" i="6"/>
  <c r="AI4" i="6"/>
  <c r="DX5" i="8"/>
  <c r="BL5" i="8"/>
  <c r="EX4" i="8"/>
  <c r="CL4" i="8"/>
  <c r="Z4" i="8"/>
  <c r="DL5" i="7"/>
  <c r="AZ5" i="7"/>
  <c r="EL4" i="7"/>
  <c r="EU5" i="8"/>
  <c r="CI5" i="8"/>
  <c r="W5" i="8"/>
  <c r="DI4" i="8"/>
  <c r="AW4" i="8"/>
  <c r="EA5" i="7"/>
  <c r="BO5" i="7"/>
  <c r="C5" i="7"/>
  <c r="CO4" i="7"/>
  <c r="AC4" i="7"/>
  <c r="DO5" i="6"/>
  <c r="EL5" i="8"/>
  <c r="BZ5" i="8"/>
  <c r="N5" i="8"/>
  <c r="CZ4" i="8"/>
  <c r="AN4" i="8"/>
  <c r="DZ5" i="7"/>
  <c r="BN5" i="7"/>
  <c r="B5" i="7"/>
  <c r="CW5" i="8"/>
  <c r="AK5" i="8"/>
  <c r="DW4" i="8"/>
  <c r="DD5" i="8"/>
  <c r="AR5" i="8"/>
  <c r="ED4" i="8"/>
  <c r="BR4" i="8"/>
  <c r="F4" i="8"/>
  <c r="CR5" i="7"/>
  <c r="AF5" i="7"/>
  <c r="DR4" i="7"/>
  <c r="BF4" i="7"/>
  <c r="ER5" i="6"/>
  <c r="CF5" i="6"/>
  <c r="T5" i="6"/>
  <c r="DF4" i="6"/>
  <c r="AT4" i="6"/>
  <c r="EF5" i="5"/>
  <c r="BT5" i="5"/>
  <c r="CU5" i="8"/>
  <c r="AI5" i="8"/>
  <c r="DU4" i="8"/>
  <c r="BI4" i="8"/>
  <c r="EU5" i="7"/>
  <c r="CI5" i="7"/>
  <c r="W5" i="7"/>
  <c r="DI4" i="7"/>
  <c r="AW4" i="7"/>
  <c r="EA5" i="6"/>
  <c r="BO5" i="6"/>
  <c r="C5" i="6"/>
  <c r="CO4" i="6"/>
  <c r="AC4" i="6"/>
  <c r="DY5" i="7"/>
  <c r="EV5" i="6"/>
  <c r="E5" i="6"/>
  <c r="AE4" i="6"/>
  <c r="CK5" i="5"/>
  <c r="U5" i="5"/>
  <c r="DG4" i="5"/>
  <c r="AU4" i="5"/>
  <c r="EH5" i="4"/>
  <c r="BV5" i="4"/>
  <c r="J5" i="4"/>
  <c r="CV4" i="4"/>
  <c r="AJ4" i="4"/>
  <c r="H998" i="3"/>
  <c r="D993" i="3"/>
  <c r="L987" i="3"/>
  <c r="EQ4" i="7"/>
  <c r="DE5" i="6"/>
  <c r="DR4" i="6"/>
  <c r="EX5" i="5"/>
  <c r="BZ5" i="5"/>
  <c r="L5" i="5"/>
  <c r="CX4" i="5"/>
  <c r="AL4" i="5"/>
  <c r="DY5" i="4"/>
  <c r="EH5" i="8"/>
  <c r="BV5" i="8"/>
  <c r="J5" i="8"/>
  <c r="CV4" i="8"/>
  <c r="AJ4" i="8"/>
  <c r="DV5" i="7"/>
  <c r="BJ5" i="7"/>
  <c r="EV4" i="7"/>
  <c r="CJ4" i="7"/>
  <c r="X4" i="7"/>
  <c r="DJ5" i="6"/>
  <c r="AX5" i="6"/>
  <c r="EJ4" i="6"/>
  <c r="BX4" i="6"/>
  <c r="EW5" i="8"/>
  <c r="CK5" i="8"/>
  <c r="Y5" i="8"/>
  <c r="DK4" i="8"/>
  <c r="AY4" i="8"/>
  <c r="EK5" i="7"/>
  <c r="BY5" i="7"/>
  <c r="M5" i="7"/>
  <c r="CY4" i="7"/>
  <c r="AM4" i="7"/>
  <c r="DY5" i="6"/>
  <c r="BM5" i="6"/>
  <c r="A5" i="6"/>
  <c r="CM4" i="6"/>
  <c r="AA4" i="6"/>
  <c r="DP5" i="8"/>
  <c r="BD5" i="8"/>
  <c r="EP4" i="8"/>
  <c r="CD4" i="8"/>
  <c r="R4" i="8"/>
  <c r="DD5" i="7"/>
  <c r="AR5" i="7"/>
  <c r="ED4" i="7"/>
  <c r="EM5" i="8"/>
  <c r="CA5" i="8"/>
  <c r="O5" i="8"/>
  <c r="DA4" i="8"/>
  <c r="AO4" i="8"/>
  <c r="DS5" i="7"/>
  <c r="BG5" i="7"/>
  <c r="ES4" i="7"/>
  <c r="CG4" i="7"/>
  <c r="U4" i="7"/>
  <c r="DG5" i="6"/>
  <c r="ED5" i="8"/>
  <c r="BR5" i="8"/>
  <c r="F5" i="8"/>
  <c r="CR4" i="8"/>
  <c r="AF4" i="8"/>
  <c r="DR5" i="7"/>
  <c r="BF5" i="7"/>
  <c r="ER4" i="7"/>
  <c r="CO5" i="8"/>
  <c r="AC5" i="8"/>
  <c r="DO4" i="8"/>
  <c r="CV5" i="8"/>
  <c r="AJ5" i="8"/>
  <c r="DV4" i="8"/>
  <c r="BJ4" i="8"/>
  <c r="EV5" i="7"/>
  <c r="CJ5" i="7"/>
  <c r="X5" i="7"/>
  <c r="DJ4" i="7"/>
  <c r="AX4" i="7"/>
  <c r="EJ5" i="6"/>
  <c r="BX5" i="6"/>
  <c r="L5" i="6"/>
  <c r="CX4" i="6"/>
  <c r="AL4" i="6"/>
  <c r="DX5" i="5"/>
  <c r="BL5" i="5"/>
  <c r="CM5" i="8"/>
  <c r="AA5" i="8"/>
  <c r="DM4" i="8"/>
  <c r="BA4" i="8"/>
  <c r="EM5" i="7"/>
  <c r="CA5" i="7"/>
  <c r="O5" i="7"/>
  <c r="DA4" i="7"/>
  <c r="AO4" i="7"/>
  <c r="DS5" i="6"/>
  <c r="BG5" i="6"/>
  <c r="ES4" i="6"/>
  <c r="CG4" i="6"/>
  <c r="U4" i="6"/>
  <c r="BM5" i="7"/>
  <c r="EC5" i="6"/>
  <c r="EM4" i="6"/>
  <c r="O4" i="6"/>
  <c r="CA5" i="5"/>
  <c r="M5" i="5"/>
  <c r="CY4" i="5"/>
  <c r="AM4" i="5"/>
  <c r="DZ5" i="4"/>
  <c r="BN5" i="4"/>
  <c r="B5" i="4"/>
  <c r="CN4" i="4"/>
  <c r="AB4" i="4"/>
  <c r="L997" i="3"/>
  <c r="H992" i="3"/>
  <c r="D987" i="3"/>
  <c r="DK4" i="7"/>
  <c r="CH5" i="6"/>
  <c r="DB4" i="6"/>
  <c r="EL5" i="5"/>
  <c r="BQ5" i="5"/>
  <c r="D5" i="5"/>
  <c r="CP4" i="5"/>
  <c r="AD4" i="5"/>
  <c r="DQ5" i="4"/>
  <c r="BE5" i="4"/>
  <c r="EQ4" i="4"/>
  <c r="CE4" i="4"/>
  <c r="S4" i="4"/>
  <c r="C997" i="3"/>
  <c r="K991" i="3"/>
  <c r="G986" i="3"/>
  <c r="BZ4" i="7"/>
  <c r="BK5" i="6"/>
  <c r="DZ5" i="8"/>
  <c r="BN5" i="8"/>
  <c r="B5" i="8"/>
  <c r="CN4" i="8"/>
  <c r="AB4" i="8"/>
  <c r="DN5" i="7"/>
  <c r="BB5" i="7"/>
  <c r="EN4" i="7"/>
  <c r="CB4" i="7"/>
  <c r="P4" i="7"/>
  <c r="DB5" i="6"/>
  <c r="AP5" i="6"/>
  <c r="EB4" i="6"/>
  <c r="BP4" i="6"/>
  <c r="EO5" i="8"/>
  <c r="CC5" i="8"/>
  <c r="Q5" i="8"/>
  <c r="DC4" i="8"/>
  <c r="AQ4" i="8"/>
  <c r="EC5" i="7"/>
  <c r="BQ5" i="7"/>
  <c r="E5" i="7"/>
  <c r="CQ4" i="7"/>
  <c r="AE4" i="7"/>
  <c r="DQ5" i="6"/>
  <c r="BE5" i="6"/>
  <c r="EQ4" i="6"/>
  <c r="CE4" i="6"/>
  <c r="S4" i="6"/>
  <c r="DH5" i="8"/>
  <c r="AV5" i="8"/>
  <c r="EH4" i="8"/>
  <c r="BV4" i="8"/>
  <c r="J4" i="8"/>
  <c r="CV5" i="7"/>
  <c r="AJ5" i="7"/>
  <c r="DV4" i="7"/>
  <c r="EE5" i="8"/>
  <c r="BS5" i="8"/>
  <c r="G5" i="8"/>
  <c r="CS4" i="8"/>
  <c r="AG4" i="8"/>
  <c r="DK5" i="7"/>
  <c r="AY5" i="7"/>
  <c r="EK4" i="7"/>
  <c r="BY4" i="7"/>
  <c r="M4" i="7"/>
  <c r="CY5" i="6"/>
  <c r="DV5" i="8"/>
  <c r="BJ5" i="8"/>
  <c r="EV4" i="8"/>
  <c r="CJ4" i="8"/>
  <c r="X4" i="8"/>
  <c r="DJ5" i="7"/>
  <c r="AX5" i="7"/>
  <c r="ES5" i="8"/>
  <c r="CG5" i="8"/>
  <c r="U5" i="8"/>
  <c r="DG4" i="8"/>
  <c r="CN5" i="8"/>
  <c r="AB5" i="8"/>
  <c r="DN4" i="8"/>
  <c r="BB4" i="8"/>
  <c r="EN5" i="7"/>
  <c r="CB5" i="7"/>
  <c r="P5" i="7"/>
  <c r="DB4" i="7"/>
  <c r="AP4" i="7"/>
  <c r="EB5" i="6"/>
  <c r="BP5" i="6"/>
  <c r="D5" i="6"/>
  <c r="CP4" i="6"/>
  <c r="AD4" i="6"/>
  <c r="DP5" i="5"/>
  <c r="EQ5" i="8"/>
  <c r="CE5" i="8"/>
  <c r="S5" i="8"/>
  <c r="DE4" i="8"/>
  <c r="AS4" i="8"/>
  <c r="EE5" i="7"/>
  <c r="BS5" i="7"/>
  <c r="G5" i="7"/>
  <c r="CS4" i="7"/>
  <c r="AG4" i="7"/>
  <c r="DK5" i="6"/>
  <c r="AY5" i="6"/>
  <c r="EK4" i="6"/>
  <c r="BY4" i="6"/>
  <c r="M4" i="6"/>
  <c r="A5" i="7"/>
  <c r="DF5" i="6"/>
  <c r="DW4" i="6"/>
  <c r="EO5" i="5"/>
  <c r="BR5" i="5"/>
  <c r="E5" i="5"/>
  <c r="CQ4" i="5"/>
  <c r="AE4" i="5"/>
  <c r="DR5" i="4"/>
  <c r="BF5" i="4"/>
  <c r="ER4" i="4"/>
  <c r="CF4" i="4"/>
  <c r="T4" i="4"/>
  <c r="D997" i="3"/>
  <c r="L991" i="3"/>
  <c r="H986" i="3"/>
  <c r="CE4" i="7"/>
  <c r="BL5" i="6"/>
  <c r="CL4" i="6"/>
  <c r="EC5" i="5"/>
  <c r="BH5" i="5"/>
  <c r="ET4" i="5"/>
  <c r="CH4" i="5"/>
  <c r="V4" i="5"/>
  <c r="DI5" i="4"/>
  <c r="AW5" i="4"/>
  <c r="EI4" i="4"/>
  <c r="BW4" i="4"/>
  <c r="K4" i="4"/>
  <c r="G996" i="3"/>
  <c r="C991" i="3"/>
  <c r="K985" i="3"/>
  <c r="BG4" i="7"/>
  <c r="AU5" i="6"/>
  <c r="BU4" i="6"/>
  <c r="DS5" i="5"/>
  <c r="AY5" i="5"/>
  <c r="EK4" i="5"/>
  <c r="DR5" i="8"/>
  <c r="BF5" i="8"/>
  <c r="ER4" i="8"/>
  <c r="CF4" i="8"/>
  <c r="T4" i="8"/>
  <c r="DF5" i="7"/>
  <c r="AT5" i="7"/>
  <c r="EF4" i="7"/>
  <c r="BT4" i="7"/>
  <c r="H4" i="7"/>
  <c r="CT5" i="6"/>
  <c r="AH5" i="6"/>
  <c r="DT4" i="6"/>
  <c r="BH4" i="6"/>
  <c r="EG5" i="8"/>
  <c r="BU5" i="8"/>
  <c r="I5" i="8"/>
  <c r="CU4" i="8"/>
  <c r="AI4" i="8"/>
  <c r="DU5" i="7"/>
  <c r="BI5" i="7"/>
  <c r="EU4" i="7"/>
  <c r="CI4" i="7"/>
  <c r="W4" i="7"/>
  <c r="DI5" i="6"/>
  <c r="AW5" i="6"/>
  <c r="EI4" i="6"/>
  <c r="BW4" i="6"/>
  <c r="K4" i="6"/>
  <c r="CZ5" i="8"/>
  <c r="AN5" i="8"/>
  <c r="DZ4" i="8"/>
  <c r="BN4" i="8"/>
  <c r="B4" i="8"/>
  <c r="CN5" i="7"/>
  <c r="AB5" i="7"/>
  <c r="DN4" i="7"/>
  <c r="DW5" i="8"/>
  <c r="BK5" i="8"/>
  <c r="EW4" i="8"/>
  <c r="CK4" i="8"/>
  <c r="Y4" i="8"/>
  <c r="DC5" i="7"/>
  <c r="AQ5" i="7"/>
  <c r="EC4" i="7"/>
  <c r="BQ4" i="7"/>
  <c r="E4" i="7"/>
  <c r="CQ5" i="6"/>
  <c r="DN5" i="8"/>
  <c r="BB5" i="8"/>
  <c r="EN4" i="8"/>
  <c r="CB4" i="8"/>
  <c r="P4" i="8"/>
  <c r="DB5" i="7"/>
  <c r="AP5" i="7"/>
  <c r="EK5" i="8"/>
  <c r="BY5" i="8"/>
  <c r="M5" i="8"/>
  <c r="ER5" i="8"/>
  <c r="CF5" i="8"/>
  <c r="T5" i="8"/>
  <c r="DF4" i="8"/>
  <c r="AT4" i="8"/>
  <c r="EF5" i="7"/>
  <c r="BT5" i="7"/>
  <c r="H5" i="7"/>
  <c r="CT4" i="7"/>
  <c r="AH4" i="7"/>
  <c r="DT5" i="6"/>
  <c r="BH5" i="6"/>
  <c r="ET4" i="6"/>
  <c r="CH4" i="6"/>
  <c r="V4" i="6"/>
  <c r="DH5" i="5"/>
  <c r="EI5" i="8"/>
  <c r="BW5" i="8"/>
  <c r="K5" i="8"/>
  <c r="CW4" i="8"/>
  <c r="AK4" i="8"/>
  <c r="DW5" i="7"/>
  <c r="BK5" i="7"/>
  <c r="EW4" i="7"/>
  <c r="CK4" i="7"/>
  <c r="Y4" i="7"/>
  <c r="DC5" i="6"/>
  <c r="AQ5" i="6"/>
  <c r="EC4" i="6"/>
  <c r="BQ4" i="6"/>
  <c r="E4" i="6"/>
  <c r="DL4" i="7"/>
  <c r="CJ5" i="6"/>
  <c r="DG4" i="6"/>
  <c r="ED5" i="5"/>
  <c r="BI5" i="5"/>
  <c r="EU4" i="5"/>
  <c r="CI4" i="5"/>
  <c r="W4" i="5"/>
  <c r="DJ5" i="4"/>
  <c r="AX5" i="4"/>
  <c r="EJ4" i="4"/>
  <c r="BX4" i="4"/>
  <c r="L4" i="4"/>
  <c r="H996" i="3"/>
  <c r="D991" i="3"/>
  <c r="L985" i="3"/>
  <c r="BH4" i="7"/>
  <c r="AV5" i="6"/>
  <c r="BV4" i="6"/>
  <c r="DT5" i="5"/>
  <c r="AZ5" i="5"/>
  <c r="EL4" i="5"/>
  <c r="BZ4" i="5"/>
  <c r="N4" i="5"/>
  <c r="DA5" i="4"/>
  <c r="AO5" i="4"/>
  <c r="EA4" i="4"/>
  <c r="BO4" i="4"/>
  <c r="C4" i="4"/>
  <c r="K995" i="3"/>
  <c r="G990" i="3"/>
  <c r="CI4" i="8"/>
  <c r="AJ4" i="7"/>
  <c r="AE5" i="6"/>
  <c r="BE4" i="6"/>
  <c r="DJ5" i="5"/>
  <c r="AQ5" i="5"/>
  <c r="EC4" i="5"/>
  <c r="DJ5" i="8"/>
  <c r="AX5" i="8"/>
  <c r="EJ4" i="8"/>
  <c r="BX4" i="8"/>
  <c r="L4" i="8"/>
  <c r="CX5" i="7"/>
  <c r="AL5" i="7"/>
  <c r="DX4" i="7"/>
  <c r="BL4" i="7"/>
  <c r="EX5" i="6"/>
  <c r="CL5" i="6"/>
  <c r="Z5" i="6"/>
  <c r="DL4" i="6"/>
  <c r="AZ4" i="6"/>
  <c r="DY5" i="8"/>
  <c r="BM5" i="8"/>
  <c r="A5" i="8"/>
  <c r="CM4" i="8"/>
  <c r="AA4" i="8"/>
  <c r="DM5" i="7"/>
  <c r="BA5" i="7"/>
  <c r="EM4" i="7"/>
  <c r="CA4" i="7"/>
  <c r="O4" i="7"/>
  <c r="DA5" i="6"/>
  <c r="AO5" i="6"/>
  <c r="EA4" i="6"/>
  <c r="BO4" i="6"/>
  <c r="C4" i="6"/>
  <c r="CR5" i="8"/>
  <c r="AF5" i="8"/>
  <c r="DR4" i="8"/>
  <c r="BF4" i="8"/>
  <c r="ER5" i="7"/>
  <c r="CF5" i="7"/>
  <c r="T5" i="7"/>
  <c r="DF4" i="7"/>
  <c r="DO5" i="8"/>
  <c r="BC5" i="8"/>
  <c r="EO4" i="8"/>
  <c r="CC4" i="8"/>
  <c r="Q4" i="8"/>
  <c r="CU5" i="7"/>
  <c r="AI5" i="7"/>
  <c r="DU4" i="7"/>
  <c r="BI4" i="7"/>
  <c r="EU5" i="6"/>
  <c r="CI5" i="6"/>
  <c r="DF5" i="8"/>
  <c r="AT5" i="8"/>
  <c r="EF4" i="8"/>
  <c r="BT4" i="8"/>
  <c r="H4" i="8"/>
  <c r="CT5" i="7"/>
  <c r="AH5" i="7"/>
  <c r="EC5" i="8"/>
  <c r="BQ5" i="8"/>
  <c r="E5" i="8"/>
  <c r="EJ5" i="8"/>
  <c r="BX5" i="8"/>
  <c r="L5" i="8"/>
  <c r="CX4" i="8"/>
  <c r="AL4" i="8"/>
  <c r="DX5" i="7"/>
  <c r="BL5" i="7"/>
  <c r="EX4" i="7"/>
  <c r="CL4" i="7"/>
  <c r="Z4" i="7"/>
  <c r="DL5" i="6"/>
  <c r="AZ5" i="6"/>
  <c r="EL4" i="6"/>
  <c r="BZ4" i="6"/>
  <c r="N4" i="6"/>
  <c r="CZ5" i="5"/>
  <c r="EA5" i="8"/>
  <c r="DB5" i="8"/>
  <c r="AP5" i="8"/>
  <c r="EB4" i="8"/>
  <c r="BP4" i="8"/>
  <c r="D4" i="8"/>
  <c r="CP5" i="7"/>
  <c r="AD5" i="7"/>
  <c r="DP4" i="7"/>
  <c r="BD4" i="7"/>
  <c r="EP5" i="6"/>
  <c r="CD5" i="6"/>
  <c r="R5" i="6"/>
  <c r="DD4" i="6"/>
  <c r="AR4" i="6"/>
  <c r="DQ5" i="8"/>
  <c r="BE5" i="8"/>
  <c r="EQ4" i="8"/>
  <c r="CE4" i="8"/>
  <c r="S4" i="8"/>
  <c r="DE5" i="7"/>
  <c r="AS5" i="7"/>
  <c r="EE4" i="7"/>
  <c r="BS4" i="7"/>
  <c r="G4" i="7"/>
  <c r="CS5" i="6"/>
  <c r="AG5" i="6"/>
  <c r="DS4" i="6"/>
  <c r="BG4" i="6"/>
  <c r="EV5" i="8"/>
  <c r="CJ5" i="8"/>
  <c r="X5" i="8"/>
  <c r="DJ4" i="8"/>
  <c r="AX4" i="8"/>
  <c r="EJ5" i="7"/>
  <c r="BX5" i="7"/>
  <c r="L5" i="7"/>
  <c r="CX4" i="7"/>
  <c r="DG5" i="8"/>
  <c r="AU5" i="8"/>
  <c r="EG4" i="8"/>
  <c r="BU4" i="8"/>
  <c r="I4" i="8"/>
  <c r="CM5" i="7"/>
  <c r="AA5" i="7"/>
  <c r="DM4" i="7"/>
  <c r="BA4" i="7"/>
  <c r="EM5" i="6"/>
  <c r="CA5" i="6"/>
  <c r="CX5" i="8"/>
  <c r="AL5" i="8"/>
  <c r="DX4" i="8"/>
  <c r="BL4" i="8"/>
  <c r="EX5" i="7"/>
  <c r="CL5" i="7"/>
  <c r="Z5" i="7"/>
  <c r="DU5" i="8"/>
  <c r="BI5" i="8"/>
  <c r="EU4" i="8"/>
  <c r="EB5" i="8"/>
  <c r="BP5" i="8"/>
  <c r="D5" i="8"/>
  <c r="CP4" i="8"/>
  <c r="AD4" i="8"/>
  <c r="DP5" i="7"/>
  <c r="BD5" i="7"/>
  <c r="EP4" i="7"/>
  <c r="CD4" i="7"/>
  <c r="R4" i="7"/>
  <c r="DD5" i="6"/>
  <c r="AR5" i="6"/>
  <c r="ED4" i="6"/>
  <c r="BR4" i="6"/>
  <c r="F4" i="6"/>
  <c r="CR5" i="5"/>
  <c r="DS5" i="8"/>
  <c r="BG5" i="8"/>
  <c r="ES4" i="8"/>
  <c r="CG4" i="8"/>
  <c r="U4" i="8"/>
  <c r="DG5" i="7"/>
  <c r="AU5" i="7"/>
  <c r="EG4" i="7"/>
  <c r="BU4" i="7"/>
  <c r="I4" i="7"/>
  <c r="CM5" i="6"/>
  <c r="AA5" i="6"/>
  <c r="DM4" i="6"/>
  <c r="BA4" i="6"/>
  <c r="EM5" i="5"/>
  <c r="BJ4" i="7"/>
  <c r="BA5" i="6"/>
  <c r="CA4" i="6"/>
  <c r="DL5" i="5"/>
  <c r="AS5" i="5"/>
  <c r="EE4" i="5"/>
  <c r="BS4" i="5"/>
  <c r="G4" i="5"/>
  <c r="CT5" i="4"/>
  <c r="AH5" i="4"/>
  <c r="DT4" i="4"/>
  <c r="BH4" i="4"/>
  <c r="H1000" i="3"/>
  <c r="D995" i="3"/>
  <c r="L989" i="3"/>
  <c r="AE4" i="8"/>
  <c r="S4" i="7"/>
  <c r="P5" i="6"/>
  <c r="AP4" i="6"/>
  <c r="DB5" i="5"/>
  <c r="AJ5" i="5"/>
  <c r="DV4" i="5"/>
  <c r="BJ4" i="5"/>
  <c r="EW5" i="4"/>
  <c r="CK5" i="4"/>
  <c r="Y5" i="4"/>
  <c r="DK4" i="4"/>
  <c r="AY4" i="4"/>
  <c r="K999" i="3"/>
  <c r="G994" i="3"/>
  <c r="C989" i="3"/>
  <c r="DI5" i="7"/>
  <c r="ES5" i="6"/>
  <c r="EW4" i="6"/>
  <c r="Y4" i="6"/>
  <c r="CQ5" i="5"/>
  <c r="AA5" i="5"/>
  <c r="DM4" i="5"/>
  <c r="BO5" i="8"/>
  <c r="Q4" i="7"/>
  <c r="AS4" i="6"/>
  <c r="BK4" i="6"/>
  <c r="BK4" i="5"/>
  <c r="DL4" i="4"/>
  <c r="D989" i="3"/>
  <c r="Z4" i="6"/>
  <c r="BB4" i="5"/>
  <c r="A5" i="4"/>
  <c r="G1000" i="3"/>
  <c r="K989" i="3"/>
  <c r="N4" i="7"/>
  <c r="CK4" i="6"/>
  <c r="BY5" i="5"/>
  <c r="DU4" i="5"/>
  <c r="BA4" i="5"/>
  <c r="EN5" i="4"/>
  <c r="CB5" i="4"/>
  <c r="P5" i="4"/>
  <c r="DB4" i="4"/>
  <c r="AP4" i="4"/>
  <c r="B999" i="3"/>
  <c r="J993" i="3"/>
  <c r="F988" i="3"/>
  <c r="AO5" i="7"/>
  <c r="DU5" i="6"/>
  <c r="EF4" i="6"/>
  <c r="I4" i="6"/>
  <c r="CG5" i="5"/>
  <c r="R5" i="5"/>
  <c r="DD4" i="5"/>
  <c r="AR4" i="5"/>
  <c r="EE5" i="4"/>
  <c r="BS5" i="4"/>
  <c r="G5" i="4"/>
  <c r="CS4" i="4"/>
  <c r="AG4" i="4"/>
  <c r="I997" i="3"/>
  <c r="E992" i="3"/>
  <c r="A987" i="3"/>
  <c r="CV4" i="7"/>
  <c r="BZ5" i="6"/>
  <c r="CY4" i="6"/>
  <c r="EI5" i="5"/>
  <c r="BN5" i="5"/>
  <c r="A5" i="5"/>
  <c r="CM4" i="5"/>
  <c r="AA4" i="5"/>
  <c r="DN5" i="4"/>
  <c r="BB5" i="4"/>
  <c r="EN4" i="4"/>
  <c r="CB4" i="4"/>
  <c r="P4" i="4"/>
  <c r="L996" i="3"/>
  <c r="H991" i="3"/>
  <c r="D986" i="3"/>
  <c r="BR4" i="7"/>
  <c r="BD5" i="6"/>
  <c r="CD4" i="6"/>
  <c r="DY5" i="5"/>
  <c r="BD5" i="5"/>
  <c r="EP4" i="5"/>
  <c r="CD4" i="5"/>
  <c r="R4" i="5"/>
  <c r="DE5" i="4"/>
  <c r="AS5" i="4"/>
  <c r="EE4" i="4"/>
  <c r="BS4" i="4"/>
  <c r="G4" i="4"/>
  <c r="C996" i="3"/>
  <c r="K990" i="3"/>
  <c r="BC4" i="8"/>
  <c r="AA4" i="7"/>
  <c r="W5" i="6"/>
  <c r="AW4" i="6"/>
  <c r="DE5" i="5"/>
  <c r="AM5" i="5"/>
  <c r="DY4" i="5"/>
  <c r="BM4" i="5"/>
  <c r="ER5" i="4"/>
  <c r="CF5" i="4"/>
  <c r="T5" i="4"/>
  <c r="DF4" i="4"/>
  <c r="AT4" i="4"/>
  <c r="AU4" i="8"/>
  <c r="V4" i="7"/>
  <c r="V5" i="6"/>
  <c r="AV4" i="6"/>
  <c r="DD5" i="5"/>
  <c r="AL5" i="5"/>
  <c r="DX4" i="5"/>
  <c r="BL4" i="5"/>
  <c r="EQ5" i="4"/>
  <c r="CE5" i="4"/>
  <c r="S5" i="4"/>
  <c r="J990" i="3"/>
  <c r="G981" i="3"/>
  <c r="C976" i="3"/>
  <c r="K970" i="3"/>
  <c r="G965" i="3"/>
  <c r="C960" i="3"/>
  <c r="K954" i="3"/>
  <c r="G949" i="3"/>
  <c r="C944" i="3"/>
  <c r="K938" i="3"/>
  <c r="G933" i="3"/>
  <c r="C928" i="3"/>
  <c r="K922" i="3"/>
  <c r="G917" i="3"/>
  <c r="C912" i="3"/>
  <c r="K906" i="3"/>
  <c r="I990" i="3"/>
  <c r="F981" i="3"/>
  <c r="B976" i="3"/>
  <c r="J970" i="3"/>
  <c r="F965" i="3"/>
  <c r="B960" i="3"/>
  <c r="J954" i="3"/>
  <c r="F949" i="3"/>
  <c r="B944" i="3"/>
  <c r="J938" i="3"/>
  <c r="F933" i="3"/>
  <c r="B928" i="3"/>
  <c r="J922" i="3"/>
  <c r="F917" i="3"/>
  <c r="B912" i="3"/>
  <c r="C5" i="8"/>
  <c r="CU5" i="6"/>
  <c r="EU5" i="5"/>
  <c r="DU5" i="5"/>
  <c r="O4" i="5"/>
  <c r="BP4" i="4"/>
  <c r="CQ4" i="8"/>
  <c r="DK5" i="5"/>
  <c r="F4" i="5"/>
  <c r="DS4" i="4"/>
  <c r="C999" i="3"/>
  <c r="G988" i="3"/>
  <c r="DV5" i="6"/>
  <c r="AO4" i="6"/>
  <c r="BP5" i="5"/>
  <c r="DE4" i="5"/>
  <c r="AS4" i="5"/>
  <c r="EF5" i="4"/>
  <c r="BT5" i="4"/>
  <c r="H5" i="4"/>
  <c r="CT4" i="4"/>
  <c r="AH4" i="4"/>
  <c r="F998" i="3"/>
  <c r="B993" i="3"/>
  <c r="J987" i="3"/>
  <c r="EI4" i="7"/>
  <c r="CX5" i="6"/>
  <c r="DP4" i="6"/>
  <c r="ET5" i="5"/>
  <c r="BX5" i="5"/>
  <c r="J5" i="5"/>
  <c r="CV4" i="5"/>
  <c r="AJ4" i="5"/>
  <c r="DW5" i="4"/>
  <c r="BK5" i="4"/>
  <c r="EW4" i="4"/>
  <c r="CK4" i="4"/>
  <c r="Y4" i="4"/>
  <c r="A997" i="3"/>
  <c r="I991" i="3"/>
  <c r="E986" i="3"/>
  <c r="BW4" i="7"/>
  <c r="BI5" i="6"/>
  <c r="CI4" i="6"/>
  <c r="DZ5" i="5"/>
  <c r="BE5" i="5"/>
  <c r="EQ4" i="5"/>
  <c r="CE4" i="5"/>
  <c r="S4" i="5"/>
  <c r="DF5" i="4"/>
  <c r="AT5" i="4"/>
  <c r="EF4" i="4"/>
  <c r="BT4" i="4"/>
  <c r="H4" i="4"/>
  <c r="D996" i="3"/>
  <c r="L990" i="3"/>
  <c r="H985" i="3"/>
  <c r="AY4" i="7"/>
  <c r="AN5" i="6"/>
  <c r="BN4" i="6"/>
  <c r="DO5" i="5"/>
  <c r="AV5" i="5"/>
  <c r="EH4" i="5"/>
  <c r="BV4" i="5"/>
  <c r="J4" i="5"/>
  <c r="CW5" i="4"/>
  <c r="AK5" i="4"/>
  <c r="DW4" i="4"/>
  <c r="BK4" i="4"/>
  <c r="K1000" i="3"/>
  <c r="G995" i="3"/>
  <c r="C990" i="3"/>
  <c r="EO5" i="7"/>
  <c r="D4" i="7"/>
  <c r="G5" i="6"/>
  <c r="AG4" i="6"/>
  <c r="CV5" i="5"/>
  <c r="AE5" i="5"/>
  <c r="DQ4" i="5"/>
  <c r="BE4" i="5"/>
  <c r="EJ5" i="4"/>
  <c r="BX5" i="4"/>
  <c r="L5" i="4"/>
  <c r="CX4" i="4"/>
  <c r="AL4" i="4"/>
  <c r="EG5" i="7"/>
  <c r="C4" i="7"/>
  <c r="F5" i="6"/>
  <c r="AF4" i="6"/>
  <c r="CU5" i="5"/>
  <c r="AD5" i="5"/>
  <c r="DP4" i="5"/>
  <c r="BD4" i="5"/>
  <c r="EI5" i="4"/>
  <c r="BW5" i="4"/>
  <c r="K5" i="4"/>
  <c r="B988" i="3"/>
  <c r="K980" i="3"/>
  <c r="G975" i="3"/>
  <c r="C970" i="3"/>
  <c r="K964" i="3"/>
  <c r="G959" i="3"/>
  <c r="C954" i="3"/>
  <c r="K948" i="3"/>
  <c r="G943" i="3"/>
  <c r="C938" i="3"/>
  <c r="K932" i="3"/>
  <c r="G927" i="3"/>
  <c r="C922" i="3"/>
  <c r="K916" i="3"/>
  <c r="G911" i="3"/>
  <c r="C906" i="3"/>
  <c r="A988" i="3"/>
  <c r="J980" i="3"/>
  <c r="F975" i="3"/>
  <c r="B970" i="3"/>
  <c r="J964" i="3"/>
  <c r="F959" i="3"/>
  <c r="B954" i="3"/>
  <c r="J948" i="3"/>
  <c r="F943" i="3"/>
  <c r="B938" i="3"/>
  <c r="J932" i="3"/>
  <c r="F927" i="3"/>
  <c r="B922" i="3"/>
  <c r="J916" i="3"/>
  <c r="F911" i="3"/>
  <c r="CO4" i="8"/>
  <c r="CE5" i="6"/>
  <c r="CY4" i="8"/>
  <c r="DC5" i="5"/>
  <c r="EX5" i="4"/>
  <c r="AZ4" i="4"/>
  <c r="DQ5" i="7"/>
  <c r="CS5" i="5"/>
  <c r="EO5" i="4"/>
  <c r="DC4" i="4"/>
  <c r="G998" i="3"/>
  <c r="K987" i="3"/>
  <c r="CZ5" i="6"/>
  <c r="J4" i="6"/>
  <c r="BG5" i="5"/>
  <c r="CW4" i="5"/>
  <c r="AK4" i="5"/>
  <c r="DX5" i="4"/>
  <c r="BL5" i="4"/>
  <c r="EX4" i="4"/>
  <c r="CL4" i="4"/>
  <c r="Z4" i="4"/>
  <c r="J997" i="3"/>
  <c r="F992" i="3"/>
  <c r="B987" i="3"/>
  <c r="DC4" i="7"/>
  <c r="CB5" i="6"/>
  <c r="CZ4" i="6"/>
  <c r="EJ5" i="5"/>
  <c r="BO5" i="5"/>
  <c r="B5" i="5"/>
  <c r="CN4" i="5"/>
  <c r="AB4" i="5"/>
  <c r="DO5" i="4"/>
  <c r="BC5" i="4"/>
  <c r="EO4" i="4"/>
  <c r="CC4" i="4"/>
  <c r="Q4" i="4"/>
  <c r="E996" i="3"/>
  <c r="A991" i="3"/>
  <c r="I985" i="3"/>
  <c r="AZ4" i="7"/>
  <c r="AS5" i="6"/>
  <c r="BS4" i="6"/>
  <c r="DQ5" i="5"/>
  <c r="AW5" i="5"/>
  <c r="EI4" i="5"/>
  <c r="BW4" i="5"/>
  <c r="K4" i="5"/>
  <c r="CX5" i="4"/>
  <c r="AL5" i="4"/>
  <c r="DX4" i="4"/>
  <c r="BL4" i="4"/>
  <c r="L1000" i="3"/>
  <c r="H995" i="3"/>
  <c r="D990" i="3"/>
  <c r="BK4" i="8"/>
  <c r="AB4" i="7"/>
  <c r="X5" i="6"/>
  <c r="AX4" i="6"/>
  <c r="DF5" i="5"/>
  <c r="AN5" i="5"/>
  <c r="DZ4" i="5"/>
  <c r="BN4" i="5"/>
  <c r="B4" i="5"/>
  <c r="CO5" i="4"/>
  <c r="AC5" i="4"/>
  <c r="DO4" i="4"/>
  <c r="BC4" i="4"/>
  <c r="C1000" i="3"/>
  <c r="K994" i="3"/>
  <c r="G989" i="3"/>
  <c r="CC5" i="7"/>
  <c r="EF5" i="6"/>
  <c r="EO4" i="6"/>
  <c r="Q4" i="6"/>
  <c r="CM5" i="5"/>
  <c r="W5" i="5"/>
  <c r="DI4" i="5"/>
  <c r="AW4" i="5"/>
  <c r="EB5" i="4"/>
  <c r="BP5" i="4"/>
  <c r="D5" i="4"/>
  <c r="CP4" i="4"/>
  <c r="AD4" i="4"/>
  <c r="BU5" i="7"/>
  <c r="ED5" i="6"/>
  <c r="EN4" i="6"/>
  <c r="P4" i="6"/>
  <c r="CL5" i="5"/>
  <c r="V5" i="5"/>
  <c r="DH4" i="5"/>
  <c r="AV4" i="5"/>
  <c r="EA5" i="4"/>
  <c r="BO5" i="4"/>
  <c r="C5" i="4"/>
  <c r="G985" i="3"/>
  <c r="C980" i="3"/>
  <c r="K974" i="3"/>
  <c r="G969" i="3"/>
  <c r="C964" i="3"/>
  <c r="K958" i="3"/>
  <c r="G953" i="3"/>
  <c r="C948" i="3"/>
  <c r="K942" i="3"/>
  <c r="G937" i="3"/>
  <c r="C932" i="3"/>
  <c r="K926" i="3"/>
  <c r="G921" i="3"/>
  <c r="C916" i="3"/>
  <c r="K910" i="3"/>
  <c r="ES4" i="4"/>
  <c r="F985" i="3"/>
  <c r="B980" i="3"/>
  <c r="J974" i="3"/>
  <c r="F969" i="3"/>
  <c r="B964" i="3"/>
  <c r="J958" i="3"/>
  <c r="F953" i="3"/>
  <c r="B948" i="3"/>
  <c r="J942" i="3"/>
  <c r="F937" i="3"/>
  <c r="B932" i="3"/>
  <c r="J926" i="3"/>
  <c r="F921" i="3"/>
  <c r="B916" i="3"/>
  <c r="J910" i="3"/>
  <c r="AC4" i="8"/>
  <c r="AI5" i="6"/>
  <c r="CF4" i="7"/>
  <c r="BA5" i="5"/>
  <c r="DB5" i="4"/>
  <c r="D4" i="4"/>
  <c r="AL4" i="7"/>
  <c r="AR5" i="5"/>
  <c r="CS5" i="4"/>
  <c r="CM4" i="4"/>
  <c r="K997" i="3"/>
  <c r="C987" i="3"/>
  <c r="CG5" i="6"/>
  <c r="EW5" i="5"/>
  <c r="AI5" i="5"/>
  <c r="CO4" i="5"/>
  <c r="AC4" i="5"/>
  <c r="DP5" i="4"/>
  <c r="BD5" i="4"/>
  <c r="EP4" i="4"/>
  <c r="CD4" i="4"/>
  <c r="R4" i="4"/>
  <c r="B997" i="3"/>
  <c r="J991" i="3"/>
  <c r="F986" i="3"/>
  <c r="BX4" i="7"/>
  <c r="BJ5" i="6"/>
  <c r="CJ4" i="6"/>
  <c r="EA5" i="5"/>
  <c r="BF5" i="5"/>
  <c r="ER4" i="5"/>
  <c r="CF4" i="5"/>
  <c r="T4" i="5"/>
  <c r="DG5" i="4"/>
  <c r="AU5" i="4"/>
  <c r="EG4" i="4"/>
  <c r="BU4" i="4"/>
  <c r="I4" i="4"/>
  <c r="I995" i="3"/>
  <c r="E990" i="3"/>
  <c r="BS4" i="8"/>
  <c r="AD4" i="7"/>
  <c r="AC5" i="6"/>
  <c r="BC4" i="6"/>
  <c r="DG5" i="5"/>
  <c r="AO5" i="5"/>
  <c r="EA4" i="5"/>
  <c r="BO4" i="5"/>
  <c r="C4" i="5"/>
  <c r="CP5" i="4"/>
  <c r="AD5" i="4"/>
  <c r="DP4" i="4"/>
  <c r="BD4" i="4"/>
  <c r="D1000" i="3"/>
  <c r="L994" i="3"/>
  <c r="H989" i="3"/>
  <c r="EW5" i="7"/>
  <c r="F4" i="7"/>
  <c r="H5" i="6"/>
  <c r="AH4" i="6"/>
  <c r="CW5" i="5"/>
  <c r="AF5" i="5"/>
  <c r="DR4" i="5"/>
  <c r="BF4" i="5"/>
  <c r="ES5" i="4"/>
  <c r="CG5" i="4"/>
  <c r="U5" i="4"/>
  <c r="DG4" i="4"/>
  <c r="AU4" i="4"/>
  <c r="G999" i="3"/>
  <c r="C994" i="3"/>
  <c r="K988" i="3"/>
  <c r="Q5" i="7"/>
  <c r="DM5" i="6"/>
  <c r="DY4" i="6"/>
  <c r="D4" i="6"/>
  <c r="CD5" i="5"/>
  <c r="O5" i="5"/>
  <c r="DA4" i="5"/>
  <c r="AO4" i="5"/>
  <c r="DT5" i="4"/>
  <c r="BH5" i="4"/>
  <c r="ET4" i="4"/>
  <c r="CH4" i="4"/>
  <c r="V4" i="4"/>
  <c r="I5" i="7"/>
  <c r="DH5" i="6"/>
  <c r="DX4" i="6"/>
  <c r="B4" i="6"/>
  <c r="CC5" i="5"/>
  <c r="N5" i="5"/>
  <c r="CZ4" i="5"/>
  <c r="AN4" i="5"/>
  <c r="DS5" i="4"/>
  <c r="BG5" i="4"/>
  <c r="CO4" i="4"/>
  <c r="K984" i="3"/>
  <c r="G979" i="3"/>
  <c r="C974" i="3"/>
  <c r="K968" i="3"/>
  <c r="G963" i="3"/>
  <c r="C958" i="3"/>
  <c r="K952" i="3"/>
  <c r="G947" i="3"/>
  <c r="C942" i="3"/>
  <c r="K936" i="3"/>
  <c r="G931" i="3"/>
  <c r="C926" i="3"/>
  <c r="K920" i="3"/>
  <c r="G915" i="3"/>
  <c r="C910" i="3"/>
  <c r="CG4" i="4"/>
  <c r="J984" i="3"/>
  <c r="F979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B910" i="3"/>
  <c r="DO5" i="7"/>
  <c r="S5" i="6"/>
  <c r="AQ4" i="7"/>
  <c r="AK5" i="5"/>
  <c r="CL5" i="4"/>
  <c r="L999" i="3"/>
  <c r="ET5" i="6"/>
  <c r="AB5" i="5"/>
  <c r="CC5" i="4"/>
  <c r="BG4" i="4"/>
  <c r="C995" i="3"/>
  <c r="W4" i="8"/>
  <c r="O5" i="6"/>
  <c r="EK5" i="5"/>
  <c r="S5" i="5"/>
  <c r="CG4" i="5"/>
  <c r="U4" i="5"/>
  <c r="DH5" i="4"/>
  <c r="AV5" i="4"/>
  <c r="EH4" i="4"/>
  <c r="BV4" i="4"/>
  <c r="J4" i="4"/>
  <c r="F996" i="3"/>
  <c r="B991" i="3"/>
  <c r="J985" i="3"/>
  <c r="BB4" i="7"/>
  <c r="AT5" i="6"/>
  <c r="BT4" i="6"/>
  <c r="DR5" i="5"/>
  <c r="AX5" i="5"/>
  <c r="EJ4" i="5"/>
  <c r="BX4" i="5"/>
  <c r="L4" i="5"/>
  <c r="CY5" i="4"/>
  <c r="AM5" i="4"/>
  <c r="DY4" i="4"/>
  <c r="BM4" i="4"/>
  <c r="E1000" i="3"/>
  <c r="A995" i="3"/>
  <c r="I989" i="3"/>
  <c r="G4" i="8"/>
  <c r="K4" i="7"/>
  <c r="M5" i="6"/>
  <c r="AM4" i="6"/>
  <c r="CX5" i="5"/>
  <c r="AG5" i="5"/>
  <c r="DS4" i="5"/>
  <c r="BG4" i="5"/>
  <c r="ET5" i="4"/>
  <c r="CH5" i="4"/>
  <c r="V5" i="4"/>
  <c r="DH4" i="4"/>
  <c r="AV4" i="4"/>
  <c r="H999" i="3"/>
  <c r="D994" i="3"/>
  <c r="L988" i="3"/>
  <c r="CK5" i="7"/>
  <c r="EK5" i="6"/>
  <c r="EP4" i="6"/>
  <c r="R4" i="6"/>
  <c r="CN5" i="5"/>
  <c r="X5" i="5"/>
  <c r="DJ4" i="5"/>
  <c r="AX4" i="5"/>
  <c r="EK5" i="4"/>
  <c r="BY5" i="4"/>
  <c r="M5" i="4"/>
  <c r="CY4" i="4"/>
  <c r="AM4" i="4"/>
  <c r="K998" i="3"/>
  <c r="G993" i="3"/>
  <c r="C988" i="3"/>
  <c r="DT4" i="7"/>
  <c r="CP5" i="6"/>
  <c r="DI4" i="6"/>
  <c r="EQ5" i="5"/>
  <c r="BU5" i="5"/>
  <c r="G5" i="5"/>
  <c r="CS4" i="5"/>
  <c r="AG4" i="5"/>
  <c r="DL5" i="4"/>
  <c r="AZ5" i="4"/>
  <c r="EL4" i="4"/>
  <c r="BZ4" i="4"/>
  <c r="N4" i="4"/>
  <c r="DS4" i="7"/>
  <c r="CO5" i="6"/>
  <c r="DH4" i="6"/>
  <c r="EP5" i="5"/>
  <c r="BS5" i="5"/>
  <c r="F5" i="5"/>
  <c r="CR4" i="5"/>
  <c r="AF4" i="5"/>
  <c r="DK5" i="4"/>
  <c r="AY5" i="4"/>
  <c r="AC4" i="4"/>
  <c r="C984" i="3"/>
  <c r="K978" i="3"/>
  <c r="G973" i="3"/>
  <c r="C968" i="3"/>
  <c r="K962" i="3"/>
  <c r="G957" i="3"/>
  <c r="C952" i="3"/>
  <c r="K946" i="3"/>
  <c r="G941" i="3"/>
  <c r="C936" i="3"/>
  <c r="K930" i="3"/>
  <c r="G925" i="3"/>
  <c r="C920" i="3"/>
  <c r="K914" i="3"/>
  <c r="G909" i="3"/>
  <c r="U4" i="4"/>
  <c r="B984" i="3"/>
  <c r="J978" i="3"/>
  <c r="F973" i="3"/>
  <c r="B968" i="3"/>
  <c r="J962" i="3"/>
  <c r="F957" i="3"/>
  <c r="B952" i="3"/>
  <c r="J946" i="3"/>
  <c r="F941" i="3"/>
  <c r="B936" i="3"/>
  <c r="J930" i="3"/>
  <c r="F925" i="3"/>
  <c r="B920" i="3"/>
  <c r="J914" i="3"/>
  <c r="F909" i="3"/>
  <c r="BC5" i="7"/>
  <c r="DU4" i="6"/>
  <c r="BQ5" i="6"/>
  <c r="EM4" i="5"/>
  <c r="AP5" i="4"/>
  <c r="L995" i="3"/>
  <c r="AF5" i="6"/>
  <c r="ED4" i="5"/>
  <c r="BM5" i="4"/>
  <c r="AQ4" i="4"/>
  <c r="K993" i="3"/>
  <c r="AW5" i="7"/>
  <c r="EG4" i="6"/>
  <c r="EB5" i="5"/>
  <c r="K5" i="5"/>
  <c r="BY4" i="5"/>
  <c r="M4" i="5"/>
  <c r="CZ5" i="4"/>
  <c r="AN5" i="4"/>
  <c r="DZ4" i="4"/>
  <c r="BN4" i="4"/>
  <c r="B4" i="4"/>
  <c r="J995" i="3"/>
  <c r="F990" i="3"/>
  <c r="CA4" i="8"/>
  <c r="AI4" i="7"/>
  <c r="AD5" i="6"/>
  <c r="BD4" i="6"/>
  <c r="DI5" i="5"/>
  <c r="AP5" i="5"/>
  <c r="EB4" i="5"/>
  <c r="BP4" i="5"/>
  <c r="D4" i="5"/>
  <c r="CQ5" i="4"/>
  <c r="AE5" i="4"/>
  <c r="DQ4" i="4"/>
  <c r="BE4" i="4"/>
  <c r="I999" i="3"/>
  <c r="E994" i="3"/>
  <c r="A989" i="3"/>
  <c r="CS5" i="7"/>
  <c r="EL5" i="6"/>
  <c r="EU4" i="6"/>
  <c r="W4" i="6"/>
  <c r="CO5" i="5"/>
  <c r="Y5" i="5"/>
  <c r="DK4" i="5"/>
  <c r="AY4" i="5"/>
  <c r="EL5" i="4"/>
  <c r="BZ5" i="4"/>
  <c r="N5" i="4"/>
  <c r="CZ4" i="4"/>
  <c r="AN4" i="4"/>
  <c r="L998" i="3"/>
  <c r="H993" i="3"/>
  <c r="D988" i="3"/>
  <c r="Y5" i="7"/>
  <c r="DN5" i="6"/>
  <c r="DZ4" i="6"/>
  <c r="G4" i="6"/>
  <c r="CE5" i="5"/>
  <c r="P5" i="5"/>
  <c r="DB4" i="5"/>
  <c r="AP4" i="5"/>
  <c r="EC5" i="4"/>
  <c r="BQ5" i="4"/>
  <c r="E5" i="4"/>
  <c r="CQ4" i="4"/>
  <c r="AE4" i="4"/>
  <c r="C998" i="3"/>
  <c r="K992" i="3"/>
  <c r="G987" i="3"/>
  <c r="CN4" i="7"/>
  <c r="BT5" i="6"/>
  <c r="CS4" i="6"/>
  <c r="EG5" i="5"/>
  <c r="BK5" i="5"/>
  <c r="EW4" i="5"/>
  <c r="CK4" i="5"/>
  <c r="Y4" i="5"/>
  <c r="DD5" i="4"/>
  <c r="AR5" i="4"/>
  <c r="ED4" i="4"/>
  <c r="BR4" i="4"/>
  <c r="F4" i="4"/>
  <c r="CM4" i="7"/>
  <c r="BR5" i="6"/>
  <c r="CR4" i="6"/>
  <c r="EE5" i="5"/>
  <c r="BJ5" i="5"/>
  <c r="EV4" i="5"/>
  <c r="CJ4" i="5"/>
  <c r="X4" i="5"/>
  <c r="DC5" i="4"/>
  <c r="AQ5" i="4"/>
  <c r="J998" i="3"/>
  <c r="G983" i="3"/>
  <c r="C978" i="3"/>
  <c r="K972" i="3"/>
  <c r="G967" i="3"/>
  <c r="C962" i="3"/>
  <c r="K956" i="3"/>
  <c r="G951" i="3"/>
  <c r="C946" i="3"/>
  <c r="K940" i="3"/>
  <c r="G935" i="3"/>
  <c r="C930" i="3"/>
  <c r="K924" i="3"/>
  <c r="G919" i="3"/>
  <c r="C914" i="3"/>
  <c r="K908" i="3"/>
  <c r="I998" i="3"/>
  <c r="F983" i="3"/>
  <c r="B978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J908" i="3"/>
  <c r="EO4" i="7"/>
  <c r="DE4" i="6"/>
  <c r="AK5" i="6"/>
  <c r="DW4" i="5"/>
  <c r="Z5" i="4"/>
  <c r="H994" i="3"/>
  <c r="EX4" i="6"/>
  <c r="DN4" i="5"/>
  <c r="AG5" i="4"/>
  <c r="AI4" i="4"/>
  <c r="C993" i="3"/>
  <c r="EJ4" i="7"/>
  <c r="DQ4" i="6"/>
  <c r="DA5" i="5"/>
  <c r="C5" i="5"/>
  <c r="BQ4" i="5"/>
  <c r="E4" i="5"/>
  <c r="CR5" i="4"/>
  <c r="AF5" i="4"/>
  <c r="DR4" i="4"/>
  <c r="BF4" i="4"/>
  <c r="F1000" i="3"/>
  <c r="B995" i="3"/>
  <c r="J989" i="3"/>
  <c r="O4" i="8"/>
  <c r="L4" i="7"/>
  <c r="N5" i="6"/>
  <c r="AN4" i="6"/>
  <c r="CY5" i="5"/>
  <c r="AH5" i="5"/>
  <c r="DT4" i="5"/>
  <c r="BH4" i="5"/>
  <c r="EU5" i="4"/>
  <c r="CI5" i="4"/>
  <c r="W5" i="4"/>
  <c r="DI4" i="4"/>
  <c r="AW4" i="4"/>
  <c r="A999" i="3"/>
  <c r="I993" i="3"/>
  <c r="E988" i="3"/>
  <c r="AG5" i="7"/>
  <c r="DP5" i="6"/>
  <c r="EE4" i="6"/>
  <c r="H4" i="6"/>
  <c r="CF5" i="5"/>
  <c r="Q5" i="5"/>
  <c r="DC4" i="5"/>
  <c r="AQ4" i="5"/>
  <c r="ED5" i="4"/>
  <c r="BR5" i="4"/>
  <c r="F5" i="4"/>
  <c r="CR4" i="4"/>
  <c r="AF4" i="4"/>
  <c r="D998" i="3"/>
  <c r="L992" i="3"/>
  <c r="H987" i="3"/>
  <c r="EA4" i="7"/>
  <c r="CR5" i="6"/>
  <c r="DJ4" i="6"/>
  <c r="ER5" i="5"/>
  <c r="BV5" i="5"/>
  <c r="H5" i="5"/>
  <c r="CT4" i="5"/>
  <c r="AH4" i="5"/>
  <c r="DU5" i="4"/>
  <c r="BI5" i="4"/>
  <c r="EU4" i="4"/>
  <c r="CI4" i="4"/>
  <c r="W4" i="4"/>
  <c r="G997" i="3"/>
  <c r="C992" i="3"/>
  <c r="K986" i="3"/>
  <c r="BP4" i="7"/>
  <c r="BC5" i="6"/>
  <c r="CC4" i="6"/>
  <c r="DW5" i="5"/>
  <c r="BC5" i="5"/>
  <c r="EO4" i="5"/>
  <c r="CC4" i="5"/>
  <c r="Q4" i="5"/>
  <c r="CV5" i="4"/>
  <c r="AJ5" i="4"/>
  <c r="DV4" i="4"/>
  <c r="BJ4" i="4"/>
  <c r="J1000" i="3"/>
  <c r="BO4" i="7"/>
  <c r="BB5" i="6"/>
  <c r="CB4" i="6"/>
  <c r="DV5" i="5"/>
  <c r="BB5" i="5"/>
  <c r="EN4" i="5"/>
  <c r="CB4" i="5"/>
  <c r="P4" i="5"/>
  <c r="CU5" i="4"/>
  <c r="AI5" i="4"/>
  <c r="B996" i="3"/>
  <c r="K982" i="3"/>
  <c r="G977" i="3"/>
  <c r="C972" i="3"/>
  <c r="K966" i="3"/>
  <c r="G961" i="3"/>
  <c r="C956" i="3"/>
  <c r="K950" i="3"/>
  <c r="G945" i="3"/>
  <c r="C940" i="3"/>
  <c r="K934" i="3"/>
  <c r="G929" i="3"/>
  <c r="C924" i="3"/>
  <c r="K918" i="3"/>
  <c r="G913" i="3"/>
  <c r="C908" i="3"/>
  <c r="A996" i="3"/>
  <c r="J982" i="3"/>
  <c r="F977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B908" i="3"/>
  <c r="CC4" i="7"/>
  <c r="BI4" i="6"/>
  <c r="CQ4" i="6"/>
  <c r="CA4" i="5"/>
  <c r="EB4" i="4"/>
  <c r="H990" i="3"/>
  <c r="BF4" i="6"/>
  <c r="BR4" i="5"/>
  <c r="Q5" i="4"/>
  <c r="AA4" i="4"/>
  <c r="G992" i="3"/>
  <c r="DD4" i="7"/>
  <c r="DA4" i="6"/>
  <c r="CH5" i="5"/>
  <c r="ES4" i="5"/>
  <c r="BI4" i="5"/>
  <c r="EV5" i="4"/>
  <c r="CJ5" i="4"/>
  <c r="X5" i="4"/>
  <c r="DJ4" i="4"/>
  <c r="AX4" i="4"/>
  <c r="J999" i="3"/>
  <c r="F994" i="3"/>
  <c r="B989" i="3"/>
  <c r="DA5" i="7"/>
  <c r="EN5" i="6"/>
  <c r="EV4" i="6"/>
  <c r="X4" i="6"/>
  <c r="CP5" i="5"/>
  <c r="Z5" i="5"/>
  <c r="DL4" i="5"/>
  <c r="AZ4" i="5"/>
  <c r="EM5" i="4"/>
  <c r="CA5" i="4"/>
  <c r="O5" i="4"/>
  <c r="DA4" i="4"/>
  <c r="AO4" i="4"/>
  <c r="E998" i="3"/>
  <c r="A993" i="3"/>
  <c r="I987" i="3"/>
  <c r="EB4" i="7"/>
  <c r="CW5" i="6"/>
  <c r="DO4" i="6"/>
  <c r="ES5" i="5"/>
  <c r="BW5" i="5"/>
  <c r="I5" i="5"/>
  <c r="CU4" i="5"/>
  <c r="AI4" i="5"/>
  <c r="DV5" i="4"/>
  <c r="BJ5" i="4"/>
  <c r="EV4" i="4"/>
  <c r="CJ4" i="4"/>
  <c r="X4" i="4"/>
  <c r="H997" i="3"/>
  <c r="D992" i="3"/>
  <c r="L986" i="3"/>
  <c r="CU4" i="7"/>
  <c r="BY5" i="6"/>
  <c r="CT4" i="6"/>
  <c r="EH5" i="5"/>
  <c r="BM5" i="5"/>
  <c r="EX4" i="5"/>
  <c r="CL4" i="5"/>
  <c r="Z4" i="5"/>
  <c r="DM5" i="4"/>
  <c r="BA5" i="4"/>
  <c r="EM4" i="4"/>
  <c r="CA4" i="4"/>
  <c r="O4" i="4"/>
  <c r="K996" i="3"/>
  <c r="G991" i="3"/>
  <c r="C986" i="3"/>
  <c r="AT4" i="7"/>
  <c r="AM5" i="6"/>
  <c r="BM4" i="6"/>
  <c r="DN5" i="5"/>
  <c r="AU5" i="5"/>
  <c r="EG4" i="5"/>
  <c r="BU4" i="5"/>
  <c r="I4" i="5"/>
  <c r="CN5" i="4"/>
  <c r="AB5" i="4"/>
  <c r="DN4" i="4"/>
  <c r="BB4" i="4"/>
  <c r="B1000" i="3"/>
  <c r="AR4" i="7"/>
  <c r="AL5" i="6"/>
  <c r="BL4" i="6"/>
  <c r="DM5" i="5"/>
  <c r="AT5" i="5"/>
  <c r="EF4" i="5"/>
  <c r="BT4" i="5"/>
  <c r="H4" i="5"/>
  <c r="CM5" i="4"/>
  <c r="AA5" i="4"/>
  <c r="F993" i="3"/>
  <c r="C982" i="3"/>
  <c r="K976" i="3"/>
  <c r="G971" i="3"/>
  <c r="C966" i="3"/>
  <c r="K960" i="3"/>
  <c r="G955" i="3"/>
  <c r="C950" i="3"/>
  <c r="K944" i="3"/>
  <c r="G939" i="3"/>
  <c r="C934" i="3"/>
  <c r="K928" i="3"/>
  <c r="G923" i="3"/>
  <c r="C918" i="3"/>
  <c r="K912" i="3"/>
  <c r="G907" i="3"/>
  <c r="E993" i="3"/>
  <c r="B982" i="3"/>
  <c r="J976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F907" i="3"/>
  <c r="J906" i="3"/>
  <c r="F987" i="3"/>
  <c r="I980" i="3"/>
  <c r="E975" i="3"/>
  <c r="A970" i="3"/>
  <c r="I964" i="3"/>
  <c r="E959" i="3"/>
  <c r="A954" i="3"/>
  <c r="I948" i="3"/>
  <c r="E943" i="3"/>
  <c r="A938" i="3"/>
  <c r="I932" i="3"/>
  <c r="E927" i="3"/>
  <c r="A922" i="3"/>
  <c r="I916" i="3"/>
  <c r="E911" i="3"/>
  <c r="EC4" i="4"/>
  <c r="D985" i="3"/>
  <c r="L979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H910" i="3"/>
  <c r="BI4" i="4"/>
  <c r="G984" i="3"/>
  <c r="C979" i="3"/>
  <c r="K973" i="3"/>
  <c r="G968" i="3"/>
  <c r="C963" i="3"/>
  <c r="K957" i="3"/>
  <c r="G952" i="3"/>
  <c r="C947" i="3"/>
  <c r="K941" i="3"/>
  <c r="G936" i="3"/>
  <c r="C931" i="3"/>
  <c r="K925" i="3"/>
  <c r="G920" i="3"/>
  <c r="C915" i="3"/>
  <c r="K909" i="3"/>
  <c r="A1000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B909" i="3"/>
  <c r="J996" i="3"/>
  <c r="A983" i="3"/>
  <c r="I977" i="3"/>
  <c r="E972" i="3"/>
  <c r="A967" i="3"/>
  <c r="I961" i="3"/>
  <c r="E956" i="3"/>
  <c r="A951" i="3"/>
  <c r="I945" i="3"/>
  <c r="E940" i="3"/>
  <c r="A935" i="3"/>
  <c r="I929" i="3"/>
  <c r="E924" i="3"/>
  <c r="A919" i="3"/>
  <c r="I913" i="3"/>
  <c r="E908" i="3"/>
  <c r="A994" i="3"/>
  <c r="D982" i="3"/>
  <c r="L976" i="3"/>
  <c r="H971" i="3"/>
  <c r="D966" i="3"/>
  <c r="L960" i="3"/>
  <c r="H955" i="3"/>
  <c r="D950" i="3"/>
  <c r="L944" i="3"/>
  <c r="H939" i="3"/>
  <c r="D934" i="3"/>
  <c r="L928" i="3"/>
  <c r="H923" i="3"/>
  <c r="D918" i="3"/>
  <c r="L912" i="3"/>
  <c r="H907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B828" i="3"/>
  <c r="J822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E827" i="3"/>
  <c r="L903" i="3"/>
  <c r="EK4" i="4"/>
  <c r="E985" i="3"/>
  <c r="A980" i="3"/>
  <c r="I974" i="3"/>
  <c r="E969" i="3"/>
  <c r="A964" i="3"/>
  <c r="I958" i="3"/>
  <c r="E953" i="3"/>
  <c r="A948" i="3"/>
  <c r="I942" i="3"/>
  <c r="E937" i="3"/>
  <c r="A932" i="3"/>
  <c r="I926" i="3"/>
  <c r="E921" i="3"/>
  <c r="A916" i="3"/>
  <c r="I910" i="3"/>
  <c r="BQ4" i="4"/>
  <c r="H984" i="3"/>
  <c r="D979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L909" i="3"/>
  <c r="I1000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K919" i="3"/>
  <c r="G914" i="3"/>
  <c r="C909" i="3"/>
  <c r="E997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F908" i="3"/>
  <c r="B994" i="3"/>
  <c r="E982" i="3"/>
  <c r="A977" i="3"/>
  <c r="I971" i="3"/>
  <c r="E966" i="3"/>
  <c r="A961" i="3"/>
  <c r="I955" i="3"/>
  <c r="E950" i="3"/>
  <c r="A945" i="3"/>
  <c r="I939" i="3"/>
  <c r="E934" i="3"/>
  <c r="A929" i="3"/>
  <c r="I923" i="3"/>
  <c r="E918" i="3"/>
  <c r="A913" i="3"/>
  <c r="I907" i="3"/>
  <c r="E991" i="3"/>
  <c r="H981" i="3"/>
  <c r="D976" i="3"/>
  <c r="L970" i="3"/>
  <c r="H965" i="3"/>
  <c r="D960" i="3"/>
  <c r="L954" i="3"/>
  <c r="H949" i="3"/>
  <c r="D944" i="3"/>
  <c r="L938" i="3"/>
  <c r="H933" i="3"/>
  <c r="D928" i="3"/>
  <c r="L922" i="3"/>
  <c r="H917" i="3"/>
  <c r="D912" i="3"/>
  <c r="L906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F827" i="3"/>
  <c r="B822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I826" i="3"/>
  <c r="D903" i="3"/>
  <c r="BY4" i="4"/>
  <c r="I984" i="3"/>
  <c r="E979" i="3"/>
  <c r="A974" i="3"/>
  <c r="I968" i="3"/>
  <c r="E963" i="3"/>
  <c r="A958" i="3"/>
  <c r="I952" i="3"/>
  <c r="E947" i="3"/>
  <c r="A942" i="3"/>
  <c r="I936" i="3"/>
  <c r="E931" i="3"/>
  <c r="A926" i="3"/>
  <c r="I920" i="3"/>
  <c r="E915" i="3"/>
  <c r="A910" i="3"/>
  <c r="E4" i="4"/>
  <c r="L983" i="3"/>
  <c r="H978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D909" i="3"/>
  <c r="F997" i="3"/>
  <c r="C983" i="3"/>
  <c r="K977" i="3"/>
  <c r="G972" i="3"/>
  <c r="C967" i="3"/>
  <c r="K961" i="3"/>
  <c r="G956" i="3"/>
  <c r="C951" i="3"/>
  <c r="K945" i="3"/>
  <c r="G940" i="3"/>
  <c r="C935" i="3"/>
  <c r="K929" i="3"/>
  <c r="G924" i="3"/>
  <c r="C919" i="3"/>
  <c r="K913" i="3"/>
  <c r="G908" i="3"/>
  <c r="I994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F918" i="3"/>
  <c r="B913" i="3"/>
  <c r="J907" i="3"/>
  <c r="F991" i="3"/>
  <c r="I981" i="3"/>
  <c r="E976" i="3"/>
  <c r="A971" i="3"/>
  <c r="I965" i="3"/>
  <c r="E960" i="3"/>
  <c r="A955" i="3"/>
  <c r="I949" i="3"/>
  <c r="E944" i="3"/>
  <c r="A939" i="3"/>
  <c r="I933" i="3"/>
  <c r="E928" i="3"/>
  <c r="A923" i="3"/>
  <c r="I917" i="3"/>
  <c r="E912" i="3"/>
  <c r="A907" i="3"/>
  <c r="I988" i="3"/>
  <c r="L980" i="3"/>
  <c r="H975" i="3"/>
  <c r="D970" i="3"/>
  <c r="L964" i="3"/>
  <c r="H959" i="3"/>
  <c r="D954" i="3"/>
  <c r="L948" i="3"/>
  <c r="H943" i="3"/>
  <c r="D938" i="3"/>
  <c r="L932" i="3"/>
  <c r="H927" i="3"/>
  <c r="D922" i="3"/>
  <c r="L916" i="3"/>
  <c r="H911" i="3"/>
  <c r="D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J826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A826" i="3"/>
  <c r="M4" i="4"/>
  <c r="A984" i="3"/>
  <c r="I978" i="3"/>
  <c r="E973" i="3"/>
  <c r="A968" i="3"/>
  <c r="I962" i="3"/>
  <c r="E957" i="3"/>
  <c r="A952" i="3"/>
  <c r="I946" i="3"/>
  <c r="E941" i="3"/>
  <c r="A936" i="3"/>
  <c r="I930" i="3"/>
  <c r="E925" i="3"/>
  <c r="A920" i="3"/>
  <c r="I914" i="3"/>
  <c r="E909" i="3"/>
  <c r="A998" i="3"/>
  <c r="D983" i="3"/>
  <c r="L977" i="3"/>
  <c r="H972" i="3"/>
  <c r="D967" i="3"/>
  <c r="L961" i="3"/>
  <c r="H956" i="3"/>
  <c r="D951" i="3"/>
  <c r="L945" i="3"/>
  <c r="H940" i="3"/>
  <c r="D935" i="3"/>
  <c r="L929" i="3"/>
  <c r="H924" i="3"/>
  <c r="D919" i="3"/>
  <c r="L913" i="3"/>
  <c r="H908" i="3"/>
  <c r="J994" i="3"/>
  <c r="G982" i="3"/>
  <c r="C977" i="3"/>
  <c r="K971" i="3"/>
  <c r="G966" i="3"/>
  <c r="C961" i="3"/>
  <c r="K955" i="3"/>
  <c r="G950" i="3"/>
  <c r="C945" i="3"/>
  <c r="K939" i="3"/>
  <c r="G934" i="3"/>
  <c r="C929" i="3"/>
  <c r="K923" i="3"/>
  <c r="G918" i="3"/>
  <c r="C913" i="3"/>
  <c r="K907" i="3"/>
  <c r="A992" i="3"/>
  <c r="J981" i="3"/>
  <c r="F976" i="3"/>
  <c r="B971" i="3"/>
  <c r="J965" i="3"/>
  <c r="F960" i="3"/>
  <c r="B955" i="3"/>
  <c r="J949" i="3"/>
  <c r="F944" i="3"/>
  <c r="B939" i="3"/>
  <c r="J933" i="3"/>
  <c r="F928" i="3"/>
  <c r="B923" i="3"/>
  <c r="J917" i="3"/>
  <c r="F912" i="3"/>
  <c r="B907" i="3"/>
  <c r="J988" i="3"/>
  <c r="A981" i="3"/>
  <c r="I975" i="3"/>
  <c r="E970" i="3"/>
  <c r="A965" i="3"/>
  <c r="I959" i="3"/>
  <c r="E954" i="3"/>
  <c r="A949" i="3"/>
  <c r="I943" i="3"/>
  <c r="E938" i="3"/>
  <c r="A933" i="3"/>
  <c r="I927" i="3"/>
  <c r="E922" i="3"/>
  <c r="A917" i="3"/>
  <c r="I911" i="3"/>
  <c r="E906" i="3"/>
  <c r="A986" i="3"/>
  <c r="D980" i="3"/>
  <c r="L974" i="3"/>
  <c r="H969" i="3"/>
  <c r="D964" i="3"/>
  <c r="L958" i="3"/>
  <c r="H953" i="3"/>
  <c r="D948" i="3"/>
  <c r="L942" i="3"/>
  <c r="H937" i="3"/>
  <c r="D932" i="3"/>
  <c r="L926" i="3"/>
  <c r="H921" i="3"/>
  <c r="D916" i="3"/>
  <c r="L910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B826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A836" i="3"/>
  <c r="I830" i="3"/>
  <c r="E825" i="3"/>
  <c r="B998" i="3"/>
  <c r="E983" i="3"/>
  <c r="A978" i="3"/>
  <c r="I972" i="3"/>
  <c r="E967" i="3"/>
  <c r="A962" i="3"/>
  <c r="I956" i="3"/>
  <c r="E951" i="3"/>
  <c r="A946" i="3"/>
  <c r="I940" i="3"/>
  <c r="E935" i="3"/>
  <c r="A930" i="3"/>
  <c r="I924" i="3"/>
  <c r="E919" i="3"/>
  <c r="A914" i="3"/>
  <c r="I908" i="3"/>
  <c r="E995" i="3"/>
  <c r="H982" i="3"/>
  <c r="D977" i="3"/>
  <c r="L971" i="3"/>
  <c r="H966" i="3"/>
  <c r="D961" i="3"/>
  <c r="L955" i="3"/>
  <c r="H950" i="3"/>
  <c r="D945" i="3"/>
  <c r="L939" i="3"/>
  <c r="H934" i="3"/>
  <c r="D929" i="3"/>
  <c r="L923" i="3"/>
  <c r="H918" i="3"/>
  <c r="D913" i="3"/>
  <c r="L907" i="3"/>
  <c r="B992" i="3"/>
  <c r="K981" i="3"/>
  <c r="G976" i="3"/>
  <c r="C971" i="3"/>
  <c r="K965" i="3"/>
  <c r="G960" i="3"/>
  <c r="C955" i="3"/>
  <c r="K949" i="3"/>
  <c r="G944" i="3"/>
  <c r="C939" i="3"/>
  <c r="K933" i="3"/>
  <c r="G928" i="3"/>
  <c r="C923" i="3"/>
  <c r="K917" i="3"/>
  <c r="G912" i="3"/>
  <c r="C907" i="3"/>
  <c r="E989" i="3"/>
  <c r="B981" i="3"/>
  <c r="J975" i="3"/>
  <c r="F970" i="3"/>
  <c r="B965" i="3"/>
  <c r="J959" i="3"/>
  <c r="F954" i="3"/>
  <c r="B949" i="3"/>
  <c r="J943" i="3"/>
  <c r="F938" i="3"/>
  <c r="B933" i="3"/>
  <c r="J927" i="3"/>
  <c r="F922" i="3"/>
  <c r="B917" i="3"/>
  <c r="J911" i="3"/>
  <c r="F906" i="3"/>
  <c r="B986" i="3"/>
  <c r="E980" i="3"/>
  <c r="A975" i="3"/>
  <c r="I969" i="3"/>
  <c r="E964" i="3"/>
  <c r="A959" i="3"/>
  <c r="I953" i="3"/>
  <c r="E948" i="3"/>
  <c r="A943" i="3"/>
  <c r="I937" i="3"/>
  <c r="E932" i="3"/>
  <c r="A927" i="3"/>
  <c r="I921" i="3"/>
  <c r="E916" i="3"/>
  <c r="A911" i="3"/>
  <c r="CW4" i="4"/>
  <c r="L984" i="3"/>
  <c r="H979" i="3"/>
  <c r="D974" i="3"/>
  <c r="L968" i="3"/>
  <c r="H963" i="3"/>
  <c r="D958" i="3"/>
  <c r="L952" i="3"/>
  <c r="H947" i="3"/>
  <c r="D942" i="3"/>
  <c r="L936" i="3"/>
  <c r="H931" i="3"/>
  <c r="D926" i="3"/>
  <c r="L920" i="3"/>
  <c r="H915" i="3"/>
  <c r="D910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F825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E835" i="3"/>
  <c r="A830" i="3"/>
  <c r="I824" i="3"/>
  <c r="F995" i="3"/>
  <c r="I982" i="3"/>
  <c r="E977" i="3"/>
  <c r="A972" i="3"/>
  <c r="I966" i="3"/>
  <c r="E961" i="3"/>
  <c r="A956" i="3"/>
  <c r="I950" i="3"/>
  <c r="E945" i="3"/>
  <c r="A940" i="3"/>
  <c r="I934" i="3"/>
  <c r="E929" i="3"/>
  <c r="A924" i="3"/>
  <c r="I918" i="3"/>
  <c r="E913" i="3"/>
  <c r="A908" i="3"/>
  <c r="I992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L917" i="3"/>
  <c r="H912" i="3"/>
  <c r="D907" i="3"/>
  <c r="F989" i="3"/>
  <c r="C981" i="3"/>
  <c r="K975" i="3"/>
  <c r="G970" i="3"/>
  <c r="C965" i="3"/>
  <c r="K959" i="3"/>
  <c r="G954" i="3"/>
  <c r="C949" i="3"/>
  <c r="K943" i="3"/>
  <c r="G938" i="3"/>
  <c r="C933" i="3"/>
  <c r="K927" i="3"/>
  <c r="G922" i="3"/>
  <c r="C917" i="3"/>
  <c r="K911" i="3"/>
  <c r="G906" i="3"/>
  <c r="I986" i="3"/>
  <c r="F980" i="3"/>
  <c r="B975" i="3"/>
  <c r="J969" i="3"/>
  <c r="F964" i="3"/>
  <c r="B959" i="3"/>
  <c r="J953" i="3"/>
  <c r="F948" i="3"/>
  <c r="B943" i="3"/>
  <c r="J937" i="3"/>
  <c r="F932" i="3"/>
  <c r="B927" i="3"/>
  <c r="J921" i="3"/>
  <c r="F916" i="3"/>
  <c r="B911" i="3"/>
  <c r="DE4" i="4"/>
  <c r="A985" i="3"/>
  <c r="I979" i="3"/>
  <c r="E974" i="3"/>
  <c r="A969" i="3"/>
  <c r="I963" i="3"/>
  <c r="E958" i="3"/>
  <c r="A953" i="3"/>
  <c r="I947" i="3"/>
  <c r="E942" i="3"/>
  <c r="A937" i="3"/>
  <c r="I931" i="3"/>
  <c r="E926" i="3"/>
  <c r="A921" i="3"/>
  <c r="I915" i="3"/>
  <c r="E910" i="3"/>
  <c r="AK4" i="4"/>
  <c r="D984" i="3"/>
  <c r="L978" i="3"/>
  <c r="H973" i="3"/>
  <c r="D968" i="3"/>
  <c r="L962" i="3"/>
  <c r="H957" i="3"/>
  <c r="D952" i="3"/>
  <c r="L946" i="3"/>
  <c r="H941" i="3"/>
  <c r="D936" i="3"/>
  <c r="L930" i="3"/>
  <c r="H925" i="3"/>
  <c r="D920" i="3"/>
  <c r="L914" i="3"/>
  <c r="H909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F835" i="3"/>
  <c r="B830" i="3"/>
  <c r="J824" i="3"/>
  <c r="A904" i="3"/>
  <c r="I898" i="3"/>
  <c r="E893" i="3"/>
  <c r="A888" i="3"/>
  <c r="I882" i="3"/>
  <c r="E877" i="3"/>
  <c r="A872" i="3"/>
  <c r="I866" i="3"/>
  <c r="E861" i="3"/>
  <c r="A856" i="3"/>
  <c r="I850" i="3"/>
  <c r="E845" i="3"/>
  <c r="A840" i="3"/>
  <c r="I834" i="3"/>
  <c r="E829" i="3"/>
  <c r="L905" i="3"/>
  <c r="J992" i="3"/>
  <c r="A982" i="3"/>
  <c r="I976" i="3"/>
  <c r="E971" i="3"/>
  <c r="A966" i="3"/>
  <c r="I960" i="3"/>
  <c r="E955" i="3"/>
  <c r="A950" i="3"/>
  <c r="I944" i="3"/>
  <c r="E939" i="3"/>
  <c r="A934" i="3"/>
  <c r="I928" i="3"/>
  <c r="E923" i="3"/>
  <c r="A918" i="3"/>
  <c r="I912" i="3"/>
  <c r="E907" i="3"/>
  <c r="A990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D917" i="3"/>
  <c r="L911" i="3"/>
  <c r="H906" i="3"/>
  <c r="J986" i="3"/>
  <c r="G980" i="3"/>
  <c r="C975" i="3"/>
  <c r="K969" i="3"/>
  <c r="G964" i="3"/>
  <c r="C959" i="3"/>
  <c r="K953" i="3"/>
  <c r="G948" i="3"/>
  <c r="C943" i="3"/>
  <c r="K937" i="3"/>
  <c r="G932" i="3"/>
  <c r="C927" i="3"/>
  <c r="K921" i="3"/>
  <c r="G916" i="3"/>
  <c r="C911" i="3"/>
  <c r="DM4" i="4"/>
  <c r="B985" i="3"/>
  <c r="J979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F910" i="3"/>
  <c r="AS4" i="4"/>
  <c r="E984" i="3"/>
  <c r="A979" i="3"/>
  <c r="I973" i="3"/>
  <c r="E968" i="3"/>
  <c r="A963" i="3"/>
  <c r="I957" i="3"/>
  <c r="E952" i="3"/>
  <c r="A947" i="3"/>
  <c r="I941" i="3"/>
  <c r="E936" i="3"/>
  <c r="A931" i="3"/>
  <c r="I925" i="3"/>
  <c r="E920" i="3"/>
  <c r="A915" i="3"/>
  <c r="I909" i="3"/>
  <c r="E999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H919" i="3"/>
  <c r="D914" i="3"/>
  <c r="L908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J834" i="3"/>
  <c r="F829" i="3"/>
  <c r="B824" i="3"/>
  <c r="E903" i="3"/>
  <c r="A898" i="3"/>
  <c r="I892" i="3"/>
  <c r="E887" i="3"/>
  <c r="A882" i="3"/>
  <c r="I876" i="3"/>
  <c r="E871" i="3"/>
  <c r="A866" i="3"/>
  <c r="I860" i="3"/>
  <c r="E855" i="3"/>
  <c r="A850" i="3"/>
  <c r="I844" i="3"/>
  <c r="E839" i="3"/>
  <c r="A834" i="3"/>
  <c r="I828" i="3"/>
  <c r="D905" i="3"/>
  <c r="B990" i="3"/>
  <c r="E981" i="3"/>
  <c r="A976" i="3"/>
  <c r="I970" i="3"/>
  <c r="E965" i="3"/>
  <c r="A960" i="3"/>
  <c r="I954" i="3"/>
  <c r="E949" i="3"/>
  <c r="A944" i="3"/>
  <c r="I938" i="3"/>
  <c r="E933" i="3"/>
  <c r="A928" i="3"/>
  <c r="I922" i="3"/>
  <c r="E917" i="3"/>
  <c r="A912" i="3"/>
  <c r="I906" i="3"/>
  <c r="E987" i="3"/>
  <c r="H980" i="3"/>
  <c r="D975" i="3"/>
  <c r="L969" i="3"/>
  <c r="H964" i="3"/>
  <c r="D959" i="3"/>
  <c r="L953" i="3"/>
  <c r="H948" i="3"/>
  <c r="D943" i="3"/>
  <c r="L937" i="3"/>
  <c r="H932" i="3"/>
  <c r="D927" i="3"/>
  <c r="L921" i="3"/>
  <c r="H916" i="3"/>
  <c r="D911" i="3"/>
  <c r="DU4" i="4"/>
  <c r="C985" i="3"/>
  <c r="K979" i="3"/>
  <c r="G974" i="3"/>
  <c r="C969" i="3"/>
  <c r="K963" i="3"/>
  <c r="G958" i="3"/>
  <c r="C953" i="3"/>
  <c r="K947" i="3"/>
  <c r="G942" i="3"/>
  <c r="C937" i="3"/>
  <c r="K931" i="3"/>
  <c r="G926" i="3"/>
  <c r="C921" i="3"/>
  <c r="K915" i="3"/>
  <c r="G910" i="3"/>
  <c r="BA4" i="4"/>
  <c r="F984" i="3"/>
  <c r="B979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J909" i="3"/>
  <c r="F99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I919" i="3"/>
  <c r="E914" i="3"/>
  <c r="A909" i="3"/>
  <c r="I996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L918" i="3"/>
  <c r="H913" i="3"/>
  <c r="D908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J828" i="3"/>
  <c r="F823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A828" i="3"/>
  <c r="H904" i="3"/>
  <c r="H902" i="3"/>
  <c r="D897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L827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C835" i="3"/>
  <c r="K829" i="3"/>
  <c r="G824" i="3"/>
  <c r="B901" i="3"/>
  <c r="J895" i="3"/>
  <c r="F890" i="3"/>
  <c r="B885" i="3"/>
  <c r="J879" i="3"/>
  <c r="F874" i="3"/>
  <c r="B869" i="3"/>
  <c r="J863" i="3"/>
  <c r="F858" i="3"/>
  <c r="B853" i="3"/>
  <c r="J847" i="3"/>
  <c r="F842" i="3"/>
  <c r="B837" i="3"/>
  <c r="J831" i="3"/>
  <c r="F826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7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G905" i="3"/>
  <c r="C900" i="3"/>
  <c r="K894" i="3"/>
  <c r="G889" i="3"/>
  <c r="C884" i="3"/>
  <c r="K878" i="3"/>
  <c r="G873" i="3"/>
  <c r="C868" i="3"/>
  <c r="K862" i="3"/>
  <c r="G857" i="3"/>
  <c r="C852" i="3"/>
  <c r="K846" i="3"/>
  <c r="G841" i="3"/>
  <c r="C836" i="3"/>
  <c r="K830" i="3"/>
  <c r="G825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D751" i="3"/>
  <c r="L745" i="3"/>
  <c r="H740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G750" i="3"/>
  <c r="C745" i="3"/>
  <c r="K739" i="3"/>
  <c r="B819" i="3"/>
  <c r="J813" i="3"/>
  <c r="F808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G834" i="3"/>
  <c r="C829" i="3"/>
  <c r="J905" i="3"/>
  <c r="F900" i="3"/>
  <c r="B895" i="3"/>
  <c r="J889" i="3"/>
  <c r="F884" i="3"/>
  <c r="B879" i="3"/>
  <c r="J873" i="3"/>
  <c r="F868" i="3"/>
  <c r="B863" i="3"/>
  <c r="J857" i="3"/>
  <c r="F852" i="3"/>
  <c r="B847" i="3"/>
  <c r="J841" i="3"/>
  <c r="F836" i="3"/>
  <c r="B831" i="3"/>
  <c r="J825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7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K904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G835" i="3"/>
  <c r="C830" i="3"/>
  <c r="K824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H750" i="3"/>
  <c r="D745" i="3"/>
  <c r="L739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K749" i="3"/>
  <c r="G744" i="3"/>
  <c r="A824" i="3"/>
  <c r="F818" i="3"/>
  <c r="B813" i="3"/>
  <c r="J807" i="3"/>
  <c r="D901" i="3"/>
  <c r="L895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C839" i="3"/>
  <c r="K833" i="3"/>
  <c r="G828" i="3"/>
  <c r="B905" i="3"/>
  <c r="J899" i="3"/>
  <c r="F894" i="3"/>
  <c r="B889" i="3"/>
  <c r="J883" i="3"/>
  <c r="F878" i="3"/>
  <c r="B873" i="3"/>
  <c r="J867" i="3"/>
  <c r="F862" i="3"/>
  <c r="B857" i="3"/>
  <c r="J851" i="3"/>
  <c r="F846" i="3"/>
  <c r="B841" i="3"/>
  <c r="J835" i="3"/>
  <c r="F830" i="3"/>
  <c r="B825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6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L838" i="3"/>
  <c r="H833" i="3"/>
  <c r="D828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K834" i="3"/>
  <c r="G829" i="3"/>
  <c r="C824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L749" i="3"/>
  <c r="H744" i="3"/>
  <c r="D824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C749" i="3"/>
  <c r="K743" i="3"/>
  <c r="D823" i="3"/>
  <c r="J817" i="3"/>
  <c r="F812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K827" i="3"/>
  <c r="F904" i="3"/>
  <c r="B899" i="3"/>
  <c r="J893" i="3"/>
  <c r="F888" i="3"/>
  <c r="B883" i="3"/>
  <c r="J877" i="3"/>
  <c r="F872" i="3"/>
  <c r="B867" i="3"/>
  <c r="J861" i="3"/>
  <c r="F856" i="3"/>
  <c r="B851" i="3"/>
  <c r="J845" i="3"/>
  <c r="F840" i="3"/>
  <c r="B835" i="3"/>
  <c r="J829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5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H827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G839" i="3"/>
  <c r="C834" i="3"/>
  <c r="K828" i="3"/>
  <c r="F824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H754" i="3"/>
  <c r="D749" i="3"/>
  <c r="L743" i="3"/>
  <c r="E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K753" i="3"/>
  <c r="G748" i="3"/>
  <c r="C743" i="3"/>
  <c r="G822" i="3"/>
  <c r="B817" i="3"/>
  <c r="J811" i="3"/>
  <c r="F806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K901" i="3"/>
  <c r="G896" i="3"/>
  <c r="C891" i="3"/>
  <c r="K885" i="3"/>
  <c r="G880" i="3"/>
  <c r="C875" i="3"/>
  <c r="K869" i="3"/>
  <c r="G864" i="3"/>
  <c r="C859" i="3"/>
  <c r="K853" i="3"/>
  <c r="G848" i="3"/>
  <c r="C843" i="3"/>
  <c r="K837" i="3"/>
  <c r="G832" i="3"/>
  <c r="C827" i="3"/>
  <c r="J903" i="3"/>
  <c r="F898" i="3"/>
  <c r="B893" i="3"/>
  <c r="J887" i="3"/>
  <c r="F882" i="3"/>
  <c r="B877" i="3"/>
  <c r="J871" i="3"/>
  <c r="F866" i="3"/>
  <c r="B861" i="3"/>
  <c r="J855" i="3"/>
  <c r="F850" i="3"/>
  <c r="B845" i="3"/>
  <c r="J839" i="3"/>
  <c r="F834" i="3"/>
  <c r="B829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5" i="3"/>
  <c r="H901" i="3"/>
  <c r="D896" i="3"/>
  <c r="L890" i="3"/>
  <c r="H885" i="3"/>
  <c r="D880" i="3"/>
  <c r="L874" i="3"/>
  <c r="H869" i="3"/>
  <c r="D864" i="3"/>
  <c r="L858" i="3"/>
  <c r="H853" i="3"/>
  <c r="D848" i="3"/>
  <c r="L842" i="3"/>
  <c r="H837" i="3"/>
  <c r="D832" i="3"/>
  <c r="L826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C828" i="3"/>
  <c r="G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L753" i="3"/>
  <c r="H748" i="3"/>
  <c r="D743" i="3"/>
  <c r="H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C753" i="3"/>
  <c r="K747" i="3"/>
  <c r="G742" i="3"/>
  <c r="J821" i="3"/>
  <c r="F816" i="3"/>
  <c r="B811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C901" i="3"/>
  <c r="K895" i="3"/>
  <c r="G890" i="3"/>
  <c r="C885" i="3"/>
  <c r="K879" i="3"/>
  <c r="G874" i="3"/>
  <c r="C869" i="3"/>
  <c r="K863" i="3"/>
  <c r="G858" i="3"/>
  <c r="C853" i="3"/>
  <c r="K847" i="3"/>
  <c r="G842" i="3"/>
  <c r="C837" i="3"/>
  <c r="K831" i="3"/>
  <c r="G826" i="3"/>
  <c r="B903" i="3"/>
  <c r="J897" i="3"/>
  <c r="F892" i="3"/>
  <c r="B887" i="3"/>
  <c r="J881" i="3"/>
  <c r="F876" i="3"/>
  <c r="B871" i="3"/>
  <c r="J865" i="3"/>
  <c r="F860" i="3"/>
  <c r="B855" i="3"/>
  <c r="J849" i="3"/>
  <c r="F844" i="3"/>
  <c r="B839" i="3"/>
  <c r="J833" i="3"/>
  <c r="F828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A835" i="3"/>
  <c r="I829" i="3"/>
  <c r="E824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D826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G827" i="3"/>
  <c r="I822" i="3"/>
  <c r="D817" i="3"/>
  <c r="L811" i="3"/>
  <c r="H806" i="3"/>
  <c r="D801" i="3"/>
  <c r="L795" i="3"/>
  <c r="H790" i="3"/>
  <c r="D785" i="3"/>
  <c r="L779" i="3"/>
  <c r="H774" i="3"/>
  <c r="D769" i="3"/>
  <c r="L763" i="3"/>
  <c r="H758" i="3"/>
  <c r="D753" i="3"/>
  <c r="L747" i="3"/>
  <c r="H742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G752" i="3"/>
  <c r="C747" i="3"/>
  <c r="K741" i="3"/>
  <c r="B821" i="3"/>
  <c r="J815" i="3"/>
  <c r="F810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K905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G836" i="3"/>
  <c r="C831" i="3"/>
  <c r="K825" i="3"/>
  <c r="F902" i="3"/>
  <c r="B897" i="3"/>
  <c r="J891" i="3"/>
  <c r="F886" i="3"/>
  <c r="B881" i="3"/>
  <c r="J875" i="3"/>
  <c r="F870" i="3"/>
  <c r="B865" i="3"/>
  <c r="J859" i="3"/>
  <c r="F854" i="3"/>
  <c r="B849" i="3"/>
  <c r="J843" i="3"/>
  <c r="F838" i="3"/>
  <c r="B833" i="3"/>
  <c r="J827" i="3"/>
  <c r="I903" i="3"/>
  <c r="E898" i="3"/>
  <c r="A893" i="3"/>
  <c r="I887" i="3"/>
  <c r="E882" i="3"/>
  <c r="A877" i="3"/>
  <c r="I871" i="3"/>
  <c r="E866" i="3"/>
  <c r="A861" i="3"/>
  <c r="I855" i="3"/>
  <c r="E850" i="3"/>
  <c r="A845" i="3"/>
  <c r="I839" i="3"/>
  <c r="E834" i="3"/>
  <c r="A829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825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K826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H752" i="3"/>
  <c r="D747" i="3"/>
  <c r="L741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K751" i="3"/>
  <c r="G746" i="3"/>
  <c r="C741" i="3"/>
  <c r="F820" i="3"/>
  <c r="B815" i="3"/>
  <c r="J809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L833" i="3"/>
  <c r="H828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K835" i="3"/>
  <c r="G830" i="3"/>
  <c r="C825" i="3"/>
  <c r="J901" i="3"/>
  <c r="F896" i="3"/>
  <c r="B891" i="3"/>
  <c r="J885" i="3"/>
  <c r="F880" i="3"/>
  <c r="B875" i="3"/>
  <c r="J869" i="3"/>
  <c r="F864" i="3"/>
  <c r="B859" i="3"/>
  <c r="J853" i="3"/>
  <c r="F848" i="3"/>
  <c r="B843" i="3"/>
  <c r="J837" i="3"/>
  <c r="F832" i="3"/>
  <c r="B827" i="3"/>
  <c r="A903" i="3"/>
  <c r="I897" i="3"/>
  <c r="E892" i="3"/>
  <c r="A887" i="3"/>
  <c r="I881" i="3"/>
  <c r="E876" i="3"/>
  <c r="A871" i="3"/>
  <c r="I865" i="3"/>
  <c r="E860" i="3"/>
  <c r="A855" i="3"/>
  <c r="I849" i="3"/>
  <c r="E844" i="3"/>
  <c r="A839" i="3"/>
  <c r="I833" i="3"/>
  <c r="E828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L824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K836" i="3"/>
  <c r="G831" i="3"/>
  <c r="C826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L751" i="3"/>
  <c r="H746" i="3"/>
  <c r="D741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C751" i="3"/>
  <c r="K745" i="3"/>
  <c r="G740" i="3"/>
  <c r="J819" i="3"/>
  <c r="F814" i="3"/>
  <c r="B809" i="3"/>
  <c r="B807" i="3"/>
  <c r="B801" i="3"/>
  <c r="J795" i="3"/>
  <c r="F790" i="3"/>
  <c r="B785" i="3"/>
  <c r="J779" i="3"/>
  <c r="F774" i="3"/>
  <c r="B769" i="3"/>
  <c r="J763" i="3"/>
  <c r="F758" i="3"/>
  <c r="B753" i="3"/>
  <c r="J747" i="3"/>
  <c r="F742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I751" i="3"/>
  <c r="E746" i="3"/>
  <c r="A741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D750" i="3"/>
  <c r="L744" i="3"/>
  <c r="H739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G749" i="3"/>
  <c r="C744" i="3"/>
  <c r="L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3" i="3"/>
  <c r="B748" i="3"/>
  <c r="J742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A752" i="3"/>
  <c r="I746" i="3"/>
  <c r="E74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K734" i="3"/>
  <c r="G729" i="3"/>
  <c r="C724" i="3"/>
  <c r="K718" i="3"/>
  <c r="J805" i="3"/>
  <c r="F800" i="3"/>
  <c r="B795" i="3"/>
  <c r="J789" i="3"/>
  <c r="F784" i="3"/>
  <c r="B779" i="3"/>
  <c r="J773" i="3"/>
  <c r="F768" i="3"/>
  <c r="B763" i="3"/>
  <c r="J757" i="3"/>
  <c r="F752" i="3"/>
  <c r="B747" i="3"/>
  <c r="J741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A751" i="3"/>
  <c r="I745" i="3"/>
  <c r="E740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H749" i="3"/>
  <c r="D744" i="3"/>
  <c r="J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K748" i="3"/>
  <c r="G743" i="3"/>
  <c r="C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F747" i="3"/>
  <c r="B742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E751" i="3"/>
  <c r="A746" i="3"/>
  <c r="I740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L734" i="3"/>
  <c r="H729" i="3"/>
  <c r="D724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G739" i="3"/>
  <c r="C734" i="3"/>
  <c r="K728" i="3"/>
  <c r="G723" i="3"/>
  <c r="C718" i="3"/>
  <c r="B805" i="3"/>
  <c r="J799" i="3"/>
  <c r="F794" i="3"/>
  <c r="B789" i="3"/>
  <c r="J783" i="3"/>
  <c r="F778" i="3"/>
  <c r="B773" i="3"/>
  <c r="J767" i="3"/>
  <c r="F762" i="3"/>
  <c r="B757" i="3"/>
  <c r="J751" i="3"/>
  <c r="F746" i="3"/>
  <c r="B741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E750" i="3"/>
  <c r="A745" i="3"/>
  <c r="K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L748" i="3"/>
  <c r="H743" i="3"/>
  <c r="A823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G753" i="3"/>
  <c r="C748" i="3"/>
  <c r="K742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B752" i="3"/>
  <c r="J746" i="3"/>
  <c r="F741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I750" i="3"/>
  <c r="E745" i="3"/>
  <c r="A74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I73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K738" i="3"/>
  <c r="G733" i="3"/>
  <c r="C728" i="3"/>
  <c r="K722" i="3"/>
  <c r="G717" i="3"/>
  <c r="F804" i="3"/>
  <c r="B799" i="3"/>
  <c r="J793" i="3"/>
  <c r="F788" i="3"/>
  <c r="B783" i="3"/>
  <c r="J777" i="3"/>
  <c r="F772" i="3"/>
  <c r="B767" i="3"/>
  <c r="J761" i="3"/>
  <c r="F756" i="3"/>
  <c r="B751" i="3"/>
  <c r="J745" i="3"/>
  <c r="F740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I749" i="3"/>
  <c r="E744" i="3"/>
  <c r="B823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H753" i="3"/>
  <c r="D748" i="3"/>
  <c r="L742" i="3"/>
  <c r="D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G747" i="3"/>
  <c r="C742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F751" i="3"/>
  <c r="B746" i="3"/>
  <c r="J740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A750" i="3"/>
  <c r="I744" i="3"/>
  <c r="J73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L738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C738" i="3"/>
  <c r="K732" i="3"/>
  <c r="G727" i="3"/>
  <c r="C722" i="3"/>
  <c r="K716" i="3"/>
  <c r="J803" i="3"/>
  <c r="F798" i="3"/>
  <c r="B793" i="3"/>
  <c r="J787" i="3"/>
  <c r="F782" i="3"/>
  <c r="B777" i="3"/>
  <c r="J771" i="3"/>
  <c r="F766" i="3"/>
  <c r="B761" i="3"/>
  <c r="J755" i="3"/>
  <c r="F750" i="3"/>
  <c r="B745" i="3"/>
  <c r="L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A749" i="3"/>
  <c r="I743" i="3"/>
  <c r="E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L752" i="3"/>
  <c r="H747" i="3"/>
  <c r="D742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C752" i="3"/>
  <c r="K746" i="3"/>
  <c r="G741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J750" i="3"/>
  <c r="F745" i="3"/>
  <c r="B740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E749" i="3"/>
  <c r="A744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D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G737" i="3"/>
  <c r="C732" i="3"/>
  <c r="K726" i="3"/>
  <c r="G721" i="3"/>
  <c r="C716" i="3"/>
  <c r="B803" i="3"/>
  <c r="J797" i="3"/>
  <c r="F792" i="3"/>
  <c r="B787" i="3"/>
  <c r="J781" i="3"/>
  <c r="F776" i="3"/>
  <c r="B771" i="3"/>
  <c r="J765" i="3"/>
  <c r="F760" i="3"/>
  <c r="B755" i="3"/>
  <c r="J749" i="3"/>
  <c r="F744" i="3"/>
  <c r="C823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I753" i="3"/>
  <c r="E748" i="3"/>
  <c r="A743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D752" i="3"/>
  <c r="L746" i="3"/>
  <c r="H741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G751" i="3"/>
  <c r="C746" i="3"/>
  <c r="K740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B750" i="3"/>
  <c r="J744" i="3"/>
  <c r="H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A754" i="3"/>
  <c r="I748" i="3"/>
  <c r="E743" i="3"/>
  <c r="E738" i="3"/>
  <c r="A733" i="3"/>
  <c r="I727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K736" i="3"/>
  <c r="G731" i="3"/>
  <c r="C726" i="3"/>
  <c r="K720" i="3"/>
  <c r="F802" i="3"/>
  <c r="B797" i="3"/>
  <c r="J791" i="3"/>
  <c r="F786" i="3"/>
  <c r="B781" i="3"/>
  <c r="J775" i="3"/>
  <c r="F770" i="3"/>
  <c r="B765" i="3"/>
  <c r="J759" i="3"/>
  <c r="F754" i="3"/>
  <c r="B749" i="3"/>
  <c r="J743" i="3"/>
  <c r="F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A753" i="3"/>
  <c r="I747" i="3"/>
  <c r="E742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H751" i="3"/>
  <c r="D746" i="3"/>
  <c r="L740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K750" i="3"/>
  <c r="G745" i="3"/>
  <c r="C740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F749" i="3"/>
  <c r="B744" i="3"/>
  <c r="K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E753" i="3"/>
  <c r="A748" i="3"/>
  <c r="I742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C736" i="3"/>
  <c r="K730" i="3"/>
  <c r="G725" i="3"/>
  <c r="C720" i="3"/>
  <c r="J801" i="3"/>
  <c r="F796" i="3"/>
  <c r="B791" i="3"/>
  <c r="J785" i="3"/>
  <c r="F780" i="3"/>
  <c r="B775" i="3"/>
  <c r="J769" i="3"/>
  <c r="F764" i="3"/>
  <c r="B759" i="3"/>
  <c r="J753" i="3"/>
  <c r="F748" i="3"/>
  <c r="B743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E752" i="3"/>
  <c r="A747" i="3"/>
  <c r="I741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L750" i="3"/>
  <c r="H745" i="3"/>
  <c r="D740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C750" i="3"/>
  <c r="K744" i="3"/>
  <c r="I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B754" i="3"/>
  <c r="J748" i="3"/>
  <c r="F743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I752" i="3"/>
  <c r="E747" i="3"/>
  <c r="A74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G735" i="3"/>
  <c r="C730" i="3"/>
  <c r="K724" i="3"/>
  <c r="G719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B737" i="3"/>
  <c r="J731" i="3"/>
  <c r="F726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L577" i="3"/>
  <c r="H572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C583" i="3"/>
  <c r="K577" i="3"/>
  <c r="G572" i="3"/>
  <c r="F652" i="3"/>
  <c r="B647" i="3"/>
  <c r="J641" i="3"/>
  <c r="F636" i="3"/>
  <c r="B631" i="3"/>
  <c r="J625" i="3"/>
  <c r="F6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D739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F736" i="3"/>
  <c r="B731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F656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D577" i="3"/>
  <c r="L571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G582" i="3"/>
  <c r="C577" i="3"/>
  <c r="K571" i="3"/>
  <c r="J651" i="3"/>
  <c r="F646" i="3"/>
  <c r="B641" i="3"/>
  <c r="J635" i="3"/>
  <c r="F630" i="3"/>
  <c r="B625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H738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J735" i="3"/>
  <c r="F730" i="3"/>
  <c r="B72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H576" i="3"/>
  <c r="D571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K581" i="3"/>
  <c r="G576" i="3"/>
  <c r="C571" i="3"/>
  <c r="B651" i="3"/>
  <c r="J645" i="3"/>
  <c r="F640" i="3"/>
  <c r="B635" i="3"/>
  <c r="J629" i="3"/>
  <c r="F624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J734" i="3"/>
  <c r="F729" i="3"/>
  <c r="B72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E739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L737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C73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B735" i="3"/>
  <c r="J729" i="3"/>
  <c r="F724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L657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L575" i="3"/>
  <c r="K657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C581" i="3"/>
  <c r="K575" i="3"/>
  <c r="D657" i="3"/>
  <c r="F650" i="3"/>
  <c r="B645" i="3"/>
  <c r="J639" i="3"/>
  <c r="F634" i="3"/>
  <c r="B629" i="3"/>
  <c r="J623" i="3"/>
  <c r="K712" i="3"/>
  <c r="G707" i="3"/>
  <c r="C702" i="3"/>
  <c r="K696" i="3"/>
  <c r="G691" i="3"/>
  <c r="C686" i="3"/>
  <c r="K680" i="3"/>
  <c r="G675" i="3"/>
  <c r="C670" i="3"/>
  <c r="K664" i="3"/>
  <c r="G659" i="3"/>
  <c r="F739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I738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D737" i="3"/>
  <c r="L731" i="3"/>
  <c r="H726" i="3"/>
  <c r="D721" i="3"/>
  <c r="L715" i="3"/>
  <c r="H710" i="3"/>
  <c r="D705" i="3"/>
  <c r="L699" i="3"/>
  <c r="H694" i="3"/>
  <c r="D689" i="3"/>
  <c r="L683" i="3"/>
  <c r="H678" i="3"/>
  <c r="D673" i="3"/>
  <c r="L667" i="3"/>
  <c r="H662" i="3"/>
  <c r="G738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F734" i="3"/>
  <c r="B729" i="3"/>
  <c r="J723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E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D575" i="3"/>
  <c r="D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G580" i="3"/>
  <c r="C575" i="3"/>
  <c r="C655" i="3"/>
  <c r="J649" i="3"/>
  <c r="F644" i="3"/>
  <c r="B639" i="3"/>
  <c r="J633" i="3"/>
  <c r="F628" i="3"/>
  <c r="B623" i="3"/>
  <c r="C712" i="3"/>
  <c r="K706" i="3"/>
  <c r="G701" i="3"/>
  <c r="C696" i="3"/>
  <c r="K690" i="3"/>
  <c r="G685" i="3"/>
  <c r="C680" i="3"/>
  <c r="K674" i="3"/>
  <c r="G669" i="3"/>
  <c r="C664" i="3"/>
  <c r="K658" i="3"/>
  <c r="J738" i="3"/>
  <c r="F733" i="3"/>
  <c r="B728" i="3"/>
  <c r="J722" i="3"/>
  <c r="F717" i="3"/>
  <c r="B712" i="3"/>
  <c r="J706" i="3"/>
  <c r="F701" i="3"/>
  <c r="B696" i="3"/>
  <c r="J690" i="3"/>
  <c r="F685" i="3"/>
  <c r="B680" i="3"/>
  <c r="J674" i="3"/>
  <c r="F669" i="3"/>
  <c r="B664" i="3"/>
  <c r="J658" i="3"/>
  <c r="A738" i="3"/>
  <c r="I732" i="3"/>
  <c r="E727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A658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K737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B739" i="3"/>
  <c r="J733" i="3"/>
  <c r="F728" i="3"/>
  <c r="B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L579" i="3"/>
  <c r="H574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K579" i="3"/>
  <c r="G574" i="3"/>
  <c r="F654" i="3"/>
  <c r="B649" i="3"/>
  <c r="J643" i="3"/>
  <c r="F638" i="3"/>
  <c r="B633" i="3"/>
  <c r="J627" i="3"/>
  <c r="F622" i="3"/>
  <c r="G711" i="3"/>
  <c r="C706" i="3"/>
  <c r="K700" i="3"/>
  <c r="G695" i="3"/>
  <c r="C690" i="3"/>
  <c r="K684" i="3"/>
  <c r="G679" i="3"/>
  <c r="C674" i="3"/>
  <c r="K668" i="3"/>
  <c r="G663" i="3"/>
  <c r="C658" i="3"/>
  <c r="B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E737" i="3"/>
  <c r="A732" i="3"/>
  <c r="I726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F738" i="3"/>
  <c r="B733" i="3"/>
  <c r="J727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D579" i="3"/>
  <c r="L573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C579" i="3"/>
  <c r="K573" i="3"/>
  <c r="J653" i="3"/>
  <c r="F648" i="3"/>
  <c r="B643" i="3"/>
  <c r="J637" i="3"/>
  <c r="F632" i="3"/>
  <c r="B627" i="3"/>
  <c r="K710" i="3"/>
  <c r="G705" i="3"/>
  <c r="C700" i="3"/>
  <c r="K694" i="3"/>
  <c r="G689" i="3"/>
  <c r="C684" i="3"/>
  <c r="K678" i="3"/>
  <c r="G673" i="3"/>
  <c r="C668" i="3"/>
  <c r="K662" i="3"/>
  <c r="G657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G736" i="3"/>
  <c r="C731" i="3"/>
  <c r="K725" i="3"/>
  <c r="G720" i="3"/>
  <c r="C715" i="3"/>
  <c r="K709" i="3"/>
  <c r="G704" i="3"/>
  <c r="C699" i="3"/>
  <c r="K693" i="3"/>
  <c r="G688" i="3"/>
  <c r="C683" i="3"/>
  <c r="K677" i="3"/>
  <c r="G672" i="3"/>
  <c r="C667" i="3"/>
  <c r="K661" i="3"/>
  <c r="J737" i="3"/>
  <c r="F732" i="3"/>
  <c r="B727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H578" i="3"/>
  <c r="D573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K583" i="3"/>
  <c r="G578" i="3"/>
  <c r="C573" i="3"/>
  <c r="B653" i="3"/>
  <c r="J647" i="3"/>
  <c r="F642" i="3"/>
  <c r="B637" i="3"/>
  <c r="J631" i="3"/>
  <c r="F626" i="3"/>
  <c r="J621" i="3"/>
  <c r="J615" i="3"/>
  <c r="F610" i="3"/>
  <c r="B605" i="3"/>
  <c r="J599" i="3"/>
  <c r="F594" i="3"/>
  <c r="B589" i="3"/>
  <c r="J583" i="3"/>
  <c r="F578" i="3"/>
  <c r="B573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E578" i="3"/>
  <c r="A573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D578" i="3"/>
  <c r="L572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C578" i="3"/>
  <c r="K572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F577" i="3"/>
  <c r="B572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582" i="3"/>
  <c r="I576" i="3"/>
  <c r="E571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E567" i="3"/>
  <c r="A562" i="3"/>
  <c r="I556" i="3"/>
  <c r="E551" i="3"/>
  <c r="A546" i="3"/>
  <c r="I540" i="3"/>
  <c r="B621" i="3"/>
  <c r="B615" i="3"/>
  <c r="J609" i="3"/>
  <c r="F604" i="3"/>
  <c r="B599" i="3"/>
  <c r="J593" i="3"/>
  <c r="F588" i="3"/>
  <c r="B583" i="3"/>
  <c r="J577" i="3"/>
  <c r="F572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A583" i="3"/>
  <c r="I577" i="3"/>
  <c r="E572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H577" i="3"/>
  <c r="D572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G577" i="3"/>
  <c r="C572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J576" i="3"/>
  <c r="F571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581" i="3"/>
  <c r="A576" i="3"/>
  <c r="K570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I566" i="3"/>
  <c r="E561" i="3"/>
  <c r="A556" i="3"/>
  <c r="I550" i="3"/>
  <c r="E545" i="3"/>
  <c r="J619" i="3"/>
  <c r="F614" i="3"/>
  <c r="B609" i="3"/>
  <c r="J603" i="3"/>
  <c r="F598" i="3"/>
  <c r="B593" i="3"/>
  <c r="J587" i="3"/>
  <c r="F582" i="3"/>
  <c r="B577" i="3"/>
  <c r="J571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E582" i="3"/>
  <c r="A577" i="3"/>
  <c r="I571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L576" i="3"/>
  <c r="H571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K576" i="3"/>
  <c r="G571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B576" i="3"/>
  <c r="K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580" i="3"/>
  <c r="E575" i="3"/>
  <c r="C570" i="3"/>
  <c r="K564" i="3"/>
  <c r="G559" i="3"/>
  <c r="C554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A566" i="3"/>
  <c r="I560" i="3"/>
  <c r="E555" i="3"/>
  <c r="A550" i="3"/>
  <c r="I544" i="3"/>
  <c r="B619" i="3"/>
  <c r="J613" i="3"/>
  <c r="F608" i="3"/>
  <c r="B603" i="3"/>
  <c r="J597" i="3"/>
  <c r="F592" i="3"/>
  <c r="B587" i="3"/>
  <c r="J581" i="3"/>
  <c r="F576" i="3"/>
  <c r="B571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I581" i="3"/>
  <c r="E576" i="3"/>
  <c r="A571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D576" i="3"/>
  <c r="L570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C576" i="3"/>
  <c r="L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F575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580" i="3"/>
  <c r="I574" i="3"/>
  <c r="G569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B57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I570" i="3"/>
  <c r="E565" i="3"/>
  <c r="A560" i="3"/>
  <c r="I554" i="3"/>
  <c r="E549" i="3"/>
  <c r="A544" i="3"/>
  <c r="F618" i="3"/>
  <c r="B613" i="3"/>
  <c r="J607" i="3"/>
  <c r="F602" i="3"/>
  <c r="B597" i="3"/>
  <c r="J591" i="3"/>
  <c r="F586" i="3"/>
  <c r="B581" i="3"/>
  <c r="J575" i="3"/>
  <c r="C657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A581" i="3"/>
  <c r="I575" i="3"/>
  <c r="H656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H575" i="3"/>
  <c r="G656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G575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J574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E579" i="3"/>
  <c r="A57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A570" i="3"/>
  <c r="I564" i="3"/>
  <c r="E559" i="3"/>
  <c r="A554" i="3"/>
  <c r="I548" i="3"/>
  <c r="E543" i="3"/>
  <c r="J617" i="3"/>
  <c r="F612" i="3"/>
  <c r="B607" i="3"/>
  <c r="J601" i="3"/>
  <c r="F596" i="3"/>
  <c r="B591" i="3"/>
  <c r="J585" i="3"/>
  <c r="F580" i="3"/>
  <c r="B575" i="3"/>
  <c r="B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E580" i="3"/>
  <c r="A575" i="3"/>
  <c r="A655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L574" i="3"/>
  <c r="L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K574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F579" i="3"/>
  <c r="B574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I578" i="3"/>
  <c r="E573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E569" i="3"/>
  <c r="A564" i="3"/>
  <c r="I558" i="3"/>
  <c r="E553" i="3"/>
  <c r="A548" i="3"/>
  <c r="I542" i="3"/>
  <c r="B617" i="3"/>
  <c r="J611" i="3"/>
  <c r="F606" i="3"/>
  <c r="B601" i="3"/>
  <c r="J595" i="3"/>
  <c r="F590" i="3"/>
  <c r="B585" i="3"/>
  <c r="J579" i="3"/>
  <c r="F574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I579" i="3"/>
  <c r="E574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H579" i="3"/>
  <c r="D574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G579" i="3"/>
  <c r="C574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J578" i="3"/>
  <c r="F573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A578" i="3"/>
  <c r="I572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I568" i="3"/>
  <c r="E563" i="3"/>
  <c r="A558" i="3"/>
  <c r="I552" i="3"/>
  <c r="E547" i="3"/>
  <c r="A542" i="3"/>
  <c r="I536" i="3"/>
  <c r="F616" i="3"/>
  <c r="B611" i="3"/>
  <c r="J605" i="3"/>
  <c r="F600" i="3"/>
  <c r="B595" i="3"/>
  <c r="J589" i="3"/>
  <c r="F584" i="3"/>
  <c r="B579" i="3"/>
  <c r="J573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A579" i="3"/>
  <c r="I573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L578" i="3"/>
  <c r="H573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K578" i="3"/>
  <c r="G573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B578" i="3"/>
  <c r="J572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582" i="3"/>
  <c r="E577" i="3"/>
  <c r="A57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A568" i="3"/>
  <c r="I562" i="3"/>
  <c r="E557" i="3"/>
  <c r="A552" i="3"/>
  <c r="I546" i="3"/>
  <c r="E541" i="3"/>
  <c r="A540" i="3"/>
  <c r="A534" i="3"/>
  <c r="I528" i="3"/>
  <c r="E523" i="3"/>
  <c r="A518" i="3"/>
  <c r="I512" i="3"/>
  <c r="E507" i="3"/>
  <c r="A502" i="3"/>
  <c r="I496" i="3"/>
  <c r="E491" i="3"/>
  <c r="A486" i="3"/>
  <c r="H566" i="3"/>
  <c r="D561" i="3"/>
  <c r="L555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J482" i="3"/>
  <c r="F477" i="3"/>
  <c r="B472" i="3"/>
  <c r="E539" i="3"/>
  <c r="E533" i="3"/>
  <c r="A528" i="3"/>
  <c r="I522" i="3"/>
  <c r="E517" i="3"/>
  <c r="A512" i="3"/>
  <c r="I506" i="3"/>
  <c r="E501" i="3"/>
  <c r="A496" i="3"/>
  <c r="I490" i="3"/>
  <c r="E485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B482" i="3"/>
  <c r="J476" i="3"/>
  <c r="F471" i="3"/>
  <c r="B466" i="3"/>
  <c r="I538" i="3"/>
  <c r="I532" i="3"/>
  <c r="E527" i="3"/>
  <c r="A522" i="3"/>
  <c r="I516" i="3"/>
  <c r="E511" i="3"/>
  <c r="A506" i="3"/>
  <c r="I500" i="3"/>
  <c r="E495" i="3"/>
  <c r="A490" i="3"/>
  <c r="H570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K565" i="3"/>
  <c r="G560" i="3"/>
  <c r="C555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F481" i="3"/>
  <c r="B476" i="3"/>
  <c r="J470" i="3"/>
  <c r="F465" i="3"/>
  <c r="B460" i="3"/>
  <c r="A538" i="3"/>
  <c r="A532" i="3"/>
  <c r="I526" i="3"/>
  <c r="E521" i="3"/>
  <c r="A516" i="3"/>
  <c r="I510" i="3"/>
  <c r="E505" i="3"/>
  <c r="A500" i="3"/>
  <c r="I494" i="3"/>
  <c r="E489" i="3"/>
  <c r="L569" i="3"/>
  <c r="H564" i="3"/>
  <c r="D559" i="3"/>
  <c r="L553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G570" i="3"/>
  <c r="C565" i="3"/>
  <c r="K559" i="3"/>
  <c r="G554" i="3"/>
  <c r="C549" i="3"/>
  <c r="K543" i="3"/>
  <c r="G538" i="3"/>
  <c r="C533" i="3"/>
  <c r="K527" i="3"/>
  <c r="G522" i="3"/>
  <c r="C517" i="3"/>
  <c r="K511" i="3"/>
  <c r="G506" i="3"/>
  <c r="C501" i="3"/>
  <c r="K495" i="3"/>
  <c r="G490" i="3"/>
  <c r="C485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E408" i="3"/>
  <c r="A40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J480" i="3"/>
  <c r="F475" i="3"/>
  <c r="B470" i="3"/>
  <c r="J464" i="3"/>
  <c r="F459" i="3"/>
  <c r="E537" i="3"/>
  <c r="E531" i="3"/>
  <c r="A526" i="3"/>
  <c r="I520" i="3"/>
  <c r="E515" i="3"/>
  <c r="A510" i="3"/>
  <c r="I504" i="3"/>
  <c r="E499" i="3"/>
  <c r="A494" i="3"/>
  <c r="I488" i="3"/>
  <c r="D569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K569" i="3"/>
  <c r="G564" i="3"/>
  <c r="C559" i="3"/>
  <c r="K553" i="3"/>
  <c r="G548" i="3"/>
  <c r="C543" i="3"/>
  <c r="K537" i="3"/>
  <c r="G532" i="3"/>
  <c r="C527" i="3"/>
  <c r="K521" i="3"/>
  <c r="G516" i="3"/>
  <c r="C511" i="3"/>
  <c r="K505" i="3"/>
  <c r="G500" i="3"/>
  <c r="C495" i="3"/>
  <c r="K489" i="3"/>
  <c r="F570" i="3"/>
  <c r="B565" i="3"/>
  <c r="J559" i="3"/>
  <c r="F55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E570" i="3"/>
  <c r="A565" i="3"/>
  <c r="I559" i="3"/>
  <c r="E55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D570" i="3"/>
  <c r="L564" i="3"/>
  <c r="H559" i="3"/>
  <c r="D554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I407" i="3"/>
  <c r="E40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B480" i="3"/>
  <c r="J474" i="3"/>
  <c r="A536" i="3"/>
  <c r="I530" i="3"/>
  <c r="E525" i="3"/>
  <c r="A520" i="3"/>
  <c r="I514" i="3"/>
  <c r="E509" i="3"/>
  <c r="A504" i="3"/>
  <c r="I498" i="3"/>
  <c r="E493" i="3"/>
  <c r="A488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C569" i="3"/>
  <c r="K563" i="3"/>
  <c r="G558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J569" i="3"/>
  <c r="F564" i="3"/>
  <c r="B559" i="3"/>
  <c r="J553" i="3"/>
  <c r="F548" i="3"/>
  <c r="B543" i="3"/>
  <c r="J537" i="3"/>
  <c r="F532" i="3"/>
  <c r="B527" i="3"/>
  <c r="J521" i="3"/>
  <c r="F516" i="3"/>
  <c r="B511" i="3"/>
  <c r="J505" i="3"/>
  <c r="F500" i="3"/>
  <c r="B495" i="3"/>
  <c r="J489" i="3"/>
  <c r="I569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J484" i="3"/>
  <c r="F479" i="3"/>
  <c r="B474" i="3"/>
  <c r="J468" i="3"/>
  <c r="E535" i="3"/>
  <c r="A530" i="3"/>
  <c r="I524" i="3"/>
  <c r="E519" i="3"/>
  <c r="A514" i="3"/>
  <c r="I508" i="3"/>
  <c r="E503" i="3"/>
  <c r="A498" i="3"/>
  <c r="I492" i="3"/>
  <c r="E487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B569" i="3"/>
  <c r="J563" i="3"/>
  <c r="F558" i="3"/>
  <c r="B553" i="3"/>
  <c r="J547" i="3"/>
  <c r="F542" i="3"/>
  <c r="B537" i="3"/>
  <c r="J531" i="3"/>
  <c r="F526" i="3"/>
  <c r="B521" i="3"/>
  <c r="J515" i="3"/>
  <c r="F510" i="3"/>
  <c r="B505" i="3"/>
  <c r="J499" i="3"/>
  <c r="F494" i="3"/>
  <c r="B489" i="3"/>
  <c r="A569" i="3"/>
  <c r="I563" i="3"/>
  <c r="E558" i="3"/>
  <c r="A553" i="3"/>
  <c r="I547" i="3"/>
  <c r="E542" i="3"/>
  <c r="A537" i="3"/>
  <c r="I531" i="3"/>
  <c r="E526" i="3"/>
  <c r="A521" i="3"/>
  <c r="I515" i="3"/>
  <c r="E510" i="3"/>
  <c r="A505" i="3"/>
  <c r="I499" i="3"/>
  <c r="E494" i="3"/>
  <c r="A489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B484" i="3"/>
  <c r="J478" i="3"/>
  <c r="F473" i="3"/>
  <c r="I534" i="3"/>
  <c r="E529" i="3"/>
  <c r="A524" i="3"/>
  <c r="I518" i="3"/>
  <c r="E513" i="3"/>
  <c r="A508" i="3"/>
  <c r="I502" i="3"/>
  <c r="E497" i="3"/>
  <c r="A492" i="3"/>
  <c r="I486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E568" i="3"/>
  <c r="A563" i="3"/>
  <c r="I557" i="3"/>
  <c r="E552" i="3"/>
  <c r="A547" i="3"/>
  <c r="I541" i="3"/>
  <c r="E536" i="3"/>
  <c r="A531" i="3"/>
  <c r="I525" i="3"/>
  <c r="E520" i="3"/>
  <c r="A515" i="3"/>
  <c r="I509" i="3"/>
  <c r="E504" i="3"/>
  <c r="A499" i="3"/>
  <c r="I493" i="3"/>
  <c r="E488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F483" i="3"/>
  <c r="B478" i="3"/>
  <c r="J472" i="3"/>
  <c r="F467" i="3"/>
  <c r="F469" i="3"/>
  <c r="J460" i="3"/>
  <c r="B454" i="3"/>
  <c r="J448" i="3"/>
  <c r="F443" i="3"/>
  <c r="B438" i="3"/>
  <c r="J432" i="3"/>
  <c r="F427" i="3"/>
  <c r="B422" i="3"/>
  <c r="J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J227" i="3"/>
  <c r="F222" i="3"/>
  <c r="B217" i="3"/>
  <c r="J211" i="3"/>
  <c r="F206" i="3"/>
  <c r="B201" i="3"/>
  <c r="J195" i="3"/>
  <c r="F190" i="3"/>
  <c r="B185" i="3"/>
  <c r="J179" i="3"/>
  <c r="F174" i="3"/>
  <c r="B169" i="3"/>
  <c r="J163" i="3"/>
  <c r="F158" i="3"/>
  <c r="B153" i="3"/>
  <c r="J14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K310" i="3"/>
  <c r="G305" i="3"/>
  <c r="C300" i="3"/>
  <c r="B468" i="3"/>
  <c r="J458" i="3"/>
  <c r="F453" i="3"/>
  <c r="B448" i="3"/>
  <c r="J442" i="3"/>
  <c r="F437" i="3"/>
  <c r="B432" i="3"/>
  <c r="J426" i="3"/>
  <c r="F42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H398" i="3"/>
  <c r="D393" i="3"/>
  <c r="L387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B227" i="3"/>
  <c r="J221" i="3"/>
  <c r="F216" i="3"/>
  <c r="B211" i="3"/>
  <c r="J205" i="3"/>
  <c r="F200" i="3"/>
  <c r="B195" i="3"/>
  <c r="J189" i="3"/>
  <c r="F184" i="3"/>
  <c r="B179" i="3"/>
  <c r="J173" i="3"/>
  <c r="F168" i="3"/>
  <c r="B163" i="3"/>
  <c r="J157" i="3"/>
  <c r="F152" i="3"/>
  <c r="B14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C310" i="3"/>
  <c r="K304" i="3"/>
  <c r="G299" i="3"/>
  <c r="J466" i="3"/>
  <c r="B458" i="3"/>
  <c r="J452" i="3"/>
  <c r="F447" i="3"/>
  <c r="B442" i="3"/>
  <c r="J436" i="3"/>
  <c r="F431" i="3"/>
  <c r="B426" i="3"/>
  <c r="J42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E409" i="3"/>
  <c r="A404" i="3"/>
  <c r="I398" i="3"/>
  <c r="E393" i="3"/>
  <c r="A388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L227" i="3"/>
  <c r="H222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F226" i="3"/>
  <c r="B221" i="3"/>
  <c r="J215" i="3"/>
  <c r="F210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I225" i="3"/>
  <c r="E220" i="3"/>
  <c r="A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K314" i="3"/>
  <c r="G309" i="3"/>
  <c r="C304" i="3"/>
  <c r="K298" i="3"/>
  <c r="B464" i="3"/>
  <c r="F457" i="3"/>
  <c r="B452" i="3"/>
  <c r="J446" i="3"/>
  <c r="F441" i="3"/>
  <c r="B436" i="3"/>
  <c r="J430" i="3"/>
  <c r="F425" i="3"/>
  <c r="B42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J225" i="3"/>
  <c r="F220" i="3"/>
  <c r="B215" i="3"/>
  <c r="J209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I235" i="3"/>
  <c r="E230" i="3"/>
  <c r="A225" i="3"/>
  <c r="I219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C314" i="3"/>
  <c r="K308" i="3"/>
  <c r="G303" i="3"/>
  <c r="C298" i="3"/>
  <c r="F463" i="3"/>
  <c r="J456" i="3"/>
  <c r="F451" i="3"/>
  <c r="B446" i="3"/>
  <c r="J440" i="3"/>
  <c r="F435" i="3"/>
  <c r="B430" i="3"/>
  <c r="J424" i="3"/>
  <c r="F41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B225" i="3"/>
  <c r="J219" i="3"/>
  <c r="F214" i="3"/>
  <c r="B209" i="3"/>
  <c r="J203" i="3"/>
  <c r="F198" i="3"/>
  <c r="B193" i="3"/>
  <c r="J187" i="3"/>
  <c r="F182" i="3"/>
  <c r="B177" i="3"/>
  <c r="J171" i="3"/>
  <c r="F166" i="3"/>
  <c r="B161" i="3"/>
  <c r="J155" i="3"/>
  <c r="F15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G313" i="3"/>
  <c r="C308" i="3"/>
  <c r="K302" i="3"/>
  <c r="G297" i="3"/>
  <c r="J462" i="3"/>
  <c r="B456" i="3"/>
  <c r="J450" i="3"/>
  <c r="F445" i="3"/>
  <c r="B440" i="3"/>
  <c r="J434" i="3"/>
  <c r="F429" i="3"/>
  <c r="B424" i="3"/>
  <c r="J41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F224" i="3"/>
  <c r="B219" i="3"/>
  <c r="J213" i="3"/>
  <c r="F208" i="3"/>
  <c r="B203" i="3"/>
  <c r="J197" i="3"/>
  <c r="F192" i="3"/>
  <c r="B187" i="3"/>
  <c r="J181" i="3"/>
  <c r="F176" i="3"/>
  <c r="B171" i="3"/>
  <c r="J165" i="3"/>
  <c r="F160" i="3"/>
  <c r="B155" i="3"/>
  <c r="J14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K312" i="3"/>
  <c r="G307" i="3"/>
  <c r="C302" i="3"/>
  <c r="K296" i="3"/>
  <c r="B462" i="3"/>
  <c r="F455" i="3"/>
  <c r="B450" i="3"/>
  <c r="J444" i="3"/>
  <c r="F439" i="3"/>
  <c r="B434" i="3"/>
  <c r="J428" i="3"/>
  <c r="F423" i="3"/>
  <c r="B41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B229" i="3"/>
  <c r="J223" i="3"/>
  <c r="F218" i="3"/>
  <c r="B213" i="3"/>
  <c r="J207" i="3"/>
  <c r="F202" i="3"/>
  <c r="B197" i="3"/>
  <c r="J191" i="3"/>
  <c r="F186" i="3"/>
  <c r="B181" i="3"/>
  <c r="J175" i="3"/>
  <c r="F170" i="3"/>
  <c r="B165" i="3"/>
  <c r="J159" i="3"/>
  <c r="F154" i="3"/>
  <c r="B14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C312" i="3"/>
  <c r="K306" i="3"/>
  <c r="G301" i="3"/>
  <c r="C296" i="3"/>
  <c r="F461" i="3"/>
  <c r="J454" i="3"/>
  <c r="F449" i="3"/>
  <c r="B444" i="3"/>
  <c r="J438" i="3"/>
  <c r="F433" i="3"/>
  <c r="B428" i="3"/>
  <c r="J422" i="3"/>
  <c r="F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E411" i="3"/>
  <c r="A406" i="3"/>
  <c r="I400" i="3"/>
  <c r="E395" i="3"/>
  <c r="A390" i="3"/>
  <c r="I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J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F228" i="3"/>
  <c r="B223" i="3"/>
  <c r="J217" i="3"/>
  <c r="F212" i="3"/>
  <c r="B207" i="3"/>
  <c r="J201" i="3"/>
  <c r="F196" i="3"/>
  <c r="B191" i="3"/>
  <c r="J185" i="3"/>
  <c r="F180" i="3"/>
  <c r="B175" i="3"/>
  <c r="J169" i="3"/>
  <c r="F164" i="3"/>
  <c r="B159" i="3"/>
  <c r="J153" i="3"/>
  <c r="F14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G311" i="3"/>
  <c r="C306" i="3"/>
  <c r="K300" i="3"/>
  <c r="G295" i="3"/>
  <c r="K294" i="3"/>
  <c r="G289" i="3"/>
  <c r="C284" i="3"/>
  <c r="K278" i="3"/>
  <c r="G273" i="3"/>
  <c r="C268" i="3"/>
  <c r="K262" i="3"/>
  <c r="G257" i="3"/>
  <c r="C252" i="3"/>
  <c r="K246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I58" i="3"/>
  <c r="E53" i="3"/>
  <c r="A48" i="3"/>
  <c r="I42" i="3"/>
  <c r="E37" i="3"/>
  <c r="A32" i="3"/>
  <c r="I26" i="3"/>
  <c r="E21" i="3"/>
  <c r="A16" i="3"/>
  <c r="I10" i="3"/>
  <c r="E5" i="3"/>
  <c r="A866" i="1"/>
  <c r="I860" i="1"/>
  <c r="E855" i="1"/>
  <c r="A850" i="1"/>
  <c r="I844" i="1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L57" i="3"/>
  <c r="H52" i="3"/>
  <c r="D47" i="3"/>
  <c r="L41" i="3"/>
  <c r="H36" i="3"/>
  <c r="D31" i="3"/>
  <c r="L25" i="3"/>
  <c r="H20" i="3"/>
  <c r="D15" i="3"/>
  <c r="L9" i="3"/>
  <c r="H4" i="3"/>
  <c r="D865" i="1"/>
  <c r="L859" i="1"/>
  <c r="H854" i="1"/>
  <c r="D849" i="1"/>
  <c r="L843" i="1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G56" i="3"/>
  <c r="C51" i="3"/>
  <c r="K45" i="3"/>
  <c r="G40" i="3"/>
  <c r="C35" i="3"/>
  <c r="K29" i="3"/>
  <c r="G24" i="3"/>
  <c r="C19" i="3"/>
  <c r="K13" i="3"/>
  <c r="G8" i="3"/>
  <c r="C869" i="1"/>
  <c r="K863" i="1"/>
  <c r="G858" i="1"/>
  <c r="C853" i="1"/>
  <c r="K847" i="1"/>
  <c r="G842" i="1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B71" i="3"/>
  <c r="J65" i="3"/>
  <c r="F60" i="3"/>
  <c r="B55" i="3"/>
  <c r="J49" i="3"/>
  <c r="F44" i="3"/>
  <c r="B39" i="3"/>
  <c r="J33" i="3"/>
  <c r="F28" i="3"/>
  <c r="B23" i="3"/>
  <c r="J17" i="3"/>
  <c r="F12" i="3"/>
  <c r="B7" i="3"/>
  <c r="J867" i="1"/>
  <c r="F862" i="1"/>
  <c r="B857" i="1"/>
  <c r="J851" i="1"/>
  <c r="F846" i="1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E866" i="1"/>
  <c r="A861" i="1"/>
  <c r="I855" i="1"/>
  <c r="E850" i="1"/>
  <c r="A845" i="1"/>
  <c r="H143" i="3"/>
  <c r="D138" i="3"/>
  <c r="L132" i="3"/>
  <c r="H127" i="3"/>
  <c r="C294" i="3"/>
  <c r="K288" i="3"/>
  <c r="G283" i="3"/>
  <c r="C278" i="3"/>
  <c r="K272" i="3"/>
  <c r="G267" i="3"/>
  <c r="C262" i="3"/>
  <c r="K256" i="3"/>
  <c r="G251" i="3"/>
  <c r="C246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A58" i="3"/>
  <c r="I52" i="3"/>
  <c r="E47" i="3"/>
  <c r="A42" i="3"/>
  <c r="I36" i="3"/>
  <c r="E31" i="3"/>
  <c r="A26" i="3"/>
  <c r="I20" i="3"/>
  <c r="E15" i="3"/>
  <c r="A10" i="3"/>
  <c r="I4" i="3"/>
  <c r="E865" i="1"/>
  <c r="A860" i="1"/>
  <c r="I854" i="1"/>
  <c r="E849" i="1"/>
  <c r="A844" i="1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D57" i="3"/>
  <c r="L51" i="3"/>
  <c r="H46" i="3"/>
  <c r="D41" i="3"/>
  <c r="L35" i="3"/>
  <c r="H30" i="3"/>
  <c r="D25" i="3"/>
  <c r="L19" i="3"/>
  <c r="H14" i="3"/>
  <c r="D9" i="3"/>
  <c r="L869" i="1"/>
  <c r="H864" i="1"/>
  <c r="D859" i="1"/>
  <c r="L853" i="1"/>
  <c r="H848" i="1"/>
  <c r="D843" i="1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K55" i="3"/>
  <c r="G50" i="3"/>
  <c r="C45" i="3"/>
  <c r="K39" i="3"/>
  <c r="G34" i="3"/>
  <c r="C29" i="3"/>
  <c r="K23" i="3"/>
  <c r="G18" i="3"/>
  <c r="C13" i="3"/>
  <c r="K7" i="3"/>
  <c r="G868" i="1"/>
  <c r="C863" i="1"/>
  <c r="K857" i="1"/>
  <c r="G852" i="1"/>
  <c r="C847" i="1"/>
  <c r="C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F70" i="3"/>
  <c r="B65" i="3"/>
  <c r="J59" i="3"/>
  <c r="F54" i="3"/>
  <c r="B49" i="3"/>
  <c r="J43" i="3"/>
  <c r="F38" i="3"/>
  <c r="B33" i="3"/>
  <c r="J27" i="3"/>
  <c r="F22" i="3"/>
  <c r="B17" i="3"/>
  <c r="J11" i="3"/>
  <c r="F6" i="3"/>
  <c r="B867" i="1"/>
  <c r="J861" i="1"/>
  <c r="F856" i="1"/>
  <c r="B851" i="1"/>
  <c r="J845" i="1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I865" i="1"/>
  <c r="E860" i="1"/>
  <c r="A855" i="1"/>
  <c r="I849" i="1"/>
  <c r="E844" i="1"/>
  <c r="L142" i="3"/>
  <c r="H137" i="3"/>
  <c r="D132" i="3"/>
  <c r="L126" i="3"/>
  <c r="G293" i="3"/>
  <c r="C288" i="3"/>
  <c r="K282" i="3"/>
  <c r="G277" i="3"/>
  <c r="C272" i="3"/>
  <c r="K266" i="3"/>
  <c r="G261" i="3"/>
  <c r="C256" i="3"/>
  <c r="K250" i="3"/>
  <c r="G245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E57" i="3"/>
  <c r="A52" i="3"/>
  <c r="I46" i="3"/>
  <c r="E41" i="3"/>
  <c r="A36" i="3"/>
  <c r="I30" i="3"/>
  <c r="E25" i="3"/>
  <c r="A20" i="3"/>
  <c r="I14" i="3"/>
  <c r="E9" i="3"/>
  <c r="A4" i="3"/>
  <c r="I864" i="1"/>
  <c r="E859" i="1"/>
  <c r="A854" i="1"/>
  <c r="I848" i="1"/>
  <c r="E843" i="1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H56" i="3"/>
  <c r="D51" i="3"/>
  <c r="L45" i="3"/>
  <c r="H40" i="3"/>
  <c r="D35" i="3"/>
  <c r="L29" i="3"/>
  <c r="H24" i="3"/>
  <c r="D19" i="3"/>
  <c r="L13" i="3"/>
  <c r="H8" i="3"/>
  <c r="D869" i="1"/>
  <c r="L863" i="1"/>
  <c r="H858" i="1"/>
  <c r="D853" i="1"/>
  <c r="L847" i="1"/>
  <c r="H842" i="1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G60" i="3"/>
  <c r="C55" i="3"/>
  <c r="K49" i="3"/>
  <c r="G44" i="3"/>
  <c r="C39" i="3"/>
  <c r="K33" i="3"/>
  <c r="G28" i="3"/>
  <c r="C23" i="3"/>
  <c r="K17" i="3"/>
  <c r="G12" i="3"/>
  <c r="C7" i="3"/>
  <c r="K867" i="1"/>
  <c r="G862" i="1"/>
  <c r="C857" i="1"/>
  <c r="K851" i="1"/>
  <c r="G846" i="1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J69" i="3"/>
  <c r="F64" i="3"/>
  <c r="B59" i="3"/>
  <c r="J53" i="3"/>
  <c r="F48" i="3"/>
  <c r="B43" i="3"/>
  <c r="J37" i="3"/>
  <c r="F32" i="3"/>
  <c r="B27" i="3"/>
  <c r="J21" i="3"/>
  <c r="F16" i="3"/>
  <c r="B11" i="3"/>
  <c r="J5" i="3"/>
  <c r="F866" i="1"/>
  <c r="B861" i="1"/>
  <c r="J855" i="1"/>
  <c r="F850" i="1"/>
  <c r="B845" i="1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I57" i="3"/>
  <c r="E52" i="3"/>
  <c r="A47" i="3"/>
  <c r="I41" i="3"/>
  <c r="E36" i="3"/>
  <c r="A31" i="3"/>
  <c r="I25" i="3"/>
  <c r="E20" i="3"/>
  <c r="A15" i="3"/>
  <c r="I9" i="3"/>
  <c r="E4" i="3"/>
  <c r="A865" i="1"/>
  <c r="I859" i="1"/>
  <c r="E854" i="1"/>
  <c r="A849" i="1"/>
  <c r="I843" i="1"/>
  <c r="D142" i="3"/>
  <c r="L136" i="3"/>
  <c r="H131" i="3"/>
  <c r="D126" i="3"/>
  <c r="L120" i="3"/>
  <c r="K292" i="3"/>
  <c r="G287" i="3"/>
  <c r="C282" i="3"/>
  <c r="K276" i="3"/>
  <c r="G271" i="3"/>
  <c r="C266" i="3"/>
  <c r="K260" i="3"/>
  <c r="G255" i="3"/>
  <c r="C250" i="3"/>
  <c r="K244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I56" i="3"/>
  <c r="E51" i="3"/>
  <c r="A46" i="3"/>
  <c r="I40" i="3"/>
  <c r="E35" i="3"/>
  <c r="A30" i="3"/>
  <c r="I24" i="3"/>
  <c r="E19" i="3"/>
  <c r="A14" i="3"/>
  <c r="I8" i="3"/>
  <c r="E869" i="1"/>
  <c r="A864" i="1"/>
  <c r="I858" i="1"/>
  <c r="E853" i="1"/>
  <c r="A848" i="1"/>
  <c r="I842" i="1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H868" i="1"/>
  <c r="D863" i="1"/>
  <c r="L857" i="1"/>
  <c r="H852" i="1"/>
  <c r="D847" i="1"/>
  <c r="D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K59" i="3"/>
  <c r="G54" i="3"/>
  <c r="C49" i="3"/>
  <c r="K43" i="3"/>
  <c r="G38" i="3"/>
  <c r="C33" i="3"/>
  <c r="K27" i="3"/>
  <c r="G22" i="3"/>
  <c r="C17" i="3"/>
  <c r="K11" i="3"/>
  <c r="G6" i="3"/>
  <c r="C867" i="1"/>
  <c r="K861" i="1"/>
  <c r="G856" i="1"/>
  <c r="C851" i="1"/>
  <c r="K845" i="1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B69" i="3"/>
  <c r="J63" i="3"/>
  <c r="F58" i="3"/>
  <c r="B53" i="3"/>
  <c r="J47" i="3"/>
  <c r="F42" i="3"/>
  <c r="B37" i="3"/>
  <c r="J31" i="3"/>
  <c r="F26" i="3"/>
  <c r="B21" i="3"/>
  <c r="J15" i="3"/>
  <c r="F10" i="3"/>
  <c r="B5" i="3"/>
  <c r="J865" i="1"/>
  <c r="F860" i="1"/>
  <c r="B855" i="1"/>
  <c r="J849" i="1"/>
  <c r="F844" i="1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I869" i="1"/>
  <c r="E864" i="1"/>
  <c r="A859" i="1"/>
  <c r="I853" i="1"/>
  <c r="E848" i="1"/>
  <c r="A843" i="1"/>
  <c r="H141" i="3"/>
  <c r="D136" i="3"/>
  <c r="L130" i="3"/>
  <c r="H125" i="3"/>
  <c r="C292" i="3"/>
  <c r="K286" i="3"/>
  <c r="G281" i="3"/>
  <c r="C276" i="3"/>
  <c r="K270" i="3"/>
  <c r="G265" i="3"/>
  <c r="C260" i="3"/>
  <c r="K254" i="3"/>
  <c r="G249" i="3"/>
  <c r="C244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I868" i="1"/>
  <c r="E863" i="1"/>
  <c r="A858" i="1"/>
  <c r="I852" i="1"/>
  <c r="E847" i="1"/>
  <c r="A842" i="1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L867" i="1"/>
  <c r="H862" i="1"/>
  <c r="D857" i="1"/>
  <c r="L851" i="1"/>
  <c r="H846" i="1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C59" i="3"/>
  <c r="K53" i="3"/>
  <c r="G48" i="3"/>
  <c r="C43" i="3"/>
  <c r="K37" i="3"/>
  <c r="G32" i="3"/>
  <c r="C27" i="3"/>
  <c r="K21" i="3"/>
  <c r="G16" i="3"/>
  <c r="C11" i="3"/>
  <c r="K5" i="3"/>
  <c r="G866" i="1"/>
  <c r="C861" i="1"/>
  <c r="K855" i="1"/>
  <c r="G850" i="1"/>
  <c r="C845" i="1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F68" i="3"/>
  <c r="B63" i="3"/>
  <c r="J57" i="3"/>
  <c r="F52" i="3"/>
  <c r="B47" i="3"/>
  <c r="J41" i="3"/>
  <c r="F36" i="3"/>
  <c r="B31" i="3"/>
  <c r="J25" i="3"/>
  <c r="F20" i="3"/>
  <c r="B15" i="3"/>
  <c r="J9" i="3"/>
  <c r="F4" i="3"/>
  <c r="B865" i="1"/>
  <c r="J859" i="1"/>
  <c r="F854" i="1"/>
  <c r="B849" i="1"/>
  <c r="J843" i="1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A869" i="1"/>
  <c r="I863" i="1"/>
  <c r="E858" i="1"/>
  <c r="A853" i="1"/>
  <c r="I847" i="1"/>
  <c r="E842" i="1"/>
  <c r="L140" i="3"/>
  <c r="H135" i="3"/>
  <c r="D130" i="3"/>
  <c r="L124" i="3"/>
  <c r="G291" i="3"/>
  <c r="C286" i="3"/>
  <c r="K280" i="3"/>
  <c r="G275" i="3"/>
  <c r="C270" i="3"/>
  <c r="K264" i="3"/>
  <c r="G259" i="3"/>
  <c r="C254" i="3"/>
  <c r="K248" i="3"/>
  <c r="G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A868" i="1"/>
  <c r="I862" i="1"/>
  <c r="E857" i="1"/>
  <c r="A852" i="1"/>
  <c r="I846" i="1"/>
  <c r="E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L59" i="3"/>
  <c r="H54" i="3"/>
  <c r="D49" i="3"/>
  <c r="L43" i="3"/>
  <c r="H38" i="3"/>
  <c r="D33" i="3"/>
  <c r="L27" i="3"/>
  <c r="H22" i="3"/>
  <c r="D17" i="3"/>
  <c r="L11" i="3"/>
  <c r="H6" i="3"/>
  <c r="D867" i="1"/>
  <c r="L861" i="1"/>
  <c r="H856" i="1"/>
  <c r="D851" i="1"/>
  <c r="L845" i="1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G58" i="3"/>
  <c r="C53" i="3"/>
  <c r="K47" i="3"/>
  <c r="G42" i="3"/>
  <c r="C37" i="3"/>
  <c r="K31" i="3"/>
  <c r="G26" i="3"/>
  <c r="C21" i="3"/>
  <c r="K15" i="3"/>
  <c r="G10" i="3"/>
  <c r="C5" i="3"/>
  <c r="K865" i="1"/>
  <c r="G860" i="1"/>
  <c r="C855" i="1"/>
  <c r="K849" i="1"/>
  <c r="G844" i="1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J67" i="3"/>
  <c r="F62" i="3"/>
  <c r="B57" i="3"/>
  <c r="J51" i="3"/>
  <c r="F46" i="3"/>
  <c r="B41" i="3"/>
  <c r="J35" i="3"/>
  <c r="F30" i="3"/>
  <c r="B25" i="3"/>
  <c r="J19" i="3"/>
  <c r="F14" i="3"/>
  <c r="B9" i="3"/>
  <c r="J869" i="1"/>
  <c r="F864" i="1"/>
  <c r="B859" i="1"/>
  <c r="J853" i="1"/>
  <c r="F848" i="1"/>
  <c r="B843" i="1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E868" i="1"/>
  <c r="A863" i="1"/>
  <c r="I857" i="1"/>
  <c r="E852" i="1"/>
  <c r="A847" i="1"/>
  <c r="I841" i="1"/>
  <c r="D140" i="3"/>
  <c r="L134" i="3"/>
  <c r="H129" i="3"/>
  <c r="D124" i="3"/>
  <c r="K290" i="3"/>
  <c r="G285" i="3"/>
  <c r="C280" i="3"/>
  <c r="K274" i="3"/>
  <c r="G269" i="3"/>
  <c r="C264" i="3"/>
  <c r="K258" i="3"/>
  <c r="G253" i="3"/>
  <c r="C248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F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A60" i="3"/>
  <c r="I54" i="3"/>
  <c r="E49" i="3"/>
  <c r="A44" i="3"/>
  <c r="I38" i="3"/>
  <c r="E33" i="3"/>
  <c r="A28" i="3"/>
  <c r="I22" i="3"/>
  <c r="E17" i="3"/>
  <c r="A12" i="3"/>
  <c r="I6" i="3"/>
  <c r="E867" i="1"/>
  <c r="A862" i="1"/>
  <c r="I856" i="1"/>
  <c r="E851" i="1"/>
  <c r="A846" i="1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D59" i="3"/>
  <c r="L53" i="3"/>
  <c r="H48" i="3"/>
  <c r="D43" i="3"/>
  <c r="L37" i="3"/>
  <c r="H32" i="3"/>
  <c r="D27" i="3"/>
  <c r="L21" i="3"/>
  <c r="H16" i="3"/>
  <c r="D11" i="3"/>
  <c r="L5" i="3"/>
  <c r="H866" i="1"/>
  <c r="D861" i="1"/>
  <c r="L855" i="1"/>
  <c r="H850" i="1"/>
  <c r="D845" i="1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K57" i="3"/>
  <c r="G52" i="3"/>
  <c r="C47" i="3"/>
  <c r="K41" i="3"/>
  <c r="G36" i="3"/>
  <c r="C31" i="3"/>
  <c r="K25" i="3"/>
  <c r="G20" i="3"/>
  <c r="C15" i="3"/>
  <c r="K9" i="3"/>
  <c r="G4" i="3"/>
  <c r="C865" i="1"/>
  <c r="K859" i="1"/>
  <c r="G854" i="1"/>
  <c r="C849" i="1"/>
  <c r="K843" i="1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F72" i="3"/>
  <c r="B67" i="3"/>
  <c r="J61" i="3"/>
  <c r="F56" i="3"/>
  <c r="B51" i="3"/>
  <c r="J45" i="3"/>
  <c r="F40" i="3"/>
  <c r="B35" i="3"/>
  <c r="J29" i="3"/>
  <c r="F24" i="3"/>
  <c r="B19" i="3"/>
  <c r="J13" i="3"/>
  <c r="F8" i="3"/>
  <c r="B869" i="1"/>
  <c r="J863" i="1"/>
  <c r="F858" i="1"/>
  <c r="B853" i="1"/>
  <c r="J847" i="1"/>
  <c r="F842" i="1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I867" i="1"/>
  <c r="E862" i="1"/>
  <c r="A857" i="1"/>
  <c r="I851" i="1"/>
  <c r="E846" i="1"/>
  <c r="A145" i="3"/>
  <c r="H139" i="3"/>
  <c r="D134" i="3"/>
  <c r="L128" i="3"/>
  <c r="H123" i="3"/>
  <c r="C290" i="3"/>
  <c r="K284" i="3"/>
  <c r="G279" i="3"/>
  <c r="C274" i="3"/>
  <c r="K268" i="3"/>
  <c r="G263" i="3"/>
  <c r="C258" i="3"/>
  <c r="K252" i="3"/>
  <c r="G247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E59" i="3"/>
  <c r="A54" i="3"/>
  <c r="I48" i="3"/>
  <c r="E43" i="3"/>
  <c r="A38" i="3"/>
  <c r="I32" i="3"/>
  <c r="E27" i="3"/>
  <c r="A22" i="3"/>
  <c r="I16" i="3"/>
  <c r="E11" i="3"/>
  <c r="A6" i="3"/>
  <c r="I866" i="1"/>
  <c r="E861" i="1"/>
  <c r="A856" i="1"/>
  <c r="I850" i="1"/>
  <c r="E845" i="1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H58" i="3"/>
  <c r="D53" i="3"/>
  <c r="L47" i="3"/>
  <c r="H42" i="3"/>
  <c r="D37" i="3"/>
  <c r="L31" i="3"/>
  <c r="H26" i="3"/>
  <c r="D21" i="3"/>
  <c r="L15" i="3"/>
  <c r="H10" i="3"/>
  <c r="D5" i="3"/>
  <c r="L865" i="1"/>
  <c r="H860" i="1"/>
  <c r="D855" i="1"/>
  <c r="L849" i="1"/>
  <c r="H844" i="1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C57" i="3"/>
  <c r="K51" i="3"/>
  <c r="G46" i="3"/>
  <c r="C41" i="3"/>
  <c r="K35" i="3"/>
  <c r="G30" i="3"/>
  <c r="C25" i="3"/>
  <c r="K19" i="3"/>
  <c r="G14" i="3"/>
  <c r="C9" i="3"/>
  <c r="K869" i="1"/>
  <c r="G864" i="1"/>
  <c r="C859" i="1"/>
  <c r="K853" i="1"/>
  <c r="G848" i="1"/>
  <c r="C843" i="1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F868" i="1"/>
  <c r="B863" i="1"/>
  <c r="J857" i="1"/>
  <c r="F852" i="1"/>
  <c r="B847" i="1"/>
  <c r="B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A867" i="1"/>
  <c r="I861" i="1"/>
  <c r="E856" i="1"/>
  <c r="A851" i="1"/>
  <c r="I845" i="1"/>
  <c r="D144" i="3"/>
  <c r="L138" i="3"/>
  <c r="H133" i="3"/>
  <c r="D128" i="3"/>
  <c r="L122" i="3"/>
  <c r="D122" i="3"/>
  <c r="D116" i="3"/>
  <c r="L110" i="3"/>
  <c r="H105" i="3"/>
  <c r="D100" i="3"/>
  <c r="L94" i="3"/>
  <c r="H89" i="3"/>
  <c r="D84" i="3"/>
  <c r="L78" i="3"/>
  <c r="H73" i="3"/>
  <c r="D68" i="3"/>
  <c r="L62" i="3"/>
  <c r="H57" i="3"/>
  <c r="D52" i="3"/>
  <c r="L46" i="3"/>
  <c r="H41" i="3"/>
  <c r="D36" i="3"/>
  <c r="L30" i="3"/>
  <c r="H25" i="3"/>
  <c r="D20" i="3"/>
  <c r="L14" i="3"/>
  <c r="H9" i="3"/>
  <c r="D4" i="3"/>
  <c r="L864" i="1"/>
  <c r="H859" i="1"/>
  <c r="D854" i="1"/>
  <c r="L848" i="1"/>
  <c r="H843" i="1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K66" i="3"/>
  <c r="G61" i="3"/>
  <c r="C56" i="3"/>
  <c r="K50" i="3"/>
  <c r="G45" i="3"/>
  <c r="C40" i="3"/>
  <c r="K34" i="3"/>
  <c r="G29" i="3"/>
  <c r="C24" i="3"/>
  <c r="K18" i="3"/>
  <c r="G13" i="3"/>
  <c r="C8" i="3"/>
  <c r="K868" i="1"/>
  <c r="G863" i="1"/>
  <c r="C858" i="1"/>
  <c r="K852" i="1"/>
  <c r="G847" i="1"/>
  <c r="C842" i="1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B60" i="3"/>
  <c r="J54" i="3"/>
  <c r="F49" i="3"/>
  <c r="B44" i="3"/>
  <c r="J38" i="3"/>
  <c r="F33" i="3"/>
  <c r="B28" i="3"/>
  <c r="J22" i="3"/>
  <c r="F17" i="3"/>
  <c r="B12" i="3"/>
  <c r="J6" i="3"/>
  <c r="F867" i="1"/>
  <c r="B862" i="1"/>
  <c r="J856" i="1"/>
  <c r="F851" i="1"/>
  <c r="B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F841" i="1"/>
  <c r="B836" i="1"/>
  <c r="J830" i="1"/>
  <c r="F825" i="1"/>
  <c r="B820" i="1"/>
  <c r="H121" i="3"/>
  <c r="H115" i="3"/>
  <c r="D110" i="3"/>
  <c r="L104" i="3"/>
  <c r="H99" i="3"/>
  <c r="D94" i="3"/>
  <c r="L88" i="3"/>
  <c r="H83" i="3"/>
  <c r="D78" i="3"/>
  <c r="L72" i="3"/>
  <c r="H67" i="3"/>
  <c r="D62" i="3"/>
  <c r="L56" i="3"/>
  <c r="H51" i="3"/>
  <c r="D46" i="3"/>
  <c r="L40" i="3"/>
  <c r="H35" i="3"/>
  <c r="D30" i="3"/>
  <c r="L24" i="3"/>
  <c r="H19" i="3"/>
  <c r="D14" i="3"/>
  <c r="L8" i="3"/>
  <c r="H869" i="1"/>
  <c r="D864" i="1"/>
  <c r="L858" i="1"/>
  <c r="H853" i="1"/>
  <c r="D848" i="1"/>
  <c r="L842" i="1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C868" i="1"/>
  <c r="K862" i="1"/>
  <c r="G857" i="1"/>
  <c r="C852" i="1"/>
  <c r="K846" i="1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F59" i="3"/>
  <c r="B54" i="3"/>
  <c r="J48" i="3"/>
  <c r="F43" i="3"/>
  <c r="B38" i="3"/>
  <c r="J32" i="3"/>
  <c r="F27" i="3"/>
  <c r="B22" i="3"/>
  <c r="J16" i="3"/>
  <c r="F11" i="3"/>
  <c r="B6" i="3"/>
  <c r="J866" i="1"/>
  <c r="F861" i="1"/>
  <c r="B856" i="1"/>
  <c r="J850" i="1"/>
  <c r="F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J840" i="1"/>
  <c r="F835" i="1"/>
  <c r="B830" i="1"/>
  <c r="J824" i="1"/>
  <c r="F819" i="1"/>
  <c r="D120" i="3"/>
  <c r="L114" i="3"/>
  <c r="H109" i="3"/>
  <c r="D104" i="3"/>
  <c r="L98" i="3"/>
  <c r="H93" i="3"/>
  <c r="D88" i="3"/>
  <c r="L82" i="3"/>
  <c r="H77" i="3"/>
  <c r="D72" i="3"/>
  <c r="L66" i="3"/>
  <c r="H61" i="3"/>
  <c r="D56" i="3"/>
  <c r="L50" i="3"/>
  <c r="H45" i="3"/>
  <c r="D40" i="3"/>
  <c r="L34" i="3"/>
  <c r="H29" i="3"/>
  <c r="D24" i="3"/>
  <c r="L18" i="3"/>
  <c r="H13" i="3"/>
  <c r="D8" i="3"/>
  <c r="L868" i="1"/>
  <c r="H863" i="1"/>
  <c r="D858" i="1"/>
  <c r="L852" i="1"/>
  <c r="H847" i="1"/>
  <c r="D842" i="1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K70" i="3"/>
  <c r="G65" i="3"/>
  <c r="C60" i="3"/>
  <c r="K54" i="3"/>
  <c r="G49" i="3"/>
  <c r="C44" i="3"/>
  <c r="K38" i="3"/>
  <c r="G33" i="3"/>
  <c r="C28" i="3"/>
  <c r="K22" i="3"/>
  <c r="G17" i="3"/>
  <c r="C12" i="3"/>
  <c r="K6" i="3"/>
  <c r="G867" i="1"/>
  <c r="C862" i="1"/>
  <c r="K856" i="1"/>
  <c r="G851" i="1"/>
  <c r="C846" i="1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J58" i="3"/>
  <c r="F53" i="3"/>
  <c r="B48" i="3"/>
  <c r="J42" i="3"/>
  <c r="F37" i="3"/>
  <c r="B32" i="3"/>
  <c r="J26" i="3"/>
  <c r="F21" i="3"/>
  <c r="B16" i="3"/>
  <c r="J10" i="3"/>
  <c r="F5" i="3"/>
  <c r="B866" i="1"/>
  <c r="J860" i="1"/>
  <c r="F855" i="1"/>
  <c r="B850" i="1"/>
  <c r="J844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B840" i="1"/>
  <c r="J834" i="1"/>
  <c r="F829" i="1"/>
  <c r="B824" i="1"/>
  <c r="J818" i="1"/>
  <c r="H119" i="3"/>
  <c r="D114" i="3"/>
  <c r="L108" i="3"/>
  <c r="H103" i="3"/>
  <c r="D98" i="3"/>
  <c r="L92" i="3"/>
  <c r="H87" i="3"/>
  <c r="D82" i="3"/>
  <c r="L76" i="3"/>
  <c r="H71" i="3"/>
  <c r="D66" i="3"/>
  <c r="L60" i="3"/>
  <c r="H55" i="3"/>
  <c r="D50" i="3"/>
  <c r="L44" i="3"/>
  <c r="H39" i="3"/>
  <c r="D34" i="3"/>
  <c r="L28" i="3"/>
  <c r="H23" i="3"/>
  <c r="D18" i="3"/>
  <c r="L12" i="3"/>
  <c r="H7" i="3"/>
  <c r="D868" i="1"/>
  <c r="L862" i="1"/>
  <c r="H857" i="1"/>
  <c r="D852" i="1"/>
  <c r="L846" i="1"/>
  <c r="L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G75" i="3"/>
  <c r="C70" i="3"/>
  <c r="K64" i="3"/>
  <c r="G59" i="3"/>
  <c r="C54" i="3"/>
  <c r="K48" i="3"/>
  <c r="G43" i="3"/>
  <c r="C38" i="3"/>
  <c r="K32" i="3"/>
  <c r="G27" i="3"/>
  <c r="C22" i="3"/>
  <c r="K16" i="3"/>
  <c r="G11" i="3"/>
  <c r="C6" i="3"/>
  <c r="K866" i="1"/>
  <c r="G861" i="1"/>
  <c r="C856" i="1"/>
  <c r="K850" i="1"/>
  <c r="G845" i="1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B58" i="3"/>
  <c r="J52" i="3"/>
  <c r="F47" i="3"/>
  <c r="B42" i="3"/>
  <c r="J36" i="3"/>
  <c r="F31" i="3"/>
  <c r="B26" i="3"/>
  <c r="J20" i="3"/>
  <c r="F15" i="3"/>
  <c r="B10" i="3"/>
  <c r="J4" i="3"/>
  <c r="F865" i="1"/>
  <c r="B860" i="1"/>
  <c r="J854" i="1"/>
  <c r="F849" i="1"/>
  <c r="B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F839" i="1"/>
  <c r="B834" i="1"/>
  <c r="J828" i="1"/>
  <c r="F823" i="1"/>
  <c r="B818" i="1"/>
  <c r="J812" i="1"/>
  <c r="L118" i="3"/>
  <c r="H113" i="3"/>
  <c r="D108" i="3"/>
  <c r="L102" i="3"/>
  <c r="H97" i="3"/>
  <c r="D92" i="3"/>
  <c r="L86" i="3"/>
  <c r="H81" i="3"/>
  <c r="D76" i="3"/>
  <c r="L70" i="3"/>
  <c r="H65" i="3"/>
  <c r="D60" i="3"/>
  <c r="L54" i="3"/>
  <c r="H49" i="3"/>
  <c r="D44" i="3"/>
  <c r="L38" i="3"/>
  <c r="H33" i="3"/>
  <c r="D28" i="3"/>
  <c r="L22" i="3"/>
  <c r="H17" i="3"/>
  <c r="D12" i="3"/>
  <c r="L6" i="3"/>
  <c r="H867" i="1"/>
  <c r="D862" i="1"/>
  <c r="L856" i="1"/>
  <c r="H851" i="1"/>
  <c r="D846" i="1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G69" i="3"/>
  <c r="C64" i="3"/>
  <c r="K58" i="3"/>
  <c r="G53" i="3"/>
  <c r="C48" i="3"/>
  <c r="K42" i="3"/>
  <c r="G37" i="3"/>
  <c r="C32" i="3"/>
  <c r="K26" i="3"/>
  <c r="G21" i="3"/>
  <c r="C16" i="3"/>
  <c r="K10" i="3"/>
  <c r="G5" i="3"/>
  <c r="C866" i="1"/>
  <c r="K860" i="1"/>
  <c r="G855" i="1"/>
  <c r="C850" i="1"/>
  <c r="K844" i="1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F57" i="3"/>
  <c r="B52" i="3"/>
  <c r="J46" i="3"/>
  <c r="F41" i="3"/>
  <c r="B36" i="3"/>
  <c r="J30" i="3"/>
  <c r="F25" i="3"/>
  <c r="B20" i="3"/>
  <c r="J14" i="3"/>
  <c r="F9" i="3"/>
  <c r="B4" i="3"/>
  <c r="J864" i="1"/>
  <c r="F859" i="1"/>
  <c r="B854" i="1"/>
  <c r="J848" i="1"/>
  <c r="F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J838" i="1"/>
  <c r="F833" i="1"/>
  <c r="B828" i="1"/>
  <c r="J822" i="1"/>
  <c r="F817" i="1"/>
  <c r="D118" i="3"/>
  <c r="L112" i="3"/>
  <c r="H107" i="3"/>
  <c r="D102" i="3"/>
  <c r="L96" i="3"/>
  <c r="H91" i="3"/>
  <c r="D86" i="3"/>
  <c r="L80" i="3"/>
  <c r="H75" i="3"/>
  <c r="D70" i="3"/>
  <c r="L64" i="3"/>
  <c r="H59" i="3"/>
  <c r="D54" i="3"/>
  <c r="L48" i="3"/>
  <c r="H43" i="3"/>
  <c r="D38" i="3"/>
  <c r="L32" i="3"/>
  <c r="H27" i="3"/>
  <c r="D22" i="3"/>
  <c r="L16" i="3"/>
  <c r="H11" i="3"/>
  <c r="D6" i="3"/>
  <c r="L866" i="1"/>
  <c r="H861" i="1"/>
  <c r="D856" i="1"/>
  <c r="L850" i="1"/>
  <c r="H845" i="1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K68" i="3"/>
  <c r="G63" i="3"/>
  <c r="C58" i="3"/>
  <c r="K52" i="3"/>
  <c r="G47" i="3"/>
  <c r="C42" i="3"/>
  <c r="K36" i="3"/>
  <c r="G31" i="3"/>
  <c r="C26" i="3"/>
  <c r="K20" i="3"/>
  <c r="G15" i="3"/>
  <c r="C10" i="3"/>
  <c r="K4" i="3"/>
  <c r="G865" i="1"/>
  <c r="C860" i="1"/>
  <c r="K854" i="1"/>
  <c r="G849" i="1"/>
  <c r="C844" i="1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J56" i="3"/>
  <c r="F51" i="3"/>
  <c r="B46" i="3"/>
  <c r="J40" i="3"/>
  <c r="F35" i="3"/>
  <c r="B30" i="3"/>
  <c r="J24" i="3"/>
  <c r="F19" i="3"/>
  <c r="B14" i="3"/>
  <c r="J8" i="3"/>
  <c r="F869" i="1"/>
  <c r="B864" i="1"/>
  <c r="J858" i="1"/>
  <c r="F853" i="1"/>
  <c r="B848" i="1"/>
  <c r="J842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B838" i="1"/>
  <c r="J832" i="1"/>
  <c r="F827" i="1"/>
  <c r="B822" i="1"/>
  <c r="J816" i="1"/>
  <c r="H117" i="3"/>
  <c r="D112" i="3"/>
  <c r="L106" i="3"/>
  <c r="H101" i="3"/>
  <c r="D96" i="3"/>
  <c r="L90" i="3"/>
  <c r="H85" i="3"/>
  <c r="D80" i="3"/>
  <c r="L74" i="3"/>
  <c r="H69" i="3"/>
  <c r="D64" i="3"/>
  <c r="L58" i="3"/>
  <c r="H53" i="3"/>
  <c r="D48" i="3"/>
  <c r="L42" i="3"/>
  <c r="H37" i="3"/>
  <c r="D32" i="3"/>
  <c r="L26" i="3"/>
  <c r="H21" i="3"/>
  <c r="D16" i="3"/>
  <c r="L10" i="3"/>
  <c r="H5" i="3"/>
  <c r="D866" i="1"/>
  <c r="L860" i="1"/>
  <c r="H855" i="1"/>
  <c r="D850" i="1"/>
  <c r="L844" i="1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C68" i="3"/>
  <c r="K62" i="3"/>
  <c r="G57" i="3"/>
  <c r="C52" i="3"/>
  <c r="K46" i="3"/>
  <c r="G41" i="3"/>
  <c r="C36" i="3"/>
  <c r="K30" i="3"/>
  <c r="G25" i="3"/>
  <c r="C20" i="3"/>
  <c r="K14" i="3"/>
  <c r="G9" i="3"/>
  <c r="C4" i="3"/>
  <c r="K864" i="1"/>
  <c r="G859" i="1"/>
  <c r="C854" i="1"/>
  <c r="K848" i="1"/>
  <c r="G843" i="1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B56" i="3"/>
  <c r="J50" i="3"/>
  <c r="F45" i="3"/>
  <c r="B40" i="3"/>
  <c r="J34" i="3"/>
  <c r="F29" i="3"/>
  <c r="B24" i="3"/>
  <c r="J18" i="3"/>
  <c r="F13" i="3"/>
  <c r="B8" i="3"/>
  <c r="J868" i="1"/>
  <c r="F863" i="1"/>
  <c r="B858" i="1"/>
  <c r="J852" i="1"/>
  <c r="F847" i="1"/>
  <c r="B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F837" i="1"/>
  <c r="B832" i="1"/>
  <c r="J826" i="1"/>
  <c r="F821" i="1"/>
  <c r="B816" i="1"/>
  <c r="J810" i="1"/>
  <c r="F805" i="1"/>
  <c r="L116" i="3"/>
  <c r="H111" i="3"/>
  <c r="D106" i="3"/>
  <c r="L100" i="3"/>
  <c r="H95" i="3"/>
  <c r="D90" i="3"/>
  <c r="L84" i="3"/>
  <c r="H79" i="3"/>
  <c r="D74" i="3"/>
  <c r="L68" i="3"/>
  <c r="H63" i="3"/>
  <c r="D58" i="3"/>
  <c r="L52" i="3"/>
  <c r="H47" i="3"/>
  <c r="D42" i="3"/>
  <c r="L36" i="3"/>
  <c r="H31" i="3"/>
  <c r="D26" i="3"/>
  <c r="L20" i="3"/>
  <c r="H15" i="3"/>
  <c r="D10" i="3"/>
  <c r="L4" i="3"/>
  <c r="H865" i="1"/>
  <c r="D860" i="1"/>
  <c r="L854" i="1"/>
  <c r="H849" i="1"/>
  <c r="D844" i="1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K72" i="3"/>
  <c r="G67" i="3"/>
  <c r="C62" i="3"/>
  <c r="K56" i="3"/>
  <c r="G51" i="3"/>
  <c r="C46" i="3"/>
  <c r="K40" i="3"/>
  <c r="G35" i="3"/>
  <c r="C30" i="3"/>
  <c r="K24" i="3"/>
  <c r="G19" i="3"/>
  <c r="C14" i="3"/>
  <c r="K8" i="3"/>
  <c r="G869" i="1"/>
  <c r="C864" i="1"/>
  <c r="K858" i="1"/>
  <c r="G853" i="1"/>
  <c r="C848" i="1"/>
  <c r="K842" i="1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F55" i="3"/>
  <c r="B50" i="3"/>
  <c r="J44" i="3"/>
  <c r="F39" i="3"/>
  <c r="B34" i="3"/>
  <c r="J28" i="3"/>
  <c r="F23" i="3"/>
  <c r="B18" i="3"/>
  <c r="J12" i="3"/>
  <c r="F7" i="3"/>
  <c r="B868" i="1"/>
  <c r="J862" i="1"/>
  <c r="F857" i="1"/>
  <c r="B852" i="1"/>
  <c r="J846" i="1"/>
  <c r="L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J836" i="1"/>
  <c r="F831" i="1"/>
  <c r="B826" i="1"/>
  <c r="J820" i="1"/>
  <c r="F815" i="1"/>
  <c r="J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J670" i="1"/>
  <c r="F665" i="1"/>
  <c r="B660" i="1"/>
  <c r="J654" i="1"/>
  <c r="F649" i="1"/>
  <c r="J814" i="1"/>
  <c r="B808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B670" i="1"/>
  <c r="J664" i="1"/>
  <c r="F659" i="1"/>
  <c r="B654" i="1"/>
  <c r="J648" i="1"/>
  <c r="B814" i="1"/>
  <c r="F807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F669" i="1"/>
  <c r="B664" i="1"/>
  <c r="J658" i="1"/>
  <c r="F653" i="1"/>
  <c r="B648" i="1"/>
  <c r="F813" i="1"/>
  <c r="J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J668" i="1"/>
  <c r="F663" i="1"/>
  <c r="B658" i="1"/>
  <c r="J652" i="1"/>
  <c r="F647" i="1"/>
  <c r="B812" i="1"/>
  <c r="B806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B668" i="1"/>
  <c r="J662" i="1"/>
  <c r="F657" i="1"/>
  <c r="B652" i="1"/>
  <c r="J646" i="1"/>
  <c r="F811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K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F667" i="1"/>
  <c r="B662" i="1"/>
  <c r="J656" i="1"/>
  <c r="F651" i="1"/>
  <c r="B646" i="1"/>
  <c r="B810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J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H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B672" i="1"/>
  <c r="J666" i="1"/>
  <c r="F661" i="1"/>
  <c r="B656" i="1"/>
  <c r="J650" i="1"/>
  <c r="F809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I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F671" i="1"/>
  <c r="B666" i="1"/>
  <c r="J660" i="1"/>
  <c r="F655" i="1"/>
  <c r="B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L639" i="1"/>
  <c r="D597" i="1"/>
  <c r="H554" i="1"/>
  <c r="L511" i="1"/>
  <c r="B497" i="1"/>
  <c r="A491" i="1"/>
  <c r="L484" i="1"/>
  <c r="K478" i="1"/>
  <c r="J472" i="1"/>
  <c r="H466" i="1"/>
  <c r="G460" i="1"/>
  <c r="F454" i="1"/>
  <c r="E448" i="1"/>
  <c r="D442" i="1"/>
  <c r="C436" i="1"/>
  <c r="B430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649" i="1"/>
  <c r="D607" i="1"/>
  <c r="H564" i="1"/>
  <c r="L521" i="1"/>
  <c r="G498" i="1"/>
  <c r="F492" i="1"/>
  <c r="E486" i="1"/>
  <c r="D480" i="1"/>
  <c r="C474" i="1"/>
  <c r="B468" i="1"/>
  <c r="L461" i="1"/>
  <c r="K455" i="1"/>
  <c r="J449" i="1"/>
  <c r="I443" i="1"/>
  <c r="H437" i="1"/>
  <c r="G431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D649" i="1"/>
  <c r="H606" i="1"/>
  <c r="L563" i="1"/>
  <c r="D521" i="1"/>
  <c r="F498" i="1"/>
  <c r="E492" i="1"/>
  <c r="D486" i="1"/>
  <c r="C480" i="1"/>
  <c r="B474" i="1"/>
  <c r="L467" i="1"/>
  <c r="K461" i="1"/>
  <c r="J455" i="1"/>
  <c r="I449" i="1"/>
  <c r="H443" i="1"/>
  <c r="G437" i="1"/>
  <c r="F431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H648" i="1"/>
  <c r="L605" i="1"/>
  <c r="D563" i="1"/>
  <c r="H520" i="1"/>
  <c r="E498" i="1"/>
  <c r="D492" i="1"/>
  <c r="C486" i="1"/>
  <c r="B480" i="1"/>
  <c r="L473" i="1"/>
  <c r="K467" i="1"/>
  <c r="J461" i="1"/>
  <c r="I455" i="1"/>
  <c r="H449" i="1"/>
  <c r="G443" i="1"/>
  <c r="F437" i="1"/>
  <c r="D431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L647" i="1"/>
  <c r="D605" i="1"/>
  <c r="H562" i="1"/>
  <c r="L519" i="1"/>
  <c r="D498" i="1"/>
  <c r="C492" i="1"/>
  <c r="B486" i="1"/>
  <c r="L479" i="1"/>
  <c r="K473" i="1"/>
  <c r="J467" i="1"/>
  <c r="I461" i="1"/>
  <c r="H455" i="1"/>
  <c r="G449" i="1"/>
  <c r="F443" i="1"/>
  <c r="D437" i="1"/>
  <c r="C431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H652" i="1"/>
  <c r="L609" i="1"/>
  <c r="D567" i="1"/>
  <c r="H524" i="1"/>
  <c r="L498" i="1"/>
  <c r="K492" i="1"/>
  <c r="J486" i="1"/>
  <c r="H480" i="1"/>
  <c r="G474" i="1"/>
  <c r="F468" i="1"/>
  <c r="E462" i="1"/>
  <c r="D456" i="1"/>
  <c r="C450" i="1"/>
  <c r="B444" i="1"/>
  <c r="L437" i="1"/>
  <c r="K431" i="1"/>
  <c r="K425" i="1"/>
  <c r="G420" i="1"/>
  <c r="C415" i="1"/>
  <c r="K409" i="1"/>
  <c r="G404" i="1"/>
  <c r="C399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H634" i="1"/>
  <c r="L591" i="1"/>
  <c r="D549" i="1"/>
  <c r="H506" i="1"/>
  <c r="E496" i="1"/>
  <c r="D490" i="1"/>
  <c r="C484" i="1"/>
  <c r="B478" i="1"/>
  <c r="L471" i="1"/>
  <c r="K465" i="1"/>
  <c r="J459" i="1"/>
  <c r="I453" i="1"/>
  <c r="H447" i="1"/>
  <c r="G441" i="1"/>
  <c r="F435" i="1"/>
  <c r="D429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H644" i="1"/>
  <c r="L601" i="1"/>
  <c r="D559" i="1"/>
  <c r="H516" i="1"/>
  <c r="J497" i="1"/>
  <c r="I491" i="1"/>
  <c r="H485" i="1"/>
  <c r="G479" i="1"/>
  <c r="F473" i="1"/>
  <c r="D467" i="1"/>
  <c r="C461" i="1"/>
  <c r="B455" i="1"/>
  <c r="A449" i="1"/>
  <c r="L442" i="1"/>
  <c r="K436" i="1"/>
  <c r="J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L643" i="1"/>
  <c r="D601" i="1"/>
  <c r="H558" i="1"/>
  <c r="L515" i="1"/>
  <c r="I497" i="1"/>
  <c r="H491" i="1"/>
  <c r="G485" i="1"/>
  <c r="F479" i="1"/>
  <c r="D473" i="1"/>
  <c r="C467" i="1"/>
  <c r="B461" i="1"/>
  <c r="A455" i="1"/>
  <c r="L448" i="1"/>
  <c r="K442" i="1"/>
  <c r="J436" i="1"/>
  <c r="H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D643" i="1"/>
  <c r="H600" i="1"/>
  <c r="L557" i="1"/>
  <c r="D515" i="1"/>
  <c r="H497" i="1"/>
  <c r="G491" i="1"/>
  <c r="F485" i="1"/>
  <c r="D479" i="1"/>
  <c r="C473" i="1"/>
  <c r="B467" i="1"/>
  <c r="A461" i="1"/>
  <c r="L454" i="1"/>
  <c r="K448" i="1"/>
  <c r="J442" i="1"/>
  <c r="H436" i="1"/>
  <c r="G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H642" i="1"/>
  <c r="L599" i="1"/>
  <c r="D557" i="1"/>
  <c r="H514" i="1"/>
  <c r="G497" i="1"/>
  <c r="F491" i="1"/>
  <c r="D485" i="1"/>
  <c r="C479" i="1"/>
  <c r="B473" i="1"/>
  <c r="A467" i="1"/>
  <c r="L460" i="1"/>
  <c r="K454" i="1"/>
  <c r="J448" i="1"/>
  <c r="H442" i="1"/>
  <c r="G436" i="1"/>
  <c r="F430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647" i="1"/>
  <c r="H604" i="1"/>
  <c r="L561" i="1"/>
  <c r="D519" i="1"/>
  <c r="C498" i="1"/>
  <c r="B492" i="1"/>
  <c r="L485" i="1"/>
  <c r="K479" i="1"/>
  <c r="J473" i="1"/>
  <c r="I467" i="1"/>
  <c r="H461" i="1"/>
  <c r="G455" i="1"/>
  <c r="F449" i="1"/>
  <c r="D443" i="1"/>
  <c r="C437" i="1"/>
  <c r="B431" i="1"/>
  <c r="C425" i="1"/>
  <c r="K419" i="1"/>
  <c r="G414" i="1"/>
  <c r="C409" i="1"/>
  <c r="K403" i="1"/>
  <c r="G398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L671" i="1"/>
  <c r="D629" i="1"/>
  <c r="H586" i="1"/>
  <c r="L543" i="1"/>
  <c r="D502" i="1"/>
  <c r="H495" i="1"/>
  <c r="G489" i="1"/>
  <c r="F483" i="1"/>
  <c r="D477" i="1"/>
  <c r="C471" i="1"/>
  <c r="B465" i="1"/>
  <c r="A459" i="1"/>
  <c r="L452" i="1"/>
  <c r="K446" i="1"/>
  <c r="J440" i="1"/>
  <c r="H434" i="1"/>
  <c r="G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D639" i="1"/>
  <c r="H596" i="1"/>
  <c r="L553" i="1"/>
  <c r="D511" i="1"/>
  <c r="A497" i="1"/>
  <c r="L490" i="1"/>
  <c r="K484" i="1"/>
  <c r="J478" i="1"/>
  <c r="H472" i="1"/>
  <c r="G466" i="1"/>
  <c r="F460" i="1"/>
  <c r="E454" i="1"/>
  <c r="D448" i="1"/>
  <c r="C442" i="1"/>
  <c r="B436" i="1"/>
  <c r="L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H638" i="1"/>
  <c r="L595" i="1"/>
  <c r="D553" i="1"/>
  <c r="H510" i="1"/>
  <c r="L496" i="1"/>
  <c r="K490" i="1"/>
  <c r="J484" i="1"/>
  <c r="H478" i="1"/>
  <c r="G472" i="1"/>
  <c r="F466" i="1"/>
  <c r="E460" i="1"/>
  <c r="D454" i="1"/>
  <c r="C448" i="1"/>
  <c r="B442" i="1"/>
  <c r="L435" i="1"/>
  <c r="K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L637" i="1"/>
  <c r="D595" i="1"/>
  <c r="H552" i="1"/>
  <c r="L509" i="1"/>
  <c r="K496" i="1"/>
  <c r="J490" i="1"/>
  <c r="H484" i="1"/>
  <c r="G478" i="1"/>
  <c r="F472" i="1"/>
  <c r="E466" i="1"/>
  <c r="D460" i="1"/>
  <c r="C454" i="1"/>
  <c r="B448" i="1"/>
  <c r="L441" i="1"/>
  <c r="K435" i="1"/>
  <c r="J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D637" i="1"/>
  <c r="H594" i="1"/>
  <c r="L551" i="1"/>
  <c r="D509" i="1"/>
  <c r="J496" i="1"/>
  <c r="H490" i="1"/>
  <c r="G484" i="1"/>
  <c r="F478" i="1"/>
  <c r="E472" i="1"/>
  <c r="D466" i="1"/>
  <c r="C460" i="1"/>
  <c r="B454" i="1"/>
  <c r="L447" i="1"/>
  <c r="K441" i="1"/>
  <c r="J435" i="1"/>
  <c r="I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L641" i="1"/>
  <c r="D599" i="1"/>
  <c r="H556" i="1"/>
  <c r="L513" i="1"/>
  <c r="F497" i="1"/>
  <c r="D491" i="1"/>
  <c r="C485" i="1"/>
  <c r="B479" i="1"/>
  <c r="A473" i="1"/>
  <c r="L466" i="1"/>
  <c r="K460" i="1"/>
  <c r="J454" i="1"/>
  <c r="H448" i="1"/>
  <c r="G442" i="1"/>
  <c r="F436" i="1"/>
  <c r="E430" i="1"/>
  <c r="G424" i="1"/>
  <c r="C419" i="1"/>
  <c r="K413" i="1"/>
  <c r="G408" i="1"/>
  <c r="C403" i="1"/>
  <c r="K397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H666" i="1"/>
  <c r="L623" i="1"/>
  <c r="D581" i="1"/>
  <c r="H538" i="1"/>
  <c r="L500" i="1"/>
  <c r="K494" i="1"/>
  <c r="J488" i="1"/>
  <c r="H482" i="1"/>
  <c r="G476" i="1"/>
  <c r="F470" i="1"/>
  <c r="E464" i="1"/>
  <c r="D458" i="1"/>
  <c r="C452" i="1"/>
  <c r="B446" i="1"/>
  <c r="L439" i="1"/>
  <c r="K433" i="1"/>
  <c r="J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633" i="1"/>
  <c r="D591" i="1"/>
  <c r="H548" i="1"/>
  <c r="L505" i="1"/>
  <c r="D496" i="1"/>
  <c r="C490" i="1"/>
  <c r="B484" i="1"/>
  <c r="L477" i="1"/>
  <c r="K471" i="1"/>
  <c r="J465" i="1"/>
  <c r="I459" i="1"/>
  <c r="H453" i="1"/>
  <c r="G447" i="1"/>
  <c r="F441" i="1"/>
  <c r="D435" i="1"/>
  <c r="C429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D633" i="1"/>
  <c r="H590" i="1"/>
  <c r="L547" i="1"/>
  <c r="D505" i="1"/>
  <c r="C496" i="1"/>
  <c r="B490" i="1"/>
  <c r="L483" i="1"/>
  <c r="K477" i="1"/>
  <c r="J471" i="1"/>
  <c r="I465" i="1"/>
  <c r="H459" i="1"/>
  <c r="G453" i="1"/>
  <c r="F447" i="1"/>
  <c r="D441" i="1"/>
  <c r="C435" i="1"/>
  <c r="B429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H632" i="1"/>
  <c r="L589" i="1"/>
  <c r="D547" i="1"/>
  <c r="H504" i="1"/>
  <c r="B496" i="1"/>
  <c r="L489" i="1"/>
  <c r="K483" i="1"/>
  <c r="J477" i="1"/>
  <c r="I471" i="1"/>
  <c r="H465" i="1"/>
  <c r="G459" i="1"/>
  <c r="F453" i="1"/>
  <c r="D447" i="1"/>
  <c r="C441" i="1"/>
  <c r="B435" i="1"/>
  <c r="A429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L631" i="1"/>
  <c r="D589" i="1"/>
  <c r="H546" i="1"/>
  <c r="L503" i="1"/>
  <c r="L495" i="1"/>
  <c r="K489" i="1"/>
  <c r="J483" i="1"/>
  <c r="I477" i="1"/>
  <c r="H471" i="1"/>
  <c r="G465" i="1"/>
  <c r="F459" i="1"/>
  <c r="D453" i="1"/>
  <c r="C447" i="1"/>
  <c r="B441" i="1"/>
  <c r="A435" i="1"/>
  <c r="L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H636" i="1"/>
  <c r="L593" i="1"/>
  <c r="D551" i="1"/>
  <c r="H508" i="1"/>
  <c r="H496" i="1"/>
  <c r="G490" i="1"/>
  <c r="F484" i="1"/>
  <c r="E478" i="1"/>
  <c r="D472" i="1"/>
  <c r="C466" i="1"/>
  <c r="B460" i="1"/>
  <c r="L453" i="1"/>
  <c r="K447" i="1"/>
  <c r="J441" i="1"/>
  <c r="I435" i="1"/>
  <c r="H429" i="1"/>
  <c r="K423" i="1"/>
  <c r="G418" i="1"/>
  <c r="C413" i="1"/>
  <c r="K407" i="1"/>
  <c r="G402" i="1"/>
  <c r="C397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D661" i="1"/>
  <c r="H618" i="1"/>
  <c r="L575" i="1"/>
  <c r="D533" i="1"/>
  <c r="C500" i="1"/>
  <c r="B494" i="1"/>
  <c r="L487" i="1"/>
  <c r="K481" i="1"/>
  <c r="J475" i="1"/>
  <c r="I469" i="1"/>
  <c r="H463" i="1"/>
  <c r="G457" i="1"/>
  <c r="F451" i="1"/>
  <c r="D445" i="1"/>
  <c r="C439" i="1"/>
  <c r="B433" i="1"/>
  <c r="A427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D671" i="1"/>
  <c r="H628" i="1"/>
  <c r="L585" i="1"/>
  <c r="D543" i="1"/>
  <c r="L501" i="1"/>
  <c r="G495" i="1"/>
  <c r="F489" i="1"/>
  <c r="D483" i="1"/>
  <c r="C477" i="1"/>
  <c r="B471" i="1"/>
  <c r="A465" i="1"/>
  <c r="L458" i="1"/>
  <c r="K452" i="1"/>
  <c r="J446" i="1"/>
  <c r="H440" i="1"/>
  <c r="G434" i="1"/>
  <c r="F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H670" i="1"/>
  <c r="L627" i="1"/>
  <c r="D585" i="1"/>
  <c r="H542" i="1"/>
  <c r="I501" i="1"/>
  <c r="F495" i="1"/>
  <c r="D489" i="1"/>
  <c r="C483" i="1"/>
  <c r="B477" i="1"/>
  <c r="A471" i="1"/>
  <c r="L464" i="1"/>
  <c r="K458" i="1"/>
  <c r="J452" i="1"/>
  <c r="H446" i="1"/>
  <c r="G440" i="1"/>
  <c r="F434" i="1"/>
  <c r="E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L669" i="1"/>
  <c r="D627" i="1"/>
  <c r="H584" i="1"/>
  <c r="L541" i="1"/>
  <c r="H501" i="1"/>
  <c r="D495" i="1"/>
  <c r="C489" i="1"/>
  <c r="B483" i="1"/>
  <c r="A477" i="1"/>
  <c r="L470" i="1"/>
  <c r="K464" i="1"/>
  <c r="J458" i="1"/>
  <c r="H452" i="1"/>
  <c r="G446" i="1"/>
  <c r="F440" i="1"/>
  <c r="E434" i="1"/>
  <c r="D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D669" i="1"/>
  <c r="H626" i="1"/>
  <c r="L583" i="1"/>
  <c r="D541" i="1"/>
  <c r="D501" i="1"/>
  <c r="C495" i="1"/>
  <c r="B489" i="1"/>
  <c r="A483" i="1"/>
  <c r="L476" i="1"/>
  <c r="K470" i="1"/>
  <c r="J464" i="1"/>
  <c r="H458" i="1"/>
  <c r="G452" i="1"/>
  <c r="F446" i="1"/>
  <c r="E440" i="1"/>
  <c r="D434" i="1"/>
  <c r="C428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631" i="1"/>
  <c r="H588" i="1"/>
  <c r="L545" i="1"/>
  <c r="D503" i="1"/>
  <c r="K495" i="1"/>
  <c r="J489" i="1"/>
  <c r="I483" i="1"/>
  <c r="H477" i="1"/>
  <c r="G471" i="1"/>
  <c r="F465" i="1"/>
  <c r="D459" i="1"/>
  <c r="C453" i="1"/>
  <c r="B447" i="1"/>
  <c r="A441" i="1"/>
  <c r="L434" i="1"/>
  <c r="K428" i="1"/>
  <c r="C423" i="1"/>
  <c r="K417" i="1"/>
  <c r="G412" i="1"/>
  <c r="C407" i="1"/>
  <c r="K401" i="1"/>
  <c r="G396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L655" i="1"/>
  <c r="D613" i="1"/>
  <c r="H570" i="1"/>
  <c r="L527" i="1"/>
  <c r="F499" i="1"/>
  <c r="D493" i="1"/>
  <c r="C487" i="1"/>
  <c r="B481" i="1"/>
  <c r="A475" i="1"/>
  <c r="L468" i="1"/>
  <c r="K462" i="1"/>
  <c r="J456" i="1"/>
  <c r="H450" i="1"/>
  <c r="G444" i="1"/>
  <c r="F438" i="1"/>
  <c r="E432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665" i="1"/>
  <c r="D623" i="1"/>
  <c r="H580" i="1"/>
  <c r="L537" i="1"/>
  <c r="K500" i="1"/>
  <c r="J494" i="1"/>
  <c r="H488" i="1"/>
  <c r="G482" i="1"/>
  <c r="F476" i="1"/>
  <c r="E470" i="1"/>
  <c r="D464" i="1"/>
  <c r="C458" i="1"/>
  <c r="B452" i="1"/>
  <c r="L445" i="1"/>
  <c r="K439" i="1"/>
  <c r="J433" i="1"/>
  <c r="I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D665" i="1"/>
  <c r="H622" i="1"/>
  <c r="L579" i="1"/>
  <c r="D537" i="1"/>
  <c r="J500" i="1"/>
  <c r="H494" i="1"/>
  <c r="G488" i="1"/>
  <c r="F482" i="1"/>
  <c r="E476" i="1"/>
  <c r="D470" i="1"/>
  <c r="C464" i="1"/>
  <c r="B458" i="1"/>
  <c r="L451" i="1"/>
  <c r="K445" i="1"/>
  <c r="J439" i="1"/>
  <c r="I433" i="1"/>
  <c r="H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H664" i="1"/>
  <c r="L621" i="1"/>
  <c r="D579" i="1"/>
  <c r="H536" i="1"/>
  <c r="H500" i="1"/>
  <c r="G494" i="1"/>
  <c r="F488" i="1"/>
  <c r="E482" i="1"/>
  <c r="D476" i="1"/>
  <c r="C470" i="1"/>
  <c r="B464" i="1"/>
  <c r="L457" i="1"/>
  <c r="K451" i="1"/>
  <c r="J445" i="1"/>
  <c r="I439" i="1"/>
  <c r="H433" i="1"/>
  <c r="G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L663" i="1"/>
  <c r="D621" i="1"/>
  <c r="H578" i="1"/>
  <c r="L535" i="1"/>
  <c r="G500" i="1"/>
  <c r="F494" i="1"/>
  <c r="E488" i="1"/>
  <c r="D482" i="1"/>
  <c r="C476" i="1"/>
  <c r="B470" i="1"/>
  <c r="L463" i="1"/>
  <c r="K457" i="1"/>
  <c r="J451" i="1"/>
  <c r="I445" i="1"/>
  <c r="H439" i="1"/>
  <c r="G433" i="1"/>
  <c r="F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H668" i="1"/>
  <c r="L625" i="1"/>
  <c r="D583" i="1"/>
  <c r="H540" i="1"/>
  <c r="C501" i="1"/>
  <c r="B495" i="1"/>
  <c r="A489" i="1"/>
  <c r="L482" i="1"/>
  <c r="K476" i="1"/>
  <c r="J470" i="1"/>
  <c r="H464" i="1"/>
  <c r="G458" i="1"/>
  <c r="F452" i="1"/>
  <c r="E446" i="1"/>
  <c r="D440" i="1"/>
  <c r="C434" i="1"/>
  <c r="B428" i="1"/>
  <c r="G422" i="1"/>
  <c r="C417" i="1"/>
  <c r="K411" i="1"/>
  <c r="G406" i="1"/>
  <c r="C401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H650" i="1"/>
  <c r="L607" i="1"/>
  <c r="D565" i="1"/>
  <c r="H522" i="1"/>
  <c r="H498" i="1"/>
  <c r="G492" i="1"/>
  <c r="F486" i="1"/>
  <c r="E480" i="1"/>
  <c r="D474" i="1"/>
  <c r="C468" i="1"/>
  <c r="B462" i="1"/>
  <c r="L455" i="1"/>
  <c r="K449" i="1"/>
  <c r="J443" i="1"/>
  <c r="I437" i="1"/>
  <c r="H431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H660" i="1"/>
  <c r="L617" i="1"/>
  <c r="D575" i="1"/>
  <c r="H532" i="1"/>
  <c r="B500" i="1"/>
  <c r="L493" i="1"/>
  <c r="K487" i="1"/>
  <c r="J481" i="1"/>
  <c r="I475" i="1"/>
  <c r="H469" i="1"/>
  <c r="G463" i="1"/>
  <c r="F457" i="1"/>
  <c r="D451" i="1"/>
  <c r="C445" i="1"/>
  <c r="B439" i="1"/>
  <c r="A433" i="1"/>
  <c r="L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L659" i="1"/>
  <c r="D617" i="1"/>
  <c r="H574" i="1"/>
  <c r="L531" i="1"/>
  <c r="L499" i="1"/>
  <c r="K493" i="1"/>
  <c r="J487" i="1"/>
  <c r="I481" i="1"/>
  <c r="H475" i="1"/>
  <c r="G469" i="1"/>
  <c r="F463" i="1"/>
  <c r="D457" i="1"/>
  <c r="C451" i="1"/>
  <c r="B445" i="1"/>
  <c r="A439" i="1"/>
  <c r="L432" i="1"/>
  <c r="K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D659" i="1"/>
  <c r="H616" i="1"/>
  <c r="L573" i="1"/>
  <c r="D531" i="1"/>
  <c r="K499" i="1"/>
  <c r="J493" i="1"/>
  <c r="I487" i="1"/>
  <c r="H481" i="1"/>
  <c r="G475" i="1"/>
  <c r="F469" i="1"/>
  <c r="D463" i="1"/>
  <c r="C457" i="1"/>
  <c r="B451" i="1"/>
  <c r="A445" i="1"/>
  <c r="L438" i="1"/>
  <c r="K432" i="1"/>
  <c r="J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H658" i="1"/>
  <c r="L615" i="1"/>
  <c r="D573" i="1"/>
  <c r="H530" i="1"/>
  <c r="J499" i="1"/>
  <c r="I493" i="1"/>
  <c r="H487" i="1"/>
  <c r="G481" i="1"/>
  <c r="F475" i="1"/>
  <c r="D469" i="1"/>
  <c r="C463" i="1"/>
  <c r="B457" i="1"/>
  <c r="A451" i="1"/>
  <c r="L444" i="1"/>
  <c r="K438" i="1"/>
  <c r="J432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663" i="1"/>
  <c r="H620" i="1"/>
  <c r="L577" i="1"/>
  <c r="D535" i="1"/>
  <c r="F500" i="1"/>
  <c r="E494" i="1"/>
  <c r="D488" i="1"/>
  <c r="C482" i="1"/>
  <c r="B476" i="1"/>
  <c r="L469" i="1"/>
  <c r="K463" i="1"/>
  <c r="J457" i="1"/>
  <c r="I451" i="1"/>
  <c r="H445" i="1"/>
  <c r="G439" i="1"/>
  <c r="F433" i="1"/>
  <c r="D427" i="1"/>
  <c r="K421" i="1"/>
  <c r="G416" i="1"/>
  <c r="C411" i="1"/>
  <c r="K405" i="1"/>
  <c r="G400" i="1"/>
  <c r="C395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D645" i="1"/>
  <c r="H602" i="1"/>
  <c r="L559" i="1"/>
  <c r="D517" i="1"/>
  <c r="K497" i="1"/>
  <c r="J491" i="1"/>
  <c r="I485" i="1"/>
  <c r="H479" i="1"/>
  <c r="G473" i="1"/>
  <c r="F467" i="1"/>
  <c r="D461" i="1"/>
  <c r="C455" i="1"/>
  <c r="B449" i="1"/>
  <c r="A443" i="1"/>
  <c r="L436" i="1"/>
  <c r="K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D655" i="1"/>
  <c r="H612" i="1"/>
  <c r="L569" i="1"/>
  <c r="D527" i="1"/>
  <c r="D499" i="1"/>
  <c r="C493" i="1"/>
  <c r="B487" i="1"/>
  <c r="A481" i="1"/>
  <c r="L474" i="1"/>
  <c r="K468" i="1"/>
  <c r="J462" i="1"/>
  <c r="H456" i="1"/>
  <c r="G450" i="1"/>
  <c r="F444" i="1"/>
  <c r="E438" i="1"/>
  <c r="D432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H654" i="1"/>
  <c r="L611" i="1"/>
  <c r="D569" i="1"/>
  <c r="H526" i="1"/>
  <c r="C499" i="1"/>
  <c r="B493" i="1"/>
  <c r="A487" i="1"/>
  <c r="L480" i="1"/>
  <c r="K474" i="1"/>
  <c r="J468" i="1"/>
  <c r="H462" i="1"/>
  <c r="G456" i="1"/>
  <c r="F450" i="1"/>
  <c r="E444" i="1"/>
  <c r="D438" i="1"/>
  <c r="C432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L653" i="1"/>
  <c r="D611" i="1"/>
  <c r="H568" i="1"/>
  <c r="L525" i="1"/>
  <c r="B499" i="1"/>
  <c r="A493" i="1"/>
  <c r="L486" i="1"/>
  <c r="K480" i="1"/>
  <c r="J474" i="1"/>
  <c r="H468" i="1"/>
  <c r="G462" i="1"/>
  <c r="F456" i="1"/>
  <c r="E450" i="1"/>
  <c r="D444" i="1"/>
  <c r="C438" i="1"/>
  <c r="B432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D653" i="1"/>
  <c r="H610" i="1"/>
  <c r="L567" i="1"/>
  <c r="D525" i="1"/>
  <c r="A499" i="1"/>
  <c r="L492" i="1"/>
  <c r="K486" i="1"/>
  <c r="J480" i="1"/>
  <c r="H474" i="1"/>
  <c r="G468" i="1"/>
  <c r="F462" i="1"/>
  <c r="E456" i="1"/>
  <c r="D450" i="1"/>
  <c r="C444" i="1"/>
  <c r="B438" i="1"/>
  <c r="L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L657" i="1"/>
  <c r="D615" i="1"/>
  <c r="H572" i="1"/>
  <c r="L529" i="1"/>
  <c r="I499" i="1"/>
  <c r="H493" i="1"/>
  <c r="G487" i="1"/>
  <c r="F481" i="1"/>
  <c r="D475" i="1"/>
  <c r="C469" i="1"/>
  <c r="B463" i="1"/>
  <c r="A457" i="1"/>
  <c r="L450" i="1"/>
  <c r="K444" i="1"/>
  <c r="J438" i="1"/>
  <c r="H432" i="1"/>
  <c r="G426" i="1"/>
  <c r="C421" i="1"/>
  <c r="K415" i="1"/>
  <c r="G410" i="1"/>
  <c r="C405" i="1"/>
  <c r="K399" i="1"/>
  <c r="K395" i="1"/>
  <c r="K389" i="1"/>
  <c r="G384" i="1"/>
  <c r="C379" i="1"/>
  <c r="K373" i="1"/>
  <c r="G368" i="1"/>
  <c r="C363" i="1"/>
  <c r="K357" i="1"/>
  <c r="G352" i="1"/>
  <c r="C347" i="1"/>
  <c r="H662" i="1"/>
  <c r="L619" i="1"/>
  <c r="D577" i="1"/>
  <c r="H534" i="1"/>
  <c r="E500" i="1"/>
  <c r="D494" i="1"/>
  <c r="C488" i="1"/>
  <c r="B482" i="1"/>
  <c r="L475" i="1"/>
  <c r="K469" i="1"/>
  <c r="J463" i="1"/>
  <c r="I457" i="1"/>
  <c r="H451" i="1"/>
  <c r="G445" i="1"/>
  <c r="F439" i="1"/>
  <c r="D433" i="1"/>
  <c r="C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D651" i="1"/>
  <c r="H608" i="1"/>
  <c r="L565" i="1"/>
  <c r="D523" i="1"/>
  <c r="J498" i="1"/>
  <c r="H492" i="1"/>
  <c r="G486" i="1"/>
  <c r="F480" i="1"/>
  <c r="E474" i="1"/>
  <c r="D468" i="1"/>
  <c r="C462" i="1"/>
  <c r="B456" i="1"/>
  <c r="L449" i="1"/>
  <c r="K443" i="1"/>
  <c r="J437" i="1"/>
  <c r="I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G394" i="1"/>
  <c r="C389" i="1"/>
  <c r="K383" i="1"/>
  <c r="G378" i="1"/>
  <c r="C373" i="1"/>
  <c r="K367" i="1"/>
  <c r="G362" i="1"/>
  <c r="C357" i="1"/>
  <c r="K351" i="1"/>
  <c r="G346" i="1"/>
  <c r="D657" i="1"/>
  <c r="H614" i="1"/>
  <c r="L571" i="1"/>
  <c r="D529" i="1"/>
  <c r="H499" i="1"/>
  <c r="G493" i="1"/>
  <c r="F487" i="1"/>
  <c r="D481" i="1"/>
  <c r="C475" i="1"/>
  <c r="B469" i="1"/>
  <c r="A463" i="1"/>
  <c r="L456" i="1"/>
  <c r="K450" i="1"/>
  <c r="J444" i="1"/>
  <c r="H438" i="1"/>
  <c r="G432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L645" i="1"/>
  <c r="D603" i="1"/>
  <c r="H560" i="1"/>
  <c r="L517" i="1"/>
  <c r="L497" i="1"/>
  <c r="K491" i="1"/>
  <c r="J485" i="1"/>
  <c r="I479" i="1"/>
  <c r="H473" i="1"/>
  <c r="G467" i="1"/>
  <c r="F461" i="1"/>
  <c r="D455" i="1"/>
  <c r="C449" i="1"/>
  <c r="B443" i="1"/>
  <c r="A437" i="1"/>
  <c r="L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F4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K393" i="1"/>
  <c r="G388" i="1"/>
  <c r="C383" i="1"/>
  <c r="K377" i="1"/>
  <c r="G372" i="1"/>
  <c r="C367" i="1"/>
  <c r="K361" i="1"/>
  <c r="G356" i="1"/>
  <c r="C351" i="1"/>
  <c r="K345" i="1"/>
  <c r="L651" i="1"/>
  <c r="D609" i="1"/>
  <c r="H566" i="1"/>
  <c r="L523" i="1"/>
  <c r="K498" i="1"/>
  <c r="J492" i="1"/>
  <c r="H486" i="1"/>
  <c r="G480" i="1"/>
  <c r="F474" i="1"/>
  <c r="E468" i="1"/>
  <c r="D462" i="1"/>
  <c r="C456" i="1"/>
  <c r="B450" i="1"/>
  <c r="L443" i="1"/>
  <c r="K437" i="1"/>
  <c r="J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H640" i="1"/>
  <c r="L597" i="1"/>
  <c r="D555" i="1"/>
  <c r="H512" i="1"/>
  <c r="C497" i="1"/>
  <c r="B491" i="1"/>
  <c r="A485" i="1"/>
  <c r="L478" i="1"/>
  <c r="K472" i="1"/>
  <c r="J466" i="1"/>
  <c r="H460" i="1"/>
  <c r="G454" i="1"/>
  <c r="F448" i="1"/>
  <c r="E442" i="1"/>
  <c r="D436" i="1"/>
  <c r="C430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B343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C393" i="1"/>
  <c r="K387" i="1"/>
  <c r="G382" i="1"/>
  <c r="C377" i="1"/>
  <c r="K371" i="1"/>
  <c r="G366" i="1"/>
  <c r="C361" i="1"/>
  <c r="K355" i="1"/>
  <c r="G350" i="1"/>
  <c r="C345" i="1"/>
  <c r="H646" i="1"/>
  <c r="L603" i="1"/>
  <c r="D561" i="1"/>
  <c r="H518" i="1"/>
  <c r="B498" i="1"/>
  <c r="L491" i="1"/>
  <c r="K485" i="1"/>
  <c r="J479" i="1"/>
  <c r="I473" i="1"/>
  <c r="H467" i="1"/>
  <c r="G461" i="1"/>
  <c r="F455" i="1"/>
  <c r="D449" i="1"/>
  <c r="C443" i="1"/>
  <c r="B437" i="1"/>
  <c r="A431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D635" i="1"/>
  <c r="H592" i="1"/>
  <c r="L549" i="1"/>
  <c r="D507" i="1"/>
  <c r="F496" i="1"/>
  <c r="E490" i="1"/>
  <c r="D484" i="1"/>
  <c r="C478" i="1"/>
  <c r="B472" i="1"/>
  <c r="L465" i="1"/>
  <c r="K459" i="1"/>
  <c r="J453" i="1"/>
  <c r="I447" i="1"/>
  <c r="H441" i="1"/>
  <c r="G435" i="1"/>
  <c r="F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G392" i="1"/>
  <c r="C387" i="1"/>
  <c r="K381" i="1"/>
  <c r="G376" i="1"/>
  <c r="C371" i="1"/>
  <c r="K365" i="1"/>
  <c r="G360" i="1"/>
  <c r="C355" i="1"/>
  <c r="K349" i="1"/>
  <c r="G344" i="1"/>
  <c r="D641" i="1"/>
  <c r="H598" i="1"/>
  <c r="L555" i="1"/>
  <c r="D513" i="1"/>
  <c r="D497" i="1"/>
  <c r="C491" i="1"/>
  <c r="B485" i="1"/>
  <c r="A479" i="1"/>
  <c r="L472" i="1"/>
  <c r="K466" i="1"/>
  <c r="J460" i="1"/>
  <c r="H454" i="1"/>
  <c r="G448" i="1"/>
  <c r="F442" i="1"/>
  <c r="E436" i="1"/>
  <c r="D430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L629" i="1"/>
  <c r="D587" i="1"/>
  <c r="H544" i="1"/>
  <c r="E502" i="1"/>
  <c r="I495" i="1"/>
  <c r="H489" i="1"/>
  <c r="G483" i="1"/>
  <c r="F477" i="1"/>
  <c r="D471" i="1"/>
  <c r="C465" i="1"/>
  <c r="B459" i="1"/>
  <c r="A453" i="1"/>
  <c r="L446" i="1"/>
  <c r="K440" i="1"/>
  <c r="J434" i="1"/>
  <c r="H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J343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K391" i="1"/>
  <c r="G386" i="1"/>
  <c r="C381" i="1"/>
  <c r="K375" i="1"/>
  <c r="G370" i="1"/>
  <c r="C365" i="1"/>
  <c r="K359" i="1"/>
  <c r="G354" i="1"/>
  <c r="C349" i="1"/>
  <c r="K343" i="1"/>
  <c r="L635" i="1"/>
  <c r="D593" i="1"/>
  <c r="H550" i="1"/>
  <c r="L507" i="1"/>
  <c r="G496" i="1"/>
  <c r="F490" i="1"/>
  <c r="E484" i="1"/>
  <c r="D478" i="1"/>
  <c r="C472" i="1"/>
  <c r="B466" i="1"/>
  <c r="L459" i="1"/>
  <c r="K453" i="1"/>
  <c r="J447" i="1"/>
  <c r="I441" i="1"/>
  <c r="H435" i="1"/>
  <c r="G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D667" i="1"/>
  <c r="H624" i="1"/>
  <c r="L581" i="1"/>
  <c r="D539" i="1"/>
  <c r="A501" i="1"/>
  <c r="L494" i="1"/>
  <c r="K488" i="1"/>
  <c r="J482" i="1"/>
  <c r="H476" i="1"/>
  <c r="G470" i="1"/>
  <c r="F464" i="1"/>
  <c r="E458" i="1"/>
  <c r="D452" i="1"/>
  <c r="C446" i="1"/>
  <c r="B440" i="1"/>
  <c r="L433" i="1"/>
  <c r="K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C391" i="1"/>
  <c r="K385" i="1"/>
  <c r="G380" i="1"/>
  <c r="C375" i="1"/>
  <c r="K369" i="1"/>
  <c r="G364" i="1"/>
  <c r="C359" i="1"/>
  <c r="K353" i="1"/>
  <c r="G348" i="1"/>
  <c r="C343" i="1"/>
  <c r="H630" i="1"/>
  <c r="L587" i="1"/>
  <c r="D545" i="1"/>
  <c r="H502" i="1"/>
  <c r="J495" i="1"/>
  <c r="I489" i="1"/>
  <c r="H483" i="1"/>
  <c r="G477" i="1"/>
  <c r="F471" i="1"/>
  <c r="D465" i="1"/>
  <c r="C459" i="1"/>
  <c r="B453" i="1"/>
  <c r="A447" i="1"/>
  <c r="L440" i="1"/>
  <c r="K434" i="1"/>
  <c r="J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L661" i="1"/>
  <c r="D619" i="1"/>
  <c r="H576" i="1"/>
  <c r="L533" i="1"/>
  <c r="D500" i="1"/>
  <c r="C494" i="1"/>
  <c r="B488" i="1"/>
  <c r="L481" i="1"/>
  <c r="K475" i="1"/>
  <c r="J469" i="1"/>
  <c r="I463" i="1"/>
  <c r="H457" i="1"/>
  <c r="G451" i="1"/>
  <c r="F445" i="1"/>
  <c r="D439" i="1"/>
  <c r="C433" i="1"/>
  <c r="B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G390" i="1"/>
  <c r="C385" i="1"/>
  <c r="K379" i="1"/>
  <c r="G374" i="1"/>
  <c r="C369" i="1"/>
  <c r="K363" i="1"/>
  <c r="G358" i="1"/>
  <c r="C353" i="1"/>
  <c r="K347" i="1"/>
  <c r="L667" i="1"/>
  <c r="D625" i="1"/>
  <c r="H582" i="1"/>
  <c r="L539" i="1"/>
  <c r="B501" i="1"/>
  <c r="A495" i="1"/>
  <c r="L488" i="1"/>
  <c r="K482" i="1"/>
  <c r="J476" i="1"/>
  <c r="H470" i="1"/>
  <c r="G464" i="1"/>
  <c r="F458" i="1"/>
  <c r="E452" i="1"/>
  <c r="D446" i="1"/>
  <c r="C440" i="1"/>
  <c r="B434" i="1"/>
  <c r="L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H656" i="1"/>
  <c r="L613" i="1"/>
  <c r="D571" i="1"/>
  <c r="H528" i="1"/>
  <c r="G499" i="1"/>
  <c r="F493" i="1"/>
  <c r="D487" i="1"/>
  <c r="C481" i="1"/>
  <c r="B475" i="1"/>
  <c r="A469" i="1"/>
  <c r="L462" i="1"/>
  <c r="K456" i="1"/>
  <c r="J450" i="1"/>
  <c r="H444" i="1"/>
  <c r="G438" i="1"/>
  <c r="F432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A343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53" i="1"/>
  <c r="F45" i="1"/>
  <c r="B40" i="1"/>
  <c r="J34" i="1"/>
  <c r="F29" i="1"/>
  <c r="B24" i="1"/>
  <c r="J18" i="1"/>
  <c r="F13" i="1"/>
  <c r="B8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4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A37" i="1"/>
  <c r="I39" i="1"/>
  <c r="B52" i="1"/>
  <c r="J44" i="1"/>
  <c r="F39" i="1"/>
  <c r="B34" i="1"/>
  <c r="J28" i="1"/>
  <c r="F23" i="1"/>
  <c r="B18" i="1"/>
  <c r="J12" i="1"/>
  <c r="F7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I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I31" i="1"/>
  <c r="A5" i="1"/>
  <c r="A13" i="1"/>
  <c r="B50" i="1"/>
  <c r="B44" i="1"/>
  <c r="J38" i="1"/>
  <c r="F33" i="1"/>
  <c r="B28" i="1"/>
  <c r="J22" i="1"/>
  <c r="F17" i="1"/>
  <c r="B12" i="1"/>
  <c r="J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I29" i="1"/>
  <c r="I13" i="1"/>
  <c r="I23" i="1"/>
  <c r="F49" i="1"/>
  <c r="F43" i="1"/>
  <c r="B38" i="1"/>
  <c r="J32" i="1"/>
  <c r="F27" i="1"/>
  <c r="B22" i="1"/>
  <c r="J16" i="1"/>
  <c r="F11" i="1"/>
  <c r="B6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E40" i="1"/>
  <c r="E24" i="1"/>
  <c r="E8" i="1"/>
  <c r="I7" i="1"/>
  <c r="B48" i="1"/>
  <c r="J42" i="1"/>
  <c r="F37" i="1"/>
  <c r="B32" i="1"/>
  <c r="J26" i="1"/>
  <c r="F21" i="1"/>
  <c r="B16" i="1"/>
  <c r="J10" i="1"/>
  <c r="F5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J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A35" i="1"/>
  <c r="A19" i="1"/>
  <c r="F47" i="1"/>
  <c r="B42" i="1"/>
  <c r="J36" i="1"/>
  <c r="F31" i="1"/>
  <c r="B26" i="1"/>
  <c r="J20" i="1"/>
  <c r="F15" i="1"/>
  <c r="B10" i="1"/>
  <c r="J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E18" i="1"/>
  <c r="J46" i="1"/>
  <c r="F41" i="1"/>
  <c r="B36" i="1"/>
  <c r="J30" i="1"/>
  <c r="F25" i="1"/>
  <c r="B20" i="1"/>
  <c r="J14" i="1"/>
  <c r="F9" i="1"/>
  <c r="B4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E26" i="1"/>
  <c r="I15" i="1"/>
  <c r="A29" i="1"/>
  <c r="B46" i="1"/>
  <c r="J40" i="1"/>
  <c r="F35" i="1"/>
  <c r="B30" i="1"/>
  <c r="J24" i="1"/>
  <c r="F19" i="1"/>
  <c r="B14" i="1"/>
  <c r="J8" i="1"/>
  <c r="K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A21" i="1"/>
  <c r="E10" i="1"/>
  <c r="E34" i="1"/>
  <c r="J2" i="8" l="1"/>
  <c r="J2" i="7"/>
  <c r="J2" i="6"/>
  <c r="J2" i="4"/>
  <c r="J2" i="5"/>
</calcChain>
</file>

<file path=xl/sharedStrings.xml><?xml version="1.0" encoding="utf-8"?>
<sst xmlns="http://schemas.openxmlformats.org/spreadsheetml/2006/main" count="66" uniqueCount="32">
  <si>
    <t>Modules Info</t>
  </si>
  <si>
    <t>Master Data Info</t>
  </si>
  <si>
    <t>Settings</t>
  </si>
  <si>
    <t>Module</t>
  </si>
  <si>
    <t>Module Step Setting File</t>
  </si>
  <si>
    <t>Step</t>
  </si>
  <si>
    <t>1sG6uB28jAaiyaldDeMtbboQN41jJ2tAmE2rg6U9qH5o</t>
  </si>
  <si>
    <t>Modules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</si>
  <si>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</si>
  <si>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</si>
  <si>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</si>
  <si>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</si>
  <si>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</si>
  <si>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</si>
  <si>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</si>
  <si>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</si>
  <si>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</si>
  <si>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</si>
  <si>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</si>
  <si>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</si>
  <si>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</si>
  <si>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</si>
  <si>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</si>
  <si>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</si>
  <si>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</si>
  <si>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Allocation</t>
  </si>
  <si>
    <t>CheckAllocatedGroups</t>
  </si>
  <si>
    <t>O:ABM 10D20.00</t>
  </si>
  <si>
    <t>Equity</t>
  </si>
  <si>
    <t>Buy</t>
  </si>
  <si>
    <t>ABM</t>
  </si>
  <si>
    <t>Sell to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</si>
</sst>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6" t="s">
        <v>0</v>
      </c>
      <c r="B1" s="27"/>
      <c r="C1" s="27"/>
      <c r="D1" s="27"/>
      <c r="E1" s="27"/>
      <c r="F1" s="28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4" t="s">
        <v>7</v>
      </c>
      <c r="B3" s="6"/>
      <c r="C3" s="7"/>
      <c r="D3" s="7"/>
      <c r="E3" s="7"/>
      <c r="F3" s="7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5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/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29" t="s">
        <v>2</v>
      </c>
      <c r="B1" s="27"/>
      <c r="C1" s="28"/>
    </row>
    <row r="2" spans="1:3" ht="15.75" customHeight="1" x14ac:dyDescent="0.2">
      <c r="A2" s="2"/>
      <c r="B2" s="2"/>
      <c r="C2" s="2"/>
    </row>
    <row r="3" spans="1:3" ht="15.75" customHeight="1" x14ac:dyDescent="0.2">
      <c r="A3" s="4" t="s">
        <v>4</v>
      </c>
      <c r="B3" s="5" t="s">
        <v>6</v>
      </c>
      <c r="C3" s="2"/>
    </row>
    <row r="4" spans="1:3" ht="15.75" customHeight="1" x14ac:dyDescent="0.2">
      <c r="A4" s="3" t="s">
        <v>8</v>
      </c>
      <c r="B4" s="5" t="s">
        <v>9</v>
      </c>
      <c r="C4" s="2"/>
    </row>
    <row r="5" spans="1:3" ht="15.75" customHeight="1" x14ac:dyDescent="0.2">
      <c r="A5" s="8"/>
      <c r="B5" s="2"/>
      <c r="C5" s="2"/>
    </row>
    <row r="6" spans="1:3" ht="15.75" customHeight="1" x14ac:dyDescent="0.2">
      <c r="A6" s="8"/>
      <c r="B6" s="2"/>
      <c r="C6" s="2"/>
    </row>
    <row r="7" spans="1:3" ht="15.75" customHeight="1" x14ac:dyDescent="0.2">
      <c r="A7" s="8"/>
      <c r="B7" s="2"/>
      <c r="C7" s="2"/>
    </row>
    <row r="8" spans="1:3" ht="15.75" customHeight="1" x14ac:dyDescent="0.2">
      <c r="A8" s="8"/>
      <c r="B8" s="2"/>
      <c r="C8" s="2"/>
    </row>
    <row r="9" spans="1:3" ht="15.75" customHeight="1" x14ac:dyDescent="0.2">
      <c r="A9" s="8"/>
      <c r="B9" s="2"/>
      <c r="C9" s="2"/>
    </row>
    <row r="10" spans="1:3" ht="15.75" customHeight="1" x14ac:dyDescent="0.2">
      <c r="A10" s="8"/>
      <c r="B10" s="2"/>
      <c r="C10" s="2"/>
    </row>
    <row r="11" spans="1:3" ht="15.75" customHeight="1" x14ac:dyDescent="0.2">
      <c r="A11" s="8"/>
      <c r="B11" s="2"/>
      <c r="C11" s="2"/>
    </row>
    <row r="12" spans="1:3" ht="15.75" customHeight="1" x14ac:dyDescent="0.2">
      <c r="A12" s="8"/>
      <c r="B12" s="2"/>
      <c r="C12" s="2"/>
    </row>
    <row r="13" spans="1:3" ht="15.75" customHeight="1" x14ac:dyDescent="0.2">
      <c r="A13" s="8"/>
      <c r="B13" s="2"/>
      <c r="C13" s="2"/>
    </row>
    <row r="14" spans="1:3" ht="15.75" customHeight="1" x14ac:dyDescent="0.2">
      <c r="A14" s="8"/>
      <c r="B14" s="2"/>
      <c r="C14" s="2"/>
    </row>
    <row r="15" spans="1:3" ht="15.75" customHeight="1" x14ac:dyDescent="0.2">
      <c r="A15" s="8"/>
      <c r="B15" s="2"/>
      <c r="C15" s="2"/>
    </row>
    <row r="16" spans="1:3" ht="15.75" customHeight="1" x14ac:dyDescent="0.2">
      <c r="A16" s="8"/>
      <c r="B16" s="2"/>
      <c r="C16" s="2"/>
    </row>
    <row r="17" spans="1:3" ht="15.75" customHeight="1" x14ac:dyDescent="0.2">
      <c r="A17" s="8"/>
      <c r="B17" s="2"/>
      <c r="C17" s="2"/>
    </row>
    <row r="18" spans="1:3" ht="15.75" customHeight="1" x14ac:dyDescent="0.2">
      <c r="A18" s="8"/>
      <c r="B18" s="2"/>
      <c r="C18" s="2"/>
    </row>
    <row r="19" spans="1:3" ht="15.75" customHeight="1" x14ac:dyDescent="0.2">
      <c r="A19" s="8"/>
      <c r="B19" s="2"/>
      <c r="C19" s="2"/>
    </row>
    <row r="20" spans="1:3" ht="15.75" customHeight="1" x14ac:dyDescent="0.2">
      <c r="A20" s="8"/>
      <c r="B20" s="2"/>
      <c r="C20" s="2"/>
    </row>
    <row r="21" spans="1:3" ht="15.75" customHeight="1" x14ac:dyDescent="0.2">
      <c r="A21" s="8"/>
      <c r="B21" s="2"/>
      <c r="C21" s="2"/>
    </row>
    <row r="22" spans="1:3" ht="15.75" customHeight="1" x14ac:dyDescent="0.2">
      <c r="A22" s="8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6" t="s">
        <v>1</v>
      </c>
      <c r="B1" s="27"/>
      <c r="C1" s="27"/>
      <c r="D1" s="27"/>
      <c r="E1" s="27"/>
      <c r="F1" s="28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3</v>
      </c>
      <c r="B3" s="9" t="s">
        <v>5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11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5</v>
      </c>
      <c r="E3" s="16" t="s">
        <v>13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5" t="s">
        <v>16</v>
      </c>
      <c r="C6" s="5" t="s">
        <v>17</v>
      </c>
      <c r="D6" s="5">
        <v>500</v>
      </c>
      <c r="E6" s="2"/>
      <c r="F6" s="5" t="s">
        <v>18</v>
      </c>
      <c r="G6" s="2"/>
      <c r="H6" s="2"/>
      <c r="I6" s="2"/>
      <c r="J6" s="5">
        <v>45</v>
      </c>
      <c r="K6" s="2"/>
      <c r="L6" s="2"/>
      <c r="M6" s="2"/>
      <c r="N6" s="24">
        <f ca="1">TODAY()</f>
        <v>43854</v>
      </c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6" t="s">
        <v>11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19</v>
      </c>
      <c r="D3" s="4" t="s">
        <v>5</v>
      </c>
      <c r="E3" s="16" t="s">
        <v>20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5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11" width="14.42578125" customWidth="1"/>
    <col min="112" max="112" width="18.42578125" customWidth="1"/>
    <col min="113" max="154" width="14.42578125" customWidth="1"/>
  </cols>
  <sheetData>
    <row r="1" spans="1:154" ht="15.75" customHeight="1" x14ac:dyDescent="0.3">
      <c r="A1" s="12"/>
      <c r="B1" s="26" t="s">
        <v>11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19</v>
      </c>
      <c r="D3" s="4" t="s">
        <v>5</v>
      </c>
      <c r="E3" s="16" t="s">
        <v>22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IFERROR(__xludf.DUMMYFUNCTION("""COMPUTED_VALUE"""),"AccruedInterest")</f>
        <v>AccruedInterest</v>
      </c>
      <c r="D5" s="21" t="str">
        <f ca="1">IFERROR(__xludf.DUMMYFUNCTION("""COMPUTED_VALUE"""),"Analyst")</f>
        <v>Analyst</v>
      </c>
      <c r="E5" s="21" t="str">
        <f ca="1">IFERROR(__xludf.DUMMYFUNCTION("""COMPUTED_VALUE"""),"Asset Class")</f>
        <v>Asset Class</v>
      </c>
      <c r="F5" s="22" t="str">
        <f ca="1">IFERROR(__xludf.DUMMYFUNCTION("""COMPUTED_VALUE"""),"Asset Derivative")</f>
        <v>Asset Derivative</v>
      </c>
      <c r="G5" s="21" t="str">
        <f ca="1">IFERROR(__xludf.DUMMYFUNCTION("""COMPUTED_VALUE"""),"AUCID")</f>
        <v>AUCID</v>
      </c>
      <c r="H5" s="21" t="str">
        <f ca="1">IFERROR(__xludf.DUMMYFUNCTION("""COMPUTED_VALUE"""),"AUECModifiedDate")</f>
        <v>AUECModifiedDate</v>
      </c>
      <c r="I5" s="21" t="str">
        <f ca="1">IFERROR(__xludf.DUMMYFUNCTION("""COMPUTED_VALUE"""),"Average Price")</f>
        <v>Average Price</v>
      </c>
      <c r="J5" s="21" t="str">
        <f ca="1">IFERROR(__xludf.DUMMYFUNCTION("""COMPUTED_VALUE"""),"BloombergSymbol")</f>
        <v>BloombergSymbol</v>
      </c>
      <c r="K5" s="21" t="str">
        <f ca="1">IFERROR(__xludf.DUMMYFUNCTION("""COMPUTED_VALUE"""),"Broker")</f>
        <v>Broker</v>
      </c>
      <c r="L5" s="21" t="str">
        <f ca="1">IFERROR(__xludf.DUMMYFUNCTION("""COMPUTED_VALUE"""),"CalcBasis")</f>
        <v>CalcBasis</v>
      </c>
      <c r="M5" s="21" t="str">
        <f ca="1">IFERROR(__xludf.DUMMYFUNCTION("""COMPUTED_VALUE"""),"CashSettledPrice")</f>
        <v>CashSettledPrice</v>
      </c>
      <c r="N5" s="21" t="str">
        <f ca="1">IFERROR(__xludf.DUMMYFUNCTION("""COMPUTED_VALUE"""),"ChangeComment")</f>
        <v>ChangeComment</v>
      </c>
      <c r="O5" s="21" t="str">
        <f ca="1">IFERROR(__xludf.DUMMYFUNCTION("""COMPUTED_VALUE"""),"ChangeType")</f>
        <v>ChangeType</v>
      </c>
      <c r="P5" s="21" t="str">
        <f ca="1">IFERROR(__xludf.DUMMYFUNCTION("""COMPUTED_VALUE"""),"ClearingBrokerFee")</f>
        <v>ClearingBrokerFee</v>
      </c>
      <c r="Q5" s="21" t="str">
        <f ca="1">IFERROR(__xludf.DUMMYFUNCTION("""COMPUTED_VALUE"""),"ClearingFee")</f>
        <v>ClearingFee</v>
      </c>
      <c r="R5" s="21" t="str">
        <f ca="1">IFERROR(__xludf.DUMMYFUNCTION("""COMPUTED_VALUE"""),"ClosedTotalCommissionandFees")</f>
        <v>ClosedTotalCommissionandFees</v>
      </c>
      <c r="S5" s="21" t="str">
        <f ca="1">IFERROR(__xludf.DUMMYFUNCTION("""COMPUTED_VALUE"""),"ClosingAlgo")</f>
        <v>ClosingAlgo</v>
      </c>
      <c r="T5" s="23" t="str">
        <f ca="1">IFERROR(__xludf.DUMMYFUNCTION("""COMPUTED_VALUE"""),"ClosingDate")</f>
        <v>ClosingDate</v>
      </c>
      <c r="U5" s="23" t="str">
        <f ca="1">IFERROR(__xludf.DUMMYFUNCTION("""COMPUTED_VALUE"""),"ClosingStatus")</f>
        <v>ClosingStatus</v>
      </c>
      <c r="V5" s="23" t="str">
        <f ca="1">IFERROR(__xludf.DUMMYFUNCTION("""COMPUTED_VALUE"""),"Commission")</f>
        <v>Commission</v>
      </c>
      <c r="W5" s="23" t="str">
        <f ca="1">IFERROR(__xludf.DUMMYFUNCTION("""COMPUTED_VALUE"""),"CommissionAmt")</f>
        <v>CommissionAmt</v>
      </c>
      <c r="X5" s="23" t="str">
        <f ca="1">IFERROR(__xludf.DUMMYFUNCTION("""COMPUTED_VALUE"""),"CommissionRate")</f>
        <v>CommissionRate</v>
      </c>
      <c r="Y5" s="23" t="str">
        <f ca="1">IFERROR(__xludf.DUMMYFUNCTION("""COMPUTED_VALUE"""),"CompanyUserName")</f>
        <v>CompanyUserName</v>
      </c>
      <c r="Z5" s="23" t="str">
        <f ca="1">IFERROR(__xludf.DUMMYFUNCTION("""COMPUTED_VALUE"""),"ContractMultiplier")</f>
        <v>ContractMultiplier</v>
      </c>
      <c r="AA5" s="23" t="str">
        <f ca="1">IFERROR(__xludf.DUMMYFUNCTION("""COMPUTED_VALUE"""),"CountryName")</f>
        <v>CountryName</v>
      </c>
      <c r="AB5" s="23" t="str">
        <f ca="1">IFERROR(__xludf.DUMMYFUNCTION("""COMPUTED_VALUE"""),"CountryOfRisk")</f>
        <v>CountryOfRisk</v>
      </c>
      <c r="AC5" s="23" t="str">
        <f ca="1">IFERROR(__xludf.DUMMYFUNCTION("""COMPUTED_VALUE"""),"CumQty")</f>
        <v>CumQty</v>
      </c>
      <c r="AD5" s="23" t="str">
        <f ca="1">IFERROR(__xludf.DUMMYFUNCTION("""COMPUTED_VALUE"""),"CurrencyID")</f>
        <v>CurrencyID</v>
      </c>
      <c r="AE5" s="23" t="str">
        <f ca="1">IFERROR(__xludf.DUMMYFUNCTION("""COMPUTED_VALUE"""),"CurrencyName")</f>
        <v>CurrencyName</v>
      </c>
      <c r="AF5" s="23" t="str">
        <f ca="1">IFERROR(__xludf.DUMMYFUNCTION("""COMPUTED_VALUE"""),"CusipSymbol")</f>
        <v>CusipSymbol</v>
      </c>
      <c r="AG5" s="23" t="str">
        <f ca="1">IFERROR(__xludf.DUMMYFUNCTION("""COMPUTED_VALUE"""),"CustomUDA1")</f>
        <v>CustomUDA1</v>
      </c>
      <c r="AH5" s="23" t="str">
        <f ca="1">IFERROR(__xludf.DUMMYFUNCTION("""COMPUTED_VALUE"""),"CustomUDA2")</f>
        <v>CustomUDA2</v>
      </c>
      <c r="AI5" s="23" t="str">
        <f ca="1">IFERROR(__xludf.DUMMYFUNCTION("""COMPUTED_VALUE"""),"CustomUDA3")</f>
        <v>CustomUDA3</v>
      </c>
      <c r="AJ5" s="23" t="str">
        <f ca="1">IFERROR(__xludf.DUMMYFUNCTION("""COMPUTED_VALUE"""),"CustomUDA4")</f>
        <v>CustomUDA4</v>
      </c>
      <c r="AK5" s="23" t="str">
        <f ca="1">IFERROR(__xludf.DUMMYFUNCTION("""COMPUTED_VALUE"""),"CustomUDA5")</f>
        <v>CustomUDA5</v>
      </c>
      <c r="AL5" s="23" t="str">
        <f ca="1">IFERROR(__xludf.DUMMYFUNCTION("""COMPUTED_VALUE"""),"CustomUDA6")</f>
        <v>CustomUDA6</v>
      </c>
      <c r="AM5" s="23" t="str">
        <f ca="1">IFERROR(__xludf.DUMMYFUNCTION("""COMPUTED_VALUE"""),"CustomUDA7")</f>
        <v>CustomUDA7</v>
      </c>
      <c r="AN5" s="23" t="str">
        <f ca="1">IFERROR(__xludf.DUMMYFUNCTION("""COMPUTED_VALUE"""),"Delta")</f>
        <v>Delta</v>
      </c>
      <c r="AO5" s="23" t="str">
        <f ca="1">IFERROR(__xludf.DUMMYFUNCTION("""COMPUTED_VALUE"""),"Description")</f>
        <v>Description</v>
      </c>
      <c r="AP5" s="23" t="str">
        <f ca="1">IFERROR(__xludf.DUMMYFUNCTION("""COMPUTED_VALUE"""),"ExchangeName")</f>
        <v>ExchangeName</v>
      </c>
      <c r="AQ5" s="23" t="str">
        <f ca="1">IFERROR(__xludf.DUMMYFUNCTION("""COMPUTED_VALUE"""),"ExecutedQty")</f>
        <v>ExecutedQty</v>
      </c>
      <c r="AR5" s="23" t="str">
        <f ca="1">IFERROR(__xludf.DUMMYFUNCTION("""COMPUTED_VALUE"""),"ExpirationDate")</f>
        <v>ExpirationDate</v>
      </c>
      <c r="AS5" s="23" t="str">
        <f ca="1">IFERROR(__xludf.DUMMYFUNCTION("""COMPUTED_VALUE"""),"ExternalTransID")</f>
        <v>ExternalTransID</v>
      </c>
      <c r="AT5" s="23" t="str">
        <f ca="1">IFERROR(__xludf.DUMMYFUNCTION("""COMPUTED_VALUE"""),"FXConversionMethodOperator")</f>
        <v>FXConversionMethodOperator</v>
      </c>
      <c r="AU5" s="23" t="str">
        <f ca="1">IFERROR(__xludf.DUMMYFUNCTION("""COMPUTED_VALUE"""),"FXRate")</f>
        <v>FXRate</v>
      </c>
      <c r="AV5" s="23" t="str">
        <f ca="1">IFERROR(__xludf.DUMMYFUNCTION("""COMPUTED_VALUE"""),"GroupID")</f>
        <v>GroupID</v>
      </c>
      <c r="AW5" s="23" t="str">
        <f ca="1">IFERROR(__xludf.DUMMYFUNCTION("""COMPUTED_VALUE"""),"IDCOSymbol")</f>
        <v>IDCOSymbol</v>
      </c>
      <c r="AX5" s="23" t="str">
        <f ca="1">IFERROR(__xludf.DUMMYFUNCTION("""COMPUTED_VALUE"""),"InternalComments")</f>
        <v>InternalComments</v>
      </c>
      <c r="AY5" s="23" t="str">
        <f ca="1">IFERROR(__xludf.DUMMYFUNCTION("""COMPUTED_VALUE"""),"IsExerciseAtZero")</f>
        <v>IsExerciseAtZero</v>
      </c>
      <c r="AZ5" s="23" t="str">
        <f ca="1">IFERROR(__xludf.DUMMYFUNCTION("""COMPUTED_VALUE"""),"ISINSymbol")</f>
        <v>ISINSymbol</v>
      </c>
      <c r="BA5" s="23" t="str">
        <f ca="1">IFERROR(__xludf.DUMMYFUNCTION("""COMPUTED_VALUE"""),"IsNDF")</f>
        <v>IsNDF</v>
      </c>
      <c r="BB5" s="23" t="str">
        <f ca="1">IFERROR(__xludf.DUMMYFUNCTION("""COMPUTED_VALUE"""),"IsPosition")</f>
        <v>IsPosition</v>
      </c>
      <c r="BC5" s="23" t="str">
        <f ca="1">IFERROR(__xludf.DUMMYFUNCTION("""COMPUTED_VALUE"""),"IsPreAllocated")</f>
        <v>IsPreAllocated</v>
      </c>
      <c r="BD5" s="23" t="str">
        <f ca="1">IFERROR(__xludf.DUMMYFUNCTION("""COMPUTED_VALUE"""),"Issuer")</f>
        <v>Issuer</v>
      </c>
      <c r="BE5" s="23" t="str">
        <f ca="1">IFERROR(__xludf.DUMMYFUNCTION("""COMPUTED_VALUE"""),"IsSwapped")</f>
        <v>IsSwapped</v>
      </c>
      <c r="BF5" s="23" t="str">
        <f ca="1">IFERROR(__xludf.DUMMYFUNCTION("""COMPUTED_VALUE"""),"LeadCurrencyID")</f>
        <v>LeadCurrencyID</v>
      </c>
      <c r="BG5" s="23" t="str">
        <f ca="1">IFERROR(__xludf.DUMMYFUNCTION("""COMPUTED_VALUE"""),"LiquidTag")</f>
        <v>LiquidTag</v>
      </c>
      <c r="BH5" s="23" t="str">
        <f ca="1">IFERROR(__xludf.DUMMYFUNCTION("""COMPUTED_VALUE"""),"LongOrShort")</f>
        <v>LongOrShort</v>
      </c>
      <c r="BI5" s="23" t="str">
        <f ca="1">IFERROR(__xludf.DUMMYFUNCTION("""COMPUTED_VALUE"""),"LotId")</f>
        <v>LotId</v>
      </c>
      <c r="BJ5" s="23" t="str">
        <f ca="1">IFERROR(__xludf.DUMMYFUNCTION("""COMPUTED_VALUE"""),"M2MProfitLoss")</f>
        <v>M2MProfitLoss</v>
      </c>
      <c r="BK5" s="23" t="str">
        <f ca="1">IFERROR(__xludf.DUMMYFUNCTION("""COMPUTED_VALUE"""),"MarkPrice")</f>
        <v>MarkPrice</v>
      </c>
      <c r="BL5" s="23" t="str">
        <f ca="1">IFERROR(__xludf.DUMMYFUNCTION("""COMPUTED_VALUE"""),"MasterFund")</f>
        <v>MasterFund</v>
      </c>
      <c r="BM5" s="23" t="str">
        <f ca="1">IFERROR(__xludf.DUMMYFUNCTION("""COMPUTED_VALUE"""),"MiscFees")</f>
        <v>MiscFees</v>
      </c>
      <c r="BN5" s="23" t="str">
        <f ca="1">IFERROR(__xludf.DUMMYFUNCTION("""COMPUTED_VALUE"""),"NavLockStatus")</f>
        <v>NavLockStatus</v>
      </c>
      <c r="BO5" s="23" t="str">
        <f ca="1">IFERROR(__xludf.DUMMYFUNCTION("""COMPUTED_VALUE"""),"Net Notional")</f>
        <v>Net Notional</v>
      </c>
      <c r="BP5" s="23" t="str">
        <f ca="1">IFERROR(__xludf.DUMMYFUNCTION("""COMPUTED_VALUE"""),"NirvanaProcessDate")</f>
        <v>NirvanaProcessDate</v>
      </c>
      <c r="BQ5" s="23" t="str">
        <f ca="1">IFERROR(__xludf.DUMMYFUNCTION("""COMPUTED_VALUE"""),"OccFee")</f>
        <v>OccFee</v>
      </c>
      <c r="BR5" s="23" t="str">
        <f ca="1">IFERROR(__xludf.DUMMYFUNCTION("""COMPUTED_VALUE"""),"OptionPremiumAdjustment")</f>
        <v>OptionPremiumAdjustment</v>
      </c>
      <c r="BS5" s="23" t="str">
        <f ca="1">IFERROR(__xludf.DUMMYFUNCTION("""COMPUTED_VALUE"""),"OrderSideTagValue")</f>
        <v>OrderSideTagValue</v>
      </c>
      <c r="BT5" s="23" t="str">
        <f ca="1">IFERROR(__xludf.DUMMYFUNCTION("""COMPUTED_VALUE"""),"OrderType")</f>
        <v>OrderType</v>
      </c>
      <c r="BU5" s="23" t="str">
        <f ca="1">IFERROR(__xludf.DUMMYFUNCTION("""COMPUTED_VALUE"""),"OrfFee")</f>
        <v>OrfFee</v>
      </c>
      <c r="BV5" s="23" t="str">
        <f ca="1">IFERROR(__xludf.DUMMYFUNCTION("""COMPUTED_VALUE"""),"Original Side")</f>
        <v>Original Side</v>
      </c>
      <c r="BW5" s="23" t="str">
        <f ca="1">IFERROR(__xludf.DUMMYFUNCTION("""COMPUTED_VALUE"""),"OriginalPurchase Date")</f>
        <v>OriginalPurchase Date</v>
      </c>
      <c r="BX5" s="23" t="str">
        <f ca="1">IFERROR(__xludf.DUMMYFUNCTION("""COMPUTED_VALUE"""),"OSISymbol")</f>
        <v>OSISymbol</v>
      </c>
      <c r="BY5" s="23" t="str">
        <f ca="1">IFERROR(__xludf.DUMMYFUNCTION("""COMPUTED_VALUE"""),"OtherBrokerFees")</f>
        <v>OtherBrokerFees</v>
      </c>
      <c r="BZ5" s="23" t="str">
        <f ca="1">IFERROR(__xludf.DUMMYFUNCTION("""COMPUTED_VALUE"""),"ParentRowPK")</f>
        <v>ParentRowPK</v>
      </c>
      <c r="CA5" s="23" t="str">
        <f ca="1">IFERROR(__xludf.DUMMYFUNCTION("""COMPUTED_VALUE"""),"Percentage")</f>
        <v>Percentage</v>
      </c>
      <c r="CB5" s="23" t="str">
        <f ca="1">IFERROR(__xludf.DUMMYFUNCTION("""COMPUTED_VALUE"""),"PositionTag")</f>
        <v>PositionTag</v>
      </c>
      <c r="CC5" s="23" t="str">
        <f ca="1">IFERROR(__xludf.DUMMYFUNCTION("""COMPUTED_VALUE"""),"PositionType")</f>
        <v>PositionType</v>
      </c>
      <c r="CD5" s="23" t="str">
        <f ca="1">IFERROR(__xludf.DUMMYFUNCTION("""COMPUTED_VALUE"""),"Process Date")</f>
        <v>Process Date</v>
      </c>
      <c r="CE5" s="23" t="str">
        <f ca="1">IFERROR(__xludf.DUMMYFUNCTION("""COMPUTED_VALUE"""),"ProxySymbol")</f>
        <v>ProxySymbol</v>
      </c>
      <c r="CF5" s="23" t="str">
        <f ca="1">IFERROR(__xludf.DUMMYFUNCTION("""COMPUTED_VALUE"""),"PutOrCall")</f>
        <v>PutOrCall</v>
      </c>
      <c r="CG5" s="23" t="str">
        <f ca="1">IFERROR(__xludf.DUMMYFUNCTION("""COMPUTED_VALUE"""),"Quantity")</f>
        <v>Quantity</v>
      </c>
      <c r="CH5" s="23" t="str">
        <f ca="1">IFERROR(__xludf.DUMMYFUNCTION("""COMPUTED_VALUE"""),"Region")</f>
        <v>Region</v>
      </c>
      <c r="CI5" s="23" t="str">
        <f ca="1">IFERROR(__xludf.DUMMYFUNCTION("""COMPUTED_VALUE"""),"ReutersSymbol")</f>
        <v>ReutersSymbol</v>
      </c>
      <c r="CJ5" s="23" t="str">
        <f ca="1">IFERROR(__xludf.DUMMYFUNCTION("""COMPUTED_VALUE"""),"RiskCurrency")</f>
        <v>RiskCurrency</v>
      </c>
      <c r="CK5" s="23" t="str">
        <f ca="1">IFERROR(__xludf.DUMMYFUNCTION("""COMPUTED_VALUE"""),"SecFee")</f>
        <v>SecFee</v>
      </c>
      <c r="CL5" s="23" t="str">
        <f ca="1">IFERROR(__xludf.DUMMYFUNCTION("""COMPUTED_VALUE"""),"SectorName")</f>
        <v>SectorName</v>
      </c>
      <c r="CM5" s="23" t="str">
        <f ca="1">IFERROR(__xludf.DUMMYFUNCTION("""COMPUTED_VALUE"""),"Security Name")</f>
        <v>Security Name</v>
      </c>
      <c r="CN5" s="23" t="str">
        <f ca="1">IFERROR(__xludf.DUMMYFUNCTION("""COMPUTED_VALUE"""),"SecurityTypeName")</f>
        <v>SecurityTypeName</v>
      </c>
      <c r="CO5" s="23" t="str">
        <f ca="1">IFERROR(__xludf.DUMMYFUNCTION("""COMPUTED_VALUE"""),"SedolSymbol")</f>
        <v>SedolSymbol</v>
      </c>
      <c r="CP5" s="23" t="str">
        <f ca="1">IFERROR(__xludf.DUMMYFUNCTION("""COMPUTED_VALUE"""),"SettlCurrAmt")</f>
        <v>SettlCurrAmt</v>
      </c>
      <c r="CQ5" s="23" t="str">
        <f ca="1">IFERROR(__xludf.DUMMYFUNCTION("""COMPUTED_VALUE"""),"SettlCurrFxRate")</f>
        <v>SettlCurrFxRate</v>
      </c>
      <c r="CR5" s="23" t="str">
        <f ca="1">IFERROR(__xludf.DUMMYFUNCTION("""COMPUTED_VALUE"""),"SettlCurrFxRateCalc")</f>
        <v>SettlCurrFxRateCalc</v>
      </c>
      <c r="CS5" s="23" t="str">
        <f ca="1">IFERROR(__xludf.DUMMYFUNCTION("""COMPUTED_VALUE"""),"SettlCurrUnitCost")</f>
        <v>SettlCurrUnitCost</v>
      </c>
      <c r="CT5" s="23" t="str">
        <f ca="1">IFERROR(__xludf.DUMMYFUNCTION("""COMPUTED_VALUE"""),"Settlement Mode")</f>
        <v>Settlement Mode</v>
      </c>
      <c r="CU5" s="23" t="str">
        <f ca="1">IFERROR(__xludf.DUMMYFUNCTION("""COMPUTED_VALUE"""),"Settlement Qty")</f>
        <v>Settlement Qty</v>
      </c>
      <c r="CV5" s="23" t="str">
        <f ca="1">IFERROR(__xludf.DUMMYFUNCTION("""COMPUTED_VALUE"""),"SettlementCurrencyID")</f>
        <v>SettlementCurrencyID</v>
      </c>
      <c r="CW5" s="23" t="str">
        <f ca="1">IFERROR(__xludf.DUMMYFUNCTION("""COMPUTED_VALUE"""),"SettlementDate")</f>
        <v>SettlementDate</v>
      </c>
      <c r="CX5" s="23" t="str">
        <f ca="1">IFERROR(__xludf.DUMMYFUNCTION("""COMPUTED_VALUE"""),"SideMultiplier")</f>
        <v>SideMultiplier</v>
      </c>
      <c r="CY5" s="23" t="str">
        <f ca="1">IFERROR(__xludf.DUMMYFUNCTION("""COMPUTED_VALUE"""),"SoftCommission")</f>
        <v>SoftCommission</v>
      </c>
      <c r="CZ5" s="23" t="str">
        <f ca="1">IFERROR(__xludf.DUMMYFUNCTION("""COMPUTED_VALUE"""),"SoftCommissionAmt")</f>
        <v>SoftCommissionAmt</v>
      </c>
      <c r="DA5" s="23" t="str">
        <f ca="1">IFERROR(__xludf.DUMMYFUNCTION("""COMPUTED_VALUE"""),"SoftCommissionCalcBasis")</f>
        <v>SoftCommissionCalcBasis</v>
      </c>
      <c r="DB5" s="23" t="str">
        <f ca="1">IFERROR(__xludf.DUMMYFUNCTION("""COMPUTED_VALUE"""),"SoftCommissionRate")</f>
        <v>SoftCommissionRate</v>
      </c>
      <c r="DC5" s="23" t="str">
        <f ca="1">IFERROR(__xludf.DUMMYFUNCTION("""COMPUTED_VALUE"""),"StampDuty")</f>
        <v>StampDuty</v>
      </c>
      <c r="DD5" s="23" t="str">
        <f ca="1">IFERROR(__xludf.DUMMYFUNCTION("""COMPUTED_VALUE"""),"Strategy")</f>
        <v>Strategy</v>
      </c>
      <c r="DE5" s="23" t="str">
        <f ca="1">IFERROR(__xludf.DUMMYFUNCTION("""COMPUTED_VALUE"""),"StrikePrice")</f>
        <v>StrikePrice</v>
      </c>
      <c r="DF5" s="23" t="str">
        <f ca="1">IFERROR(__xludf.DUMMYFUNCTION("""COMPUTED_VALUE"""),"SubSectorName")</f>
        <v>SubSectorName</v>
      </c>
      <c r="DG5" s="23" t="str">
        <f ca="1">IFERROR(__xludf.DUMMYFUNCTION("""COMPUTED_VALUE"""),"SwapParameters")</f>
        <v>SwapParameters</v>
      </c>
      <c r="DH5" s="23" t="str">
        <f ca="1">IFERROR(__xludf.DUMMYFUNCTION("""COMPUTED_VALUE"""),"Symbol")</f>
        <v>Symbol</v>
      </c>
      <c r="DI5" s="23" t="str">
        <f ca="1">IFERROR(__xludf.DUMMYFUNCTION("""COMPUTED_VALUE"""),"TaxlotClosingId")</f>
        <v>TaxlotClosingId</v>
      </c>
      <c r="DJ5" s="23" t="str">
        <f ca="1">IFERROR(__xludf.DUMMYFUNCTION("""COMPUTED_VALUE"""),"TaxLotID")</f>
        <v>TaxLotID</v>
      </c>
      <c r="DK5" s="23" t="str">
        <f ca="1">IFERROR(__xludf.DUMMYFUNCTION("""COMPUTED_VALUE"""),"TaxlotPk")</f>
        <v>TaxlotPk</v>
      </c>
      <c r="DL5" s="23" t="str">
        <f ca="1">IFERROR(__xludf.DUMMYFUNCTION("""COMPUTED_VALUE"""),"TaxLotQtyToClose")</f>
        <v>TaxLotQtyToClose</v>
      </c>
      <c r="DM5" s="23" t="str">
        <f ca="1">IFERROR(__xludf.DUMMYFUNCTION("""COMPUTED_VALUE"""),"TaxonCommissions")</f>
        <v>TaxonCommissions</v>
      </c>
      <c r="DN5" s="23" t="str">
        <f ca="1">IFERROR(__xludf.DUMMYFUNCTION("""COMPUTED_VALUE"""),"TimeOfSaveUTC")</f>
        <v>TimeOfSaveUTC</v>
      </c>
      <c r="DO5" s="23" t="str">
        <f ca="1">IFERROR(__xludf.DUMMYFUNCTION("""COMPUTED_VALUE"""),"TotalCommission&amp;Fees")</f>
        <v>TotalCommission&amp;Fees</v>
      </c>
      <c r="DP5" s="23" t="str">
        <f ca="1">IFERROR(__xludf.DUMMYFUNCTION("""COMPUTED_VALUE"""),"TotalCommissionandFees")</f>
        <v>TotalCommissionandFees</v>
      </c>
      <c r="DQ5" s="23" t="str">
        <f ca="1">IFERROR(__xludf.DUMMYFUNCTION("""COMPUTED_VALUE"""),"Tradedate")</f>
        <v>Tradedate</v>
      </c>
      <c r="DR5" s="23" t="str">
        <f ca="1">IFERROR(__xludf.DUMMYFUNCTION("""COMPUTED_VALUE"""),"TradeAttribute1")</f>
        <v>TradeAttribute1</v>
      </c>
      <c r="DS5" s="23" t="str">
        <f ca="1">IFERROR(__xludf.DUMMYFUNCTION("""COMPUTED_VALUE"""),"TradeAttribute2")</f>
        <v>TradeAttribute2</v>
      </c>
      <c r="DT5" s="23" t="str">
        <f ca="1">IFERROR(__xludf.DUMMYFUNCTION("""COMPUTED_VALUE"""),"TradeAttribute3")</f>
        <v>TradeAttribute3</v>
      </c>
      <c r="DU5" s="23" t="str">
        <f ca="1">IFERROR(__xludf.DUMMYFUNCTION("""COMPUTED_VALUE"""),"TradeAttribute4")</f>
        <v>TradeAttribute4</v>
      </c>
      <c r="DV5" s="23" t="str">
        <f ca="1">IFERROR(__xludf.DUMMYFUNCTION("""COMPUTED_VALUE"""),"TradeAttribute5")</f>
        <v>TradeAttribute5</v>
      </c>
      <c r="DW5" s="23" t="str">
        <f ca="1">IFERROR(__xludf.DUMMYFUNCTION("""COMPUTED_VALUE"""),"TradeAttribute6")</f>
        <v>TradeAttribute6</v>
      </c>
      <c r="DX5" s="23" t="str">
        <f ca="1">IFERROR(__xludf.DUMMYFUNCTION("""COMPUTED_VALUE"""),"TradingAccountName")</f>
        <v>TradingAccountName</v>
      </c>
      <c r="DY5" s="23" t="str">
        <f ca="1">IFERROR(__xludf.DUMMYFUNCTION("""COMPUTED_VALUE"""),"TransactionLevy")</f>
        <v>TransactionLevy</v>
      </c>
      <c r="DZ5" s="23" t="str">
        <f ca="1">IFERROR(__xludf.DUMMYFUNCTION("""COMPUTED_VALUE"""),"TransactionType")</f>
        <v>TransactionType</v>
      </c>
      <c r="EA5" s="23" t="str">
        <f ca="1">IFERROR(__xludf.DUMMYFUNCTION("""COMPUTED_VALUE"""),"UcitsEligibleTag")</f>
        <v>UcitsEligibleTag</v>
      </c>
      <c r="EB5" s="23" t="str">
        <f ca="1">IFERROR(__xludf.DUMMYFUNCTION("""COMPUTED_VALUE"""),"UDAAsset")</f>
        <v>UDAAsset</v>
      </c>
      <c r="EC5" s="23" t="str">
        <f ca="1">IFERROR(__xludf.DUMMYFUNCTION("""COMPUTED_VALUE"""),"UnderlyingDelta")</f>
        <v>UnderlyingDelta</v>
      </c>
      <c r="ED5" s="23" t="str">
        <f ca="1">IFERROR(__xludf.DUMMYFUNCTION("""COMPUTED_VALUE"""),"UnderlyingName")</f>
        <v>UnderlyingName</v>
      </c>
      <c r="EE5" s="23" t="str">
        <f ca="1">IFERROR(__xludf.DUMMYFUNCTION("""COMPUTED_VALUE"""),"UnderlyingSymbol")</f>
        <v>UnderlyingSymbol</v>
      </c>
      <c r="EF5" s="23" t="str">
        <f ca="1">IFERROR(__xludf.DUMMYFUNCTION("""COMPUTED_VALUE"""),"UnitCost")</f>
        <v>UnitCost</v>
      </c>
      <c r="EG5" s="23" t="str">
        <f ca="1">IFERROR(__xludf.DUMMYFUNCTION("""COMPUTED_VALUE"""),"UnRealizedPNL")</f>
        <v>UnRealizedPNL</v>
      </c>
      <c r="EH5" s="23" t="str">
        <f ca="1">IFERROR(__xludf.DUMMYFUNCTION("""COMPUTED_VALUE"""),"Venue")</f>
        <v>Venue</v>
      </c>
      <c r="EI5" s="23" t="str">
        <f ca="1">IFERROR(__xludf.DUMMYFUNCTION("""COMPUTED_VALUE"""),"VsCurrencyID")</f>
        <v>VsCurrencyID</v>
      </c>
      <c r="EJ5" s="23" t="str">
        <f ca="1">IFERROR(__xludf.DUMMYFUNCTION("""COMPUTED_VALUE"""),"WorkflowState")</f>
        <v>WorkflowState</v>
      </c>
      <c r="EK5" s="23" t="str">
        <f ca="1">IFERROR(__xludf.DUMMYFUNCTION("""COMPUTED_VALUE"""),"AvgPriceBase")</f>
        <v>AvgPriceBase</v>
      </c>
      <c r="EL5" s="23" t="str">
        <f ca="1">IFERROR(__xludf.DUMMYFUNCTION("""COMPUTED_VALUE"""),"MarketCap")</f>
        <v>MarketCap</v>
      </c>
      <c r="EM5" s="23" t="str">
        <f ca="1">IFERROR(__xludf.DUMMYFUNCTION("""COMPUTED_VALUE"""),"UnitCostBase")</f>
        <v>UnitCostBase</v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5" t="s">
        <v>18</v>
      </c>
      <c r="C6" s="2"/>
      <c r="D6" s="2"/>
      <c r="E6" s="5" t="s">
        <v>23</v>
      </c>
      <c r="F6" s="2"/>
      <c r="G6" s="2"/>
      <c r="H6" s="2"/>
      <c r="I6" s="5">
        <v>45</v>
      </c>
      <c r="J6" s="5"/>
      <c r="K6" s="2"/>
      <c r="L6" s="2"/>
      <c r="M6" s="2"/>
      <c r="N6" s="2"/>
      <c r="O6" s="2"/>
      <c r="AW6" s="25"/>
      <c r="BL6" s="25"/>
      <c r="CG6" s="25">
        <v>500</v>
      </c>
      <c r="DH6" s="25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abSelected="1" workbookViewId="0">
      <selection activeCell="AR10" sqref="AR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3" width="14.42578125" customWidth="1"/>
    <col min="64" max="64" width="19.7109375" customWidth="1"/>
    <col min="65" max="154" width="14.42578125" customWidth="1"/>
  </cols>
  <sheetData>
    <row r="1" spans="1:154" ht="15.75" customHeight="1" x14ac:dyDescent="0.3">
      <c r="A1" s="12"/>
      <c r="B1" s="26" t="s">
        <v>11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19</v>
      </c>
      <c r="D3" s="4" t="s">
        <v>5</v>
      </c>
      <c r="E3" s="16" t="s">
        <v>24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IFERROR(__xludf.DUMMYFUNCTION("""COMPUTED_VALUE"""),"AccountValue")</f>
        <v>AccountValue</v>
      </c>
      <c r="D5" s="21" t="str">
        <f ca="1">IFERROR(__xludf.DUMMYFUNCTION("""COMPUTED_VALUE"""),"AccruedInterest")</f>
        <v>AccruedInterest</v>
      </c>
      <c r="E5" s="21" t="str">
        <f ca="1">IFERROR(__xludf.DUMMYFUNCTION("""COMPUTED_VALUE"""),"Asset")</f>
        <v>Asset</v>
      </c>
      <c r="F5" s="22" t="str">
        <f ca="1">IFERROR(__xludf.DUMMYFUNCTION("""COMPUTED_VALUE"""),"AUEC Fee1")</f>
        <v>AUEC Fee1</v>
      </c>
      <c r="G5" s="21" t="str">
        <f ca="1">IFERROR(__xludf.DUMMYFUNCTION("""COMPUTED_VALUE"""),"AUCE Fee2")</f>
        <v>AUCE Fee2</v>
      </c>
      <c r="H5" s="21" t="str">
        <f ca="1">IFERROR(__xludf.DUMMYFUNCTION("""COMPUTED_VALUE"""),"AUECID")</f>
        <v>AUECID</v>
      </c>
      <c r="I5" s="21" t="str">
        <f ca="1">IFERROR(__xludf.DUMMYFUNCTION("""COMPUTED_VALUE"""),"AUECLocalDateToday")</f>
        <v>AUECLocalDateToday</v>
      </c>
      <c r="J5" s="21" t="str">
        <f ca="1">IFERROR(__xludf.DUMMYFUNCTION("""COMPUTED_VALUE"""),"Average Price")</f>
        <v>Average Price</v>
      </c>
      <c r="K5" s="21" t="str">
        <f ca="1">IFERROR(__xludf.DUMMYFUNCTION("""COMPUTED_VALUE"""),"AvgPriceRealizedPL")</f>
        <v>AvgPriceRealizedPL</v>
      </c>
      <c r="L5" s="21" t="str">
        <f ca="1">IFERROR(__xludf.DUMMYFUNCTION("""COMPUTED_VALUE"""),"Broker")</f>
        <v>Broker</v>
      </c>
      <c r="M5" s="21" t="str">
        <f ca="1">IFERROR(__xludf.DUMMYFUNCTION("""COMPUTED_VALUE"""),"Clearing Broker Fee")</f>
        <v>Clearing Broker Fee</v>
      </c>
      <c r="N5" s="21" t="str">
        <f ca="1">IFERROR(__xludf.DUMMYFUNCTION("""COMPUTED_VALUE"""),"ClosedQty")</f>
        <v>ClosedQty</v>
      </c>
      <c r="O5" s="21" t="str">
        <f ca="1">IFERROR(__xludf.DUMMYFUNCTION("""COMPUTED_VALUE"""),"Commission")</f>
        <v>Commission</v>
      </c>
      <c r="P5" s="21" t="str">
        <f ca="1">IFERROR(__xludf.DUMMYFUNCTION("""COMPUTED_VALUE"""),"CostBasisRealizePNL")</f>
        <v>CostBasisRealizePNL</v>
      </c>
      <c r="Q5" s="21" t="str">
        <f ca="1">IFERROR(__xludf.DUMMYFUNCTION("""COMPUTED_VALUE"""),"Currency")</f>
        <v>Currency</v>
      </c>
      <c r="R5" s="21" t="str">
        <f ca="1">IFERROR(__xludf.DUMMYFUNCTION("""COMPUTED_VALUE"""),"Description")</f>
        <v>Description</v>
      </c>
      <c r="S5" s="21" t="str">
        <f ca="1">IFERROR(__xludf.DUMMYFUNCTION("""COMPUTED_VALUE"""),"EndDate")</f>
        <v>EndDate</v>
      </c>
      <c r="T5" s="23" t="str">
        <f ca="1">IFERROR(__xludf.DUMMYFUNCTION("""COMPUTED_VALUE"""),"ExchangeID")</f>
        <v>ExchangeID</v>
      </c>
      <c r="U5" s="23" t="str">
        <f ca="1">IFERROR(__xludf.DUMMYFUNCTION("""COMPUTED_VALUE"""),"Expiration Date")</f>
        <v>Expiration Date</v>
      </c>
      <c r="V5" s="23" t="str">
        <f ca="1">IFERROR(__xludf.DUMMYFUNCTION("""COMPUTED_VALUE"""),"ExpiredQty")</f>
        <v>ExpiredQty</v>
      </c>
      <c r="W5" s="23" t="str">
        <f ca="1">IFERROR(__xludf.DUMMYFUNCTION("""COMPUTED_VALUE"""),"ExpiredTaxlotID")</f>
        <v>ExpiredTaxlotID</v>
      </c>
      <c r="X5" s="23" t="str">
        <f ca="1">IFERROR(__xludf.DUMMYFUNCTION("""COMPUTED_VALUE"""),"FXRate")</f>
        <v>FXRate</v>
      </c>
      <c r="Y5" s="23" t="str">
        <f ca="1">IFERROR(__xludf.DUMMYFUNCTION("""COMPUTED_VALUE"""),"FXRateoperator")</f>
        <v>FXRateoperator</v>
      </c>
      <c r="Z5" s="23" t="str">
        <f ca="1">IFERROR(__xludf.DUMMYFUNCTION("""COMPUTED_VALUE"""),"ID")</f>
        <v>ID</v>
      </c>
      <c r="AA5" s="23" t="str">
        <f ca="1">IFERROR(__xludf.DUMMYFUNCTION("""COMPUTED_VALUE"""),"If Pay/Recevie Changes")</f>
        <v>If Pay/Recevie Changes</v>
      </c>
      <c r="AB5" s="23" t="str">
        <f ca="1">IFERROR(__xludf.DUMMYFUNCTION("""COMPUTED_VALUE"""),"IntPositionType")</f>
        <v>IntPositionType</v>
      </c>
      <c r="AC5" s="23" t="str">
        <f ca="1">IFERROR(__xludf.DUMMYFUNCTION("""COMPUTED_VALUE"""),"LeadCurrencyID")</f>
        <v>LeadCurrencyID</v>
      </c>
      <c r="AD5" s="23" t="str">
        <f ca="1">IFERROR(__xludf.DUMMYFUNCTION("""COMPUTED_VALUE"""),"Leveraged Factor")</f>
        <v>Leveraged Factor</v>
      </c>
      <c r="AE5" s="23" t="str">
        <f ca="1">IFERROR(__xludf.DUMMYFUNCTION("""COMPUTED_VALUE"""),"MarkPriceForMonth")</f>
        <v>MarkPriceForMonth</v>
      </c>
      <c r="AF5" s="23" t="str">
        <f ca="1">IFERROR(__xludf.DUMMYFUNCTION("""COMPUTED_VALUE"""),"MonthToDateRealizedProfit")</f>
        <v>MonthToDateRealizedProfit</v>
      </c>
      <c r="AG5" s="23" t="str">
        <f ca="1">IFERROR(__xludf.DUMMYFUNCTION("""COMPUTED_VALUE"""),"Multiplier")</f>
        <v>Multiplier</v>
      </c>
      <c r="AH5" s="23" t="str">
        <f ca="1">IFERROR(__xludf.DUMMYFUNCTION("""COMPUTED_VALUE"""),"NotionalValue")</f>
        <v>NotionalValue</v>
      </c>
      <c r="AI5" s="23" t="str">
        <f ca="1">IFERROR(__xludf.DUMMYFUNCTION("""COMPUTED_VALUE"""),"OCC Fee")</f>
        <v>OCC Fee</v>
      </c>
      <c r="AJ5" s="23" t="str">
        <f ca="1">IFERROR(__xludf.DUMMYFUNCTION("""COMPUTED_VALUE"""),"OpenQty")</f>
        <v>OpenQty</v>
      </c>
      <c r="AK5" s="23" t="str">
        <f ca="1">IFERROR(__xludf.DUMMYFUNCTION("""COMPUTED_VALUE"""),"Option Activated")</f>
        <v>Option Activated</v>
      </c>
      <c r="AL5" s="23" t="str">
        <f ca="1">IFERROR(__xludf.DUMMYFUNCTION("""COMPUTED_VALUE"""),"Option Type")</f>
        <v>Option Type</v>
      </c>
      <c r="AM5" s="23" t="str">
        <f ca="1">IFERROR(__xludf.DUMMYFUNCTION("""COMPUTED_VALUE"""),"OptionPremiumAdjustment")</f>
        <v>OptionPremiumAdjustment</v>
      </c>
      <c r="AN5" s="23" t="str">
        <f ca="1">IFERROR(__xludf.DUMMYFUNCTION("""COMPUTED_VALUE"""),"ORF Fee")</f>
        <v>ORF Fee</v>
      </c>
      <c r="AO5" s="23" t="str">
        <f ca="1">IFERROR(__xludf.DUMMYFUNCTION("""COMPUTED_VALUE"""),"Original Side")</f>
        <v>Original Side</v>
      </c>
      <c r="AP5" s="23" t="str">
        <f ca="1">IFERROR(__xludf.DUMMYFUNCTION("""COMPUTED_VALUE"""),"OriginalPurchaseDate")</f>
        <v>OriginalPurchaseDate</v>
      </c>
      <c r="AQ5" s="23" t="str">
        <f ca="1">IFERROR(__xludf.DUMMYFUNCTION("""COMPUTED_VALUE"""),"Other Broker Fees")</f>
        <v>Other Broker Fees</v>
      </c>
      <c r="AR5" s="23" t="str">
        <f ca="1">IFERROR(__xludf.DUMMYFUNCTION("""COMPUTED_VALUE"""),"ParentTradeDate")</f>
        <v>ParentTradeDate</v>
      </c>
      <c r="AS5" s="23" t="str">
        <f ca="1">IFERROR(__xludf.DUMMYFUNCTION("""COMPUTED_VALUE"""),"Pay/Recive")</f>
        <v>Pay/Recive</v>
      </c>
      <c r="AT5" s="23" t="str">
        <f ca="1">IFERROR(__xludf.DUMMYFUNCTION("""COMPUTED_VALUE"""),"PositionType")</f>
        <v>PositionType</v>
      </c>
      <c r="AU5" s="23" t="str">
        <f ca="1">IFERROR(__xludf.DUMMYFUNCTION("""COMPUTED_VALUE"""),"ProcessDate")</f>
        <v>ProcessDate</v>
      </c>
      <c r="AV5" s="23" t="str">
        <f ca="1">IFERROR(__xludf.DUMMYFUNCTION("""COMPUTED_VALUE"""),"QtyCurrency")</f>
        <v>QtyCurrency</v>
      </c>
      <c r="AW5" s="23" t="str">
        <f ca="1">IFERROR(__xludf.DUMMYFUNCTION("""COMPUTED_VALUE"""),"Quantity")</f>
        <v>Quantity</v>
      </c>
      <c r="AX5" s="23" t="str">
        <f ca="1">IFERROR(__xludf.DUMMYFUNCTION("""COMPUTED_VALUE"""),"RecordType")</f>
        <v>RecordType</v>
      </c>
      <c r="AY5" s="23" t="str">
        <f ca="1">IFERROR(__xludf.DUMMYFUNCTION("""COMPUTED_VALUE"""),"SEC Fee")</f>
        <v>SEC Fee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IFERROR(__xludf.DUMMYFUNCTION("""COMPUTED_VALUE"""),"Settlement Date")</f>
        <v>Settlement Date</v>
      </c>
      <c r="BB5" s="23" t="str">
        <f ca="1">IFERROR(__xludf.DUMMYFUNCTION("""COMPUTED_VALUE"""),"Settlement FxRate")</f>
        <v>Settlement FxRate</v>
      </c>
      <c r="BC5" s="23" t="str">
        <f ca="1">IFERROR(__xludf.DUMMYFUNCTION("""COMPUTED_VALUE"""),"Settlement FxRate Operator")</f>
        <v>Settlement FxRate Operator</v>
      </c>
      <c r="BD5" s="23" t="str">
        <f ca="1">IFERROR(__xludf.DUMMYFUNCTION("""COMPUTED_VALUE"""),"Settlement Price")</f>
        <v>Settlement Price</v>
      </c>
      <c r="BE5" s="23" t="str">
        <f ca="1">IFERROR(__xludf.DUMMYFUNCTION("""COMPUTED_VALUE"""),"Side")</f>
        <v>Side</v>
      </c>
      <c r="BF5" s="23" t="str">
        <f ca="1">IFERROR(__xludf.DUMMYFUNCTION("""COMPUTED_VALUE"""),"Soft Commission")</f>
        <v>Soft Commission</v>
      </c>
      <c r="BG5" s="23" t="str">
        <f ca="1">IFERROR(__xludf.DUMMYFUNCTION("""COMPUTED_VALUE"""),"Stamp Duty")</f>
        <v>Stamp Duty</v>
      </c>
      <c r="BH5" s="23" t="str">
        <f ca="1">IFERROR(__xludf.DUMMYFUNCTION("""COMPUTED_VALUE"""),"StartTaxlotID")</f>
        <v>StartTaxlotID</v>
      </c>
      <c r="BI5" s="23" t="str">
        <f ca="1">IFERROR(__xludf.DUMMYFUNCTION("""COMPUTED_VALUE"""),"Status")</f>
        <v>Status</v>
      </c>
      <c r="BJ5" s="23" t="str">
        <f ca="1">IFERROR(__xludf.DUMMYFUNCTION("""COMPUTED_VALUE"""),"Strategy")</f>
        <v>Strategy</v>
      </c>
      <c r="BK5" s="23" t="str">
        <f ca="1">IFERROR(__xludf.DUMMYFUNCTION("""COMPUTED_VALUE"""),"Strike Price")</f>
        <v>Strike Price</v>
      </c>
      <c r="BL5" s="23" t="str">
        <f ca="1">IFERROR(__xludf.DUMMYFUNCTION("""COMPUTED_VALUE"""),"Symbol")</f>
        <v>Symbol</v>
      </c>
      <c r="BM5" s="23" t="str">
        <f ca="1">IFERROR(__xludf.DUMMYFUNCTION("""COMPUTED_VALUE"""),"SymbolAveragePrice")</f>
        <v>SymbolAveragePrice</v>
      </c>
      <c r="BN5" s="23" t="str">
        <f ca="1">IFERROR(__xludf.DUMMYFUNCTION("""COMPUTED_VALUE"""),"Tax On Commissions")</f>
        <v>Tax On Commissions</v>
      </c>
      <c r="BO5" s="23" t="str">
        <f ca="1">IFERROR(__xludf.DUMMYFUNCTION("""COMPUTED_VALUE"""),"TaxLotClosingId")</f>
        <v>TaxLotClosingId</v>
      </c>
      <c r="BP5" s="23" t="str">
        <f ca="1">IFERROR(__xludf.DUMMYFUNCTION("""COMPUTED_VALUE"""),"Trade Date")</f>
        <v>Trade Date</v>
      </c>
      <c r="BQ5" s="23" t="str">
        <f ca="1">IFERROR(__xludf.DUMMYFUNCTION("""COMPUTED_VALUE"""),"Transaction Levy")</f>
        <v>Transaction Levy</v>
      </c>
      <c r="BR5" s="23" t="str">
        <f ca="1">IFERROR(__xludf.DUMMYFUNCTION("""COMPUTED_VALUE"""),"Transaction Type")</f>
        <v>Transaction Type</v>
      </c>
      <c r="BS5" s="23" t="str">
        <f ca="1">IFERROR(__xludf.DUMMYFUNCTION("""COMPUTED_VALUE"""),"TransactionSource")</f>
        <v>TransactionSource</v>
      </c>
      <c r="BT5" s="23" t="str">
        <f ca="1">IFERROR(__xludf.DUMMYFUNCTION("""COMPUTED_VALUE"""),"Underlying Symbol")</f>
        <v>Underlying Symbol</v>
      </c>
      <c r="BU5" s="23" t="str">
        <f ca="1">IFERROR(__xludf.DUMMYFUNCTION("""COMPUTED_VALUE"""),"UnderlyingID")</f>
        <v>UnderlyingID</v>
      </c>
      <c r="BV5" s="23" t="str">
        <f ca="1">IFERROR(__xludf.DUMMYFUNCTION("""COMPUTED_VALUE"""),"Venue")</f>
        <v>Venue</v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5" t="s">
        <v>18</v>
      </c>
      <c r="C6" s="2"/>
      <c r="D6" s="2"/>
      <c r="E6" s="5" t="s">
        <v>23</v>
      </c>
      <c r="F6" s="2"/>
      <c r="G6" s="2"/>
      <c r="H6" s="2"/>
      <c r="I6" s="2"/>
      <c r="J6" s="5">
        <v>20</v>
      </c>
      <c r="K6" s="2"/>
      <c r="L6" s="2"/>
      <c r="M6" s="2"/>
      <c r="N6" s="2"/>
      <c r="O6" s="2"/>
      <c r="AW6" s="25"/>
      <c r="BL6" s="25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9" width="14.42578125" customWidth="1"/>
    <col min="50" max="50" width="20.42578125" customWidth="1"/>
    <col min="51" max="154" width="14.42578125" customWidth="1"/>
  </cols>
  <sheetData>
    <row r="1" spans="1:154" ht="15.75" customHeight="1" x14ac:dyDescent="0.3">
      <c r="A1" s="12"/>
      <c r="B1" s="26" t="s">
        <v>11</v>
      </c>
      <c r="C1" s="27"/>
      <c r="D1" s="27"/>
      <c r="E1" s="27"/>
      <c r="F1" s="27"/>
      <c r="G1" s="27"/>
      <c r="H1" s="2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25</v>
      </c>
      <c r="D3" s="4" t="s">
        <v>5</v>
      </c>
      <c r="E3" s="16" t="s">
        <v>26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5" t="s">
        <v>18</v>
      </c>
      <c r="C6" s="2"/>
      <c r="D6" s="2"/>
      <c r="E6" s="2"/>
      <c r="F6" s="2"/>
      <c r="G6" s="5" t="s">
        <v>23</v>
      </c>
      <c r="H6" s="2"/>
      <c r="I6" s="2"/>
      <c r="J6" s="2"/>
      <c r="K6" s="2"/>
      <c r="L6" s="2"/>
      <c r="M6" s="2"/>
      <c r="N6" s="2"/>
      <c r="O6" s="2"/>
      <c r="AX6" s="25">
        <v>0</v>
      </c>
      <c r="BO6" s="25" t="s">
        <v>17</v>
      </c>
      <c r="BT6" s="25" t="s">
        <v>27</v>
      </c>
    </row>
    <row r="7" spans="1:154" ht="15.75" customHeight="1" x14ac:dyDescent="0.2">
      <c r="A7" s="2"/>
      <c r="B7" s="5" t="s">
        <v>18</v>
      </c>
      <c r="C7" s="2"/>
      <c r="D7" s="2"/>
      <c r="E7" s="2"/>
      <c r="F7" s="2"/>
      <c r="G7" s="5" t="s">
        <v>28</v>
      </c>
      <c r="H7" s="2"/>
      <c r="I7" s="2"/>
      <c r="J7" s="2"/>
      <c r="K7" s="2"/>
      <c r="L7" s="2"/>
      <c r="M7" s="2"/>
      <c r="N7" s="2"/>
      <c r="O7" s="2"/>
      <c r="AX7" s="25">
        <v>2250000</v>
      </c>
      <c r="BO7" s="25" t="s">
        <v>29</v>
      </c>
      <c r="BT7" s="25" t="s">
        <v>30</v>
      </c>
    </row>
    <row r="8" spans="1:154" ht="15.75" customHeight="1" x14ac:dyDescent="0.2">
      <c r="A8" s="2"/>
      <c r="B8" s="5" t="s">
        <v>18</v>
      </c>
      <c r="C8" s="2"/>
      <c r="D8" s="2"/>
      <c r="E8" s="2"/>
      <c r="F8" s="2"/>
      <c r="G8" s="5" t="s">
        <v>23</v>
      </c>
      <c r="H8" s="2"/>
      <c r="I8" s="2"/>
      <c r="J8" s="2"/>
      <c r="K8" s="2"/>
      <c r="L8" s="2"/>
      <c r="M8" s="2"/>
      <c r="N8" s="2"/>
      <c r="O8" s="2"/>
      <c r="AX8" s="25">
        <v>-2250000</v>
      </c>
      <c r="BO8" s="25" t="s">
        <v>31</v>
      </c>
      <c r="BT8" s="25" t="s">
        <v>27</v>
      </c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_Modules</vt:lpstr>
      <vt:lpstr>_Settings</vt:lpstr>
      <vt:lpstr>_MasterData</vt:lpstr>
      <vt:lpstr>CreateDoneAwayOrder</vt:lpstr>
      <vt:lpstr>GetDataClosing</vt:lpstr>
      <vt:lpstr>SelectTradeUnexpiredUnsettled</vt:lpstr>
      <vt:lpstr>ExerciseAssignment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2020-01-24T08:50:57Z</dcterms:modified>
</cp:coreProperties>
</file>