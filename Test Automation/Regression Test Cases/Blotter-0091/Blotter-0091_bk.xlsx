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8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CreateStageOrder" sheetId="5" r:id="rId5"/>
    <sheet name="MultipleTradeTransferToUser" sheetId="6" r:id="rId6"/>
    <sheet name="VerifyOrder" sheetId="7" r:id="rId7"/>
    <sheet name="VerifyWorkingSubs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BK5" i="11" l="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L5" i="9"/>
  <c r="D5" i="9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W4" i="11"/>
  <c r="O4" i="11"/>
  <c r="G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V4" i="11"/>
  <c r="N4" i="11"/>
  <c r="F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R5" i="9"/>
  <c r="J5" i="9"/>
  <c r="B5" i="9"/>
  <c r="DK4" i="9"/>
  <c r="DC4" i="9"/>
  <c r="CU4" i="9"/>
  <c r="CM4" i="9"/>
  <c r="CE4" i="9"/>
  <c r="BW4" i="9"/>
  <c r="BO4" i="9"/>
  <c r="BG4" i="9"/>
  <c r="AY4" i="9"/>
  <c r="AQ4" i="9"/>
  <c r="AI4" i="9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U4" i="11"/>
  <c r="M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AV5" i="8"/>
  <c r="AN5" i="8"/>
  <c r="AF5" i="8"/>
  <c r="X5" i="8"/>
  <c r="P5" i="8"/>
  <c r="H5" i="8"/>
  <c r="BD4" i="8"/>
  <c r="AV4" i="8"/>
  <c r="AN4" i="8"/>
  <c r="AF4" i="8"/>
  <c r="X4" i="8"/>
  <c r="P4" i="8"/>
  <c r="H4" i="8"/>
  <c r="BA5" i="7"/>
  <c r="AS5" i="7"/>
  <c r="AK5" i="7"/>
  <c r="AC5" i="7"/>
  <c r="U5" i="7"/>
  <c r="M5" i="7"/>
  <c r="E5" i="7"/>
  <c r="BA4" i="7"/>
  <c r="AS4" i="7"/>
  <c r="AK4" i="7"/>
  <c r="AC4" i="7"/>
  <c r="U4" i="7"/>
  <c r="M4" i="7"/>
  <c r="E4" i="7"/>
  <c r="AU5" i="6"/>
  <c r="AM5" i="6"/>
  <c r="AE5" i="6"/>
  <c r="W5" i="6"/>
  <c r="O5" i="6"/>
  <c r="G5" i="6"/>
  <c r="BC4" i="6"/>
  <c r="AU4" i="6"/>
  <c r="AM4" i="6"/>
  <c r="AE4" i="6"/>
  <c r="W4" i="6"/>
  <c r="O4" i="6"/>
  <c r="G4" i="6"/>
  <c r="AN5" i="5"/>
  <c r="AF5" i="5"/>
  <c r="X5" i="5"/>
  <c r="P5" i="5"/>
  <c r="H5" i="5"/>
  <c r="AA4" i="5"/>
  <c r="S4" i="5"/>
  <c r="K4" i="5"/>
  <c r="C4" i="5"/>
  <c r="AK5" i="4"/>
  <c r="AC5" i="4"/>
  <c r="U5" i="4"/>
  <c r="M5" i="4"/>
  <c r="E5" i="4"/>
  <c r="X4" i="4"/>
  <c r="P4" i="4"/>
  <c r="H4" i="4"/>
  <c r="D20" i="3"/>
  <c r="D18" i="3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T4" i="11"/>
  <c r="L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EV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Y4" i="11"/>
  <c r="Q4" i="11"/>
  <c r="I4" i="11"/>
  <c r="EN5" i="11"/>
  <c r="CB5" i="11"/>
  <c r="AG5" i="11"/>
  <c r="A5" i="11"/>
  <c r="CN5" i="10"/>
  <c r="BV5" i="10"/>
  <c r="AY5" i="10"/>
  <c r="AB5" i="10"/>
  <c r="J5" i="10"/>
  <c r="DD4" i="10"/>
  <c r="CG4" i="10"/>
  <c r="BO4" i="10"/>
  <c r="AR4" i="10"/>
  <c r="U4" i="10"/>
  <c r="C4" i="10"/>
  <c r="C5" i="9"/>
  <c r="DF4" i="9"/>
  <c r="CR4" i="9"/>
  <c r="CG4" i="9"/>
  <c r="BS4" i="9"/>
  <c r="BH4" i="9"/>
  <c r="AT4" i="9"/>
  <c r="AF4" i="9"/>
  <c r="V4" i="9"/>
  <c r="L4" i="9"/>
  <c r="BB5" i="8"/>
  <c r="AS5" i="8"/>
  <c r="AJ5" i="8"/>
  <c r="AA5" i="8"/>
  <c r="R5" i="8"/>
  <c r="I5" i="8"/>
  <c r="BC4" i="8"/>
  <c r="AT4" i="8"/>
  <c r="AK4" i="8"/>
  <c r="AB4" i="8"/>
  <c r="S4" i="8"/>
  <c r="J4" i="8"/>
  <c r="AR5" i="7"/>
  <c r="AI5" i="7"/>
  <c r="Z5" i="7"/>
  <c r="Q5" i="7"/>
  <c r="H5" i="7"/>
  <c r="BC4" i="7"/>
  <c r="AT4" i="7"/>
  <c r="AJ4" i="7"/>
  <c r="AA4" i="7"/>
  <c r="R4" i="7"/>
  <c r="I4" i="7"/>
  <c r="AX5" i="6"/>
  <c r="AO5" i="6"/>
  <c r="AF5" i="6"/>
  <c r="V5" i="6"/>
  <c r="M5" i="6"/>
  <c r="D5" i="6"/>
  <c r="AY4" i="6"/>
  <c r="AP4" i="6"/>
  <c r="AG4" i="6"/>
  <c r="X4" i="6"/>
  <c r="N4" i="6"/>
  <c r="E4" i="6"/>
  <c r="AK5" i="5"/>
  <c r="AB5" i="5"/>
  <c r="S5" i="5"/>
  <c r="J5" i="5"/>
  <c r="A5" i="5"/>
  <c r="R4" i="5"/>
  <c r="I4" i="5"/>
  <c r="AP5" i="4"/>
  <c r="AG5" i="4"/>
  <c r="X5" i="4"/>
  <c r="O5" i="4"/>
  <c r="F5" i="4"/>
  <c r="W4" i="4"/>
  <c r="N4" i="4"/>
  <c r="E4" i="4"/>
  <c r="D19" i="3"/>
  <c r="C17" i="3"/>
  <c r="C15" i="3"/>
  <c r="C13" i="3"/>
  <c r="C11" i="3"/>
  <c r="C9" i="3"/>
  <c r="C7" i="3"/>
  <c r="C5" i="3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EF5" i="11"/>
  <c r="BT5" i="11"/>
  <c r="AF5" i="11"/>
  <c r="Z4" i="11"/>
  <c r="CM5" i="10"/>
  <c r="BP5" i="10"/>
  <c r="AX5" i="10"/>
  <c r="AA5" i="10"/>
  <c r="D5" i="10"/>
  <c r="DC4" i="10"/>
  <c r="CF4" i="10"/>
  <c r="BI4" i="10"/>
  <c r="AQ4" i="10"/>
  <c r="T4" i="10"/>
  <c r="O5" i="9"/>
  <c r="DP4" i="9"/>
  <c r="DE4" i="9"/>
  <c r="CQ4" i="9"/>
  <c r="CF4" i="9"/>
  <c r="BR4" i="9"/>
  <c r="BD4" i="9"/>
  <c r="AS4" i="9"/>
  <c r="AE4" i="9"/>
  <c r="U4" i="9"/>
  <c r="K4" i="9"/>
  <c r="BA5" i="8"/>
  <c r="AR5" i="8"/>
  <c r="AI5" i="8"/>
  <c r="Z5" i="8"/>
  <c r="Q5" i="8"/>
  <c r="G5" i="8"/>
  <c r="BB4" i="8"/>
  <c r="AS4" i="8"/>
  <c r="AJ4" i="8"/>
  <c r="AA4" i="8"/>
  <c r="R4" i="8"/>
  <c r="I4" i="8"/>
  <c r="AZ5" i="7"/>
  <c r="AQ5" i="7"/>
  <c r="AH5" i="7"/>
  <c r="Y5" i="7"/>
  <c r="P5" i="7"/>
  <c r="G5" i="7"/>
  <c r="BB4" i="7"/>
  <c r="AR4" i="7"/>
  <c r="AI4" i="7"/>
  <c r="Z4" i="7"/>
  <c r="Q4" i="7"/>
  <c r="H4" i="7"/>
  <c r="AW5" i="6"/>
  <c r="AN5" i="6"/>
  <c r="AD5" i="6"/>
  <c r="U5" i="6"/>
  <c r="L5" i="6"/>
  <c r="C5" i="6"/>
  <c r="AX4" i="6"/>
  <c r="AO4" i="6"/>
  <c r="AF4" i="6"/>
  <c r="V4" i="6"/>
  <c r="M4" i="6"/>
  <c r="D4" i="6"/>
  <c r="AJ5" i="5"/>
  <c r="AA5" i="5"/>
  <c r="R5" i="5"/>
  <c r="I5" i="5"/>
  <c r="Z4" i="5"/>
  <c r="Q4" i="5"/>
  <c r="H4" i="5"/>
  <c r="AO5" i="4"/>
  <c r="AF5" i="4"/>
  <c r="W5" i="4"/>
  <c r="N5" i="4"/>
  <c r="D5" i="4"/>
  <c r="V4" i="4"/>
  <c r="M4" i="4"/>
  <c r="D4" i="4"/>
  <c r="C19" i="3"/>
  <c r="B17" i="3"/>
  <c r="B15" i="3"/>
  <c r="B13" i="3"/>
  <c r="B11" i="3"/>
  <c r="B9" i="3"/>
  <c r="B7" i="3"/>
  <c r="B5" i="3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DX5" i="11"/>
  <c r="BL5" i="11"/>
  <c r="Y5" i="11"/>
  <c r="S4" i="11"/>
  <c r="CL5" i="10"/>
  <c r="BO5" i="10"/>
  <c r="AR5" i="10"/>
  <c r="Z5" i="10"/>
  <c r="C5" i="10"/>
  <c r="CW4" i="10"/>
  <c r="CE4" i="10"/>
  <c r="BH4" i="10"/>
  <c r="AK4" i="10"/>
  <c r="S4" i="10"/>
  <c r="N5" i="9"/>
  <c r="DO4" i="9"/>
  <c r="DD4" i="9"/>
  <c r="CP4" i="9"/>
  <c r="CB4" i="9"/>
  <c r="BQ4" i="9"/>
  <c r="BC4" i="9"/>
  <c r="AR4" i="9"/>
  <c r="AD4" i="9"/>
  <c r="T4" i="9"/>
  <c r="H4" i="9"/>
  <c r="AZ5" i="8"/>
  <c r="AQ5" i="8"/>
  <c r="AH5" i="8"/>
  <c r="Y5" i="8"/>
  <c r="O5" i="8"/>
  <c r="F5" i="8"/>
  <c r="BA4" i="8"/>
  <c r="AR4" i="8"/>
  <c r="AI4" i="8"/>
  <c r="Z4" i="8"/>
  <c r="Q4" i="8"/>
  <c r="G4" i="8"/>
  <c r="AY5" i="7"/>
  <c r="AP5" i="7"/>
  <c r="AG5" i="7"/>
  <c r="X5" i="7"/>
  <c r="O5" i="7"/>
  <c r="F5" i="7"/>
  <c r="AZ4" i="7"/>
  <c r="AQ4" i="7"/>
  <c r="AH4" i="7"/>
  <c r="Y4" i="7"/>
  <c r="P4" i="7"/>
  <c r="G4" i="7"/>
  <c r="AV5" i="6"/>
  <c r="AL5" i="6"/>
  <c r="AC5" i="6"/>
  <c r="T5" i="6"/>
  <c r="K5" i="6"/>
  <c r="B5" i="6"/>
  <c r="AW4" i="6"/>
  <c r="AN4" i="6"/>
  <c r="AD4" i="6"/>
  <c r="U4" i="6"/>
  <c r="L4" i="6"/>
  <c r="C4" i="6"/>
  <c r="AI5" i="5"/>
  <c r="Z5" i="5"/>
  <c r="Q5" i="5"/>
  <c r="G5" i="5"/>
  <c r="Y4" i="5"/>
  <c r="P4" i="5"/>
  <c r="G4" i="5"/>
  <c r="AN5" i="4"/>
  <c r="AE5" i="4"/>
  <c r="V5" i="4"/>
  <c r="L5" i="4"/>
  <c r="C5" i="4"/>
  <c r="U4" i="4"/>
  <c r="L4" i="4"/>
  <c r="C4" i="4"/>
  <c r="B19" i="3"/>
  <c r="A17" i="3"/>
  <c r="A15" i="3"/>
  <c r="A13" i="3"/>
  <c r="A11" i="3"/>
  <c r="A9" i="3"/>
  <c r="A7" i="3"/>
  <c r="A5" i="3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DP5" i="11"/>
  <c r="BD5" i="11"/>
  <c r="X5" i="11"/>
  <c r="R4" i="11"/>
  <c r="CF5" i="10"/>
  <c r="BN5" i="10"/>
  <c r="AQ5" i="10"/>
  <c r="T5" i="10"/>
  <c r="B5" i="10"/>
  <c r="CV4" i="10"/>
  <c r="BY4" i="10"/>
  <c r="BG4" i="10"/>
  <c r="AJ4" i="10"/>
  <c r="M4" i="10"/>
  <c r="M5" i="9"/>
  <c r="DN4" i="9"/>
  <c r="CZ4" i="9"/>
  <c r="CO4" i="9"/>
  <c r="CA4" i="9"/>
  <c r="BP4" i="9"/>
  <c r="BB4" i="9"/>
  <c r="AN4" i="9"/>
  <c r="AC4" i="9"/>
  <c r="S4" i="9"/>
  <c r="G4" i="9"/>
  <c r="AY5" i="8"/>
  <c r="AP5" i="8"/>
  <c r="AG5" i="8"/>
  <c r="W5" i="8"/>
  <c r="N5" i="8"/>
  <c r="E5" i="8"/>
  <c r="AZ4" i="8"/>
  <c r="AQ4" i="8"/>
  <c r="AH4" i="8"/>
  <c r="Y4" i="8"/>
  <c r="O4" i="8"/>
  <c r="F4" i="8"/>
  <c r="AX5" i="7"/>
  <c r="AO5" i="7"/>
  <c r="AF5" i="7"/>
  <c r="W5" i="7"/>
  <c r="N5" i="7"/>
  <c r="D5" i="7"/>
  <c r="AY4" i="7"/>
  <c r="AP4" i="7"/>
  <c r="AG4" i="7"/>
  <c r="X4" i="7"/>
  <c r="O4" i="7"/>
  <c r="F4" i="7"/>
  <c r="AT5" i="6"/>
  <c r="AK5" i="6"/>
  <c r="AB5" i="6"/>
  <c r="S5" i="6"/>
  <c r="J5" i="6"/>
  <c r="A5" i="6"/>
  <c r="AV4" i="6"/>
  <c r="AL4" i="6"/>
  <c r="AC4" i="6"/>
  <c r="T4" i="6"/>
  <c r="K4" i="6"/>
  <c r="B4" i="6"/>
  <c r="AH5" i="5"/>
  <c r="Y5" i="5"/>
  <c r="O5" i="5"/>
  <c r="F5" i="5"/>
  <c r="X4" i="5"/>
  <c r="O4" i="5"/>
  <c r="F4" i="5"/>
  <c r="AM5" i="4"/>
  <c r="AD5" i="4"/>
  <c r="T5" i="4"/>
  <c r="K5" i="4"/>
  <c r="B5" i="4"/>
  <c r="T4" i="4"/>
  <c r="K4" i="4"/>
  <c r="B4" i="4"/>
  <c r="A19" i="3"/>
  <c r="D16" i="3"/>
  <c r="D14" i="3"/>
  <c r="D12" i="3"/>
  <c r="D10" i="3"/>
  <c r="D8" i="3"/>
  <c r="D6" i="3"/>
  <c r="D4" i="3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DH5" i="11"/>
  <c r="AW5" i="11"/>
  <c r="Q5" i="11"/>
  <c r="K4" i="11"/>
  <c r="CE5" i="10"/>
  <c r="BH5" i="10"/>
  <c r="AP5" i="10"/>
  <c r="S5" i="10"/>
  <c r="DM4" i="10"/>
  <c r="CU4" i="10"/>
  <c r="BX4" i="10"/>
  <c r="BA4" i="10"/>
  <c r="AI4" i="10"/>
  <c r="L4" i="10"/>
  <c r="K5" i="9"/>
  <c r="DM4" i="9"/>
  <c r="CY4" i="9"/>
  <c r="CN4" i="9"/>
  <c r="BZ4" i="9"/>
  <c r="BL4" i="9"/>
  <c r="BA4" i="9"/>
  <c r="AM4" i="9"/>
  <c r="AB4" i="9"/>
  <c r="P4" i="9"/>
  <c r="F4" i="9"/>
  <c r="AX5" i="8"/>
  <c r="AO5" i="8"/>
  <c r="AE5" i="8"/>
  <c r="V5" i="8"/>
  <c r="M5" i="8"/>
  <c r="D5" i="8"/>
  <c r="AY4" i="8"/>
  <c r="AP4" i="8"/>
  <c r="AG4" i="8"/>
  <c r="W4" i="8"/>
  <c r="N4" i="8"/>
  <c r="E4" i="8"/>
  <c r="AW5" i="7"/>
  <c r="AN5" i="7"/>
  <c r="AE5" i="7"/>
  <c r="V5" i="7"/>
  <c r="L5" i="7"/>
  <c r="C5" i="7"/>
  <c r="AX4" i="7"/>
  <c r="AO4" i="7"/>
  <c r="AF4" i="7"/>
  <c r="W4" i="7"/>
  <c r="N4" i="7"/>
  <c r="D4" i="7"/>
  <c r="AS5" i="6"/>
  <c r="AJ5" i="6"/>
  <c r="AA5" i="6"/>
  <c r="R5" i="6"/>
  <c r="I5" i="6"/>
  <c r="BD4" i="6"/>
  <c r="AT4" i="6"/>
  <c r="AK4" i="6"/>
  <c r="AB4" i="6"/>
  <c r="S4" i="6"/>
  <c r="J4" i="6"/>
  <c r="AG5" i="5"/>
  <c r="W5" i="5"/>
  <c r="N5" i="5"/>
  <c r="E5" i="5"/>
  <c r="W4" i="5"/>
  <c r="N4" i="5"/>
  <c r="E4" i="5"/>
  <c r="AL5" i="4"/>
  <c r="AB5" i="4"/>
  <c r="S5" i="4"/>
  <c r="J5" i="4"/>
  <c r="A5" i="4"/>
  <c r="S4" i="4"/>
  <c r="J4" i="4"/>
  <c r="C18" i="3"/>
  <c r="C16" i="3"/>
  <c r="C14" i="3"/>
  <c r="C12" i="3"/>
  <c r="C10" i="3"/>
  <c r="C8" i="3"/>
  <c r="C6" i="3"/>
  <c r="C4" i="3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CJ5" i="11"/>
  <c r="AN5" i="11"/>
  <c r="H5" i="11"/>
  <c r="B4" i="11"/>
  <c r="BW5" i="10"/>
  <c r="AZ5" i="10"/>
  <c r="AH5" i="10"/>
  <c r="K5" i="10"/>
  <c r="DE4" i="10"/>
  <c r="CM4" i="10"/>
  <c r="BP4" i="10"/>
  <c r="AS4" i="10"/>
  <c r="AA4" i="10"/>
  <c r="D4" i="10"/>
  <c r="E5" i="9"/>
  <c r="DG4" i="9"/>
  <c r="CV4" i="9"/>
  <c r="CH4" i="9"/>
  <c r="BT4" i="9"/>
  <c r="BI4" i="9"/>
  <c r="AU4" i="9"/>
  <c r="AJ4" i="9"/>
  <c r="W4" i="9"/>
  <c r="M4" i="9"/>
  <c r="C4" i="9"/>
  <c r="AT5" i="8"/>
  <c r="AK5" i="8"/>
  <c r="AB5" i="8"/>
  <c r="S5" i="8"/>
  <c r="J5" i="8"/>
  <c r="A5" i="8"/>
  <c r="AU4" i="8"/>
  <c r="AL4" i="8"/>
  <c r="AC4" i="8"/>
  <c r="T4" i="8"/>
  <c r="K4" i="8"/>
  <c r="B4" i="8"/>
  <c r="AT5" i="7"/>
  <c r="AJ5" i="7"/>
  <c r="AA5" i="7"/>
  <c r="R5" i="7"/>
  <c r="I5" i="7"/>
  <c r="BD4" i="7"/>
  <c r="AU4" i="7"/>
  <c r="AL4" i="7"/>
  <c r="AB4" i="7"/>
  <c r="S4" i="7"/>
  <c r="J4" i="7"/>
  <c r="AP5" i="6"/>
  <c r="AG5" i="6"/>
  <c r="X5" i="6"/>
  <c r="N5" i="6"/>
  <c r="E5" i="6"/>
  <c r="AZ4" i="6"/>
  <c r="AQ4" i="6"/>
  <c r="AH4" i="6"/>
  <c r="Y4" i="6"/>
  <c r="P4" i="6"/>
  <c r="F4" i="6"/>
  <c r="AL5" i="5"/>
  <c r="AC5" i="5"/>
  <c r="T5" i="5"/>
  <c r="K5" i="5"/>
  <c r="B5" i="5"/>
  <c r="T4" i="5"/>
  <c r="J4" i="5"/>
  <c r="AH5" i="4"/>
  <c r="Y5" i="4"/>
  <c r="P5" i="4"/>
  <c r="G5" i="4"/>
  <c r="Y4" i="4"/>
  <c r="O4" i="4"/>
  <c r="F4" i="4"/>
  <c r="A20" i="3"/>
  <c r="D17" i="3"/>
  <c r="D15" i="3"/>
  <c r="D13" i="3"/>
  <c r="D11" i="3"/>
  <c r="D9" i="3"/>
  <c r="D7" i="3"/>
  <c r="D5" i="3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CZ5" i="11"/>
  <c r="CD5" i="10"/>
  <c r="DL4" i="10"/>
  <c r="AC4" i="10"/>
  <c r="CX4" i="9"/>
  <c r="AZ4" i="9"/>
  <c r="E4" i="9"/>
  <c r="U5" i="8"/>
  <c r="AO4" i="8"/>
  <c r="D4" i="8"/>
  <c r="T5" i="7"/>
  <c r="AN4" i="7"/>
  <c r="C4" i="7"/>
  <c r="Q5" i="6"/>
  <c r="AJ4" i="6"/>
  <c r="AO5" i="5"/>
  <c r="D5" i="5"/>
  <c r="AJ5" i="4"/>
  <c r="AA4" i="4"/>
  <c r="B18" i="3"/>
  <c r="B10" i="3"/>
  <c r="C505" i="1"/>
  <c r="A495" i="1"/>
  <c r="B484" i="1"/>
  <c r="C473" i="1"/>
  <c r="A463" i="1"/>
  <c r="B452" i="1"/>
  <c r="C441" i="1"/>
  <c r="A431" i="1"/>
  <c r="B420" i="1"/>
  <c r="C409" i="1"/>
  <c r="A399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R5" i="11"/>
  <c r="BX5" i="10"/>
  <c r="DK4" i="10"/>
  <c r="AB4" i="10"/>
  <c r="CW4" i="9"/>
  <c r="AV4" i="9"/>
  <c r="D4" i="9"/>
  <c r="T5" i="8"/>
  <c r="AM4" i="8"/>
  <c r="C4" i="8"/>
  <c r="S5" i="7"/>
  <c r="AM4" i="7"/>
  <c r="B4" i="7"/>
  <c r="P5" i="6"/>
  <c r="AI4" i="6"/>
  <c r="AM5" i="5"/>
  <c r="C5" i="5"/>
  <c r="AI5" i="4"/>
  <c r="Z4" i="4"/>
  <c r="A18" i="3"/>
  <c r="A10" i="3"/>
  <c r="B505" i="1"/>
  <c r="C494" i="1"/>
  <c r="A484" i="1"/>
  <c r="B473" i="1"/>
  <c r="C462" i="1"/>
  <c r="A452" i="1"/>
  <c r="B441" i="1"/>
  <c r="C430" i="1"/>
  <c r="A420" i="1"/>
  <c r="B409" i="1"/>
  <c r="C398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AV5" i="11"/>
  <c r="BG5" i="10"/>
  <c r="CO4" i="10"/>
  <c r="K4" i="10"/>
  <c r="CJ4" i="9"/>
  <c r="AL4" i="9"/>
  <c r="AW5" i="8"/>
  <c r="L5" i="8"/>
  <c r="AE4" i="8"/>
  <c r="AV5" i="7"/>
  <c r="K5" i="7"/>
  <c r="AE4" i="7"/>
  <c r="AR5" i="6"/>
  <c r="H5" i="6"/>
  <c r="AA4" i="6"/>
  <c r="AE5" i="5"/>
  <c r="V4" i="5"/>
  <c r="AA5" i="4"/>
  <c r="R4" i="4"/>
  <c r="B16" i="3"/>
  <c r="B8" i="3"/>
  <c r="A503" i="1"/>
  <c r="B492" i="1"/>
  <c r="C481" i="1"/>
  <c r="A471" i="1"/>
  <c r="B460" i="1"/>
  <c r="C449" i="1"/>
  <c r="A439" i="1"/>
  <c r="B428" i="1"/>
  <c r="C417" i="1"/>
  <c r="A407" i="1"/>
  <c r="A397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O5" i="11"/>
  <c r="BF5" i="10"/>
  <c r="CN4" i="10"/>
  <c r="E4" i="10"/>
  <c r="CI4" i="9"/>
  <c r="AK4" i="9"/>
  <c r="AU5" i="8"/>
  <c r="K5" i="8"/>
  <c r="AD4" i="8"/>
  <c r="AU5" i="7"/>
  <c r="J5" i="7"/>
  <c r="AD4" i="7"/>
  <c r="AQ5" i="6"/>
  <c r="F5" i="6"/>
  <c r="Z4" i="6"/>
  <c r="AD5" i="5"/>
  <c r="U4" i="5"/>
  <c r="Z5" i="4"/>
  <c r="Q4" i="4"/>
  <c r="A16" i="3"/>
  <c r="A8" i="3"/>
  <c r="C502" i="1"/>
  <c r="A492" i="1"/>
  <c r="B481" i="1"/>
  <c r="C470" i="1"/>
  <c r="A460" i="1"/>
  <c r="B449" i="1"/>
  <c r="C438" i="1"/>
  <c r="A428" i="1"/>
  <c r="B417" i="1"/>
  <c r="C406" i="1"/>
  <c r="B396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P5" i="11"/>
  <c r="AJ5" i="10"/>
  <c r="BW4" i="10"/>
  <c r="G5" i="9"/>
  <c r="BY4" i="9"/>
  <c r="AA4" i="9"/>
  <c r="AM5" i="8"/>
  <c r="C5" i="8"/>
  <c r="V4" i="8"/>
  <c r="AM5" i="7"/>
  <c r="B5" i="7"/>
  <c r="V4" i="7"/>
  <c r="AI5" i="6"/>
  <c r="BB4" i="6"/>
  <c r="R4" i="6"/>
  <c r="V5" i="5"/>
  <c r="M4" i="5"/>
  <c r="R5" i="4"/>
  <c r="I4" i="4"/>
  <c r="B14" i="3"/>
  <c r="B6" i="3"/>
  <c r="B500" i="1"/>
  <c r="C489" i="1"/>
  <c r="A479" i="1"/>
  <c r="B468" i="1"/>
  <c r="C457" i="1"/>
  <c r="A447" i="1"/>
  <c r="B436" i="1"/>
  <c r="C425" i="1"/>
  <c r="A415" i="1"/>
  <c r="B404" i="1"/>
  <c r="A396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I5" i="11"/>
  <c r="AI5" i="10"/>
  <c r="BQ4" i="10"/>
  <c r="F5" i="9"/>
  <c r="BX4" i="9"/>
  <c r="X4" i="9"/>
  <c r="AL5" i="8"/>
  <c r="B5" i="8"/>
  <c r="U4" i="8"/>
  <c r="AL5" i="7"/>
  <c r="A5" i="7"/>
  <c r="T4" i="7"/>
  <c r="AH5" i="6"/>
  <c r="BA4" i="6"/>
  <c r="Q4" i="6"/>
  <c r="U5" i="5"/>
  <c r="L4" i="5"/>
  <c r="Q5" i="4"/>
  <c r="G4" i="4"/>
  <c r="A14" i="3"/>
  <c r="A6" i="3"/>
  <c r="A500" i="1"/>
  <c r="B489" i="1"/>
  <c r="C478" i="1"/>
  <c r="A468" i="1"/>
  <c r="B457" i="1"/>
  <c r="C446" i="1"/>
  <c r="A436" i="1"/>
  <c r="B425" i="1"/>
  <c r="C414" i="1"/>
  <c r="A404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J4" i="11"/>
  <c r="R5" i="10"/>
  <c r="AZ4" i="10"/>
  <c r="DL4" i="9"/>
  <c r="BK4" i="9"/>
  <c r="O4" i="9"/>
  <c r="AD5" i="8"/>
  <c r="AX4" i="8"/>
  <c r="M4" i="8"/>
  <c r="AD5" i="7"/>
  <c r="AW4" i="7"/>
  <c r="L4" i="7"/>
  <c r="Z5" i="6"/>
  <c r="AS4" i="6"/>
  <c r="I4" i="6"/>
  <c r="M5" i="5"/>
  <c r="D4" i="5"/>
  <c r="I5" i="4"/>
  <c r="C20" i="3"/>
  <c r="B12" i="3"/>
  <c r="B4" i="3"/>
  <c r="C497" i="1"/>
  <c r="A487" i="1"/>
  <c r="B476" i="1"/>
  <c r="C465" i="1"/>
  <c r="A455" i="1"/>
  <c r="B444" i="1"/>
  <c r="C433" i="1"/>
  <c r="A423" i="1"/>
  <c r="B412" i="1"/>
  <c r="C401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C4" i="11"/>
  <c r="L4" i="8"/>
  <c r="B4" i="5"/>
  <c r="B465" i="1"/>
  <c r="C391" i="1"/>
  <c r="B370" i="1"/>
  <c r="B355" i="1"/>
  <c r="A349" i="1"/>
  <c r="B341" i="1"/>
  <c r="A334" i="1"/>
  <c r="C327" i="1"/>
  <c r="A320" i="1"/>
  <c r="C312" i="1"/>
  <c r="B306" i="1"/>
  <c r="C298" i="1"/>
  <c r="B291" i="1"/>
  <c r="A285" i="1"/>
  <c r="B277" i="1"/>
  <c r="A270" i="1"/>
  <c r="C263" i="1"/>
  <c r="A256" i="1"/>
  <c r="C248" i="1"/>
  <c r="B242" i="1"/>
  <c r="C234" i="1"/>
  <c r="B227" i="1"/>
  <c r="A221" i="1"/>
  <c r="B213" i="1"/>
  <c r="A206" i="1"/>
  <c r="C199" i="1"/>
  <c r="A192" i="1"/>
  <c r="C184" i="1"/>
  <c r="B178" i="1"/>
  <c r="C170" i="1"/>
  <c r="B163" i="1"/>
  <c r="A157" i="1"/>
  <c r="B149" i="1"/>
  <c r="A142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C5" i="8"/>
  <c r="A301" i="1"/>
  <c r="A237" i="1"/>
  <c r="C186" i="1"/>
  <c r="A144" i="1"/>
  <c r="C131" i="1"/>
  <c r="A113" i="1"/>
  <c r="A97" i="1"/>
  <c r="A81" i="1"/>
  <c r="A65" i="1"/>
  <c r="A49" i="1"/>
  <c r="A33" i="1"/>
  <c r="A17" i="1"/>
  <c r="A476" i="1"/>
  <c r="A342" i="1"/>
  <c r="C320" i="1"/>
  <c r="B299" i="1"/>
  <c r="C271" i="1"/>
  <c r="B235" i="1"/>
  <c r="B186" i="1"/>
  <c r="A150" i="1"/>
  <c r="C128" i="1"/>
  <c r="A110" i="1"/>
  <c r="B91" i="1"/>
  <c r="A78" i="1"/>
  <c r="C64" i="1"/>
  <c r="C48" i="1"/>
  <c r="C32" i="1"/>
  <c r="C16" i="1"/>
  <c r="L5" i="10"/>
  <c r="AB5" i="7"/>
  <c r="H5" i="4"/>
  <c r="C454" i="1"/>
  <c r="A389" i="1"/>
  <c r="C367" i="1"/>
  <c r="C354" i="1"/>
  <c r="B347" i="1"/>
  <c r="A341" i="1"/>
  <c r="B333" i="1"/>
  <c r="A326" i="1"/>
  <c r="C319" i="1"/>
  <c r="A312" i="1"/>
  <c r="C304" i="1"/>
  <c r="B298" i="1"/>
  <c r="C290" i="1"/>
  <c r="B283" i="1"/>
  <c r="A277" i="1"/>
  <c r="B269" i="1"/>
  <c r="A262" i="1"/>
  <c r="C255" i="1"/>
  <c r="A248" i="1"/>
  <c r="C240" i="1"/>
  <c r="B234" i="1"/>
  <c r="C226" i="1"/>
  <c r="B219" i="1"/>
  <c r="A213" i="1"/>
  <c r="B205" i="1"/>
  <c r="A198" i="1"/>
  <c r="C191" i="1"/>
  <c r="A184" i="1"/>
  <c r="C176" i="1"/>
  <c r="B170" i="1"/>
  <c r="C162" i="1"/>
  <c r="B155" i="1"/>
  <c r="A149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3" i="1"/>
  <c r="A5" i="1"/>
  <c r="A7" i="1"/>
  <c r="B401" i="1"/>
  <c r="C343" i="1"/>
  <c r="B322" i="1"/>
  <c r="C279" i="1"/>
  <c r="B258" i="1"/>
  <c r="A222" i="1"/>
  <c r="B194" i="1"/>
  <c r="B165" i="1"/>
  <c r="A137" i="1"/>
  <c r="A121" i="1"/>
  <c r="A105" i="1"/>
  <c r="B86" i="1"/>
  <c r="B70" i="1"/>
  <c r="A57" i="1"/>
  <c r="A41" i="1"/>
  <c r="B22" i="1"/>
  <c r="A9" i="1"/>
  <c r="L5" i="5"/>
  <c r="B285" i="1"/>
  <c r="B221" i="1"/>
  <c r="B171" i="1"/>
  <c r="C136" i="1"/>
  <c r="A126" i="1"/>
  <c r="A118" i="1"/>
  <c r="A102" i="1"/>
  <c r="C88" i="1"/>
  <c r="C72" i="1"/>
  <c r="A54" i="1"/>
  <c r="C40" i="1"/>
  <c r="C24" i="1"/>
  <c r="C8" i="1"/>
  <c r="AY4" i="10"/>
  <c r="AV4" i="7"/>
  <c r="B20" i="3"/>
  <c r="A444" i="1"/>
  <c r="B386" i="1"/>
  <c r="A365" i="1"/>
  <c r="B354" i="1"/>
  <c r="C346" i="1"/>
  <c r="B339" i="1"/>
  <c r="A333" i="1"/>
  <c r="B325" i="1"/>
  <c r="A318" i="1"/>
  <c r="C311" i="1"/>
  <c r="A304" i="1"/>
  <c r="C296" i="1"/>
  <c r="B290" i="1"/>
  <c r="C282" i="1"/>
  <c r="B275" i="1"/>
  <c r="A269" i="1"/>
  <c r="B261" i="1"/>
  <c r="A254" i="1"/>
  <c r="C247" i="1"/>
  <c r="A240" i="1"/>
  <c r="C232" i="1"/>
  <c r="B226" i="1"/>
  <c r="C218" i="1"/>
  <c r="B211" i="1"/>
  <c r="A205" i="1"/>
  <c r="B197" i="1"/>
  <c r="A190" i="1"/>
  <c r="C183" i="1"/>
  <c r="A176" i="1"/>
  <c r="C168" i="1"/>
  <c r="B162" i="1"/>
  <c r="C154" i="1"/>
  <c r="B147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B10" i="1"/>
  <c r="C7" i="1"/>
  <c r="B4" i="1"/>
  <c r="C486" i="1"/>
  <c r="C314" i="1"/>
  <c r="A272" i="1"/>
  <c r="C215" i="1"/>
  <c r="A158" i="1"/>
  <c r="B118" i="1"/>
  <c r="C99" i="1"/>
  <c r="C83" i="1"/>
  <c r="C67" i="1"/>
  <c r="C51" i="1"/>
  <c r="B38" i="1"/>
  <c r="A25" i="1"/>
  <c r="B6" i="1"/>
  <c r="A357" i="1"/>
  <c r="C306" i="1"/>
  <c r="A264" i="1"/>
  <c r="A229" i="1"/>
  <c r="A200" i="1"/>
  <c r="A165" i="1"/>
  <c r="B131" i="1"/>
  <c r="B115" i="1"/>
  <c r="B99" i="1"/>
  <c r="A86" i="1"/>
  <c r="B67" i="1"/>
  <c r="C56" i="1"/>
  <c r="A46" i="1"/>
  <c r="A30" i="1"/>
  <c r="B19" i="1"/>
  <c r="DH4" i="9"/>
  <c r="K4" i="7"/>
  <c r="A12" i="3"/>
  <c r="B433" i="1"/>
  <c r="C383" i="1"/>
  <c r="B362" i="1"/>
  <c r="C352" i="1"/>
  <c r="B346" i="1"/>
  <c r="C338" i="1"/>
  <c r="B331" i="1"/>
  <c r="A325" i="1"/>
  <c r="B317" i="1"/>
  <c r="A310" i="1"/>
  <c r="C303" i="1"/>
  <c r="A296" i="1"/>
  <c r="C288" i="1"/>
  <c r="B282" i="1"/>
  <c r="C274" i="1"/>
  <c r="B267" i="1"/>
  <c r="A261" i="1"/>
  <c r="B253" i="1"/>
  <c r="A246" i="1"/>
  <c r="C239" i="1"/>
  <c r="A232" i="1"/>
  <c r="C224" i="1"/>
  <c r="B218" i="1"/>
  <c r="C210" i="1"/>
  <c r="B203" i="1"/>
  <c r="A197" i="1"/>
  <c r="B189" i="1"/>
  <c r="A182" i="1"/>
  <c r="C175" i="1"/>
  <c r="A168" i="1"/>
  <c r="C160" i="1"/>
  <c r="B154" i="1"/>
  <c r="C146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H4" i="6"/>
  <c r="B307" i="1"/>
  <c r="B243" i="1"/>
  <c r="B179" i="1"/>
  <c r="C139" i="1"/>
  <c r="A129" i="1"/>
  <c r="C115" i="1"/>
  <c r="B102" i="1"/>
  <c r="A89" i="1"/>
  <c r="C75" i="1"/>
  <c r="C59" i="1"/>
  <c r="C43" i="1"/>
  <c r="B30" i="1"/>
  <c r="C19" i="1"/>
  <c r="A373" i="1"/>
  <c r="B349" i="1"/>
  <c r="C335" i="1"/>
  <c r="A293" i="1"/>
  <c r="B250" i="1"/>
  <c r="A214" i="1"/>
  <c r="C178" i="1"/>
  <c r="C143" i="1"/>
  <c r="B123" i="1"/>
  <c r="C104" i="1"/>
  <c r="A94" i="1"/>
  <c r="B75" i="1"/>
  <c r="A62" i="1"/>
  <c r="B43" i="1"/>
  <c r="B27" i="1"/>
  <c r="B11" i="1"/>
  <c r="BJ4" i="9"/>
  <c r="Y5" i="6"/>
  <c r="A4" i="3"/>
  <c r="C422" i="1"/>
  <c r="A381" i="1"/>
  <c r="C359" i="1"/>
  <c r="A352" i="1"/>
  <c r="C344" i="1"/>
  <c r="B338" i="1"/>
  <c r="C330" i="1"/>
  <c r="B323" i="1"/>
  <c r="A317" i="1"/>
  <c r="B309" i="1"/>
  <c r="A302" i="1"/>
  <c r="C295" i="1"/>
  <c r="A288" i="1"/>
  <c r="C280" i="1"/>
  <c r="B274" i="1"/>
  <c r="C266" i="1"/>
  <c r="B259" i="1"/>
  <c r="A253" i="1"/>
  <c r="B245" i="1"/>
  <c r="A238" i="1"/>
  <c r="C231" i="1"/>
  <c r="A224" i="1"/>
  <c r="C216" i="1"/>
  <c r="B210" i="1"/>
  <c r="C202" i="1"/>
  <c r="B195" i="1"/>
  <c r="A189" i="1"/>
  <c r="B181" i="1"/>
  <c r="A174" i="1"/>
  <c r="C167" i="1"/>
  <c r="A160" i="1"/>
  <c r="C152" i="1"/>
  <c r="B146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B357" i="1"/>
  <c r="A336" i="1"/>
  <c r="B293" i="1"/>
  <c r="C250" i="1"/>
  <c r="A208" i="1"/>
  <c r="C151" i="1"/>
  <c r="C123" i="1"/>
  <c r="C107" i="1"/>
  <c r="C91" i="1"/>
  <c r="A73" i="1"/>
  <c r="B54" i="1"/>
  <c r="C35" i="1"/>
  <c r="B14" i="1"/>
  <c r="AW4" i="8"/>
  <c r="A328" i="1"/>
  <c r="A278" i="1"/>
  <c r="C242" i="1"/>
  <c r="C192" i="1"/>
  <c r="B139" i="1"/>
  <c r="C112" i="1"/>
  <c r="B83" i="1"/>
  <c r="B59" i="1"/>
  <c r="B35" i="1"/>
  <c r="A14" i="1"/>
  <c r="N4" i="9"/>
  <c r="AR4" i="6"/>
  <c r="B497" i="1"/>
  <c r="A412" i="1"/>
  <c r="B378" i="1"/>
  <c r="A358" i="1"/>
  <c r="C351" i="1"/>
  <c r="A344" i="1"/>
  <c r="C336" i="1"/>
  <c r="B330" i="1"/>
  <c r="C322" i="1"/>
  <c r="B315" i="1"/>
  <c r="A309" i="1"/>
  <c r="B301" i="1"/>
  <c r="A294" i="1"/>
  <c r="C287" i="1"/>
  <c r="A280" i="1"/>
  <c r="C272" i="1"/>
  <c r="B266" i="1"/>
  <c r="C258" i="1"/>
  <c r="B251" i="1"/>
  <c r="A245" i="1"/>
  <c r="B237" i="1"/>
  <c r="A230" i="1"/>
  <c r="C223" i="1"/>
  <c r="A216" i="1"/>
  <c r="C208" i="1"/>
  <c r="B202" i="1"/>
  <c r="C194" i="1"/>
  <c r="B187" i="1"/>
  <c r="A181" i="1"/>
  <c r="B173" i="1"/>
  <c r="A166" i="1"/>
  <c r="C159" i="1"/>
  <c r="A152" i="1"/>
  <c r="C144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75" i="1"/>
  <c r="A350" i="1"/>
  <c r="C328" i="1"/>
  <c r="A286" i="1"/>
  <c r="C264" i="1"/>
  <c r="B229" i="1"/>
  <c r="C200" i="1"/>
  <c r="A173" i="1"/>
  <c r="B134" i="1"/>
  <c r="B126" i="1"/>
  <c r="B110" i="1"/>
  <c r="B94" i="1"/>
  <c r="B78" i="1"/>
  <c r="B62" i="1"/>
  <c r="B46" i="1"/>
  <c r="C27" i="1"/>
  <c r="C11" i="1"/>
  <c r="B394" i="1"/>
  <c r="B314" i="1"/>
  <c r="C256" i="1"/>
  <c r="C207" i="1"/>
  <c r="B157" i="1"/>
  <c r="A134" i="1"/>
  <c r="C120" i="1"/>
  <c r="B107" i="1"/>
  <c r="C96" i="1"/>
  <c r="C80" i="1"/>
  <c r="A70" i="1"/>
  <c r="B51" i="1"/>
  <c r="A38" i="1"/>
  <c r="A22" i="1"/>
  <c r="A6" i="1"/>
  <c r="J2" i="10" l="1"/>
  <c r="J2" i="9"/>
  <c r="J2" i="11"/>
  <c r="J2" i="8"/>
  <c r="J2" i="6"/>
  <c r="J2" i="4"/>
  <c r="J2" i="7"/>
  <c r="J2" i="5"/>
</calcChain>
</file>

<file path=xl/sharedStrings.xml><?xml version="1.0" encoding="utf-8"?>
<sst xmlns="http://schemas.openxmlformats.org/spreadsheetml/2006/main" count="336" uniqueCount="54">
  <si>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</si>
  <si>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</si>
  <si>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</si>
  <si>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</si>
  <si>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</si>
  <si>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</si>
  <si>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</si>
  <si>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</si>
  <si>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</si>
  <si>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</si>
  <si>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</si>
  <si>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</si>
  <si>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</si>
  <si>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</si>
  <si>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</si>
  <si>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</si>
  <si>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</si>
  <si>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</si>
  <si>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</si>
  <si>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</si>
  <si>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Sell</t>
  </si>
  <si>
    <t>IBM</t>
  </si>
  <si>
    <t>CreateStageOrder</t>
  </si>
  <si>
    <t>GOOG</t>
  </si>
  <si>
    <t>BP H9</t>
  </si>
  <si>
    <t>Blotter</t>
  </si>
  <si>
    <t>MultipleTradeTransferToUser</t>
  </si>
  <si>
    <t>US</t>
  </si>
  <si>
    <t>Equity</t>
  </si>
  <si>
    <t>Filled</t>
  </si>
  <si>
    <t>MS</t>
  </si>
  <si>
    <t>Market</t>
  </si>
  <si>
    <t xml:space="preserve">abhi </t>
  </si>
  <si>
    <t>New</t>
  </si>
  <si>
    <t>Future</t>
  </si>
  <si>
    <t>VerifyOrder</t>
  </si>
  <si>
    <t>NASDAQ</t>
  </si>
  <si>
    <t>abhi</t>
  </si>
  <si>
    <t>NewMF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</si>
  <si>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</si>
  <si>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</si>
  <si>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</si>
  <si>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</si>
  <si>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</si>
  <si>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</si>
  <si>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</si>
  <si>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</si>
  <si>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</si>
  <si>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</si>
  <si>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</si>
  <si>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Long</t>
  </si>
  <si>
    <t>FIMAT</t>
  </si>
  <si>
    <t>Short</t>
  </si>
  <si>
    <t>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</si>
</sst>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3" t="s">
        <v>0</v>
      </c>
      <c r="B1" s="44"/>
      <c r="C1" s="44"/>
      <c r="D1" s="44"/>
      <c r="E1" s="44"/>
      <c r="F1" s="4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>
      <c r="A495" t="str">
        <f ca="1">IFERROR(__xludf.DUMMYFUNCTION("""COMPUTED_VALUE"""),"Dropcopy")</f>
        <v>Dropcopy</v>
      </c>
      <c r="B495" t="str">
        <f ca="1">IFERROR(__xludf.DUMMYFUNCTION("""COMPUTED_VALUE"""),"UploadDropcopyFile")</f>
        <v>UploadDropcopyFile</v>
      </c>
      <c r="C495" t="str">
        <f ca="1">IFERROR(__xludf.DUMMYFUNCTION("""COMPUTED_VALUE"""),"1W-fqHVGr66uN9zMhvO6QE-0fTnvoMIo31A_MC2VEFUY")</f>
        <v>1W-fqHVGr66uN9zMhvO6QE-0fTnvoMIo31A_MC2VEFUY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IFERROR(__xludf.DUMMYFUNCTION("""COMPUTED_VALUE"""),"StartTradeServer")</f>
        <v>StartTradeServer</v>
      </c>
      <c r="C496" t="str">
        <f ca="1">IFERROR(__xludf.DUMMYFUNCTION("""COMPUTED_VALUE"""),"1B9rnk-hL47W-7iUGju1P5wtQC8y0BGZIAhuxsistETQ")</f>
        <v>1B9rnk-hL47W-7iUGju1P5wtQC8y0BGZIAhuxsistETQ</v>
      </c>
    </row>
    <row r="497" spans="1:3" ht="15.75" customHeight="1">
      <c r="A497" t="str">
        <f ca="1">IFERROR(__xludf.DUMMYFUNCTION("""COMPUTED_VALUE"""),"TradeServer")</f>
        <v>TradeServer</v>
      </c>
      <c r="B497" t="str">
        <f ca="1">IFERROR(__xludf.DUMMYFUNCTION("""COMPUTED_VALUE"""),"CloseTradeServer ")</f>
        <v xml:space="preserve">CloseTradeServer </v>
      </c>
      <c r="C497" t="str">
        <f ca="1">IFERROR(__xludf.DUMMYFUNCTION("""COMPUTED_VALUE"""),"174Tprzh0aMAZa-Ckuaucg-4aWwJTc-gYly9QXAbePh0")</f>
        <v>174Tprzh0aMAZa-Ckuaucg-4aWwJTc-gYly9QXAbePh0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IFERROR(__xludf.DUMMYFUNCTION("""COMPUTED_VALUE"""),"GetExecutionReportOrders")</f>
        <v>GetExecutionReportOrders</v>
      </c>
      <c r="C498" t="str">
        <f ca="1">IFERROR(__xludf.DUMMYFUNCTION("""COMPUTED_VALUE"""),"1hQPEUlOvv9Vi1KsbHsN6z0TIt4-v9Ckko9Z170M5bto")</f>
        <v>1hQPEUlOvv9Vi1KsbHsN6z0TIt4-v9Ckko9Z170M5bto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IFERROR(__xludf.DUMMYFUNCTION("""COMPUTED_VALUE"""),"GetExecutionReportDetails")</f>
        <v>GetExecutionReportDetails</v>
      </c>
      <c r="C499" t="str">
        <f ca="1">IFERROR(__xludf.DUMMYFUNCTION("""COMPUTED_VALUE"""),"1aD9Si2VBbY68g9PUfKv624K3d2PbLqScMJakPjZ8hFs")</f>
        <v>1aD9Si2VBbY68g9PUfKv624K3d2PbLqScMJakPjZ8hFs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IFERROR(__xludf.DUMMYFUNCTION("""COMPUTED_VALUE"""),"ExportExecutionReportData")</f>
        <v>ExportExecutionReportData</v>
      </c>
      <c r="C500" t="str">
        <f ca="1">IFERROR(__xludf.DUMMYFUNCTION("""COMPUTED_VALUE"""),"1a6yh6QYOXKH0UbWUlB2RKwf87hvs13OSFnVJBRYCYpM")</f>
        <v>1a6yh6QYOXKH0UbWUlB2RKwf87hvs13OSFnVJBRYCYpM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IFERROR(__xludf.DUMMYFUNCTION("""COMPUTED_VALUE"""),"VerifyExecutionReport")</f>
        <v>VerifyExecutionReport</v>
      </c>
      <c r="C501" t="str">
        <f ca="1">IFERROR(__xludf.DUMMYFUNCTION("""COMPUTED_VALUE"""),"15sKQ6yRs5rA6j70FvZOyg9HBsLCsZF-psuPGXdEFJSg")</f>
        <v>15sKQ6yRs5rA6j70FvZOyg9HBsLCsZF-psuPGXdEFJSg</v>
      </c>
    </row>
    <row r="502" spans="1:3" ht="15.75" customHeight="1">
      <c r="A502" t="str">
        <f ca="1">IFERROR(__xludf.DUMMYFUNCTION("""COMPUTED_VALUE"""),"Blotter")</f>
        <v>Blotter</v>
      </c>
      <c r="B502" t="str">
        <f ca="1">IFERROR(__xludf.DUMMYFUNCTION("""COMPUTED_VALUE"""),"BlotterExecutionReportSnapshot")</f>
        <v>BlotterExecutionReportSnapshot</v>
      </c>
      <c r="C502" t="str">
        <f ca="1">IFERROR(__xludf.DUMMYFUNCTION("""COMPUTED_VALUE"""),"1O56bvbVFEtmCnv92OXcl9NqN7Zssjg6iXf_dOM4W0hs")</f>
        <v>1O56bvbVFEtmCnv92OXcl9NqN7Zssjg6iXf_dOM4W0hs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IFERROR(__xludf.DUMMYFUNCTION("""COMPUTED_VALUE"""),"SetDollarAmountPermission")</f>
        <v>SetDollarAmountPermission</v>
      </c>
      <c r="C503" t="str">
        <f ca="1">IFERROR(__xludf.DUMMYFUNCTION("""COMPUTED_VALUE"""),"19sxepfVnPP3DvqI8vW23p2yn2sob_Nn7_0R4WSGOgyc")</f>
        <v>19sxepfVnPP3DvqI8vW23p2yn2sob_Nn7_0R4WSGOgyc</v>
      </c>
    </row>
    <row r="504" spans="1:3" ht="15.75" customHeight="1">
      <c r="A504" t="str">
        <f ca="1">IFERROR(__xludf.DUMMYFUNCTION("""COMPUTED_VALUE"""),"Admin")</f>
        <v>Admin</v>
      </c>
      <c r="B504" t="str">
        <f ca="1">IFERROR(__xludf.DUMMYFUNCTION("""COMPUTED_VALUE"""),"EnableDisableModule")</f>
        <v>EnableDisableModule</v>
      </c>
      <c r="C504" t="str">
        <f ca="1">IFERROR(__xludf.DUMMYFUNCTION("""COMPUTED_VALUE"""),"15tD_fIpFjzJbtr_OxvY-KeLg88908v4fXmpVzi9shPk")</f>
        <v>15tD_fIpFjzJbtr_OxvY-KeLg88908v4fXmpVzi9shPk</v>
      </c>
    </row>
    <row r="505" spans="1:3" ht="15.75" customHeight="1">
      <c r="A505" t="str">
        <f ca="1">IFERROR(__xludf.DUMMYFUNCTION("""COMPUTED_VALUE"""),"Blotter")</f>
        <v>Blotter</v>
      </c>
      <c r="B505" t="str">
        <f ca="1">IFERROR(__xludf.DUMMYFUNCTION("""COMPUTED_VALUE"""),"MultipleTradeTransferToUser")</f>
        <v>MultipleTradeTransferToUser</v>
      </c>
      <c r="C505" t="str">
        <f ca="1">IFERROR(__xludf.DUMMYFUNCTION("""COMPUTED_VALUE"""),"10OvCXj6HBNbSwn6Bq70fCCT8t11mhD8gJD7iiUiqmHY")</f>
        <v>10OvCXj6HBNbSwn6Bq70fCCT8t11mhD8gJD7iiUiqmHY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IFERROR(__xludf.DUMMYFUNCTION("""COMPUTED_VALUE"""),"IsImportOverrideOnShortLocate")</f>
        <v>IsImportOverrideOnShortLocate</v>
      </c>
      <c r="C506" t="str">
        <f ca="1">IFERROR(__xludf.DUMMYFUNCTION("""COMPUTED_VALUE"""),"1HBroiXC_lXdWfzSFEUhcmVdGFqF-7ioRbfzMIhd-D84")</f>
        <v>1HBroiXC_lXdWfzSFEUhcmVdGFqF-7ioRbfzMIhd-D84</v>
      </c>
    </row>
    <row r="507" spans="1:3" ht="15.75" customHeight="1">
      <c r="A507" t="str">
        <f ca="1">IFERROR(__xludf.DUMMYFUNCTION("""COMPUTED_VALUE"""),"Admin")</f>
        <v>Admin</v>
      </c>
      <c r="B507" t="str">
        <f ca="1">IFERROR(__xludf.DUMMYFUNCTION("""COMPUTED_VALUE"""),"SetShortLocateStructures")</f>
        <v>SetShortLocateStructures</v>
      </c>
      <c r="C507" t="str">
        <f ca="1">IFERROR(__xludf.DUMMYFUNCTION("""COMPUTED_VALUE"""),"1GBfDhS1Qx5z0a-XwiuVZHmjNQQNldS_oLDTK5hBKigQ")</f>
        <v>1GBfDhS1Qx5z0a-XwiuVZHmjNQQNldS_oLDTK5hBKigQ</v>
      </c>
    </row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6" t="s">
        <v>2</v>
      </c>
      <c r="B1" s="44"/>
      <c r="C1" s="4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3" t="s">
        <v>7</v>
      </c>
      <c r="B1" s="44"/>
      <c r="C1" s="44"/>
      <c r="D1" s="44"/>
      <c r="E1" s="44"/>
      <c r="F1" s="4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16</v>
      </c>
      <c r="C6" s="9" t="s">
        <v>17</v>
      </c>
      <c r="D6" s="9">
        <v>100</v>
      </c>
      <c r="E6" s="9">
        <v>100</v>
      </c>
      <c r="F6" s="9" t="s">
        <v>18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19</v>
      </c>
      <c r="C7" s="9" t="s">
        <v>20</v>
      </c>
      <c r="D7" s="9">
        <v>150</v>
      </c>
      <c r="E7" s="9">
        <v>150</v>
      </c>
      <c r="F7" s="9" t="s">
        <v>18</v>
      </c>
      <c r="G7" s="5"/>
      <c r="H7" s="5"/>
      <c r="I7" s="5"/>
      <c r="J7" s="9">
        <v>15</v>
      </c>
      <c r="K7" s="5"/>
      <c r="L7" s="5"/>
      <c r="M7" s="5"/>
      <c r="N7" s="5"/>
      <c r="O7" s="5"/>
    </row>
    <row r="8" spans="1:154" ht="15.75" customHeight="1">
      <c r="A8" s="5"/>
      <c r="B8" s="9" t="s">
        <v>21</v>
      </c>
      <c r="C8" s="9" t="s">
        <v>17</v>
      </c>
      <c r="D8" s="9">
        <v>200</v>
      </c>
      <c r="E8" s="9">
        <v>200</v>
      </c>
      <c r="F8" s="9" t="s">
        <v>18</v>
      </c>
      <c r="G8" s="5"/>
      <c r="H8" s="5"/>
      <c r="I8" s="5"/>
      <c r="J8" s="9">
        <v>20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23</v>
      </c>
      <c r="C6" s="9" t="s">
        <v>17</v>
      </c>
      <c r="D6" s="9">
        <v>100</v>
      </c>
      <c r="E6" s="9">
        <v>100</v>
      </c>
      <c r="F6" s="9" t="s">
        <v>18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24</v>
      </c>
      <c r="C7" s="9" t="s">
        <v>20</v>
      </c>
      <c r="D7" s="9">
        <v>150</v>
      </c>
      <c r="E7" s="9">
        <v>150</v>
      </c>
      <c r="F7" s="9" t="s">
        <v>18</v>
      </c>
      <c r="G7" s="5"/>
      <c r="H7" s="5"/>
      <c r="I7" s="5"/>
      <c r="J7" s="9">
        <v>15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9"/>
      <c r="B10" s="9"/>
      <c r="C10" s="5"/>
      <c r="D10" s="9"/>
      <c r="E10" s="26"/>
      <c r="G10" s="5"/>
      <c r="H10" s="5"/>
      <c r="I10" s="5"/>
      <c r="J10" s="9"/>
      <c r="K10" s="9"/>
      <c r="L10" s="5"/>
      <c r="M10" s="5"/>
      <c r="N10" s="5"/>
      <c r="O10" s="5"/>
      <c r="AI10" s="9"/>
      <c r="AV10" s="27"/>
      <c r="AW10" s="27"/>
    </row>
    <row r="11" spans="1:154" ht="15.75" customHeight="1">
      <c r="A11" s="5"/>
      <c r="B11" s="5"/>
      <c r="C11" s="5"/>
      <c r="D11" s="9"/>
      <c r="E11" s="5"/>
      <c r="G11" s="5"/>
      <c r="H11" s="5"/>
      <c r="I11" s="5"/>
      <c r="J11" s="9"/>
      <c r="K11" s="9"/>
      <c r="L11" s="5"/>
      <c r="M11" s="5"/>
      <c r="N11" s="5"/>
      <c r="O11" s="5"/>
      <c r="AI11" s="9"/>
    </row>
    <row r="12" spans="1:154" ht="15.75" customHeight="1">
      <c r="A12" s="5"/>
      <c r="B12" s="5"/>
      <c r="C12" s="5"/>
      <c r="D12" s="9"/>
      <c r="E12" s="5"/>
      <c r="G12" s="5"/>
      <c r="H12" s="5"/>
      <c r="I12" s="5"/>
      <c r="J12" s="9"/>
      <c r="K12" s="9"/>
      <c r="L12" s="5"/>
      <c r="M12" s="5"/>
      <c r="N12" s="5"/>
      <c r="O12" s="5"/>
      <c r="AI12" s="9"/>
      <c r="AV12" s="27"/>
      <c r="AW12" s="27"/>
    </row>
    <row r="13" spans="1:154" ht="15.75" customHeight="1">
      <c r="A13" s="5"/>
      <c r="B13" s="5"/>
      <c r="C13" s="5"/>
      <c r="D13" s="9"/>
      <c r="E13" s="5"/>
      <c r="G13" s="5"/>
      <c r="H13" s="5"/>
      <c r="I13" s="5"/>
      <c r="J13" s="9"/>
      <c r="K13" s="9"/>
      <c r="L13" s="5"/>
      <c r="M13" s="5"/>
      <c r="N13" s="5"/>
      <c r="O13" s="5"/>
      <c r="AI13" s="9"/>
    </row>
    <row r="14" spans="1:154" ht="15.75" customHeight="1">
      <c r="A14" s="5"/>
      <c r="B14" s="5"/>
      <c r="C14" s="5"/>
      <c r="D14" s="9"/>
      <c r="E14" s="5"/>
      <c r="G14" s="5"/>
      <c r="H14" s="5"/>
      <c r="I14" s="5"/>
      <c r="J14" s="9"/>
      <c r="K14" s="9"/>
      <c r="L14" s="5"/>
      <c r="M14" s="5"/>
      <c r="N14" s="5"/>
      <c r="O14" s="5"/>
      <c r="AI14" s="9"/>
      <c r="AV14" s="27"/>
      <c r="AW14" s="27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IFERROR(__xludf.DUMMYFUNCTION("""COMPUTED_VALUE"""),"userName")</f>
        <v>userName</v>
      </c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8"/>
      <c r="B6" s="28"/>
      <c r="C6" s="29"/>
      <c r="D6" s="30">
        <v>10</v>
      </c>
      <c r="E6" s="29"/>
      <c r="F6" s="31">
        <v>0</v>
      </c>
      <c r="G6" s="29"/>
      <c r="H6" s="29"/>
      <c r="I6" s="29"/>
      <c r="J6" s="29" t="s">
        <v>16</v>
      </c>
      <c r="K6" s="29" t="s">
        <v>27</v>
      </c>
      <c r="L6" s="29"/>
      <c r="M6" s="29"/>
      <c r="N6" s="29"/>
      <c r="O6" s="29"/>
      <c r="P6" s="29"/>
      <c r="Q6" s="29"/>
      <c r="R6" s="29"/>
      <c r="S6" s="31">
        <v>0</v>
      </c>
      <c r="T6" s="32">
        <v>0</v>
      </c>
      <c r="U6" s="33"/>
      <c r="V6" s="33"/>
      <c r="W6" s="33"/>
      <c r="X6" s="33"/>
      <c r="Y6" s="33"/>
      <c r="Z6" s="33"/>
      <c r="AA6" s="33"/>
      <c r="AB6" s="33"/>
      <c r="AC6" s="33"/>
      <c r="AD6" s="32">
        <v>1</v>
      </c>
      <c r="AE6" s="33"/>
      <c r="AF6" s="33"/>
      <c r="AG6" s="33"/>
      <c r="AH6" s="33" t="s">
        <v>28</v>
      </c>
      <c r="AI6" s="33" t="s">
        <v>16</v>
      </c>
      <c r="AJ6" s="33" t="s">
        <v>17</v>
      </c>
      <c r="AK6" s="33" t="s">
        <v>29</v>
      </c>
      <c r="AL6" s="32">
        <v>100</v>
      </c>
      <c r="AM6" s="32">
        <v>100</v>
      </c>
      <c r="AN6" s="32">
        <v>100</v>
      </c>
      <c r="AO6" s="32">
        <v>100</v>
      </c>
      <c r="AP6" s="33"/>
      <c r="AQ6" s="32">
        <v>10</v>
      </c>
      <c r="AR6" s="32">
        <v>10</v>
      </c>
      <c r="AS6" s="33" t="s">
        <v>30</v>
      </c>
      <c r="AT6" s="33" t="s">
        <v>18</v>
      </c>
      <c r="AU6" s="33" t="s">
        <v>31</v>
      </c>
      <c r="AV6" s="34">
        <v>1000</v>
      </c>
      <c r="AW6" s="34">
        <v>1000</v>
      </c>
      <c r="AX6" s="33" t="s">
        <v>32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35">
        <v>0</v>
      </c>
      <c r="E7" s="33"/>
      <c r="F7" s="32">
        <v>0</v>
      </c>
      <c r="G7" s="33"/>
      <c r="H7" s="33"/>
      <c r="I7" s="33"/>
      <c r="J7" s="33" t="s">
        <v>23</v>
      </c>
      <c r="K7" s="33" t="s">
        <v>27</v>
      </c>
      <c r="L7" s="33"/>
      <c r="M7" s="33"/>
      <c r="N7" s="33"/>
      <c r="O7" s="33"/>
      <c r="P7" s="33"/>
      <c r="Q7" s="33"/>
      <c r="R7" s="33"/>
      <c r="S7" s="32">
        <v>0</v>
      </c>
      <c r="T7" s="32">
        <v>0</v>
      </c>
      <c r="U7" s="33"/>
      <c r="V7" s="33"/>
      <c r="W7" s="33"/>
      <c r="X7" s="33"/>
      <c r="Y7" s="33"/>
      <c r="Z7" s="33"/>
      <c r="AA7" s="33"/>
      <c r="AB7" s="33"/>
      <c r="AC7" s="33"/>
      <c r="AD7" s="32">
        <v>1</v>
      </c>
      <c r="AE7" s="33"/>
      <c r="AF7" s="33"/>
      <c r="AG7" s="33"/>
      <c r="AH7" s="33" t="s">
        <v>28</v>
      </c>
      <c r="AI7" s="33" t="s">
        <v>23</v>
      </c>
      <c r="AJ7" s="33" t="s">
        <v>17</v>
      </c>
      <c r="AK7" s="33" t="s">
        <v>33</v>
      </c>
      <c r="AL7" s="32">
        <v>100</v>
      </c>
      <c r="AM7" s="33"/>
      <c r="AN7" s="33"/>
      <c r="AO7" s="33"/>
      <c r="AP7" s="32">
        <v>100</v>
      </c>
      <c r="AQ7" s="32">
        <v>0</v>
      </c>
      <c r="AR7" s="32">
        <v>0</v>
      </c>
      <c r="AS7" s="33" t="s">
        <v>30</v>
      </c>
      <c r="AT7" s="33" t="s">
        <v>18</v>
      </c>
      <c r="AU7" s="33" t="s">
        <v>31</v>
      </c>
      <c r="AV7" s="32">
        <v>0</v>
      </c>
      <c r="AW7" s="32">
        <v>0</v>
      </c>
      <c r="AX7" s="33" t="s">
        <v>32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5">
        <v>15</v>
      </c>
      <c r="E8" s="33"/>
      <c r="F8" s="32">
        <v>0</v>
      </c>
      <c r="G8" s="33"/>
      <c r="H8" s="33"/>
      <c r="I8" s="33"/>
      <c r="J8" s="33" t="s">
        <v>19</v>
      </c>
      <c r="K8" s="33" t="s">
        <v>27</v>
      </c>
      <c r="L8" s="33"/>
      <c r="M8" s="33"/>
      <c r="N8" s="33"/>
      <c r="O8" s="33"/>
      <c r="P8" s="33"/>
      <c r="Q8" s="33"/>
      <c r="R8" s="33"/>
      <c r="S8" s="32">
        <v>0</v>
      </c>
      <c r="T8" s="32">
        <v>0</v>
      </c>
      <c r="U8" s="33"/>
      <c r="V8" s="33"/>
      <c r="W8" s="33"/>
      <c r="X8" s="33"/>
      <c r="Y8" s="33"/>
      <c r="Z8" s="33"/>
      <c r="AA8" s="33"/>
      <c r="AB8" s="33"/>
      <c r="AC8" s="33"/>
      <c r="AD8" s="32">
        <v>1</v>
      </c>
      <c r="AE8" s="33"/>
      <c r="AF8" s="33"/>
      <c r="AG8" s="33"/>
      <c r="AH8" s="33" t="s">
        <v>28</v>
      </c>
      <c r="AI8" s="33" t="s">
        <v>19</v>
      </c>
      <c r="AJ8" s="33" t="s">
        <v>20</v>
      </c>
      <c r="AK8" s="33" t="s">
        <v>29</v>
      </c>
      <c r="AL8" s="32">
        <v>150</v>
      </c>
      <c r="AM8" s="32">
        <v>150</v>
      </c>
      <c r="AN8" s="32">
        <v>100</v>
      </c>
      <c r="AO8" s="32">
        <v>150</v>
      </c>
      <c r="AP8" s="33"/>
      <c r="AQ8" s="32">
        <v>15</v>
      </c>
      <c r="AR8" s="32">
        <v>15</v>
      </c>
      <c r="AS8" s="33" t="s">
        <v>30</v>
      </c>
      <c r="AT8" s="33" t="s">
        <v>18</v>
      </c>
      <c r="AU8" s="33" t="s">
        <v>31</v>
      </c>
      <c r="AV8" s="34">
        <v>-2250</v>
      </c>
      <c r="AW8" s="34">
        <v>-2250</v>
      </c>
      <c r="AX8" s="33" t="s">
        <v>32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/>
      <c r="C9" s="33"/>
      <c r="D9" s="35">
        <v>0</v>
      </c>
      <c r="E9" s="33"/>
      <c r="F9" s="32">
        <v>0</v>
      </c>
      <c r="G9" s="33"/>
      <c r="H9" s="33"/>
      <c r="I9" s="33"/>
      <c r="J9" s="33" t="s">
        <v>24</v>
      </c>
      <c r="K9" s="33" t="s">
        <v>27</v>
      </c>
      <c r="L9" s="33"/>
      <c r="M9" s="33"/>
      <c r="N9" s="33"/>
      <c r="O9" s="33"/>
      <c r="P9" s="33"/>
      <c r="Q9" s="33"/>
      <c r="R9" s="33"/>
      <c r="S9" s="32">
        <v>0</v>
      </c>
      <c r="T9" s="32">
        <v>0</v>
      </c>
      <c r="U9" s="33"/>
      <c r="V9" s="33"/>
      <c r="W9" s="33"/>
      <c r="X9" s="33"/>
      <c r="Y9" s="33"/>
      <c r="Z9" s="33"/>
      <c r="AA9" s="33"/>
      <c r="AB9" s="33"/>
      <c r="AC9" s="33"/>
      <c r="AD9" s="32">
        <v>1</v>
      </c>
      <c r="AE9" s="33"/>
      <c r="AF9" s="33"/>
      <c r="AG9" s="33"/>
      <c r="AH9" s="33" t="s">
        <v>34</v>
      </c>
      <c r="AI9" s="33" t="s">
        <v>24</v>
      </c>
      <c r="AJ9" s="33" t="s">
        <v>20</v>
      </c>
      <c r="AK9" s="33" t="s">
        <v>33</v>
      </c>
      <c r="AL9" s="32">
        <v>150</v>
      </c>
      <c r="AM9" s="33"/>
      <c r="AN9" s="33"/>
      <c r="AO9" s="33"/>
      <c r="AP9" s="32">
        <v>150</v>
      </c>
      <c r="AQ9" s="32">
        <v>0</v>
      </c>
      <c r="AR9" s="32">
        <v>0</v>
      </c>
      <c r="AS9" s="33" t="s">
        <v>30</v>
      </c>
      <c r="AT9" s="33" t="s">
        <v>18</v>
      </c>
      <c r="AU9" s="33" t="s">
        <v>31</v>
      </c>
      <c r="AV9" s="32">
        <v>0</v>
      </c>
      <c r="AW9" s="32">
        <v>0</v>
      </c>
      <c r="AX9" s="33" t="s">
        <v>32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3"/>
      <c r="B10" s="33"/>
      <c r="C10" s="33"/>
      <c r="D10" s="35">
        <v>20</v>
      </c>
      <c r="E10" s="33"/>
      <c r="F10" s="32">
        <v>0</v>
      </c>
      <c r="G10" s="33"/>
      <c r="H10" s="33"/>
      <c r="I10" s="33"/>
      <c r="J10" s="33" t="s">
        <v>21</v>
      </c>
      <c r="K10" s="33" t="s">
        <v>27</v>
      </c>
      <c r="L10" s="33"/>
      <c r="M10" s="33"/>
      <c r="N10" s="33"/>
      <c r="O10" s="33"/>
      <c r="P10" s="33"/>
      <c r="Q10" s="33"/>
      <c r="R10" s="33"/>
      <c r="S10" s="32">
        <v>0</v>
      </c>
      <c r="T10" s="32">
        <v>0</v>
      </c>
      <c r="U10" s="33"/>
      <c r="V10" s="33"/>
      <c r="W10" s="33"/>
      <c r="X10" s="33"/>
      <c r="Y10" s="33"/>
      <c r="Z10" s="33"/>
      <c r="AA10" s="33"/>
      <c r="AB10" s="33"/>
      <c r="AC10" s="33"/>
      <c r="AD10" s="32">
        <v>1</v>
      </c>
      <c r="AE10" s="33"/>
      <c r="AF10" s="33"/>
      <c r="AG10" s="33"/>
      <c r="AH10" s="33" t="s">
        <v>28</v>
      </c>
      <c r="AI10" s="33" t="s">
        <v>21</v>
      </c>
      <c r="AJ10" s="33" t="s">
        <v>17</v>
      </c>
      <c r="AK10" s="33" t="s">
        <v>29</v>
      </c>
      <c r="AL10" s="32">
        <v>200</v>
      </c>
      <c r="AM10" s="32">
        <v>200</v>
      </c>
      <c r="AN10" s="32">
        <v>100</v>
      </c>
      <c r="AO10" s="32">
        <v>200</v>
      </c>
      <c r="AP10" s="33"/>
      <c r="AQ10" s="32">
        <v>20</v>
      </c>
      <c r="AR10" s="32">
        <v>20</v>
      </c>
      <c r="AS10" s="33" t="s">
        <v>30</v>
      </c>
      <c r="AT10" s="33" t="s">
        <v>18</v>
      </c>
      <c r="AU10" s="33" t="s">
        <v>31</v>
      </c>
      <c r="AV10" s="34">
        <v>4000</v>
      </c>
      <c r="AW10" s="34">
        <v>4000</v>
      </c>
      <c r="AX10" s="33" t="s">
        <v>32</v>
      </c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8"/>
      <c r="B6" s="28"/>
      <c r="C6" s="29"/>
      <c r="D6" s="30">
        <v>10</v>
      </c>
      <c r="E6" s="29"/>
      <c r="F6" s="31">
        <v>0</v>
      </c>
      <c r="G6" s="29"/>
      <c r="H6" s="36" t="s">
        <v>36</v>
      </c>
      <c r="I6" s="36" t="s">
        <v>37</v>
      </c>
      <c r="J6" s="29" t="s">
        <v>16</v>
      </c>
      <c r="K6" s="29" t="s">
        <v>27</v>
      </c>
      <c r="L6" s="29"/>
      <c r="M6" s="29"/>
      <c r="N6" s="29"/>
      <c r="O6" s="29"/>
      <c r="P6" s="29"/>
      <c r="Q6" s="29"/>
      <c r="R6" s="29"/>
      <c r="S6" s="31">
        <v>0</v>
      </c>
      <c r="T6" s="32">
        <v>0</v>
      </c>
      <c r="U6" s="33"/>
      <c r="V6" s="33"/>
      <c r="W6" s="33"/>
      <c r="X6" s="33"/>
      <c r="Y6" s="33"/>
      <c r="Z6" s="33"/>
      <c r="AA6" s="37" t="s">
        <v>38</v>
      </c>
      <c r="AB6" s="32">
        <v>100</v>
      </c>
      <c r="AC6" s="33"/>
      <c r="AD6" s="32">
        <v>1</v>
      </c>
      <c r="AE6" s="33"/>
      <c r="AF6" s="33"/>
      <c r="AG6" s="33"/>
      <c r="AH6" s="33" t="s">
        <v>28</v>
      </c>
      <c r="AI6" s="33" t="s">
        <v>16</v>
      </c>
      <c r="AJ6" s="33" t="s">
        <v>17</v>
      </c>
      <c r="AK6" s="33" t="s">
        <v>29</v>
      </c>
      <c r="AL6" s="32">
        <v>100</v>
      </c>
      <c r="AM6" s="32">
        <v>100</v>
      </c>
      <c r="AN6" s="32">
        <v>100</v>
      </c>
      <c r="AO6" s="32">
        <v>100</v>
      </c>
      <c r="AP6" s="33"/>
      <c r="AQ6" s="32">
        <v>10</v>
      </c>
      <c r="AR6" s="32">
        <v>10</v>
      </c>
      <c r="AS6" s="33" t="s">
        <v>30</v>
      </c>
      <c r="AT6" s="33" t="s">
        <v>18</v>
      </c>
      <c r="AU6" s="33" t="s">
        <v>31</v>
      </c>
      <c r="AV6" s="34">
        <v>1000</v>
      </c>
      <c r="AW6" s="34">
        <v>1000</v>
      </c>
      <c r="AX6" s="33"/>
      <c r="AY6" s="37">
        <v>100</v>
      </c>
      <c r="AZ6" s="37">
        <v>0</v>
      </c>
      <c r="BA6" s="37" t="s">
        <v>39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35">
        <v>0</v>
      </c>
      <c r="E7" s="33"/>
      <c r="F7" s="32">
        <v>0</v>
      </c>
      <c r="G7" s="33"/>
      <c r="H7" s="36" t="s">
        <v>36</v>
      </c>
      <c r="I7" s="37" t="s">
        <v>37</v>
      </c>
      <c r="J7" s="33" t="s">
        <v>23</v>
      </c>
      <c r="K7" s="33" t="s">
        <v>27</v>
      </c>
      <c r="L7" s="33"/>
      <c r="M7" s="33"/>
      <c r="N7" s="33"/>
      <c r="O7" s="33"/>
      <c r="P7" s="33"/>
      <c r="Q7" s="33"/>
      <c r="R7" s="33"/>
      <c r="S7" s="32">
        <v>0</v>
      </c>
      <c r="T7" s="32">
        <v>0</v>
      </c>
      <c r="U7" s="33"/>
      <c r="V7" s="33"/>
      <c r="W7" s="33"/>
      <c r="X7" s="33"/>
      <c r="Y7" s="33"/>
      <c r="Z7" s="33"/>
      <c r="AA7" s="37" t="s">
        <v>38</v>
      </c>
      <c r="AB7" s="33"/>
      <c r="AC7" s="33"/>
      <c r="AD7" s="32">
        <v>1</v>
      </c>
      <c r="AE7" s="33"/>
      <c r="AF7" s="33"/>
      <c r="AG7" s="33"/>
      <c r="AH7" s="33" t="s">
        <v>28</v>
      </c>
      <c r="AI7" s="33" t="s">
        <v>23</v>
      </c>
      <c r="AJ7" s="33" t="s">
        <v>17</v>
      </c>
      <c r="AK7" s="33" t="s">
        <v>33</v>
      </c>
      <c r="AL7" s="32">
        <v>100</v>
      </c>
      <c r="AM7" s="33"/>
      <c r="AN7" s="33"/>
      <c r="AO7" s="33"/>
      <c r="AP7" s="32">
        <v>100</v>
      </c>
      <c r="AQ7" s="32">
        <v>0</v>
      </c>
      <c r="AR7" s="32">
        <v>0</v>
      </c>
      <c r="AS7" s="33" t="s">
        <v>30</v>
      </c>
      <c r="AT7" s="33" t="s">
        <v>18</v>
      </c>
      <c r="AU7" s="33" t="s">
        <v>31</v>
      </c>
      <c r="AV7" s="32">
        <v>0</v>
      </c>
      <c r="AW7" s="32">
        <v>0</v>
      </c>
      <c r="AX7" s="33"/>
      <c r="AY7" s="37">
        <v>100</v>
      </c>
      <c r="AZ7" s="37">
        <v>100</v>
      </c>
      <c r="BA7" s="37" t="s">
        <v>39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5">
        <v>15</v>
      </c>
      <c r="E8" s="33"/>
      <c r="F8" s="32">
        <v>0</v>
      </c>
      <c r="G8" s="33"/>
      <c r="H8" s="36" t="s">
        <v>36</v>
      </c>
      <c r="I8" s="37" t="s">
        <v>37</v>
      </c>
      <c r="J8" s="33" t="s">
        <v>19</v>
      </c>
      <c r="K8" s="33" t="s">
        <v>27</v>
      </c>
      <c r="L8" s="33"/>
      <c r="M8" s="33"/>
      <c r="N8" s="33"/>
      <c r="O8" s="33"/>
      <c r="P8" s="33"/>
      <c r="Q8" s="33"/>
      <c r="R8" s="33"/>
      <c r="S8" s="32">
        <v>0</v>
      </c>
      <c r="T8" s="32">
        <v>0</v>
      </c>
      <c r="U8" s="33"/>
      <c r="V8" s="33"/>
      <c r="W8" s="33"/>
      <c r="X8" s="33"/>
      <c r="Y8" s="33"/>
      <c r="Z8" s="33"/>
      <c r="AA8" s="37" t="s">
        <v>38</v>
      </c>
      <c r="AB8" s="32">
        <v>150</v>
      </c>
      <c r="AC8" s="33"/>
      <c r="AD8" s="32">
        <v>1</v>
      </c>
      <c r="AE8" s="33"/>
      <c r="AF8" s="33"/>
      <c r="AG8" s="33"/>
      <c r="AH8" s="33" t="s">
        <v>28</v>
      </c>
      <c r="AI8" s="33" t="s">
        <v>19</v>
      </c>
      <c r="AJ8" s="33" t="s">
        <v>20</v>
      </c>
      <c r="AK8" s="33" t="s">
        <v>29</v>
      </c>
      <c r="AL8" s="32">
        <v>150</v>
      </c>
      <c r="AM8" s="32">
        <v>150</v>
      </c>
      <c r="AN8" s="32">
        <v>100</v>
      </c>
      <c r="AO8" s="32">
        <v>150</v>
      </c>
      <c r="AP8" s="33"/>
      <c r="AQ8" s="32">
        <v>15</v>
      </c>
      <c r="AR8" s="32">
        <v>15</v>
      </c>
      <c r="AS8" s="33" t="s">
        <v>30</v>
      </c>
      <c r="AT8" s="33" t="s">
        <v>18</v>
      </c>
      <c r="AU8" s="33" t="s">
        <v>31</v>
      </c>
      <c r="AV8" s="34">
        <v>-2250</v>
      </c>
      <c r="AW8" s="34">
        <v>-2250</v>
      </c>
      <c r="AX8" s="33"/>
      <c r="AY8" s="37">
        <v>150</v>
      </c>
      <c r="AZ8" s="37">
        <v>0</v>
      </c>
      <c r="BA8" s="37" t="s">
        <v>39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/>
      <c r="C9" s="33"/>
      <c r="D9" s="35">
        <v>0</v>
      </c>
      <c r="E9" s="33"/>
      <c r="F9" s="32">
        <v>0</v>
      </c>
      <c r="G9" s="33"/>
      <c r="H9" s="36" t="s">
        <v>36</v>
      </c>
      <c r="I9" s="37" t="s">
        <v>37</v>
      </c>
      <c r="J9" s="33" t="s">
        <v>24</v>
      </c>
      <c r="K9" s="33" t="s">
        <v>27</v>
      </c>
      <c r="L9" s="33"/>
      <c r="M9" s="33"/>
      <c r="N9" s="33"/>
      <c r="O9" s="33"/>
      <c r="P9" s="33"/>
      <c r="Q9" s="33"/>
      <c r="R9" s="33"/>
      <c r="S9" s="32">
        <v>0</v>
      </c>
      <c r="T9" s="32">
        <v>0</v>
      </c>
      <c r="U9" s="33"/>
      <c r="V9" s="33"/>
      <c r="W9" s="33"/>
      <c r="X9" s="33"/>
      <c r="Y9" s="33"/>
      <c r="Z9" s="33"/>
      <c r="AA9" s="37" t="s">
        <v>38</v>
      </c>
      <c r="AB9" s="33"/>
      <c r="AC9" s="33"/>
      <c r="AD9" s="32">
        <v>1</v>
      </c>
      <c r="AE9" s="33"/>
      <c r="AF9" s="33"/>
      <c r="AG9" s="33"/>
      <c r="AH9" s="33" t="s">
        <v>34</v>
      </c>
      <c r="AI9" s="33" t="s">
        <v>24</v>
      </c>
      <c r="AJ9" s="33" t="s">
        <v>20</v>
      </c>
      <c r="AK9" s="33" t="s">
        <v>33</v>
      </c>
      <c r="AL9" s="32">
        <v>150</v>
      </c>
      <c r="AM9" s="33"/>
      <c r="AN9" s="33"/>
      <c r="AO9" s="33"/>
      <c r="AP9" s="32">
        <v>150</v>
      </c>
      <c r="AQ9" s="32">
        <v>0</v>
      </c>
      <c r="AR9" s="32">
        <v>0</v>
      </c>
      <c r="AS9" s="33" t="s">
        <v>30</v>
      </c>
      <c r="AT9" s="33" t="s">
        <v>18</v>
      </c>
      <c r="AU9" s="33" t="s">
        <v>31</v>
      </c>
      <c r="AV9" s="32">
        <v>0</v>
      </c>
      <c r="AW9" s="32">
        <v>0</v>
      </c>
      <c r="AX9" s="33"/>
      <c r="AY9" s="37">
        <v>150</v>
      </c>
      <c r="AZ9" s="37">
        <v>150</v>
      </c>
      <c r="BA9" s="37" t="s">
        <v>39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3"/>
      <c r="B10" s="33"/>
      <c r="C10" s="33"/>
      <c r="D10" s="35">
        <v>20</v>
      </c>
      <c r="E10" s="33"/>
      <c r="F10" s="32">
        <v>0</v>
      </c>
      <c r="G10" s="33"/>
      <c r="H10" s="36" t="s">
        <v>36</v>
      </c>
      <c r="I10" s="37" t="s">
        <v>37</v>
      </c>
      <c r="J10" s="33" t="s">
        <v>21</v>
      </c>
      <c r="K10" s="33" t="s">
        <v>27</v>
      </c>
      <c r="L10" s="33"/>
      <c r="M10" s="33"/>
      <c r="N10" s="33"/>
      <c r="O10" s="33"/>
      <c r="P10" s="33"/>
      <c r="Q10" s="33"/>
      <c r="R10" s="33"/>
      <c r="S10" s="32">
        <v>0</v>
      </c>
      <c r="T10" s="32">
        <v>0</v>
      </c>
      <c r="U10" s="33"/>
      <c r="V10" s="33"/>
      <c r="W10" s="33"/>
      <c r="X10" s="33"/>
      <c r="Y10" s="33"/>
      <c r="Z10" s="33"/>
      <c r="AA10" s="37" t="s">
        <v>38</v>
      </c>
      <c r="AB10" s="32">
        <v>200</v>
      </c>
      <c r="AC10" s="33"/>
      <c r="AD10" s="32">
        <v>1</v>
      </c>
      <c r="AE10" s="33"/>
      <c r="AF10" s="33"/>
      <c r="AG10" s="33"/>
      <c r="AH10" s="33" t="s">
        <v>28</v>
      </c>
      <c r="AI10" s="33" t="s">
        <v>21</v>
      </c>
      <c r="AJ10" s="33" t="s">
        <v>17</v>
      </c>
      <c r="AK10" s="33" t="s">
        <v>29</v>
      </c>
      <c r="AL10" s="32">
        <v>200</v>
      </c>
      <c r="AM10" s="32">
        <v>200</v>
      </c>
      <c r="AN10" s="32">
        <v>100</v>
      </c>
      <c r="AO10" s="32">
        <v>200</v>
      </c>
      <c r="AP10" s="33"/>
      <c r="AQ10" s="32">
        <v>20</v>
      </c>
      <c r="AR10" s="32">
        <v>20</v>
      </c>
      <c r="AS10" s="33" t="s">
        <v>30</v>
      </c>
      <c r="AT10" s="33" t="s">
        <v>18</v>
      </c>
      <c r="AU10" s="33" t="s">
        <v>31</v>
      </c>
      <c r="AV10" s="34">
        <v>4000</v>
      </c>
      <c r="AW10" s="34">
        <v>4000</v>
      </c>
      <c r="AX10" s="33"/>
      <c r="AY10" s="37">
        <v>200</v>
      </c>
      <c r="AZ10" s="37">
        <v>0</v>
      </c>
      <c r="BA10" s="37" t="s">
        <v>39</v>
      </c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40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16</v>
      </c>
      <c r="C6" s="9" t="s">
        <v>17</v>
      </c>
      <c r="D6" s="9">
        <v>100</v>
      </c>
      <c r="E6" s="9">
        <v>100</v>
      </c>
      <c r="F6" s="9">
        <v>0</v>
      </c>
      <c r="G6" s="9" t="s">
        <v>29</v>
      </c>
      <c r="H6" s="9">
        <v>100</v>
      </c>
      <c r="I6" s="9">
        <v>10</v>
      </c>
      <c r="J6" s="9">
        <v>10</v>
      </c>
      <c r="K6" s="9" t="s">
        <v>30</v>
      </c>
      <c r="L6" s="9" t="s">
        <v>18</v>
      </c>
      <c r="M6" s="9" t="s">
        <v>31</v>
      </c>
      <c r="N6" s="5"/>
      <c r="O6" s="9">
        <v>10</v>
      </c>
      <c r="P6" s="6">
        <v>0</v>
      </c>
      <c r="Q6" s="6">
        <v>0</v>
      </c>
      <c r="R6" s="6" t="s">
        <v>39</v>
      </c>
      <c r="W6" s="6" t="s">
        <v>28</v>
      </c>
      <c r="Y6" s="6">
        <v>1</v>
      </c>
      <c r="AC6" s="27">
        <v>1000</v>
      </c>
      <c r="AD6" s="27">
        <v>1000</v>
      </c>
      <c r="AG6" s="6" t="s">
        <v>41</v>
      </c>
      <c r="AI6" s="6" t="s">
        <v>29</v>
      </c>
      <c r="AK6" s="6">
        <v>0</v>
      </c>
      <c r="AT6" s="6" t="s">
        <v>27</v>
      </c>
      <c r="AU6" s="6" t="s">
        <v>16</v>
      </c>
      <c r="AV6" s="6" t="s">
        <v>36</v>
      </c>
      <c r="BA6" s="6" t="s">
        <v>38</v>
      </c>
      <c r="BB6" s="6" t="s">
        <v>37</v>
      </c>
    </row>
    <row r="7" spans="1:154" ht="15.75" customHeight="1">
      <c r="A7" s="5"/>
      <c r="B7" s="9" t="s">
        <v>19</v>
      </c>
      <c r="C7" s="9" t="s">
        <v>20</v>
      </c>
      <c r="D7" s="9">
        <v>150</v>
      </c>
      <c r="E7" s="9">
        <v>150</v>
      </c>
      <c r="F7" s="9">
        <v>0</v>
      </c>
      <c r="G7" s="9" t="s">
        <v>29</v>
      </c>
      <c r="H7" s="9">
        <v>150</v>
      </c>
      <c r="I7" s="9">
        <v>15</v>
      </c>
      <c r="J7" s="9">
        <v>15</v>
      </c>
      <c r="K7" s="9" t="s">
        <v>30</v>
      </c>
      <c r="L7" s="9" t="s">
        <v>18</v>
      </c>
      <c r="M7" s="9" t="s">
        <v>31</v>
      </c>
      <c r="N7" s="5"/>
      <c r="O7" s="9">
        <v>15</v>
      </c>
      <c r="P7" s="6">
        <v>0</v>
      </c>
      <c r="Q7" s="6">
        <v>0</v>
      </c>
      <c r="R7" s="6" t="s">
        <v>39</v>
      </c>
      <c r="W7" s="6" t="s">
        <v>28</v>
      </c>
      <c r="Y7" s="6">
        <v>1</v>
      </c>
      <c r="AC7" s="27">
        <v>-2250</v>
      </c>
      <c r="AD7" s="27">
        <v>-2250</v>
      </c>
      <c r="AG7" s="6" t="s">
        <v>41</v>
      </c>
      <c r="AI7" s="6" t="s">
        <v>29</v>
      </c>
      <c r="AK7" s="6">
        <v>0</v>
      </c>
      <c r="AT7" s="6" t="s">
        <v>27</v>
      </c>
      <c r="AU7" s="6" t="s">
        <v>19</v>
      </c>
      <c r="AV7" s="6" t="s">
        <v>36</v>
      </c>
      <c r="BA7" s="6" t="s">
        <v>38</v>
      </c>
      <c r="BB7" s="6" t="s">
        <v>37</v>
      </c>
    </row>
    <row r="8" spans="1:154" ht="15.75" customHeight="1">
      <c r="A8" s="5"/>
      <c r="B8" s="9" t="s">
        <v>21</v>
      </c>
      <c r="C8" s="9" t="s">
        <v>17</v>
      </c>
      <c r="D8" s="9">
        <v>200</v>
      </c>
      <c r="E8" s="9">
        <v>200</v>
      </c>
      <c r="F8" s="9">
        <v>0</v>
      </c>
      <c r="G8" s="9" t="s">
        <v>29</v>
      </c>
      <c r="H8" s="9">
        <v>200</v>
      </c>
      <c r="I8" s="9">
        <v>20</v>
      </c>
      <c r="J8" s="9">
        <v>20</v>
      </c>
      <c r="K8" s="9" t="s">
        <v>30</v>
      </c>
      <c r="L8" s="9" t="s">
        <v>18</v>
      </c>
      <c r="M8" s="9" t="s">
        <v>31</v>
      </c>
      <c r="N8" s="5"/>
      <c r="O8" s="9">
        <v>20</v>
      </c>
      <c r="P8" s="6">
        <v>0</v>
      </c>
      <c r="Q8" s="6">
        <v>0</v>
      </c>
      <c r="R8" s="6" t="s">
        <v>39</v>
      </c>
      <c r="W8" s="6" t="s">
        <v>28</v>
      </c>
      <c r="Y8" s="6">
        <v>1</v>
      </c>
      <c r="AC8" s="27">
        <v>4000</v>
      </c>
      <c r="AD8" s="27">
        <v>4000</v>
      </c>
      <c r="AG8" s="6" t="s">
        <v>41</v>
      </c>
      <c r="AI8" s="6" t="s">
        <v>29</v>
      </c>
      <c r="AK8" s="6">
        <v>0</v>
      </c>
      <c r="AT8" s="6" t="s">
        <v>27</v>
      </c>
      <c r="AU8" s="6" t="s">
        <v>21</v>
      </c>
      <c r="AV8" s="6" t="s">
        <v>36</v>
      </c>
      <c r="BA8" s="6" t="s">
        <v>38</v>
      </c>
      <c r="BB8" s="6" t="s">
        <v>37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42</v>
      </c>
      <c r="D3" s="2" t="s">
        <v>9</v>
      </c>
      <c r="E3" s="18" t="s">
        <v>43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44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42</v>
      </c>
      <c r="D3" s="2" t="s">
        <v>9</v>
      </c>
      <c r="E3" s="18" t="s">
        <v>45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8" t="s">
        <v>18</v>
      </c>
      <c r="C6" s="5"/>
      <c r="D6" s="39">
        <v>0</v>
      </c>
      <c r="E6" s="39">
        <v>100</v>
      </c>
      <c r="F6" s="5"/>
      <c r="G6" s="38" t="s">
        <v>28</v>
      </c>
      <c r="H6" s="39">
        <v>4</v>
      </c>
      <c r="I6" s="40">
        <v>5</v>
      </c>
      <c r="J6" s="5"/>
      <c r="K6" s="39">
        <v>10</v>
      </c>
      <c r="L6" s="39">
        <v>10</v>
      </c>
      <c r="M6" s="5"/>
      <c r="N6" s="5"/>
      <c r="O6" s="38" t="s">
        <v>30</v>
      </c>
      <c r="Q6" s="39">
        <v>3</v>
      </c>
      <c r="R6" s="39">
        <v>0</v>
      </c>
      <c r="S6" s="41" t="s">
        <v>46</v>
      </c>
      <c r="T6" s="39">
        <v>0</v>
      </c>
      <c r="U6" s="39">
        <v>0</v>
      </c>
      <c r="Z6" s="41" t="s">
        <v>41</v>
      </c>
      <c r="AB6" s="39">
        <v>1</v>
      </c>
      <c r="AD6" s="41"/>
      <c r="AE6" s="39">
        <v>100</v>
      </c>
      <c r="AH6" s="6" t="s">
        <v>47</v>
      </c>
      <c r="AI6" s="39">
        <v>1</v>
      </c>
      <c r="AT6" s="39">
        <v>1014.0006</v>
      </c>
      <c r="AU6" s="39">
        <v>1014.0006</v>
      </c>
      <c r="AW6" s="39">
        <v>0</v>
      </c>
      <c r="AX6" s="39">
        <v>0</v>
      </c>
      <c r="AY6" s="6" t="s">
        <v>31</v>
      </c>
      <c r="AZ6" s="39">
        <v>0</v>
      </c>
      <c r="BB6" s="39"/>
      <c r="BC6" s="39">
        <v>0</v>
      </c>
      <c r="BE6" s="39">
        <v>1000</v>
      </c>
      <c r="BF6" s="39">
        <v>1000</v>
      </c>
      <c r="BJ6" s="39">
        <v>100</v>
      </c>
      <c r="BK6" s="39">
        <v>0</v>
      </c>
      <c r="BM6" s="41" t="s">
        <v>41</v>
      </c>
      <c r="BO6" s="41" t="s">
        <v>17</v>
      </c>
      <c r="BP6" s="39">
        <v>0</v>
      </c>
      <c r="BQ6" s="39">
        <v>0</v>
      </c>
      <c r="BT6" s="41" t="s">
        <v>16</v>
      </c>
      <c r="BU6" s="39">
        <v>3</v>
      </c>
      <c r="BV6" s="39">
        <v>0</v>
      </c>
      <c r="BW6" s="39">
        <v>14.0006</v>
      </c>
      <c r="BX6" s="39">
        <v>0</v>
      </c>
      <c r="CI6" s="41" t="s">
        <v>17</v>
      </c>
      <c r="CJ6" s="39">
        <v>0</v>
      </c>
      <c r="CK6" s="41"/>
      <c r="CM6" s="41"/>
      <c r="CO6" s="41"/>
    </row>
    <row r="7" spans="1:154" ht="15.75" customHeight="1">
      <c r="A7" s="5"/>
      <c r="B7" s="41" t="s">
        <v>18</v>
      </c>
      <c r="C7" s="5"/>
      <c r="D7" s="39">
        <v>0</v>
      </c>
      <c r="E7" s="39">
        <v>150</v>
      </c>
      <c r="F7" s="5"/>
      <c r="G7" s="41" t="s">
        <v>28</v>
      </c>
      <c r="H7" s="39">
        <v>4</v>
      </c>
      <c r="I7" s="40">
        <v>5</v>
      </c>
      <c r="J7" s="5"/>
      <c r="K7" s="39">
        <v>15</v>
      </c>
      <c r="L7" s="39">
        <v>15</v>
      </c>
      <c r="M7" s="5"/>
      <c r="N7" s="5"/>
      <c r="O7" s="38" t="s">
        <v>30</v>
      </c>
      <c r="Q7" s="39">
        <v>3</v>
      </c>
      <c r="R7" s="39">
        <v>0</v>
      </c>
      <c r="S7" s="41" t="s">
        <v>46</v>
      </c>
      <c r="T7" s="39">
        <v>0</v>
      </c>
      <c r="U7" s="39">
        <v>0</v>
      </c>
      <c r="Z7" s="41" t="s">
        <v>41</v>
      </c>
      <c r="AB7" s="39">
        <v>1</v>
      </c>
      <c r="AD7" s="41"/>
      <c r="AE7" s="39">
        <v>150</v>
      </c>
      <c r="AH7" s="6" t="s">
        <v>47</v>
      </c>
      <c r="AI7" s="39">
        <v>1</v>
      </c>
      <c r="AT7" s="39">
        <v>2235.9987000000001</v>
      </c>
      <c r="AU7" s="39">
        <v>2235.9987000000001</v>
      </c>
      <c r="AW7" s="39">
        <v>0</v>
      </c>
      <c r="AX7" s="39">
        <v>0</v>
      </c>
      <c r="AY7" s="6" t="s">
        <v>31</v>
      </c>
      <c r="AZ7" s="39">
        <v>0</v>
      </c>
      <c r="BB7" s="40"/>
      <c r="BC7" s="39">
        <v>0</v>
      </c>
      <c r="BE7" s="39">
        <v>2250</v>
      </c>
      <c r="BF7" s="39">
        <v>2250</v>
      </c>
      <c r="BJ7" s="39">
        <v>150</v>
      </c>
      <c r="BK7" s="39">
        <v>0</v>
      </c>
      <c r="BM7" s="41" t="s">
        <v>41</v>
      </c>
      <c r="BO7" s="41" t="s">
        <v>20</v>
      </c>
      <c r="BP7" s="39">
        <v>0</v>
      </c>
      <c r="BQ7" s="39">
        <v>0</v>
      </c>
      <c r="BT7" s="41" t="s">
        <v>19</v>
      </c>
      <c r="BU7" s="39">
        <v>3</v>
      </c>
      <c r="BV7" s="39">
        <v>0</v>
      </c>
      <c r="BW7" s="39">
        <v>14.001300000000001</v>
      </c>
      <c r="BX7" s="39">
        <v>0</v>
      </c>
      <c r="CI7" s="41" t="s">
        <v>20</v>
      </c>
      <c r="CJ7" s="39">
        <v>0</v>
      </c>
      <c r="CK7" s="41"/>
      <c r="CM7" s="41"/>
      <c r="CO7" s="41"/>
    </row>
    <row r="8" spans="1:154" ht="15.75" customHeight="1">
      <c r="A8" s="5"/>
      <c r="B8" s="41" t="s">
        <v>18</v>
      </c>
      <c r="C8" s="5"/>
      <c r="D8" s="39">
        <v>0</v>
      </c>
      <c r="E8" s="39">
        <v>200</v>
      </c>
      <c r="F8" s="5"/>
      <c r="G8" s="41" t="s">
        <v>28</v>
      </c>
      <c r="H8" s="39">
        <v>36</v>
      </c>
      <c r="I8" s="40">
        <v>0</v>
      </c>
      <c r="J8" s="5"/>
      <c r="K8" s="39">
        <v>20</v>
      </c>
      <c r="L8" s="39">
        <v>20</v>
      </c>
      <c r="M8" s="5"/>
      <c r="N8" s="5"/>
      <c r="O8" s="38" t="s">
        <v>30</v>
      </c>
      <c r="Q8" s="39">
        <v>3</v>
      </c>
      <c r="R8" s="39">
        <v>0</v>
      </c>
      <c r="S8" s="41" t="s">
        <v>46</v>
      </c>
      <c r="T8" s="39">
        <v>0</v>
      </c>
      <c r="U8" s="39">
        <v>0</v>
      </c>
      <c r="Z8" s="41" t="s">
        <v>41</v>
      </c>
      <c r="AB8" s="39">
        <v>1</v>
      </c>
      <c r="AD8" s="41"/>
      <c r="AE8" s="39">
        <v>200</v>
      </c>
      <c r="AH8" s="6" t="s">
        <v>47</v>
      </c>
      <c r="AI8" s="39">
        <v>1</v>
      </c>
      <c r="AT8" s="39">
        <v>4037.7</v>
      </c>
      <c r="AU8" s="39">
        <v>4037.7</v>
      </c>
      <c r="AW8" s="39">
        <v>0</v>
      </c>
      <c r="AX8" s="39">
        <v>0</v>
      </c>
      <c r="AY8" s="6" t="s">
        <v>31</v>
      </c>
      <c r="AZ8" s="39">
        <v>0</v>
      </c>
      <c r="BB8" s="39"/>
      <c r="BC8" s="39">
        <v>0</v>
      </c>
      <c r="BE8" s="39">
        <v>4000</v>
      </c>
      <c r="BF8" s="39">
        <v>4000</v>
      </c>
      <c r="BJ8" s="39">
        <v>200</v>
      </c>
      <c r="BK8" s="39">
        <v>0</v>
      </c>
      <c r="BM8" s="41" t="s">
        <v>41</v>
      </c>
      <c r="BO8" s="41" t="s">
        <v>17</v>
      </c>
      <c r="BP8" s="39">
        <v>0</v>
      </c>
      <c r="BQ8" s="39">
        <v>0</v>
      </c>
      <c r="BT8" s="41" t="s">
        <v>21</v>
      </c>
      <c r="BU8" s="39">
        <v>1</v>
      </c>
      <c r="BV8" s="39">
        <v>0</v>
      </c>
      <c r="BW8" s="39">
        <v>37.700000000000003</v>
      </c>
      <c r="BX8" s="39">
        <v>0</v>
      </c>
      <c r="CI8" s="41" t="s">
        <v>17</v>
      </c>
      <c r="CJ8" s="39">
        <v>0</v>
      </c>
      <c r="CK8" s="41"/>
      <c r="CM8" s="41"/>
      <c r="CO8" s="41"/>
    </row>
    <row r="9" spans="1:154" ht="15.75" customHeight="1">
      <c r="A9" s="5"/>
      <c r="B9" s="41"/>
      <c r="C9" s="5"/>
      <c r="D9" s="5"/>
      <c r="E9" s="41"/>
      <c r="F9" s="5"/>
      <c r="G9" s="41"/>
      <c r="H9" s="5"/>
      <c r="I9" s="41"/>
      <c r="J9" s="5"/>
      <c r="K9" s="5"/>
      <c r="L9" s="5"/>
      <c r="M9" s="5"/>
      <c r="N9" s="5"/>
      <c r="O9" s="41"/>
      <c r="Q9" s="41"/>
      <c r="R9" s="41"/>
      <c r="S9" s="41"/>
      <c r="T9" s="41"/>
      <c r="U9" s="41"/>
      <c r="Z9" s="41"/>
      <c r="AB9" s="41"/>
      <c r="AE9" s="41"/>
      <c r="AI9" s="41"/>
      <c r="AT9" s="41"/>
      <c r="AU9" s="41"/>
      <c r="BC9" s="41"/>
      <c r="BE9" s="41"/>
      <c r="BF9" s="41"/>
      <c r="BJ9" s="41"/>
      <c r="BK9" s="41"/>
      <c r="BM9" s="41"/>
      <c r="BO9" s="41"/>
      <c r="BP9" s="41"/>
      <c r="BQ9" s="41"/>
      <c r="BT9" s="41"/>
      <c r="BU9" s="41"/>
      <c r="BV9" s="41"/>
      <c r="BW9" s="41"/>
      <c r="BX9" s="41"/>
      <c r="CI9" s="41"/>
      <c r="CK9" s="41"/>
      <c r="CM9" s="41"/>
      <c r="CO9" s="41"/>
    </row>
    <row r="10" spans="1:154" ht="15.75" customHeight="1">
      <c r="A10" s="5"/>
      <c r="B10" s="5"/>
      <c r="C10" s="5"/>
      <c r="D10" s="5"/>
      <c r="E10" s="41"/>
      <c r="F10" s="5"/>
      <c r="G10" s="41"/>
      <c r="H10" s="5"/>
      <c r="I10" s="41"/>
      <c r="J10" s="5"/>
      <c r="K10" s="5"/>
      <c r="L10" s="5"/>
      <c r="M10" s="5"/>
      <c r="N10" s="5"/>
      <c r="O10" s="5"/>
      <c r="Q10" s="41"/>
      <c r="T10" s="41"/>
      <c r="U10" s="41"/>
      <c r="Z10" s="41"/>
      <c r="AE10" s="41"/>
      <c r="AI10" s="41"/>
      <c r="BE10" s="41"/>
      <c r="BF10" s="41"/>
      <c r="BJ10" s="41"/>
      <c r="BK10" s="41"/>
      <c r="BM10" s="41"/>
      <c r="BV10" s="41"/>
      <c r="BW10" s="41"/>
      <c r="BX10" s="41"/>
      <c r="CI10" s="41"/>
      <c r="CK10" s="41"/>
      <c r="CM10" s="41"/>
      <c r="CO10" s="41"/>
    </row>
    <row r="11" spans="1:154" ht="15.75" customHeight="1">
      <c r="A11" s="5"/>
      <c r="B11" s="5"/>
      <c r="C11" s="5"/>
      <c r="D11" s="5"/>
      <c r="E11" s="41"/>
      <c r="F11" s="5"/>
      <c r="G11" s="5"/>
      <c r="H11" s="5"/>
      <c r="I11" s="41"/>
      <c r="J11" s="5"/>
      <c r="K11" s="5"/>
      <c r="L11" s="5"/>
      <c r="M11" s="5"/>
      <c r="N11" s="5"/>
      <c r="O11" s="5"/>
      <c r="Q11" s="41"/>
      <c r="T11" s="41"/>
      <c r="U11" s="41"/>
      <c r="Z11" s="41"/>
      <c r="AE11" s="41"/>
      <c r="BE11" s="41"/>
      <c r="BF11" s="41"/>
      <c r="BJ11" s="41"/>
      <c r="BW11" s="41"/>
      <c r="CK11" s="41"/>
      <c r="CM11" s="41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E12" s="41"/>
      <c r="BF12" s="41"/>
      <c r="CK12" s="41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CK13" s="41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L13" sqref="BL1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43" t="s">
        <v>11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48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9" t="s">
        <v>16</v>
      </c>
      <c r="D6" s="9">
        <v>100</v>
      </c>
      <c r="E6" s="9" t="s">
        <v>18</v>
      </c>
      <c r="F6" s="9" t="s">
        <v>38</v>
      </c>
      <c r="G6" s="9">
        <v>10</v>
      </c>
      <c r="H6" s="9" t="s">
        <v>50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42">
        <v>-1000</v>
      </c>
      <c r="O6" s="5"/>
      <c r="Q6" s="42">
        <v>-1000</v>
      </c>
      <c r="R6" s="6" t="s">
        <v>51</v>
      </c>
      <c r="T6" s="6" t="s">
        <v>28</v>
      </c>
      <c r="U6" s="6" t="s">
        <v>27</v>
      </c>
      <c r="V6" s="6" t="s">
        <v>36</v>
      </c>
      <c r="W6" s="6" t="s">
        <v>41</v>
      </c>
      <c r="Y6" s="6">
        <v>1</v>
      </c>
      <c r="AB6" s="9">
        <v>0</v>
      </c>
      <c r="AC6" s="9">
        <v>0</v>
      </c>
      <c r="AD6" s="9">
        <v>0</v>
      </c>
      <c r="AE6" s="9">
        <v>0</v>
      </c>
      <c r="AF6" s="6">
        <v>100</v>
      </c>
      <c r="AG6" s="9">
        <v>0</v>
      </c>
      <c r="AH6" s="9">
        <v>0</v>
      </c>
      <c r="AI6" s="9">
        <v>0</v>
      </c>
      <c r="AJ6" s="9">
        <v>0</v>
      </c>
      <c r="AK6" s="42">
        <v>-1000</v>
      </c>
      <c r="AL6" s="6">
        <v>1</v>
      </c>
      <c r="AM6" s="6">
        <v>1</v>
      </c>
      <c r="AN6" s="6" t="s">
        <v>17</v>
      </c>
      <c r="AP6" s="6" t="s">
        <v>50</v>
      </c>
      <c r="AQ6" s="6" t="s">
        <v>16</v>
      </c>
      <c r="AR6" s="6">
        <v>0</v>
      </c>
      <c r="AS6" s="6">
        <v>1</v>
      </c>
      <c r="AV6" s="6">
        <v>1</v>
      </c>
      <c r="AW6" s="42">
        <v>-1000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42">
        <v>-1000</v>
      </c>
      <c r="BE6" s="6" t="s">
        <v>28</v>
      </c>
      <c r="BJ6" s="6">
        <v>0</v>
      </c>
      <c r="BK6" s="6">
        <v>0</v>
      </c>
      <c r="BL6" s="6">
        <v>0</v>
      </c>
      <c r="BM6" s="6">
        <v>0</v>
      </c>
      <c r="BO6" s="42">
        <v>-1000</v>
      </c>
      <c r="BP6" s="6">
        <v>0</v>
      </c>
      <c r="BQ6" s="6" t="s">
        <v>39</v>
      </c>
      <c r="BR6" s="6" t="s">
        <v>30</v>
      </c>
      <c r="BS6" s="6">
        <v>0</v>
      </c>
      <c r="BT6" s="6">
        <v>0</v>
      </c>
      <c r="BU6" s="6" t="s">
        <v>28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2">
        <v>-1000</v>
      </c>
      <c r="CE6" s="6">
        <v>0</v>
      </c>
      <c r="CF6" s="6">
        <v>0</v>
      </c>
      <c r="CG6" s="42">
        <v>-1000</v>
      </c>
      <c r="CH6" s="6">
        <v>-100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D6" s="6">
        <v>100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M6" s="6">
        <v>1</v>
      </c>
      <c r="DN6" s="6">
        <v>0</v>
      </c>
      <c r="DP6" s="6" t="s">
        <v>50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50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  <c r="ET6" s="6">
        <v>0</v>
      </c>
      <c r="EU6" s="6">
        <v>0</v>
      </c>
      <c r="EV6" s="6" t="s">
        <v>50</v>
      </c>
    </row>
    <row r="7" spans="1:168" ht="15.75" customHeight="1">
      <c r="A7" s="5"/>
      <c r="B7" s="5"/>
      <c r="C7" s="9" t="s">
        <v>19</v>
      </c>
      <c r="D7" s="9">
        <v>-150</v>
      </c>
      <c r="E7" s="9" t="s">
        <v>18</v>
      </c>
      <c r="F7" s="9" t="s">
        <v>38</v>
      </c>
      <c r="G7" s="9">
        <v>15</v>
      </c>
      <c r="H7" s="9" t="s">
        <v>52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42">
        <v>2250</v>
      </c>
      <c r="O7" s="5"/>
      <c r="Q7" s="42">
        <v>2250</v>
      </c>
      <c r="R7" s="6" t="s">
        <v>51</v>
      </c>
      <c r="T7" s="6" t="s">
        <v>28</v>
      </c>
      <c r="U7" s="6" t="s">
        <v>27</v>
      </c>
      <c r="V7" s="6" t="s">
        <v>36</v>
      </c>
      <c r="W7" s="6" t="s">
        <v>41</v>
      </c>
      <c r="Y7" s="6">
        <v>1</v>
      </c>
      <c r="AB7" s="9">
        <v>0</v>
      </c>
      <c r="AC7" s="9">
        <v>0</v>
      </c>
      <c r="AD7" s="9">
        <v>0</v>
      </c>
      <c r="AE7" s="9">
        <v>0</v>
      </c>
      <c r="AF7" s="6">
        <v>-150</v>
      </c>
      <c r="AG7" s="9">
        <v>0</v>
      </c>
      <c r="AH7" s="9">
        <v>0</v>
      </c>
      <c r="AI7" s="9">
        <v>0</v>
      </c>
      <c r="AJ7" s="9">
        <v>0</v>
      </c>
      <c r="AK7" s="42">
        <v>2250</v>
      </c>
      <c r="AL7" s="6">
        <v>1</v>
      </c>
      <c r="AM7" s="6">
        <v>1</v>
      </c>
      <c r="AN7" s="6" t="s">
        <v>20</v>
      </c>
      <c r="AP7" s="6" t="s">
        <v>50</v>
      </c>
      <c r="AQ7" s="6" t="s">
        <v>19</v>
      </c>
      <c r="AR7" s="6">
        <v>0</v>
      </c>
      <c r="AS7" s="6">
        <v>-1</v>
      </c>
      <c r="AV7" s="6">
        <v>1</v>
      </c>
      <c r="AW7" s="42">
        <v>2250</v>
      </c>
      <c r="AX7" s="6">
        <v>0</v>
      </c>
      <c r="AY7" s="6">
        <v>0</v>
      </c>
      <c r="AZ7" s="6">
        <v>0</v>
      </c>
      <c r="BA7" s="6">
        <v>100</v>
      </c>
      <c r="BC7" s="6">
        <v>1</v>
      </c>
      <c r="BD7" s="42">
        <v>2250</v>
      </c>
      <c r="BE7" s="6" t="s">
        <v>28</v>
      </c>
      <c r="BJ7" s="6">
        <v>0</v>
      </c>
      <c r="BK7" s="6">
        <v>0</v>
      </c>
      <c r="BL7" s="6">
        <v>0</v>
      </c>
      <c r="BM7" s="6">
        <v>0</v>
      </c>
      <c r="BO7" s="42">
        <v>2250</v>
      </c>
      <c r="BP7" s="6">
        <v>0</v>
      </c>
      <c r="BQ7" s="6" t="s">
        <v>39</v>
      </c>
      <c r="BR7" s="6" t="s">
        <v>30</v>
      </c>
      <c r="BS7" s="6">
        <v>0</v>
      </c>
      <c r="BT7" s="6">
        <v>0</v>
      </c>
      <c r="BU7" s="6" t="s">
        <v>28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42">
        <v>2250</v>
      </c>
      <c r="CE7" s="6">
        <v>0</v>
      </c>
      <c r="CF7" s="6">
        <v>0</v>
      </c>
      <c r="CG7" s="42">
        <v>2250</v>
      </c>
      <c r="CH7" s="6">
        <v>100</v>
      </c>
      <c r="CI7" s="6">
        <v>0</v>
      </c>
      <c r="CJ7" s="6">
        <v>0</v>
      </c>
      <c r="CS7" s="6">
        <v>15</v>
      </c>
      <c r="DA7" s="6">
        <v>0</v>
      </c>
      <c r="DB7" s="6">
        <v>0</v>
      </c>
      <c r="DD7" s="6">
        <v>-150</v>
      </c>
      <c r="DE7" s="6">
        <v>0</v>
      </c>
      <c r="DF7" s="6">
        <v>0</v>
      </c>
      <c r="DG7" s="6">
        <v>0</v>
      </c>
      <c r="DI7" s="6">
        <v>0</v>
      </c>
      <c r="DJ7" s="6" t="s">
        <v>20</v>
      </c>
      <c r="DK7" s="6">
        <v>0</v>
      </c>
      <c r="DL7" s="6">
        <v>0</v>
      </c>
      <c r="DM7" s="6">
        <v>1</v>
      </c>
      <c r="DN7" s="6">
        <v>0</v>
      </c>
      <c r="DP7" s="6" t="s">
        <v>50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50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  <c r="ET7" s="6">
        <v>0</v>
      </c>
      <c r="EU7" s="6">
        <v>0</v>
      </c>
      <c r="EV7" s="6" t="s">
        <v>50</v>
      </c>
    </row>
    <row r="8" spans="1:168" ht="15.75" customHeight="1">
      <c r="A8" s="5"/>
      <c r="B8" s="5"/>
      <c r="C8" s="9" t="s">
        <v>21</v>
      </c>
      <c r="D8" s="9">
        <v>200</v>
      </c>
      <c r="E8" s="9" t="s">
        <v>18</v>
      </c>
      <c r="F8" s="9" t="s">
        <v>38</v>
      </c>
      <c r="G8" s="9">
        <v>20</v>
      </c>
      <c r="H8" s="9" t="s">
        <v>50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42">
        <v>-4000</v>
      </c>
      <c r="O8" s="5"/>
      <c r="Q8" s="42">
        <v>-4000</v>
      </c>
      <c r="R8" s="6" t="s">
        <v>51</v>
      </c>
      <c r="T8" s="6" t="s">
        <v>28</v>
      </c>
      <c r="U8" s="6" t="s">
        <v>27</v>
      </c>
      <c r="V8" s="6" t="s">
        <v>53</v>
      </c>
      <c r="W8" s="6" t="s">
        <v>41</v>
      </c>
      <c r="Y8" s="6">
        <v>1</v>
      </c>
      <c r="AB8" s="9">
        <v>0</v>
      </c>
      <c r="AC8" s="9">
        <v>0</v>
      </c>
      <c r="AD8" s="9">
        <v>0</v>
      </c>
      <c r="AE8" s="9">
        <v>0</v>
      </c>
      <c r="AF8" s="6">
        <v>200</v>
      </c>
      <c r="AG8" s="9">
        <v>0</v>
      </c>
      <c r="AH8" s="9">
        <v>0</v>
      </c>
      <c r="AI8" s="9">
        <v>0</v>
      </c>
      <c r="AJ8" s="9">
        <v>0</v>
      </c>
      <c r="AK8" s="42">
        <v>-4000</v>
      </c>
      <c r="AL8" s="6">
        <v>1</v>
      </c>
      <c r="AM8" s="6">
        <v>1</v>
      </c>
      <c r="AN8" s="6" t="s">
        <v>17</v>
      </c>
      <c r="AP8" s="6" t="s">
        <v>50</v>
      </c>
      <c r="AQ8" s="6" t="s">
        <v>21</v>
      </c>
      <c r="AR8" s="6">
        <v>0</v>
      </c>
      <c r="AS8" s="6">
        <v>1</v>
      </c>
      <c r="AV8" s="6">
        <v>1</v>
      </c>
      <c r="AW8" s="42">
        <v>-4000</v>
      </c>
      <c r="AX8" s="6">
        <v>0</v>
      </c>
      <c r="AY8" s="6">
        <v>0</v>
      </c>
      <c r="AZ8" s="6">
        <v>0</v>
      </c>
      <c r="BA8" s="6">
        <v>-100</v>
      </c>
      <c r="BC8" s="6">
        <v>1</v>
      </c>
      <c r="BD8" s="42">
        <v>-4000</v>
      </c>
      <c r="BE8" s="6" t="s">
        <v>28</v>
      </c>
      <c r="BJ8" s="6">
        <v>0</v>
      </c>
      <c r="BK8" s="6">
        <v>0</v>
      </c>
      <c r="BL8" s="6">
        <v>0</v>
      </c>
      <c r="BM8" s="6">
        <v>0</v>
      </c>
      <c r="BO8" s="42">
        <v>-4000</v>
      </c>
      <c r="BP8" s="6">
        <v>0</v>
      </c>
      <c r="BQ8" s="6" t="s">
        <v>39</v>
      </c>
      <c r="BR8" s="6" t="s">
        <v>30</v>
      </c>
      <c r="BS8" s="6">
        <v>0</v>
      </c>
      <c r="BT8" s="6">
        <v>0</v>
      </c>
      <c r="BU8" s="6" t="s">
        <v>28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42">
        <v>-4000</v>
      </c>
      <c r="CE8" s="6">
        <v>0</v>
      </c>
      <c r="CF8" s="6">
        <v>0</v>
      </c>
      <c r="CG8" s="42">
        <v>-4000</v>
      </c>
      <c r="CH8" s="6">
        <v>-100</v>
      </c>
      <c r="CI8" s="6">
        <v>0</v>
      </c>
      <c r="CJ8" s="6">
        <v>0</v>
      </c>
      <c r="CS8" s="6">
        <v>20</v>
      </c>
      <c r="DA8" s="6">
        <v>0</v>
      </c>
      <c r="DB8" s="6">
        <v>0</v>
      </c>
      <c r="DD8" s="6">
        <v>200</v>
      </c>
      <c r="DE8" s="6">
        <v>0</v>
      </c>
      <c r="DF8" s="6">
        <v>0</v>
      </c>
      <c r="DG8" s="6">
        <v>0</v>
      </c>
      <c r="DI8" s="6">
        <v>0</v>
      </c>
      <c r="DJ8" s="6" t="s">
        <v>17</v>
      </c>
      <c r="DK8" s="6">
        <v>0</v>
      </c>
      <c r="DL8" s="6">
        <v>0</v>
      </c>
      <c r="DM8" s="6">
        <v>1</v>
      </c>
      <c r="DN8" s="6">
        <v>0</v>
      </c>
      <c r="DP8" s="6" t="s">
        <v>50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 t="s">
        <v>50</v>
      </c>
      <c r="EM8" s="6">
        <v>0</v>
      </c>
      <c r="EN8" s="6">
        <v>0</v>
      </c>
      <c r="EO8" s="6">
        <v>0</v>
      </c>
      <c r="EQ8" s="6">
        <v>0</v>
      </c>
      <c r="ER8" s="6">
        <v>0</v>
      </c>
      <c r="ET8" s="6">
        <v>0</v>
      </c>
      <c r="EU8" s="6">
        <v>0</v>
      </c>
      <c r="EV8" s="6" t="s">
        <v>50</v>
      </c>
    </row>
    <row r="9" spans="1:168" ht="15.75" customHeight="1">
      <c r="A9" s="5"/>
      <c r="B9" s="5"/>
      <c r="C9" s="5"/>
      <c r="D9" s="5"/>
      <c r="E9" s="5"/>
      <c r="F9" s="9"/>
      <c r="G9" s="5"/>
      <c r="H9" s="5"/>
      <c r="I9" s="5"/>
      <c r="J9" s="5"/>
      <c r="K9" s="5"/>
      <c r="L9" s="5"/>
      <c r="M9" s="5"/>
      <c r="N9" s="5"/>
      <c r="O9" s="5"/>
      <c r="Q9" s="5"/>
      <c r="AB9" s="5"/>
      <c r="AC9" s="5"/>
      <c r="AD9" s="5"/>
      <c r="AE9" s="5"/>
      <c r="AG9" s="5"/>
      <c r="AH9" s="5"/>
      <c r="AK9" s="5"/>
      <c r="AW9" s="5"/>
      <c r="BD9" s="5"/>
      <c r="BO9" s="5"/>
      <c r="CD9" s="5"/>
      <c r="CG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CreateStageOrder</vt:lpstr>
      <vt:lpstr>MultipleTradeTransferToUser</vt:lpstr>
      <vt:lpstr>VerifyOrder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2021-08-04T11:46:32Z</dcterms:modified>
</cp:coreProperties>
</file>