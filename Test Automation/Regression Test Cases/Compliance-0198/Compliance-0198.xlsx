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ComplianceOrder" sheetId="8" r:id="rId10"/>
    <sheet state="visible" name="VerifyComplianceOrder" sheetId="9" r:id="rId11"/>
    <sheet state="visible" name="CreateComplianceOrder1" sheetId="10" r:id="rId12"/>
    <sheet state="visible" name="VerifyComplianceOrder1" sheetId="11" r:id="rId13"/>
  </sheets>
  <definedNames/>
  <calcPr/>
</workbook>
</file>

<file path=xl/sharedStrings.xml><?xml version="1.0" encoding="utf-8"?>
<sst xmlns="http://schemas.openxmlformats.org/spreadsheetml/2006/main" count="98" uniqueCount="39">
  <si>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</si>
  <si>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</si>
  <si>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</si>
  <si>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</si>
  <si>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</si>
  <si>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</si>
  <si>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</si>
  <si>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</si>
  <si>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</si>
  <si>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</si>
  <si>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</si>
  <si>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</si>
  <si>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</si>
  <si>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</si>
  <si>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</si>
  <si>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</si>
  <si>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</si>
  <si>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</si>
  <si>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</si>
  <si>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Yes</t>
  </si>
  <si>
    <t>PricingInput</t>
  </si>
  <si>
    <t>DailyValuation</t>
  </si>
  <si>
    <t>GetDailyCash</t>
  </si>
  <si>
    <t>UpdateMultipleDailyCash</t>
  </si>
  <si>
    <t>Allocation1</t>
  </si>
  <si>
    <t>USD</t>
  </si>
  <si>
    <t>CreateComplianceOrder</t>
  </si>
  <si>
    <t>DoneAway</t>
  </si>
  <si>
    <t>VerifyComplianceOrder</t>
  </si>
  <si>
    <t>Soft</t>
  </si>
  <si>
    <t>GlobalNav</t>
  </si>
  <si>
    <t>If Global Nav equals to 900000 or long Market Value Base less than 3000 or short Market Value Base greater than 5000, Then block the trade.</t>
  </si>
  <si>
    <t>Global</t>
  </si>
  <si>
    <t>globalNav: 900,000.00, longMarketValueBase: 12,000.00, shortMarketValueBase: 0.00</t>
  </si>
  <si>
    <t>Sell short</t>
  </si>
  <si>
    <t>MasterFLevel</t>
  </si>
  <si>
    <t>If Master Fund Nav greater than 100000 or master Fund Nav less than 10000, Then block the trade.</t>
  </si>
  <si>
    <t>NewMF</t>
  </si>
  <si>
    <t>masterFundNav: 894,060.00, MasterFundName: 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</si>
</sst>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0" fillId="6" fontId="15" numFmtId="14" xfId="0" applyFont="1" applyNumberFormat="1"/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3" xfId="0" applyAlignment="1" applyBorder="1" applyFont="1" applyNumberFormat="1">
      <alignment horizontal="right" readingOrder="0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6" fontId="1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1"/>
      <c r="F6" s="34" t="s">
        <v>18</v>
      </c>
      <c r="G6" s="31"/>
      <c r="H6" s="31"/>
      <c r="I6" s="31"/>
      <c r="J6" s="35">
        <v>100.0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>
        <f t="shared" ref="B6:C6" si="1">TODAY()-1</f>
        <v>44952</v>
      </c>
      <c r="C6" s="37">
        <f t="shared" si="1"/>
        <v>44952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24</v>
      </c>
      <c r="C6" s="39" t="s">
        <v>25</v>
      </c>
      <c r="D6" s="40">
        <v>898020.0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16</v>
      </c>
      <c r="C6" s="43" t="s">
        <v>17</v>
      </c>
      <c r="D6" s="44">
        <v>20.0</v>
      </c>
      <c r="E6" s="43"/>
      <c r="F6" s="45" t="s">
        <v>24</v>
      </c>
      <c r="G6" s="43"/>
      <c r="H6" s="43"/>
      <c r="I6" s="43"/>
      <c r="J6" s="44">
        <v>1.0</v>
      </c>
      <c r="K6" s="43"/>
      <c r="L6" s="43"/>
      <c r="M6" s="43"/>
      <c r="N6" s="46">
        <f>TODAY()</f>
        <v>44953</v>
      </c>
      <c r="O6" s="43"/>
      <c r="P6" s="43"/>
      <c r="Q6" s="43"/>
      <c r="R6" s="43"/>
      <c r="S6" s="4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27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29</v>
      </c>
      <c r="C6" s="13" t="s">
        <v>30</v>
      </c>
      <c r="D6" s="13" t="s">
        <v>31</v>
      </c>
      <c r="E6" s="13" t="s">
        <v>32</v>
      </c>
      <c r="F6" s="13">
        <v>900000.0</v>
      </c>
      <c r="G6" s="13">
        <v>900000.0</v>
      </c>
      <c r="H6" s="13" t="s">
        <v>33</v>
      </c>
      <c r="I6" s="8"/>
      <c r="J6" s="8"/>
      <c r="K6" s="47" t="s">
        <v>19</v>
      </c>
      <c r="L6" s="31"/>
      <c r="M6" s="31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31"/>
      <c r="L7" s="31"/>
      <c r="M7" s="31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16</v>
      </c>
      <c r="C6" s="13" t="s">
        <v>34</v>
      </c>
      <c r="D6" s="44">
        <v>60.0</v>
      </c>
      <c r="E6" s="43"/>
      <c r="F6" s="45" t="s">
        <v>24</v>
      </c>
      <c r="G6" s="43"/>
      <c r="H6" s="43"/>
      <c r="I6" s="43"/>
      <c r="J6" s="44">
        <v>1.0</v>
      </c>
      <c r="K6" s="43"/>
      <c r="L6" s="43"/>
      <c r="M6" s="43"/>
      <c r="N6" s="46">
        <f>TODAY()</f>
        <v>44953</v>
      </c>
      <c r="O6" s="43"/>
      <c r="P6" s="43"/>
      <c r="Q6" s="43"/>
      <c r="R6" s="43"/>
      <c r="S6" s="4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27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29</v>
      </c>
      <c r="C6" s="13" t="s">
        <v>35</v>
      </c>
      <c r="D6" s="13" t="s">
        <v>36</v>
      </c>
      <c r="E6" s="13" t="s">
        <v>37</v>
      </c>
      <c r="F6" s="13">
        <v>100000.0</v>
      </c>
      <c r="G6" s="13">
        <v>894060.0</v>
      </c>
      <c r="H6" s="13" t="s">
        <v>38</v>
      </c>
      <c r="I6" s="8"/>
      <c r="J6" s="8"/>
      <c r="K6" s="47" t="s">
        <v>19</v>
      </c>
      <c r="L6" s="31"/>
      <c r="M6" s="31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31"/>
      <c r="L7" s="31"/>
      <c r="M7" s="31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