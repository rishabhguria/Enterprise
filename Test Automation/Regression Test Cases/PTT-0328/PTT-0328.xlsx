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PTTPreference" sheetId="8" r:id="rId10"/>
    <sheet state="visible" name="CalculatePTT" sheetId="9" r:id="rId11"/>
    <sheet state="visible" name="VerifyPTTCompliance" sheetId="10" r:id="rId12"/>
    <sheet state="visible" name="SetPTTPreference1" sheetId="11" r:id="rId13"/>
    <sheet state="visible" name="VerifyPTTCompliance1" sheetId="12" r:id="rId14"/>
  </sheets>
  <definedNames/>
  <calcPr/>
</workbook>
</file>

<file path=xl/sharedStrings.xml><?xml version="1.0" encoding="utf-8"?>
<sst xmlns="http://schemas.openxmlformats.org/spreadsheetml/2006/main" count="116" uniqueCount="43">
  <si>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</si>
  <si>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</si>
  <si>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</si>
  <si>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</si>
  <si>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</si>
  <si>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</si>
  <si>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</si>
  <si>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</si>
  <si>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</si>
  <si>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</si>
  <si>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</si>
  <si>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</si>
  <si>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</si>
  <si>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</si>
  <si>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</si>
  <si>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</si>
  <si>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</si>
  <si>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</si>
  <si>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</si>
  <si>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</si>
  <si>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</si>
  <si>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</si>
  <si>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</si>
  <si>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</si>
  <si>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</si>
  <si>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</si>
  <si>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</si>
  <si>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SetPTTPreference</t>
  </si>
  <si>
    <t>Decrease</t>
  </si>
  <si>
    <t>CalculatePTT</t>
  </si>
  <si>
    <t>Percentage</t>
  </si>
  <si>
    <t>No</t>
  </si>
  <si>
    <t>Account</t>
  </si>
  <si>
    <t>Allocation1,Allocation2</t>
  </si>
  <si>
    <t>MS</t>
  </si>
  <si>
    <t>Market</t>
  </si>
  <si>
    <t>VerifyPTTCompliance</t>
  </si>
  <si>
    <t>Soft Alert</t>
  </si>
  <si>
    <t>Quantity_Check_Rule</t>
  </si>
  <si>
    <t>Quantity Check Rule</t>
  </si>
  <si>
    <t>Symbol: AAPL , quantity: 15.00, Symbol: AAPL</t>
  </si>
  <si>
    <t>Set</t>
  </si>
  <si>
    <t>Symbol: AAPL , quantity: 86.00,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</si>
</sst>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5" fillId="6" fontId="14" numFmtId="0" xfId="0" applyAlignment="1" applyBorder="1" applyFill="1" applyFont="1">
      <alignment vertical="bottom"/>
    </xf>
    <xf borderId="5" fillId="7" fontId="14" numFmtId="0" xfId="0" applyAlignment="1" applyBorder="1" applyFill="1" applyFont="1">
      <alignment vertical="bottom"/>
    </xf>
    <xf borderId="5" fillId="7" fontId="14" numFmtId="0" xfId="0" applyAlignment="1" applyBorder="1" applyFont="1">
      <alignment vertical="bottom"/>
    </xf>
    <xf borderId="5" fillId="7" fontId="14" numFmtId="0" xfId="0" applyAlignment="1" applyBorder="1" applyFont="1">
      <alignment horizontal="right" vertical="bottom"/>
    </xf>
    <xf borderId="5" fillId="7" fontId="14" numFmtId="0" xfId="0" applyAlignment="1" applyBorder="1" applyFont="1">
      <alignment horizontal="right" readingOrder="0" vertical="bottom"/>
    </xf>
    <xf borderId="5" fillId="7" fontId="14" numFmtId="0" xfId="0" applyAlignment="1" applyBorder="1" applyFont="1">
      <alignment readingOrder="0" vertical="bottom"/>
    </xf>
    <xf borderId="5" fillId="6" fontId="14" numFmtId="0" xfId="0" applyAlignment="1" applyBorder="1" applyFont="1">
      <alignment vertical="bottom"/>
    </xf>
    <xf borderId="5" fillId="8" fontId="14" numFmtId="0" xfId="0" applyAlignment="1" applyBorder="1" applyFill="1" applyFont="1">
      <alignment vertical="bottom"/>
    </xf>
    <xf borderId="5" fillId="8" fontId="14" numFmtId="0" xfId="0" applyAlignment="1" applyBorder="1" applyFont="1">
      <alignment horizontal="right" vertical="bottom"/>
    </xf>
    <xf borderId="5" fillId="8" fontId="14" numFmtId="0" xfId="0" applyAlignment="1" applyBorder="1" applyFont="1">
      <alignment horizontal="right" readingOrder="0" vertical="bottom"/>
    </xf>
    <xf borderId="5" fillId="8" fontId="1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1.0</v>
      </c>
      <c r="E6" s="35" t="s">
        <v>17</v>
      </c>
      <c r="F6" s="36"/>
      <c r="G6" s="36"/>
      <c r="H6" s="36"/>
      <c r="I6" s="35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16</v>
      </c>
      <c r="C7" s="33">
        <v>100.0</v>
      </c>
      <c r="D7" s="33">
        <v>1.0</v>
      </c>
      <c r="E7" s="35" t="s">
        <v>17</v>
      </c>
      <c r="F7" s="36"/>
      <c r="G7" s="36"/>
      <c r="H7" s="36"/>
      <c r="I7" s="35" t="s">
        <v>20</v>
      </c>
      <c r="J7" s="35" t="s">
        <v>19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10.0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45802</v>
      </c>
      <c r="C6" s="38">
        <f>today()</f>
        <v>45803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5" t="s">
        <v>25</v>
      </c>
      <c r="D6" s="34">
        <v>1000.0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20</v>
      </c>
      <c r="C7" s="35" t="s">
        <v>25</v>
      </c>
      <c r="D7" s="3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/>
      <c r="C8" s="36"/>
      <c r="D8" s="36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IFERROR(__xludf.DUMMYFUNCTION("""COMPUTED_VALUE"""),"Add/Subtract/Set")</f>
        <v>Add/Subtract/Set</v>
      </c>
      <c r="C5" s="28" t="str">
        <f>IFERROR(__xludf.DUMMYFUNCTION("""COMPUTED_VALUE"""),"Type")</f>
        <v>Type</v>
      </c>
      <c r="D5" s="28" t="str">
        <f>IFERROR(__xludf.DUMMYFUNCTION("""COMPUTED_VALUE"""),"Combined Account Total")</f>
        <v>Combined Account Total</v>
      </c>
      <c r="E5" s="28" t="str">
        <f>IFERROR(__xludf.DUMMYFUNCTION("""COMPUTED_VALUE"""),"MasterFund/Account")</f>
        <v>MasterFund/Account</v>
      </c>
      <c r="F5" s="29" t="str">
        <f>IFERROR(__xludf.DUMMYFUNCTION("""COMPUTED_VALUE"""),"Accounts")</f>
        <v>Accounts</v>
      </c>
      <c r="G5" s="28" t="str">
        <f>IFERROR(__xludf.DUMMYFUNCTION("""COMPUTED_VALUE"""),"Increase Decimal Digits")</f>
        <v>Increase Decimal Digits</v>
      </c>
      <c r="H5" s="28" t="str">
        <f>IFERROR(__xludf.DUMMYFUNCTION("""COMPUTED_VALUE"""),"ChkRemoveAccountsWithZeroNAV")</f>
        <v>ChkRemoveAccountsWithZeroNAV</v>
      </c>
      <c r="I5" s="28" t="str">
        <f>IFERROR(__xludf.DUMMYFUNCTION("""COMPUTED_VALUE"""),"Default Symbology")</f>
        <v>Default Symbology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SetPTTPreference!$4:$4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/>
      <c r="D6" s="32" t="s">
        <v>30</v>
      </c>
      <c r="E6" s="33">
        <v>10.0</v>
      </c>
      <c r="F6" s="33">
        <v>20.0</v>
      </c>
      <c r="G6" s="35" t="s">
        <v>31</v>
      </c>
      <c r="H6" s="35" t="s">
        <v>32</v>
      </c>
      <c r="I6" s="35" t="s">
        <v>33</v>
      </c>
      <c r="J6" s="36"/>
      <c r="K6" s="36"/>
      <c r="L6" s="36"/>
      <c r="M6" s="35" t="s">
        <v>34</v>
      </c>
      <c r="N6" s="36"/>
      <c r="O6" s="36"/>
      <c r="P6" s="36" t="s">
        <v>35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34.8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37</v>
      </c>
      <c r="C6" s="40" t="s">
        <v>38</v>
      </c>
      <c r="D6" s="41" t="s">
        <v>39</v>
      </c>
      <c r="E6" s="40" t="s">
        <v>16</v>
      </c>
      <c r="F6" s="42">
        <v>0.0</v>
      </c>
      <c r="G6" s="43">
        <v>15.0</v>
      </c>
      <c r="H6" s="44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37</v>
      </c>
      <c r="C7" s="46" t="s">
        <v>38</v>
      </c>
      <c r="D7" s="46" t="s">
        <v>39</v>
      </c>
      <c r="E7" s="46" t="s">
        <v>16</v>
      </c>
      <c r="F7" s="47">
        <v>0.0</v>
      </c>
      <c r="G7" s="48">
        <v>15.0</v>
      </c>
      <c r="H7" s="49" t="s">
        <v>40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IFERROR(__xludf.DUMMYFUNCTION("""COMPUTED_VALUE"""),"Add/Subtract/Set")</f>
        <v>Add/Subtract/Set</v>
      </c>
      <c r="C5" s="28" t="str">
        <f>IFERROR(__xludf.DUMMYFUNCTION("""COMPUTED_VALUE"""),"Type")</f>
        <v>Type</v>
      </c>
      <c r="D5" s="28" t="str">
        <f>IFERROR(__xludf.DUMMYFUNCTION("""COMPUTED_VALUE"""),"Combined Account Total")</f>
        <v>Combined Account Total</v>
      </c>
      <c r="E5" s="28" t="str">
        <f>IFERROR(__xludf.DUMMYFUNCTION("""COMPUTED_VALUE"""),"MasterFund/Account")</f>
        <v>MasterFund/Account</v>
      </c>
      <c r="F5" s="29" t="str">
        <f>IFERROR(__xludf.DUMMYFUNCTION("""COMPUTED_VALUE"""),"Accounts")</f>
        <v>Accounts</v>
      </c>
      <c r="G5" s="28" t="str">
        <f>IFERROR(__xludf.DUMMYFUNCTION("""COMPUTED_VALUE"""),"Increase Decimal Digits")</f>
        <v>Increase Decimal Digits</v>
      </c>
      <c r="H5" s="28" t="str">
        <f>IFERROR(__xludf.DUMMYFUNCTION("""COMPUTED_VALUE"""),"ChkRemoveAccountsWithZeroNAV")</f>
        <v>ChkRemoveAccountsWithZeroNAV</v>
      </c>
      <c r="I5" s="28" t="str">
        <f>IFERROR(__xludf.DUMMYFUNCTION("""COMPUTED_VALUE"""),"Default Symbology")</f>
        <v>Default Symbology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41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SetPTTPreference1!$4:$4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34.8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37</v>
      </c>
      <c r="C6" s="40" t="s">
        <v>38</v>
      </c>
      <c r="D6" s="41" t="s">
        <v>39</v>
      </c>
      <c r="E6" s="40" t="s">
        <v>16</v>
      </c>
      <c r="F6" s="42">
        <v>0.0</v>
      </c>
      <c r="G6" s="43">
        <v>86.0</v>
      </c>
      <c r="H6" s="44" t="s">
        <v>42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37</v>
      </c>
      <c r="C7" s="46" t="s">
        <v>38</v>
      </c>
      <c r="D7" s="46" t="s">
        <v>39</v>
      </c>
      <c r="E7" s="46" t="s">
        <v>16</v>
      </c>
      <c r="F7" s="47">
        <v>0.0</v>
      </c>
      <c r="G7" s="48">
        <v>86.0</v>
      </c>
      <c r="H7" s="49" t="s">
        <v>42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