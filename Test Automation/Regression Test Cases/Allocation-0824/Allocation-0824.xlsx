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FundDefaultRule" sheetId="10" r:id="rId12"/>
    <sheet state="visible" name="SetMFPrefAccountValues1" sheetId="11" r:id="rId13"/>
    <sheet state="visible" name="SetMFPrefFundDefaultRule1" sheetId="12" r:id="rId14"/>
    <sheet state="visible" name="SetMFPrefGeneralRule" sheetId="13" r:id="rId15"/>
    <sheet state="visible" name="SetMFPrefGeneralRule1" sheetId="14" r:id="rId16"/>
    <sheet state="visible" name="CreateTransaction" sheetId="15" r:id="rId17"/>
    <sheet state="visible" name="GetDataAllocation" sheetId="16" r:id="rId18"/>
    <sheet state="visible" name="CheckAllocatedGroups" sheetId="17" r:id="rId19"/>
    <sheet state="visible" name="UpdateGRAccountValue" sheetId="18" r:id="rId20"/>
    <sheet state="visible" name="UpdateGRDefaultRule" sheetId="19" r:id="rId21"/>
    <sheet state="visible" name="UpdateGRDefaultRule1" sheetId="20" r:id="rId22"/>
    <sheet state="visible" name="UpdateGRAccountValue1" sheetId="21" r:id="rId23"/>
    <sheet state="visible" name="Copy of Data" sheetId="22" r:id="rId24"/>
  </sheets>
  <definedNames/>
  <calcPr/>
</workbook>
</file>

<file path=xl/sharedStrings.xml><?xml version="1.0" encoding="utf-8"?>
<sst xmlns="http://schemas.openxmlformats.org/spreadsheetml/2006/main" count="238" uniqueCount="57">
  <si>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</si>
  <si>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</si>
  <si>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</si>
  <si>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</si>
  <si>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</si>
  <si>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</si>
  <si>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</si>
  <si>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</si>
  <si>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</si>
  <si>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</si>
  <si>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</si>
  <si>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</si>
  <si>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</si>
  <si>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</si>
  <si>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</si>
  <si>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</si>
  <si>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O:AAPL 13C450.00D22</t>
  </si>
  <si>
    <t>Buy to Open</t>
  </si>
  <si>
    <t>Allocation2</t>
  </si>
  <si>
    <t>rt</t>
  </si>
  <si>
    <t>Allocation</t>
  </si>
  <si>
    <t>SetGeneralPreferences</t>
  </si>
  <si>
    <t>AddMFPreferences</t>
  </si>
  <si>
    <t>TestPreference</t>
  </si>
  <si>
    <t>SetMFPreferencesDefaultRule</t>
  </si>
  <si>
    <t>Current Preference</t>
  </si>
  <si>
    <t>None</t>
  </si>
  <si>
    <t>SetMFPrefFundDistribution</t>
  </si>
  <si>
    <t>NewMF1</t>
  </si>
  <si>
    <t>NewMF2</t>
  </si>
  <si>
    <t>SetMFPrefAccountValues</t>
  </si>
  <si>
    <t>Allocation4</t>
  </si>
  <si>
    <t>SetMFPrefFundDefaultRule</t>
  </si>
  <si>
    <t>Fair Pricing</t>
  </si>
  <si>
    <t>Account Inception</t>
  </si>
  <si>
    <t>LP C/O</t>
  </si>
  <si>
    <t>SetMFPrefGeneralRule</t>
  </si>
  <si>
    <t>Include</t>
  </si>
  <si>
    <t>AMEX</t>
  </si>
  <si>
    <t>Buy</t>
  </si>
  <si>
    <t>CreateTransaction</t>
  </si>
  <si>
    <t>GetDataAllocation</t>
  </si>
  <si>
    <t>Current</t>
  </si>
  <si>
    <t>CheckAllocatedGroups</t>
  </si>
  <si>
    <t>Actual_365</t>
  </si>
  <si>
    <t>Manual</t>
  </si>
  <si>
    <t>EquityOption</t>
  </si>
  <si>
    <t>Treasury</t>
  </si>
  <si>
    <t>MS</t>
  </si>
  <si>
    <t>OPTS</t>
  </si>
  <si>
    <t>M</t>
  </si>
  <si>
    <t>Multiple</t>
  </si>
  <si>
    <t>UpdateGRAccountValue</t>
  </si>
  <si>
    <t>UpdateGRDefaultRule</t>
  </si>
  <si>
    <t>Trade Quantity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</si>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</sst>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 t="s">
        <v>16</v>
      </c>
      <c r="C6" s="12" t="s">
        <v>17</v>
      </c>
      <c r="D6" s="12">
        <v>10.0</v>
      </c>
      <c r="E6" s="8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30" t="s">
        <v>16</v>
      </c>
      <c r="C7" s="12" t="s">
        <v>17</v>
      </c>
      <c r="D7" s="12">
        <v>10.0</v>
      </c>
      <c r="E7" s="8"/>
      <c r="F7" s="12" t="s">
        <v>19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2" t="b">
        <v>1</v>
      </c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23</v>
      </c>
      <c r="C6" s="31"/>
      <c r="D6" s="33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0" t="s">
        <v>25</v>
      </c>
      <c r="D6" s="33"/>
      <c r="E6" s="31"/>
      <c r="F6" s="30" t="s">
        <v>23</v>
      </c>
      <c r="G6" s="30" t="s">
        <v>26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23</v>
      </c>
      <c r="C6" s="30" t="s">
        <v>28</v>
      </c>
      <c r="D6" s="35">
        <v>50.0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0" t="s">
        <v>23</v>
      </c>
      <c r="C7" s="30" t="s">
        <v>29</v>
      </c>
      <c r="D7" s="36">
        <v>50.0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23</v>
      </c>
      <c r="C6" s="30" t="s">
        <v>28</v>
      </c>
      <c r="D6" s="34" t="s">
        <v>18</v>
      </c>
      <c r="E6" s="36">
        <v>50.0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0" t="s">
        <v>23</v>
      </c>
      <c r="C7" s="30" t="s">
        <v>28</v>
      </c>
      <c r="D7" s="30" t="s">
        <v>31</v>
      </c>
      <c r="E7" s="36">
        <v>50.0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23</v>
      </c>
      <c r="C6" s="30" t="s">
        <v>28</v>
      </c>
      <c r="D6" s="34" t="s">
        <v>33</v>
      </c>
      <c r="E6" s="31"/>
      <c r="F6" s="30" t="s">
        <v>34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0" t="s">
        <v>23</v>
      </c>
      <c r="C6" s="30" t="s">
        <v>29</v>
      </c>
      <c r="D6" s="30" t="s">
        <v>19</v>
      </c>
      <c r="E6" s="36">
        <v>50.0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0" t="s">
        <v>23</v>
      </c>
      <c r="C7" s="30" t="s">
        <v>29</v>
      </c>
      <c r="D7" s="30" t="s">
        <v>35</v>
      </c>
      <c r="E7" s="36">
        <v>50.0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23</v>
      </c>
      <c r="C6" s="30" t="s">
        <v>29</v>
      </c>
      <c r="D6" s="34" t="s">
        <v>33</v>
      </c>
      <c r="E6" s="30" t="s">
        <v>35</v>
      </c>
      <c r="F6" s="30" t="s">
        <v>34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0" t="s">
        <v>23</v>
      </c>
      <c r="C6" s="30" t="s">
        <v>28</v>
      </c>
      <c r="D6" s="30" t="s">
        <v>37</v>
      </c>
      <c r="E6" s="30" t="s">
        <v>38</v>
      </c>
      <c r="F6" s="31"/>
      <c r="G6" s="31"/>
      <c r="H6" s="31"/>
      <c r="I6" s="31"/>
      <c r="J6" s="30" t="s">
        <v>37</v>
      </c>
      <c r="K6" s="30" t="s">
        <v>39</v>
      </c>
      <c r="L6" s="37" t="b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0" t="s">
        <v>23</v>
      </c>
      <c r="C6" s="38" t="s">
        <v>29</v>
      </c>
      <c r="D6" s="30" t="s">
        <v>37</v>
      </c>
      <c r="E6" s="30" t="s">
        <v>38</v>
      </c>
      <c r="F6" s="31"/>
      <c r="G6" s="31"/>
      <c r="H6" s="31"/>
      <c r="I6" s="31"/>
      <c r="J6" s="30" t="s">
        <v>37</v>
      </c>
      <c r="K6" s="30" t="s">
        <v>39</v>
      </c>
      <c r="L6" s="37" t="b">
        <v>1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IFERROR(__xludf.DUMMYFUNCTION("IF(C3="""","""",Transpose(IMPORTRANGE('_Settings'!$B$3,C3&amp;""!A4:A1000"")))"),"CreateTransaction")</f>
        <v>CreateTransaction</v>
      </c>
      <c r="C4" s="24" t="str">
        <f>IFERROR(__xludf.DUMMYFUNCTION("""COMPUTED_VALUE"""),"AddNewTransaction")</f>
        <v>AddNewTransaction</v>
      </c>
      <c r="D4" s="24" t="str">
        <f>IFERROR(__xludf.DUMMYFUNCTION("""COMPUTED_VALUE"""),"SaveTransaction")</f>
        <v>SaveTransaction</v>
      </c>
      <c r="E4" s="24" t="str">
        <f>IFERROR(__xludf.DUMMYFUNCTION("""COMPUTED_VALUE"""),"VerifyCTNavLockPopup")</f>
        <v>VerifyCTNavLockPopup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IFERROR(__xludf.DUMMYFUNCTION("""COMPUTED_VALUE"""),"Account")</f>
        <v>Account</v>
      </c>
      <c r="D5" s="27" t="str">
        <f>IFERROR(__xludf.DUMMYFUNCTION("""COMPUTED_VALUE"""),"Side")</f>
        <v>Side</v>
      </c>
      <c r="E5" s="27" t="str">
        <f>IFERROR(__xludf.DUMMYFUNCTION("""COMPUTED_VALUE"""),"Quantity")</f>
        <v>Quantity</v>
      </c>
      <c r="F5" s="28" t="str">
        <f>IFERROR(__xludf.DUMMYFUNCTION("""COMPUTED_VALUE"""),"Executed Quantity")</f>
        <v>Executed Quantity</v>
      </c>
      <c r="G5" s="27" t="str">
        <f>IFERROR(__xludf.DUMMYFUNCTION("""COMPUTED_VALUE"""),"Average Price")</f>
        <v>Average Price</v>
      </c>
      <c r="H5" s="27" t="str">
        <f>IFERROR(__xludf.DUMMYFUNCTION("""COMPUTED_VALUE"""),"Commission")</f>
        <v>Commission</v>
      </c>
      <c r="I5" s="27" t="str">
        <f>IFERROR(__xludf.DUMMYFUNCTION("""COMPUTED_VALUE"""),"Trade Date")</f>
        <v>Trade Date</v>
      </c>
      <c r="J5" s="27" t="str">
        <f>IFERROR(__xludf.DUMMYFUNCTION("""COMPUTED_VALUE"""),"Broker")</f>
        <v>Broker</v>
      </c>
      <c r="K5" s="27" t="str">
        <f>IFERROR(__xludf.DUMMYFUNCTION("""COMPUTED_VALUE"""),"OriginalPurchaseDate")</f>
        <v>OriginalPurchaseDate</v>
      </c>
      <c r="L5" s="27" t="str">
        <f>IFERROR(__xludf.DUMMYFUNCTION("""COMPUTED_VALUE"""),"Pay/Receive")</f>
        <v>Pay/Receive</v>
      </c>
      <c r="M5" s="27" t="str">
        <f>IFERROR(__xludf.DUMMYFUNCTION("""COMPUTED_VALUE"""),"SaveTransaction")</f>
        <v>SaveTransaction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0" t="s">
        <v>16</v>
      </c>
      <c r="C6" s="30" t="s">
        <v>23</v>
      </c>
      <c r="D6" s="30" t="s">
        <v>17</v>
      </c>
      <c r="E6" s="36">
        <v>151.0</v>
      </c>
      <c r="F6" s="31"/>
      <c r="G6" s="36">
        <v>30.67</v>
      </c>
      <c r="H6" s="31"/>
      <c r="I6" s="39">
        <f>TODAY()</f>
        <v>45825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0" t="s">
        <v>42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ht="15.75" customHeight="1">
      <c r="A6" s="8"/>
      <c r="B6" s="40" t="s">
        <v>19</v>
      </c>
      <c r="C6" s="40" t="s">
        <v>44</v>
      </c>
      <c r="D6" s="41"/>
      <c r="E6" s="42">
        <v>10.0</v>
      </c>
      <c r="F6" s="40" t="s">
        <v>45</v>
      </c>
      <c r="G6" s="40" t="s">
        <v>46</v>
      </c>
      <c r="H6" s="8"/>
      <c r="I6" s="8"/>
      <c r="J6" s="42">
        <v>12.0</v>
      </c>
      <c r="K6" s="42">
        <v>2.0</v>
      </c>
      <c r="L6" s="42">
        <v>2.0</v>
      </c>
      <c r="M6" s="8"/>
      <c r="N6" s="40" t="s">
        <v>47</v>
      </c>
      <c r="O6" s="40" t="s">
        <v>48</v>
      </c>
      <c r="Q6" s="42">
        <v>3.0</v>
      </c>
      <c r="AD6" s="40" t="s">
        <v>49</v>
      </c>
      <c r="AE6" s="42">
        <v>10.0</v>
      </c>
      <c r="AH6" s="40" t="s">
        <v>50</v>
      </c>
      <c r="AT6" s="43">
        <v>2000.0</v>
      </c>
      <c r="AU6" s="43">
        <v>2000.0</v>
      </c>
      <c r="BE6" s="43">
        <v>2000.0</v>
      </c>
      <c r="BF6" s="43">
        <v>2000.0</v>
      </c>
      <c r="BJ6" s="42">
        <v>10.0</v>
      </c>
      <c r="BO6" s="40" t="s">
        <v>17</v>
      </c>
      <c r="BT6" s="40" t="s">
        <v>16</v>
      </c>
    </row>
    <row r="7" ht="15.75" customHeight="1">
      <c r="A7" s="8"/>
      <c r="B7" s="40" t="s">
        <v>18</v>
      </c>
      <c r="C7" s="40" t="s">
        <v>44</v>
      </c>
      <c r="D7" s="41"/>
      <c r="E7" s="42">
        <v>10.0</v>
      </c>
      <c r="F7" s="40" t="s">
        <v>45</v>
      </c>
      <c r="G7" s="40" t="s">
        <v>46</v>
      </c>
      <c r="H7" s="8"/>
      <c r="I7" s="8"/>
      <c r="J7" s="42">
        <v>12.0</v>
      </c>
      <c r="K7" s="42">
        <v>2.0</v>
      </c>
      <c r="L7" s="42">
        <v>2.0</v>
      </c>
      <c r="M7" s="8"/>
      <c r="N7" s="40" t="s">
        <v>47</v>
      </c>
      <c r="O7" s="40" t="s">
        <v>48</v>
      </c>
      <c r="Q7" s="42">
        <v>3.0</v>
      </c>
      <c r="AD7" s="40" t="s">
        <v>49</v>
      </c>
      <c r="AE7" s="42">
        <v>10.0</v>
      </c>
      <c r="AH7" s="40" t="s">
        <v>50</v>
      </c>
      <c r="AT7" s="43">
        <v>2000.0</v>
      </c>
      <c r="AU7" s="43">
        <v>2000.0</v>
      </c>
      <c r="BE7" s="43">
        <v>2000.0</v>
      </c>
      <c r="BF7" s="43">
        <v>2000.0</v>
      </c>
      <c r="BJ7" s="42">
        <v>10.0</v>
      </c>
      <c r="BO7" s="40" t="s">
        <v>17</v>
      </c>
      <c r="BT7" s="40" t="s">
        <v>16</v>
      </c>
    </row>
    <row r="8" ht="15.75" customHeight="1">
      <c r="A8" s="8"/>
      <c r="B8" s="40" t="s">
        <v>51</v>
      </c>
      <c r="C8" s="40" t="s">
        <v>44</v>
      </c>
      <c r="D8" s="41"/>
      <c r="E8" s="42">
        <v>151.0</v>
      </c>
      <c r="F8" s="40" t="s">
        <v>23</v>
      </c>
      <c r="G8" s="40" t="s">
        <v>46</v>
      </c>
      <c r="H8" s="8"/>
      <c r="I8" s="8"/>
      <c r="J8" s="42">
        <v>12.0</v>
      </c>
      <c r="K8" s="42">
        <v>30.67</v>
      </c>
      <c r="L8" s="42">
        <v>30.67</v>
      </c>
      <c r="M8" s="8"/>
      <c r="N8" s="40" t="s">
        <v>47</v>
      </c>
      <c r="O8" s="41"/>
      <c r="Q8" s="42">
        <v>3.0</v>
      </c>
      <c r="AD8" s="40" t="s">
        <v>49</v>
      </c>
      <c r="AE8" s="42">
        <v>151.0</v>
      </c>
      <c r="AH8" s="40" t="s">
        <v>50</v>
      </c>
      <c r="AT8" s="43">
        <v>463117.0</v>
      </c>
      <c r="AU8" s="43">
        <v>463117.0</v>
      </c>
      <c r="BE8" s="43">
        <v>463117.0</v>
      </c>
      <c r="BF8" s="43">
        <v>463117.0</v>
      </c>
      <c r="BJ8" s="42">
        <v>151.0</v>
      </c>
      <c r="BO8" s="40" t="s">
        <v>17</v>
      </c>
      <c r="BT8" s="40" t="s">
        <v>16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0" t="s">
        <v>23</v>
      </c>
      <c r="C6" s="30" t="s">
        <v>18</v>
      </c>
      <c r="D6" s="36">
        <v>75.0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0" t="s">
        <v>23</v>
      </c>
      <c r="C7" s="30" t="s">
        <v>31</v>
      </c>
      <c r="D7" s="36">
        <v>25.0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54</v>
      </c>
      <c r="C6" s="8"/>
      <c r="D6" s="12" t="s">
        <v>25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2" t="s">
        <v>54</v>
      </c>
      <c r="C6" s="8"/>
      <c r="D6" s="12" t="s">
        <v>25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23</v>
      </c>
      <c r="C6" s="31" t="s">
        <v>19</v>
      </c>
      <c r="D6" s="35">
        <v>25.0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0" t="s">
        <v>23</v>
      </c>
      <c r="C7" s="30" t="s">
        <v>35</v>
      </c>
      <c r="D7" s="36">
        <v>75.0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55</v>
      </c>
      <c r="C6" s="8"/>
      <c r="D6" s="12" t="s">
        <v>56</v>
      </c>
      <c r="E6" s="44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