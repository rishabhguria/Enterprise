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UIAdminPreferences" sheetId="4" r:id="rId6"/>
    <sheet state="visible" name="CreateDoneAwayOrder" sheetId="5" r:id="rId7"/>
    <sheet state="visible" name="PricingInput" sheetId="6" r:id="rId8"/>
    <sheet state="visible" name="GetDailyCash" sheetId="7" r:id="rId9"/>
    <sheet state="visible" name="UpdateMultipleDailyCash" sheetId="8" r:id="rId10"/>
    <sheet state="visible" name="CreateOrderPTT" sheetId="9" r:id="rId11"/>
    <sheet state="visible" name="FetchAccountPositions" sheetId="10" r:id="rId12"/>
    <sheet state="visible" name="AddCash" sheetId="11" r:id="rId13"/>
    <sheet state="visible" name="RunRebalance" sheetId="12" r:id="rId14"/>
    <sheet state="visible" name="SendtoStaging" sheetId="13" r:id="rId15"/>
    <sheet state="visible" name="AddSymbolToWatchlist" sheetId="14" r:id="rId16"/>
    <sheet state="visible" name="TradeFromWatchlist" sheetId="15" r:id="rId17"/>
    <sheet state="visible" name="CreateStageOrder" sheetId="16" r:id="rId18"/>
    <sheet state="visible" name="VerifyOrder" sheetId="17" r:id="rId19"/>
    <sheet state="visible" name="SetUIPreferencesTT" sheetId="18" r:id="rId20"/>
  </sheets>
  <definedNames/>
  <calcPr/>
</workbook>
</file>

<file path=xl/sharedStrings.xml><?xml version="1.0" encoding="utf-8"?>
<sst xmlns="http://schemas.openxmlformats.org/spreadsheetml/2006/main" count="182" uniqueCount="62">
  <si>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</si>
  <si>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</si>
  <si>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</si>
  <si>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</si>
  <si>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</si>
  <si>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</si>
  <si>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</si>
  <si>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</si>
  <si>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</si>
  <si>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</si>
  <si>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</si>
  <si>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</si>
  <si>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</si>
  <si>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SetTTUIAdminPreferences</t>
  </si>
  <si>
    <t>Data Format</t>
  </si>
  <si>
    <t>Input Format</t>
  </si>
  <si>
    <t>NULL</t>
  </si>
  <si>
    <t>Day</t>
  </si>
  <si>
    <t>GCCAP1</t>
  </si>
  <si>
    <t>TradingTicket</t>
  </si>
  <si>
    <t>CreateDoneAwayOrder</t>
  </si>
  <si>
    <t>AAPL</t>
  </si>
  <si>
    <t>Buy</t>
  </si>
  <si>
    <t>Allocation1</t>
  </si>
  <si>
    <t>MS</t>
  </si>
  <si>
    <t>NASDAQ</t>
  </si>
  <si>
    <t>PricingInput</t>
  </si>
  <si>
    <t>DailyValuation</t>
  </si>
  <si>
    <t>GetDailyCash</t>
  </si>
  <si>
    <t>UpdateMultipleDailyCash</t>
  </si>
  <si>
    <t>USD</t>
  </si>
  <si>
    <t>PTT</t>
  </si>
  <si>
    <t>CreateOrderPTT</t>
  </si>
  <si>
    <t>Increase</t>
  </si>
  <si>
    <t>Percentage</t>
  </si>
  <si>
    <t>No</t>
  </si>
  <si>
    <t>Account</t>
  </si>
  <si>
    <t>Rebalancer</t>
  </si>
  <si>
    <t>FetchAccountPositions</t>
  </si>
  <si>
    <t>Real-Time Positions</t>
  </si>
  <si>
    <t>Positions</t>
  </si>
  <si>
    <t>AddCash</t>
  </si>
  <si>
    <t>Impact NAV</t>
  </si>
  <si>
    <t>None</t>
  </si>
  <si>
    <t>RunRebalance</t>
  </si>
  <si>
    <t>Nearest Round Off</t>
  </si>
  <si>
    <t>SendtoStaging</t>
  </si>
  <si>
    <t>Watchlist</t>
  </si>
  <si>
    <t>AddSymbolToWatchlist</t>
  </si>
  <si>
    <t>IBM</t>
  </si>
  <si>
    <t>TradeFromWatchlist</t>
  </si>
  <si>
    <t>CreateStageOrder</t>
  </si>
  <si>
    <t>Blotter</t>
  </si>
  <si>
    <t>VerifyOrder</t>
  </si>
  <si>
    <t>AAPL US EQUITY</t>
  </si>
  <si>
    <t>NewMF</t>
  </si>
  <si>
    <t>Equity</t>
  </si>
  <si>
    <t>New</t>
  </si>
  <si>
    <t>Market</t>
  </si>
  <si>
    <t>IBM US EQUITY</t>
  </si>
  <si>
    <t>SetUIPreferencesTT</t>
  </si>
  <si>
    <t>Quantity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</si>
</sst>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CBD6E0"/>
        <bgColor rgb="FFCBD6E0"/>
      </patternFill>
    </fill>
    <fill>
      <patternFill patternType="solid">
        <fgColor rgb="FFE7E8E9"/>
        <bgColor rgb="FFE7E8E9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6" fontId="3" numFmtId="0" xfId="0" applyAlignment="1" applyBorder="1" applyFill="1" applyFont="1">
      <alignment vertical="top"/>
    </xf>
    <xf borderId="6" fillId="6" fontId="3" numFmtId="0" xfId="0" applyAlignment="1" applyBorder="1" applyFont="1">
      <alignment vertical="top"/>
    </xf>
    <xf borderId="7" fillId="7" fontId="3" numFmtId="0" xfId="0" applyAlignment="1" applyBorder="1" applyFill="1" applyFont="1">
      <alignment vertical="top"/>
    </xf>
    <xf borderId="7" fillId="6" fontId="3" numFmtId="0" xfId="0" applyAlignment="1" applyBorder="1" applyFont="1">
      <alignment vertical="top"/>
    </xf>
    <xf borderId="8" fillId="0" fontId="3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 t="str">
        <f>IFERROR(__xludf.DUMMYFUNCTION("""COMPUTED_VALUE"""),"TIF")</f>
        <v>TIF</v>
      </c>
      <c r="E5" s="28" t="str">
        <f>IFERROR(__xludf.DUMMYFUNCTION("""COMPUTED_VALUE"""),"Trader")</f>
        <v>Trader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16</v>
      </c>
      <c r="D6" s="13" t="s">
        <v>17</v>
      </c>
      <c r="E6" s="9" t="s">
        <v>18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SetTTUIAdminPreferences!$4:$4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0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</row>
    <row r="6" ht="15.75" customHeight="1">
      <c r="A6" s="31"/>
      <c r="B6" s="31" t="s">
        <v>21</v>
      </c>
      <c r="C6" s="32" t="s">
        <v>22</v>
      </c>
      <c r="D6" s="33">
        <v>100.0</v>
      </c>
      <c r="E6" s="32"/>
      <c r="F6" s="32" t="s">
        <v>23</v>
      </c>
      <c r="G6" s="34" t="s">
        <v>24</v>
      </c>
      <c r="H6" s="32"/>
      <c r="I6" s="32"/>
      <c r="J6" s="35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4" t="s">
        <v>25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32"/>
      <c r="H13" s="32"/>
      <c r="I13" s="32"/>
      <c r="J13" s="35"/>
      <c r="K13" s="32"/>
      <c r="L13" s="32"/>
      <c r="M13" s="32"/>
      <c r="N13" s="32"/>
      <c r="O13" s="32"/>
      <c r="P13" s="35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  <c r="EW13" s="32"/>
      <c r="EX13" s="32"/>
      <c r="EY13" s="32"/>
      <c r="EZ13" s="32"/>
      <c r="FA13" s="32"/>
      <c r="FB13" s="32"/>
      <c r="FC13" s="32"/>
      <c r="FD13" s="32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5">
        <v>1.0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>
        <f t="shared" ref="B6:C6" si="1">today()-1</f>
        <v>44984</v>
      </c>
      <c r="C6" s="36">
        <f t="shared" si="1"/>
        <v>44984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2" t="s">
        <v>30</v>
      </c>
      <c r="D6" s="33">
        <v>10000.0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2" t="s">
        <v>33</v>
      </c>
      <c r="D6" s="31" t="s">
        <v>34</v>
      </c>
      <c r="E6" s="35">
        <v>10.0</v>
      </c>
      <c r="F6" s="32"/>
      <c r="G6" s="37" t="s">
        <v>35</v>
      </c>
      <c r="H6" s="37" t="s">
        <v>36</v>
      </c>
      <c r="I6" s="37" t="s">
        <v>23</v>
      </c>
      <c r="J6" s="32"/>
      <c r="K6" s="37"/>
      <c r="L6" s="32"/>
      <c r="M6" s="32" t="s">
        <v>35</v>
      </c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23</v>
      </c>
      <c r="C6" s="37" t="s">
        <v>39</v>
      </c>
      <c r="D6" s="38" t="s">
        <v>36</v>
      </c>
      <c r="E6" s="37" t="s">
        <v>40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40">
        <v>10000.0</v>
      </c>
      <c r="C6" s="41" t="s">
        <v>42</v>
      </c>
      <c r="D6" s="42" t="s">
        <v>43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 t="s">
        <v>45</v>
      </c>
      <c r="C6" s="8"/>
      <c r="D6" s="13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2" t="s">
        <v>22</v>
      </c>
      <c r="D6" s="31" t="s">
        <v>21</v>
      </c>
      <c r="E6" s="45">
        <v>100.0</v>
      </c>
      <c r="F6" s="45">
        <v>1.0</v>
      </c>
      <c r="G6" s="45">
        <v>100.0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49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AddSymbolToWatchlist!$4:$4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49</v>
      </c>
      <c r="C6" s="34" t="s">
        <v>22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TradeFromWatchlist!$4:$4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0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</row>
    <row r="6" ht="15.75" customHeight="1">
      <c r="A6" s="31"/>
      <c r="B6" s="34" t="s">
        <v>49</v>
      </c>
      <c r="C6" s="32" t="s">
        <v>22</v>
      </c>
      <c r="D6" s="33">
        <v>100.0</v>
      </c>
      <c r="E6" s="32"/>
      <c r="F6" s="32" t="s">
        <v>23</v>
      </c>
      <c r="G6" s="34" t="s">
        <v>24</v>
      </c>
      <c r="H6" s="32"/>
      <c r="I6" s="32"/>
      <c r="J6" s="35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4" t="s">
        <v>25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46"/>
      <c r="D6" s="47"/>
      <c r="E6" s="48" t="s">
        <v>54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46"/>
      <c r="AA6" s="48" t="s">
        <v>55</v>
      </c>
      <c r="AB6" s="32"/>
      <c r="AC6" s="32"/>
      <c r="AD6" s="46"/>
      <c r="AE6" s="48"/>
      <c r="AF6" s="32"/>
      <c r="AG6" s="46"/>
      <c r="AH6" s="48" t="s">
        <v>56</v>
      </c>
      <c r="AI6" s="48" t="s">
        <v>21</v>
      </c>
      <c r="AJ6" s="48" t="s">
        <v>22</v>
      </c>
      <c r="AK6" s="48" t="s">
        <v>57</v>
      </c>
      <c r="AL6" s="48">
        <v>100.0</v>
      </c>
      <c r="AM6" s="32"/>
      <c r="AN6" s="32"/>
      <c r="AO6" s="32"/>
      <c r="AP6" s="46"/>
      <c r="AQ6" s="48"/>
      <c r="AR6" s="48"/>
      <c r="AS6" s="48"/>
      <c r="AT6" s="48" t="s">
        <v>23</v>
      </c>
      <c r="AU6" s="48" t="s">
        <v>58</v>
      </c>
      <c r="AV6" s="48"/>
      <c r="AW6" s="48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46"/>
      <c r="D7" s="49"/>
      <c r="E7" s="49" t="s">
        <v>59</v>
      </c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46"/>
      <c r="AA7" s="49" t="s">
        <v>55</v>
      </c>
      <c r="AB7" s="32"/>
      <c r="AC7" s="32"/>
      <c r="AD7" s="46"/>
      <c r="AE7" s="49"/>
      <c r="AF7" s="32"/>
      <c r="AG7" s="46"/>
      <c r="AH7" s="49" t="s">
        <v>56</v>
      </c>
      <c r="AI7" s="49" t="s">
        <v>49</v>
      </c>
      <c r="AJ7" s="49" t="s">
        <v>22</v>
      </c>
      <c r="AK7" s="49" t="s">
        <v>57</v>
      </c>
      <c r="AL7" s="49">
        <v>100.0</v>
      </c>
      <c r="AM7" s="32"/>
      <c r="AN7" s="32"/>
      <c r="AO7" s="32"/>
      <c r="AP7" s="46"/>
      <c r="AQ7" s="49"/>
      <c r="AR7" s="49"/>
      <c r="AS7" s="49" t="s">
        <v>24</v>
      </c>
      <c r="AT7" s="49" t="s">
        <v>23</v>
      </c>
      <c r="AU7" s="49" t="s">
        <v>58</v>
      </c>
      <c r="AV7" s="49"/>
      <c r="AW7" s="49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/>
      <c r="C8" s="46"/>
      <c r="D8" s="50"/>
      <c r="E8" s="50" t="s">
        <v>54</v>
      </c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46"/>
      <c r="AA8" s="50" t="s">
        <v>55</v>
      </c>
      <c r="AB8" s="32"/>
      <c r="AC8" s="32"/>
      <c r="AD8" s="46"/>
      <c r="AE8" s="50"/>
      <c r="AF8" s="32"/>
      <c r="AG8" s="46"/>
      <c r="AH8" s="50" t="s">
        <v>56</v>
      </c>
      <c r="AI8" s="50" t="s">
        <v>21</v>
      </c>
      <c r="AJ8" s="50" t="s">
        <v>22</v>
      </c>
      <c r="AK8" s="50" t="s">
        <v>57</v>
      </c>
      <c r="AL8" s="50">
        <v>1000.0</v>
      </c>
      <c r="AM8" s="32"/>
      <c r="AN8" s="32"/>
      <c r="AO8" s="32"/>
      <c r="AP8" s="46"/>
      <c r="AQ8" s="50"/>
      <c r="AR8" s="50"/>
      <c r="AS8" s="50"/>
      <c r="AT8" s="50" t="s">
        <v>23</v>
      </c>
      <c r="AU8" s="50" t="s">
        <v>58</v>
      </c>
      <c r="AV8" s="50"/>
      <c r="AW8" s="50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 t="str">
        <f>IFERROR(__xludf.DUMMYFUNCTION("""COMPUTED_VALUE"""),"Order Type")</f>
        <v>Order Type</v>
      </c>
      <c r="E5" s="28" t="str">
        <f>IFERROR(__xludf.DUMMYFUNCTION("""COMPUTED_VALUE"""),"TIF")</f>
        <v>TIF</v>
      </c>
      <c r="F5" s="29" t="str">
        <f>IFERROR(__xludf.DUMMYFUNCTION("""COMPUTED_VALUE"""),"Handling Instruction")</f>
        <v>Handling Instruction</v>
      </c>
      <c r="G5" s="28" t="str">
        <f>IFERROR(__xludf.DUMMYFUNCTION("""COMPUTED_VALUE"""),"Execution Instruction")</f>
        <v>Execution Instruction</v>
      </c>
      <c r="H5" s="28" t="str">
        <f>IFERROR(__xludf.DUMMYFUNCTION("""COMPUTED_VALUE"""),"Strategy")</f>
        <v>Strategy</v>
      </c>
      <c r="I5" s="28" t="str">
        <f>IFERROR(__xludf.DUMMYFUNCTION("""COMPUTED_VALUE"""),"Account")</f>
        <v>Account</v>
      </c>
      <c r="J5" s="28" t="str">
        <f>IFERROR(__xludf.DUMMYFUNCTION("""COMPUTED_VALUE"""),"Settlement Currency")</f>
        <v>Settlement Currency</v>
      </c>
      <c r="K5" s="28" t="str">
        <f>IFERROR(__xludf.DUMMYFUNCTION("""COMPUTED_VALUE"""),"Trader")</f>
        <v>Trader</v>
      </c>
      <c r="L5" s="28" t="str">
        <f>IFERROR(__xludf.DUMMYFUNCTION("""COMPUTED_VALUE"""),"Default Quantity")</f>
        <v>Default Quantity</v>
      </c>
      <c r="M5" s="28" t="str">
        <f>IFERROR(__xludf.DUMMYFUNCTION("""COMPUTED_VALUE"""),"Apply Round Lots")</f>
        <v>Apply Round Lots</v>
      </c>
      <c r="N5" s="28" t="str">
        <f>IFERROR(__xludf.DUMMYFUNCTION("""COMPUTED_VALUE"""),"Quantity")</f>
        <v>Quantity</v>
      </c>
      <c r="O5" s="28" t="str">
        <f>IFERROR(__xludf.DUMMYFUNCTION("""COMPUTED_VALUE"""),"Increase On Quantity")</f>
        <v>Increase On Quantity</v>
      </c>
      <c r="P5" s="28" t="str">
        <f>IFERROR(__xludf.DUMMYFUNCTION("""COMPUTED_VALUE"""),"Increase On Stop")</f>
        <v>Increase On Stop</v>
      </c>
      <c r="Q5" s="28" t="str">
        <f>IFERROR(__xludf.DUMMYFUNCTION("""COMPUTED_VALUE"""),"Increase On Limit")</f>
        <v>Increase On Limit</v>
      </c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8"/>
      <c r="D6" s="13"/>
      <c r="E6" s="37" t="s">
        <v>17</v>
      </c>
      <c r="F6" s="32"/>
      <c r="G6" s="32"/>
      <c r="H6" s="32"/>
      <c r="I6" s="32"/>
      <c r="J6" s="32"/>
      <c r="K6" s="46" t="s">
        <v>18</v>
      </c>
      <c r="L6" s="51" t="s">
        <v>61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SetUIPreferencesTT!$4:$4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