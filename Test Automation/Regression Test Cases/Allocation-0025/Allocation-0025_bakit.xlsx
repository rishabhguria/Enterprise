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14" activeTab="16"/>
  </bookViews>
  <sheets>
    <sheet name="_Modules" sheetId="1" r:id="rId1"/>
    <sheet name="_Settings" sheetId="2" r:id="rId2"/>
    <sheet name="_MasterData" sheetId="3" r:id="rId3"/>
    <sheet name="CleanUp" sheetId="4" r:id="rId4"/>
    <sheet name="CreateDoneAwayOrder" sheetId="5" r:id="rId5"/>
    <sheet name="SetGeneralPreferences" sheetId="6" r:id="rId6"/>
    <sheet name="RunProrata" sheetId="7" r:id="rId7"/>
    <sheet name="SelectUnallocatedGroup" sheetId="8" r:id="rId8"/>
    <sheet name="EnterAllocatePreference" sheetId="9" r:id="rId9"/>
    <sheet name="VerifyOrder" sheetId="10" r:id="rId10"/>
    <sheet name="CheckAllocatedGroups" sheetId="11" r:id="rId11"/>
    <sheet name="GetFixedPreference" sheetId="12" r:id="rId12"/>
    <sheet name="CheckFixedPreference" sheetId="13" r:id="rId13"/>
    <sheet name="GetDataClosing" sheetId="14" r:id="rId14"/>
    <sheet name="VerifyLongPositionsGrid" sheetId="15" r:id="rId15"/>
    <sheet name="VerifyShortPositionsGrid" sheetId="16" r:id="rId16"/>
    <sheet name="CheckPortfolioManagement" sheetId="17" r:id="rId17"/>
    <sheet name="GetActivityData" sheetId="18" r:id="rId18"/>
    <sheet name="VerifyActivity" sheetId="19" r:id="rId19"/>
    <sheet name="ResetGeneralPreferences" sheetId="20" r:id="rId20"/>
  </sheets>
  <calcPr calcId="145621"/>
</workbook>
</file>

<file path=xl/calcChain.xml><?xml version="1.0" encoding="utf-8"?>
<calcChain xmlns="http://schemas.openxmlformats.org/spreadsheetml/2006/main">
  <c r="J2" i="20" l="1"/>
  <c r="J2" i="19"/>
  <c r="E6" i="18"/>
  <c r="D6" i="18"/>
  <c r="J2" i="18"/>
  <c r="J2" i="17"/>
  <c r="J2" i="16"/>
  <c r="J2" i="15"/>
  <c r="D6" i="14"/>
  <c r="C6" i="14"/>
  <c r="J2" i="14"/>
  <c r="J2" i="13"/>
  <c r="J2" i="12"/>
  <c r="J2" i="11"/>
  <c r="J2" i="10"/>
  <c r="J2" i="9"/>
  <c r="J2" i="8"/>
  <c r="B6" i="7"/>
  <c r="J2" i="7"/>
  <c r="J2" i="6"/>
  <c r="N13" i="5"/>
  <c r="N12" i="5"/>
  <c r="N11" i="5"/>
  <c r="N10" i="5"/>
  <c r="N9" i="5"/>
  <c r="N8" i="5"/>
  <c r="N7" i="5"/>
  <c r="N6" i="5"/>
  <c r="J2" i="5"/>
  <c r="C6" i="4"/>
  <c r="J2" i="4"/>
  <c r="EX5" i="20"/>
  <c r="EP5" i="20"/>
  <c r="EH5" i="20"/>
  <c r="DZ5" i="20"/>
  <c r="DR5" i="20"/>
  <c r="DJ5" i="20"/>
  <c r="DB5" i="20"/>
  <c r="CT5" i="20"/>
  <c r="CL5" i="20"/>
  <c r="CD5" i="20"/>
  <c r="BV5" i="20"/>
  <c r="BN5" i="20"/>
  <c r="BF5" i="20"/>
  <c r="AX5" i="20"/>
  <c r="AP5" i="20"/>
  <c r="AH5" i="20"/>
  <c r="Z5" i="20"/>
  <c r="R5" i="20"/>
  <c r="J5" i="20"/>
  <c r="B5" i="20"/>
  <c r="ER4" i="20"/>
  <c r="EJ4" i="20"/>
  <c r="EB4" i="20"/>
  <c r="DT4" i="20"/>
  <c r="DL4" i="20"/>
  <c r="DD4" i="20"/>
  <c r="CV4" i="20"/>
  <c r="CN4" i="20"/>
  <c r="CF4" i="20"/>
  <c r="BX4" i="20"/>
  <c r="BP4" i="20"/>
  <c r="BH4" i="20"/>
  <c r="AZ4" i="20"/>
  <c r="AR4" i="20"/>
  <c r="AJ4" i="20"/>
  <c r="AB4" i="20"/>
  <c r="T4" i="20"/>
  <c r="L4" i="20"/>
  <c r="D4" i="20"/>
  <c r="ET5" i="19"/>
  <c r="EL5" i="19"/>
  <c r="ED5" i="19"/>
  <c r="DV5" i="19"/>
  <c r="DN5" i="19"/>
  <c r="DF5" i="19"/>
  <c r="CX5" i="19"/>
  <c r="CP5" i="19"/>
  <c r="CH5" i="19"/>
  <c r="BZ5" i="19"/>
  <c r="BR5" i="19"/>
  <c r="BJ5" i="19"/>
  <c r="BB5" i="19"/>
  <c r="AT5" i="19"/>
  <c r="AL5" i="19"/>
  <c r="AD5" i="19"/>
  <c r="V5" i="19"/>
  <c r="N5" i="19"/>
  <c r="F5" i="19"/>
  <c r="EV4" i="19"/>
  <c r="EN4" i="19"/>
  <c r="EF4" i="19"/>
  <c r="DX4" i="19"/>
  <c r="DP4" i="19"/>
  <c r="DH4" i="19"/>
  <c r="CZ4" i="19"/>
  <c r="CR4" i="19"/>
  <c r="CJ4" i="19"/>
  <c r="CB4" i="19"/>
  <c r="BT4" i="19"/>
  <c r="BL4" i="19"/>
  <c r="BD4" i="19"/>
  <c r="AV4" i="19"/>
  <c r="AN4" i="19"/>
  <c r="AF4" i="19"/>
  <c r="X4" i="19"/>
  <c r="P4" i="19"/>
  <c r="H4" i="19"/>
  <c r="ER5" i="18"/>
  <c r="EJ5" i="18"/>
  <c r="EW5" i="20"/>
  <c r="EO5" i="20"/>
  <c r="EG5" i="20"/>
  <c r="DY5" i="20"/>
  <c r="DQ5" i="20"/>
  <c r="DI5" i="20"/>
  <c r="DA5" i="20"/>
  <c r="CS5" i="20"/>
  <c r="CK5" i="20"/>
  <c r="CC5" i="20"/>
  <c r="BU5" i="20"/>
  <c r="BM5" i="20"/>
  <c r="BE5" i="20"/>
  <c r="AW5" i="20"/>
  <c r="AO5" i="20"/>
  <c r="AG5" i="20"/>
  <c r="Y5" i="20"/>
  <c r="Q5" i="20"/>
  <c r="I5" i="20"/>
  <c r="A5" i="20"/>
  <c r="EQ4" i="20"/>
  <c r="EI4" i="20"/>
  <c r="EA4" i="20"/>
  <c r="DS4" i="20"/>
  <c r="DK4" i="20"/>
  <c r="DC4" i="20"/>
  <c r="CU4" i="20"/>
  <c r="CM4" i="20"/>
  <c r="CE4" i="20"/>
  <c r="BW4" i="20"/>
  <c r="BO4" i="20"/>
  <c r="BG4" i="20"/>
  <c r="AY4" i="20"/>
  <c r="AQ4" i="20"/>
  <c r="AI4" i="20"/>
  <c r="AA4" i="20"/>
  <c r="S4" i="20"/>
  <c r="K4" i="20"/>
  <c r="C4" i="20"/>
  <c r="ES5" i="19"/>
  <c r="EK5" i="19"/>
  <c r="EC5" i="19"/>
  <c r="DU5" i="19"/>
  <c r="DM5" i="19"/>
  <c r="DE5" i="19"/>
  <c r="CW5" i="19"/>
  <c r="CO5" i="19"/>
  <c r="CG5" i="19"/>
  <c r="BY5" i="19"/>
  <c r="BQ5" i="19"/>
  <c r="BI5" i="19"/>
  <c r="BA5" i="19"/>
  <c r="AS5" i="19"/>
  <c r="AK5" i="19"/>
  <c r="AC5" i="19"/>
  <c r="U5" i="19"/>
  <c r="M5" i="19"/>
  <c r="E5" i="19"/>
  <c r="EU4" i="19"/>
  <c r="EM4" i="19"/>
  <c r="EE4" i="19"/>
  <c r="DW4" i="19"/>
  <c r="DO4" i="19"/>
  <c r="DG4" i="19"/>
  <c r="CY4" i="19"/>
  <c r="CQ4" i="19"/>
  <c r="CI4" i="19"/>
  <c r="CA4" i="19"/>
  <c r="BS4" i="19"/>
  <c r="BK4" i="19"/>
  <c r="BC4" i="19"/>
  <c r="AU4" i="19"/>
  <c r="AM4" i="19"/>
  <c r="AE4" i="19"/>
  <c r="W4" i="19"/>
  <c r="O4" i="19"/>
  <c r="G4" i="19"/>
  <c r="EQ5" i="18"/>
  <c r="EI5" i="18"/>
  <c r="EA5" i="18"/>
  <c r="DS5" i="18"/>
  <c r="DK5" i="18"/>
  <c r="DC5" i="18"/>
  <c r="CU5" i="18"/>
  <c r="CM5" i="18"/>
  <c r="CE5" i="18"/>
  <c r="BW5" i="18"/>
  <c r="BO5" i="18"/>
  <c r="BG5" i="18"/>
  <c r="AY5" i="18"/>
  <c r="AQ5" i="18"/>
  <c r="AI5" i="18"/>
  <c r="AA5" i="18"/>
  <c r="S5" i="18"/>
  <c r="K5" i="18"/>
  <c r="EV5" i="20"/>
  <c r="EN5" i="20"/>
  <c r="EF5" i="20"/>
  <c r="DX5" i="20"/>
  <c r="DP5" i="20"/>
  <c r="DH5" i="20"/>
  <c r="CZ5" i="20"/>
  <c r="CR5" i="20"/>
  <c r="CJ5" i="20"/>
  <c r="CB5" i="20"/>
  <c r="BT5" i="20"/>
  <c r="BL5" i="20"/>
  <c r="BD5" i="20"/>
  <c r="AV5" i="20"/>
  <c r="AN5" i="20"/>
  <c r="AF5" i="20"/>
  <c r="X5" i="20"/>
  <c r="P5" i="20"/>
  <c r="H5" i="20"/>
  <c r="EX4" i="20"/>
  <c r="EP4" i="20"/>
  <c r="EH4" i="20"/>
  <c r="DZ4" i="20"/>
  <c r="DR4" i="20"/>
  <c r="DJ4" i="20"/>
  <c r="DB4" i="20"/>
  <c r="CT4" i="20"/>
  <c r="CL4" i="20"/>
  <c r="CD4" i="20"/>
  <c r="BV4" i="20"/>
  <c r="BN4" i="20"/>
  <c r="BF4" i="20"/>
  <c r="AX4" i="20"/>
  <c r="AP4" i="20"/>
  <c r="AH4" i="20"/>
  <c r="Z4" i="20"/>
  <c r="R4" i="20"/>
  <c r="J4" i="20"/>
  <c r="B4" i="20"/>
  <c r="ER5" i="19"/>
  <c r="EJ5" i="19"/>
  <c r="EB5" i="19"/>
  <c r="DT5" i="19"/>
  <c r="DL5" i="19"/>
  <c r="DD5" i="19"/>
  <c r="CV5" i="19"/>
  <c r="CN5" i="19"/>
  <c r="CF5" i="19"/>
  <c r="BX5" i="19"/>
  <c r="BP5" i="19"/>
  <c r="BH5" i="19"/>
  <c r="AZ5" i="19"/>
  <c r="AR5" i="19"/>
  <c r="AJ5" i="19"/>
  <c r="AB5" i="19"/>
  <c r="T5" i="19"/>
  <c r="L5" i="19"/>
  <c r="D5" i="19"/>
  <c r="ET4" i="19"/>
  <c r="EL4" i="19"/>
  <c r="ED4" i="19"/>
  <c r="DV4" i="19"/>
  <c r="DN4" i="19"/>
  <c r="DF4" i="19"/>
  <c r="CX4" i="19"/>
  <c r="CP4" i="19"/>
  <c r="CH4" i="19"/>
  <c r="BZ4" i="19"/>
  <c r="BR4" i="19"/>
  <c r="BJ4" i="19"/>
  <c r="BB4" i="19"/>
  <c r="AT4" i="19"/>
  <c r="AL4" i="19"/>
  <c r="AD4" i="19"/>
  <c r="V4" i="19"/>
  <c r="N4" i="19"/>
  <c r="F4" i="19"/>
  <c r="EX5" i="18"/>
  <c r="EP5" i="18"/>
  <c r="EH5" i="18"/>
  <c r="DZ5" i="18"/>
  <c r="DR5" i="18"/>
  <c r="DJ5" i="18"/>
  <c r="DB5" i="18"/>
  <c r="CT5" i="18"/>
  <c r="CL5" i="18"/>
  <c r="CD5" i="18"/>
  <c r="BV5" i="18"/>
  <c r="BN5" i="18"/>
  <c r="BF5" i="18"/>
  <c r="AX5" i="18"/>
  <c r="AP5" i="18"/>
  <c r="AH5" i="18"/>
  <c r="Z5" i="18"/>
  <c r="R5" i="18"/>
  <c r="J5" i="18"/>
  <c r="B5" i="18"/>
  <c r="ER4" i="18"/>
  <c r="EJ4" i="18"/>
  <c r="EB4" i="18"/>
  <c r="DT4" i="18"/>
  <c r="DL4" i="18"/>
  <c r="DD4" i="18"/>
  <c r="CV4" i="18"/>
  <c r="CN4" i="18"/>
  <c r="CF4" i="18"/>
  <c r="BX4" i="18"/>
  <c r="BP4" i="18"/>
  <c r="BH4" i="18"/>
  <c r="AZ4" i="18"/>
  <c r="AR4" i="18"/>
  <c r="AJ4" i="18"/>
  <c r="AB4" i="18"/>
  <c r="T4" i="18"/>
  <c r="L4" i="18"/>
  <c r="D4" i="18"/>
  <c r="FG5" i="17"/>
  <c r="EY5" i="17"/>
  <c r="EQ5" i="17"/>
  <c r="EI5" i="17"/>
  <c r="EA5" i="17"/>
  <c r="DS5" i="17"/>
  <c r="DK5" i="17"/>
  <c r="DC5" i="17"/>
  <c r="CU5" i="17"/>
  <c r="CM5" i="17"/>
  <c r="CE5" i="17"/>
  <c r="EU5" i="20"/>
  <c r="EM5" i="20"/>
  <c r="EE5" i="20"/>
  <c r="DW5" i="20"/>
  <c r="DO5" i="20"/>
  <c r="DG5" i="20"/>
  <c r="CY5" i="20"/>
  <c r="CQ5" i="20"/>
  <c r="CI5" i="20"/>
  <c r="CA5" i="20"/>
  <c r="BS5" i="20"/>
  <c r="BK5" i="20"/>
  <c r="BC5" i="20"/>
  <c r="AU5" i="20"/>
  <c r="AM5" i="20"/>
  <c r="AE5" i="20"/>
  <c r="W5" i="20"/>
  <c r="O5" i="20"/>
  <c r="G5" i="20"/>
  <c r="EW4" i="20"/>
  <c r="EO4" i="20"/>
  <c r="EG4" i="20"/>
  <c r="DY4" i="20"/>
  <c r="DQ4" i="20"/>
  <c r="DI4" i="20"/>
  <c r="DA4" i="20"/>
  <c r="CS4" i="20"/>
  <c r="CK4" i="20"/>
  <c r="CC4" i="20"/>
  <c r="BU4" i="20"/>
  <c r="BM4" i="20"/>
  <c r="BE4" i="20"/>
  <c r="AW4" i="20"/>
  <c r="AO4" i="20"/>
  <c r="AG4" i="20"/>
  <c r="Y4" i="20"/>
  <c r="Q4" i="20"/>
  <c r="I4" i="20"/>
  <c r="ET5" i="20"/>
  <c r="EL5" i="20"/>
  <c r="ED5" i="20"/>
  <c r="DV5" i="20"/>
  <c r="DN5" i="20"/>
  <c r="DF5" i="20"/>
  <c r="CX5" i="20"/>
  <c r="CP5" i="20"/>
  <c r="CH5" i="20"/>
  <c r="BZ5" i="20"/>
  <c r="BR5" i="20"/>
  <c r="BJ5" i="20"/>
  <c r="BB5" i="20"/>
  <c r="AT5" i="20"/>
  <c r="AL5" i="20"/>
  <c r="AD5" i="20"/>
  <c r="V5" i="20"/>
  <c r="N5" i="20"/>
  <c r="F5" i="20"/>
  <c r="EV4" i="20"/>
  <c r="EN4" i="20"/>
  <c r="EF4" i="20"/>
  <c r="DX4" i="20"/>
  <c r="DP4" i="20"/>
  <c r="DH4" i="20"/>
  <c r="CZ4" i="20"/>
  <c r="CR4" i="20"/>
  <c r="CJ4" i="20"/>
  <c r="CB4" i="20"/>
  <c r="BT4" i="20"/>
  <c r="BL4" i="20"/>
  <c r="BD4" i="20"/>
  <c r="AV4" i="20"/>
  <c r="AN4" i="20"/>
  <c r="AF4" i="20"/>
  <c r="X4" i="20"/>
  <c r="P4" i="20"/>
  <c r="H4" i="20"/>
  <c r="EX5" i="19"/>
  <c r="EP5" i="19"/>
  <c r="EH5" i="19"/>
  <c r="DZ5" i="19"/>
  <c r="DR5" i="19"/>
  <c r="DJ5" i="19"/>
  <c r="DB5" i="19"/>
  <c r="CT5" i="19"/>
  <c r="CL5" i="19"/>
  <c r="CD5" i="19"/>
  <c r="BV5" i="19"/>
  <c r="BN5" i="19"/>
  <c r="BF5" i="19"/>
  <c r="AX5" i="19"/>
  <c r="AP5" i="19"/>
  <c r="AH5" i="19"/>
  <c r="Z5" i="19"/>
  <c r="R5" i="19"/>
  <c r="J5" i="19"/>
  <c r="B5" i="19"/>
  <c r="ER4" i="19"/>
  <c r="EJ4" i="19"/>
  <c r="EB4" i="19"/>
  <c r="DT4" i="19"/>
  <c r="DL4" i="19"/>
  <c r="DD4" i="19"/>
  <c r="CV4" i="19"/>
  <c r="CN4" i="19"/>
  <c r="CF4" i="19"/>
  <c r="BX4" i="19"/>
  <c r="BP4" i="19"/>
  <c r="BH4" i="19"/>
  <c r="AZ4" i="19"/>
  <c r="AR4" i="19"/>
  <c r="AJ4" i="19"/>
  <c r="AB4" i="19"/>
  <c r="T4" i="19"/>
  <c r="L4" i="19"/>
  <c r="D4" i="19"/>
  <c r="EV5" i="18"/>
  <c r="EN5" i="18"/>
  <c r="EF5" i="18"/>
  <c r="DX5" i="18"/>
  <c r="DP5" i="18"/>
  <c r="DH5" i="18"/>
  <c r="CZ5" i="18"/>
  <c r="CR5" i="18"/>
  <c r="CJ5" i="18"/>
  <c r="CB5" i="18"/>
  <c r="BT5" i="18"/>
  <c r="BL5" i="18"/>
  <c r="BD5" i="18"/>
  <c r="AV5" i="18"/>
  <c r="AN5" i="18"/>
  <c r="AF5" i="18"/>
  <c r="X5" i="18"/>
  <c r="P5" i="18"/>
  <c r="H5" i="18"/>
  <c r="EX4" i="18"/>
  <c r="EP4" i="18"/>
  <c r="EH4" i="18"/>
  <c r="DZ4" i="18"/>
  <c r="DR4" i="18"/>
  <c r="DJ4" i="18"/>
  <c r="DB4" i="18"/>
  <c r="CT4" i="18"/>
  <c r="CL4" i="18"/>
  <c r="CD4" i="18"/>
  <c r="BV4" i="18"/>
  <c r="BN4" i="18"/>
  <c r="BF4" i="18"/>
  <c r="AX4" i="18"/>
  <c r="AP4" i="18"/>
  <c r="AH4" i="18"/>
  <c r="Z4" i="18"/>
  <c r="R4" i="18"/>
  <c r="J4" i="18"/>
  <c r="B4" i="18"/>
  <c r="FE5" i="17"/>
  <c r="EW5" i="17"/>
  <c r="EO5" i="17"/>
  <c r="ES5" i="20"/>
  <c r="EK5" i="20"/>
  <c r="EC5" i="20"/>
  <c r="DU5" i="20"/>
  <c r="DM5" i="20"/>
  <c r="DE5" i="20"/>
  <c r="CW5" i="20"/>
  <c r="CO5" i="20"/>
  <c r="CG5" i="20"/>
  <c r="BY5" i="20"/>
  <c r="BQ5" i="20"/>
  <c r="BI5" i="20"/>
  <c r="BA5" i="20"/>
  <c r="AS5" i="20"/>
  <c r="AK5" i="20"/>
  <c r="AC5" i="20"/>
  <c r="U5" i="20"/>
  <c r="M5" i="20"/>
  <c r="E5" i="20"/>
  <c r="EU4" i="20"/>
  <c r="EM4" i="20"/>
  <c r="EE4" i="20"/>
  <c r="DW4" i="20"/>
  <c r="DO4" i="20"/>
  <c r="DG4" i="20"/>
  <c r="CY4" i="20"/>
  <c r="CQ4" i="20"/>
  <c r="CI4" i="20"/>
  <c r="CA4" i="20"/>
  <c r="BS4" i="20"/>
  <c r="BK4" i="20"/>
  <c r="BC4" i="20"/>
  <c r="AU4" i="20"/>
  <c r="AM4" i="20"/>
  <c r="AE4" i="20"/>
  <c r="W4" i="20"/>
  <c r="O4" i="20"/>
  <c r="G4" i="20"/>
  <c r="EW5" i="19"/>
  <c r="EO5" i="19"/>
  <c r="EG5" i="19"/>
  <c r="DY5" i="19"/>
  <c r="DQ5" i="19"/>
  <c r="DI5" i="19"/>
  <c r="DA5" i="19"/>
  <c r="CS5" i="19"/>
  <c r="CK5" i="19"/>
  <c r="CC5" i="19"/>
  <c r="BU5" i="19"/>
  <c r="BM5" i="19"/>
  <c r="BE5" i="19"/>
  <c r="AW5" i="19"/>
  <c r="AO5" i="19"/>
  <c r="AG5" i="19"/>
  <c r="Y5" i="19"/>
  <c r="Q5" i="19"/>
  <c r="I5" i="19"/>
  <c r="A5" i="19"/>
  <c r="EQ4" i="19"/>
  <c r="EI4" i="19"/>
  <c r="EA4" i="19"/>
  <c r="DS4" i="19"/>
  <c r="DK4" i="19"/>
  <c r="DC4" i="19"/>
  <c r="CU4" i="19"/>
  <c r="CM4" i="19"/>
  <c r="CE4" i="19"/>
  <c r="BW4" i="19"/>
  <c r="BO4" i="19"/>
  <c r="BG4" i="19"/>
  <c r="AY4" i="19"/>
  <c r="AQ4" i="19"/>
  <c r="AI4" i="19"/>
  <c r="AA4" i="19"/>
  <c r="S4" i="19"/>
  <c r="K4" i="19"/>
  <c r="C4" i="19"/>
  <c r="EU5" i="18"/>
  <c r="EM5" i="18"/>
  <c r="EE5" i="18"/>
  <c r="DW5" i="18"/>
  <c r="DO5" i="18"/>
  <c r="DG5" i="18"/>
  <c r="CY5" i="18"/>
  <c r="CQ5" i="18"/>
  <c r="CI5" i="18"/>
  <c r="CA5" i="18"/>
  <c r="BS5" i="18"/>
  <c r="BK5" i="18"/>
  <c r="BC5" i="18"/>
  <c r="AU5" i="18"/>
  <c r="AM5" i="18"/>
  <c r="AE5" i="18"/>
  <c r="W5" i="18"/>
  <c r="O5" i="18"/>
  <c r="G5" i="18"/>
  <c r="EW4" i="18"/>
  <c r="EO4" i="18"/>
  <c r="EG4" i="18"/>
  <c r="DY4" i="18"/>
  <c r="DQ4" i="18"/>
  <c r="DI4" i="18"/>
  <c r="DA4" i="18"/>
  <c r="CS4" i="18"/>
  <c r="CK4" i="18"/>
  <c r="CC4" i="18"/>
  <c r="BU4" i="18"/>
  <c r="BM4" i="18"/>
  <c r="BE4" i="18"/>
  <c r="AW4" i="18"/>
  <c r="AO4" i="18"/>
  <c r="AG4" i="18"/>
  <c r="Y4" i="18"/>
  <c r="Q4" i="18"/>
  <c r="I4" i="18"/>
  <c r="ER5" i="20"/>
  <c r="EJ5" i="20"/>
  <c r="EB5" i="20"/>
  <c r="DT5" i="20"/>
  <c r="DL5" i="20"/>
  <c r="DD5" i="20"/>
  <c r="CV5" i="20"/>
  <c r="CN5" i="20"/>
  <c r="CF5" i="20"/>
  <c r="BX5" i="20"/>
  <c r="BP5" i="20"/>
  <c r="BH5" i="20"/>
  <c r="AZ5" i="20"/>
  <c r="AR5" i="20"/>
  <c r="AJ5" i="20"/>
  <c r="AB5" i="20"/>
  <c r="T5" i="20"/>
  <c r="L5" i="20"/>
  <c r="D5" i="20"/>
  <c r="ET4" i="20"/>
  <c r="EL4" i="20"/>
  <c r="ED4" i="20"/>
  <c r="DV4" i="20"/>
  <c r="DN4" i="20"/>
  <c r="DF4" i="20"/>
  <c r="CX4" i="20"/>
  <c r="CP4" i="20"/>
  <c r="CH4" i="20"/>
  <c r="BZ4" i="20"/>
  <c r="BR4" i="20"/>
  <c r="BJ4" i="20"/>
  <c r="BB4" i="20"/>
  <c r="AT4" i="20"/>
  <c r="AL4" i="20"/>
  <c r="AD4" i="20"/>
  <c r="V4" i="20"/>
  <c r="N4" i="20"/>
  <c r="F4" i="20"/>
  <c r="EV5" i="19"/>
  <c r="EN5" i="19"/>
  <c r="EF5" i="19"/>
  <c r="DX5" i="19"/>
  <c r="DP5" i="19"/>
  <c r="DH5" i="19"/>
  <c r="CZ5" i="19"/>
  <c r="CR5" i="19"/>
  <c r="CJ5" i="19"/>
  <c r="CB5" i="19"/>
  <c r="BT5" i="19"/>
  <c r="BL5" i="19"/>
  <c r="BD5" i="19"/>
  <c r="AV5" i="19"/>
  <c r="AN5" i="19"/>
  <c r="AF5" i="19"/>
  <c r="X5" i="19"/>
  <c r="P5" i="19"/>
  <c r="H5" i="19"/>
  <c r="EX4" i="19"/>
  <c r="EP4" i="19"/>
  <c r="EH4" i="19"/>
  <c r="DZ4" i="19"/>
  <c r="DR4" i="19"/>
  <c r="DJ4" i="19"/>
  <c r="DB4" i="19"/>
  <c r="CT4" i="19"/>
  <c r="CL4" i="19"/>
  <c r="CD4" i="19"/>
  <c r="BV4" i="19"/>
  <c r="BN4" i="19"/>
  <c r="BF4" i="19"/>
  <c r="AX4" i="19"/>
  <c r="AP4" i="19"/>
  <c r="AH4" i="19"/>
  <c r="Z4" i="19"/>
  <c r="R4" i="19"/>
  <c r="J4" i="19"/>
  <c r="B4" i="19"/>
  <c r="ET5" i="18"/>
  <c r="EL5" i="18"/>
  <c r="ED5" i="18"/>
  <c r="DV5" i="18"/>
  <c r="DN5" i="18"/>
  <c r="DF5" i="18"/>
  <c r="CX5" i="18"/>
  <c r="CP5" i="18"/>
  <c r="CH5" i="18"/>
  <c r="BZ5" i="18"/>
  <c r="BR5" i="18"/>
  <c r="BJ5" i="18"/>
  <c r="BB5" i="18"/>
  <c r="AT5" i="18"/>
  <c r="AL5" i="18"/>
  <c r="AD5" i="18"/>
  <c r="V5" i="18"/>
  <c r="N5" i="18"/>
  <c r="F5" i="18"/>
  <c r="EV4" i="18"/>
  <c r="EN4" i="18"/>
  <c r="EF4" i="18"/>
  <c r="DX4" i="18"/>
  <c r="DP4" i="18"/>
  <c r="DH4" i="18"/>
  <c r="CZ4" i="18"/>
  <c r="CR4" i="18"/>
  <c r="CJ4" i="18"/>
  <c r="CB4" i="18"/>
  <c r="BT4" i="18"/>
  <c r="BL4" i="18"/>
  <c r="BD4" i="18"/>
  <c r="AV4" i="18"/>
  <c r="AN4" i="18"/>
  <c r="AF4" i="18"/>
  <c r="X4" i="18"/>
  <c r="P4" i="18"/>
  <c r="H4" i="18"/>
  <c r="FK5" i="17"/>
  <c r="FC5" i="17"/>
  <c r="EU5" i="17"/>
  <c r="EM5" i="17"/>
  <c r="EE5" i="17"/>
  <c r="DW5" i="17"/>
  <c r="DO5" i="17"/>
  <c r="EQ5" i="20"/>
  <c r="EI5" i="20"/>
  <c r="EA5" i="20"/>
  <c r="DS5" i="20"/>
  <c r="DK5" i="20"/>
  <c r="DC5" i="20"/>
  <c r="CU5" i="20"/>
  <c r="CM5" i="20"/>
  <c r="CE5" i="20"/>
  <c r="BW5" i="20"/>
  <c r="BO5" i="20"/>
  <c r="BG5" i="20"/>
  <c r="AY5" i="20"/>
  <c r="AQ5" i="20"/>
  <c r="AI5" i="20"/>
  <c r="AA5" i="20"/>
  <c r="S5" i="20"/>
  <c r="K5" i="20"/>
  <c r="C5" i="20"/>
  <c r="ES4" i="20"/>
  <c r="EK4" i="20"/>
  <c r="EC4" i="20"/>
  <c r="DU4" i="20"/>
  <c r="DM4" i="20"/>
  <c r="DE4" i="20"/>
  <c r="CW4" i="20"/>
  <c r="CO4" i="20"/>
  <c r="CG4" i="20"/>
  <c r="BY4" i="20"/>
  <c r="BQ4" i="20"/>
  <c r="BI4" i="20"/>
  <c r="BA4" i="20"/>
  <c r="AS4" i="20"/>
  <c r="AK4" i="20"/>
  <c r="AC4" i="20"/>
  <c r="U4" i="20"/>
  <c r="M4" i="20"/>
  <c r="E4" i="20"/>
  <c r="EU5" i="19"/>
  <c r="EM5" i="19"/>
  <c r="EE5" i="19"/>
  <c r="DW5" i="19"/>
  <c r="DO5" i="19"/>
  <c r="DG5" i="19"/>
  <c r="CY5" i="19"/>
  <c r="CQ5" i="19"/>
  <c r="CI5" i="19"/>
  <c r="CA5" i="19"/>
  <c r="BS5" i="19"/>
  <c r="BK5" i="19"/>
  <c r="BC5" i="19"/>
  <c r="AU5" i="19"/>
  <c r="AM5" i="19"/>
  <c r="AE5" i="19"/>
  <c r="W5" i="19"/>
  <c r="O5" i="19"/>
  <c r="G5" i="19"/>
  <c r="EW4" i="19"/>
  <c r="EO4" i="19"/>
  <c r="EG4" i="19"/>
  <c r="DY4" i="19"/>
  <c r="DQ4" i="19"/>
  <c r="DI4" i="19"/>
  <c r="DA4" i="19"/>
  <c r="CS4" i="19"/>
  <c r="CK4" i="19"/>
  <c r="CC4" i="19"/>
  <c r="BU4" i="19"/>
  <c r="BM4" i="19"/>
  <c r="BE4" i="19"/>
  <c r="AW4" i="19"/>
  <c r="AO4" i="19"/>
  <c r="AG4" i="19"/>
  <c r="Y4" i="19"/>
  <c r="Q4" i="19"/>
  <c r="I4" i="19"/>
  <c r="EQ5" i="19"/>
  <c r="CE5" i="19"/>
  <c r="S5" i="19"/>
  <c r="DE4" i="19"/>
  <c r="AS4" i="19"/>
  <c r="DY5" i="18"/>
  <c r="DD5" i="18"/>
  <c r="CG5" i="18"/>
  <c r="BM5" i="18"/>
  <c r="AR5" i="18"/>
  <c r="U5" i="18"/>
  <c r="C5" i="18"/>
  <c r="EK4" i="18"/>
  <c r="DU4" i="18"/>
  <c r="DE4" i="18"/>
  <c r="CO4" i="18"/>
  <c r="BY4" i="18"/>
  <c r="BI4" i="18"/>
  <c r="AS4" i="18"/>
  <c r="AC4" i="18"/>
  <c r="M4" i="18"/>
  <c r="FI5" i="17"/>
  <c r="EV5" i="17"/>
  <c r="EJ5" i="17"/>
  <c r="DY5" i="17"/>
  <c r="DN5" i="17"/>
  <c r="DE5" i="17"/>
  <c r="CV5" i="17"/>
  <c r="CL5" i="17"/>
  <c r="CC5" i="17"/>
  <c r="BU5" i="17"/>
  <c r="BM5" i="17"/>
  <c r="BE5" i="17"/>
  <c r="AW5" i="17"/>
  <c r="AO5" i="17"/>
  <c r="AG5" i="17"/>
  <c r="Y5" i="17"/>
  <c r="Q5" i="17"/>
  <c r="I5" i="17"/>
  <c r="A5" i="17"/>
  <c r="FD4" i="17"/>
  <c r="EV4" i="17"/>
  <c r="EN4" i="17"/>
  <c r="EF4" i="17"/>
  <c r="DX4" i="17"/>
  <c r="DP4" i="17"/>
  <c r="DH4" i="17"/>
  <c r="CZ4" i="17"/>
  <c r="CR4" i="17"/>
  <c r="CJ4" i="17"/>
  <c r="CB4" i="17"/>
  <c r="BT4" i="17"/>
  <c r="BL4" i="17"/>
  <c r="BD4" i="17"/>
  <c r="AV4" i="17"/>
  <c r="AN4" i="17"/>
  <c r="AF4" i="17"/>
  <c r="X4" i="17"/>
  <c r="P4" i="17"/>
  <c r="H4" i="17"/>
  <c r="EX5" i="16"/>
  <c r="EP5" i="16"/>
  <c r="EH5" i="16"/>
  <c r="DZ5" i="16"/>
  <c r="DR5" i="16"/>
  <c r="DJ5" i="16"/>
  <c r="DB5" i="16"/>
  <c r="CT5" i="16"/>
  <c r="CL5" i="16"/>
  <c r="CD5" i="16"/>
  <c r="BV5" i="16"/>
  <c r="BN5" i="16"/>
  <c r="BF5" i="16"/>
  <c r="AX5" i="16"/>
  <c r="AP5" i="16"/>
  <c r="AH5" i="16"/>
  <c r="Z5" i="16"/>
  <c r="R5" i="16"/>
  <c r="J5" i="16"/>
  <c r="B5" i="16"/>
  <c r="ER4" i="16"/>
  <c r="EJ4" i="16"/>
  <c r="EB4" i="16"/>
  <c r="DT4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ET5" i="15"/>
  <c r="EL5" i="15"/>
  <c r="ED5" i="15"/>
  <c r="DV5" i="15"/>
  <c r="DN5" i="15"/>
  <c r="DF5" i="15"/>
  <c r="CX5" i="15"/>
  <c r="CP5" i="15"/>
  <c r="CH5" i="15"/>
  <c r="BZ5" i="15"/>
  <c r="BR5" i="15"/>
  <c r="BJ5" i="15"/>
  <c r="BB5" i="15"/>
  <c r="AT5" i="15"/>
  <c r="AL5" i="15"/>
  <c r="AD5" i="15"/>
  <c r="V5" i="15"/>
  <c r="N5" i="15"/>
  <c r="F5" i="15"/>
  <c r="EV4" i="15"/>
  <c r="EN4" i="15"/>
  <c r="EF4" i="15"/>
  <c r="DX4" i="15"/>
  <c r="DP4" i="15"/>
  <c r="DH4" i="15"/>
  <c r="CZ4" i="15"/>
  <c r="CR4" i="15"/>
  <c r="CJ4" i="15"/>
  <c r="EI5" i="19"/>
  <c r="BW5" i="19"/>
  <c r="K5" i="19"/>
  <c r="CW4" i="19"/>
  <c r="AK4" i="19"/>
  <c r="EW5" i="18"/>
  <c r="DU5" i="18"/>
  <c r="DA5" i="18"/>
  <c r="CF5" i="18"/>
  <c r="BI5" i="18"/>
  <c r="AO5" i="18"/>
  <c r="T5" i="18"/>
  <c r="A5" i="18"/>
  <c r="EI4" i="18"/>
  <c r="DS4" i="18"/>
  <c r="DC4" i="18"/>
  <c r="CM4" i="18"/>
  <c r="BW4" i="18"/>
  <c r="BG4" i="18"/>
  <c r="AQ4" i="18"/>
  <c r="AA4" i="18"/>
  <c r="K4" i="18"/>
  <c r="FH5" i="17"/>
  <c r="ET5" i="17"/>
  <c r="EH5" i="17"/>
  <c r="DX5" i="17"/>
  <c r="DM5" i="17"/>
  <c r="DD5" i="17"/>
  <c r="CT5" i="17"/>
  <c r="CK5" i="17"/>
  <c r="CB5" i="17"/>
  <c r="BT5" i="17"/>
  <c r="BL5" i="17"/>
  <c r="BD5" i="17"/>
  <c r="AV5" i="17"/>
  <c r="AN5" i="17"/>
  <c r="AF5" i="17"/>
  <c r="X5" i="17"/>
  <c r="P5" i="17"/>
  <c r="H5" i="17"/>
  <c r="FK4" i="17"/>
  <c r="FC4" i="17"/>
  <c r="EU4" i="17"/>
  <c r="EM4" i="17"/>
  <c r="EE4" i="17"/>
  <c r="DW4" i="17"/>
  <c r="DO4" i="17"/>
  <c r="DG4" i="17"/>
  <c r="CY4" i="17"/>
  <c r="CQ4" i="17"/>
  <c r="CI4" i="17"/>
  <c r="CA4" i="17"/>
  <c r="BS4" i="17"/>
  <c r="BK4" i="17"/>
  <c r="BC4" i="17"/>
  <c r="AU4" i="17"/>
  <c r="AM4" i="17"/>
  <c r="AE4" i="17"/>
  <c r="W4" i="17"/>
  <c r="O4" i="17"/>
  <c r="G4" i="17"/>
  <c r="EW5" i="16"/>
  <c r="EO5" i="16"/>
  <c r="EG5" i="16"/>
  <c r="DY5" i="16"/>
  <c r="DQ5" i="16"/>
  <c r="DI5" i="16"/>
  <c r="DA5" i="16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EQ4" i="16"/>
  <c r="EI4" i="16"/>
  <c r="EA4" i="16"/>
  <c r="DS4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ES5" i="15"/>
  <c r="EK5" i="15"/>
  <c r="EC5" i="15"/>
  <c r="DU5" i="15"/>
  <c r="DM5" i="15"/>
  <c r="DE5" i="15"/>
  <c r="CW5" i="15"/>
  <c r="CO5" i="15"/>
  <c r="CG5" i="15"/>
  <c r="BY5" i="15"/>
  <c r="BQ5" i="15"/>
  <c r="BI5" i="15"/>
  <c r="BA5" i="15"/>
  <c r="AS5" i="15"/>
  <c r="AK5" i="15"/>
  <c r="AC5" i="15"/>
  <c r="U5" i="15"/>
  <c r="M5" i="15"/>
  <c r="E5" i="15"/>
  <c r="EU4" i="15"/>
  <c r="EM4" i="15"/>
  <c r="EE4" i="15"/>
  <c r="DW4" i="15"/>
  <c r="DO4" i="15"/>
  <c r="DG4" i="15"/>
  <c r="CY4" i="15"/>
  <c r="CQ4" i="15"/>
  <c r="EA5" i="19"/>
  <c r="BO5" i="19"/>
  <c r="C5" i="19"/>
  <c r="CO4" i="19"/>
  <c r="AC4" i="19"/>
  <c r="ES5" i="18"/>
  <c r="DT5" i="18"/>
  <c r="CW5" i="18"/>
  <c r="CC5" i="18"/>
  <c r="BH5" i="18"/>
  <c r="AK5" i="18"/>
  <c r="Q5" i="18"/>
  <c r="EU4" i="18"/>
  <c r="EE4" i="18"/>
  <c r="DO4" i="18"/>
  <c r="CY4" i="18"/>
  <c r="CI4" i="18"/>
  <c r="BS4" i="18"/>
  <c r="BC4" i="18"/>
  <c r="AM4" i="18"/>
  <c r="W4" i="18"/>
  <c r="G4" i="18"/>
  <c r="FF5" i="17"/>
  <c r="ES5" i="17"/>
  <c r="EG5" i="17"/>
  <c r="DV5" i="17"/>
  <c r="DL5" i="17"/>
  <c r="DB5" i="17"/>
  <c r="CS5" i="17"/>
  <c r="CJ5" i="17"/>
  <c r="CA5" i="17"/>
  <c r="BS5" i="17"/>
  <c r="BC5" i="17"/>
  <c r="AU5" i="17"/>
  <c r="AM5" i="17"/>
  <c r="AE5" i="17"/>
  <c r="W5" i="17"/>
  <c r="O5" i="17"/>
  <c r="G5" i="17"/>
  <c r="FJ4" i="17"/>
  <c r="FB4" i="17"/>
  <c r="ET4" i="17"/>
  <c r="EL4" i="17"/>
  <c r="ED4" i="17"/>
  <c r="DV4" i="17"/>
  <c r="DN4" i="17"/>
  <c r="DF4" i="17"/>
  <c r="CX4" i="17"/>
  <c r="CP4" i="17"/>
  <c r="CH4" i="17"/>
  <c r="BZ4" i="17"/>
  <c r="BR4" i="17"/>
  <c r="BJ4" i="17"/>
  <c r="BB4" i="17"/>
  <c r="AT4" i="17"/>
  <c r="AL4" i="17"/>
  <c r="AD4" i="17"/>
  <c r="V4" i="17"/>
  <c r="N4" i="17"/>
  <c r="F4" i="17"/>
  <c r="EV5" i="16"/>
  <c r="EN5" i="16"/>
  <c r="EF5" i="16"/>
  <c r="DX5" i="16"/>
  <c r="DP5" i="16"/>
  <c r="DH5" i="16"/>
  <c r="CZ5" i="16"/>
  <c r="CR5" i="16"/>
  <c r="CJ5" i="16"/>
  <c r="CB5" i="16"/>
  <c r="BT5" i="16"/>
  <c r="BL5" i="16"/>
  <c r="BD5" i="16"/>
  <c r="AV5" i="16"/>
  <c r="AN5" i="16"/>
  <c r="AF5" i="16"/>
  <c r="X5" i="16"/>
  <c r="P5" i="16"/>
  <c r="H5" i="16"/>
  <c r="EX4" i="16"/>
  <c r="EP4" i="16"/>
  <c r="EH4" i="16"/>
  <c r="DZ4" i="16"/>
  <c r="DR4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ER5" i="15"/>
  <c r="EJ5" i="15"/>
  <c r="EB5" i="15"/>
  <c r="DT5" i="15"/>
  <c r="DL5" i="15"/>
  <c r="DD5" i="15"/>
  <c r="CV5" i="15"/>
  <c r="CN5" i="15"/>
  <c r="CF5" i="15"/>
  <c r="BX5" i="15"/>
  <c r="BP5" i="15"/>
  <c r="BH5" i="15"/>
  <c r="AZ5" i="15"/>
  <c r="AR5" i="15"/>
  <c r="AJ5" i="15"/>
  <c r="AB5" i="15"/>
  <c r="T5" i="15"/>
  <c r="L5" i="15"/>
  <c r="D5" i="15"/>
  <c r="ET4" i="15"/>
  <c r="EL4" i="15"/>
  <c r="ED4" i="15"/>
  <c r="DV4" i="15"/>
  <c r="DN4" i="15"/>
  <c r="DF4" i="15"/>
  <c r="CX4" i="15"/>
  <c r="CP4" i="15"/>
  <c r="DS5" i="19"/>
  <c r="BG5" i="19"/>
  <c r="ES4" i="19"/>
  <c r="CG4" i="19"/>
  <c r="U4" i="19"/>
  <c r="EO5" i="18"/>
  <c r="DQ5" i="18"/>
  <c r="CV5" i="18"/>
  <c r="BY5" i="18"/>
  <c r="BE5" i="18"/>
  <c r="AJ5" i="18"/>
  <c r="M5" i="18"/>
  <c r="ET4" i="18"/>
  <c r="ED4" i="18"/>
  <c r="DN4" i="18"/>
  <c r="CX4" i="18"/>
  <c r="CH4" i="18"/>
  <c r="BR4" i="18"/>
  <c r="BB4" i="18"/>
  <c r="AL4" i="18"/>
  <c r="V4" i="18"/>
  <c r="F4" i="18"/>
  <c r="FD5" i="17"/>
  <c r="ER5" i="17"/>
  <c r="EF5" i="17"/>
  <c r="DU5" i="17"/>
  <c r="DJ5" i="17"/>
  <c r="DA5" i="17"/>
  <c r="CR5" i="17"/>
  <c r="CI5" i="17"/>
  <c r="BZ5" i="17"/>
  <c r="BR5" i="17"/>
  <c r="BJ5" i="17"/>
  <c r="BB5" i="17"/>
  <c r="AT5" i="17"/>
  <c r="AL5" i="17"/>
  <c r="AD5" i="17"/>
  <c r="V5" i="17"/>
  <c r="N5" i="17"/>
  <c r="F5" i="17"/>
  <c r="FI4" i="17"/>
  <c r="FA4" i="17"/>
  <c r="ES4" i="17"/>
  <c r="EK4" i="17"/>
  <c r="EC4" i="17"/>
  <c r="DU4" i="17"/>
  <c r="DM4" i="17"/>
  <c r="DE4" i="17"/>
  <c r="CW4" i="17"/>
  <c r="CO4" i="17"/>
  <c r="CG4" i="17"/>
  <c r="BY4" i="17"/>
  <c r="BQ4" i="17"/>
  <c r="BI4" i="17"/>
  <c r="BA4" i="17"/>
  <c r="AS4" i="17"/>
  <c r="AK4" i="17"/>
  <c r="AC4" i="17"/>
  <c r="U4" i="17"/>
  <c r="M4" i="17"/>
  <c r="E4" i="17"/>
  <c r="EU5" i="16"/>
  <c r="EM5" i="16"/>
  <c r="EE5" i="16"/>
  <c r="DW5" i="16"/>
  <c r="DO5" i="16"/>
  <c r="DG5" i="16"/>
  <c r="CY5" i="16"/>
  <c r="CQ5" i="16"/>
  <c r="CI5" i="16"/>
  <c r="CA5" i="16"/>
  <c r="BS5" i="16"/>
  <c r="BK5" i="16"/>
  <c r="BC5" i="16"/>
  <c r="AU5" i="16"/>
  <c r="AM5" i="16"/>
  <c r="AE5" i="16"/>
  <c r="W5" i="16"/>
  <c r="O5" i="16"/>
  <c r="G5" i="16"/>
  <c r="EW4" i="16"/>
  <c r="EO4" i="16"/>
  <c r="EG4" i="16"/>
  <c r="DY4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EQ5" i="15"/>
  <c r="EI5" i="15"/>
  <c r="EA5" i="15"/>
  <c r="DS5" i="15"/>
  <c r="DK5" i="15"/>
  <c r="DC5" i="15"/>
  <c r="CU5" i="15"/>
  <c r="CM5" i="15"/>
  <c r="CE5" i="15"/>
  <c r="BW5" i="15"/>
  <c r="BO5" i="15"/>
  <c r="BG5" i="15"/>
  <c r="AY5" i="15"/>
  <c r="AQ5" i="15"/>
  <c r="AI5" i="15"/>
  <c r="AA5" i="15"/>
  <c r="S5" i="15"/>
  <c r="K5" i="15"/>
  <c r="C5" i="15"/>
  <c r="ES4" i="15"/>
  <c r="EK4" i="15"/>
  <c r="EC4" i="15"/>
  <c r="DU4" i="15"/>
  <c r="DK5" i="19"/>
  <c r="AY5" i="19"/>
  <c r="EK4" i="19"/>
  <c r="BY4" i="19"/>
  <c r="M4" i="19"/>
  <c r="EK5" i="18"/>
  <c r="DM5" i="18"/>
  <c r="CS5" i="18"/>
  <c r="BX5" i="18"/>
  <c r="BA5" i="18"/>
  <c r="AG5" i="18"/>
  <c r="L5" i="18"/>
  <c r="ES4" i="18"/>
  <c r="EC4" i="18"/>
  <c r="DM4" i="18"/>
  <c r="CW4" i="18"/>
  <c r="CG4" i="18"/>
  <c r="BQ4" i="18"/>
  <c r="BA4" i="18"/>
  <c r="AK4" i="18"/>
  <c r="U4" i="18"/>
  <c r="E4" i="18"/>
  <c r="FB5" i="17"/>
  <c r="EP5" i="17"/>
  <c r="ED5" i="17"/>
  <c r="DT5" i="17"/>
  <c r="DI5" i="17"/>
  <c r="CZ5" i="17"/>
  <c r="CQ5" i="17"/>
  <c r="CH5" i="17"/>
  <c r="BY5" i="17"/>
  <c r="BQ5" i="17"/>
  <c r="BI5" i="17"/>
  <c r="BA5" i="17"/>
  <c r="AS5" i="17"/>
  <c r="AK5" i="17"/>
  <c r="AC5" i="17"/>
  <c r="U5" i="17"/>
  <c r="M5" i="17"/>
  <c r="E5" i="17"/>
  <c r="FH4" i="17"/>
  <c r="EZ4" i="17"/>
  <c r="ER4" i="17"/>
  <c r="EJ4" i="17"/>
  <c r="EB4" i="17"/>
  <c r="DT4" i="17"/>
  <c r="DL4" i="17"/>
  <c r="DD4" i="17"/>
  <c r="CV4" i="17"/>
  <c r="CN4" i="17"/>
  <c r="CF4" i="17"/>
  <c r="BX4" i="17"/>
  <c r="BP4" i="17"/>
  <c r="BH4" i="17"/>
  <c r="AZ4" i="17"/>
  <c r="AR4" i="17"/>
  <c r="AJ4" i="17"/>
  <c r="AB4" i="17"/>
  <c r="T4" i="17"/>
  <c r="L4" i="17"/>
  <c r="D4" i="17"/>
  <c r="ET5" i="16"/>
  <c r="EL5" i="16"/>
  <c r="ED5" i="16"/>
  <c r="DV5" i="16"/>
  <c r="DN5" i="16"/>
  <c r="DF5" i="16"/>
  <c r="CX5" i="16"/>
  <c r="CP5" i="16"/>
  <c r="CH5" i="16"/>
  <c r="BZ5" i="16"/>
  <c r="BR5" i="16"/>
  <c r="BJ5" i="16"/>
  <c r="BB5" i="16"/>
  <c r="AT5" i="16"/>
  <c r="AL5" i="16"/>
  <c r="AD5" i="16"/>
  <c r="V5" i="16"/>
  <c r="N5" i="16"/>
  <c r="F5" i="16"/>
  <c r="EV4" i="16"/>
  <c r="EN4" i="16"/>
  <c r="EF4" i="16"/>
  <c r="DX4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EX5" i="15"/>
  <c r="EP5" i="15"/>
  <c r="EH5" i="15"/>
  <c r="DZ5" i="15"/>
  <c r="DR5" i="15"/>
  <c r="DJ5" i="15"/>
  <c r="DB5" i="15"/>
  <c r="CT5" i="15"/>
  <c r="CL5" i="15"/>
  <c r="CD5" i="15"/>
  <c r="BV5" i="15"/>
  <c r="BN5" i="15"/>
  <c r="BF5" i="15"/>
  <c r="AX5" i="15"/>
  <c r="AP5" i="15"/>
  <c r="AH5" i="15"/>
  <c r="Z5" i="15"/>
  <c r="R5" i="15"/>
  <c r="J5" i="15"/>
  <c r="B5" i="15"/>
  <c r="ER4" i="15"/>
  <c r="EJ4" i="15"/>
  <c r="EB4" i="15"/>
  <c r="DT4" i="15"/>
  <c r="DL4" i="15"/>
  <c r="DD4" i="15"/>
  <c r="CV4" i="15"/>
  <c r="CN4" i="15"/>
  <c r="DC5" i="19"/>
  <c r="AQ5" i="19"/>
  <c r="EC4" i="19"/>
  <c r="BQ4" i="19"/>
  <c r="E4" i="19"/>
  <c r="EG5" i="18"/>
  <c r="DL5" i="18"/>
  <c r="CO5" i="18"/>
  <c r="BU5" i="18"/>
  <c r="AZ5" i="18"/>
  <c r="AC5" i="18"/>
  <c r="I5" i="18"/>
  <c r="EQ4" i="18"/>
  <c r="EA4" i="18"/>
  <c r="DK4" i="18"/>
  <c r="CU4" i="18"/>
  <c r="CE4" i="18"/>
  <c r="BO4" i="18"/>
  <c r="AY4" i="18"/>
  <c r="AI4" i="18"/>
  <c r="S4" i="18"/>
  <c r="C4" i="18"/>
  <c r="FA5" i="17"/>
  <c r="EN5" i="17"/>
  <c r="EC5" i="17"/>
  <c r="DR5" i="17"/>
  <c r="DH5" i="17"/>
  <c r="CY5" i="17"/>
  <c r="CP5" i="17"/>
  <c r="CG5" i="17"/>
  <c r="BX5" i="17"/>
  <c r="BP5" i="17"/>
  <c r="BH5" i="17"/>
  <c r="AZ5" i="17"/>
  <c r="AR5" i="17"/>
  <c r="AJ5" i="17"/>
  <c r="AB5" i="17"/>
  <c r="T5" i="17"/>
  <c r="L5" i="17"/>
  <c r="D5" i="17"/>
  <c r="FG4" i="17"/>
  <c r="EY4" i="17"/>
  <c r="EQ4" i="17"/>
  <c r="EI4" i="17"/>
  <c r="EA4" i="17"/>
  <c r="DS4" i="17"/>
  <c r="DK4" i="17"/>
  <c r="DC4" i="17"/>
  <c r="CU4" i="17"/>
  <c r="CM4" i="17"/>
  <c r="CE4" i="17"/>
  <c r="BW4" i="17"/>
  <c r="BO4" i="17"/>
  <c r="BG4" i="17"/>
  <c r="AY4" i="17"/>
  <c r="AQ4" i="17"/>
  <c r="AI4" i="17"/>
  <c r="AA4" i="17"/>
  <c r="S4" i="17"/>
  <c r="K4" i="17"/>
  <c r="C4" i="17"/>
  <c r="ES5" i="16"/>
  <c r="EK5" i="16"/>
  <c r="EC5" i="16"/>
  <c r="DU5" i="16"/>
  <c r="DM5" i="16"/>
  <c r="DE5" i="16"/>
  <c r="CW5" i="16"/>
  <c r="CO5" i="16"/>
  <c r="CG5" i="16"/>
  <c r="BY5" i="16"/>
  <c r="BQ5" i="16"/>
  <c r="BI5" i="16"/>
  <c r="BA5" i="16"/>
  <c r="AS5" i="16"/>
  <c r="AK5" i="16"/>
  <c r="AC5" i="16"/>
  <c r="U5" i="16"/>
  <c r="M5" i="16"/>
  <c r="E5" i="16"/>
  <c r="EU4" i="16"/>
  <c r="EM4" i="16"/>
  <c r="EE4" i="16"/>
  <c r="DW4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EW5" i="15"/>
  <c r="EO5" i="15"/>
  <c r="EG5" i="15"/>
  <c r="DY5" i="15"/>
  <c r="DQ5" i="15"/>
  <c r="DI5" i="15"/>
  <c r="DA5" i="15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EQ4" i="15"/>
  <c r="EI4" i="15"/>
  <c r="EA4" i="15"/>
  <c r="DS4" i="15"/>
  <c r="DK4" i="15"/>
  <c r="DC4" i="15"/>
  <c r="CU4" i="15"/>
  <c r="CU5" i="19"/>
  <c r="AI5" i="19"/>
  <c r="DU4" i="19"/>
  <c r="BI4" i="19"/>
  <c r="EC5" i="18"/>
  <c r="DI5" i="18"/>
  <c r="CN5" i="18"/>
  <c r="BQ5" i="18"/>
  <c r="AW5" i="18"/>
  <c r="AB5" i="18"/>
  <c r="E5" i="18"/>
  <c r="EM4" i="18"/>
  <c r="DW4" i="18"/>
  <c r="DG4" i="18"/>
  <c r="CQ4" i="18"/>
  <c r="CA4" i="18"/>
  <c r="BK4" i="18"/>
  <c r="AU4" i="18"/>
  <c r="AE4" i="18"/>
  <c r="O4" i="18"/>
  <c r="EZ5" i="17"/>
  <c r="EL5" i="17"/>
  <c r="EB5" i="17"/>
  <c r="DQ5" i="17"/>
  <c r="DG5" i="17"/>
  <c r="CX5" i="17"/>
  <c r="CO5" i="17"/>
  <c r="CF5" i="17"/>
  <c r="BW5" i="17"/>
  <c r="BO5" i="17"/>
  <c r="BG5" i="17"/>
  <c r="AY5" i="17"/>
  <c r="AQ5" i="17"/>
  <c r="AI5" i="17"/>
  <c r="AA5" i="17"/>
  <c r="S5" i="17"/>
  <c r="K5" i="17"/>
  <c r="C5" i="17"/>
  <c r="FF4" i="17"/>
  <c r="EX4" i="17"/>
  <c r="EP4" i="17"/>
  <c r="EH4" i="17"/>
  <c r="DZ4" i="17"/>
  <c r="DR4" i="17"/>
  <c r="DJ4" i="17"/>
  <c r="DB4" i="17"/>
  <c r="CT4" i="17"/>
  <c r="CL4" i="17"/>
  <c r="CD4" i="17"/>
  <c r="BV4" i="17"/>
  <c r="BN4" i="17"/>
  <c r="BF4" i="17"/>
  <c r="AX4" i="17"/>
  <c r="AP4" i="17"/>
  <c r="AH4" i="17"/>
  <c r="Z4" i="17"/>
  <c r="R4" i="17"/>
  <c r="J4" i="17"/>
  <c r="B4" i="17"/>
  <c r="ER5" i="16"/>
  <c r="EJ5" i="16"/>
  <c r="EB5" i="16"/>
  <c r="DT5" i="16"/>
  <c r="DL5" i="16"/>
  <c r="DD5" i="16"/>
  <c r="CV5" i="16"/>
  <c r="CN5" i="16"/>
  <c r="CF5" i="16"/>
  <c r="BX5" i="16"/>
  <c r="BP5" i="16"/>
  <c r="BH5" i="16"/>
  <c r="AZ5" i="16"/>
  <c r="AR5" i="16"/>
  <c r="AJ5" i="16"/>
  <c r="AB5" i="16"/>
  <c r="T5" i="16"/>
  <c r="L5" i="16"/>
  <c r="D5" i="16"/>
  <c r="ET4" i="16"/>
  <c r="EL4" i="16"/>
  <c r="ED4" i="16"/>
  <c r="DV4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EV5" i="15"/>
  <c r="EN5" i="15"/>
  <c r="EF5" i="15"/>
  <c r="DX5" i="15"/>
  <c r="DP5" i="15"/>
  <c r="DH5" i="15"/>
  <c r="CZ5" i="15"/>
  <c r="CR5" i="15"/>
  <c r="CJ5" i="15"/>
  <c r="CB5" i="15"/>
  <c r="BT5" i="15"/>
  <c r="BL5" i="15"/>
  <c r="BD5" i="15"/>
  <c r="AV5" i="15"/>
  <c r="AN5" i="15"/>
  <c r="AF5" i="15"/>
  <c r="X5" i="15"/>
  <c r="P5" i="15"/>
  <c r="H5" i="15"/>
  <c r="EX4" i="15"/>
  <c r="EP4" i="15"/>
  <c r="EH4" i="15"/>
  <c r="DZ4" i="15"/>
  <c r="DR4" i="15"/>
  <c r="DJ4" i="15"/>
  <c r="DB4" i="15"/>
  <c r="CT4" i="15"/>
  <c r="CM5" i="19"/>
  <c r="AA5" i="19"/>
  <c r="DM4" i="19"/>
  <c r="BA4" i="19"/>
  <c r="EB5" i="18"/>
  <c r="DE5" i="18"/>
  <c r="CK5" i="18"/>
  <c r="BP5" i="18"/>
  <c r="AS5" i="18"/>
  <c r="Y5" i="18"/>
  <c r="D5" i="18"/>
  <c r="EL4" i="18"/>
  <c r="DV4" i="18"/>
  <c r="DF4" i="18"/>
  <c r="CP4" i="18"/>
  <c r="BZ4" i="18"/>
  <c r="BJ4" i="18"/>
  <c r="AT4" i="18"/>
  <c r="AD4" i="18"/>
  <c r="N4" i="18"/>
  <c r="FJ5" i="17"/>
  <c r="EX5" i="17"/>
  <c r="EK5" i="17"/>
  <c r="DZ5" i="17"/>
  <c r="DP5" i="17"/>
  <c r="DF5" i="17"/>
  <c r="CW5" i="17"/>
  <c r="CN5" i="17"/>
  <c r="CD5" i="17"/>
  <c r="BV5" i="17"/>
  <c r="BN5" i="17"/>
  <c r="BF5" i="17"/>
  <c r="AX5" i="17"/>
  <c r="AP5" i="17"/>
  <c r="AH5" i="17"/>
  <c r="Z5" i="17"/>
  <c r="R5" i="17"/>
  <c r="J5" i="17"/>
  <c r="B5" i="17"/>
  <c r="FE4" i="17"/>
  <c r="EW4" i="17"/>
  <c r="EO4" i="17"/>
  <c r="EG4" i="17"/>
  <c r="DY4" i="17"/>
  <c r="DQ4" i="17"/>
  <c r="DI4" i="17"/>
  <c r="DA4" i="17"/>
  <c r="CS4" i="17"/>
  <c r="CK4" i="17"/>
  <c r="CC4" i="17"/>
  <c r="BU4" i="17"/>
  <c r="BM4" i="17"/>
  <c r="BE4" i="17"/>
  <c r="AW4" i="17"/>
  <c r="AO4" i="17"/>
  <c r="AG4" i="17"/>
  <c r="Y4" i="17"/>
  <c r="Q4" i="17"/>
  <c r="I4" i="17"/>
  <c r="EQ5" i="16"/>
  <c r="EI5" i="16"/>
  <c r="EA5" i="16"/>
  <c r="DS5" i="16"/>
  <c r="DK5" i="16"/>
  <c r="DC5" i="16"/>
  <c r="CU5" i="16"/>
  <c r="CM5" i="16"/>
  <c r="CE5" i="16"/>
  <c r="BW5" i="16"/>
  <c r="BO5" i="16"/>
  <c r="BG5" i="16"/>
  <c r="AY5" i="16"/>
  <c r="AQ5" i="16"/>
  <c r="AI5" i="16"/>
  <c r="AA5" i="16"/>
  <c r="S5" i="16"/>
  <c r="K5" i="16"/>
  <c r="C5" i="16"/>
  <c r="ES4" i="16"/>
  <c r="EK4" i="16"/>
  <c r="EC4" i="16"/>
  <c r="DU4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EU5" i="15"/>
  <c r="EM5" i="15"/>
  <c r="EE5" i="15"/>
  <c r="DW5" i="15"/>
  <c r="DO5" i="15"/>
  <c r="DG5" i="15"/>
  <c r="CY5" i="15"/>
  <c r="CQ5" i="15"/>
  <c r="CI5" i="15"/>
  <c r="CA5" i="15"/>
  <c r="BS5" i="15"/>
  <c r="BK5" i="15"/>
  <c r="BC5" i="15"/>
  <c r="AU5" i="15"/>
  <c r="AM5" i="15"/>
  <c r="AE5" i="15"/>
  <c r="W5" i="15"/>
  <c r="O5" i="15"/>
  <c r="G5" i="15"/>
  <c r="EW4" i="15"/>
  <c r="EO4" i="15"/>
  <c r="EG4" i="15"/>
  <c r="DY4" i="15"/>
  <c r="DQ4" i="15"/>
  <c r="DM4" i="15"/>
  <c r="CL4" i="15"/>
  <c r="CC4" i="15"/>
  <c r="BU4" i="15"/>
  <c r="BM4" i="15"/>
  <c r="BE4" i="15"/>
  <c r="AW4" i="15"/>
  <c r="AO4" i="15"/>
  <c r="AG4" i="15"/>
  <c r="Y4" i="15"/>
  <c r="Q4" i="15"/>
  <c r="I4" i="15"/>
  <c r="ES5" i="14"/>
  <c r="EK5" i="14"/>
  <c r="EC5" i="14"/>
  <c r="DU5" i="14"/>
  <c r="DM5" i="14"/>
  <c r="DE5" i="14"/>
  <c r="CW5" i="14"/>
  <c r="CO5" i="14"/>
  <c r="CG5" i="14"/>
  <c r="BY5" i="14"/>
  <c r="BQ5" i="14"/>
  <c r="BI5" i="14"/>
  <c r="BA5" i="14"/>
  <c r="AS5" i="14"/>
  <c r="AK5" i="14"/>
  <c r="AC5" i="14"/>
  <c r="U5" i="14"/>
  <c r="M5" i="14"/>
  <c r="E5" i="14"/>
  <c r="EU4" i="14"/>
  <c r="EM4" i="14"/>
  <c r="EE4" i="14"/>
  <c r="DW4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EW5" i="13"/>
  <c r="EO5" i="13"/>
  <c r="EG5" i="13"/>
  <c r="DY5" i="13"/>
  <c r="DQ5" i="13"/>
  <c r="DI5" i="13"/>
  <c r="DA5" i="13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EQ4" i="13"/>
  <c r="EI4" i="13"/>
  <c r="EA4" i="13"/>
  <c r="DS4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DI4" i="15"/>
  <c r="CK4" i="15"/>
  <c r="CB4" i="15"/>
  <c r="BT4" i="15"/>
  <c r="BL4" i="15"/>
  <c r="BD4" i="15"/>
  <c r="AV4" i="15"/>
  <c r="AN4" i="15"/>
  <c r="AF4" i="15"/>
  <c r="X4" i="15"/>
  <c r="P4" i="15"/>
  <c r="H4" i="15"/>
  <c r="ER5" i="14"/>
  <c r="EJ5" i="14"/>
  <c r="EB5" i="14"/>
  <c r="DT5" i="14"/>
  <c r="DL5" i="14"/>
  <c r="DD5" i="14"/>
  <c r="CV5" i="14"/>
  <c r="CN5" i="14"/>
  <c r="CF5" i="14"/>
  <c r="BX5" i="14"/>
  <c r="BP5" i="14"/>
  <c r="BH5" i="14"/>
  <c r="AZ5" i="14"/>
  <c r="AR5" i="14"/>
  <c r="AJ5" i="14"/>
  <c r="AB5" i="14"/>
  <c r="T5" i="14"/>
  <c r="L5" i="14"/>
  <c r="D5" i="14"/>
  <c r="ET4" i="14"/>
  <c r="EL4" i="14"/>
  <c r="ED4" i="14"/>
  <c r="DV4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DE4" i="15"/>
  <c r="CI4" i="15"/>
  <c r="CA4" i="15"/>
  <c r="BS4" i="15"/>
  <c r="BK4" i="15"/>
  <c r="BC4" i="15"/>
  <c r="AU4" i="15"/>
  <c r="AM4" i="15"/>
  <c r="AE4" i="15"/>
  <c r="W4" i="15"/>
  <c r="O4" i="15"/>
  <c r="G4" i="15"/>
  <c r="EQ5" i="14"/>
  <c r="EI5" i="14"/>
  <c r="EA5" i="14"/>
  <c r="DS5" i="14"/>
  <c r="DK5" i="14"/>
  <c r="DC5" i="14"/>
  <c r="CU5" i="14"/>
  <c r="CM5" i="14"/>
  <c r="CE5" i="14"/>
  <c r="BW5" i="14"/>
  <c r="BO5" i="14"/>
  <c r="BG5" i="14"/>
  <c r="AY5" i="14"/>
  <c r="AQ5" i="14"/>
  <c r="AI5" i="14"/>
  <c r="AA5" i="14"/>
  <c r="S5" i="14"/>
  <c r="K5" i="14"/>
  <c r="C5" i="14"/>
  <c r="ES4" i="14"/>
  <c r="EK4" i="14"/>
  <c r="EC4" i="14"/>
  <c r="DU4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EU5" i="13"/>
  <c r="EM5" i="13"/>
  <c r="EE5" i="13"/>
  <c r="DW5" i="13"/>
  <c r="DO5" i="13"/>
  <c r="DG5" i="13"/>
  <c r="CY5" i="13"/>
  <c r="CQ5" i="13"/>
  <c r="CI5" i="13"/>
  <c r="CA5" i="13"/>
  <c r="BS5" i="13"/>
  <c r="BK5" i="13"/>
  <c r="BC5" i="13"/>
  <c r="AU5" i="13"/>
  <c r="AM5" i="13"/>
  <c r="AE5" i="13"/>
  <c r="W5" i="13"/>
  <c r="O5" i="13"/>
  <c r="G5" i="13"/>
  <c r="EW4" i="13"/>
  <c r="EO4" i="13"/>
  <c r="EG4" i="13"/>
  <c r="DY4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ES4" i="12"/>
  <c r="EK4" i="12"/>
  <c r="EC4" i="12"/>
  <c r="DU4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DA4" i="15"/>
  <c r="CH4" i="15"/>
  <c r="BZ4" i="15"/>
  <c r="BR4" i="15"/>
  <c r="BJ4" i="15"/>
  <c r="BB4" i="15"/>
  <c r="AT4" i="15"/>
  <c r="AL4" i="15"/>
  <c r="AD4" i="15"/>
  <c r="V4" i="15"/>
  <c r="N4" i="15"/>
  <c r="F4" i="15"/>
  <c r="EX5" i="14"/>
  <c r="EP5" i="14"/>
  <c r="EH5" i="14"/>
  <c r="DZ5" i="14"/>
  <c r="DR5" i="14"/>
  <c r="DJ5" i="14"/>
  <c r="DB5" i="14"/>
  <c r="CT5" i="14"/>
  <c r="CL5" i="14"/>
  <c r="CD5" i="14"/>
  <c r="BV5" i="14"/>
  <c r="BN5" i="14"/>
  <c r="BF5" i="14"/>
  <c r="AX5" i="14"/>
  <c r="AP5" i="14"/>
  <c r="AH5" i="14"/>
  <c r="Z5" i="14"/>
  <c r="R5" i="14"/>
  <c r="J5" i="14"/>
  <c r="B5" i="14"/>
  <c r="ER4" i="14"/>
  <c r="EJ4" i="14"/>
  <c r="EB4" i="14"/>
  <c r="DT4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EV4" i="13"/>
  <c r="EN4" i="13"/>
  <c r="EF4" i="13"/>
  <c r="DX4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CW4" i="15"/>
  <c r="CG4" i="15"/>
  <c r="BY4" i="15"/>
  <c r="BQ4" i="15"/>
  <c r="BI4" i="15"/>
  <c r="BA4" i="15"/>
  <c r="AS4" i="15"/>
  <c r="AK4" i="15"/>
  <c r="AC4" i="15"/>
  <c r="U4" i="15"/>
  <c r="M4" i="15"/>
  <c r="E4" i="15"/>
  <c r="EW5" i="14"/>
  <c r="EO5" i="14"/>
  <c r="EG5" i="14"/>
  <c r="DY5" i="14"/>
  <c r="DQ5" i="14"/>
  <c r="DI5" i="14"/>
  <c r="DA5" i="14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EQ4" i="14"/>
  <c r="EI4" i="14"/>
  <c r="EA4" i="14"/>
  <c r="DS4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ES5" i="13"/>
  <c r="EK5" i="13"/>
  <c r="EC5" i="13"/>
  <c r="DU5" i="13"/>
  <c r="DM5" i="13"/>
  <c r="DE5" i="13"/>
  <c r="CW5" i="13"/>
  <c r="CO5" i="13"/>
  <c r="CG5" i="13"/>
  <c r="BY5" i="13"/>
  <c r="BQ5" i="13"/>
  <c r="BI5" i="13"/>
  <c r="BA5" i="13"/>
  <c r="AS5" i="13"/>
  <c r="AK5" i="13"/>
  <c r="AC5" i="13"/>
  <c r="U5" i="13"/>
  <c r="M5" i="13"/>
  <c r="E5" i="13"/>
  <c r="EU4" i="13"/>
  <c r="EM4" i="13"/>
  <c r="EE4" i="13"/>
  <c r="DW4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S4" i="15"/>
  <c r="CF4" i="15"/>
  <c r="BX4" i="15"/>
  <c r="BP4" i="15"/>
  <c r="BH4" i="15"/>
  <c r="AZ4" i="15"/>
  <c r="AR4" i="15"/>
  <c r="AJ4" i="15"/>
  <c r="AB4" i="15"/>
  <c r="T4" i="15"/>
  <c r="L4" i="15"/>
  <c r="D4" i="15"/>
  <c r="EV5" i="14"/>
  <c r="EN5" i="14"/>
  <c r="EF5" i="14"/>
  <c r="DX5" i="14"/>
  <c r="DP5" i="14"/>
  <c r="DH5" i="14"/>
  <c r="CZ5" i="14"/>
  <c r="CR5" i="14"/>
  <c r="CJ5" i="14"/>
  <c r="CB5" i="14"/>
  <c r="BT5" i="14"/>
  <c r="BL5" i="14"/>
  <c r="BD5" i="14"/>
  <c r="AV5" i="14"/>
  <c r="AN5" i="14"/>
  <c r="AF5" i="14"/>
  <c r="X5" i="14"/>
  <c r="P5" i="14"/>
  <c r="H5" i="14"/>
  <c r="EX4" i="14"/>
  <c r="EP4" i="14"/>
  <c r="EH4" i="14"/>
  <c r="DZ4" i="14"/>
  <c r="DR4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ET4" i="13"/>
  <c r="EL4" i="13"/>
  <c r="ED4" i="13"/>
  <c r="DV4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CO4" i="15"/>
  <c r="CE4" i="15"/>
  <c r="BW4" i="15"/>
  <c r="BO4" i="15"/>
  <c r="BG4" i="15"/>
  <c r="AY4" i="15"/>
  <c r="AQ4" i="15"/>
  <c r="AI4" i="15"/>
  <c r="AA4" i="15"/>
  <c r="S4" i="15"/>
  <c r="K4" i="15"/>
  <c r="C4" i="15"/>
  <c r="EU5" i="14"/>
  <c r="EM5" i="14"/>
  <c r="EE5" i="14"/>
  <c r="DW5" i="14"/>
  <c r="DO5" i="14"/>
  <c r="DG5" i="14"/>
  <c r="CY5" i="14"/>
  <c r="CQ5" i="14"/>
  <c r="CI5" i="14"/>
  <c r="CA5" i="14"/>
  <c r="BS5" i="14"/>
  <c r="BK5" i="14"/>
  <c r="BC5" i="14"/>
  <c r="AU5" i="14"/>
  <c r="AM5" i="14"/>
  <c r="AE5" i="14"/>
  <c r="W5" i="14"/>
  <c r="O5" i="14"/>
  <c r="G5" i="14"/>
  <c r="EW4" i="14"/>
  <c r="EO4" i="14"/>
  <c r="EG4" i="14"/>
  <c r="DY4" i="14"/>
  <c r="DQ4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EQ5" i="13"/>
  <c r="EI5" i="13"/>
  <c r="EA5" i="13"/>
  <c r="DS5" i="13"/>
  <c r="DK5" i="13"/>
  <c r="DC5" i="13"/>
  <c r="CU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ES4" i="13"/>
  <c r="EK4" i="13"/>
  <c r="EC4" i="13"/>
  <c r="DU4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EU5" i="12"/>
  <c r="EM5" i="12"/>
  <c r="EE5" i="12"/>
  <c r="DW5" i="12"/>
  <c r="DO5" i="12"/>
  <c r="DG5" i="12"/>
  <c r="CY5" i="12"/>
  <c r="CQ5" i="12"/>
  <c r="CI5" i="12"/>
  <c r="CA5" i="12"/>
  <c r="BS5" i="12"/>
  <c r="BK5" i="12"/>
  <c r="BC5" i="12"/>
  <c r="AU5" i="12"/>
  <c r="AM5" i="12"/>
  <c r="AE5" i="12"/>
  <c r="W5" i="12"/>
  <c r="O5" i="12"/>
  <c r="G5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CM4" i="15"/>
  <c r="CD4" i="15"/>
  <c r="BV4" i="15"/>
  <c r="BN4" i="15"/>
  <c r="BF4" i="15"/>
  <c r="AX4" i="15"/>
  <c r="AP4" i="15"/>
  <c r="AH4" i="15"/>
  <c r="Z4" i="15"/>
  <c r="R4" i="15"/>
  <c r="J4" i="15"/>
  <c r="B4" i="15"/>
  <c r="ET5" i="14"/>
  <c r="EL5" i="14"/>
  <c r="ED5" i="14"/>
  <c r="DV5" i="14"/>
  <c r="DN5" i="14"/>
  <c r="DF5" i="14"/>
  <c r="CX5" i="14"/>
  <c r="CP5" i="14"/>
  <c r="CH5" i="14"/>
  <c r="BZ5" i="14"/>
  <c r="BR5" i="14"/>
  <c r="BJ5" i="14"/>
  <c r="BB5" i="14"/>
  <c r="AT5" i="14"/>
  <c r="AL5" i="14"/>
  <c r="AD5" i="14"/>
  <c r="V5" i="14"/>
  <c r="N5" i="14"/>
  <c r="F5" i="14"/>
  <c r="EV4" i="14"/>
  <c r="EN4" i="14"/>
  <c r="EF4" i="14"/>
  <c r="DX4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ER4" i="13"/>
  <c r="EJ4" i="13"/>
  <c r="EB4" i="13"/>
  <c r="DT4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G4" i="12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F4" i="12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E4" i="12"/>
  <c r="EU5" i="11"/>
  <c r="EM5" i="11"/>
  <c r="EE5" i="11"/>
  <c r="DW5" i="11"/>
  <c r="DO5" i="11"/>
  <c r="DG5" i="11"/>
  <c r="CY5" i="11"/>
  <c r="CQ5" i="11"/>
  <c r="CI5" i="11"/>
  <c r="CA5" i="11"/>
  <c r="BS5" i="11"/>
  <c r="BK5" i="11"/>
  <c r="BC5" i="11"/>
  <c r="AU5" i="11"/>
  <c r="AM5" i="11"/>
  <c r="AE5" i="11"/>
  <c r="W5" i="11"/>
  <c r="O5" i="11"/>
  <c r="G5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DK5" i="8"/>
  <c r="DC5" i="8"/>
  <c r="CU5" i="8"/>
  <c r="CM5" i="8"/>
  <c r="CE5" i="8"/>
  <c r="D4" i="12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C4" i="12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4" i="12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CA5" i="8"/>
  <c r="BS5" i="8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W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A4" i="3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H838" i="1"/>
  <c r="D833" i="1"/>
  <c r="L827" i="1"/>
  <c r="D823" i="1"/>
  <c r="A822" i="1"/>
  <c r="K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D843" i="1"/>
  <c r="L837" i="1"/>
  <c r="H832" i="1"/>
  <c r="D827" i="1"/>
  <c r="B823" i="1"/>
  <c r="L821" i="1"/>
  <c r="J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H842" i="1"/>
  <c r="D837" i="1"/>
  <c r="L831" i="1"/>
  <c r="H826" i="1"/>
  <c r="J822" i="1"/>
  <c r="J821" i="1"/>
  <c r="I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L841" i="1"/>
  <c r="H836" i="1"/>
  <c r="D831" i="1"/>
  <c r="L825" i="1"/>
  <c r="I822" i="1"/>
  <c r="G821" i="1"/>
  <c r="H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D841" i="1"/>
  <c r="L835" i="1"/>
  <c r="H830" i="1"/>
  <c r="D825" i="1"/>
  <c r="H822" i="1"/>
  <c r="F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H840" i="1"/>
  <c r="D835" i="1"/>
  <c r="L829" i="1"/>
  <c r="H824" i="1"/>
  <c r="F822" i="1"/>
  <c r="E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L839" i="1"/>
  <c r="H834" i="1"/>
  <c r="D829" i="1"/>
  <c r="L823" i="1"/>
  <c r="C822" i="1"/>
  <c r="D821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D839" i="1"/>
  <c r="L833" i="1"/>
  <c r="H828" i="1"/>
  <c r="J823" i="1"/>
  <c r="B822" i="1"/>
  <c r="B821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J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K572" i="1"/>
  <c r="B572" i="1"/>
  <c r="E571" i="1"/>
  <c r="G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J572" i="1"/>
  <c r="A572" i="1"/>
  <c r="C571" i="1"/>
  <c r="F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I572" i="1"/>
  <c r="K571" i="1"/>
  <c r="B571" i="1"/>
  <c r="E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G572" i="1"/>
  <c r="J571" i="1"/>
  <c r="A571" i="1"/>
  <c r="D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F572" i="1"/>
  <c r="I571" i="1"/>
  <c r="L570" i="1"/>
  <c r="C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E572" i="1"/>
  <c r="H571" i="1"/>
  <c r="K570" i="1"/>
  <c r="B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D572" i="1"/>
  <c r="G571" i="1"/>
  <c r="J570" i="1"/>
  <c r="A570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C572" i="1"/>
  <c r="F571" i="1"/>
  <c r="I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B403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A403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K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J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I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G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F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B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A64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L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</calcChain>
</file>

<file path=xl/sharedStrings.xml><?xml version="1.0" encoding="utf-8"?>
<sst xmlns="http://schemas.openxmlformats.org/spreadsheetml/2006/main" count="416" uniqueCount="69">
  <si>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</si>
  <si>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</si>
  <si>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</si>
  <si>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</si>
  <si>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</si>
  <si>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</si>
  <si>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</si>
  <si>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</si>
  <si>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</si>
  <si>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</si>
  <si>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</si>
  <si>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</si>
  <si>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</si>
  <si>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CleanUp</t>
  </si>
  <si>
    <t>Data Format</t>
  </si>
  <si>
    <t>Input Format</t>
  </si>
  <si>
    <t>TradingTicket</t>
  </si>
  <si>
    <t>CreateDoneAwayOrder</t>
  </si>
  <si>
    <t>MSFT</t>
  </si>
  <si>
    <t>Sell short</t>
  </si>
  <si>
    <t>Allocation1</t>
  </si>
  <si>
    <t>AMZN</t>
  </si>
  <si>
    <t>Buy</t>
  </si>
  <si>
    <t>Allocation2,Allocation3</t>
  </si>
  <si>
    <t>50,50</t>
  </si>
  <si>
    <t>BALT</t>
  </si>
  <si>
    <t>MUSA</t>
  </si>
  <si>
    <t>70,30</t>
  </si>
  <si>
    <t>Unallocated</t>
  </si>
  <si>
    <t>Sell</t>
  </si>
  <si>
    <t>Buy to Close</t>
  </si>
  <si>
    <t xml:space="preserve"> </t>
  </si>
  <si>
    <t>SetGeneralPreferences</t>
  </si>
  <si>
    <t>PositionFile</t>
  </si>
  <si>
    <t>Symbol</t>
  </si>
  <si>
    <t>RunProrata</t>
  </si>
  <si>
    <t>SelectUnallocatedGroup</t>
  </si>
  <si>
    <t>EnterAllocatePreference</t>
  </si>
  <si>
    <t>Fixed</t>
  </si>
  <si>
    <t>Blotter</t>
  </si>
  <si>
    <t>VerifyOrder</t>
  </si>
  <si>
    <t>Filled</t>
  </si>
  <si>
    <t>CheckAllocatedGroups</t>
  </si>
  <si>
    <t>Manual</t>
  </si>
  <si>
    <t>GetFixedPreference</t>
  </si>
  <si>
    <t>CheckFixedPreference</t>
  </si>
  <si>
    <t>Allocation2</t>
  </si>
  <si>
    <t>Allocation3</t>
  </si>
  <si>
    <t>Closing</t>
  </si>
  <si>
    <t>GetDataClosing</t>
  </si>
  <si>
    <t>Historical</t>
  </si>
  <si>
    <t>VerifyLongPositionsGrid</t>
  </si>
  <si>
    <t>Long</t>
  </si>
  <si>
    <t>VerifyShortPositionsGrid</t>
  </si>
  <si>
    <t>Short</t>
  </si>
  <si>
    <t>PortfolioManagement</t>
  </si>
  <si>
    <t>CheckPortfolioManagement</t>
  </si>
  <si>
    <t>GeneralLedger</t>
  </si>
  <si>
    <t>GetActivityData</t>
  </si>
  <si>
    <t>SelectAll</t>
  </si>
  <si>
    <t>Allocation1,Allocation2,Allocation3,Allocation4</t>
  </si>
  <si>
    <t>No</t>
  </si>
  <si>
    <t>Yes</t>
  </si>
  <si>
    <t>VerifyActivity</t>
  </si>
  <si>
    <t>EquityS</t>
  </si>
  <si>
    <t>USD</t>
  </si>
  <si>
    <t>Trading</t>
  </si>
  <si>
    <t>EquityL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</si>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</sst>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  <font>
      <sz val="10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14" fontId="5" fillId="0" borderId="0" xfId="0" applyNumberFormat="1" applyFont="1" applyAlignment="1"/>
    <xf numFmtId="0" fontId="5" fillId="0" borderId="0" xfId="0" applyFont="1" applyAlignment="1"/>
    <xf numFmtId="0" fontId="2" fillId="0" borderId="0" xfId="0" applyFont="1" applyAlignment="1">
      <alignment wrapText="1"/>
    </xf>
    <xf numFmtId="0" fontId="13" fillId="6" borderId="0" xfId="0" applyFont="1" applyFill="1" applyAlignment="1">
      <alignment horizontal="left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14" fontId="5" fillId="0" borderId="0" xfId="0" applyNumberFormat="1" applyFont="1" applyAlignment="1"/>
    <xf numFmtId="0" fontId="14" fillId="0" borderId="0" xfId="0" applyFont="1" applyAlignment="1">
      <alignment horizontal="left"/>
    </xf>
    <xf numFmtId="4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0" fontId="5" fillId="0" borderId="5" xfId="0" applyFont="1" applyBorder="1" applyAlignment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5" fillId="0" borderId="0" xfId="0" applyFont="1" applyAlignment="1"/>
    <xf numFmtId="0" fontId="15" fillId="0" borderId="0" xfId="0" applyFont="1" applyAlignment="1"/>
    <xf numFmtId="3" fontId="15" fillId="0" borderId="0" xfId="0" applyNumberFormat="1" applyFont="1" applyAlignment="1">
      <alignment horizontal="right"/>
    </xf>
    <xf numFmtId="0" fontId="15" fillId="0" borderId="0" xfId="0" applyFont="1" applyAlignment="1">
      <alignment horizontal="right"/>
    </xf>
    <xf numFmtId="0" fontId="5" fillId="0" borderId="5" xfId="0" applyFont="1" applyBorder="1" applyAlignment="1"/>
    <xf numFmtId="14" fontId="5" fillId="0" borderId="5" xfId="0" applyNumberFormat="1" applyFont="1" applyBorder="1" applyAlignment="1">
      <alignment horizontal="right"/>
    </xf>
    <xf numFmtId="0" fontId="5" fillId="0" borderId="5" xfId="0" applyFont="1" applyBorder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45" t="s">
        <v>0</v>
      </c>
      <c r="B1" s="46"/>
      <c r="C1" s="46"/>
      <c r="D1" s="46"/>
      <c r="E1" s="46"/>
      <c r="F1" s="47"/>
    </row>
    <row r="2" spans="1:12" ht="15.75" customHeight="1" x14ac:dyDescent="0.2">
      <c r="A2" s="1"/>
      <c r="B2" s="1"/>
      <c r="C2" s="1"/>
      <c r="D2" s="1"/>
      <c r="E2" s="1"/>
      <c r="F2" s="1"/>
    </row>
    <row r="3" spans="1:12" ht="15.75" customHeight="1" x14ac:dyDescent="0.2">
      <c r="A3" s="2" t="s">
        <v>1</v>
      </c>
      <c r="B3" s="3"/>
      <c r="C3" s="4"/>
      <c r="D3" s="4"/>
      <c r="E3" s="4"/>
      <c r="F3" s="4"/>
    </row>
    <row r="4" spans="1:12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/>
    <row r="872" spans="1:12" ht="15.75" customHeight="1" x14ac:dyDescent="0.2"/>
    <row r="873" spans="1:12" ht="15.75" customHeight="1" x14ac:dyDescent="0.2"/>
    <row r="874" spans="1:12" ht="15.75" customHeight="1" x14ac:dyDescent="0.2"/>
    <row r="875" spans="1:12" ht="15.75" customHeight="1" x14ac:dyDescent="0.2"/>
    <row r="876" spans="1:12" ht="15.75" customHeight="1" x14ac:dyDescent="0.2"/>
    <row r="877" spans="1:12" ht="15.75" customHeight="1" x14ac:dyDescent="0.2"/>
    <row r="878" spans="1:12" ht="15.75" customHeight="1" x14ac:dyDescent="0.2"/>
    <row r="879" spans="1:12" ht="15.75" customHeight="1" x14ac:dyDescent="0.2"/>
    <row r="880" spans="1:12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>
      <selection sqref="A1:C1"/>
    </sheetView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48" t="s">
        <v>2</v>
      </c>
      <c r="B1" s="46"/>
      <c r="C1" s="47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>
      <selection sqref="A1:F1"/>
    </sheetView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45" t="s">
        <v>7</v>
      </c>
      <c r="B1" s="46"/>
      <c r="C1" s="46"/>
      <c r="D1" s="46"/>
      <c r="E1" s="46"/>
      <c r="F1" s="47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IFERROR(__xludf.DUMMYFUNCTION("""COMPUTED_VALUE"""),"From Date")</f>
        <v>From Date</v>
      </c>
      <c r="C5" s="22" t="str">
        <f ca="1">IFERROR(__xludf.DUMMYFUNCTION("""COMPUTED_VALUE"""),"To Date")</f>
        <v>To Date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/>
      <c r="C6" s="25">
        <f ca="1">TODAY()</f>
        <v>44412</v>
      </c>
      <c r="D6" s="7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4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36" width="14.42578125" customWidth="1"/>
    <col min="37" max="37" width="25.85546875" customWidth="1"/>
    <col min="38" max="154" width="14.42578125" customWidth="1"/>
  </cols>
  <sheetData>
    <row r="1" spans="1:154" ht="15.75" customHeight="1" x14ac:dyDescent="0.3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18</v>
      </c>
      <c r="C6" s="7" t="s">
        <v>19</v>
      </c>
      <c r="D6" s="7">
        <v>10000</v>
      </c>
      <c r="E6" s="7">
        <v>10000</v>
      </c>
      <c r="F6" s="7" t="s">
        <v>20</v>
      </c>
      <c r="G6" s="5"/>
      <c r="H6" s="5"/>
      <c r="I6" s="5"/>
      <c r="J6" s="7">
        <v>15</v>
      </c>
      <c r="K6" s="5"/>
      <c r="L6" s="5"/>
      <c r="M6" s="5"/>
      <c r="N6" s="25">
        <f t="shared" ref="N6:N9" ca="1" si="0">TODAY()-1</f>
        <v>44411</v>
      </c>
      <c r="O6" s="5"/>
    </row>
    <row r="7" spans="1:154" ht="15.75" customHeight="1" x14ac:dyDescent="0.2">
      <c r="A7" s="5"/>
      <c r="B7" s="7" t="s">
        <v>21</v>
      </c>
      <c r="C7" s="7" t="s">
        <v>22</v>
      </c>
      <c r="D7" s="7">
        <v>1000</v>
      </c>
      <c r="E7" s="7">
        <v>1000</v>
      </c>
      <c r="F7" s="5"/>
      <c r="G7" s="5"/>
      <c r="H7" s="5"/>
      <c r="I7" s="5"/>
      <c r="J7" s="7">
        <v>20</v>
      </c>
      <c r="K7" s="5"/>
      <c r="L7" s="5"/>
      <c r="M7" s="5"/>
      <c r="N7" s="25">
        <f t="shared" ca="1" si="0"/>
        <v>44411</v>
      </c>
      <c r="O7" s="5"/>
      <c r="AK7" s="27" t="s">
        <v>23</v>
      </c>
      <c r="AL7" s="6" t="s">
        <v>24</v>
      </c>
    </row>
    <row r="8" spans="1:154" ht="15.75" customHeight="1" x14ac:dyDescent="0.2">
      <c r="A8" s="5"/>
      <c r="B8" s="7" t="s">
        <v>25</v>
      </c>
      <c r="C8" s="7" t="s">
        <v>19</v>
      </c>
      <c r="D8" s="7">
        <v>1000</v>
      </c>
      <c r="E8" s="7">
        <v>1000</v>
      </c>
      <c r="F8" s="5"/>
      <c r="G8" s="5"/>
      <c r="H8" s="5"/>
      <c r="I8" s="5"/>
      <c r="J8" s="7">
        <v>30</v>
      </c>
      <c r="K8" s="5"/>
      <c r="L8" s="5"/>
      <c r="M8" s="5"/>
      <c r="N8" s="25">
        <f t="shared" ca="1" si="0"/>
        <v>44411</v>
      </c>
      <c r="O8" s="5"/>
      <c r="AK8" s="27" t="s">
        <v>23</v>
      </c>
      <c r="AL8" s="6" t="s">
        <v>24</v>
      </c>
    </row>
    <row r="9" spans="1:154" ht="15.75" customHeight="1" x14ac:dyDescent="0.2">
      <c r="A9" s="5"/>
      <c r="B9" s="7" t="s">
        <v>26</v>
      </c>
      <c r="C9" s="7" t="s">
        <v>19</v>
      </c>
      <c r="D9" s="7">
        <v>1000</v>
      </c>
      <c r="E9" s="7">
        <v>1000</v>
      </c>
      <c r="F9" s="5"/>
      <c r="G9" s="5"/>
      <c r="H9" s="5"/>
      <c r="I9" s="5"/>
      <c r="J9" s="7">
        <v>35</v>
      </c>
      <c r="K9" s="5"/>
      <c r="L9" s="5"/>
      <c r="M9" s="5"/>
      <c r="N9" s="25">
        <f t="shared" ca="1" si="0"/>
        <v>44411</v>
      </c>
      <c r="O9" s="5"/>
      <c r="AK9" s="27" t="s">
        <v>23</v>
      </c>
      <c r="AL9" s="28" t="s">
        <v>27</v>
      </c>
    </row>
    <row r="10" spans="1:154" ht="15.75" customHeight="1" x14ac:dyDescent="0.2">
      <c r="A10" s="7"/>
      <c r="B10" s="7" t="s">
        <v>18</v>
      </c>
      <c r="C10" s="7" t="s">
        <v>19</v>
      </c>
      <c r="D10" s="7">
        <v>5000</v>
      </c>
      <c r="E10" s="7">
        <v>5000</v>
      </c>
      <c r="F10" s="7" t="s">
        <v>28</v>
      </c>
      <c r="G10" s="5"/>
      <c r="H10" s="5"/>
      <c r="I10" s="5"/>
      <c r="J10" s="7">
        <v>20</v>
      </c>
      <c r="K10" s="5"/>
      <c r="L10" s="5"/>
      <c r="M10" s="5"/>
      <c r="N10" s="25">
        <f t="shared" ref="N10:N13" ca="1" si="1">TODAY()</f>
        <v>44412</v>
      </c>
      <c r="O10" s="5"/>
    </row>
    <row r="11" spans="1:154" ht="15.75" customHeight="1" x14ac:dyDescent="0.2">
      <c r="A11" s="5"/>
      <c r="B11" s="7" t="s">
        <v>21</v>
      </c>
      <c r="C11" s="7" t="s">
        <v>29</v>
      </c>
      <c r="D11" s="7">
        <v>500</v>
      </c>
      <c r="E11" s="7">
        <v>500</v>
      </c>
      <c r="F11" s="7" t="s">
        <v>28</v>
      </c>
      <c r="G11" s="5"/>
      <c r="H11" s="5"/>
      <c r="I11" s="5"/>
      <c r="J11" s="7">
        <v>40</v>
      </c>
      <c r="K11" s="5"/>
      <c r="L11" s="5"/>
      <c r="M11" s="5"/>
      <c r="N11" s="25">
        <f t="shared" ca="1" si="1"/>
        <v>44412</v>
      </c>
      <c r="O11" s="5"/>
      <c r="AK11" s="27"/>
    </row>
    <row r="12" spans="1:154" ht="15.75" customHeight="1" x14ac:dyDescent="0.2">
      <c r="A12" s="5"/>
      <c r="B12" s="7" t="s">
        <v>25</v>
      </c>
      <c r="C12" s="7" t="s">
        <v>30</v>
      </c>
      <c r="D12" s="7">
        <v>1100</v>
      </c>
      <c r="E12" s="7">
        <v>1100</v>
      </c>
      <c r="F12" s="7" t="s">
        <v>28</v>
      </c>
      <c r="G12" s="5"/>
      <c r="H12" s="5"/>
      <c r="I12" s="5"/>
      <c r="J12" s="7">
        <v>60</v>
      </c>
      <c r="K12" s="5"/>
      <c r="L12" s="5"/>
      <c r="M12" s="5"/>
      <c r="N12" s="25">
        <f t="shared" ca="1" si="1"/>
        <v>44412</v>
      </c>
      <c r="O12" s="5"/>
      <c r="AK12" s="27"/>
    </row>
    <row r="13" spans="1:154" ht="15.75" customHeight="1" x14ac:dyDescent="0.2">
      <c r="A13" s="5"/>
      <c r="B13" s="7" t="s">
        <v>26</v>
      </c>
      <c r="C13" s="7" t="s">
        <v>22</v>
      </c>
      <c r="D13" s="7">
        <v>1100</v>
      </c>
      <c r="E13" s="7">
        <v>1100</v>
      </c>
      <c r="F13" s="7" t="s">
        <v>28</v>
      </c>
      <c r="G13" s="5"/>
      <c r="H13" s="5"/>
      <c r="I13" s="5"/>
      <c r="J13" s="7">
        <v>80</v>
      </c>
      <c r="K13" s="5"/>
      <c r="L13" s="5"/>
      <c r="M13" s="5"/>
      <c r="N13" s="25">
        <f t="shared" ca="1" si="1"/>
        <v>44412</v>
      </c>
      <c r="O13" s="5"/>
      <c r="AK13" s="27"/>
      <c r="AL13" s="28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7" t="s">
        <v>31</v>
      </c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/>
    <row r="22" spans="1:15" ht="15.75" customHeight="1" x14ac:dyDescent="0.2"/>
    <row r="23" spans="1:15" ht="15.75" customHeight="1" x14ac:dyDescent="0.2"/>
    <row r="24" spans="1:15" ht="15.75" customHeight="1" x14ac:dyDescent="0.2"/>
    <row r="25" spans="1:15" ht="15.75" customHeight="1" x14ac:dyDescent="0.2"/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2" width="25.5703125" customWidth="1"/>
    <col min="3" max="3" width="28.7109375" customWidth="1"/>
    <col min="4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23" width="14.42578125" customWidth="1"/>
    <col min="24" max="24" width="32.28515625" customWidth="1"/>
    <col min="25" max="25" width="31.140625" customWidth="1"/>
    <col min="26" max="26" width="26.85546875" customWidth="1"/>
    <col min="27" max="154" width="14.42578125" customWidth="1"/>
  </cols>
  <sheetData>
    <row r="1" spans="1:154" ht="15.75" customHeight="1" x14ac:dyDescent="0.3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IFERROR(__xludf.DUMMYFUNCTION("""COMPUTED_VALUE"""),"ValidateCheckSide")</f>
        <v>ValidateCheckSide</v>
      </c>
      <c r="C5" s="22" t="str">
        <f ca="1">IFERROR(__xludf.DUMMYFUNCTION("""COMPUTED_VALUE"""),"DisabledChecksideAssets")</f>
        <v>DisabledChecksideAssets</v>
      </c>
      <c r="D5" s="22" t="str">
        <f ca="1">IFERROR(__xludf.DUMMYFUNCTION("""COMPUTED_VALUE"""),"PrecisionValue")</f>
        <v>PrecisionValue</v>
      </c>
      <c r="E5" s="22" t="str">
        <f ca="1">IFERROR(__xludf.DUMMYFUNCTION("""COMPUTED_VALUE"""),"UseCommissionInNetAmount")</f>
        <v>UseCommissionInNetAmount</v>
      </c>
      <c r="F5" s="23" t="str">
        <f ca="1">IFERROR(__xludf.DUMMYFUNCTION("""COMPUTED_VALUE"""),"SaveWithoutState")</f>
        <v>SaveWithoutState</v>
      </c>
      <c r="G5" s="22" t="str">
        <f ca="1">IFERROR(__xludf.DUMMYFUNCTION("""COMPUTED_VALUE"""),"SaveWithState")</f>
        <v>SaveWithState</v>
      </c>
      <c r="H5" s="22" t="str">
        <f ca="1">IFERROR(__xludf.DUMMYFUNCTION("""COMPUTED_VALUE"""),"ClearQuantities")</f>
        <v>ClearQuantities</v>
      </c>
      <c r="I5" s="22" t="str">
        <f ca="1">IFERROR(__xludf.DUMMYFUNCTION("""COMPUTED_VALUE"""),"ReapplyAllocation")</f>
        <v>ReapplyAllocation</v>
      </c>
      <c r="J5" s="22" t="str">
        <f ca="1">IFERROR(__xludf.DUMMYFUNCTION("""COMPUTED_VALUE"""),"DefaultAllocation")</f>
        <v>DefaultAllocation</v>
      </c>
      <c r="K5" s="22" t="str">
        <f ca="1">IFERROR(__xludf.DUMMYFUNCTION("""COMPUTED_VALUE"""),"IsCustomPreference")</f>
        <v>IsCustomPreference</v>
      </c>
      <c r="L5" s="22" t="str">
        <f ca="1">IFERROR(__xludf.DUMMYFUNCTION("""COMPUTED_VALUE"""),"AllocationMethod")</f>
        <v>AllocationMethod</v>
      </c>
      <c r="M5" s="22" t="str">
        <f ca="1">IFERROR(__xludf.DUMMYFUNCTION("""COMPUTED_VALUE"""),"RemainderAllocationTo")</f>
        <v>RemainderAllocationTo</v>
      </c>
      <c r="N5" s="22" t="str">
        <f ca="1">IFERROR(__xludf.DUMMYFUNCTION("""COMPUTED_VALUE"""),"Target%AsOf")</f>
        <v>Target%AsOf</v>
      </c>
      <c r="O5" s="22" t="str">
        <f ca="1">IFERROR(__xludf.DUMMYFUNCTION("""COMPUTED_VALUE"""),"ProrataAccounts")</f>
        <v>ProrataAccounts</v>
      </c>
      <c r="P5" s="22" t="str">
        <f ca="1">IFERROR(__xludf.DUMMYFUNCTION("""COMPUTED_VALUE"""),"DateUptoDays")</f>
        <v>DateUptoDays</v>
      </c>
      <c r="Q5" s="22" t="str">
        <f ca="1">IFERROR(__xludf.DUMMYFUNCTION("""COMPUTED_VALUE"""),"MatchClosing")</f>
        <v>MatchClosing</v>
      </c>
      <c r="R5" s="22" t="str">
        <f ca="1">IFERROR(__xludf.DUMMYFUNCTION("""COMPUTED_VALUE"""),"CommissionAlertOnBrokerChange")</f>
        <v>CommissionAlertOnBrokerChange</v>
      </c>
      <c r="S5" s="22" t="str">
        <f ca="1">IFERROR(__xludf.DUMMYFUNCTION("""COMPUTED_VALUE"""),"RecalculateCommissionOnBrokerChange")</f>
        <v>RecalculateCommissionOnBrokerChange</v>
      </c>
      <c r="T5" s="24" t="str">
        <f ca="1">IFERROR(__xludf.DUMMYFUNCTION("""COMPUTED_VALUE"""),"CommissionAlertOnAllocation")</f>
        <v>CommissionAlertOnAllocation</v>
      </c>
      <c r="U5" s="24" t="str">
        <f ca="1">IFERROR(__xludf.DUMMYFUNCTION("""COMPUTED_VALUE"""),"RecalculateCommissionOnAllocation")</f>
        <v>RecalculateCommissionOnAllocation</v>
      </c>
      <c r="V5" s="24" t="str">
        <f ca="1">IFERROR(__xludf.DUMMYFUNCTION("""COMPUTED_VALUE"""),"EnableMasterFund")</f>
        <v>EnableMasterFund</v>
      </c>
      <c r="W5" s="24" t="str">
        <f ca="1">IFERROR(__xludf.DUMMYFUNCTION("""COMPUTED_VALUE"""),"1MasterFund/1Symbol")</f>
        <v>1MasterFund/1Symbol</v>
      </c>
      <c r="X5" s="24" t="str">
        <f ca="1">IFERROR(__xludf.DUMMYFUNCTION("""COMPUTED_VALUE"""),"ProrataSchemeName")</f>
        <v>ProrataSchemeName</v>
      </c>
      <c r="Y5" s="24" t="str">
        <f ca="1">IFERROR(__xludf.DUMMYFUNCTION("""COMPUTED_VALUE"""),"ProrataAllocationSchemeBasis")</f>
        <v>ProrataAllocationSchemeBasis</v>
      </c>
      <c r="Z5" s="24" t="str">
        <f ca="1">IFERROR(__xludf.DUMMYFUNCTION("""COMPUTED_VALUE"""),"ShowAdvancedProrataUI")</f>
        <v>ShowAdvancedProrataUI</v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b">
        <v>0</v>
      </c>
      <c r="C6" s="5"/>
      <c r="D6" s="7"/>
      <c r="E6" s="26"/>
      <c r="F6" s="5"/>
      <c r="G6" s="5"/>
      <c r="H6" s="5"/>
      <c r="I6" s="5"/>
      <c r="J6" s="5"/>
      <c r="K6" s="5"/>
      <c r="L6" s="5"/>
      <c r="M6" s="5"/>
      <c r="N6" s="5"/>
      <c r="O6" s="5"/>
      <c r="X6" s="29" t="s">
        <v>33</v>
      </c>
      <c r="Y6" s="29" t="s">
        <v>34</v>
      </c>
      <c r="Z6" s="30" t="b">
        <v>1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IFERROR(__xludf.DUMMYFUNCTION("""COMPUTED_VALUE"""),"Date")</f>
        <v>Date</v>
      </c>
      <c r="C5" s="22" t="str">
        <f ca="1">IFERROR(__xludf.DUMMYFUNCTION("""COMPUTED_VALUE"""),"SchemeName")</f>
        <v>SchemeName</v>
      </c>
      <c r="D5" s="22" t="str">
        <f ca="1">IFERROR(__xludf.DUMMYFUNCTION("""COMPUTED_VALUE"""),"SchemeBasis")</f>
        <v>SchemeBasis</v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31">
        <f ca="1">TODAY()</f>
        <v>44412</v>
      </c>
      <c r="C6" s="29" t="s">
        <v>33</v>
      </c>
      <c r="D6" s="7" t="s">
        <v>34</v>
      </c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IFERROR(__xludf.DUMMYFUNCTION("""COMPUTED_VALUE"""),"Trade Date")</f>
        <v>Trade Date</v>
      </c>
      <c r="G5" s="22" t="str">
        <f ca="1">IFERROR(__xludf.DUMMYFUNCTION("""COMPUTED_VALUE"""),"Net Amount( Local)")</f>
        <v>Net Amount( Local)</v>
      </c>
      <c r="H5" s="22" t="str">
        <f ca="1">IFERROR(__xludf.DUMMYFUNCTION("""COMPUTED_VALUE"""),"Net Amount( Base)")</f>
        <v>Net Amount( Base)</v>
      </c>
      <c r="I5" s="22" t="str">
        <f ca="1">IFERROR(__xludf.DUMMYFUNCTION("""COMPUTED_VALUE"""),"Principal Amount( Local)")</f>
        <v>Principal Amount( Local)</v>
      </c>
      <c r="J5" s="22" t="str">
        <f ca="1">IFERROR(__xludf.DUMMYFUNCTION("""COMPUTED_VALUE"""),"Transaction Type")</f>
        <v>Transaction Type</v>
      </c>
      <c r="K5" s="22" t="str">
        <f ca="1">IFERROR(__xludf.DUMMYFUNCTION("""COMPUTED_VALUE"""),"Principal Amount( Base)")</f>
        <v>Principal Amount( Base)</v>
      </c>
      <c r="L5" s="22" t="str">
        <f ca="1">IFERROR(__xludf.DUMMYFUNCTION("""COMPUTED_VALUE"""),"Execution Time")</f>
        <v>Execution Time</v>
      </c>
      <c r="M5" s="22" t="str">
        <f ca="1">IFERROR(__xludf.DUMMYFUNCTION("""COMPUTED_VALUE"""),"Trading Account")</f>
        <v>Trading Account</v>
      </c>
      <c r="N5" s="22" t="str">
        <f ca="1">IFERROR(__xludf.DUMMYFUNCTION("""COMPUTED_VALUE"""),"Avg Price(Local)")</f>
        <v>Avg Price(Local)</v>
      </c>
      <c r="O5" s="22" t="str">
        <f ca="1">IFERROR(__xludf.DUMMYFUNCTION("""COMPUTED_VALUE"""),"Avg Price(Base)")</f>
        <v>Avg Price(Base)</v>
      </c>
      <c r="P5" s="22" t="str">
        <f ca="1">IFERROR(__xludf.DUMMYFUNCTION("""COMPUTED_VALUE"""),"Broker")</f>
        <v>Broker</v>
      </c>
      <c r="Q5" s="22" t="str">
        <f ca="1">IFERROR(__xludf.DUMMYFUNCTION("""COMPUTED_VALUE"""),"FX Rate")</f>
        <v>FX Rate</v>
      </c>
      <c r="R5" s="22" t="str">
        <f ca="1">IFERROR(__xludf.DUMMYFUNCTION("""COMPUTED_VALUE"""),"Venue")</f>
        <v>Venue</v>
      </c>
      <c r="S5" s="22" t="str">
        <f ca="1">IFERROR(__xludf.DUMMYFUNCTION("""COMPUTED_VALUE"""),"FX Conversion Operator")</f>
        <v>FX Conversion Operator</v>
      </c>
      <c r="T5" s="24" t="str">
        <f ca="1">IFERROR(__xludf.DUMMYFUNCTION("""COMPUTED_VALUE"""),"User")</f>
        <v>User</v>
      </c>
      <c r="U5" s="24" t="str">
        <f ca="1">IFERROR(__xludf.DUMMYFUNCTION("""COMPUTED_VALUE"""),"Asset Category")</f>
        <v>Asset Category</v>
      </c>
      <c r="V5" s="24" t="str">
        <f ca="1">IFERROR(__xludf.DUMMYFUNCTION("""COMPUTED_VALUE"""),"Settlement Currency")</f>
        <v>Settlement Currency</v>
      </c>
      <c r="W5" s="24" t="str">
        <f ca="1">IFERROR(__xludf.DUMMYFUNCTION("""COMPUTED_VALUE"""),"Commission Per Share")</f>
        <v>Commission Per Share</v>
      </c>
      <c r="X5" s="24" t="str">
        <f ca="1">IFERROR(__xludf.DUMMYFUNCTION("""COMPUTED_VALUE"""),"Soft Commission Per Share")</f>
        <v>Soft Commission Per Share</v>
      </c>
      <c r="Y5" s="24" t="str">
        <f ca="1">IFERROR(__xludf.DUMMYFUNCTION("""COMPUTED_VALUE"""),"Total Commission Per Share")</f>
        <v>Total Commission Per Share</v>
      </c>
      <c r="Z5" s="24" t="str">
        <f ca="1">IFERROR(__xludf.DUMMYFUNCTION("""COMPUTED_VALUE"""),"Change Type")</f>
        <v>Change Type</v>
      </c>
      <c r="AA5" s="24" t="str">
        <f ca="1">IFERROR(__xludf.DUMMYFUNCTION("""COMPUTED_VALUE"""),"Trade Attribute 1")</f>
        <v>Trade Attribute 1</v>
      </c>
      <c r="AB5" s="24" t="str">
        <f ca="1">IFERROR(__xludf.DUMMYFUNCTION("""COMPUTED_VALUE"""),"Trade Attribute 2")</f>
        <v>Trade Attribute 2</v>
      </c>
      <c r="AC5" s="24" t="str">
        <f ca="1">IFERROR(__xludf.DUMMYFUNCTION("""COMPUTED_VALUE"""),"Trade Attribute 3")</f>
        <v>Trade Attribute 3</v>
      </c>
      <c r="AD5" s="24" t="str">
        <f ca="1">IFERROR(__xludf.DUMMYFUNCTION("""COMPUTED_VALUE"""),"Trade Attribute 4")</f>
        <v>Trade Attribute 4</v>
      </c>
      <c r="AE5" s="24" t="str">
        <f ca="1">IFERROR(__xludf.DUMMYFUNCTION("""COMPUTED_VALUE"""),"Trade Attribute 5")</f>
        <v>Trade Attribute 5</v>
      </c>
      <c r="AF5" s="24" t="str">
        <f ca="1">IFERROR(__xludf.DUMMYFUNCTION("""COMPUTED_VALUE"""),"Trade Attribute 6")</f>
        <v>Trade Attribute 6</v>
      </c>
      <c r="AG5" s="24" t="str">
        <f ca="1">IFERROR(__xludf.DUMMYFUNCTION("""COMPUTED_VALUE"""),"IsPreAllocated")</f>
        <v>IsPreAllocated</v>
      </c>
      <c r="AH5" s="24" t="str">
        <f ca="1">IFERROR(__xludf.DUMMYFUNCTION("""COMPUTED_VALUE"""),"IsManual Group")</f>
        <v>IsManual Group</v>
      </c>
      <c r="AI5" s="24" t="str">
        <f ca="1">IFERROR(__xludf.DUMMYFUNCTION("""COMPUTED_VALUE"""),"IsAnotherTaxlotAttributesUpdated")</f>
        <v>IsAnotherTaxlotAttributesUpdated</v>
      </c>
      <c r="AJ5" s="24" t="str">
        <f ca="1">IFERROR(__xludf.DUMMYFUNCTION("""COMPUTED_VALUE"""),"ISNDF")</f>
        <v>ISNDF</v>
      </c>
      <c r="AK5" s="24" t="str">
        <f ca="1">IFERROR(__xludf.DUMMYFUNCTION("""COMPUTED_VALUE"""),"M2MProfitLoss")</f>
        <v>M2MProfitLoss</v>
      </c>
      <c r="AL5" s="24" t="str">
        <f ca="1">IFERROR(__xludf.DUMMYFUNCTION("""COMPUTED_VALUE"""),"Put Or Call")</f>
        <v>Put Or Call</v>
      </c>
      <c r="AM5" s="24" t="str">
        <f ca="1">IFERROR(__xludf.DUMMYFUNCTION("""COMPUTED_VALUE"""),"GroupID")</f>
        <v>GroupID</v>
      </c>
      <c r="AN5" s="24" t="str">
        <f ca="1">IFERROR(__xludf.DUMMYFUNCTION("""COMPUTED_VALUE"""),"UnAllocatedQty")</f>
        <v>UnAllocatedQty</v>
      </c>
      <c r="AO5" s="24" t="str">
        <f ca="1">IFERROR(__xludf.DUMMYFUNCTION("""COMPUTED_VALUE"""),"Allocated Qty")</f>
        <v>Allocated Qty</v>
      </c>
      <c r="AP5" s="24" t="str">
        <f ca="1">IFERROR(__xludf.DUMMYFUNCTION("""COMPUTED_VALUE"""),"Commission")</f>
        <v>Commission</v>
      </c>
      <c r="AQ5" s="24" t="str">
        <f ca="1">IFERROR(__xludf.DUMMYFUNCTION("""COMPUTED_VALUE"""),"Soft Commission")</f>
        <v>Soft Commission</v>
      </c>
      <c r="AR5" s="24" t="str">
        <f ca="1">IFERROR(__xludf.DUMMYFUNCTION("""COMPUTED_VALUE"""),"Other Broker Fees")</f>
        <v>Other Broker Fees</v>
      </c>
      <c r="AS5" s="24" t="str">
        <f ca="1">IFERROR(__xludf.DUMMYFUNCTION("""COMPUTED_VALUE"""),"Clearing Broker Fee")</f>
        <v>Clearing Broker Fee</v>
      </c>
      <c r="AT5" s="24" t="str">
        <f ca="1">IFERROR(__xludf.DUMMYFUNCTION("""COMPUTED_VALUE"""),"Total Commission And Fee")</f>
        <v>Total Commission And Fee</v>
      </c>
      <c r="AU5" s="24" t="str">
        <f ca="1">IFERROR(__xludf.DUMMYFUNCTION("""COMPUTED_VALUE"""),"Transaction Levy")</f>
        <v>Transaction Levy</v>
      </c>
      <c r="AV5" s="24" t="str">
        <f ca="1">IFERROR(__xludf.DUMMYFUNCTION("""COMPUTED_VALUE"""),"Stamp Duty")</f>
        <v>Stamp Duty</v>
      </c>
      <c r="AW5" s="24" t="str">
        <f ca="1">IFERROR(__xludf.DUMMYFUNCTION("""COMPUTED_VALUE"""),"AUEC Fee1")</f>
        <v>AUEC Fee1</v>
      </c>
      <c r="AX5" s="24" t="str">
        <f ca="1">IFERROR(__xludf.DUMMYFUNCTION("""COMPUTED_VALUE"""),"Tax On Commissions")</f>
        <v>Tax On Commissions</v>
      </c>
      <c r="AY5" s="24" t="str">
        <f ca="1">IFERROR(__xludf.DUMMYFUNCTION("""COMPUTED_VALUE"""),"AUEC Fee2")</f>
        <v>AUEC Fee2</v>
      </c>
      <c r="AZ5" s="24" t="str">
        <f ca="1">IFERROR(__xludf.DUMMYFUNCTION("""COMPUTED_VALUE"""),"SEC Fee")</f>
        <v>SEC Fee</v>
      </c>
      <c r="BA5" s="24" t="str">
        <f ca="1">IFERROR(__xludf.DUMMYFUNCTION("""COMPUTED_VALUE"""),"OCC Fee")</f>
        <v>OCC Fee</v>
      </c>
      <c r="BB5" s="24" t="str">
        <f ca="1">IFERROR(__xludf.DUMMYFUNCTION("""COMPUTED_VALUE"""),"ORF Fee")</f>
        <v>ORF Fee</v>
      </c>
      <c r="BC5" s="24" t="str">
        <f ca="1">IFERROR(__xludf.DUMMYFUNCTION("""COMPUTED_VALUE"""),"Option Premium Adjustment")</f>
        <v>Option Premium Adjustment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IFERROR(__xludf.DUMMYFUNCTION("""COMPUTED_VALUE"""),"Total Commission")</f>
        <v>Total Commission</v>
      </c>
      <c r="BF5" s="24" t="str">
        <f ca="1">IFERROR(__xludf.DUMMYFUNCTION("""COMPUTED_VALUE"""),"Closing Status")</f>
        <v>Closing Status</v>
      </c>
      <c r="BG5" s="24" t="str">
        <f ca="1">IFERROR(__xludf.DUMMYFUNCTION("""COMPUTED_VALUE"""),"Closing Method")</f>
        <v>Closing Method</v>
      </c>
      <c r="BH5" s="24" t="str">
        <f ca="1">IFERROR(__xludf.DUMMYFUNCTION("""COMPUTED_VALUE"""),"Group Status")</f>
        <v>Group Status</v>
      </c>
      <c r="BI5" s="24" t="str">
        <f ca="1">IFERROR(__xludf.DUMMYFUNCTION("""COMPUTED_VALUE"""),"Allocation Scheme Name")</f>
        <v>Allocation Scheme Name</v>
      </c>
      <c r="BJ5" s="24" t="str">
        <f ca="1">IFERROR(__xludf.DUMMYFUNCTION("""COMPUTED_VALUE"""),"Change Comment")</f>
        <v>Change Comment</v>
      </c>
      <c r="BK5" s="24" t="str">
        <f ca="1">IFERROR(__xludf.DUMMYFUNCTION("""COMPUTED_VALUE"""),"Order Type")</f>
        <v>Order Type</v>
      </c>
      <c r="BL5" s="24" t="str">
        <f ca="1">IFERROR(__xludf.DUMMYFUNCTION("""COMPUTED_VALUE"""),"Underlying")</f>
        <v>Underlying</v>
      </c>
      <c r="BM5" s="24" t="str">
        <f ca="1">IFERROR(__xludf.DUMMYFUNCTION("""COMPUTED_VALUE"""),"Exchange")</f>
        <v>Exchange</v>
      </c>
      <c r="BN5" s="24" t="str">
        <f ca="1">IFERROR(__xludf.DUMMYFUNCTION("""COMPUTED_VALUE"""),"Currency")</f>
        <v>Currency</v>
      </c>
      <c r="BO5" s="24" t="str">
        <f ca="1">IFERROR(__xludf.DUMMYFUNCTION("""COMPUTED_VALUE"""),"AUECID")</f>
        <v>AUECID</v>
      </c>
      <c r="BP5" s="24" t="str">
        <f ca="1">IFERROR(__xludf.DUMMYFUNCTION("""COMPUTED_VALUE"""),"Cum Qty For Sub Order")</f>
        <v>Cum Qty For Sub Order</v>
      </c>
      <c r="BQ5" s="24" t="str">
        <f ca="1">IFERROR(__xludf.DUMMYFUNCTION("""COMPUTED_VALUE"""),"Contract Multiplier")</f>
        <v>Contract Multiplier</v>
      </c>
      <c r="BR5" s="24" t="str">
        <f ca="1">IFERROR(__xludf.DUMMYFUNCTION("""COMPUTED_VALUE"""),"Company")</f>
        <v>Company</v>
      </c>
      <c r="BS5" s="24" t="str">
        <f ca="1">IFERROR(__xludf.DUMMYFUNCTION("""COMPUTED_VALUE"""),"Nirvana Process Date")</f>
        <v>Nirvana Process Date</v>
      </c>
      <c r="BT5" s="24" t="str">
        <f ca="1">IFERROR(__xludf.DUMMYFUNCTION("""COMPUTED_VALUE"""),"Process Date")</f>
        <v>Process Date</v>
      </c>
      <c r="BU5" s="24" t="str">
        <f ca="1">IFERROR(__xludf.DUMMYFUNCTION("""COMPUTED_VALUE"""),"Original Purchase Date")</f>
        <v>Original Purchase Date</v>
      </c>
      <c r="BV5" s="24" t="str">
        <f ca="1">IFERROR(__xludf.DUMMYFUNCTION("""COMPUTED_VALUE"""),"Closing Date")</f>
        <v>Closing Date</v>
      </c>
      <c r="BW5" s="24" t="str">
        <f ca="1">IFERROR(__xludf.DUMMYFUNCTION("""COMPUTED_VALUE"""),"Settlement Date")</f>
        <v>Settlement Date</v>
      </c>
      <c r="BX5" s="24" t="str">
        <f ca="1">IFERROR(__xludf.DUMMYFUNCTION("""COMPUTED_VALUE"""),"Expiration Date")</f>
        <v>Expiration Date</v>
      </c>
      <c r="BY5" s="24" t="str">
        <f ca="1">IFERROR(__xludf.DUMMYFUNCTION("""COMPUTED_VALUE"""),"Description")</f>
        <v>Description</v>
      </c>
      <c r="BZ5" s="24" t="str">
        <f ca="1">IFERROR(__xludf.DUMMYFUNCTION("""COMPUTED_VALUE"""),"Underlying Symbol")</f>
        <v>Underlying Symbol</v>
      </c>
      <c r="CA5" s="24" t="str">
        <f ca="1">IFERROR(__xludf.DUMMYFUNCTION("""COMPUTED_VALUE"""),"Accrued Interest")</f>
        <v>Accrued Interest</v>
      </c>
      <c r="CB5" s="24" t="str">
        <f ca="1">IFERROR(__xludf.DUMMYFUNCTION("""COMPUTED_VALUE"""),"Accrual Basis")</f>
        <v>Accrual Basis</v>
      </c>
      <c r="CC5" s="24" t="str">
        <f ca="1">IFERROR(__xludf.DUMMYFUNCTION("""COMPUTED_VALUE"""),"Bond Type")</f>
        <v>Bond Type</v>
      </c>
      <c r="CD5" s="24" t="str">
        <f ca="1">IFERROR(__xludf.DUMMYFUNCTION("""COMPUTED_VALUE"""),"Coupon Rate")</f>
        <v>Coupon Rate</v>
      </c>
      <c r="CE5" s="24" t="str">
        <f ca="1">IFERROR(__xludf.DUMMYFUNCTION("""COMPUTED_VALUE"""),"Delta")</f>
        <v>Delta</v>
      </c>
      <c r="CF5" s="24" t="str">
        <f ca="1">IFERROR(__xludf.DUMMYFUNCTION("""COMPUTED_VALUE"""),"Bloomberg")</f>
        <v>Bloomberg</v>
      </c>
      <c r="CG5" s="24" t="str">
        <f ca="1">IFERROR(__xludf.DUMMYFUNCTION("""COMPUTED_VALUE"""),"Sedol Symbol")</f>
        <v>Sedol Symbol</v>
      </c>
      <c r="CH5" s="24" t="str">
        <f ca="1">IFERROR(__xludf.DUMMYFUNCTION("""COMPUTED_VALUE"""),"Cusip Symbol")</f>
        <v>Cusip Symbol</v>
      </c>
      <c r="CI5" s="24" t="str">
        <f ca="1">IFERROR(__xludf.DUMMYFUNCTION("""COMPUTED_VALUE"""),"ISIN")</f>
        <v>ISIN</v>
      </c>
      <c r="CJ5" s="24" t="str">
        <f ca="1">IFERROR(__xludf.DUMMYFUNCTION("""COMPUTED_VALUE"""),"OSISSymbol")</f>
        <v>OSISSymbol</v>
      </c>
      <c r="CK5" s="24" t="str">
        <f ca="1">IFERROR(__xludf.DUMMYFUNCTION("""COMPUTED_VALUE"""),"IDCOSymbol")</f>
        <v>IDCOSymbol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IFERROR(__xludf.DUMMYFUNCTION("""COMPUTED_VALUE"""),"Internal Comments")</f>
        <v>Internal Comments</v>
      </c>
      <c r="CN5" s="24" t="str">
        <f ca="1">IFERROR(__xludf.DUMMYFUNCTION("""COMPUTED_VALUE"""),"Proxy Symbol")</f>
        <v>Proxy Symbol</v>
      </c>
      <c r="CO5" s="24" t="str">
        <f ca="1">IFERROR(__xludf.DUMMYFUNCTION("""COMPUTED_VALUE"""),"Transaction Source")</f>
        <v>Transaction Source</v>
      </c>
      <c r="CP5" s="24" t="str">
        <f ca="1">IFERROR(__xludf.DUMMYFUNCTION("""COMPUTED_VALUE"""),"Import File Name")</f>
        <v>Import File Name</v>
      </c>
      <c r="CQ5" s="24" t="str">
        <f ca="1">IFERROR(__xludf.DUMMYFUNCTION("""COMPUTED_VALUE"""),"Master Fund")</f>
        <v>Master Fund</v>
      </c>
      <c r="CR5" s="24" t="str">
        <f ca="1">IFERROR(__xludf.DUMMYFUNCTION("""COMPUTED_VALUE"""),"Client")</f>
        <v>Client</v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32" t="s">
        <v>18</v>
      </c>
      <c r="C6" s="32" t="s">
        <v>19</v>
      </c>
      <c r="D6" s="33">
        <v>5000</v>
      </c>
      <c r="E6" s="33">
        <v>5000</v>
      </c>
      <c r="F6" s="5"/>
      <c r="G6" s="5"/>
      <c r="H6" s="5"/>
      <c r="I6" s="5"/>
      <c r="J6" s="5"/>
      <c r="K6" s="5"/>
      <c r="L6" s="5"/>
      <c r="M6" s="5"/>
      <c r="N6" s="34">
        <v>20</v>
      </c>
      <c r="O6" s="34">
        <v>20</v>
      </c>
    </row>
    <row r="7" spans="1:154" ht="15.75" customHeight="1" x14ac:dyDescent="0.2">
      <c r="A7" s="5"/>
      <c r="B7" s="32" t="s">
        <v>21</v>
      </c>
      <c r="C7" s="32" t="s">
        <v>29</v>
      </c>
      <c r="D7" s="33">
        <v>500</v>
      </c>
      <c r="E7" s="33">
        <v>500</v>
      </c>
      <c r="F7" s="5"/>
      <c r="G7" s="5"/>
      <c r="H7" s="5"/>
      <c r="I7" s="5"/>
      <c r="J7" s="5"/>
      <c r="K7" s="5"/>
      <c r="L7" s="5"/>
      <c r="M7" s="5"/>
      <c r="N7" s="34">
        <v>40</v>
      </c>
      <c r="O7" s="34">
        <v>40</v>
      </c>
    </row>
    <row r="8" spans="1:154" ht="15.75" customHeight="1" x14ac:dyDescent="0.2">
      <c r="A8" s="5"/>
      <c r="B8" s="32" t="s">
        <v>25</v>
      </c>
      <c r="C8" s="32" t="s">
        <v>30</v>
      </c>
      <c r="D8" s="33">
        <v>1100</v>
      </c>
      <c r="E8" s="33">
        <v>1100</v>
      </c>
      <c r="F8" s="5"/>
      <c r="G8" s="5"/>
      <c r="H8" s="5"/>
      <c r="I8" s="5"/>
      <c r="J8" s="5"/>
      <c r="K8" s="5"/>
      <c r="L8" s="5"/>
      <c r="M8" s="5"/>
      <c r="N8" s="34">
        <v>60</v>
      </c>
      <c r="O8" s="34">
        <v>60</v>
      </c>
    </row>
    <row r="9" spans="1:154" ht="15.75" customHeight="1" x14ac:dyDescent="0.2">
      <c r="A9" s="5"/>
      <c r="B9" s="32" t="s">
        <v>26</v>
      </c>
      <c r="C9" s="32" t="s">
        <v>22</v>
      </c>
      <c r="D9" s="33">
        <v>1100</v>
      </c>
      <c r="E9" s="33">
        <v>1100</v>
      </c>
      <c r="F9" s="5"/>
      <c r="G9" s="5"/>
      <c r="H9" s="5"/>
      <c r="I9" s="5"/>
      <c r="J9" s="5"/>
      <c r="K9" s="5"/>
      <c r="L9" s="5"/>
      <c r="M9" s="5"/>
      <c r="N9" s="34">
        <v>80</v>
      </c>
      <c r="O9" s="34">
        <v>80</v>
      </c>
    </row>
    <row r="10" spans="1:154" ht="15.75" customHeight="1" x14ac:dyDescent="0.2">
      <c r="A10" s="5"/>
      <c r="B10" s="32"/>
      <c r="C10" s="32"/>
      <c r="D10" s="33"/>
      <c r="E10" s="33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32"/>
      <c r="C11" s="32"/>
      <c r="D11" s="34"/>
      <c r="E11" s="34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32"/>
      <c r="C12" s="32"/>
      <c r="D12" s="33"/>
      <c r="E12" s="33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IFERROR(__xludf.DUMMYFUNCTION("""COMPUTED_VALUE"""),"PreferenceType")</f>
        <v>PreferenceType</v>
      </c>
      <c r="C5" s="22" t="str">
        <f ca="1">IFERROR(__xludf.DUMMYFUNCTION("""COMPUTED_VALUE"""),"PreferenceName")</f>
        <v>PreferenceName</v>
      </c>
      <c r="D5" s="22" t="str">
        <f ca="1">IFERROR(__xludf.DUMMYFUNCTION("""COMPUTED_VALUE"""),"PTTPrefNeeded")</f>
        <v>PTTPrefNeeded</v>
      </c>
      <c r="E5" s="22" t="str">
        <f ca="1">IFERROR(__xludf.DUMMYFUNCTION("""COMPUTED_VALUE"""),"IsForceAllocation")</f>
        <v>IsForceAllocation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IFERROR(__xludf.DUMMYFUNCTION("""COMPUTED_VALUE"""),"RemainderAllocationTo")</f>
        <v>RemainderAllocationTo</v>
      </c>
      <c r="H5" s="22" t="str">
        <f ca="1">IFERROR(__xludf.DUMMYFUNCTION("""COMPUTED_VALUE"""),"Target%AsOf")</f>
        <v>Target%AsOf</v>
      </c>
      <c r="I5" s="22" t="str">
        <f ca="1">IFERROR(__xludf.DUMMYFUNCTION("""COMPUTED_VALUE"""),"AccountsForProrata")</f>
        <v>AccountsForProrata</v>
      </c>
      <c r="J5" s="22" t="str">
        <f ca="1">IFERROR(__xludf.DUMMYFUNCTION("""COMPUTED_VALUE"""),"DateUptoDays")</f>
        <v>DateUptoDays</v>
      </c>
      <c r="K5" s="22" t="str">
        <f ca="1">IFERROR(__xludf.DUMMYFUNCTION("""COMPUTED_VALUE"""),"MatchClosingTransactions")</f>
        <v>MatchClosingTransactions</v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35" t="s">
        <v>38</v>
      </c>
      <c r="C6" s="28" t="s">
        <v>33</v>
      </c>
      <c r="D6" s="36" t="b">
        <v>0</v>
      </c>
      <c r="E6" s="37" t="b">
        <v>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49" width="14.42578125" customWidth="1"/>
    <col min="50" max="50" width="22.140625" customWidth="1"/>
    <col min="51" max="154" width="14.42578125" customWidth="1"/>
  </cols>
  <sheetData>
    <row r="1" spans="1:154" ht="15.75" customHeight="1" x14ac:dyDescent="0.3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39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5">
      <c r="A6" s="7"/>
      <c r="B6" s="7"/>
      <c r="C6" s="5"/>
      <c r="D6" s="7"/>
      <c r="E6" s="26"/>
      <c r="F6" s="5"/>
      <c r="G6" s="5"/>
      <c r="H6" s="5"/>
      <c r="I6" s="5"/>
      <c r="J6" s="5"/>
      <c r="K6" s="5"/>
      <c r="L6" s="5"/>
      <c r="M6" s="5"/>
      <c r="N6" s="5"/>
      <c r="O6" s="5"/>
      <c r="AI6" s="38" t="s">
        <v>18</v>
      </c>
      <c r="AJ6" s="38" t="s">
        <v>19</v>
      </c>
      <c r="AK6" s="38" t="s">
        <v>41</v>
      </c>
      <c r="AL6" s="38">
        <v>5000</v>
      </c>
      <c r="AM6" s="38">
        <v>5000</v>
      </c>
      <c r="AQ6" s="38">
        <v>20</v>
      </c>
      <c r="AR6" s="38">
        <v>20</v>
      </c>
    </row>
    <row r="7" spans="1:154" ht="15.7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AI7" s="38" t="s">
        <v>21</v>
      </c>
      <c r="AJ7" s="38" t="s">
        <v>29</v>
      </c>
      <c r="AK7" s="38" t="s">
        <v>41</v>
      </c>
      <c r="AL7" s="38">
        <v>500</v>
      </c>
      <c r="AM7" s="38">
        <v>500</v>
      </c>
      <c r="AQ7" s="38">
        <v>40</v>
      </c>
      <c r="AR7" s="38">
        <v>40</v>
      </c>
    </row>
    <row r="8" spans="1:154" ht="15.7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AI8" s="38" t="s">
        <v>25</v>
      </c>
      <c r="AJ8" s="38" t="s">
        <v>30</v>
      </c>
      <c r="AK8" s="38" t="s">
        <v>41</v>
      </c>
      <c r="AL8" s="38">
        <v>1100</v>
      </c>
      <c r="AM8" s="38">
        <v>1100</v>
      </c>
      <c r="AQ8" s="38">
        <v>60</v>
      </c>
      <c r="AR8" s="38">
        <v>60</v>
      </c>
    </row>
    <row r="9" spans="1:154" ht="15.7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AI9" s="38" t="s">
        <v>26</v>
      </c>
      <c r="AJ9" s="38" t="s">
        <v>22</v>
      </c>
      <c r="AK9" s="38" t="s">
        <v>41</v>
      </c>
      <c r="AL9" s="38">
        <v>1100</v>
      </c>
      <c r="AM9" s="38">
        <v>1100</v>
      </c>
      <c r="AQ9" s="38">
        <v>80</v>
      </c>
      <c r="AR9" s="38">
        <v>80</v>
      </c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6" width="20.28515625" customWidth="1"/>
    <col min="7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42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32"/>
      <c r="C6" s="5"/>
      <c r="D6" s="7"/>
      <c r="E6" s="26"/>
      <c r="F6" s="32" t="s">
        <v>43</v>
      </c>
      <c r="G6" s="5"/>
      <c r="H6" s="5"/>
      <c r="I6" s="5"/>
      <c r="J6" s="5"/>
      <c r="K6" s="5"/>
      <c r="L6" s="5"/>
      <c r="M6" s="5"/>
      <c r="N6" s="5"/>
      <c r="O6" s="5"/>
      <c r="AE6" s="33">
        <v>10000</v>
      </c>
      <c r="BJ6" s="33">
        <v>10000</v>
      </c>
      <c r="BO6" s="32" t="s">
        <v>19</v>
      </c>
      <c r="BT6" s="32" t="s">
        <v>18</v>
      </c>
    </row>
    <row r="7" spans="1:154" ht="15.75" customHeight="1" x14ac:dyDescent="0.2">
      <c r="A7" s="5"/>
      <c r="B7" s="32"/>
      <c r="C7" s="5"/>
      <c r="D7" s="5"/>
      <c r="E7" s="5"/>
      <c r="F7" s="32"/>
      <c r="G7" s="5"/>
      <c r="H7" s="5"/>
      <c r="I7" s="5"/>
      <c r="J7" s="5"/>
      <c r="K7" s="5"/>
      <c r="L7" s="5"/>
      <c r="M7" s="5"/>
      <c r="N7" s="5"/>
      <c r="O7" s="5"/>
      <c r="AE7" s="33">
        <v>1000</v>
      </c>
      <c r="BJ7" s="33">
        <v>1000</v>
      </c>
      <c r="BO7" s="32" t="s">
        <v>22</v>
      </c>
      <c r="BT7" s="32" t="s">
        <v>21</v>
      </c>
    </row>
    <row r="8" spans="1:154" ht="15.75" customHeight="1" x14ac:dyDescent="0.2">
      <c r="A8" s="5"/>
      <c r="B8" s="32"/>
      <c r="C8" s="5"/>
      <c r="D8" s="5"/>
      <c r="E8" s="5"/>
      <c r="F8" s="32"/>
      <c r="G8" s="5"/>
      <c r="H8" s="5"/>
      <c r="I8" s="5"/>
      <c r="J8" s="5"/>
      <c r="K8" s="5"/>
      <c r="L8" s="5"/>
      <c r="M8" s="5"/>
      <c r="N8" s="5"/>
      <c r="O8" s="5"/>
      <c r="AE8" s="33">
        <v>1000</v>
      </c>
      <c r="BJ8" s="33">
        <v>1000</v>
      </c>
      <c r="BO8" s="32" t="s">
        <v>19</v>
      </c>
      <c r="BT8" s="32" t="s">
        <v>25</v>
      </c>
    </row>
    <row r="9" spans="1:154" ht="15.75" customHeight="1" x14ac:dyDescent="0.2">
      <c r="A9" s="5"/>
      <c r="B9" s="32"/>
      <c r="C9" s="5"/>
      <c r="D9" s="5"/>
      <c r="E9" s="5"/>
      <c r="F9" s="32"/>
      <c r="G9" s="5"/>
      <c r="H9" s="5"/>
      <c r="I9" s="5"/>
      <c r="J9" s="5"/>
      <c r="K9" s="5"/>
      <c r="L9" s="5"/>
      <c r="M9" s="5"/>
      <c r="N9" s="5"/>
      <c r="O9" s="5"/>
      <c r="AE9" s="33">
        <v>1000</v>
      </c>
      <c r="BJ9" s="33">
        <v>1000</v>
      </c>
      <c r="BO9" s="32" t="s">
        <v>19</v>
      </c>
      <c r="BT9" s="32" t="s">
        <v>26</v>
      </c>
    </row>
    <row r="10" spans="1:154" ht="15.75" customHeight="1" x14ac:dyDescent="0.2">
      <c r="A10" s="5"/>
      <c r="B10" s="32"/>
      <c r="C10" s="5"/>
      <c r="D10" s="5"/>
      <c r="E10" s="5"/>
      <c r="F10" s="32" t="s">
        <v>33</v>
      </c>
      <c r="G10" s="5"/>
      <c r="H10" s="5"/>
      <c r="I10" s="5"/>
      <c r="J10" s="5"/>
      <c r="K10" s="5"/>
      <c r="L10" s="5"/>
      <c r="M10" s="5"/>
      <c r="N10" s="5"/>
      <c r="O10" s="5"/>
      <c r="AE10" s="33">
        <v>5000</v>
      </c>
      <c r="BJ10" s="33">
        <v>5000</v>
      </c>
      <c r="BO10" s="32" t="s">
        <v>19</v>
      </c>
      <c r="BT10" s="32" t="s">
        <v>18</v>
      </c>
    </row>
    <row r="11" spans="1:154" ht="15.75" customHeight="1" x14ac:dyDescent="0.2">
      <c r="A11" s="5"/>
      <c r="B11" s="32"/>
      <c r="C11" s="5"/>
      <c r="D11" s="5"/>
      <c r="E11" s="5"/>
      <c r="F11" s="32" t="s">
        <v>33</v>
      </c>
      <c r="G11" s="5"/>
      <c r="H11" s="5"/>
      <c r="I11" s="5"/>
      <c r="J11" s="5"/>
      <c r="K11" s="5"/>
      <c r="L11" s="5"/>
      <c r="M11" s="5"/>
      <c r="N11" s="5"/>
      <c r="O11" s="5"/>
      <c r="AE11" s="34">
        <v>500</v>
      </c>
      <c r="BJ11" s="34">
        <v>500</v>
      </c>
      <c r="BO11" s="32" t="s">
        <v>29</v>
      </c>
      <c r="BT11" s="32" t="s">
        <v>21</v>
      </c>
    </row>
    <row r="12" spans="1:154" ht="15.75" customHeight="1" x14ac:dyDescent="0.2">
      <c r="A12" s="5"/>
      <c r="B12" s="32"/>
      <c r="C12" s="5"/>
      <c r="D12" s="5"/>
      <c r="E12" s="5"/>
      <c r="F12" s="32" t="s">
        <v>33</v>
      </c>
      <c r="G12" s="5"/>
      <c r="H12" s="5"/>
      <c r="I12" s="5"/>
      <c r="J12" s="5"/>
      <c r="K12" s="5"/>
      <c r="L12" s="5"/>
      <c r="M12" s="5"/>
      <c r="N12" s="5"/>
      <c r="O12" s="5"/>
      <c r="AE12" s="33">
        <v>1100</v>
      </c>
      <c r="BJ12" s="33">
        <v>1100</v>
      </c>
      <c r="BO12" s="32" t="s">
        <v>30</v>
      </c>
      <c r="BT12" s="32" t="s">
        <v>25</v>
      </c>
    </row>
    <row r="13" spans="1:154" ht="15.75" customHeight="1" x14ac:dyDescent="0.2">
      <c r="A13" s="5"/>
      <c r="B13" s="32"/>
      <c r="C13" s="5"/>
      <c r="D13" s="5"/>
      <c r="E13" s="5"/>
      <c r="F13" s="32" t="s">
        <v>33</v>
      </c>
      <c r="G13" s="5"/>
      <c r="H13" s="5"/>
      <c r="I13" s="5"/>
      <c r="J13" s="5"/>
      <c r="K13" s="5"/>
      <c r="L13" s="5"/>
      <c r="M13" s="5"/>
      <c r="N13" s="5"/>
      <c r="O13" s="5"/>
      <c r="AE13" s="33">
        <v>1100</v>
      </c>
      <c r="BJ13" s="33">
        <v>1100</v>
      </c>
      <c r="BO13" s="32" t="s">
        <v>22</v>
      </c>
      <c r="BT13" s="32" t="s">
        <v>26</v>
      </c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IFERROR(__xludf.DUMMYFUNCTION("""COMPUTED_VALUE"""),"PreferenceName")</f>
        <v>PreferenceName</v>
      </c>
      <c r="C5" s="22" t="str">
        <f ca="1">IFERROR(__xludf.DUMMYFUNCTION("""COMPUTED_VALUE"""),"")</f>
        <v/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28" t="s">
        <v>33</v>
      </c>
      <c r="C6" s="5"/>
      <c r="D6" s="7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45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IFERROR(__xludf.DUMMYFUNCTION("""COMPUTED_VALUE"""),"Ticker Symbol")</f>
        <v>Ticker Symbol</v>
      </c>
      <c r="D5" s="22" t="str">
        <f ca="1">IFERROR(__xludf.DUMMYFUNCTION("""COMPUTED_VALUE"""),"Description")</f>
        <v>Description</v>
      </c>
      <c r="E5" s="22" t="str">
        <f ca="1">IFERROR(__xludf.DUMMYFUNCTION("""COMPUTED_VALUE"""),"Sedol Symbol")</f>
        <v>Sedol Symbol</v>
      </c>
      <c r="F5" s="23" t="str">
        <f ca="1">IFERROR(__xludf.DUMMYFUNCTION("""COMPUTED_VALUE"""),"Bloomberg Symbol")</f>
        <v>Bloomberg Symbol</v>
      </c>
      <c r="G5" s="22" t="str">
        <f ca="1">IFERROR(__xludf.DUMMYFUNCTION("""COMPUTED_VALUE"""),"Side")</f>
        <v>Side</v>
      </c>
      <c r="H5" s="22" t="str">
        <f ca="1">IFERROR(__xludf.DUMMYFUNCTION("""COMPUTED_VALUE"""),"Quantity")</f>
        <v>Quantity</v>
      </c>
      <c r="I5" s="22" t="str">
        <f ca="1">IFERROR(__xludf.DUMMYFUNCTION("""COMPUTED_VALUE"""),"Total Quantity")</f>
        <v>Total Quantity</v>
      </c>
      <c r="J5" s="22" t="str">
        <f ca="1">IFERROR(__xludf.DUMMYFUNCTION("""COMPUTED_VALUE"""),"Allocation %")</f>
        <v>Allocation %</v>
      </c>
      <c r="K5" s="22" t="str">
        <f ca="1">IFERROR(__xludf.DUMMYFUNCTION("""COMPUTED_VALUE"""),"RoundLots")</f>
        <v>RoundLots</v>
      </c>
      <c r="L5" s="22" t="str">
        <f ca="1">IFERROR(__xludf.DUMMYFUNCTION("""COMPUTED_VALUE"""),"Trade Type")</f>
        <v>Trade Type</v>
      </c>
      <c r="M5" s="22" t="str">
        <f ca="1">IFERROR(__xludf.DUMMYFUNCTION("""COMPUTED_VALUE"""),"Currency")</f>
        <v>Currency</v>
      </c>
      <c r="N5" s="22" t="str">
        <f ca="1">IFERROR(__xludf.DUMMYFUNCTION("""COMPUTED_VALUE"""),"PB")</f>
        <v>PB</v>
      </c>
      <c r="O5" s="22" t="str">
        <f ca="1">IFERROR(__xludf.DUMMYFUNCTION("""COMPUTED_VALUE"""),"Allocation Scheme Key")</f>
        <v>Allocation Scheme Key</v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32" t="s">
        <v>46</v>
      </c>
      <c r="C6" s="32" t="s">
        <v>21</v>
      </c>
      <c r="D6" s="7"/>
      <c r="E6" s="26"/>
      <c r="F6" s="5"/>
      <c r="G6" s="5"/>
      <c r="H6" s="32">
        <v>500</v>
      </c>
      <c r="I6" s="32">
        <v>1000</v>
      </c>
      <c r="J6" s="32">
        <v>50</v>
      </c>
      <c r="K6" s="32">
        <v>0</v>
      </c>
      <c r="L6" s="5"/>
      <c r="M6" s="5"/>
      <c r="N6" s="5"/>
      <c r="O6" s="32" t="s">
        <v>34</v>
      </c>
    </row>
    <row r="7" spans="1:154" ht="15.75" customHeight="1" x14ac:dyDescent="0.2">
      <c r="A7" s="5"/>
      <c r="B7" s="32" t="s">
        <v>47</v>
      </c>
      <c r="C7" s="32" t="s">
        <v>21</v>
      </c>
      <c r="D7" s="5"/>
      <c r="E7" s="5"/>
      <c r="F7" s="5"/>
      <c r="G7" s="5"/>
      <c r="H7" s="32">
        <v>500</v>
      </c>
      <c r="I7" s="32">
        <v>1000</v>
      </c>
      <c r="J7" s="32">
        <v>50</v>
      </c>
      <c r="K7" s="32">
        <v>0</v>
      </c>
      <c r="L7" s="5"/>
      <c r="M7" s="5"/>
      <c r="N7" s="5"/>
      <c r="O7" s="32" t="s">
        <v>34</v>
      </c>
    </row>
    <row r="8" spans="1:154" ht="15.75" customHeight="1" x14ac:dyDescent="0.2">
      <c r="A8" s="5"/>
      <c r="B8" s="32" t="s">
        <v>46</v>
      </c>
      <c r="C8" s="32" t="s">
        <v>25</v>
      </c>
      <c r="D8" s="5"/>
      <c r="E8" s="5"/>
      <c r="F8" s="5"/>
      <c r="G8" s="5"/>
      <c r="H8" s="32">
        <v>500</v>
      </c>
      <c r="I8" s="32">
        <v>1000</v>
      </c>
      <c r="J8" s="32">
        <v>50</v>
      </c>
      <c r="K8" s="32">
        <v>0</v>
      </c>
      <c r="L8" s="5"/>
      <c r="M8" s="5"/>
      <c r="N8" s="5"/>
      <c r="O8" s="32" t="s">
        <v>34</v>
      </c>
    </row>
    <row r="9" spans="1:154" ht="15.75" customHeight="1" x14ac:dyDescent="0.2">
      <c r="A9" s="5"/>
      <c r="B9" s="32" t="s">
        <v>47</v>
      </c>
      <c r="C9" s="32" t="s">
        <v>25</v>
      </c>
      <c r="D9" s="5"/>
      <c r="E9" s="5"/>
      <c r="F9" s="5"/>
      <c r="G9" s="5"/>
      <c r="H9" s="32">
        <v>500</v>
      </c>
      <c r="I9" s="32">
        <v>1000</v>
      </c>
      <c r="J9" s="32">
        <v>50</v>
      </c>
      <c r="K9" s="32">
        <v>0</v>
      </c>
      <c r="L9" s="5"/>
      <c r="M9" s="5"/>
      <c r="N9" s="5"/>
      <c r="O9" s="32" t="s">
        <v>34</v>
      </c>
    </row>
    <row r="10" spans="1:154" ht="15.75" customHeight="1" x14ac:dyDescent="0.2">
      <c r="A10" s="5"/>
      <c r="B10" s="32" t="s">
        <v>20</v>
      </c>
      <c r="C10" s="32" t="s">
        <v>18</v>
      </c>
      <c r="D10" s="5"/>
      <c r="E10" s="5"/>
      <c r="F10" s="5"/>
      <c r="G10" s="5"/>
      <c r="H10" s="32">
        <v>10000</v>
      </c>
      <c r="I10" s="32">
        <v>10000</v>
      </c>
      <c r="J10" s="32">
        <v>100</v>
      </c>
      <c r="K10" s="32">
        <v>0</v>
      </c>
      <c r="L10" s="5"/>
      <c r="M10" s="5"/>
      <c r="N10" s="5"/>
      <c r="O10" s="32" t="s">
        <v>34</v>
      </c>
    </row>
    <row r="11" spans="1:154" ht="15.75" customHeight="1" x14ac:dyDescent="0.2">
      <c r="A11" s="5"/>
      <c r="B11" s="32" t="s">
        <v>46</v>
      </c>
      <c r="C11" s="32" t="s">
        <v>26</v>
      </c>
      <c r="D11" s="5"/>
      <c r="E11" s="5"/>
      <c r="F11" s="5"/>
      <c r="G11" s="5"/>
      <c r="H11" s="32">
        <v>700</v>
      </c>
      <c r="I11" s="32">
        <v>1000</v>
      </c>
      <c r="J11" s="32">
        <v>70</v>
      </c>
      <c r="K11" s="32">
        <v>0</v>
      </c>
      <c r="L11" s="5"/>
      <c r="M11" s="5"/>
      <c r="N11" s="5"/>
      <c r="O11" s="32" t="s">
        <v>34</v>
      </c>
    </row>
    <row r="12" spans="1:154" ht="15.75" customHeight="1" x14ac:dyDescent="0.2">
      <c r="A12" s="5"/>
      <c r="B12" s="32" t="s">
        <v>47</v>
      </c>
      <c r="C12" s="32" t="s">
        <v>26</v>
      </c>
      <c r="D12" s="5"/>
      <c r="E12" s="5"/>
      <c r="F12" s="5"/>
      <c r="G12" s="5"/>
      <c r="H12" s="32">
        <v>300</v>
      </c>
      <c r="I12" s="32">
        <v>1000</v>
      </c>
      <c r="J12" s="32">
        <v>30</v>
      </c>
      <c r="K12" s="32">
        <v>0</v>
      </c>
      <c r="L12" s="5"/>
      <c r="M12" s="5"/>
      <c r="N12" s="5"/>
      <c r="O12" s="32" t="s">
        <v>34</v>
      </c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48</v>
      </c>
      <c r="D3" s="2" t="s">
        <v>9</v>
      </c>
      <c r="E3" s="17" t="s">
        <v>49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50</v>
      </c>
      <c r="C6" s="25">
        <f ca="1">TODAY()-1</f>
        <v>44411</v>
      </c>
      <c r="D6" s="31">
        <f ca="1">TODAY()</f>
        <v>44412</v>
      </c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48</v>
      </c>
      <c r="D3" s="2" t="s">
        <v>9</v>
      </c>
      <c r="E3" s="17" t="s">
        <v>51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5">
      <c r="A6" s="7"/>
      <c r="B6" s="39" t="s">
        <v>46</v>
      </c>
      <c r="C6" s="5"/>
      <c r="D6" s="7"/>
      <c r="E6" s="26"/>
      <c r="F6" s="5"/>
      <c r="G6" s="5"/>
      <c r="H6" s="5"/>
      <c r="I6" s="39">
        <v>20</v>
      </c>
      <c r="J6" s="5"/>
      <c r="K6" s="7" t="s">
        <v>52</v>
      </c>
      <c r="L6" s="5"/>
      <c r="M6" s="39">
        <v>500</v>
      </c>
      <c r="N6" s="5"/>
      <c r="O6" s="5"/>
      <c r="P6" s="39" t="s">
        <v>22</v>
      </c>
      <c r="R6" s="39" t="s">
        <v>21</v>
      </c>
    </row>
    <row r="7" spans="1:154" ht="15.75" customHeight="1" x14ac:dyDescent="0.25">
      <c r="A7" s="5"/>
      <c r="B7" s="39" t="s">
        <v>47</v>
      </c>
      <c r="C7" s="5"/>
      <c r="D7" s="5"/>
      <c r="E7" s="5"/>
      <c r="F7" s="5"/>
      <c r="G7" s="5"/>
      <c r="H7" s="5"/>
      <c r="I7" s="39">
        <v>20</v>
      </c>
      <c r="J7" s="5"/>
      <c r="K7" s="7" t="s">
        <v>52</v>
      </c>
      <c r="L7" s="5"/>
      <c r="M7" s="39">
        <v>500</v>
      </c>
      <c r="N7" s="5"/>
      <c r="O7" s="5"/>
      <c r="P7" s="39" t="s">
        <v>22</v>
      </c>
      <c r="R7" s="39" t="s">
        <v>21</v>
      </c>
    </row>
    <row r="8" spans="1:154" ht="15.75" customHeight="1" x14ac:dyDescent="0.25">
      <c r="A8" s="5"/>
      <c r="B8" s="39" t="s">
        <v>46</v>
      </c>
      <c r="C8" s="5"/>
      <c r="D8" s="5"/>
      <c r="E8" s="5"/>
      <c r="F8" s="5"/>
      <c r="G8" s="5"/>
      <c r="H8" s="5"/>
      <c r="I8" s="39">
        <v>60</v>
      </c>
      <c r="J8" s="5"/>
      <c r="K8" s="7" t="s">
        <v>52</v>
      </c>
      <c r="L8" s="5"/>
      <c r="M8" s="39">
        <v>550</v>
      </c>
      <c r="N8" s="5"/>
      <c r="O8" s="5"/>
      <c r="P8" s="39" t="s">
        <v>30</v>
      </c>
      <c r="R8" s="39" t="s">
        <v>25</v>
      </c>
    </row>
    <row r="9" spans="1:154" ht="15.75" customHeight="1" x14ac:dyDescent="0.25">
      <c r="A9" s="5"/>
      <c r="B9" s="39" t="s">
        <v>47</v>
      </c>
      <c r="C9" s="5"/>
      <c r="D9" s="5"/>
      <c r="E9" s="5"/>
      <c r="F9" s="5"/>
      <c r="G9" s="5"/>
      <c r="H9" s="5"/>
      <c r="I9" s="39">
        <v>60</v>
      </c>
      <c r="J9" s="5"/>
      <c r="K9" s="7" t="s">
        <v>52</v>
      </c>
      <c r="L9" s="5"/>
      <c r="M9" s="39">
        <v>550</v>
      </c>
      <c r="N9" s="5"/>
      <c r="O9" s="5"/>
      <c r="P9" s="39" t="s">
        <v>30</v>
      </c>
      <c r="R9" s="39" t="s">
        <v>25</v>
      </c>
    </row>
    <row r="10" spans="1:154" ht="15.75" customHeight="1" x14ac:dyDescent="0.25">
      <c r="A10" s="5"/>
      <c r="B10" s="39" t="s">
        <v>46</v>
      </c>
      <c r="C10" s="5"/>
      <c r="D10" s="5"/>
      <c r="E10" s="5"/>
      <c r="F10" s="5"/>
      <c r="G10" s="5"/>
      <c r="H10" s="5"/>
      <c r="I10" s="39">
        <v>80</v>
      </c>
      <c r="J10" s="5"/>
      <c r="K10" s="7" t="s">
        <v>52</v>
      </c>
      <c r="L10" s="5"/>
      <c r="M10" s="39">
        <v>770</v>
      </c>
      <c r="N10" s="5"/>
      <c r="O10" s="5"/>
      <c r="P10" s="39" t="s">
        <v>22</v>
      </c>
      <c r="R10" s="39" t="s">
        <v>26</v>
      </c>
    </row>
    <row r="11" spans="1:154" ht="15.75" customHeight="1" x14ac:dyDescent="0.25">
      <c r="A11" s="5"/>
      <c r="B11" s="39" t="s">
        <v>47</v>
      </c>
      <c r="C11" s="5"/>
      <c r="D11" s="5"/>
      <c r="E11" s="5"/>
      <c r="F11" s="5"/>
      <c r="G11" s="5"/>
      <c r="H11" s="5"/>
      <c r="I11" s="39">
        <v>80</v>
      </c>
      <c r="J11" s="5"/>
      <c r="K11" s="7" t="s">
        <v>52</v>
      </c>
      <c r="L11" s="5"/>
      <c r="M11" s="39">
        <v>330</v>
      </c>
      <c r="N11" s="5"/>
      <c r="O11" s="5"/>
      <c r="P11" s="39" t="s">
        <v>22</v>
      </c>
      <c r="R11" s="39" t="s">
        <v>26</v>
      </c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48</v>
      </c>
      <c r="D3" s="2" t="s">
        <v>9</v>
      </c>
      <c r="E3" s="17" t="s">
        <v>53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5">
      <c r="A6" s="7"/>
      <c r="B6" s="39" t="s">
        <v>20</v>
      </c>
      <c r="C6" s="5"/>
      <c r="D6" s="7"/>
      <c r="E6" s="26"/>
      <c r="F6" s="5"/>
      <c r="G6" s="5"/>
      <c r="H6" s="5"/>
      <c r="I6" s="39">
        <v>15</v>
      </c>
      <c r="J6" s="5"/>
      <c r="K6" s="39" t="s">
        <v>54</v>
      </c>
      <c r="L6" s="5"/>
      <c r="M6" s="39">
        <v>10000</v>
      </c>
      <c r="N6" s="5"/>
      <c r="O6" s="5"/>
      <c r="P6" s="39" t="s">
        <v>19</v>
      </c>
      <c r="R6" s="39" t="s">
        <v>18</v>
      </c>
    </row>
    <row r="7" spans="1:154" ht="15.75" customHeight="1" x14ac:dyDescent="0.25">
      <c r="A7" s="5"/>
      <c r="B7" s="39" t="s">
        <v>46</v>
      </c>
      <c r="C7" s="5"/>
      <c r="D7" s="5"/>
      <c r="E7" s="5"/>
      <c r="F7" s="5"/>
      <c r="G7" s="5"/>
      <c r="H7" s="5"/>
      <c r="I7" s="39">
        <v>30</v>
      </c>
      <c r="J7" s="5"/>
      <c r="K7" s="39" t="s">
        <v>54</v>
      </c>
      <c r="L7" s="5"/>
      <c r="M7" s="39">
        <v>500</v>
      </c>
      <c r="N7" s="5"/>
      <c r="O7" s="5"/>
      <c r="P7" s="39" t="s">
        <v>19</v>
      </c>
      <c r="R7" s="39" t="s">
        <v>25</v>
      </c>
    </row>
    <row r="8" spans="1:154" ht="15.75" customHeight="1" x14ac:dyDescent="0.25">
      <c r="A8" s="5"/>
      <c r="B8" s="39" t="s">
        <v>47</v>
      </c>
      <c r="C8" s="5"/>
      <c r="D8" s="5"/>
      <c r="E8" s="5"/>
      <c r="F8" s="5"/>
      <c r="G8" s="5"/>
      <c r="H8" s="5"/>
      <c r="I8" s="39">
        <v>30</v>
      </c>
      <c r="J8" s="5"/>
      <c r="K8" s="39" t="s">
        <v>54</v>
      </c>
      <c r="L8" s="5"/>
      <c r="M8" s="39">
        <v>500</v>
      </c>
      <c r="N8" s="5"/>
      <c r="O8" s="5"/>
      <c r="P8" s="39" t="s">
        <v>19</v>
      </c>
      <c r="R8" s="39" t="s">
        <v>25</v>
      </c>
    </row>
    <row r="9" spans="1:154" ht="15.75" customHeight="1" x14ac:dyDescent="0.25">
      <c r="A9" s="5"/>
      <c r="B9" s="39" t="s">
        <v>46</v>
      </c>
      <c r="C9" s="5"/>
      <c r="D9" s="5"/>
      <c r="E9" s="5"/>
      <c r="F9" s="5"/>
      <c r="G9" s="5"/>
      <c r="H9" s="5"/>
      <c r="I9" s="39">
        <v>35</v>
      </c>
      <c r="J9" s="5"/>
      <c r="K9" s="39" t="s">
        <v>54</v>
      </c>
      <c r="L9" s="5"/>
      <c r="M9" s="39">
        <v>700</v>
      </c>
      <c r="N9" s="5"/>
      <c r="O9" s="5"/>
      <c r="P9" s="39" t="s">
        <v>19</v>
      </c>
      <c r="R9" s="39" t="s">
        <v>26</v>
      </c>
    </row>
    <row r="10" spans="1:154" ht="15.75" customHeight="1" x14ac:dyDescent="0.25">
      <c r="A10" s="5"/>
      <c r="B10" s="39" t="s">
        <v>47</v>
      </c>
      <c r="C10" s="5"/>
      <c r="D10" s="5"/>
      <c r="E10" s="5"/>
      <c r="F10" s="5"/>
      <c r="G10" s="5"/>
      <c r="H10" s="5"/>
      <c r="I10" s="39">
        <v>35</v>
      </c>
      <c r="J10" s="5"/>
      <c r="K10" s="39" t="s">
        <v>54</v>
      </c>
      <c r="L10" s="5"/>
      <c r="M10" s="39">
        <v>300</v>
      </c>
      <c r="N10" s="5"/>
      <c r="O10" s="5"/>
      <c r="P10" s="39" t="s">
        <v>19</v>
      </c>
      <c r="R10" s="39" t="s">
        <v>26</v>
      </c>
    </row>
    <row r="11" spans="1:154" ht="15.75" customHeight="1" x14ac:dyDescent="0.25">
      <c r="A11" s="5"/>
      <c r="B11" s="39" t="s">
        <v>20</v>
      </c>
      <c r="C11" s="5"/>
      <c r="D11" s="5"/>
      <c r="E11" s="5"/>
      <c r="F11" s="5"/>
      <c r="G11" s="5"/>
      <c r="H11" s="5"/>
      <c r="I11" s="39">
        <v>20</v>
      </c>
      <c r="J11" s="5"/>
      <c r="K11" s="39" t="s">
        <v>54</v>
      </c>
      <c r="L11" s="5"/>
      <c r="M11" s="39">
        <v>5000</v>
      </c>
      <c r="N11" s="5"/>
      <c r="O11" s="5"/>
      <c r="P11" s="39" t="s">
        <v>19</v>
      </c>
      <c r="R11" s="39" t="s">
        <v>18</v>
      </c>
    </row>
    <row r="12" spans="1:154" ht="15.75" customHeight="1" x14ac:dyDescent="0.25">
      <c r="A12" s="5"/>
      <c r="B12" s="39" t="s">
        <v>46</v>
      </c>
      <c r="C12" s="5"/>
      <c r="D12" s="5"/>
      <c r="E12" s="5"/>
      <c r="F12" s="5"/>
      <c r="G12" s="5"/>
      <c r="H12" s="5"/>
      <c r="I12" s="39">
        <v>40</v>
      </c>
      <c r="J12" s="5"/>
      <c r="K12" s="39" t="s">
        <v>54</v>
      </c>
      <c r="L12" s="5"/>
      <c r="M12" s="39">
        <v>250</v>
      </c>
      <c r="N12" s="5"/>
      <c r="O12" s="5"/>
      <c r="P12" s="39" t="s">
        <v>29</v>
      </c>
      <c r="R12" s="39" t="s">
        <v>21</v>
      </c>
    </row>
    <row r="13" spans="1:154" ht="15.75" customHeight="1" x14ac:dyDescent="0.25">
      <c r="A13" s="5"/>
      <c r="B13" s="39" t="s">
        <v>47</v>
      </c>
      <c r="C13" s="5"/>
      <c r="D13" s="5"/>
      <c r="E13" s="5"/>
      <c r="F13" s="5"/>
      <c r="G13" s="5"/>
      <c r="H13" s="5"/>
      <c r="I13" s="39">
        <v>40</v>
      </c>
      <c r="J13" s="5"/>
      <c r="K13" s="39" t="s">
        <v>54</v>
      </c>
      <c r="L13" s="5"/>
      <c r="M13" s="39">
        <v>250</v>
      </c>
      <c r="N13" s="5"/>
      <c r="O13" s="5"/>
      <c r="P13" s="39" t="s">
        <v>29</v>
      </c>
      <c r="R13" s="39" t="s">
        <v>21</v>
      </c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BF1" workbookViewId="0">
      <selection activeCell="BK9" sqref="BK9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2.7109375" bestFit="1" customWidth="1"/>
    <col min="64" max="167" width="14.42578125" customWidth="1"/>
  </cols>
  <sheetData>
    <row r="1" spans="1:167" ht="15.75" customHeight="1" x14ac:dyDescent="0.3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7" ht="15.75" customHeight="1" x14ac:dyDescent="0.2">
      <c r="A3" s="16"/>
      <c r="B3" s="2" t="s">
        <v>8</v>
      </c>
      <c r="C3" s="17" t="s">
        <v>55</v>
      </c>
      <c r="D3" s="2" t="s">
        <v>9</v>
      </c>
      <c r="E3" s="17" t="s">
        <v>56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</row>
    <row r="5" spans="1:167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">
        <v>68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</row>
    <row r="6" spans="1:167" ht="15.75" customHeight="1" x14ac:dyDescent="0.25">
      <c r="A6" s="7"/>
      <c r="B6" s="7"/>
      <c r="C6" s="38" t="s">
        <v>18</v>
      </c>
      <c r="D6" s="40">
        <v>-10000</v>
      </c>
      <c r="E6" s="38" t="s">
        <v>20</v>
      </c>
      <c r="F6" s="5"/>
      <c r="G6" s="5"/>
      <c r="H6" s="5"/>
      <c r="I6" s="5"/>
      <c r="J6" s="5"/>
      <c r="K6" s="5"/>
      <c r="L6" s="5"/>
      <c r="M6" s="5"/>
      <c r="N6" s="5"/>
      <c r="O6" s="5"/>
      <c r="AN6" s="38" t="s">
        <v>19</v>
      </c>
      <c r="AP6" s="38" t="s">
        <v>54</v>
      </c>
    </row>
    <row r="7" spans="1:167" ht="15.75" customHeight="1" x14ac:dyDescent="0.25">
      <c r="A7" s="5"/>
      <c r="B7" s="5"/>
      <c r="C7" s="38" t="s">
        <v>18</v>
      </c>
      <c r="D7" s="40">
        <v>-5000</v>
      </c>
      <c r="E7" s="38" t="s">
        <v>20</v>
      </c>
      <c r="F7" s="5"/>
      <c r="G7" s="5"/>
      <c r="H7" s="5"/>
      <c r="I7" s="5"/>
      <c r="J7" s="5"/>
      <c r="K7" s="5"/>
      <c r="L7" s="5"/>
      <c r="M7" s="5"/>
      <c r="N7" s="5"/>
      <c r="O7" s="5"/>
      <c r="AN7" s="38" t="s">
        <v>19</v>
      </c>
      <c r="AP7" s="38" t="s">
        <v>54</v>
      </c>
    </row>
    <row r="8" spans="1:167" ht="15.75" customHeight="1" x14ac:dyDescent="0.25">
      <c r="A8" s="5"/>
      <c r="B8" s="5"/>
      <c r="C8" s="38" t="s">
        <v>21</v>
      </c>
      <c r="D8" s="41">
        <v>500</v>
      </c>
      <c r="E8" s="38" t="s">
        <v>46</v>
      </c>
      <c r="F8" s="5"/>
      <c r="G8" s="5"/>
      <c r="H8" s="5"/>
      <c r="I8" s="5"/>
      <c r="J8" s="5"/>
      <c r="K8" s="5"/>
      <c r="L8" s="5"/>
      <c r="M8" s="5"/>
      <c r="N8" s="5"/>
      <c r="O8" s="5"/>
      <c r="AN8" s="38" t="s">
        <v>22</v>
      </c>
      <c r="AP8" s="38" t="s">
        <v>52</v>
      </c>
    </row>
    <row r="9" spans="1:167" ht="15.75" customHeight="1" x14ac:dyDescent="0.25">
      <c r="A9" s="5"/>
      <c r="B9" s="5"/>
      <c r="C9" s="38" t="s">
        <v>25</v>
      </c>
      <c r="D9" s="41">
        <v>-500</v>
      </c>
      <c r="E9" s="38" t="s">
        <v>46</v>
      </c>
      <c r="F9" s="5"/>
      <c r="G9" s="5"/>
      <c r="H9" s="5"/>
      <c r="I9" s="5"/>
      <c r="J9" s="5"/>
      <c r="K9" s="5"/>
      <c r="L9" s="5"/>
      <c r="M9" s="5"/>
      <c r="N9" s="5"/>
      <c r="O9" s="5"/>
      <c r="AN9" s="38" t="s">
        <v>19</v>
      </c>
      <c r="AP9" s="38" t="s">
        <v>54</v>
      </c>
    </row>
    <row r="10" spans="1:167" ht="15.75" customHeight="1" x14ac:dyDescent="0.25">
      <c r="A10" s="5"/>
      <c r="B10" s="5"/>
      <c r="C10" s="38" t="s">
        <v>26</v>
      </c>
      <c r="D10" s="41">
        <v>-700</v>
      </c>
      <c r="E10" s="38" t="s">
        <v>46</v>
      </c>
      <c r="F10" s="5"/>
      <c r="G10" s="5"/>
      <c r="H10" s="5"/>
      <c r="I10" s="5"/>
      <c r="J10" s="5"/>
      <c r="K10" s="5"/>
      <c r="L10" s="5"/>
      <c r="M10" s="5"/>
      <c r="N10" s="5"/>
      <c r="O10" s="5"/>
      <c r="AN10" s="38" t="s">
        <v>19</v>
      </c>
      <c r="AP10" s="38" t="s">
        <v>54</v>
      </c>
    </row>
    <row r="11" spans="1:167" ht="15.75" customHeight="1" x14ac:dyDescent="0.25">
      <c r="A11" s="5"/>
      <c r="B11" s="5"/>
      <c r="C11" s="38" t="s">
        <v>21</v>
      </c>
      <c r="D11" s="41">
        <v>-250</v>
      </c>
      <c r="E11" s="38" t="s">
        <v>46</v>
      </c>
      <c r="F11" s="5"/>
      <c r="G11" s="5"/>
      <c r="H11" s="5"/>
      <c r="I11" s="5"/>
      <c r="J11" s="5"/>
      <c r="K11" s="5"/>
      <c r="L11" s="5"/>
      <c r="M11" s="5"/>
      <c r="N11" s="5"/>
      <c r="O11" s="5"/>
      <c r="AN11" s="38" t="s">
        <v>29</v>
      </c>
      <c r="AP11" s="38" t="s">
        <v>52</v>
      </c>
    </row>
    <row r="12" spans="1:167" ht="15.75" customHeight="1" x14ac:dyDescent="0.25">
      <c r="A12" s="5"/>
      <c r="B12" s="5"/>
      <c r="C12" s="38" t="s">
        <v>25</v>
      </c>
      <c r="D12" s="41">
        <v>550</v>
      </c>
      <c r="E12" s="38" t="s">
        <v>46</v>
      </c>
      <c r="F12" s="5"/>
      <c r="G12" s="5"/>
      <c r="H12" s="5"/>
      <c r="I12" s="5"/>
      <c r="J12" s="5"/>
      <c r="K12" s="5"/>
      <c r="L12" s="5"/>
      <c r="M12" s="5"/>
      <c r="N12" s="5"/>
      <c r="O12" s="5"/>
      <c r="AN12" s="38" t="s">
        <v>30</v>
      </c>
      <c r="AP12" s="38" t="s">
        <v>54</v>
      </c>
    </row>
    <row r="13" spans="1:167" ht="15.75" customHeight="1" x14ac:dyDescent="0.25">
      <c r="A13" s="5"/>
      <c r="B13" s="5"/>
      <c r="C13" s="38" t="s">
        <v>26</v>
      </c>
      <c r="D13" s="41">
        <v>770</v>
      </c>
      <c r="E13" s="38" t="s">
        <v>46</v>
      </c>
      <c r="F13" s="5"/>
      <c r="G13" s="5"/>
      <c r="H13" s="5"/>
      <c r="I13" s="5"/>
      <c r="J13" s="5"/>
      <c r="K13" s="5"/>
      <c r="L13" s="5"/>
      <c r="M13" s="5"/>
      <c r="N13" s="5"/>
      <c r="O13" s="5"/>
      <c r="AN13" s="38" t="s">
        <v>22</v>
      </c>
      <c r="AP13" s="38" t="s">
        <v>52</v>
      </c>
    </row>
    <row r="14" spans="1:167" ht="15.75" customHeight="1" x14ac:dyDescent="0.25">
      <c r="A14" s="5"/>
      <c r="B14" s="5"/>
      <c r="C14" s="38" t="s">
        <v>21</v>
      </c>
      <c r="D14" s="41">
        <v>500</v>
      </c>
      <c r="E14" s="38" t="s">
        <v>47</v>
      </c>
      <c r="F14" s="5"/>
      <c r="G14" s="5"/>
      <c r="H14" s="5"/>
      <c r="I14" s="5"/>
      <c r="J14" s="5"/>
      <c r="K14" s="5"/>
      <c r="L14" s="5"/>
      <c r="M14" s="5"/>
      <c r="N14" s="5"/>
      <c r="O14" s="5"/>
      <c r="AN14" s="38" t="s">
        <v>22</v>
      </c>
      <c r="AP14" s="38" t="s">
        <v>52</v>
      </c>
    </row>
    <row r="15" spans="1:167" ht="15.75" customHeight="1" x14ac:dyDescent="0.25">
      <c r="A15" s="5"/>
      <c r="B15" s="5"/>
      <c r="C15" s="38" t="s">
        <v>25</v>
      </c>
      <c r="D15" s="41">
        <v>-500</v>
      </c>
      <c r="E15" s="38" t="s">
        <v>47</v>
      </c>
      <c r="F15" s="5"/>
      <c r="G15" s="5"/>
      <c r="H15" s="5"/>
      <c r="I15" s="5"/>
      <c r="J15" s="5"/>
      <c r="K15" s="5"/>
      <c r="L15" s="5"/>
      <c r="M15" s="5"/>
      <c r="N15" s="5"/>
      <c r="O15" s="5"/>
      <c r="AN15" s="38" t="s">
        <v>19</v>
      </c>
      <c r="AP15" s="38" t="s">
        <v>54</v>
      </c>
    </row>
    <row r="16" spans="1:167" ht="15.75" customHeight="1" x14ac:dyDescent="0.25">
      <c r="A16" s="5"/>
      <c r="B16" s="5"/>
      <c r="C16" s="38" t="s">
        <v>26</v>
      </c>
      <c r="D16" s="41">
        <v>-300</v>
      </c>
      <c r="E16" s="38" t="s">
        <v>47</v>
      </c>
      <c r="F16" s="5"/>
      <c r="G16" s="5"/>
      <c r="H16" s="5"/>
      <c r="I16" s="5"/>
      <c r="J16" s="5"/>
      <c r="K16" s="5"/>
      <c r="L16" s="5"/>
      <c r="M16" s="5"/>
      <c r="N16" s="5"/>
      <c r="O16" s="5"/>
      <c r="AN16" s="38" t="s">
        <v>19</v>
      </c>
      <c r="AP16" s="38" t="s">
        <v>54</v>
      </c>
    </row>
    <row r="17" spans="1:42" ht="15.75" customHeight="1" x14ac:dyDescent="0.25">
      <c r="A17" s="5"/>
      <c r="B17" s="5"/>
      <c r="C17" s="38" t="s">
        <v>21</v>
      </c>
      <c r="D17" s="41">
        <v>-250</v>
      </c>
      <c r="E17" s="38" t="s">
        <v>47</v>
      </c>
      <c r="F17" s="5"/>
      <c r="G17" s="5"/>
      <c r="H17" s="5"/>
      <c r="I17" s="5"/>
      <c r="J17" s="5"/>
      <c r="K17" s="5"/>
      <c r="L17" s="5"/>
      <c r="M17" s="5"/>
      <c r="N17" s="5"/>
      <c r="O17" s="5"/>
      <c r="AN17" s="38" t="s">
        <v>29</v>
      </c>
      <c r="AP17" s="38" t="s">
        <v>52</v>
      </c>
    </row>
    <row r="18" spans="1:42" ht="15.75" customHeight="1" x14ac:dyDescent="0.25">
      <c r="A18" s="5"/>
      <c r="B18" s="5"/>
      <c r="C18" s="38" t="s">
        <v>25</v>
      </c>
      <c r="D18" s="41">
        <v>550</v>
      </c>
      <c r="E18" s="38" t="s">
        <v>47</v>
      </c>
      <c r="F18" s="5"/>
      <c r="G18" s="5"/>
      <c r="H18" s="5"/>
      <c r="I18" s="5"/>
      <c r="J18" s="5"/>
      <c r="K18" s="5"/>
      <c r="L18" s="5"/>
      <c r="M18" s="5"/>
      <c r="N18" s="5"/>
      <c r="O18" s="5"/>
      <c r="AN18" s="38" t="s">
        <v>30</v>
      </c>
      <c r="AP18" s="38" t="s">
        <v>54</v>
      </c>
    </row>
    <row r="19" spans="1:42" ht="15.75" customHeight="1" x14ac:dyDescent="0.25">
      <c r="A19" s="5"/>
      <c r="B19" s="5"/>
      <c r="C19" s="38" t="s">
        <v>26</v>
      </c>
      <c r="D19" s="41">
        <v>330</v>
      </c>
      <c r="E19" s="38" t="s">
        <v>47</v>
      </c>
      <c r="F19" s="5"/>
      <c r="G19" s="5"/>
      <c r="H19" s="5"/>
      <c r="I19" s="5"/>
      <c r="J19" s="5"/>
      <c r="K19" s="5"/>
      <c r="L19" s="5"/>
      <c r="M19" s="5"/>
      <c r="N19" s="5"/>
      <c r="O19" s="5"/>
      <c r="AN19" s="38" t="s">
        <v>22</v>
      </c>
      <c r="AP19" s="38" t="s">
        <v>52</v>
      </c>
    </row>
    <row r="20" spans="1:42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42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42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42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42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42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42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42" ht="15.75" customHeight="1" x14ac:dyDescent="0.2"/>
    <row r="28" spans="1:42" ht="15.75" customHeight="1" x14ac:dyDescent="0.2"/>
    <row r="29" spans="1:42" ht="15.75" customHeight="1" x14ac:dyDescent="0.2"/>
    <row r="30" spans="1:42" ht="15.75" customHeight="1" x14ac:dyDescent="0.2"/>
    <row r="31" spans="1:42" ht="15.75" customHeight="1" x14ac:dyDescent="0.2"/>
    <row r="32" spans="1:4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57</v>
      </c>
      <c r="D3" s="2" t="s">
        <v>9</v>
      </c>
      <c r="E3" s="17" t="s">
        <v>58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IFERROR(__xludf.DUMMYFUNCTION("""COMPUTED_VALUE"""),"From")</f>
        <v>From</v>
      </c>
      <c r="E5" s="22" t="str">
        <f ca="1">IFERROR(__xludf.DUMMYFUNCTION("""COMPUTED_VALUE"""),"To")</f>
        <v>To</v>
      </c>
      <c r="F5" s="23" t="str">
        <f ca="1">IFERROR(__xludf.DUMMYFUNCTION("""COMPUTED_VALUE"""),"SettlementDate")</f>
        <v>SettlementDate</v>
      </c>
      <c r="G5" s="22" t="str">
        <f ca="1">IFERROR(__xludf.DUMMYFUNCTION("""COMPUTED_VALUE"""),"TradeDate")</f>
        <v>TradeDate</v>
      </c>
      <c r="H5" s="22" t="str">
        <f ca="1">IFERROR(__xludf.DUMMYFUNCTION("""COMPUTED_VALUE"""),"All")</f>
        <v>All</v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59</v>
      </c>
      <c r="C6" s="42" t="s">
        <v>60</v>
      </c>
      <c r="D6" s="43">
        <f ca="1">TODAY()-1</f>
        <v>44411</v>
      </c>
      <c r="E6" s="43">
        <f ca="1">TODAY()</f>
        <v>44412</v>
      </c>
      <c r="F6" s="44" t="s">
        <v>61</v>
      </c>
      <c r="G6" s="44" t="s">
        <v>62</v>
      </c>
      <c r="H6" s="44" t="s">
        <v>61</v>
      </c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32" width="14.42578125" customWidth="1"/>
    <col min="33" max="33" width="19" customWidth="1"/>
    <col min="34" max="154" width="14.42578125" customWidth="1"/>
  </cols>
  <sheetData>
    <row r="1" spans="1:154" ht="15.75" customHeight="1" x14ac:dyDescent="0.3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57</v>
      </c>
      <c r="D3" s="2" t="s">
        <v>9</v>
      </c>
      <c r="E3" s="17" t="s">
        <v>63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IFERROR(__xludf.DUMMYFUNCTION("""COMPUTED_VALUE"""),"Activity Source")</f>
        <v>Activity Source</v>
      </c>
      <c r="D5" s="22" t="str">
        <f ca="1">IFERROR(__xludf.DUMMYFUNCTION("""COMPUTED_VALUE"""),"ActivityType")</f>
        <v>ActivityType</v>
      </c>
      <c r="E5" s="22" t="str">
        <f ca="1">IFERROR(__xludf.DUMMYFUNCTION("""COMPUTED_VALUE"""),"Net Amount(Local)")</f>
        <v>Net Amount(Local)</v>
      </c>
      <c r="F5" s="23" t="str">
        <f ca="1">IFERROR(__xludf.DUMMYFUNCTION("""COMPUTED_VALUE"""),"AUEC Fee1")</f>
        <v>AUEC Fee1</v>
      </c>
      <c r="G5" s="22" t="str">
        <f ca="1">IFERROR(__xludf.DUMMYFUNCTION("""COMPUTED_VALUE"""),"AUEC Fee2")</f>
        <v>AUEC Fee2</v>
      </c>
      <c r="H5" s="22" t="str">
        <f ca="1">IFERROR(__xludf.DUMMYFUNCTION("""COMPUTED_VALUE"""),"Balance Type")</f>
        <v>Balance Type</v>
      </c>
      <c r="I5" s="22" t="str">
        <f ca="1">IFERROR(__xludf.DUMMYFUNCTION("""COMPUTED_VALUE"""),"Clearing Broker Fees")</f>
        <v>Clearing Broker Fees</v>
      </c>
      <c r="J5" s="22" t="str">
        <f ca="1">IFERROR(__xludf.DUMMYFUNCTION("""COMPUTED_VALUE"""),"Commission")</f>
        <v>Commission</v>
      </c>
      <c r="K5" s="22" t="str">
        <f ca="1">IFERROR(__xludf.DUMMYFUNCTION("""COMPUTED_VALUE"""),"Currency")</f>
        <v>Currency</v>
      </c>
      <c r="L5" s="22" t="str">
        <f ca="1">IFERROR(__xludf.DUMMYFUNCTION("""COMPUTED_VALUE"""),"Description")</f>
        <v>Description</v>
      </c>
      <c r="M5" s="22" t="str">
        <f ca="1">IFERROR(__xludf.DUMMYFUNCTION("""COMPUTED_VALUE"""),"Entry Date")</f>
        <v>Entry Date</v>
      </c>
      <c r="N5" s="22" t="str">
        <f ca="1">IFERROR(__xludf.DUMMYFUNCTION("""COMPUTED_VALUE"""),"FX Conversion Method Operator")</f>
        <v>FX Conversion Method Operator</v>
      </c>
      <c r="O5" s="22" t="str">
        <f ca="1">IFERROR(__xludf.DUMMYFUNCTION("""COMPUTED_VALUE"""),"Fx Rate")</f>
        <v>Fx Rate</v>
      </c>
      <c r="P5" s="22" t="str">
        <f ca="1">IFERROR(__xludf.DUMMYFUNCTION("""COMPUTED_VALUE"""),"Lead Currency")</f>
        <v>Lead Currency</v>
      </c>
      <c r="Q5" s="22" t="str">
        <f ca="1">IFERROR(__xludf.DUMMYFUNCTION("""COMPUTED_VALUE"""),"Modify date")</f>
        <v>Modify date</v>
      </c>
      <c r="R5" s="22" t="str">
        <f ca="1">IFERROR(__xludf.DUMMYFUNCTION("""COMPUTED_VALUE"""),"OCC Fee")</f>
        <v>OCC Fee</v>
      </c>
      <c r="S5" s="22" t="str">
        <f ca="1">IFERROR(__xludf.DUMMYFUNCTION("""COMPUTED_VALUE"""),"OptionPremiumAdjustment")</f>
        <v>OptionPremiumAdjustment</v>
      </c>
      <c r="T5" s="24" t="str">
        <f ca="1">IFERROR(__xludf.DUMMYFUNCTION("""COMPUTED_VALUE"""),"ORF Fee")</f>
        <v>ORF Fee</v>
      </c>
      <c r="U5" s="24" t="str">
        <f ca="1">IFERROR(__xludf.DUMMYFUNCTION("""COMPUTED_VALUE"""),"Other Broker Fees")</f>
        <v>Other Broker Fees</v>
      </c>
      <c r="V5" s="24" t="str">
        <f ca="1">IFERROR(__xludf.DUMMYFUNCTION("""COMPUTED_VALUE"""),"Quantity")</f>
        <v>Quantity</v>
      </c>
      <c r="W5" s="24" t="str">
        <f ca="1">IFERROR(__xludf.DUMMYFUNCTION("""COMPUTED_VALUE"""),"SEC Fee")</f>
        <v>SEC Fee</v>
      </c>
      <c r="X5" s="24" t="str">
        <f ca="1">IFERROR(__xludf.DUMMYFUNCTION("""COMPUTED_VALUE"""),"Settlement Currency")</f>
        <v>Settlement Currency</v>
      </c>
      <c r="Y5" s="24" t="str">
        <f ca="1">IFERROR(__xludf.DUMMYFUNCTION("""COMPUTED_VALUE"""),"Settlement Date")</f>
        <v>Settlement Date</v>
      </c>
      <c r="Z5" s="24" t="str">
        <f ca="1">IFERROR(__xludf.DUMMYFUNCTION("""COMPUTED_VALUE"""),"Soft Commission")</f>
        <v>Soft Commission</v>
      </c>
      <c r="AA5" s="24" t="str">
        <f ca="1">IFERROR(__xludf.DUMMYFUNCTION("""COMPUTED_VALUE"""),"Stamp Duty")</f>
        <v>Stamp Duty</v>
      </c>
      <c r="AB5" s="24" t="str">
        <f ca="1">IFERROR(__xludf.DUMMYFUNCTION("""COMPUTED_VALUE"""),"Symbol")</f>
        <v>Symbol</v>
      </c>
      <c r="AC5" s="24" t="str">
        <f ca="1">IFERROR(__xludf.DUMMYFUNCTION("""COMPUTED_VALUE"""),"Tax On Commissions")</f>
        <v>Tax On Commissions</v>
      </c>
      <c r="AD5" s="24" t="str">
        <f ca="1">IFERROR(__xludf.DUMMYFUNCTION("""COMPUTED_VALUE"""),"Total Commissions")</f>
        <v>Total Commissions</v>
      </c>
      <c r="AE5" s="24" t="str">
        <f ca="1">IFERROR(__xludf.DUMMYFUNCTION("""COMPUTED_VALUE"""),"Trade Date")</f>
        <v>Trade Date</v>
      </c>
      <c r="AF5" s="24" t="str">
        <f ca="1">IFERROR(__xludf.DUMMYFUNCTION("""COMPUTED_VALUE"""),"Transaction Levy")</f>
        <v>Transaction Levy</v>
      </c>
      <c r="AG5" s="24" t="str">
        <f ca="1">IFERROR(__xludf.DUMMYFUNCTION("""COMPUTED_VALUE"""),"Transaction Source")</f>
        <v>Transaction Source</v>
      </c>
      <c r="AH5" s="24" t="str">
        <f ca="1">IFERROR(__xludf.DUMMYFUNCTION("""COMPUTED_VALUE"""),"User")</f>
        <v>User</v>
      </c>
      <c r="AI5" s="24" t="str">
        <f ca="1">IFERROR(__xludf.DUMMYFUNCTION("""COMPUTED_VALUE"""),"Vs Currency")</f>
        <v>Vs Currency</v>
      </c>
      <c r="AJ5" s="24" t="str">
        <f ca="1">IFERROR(__xludf.DUMMYFUNCTION("""COMPUTED_VALUE"""),"SettlCurrencyID")</f>
        <v>SettlCurrencyID</v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5">
      <c r="A6" s="7"/>
      <c r="B6" s="38" t="s">
        <v>20</v>
      </c>
      <c r="C6" s="5"/>
      <c r="D6" s="38" t="s">
        <v>64</v>
      </c>
      <c r="F6" s="5"/>
      <c r="G6" s="5"/>
      <c r="H6" s="5"/>
      <c r="I6" s="5"/>
      <c r="J6" s="5"/>
      <c r="K6" s="38" t="s">
        <v>65</v>
      </c>
      <c r="L6" s="5"/>
      <c r="M6" s="5"/>
      <c r="N6" s="5"/>
      <c r="O6" s="5"/>
      <c r="V6" s="38">
        <v>10000</v>
      </c>
      <c r="AB6" s="38" t="s">
        <v>18</v>
      </c>
      <c r="AG6" s="38" t="s">
        <v>66</v>
      </c>
    </row>
    <row r="7" spans="1:154" ht="15.75" customHeight="1" x14ac:dyDescent="0.25">
      <c r="A7" s="5"/>
      <c r="B7" s="38" t="s">
        <v>46</v>
      </c>
      <c r="C7" s="5"/>
      <c r="D7" s="38" t="s">
        <v>67</v>
      </c>
      <c r="F7" s="5"/>
      <c r="G7" s="5"/>
      <c r="H7" s="5"/>
      <c r="I7" s="5"/>
      <c r="J7" s="5"/>
      <c r="K7" s="38" t="s">
        <v>65</v>
      </c>
      <c r="L7" s="5"/>
      <c r="M7" s="5"/>
      <c r="N7" s="5"/>
      <c r="O7" s="5"/>
      <c r="V7" s="38">
        <v>500</v>
      </c>
      <c r="AB7" s="38" t="s">
        <v>21</v>
      </c>
      <c r="AG7" s="38" t="s">
        <v>66</v>
      </c>
    </row>
    <row r="8" spans="1:154" ht="15.75" customHeight="1" x14ac:dyDescent="0.25">
      <c r="A8" s="5"/>
      <c r="B8" s="38" t="s">
        <v>47</v>
      </c>
      <c r="C8" s="5"/>
      <c r="D8" s="38" t="s">
        <v>67</v>
      </c>
      <c r="F8" s="5"/>
      <c r="G8" s="5"/>
      <c r="H8" s="5"/>
      <c r="I8" s="5"/>
      <c r="J8" s="5"/>
      <c r="K8" s="38" t="s">
        <v>65</v>
      </c>
      <c r="L8" s="5"/>
      <c r="M8" s="5"/>
      <c r="N8" s="5"/>
      <c r="O8" s="5"/>
      <c r="V8" s="38">
        <v>500</v>
      </c>
      <c r="AB8" s="38" t="s">
        <v>21</v>
      </c>
      <c r="AG8" s="38" t="s">
        <v>66</v>
      </c>
    </row>
    <row r="9" spans="1:154" ht="15.75" customHeight="1" x14ac:dyDescent="0.25">
      <c r="A9" s="5"/>
      <c r="B9" s="38" t="s">
        <v>46</v>
      </c>
      <c r="C9" s="5"/>
      <c r="D9" s="38" t="s">
        <v>64</v>
      </c>
      <c r="F9" s="5"/>
      <c r="G9" s="5"/>
      <c r="H9" s="5"/>
      <c r="I9" s="5"/>
      <c r="J9" s="5"/>
      <c r="K9" s="38" t="s">
        <v>65</v>
      </c>
      <c r="L9" s="5"/>
      <c r="M9" s="5"/>
      <c r="N9" s="5"/>
      <c r="O9" s="5"/>
      <c r="V9" s="38">
        <v>500</v>
      </c>
      <c r="AB9" s="38" t="s">
        <v>25</v>
      </c>
      <c r="AG9" s="38" t="s">
        <v>66</v>
      </c>
    </row>
    <row r="10" spans="1:154" ht="15.75" customHeight="1" x14ac:dyDescent="0.25">
      <c r="A10" s="5"/>
      <c r="B10" s="38" t="s">
        <v>47</v>
      </c>
      <c r="C10" s="5"/>
      <c r="D10" s="38" t="s">
        <v>64</v>
      </c>
      <c r="F10" s="5"/>
      <c r="G10" s="5"/>
      <c r="H10" s="5"/>
      <c r="I10" s="5"/>
      <c r="J10" s="5"/>
      <c r="K10" s="38" t="s">
        <v>65</v>
      </c>
      <c r="L10" s="5"/>
      <c r="M10" s="5"/>
      <c r="N10" s="5"/>
      <c r="O10" s="5"/>
      <c r="V10" s="38">
        <v>500</v>
      </c>
      <c r="AB10" s="38" t="s">
        <v>25</v>
      </c>
      <c r="AG10" s="38" t="s">
        <v>66</v>
      </c>
    </row>
    <row r="11" spans="1:154" ht="15.75" customHeight="1" x14ac:dyDescent="0.25">
      <c r="A11" s="5"/>
      <c r="B11" s="38" t="s">
        <v>46</v>
      </c>
      <c r="C11" s="5"/>
      <c r="D11" s="38" t="s">
        <v>64</v>
      </c>
      <c r="F11" s="5"/>
      <c r="G11" s="5"/>
      <c r="H11" s="5"/>
      <c r="I11" s="5"/>
      <c r="J11" s="5"/>
      <c r="K11" s="38" t="s">
        <v>65</v>
      </c>
      <c r="L11" s="5"/>
      <c r="M11" s="5"/>
      <c r="N11" s="5"/>
      <c r="O11" s="5"/>
      <c r="V11" s="38">
        <v>700</v>
      </c>
      <c r="AB11" s="38" t="s">
        <v>26</v>
      </c>
      <c r="AG11" s="38" t="s">
        <v>66</v>
      </c>
    </row>
    <row r="12" spans="1:154" ht="15.75" customHeight="1" x14ac:dyDescent="0.25">
      <c r="A12" s="5"/>
      <c r="B12" s="38" t="s">
        <v>47</v>
      </c>
      <c r="C12" s="5"/>
      <c r="D12" s="38" t="s">
        <v>64</v>
      </c>
      <c r="F12" s="5"/>
      <c r="G12" s="5"/>
      <c r="H12" s="5"/>
      <c r="I12" s="5"/>
      <c r="J12" s="5"/>
      <c r="K12" s="38" t="s">
        <v>65</v>
      </c>
      <c r="L12" s="5"/>
      <c r="M12" s="5"/>
      <c r="N12" s="5"/>
      <c r="O12" s="5"/>
      <c r="V12" s="38">
        <v>300</v>
      </c>
      <c r="AB12" s="38" t="s">
        <v>26</v>
      </c>
      <c r="AG12" s="38" t="s">
        <v>66</v>
      </c>
    </row>
    <row r="13" spans="1:154" ht="15.75" customHeight="1" x14ac:dyDescent="0.25">
      <c r="A13" s="5"/>
      <c r="B13" s="38" t="s">
        <v>20</v>
      </c>
      <c r="C13" s="5"/>
      <c r="D13" s="38" t="s">
        <v>64</v>
      </c>
      <c r="F13" s="5"/>
      <c r="G13" s="5"/>
      <c r="H13" s="5"/>
      <c r="I13" s="5"/>
      <c r="J13" s="5"/>
      <c r="K13" s="38" t="s">
        <v>65</v>
      </c>
      <c r="L13" s="5"/>
      <c r="M13" s="5"/>
      <c r="N13" s="5"/>
      <c r="O13" s="5"/>
      <c r="V13" s="38">
        <v>5000</v>
      </c>
      <c r="AB13" s="38" t="s">
        <v>18</v>
      </c>
      <c r="AG13" s="38" t="s">
        <v>66</v>
      </c>
    </row>
    <row r="14" spans="1:154" ht="15.75" customHeight="1" x14ac:dyDescent="0.25">
      <c r="A14" s="5"/>
      <c r="B14" s="38" t="s">
        <v>46</v>
      </c>
      <c r="C14" s="5"/>
      <c r="D14" s="38" t="s">
        <v>67</v>
      </c>
      <c r="F14" s="5"/>
      <c r="G14" s="5"/>
      <c r="H14" s="5"/>
      <c r="I14" s="5"/>
      <c r="J14" s="5"/>
      <c r="K14" s="38" t="s">
        <v>65</v>
      </c>
      <c r="L14" s="5"/>
      <c r="M14" s="5"/>
      <c r="N14" s="5"/>
      <c r="O14" s="5"/>
      <c r="V14" s="38">
        <v>250</v>
      </c>
      <c r="AB14" s="38" t="s">
        <v>21</v>
      </c>
      <c r="AG14" s="38" t="s">
        <v>66</v>
      </c>
    </row>
    <row r="15" spans="1:154" ht="15.75" customHeight="1" x14ac:dyDescent="0.25">
      <c r="A15" s="5"/>
      <c r="B15" s="38" t="s">
        <v>47</v>
      </c>
      <c r="C15" s="5"/>
      <c r="D15" s="38" t="s">
        <v>67</v>
      </c>
      <c r="F15" s="5"/>
      <c r="G15" s="5"/>
      <c r="H15" s="5"/>
      <c r="I15" s="5"/>
      <c r="J15" s="5"/>
      <c r="K15" s="38" t="s">
        <v>65</v>
      </c>
      <c r="L15" s="5"/>
      <c r="M15" s="5"/>
      <c r="N15" s="5"/>
      <c r="O15" s="5"/>
      <c r="V15" s="38">
        <v>250</v>
      </c>
      <c r="AB15" s="38" t="s">
        <v>21</v>
      </c>
      <c r="AG15" s="38" t="s">
        <v>66</v>
      </c>
    </row>
    <row r="16" spans="1:154" ht="15.75" customHeight="1" x14ac:dyDescent="0.25">
      <c r="A16" s="5"/>
      <c r="B16" s="38" t="s">
        <v>46</v>
      </c>
      <c r="C16" s="5"/>
      <c r="D16" s="38" t="s">
        <v>64</v>
      </c>
      <c r="F16" s="5"/>
      <c r="G16" s="5"/>
      <c r="H16" s="5"/>
      <c r="I16" s="5"/>
      <c r="J16" s="5"/>
      <c r="K16" s="38" t="s">
        <v>65</v>
      </c>
      <c r="L16" s="5"/>
      <c r="M16" s="5"/>
      <c r="N16" s="5"/>
      <c r="O16" s="5"/>
      <c r="V16" s="38">
        <v>550</v>
      </c>
      <c r="AB16" s="38" t="s">
        <v>25</v>
      </c>
      <c r="AG16" s="38" t="s">
        <v>66</v>
      </c>
    </row>
    <row r="17" spans="1:33" ht="15.75" customHeight="1" x14ac:dyDescent="0.25">
      <c r="A17" s="5"/>
      <c r="B17" s="38" t="s">
        <v>47</v>
      </c>
      <c r="C17" s="5"/>
      <c r="D17" s="38" t="s">
        <v>64</v>
      </c>
      <c r="F17" s="5"/>
      <c r="G17" s="5"/>
      <c r="H17" s="5"/>
      <c r="I17" s="5"/>
      <c r="J17" s="5"/>
      <c r="K17" s="38" t="s">
        <v>65</v>
      </c>
      <c r="L17" s="5"/>
      <c r="M17" s="5"/>
      <c r="N17" s="5"/>
      <c r="O17" s="5"/>
      <c r="V17" s="38">
        <v>550</v>
      </c>
      <c r="AB17" s="38" t="s">
        <v>25</v>
      </c>
      <c r="AG17" s="38" t="s">
        <v>66</v>
      </c>
    </row>
    <row r="18" spans="1:33" ht="15.75" customHeight="1" x14ac:dyDescent="0.25">
      <c r="A18" s="5"/>
      <c r="B18" s="38" t="s">
        <v>46</v>
      </c>
      <c r="C18" s="5"/>
      <c r="D18" s="38" t="s">
        <v>67</v>
      </c>
      <c r="F18" s="5"/>
      <c r="G18" s="5"/>
      <c r="H18" s="5"/>
      <c r="I18" s="5"/>
      <c r="J18" s="5"/>
      <c r="K18" s="38" t="s">
        <v>65</v>
      </c>
      <c r="L18" s="5"/>
      <c r="M18" s="5"/>
      <c r="N18" s="5"/>
      <c r="O18" s="5"/>
      <c r="V18" s="38">
        <v>770</v>
      </c>
      <c r="AB18" s="38" t="s">
        <v>26</v>
      </c>
      <c r="AG18" s="38" t="s">
        <v>66</v>
      </c>
    </row>
    <row r="19" spans="1:33" ht="15.75" customHeight="1" x14ac:dyDescent="0.25">
      <c r="A19" s="5"/>
      <c r="B19" s="38" t="s">
        <v>47</v>
      </c>
      <c r="C19" s="5"/>
      <c r="D19" s="38" t="s">
        <v>67</v>
      </c>
      <c r="F19" s="5"/>
      <c r="G19" s="5"/>
      <c r="H19" s="5"/>
      <c r="I19" s="5"/>
      <c r="J19" s="5"/>
      <c r="K19" s="38" t="s">
        <v>65</v>
      </c>
      <c r="L19" s="5"/>
      <c r="M19" s="5"/>
      <c r="N19" s="5"/>
      <c r="O19" s="5"/>
      <c r="V19" s="38">
        <v>330</v>
      </c>
      <c r="AB19" s="38" t="s">
        <v>26</v>
      </c>
      <c r="AG19" s="38" t="s">
        <v>66</v>
      </c>
    </row>
    <row r="20" spans="1:33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33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33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33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33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33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33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33" ht="15.75" customHeight="1" x14ac:dyDescent="0.2"/>
    <row r="28" spans="1:33" ht="15.75" customHeight="1" x14ac:dyDescent="0.2"/>
    <row r="29" spans="1:33" ht="15.75" customHeight="1" x14ac:dyDescent="0.2"/>
    <row r="30" spans="1:33" ht="15.75" customHeight="1" x14ac:dyDescent="0.2"/>
    <row r="31" spans="1:33" ht="15.75" customHeight="1" x14ac:dyDescent="0.2"/>
    <row r="32" spans="1:3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2" width="14.42578125" customWidth="1"/>
    <col min="3" max="3" width="21" customWidth="1"/>
    <col min="4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IFERROR(__xludf.DUMMYFUNCTION("""COMPUTED_VALUE"""),"ValidateCheckSide")</f>
        <v>ValidateCheckSide</v>
      </c>
      <c r="C5" s="22" t="str">
        <f ca="1">IFERROR(__xludf.DUMMYFUNCTION("""COMPUTED_VALUE"""),"DisabledChecksideAssets")</f>
        <v>DisabledChecksideAssets</v>
      </c>
      <c r="D5" s="22" t="str">
        <f ca="1">IFERROR(__xludf.DUMMYFUNCTION("""COMPUTED_VALUE"""),"PrecisionValue")</f>
        <v>PrecisionValue</v>
      </c>
      <c r="E5" s="22" t="str">
        <f ca="1">IFERROR(__xludf.DUMMYFUNCTION("""COMPUTED_VALUE"""),"UseCommissionInNetAmount")</f>
        <v>UseCommissionInNetAmount</v>
      </c>
      <c r="F5" s="23" t="str">
        <f ca="1">IFERROR(__xludf.DUMMYFUNCTION("""COMPUTED_VALUE"""),"SaveWithoutState")</f>
        <v>SaveWithoutState</v>
      </c>
      <c r="G5" s="22" t="str">
        <f ca="1">IFERROR(__xludf.DUMMYFUNCTION("""COMPUTED_VALUE"""),"SaveWithState")</f>
        <v>SaveWithState</v>
      </c>
      <c r="H5" s="22" t="str">
        <f ca="1">IFERROR(__xludf.DUMMYFUNCTION("""COMPUTED_VALUE"""),"ClearQuantities")</f>
        <v>ClearQuantities</v>
      </c>
      <c r="I5" s="22" t="str">
        <f ca="1">IFERROR(__xludf.DUMMYFUNCTION("""COMPUTED_VALUE"""),"ReapplyAllocation")</f>
        <v>ReapplyAllocation</v>
      </c>
      <c r="J5" s="22" t="str">
        <f ca="1">IFERROR(__xludf.DUMMYFUNCTION("""COMPUTED_VALUE"""),"DefaultAllocation")</f>
        <v>DefaultAllocation</v>
      </c>
      <c r="K5" s="22" t="str">
        <f ca="1">IFERROR(__xludf.DUMMYFUNCTION("""COMPUTED_VALUE"""),"IsCustomPreference")</f>
        <v>IsCustomPreference</v>
      </c>
      <c r="L5" s="22" t="str">
        <f ca="1">IFERROR(__xludf.DUMMYFUNCTION("""COMPUTED_VALUE"""),"AllocationMethod")</f>
        <v>AllocationMethod</v>
      </c>
      <c r="M5" s="22" t="str">
        <f ca="1">IFERROR(__xludf.DUMMYFUNCTION("""COMPUTED_VALUE"""),"RemainderAllocationTo")</f>
        <v>RemainderAllocationTo</v>
      </c>
      <c r="N5" s="22" t="str">
        <f ca="1">IFERROR(__xludf.DUMMYFUNCTION("""COMPUTED_VALUE"""),"Target%AsOf")</f>
        <v>Target%AsOf</v>
      </c>
      <c r="O5" s="22" t="str">
        <f ca="1">IFERROR(__xludf.DUMMYFUNCTION("""COMPUTED_VALUE"""),"ProrataAccounts")</f>
        <v>ProrataAccounts</v>
      </c>
      <c r="P5" s="22" t="str">
        <f ca="1">IFERROR(__xludf.DUMMYFUNCTION("""COMPUTED_VALUE"""),"DateUptoDays")</f>
        <v>DateUptoDays</v>
      </c>
      <c r="Q5" s="22" t="str">
        <f ca="1">IFERROR(__xludf.DUMMYFUNCTION("""COMPUTED_VALUE"""),"MatchClosing")</f>
        <v>MatchClosing</v>
      </c>
      <c r="R5" s="22" t="str">
        <f ca="1">IFERROR(__xludf.DUMMYFUNCTION("""COMPUTED_VALUE"""),"CommissionAlertOnBrokerChange")</f>
        <v>CommissionAlertOnBrokerChange</v>
      </c>
      <c r="S5" s="22" t="str">
        <f ca="1">IFERROR(__xludf.DUMMYFUNCTION("""COMPUTED_VALUE"""),"RecalculateCommissionOnBrokerChange")</f>
        <v>RecalculateCommissionOnBrokerChange</v>
      </c>
      <c r="T5" s="24" t="str">
        <f ca="1">IFERROR(__xludf.DUMMYFUNCTION("""COMPUTED_VALUE"""),"CommissionAlertOnAllocation")</f>
        <v>CommissionAlertOnAllocation</v>
      </c>
      <c r="U5" s="24" t="str">
        <f ca="1">IFERROR(__xludf.DUMMYFUNCTION("""COMPUTED_VALUE"""),"RecalculateCommissionOnAllocation")</f>
        <v>RecalculateCommissionOnAllocation</v>
      </c>
      <c r="V5" s="24" t="str">
        <f ca="1">IFERROR(__xludf.DUMMYFUNCTION("""COMPUTED_VALUE"""),"EnableMasterFund")</f>
        <v>EnableMasterFund</v>
      </c>
      <c r="W5" s="24" t="str">
        <f ca="1">IFERROR(__xludf.DUMMYFUNCTION("""COMPUTED_VALUE"""),"1MasterFund/1Symbol")</f>
        <v>1MasterFund/1Symbol</v>
      </c>
      <c r="X5" s="24" t="str">
        <f ca="1">IFERROR(__xludf.DUMMYFUNCTION("""COMPUTED_VALUE"""),"ProrataSchemeName")</f>
        <v>ProrataSchemeName</v>
      </c>
      <c r="Y5" s="24" t="str">
        <f ca="1">IFERROR(__xludf.DUMMYFUNCTION("""COMPUTED_VALUE"""),"ProrataAllocationSchemeBasis")</f>
        <v>ProrataAllocationSchemeBasis</v>
      </c>
      <c r="Z5" s="24" t="str">
        <f ca="1">IFERROR(__xludf.DUMMYFUNCTION("""COMPUTED_VALUE"""),"ShowAdvancedProrataUI")</f>
        <v>ShowAdvancedProrataUI</v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b">
        <v>1</v>
      </c>
      <c r="C6" s="5"/>
      <c r="D6" s="7"/>
      <c r="E6" s="26"/>
      <c r="F6" s="5"/>
      <c r="G6" s="5"/>
      <c r="H6" s="5"/>
      <c r="I6" s="5"/>
      <c r="J6" s="5"/>
      <c r="K6" s="5"/>
      <c r="L6" s="5"/>
      <c r="M6" s="5"/>
      <c r="N6" s="5"/>
      <c r="O6" s="5"/>
      <c r="Z6" s="6" t="b">
        <v>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_Modules</vt:lpstr>
      <vt:lpstr>_Settings</vt:lpstr>
      <vt:lpstr>_MasterData</vt:lpstr>
      <vt:lpstr>CleanUp</vt:lpstr>
      <vt:lpstr>CreateDoneAwayOrder</vt:lpstr>
      <vt:lpstr>SetGeneralPreferences</vt:lpstr>
      <vt:lpstr>RunProrata</vt:lpstr>
      <vt:lpstr>SelectUnallocatedGroup</vt:lpstr>
      <vt:lpstr>EnterAllocatePreference</vt:lpstr>
      <vt:lpstr>VerifyOrder</vt:lpstr>
      <vt:lpstr>CheckAllocatedGroups</vt:lpstr>
      <vt:lpstr>GetFixedPreference</vt:lpstr>
      <vt:lpstr>CheckFixedPreference</vt:lpstr>
      <vt:lpstr>GetDataClosing</vt:lpstr>
      <vt:lpstr>VerifyLongPositionsGrid</vt:lpstr>
      <vt:lpstr>VerifyShortPositionsGrid</vt:lpstr>
      <vt:lpstr>CheckPortfolioManagement</vt:lpstr>
      <vt:lpstr>GetActivityData</vt:lpstr>
      <vt:lpstr>VerifyActivity</vt:lpstr>
      <vt:lpstr>ResetGeneralPreferences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2021-08-04T09:29:28Z</dcterms:modified>
</cp:coreProperties>
</file>