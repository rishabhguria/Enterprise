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LiveOrder" sheetId="5" r:id="rId7"/>
    <sheet state="visible" name="SelectTrade" sheetId="6" r:id="rId8"/>
    <sheet state="visible" name="AcknowledgeTrade" sheetId="7" r:id="rId9"/>
    <sheet state="visible" name="ExecuteTrade" sheetId="8" r:id="rId10"/>
    <sheet state="visible" name="CreateLiveOrder1" sheetId="9" r:id="rId11"/>
    <sheet state="visible" name="SelectTrade1" sheetId="10" r:id="rId12"/>
    <sheet state="visible" name="AcknowledgeTrade1" sheetId="11" r:id="rId13"/>
    <sheet state="visible" name="ExecuteTrade1" sheetId="12" r:id="rId14"/>
    <sheet state="visible" name="VerifyOrder" sheetId="13" r:id="rId15"/>
  </sheets>
  <definedNames/>
  <calcPr/>
</workbook>
</file>

<file path=xl/sharedStrings.xml><?xml version="1.0" encoding="utf-8"?>
<sst xmlns="http://schemas.openxmlformats.org/spreadsheetml/2006/main" count="110" uniqueCount="31">
  <si>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</si>
  <si>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</si>
  <si>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</si>
  <si>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</si>
  <si>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</si>
  <si>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</si>
  <si>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</si>
  <si>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</si>
  <si>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</si>
  <si>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</si>
  <si>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</si>
  <si>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</si>
  <si>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</si>
  <si>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</si>
  <si>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</si>
  <si>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</si>
  <si>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Account</t>
  </si>
  <si>
    <t>TradingTicket</t>
  </si>
  <si>
    <t>CreateLiveOrder</t>
  </si>
  <si>
    <t>AAPL</t>
  </si>
  <si>
    <t>Buy</t>
  </si>
  <si>
    <t>Allocation1</t>
  </si>
  <si>
    <t>MS</t>
  </si>
  <si>
    <t>Yes</t>
  </si>
  <si>
    <t>Simulator</t>
  </si>
  <si>
    <t>SelectTrade</t>
  </si>
  <si>
    <t>AcknowledgeTrade</t>
  </si>
  <si>
    <t>ExecuteTrade</t>
  </si>
  <si>
    <t>Blotter</t>
  </si>
  <si>
    <t>VerifyOrder</t>
  </si>
  <si>
    <t>Filled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</si>
</sst>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 t="str">
        <f>IFERROR(__xludf.DUMMYFUNCTION("""COMPUTED_VALUE"""),"Output")</f>
        <v>Output</v>
      </c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 t="str">
        <f>IFERROR(__xludf.DUMMYFUNCTION("""COMPUTED_VALUE"""),"Output")</f>
        <v>Output</v>
      </c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 t="str">
        <f>IFERROR(__xludf.DUMMYFUNCTION("""COMPUTED_VALUE"""),"Output")</f>
        <v>Output</v>
      </c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 t="str">
        <f>IFERROR(__xludf.DUMMYFUNCTION("""COMPUTED_VALUE"""),"Input")</f>
        <v>Input</v>
      </c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  <c r="D127">
        <f>IFERROR(__xludf.DUMMYFUNCTION("""COMPUTED_VALUE"""),2.0)</f>
        <v>2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  <c r="D129">
        <f>IFERROR(__xludf.DUMMYFUNCTION("""COMPUTED_VALUE"""),1.0)</f>
        <v>1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  <c r="D138">
        <f>IFERROR(__xludf.DUMMYFUNCTION("""COMPUTED_VALUE"""),2.0)</f>
        <v>2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  <c r="D512" t="str">
        <f>IFERROR(__xludf.DUMMYFUNCTION("""COMPUTED_VALUE"""),"yes")</f>
        <v>yes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  <c r="D521" t="str">
        <f>IFERROR(__xludf.DUMMYFUNCTION("""COMPUTED_VALUE"""),"Input")</f>
        <v>Input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IFERROR(__xludf.DUMMYFUNCTION("""COMPUTED_VALUE"""),"1quv-mE6eJ-fIc80A1uTeO8ix7AN-iGUbKPfjMut6XGw")</f>
        <v>1quv-mE6eJ-fIc80A1uTeO8ix7AN-iGUbKPfjMut6XGw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IFERROR(__xludf.DUMMYFUNCTION("""COMPUTED_VALUE"""),"NavImpactingComponent")</f>
        <v>NavImpactingComponent</v>
      </c>
      <c r="C647" t="str">
        <f>IFERROR(__xludf.DUMMYFUNCTION("""COMPUTED_VALUE"""),"1h8uyOI4WaUZMlwJvQlp6cezgxjyJ2SLa2OEiG81xpGE")</f>
        <v>1h8uyOI4WaUZMlwJvQlp6cezgxjyJ2SLa2OEiG81xpGE</v>
      </c>
    </row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 t="str">
        <f>IFERROR(__xludf.DUMMYFUNCTION("""COMPUTED_VALUE"""),"SetAllocationPreferences")</f>
        <v>SetAllocationPreferences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3" t="b">
        <v>1</v>
      </c>
      <c r="O6" s="34">
        <v>2.0</v>
      </c>
      <c r="P6" s="32" t="s">
        <v>16</v>
      </c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SetTradingComplianceRules!$4:$4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 t="str">
        <f>IFERROR(__xludf.DUMMYFUNCTION("""COMPUTED_VALUE"""),"BBG Symbol Used")</f>
        <v>BBG Symbol Used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20</v>
      </c>
      <c r="D6" s="13">
        <v>1000.0</v>
      </c>
      <c r="E6" s="35"/>
      <c r="F6" s="13" t="s">
        <v>21</v>
      </c>
      <c r="G6" s="13" t="s">
        <v>22</v>
      </c>
      <c r="H6" s="8"/>
      <c r="I6" s="8"/>
      <c r="J6" s="13">
        <v>1.0</v>
      </c>
      <c r="K6" s="8"/>
      <c r="L6" s="8"/>
      <c r="M6" s="8"/>
      <c r="N6" s="8"/>
      <c r="O6" s="8"/>
      <c r="AP6" s="9">
        <v>0.0</v>
      </c>
      <c r="AQ6" s="9" t="s">
        <v>23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 t="str">
        <f>IFERROR(__xludf.DUMMYFUNCTION("""COMPUTED_VALUE"""),"SetToAutomaticResponse")</f>
        <v>SetToAutomaticResponse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19</v>
      </c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 t="str">
        <f>IFERROR(__xludf.DUMMYFUNCTION("""COMPUTED_VALUE"""),"SetToAutomaticResponse")</f>
        <v>SetToAutomaticResponse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19</v>
      </c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 t="str">
        <f>IFERROR(__xludf.DUMMYFUNCTION("""COMPUTED_VALUE"""),"SetToAutomaticResponse")</f>
        <v>SetToAutomaticResponse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1.0</v>
      </c>
      <c r="C6" s="13">
        <v>1000.0</v>
      </c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 t="str">
        <f>IFERROR(__xludf.DUMMYFUNCTION("""COMPUTED_VALUE"""),"BBG Symbol Used")</f>
        <v>BBG Symbol Used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20</v>
      </c>
      <c r="D6" s="13">
        <v>19001.0</v>
      </c>
      <c r="E6" s="35"/>
      <c r="F6" s="13" t="s">
        <v>21</v>
      </c>
      <c r="G6" s="13" t="s">
        <v>22</v>
      </c>
      <c r="H6" s="8"/>
      <c r="I6" s="8"/>
      <c r="J6" s="13">
        <v>1.0</v>
      </c>
      <c r="K6" s="8"/>
      <c r="L6" s="8"/>
      <c r="M6" s="8"/>
      <c r="N6" s="8"/>
      <c r="O6" s="8"/>
      <c r="AP6" s="9">
        <v>0.0</v>
      </c>
      <c r="AQ6" s="9" t="s">
        <v>23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 t="str">
        <f>IFERROR(__xludf.DUMMYFUNCTION("""COMPUTED_VALUE"""),"SetToAutomaticResponse")</f>
        <v>SetToAutomaticResponse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19</v>
      </c>
      <c r="D6" s="13"/>
      <c r="E6" s="35"/>
      <c r="F6" s="8"/>
      <c r="G6" s="13">
        <v>19001.0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 t="str">
        <f>IFERROR(__xludf.DUMMYFUNCTION("""COMPUTED_VALUE"""),"SetToAutomaticResponse")</f>
        <v>SetToAutomaticResponse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19</v>
      </c>
      <c r="D6" s="13"/>
      <c r="E6" s="35"/>
      <c r="F6" s="8"/>
      <c r="G6" s="13">
        <v>19001.0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 t="str">
        <f>IFERROR(__xludf.DUMMYFUNCTION("""COMPUTED_VALUE"""),"SetToAutomaticResponse")</f>
        <v>SetToAutomaticResponse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1.0</v>
      </c>
      <c r="C6" s="13">
        <v>19001.0</v>
      </c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ExecuteTrade1!$4:$4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19</v>
      </c>
      <c r="AJ6" s="9" t="s">
        <v>20</v>
      </c>
      <c r="AK6" s="9" t="s">
        <v>30</v>
      </c>
      <c r="AL6" s="9">
        <v>1000.0</v>
      </c>
      <c r="AS6" s="9" t="s">
        <v>22</v>
      </c>
      <c r="AT6" s="9" t="s">
        <v>21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19</v>
      </c>
      <c r="AJ7" s="9" t="s">
        <v>20</v>
      </c>
      <c r="AK7" s="9" t="s">
        <v>30</v>
      </c>
      <c r="AL7" s="9">
        <v>19001.0</v>
      </c>
      <c r="AS7" s="9" t="s">
        <v>22</v>
      </c>
      <c r="AT7" s="9" t="s">
        <v>21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