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StageOrder" sheetId="5" r:id="rId7"/>
    <sheet state="visible" name="TradeNewSubOrder" sheetId="6" r:id="rId8"/>
    <sheet state="visible" name="AddNavLock" sheetId="7" r:id="rId9"/>
    <sheet state="visible" name="CreateNewSubOrder" sheetId="8" r:id="rId10"/>
    <sheet state="visible" name="VerifyNavLockPopup" sheetId="9" r:id="rId11"/>
    <sheet state="visible" name="CustomOrderTT" sheetId="10" r:id="rId12"/>
  </sheets>
  <definedNames/>
  <calcPr/>
</workbook>
</file>

<file path=xl/sharedStrings.xml><?xml version="1.0" encoding="utf-8"?>
<sst xmlns="http://schemas.openxmlformats.org/spreadsheetml/2006/main" count="70" uniqueCount="29">
  <si>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</si>
  <si>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</si>
  <si>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</si>
  <si>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</si>
  <si>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</si>
  <si>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</si>
  <si>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</si>
  <si>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</si>
  <si>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</si>
  <si>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</si>
  <si>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</si>
  <si>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</si>
  <si>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</si>
  <si>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</si>
  <si>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</si>
  <si>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</si>
  <si>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NAV Lock</t>
  </si>
  <si>
    <t>TradingTicket</t>
  </si>
  <si>
    <t>CreateStageOrder</t>
  </si>
  <si>
    <t>AAPL</t>
  </si>
  <si>
    <t>Buy</t>
  </si>
  <si>
    <t>Blotter</t>
  </si>
  <si>
    <t>TradeNewSubOrder</t>
  </si>
  <si>
    <t>New</t>
  </si>
  <si>
    <t>NavLock</t>
  </si>
  <si>
    <t>AddNavLock</t>
  </si>
  <si>
    <t>CreateNewSubOrder</t>
  </si>
  <si>
    <t>VerifyNavLockPopup</t>
  </si>
  <si>
    <t>CustomOrderTT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</si>
</sst>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9.0"/>
      <color rgb="FF1F1F1F"/>
      <name val="&quot;Google Sans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6" fontId="13" numFmtId="14" xfId="0" applyAlignment="1" applyFill="1" applyFont="1" applyNumberFormat="1">
      <alignment horizontal="left" readingOrder="0"/>
    </xf>
    <xf borderId="0" fillId="6" fontId="1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s">
        <v>16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20</v>
      </c>
      <c r="D6" s="12">
        <v>100.0</v>
      </c>
      <c r="E6" s="34"/>
      <c r="F6" s="8"/>
      <c r="G6" s="8"/>
      <c r="H6" s="8"/>
      <c r="I6" s="8"/>
      <c r="J6" s="12">
        <v>5.0</v>
      </c>
      <c r="K6" s="8"/>
      <c r="L6" s="8"/>
      <c r="M6" s="8"/>
      <c r="N6" s="35">
        <f>TODAY()-2</f>
        <v>45469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4"/>
      <c r="F6" s="8"/>
      <c r="G6" s="8"/>
      <c r="H6" s="8"/>
      <c r="I6" s="8"/>
      <c r="J6" s="12" t="s">
        <v>19</v>
      </c>
      <c r="K6" s="8"/>
      <c r="L6" s="8"/>
      <c r="M6" s="8"/>
      <c r="N6" s="8"/>
      <c r="O6" s="8"/>
      <c r="AI6" s="9" t="s">
        <v>19</v>
      </c>
      <c r="AJ6" s="9" t="s">
        <v>20</v>
      </c>
      <c r="AK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IFERROR(__xludf.DUMMYFUNCTION("IF(C3="""","""",Transpose(IMPORTRANGE('_Settings'!$B$3,C3&amp;""!A4:A1000"")))"),"DeleteExistingNavLock")</f>
        <v>DeleteExistingNavLock</v>
      </c>
      <c r="C4" s="24" t="str">
        <f>IFERROR(__xludf.DUMMYFUNCTION("""COMPUTED_VALUE"""),"AddNavLock")</f>
        <v>AddNavLock</v>
      </c>
      <c r="D4" s="24" t="str">
        <f>IFERROR(__xludf.DUMMYFUNCTION("""COMPUTED_VALUE"""),"VerifyNavLockPopup")</f>
        <v>VerifyNavLockPopup</v>
      </c>
      <c r="E4" s="24" t="str">
        <f>IFERROR(__xludf.DUMMYFUNCTION("""COMPUTED_VALUE"""),"VerifyRowsNavLock")</f>
        <v>VerifyRowsNavLock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IFERROR(__xludf.DUMMYFUNCTION("""COMPUTED_VALUE"""),"Cancel")</f>
        <v>Cancel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>
        <f>TODAY()-1</f>
        <v>45470</v>
      </c>
      <c r="C6" s="12" t="b">
        <v>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AddNavLock!$4:$4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 t="str">
        <f>IFERROR(__xludf.DUMMYFUNCTION("""COMPUTED_VALUE"""),"ClearOldCA")</f>
        <v>ClearOldCA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20</v>
      </c>
      <c r="D6" s="12">
        <v>100.0</v>
      </c>
      <c r="E6" s="34"/>
      <c r="F6" s="8"/>
      <c r="G6" s="8"/>
      <c r="H6" s="8"/>
      <c r="I6" s="8"/>
      <c r="J6" s="12">
        <v>5.0</v>
      </c>
      <c r="K6" s="8"/>
      <c r="L6" s="8"/>
      <c r="M6" s="8"/>
      <c r="N6" s="35">
        <f>TODAY()-2</f>
        <v>45469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IFERROR(__xludf.DUMMYFUNCTION("IF(C3="""","""",Transpose(IMPORTRANGE('_Settings'!$B$3,C3&amp;""!A4:A1000"")))"),"DeleteExistingNavLock")</f>
        <v>DeleteExistingNavLock</v>
      </c>
      <c r="C4" s="24" t="str">
        <f>IFERROR(__xludf.DUMMYFUNCTION("""COMPUTED_VALUE"""),"AddNavLock")</f>
        <v>AddNavLock</v>
      </c>
      <c r="D4" s="24" t="str">
        <f>IFERROR(__xludf.DUMMYFUNCTION("""COMPUTED_VALUE"""),"VerifyNavLockPopup")</f>
        <v>VerifyNavLockPopup</v>
      </c>
      <c r="E4" s="24" t="str">
        <f>IFERROR(__xludf.DUMMYFUNCTION("""COMPUTED_VALUE"""),"VerifyRowsNavLock")</f>
        <v>VerifyRowsNavLock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IFERROR(__xludf.DUMMYFUNCTION("""COMPUTED_VALUE"""),"Description")</f>
        <v>Description</v>
      </c>
      <c r="C5" s="27" t="str">
        <f>IFERROR(__xludf.DUMMYFUNCTION("""COMPUTED_VALUE"""),"Window Type")</f>
        <v>Window Type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6" t="str">
        <f>"The date you’ve chosen for this action precedes your NAV Lock date (" &amp; MONTH(TODAY()-1) &amp; "/" &amp; DAY(TODAY()-1) &amp; "/" &amp; YEAR(TODAY()-1) &amp; "). Please reach out to your Support Team for further assistance"
</f>
        <v>The date you’ve chosen for this action precedes your NAV Lock date (6/27/2024). Please reach out to your Support Team for further assistance</v>
      </c>
      <c r="C6" s="12" t="s">
        <v>17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VerifyNavLockPopup!$4:$4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