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DailyCash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VerifyGridData" sheetId="12" r:id="rId14"/>
    <sheet state="visible" name="SendtoStaging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<sst xmlns="http://schemas.openxmlformats.org/spreadsheetml/2006/main" count="177" uniqueCount="53">
  <si>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</si>
  <si>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</si>
  <si>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</si>
  <si>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</si>
  <si>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</si>
  <si>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</si>
  <si>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</si>
  <si>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</si>
  <si>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</si>
  <si>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</si>
  <si>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</si>
  <si>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</si>
  <si>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</si>
  <si>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</si>
  <si>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</si>
  <si>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</si>
  <si>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</si>
  <si>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</si>
  <si>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</si>
  <si>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</si>
  <si>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TradingTicket</t>
  </si>
  <si>
    <t>CreateDoneAwayOrder</t>
  </si>
  <si>
    <t>Buy</t>
  </si>
  <si>
    <t>Sell short</t>
  </si>
  <si>
    <t>PricingInput</t>
  </si>
  <si>
    <t>DailyValuation</t>
  </si>
  <si>
    <t>GetDailyCash</t>
  </si>
  <si>
    <t>UpdateDailyCash</t>
  </si>
  <si>
    <t>Allocation1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</si>
  <si>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</si>
  <si>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</si>
  <si>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</si>
  <si>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</si>
  <si>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</si>
  <si>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</si>
  <si>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</si>
  <si>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</si>
  <si>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</si>
  <si>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</si>
  <si>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</si>
  <si>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VerifyGridData</t>
  </si>
  <si>
    <t>Equity</t>
  </si>
  <si>
    <t>Long</t>
  </si>
  <si>
    <t>Short</t>
  </si>
  <si>
    <t>Accruals</t>
  </si>
  <si>
    <t>Cash</t>
  </si>
  <si>
    <t>SendtoStaging</t>
  </si>
  <si>
    <t>SellShort</t>
  </si>
  <si>
    <t>Blotter</t>
  </si>
  <si>
    <t>VerifyOrder</t>
  </si>
  <si>
    <t>New</t>
  </si>
  <si>
    <t>MS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</si>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</sst>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00BFFF"/>
      <name val="&quot;Segoe UI&quot;"/>
    </font>
    <font>
      <sz val="9.0"/>
      <color rgb="FFFF8000"/>
      <name val="Verdana"/>
    </font>
    <font>
      <sz val="9.0"/>
      <color rgb="FF00BFFF"/>
      <name val="Arial"/>
    </font>
    <font>
      <sz val="9.0"/>
      <color rgb="FFFF8000"/>
      <name val="&quot;Segoe UI&quot;"/>
    </font>
    <font>
      <sz val="9.0"/>
      <color rgb="FFFF8000"/>
      <name val="Arial"/>
    </font>
    <font>
      <sz val="9.0"/>
      <color rgb="FF00BFFF"/>
      <name val="Verdana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horizontal="right" vertical="bottom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6" fontId="14" numFmtId="0" xfId="0" applyAlignment="1" applyFill="1" applyFont="1">
      <alignment horizontal="right" vertical="top"/>
    </xf>
    <xf borderId="0" fillId="7" fontId="15" numFmtId="0" xfId="0" applyAlignment="1" applyFill="1" applyFont="1">
      <alignment horizontal="right" vertical="top"/>
    </xf>
    <xf borderId="0" fillId="6" fontId="16" numFmtId="0" xfId="0" applyAlignment="1" applyFont="1">
      <alignment horizontal="right" readingOrder="0" vertical="top"/>
    </xf>
    <xf borderId="0" fillId="7" fontId="17" numFmtId="0" xfId="0" applyAlignment="1" applyFont="1">
      <alignment horizontal="right" vertical="top"/>
    </xf>
    <xf borderId="0" fillId="6" fontId="15" numFmtId="0" xfId="0" applyAlignment="1" applyFont="1">
      <alignment horizontal="right" vertical="top"/>
    </xf>
    <xf borderId="0" fillId="7" fontId="18" numFmtId="0" xfId="0" applyAlignment="1" applyFont="1">
      <alignment horizontal="right" readingOrder="0" vertical="top"/>
    </xf>
    <xf borderId="0" fillId="7" fontId="14" numFmtId="0" xfId="0" applyAlignment="1" applyFont="1">
      <alignment horizontal="right" vertical="top"/>
    </xf>
    <xf borderId="0" fillId="7" fontId="19" numFmtId="0" xfId="0" applyAlignment="1" applyFont="1">
      <alignment horizontal="right" vertical="top"/>
    </xf>
    <xf borderId="0" fillId="7" fontId="16" numFmtId="0" xfId="0" applyAlignment="1" applyFont="1">
      <alignment horizontal="right" readingOrder="0" vertical="top"/>
    </xf>
    <xf borderId="0" fillId="6" fontId="19" numFmtId="0" xfId="0" applyAlignment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v>1.0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16</v>
      </c>
      <c r="C6" s="38" t="s">
        <v>22</v>
      </c>
      <c r="D6" s="39">
        <v>600.0</v>
      </c>
      <c r="E6" s="38"/>
      <c r="F6" s="38"/>
      <c r="G6" s="38"/>
      <c r="H6" s="38"/>
      <c r="I6" s="38"/>
      <c r="J6" s="32">
        <v>10.0</v>
      </c>
      <c r="K6" s="38"/>
      <c r="L6" s="38"/>
      <c r="M6" s="38"/>
      <c r="N6" s="40">
        <f t="shared" ref="N6:N9" si="1">today()-1</f>
        <v>44837</v>
      </c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 t="s">
        <v>17</v>
      </c>
      <c r="C7" s="41" t="s">
        <v>22</v>
      </c>
      <c r="D7" s="35">
        <v>100.0</v>
      </c>
      <c r="E7" s="41"/>
      <c r="F7" s="41"/>
      <c r="G7" s="41"/>
      <c r="H7" s="41"/>
      <c r="I7" s="41"/>
      <c r="J7" s="35">
        <v>10.0</v>
      </c>
      <c r="K7" s="41"/>
      <c r="L7" s="41"/>
      <c r="M7" s="41"/>
      <c r="N7" s="42">
        <f t="shared" si="1"/>
        <v>44837</v>
      </c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41" t="s">
        <v>18</v>
      </c>
      <c r="C8" s="41" t="s">
        <v>23</v>
      </c>
      <c r="D8" s="35">
        <v>100.0</v>
      </c>
      <c r="E8" s="41"/>
      <c r="F8" s="41"/>
      <c r="G8" s="41"/>
      <c r="H8" s="41"/>
      <c r="I8" s="41"/>
      <c r="J8" s="35">
        <v>10.0</v>
      </c>
      <c r="K8" s="41"/>
      <c r="L8" s="41"/>
      <c r="M8" s="41"/>
      <c r="N8" s="42">
        <f t="shared" si="1"/>
        <v>44837</v>
      </c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41"/>
      <c r="B9" s="41" t="s">
        <v>19</v>
      </c>
      <c r="C9" s="41" t="s">
        <v>22</v>
      </c>
      <c r="D9" s="35">
        <v>600.0</v>
      </c>
      <c r="E9" s="41"/>
      <c r="F9" s="41"/>
      <c r="G9" s="41"/>
      <c r="H9" s="41"/>
      <c r="I9" s="41"/>
      <c r="J9" s="35">
        <v>10.0</v>
      </c>
      <c r="K9" s="41"/>
      <c r="L9" s="41"/>
      <c r="M9" s="41"/>
      <c r="N9" s="42">
        <f t="shared" si="1"/>
        <v>44837</v>
      </c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194.32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36.48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0">
        <f t="shared" ref="B6:C6" si="1">today()-1</f>
        <v>44837</v>
      </c>
      <c r="C6" s="40">
        <f t="shared" si="1"/>
        <v>44837</v>
      </c>
      <c r="D6" s="37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28</v>
      </c>
      <c r="C6" s="38" t="s">
        <v>29</v>
      </c>
      <c r="D6" s="39">
        <v>40000.0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3" t="s">
        <v>28</v>
      </c>
      <c r="C6" s="38" t="s">
        <v>32</v>
      </c>
      <c r="D6" s="37" t="s">
        <v>33</v>
      </c>
      <c r="E6" s="38" t="s">
        <v>34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4">
        <v>16633.0</v>
      </c>
      <c r="C6" s="38" t="s">
        <v>36</v>
      </c>
      <c r="D6" s="37" t="s">
        <v>37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39</v>
      </c>
      <c r="C6" s="45"/>
      <c r="D6" s="46" t="b">
        <v>1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7" t="s">
        <v>28</v>
      </c>
      <c r="D6" s="48" t="s">
        <v>17</v>
      </c>
      <c r="E6" s="47" t="s">
        <v>41</v>
      </c>
      <c r="F6" s="47" t="s">
        <v>42</v>
      </c>
      <c r="G6" s="49">
        <v>94.51</v>
      </c>
      <c r="H6" s="49">
        <v>94.51</v>
      </c>
      <c r="I6" s="49">
        <v>1.0</v>
      </c>
      <c r="J6" s="49"/>
      <c r="K6" s="49">
        <v>100.0</v>
      </c>
      <c r="L6" s="49">
        <v>9451.0</v>
      </c>
      <c r="M6" s="49">
        <v>9451.0</v>
      </c>
      <c r="N6" s="8"/>
      <c r="O6" s="50">
        <v>110.0</v>
      </c>
      <c r="P6" s="50">
        <v>10396.1</v>
      </c>
      <c r="Q6" s="50">
        <v>10396.1</v>
      </c>
      <c r="R6" s="50">
        <v>10.0</v>
      </c>
      <c r="S6" s="50">
        <v>945.0</v>
      </c>
    </row>
    <row r="7" ht="15.75" customHeight="1">
      <c r="A7" s="8"/>
      <c r="B7" s="8"/>
      <c r="C7" s="51" t="s">
        <v>28</v>
      </c>
      <c r="D7" s="51" t="s">
        <v>16</v>
      </c>
      <c r="E7" s="51" t="s">
        <v>41</v>
      </c>
      <c r="F7" s="51" t="s">
        <v>42</v>
      </c>
      <c r="G7" s="52">
        <v>194.32</v>
      </c>
      <c r="H7" s="52">
        <v>194.32</v>
      </c>
      <c r="I7" s="52">
        <v>1.0</v>
      </c>
      <c r="J7" s="52"/>
      <c r="K7" s="52">
        <v>600.0</v>
      </c>
      <c r="L7" s="52">
        <v>116592.0</v>
      </c>
      <c r="M7" s="52">
        <v>116592.0</v>
      </c>
      <c r="N7" s="8"/>
      <c r="O7" s="50">
        <v>700.0</v>
      </c>
      <c r="P7" s="50">
        <v>136024.0</v>
      </c>
      <c r="Q7" s="50">
        <v>136024.0</v>
      </c>
      <c r="R7" s="50">
        <v>100.0</v>
      </c>
      <c r="S7" s="53">
        <v>19432.0</v>
      </c>
    </row>
    <row r="8" ht="15.75" customHeight="1">
      <c r="A8" s="8"/>
      <c r="B8" s="8"/>
      <c r="C8" s="51" t="s">
        <v>28</v>
      </c>
      <c r="D8" s="51" t="s">
        <v>19</v>
      </c>
      <c r="E8" s="51" t="s">
        <v>41</v>
      </c>
      <c r="F8" s="51" t="s">
        <v>42</v>
      </c>
      <c r="G8" s="52">
        <v>6.56</v>
      </c>
      <c r="H8" s="52">
        <v>6.56</v>
      </c>
      <c r="I8" s="52">
        <v>1.0</v>
      </c>
      <c r="J8" s="52"/>
      <c r="K8" s="52">
        <v>600.0</v>
      </c>
      <c r="L8" s="52">
        <v>3936.0</v>
      </c>
      <c r="M8" s="52">
        <v>3936.0</v>
      </c>
      <c r="N8" s="8"/>
      <c r="O8" s="50">
        <v>660.0</v>
      </c>
      <c r="P8" s="50">
        <v>4329.6</v>
      </c>
      <c r="Q8" s="50">
        <v>4329.6</v>
      </c>
      <c r="R8" s="50">
        <v>60.0</v>
      </c>
      <c r="S8" s="50">
        <v>394.0</v>
      </c>
    </row>
    <row r="9" ht="15.75" customHeight="1">
      <c r="A9" s="8"/>
      <c r="B9" s="8"/>
      <c r="C9" s="51" t="s">
        <v>28</v>
      </c>
      <c r="D9" s="51" t="s">
        <v>18</v>
      </c>
      <c r="E9" s="51" t="s">
        <v>41</v>
      </c>
      <c r="F9" s="51" t="s">
        <v>43</v>
      </c>
      <c r="G9" s="52">
        <v>36.48</v>
      </c>
      <c r="H9" s="52">
        <v>36.48</v>
      </c>
      <c r="I9" s="52">
        <v>1.0</v>
      </c>
      <c r="J9" s="52"/>
      <c r="K9" s="52">
        <v>100.0</v>
      </c>
      <c r="L9" s="52">
        <v>-3648.0</v>
      </c>
      <c r="M9" s="52">
        <v>-3648.0</v>
      </c>
      <c r="N9" s="8"/>
      <c r="O9" s="50">
        <v>110.0</v>
      </c>
      <c r="P9" s="50">
        <v>-4012.8</v>
      </c>
      <c r="Q9" s="50">
        <v>-4012.8</v>
      </c>
      <c r="R9" s="50">
        <v>10.0</v>
      </c>
      <c r="S9" s="50">
        <v>-365.0</v>
      </c>
    </row>
    <row r="10" ht="15.75" customHeight="1">
      <c r="A10" s="8"/>
      <c r="B10" s="8"/>
      <c r="C10" s="51" t="s">
        <v>28</v>
      </c>
      <c r="D10" s="51" t="s">
        <v>44</v>
      </c>
      <c r="E10" s="51" t="s">
        <v>44</v>
      </c>
      <c r="F10" s="51" t="s">
        <v>42</v>
      </c>
      <c r="G10" s="52">
        <v>1.0</v>
      </c>
      <c r="H10" s="52">
        <v>1.0</v>
      </c>
      <c r="I10" s="52">
        <v>1.0</v>
      </c>
      <c r="J10" s="52"/>
      <c r="K10" s="52">
        <v>0.0</v>
      </c>
      <c r="L10" s="52">
        <v>0.0</v>
      </c>
      <c r="M10" s="52">
        <v>0.0</v>
      </c>
      <c r="N10" s="8"/>
      <c r="O10" s="50">
        <v>0.0</v>
      </c>
      <c r="P10" s="50">
        <v>0.0</v>
      </c>
      <c r="Q10" s="50">
        <v>0.0</v>
      </c>
      <c r="R10" s="50">
        <v>0.0</v>
      </c>
      <c r="S10" s="50">
        <v>0.0</v>
      </c>
    </row>
    <row r="11" ht="15.75" customHeight="1">
      <c r="A11" s="8"/>
      <c r="B11" s="8"/>
      <c r="C11" s="51" t="s">
        <v>28</v>
      </c>
      <c r="D11" s="51" t="s">
        <v>45</v>
      </c>
      <c r="E11" s="51" t="s">
        <v>45</v>
      </c>
      <c r="F11" s="51" t="s">
        <v>42</v>
      </c>
      <c r="G11" s="52">
        <v>1.0</v>
      </c>
      <c r="H11" s="52">
        <v>1.0</v>
      </c>
      <c r="I11" s="52">
        <v>1.0</v>
      </c>
      <c r="J11" s="52"/>
      <c r="K11" s="52">
        <v>40000.0</v>
      </c>
      <c r="L11" s="52">
        <v>40000.0</v>
      </c>
      <c r="M11" s="52">
        <v>40000.0</v>
      </c>
      <c r="N11" s="8"/>
      <c r="O11" s="50">
        <v>36227.0</v>
      </c>
      <c r="P11" s="50">
        <v>36227.0</v>
      </c>
      <c r="Q11" s="50">
        <v>36227.0</v>
      </c>
      <c r="R11" s="50">
        <v>-3773.0</v>
      </c>
      <c r="S11" s="53">
        <v>-3773.0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4" t="s">
        <v>28</v>
      </c>
      <c r="C6" s="54" t="s">
        <v>22</v>
      </c>
      <c r="D6" s="54" t="s">
        <v>17</v>
      </c>
      <c r="E6" s="50">
        <v>10.0</v>
      </c>
      <c r="F6" s="50">
        <v>94.51</v>
      </c>
      <c r="G6" s="50">
        <v>945.0</v>
      </c>
      <c r="H6" s="55"/>
      <c r="I6" s="8"/>
      <c r="J6" s="8"/>
      <c r="K6" s="8"/>
      <c r="L6" s="8"/>
      <c r="M6" s="8"/>
      <c r="N6" s="8"/>
      <c r="O6" s="8"/>
    </row>
    <row r="7" ht="15.75" customHeight="1">
      <c r="A7" s="8"/>
      <c r="B7" s="54" t="s">
        <v>28</v>
      </c>
      <c r="C7" s="54" t="s">
        <v>22</v>
      </c>
      <c r="D7" s="54" t="s">
        <v>16</v>
      </c>
      <c r="E7" s="50">
        <v>100.0</v>
      </c>
      <c r="F7" s="50">
        <v>194.32</v>
      </c>
      <c r="G7" s="53">
        <v>19432.0</v>
      </c>
      <c r="H7" s="55"/>
      <c r="I7" s="8"/>
      <c r="J7" s="8"/>
      <c r="K7" s="8"/>
      <c r="L7" s="8"/>
      <c r="M7" s="8"/>
      <c r="N7" s="8"/>
      <c r="O7" s="8"/>
    </row>
    <row r="8" ht="15.75" customHeight="1">
      <c r="A8" s="8"/>
      <c r="B8" s="54" t="s">
        <v>28</v>
      </c>
      <c r="C8" s="54" t="s">
        <v>22</v>
      </c>
      <c r="D8" s="54" t="s">
        <v>19</v>
      </c>
      <c r="E8" s="50">
        <v>60.0</v>
      </c>
      <c r="F8" s="50">
        <v>6.56</v>
      </c>
      <c r="G8" s="50">
        <v>394.0</v>
      </c>
      <c r="H8" s="55"/>
      <c r="I8" s="8"/>
      <c r="J8" s="8"/>
      <c r="K8" s="8"/>
      <c r="L8" s="8"/>
      <c r="M8" s="8"/>
      <c r="N8" s="8"/>
      <c r="O8" s="8"/>
    </row>
    <row r="9" ht="15.75" customHeight="1">
      <c r="A9" s="8"/>
      <c r="B9" s="54" t="s">
        <v>28</v>
      </c>
      <c r="C9" s="54" t="s">
        <v>47</v>
      </c>
      <c r="D9" s="54" t="s">
        <v>18</v>
      </c>
      <c r="E9" s="50">
        <v>10.0</v>
      </c>
      <c r="F9" s="50">
        <v>36.48</v>
      </c>
      <c r="G9" s="50">
        <v>-365.0</v>
      </c>
      <c r="H9" s="55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56">
        <v>94.51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  <c r="U6" s="57" t="s">
        <v>29</v>
      </c>
      <c r="AI6" s="56" t="s">
        <v>17</v>
      </c>
      <c r="AJ6" s="58" t="s">
        <v>22</v>
      </c>
      <c r="AK6" s="56" t="s">
        <v>50</v>
      </c>
      <c r="AL6" s="58">
        <v>10.0</v>
      </c>
      <c r="AM6" s="41"/>
      <c r="AN6" s="41"/>
      <c r="AO6" s="41"/>
      <c r="AP6" s="58">
        <v>10.0</v>
      </c>
      <c r="AQ6" s="56">
        <v>94.51</v>
      </c>
      <c r="AR6" s="56">
        <v>94.51</v>
      </c>
      <c r="AS6" s="56" t="s">
        <v>51</v>
      </c>
      <c r="AT6" s="56" t="s">
        <v>28</v>
      </c>
      <c r="AU6" s="56" t="s">
        <v>52</v>
      </c>
      <c r="AV6" s="56">
        <v>0.0</v>
      </c>
      <c r="AW6" s="56">
        <v>0.0</v>
      </c>
    </row>
    <row r="7" ht="15.75" customHeight="1">
      <c r="A7" s="8"/>
      <c r="B7" s="8"/>
      <c r="C7" s="8"/>
      <c r="D7" s="59">
        <v>36.48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U7" s="60" t="s">
        <v>29</v>
      </c>
      <c r="AI7" s="59" t="s">
        <v>18</v>
      </c>
      <c r="AJ7" s="61" t="s">
        <v>23</v>
      </c>
      <c r="AK7" s="59" t="s">
        <v>50</v>
      </c>
      <c r="AL7" s="61">
        <v>10.0</v>
      </c>
      <c r="AM7" s="41"/>
      <c r="AN7" s="41"/>
      <c r="AO7" s="41"/>
      <c r="AP7" s="61">
        <v>10.0</v>
      </c>
      <c r="AQ7" s="59">
        <v>36.48</v>
      </c>
      <c r="AR7" s="59">
        <v>36.48</v>
      </c>
      <c r="AS7" s="59" t="s">
        <v>51</v>
      </c>
      <c r="AT7" s="59" t="s">
        <v>28</v>
      </c>
      <c r="AU7" s="59" t="s">
        <v>52</v>
      </c>
      <c r="AV7" s="59">
        <v>0.0</v>
      </c>
      <c r="AW7" s="59">
        <v>0.0</v>
      </c>
    </row>
    <row r="8" ht="15.75" customHeight="1">
      <c r="A8" s="8"/>
      <c r="B8" s="8"/>
      <c r="C8" s="8"/>
      <c r="D8" s="62">
        <v>194.32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U8" s="63" t="s">
        <v>29</v>
      </c>
      <c r="AI8" s="62" t="s">
        <v>16</v>
      </c>
      <c r="AJ8" s="64" t="s">
        <v>22</v>
      </c>
      <c r="AK8" s="62" t="s">
        <v>50</v>
      </c>
      <c r="AL8" s="64">
        <v>100.0</v>
      </c>
      <c r="AM8" s="41"/>
      <c r="AN8" s="41"/>
      <c r="AO8" s="41"/>
      <c r="AP8" s="64">
        <v>100.0</v>
      </c>
      <c r="AQ8" s="62">
        <v>194.32</v>
      </c>
      <c r="AR8" s="62">
        <v>194.32</v>
      </c>
      <c r="AS8" s="62" t="s">
        <v>51</v>
      </c>
      <c r="AT8" s="62" t="s">
        <v>28</v>
      </c>
      <c r="AU8" s="62" t="s">
        <v>52</v>
      </c>
      <c r="AV8" s="62">
        <v>0.0</v>
      </c>
      <c r="AW8" s="62">
        <v>0.0</v>
      </c>
    </row>
    <row r="9" ht="15.75" customHeight="1">
      <c r="A9" s="8"/>
      <c r="B9" s="8"/>
      <c r="C9" s="8"/>
      <c r="D9" s="56">
        <v>6.56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U9" s="65" t="s">
        <v>29</v>
      </c>
      <c r="AI9" s="56" t="s">
        <v>19</v>
      </c>
      <c r="AJ9" s="58" t="s">
        <v>22</v>
      </c>
      <c r="AK9" s="56" t="s">
        <v>50</v>
      </c>
      <c r="AL9" s="58">
        <v>60.0</v>
      </c>
      <c r="AM9" s="41"/>
      <c r="AN9" s="41"/>
      <c r="AO9" s="41"/>
      <c r="AP9" s="58">
        <v>60.0</v>
      </c>
      <c r="AQ9" s="56">
        <v>6.56</v>
      </c>
      <c r="AR9" s="56">
        <v>6.56</v>
      </c>
      <c r="AS9" s="56" t="s">
        <v>51</v>
      </c>
      <c r="AT9" s="56" t="s">
        <v>28</v>
      </c>
      <c r="AU9" s="56" t="s">
        <v>52</v>
      </c>
      <c r="AV9" s="56">
        <v>0.0</v>
      </c>
      <c r="AW9" s="56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