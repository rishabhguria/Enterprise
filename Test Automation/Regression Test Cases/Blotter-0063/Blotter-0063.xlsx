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5975" windowHeight="6345" firstSheet="14" activeTab="16"/>
  </bookViews>
  <sheets>
    <sheet name="_Modules" sheetId="1" r:id="rId1"/>
    <sheet name="_Settings" sheetId="2" r:id="rId2"/>
    <sheet name="_MasterData" sheetId="3" r:id="rId3"/>
    <sheet name="CreateStageOrder" sheetId="4" r:id="rId4"/>
    <sheet name="TradeNewSubOrder" sheetId="5" r:id="rId5"/>
    <sheet name="CreateNewSubOrder" sheetId="6" r:id="rId6"/>
    <sheet name="TradeNewSubOrder1" sheetId="7" r:id="rId7"/>
    <sheet name="CreateNewSubOrder1" sheetId="8" r:id="rId8"/>
    <sheet name="EditStageOrder" sheetId="9" r:id="rId9"/>
    <sheet name="CreateReplaceOrder" sheetId="10" r:id="rId10"/>
    <sheet name="TradeNewSubOrder2" sheetId="11" r:id="rId11"/>
    <sheet name="CreateNewSubOrder2" sheetId="12" r:id="rId12"/>
    <sheet name="VerifyOrder" sheetId="13" r:id="rId13"/>
    <sheet name="VerifySubOrder" sheetId="14" r:id="rId14"/>
    <sheet name="GetDataAllocation" sheetId="15" r:id="rId15"/>
    <sheet name="CheckAllocatedGroups" sheetId="16" r:id="rId16"/>
    <sheet name="CheckPortfolioManagement" sheetId="17" r:id="rId17"/>
  </sheets>
  <calcPr calcId="145621"/>
</workbook>
</file>

<file path=xl/calcChain.xml><?xml version="1.0" encoding="utf-8"?>
<calcChain xmlns="http://schemas.openxmlformats.org/spreadsheetml/2006/main">
  <c r="J2" i="17" l="1"/>
  <c r="J2" i="16"/>
  <c r="J2" i="15"/>
  <c r="J2" i="14"/>
  <c r="J2" i="13"/>
  <c r="J2" i="12"/>
  <c r="J2" i="11"/>
  <c r="J2" i="10"/>
  <c r="J2" i="9"/>
  <c r="J2" i="8"/>
  <c r="J2" i="7"/>
  <c r="J2" i="6"/>
  <c r="J2" i="5"/>
  <c r="J2" i="4"/>
  <c r="BK5" i="17"/>
  <c r="FK5" i="17"/>
  <c r="FC5" i="17"/>
  <c r="EU5" i="17"/>
  <c r="EM5" i="17"/>
  <c r="EE5" i="17"/>
  <c r="DW5" i="17"/>
  <c r="DO5" i="17"/>
  <c r="DG5" i="17"/>
  <c r="CY5" i="17"/>
  <c r="CQ5" i="17"/>
  <c r="CI5" i="17"/>
  <c r="CA5" i="17"/>
  <c r="BS5" i="17"/>
  <c r="BC5" i="17"/>
  <c r="AU5" i="17"/>
  <c r="AM5" i="17"/>
  <c r="AE5" i="17"/>
  <c r="W5" i="17"/>
  <c r="O5" i="17"/>
  <c r="G5" i="17"/>
  <c r="FJ4" i="17"/>
  <c r="FJ5" i="17"/>
  <c r="FB5" i="17"/>
  <c r="ET5" i="17"/>
  <c r="EL5" i="17"/>
  <c r="ED5" i="17"/>
  <c r="DV5" i="17"/>
  <c r="DN5" i="17"/>
  <c r="FI5" i="17"/>
  <c r="FA5" i="17"/>
  <c r="ES5" i="17"/>
  <c r="EK5" i="17"/>
  <c r="EC5" i="17"/>
  <c r="DU5" i="17"/>
  <c r="DM5" i="17"/>
  <c r="DE5" i="17"/>
  <c r="CW5" i="17"/>
  <c r="CO5" i="17"/>
  <c r="CG5" i="17"/>
  <c r="BY5" i="17"/>
  <c r="BQ5" i="17"/>
  <c r="BI5" i="17"/>
  <c r="BA5" i="17"/>
  <c r="AS5" i="17"/>
  <c r="AK5" i="17"/>
  <c r="AC5" i="17"/>
  <c r="U5" i="17"/>
  <c r="M5" i="17"/>
  <c r="E5" i="17"/>
  <c r="FH4" i="17"/>
  <c r="EZ4" i="17"/>
  <c r="ER4" i="17"/>
  <c r="EJ4" i="17"/>
  <c r="EB4" i="17"/>
  <c r="DT4" i="17"/>
  <c r="DL4" i="17"/>
  <c r="DD4" i="17"/>
  <c r="CV4" i="17"/>
  <c r="CN4" i="17"/>
  <c r="CF4" i="17"/>
  <c r="BX4" i="17"/>
  <c r="BP4" i="17"/>
  <c r="BH4" i="17"/>
  <c r="AZ4" i="17"/>
  <c r="AR4" i="17"/>
  <c r="AJ4" i="17"/>
  <c r="AB4" i="17"/>
  <c r="T4" i="17"/>
  <c r="L4" i="17"/>
  <c r="D4" i="17"/>
  <c r="ET5" i="16"/>
  <c r="EL5" i="16"/>
  <c r="FH5" i="17"/>
  <c r="EZ5" i="17"/>
  <c r="ER5" i="17"/>
  <c r="EJ5" i="17"/>
  <c r="EB5" i="17"/>
  <c r="DT5" i="17"/>
  <c r="DL5" i="17"/>
  <c r="DD5" i="17"/>
  <c r="CV5" i="17"/>
  <c r="CN5" i="17"/>
  <c r="CF5" i="17"/>
  <c r="BX5" i="17"/>
  <c r="BP5" i="17"/>
  <c r="BH5" i="17"/>
  <c r="AZ5" i="17"/>
  <c r="AR5" i="17"/>
  <c r="AJ5" i="17"/>
  <c r="AB5" i="17"/>
  <c r="T5" i="17"/>
  <c r="L5" i="17"/>
  <c r="D5" i="17"/>
  <c r="FG4" i="17"/>
  <c r="EY4" i="17"/>
  <c r="EQ4" i="17"/>
  <c r="EI4" i="17"/>
  <c r="EA4" i="17"/>
  <c r="DS4" i="17"/>
  <c r="DK4" i="17"/>
  <c r="DC4" i="17"/>
  <c r="CU4" i="17"/>
  <c r="CM4" i="17"/>
  <c r="CE4" i="17"/>
  <c r="BW4" i="17"/>
  <c r="BO4" i="17"/>
  <c r="BG4" i="17"/>
  <c r="AY4" i="17"/>
  <c r="AQ4" i="17"/>
  <c r="AI4" i="17"/>
  <c r="AA4" i="17"/>
  <c r="S4" i="17"/>
  <c r="K4" i="17"/>
  <c r="C4" i="17"/>
  <c r="ES5" i="16"/>
  <c r="EK5" i="16"/>
  <c r="EC5" i="16"/>
  <c r="DU5" i="16"/>
  <c r="DM5" i="16"/>
  <c r="DE5" i="16"/>
  <c r="CW5" i="16"/>
  <c r="CO5" i="16"/>
  <c r="CG5" i="16"/>
  <c r="BY5" i="16"/>
  <c r="BQ5" i="16"/>
  <c r="BI5" i="16"/>
  <c r="BA5" i="16"/>
  <c r="AS5" i="16"/>
  <c r="AK5" i="16"/>
  <c r="AC5" i="16"/>
  <c r="U5" i="16"/>
  <c r="M5" i="16"/>
  <c r="E5" i="16"/>
  <c r="EU4" i="16"/>
  <c r="EM4" i="16"/>
  <c r="EE4" i="16"/>
  <c r="DW4" i="16"/>
  <c r="DO4" i="16"/>
  <c r="DG4" i="16"/>
  <c r="CY4" i="16"/>
  <c r="CQ4" i="16"/>
  <c r="CI4" i="16"/>
  <c r="CA4" i="16"/>
  <c r="BS4" i="16"/>
  <c r="BK4" i="16"/>
  <c r="BC4" i="16"/>
  <c r="AU4" i="16"/>
  <c r="AM4" i="16"/>
  <c r="AE4" i="16"/>
  <c r="W4" i="16"/>
  <c r="O4" i="16"/>
  <c r="G4" i="16"/>
  <c r="EW5" i="15"/>
  <c r="EO5" i="15"/>
  <c r="EG5" i="15"/>
  <c r="DY5" i="15"/>
  <c r="DQ5" i="15"/>
  <c r="DI5" i="15"/>
  <c r="DA5" i="15"/>
  <c r="CS5" i="15"/>
  <c r="CK5" i="15"/>
  <c r="CC5" i="15"/>
  <c r="BU5" i="15"/>
  <c r="BM5" i="15"/>
  <c r="BE5" i="15"/>
  <c r="AW5" i="15"/>
  <c r="AO5" i="15"/>
  <c r="AG5" i="15"/>
  <c r="Y5" i="15"/>
  <c r="Q5" i="15"/>
  <c r="I5" i="15"/>
  <c r="A5" i="15"/>
  <c r="EQ4" i="15"/>
  <c r="EI4" i="15"/>
  <c r="EA4" i="15"/>
  <c r="DS4" i="15"/>
  <c r="DK4" i="15"/>
  <c r="DC4" i="15"/>
  <c r="CU4" i="15"/>
  <c r="CM4" i="15"/>
  <c r="CE4" i="15"/>
  <c r="BW4" i="15"/>
  <c r="BO4" i="15"/>
  <c r="BG4" i="15"/>
  <c r="AY4" i="15"/>
  <c r="AQ4" i="15"/>
  <c r="AI4" i="15"/>
  <c r="AA4" i="15"/>
  <c r="S4" i="15"/>
  <c r="K4" i="15"/>
  <c r="C4" i="15"/>
  <c r="ES5" i="14"/>
  <c r="EK5" i="14"/>
  <c r="EC5" i="14"/>
  <c r="DU5" i="14"/>
  <c r="DM5" i="14"/>
  <c r="DE5" i="14"/>
  <c r="CW5" i="14"/>
  <c r="CO5" i="14"/>
  <c r="FG5" i="17"/>
  <c r="EY5" i="17"/>
  <c r="EQ5" i="17"/>
  <c r="EI5" i="17"/>
  <c r="EA5" i="17"/>
  <c r="DS5" i="17"/>
  <c r="DK5" i="17"/>
  <c r="DC5" i="17"/>
  <c r="CU5" i="17"/>
  <c r="CM5" i="17"/>
  <c r="CE5" i="17"/>
  <c r="BW5" i="17"/>
  <c r="BO5" i="17"/>
  <c r="BG5" i="17"/>
  <c r="AY5" i="17"/>
  <c r="AQ5" i="17"/>
  <c r="AI5" i="17"/>
  <c r="AA5" i="17"/>
  <c r="S5" i="17"/>
  <c r="K5" i="17"/>
  <c r="C5" i="17"/>
  <c r="FF4" i="17"/>
  <c r="EX4" i="17"/>
  <c r="EP4" i="17"/>
  <c r="EH4" i="17"/>
  <c r="DZ4" i="17"/>
  <c r="DR4" i="17"/>
  <c r="DJ4" i="17"/>
  <c r="DB4" i="17"/>
  <c r="CT4" i="17"/>
  <c r="CL4" i="17"/>
  <c r="CD4" i="17"/>
  <c r="BV4" i="17"/>
  <c r="BN4" i="17"/>
  <c r="BF4" i="17"/>
  <c r="AX4" i="17"/>
  <c r="AP4" i="17"/>
  <c r="AH4" i="17"/>
  <c r="Z4" i="17"/>
  <c r="R4" i="17"/>
  <c r="J4" i="17"/>
  <c r="B4" i="17"/>
  <c r="ER5" i="16"/>
  <c r="EJ5" i="16"/>
  <c r="EB5" i="16"/>
  <c r="DT5" i="16"/>
  <c r="DL5" i="16"/>
  <c r="DD5" i="16"/>
  <c r="CV5" i="16"/>
  <c r="CN5" i="16"/>
  <c r="CF5" i="16"/>
  <c r="BX5" i="16"/>
  <c r="BP5" i="16"/>
  <c r="BH5" i="16"/>
  <c r="AZ5" i="16"/>
  <c r="AR5" i="16"/>
  <c r="AJ5" i="16"/>
  <c r="AB5" i="16"/>
  <c r="T5" i="16"/>
  <c r="L5" i="16"/>
  <c r="D5" i="16"/>
  <c r="ET4" i="16"/>
  <c r="EL4" i="16"/>
  <c r="ED4" i="16"/>
  <c r="DV4" i="16"/>
  <c r="DN4" i="16"/>
  <c r="DF4" i="16"/>
  <c r="CX4" i="16"/>
  <c r="CP4" i="16"/>
  <c r="CH4" i="16"/>
  <c r="BZ4" i="16"/>
  <c r="BR4" i="16"/>
  <c r="BJ4" i="16"/>
  <c r="BB4" i="16"/>
  <c r="AT4" i="16"/>
  <c r="AL4" i="16"/>
  <c r="AD4" i="16"/>
  <c r="V4" i="16"/>
  <c r="N4" i="16"/>
  <c r="F4" i="16"/>
  <c r="EV5" i="15"/>
  <c r="EN5" i="15"/>
  <c r="EF5" i="15"/>
  <c r="DX5" i="15"/>
  <c r="DP5" i="15"/>
  <c r="DH5" i="15"/>
  <c r="CZ5" i="15"/>
  <c r="CR5" i="15"/>
  <c r="CJ5" i="15"/>
  <c r="CB5" i="15"/>
  <c r="BT5" i="15"/>
  <c r="BL5" i="15"/>
  <c r="BD5" i="15"/>
  <c r="AV5" i="15"/>
  <c r="AN5" i="15"/>
  <c r="AF5" i="15"/>
  <c r="X5" i="15"/>
  <c r="P5" i="15"/>
  <c r="H5" i="15"/>
  <c r="EX4" i="15"/>
  <c r="EP4" i="15"/>
  <c r="EH4" i="15"/>
  <c r="DZ4" i="15"/>
  <c r="DR4" i="15"/>
  <c r="DJ4" i="15"/>
  <c r="DB4" i="15"/>
  <c r="CT4" i="15"/>
  <c r="CL4" i="15"/>
  <c r="CD4" i="15"/>
  <c r="BV4" i="15"/>
  <c r="BN4" i="15"/>
  <c r="BF4" i="15"/>
  <c r="AX4" i="15"/>
  <c r="AP4" i="15"/>
  <c r="AH4" i="15"/>
  <c r="Z4" i="15"/>
  <c r="R4" i="15"/>
  <c r="J4" i="15"/>
  <c r="B4" i="15"/>
  <c r="ER5" i="14"/>
  <c r="EJ5" i="14"/>
  <c r="EB5" i="14"/>
  <c r="DT5" i="14"/>
  <c r="DL5" i="14"/>
  <c r="DD5" i="14"/>
  <c r="CV5" i="14"/>
  <c r="CN5" i="14"/>
  <c r="FF5" i="17"/>
  <c r="EX5" i="17"/>
  <c r="EP5" i="17"/>
  <c r="EH5" i="17"/>
  <c r="DZ5" i="17"/>
  <c r="DR5" i="17"/>
  <c r="DJ5" i="17"/>
  <c r="DB5" i="17"/>
  <c r="CT5" i="17"/>
  <c r="CL5" i="17"/>
  <c r="CD5" i="17"/>
  <c r="BV5" i="17"/>
  <c r="BN5" i="17"/>
  <c r="BF5" i="17"/>
  <c r="AX5" i="17"/>
  <c r="AP5" i="17"/>
  <c r="AH5" i="17"/>
  <c r="Z5" i="17"/>
  <c r="R5" i="17"/>
  <c r="J5" i="17"/>
  <c r="B5" i="17"/>
  <c r="FE4" i="17"/>
  <c r="EW4" i="17"/>
  <c r="EO4" i="17"/>
  <c r="EG4" i="17"/>
  <c r="DY4" i="17"/>
  <c r="DQ4" i="17"/>
  <c r="DI4" i="17"/>
  <c r="DA4" i="17"/>
  <c r="CS4" i="17"/>
  <c r="CK4" i="17"/>
  <c r="CC4" i="17"/>
  <c r="BU4" i="17"/>
  <c r="BM4" i="17"/>
  <c r="BE4" i="17"/>
  <c r="AW4" i="17"/>
  <c r="AO4" i="17"/>
  <c r="AG4" i="17"/>
  <c r="Y4" i="17"/>
  <c r="Q4" i="17"/>
  <c r="I4" i="17"/>
  <c r="FE5" i="17"/>
  <c r="EW5" i="17"/>
  <c r="EO5" i="17"/>
  <c r="EG5" i="17"/>
  <c r="DY5" i="17"/>
  <c r="DQ5" i="17"/>
  <c r="DI5" i="17"/>
  <c r="DA5" i="17"/>
  <c r="CS5" i="17"/>
  <c r="CK5" i="17"/>
  <c r="CC5" i="17"/>
  <c r="BU5" i="17"/>
  <c r="BM5" i="17"/>
  <c r="BE5" i="17"/>
  <c r="AW5" i="17"/>
  <c r="AO5" i="17"/>
  <c r="AG5" i="17"/>
  <c r="Y5" i="17"/>
  <c r="Q5" i="17"/>
  <c r="I5" i="17"/>
  <c r="A5" i="17"/>
  <c r="FD4" i="17"/>
  <c r="EV4" i="17"/>
  <c r="EN4" i="17"/>
  <c r="EF4" i="17"/>
  <c r="DX4" i="17"/>
  <c r="DP4" i="17"/>
  <c r="DH4" i="17"/>
  <c r="CZ4" i="17"/>
  <c r="CR4" i="17"/>
  <c r="CJ4" i="17"/>
  <c r="CB4" i="17"/>
  <c r="BT4" i="17"/>
  <c r="BL4" i="17"/>
  <c r="BD4" i="17"/>
  <c r="AV4" i="17"/>
  <c r="AN4" i="17"/>
  <c r="AF4" i="17"/>
  <c r="X4" i="17"/>
  <c r="P4" i="17"/>
  <c r="H4" i="17"/>
  <c r="EX5" i="16"/>
  <c r="EP5" i="16"/>
  <c r="EH5" i="16"/>
  <c r="DZ5" i="16"/>
  <c r="DR5" i="16"/>
  <c r="DJ5" i="16"/>
  <c r="DB5" i="16"/>
  <c r="CT5" i="16"/>
  <c r="CL5" i="16"/>
  <c r="CD5" i="16"/>
  <c r="BV5" i="16"/>
  <c r="BN5" i="16"/>
  <c r="BF5" i="16"/>
  <c r="AX5" i="16"/>
  <c r="AP5" i="16"/>
  <c r="AH5" i="16"/>
  <c r="FD5" i="17"/>
  <c r="EV5" i="17"/>
  <c r="EN5" i="17"/>
  <c r="EF5" i="17"/>
  <c r="DX5" i="17"/>
  <c r="DP5" i="17"/>
  <c r="DH5" i="17"/>
  <c r="CZ5" i="17"/>
  <c r="CR5" i="17"/>
  <c r="CJ5" i="17"/>
  <c r="CB5" i="17"/>
  <c r="BT5" i="17"/>
  <c r="BL5" i="17"/>
  <c r="BD5" i="17"/>
  <c r="AV5" i="17"/>
  <c r="AN5" i="17"/>
  <c r="AF5" i="17"/>
  <c r="X5" i="17"/>
  <c r="P5" i="17"/>
  <c r="H5" i="17"/>
  <c r="FK4" i="17"/>
  <c r="FC4" i="17"/>
  <c r="EU4" i="17"/>
  <c r="EM4" i="17"/>
  <c r="EE4" i="17"/>
  <c r="DW4" i="17"/>
  <c r="DO4" i="17"/>
  <c r="DG4" i="17"/>
  <c r="DF5" i="17"/>
  <c r="AT5" i="17"/>
  <c r="FA4" i="17"/>
  <c r="DU4" i="17"/>
  <c r="CQ4" i="17"/>
  <c r="BY4" i="17"/>
  <c r="BB4" i="17"/>
  <c r="AE4" i="17"/>
  <c r="M4" i="17"/>
  <c r="EQ5" i="16"/>
  <c r="ED5" i="16"/>
  <c r="DP5" i="16"/>
  <c r="DC5" i="16"/>
  <c r="CQ5" i="16"/>
  <c r="CC5" i="16"/>
  <c r="BR5" i="16"/>
  <c r="BD5" i="16"/>
  <c r="AQ5" i="16"/>
  <c r="AE5" i="16"/>
  <c r="S5" i="16"/>
  <c r="I5" i="16"/>
  <c r="EW4" i="16"/>
  <c r="EK4" i="16"/>
  <c r="EA4" i="16"/>
  <c r="DQ4" i="16"/>
  <c r="DE4" i="16"/>
  <c r="CU4" i="16"/>
  <c r="CK4" i="16"/>
  <c r="BY4" i="16"/>
  <c r="BO4" i="16"/>
  <c r="BE4" i="16"/>
  <c r="AS4" i="16"/>
  <c r="AI4" i="16"/>
  <c r="Y4" i="16"/>
  <c r="M4" i="16"/>
  <c r="C4" i="16"/>
  <c r="EQ5" i="15"/>
  <c r="EE5" i="15"/>
  <c r="DU5" i="15"/>
  <c r="DK5" i="15"/>
  <c r="CY5" i="15"/>
  <c r="CO5" i="15"/>
  <c r="CE5" i="15"/>
  <c r="BS5" i="15"/>
  <c r="BI5" i="15"/>
  <c r="AY5" i="15"/>
  <c r="AM5" i="15"/>
  <c r="AC5" i="15"/>
  <c r="S5" i="15"/>
  <c r="G5" i="15"/>
  <c r="EU4" i="15"/>
  <c r="EK4" i="15"/>
  <c r="DY4" i="15"/>
  <c r="DO4" i="15"/>
  <c r="DE4" i="15"/>
  <c r="CS4" i="15"/>
  <c r="CI4" i="15"/>
  <c r="BY4" i="15"/>
  <c r="BM4" i="15"/>
  <c r="BC4" i="15"/>
  <c r="AS4" i="15"/>
  <c r="AG4" i="15"/>
  <c r="W4" i="15"/>
  <c r="M4" i="15"/>
  <c r="EO5" i="14"/>
  <c r="EE5" i="14"/>
  <c r="DS5" i="14"/>
  <c r="DI5" i="14"/>
  <c r="CY5" i="14"/>
  <c r="CM5" i="14"/>
  <c r="CE5" i="14"/>
  <c r="BW5" i="14"/>
  <c r="BO5" i="14"/>
  <c r="BG5" i="14"/>
  <c r="AY5" i="14"/>
  <c r="AQ5" i="14"/>
  <c r="AI5" i="14"/>
  <c r="AA5" i="14"/>
  <c r="S5" i="14"/>
  <c r="K5" i="14"/>
  <c r="C5" i="14"/>
  <c r="ES4" i="14"/>
  <c r="EK4" i="14"/>
  <c r="EC4" i="14"/>
  <c r="DU4" i="14"/>
  <c r="DM4" i="14"/>
  <c r="DE4" i="14"/>
  <c r="CW4" i="14"/>
  <c r="CO4" i="14"/>
  <c r="CG4" i="14"/>
  <c r="BY4" i="14"/>
  <c r="BQ4" i="14"/>
  <c r="BI4" i="14"/>
  <c r="BA4" i="14"/>
  <c r="AS4" i="14"/>
  <c r="AK4" i="14"/>
  <c r="AC4" i="14"/>
  <c r="U4" i="14"/>
  <c r="M4" i="14"/>
  <c r="E4" i="14"/>
  <c r="EU5" i="13"/>
  <c r="EM5" i="13"/>
  <c r="EE5" i="13"/>
  <c r="DW5" i="13"/>
  <c r="DO5" i="13"/>
  <c r="DG5" i="13"/>
  <c r="CY5" i="13"/>
  <c r="CQ5" i="13"/>
  <c r="CI5" i="13"/>
  <c r="CA5" i="13"/>
  <c r="BS5" i="13"/>
  <c r="BK5" i="13"/>
  <c r="BC5" i="13"/>
  <c r="AU5" i="13"/>
  <c r="AM5" i="13"/>
  <c r="AE5" i="13"/>
  <c r="W5" i="13"/>
  <c r="O5" i="13"/>
  <c r="G5" i="13"/>
  <c r="CX5" i="17"/>
  <c r="AL5" i="17"/>
  <c r="ET4" i="17"/>
  <c r="DN4" i="17"/>
  <c r="CP4" i="17"/>
  <c r="BS4" i="17"/>
  <c r="BA4" i="17"/>
  <c r="AD4" i="17"/>
  <c r="G4" i="17"/>
  <c r="EO5" i="16"/>
  <c r="EA5" i="16"/>
  <c r="DO5" i="16"/>
  <c r="DA5" i="16"/>
  <c r="CP5" i="16"/>
  <c r="CB5" i="16"/>
  <c r="BO5" i="16"/>
  <c r="BC5" i="16"/>
  <c r="AO5" i="16"/>
  <c r="AD5" i="16"/>
  <c r="R5" i="16"/>
  <c r="H5" i="16"/>
  <c r="EV4" i="16"/>
  <c r="EJ4" i="16"/>
  <c r="DZ4" i="16"/>
  <c r="DP4" i="16"/>
  <c r="DD4" i="16"/>
  <c r="CT4" i="16"/>
  <c r="CJ4" i="16"/>
  <c r="BX4" i="16"/>
  <c r="BN4" i="16"/>
  <c r="BD4" i="16"/>
  <c r="AR4" i="16"/>
  <c r="AH4" i="16"/>
  <c r="X4" i="16"/>
  <c r="L4" i="16"/>
  <c r="B4" i="16"/>
  <c r="EP5" i="15"/>
  <c r="ED5" i="15"/>
  <c r="DT5" i="15"/>
  <c r="DJ5" i="15"/>
  <c r="CX5" i="15"/>
  <c r="CN5" i="15"/>
  <c r="CD5" i="15"/>
  <c r="BR5" i="15"/>
  <c r="BH5" i="15"/>
  <c r="AX5" i="15"/>
  <c r="AL5" i="15"/>
  <c r="AB5" i="15"/>
  <c r="R5" i="15"/>
  <c r="F5" i="15"/>
  <c r="ET4" i="15"/>
  <c r="EJ4" i="15"/>
  <c r="DX4" i="15"/>
  <c r="DN4" i="15"/>
  <c r="DD4" i="15"/>
  <c r="CR4" i="15"/>
  <c r="CH4" i="15"/>
  <c r="BX4" i="15"/>
  <c r="BL4" i="15"/>
  <c r="BB4" i="15"/>
  <c r="AR4" i="15"/>
  <c r="AF4" i="15"/>
  <c r="V4" i="15"/>
  <c r="L4" i="15"/>
  <c r="EX5" i="14"/>
  <c r="EN5" i="14"/>
  <c r="ED5" i="14"/>
  <c r="DR5" i="14"/>
  <c r="DH5" i="14"/>
  <c r="CX5" i="14"/>
  <c r="CL5" i="14"/>
  <c r="CD5" i="14"/>
  <c r="BV5" i="14"/>
  <c r="BN5" i="14"/>
  <c r="BF5" i="14"/>
  <c r="AX5" i="14"/>
  <c r="AP5" i="14"/>
  <c r="AH5" i="14"/>
  <c r="Z5" i="14"/>
  <c r="R5" i="14"/>
  <c r="J5" i="14"/>
  <c r="B5" i="14"/>
  <c r="ER4" i="14"/>
  <c r="EJ4" i="14"/>
  <c r="EB4" i="14"/>
  <c r="DT4" i="14"/>
  <c r="DL4" i="14"/>
  <c r="DD4" i="14"/>
  <c r="CV4" i="14"/>
  <c r="CN4" i="14"/>
  <c r="CF4" i="14"/>
  <c r="BX4" i="14"/>
  <c r="BP4" i="14"/>
  <c r="BH4" i="14"/>
  <c r="AZ4" i="14"/>
  <c r="AR4" i="14"/>
  <c r="AJ4" i="14"/>
  <c r="AB4" i="14"/>
  <c r="T4" i="14"/>
  <c r="L4" i="14"/>
  <c r="D4" i="14"/>
  <c r="ET5" i="13"/>
  <c r="EL5" i="13"/>
  <c r="ED5" i="13"/>
  <c r="DV5" i="13"/>
  <c r="DN5" i="13"/>
  <c r="DF5" i="13"/>
  <c r="CX5" i="13"/>
  <c r="CP5" i="13"/>
  <c r="CH5" i="13"/>
  <c r="BZ5" i="13"/>
  <c r="BR5" i="13"/>
  <c r="BJ5" i="13"/>
  <c r="BB5" i="13"/>
  <c r="AT5" i="13"/>
  <c r="AL5" i="13"/>
  <c r="AD5" i="13"/>
  <c r="V5" i="13"/>
  <c r="N5" i="13"/>
  <c r="F5" i="13"/>
  <c r="EV4" i="13"/>
  <c r="EN4" i="13"/>
  <c r="EF4" i="13"/>
  <c r="DX4" i="13"/>
  <c r="DP4" i="13"/>
  <c r="DH4" i="13"/>
  <c r="CZ4" i="13"/>
  <c r="CP5" i="17"/>
  <c r="AD5" i="17"/>
  <c r="ES4" i="17"/>
  <c r="DM4" i="17"/>
  <c r="CO4" i="17"/>
  <c r="BR4" i="17"/>
  <c r="AU4" i="17"/>
  <c r="AC4" i="17"/>
  <c r="F4" i="17"/>
  <c r="EN5" i="16"/>
  <c r="DY5" i="16"/>
  <c r="DN5" i="16"/>
  <c r="CZ5" i="16"/>
  <c r="CM5" i="16"/>
  <c r="CA5" i="16"/>
  <c r="BM5" i="16"/>
  <c r="BB5" i="16"/>
  <c r="AN5" i="16"/>
  <c r="AA5" i="16"/>
  <c r="Q5" i="16"/>
  <c r="G5" i="16"/>
  <c r="ES4" i="16"/>
  <c r="EI4" i="16"/>
  <c r="DY4" i="16"/>
  <c r="DM4" i="16"/>
  <c r="DC4" i="16"/>
  <c r="CS4" i="16"/>
  <c r="CG4" i="16"/>
  <c r="BW4" i="16"/>
  <c r="BM4" i="16"/>
  <c r="BA4" i="16"/>
  <c r="AQ4" i="16"/>
  <c r="AG4" i="16"/>
  <c r="U4" i="16"/>
  <c r="K4" i="16"/>
  <c r="EM5" i="15"/>
  <c r="EC5" i="15"/>
  <c r="DS5" i="15"/>
  <c r="DG5" i="15"/>
  <c r="CW5" i="15"/>
  <c r="CM5" i="15"/>
  <c r="CA5" i="15"/>
  <c r="BQ5" i="15"/>
  <c r="BG5" i="15"/>
  <c r="AU5" i="15"/>
  <c r="AK5" i="15"/>
  <c r="AA5" i="15"/>
  <c r="O5" i="15"/>
  <c r="E5" i="15"/>
  <c r="ES4" i="15"/>
  <c r="EG4" i="15"/>
  <c r="DW4" i="15"/>
  <c r="DM4" i="15"/>
  <c r="DA4" i="15"/>
  <c r="CQ4" i="15"/>
  <c r="CG4" i="15"/>
  <c r="BU4" i="15"/>
  <c r="BK4" i="15"/>
  <c r="BA4" i="15"/>
  <c r="AO4" i="15"/>
  <c r="AE4" i="15"/>
  <c r="U4" i="15"/>
  <c r="I4" i="15"/>
  <c r="EW5" i="14"/>
  <c r="EM5" i="14"/>
  <c r="EA5" i="14"/>
  <c r="DQ5" i="14"/>
  <c r="DG5" i="14"/>
  <c r="CU5" i="14"/>
  <c r="CK5" i="14"/>
  <c r="CC5" i="14"/>
  <c r="BU5" i="14"/>
  <c r="BM5" i="14"/>
  <c r="BE5" i="14"/>
  <c r="AW5" i="14"/>
  <c r="AO5" i="14"/>
  <c r="AG5" i="14"/>
  <c r="Y5" i="14"/>
  <c r="Q5" i="14"/>
  <c r="I5" i="14"/>
  <c r="A5" i="14"/>
  <c r="EQ4" i="14"/>
  <c r="EI4" i="14"/>
  <c r="EA4" i="14"/>
  <c r="DS4" i="14"/>
  <c r="DK4" i="14"/>
  <c r="DC4" i="14"/>
  <c r="CU4" i="14"/>
  <c r="CM4" i="14"/>
  <c r="CE4" i="14"/>
  <c r="BW4" i="14"/>
  <c r="BO4" i="14"/>
  <c r="BG4" i="14"/>
  <c r="AY4" i="14"/>
  <c r="AQ4" i="14"/>
  <c r="AI4" i="14"/>
  <c r="AA4" i="14"/>
  <c r="S4" i="14"/>
  <c r="K4" i="14"/>
  <c r="C4" i="14"/>
  <c r="ES5" i="13"/>
  <c r="EK5" i="13"/>
  <c r="EC5" i="13"/>
  <c r="DU5" i="13"/>
  <c r="DM5" i="13"/>
  <c r="DE5" i="13"/>
  <c r="CW5" i="13"/>
  <c r="CO5" i="13"/>
  <c r="CG5" i="13"/>
  <c r="CH5" i="17"/>
  <c r="V5" i="17"/>
  <c r="EL4" i="17"/>
  <c r="DF4" i="17"/>
  <c r="CI4" i="17"/>
  <c r="BQ4" i="17"/>
  <c r="AT4" i="17"/>
  <c r="W4" i="17"/>
  <c r="E4" i="17"/>
  <c r="EM5" i="16"/>
  <c r="DX5" i="16"/>
  <c r="DK5" i="16"/>
  <c r="CY5" i="16"/>
  <c r="CK5" i="16"/>
  <c r="BZ5" i="16"/>
  <c r="BL5" i="16"/>
  <c r="AY5" i="16"/>
  <c r="AM5" i="16"/>
  <c r="Z5" i="16"/>
  <c r="P5" i="16"/>
  <c r="F5" i="16"/>
  <c r="ER4" i="16"/>
  <c r="EH4" i="16"/>
  <c r="DX4" i="16"/>
  <c r="DL4" i="16"/>
  <c r="DB4" i="16"/>
  <c r="CR4" i="16"/>
  <c r="CF4" i="16"/>
  <c r="BV4" i="16"/>
  <c r="BL4" i="16"/>
  <c r="AZ4" i="16"/>
  <c r="AP4" i="16"/>
  <c r="AF4" i="16"/>
  <c r="T4" i="16"/>
  <c r="J4" i="16"/>
  <c r="EX5" i="15"/>
  <c r="EL5" i="15"/>
  <c r="EB5" i="15"/>
  <c r="DR5" i="15"/>
  <c r="DF5" i="15"/>
  <c r="CV5" i="15"/>
  <c r="CL5" i="15"/>
  <c r="BZ5" i="15"/>
  <c r="BP5" i="15"/>
  <c r="BF5" i="15"/>
  <c r="AT5" i="15"/>
  <c r="AJ5" i="15"/>
  <c r="Z5" i="15"/>
  <c r="N5" i="15"/>
  <c r="D5" i="15"/>
  <c r="ER4" i="15"/>
  <c r="EF4" i="15"/>
  <c r="DV4" i="15"/>
  <c r="DL4" i="15"/>
  <c r="CZ4" i="15"/>
  <c r="CP4" i="15"/>
  <c r="CF4" i="15"/>
  <c r="BT4" i="15"/>
  <c r="BJ4" i="15"/>
  <c r="AZ4" i="15"/>
  <c r="AN4" i="15"/>
  <c r="AD4" i="15"/>
  <c r="T4" i="15"/>
  <c r="H4" i="15"/>
  <c r="EV5" i="14"/>
  <c r="EL5" i="14"/>
  <c r="DZ5" i="14"/>
  <c r="DP5" i="14"/>
  <c r="DF5" i="14"/>
  <c r="CT5" i="14"/>
  <c r="CJ5" i="14"/>
  <c r="CB5" i="14"/>
  <c r="BT5" i="14"/>
  <c r="BL5" i="14"/>
  <c r="BD5" i="14"/>
  <c r="AV5" i="14"/>
  <c r="AN5" i="14"/>
  <c r="AF5" i="14"/>
  <c r="X5" i="14"/>
  <c r="P5" i="14"/>
  <c r="H5" i="14"/>
  <c r="EX4" i="14"/>
  <c r="EP4" i="14"/>
  <c r="EH4" i="14"/>
  <c r="DZ4" i="14"/>
  <c r="DR4" i="14"/>
  <c r="DJ4" i="14"/>
  <c r="DB4" i="14"/>
  <c r="CT4" i="14"/>
  <c r="CL4" i="14"/>
  <c r="CD4" i="14"/>
  <c r="BV4" i="14"/>
  <c r="BN4" i="14"/>
  <c r="BF4" i="14"/>
  <c r="AX4" i="14"/>
  <c r="AP4" i="14"/>
  <c r="AH4" i="14"/>
  <c r="Z4" i="14"/>
  <c r="R4" i="14"/>
  <c r="J4" i="14"/>
  <c r="B4" i="14"/>
  <c r="ER5" i="13"/>
  <c r="EJ5" i="13"/>
  <c r="EB5" i="13"/>
  <c r="DT5" i="13"/>
  <c r="DL5" i="13"/>
  <c r="DD5" i="13"/>
  <c r="CV5" i="13"/>
  <c r="CN5" i="13"/>
  <c r="CF5" i="13"/>
  <c r="BX5" i="13"/>
  <c r="BP5" i="13"/>
  <c r="BH5" i="13"/>
  <c r="AZ5" i="13"/>
  <c r="AR5" i="13"/>
  <c r="AJ5" i="13"/>
  <c r="AB5" i="13"/>
  <c r="T5" i="13"/>
  <c r="L5" i="13"/>
  <c r="D5" i="13"/>
  <c r="ET4" i="13"/>
  <c r="BZ5" i="17"/>
  <c r="N5" i="17"/>
  <c r="EK4" i="17"/>
  <c r="DE4" i="17"/>
  <c r="CH4" i="17"/>
  <c r="BK4" i="17"/>
  <c r="AS4" i="17"/>
  <c r="V4" i="17"/>
  <c r="EI5" i="16"/>
  <c r="DW5" i="16"/>
  <c r="DI5" i="16"/>
  <c r="CX5" i="16"/>
  <c r="CJ5" i="16"/>
  <c r="BW5" i="16"/>
  <c r="BK5" i="16"/>
  <c r="AW5" i="16"/>
  <c r="AL5" i="16"/>
  <c r="Y5" i="16"/>
  <c r="O5" i="16"/>
  <c r="C5" i="16"/>
  <c r="EQ4" i="16"/>
  <c r="EG4" i="16"/>
  <c r="DU4" i="16"/>
  <c r="DK4" i="16"/>
  <c r="DA4" i="16"/>
  <c r="CO4" i="16"/>
  <c r="CE4" i="16"/>
  <c r="BU4" i="16"/>
  <c r="BI4" i="16"/>
  <c r="AY4" i="16"/>
  <c r="AO4" i="16"/>
  <c r="AC4" i="16"/>
  <c r="S4" i="16"/>
  <c r="I4" i="16"/>
  <c r="EU5" i="15"/>
  <c r="EK5" i="15"/>
  <c r="EA5" i="15"/>
  <c r="DO5" i="15"/>
  <c r="DE5" i="15"/>
  <c r="CU5" i="15"/>
  <c r="CI5" i="15"/>
  <c r="BY5" i="15"/>
  <c r="BO5" i="15"/>
  <c r="BC5" i="15"/>
  <c r="AS5" i="15"/>
  <c r="AI5" i="15"/>
  <c r="W5" i="15"/>
  <c r="M5" i="15"/>
  <c r="C5" i="15"/>
  <c r="EO4" i="15"/>
  <c r="EE4" i="15"/>
  <c r="DU4" i="15"/>
  <c r="DI4" i="15"/>
  <c r="CY4" i="15"/>
  <c r="CO4" i="15"/>
  <c r="CC4" i="15"/>
  <c r="BS4" i="15"/>
  <c r="BI4" i="15"/>
  <c r="AW4" i="15"/>
  <c r="AM4" i="15"/>
  <c r="AC4" i="15"/>
  <c r="Q4" i="15"/>
  <c r="G4" i="15"/>
  <c r="EU5" i="14"/>
  <c r="EI5" i="14"/>
  <c r="DY5" i="14"/>
  <c r="DO5" i="14"/>
  <c r="DC5" i="14"/>
  <c r="CS5" i="14"/>
  <c r="CI5" i="14"/>
  <c r="CA5" i="14"/>
  <c r="BS5" i="14"/>
  <c r="BK5" i="14"/>
  <c r="BC5" i="14"/>
  <c r="AU5" i="14"/>
  <c r="AM5" i="14"/>
  <c r="AE5" i="14"/>
  <c r="W5" i="14"/>
  <c r="O5" i="14"/>
  <c r="G5" i="14"/>
  <c r="EW4" i="14"/>
  <c r="EO4" i="14"/>
  <c r="EG4" i="14"/>
  <c r="DY4" i="14"/>
  <c r="DQ4" i="14"/>
  <c r="DI4" i="14"/>
  <c r="DA4" i="14"/>
  <c r="CS4" i="14"/>
  <c r="CK4" i="14"/>
  <c r="CC4" i="14"/>
  <c r="BU4" i="14"/>
  <c r="BM4" i="14"/>
  <c r="BE4" i="14"/>
  <c r="AW4" i="14"/>
  <c r="AO4" i="14"/>
  <c r="AG4" i="14"/>
  <c r="Y4" i="14"/>
  <c r="Q4" i="14"/>
  <c r="I4" i="14"/>
  <c r="EQ5" i="13"/>
  <c r="EI5" i="13"/>
  <c r="EA5" i="13"/>
  <c r="DS5" i="13"/>
  <c r="DK5" i="13"/>
  <c r="DC5" i="13"/>
  <c r="CU5" i="13"/>
  <c r="CM5" i="13"/>
  <c r="CE5" i="13"/>
  <c r="BW5" i="13"/>
  <c r="BO5" i="13"/>
  <c r="BR5" i="17"/>
  <c r="F5" i="17"/>
  <c r="ED4" i="17"/>
  <c r="CY4" i="17"/>
  <c r="CG4" i="17"/>
  <c r="BJ4" i="17"/>
  <c r="AM4" i="17"/>
  <c r="U4" i="17"/>
  <c r="EW5" i="16"/>
  <c r="EG5" i="16"/>
  <c r="DV5" i="16"/>
  <c r="DH5" i="16"/>
  <c r="CU5" i="16"/>
  <c r="CI5" i="16"/>
  <c r="BU5" i="16"/>
  <c r="BJ5" i="16"/>
  <c r="AV5" i="16"/>
  <c r="AI5" i="16"/>
  <c r="X5" i="16"/>
  <c r="N5" i="16"/>
  <c r="B5" i="16"/>
  <c r="EP4" i="16"/>
  <c r="EF4" i="16"/>
  <c r="DT4" i="16"/>
  <c r="DJ4" i="16"/>
  <c r="CZ4" i="16"/>
  <c r="CN4" i="16"/>
  <c r="CD4" i="16"/>
  <c r="BT4" i="16"/>
  <c r="BH4" i="16"/>
  <c r="AX4" i="16"/>
  <c r="AN4" i="16"/>
  <c r="AB4" i="16"/>
  <c r="R4" i="16"/>
  <c r="H4" i="16"/>
  <c r="ET5" i="15"/>
  <c r="EJ5" i="15"/>
  <c r="DZ5" i="15"/>
  <c r="DN5" i="15"/>
  <c r="DD5" i="15"/>
  <c r="CT5" i="15"/>
  <c r="CH5" i="15"/>
  <c r="BX5" i="15"/>
  <c r="BN5" i="15"/>
  <c r="BB5" i="15"/>
  <c r="AR5" i="15"/>
  <c r="AH5" i="15"/>
  <c r="V5" i="15"/>
  <c r="L5" i="15"/>
  <c r="B5" i="15"/>
  <c r="EN4" i="15"/>
  <c r="ED4" i="15"/>
  <c r="DT4" i="15"/>
  <c r="DH4" i="15"/>
  <c r="CX4" i="15"/>
  <c r="CN4" i="15"/>
  <c r="CB4" i="15"/>
  <c r="BR4" i="15"/>
  <c r="BH4" i="15"/>
  <c r="AV4" i="15"/>
  <c r="AL4" i="15"/>
  <c r="AB4" i="15"/>
  <c r="P4" i="15"/>
  <c r="F4" i="15"/>
  <c r="ET5" i="14"/>
  <c r="EH5" i="14"/>
  <c r="DX5" i="14"/>
  <c r="DN5" i="14"/>
  <c r="DB5" i="14"/>
  <c r="CR5" i="14"/>
  <c r="CH5" i="14"/>
  <c r="BZ5" i="14"/>
  <c r="BR5" i="14"/>
  <c r="BJ5" i="14"/>
  <c r="BB5" i="14"/>
  <c r="AT5" i="14"/>
  <c r="AL5" i="14"/>
  <c r="AD5" i="14"/>
  <c r="V5" i="14"/>
  <c r="N5" i="14"/>
  <c r="F5" i="14"/>
  <c r="EV4" i="14"/>
  <c r="EN4" i="14"/>
  <c r="EF4" i="14"/>
  <c r="DX4" i="14"/>
  <c r="DP4" i="14"/>
  <c r="DH4" i="14"/>
  <c r="CZ4" i="14"/>
  <c r="CR4" i="14"/>
  <c r="CJ4" i="14"/>
  <c r="CB4" i="14"/>
  <c r="BT4" i="14"/>
  <c r="BL4" i="14"/>
  <c r="BD4" i="14"/>
  <c r="AV4" i="14"/>
  <c r="AN4" i="14"/>
  <c r="AF4" i="14"/>
  <c r="X4" i="14"/>
  <c r="P4" i="14"/>
  <c r="H4" i="14"/>
  <c r="EX5" i="13"/>
  <c r="EP5" i="13"/>
  <c r="EH5" i="13"/>
  <c r="DZ5" i="13"/>
  <c r="DR5" i="13"/>
  <c r="DJ5" i="13"/>
  <c r="DB5" i="13"/>
  <c r="CT5" i="13"/>
  <c r="CL5" i="13"/>
  <c r="CD5" i="13"/>
  <c r="BV5" i="13"/>
  <c r="BN5" i="13"/>
  <c r="BF5" i="13"/>
  <c r="AX5" i="13"/>
  <c r="AP5" i="13"/>
  <c r="AH5" i="13"/>
  <c r="Z5" i="13"/>
  <c r="R5" i="13"/>
  <c r="J5" i="13"/>
  <c r="BJ5" i="17"/>
  <c r="FI4" i="17"/>
  <c r="EC4" i="17"/>
  <c r="CX4" i="17"/>
  <c r="CA4" i="17"/>
  <c r="BI4" i="17"/>
  <c r="AL4" i="17"/>
  <c r="O4" i="17"/>
  <c r="EV5" i="16"/>
  <c r="EF5" i="16"/>
  <c r="DS5" i="16"/>
  <c r="DG5" i="16"/>
  <c r="CS5" i="16"/>
  <c r="CH5" i="16"/>
  <c r="BT5" i="16"/>
  <c r="BG5" i="16"/>
  <c r="AU5" i="16"/>
  <c r="AG5" i="16"/>
  <c r="W5" i="16"/>
  <c r="K5" i="16"/>
  <c r="A5" i="16"/>
  <c r="EO4" i="16"/>
  <c r="EC4" i="16"/>
  <c r="DS4" i="16"/>
  <c r="DI4" i="16"/>
  <c r="CW4" i="16"/>
  <c r="CM4" i="16"/>
  <c r="CC4" i="16"/>
  <c r="BQ4" i="16"/>
  <c r="BG4" i="16"/>
  <c r="AW4" i="16"/>
  <c r="AK4" i="16"/>
  <c r="AA4" i="16"/>
  <c r="Q4" i="16"/>
  <c r="E4" i="16"/>
  <c r="ES5" i="15"/>
  <c r="EI5" i="15"/>
  <c r="DW5" i="15"/>
  <c r="DM5" i="15"/>
  <c r="DC5" i="15"/>
  <c r="CQ5" i="15"/>
  <c r="CG5" i="15"/>
  <c r="BW5" i="15"/>
  <c r="BK5" i="15"/>
  <c r="BA5" i="15"/>
  <c r="AQ5" i="15"/>
  <c r="AE5" i="15"/>
  <c r="U5" i="15"/>
  <c r="K5" i="15"/>
  <c r="EW4" i="15"/>
  <c r="EM4" i="15"/>
  <c r="EC4" i="15"/>
  <c r="DQ4" i="15"/>
  <c r="DG4" i="15"/>
  <c r="CW4" i="15"/>
  <c r="CK4" i="15"/>
  <c r="CA4" i="15"/>
  <c r="BQ4" i="15"/>
  <c r="BE4" i="15"/>
  <c r="AU4" i="15"/>
  <c r="AK4" i="15"/>
  <c r="Y4" i="15"/>
  <c r="O4" i="15"/>
  <c r="E4" i="15"/>
  <c r="EQ5" i="14"/>
  <c r="EG5" i="14"/>
  <c r="DW5" i="14"/>
  <c r="DK5" i="14"/>
  <c r="DA5" i="14"/>
  <c r="CQ5" i="14"/>
  <c r="CG5" i="14"/>
  <c r="BY5" i="14"/>
  <c r="BQ5" i="14"/>
  <c r="BI5" i="14"/>
  <c r="BA5" i="14"/>
  <c r="AS5" i="14"/>
  <c r="AK5" i="14"/>
  <c r="AC5" i="14"/>
  <c r="U5" i="14"/>
  <c r="M5" i="14"/>
  <c r="E5" i="14"/>
  <c r="EU4" i="14"/>
  <c r="EM4" i="14"/>
  <c r="EE4" i="14"/>
  <c r="DW4" i="14"/>
  <c r="DO4" i="14"/>
  <c r="DG4" i="14"/>
  <c r="CY4" i="14"/>
  <c r="CQ4" i="14"/>
  <c r="CI4" i="14"/>
  <c r="CA4" i="14"/>
  <c r="BS4" i="14"/>
  <c r="BK4" i="14"/>
  <c r="BC4" i="14"/>
  <c r="AU4" i="14"/>
  <c r="AM4" i="14"/>
  <c r="AE4" i="14"/>
  <c r="W4" i="14"/>
  <c r="O4" i="14"/>
  <c r="G4" i="14"/>
  <c r="EW5" i="13"/>
  <c r="EO5" i="13"/>
  <c r="EG5" i="13"/>
  <c r="DY5" i="13"/>
  <c r="DQ5" i="13"/>
  <c r="DI5" i="13"/>
  <c r="DA5" i="13"/>
  <c r="CS5" i="13"/>
  <c r="CK5" i="13"/>
  <c r="CC5" i="13"/>
  <c r="BU5" i="13"/>
  <c r="BM5" i="13"/>
  <c r="BE5" i="13"/>
  <c r="AW5" i="13"/>
  <c r="AO5" i="13"/>
  <c r="AG5" i="13"/>
  <c r="Y5" i="13"/>
  <c r="Q5" i="13"/>
  <c r="I5" i="13"/>
  <c r="BB5" i="17"/>
  <c r="FB4" i="17"/>
  <c r="DV4" i="17"/>
  <c r="CW4" i="17"/>
  <c r="BZ4" i="17"/>
  <c r="BC4" i="17"/>
  <c r="AK4" i="17"/>
  <c r="N4" i="17"/>
  <c r="EU5" i="16"/>
  <c r="EE5" i="16"/>
  <c r="DQ5" i="16"/>
  <c r="DF5" i="16"/>
  <c r="CR5" i="16"/>
  <c r="CE5" i="16"/>
  <c r="BS5" i="16"/>
  <c r="BE5" i="16"/>
  <c r="AT5" i="16"/>
  <c r="AF5" i="16"/>
  <c r="V5" i="16"/>
  <c r="J5" i="16"/>
  <c r="EX4" i="16"/>
  <c r="EN4" i="16"/>
  <c r="EB4" i="16"/>
  <c r="DR4" i="16"/>
  <c r="DH4" i="16"/>
  <c r="CV4" i="16"/>
  <c r="CL4" i="16"/>
  <c r="CB4" i="16"/>
  <c r="BP4" i="16"/>
  <c r="BF4" i="16"/>
  <c r="AV4" i="16"/>
  <c r="AJ4" i="16"/>
  <c r="Z4" i="16"/>
  <c r="P4" i="16"/>
  <c r="D4" i="16"/>
  <c r="ER5" i="15"/>
  <c r="EH5" i="15"/>
  <c r="DV5" i="15"/>
  <c r="DL5" i="15"/>
  <c r="DB5" i="15"/>
  <c r="CP5" i="15"/>
  <c r="CF5" i="15"/>
  <c r="BV5" i="15"/>
  <c r="BJ5" i="15"/>
  <c r="AZ5" i="15"/>
  <c r="AP5" i="15"/>
  <c r="AD5" i="15"/>
  <c r="T5" i="15"/>
  <c r="J5" i="15"/>
  <c r="EV4" i="15"/>
  <c r="EL4" i="15"/>
  <c r="EB4" i="15"/>
  <c r="DP4" i="15"/>
  <c r="DF4" i="15"/>
  <c r="CV4" i="15"/>
  <c r="CJ4" i="15"/>
  <c r="BZ4" i="15"/>
  <c r="BP4" i="15"/>
  <c r="BD4" i="15"/>
  <c r="AT4" i="15"/>
  <c r="AJ4" i="15"/>
  <c r="X4" i="15"/>
  <c r="N4" i="15"/>
  <c r="D4" i="15"/>
  <c r="EP5" i="14"/>
  <c r="EF5" i="14"/>
  <c r="DV5" i="14"/>
  <c r="DJ5" i="14"/>
  <c r="CZ5" i="14"/>
  <c r="CP5" i="14"/>
  <c r="CF5" i="14"/>
  <c r="BX5" i="14"/>
  <c r="BP5" i="14"/>
  <c r="BH5" i="14"/>
  <c r="AZ5" i="14"/>
  <c r="AR5" i="14"/>
  <c r="AJ5" i="14"/>
  <c r="AB5" i="14"/>
  <c r="T5" i="14"/>
  <c r="L5" i="14"/>
  <c r="D5" i="14"/>
  <c r="ET4" i="14"/>
  <c r="EL4" i="14"/>
  <c r="ED4" i="14"/>
  <c r="DV4" i="14"/>
  <c r="DN4" i="14"/>
  <c r="DF4" i="14"/>
  <c r="CX4" i="14"/>
  <c r="CP4" i="14"/>
  <c r="CH4" i="14"/>
  <c r="BZ4" i="14"/>
  <c r="BR4" i="14"/>
  <c r="BJ4" i="14"/>
  <c r="BB4" i="14"/>
  <c r="AT4" i="14"/>
  <c r="AL4" i="14"/>
  <c r="AD4" i="14"/>
  <c r="V4" i="14"/>
  <c r="N4" i="14"/>
  <c r="F4" i="14"/>
  <c r="EV5" i="13"/>
  <c r="EN5" i="13"/>
  <c r="EF5" i="13"/>
  <c r="DX5" i="13"/>
  <c r="DP5" i="13"/>
  <c r="DH5" i="13"/>
  <c r="CZ5" i="13"/>
  <c r="CR5" i="13"/>
  <c r="CJ5" i="13"/>
  <c r="CB5" i="13"/>
  <c r="BT5" i="13"/>
  <c r="BL5" i="13"/>
  <c r="BD5" i="13"/>
  <c r="AV5" i="13"/>
  <c r="AN5" i="13"/>
  <c r="AF5" i="13"/>
  <c r="X5" i="13"/>
  <c r="P5" i="13"/>
  <c r="H5" i="13"/>
  <c r="EX4" i="13"/>
  <c r="EP4" i="13"/>
  <c r="EH4" i="13"/>
  <c r="DZ4" i="13"/>
  <c r="BY5" i="13"/>
  <c r="AK5" i="13"/>
  <c r="E5" i="13"/>
  <c r="EQ4" i="13"/>
  <c r="EE4" i="13"/>
  <c r="DU4" i="13"/>
  <c r="DL4" i="13"/>
  <c r="DC4" i="13"/>
  <c r="CT4" i="13"/>
  <c r="CL4" i="13"/>
  <c r="CD4" i="13"/>
  <c r="BV4" i="13"/>
  <c r="BN4" i="13"/>
  <c r="BF4" i="13"/>
  <c r="AX4" i="13"/>
  <c r="AP4" i="13"/>
  <c r="AH4" i="13"/>
  <c r="Z4" i="13"/>
  <c r="R4" i="13"/>
  <c r="J4" i="13"/>
  <c r="B4" i="13"/>
  <c r="ER5" i="12"/>
  <c r="EJ5" i="12"/>
  <c r="EB5" i="12"/>
  <c r="DT5" i="12"/>
  <c r="DL5" i="12"/>
  <c r="DD5" i="12"/>
  <c r="CV5" i="12"/>
  <c r="CN5" i="12"/>
  <c r="CF5" i="12"/>
  <c r="BX5" i="12"/>
  <c r="BP5" i="12"/>
  <c r="BH5" i="12"/>
  <c r="AZ5" i="12"/>
  <c r="AR5" i="12"/>
  <c r="AJ5" i="12"/>
  <c r="AB5" i="12"/>
  <c r="T5" i="12"/>
  <c r="L5" i="12"/>
  <c r="D5" i="12"/>
  <c r="ET4" i="12"/>
  <c r="EL4" i="12"/>
  <c r="ED4" i="12"/>
  <c r="DV4" i="12"/>
  <c r="DN4" i="12"/>
  <c r="DF4" i="12"/>
  <c r="CX4" i="12"/>
  <c r="CP4" i="12"/>
  <c r="CH4" i="12"/>
  <c r="BZ4" i="12"/>
  <c r="BR4" i="12"/>
  <c r="BJ4" i="12"/>
  <c r="BB4" i="12"/>
  <c r="AT4" i="12"/>
  <c r="AL4" i="12"/>
  <c r="AD4" i="12"/>
  <c r="V4" i="12"/>
  <c r="N4" i="12"/>
  <c r="F4" i="12"/>
  <c r="EV5" i="11"/>
  <c r="EN5" i="11"/>
  <c r="EF5" i="11"/>
  <c r="DX5" i="11"/>
  <c r="DP5" i="11"/>
  <c r="DH5" i="11"/>
  <c r="CZ5" i="11"/>
  <c r="CR5" i="11"/>
  <c r="CJ5" i="11"/>
  <c r="CB5" i="11"/>
  <c r="BT5" i="11"/>
  <c r="BL5" i="11"/>
  <c r="BD5" i="11"/>
  <c r="AV5" i="11"/>
  <c r="AN5" i="11"/>
  <c r="AF5" i="11"/>
  <c r="X5" i="11"/>
  <c r="P5" i="11"/>
  <c r="H5" i="11"/>
  <c r="EX4" i="11"/>
  <c r="EP4" i="11"/>
  <c r="EH4" i="11"/>
  <c r="DZ4" i="11"/>
  <c r="DR4" i="11"/>
  <c r="DJ4" i="11"/>
  <c r="DB4" i="11"/>
  <c r="CT4" i="11"/>
  <c r="CL4" i="11"/>
  <c r="CD4" i="11"/>
  <c r="BV4" i="11"/>
  <c r="BN4" i="11"/>
  <c r="BF4" i="11"/>
  <c r="AX4" i="11"/>
  <c r="AP4" i="11"/>
  <c r="AH4" i="11"/>
  <c r="Z4" i="11"/>
  <c r="R4" i="11"/>
  <c r="J4" i="11"/>
  <c r="B4" i="11"/>
  <c r="ER5" i="10"/>
  <c r="EJ5" i="10"/>
  <c r="EB5" i="10"/>
  <c r="DT5" i="10"/>
  <c r="DL5" i="10"/>
  <c r="DD5" i="10"/>
  <c r="CV5" i="10"/>
  <c r="CN5" i="10"/>
  <c r="CF5" i="10"/>
  <c r="BX5" i="10"/>
  <c r="BP5" i="10"/>
  <c r="BH5" i="10"/>
  <c r="AZ5" i="10"/>
  <c r="AR5" i="10"/>
  <c r="AJ5" i="10"/>
  <c r="AB5" i="10"/>
  <c r="T5" i="10"/>
  <c r="L5" i="10"/>
  <c r="D5" i="10"/>
  <c r="ET4" i="10"/>
  <c r="EL4" i="10"/>
  <c r="ED4" i="10"/>
  <c r="DV4" i="10"/>
  <c r="DN4" i="10"/>
  <c r="DF4" i="10"/>
  <c r="CX4" i="10"/>
  <c r="CP4" i="10"/>
  <c r="CH4" i="10"/>
  <c r="BZ4" i="10"/>
  <c r="BQ5" i="13"/>
  <c r="AI5" i="13"/>
  <c r="C5" i="13"/>
  <c r="EO4" i="13"/>
  <c r="ED4" i="13"/>
  <c r="DT4" i="13"/>
  <c r="DK4" i="13"/>
  <c r="DB4" i="13"/>
  <c r="CS4" i="13"/>
  <c r="CK4" i="13"/>
  <c r="CC4" i="13"/>
  <c r="BU4" i="13"/>
  <c r="BM4" i="13"/>
  <c r="BE4" i="13"/>
  <c r="AW4" i="13"/>
  <c r="AO4" i="13"/>
  <c r="AG4" i="13"/>
  <c r="Y4" i="13"/>
  <c r="Q4" i="13"/>
  <c r="I4" i="13"/>
  <c r="EQ5" i="12"/>
  <c r="EI5" i="12"/>
  <c r="EA5" i="12"/>
  <c r="DS5" i="12"/>
  <c r="DK5" i="12"/>
  <c r="DC5" i="12"/>
  <c r="CU5" i="12"/>
  <c r="CM5" i="12"/>
  <c r="CE5" i="12"/>
  <c r="BW5" i="12"/>
  <c r="BO5" i="12"/>
  <c r="BG5" i="12"/>
  <c r="AY5" i="12"/>
  <c r="AQ5" i="12"/>
  <c r="AI5" i="12"/>
  <c r="AA5" i="12"/>
  <c r="S5" i="12"/>
  <c r="K5" i="12"/>
  <c r="C5" i="12"/>
  <c r="ES4" i="12"/>
  <c r="EK4" i="12"/>
  <c r="EC4" i="12"/>
  <c r="DU4" i="12"/>
  <c r="DM4" i="12"/>
  <c r="DE4" i="12"/>
  <c r="CW4" i="12"/>
  <c r="CO4" i="12"/>
  <c r="CG4" i="12"/>
  <c r="BY4" i="12"/>
  <c r="BQ4" i="12"/>
  <c r="BI4" i="12"/>
  <c r="BA4" i="12"/>
  <c r="AS4" i="12"/>
  <c r="AK4" i="12"/>
  <c r="AC4" i="12"/>
  <c r="U4" i="12"/>
  <c r="M4" i="12"/>
  <c r="E4" i="12"/>
  <c r="EU5" i="11"/>
  <c r="EM5" i="11"/>
  <c r="EE5" i="11"/>
  <c r="DW5" i="11"/>
  <c r="DO5" i="11"/>
  <c r="DG5" i="11"/>
  <c r="CY5" i="11"/>
  <c r="CQ5" i="11"/>
  <c r="CI5" i="11"/>
  <c r="CA5" i="11"/>
  <c r="BS5" i="11"/>
  <c r="BK5" i="11"/>
  <c r="BC5" i="11"/>
  <c r="AU5" i="11"/>
  <c r="AM5" i="11"/>
  <c r="AE5" i="11"/>
  <c r="W5" i="11"/>
  <c r="O5" i="11"/>
  <c r="G5" i="11"/>
  <c r="EW4" i="11"/>
  <c r="EO4" i="11"/>
  <c r="EG4" i="11"/>
  <c r="DY4" i="11"/>
  <c r="DQ4" i="11"/>
  <c r="DI4" i="11"/>
  <c r="DA4" i="11"/>
  <c r="CS4" i="11"/>
  <c r="CK4" i="11"/>
  <c r="CC4" i="11"/>
  <c r="BU4" i="11"/>
  <c r="BM4" i="11"/>
  <c r="BE4" i="11"/>
  <c r="AW4" i="11"/>
  <c r="AO4" i="11"/>
  <c r="AG4" i="11"/>
  <c r="Y4" i="11"/>
  <c r="Q4" i="11"/>
  <c r="I4" i="11"/>
  <c r="EQ5" i="10"/>
  <c r="EI5" i="10"/>
  <c r="EA5" i="10"/>
  <c r="DS5" i="10"/>
  <c r="DK5" i="10"/>
  <c r="DC5" i="10"/>
  <c r="CU5" i="10"/>
  <c r="CM5" i="10"/>
  <c r="CE5" i="10"/>
  <c r="BW5" i="10"/>
  <c r="BO5" i="10"/>
  <c r="BG5" i="10"/>
  <c r="AY5" i="10"/>
  <c r="AQ5" i="10"/>
  <c r="AI5" i="10"/>
  <c r="AA5" i="10"/>
  <c r="S5" i="10"/>
  <c r="K5" i="10"/>
  <c r="BI5" i="13"/>
  <c r="AC5" i="13"/>
  <c r="B5" i="13"/>
  <c r="EM4" i="13"/>
  <c r="EC4" i="13"/>
  <c r="DS4" i="13"/>
  <c r="DJ4" i="13"/>
  <c r="DA4" i="13"/>
  <c r="CR4" i="13"/>
  <c r="CJ4" i="13"/>
  <c r="CB4" i="13"/>
  <c r="BT4" i="13"/>
  <c r="BL4" i="13"/>
  <c r="BD4" i="13"/>
  <c r="AV4" i="13"/>
  <c r="AN4" i="13"/>
  <c r="AF4" i="13"/>
  <c r="X4" i="13"/>
  <c r="P4" i="13"/>
  <c r="H4" i="13"/>
  <c r="EX5" i="12"/>
  <c r="EP5" i="12"/>
  <c r="EH5" i="12"/>
  <c r="DZ5" i="12"/>
  <c r="DR5" i="12"/>
  <c r="DJ5" i="12"/>
  <c r="DB5" i="12"/>
  <c r="CT5" i="12"/>
  <c r="CL5" i="12"/>
  <c r="CD5" i="12"/>
  <c r="BV5" i="12"/>
  <c r="BN5" i="12"/>
  <c r="BF5" i="12"/>
  <c r="AX5" i="12"/>
  <c r="AP5" i="12"/>
  <c r="AH5" i="12"/>
  <c r="Z5" i="12"/>
  <c r="R5" i="12"/>
  <c r="J5" i="12"/>
  <c r="B5" i="12"/>
  <c r="ER4" i="12"/>
  <c r="EJ4" i="12"/>
  <c r="EB4" i="12"/>
  <c r="DT4" i="12"/>
  <c r="DL4" i="12"/>
  <c r="DD4" i="12"/>
  <c r="CV4" i="12"/>
  <c r="CN4" i="12"/>
  <c r="CF4" i="12"/>
  <c r="BX4" i="12"/>
  <c r="BP4" i="12"/>
  <c r="BH4" i="12"/>
  <c r="AZ4" i="12"/>
  <c r="AR4" i="12"/>
  <c r="AJ4" i="12"/>
  <c r="AB4" i="12"/>
  <c r="T4" i="12"/>
  <c r="L4" i="12"/>
  <c r="D4" i="12"/>
  <c r="ET5" i="11"/>
  <c r="EL5" i="11"/>
  <c r="ED5" i="11"/>
  <c r="DV5" i="11"/>
  <c r="DN5" i="11"/>
  <c r="DF5" i="11"/>
  <c r="CX5" i="11"/>
  <c r="CP5" i="11"/>
  <c r="CH5" i="11"/>
  <c r="BZ5" i="11"/>
  <c r="BR5" i="11"/>
  <c r="BJ5" i="11"/>
  <c r="BB5" i="11"/>
  <c r="AT5" i="11"/>
  <c r="AL5" i="11"/>
  <c r="AD5" i="11"/>
  <c r="V5" i="11"/>
  <c r="N5" i="11"/>
  <c r="F5" i="11"/>
  <c r="EV4" i="11"/>
  <c r="EN4" i="11"/>
  <c r="EF4" i="11"/>
  <c r="DX4" i="11"/>
  <c r="DP4" i="11"/>
  <c r="DH4" i="11"/>
  <c r="CZ4" i="11"/>
  <c r="CR4" i="11"/>
  <c r="CJ4" i="11"/>
  <c r="CB4" i="11"/>
  <c r="BT4" i="11"/>
  <c r="BL4" i="11"/>
  <c r="BD4" i="11"/>
  <c r="AV4" i="11"/>
  <c r="AN4" i="11"/>
  <c r="AF4" i="11"/>
  <c r="X4" i="11"/>
  <c r="P4" i="11"/>
  <c r="H4" i="11"/>
  <c r="EX5" i="10"/>
  <c r="EP5" i="10"/>
  <c r="EH5" i="10"/>
  <c r="DZ5" i="10"/>
  <c r="DR5" i="10"/>
  <c r="DJ5" i="10"/>
  <c r="DB5" i="10"/>
  <c r="CT5" i="10"/>
  <c r="CL5" i="10"/>
  <c r="CD5" i="10"/>
  <c r="BV5" i="10"/>
  <c r="BN5" i="10"/>
  <c r="BF5" i="10"/>
  <c r="AX5" i="10"/>
  <c r="AP5" i="10"/>
  <c r="AH5" i="10"/>
  <c r="Z5" i="10"/>
  <c r="R5" i="10"/>
  <c r="J5" i="10"/>
  <c r="BG5" i="13"/>
  <c r="AA5" i="13"/>
  <c r="A5" i="13"/>
  <c r="EL4" i="13"/>
  <c r="EB4" i="13"/>
  <c r="DR4" i="13"/>
  <c r="DI4" i="13"/>
  <c r="CY4" i="13"/>
  <c r="CQ4" i="13"/>
  <c r="CI4" i="13"/>
  <c r="CA4" i="13"/>
  <c r="BS4" i="13"/>
  <c r="BK4" i="13"/>
  <c r="BC4" i="13"/>
  <c r="AU4" i="13"/>
  <c r="AM4" i="13"/>
  <c r="AE4" i="13"/>
  <c r="W4" i="13"/>
  <c r="O4" i="13"/>
  <c r="G4" i="13"/>
  <c r="EW5" i="12"/>
  <c r="EO5" i="12"/>
  <c r="EG5" i="12"/>
  <c r="DY5" i="12"/>
  <c r="DQ5" i="12"/>
  <c r="DI5" i="12"/>
  <c r="DA5" i="12"/>
  <c r="CS5" i="12"/>
  <c r="CK5" i="12"/>
  <c r="CC5" i="12"/>
  <c r="BU5" i="12"/>
  <c r="BM5" i="12"/>
  <c r="BE5" i="12"/>
  <c r="AW5" i="12"/>
  <c r="AO5" i="12"/>
  <c r="AG5" i="12"/>
  <c r="Y5" i="12"/>
  <c r="Q5" i="12"/>
  <c r="I5" i="12"/>
  <c r="A5" i="12"/>
  <c r="EQ4" i="12"/>
  <c r="EI4" i="12"/>
  <c r="EA4" i="12"/>
  <c r="DS4" i="12"/>
  <c r="DK4" i="12"/>
  <c r="DC4" i="12"/>
  <c r="CU4" i="12"/>
  <c r="CM4" i="12"/>
  <c r="CE4" i="12"/>
  <c r="BW4" i="12"/>
  <c r="BO4" i="12"/>
  <c r="BG4" i="12"/>
  <c r="AY4" i="12"/>
  <c r="AQ4" i="12"/>
  <c r="AI4" i="12"/>
  <c r="AA4" i="12"/>
  <c r="S4" i="12"/>
  <c r="K4" i="12"/>
  <c r="C4" i="12"/>
  <c r="ES5" i="11"/>
  <c r="EK5" i="11"/>
  <c r="EC5" i="11"/>
  <c r="DU5" i="11"/>
  <c r="DM5" i="11"/>
  <c r="DE5" i="11"/>
  <c r="CW5" i="11"/>
  <c r="CO5" i="11"/>
  <c r="CG5" i="11"/>
  <c r="BY5" i="11"/>
  <c r="BQ5" i="11"/>
  <c r="BI5" i="11"/>
  <c r="BA5" i="11"/>
  <c r="AS5" i="11"/>
  <c r="AK5" i="11"/>
  <c r="AC5" i="11"/>
  <c r="U5" i="11"/>
  <c r="M5" i="11"/>
  <c r="E5" i="11"/>
  <c r="EU4" i="11"/>
  <c r="EM4" i="11"/>
  <c r="EE4" i="11"/>
  <c r="DW4" i="11"/>
  <c r="DO4" i="11"/>
  <c r="DG4" i="11"/>
  <c r="CY4" i="11"/>
  <c r="CQ4" i="11"/>
  <c r="CI4" i="11"/>
  <c r="CA4" i="11"/>
  <c r="BS4" i="11"/>
  <c r="BK4" i="11"/>
  <c r="BC4" i="11"/>
  <c r="AU4" i="11"/>
  <c r="AM4" i="11"/>
  <c r="AE4" i="11"/>
  <c r="W4" i="11"/>
  <c r="O4" i="11"/>
  <c r="G4" i="11"/>
  <c r="EW5" i="10"/>
  <c r="EO5" i="10"/>
  <c r="EG5" i="10"/>
  <c r="DY5" i="10"/>
  <c r="DQ5" i="10"/>
  <c r="DI5" i="10"/>
  <c r="DA5" i="10"/>
  <c r="CS5" i="10"/>
  <c r="CK5" i="10"/>
  <c r="CC5" i="10"/>
  <c r="BU5" i="10"/>
  <c r="BM5" i="10"/>
  <c r="BE5" i="10"/>
  <c r="AW5" i="10"/>
  <c r="AO5" i="10"/>
  <c r="AG5" i="10"/>
  <c r="Y5" i="10"/>
  <c r="Q5" i="10"/>
  <c r="I5" i="10"/>
  <c r="BA5" i="13"/>
  <c r="U5" i="13"/>
  <c r="EW4" i="13"/>
  <c r="EK4" i="13"/>
  <c r="EA4" i="13"/>
  <c r="DQ4" i="13"/>
  <c r="DG4" i="13"/>
  <c r="CX4" i="13"/>
  <c r="CP4" i="13"/>
  <c r="CH4" i="13"/>
  <c r="BZ4" i="13"/>
  <c r="BR4" i="13"/>
  <c r="BJ4" i="13"/>
  <c r="BB4" i="13"/>
  <c r="AT4" i="13"/>
  <c r="AL4" i="13"/>
  <c r="AD4" i="13"/>
  <c r="V4" i="13"/>
  <c r="N4" i="13"/>
  <c r="F4" i="13"/>
  <c r="EV5" i="12"/>
  <c r="EN5" i="12"/>
  <c r="EF5" i="12"/>
  <c r="DX5" i="12"/>
  <c r="DP5" i="12"/>
  <c r="DH5" i="12"/>
  <c r="CZ5" i="12"/>
  <c r="CR5" i="12"/>
  <c r="CJ5" i="12"/>
  <c r="CB5" i="12"/>
  <c r="BT5" i="12"/>
  <c r="BL5" i="12"/>
  <c r="BD5" i="12"/>
  <c r="AV5" i="12"/>
  <c r="AN5" i="12"/>
  <c r="AF5" i="12"/>
  <c r="X5" i="12"/>
  <c r="P5" i="12"/>
  <c r="H5" i="12"/>
  <c r="EX4" i="12"/>
  <c r="EP4" i="12"/>
  <c r="EH4" i="12"/>
  <c r="DZ4" i="12"/>
  <c r="DR4" i="12"/>
  <c r="DJ4" i="12"/>
  <c r="DB4" i="12"/>
  <c r="CT4" i="12"/>
  <c r="CL4" i="12"/>
  <c r="CD4" i="12"/>
  <c r="BV4" i="12"/>
  <c r="BN4" i="12"/>
  <c r="BF4" i="12"/>
  <c r="AX4" i="12"/>
  <c r="AP4" i="12"/>
  <c r="AH4" i="12"/>
  <c r="Z4" i="12"/>
  <c r="R4" i="12"/>
  <c r="J4" i="12"/>
  <c r="B4" i="12"/>
  <c r="ER5" i="11"/>
  <c r="EJ5" i="11"/>
  <c r="EB5" i="11"/>
  <c r="DT5" i="11"/>
  <c r="DL5" i="11"/>
  <c r="DD5" i="11"/>
  <c r="CV5" i="11"/>
  <c r="CN5" i="11"/>
  <c r="CF5" i="11"/>
  <c r="BX5" i="11"/>
  <c r="BP5" i="11"/>
  <c r="BH5" i="11"/>
  <c r="AZ5" i="11"/>
  <c r="AR5" i="11"/>
  <c r="AJ5" i="11"/>
  <c r="AB5" i="11"/>
  <c r="T5" i="11"/>
  <c r="L5" i="11"/>
  <c r="D5" i="11"/>
  <c r="ET4" i="11"/>
  <c r="EL4" i="11"/>
  <c r="ED4" i="11"/>
  <c r="DV4" i="11"/>
  <c r="DN4" i="11"/>
  <c r="DF4" i="11"/>
  <c r="CX4" i="11"/>
  <c r="CP4" i="11"/>
  <c r="CH4" i="11"/>
  <c r="BZ4" i="11"/>
  <c r="BR4" i="11"/>
  <c r="BJ4" i="11"/>
  <c r="BB4" i="11"/>
  <c r="AT4" i="11"/>
  <c r="AL4" i="11"/>
  <c r="AD4" i="11"/>
  <c r="V4" i="11"/>
  <c r="N4" i="11"/>
  <c r="F4" i="11"/>
  <c r="EV5" i="10"/>
  <c r="EN5" i="10"/>
  <c r="EF5" i="10"/>
  <c r="DX5" i="10"/>
  <c r="DP5" i="10"/>
  <c r="DH5" i="10"/>
  <c r="CZ5" i="10"/>
  <c r="CR5" i="10"/>
  <c r="CJ5" i="10"/>
  <c r="CB5" i="10"/>
  <c r="BT5" i="10"/>
  <c r="BL5" i="10"/>
  <c r="BD5" i="10"/>
  <c r="AV5" i="10"/>
  <c r="AN5" i="10"/>
  <c r="AF5" i="10"/>
  <c r="X5" i="10"/>
  <c r="P5" i="10"/>
  <c r="H5" i="10"/>
  <c r="AY5" i="13"/>
  <c r="S5" i="13"/>
  <c r="EU4" i="13"/>
  <c r="EJ4" i="13"/>
  <c r="DY4" i="13"/>
  <c r="DO4" i="13"/>
  <c r="DF4" i="13"/>
  <c r="CW4" i="13"/>
  <c r="CO4" i="13"/>
  <c r="CG4" i="13"/>
  <c r="BY4" i="13"/>
  <c r="BQ4" i="13"/>
  <c r="BI4" i="13"/>
  <c r="BA4" i="13"/>
  <c r="AS4" i="13"/>
  <c r="AK4" i="13"/>
  <c r="AC4" i="13"/>
  <c r="U4" i="13"/>
  <c r="M4" i="13"/>
  <c r="E4" i="13"/>
  <c r="EU5" i="12"/>
  <c r="EM5" i="12"/>
  <c r="EE5" i="12"/>
  <c r="DW5" i="12"/>
  <c r="DO5" i="12"/>
  <c r="DG5" i="12"/>
  <c r="CY5" i="12"/>
  <c r="CQ5" i="12"/>
  <c r="CI5" i="12"/>
  <c r="CA5" i="12"/>
  <c r="BS5" i="12"/>
  <c r="BK5" i="12"/>
  <c r="BC5" i="12"/>
  <c r="AU5" i="12"/>
  <c r="AM5" i="12"/>
  <c r="AE5" i="12"/>
  <c r="W5" i="12"/>
  <c r="O5" i="12"/>
  <c r="G5" i="12"/>
  <c r="EW4" i="12"/>
  <c r="EO4" i="12"/>
  <c r="EG4" i="12"/>
  <c r="DY4" i="12"/>
  <c r="DQ4" i="12"/>
  <c r="DI4" i="12"/>
  <c r="DA4" i="12"/>
  <c r="CS4" i="12"/>
  <c r="CK4" i="12"/>
  <c r="CC4" i="12"/>
  <c r="BU4" i="12"/>
  <c r="BM4" i="12"/>
  <c r="BE4" i="12"/>
  <c r="AW4" i="12"/>
  <c r="AO4" i="12"/>
  <c r="AG4" i="12"/>
  <c r="Y4" i="12"/>
  <c r="Q4" i="12"/>
  <c r="I4" i="12"/>
  <c r="EQ5" i="11"/>
  <c r="EI5" i="11"/>
  <c r="EA5" i="11"/>
  <c r="DS5" i="11"/>
  <c r="DK5" i="11"/>
  <c r="DC5" i="11"/>
  <c r="CU5" i="11"/>
  <c r="CM5" i="11"/>
  <c r="CE5" i="11"/>
  <c r="BW5" i="11"/>
  <c r="BO5" i="11"/>
  <c r="BG5" i="11"/>
  <c r="AY5" i="11"/>
  <c r="AQ5" i="11"/>
  <c r="AI5" i="11"/>
  <c r="AA5" i="11"/>
  <c r="S5" i="11"/>
  <c r="K5" i="11"/>
  <c r="C5" i="11"/>
  <c r="ES4" i="11"/>
  <c r="EK4" i="11"/>
  <c r="EC4" i="11"/>
  <c r="DU4" i="11"/>
  <c r="DM4" i="11"/>
  <c r="DE4" i="11"/>
  <c r="CW4" i="11"/>
  <c r="CO4" i="11"/>
  <c r="CG4" i="11"/>
  <c r="BY4" i="11"/>
  <c r="BQ4" i="11"/>
  <c r="BI4" i="11"/>
  <c r="BA4" i="11"/>
  <c r="AS4" i="11"/>
  <c r="AK4" i="11"/>
  <c r="AC4" i="11"/>
  <c r="U4" i="11"/>
  <c r="M4" i="11"/>
  <c r="E4" i="11"/>
  <c r="EU5" i="10"/>
  <c r="EM5" i="10"/>
  <c r="EE5" i="10"/>
  <c r="DW5" i="10"/>
  <c r="DO5" i="10"/>
  <c r="DG5" i="10"/>
  <c r="CY5" i="10"/>
  <c r="CQ5" i="10"/>
  <c r="CI5" i="10"/>
  <c r="CA5" i="10"/>
  <c r="BS5" i="10"/>
  <c r="BK5" i="10"/>
  <c r="BC5" i="10"/>
  <c r="AU5" i="10"/>
  <c r="AM5" i="10"/>
  <c r="AE5" i="10"/>
  <c r="W5" i="10"/>
  <c r="O5" i="10"/>
  <c r="G5" i="10"/>
  <c r="AS5" i="13"/>
  <c r="M5" i="13"/>
  <c r="ES4" i="13"/>
  <c r="EI4" i="13"/>
  <c r="DW4" i="13"/>
  <c r="DN4" i="13"/>
  <c r="DE4" i="13"/>
  <c r="CV4" i="13"/>
  <c r="CN4" i="13"/>
  <c r="CF4" i="13"/>
  <c r="BX4" i="13"/>
  <c r="BP4" i="13"/>
  <c r="BH4" i="13"/>
  <c r="AZ4" i="13"/>
  <c r="AR4" i="13"/>
  <c r="AJ4" i="13"/>
  <c r="AB4" i="13"/>
  <c r="T4" i="13"/>
  <c r="L4" i="13"/>
  <c r="D4" i="13"/>
  <c r="ET5" i="12"/>
  <c r="EL5" i="12"/>
  <c r="ED5" i="12"/>
  <c r="DV5" i="12"/>
  <c r="DN5" i="12"/>
  <c r="DF5" i="12"/>
  <c r="CX5" i="12"/>
  <c r="CP5" i="12"/>
  <c r="CH5" i="12"/>
  <c r="BZ5" i="12"/>
  <c r="BR5" i="12"/>
  <c r="BJ5" i="12"/>
  <c r="BB5" i="12"/>
  <c r="AT5" i="12"/>
  <c r="AL5" i="12"/>
  <c r="AD5" i="12"/>
  <c r="V5" i="12"/>
  <c r="N5" i="12"/>
  <c r="F5" i="12"/>
  <c r="EV4" i="12"/>
  <c r="EN4" i="12"/>
  <c r="EF4" i="12"/>
  <c r="DX4" i="12"/>
  <c r="DP4" i="12"/>
  <c r="DH4" i="12"/>
  <c r="CZ4" i="12"/>
  <c r="CR4" i="12"/>
  <c r="CJ4" i="12"/>
  <c r="CB4" i="12"/>
  <c r="BT4" i="12"/>
  <c r="BL4" i="12"/>
  <c r="BD4" i="12"/>
  <c r="AV4" i="12"/>
  <c r="AN4" i="12"/>
  <c r="AF4" i="12"/>
  <c r="X4" i="12"/>
  <c r="P4" i="12"/>
  <c r="H4" i="12"/>
  <c r="EX5" i="11"/>
  <c r="EP5" i="11"/>
  <c r="EH5" i="11"/>
  <c r="DZ5" i="11"/>
  <c r="DR5" i="11"/>
  <c r="DJ5" i="11"/>
  <c r="DB5" i="11"/>
  <c r="CT5" i="11"/>
  <c r="CL5" i="11"/>
  <c r="CD5" i="11"/>
  <c r="BV5" i="11"/>
  <c r="BN5" i="11"/>
  <c r="BF5" i="11"/>
  <c r="AX5" i="11"/>
  <c r="AP5" i="11"/>
  <c r="AH5" i="11"/>
  <c r="Z5" i="11"/>
  <c r="R5" i="11"/>
  <c r="J5" i="11"/>
  <c r="B5" i="11"/>
  <c r="ER4" i="11"/>
  <c r="EJ4" i="11"/>
  <c r="EB4" i="11"/>
  <c r="DT4" i="11"/>
  <c r="DL4" i="11"/>
  <c r="DD4" i="11"/>
  <c r="CV4" i="11"/>
  <c r="CN4" i="11"/>
  <c r="CF4" i="11"/>
  <c r="BX4" i="11"/>
  <c r="BP4" i="11"/>
  <c r="BH4" i="11"/>
  <c r="AZ4" i="11"/>
  <c r="AR4" i="11"/>
  <c r="AJ4" i="11"/>
  <c r="AB4" i="11"/>
  <c r="T4" i="11"/>
  <c r="L4" i="11"/>
  <c r="D4" i="11"/>
  <c r="ET5" i="10"/>
  <c r="EL5" i="10"/>
  <c r="ED5" i="10"/>
  <c r="DV5" i="10"/>
  <c r="DN5" i="10"/>
  <c r="DF5" i="10"/>
  <c r="CX5" i="10"/>
  <c r="CP5" i="10"/>
  <c r="CH5" i="10"/>
  <c r="BZ5" i="10"/>
  <c r="BR5" i="10"/>
  <c r="BJ5" i="10"/>
  <c r="BB5" i="10"/>
  <c r="AT5" i="10"/>
  <c r="AL5" i="10"/>
  <c r="AD5" i="10"/>
  <c r="V5" i="10"/>
  <c r="N5" i="10"/>
  <c r="F5" i="10"/>
  <c r="AQ5" i="13"/>
  <c r="K5" i="13"/>
  <c r="ER4" i="13"/>
  <c r="EG4" i="13"/>
  <c r="DV4" i="13"/>
  <c r="DM4" i="13"/>
  <c r="DD4" i="13"/>
  <c r="CU4" i="13"/>
  <c r="CM4" i="13"/>
  <c r="CE4" i="13"/>
  <c r="BW4" i="13"/>
  <c r="BO4" i="13"/>
  <c r="BG4" i="13"/>
  <c r="AY4" i="13"/>
  <c r="AQ4" i="13"/>
  <c r="AI4" i="13"/>
  <c r="AA4" i="13"/>
  <c r="S4" i="13"/>
  <c r="K4" i="13"/>
  <c r="C4" i="13"/>
  <c r="ES5" i="12"/>
  <c r="EK5" i="12"/>
  <c r="EC5" i="12"/>
  <c r="DU5" i="12"/>
  <c r="DM5" i="12"/>
  <c r="DE5" i="12"/>
  <c r="CW5" i="12"/>
  <c r="CO5" i="12"/>
  <c r="CG5" i="12"/>
  <c r="BY5" i="12"/>
  <c r="BQ5" i="12"/>
  <c r="BI5" i="12"/>
  <c r="BA5" i="12"/>
  <c r="AS5" i="12"/>
  <c r="AK5" i="12"/>
  <c r="AC5" i="12"/>
  <c r="U5" i="12"/>
  <c r="M5" i="12"/>
  <c r="E5" i="12"/>
  <c r="EU4" i="12"/>
  <c r="EM4" i="12"/>
  <c r="EE4" i="12"/>
  <c r="DW4" i="12"/>
  <c r="DO4" i="12"/>
  <c r="DG4" i="12"/>
  <c r="CY4" i="12"/>
  <c r="CQ4" i="12"/>
  <c r="CI4" i="12"/>
  <c r="CA4" i="12"/>
  <c r="BS4" i="12"/>
  <c r="BK4" i="12"/>
  <c r="BC4" i="12"/>
  <c r="AU4" i="12"/>
  <c r="AM4" i="12"/>
  <c r="AE4" i="12"/>
  <c r="W4" i="12"/>
  <c r="O4" i="12"/>
  <c r="G4" i="12"/>
  <c r="EW5" i="11"/>
  <c r="EO5" i="11"/>
  <c r="EG5" i="11"/>
  <c r="DY5" i="11"/>
  <c r="DQ5" i="11"/>
  <c r="DI5" i="11"/>
  <c r="DA5" i="11"/>
  <c r="CS5" i="11"/>
  <c r="CK5" i="11"/>
  <c r="CC5" i="11"/>
  <c r="BU5" i="11"/>
  <c r="BM5" i="11"/>
  <c r="BE5" i="11"/>
  <c r="AW5" i="11"/>
  <c r="AO5" i="11"/>
  <c r="AG5" i="11"/>
  <c r="Y5" i="11"/>
  <c r="Q5" i="11"/>
  <c r="I5" i="11"/>
  <c r="A5" i="11"/>
  <c r="EQ4" i="11"/>
  <c r="EI4" i="11"/>
  <c r="EA4" i="11"/>
  <c r="DS4" i="11"/>
  <c r="DK4" i="11"/>
  <c r="DC4" i="11"/>
  <c r="CU4" i="11"/>
  <c r="CM4" i="11"/>
  <c r="CE4" i="11"/>
  <c r="BW4" i="11"/>
  <c r="BO4" i="11"/>
  <c r="BG4" i="11"/>
  <c r="AY4" i="11"/>
  <c r="AQ4" i="11"/>
  <c r="AI4" i="11"/>
  <c r="AA4" i="11"/>
  <c r="S4" i="11"/>
  <c r="K4" i="11"/>
  <c r="C4" i="11"/>
  <c r="ES5" i="10"/>
  <c r="EK5" i="10"/>
  <c r="EC5" i="10"/>
  <c r="DU5" i="10"/>
  <c r="DM5" i="10"/>
  <c r="DE5" i="10"/>
  <c r="CW5" i="10"/>
  <c r="CO5" i="10"/>
  <c r="CG5" i="10"/>
  <c r="BY5" i="10"/>
  <c r="BQ5" i="10"/>
  <c r="BI5" i="10"/>
  <c r="BA5" i="10"/>
  <c r="AS5" i="10"/>
  <c r="AK5" i="10"/>
  <c r="AC5" i="10"/>
  <c r="U5" i="10"/>
  <c r="M5" i="10"/>
  <c r="E5" i="10"/>
  <c r="EU4" i="10"/>
  <c r="C5" i="10"/>
  <c r="EQ4" i="10"/>
  <c r="EH4" i="10"/>
  <c r="DY4" i="10"/>
  <c r="DP4" i="10"/>
  <c r="DG4" i="10"/>
  <c r="CW4" i="10"/>
  <c r="CN4" i="10"/>
  <c r="CE4" i="10"/>
  <c r="BV4" i="10"/>
  <c r="BN4" i="10"/>
  <c r="BF4" i="10"/>
  <c r="AX4" i="10"/>
  <c r="AP4" i="10"/>
  <c r="AH4" i="10"/>
  <c r="Z4" i="10"/>
  <c r="R4" i="10"/>
  <c r="J4" i="10"/>
  <c r="B4" i="10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ET4" i="9"/>
  <c r="EL4" i="9"/>
  <c r="ED4" i="9"/>
  <c r="DV4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EV5" i="8"/>
  <c r="EN5" i="8"/>
  <c r="EF5" i="8"/>
  <c r="DX5" i="8"/>
  <c r="DP5" i="8"/>
  <c r="DH5" i="8"/>
  <c r="CZ5" i="8"/>
  <c r="CR5" i="8"/>
  <c r="CJ5" i="8"/>
  <c r="CB5" i="8"/>
  <c r="BT5" i="8"/>
  <c r="BL5" i="8"/>
  <c r="BD5" i="8"/>
  <c r="AV5" i="8"/>
  <c r="AN5" i="8"/>
  <c r="AF5" i="8"/>
  <c r="X5" i="8"/>
  <c r="P5" i="8"/>
  <c r="H5" i="8"/>
  <c r="EX4" i="8"/>
  <c r="EP4" i="8"/>
  <c r="EH4" i="8"/>
  <c r="DZ4" i="8"/>
  <c r="DR4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ER5" i="7"/>
  <c r="EJ5" i="7"/>
  <c r="EB5" i="7"/>
  <c r="DT5" i="7"/>
  <c r="DL5" i="7"/>
  <c r="DD5" i="7"/>
  <c r="CV5" i="7"/>
  <c r="CN5" i="7"/>
  <c r="CF5" i="7"/>
  <c r="BX5" i="7"/>
  <c r="BP5" i="7"/>
  <c r="BH5" i="7"/>
  <c r="AZ5" i="7"/>
  <c r="AR5" i="7"/>
  <c r="AJ5" i="7"/>
  <c r="AB5" i="7"/>
  <c r="T5" i="7"/>
  <c r="L5" i="7"/>
  <c r="D5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B5" i="10"/>
  <c r="EP4" i="10"/>
  <c r="EG4" i="10"/>
  <c r="DX4" i="10"/>
  <c r="DO4" i="10"/>
  <c r="DE4" i="10"/>
  <c r="CV4" i="10"/>
  <c r="CM4" i="10"/>
  <c r="CD4" i="10"/>
  <c r="BU4" i="10"/>
  <c r="BM4" i="10"/>
  <c r="BE4" i="10"/>
  <c r="AW4" i="10"/>
  <c r="AO4" i="10"/>
  <c r="AG4" i="10"/>
  <c r="Y4" i="10"/>
  <c r="Q4" i="10"/>
  <c r="I4" i="10"/>
  <c r="EQ5" i="9"/>
  <c r="EI5" i="9"/>
  <c r="EA5" i="9"/>
  <c r="DS5" i="9"/>
  <c r="DK5" i="9"/>
  <c r="DC5" i="9"/>
  <c r="CU5" i="9"/>
  <c r="CM5" i="9"/>
  <c r="CE5" i="9"/>
  <c r="BW5" i="9"/>
  <c r="BO5" i="9"/>
  <c r="BG5" i="9"/>
  <c r="AY5" i="9"/>
  <c r="AQ5" i="9"/>
  <c r="AI5" i="9"/>
  <c r="AA5" i="9"/>
  <c r="S5" i="9"/>
  <c r="K5" i="9"/>
  <c r="C5" i="9"/>
  <c r="ES4" i="9"/>
  <c r="EK4" i="9"/>
  <c r="EC4" i="9"/>
  <c r="DU4" i="9"/>
  <c r="DM4" i="9"/>
  <c r="DE4" i="9"/>
  <c r="CW4" i="9"/>
  <c r="CO4" i="9"/>
  <c r="CG4" i="9"/>
  <c r="BY4" i="9"/>
  <c r="BQ4" i="9"/>
  <c r="BI4" i="9"/>
  <c r="BA4" i="9"/>
  <c r="AS4" i="9"/>
  <c r="AK4" i="9"/>
  <c r="AC4" i="9"/>
  <c r="U4" i="9"/>
  <c r="M4" i="9"/>
  <c r="E4" i="9"/>
  <c r="EU5" i="8"/>
  <c r="EM5" i="8"/>
  <c r="EE5" i="8"/>
  <c r="DW5" i="8"/>
  <c r="DO5" i="8"/>
  <c r="DG5" i="8"/>
  <c r="CY5" i="8"/>
  <c r="CQ5" i="8"/>
  <c r="CI5" i="8"/>
  <c r="CA5" i="8"/>
  <c r="BS5" i="8"/>
  <c r="BK5" i="8"/>
  <c r="BC5" i="8"/>
  <c r="AU5" i="8"/>
  <c r="AM5" i="8"/>
  <c r="AE5" i="8"/>
  <c r="W5" i="8"/>
  <c r="O5" i="8"/>
  <c r="G5" i="8"/>
  <c r="EW4" i="8"/>
  <c r="EO4" i="8"/>
  <c r="EG4" i="8"/>
  <c r="DY4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EQ5" i="7"/>
  <c r="EI5" i="7"/>
  <c r="EA5" i="7"/>
  <c r="DS5" i="7"/>
  <c r="DK5" i="7"/>
  <c r="DC5" i="7"/>
  <c r="CU5" i="7"/>
  <c r="CM5" i="7"/>
  <c r="CE5" i="7"/>
  <c r="BW5" i="7"/>
  <c r="BO5" i="7"/>
  <c r="BG5" i="7"/>
  <c r="AY5" i="7"/>
  <c r="AQ5" i="7"/>
  <c r="AI5" i="7"/>
  <c r="AA5" i="7"/>
  <c r="S5" i="7"/>
  <c r="K5" i="7"/>
  <c r="C5" i="7"/>
  <c r="ES4" i="7"/>
  <c r="EK4" i="7"/>
  <c r="EC4" i="7"/>
  <c r="DU4" i="7"/>
  <c r="DM4" i="7"/>
  <c r="DE4" i="7"/>
  <c r="CW4" i="7"/>
  <c r="CO4" i="7"/>
  <c r="CG4" i="7"/>
  <c r="BY4" i="7"/>
  <c r="BQ4" i="7"/>
  <c r="BI4" i="7"/>
  <c r="BA4" i="7"/>
  <c r="A5" i="10"/>
  <c r="EO4" i="10"/>
  <c r="EF4" i="10"/>
  <c r="DW4" i="10"/>
  <c r="DM4" i="10"/>
  <c r="DD4" i="10"/>
  <c r="CU4" i="10"/>
  <c r="CL4" i="10"/>
  <c r="CC4" i="10"/>
  <c r="BT4" i="10"/>
  <c r="BL4" i="10"/>
  <c r="BD4" i="10"/>
  <c r="AV4" i="10"/>
  <c r="AN4" i="10"/>
  <c r="AF4" i="10"/>
  <c r="X4" i="10"/>
  <c r="P4" i="10"/>
  <c r="H4" i="10"/>
  <c r="EX5" i="9"/>
  <c r="EP5" i="9"/>
  <c r="EH5" i="9"/>
  <c r="DZ5" i="9"/>
  <c r="DR5" i="9"/>
  <c r="DJ5" i="9"/>
  <c r="DB5" i="9"/>
  <c r="CT5" i="9"/>
  <c r="CL5" i="9"/>
  <c r="CD5" i="9"/>
  <c r="BV5" i="9"/>
  <c r="BN5" i="9"/>
  <c r="BF5" i="9"/>
  <c r="AX5" i="9"/>
  <c r="AP5" i="9"/>
  <c r="AH5" i="9"/>
  <c r="Z5" i="9"/>
  <c r="R5" i="9"/>
  <c r="J5" i="9"/>
  <c r="B5" i="9"/>
  <c r="ER4" i="9"/>
  <c r="EJ4" i="9"/>
  <c r="EB4" i="9"/>
  <c r="DT4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L4" i="9"/>
  <c r="D4" i="9"/>
  <c r="ET5" i="8"/>
  <c r="EL5" i="8"/>
  <c r="ED5" i="8"/>
  <c r="DV5" i="8"/>
  <c r="DN5" i="8"/>
  <c r="DF5" i="8"/>
  <c r="CX5" i="8"/>
  <c r="CP5" i="8"/>
  <c r="CH5" i="8"/>
  <c r="BZ5" i="8"/>
  <c r="BR5" i="8"/>
  <c r="BJ5" i="8"/>
  <c r="BB5" i="8"/>
  <c r="AT5" i="8"/>
  <c r="AL5" i="8"/>
  <c r="AD5" i="8"/>
  <c r="V5" i="8"/>
  <c r="N5" i="8"/>
  <c r="F5" i="8"/>
  <c r="EV4" i="8"/>
  <c r="EN4" i="8"/>
  <c r="EF4" i="8"/>
  <c r="DX4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EX5" i="7"/>
  <c r="EP5" i="7"/>
  <c r="EH5" i="7"/>
  <c r="DZ5" i="7"/>
  <c r="DR5" i="7"/>
  <c r="DJ5" i="7"/>
  <c r="DB5" i="7"/>
  <c r="CT5" i="7"/>
  <c r="CL5" i="7"/>
  <c r="CD5" i="7"/>
  <c r="BV5" i="7"/>
  <c r="BN5" i="7"/>
  <c r="BF5" i="7"/>
  <c r="AX5" i="7"/>
  <c r="AP5" i="7"/>
  <c r="AH5" i="7"/>
  <c r="Z5" i="7"/>
  <c r="R5" i="7"/>
  <c r="J5" i="7"/>
  <c r="B5" i="7"/>
  <c r="ER4" i="7"/>
  <c r="EJ4" i="7"/>
  <c r="EB4" i="7"/>
  <c r="DT4" i="7"/>
  <c r="DL4" i="7"/>
  <c r="DD4" i="7"/>
  <c r="CV4" i="7"/>
  <c r="CN4" i="7"/>
  <c r="CF4" i="7"/>
  <c r="BX4" i="7"/>
  <c r="BP4" i="7"/>
  <c r="BH4" i="7"/>
  <c r="EX4" i="10"/>
  <c r="EN4" i="10"/>
  <c r="EE4" i="10"/>
  <c r="DU4" i="10"/>
  <c r="DL4" i="10"/>
  <c r="DC4" i="10"/>
  <c r="CT4" i="10"/>
  <c r="CK4" i="10"/>
  <c r="CB4" i="10"/>
  <c r="BS4" i="10"/>
  <c r="BK4" i="10"/>
  <c r="BC4" i="10"/>
  <c r="AU4" i="10"/>
  <c r="AM4" i="10"/>
  <c r="AE4" i="10"/>
  <c r="W4" i="10"/>
  <c r="O4" i="10"/>
  <c r="G4" i="10"/>
  <c r="EW5" i="9"/>
  <c r="EO5" i="9"/>
  <c r="EG5" i="9"/>
  <c r="DY5" i="9"/>
  <c r="DQ5" i="9"/>
  <c r="DI5" i="9"/>
  <c r="DA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EQ4" i="9"/>
  <c r="EI4" i="9"/>
  <c r="EA4" i="9"/>
  <c r="DS4" i="9"/>
  <c r="DK4" i="9"/>
  <c r="DC4" i="9"/>
  <c r="CU4" i="9"/>
  <c r="CM4" i="9"/>
  <c r="CE4" i="9"/>
  <c r="BW4" i="9"/>
  <c r="BO4" i="9"/>
  <c r="BG4" i="9"/>
  <c r="AY4" i="9"/>
  <c r="AQ4" i="9"/>
  <c r="AI4" i="9"/>
  <c r="AA4" i="9"/>
  <c r="S4" i="9"/>
  <c r="K4" i="9"/>
  <c r="C4" i="9"/>
  <c r="ES5" i="8"/>
  <c r="EK5" i="8"/>
  <c r="EC5" i="8"/>
  <c r="DU5" i="8"/>
  <c r="DM5" i="8"/>
  <c r="DE5" i="8"/>
  <c r="CW5" i="8"/>
  <c r="CO5" i="8"/>
  <c r="CG5" i="8"/>
  <c r="BY5" i="8"/>
  <c r="BQ5" i="8"/>
  <c r="BI5" i="8"/>
  <c r="BA5" i="8"/>
  <c r="AS5" i="8"/>
  <c r="AK5" i="8"/>
  <c r="AC5" i="8"/>
  <c r="U5" i="8"/>
  <c r="M5" i="8"/>
  <c r="E5" i="8"/>
  <c r="EU4" i="8"/>
  <c r="EM4" i="8"/>
  <c r="EE4" i="8"/>
  <c r="DW4" i="8"/>
  <c r="DO4" i="8"/>
  <c r="DG4" i="8"/>
  <c r="CY4" i="8"/>
  <c r="CQ4" i="8"/>
  <c r="CI4" i="8"/>
  <c r="CA4" i="8"/>
  <c r="BS4" i="8"/>
  <c r="BK4" i="8"/>
  <c r="BC4" i="8"/>
  <c r="AU4" i="8"/>
  <c r="AM4" i="8"/>
  <c r="AE4" i="8"/>
  <c r="W4" i="8"/>
  <c r="O4" i="8"/>
  <c r="G4" i="8"/>
  <c r="EW5" i="7"/>
  <c r="EO5" i="7"/>
  <c r="EG5" i="7"/>
  <c r="DY5" i="7"/>
  <c r="DQ5" i="7"/>
  <c r="DI5" i="7"/>
  <c r="DA5" i="7"/>
  <c r="CS5" i="7"/>
  <c r="CK5" i="7"/>
  <c r="CC5" i="7"/>
  <c r="BU5" i="7"/>
  <c r="BM5" i="7"/>
  <c r="BE5" i="7"/>
  <c r="AW5" i="7"/>
  <c r="AO5" i="7"/>
  <c r="AG5" i="7"/>
  <c r="Y5" i="7"/>
  <c r="Q5" i="7"/>
  <c r="I5" i="7"/>
  <c r="A5" i="7"/>
  <c r="EQ4" i="7"/>
  <c r="EI4" i="7"/>
  <c r="EA4" i="7"/>
  <c r="DS4" i="7"/>
  <c r="DK4" i="7"/>
  <c r="DC4" i="7"/>
  <c r="CU4" i="7"/>
  <c r="CM4" i="7"/>
  <c r="CE4" i="7"/>
  <c r="BW4" i="7"/>
  <c r="BO4" i="7"/>
  <c r="BG4" i="7"/>
  <c r="EW4" i="10"/>
  <c r="EM4" i="10"/>
  <c r="EC4" i="10"/>
  <c r="DT4" i="10"/>
  <c r="DK4" i="10"/>
  <c r="DB4" i="10"/>
  <c r="CS4" i="10"/>
  <c r="CJ4" i="10"/>
  <c r="CA4" i="10"/>
  <c r="BR4" i="10"/>
  <c r="BJ4" i="10"/>
  <c r="BB4" i="10"/>
  <c r="AT4" i="10"/>
  <c r="AL4" i="10"/>
  <c r="AD4" i="10"/>
  <c r="V4" i="10"/>
  <c r="N4" i="10"/>
  <c r="F4" i="10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N5" i="9"/>
  <c r="AF5" i="9"/>
  <c r="X5" i="9"/>
  <c r="P5" i="9"/>
  <c r="H5" i="9"/>
  <c r="EX4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ER5" i="8"/>
  <c r="EJ5" i="8"/>
  <c r="EB5" i="8"/>
  <c r="DT5" i="8"/>
  <c r="DL5" i="8"/>
  <c r="DD5" i="8"/>
  <c r="CV5" i="8"/>
  <c r="CN5" i="8"/>
  <c r="CF5" i="8"/>
  <c r="BX5" i="8"/>
  <c r="BP5" i="8"/>
  <c r="BH5" i="8"/>
  <c r="AZ5" i="8"/>
  <c r="AR5" i="8"/>
  <c r="AJ5" i="8"/>
  <c r="AB5" i="8"/>
  <c r="T5" i="8"/>
  <c r="L5" i="8"/>
  <c r="D5" i="8"/>
  <c r="ET4" i="8"/>
  <c r="EL4" i="8"/>
  <c r="ED4" i="8"/>
  <c r="DV4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EV5" i="7"/>
  <c r="EN5" i="7"/>
  <c r="EF5" i="7"/>
  <c r="DX5" i="7"/>
  <c r="DP5" i="7"/>
  <c r="DH5" i="7"/>
  <c r="CZ5" i="7"/>
  <c r="CR5" i="7"/>
  <c r="CJ5" i="7"/>
  <c r="CB5" i="7"/>
  <c r="BT5" i="7"/>
  <c r="BL5" i="7"/>
  <c r="BD5" i="7"/>
  <c r="AV5" i="7"/>
  <c r="AN5" i="7"/>
  <c r="AF5" i="7"/>
  <c r="X5" i="7"/>
  <c r="P5" i="7"/>
  <c r="H5" i="7"/>
  <c r="EX4" i="7"/>
  <c r="EP4" i="7"/>
  <c r="EH4" i="7"/>
  <c r="DZ4" i="7"/>
  <c r="DR4" i="7"/>
  <c r="DJ4" i="7"/>
  <c r="DB4" i="7"/>
  <c r="CT4" i="7"/>
  <c r="CL4" i="7"/>
  <c r="CD4" i="7"/>
  <c r="BV4" i="7"/>
  <c r="BN4" i="7"/>
  <c r="BF4" i="7"/>
  <c r="EV4" i="10"/>
  <c r="EK4" i="10"/>
  <c r="EB4" i="10"/>
  <c r="DS4" i="10"/>
  <c r="DJ4" i="10"/>
  <c r="DA4" i="10"/>
  <c r="CR4" i="10"/>
  <c r="CI4" i="10"/>
  <c r="BY4" i="10"/>
  <c r="BQ4" i="10"/>
  <c r="BI4" i="10"/>
  <c r="BA4" i="10"/>
  <c r="AS4" i="10"/>
  <c r="AK4" i="10"/>
  <c r="AC4" i="10"/>
  <c r="U4" i="10"/>
  <c r="M4" i="10"/>
  <c r="E4" i="10"/>
  <c r="EU5" i="9"/>
  <c r="EM5" i="9"/>
  <c r="EE5" i="9"/>
  <c r="DW5" i="9"/>
  <c r="DO5" i="9"/>
  <c r="DG5" i="9"/>
  <c r="CY5" i="9"/>
  <c r="CQ5" i="9"/>
  <c r="CI5" i="9"/>
  <c r="CA5" i="9"/>
  <c r="BS5" i="9"/>
  <c r="BK5" i="9"/>
  <c r="BC5" i="9"/>
  <c r="AU5" i="9"/>
  <c r="AM5" i="9"/>
  <c r="AE5" i="9"/>
  <c r="W5" i="9"/>
  <c r="O5" i="9"/>
  <c r="G5" i="9"/>
  <c r="EW4" i="9"/>
  <c r="EO4" i="9"/>
  <c r="EG4" i="9"/>
  <c r="DY4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EQ5" i="8"/>
  <c r="EI5" i="8"/>
  <c r="EA5" i="8"/>
  <c r="DS5" i="8"/>
  <c r="DK5" i="8"/>
  <c r="DC5" i="8"/>
  <c r="CU5" i="8"/>
  <c r="CM5" i="8"/>
  <c r="CE5" i="8"/>
  <c r="BW5" i="8"/>
  <c r="BO5" i="8"/>
  <c r="BG5" i="8"/>
  <c r="AY5" i="8"/>
  <c r="AQ5" i="8"/>
  <c r="AI5" i="8"/>
  <c r="AA5" i="8"/>
  <c r="S5" i="8"/>
  <c r="K5" i="8"/>
  <c r="C5" i="8"/>
  <c r="ES4" i="8"/>
  <c r="EK4" i="8"/>
  <c r="EC4" i="8"/>
  <c r="DU4" i="8"/>
  <c r="DM4" i="8"/>
  <c r="DE4" i="8"/>
  <c r="CW4" i="8"/>
  <c r="CO4" i="8"/>
  <c r="CG4" i="8"/>
  <c r="BY4" i="8"/>
  <c r="BQ4" i="8"/>
  <c r="BI4" i="8"/>
  <c r="BA4" i="8"/>
  <c r="AS4" i="8"/>
  <c r="AK4" i="8"/>
  <c r="AC4" i="8"/>
  <c r="U4" i="8"/>
  <c r="M4" i="8"/>
  <c r="E4" i="8"/>
  <c r="EU5" i="7"/>
  <c r="EM5" i="7"/>
  <c r="EE5" i="7"/>
  <c r="DW5" i="7"/>
  <c r="DO5" i="7"/>
  <c r="DG5" i="7"/>
  <c r="CY5" i="7"/>
  <c r="CQ5" i="7"/>
  <c r="CI5" i="7"/>
  <c r="CA5" i="7"/>
  <c r="BS5" i="7"/>
  <c r="BK5" i="7"/>
  <c r="BC5" i="7"/>
  <c r="AU5" i="7"/>
  <c r="AM5" i="7"/>
  <c r="AE5" i="7"/>
  <c r="W5" i="7"/>
  <c r="O5" i="7"/>
  <c r="G5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ES4" i="10"/>
  <c r="EJ4" i="10"/>
  <c r="EA4" i="10"/>
  <c r="DR4" i="10"/>
  <c r="DI4" i="10"/>
  <c r="CZ4" i="10"/>
  <c r="CQ4" i="10"/>
  <c r="CG4" i="10"/>
  <c r="BX4" i="10"/>
  <c r="BP4" i="10"/>
  <c r="BH4" i="10"/>
  <c r="AZ4" i="10"/>
  <c r="AR4" i="10"/>
  <c r="AJ4" i="10"/>
  <c r="AB4" i="10"/>
  <c r="T4" i="10"/>
  <c r="L4" i="10"/>
  <c r="D4" i="10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EX5" i="8"/>
  <c r="EP5" i="8"/>
  <c r="EH5" i="8"/>
  <c r="DZ5" i="8"/>
  <c r="DR5" i="8"/>
  <c r="DJ5" i="8"/>
  <c r="DB5" i="8"/>
  <c r="CT5" i="8"/>
  <c r="CL5" i="8"/>
  <c r="CD5" i="8"/>
  <c r="BV5" i="8"/>
  <c r="BN5" i="8"/>
  <c r="BF5" i="8"/>
  <c r="AX5" i="8"/>
  <c r="AP5" i="8"/>
  <c r="AH5" i="8"/>
  <c r="Z5" i="8"/>
  <c r="R5" i="8"/>
  <c r="J5" i="8"/>
  <c r="B5" i="8"/>
  <c r="ER4" i="8"/>
  <c r="EJ4" i="8"/>
  <c r="EB4" i="8"/>
  <c r="DT4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ET5" i="7"/>
  <c r="EL5" i="7"/>
  <c r="ED5" i="7"/>
  <c r="DV5" i="7"/>
  <c r="DN5" i="7"/>
  <c r="DF5" i="7"/>
  <c r="CX5" i="7"/>
  <c r="CP5" i="7"/>
  <c r="CH5" i="7"/>
  <c r="BZ5" i="7"/>
  <c r="BR5" i="7"/>
  <c r="BJ5" i="7"/>
  <c r="BB5" i="7"/>
  <c r="AT5" i="7"/>
  <c r="AL5" i="7"/>
  <c r="AD5" i="7"/>
  <c r="V5" i="7"/>
  <c r="N5" i="7"/>
  <c r="F5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ER4" i="10"/>
  <c r="EI4" i="10"/>
  <c r="DZ4" i="10"/>
  <c r="DQ4" i="10"/>
  <c r="DH4" i="10"/>
  <c r="CY4" i="10"/>
  <c r="CO4" i="10"/>
  <c r="CF4" i="10"/>
  <c r="BW4" i="10"/>
  <c r="BO4" i="10"/>
  <c r="BG4" i="10"/>
  <c r="AY4" i="10"/>
  <c r="AQ4" i="10"/>
  <c r="AI4" i="10"/>
  <c r="AA4" i="10"/>
  <c r="S4" i="10"/>
  <c r="K4" i="10"/>
  <c r="C4" i="10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EU4" i="9"/>
  <c r="EM4" i="9"/>
  <c r="EE4" i="9"/>
  <c r="DW4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EW5" i="8"/>
  <c r="EO5" i="8"/>
  <c r="EG5" i="8"/>
  <c r="DY5" i="8"/>
  <c r="DQ5" i="8"/>
  <c r="DI5" i="8"/>
  <c r="DA5" i="8"/>
  <c r="CS5" i="8"/>
  <c r="CK5" i="8"/>
  <c r="CC5" i="8"/>
  <c r="BU5" i="8"/>
  <c r="BM5" i="8"/>
  <c r="BE5" i="8"/>
  <c r="AW5" i="8"/>
  <c r="AO5" i="8"/>
  <c r="AG5" i="8"/>
  <c r="Y5" i="8"/>
  <c r="Q5" i="8"/>
  <c r="I5" i="8"/>
  <c r="A5" i="8"/>
  <c r="EQ4" i="8"/>
  <c r="EI4" i="8"/>
  <c r="EA4" i="8"/>
  <c r="DS4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ES5" i="7"/>
  <c r="EK5" i="7"/>
  <c r="EC5" i="7"/>
  <c r="DU5" i="7"/>
  <c r="DM5" i="7"/>
  <c r="DE5" i="7"/>
  <c r="CW5" i="7"/>
  <c r="CO5" i="7"/>
  <c r="CG5" i="7"/>
  <c r="BY5" i="7"/>
  <c r="BQ5" i="7"/>
  <c r="BI5" i="7"/>
  <c r="BA5" i="7"/>
  <c r="AS5" i="7"/>
  <c r="AK5" i="7"/>
  <c r="AC5" i="7"/>
  <c r="U5" i="7"/>
  <c r="M5" i="7"/>
  <c r="E5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Z4" i="7"/>
  <c r="AR4" i="7"/>
  <c r="AJ4" i="7"/>
  <c r="AB4" i="7"/>
  <c r="T4" i="7"/>
  <c r="L4" i="7"/>
  <c r="D4" i="7"/>
  <c r="ET5" i="6"/>
  <c r="EL5" i="6"/>
  <c r="ED5" i="6"/>
  <c r="DV5" i="6"/>
  <c r="DN5" i="6"/>
  <c r="DF5" i="6"/>
  <c r="CX5" i="6"/>
  <c r="CP5" i="6"/>
  <c r="CH5" i="6"/>
  <c r="BZ5" i="6"/>
  <c r="BR5" i="6"/>
  <c r="BJ5" i="6"/>
  <c r="BB5" i="6"/>
  <c r="AT5" i="6"/>
  <c r="AL5" i="6"/>
  <c r="AD5" i="6"/>
  <c r="V5" i="6"/>
  <c r="N5" i="6"/>
  <c r="F5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A4" i="3"/>
  <c r="E870" i="1"/>
  <c r="I869" i="1"/>
  <c r="A869" i="1"/>
  <c r="E868" i="1"/>
  <c r="I867" i="1"/>
  <c r="AY4" i="7"/>
  <c r="AQ4" i="7"/>
  <c r="AI4" i="7"/>
  <c r="AA4" i="7"/>
  <c r="S4" i="7"/>
  <c r="K4" i="7"/>
  <c r="C4" i="7"/>
  <c r="ES5" i="6"/>
  <c r="EK5" i="6"/>
  <c r="EC5" i="6"/>
  <c r="DU5" i="6"/>
  <c r="DM5" i="6"/>
  <c r="DE5" i="6"/>
  <c r="CW5" i="6"/>
  <c r="CO5" i="6"/>
  <c r="CG5" i="6"/>
  <c r="BY5" i="6"/>
  <c r="BQ5" i="6"/>
  <c r="BI5" i="6"/>
  <c r="BA5" i="6"/>
  <c r="AS5" i="6"/>
  <c r="AK5" i="6"/>
  <c r="AC5" i="6"/>
  <c r="U5" i="6"/>
  <c r="M5" i="6"/>
  <c r="E5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L870" i="1"/>
  <c r="D870" i="1"/>
  <c r="H869" i="1"/>
  <c r="L868" i="1"/>
  <c r="D868" i="1"/>
  <c r="H867" i="1"/>
  <c r="AX4" i="7"/>
  <c r="AP4" i="7"/>
  <c r="AH4" i="7"/>
  <c r="Z4" i="7"/>
  <c r="R4" i="7"/>
  <c r="J4" i="7"/>
  <c r="B4" i="7"/>
  <c r="ER5" i="6"/>
  <c r="EJ5" i="6"/>
  <c r="EB5" i="6"/>
  <c r="DT5" i="6"/>
  <c r="DL5" i="6"/>
  <c r="DD5" i="6"/>
  <c r="CV5" i="6"/>
  <c r="CN5" i="6"/>
  <c r="CF5" i="6"/>
  <c r="BX5" i="6"/>
  <c r="BP5" i="6"/>
  <c r="BH5" i="6"/>
  <c r="AZ5" i="6"/>
  <c r="AR5" i="6"/>
  <c r="AJ5" i="6"/>
  <c r="AB5" i="6"/>
  <c r="T5" i="6"/>
  <c r="L5" i="6"/>
  <c r="D5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EX4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K870" i="1"/>
  <c r="C870" i="1"/>
  <c r="G869" i="1"/>
  <c r="K868" i="1"/>
  <c r="C868" i="1"/>
  <c r="G867" i="1"/>
  <c r="AW4" i="7"/>
  <c r="AO4" i="7"/>
  <c r="AG4" i="7"/>
  <c r="Y4" i="7"/>
  <c r="Q4" i="7"/>
  <c r="I4" i="7"/>
  <c r="EQ5" i="6"/>
  <c r="EI5" i="6"/>
  <c r="EA5" i="6"/>
  <c r="DS5" i="6"/>
  <c r="DK5" i="6"/>
  <c r="DC5" i="6"/>
  <c r="CU5" i="6"/>
  <c r="CM5" i="6"/>
  <c r="CE5" i="6"/>
  <c r="BW5" i="6"/>
  <c r="BO5" i="6"/>
  <c r="BG5" i="6"/>
  <c r="AY5" i="6"/>
  <c r="AQ5" i="6"/>
  <c r="AI5" i="6"/>
  <c r="AA5" i="6"/>
  <c r="S5" i="6"/>
  <c r="K5" i="6"/>
  <c r="C5" i="6"/>
  <c r="ES4" i="6"/>
  <c r="EK4" i="6"/>
  <c r="EC4" i="6"/>
  <c r="DU4" i="6"/>
  <c r="DM4" i="6"/>
  <c r="DE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EU5" i="5"/>
  <c r="EM5" i="5"/>
  <c r="EE5" i="5"/>
  <c r="DW5" i="5"/>
  <c r="DO5" i="5"/>
  <c r="DG5" i="5"/>
  <c r="CY5" i="5"/>
  <c r="CQ5" i="5"/>
  <c r="CI5" i="5"/>
  <c r="CA5" i="5"/>
  <c r="BS5" i="5"/>
  <c r="BK5" i="5"/>
  <c r="BC5" i="5"/>
  <c r="AU5" i="5"/>
  <c r="AM5" i="5"/>
  <c r="AE5" i="5"/>
  <c r="W5" i="5"/>
  <c r="O5" i="5"/>
  <c r="G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J870" i="1"/>
  <c r="B870" i="1"/>
  <c r="F869" i="1"/>
  <c r="J868" i="1"/>
  <c r="B868" i="1"/>
  <c r="F867" i="1"/>
  <c r="AV4" i="7"/>
  <c r="AN4" i="7"/>
  <c r="AF4" i="7"/>
  <c r="X4" i="7"/>
  <c r="P4" i="7"/>
  <c r="H4" i="7"/>
  <c r="EX5" i="6"/>
  <c r="EP5" i="6"/>
  <c r="EH5" i="6"/>
  <c r="DZ5" i="6"/>
  <c r="DR5" i="6"/>
  <c r="DJ5" i="6"/>
  <c r="DB5" i="6"/>
  <c r="CT5" i="6"/>
  <c r="CL5" i="6"/>
  <c r="CD5" i="6"/>
  <c r="BV5" i="6"/>
  <c r="BN5" i="6"/>
  <c r="BF5" i="6"/>
  <c r="AX5" i="6"/>
  <c r="AP5" i="6"/>
  <c r="AH5" i="6"/>
  <c r="Z5" i="6"/>
  <c r="R5" i="6"/>
  <c r="J5" i="6"/>
  <c r="B5" i="6"/>
  <c r="ER4" i="6"/>
  <c r="EJ4" i="6"/>
  <c r="EB4" i="6"/>
  <c r="DT4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I870" i="1"/>
  <c r="A870" i="1"/>
  <c r="E869" i="1"/>
  <c r="I868" i="1"/>
  <c r="A868" i="1"/>
  <c r="AU4" i="7"/>
  <c r="AM4" i="7"/>
  <c r="AE4" i="7"/>
  <c r="W4" i="7"/>
  <c r="O4" i="7"/>
  <c r="G4" i="7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EU4" i="5"/>
  <c r="EM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H870" i="1"/>
  <c r="L869" i="1"/>
  <c r="D869" i="1"/>
  <c r="H868" i="1"/>
  <c r="L867" i="1"/>
  <c r="AT4" i="7"/>
  <c r="AL4" i="7"/>
  <c r="AD4" i="7"/>
  <c r="V4" i="7"/>
  <c r="N4" i="7"/>
  <c r="F4" i="7"/>
  <c r="EV5" i="6"/>
  <c r="EN5" i="6"/>
  <c r="EF5" i="6"/>
  <c r="DX5" i="6"/>
  <c r="DP5" i="6"/>
  <c r="DH5" i="6"/>
  <c r="CZ5" i="6"/>
  <c r="CR5" i="6"/>
  <c r="CJ5" i="6"/>
  <c r="CB5" i="6"/>
  <c r="BT5" i="6"/>
  <c r="BL5" i="6"/>
  <c r="BD5" i="6"/>
  <c r="AV5" i="6"/>
  <c r="AN5" i="6"/>
  <c r="AF5" i="6"/>
  <c r="X5" i="6"/>
  <c r="P5" i="6"/>
  <c r="H5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G870" i="1"/>
  <c r="K869" i="1"/>
  <c r="C869" i="1"/>
  <c r="G868" i="1"/>
  <c r="K867" i="1"/>
  <c r="AS4" i="7"/>
  <c r="AK4" i="7"/>
  <c r="AC4" i="7"/>
  <c r="U4" i="7"/>
  <c r="M4" i="7"/>
  <c r="E4" i="7"/>
  <c r="EU5" i="6"/>
  <c r="EM5" i="6"/>
  <c r="EE5" i="6"/>
  <c r="DW5" i="6"/>
  <c r="DO5" i="6"/>
  <c r="DG5" i="6"/>
  <c r="CY5" i="6"/>
  <c r="CQ5" i="6"/>
  <c r="CI5" i="6"/>
  <c r="CA5" i="6"/>
  <c r="BS5" i="6"/>
  <c r="BK5" i="6"/>
  <c r="BC5" i="6"/>
  <c r="AU5" i="6"/>
  <c r="AM5" i="6"/>
  <c r="AE5" i="6"/>
  <c r="W5" i="6"/>
  <c r="O5" i="6"/>
  <c r="G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EQ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S5" i="5"/>
  <c r="K5" i="5"/>
  <c r="C5" i="5"/>
  <c r="ES4" i="5"/>
  <c r="EK4" i="5"/>
  <c r="EC4" i="5"/>
  <c r="DU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BU4" i="4"/>
  <c r="I4" i="4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D835" i="1"/>
  <c r="H834" i="1"/>
  <c r="L833" i="1"/>
  <c r="D833" i="1"/>
  <c r="H832" i="1"/>
  <c r="L831" i="1"/>
  <c r="D831" i="1"/>
  <c r="H830" i="1"/>
  <c r="L829" i="1"/>
  <c r="D829" i="1"/>
  <c r="H828" i="1"/>
  <c r="L827" i="1"/>
  <c r="D827" i="1"/>
  <c r="H826" i="1"/>
  <c r="L825" i="1"/>
  <c r="D825" i="1"/>
  <c r="H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Y4" i="4"/>
  <c r="BM4" i="4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DQ4" i="4"/>
  <c r="BE4" i="4"/>
  <c r="F870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DI4" i="4"/>
  <c r="AW4" i="4"/>
  <c r="J869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DA4" i="4"/>
  <c r="AO4" i="4"/>
  <c r="B869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CS4" i="4"/>
  <c r="AG4" i="4"/>
  <c r="F868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K4" i="4"/>
  <c r="Y4" i="4"/>
  <c r="J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J834" i="1"/>
  <c r="B834" i="1"/>
  <c r="F833" i="1"/>
  <c r="J832" i="1"/>
  <c r="B832" i="1"/>
  <c r="F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CC4" i="4"/>
  <c r="Q4" i="4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E784" i="1"/>
  <c r="G783" i="1"/>
  <c r="J782" i="1"/>
  <c r="A782" i="1"/>
  <c r="C781" i="1"/>
  <c r="F780" i="1"/>
  <c r="I779" i="1"/>
  <c r="L778" i="1"/>
  <c r="C778" i="1"/>
  <c r="F777" i="1"/>
  <c r="I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D784" i="1"/>
  <c r="F783" i="1"/>
  <c r="I782" i="1"/>
  <c r="K781" i="1"/>
  <c r="B781" i="1"/>
  <c r="E780" i="1"/>
  <c r="H779" i="1"/>
  <c r="K778" i="1"/>
  <c r="B778" i="1"/>
  <c r="E777" i="1"/>
  <c r="G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C784" i="1"/>
  <c r="E783" i="1"/>
  <c r="G782" i="1"/>
  <c r="J781" i="1"/>
  <c r="A781" i="1"/>
  <c r="D780" i="1"/>
  <c r="G779" i="1"/>
  <c r="J778" i="1"/>
  <c r="A778" i="1"/>
  <c r="C777" i="1"/>
  <c r="F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A784" i="1"/>
  <c r="C783" i="1"/>
  <c r="F782" i="1"/>
  <c r="I781" i="1"/>
  <c r="L780" i="1"/>
  <c r="C780" i="1"/>
  <c r="F779" i="1"/>
  <c r="I778" i="1"/>
  <c r="K777" i="1"/>
  <c r="B777" i="1"/>
  <c r="E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K783" i="1"/>
  <c r="B783" i="1"/>
  <c r="E782" i="1"/>
  <c r="H781" i="1"/>
  <c r="K780" i="1"/>
  <c r="B780" i="1"/>
  <c r="E779" i="1"/>
  <c r="G778" i="1"/>
  <c r="J777" i="1"/>
  <c r="A777" i="1"/>
  <c r="D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K746" i="1"/>
  <c r="C746" i="1"/>
  <c r="G745" i="1"/>
  <c r="K744" i="1"/>
  <c r="C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J783" i="1"/>
  <c r="A783" i="1"/>
  <c r="D782" i="1"/>
  <c r="G781" i="1"/>
  <c r="J780" i="1"/>
  <c r="A780" i="1"/>
  <c r="C779" i="1"/>
  <c r="F778" i="1"/>
  <c r="I777" i="1"/>
  <c r="L776" i="1"/>
  <c r="C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B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I783" i="1"/>
  <c r="L782" i="1"/>
  <c r="C782" i="1"/>
  <c r="F781" i="1"/>
  <c r="I780" i="1"/>
  <c r="K779" i="1"/>
  <c r="B779" i="1"/>
  <c r="E778" i="1"/>
  <c r="H777" i="1"/>
  <c r="K776" i="1"/>
  <c r="B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H783" i="1"/>
  <c r="K782" i="1"/>
  <c r="B782" i="1"/>
  <c r="E781" i="1"/>
  <c r="G780" i="1"/>
  <c r="J779" i="1"/>
  <c r="A779" i="1"/>
  <c r="D778" i="1"/>
  <c r="G777" i="1"/>
  <c r="J776" i="1"/>
  <c r="A776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C614" i="1"/>
  <c r="F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B614" i="1"/>
  <c r="E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A614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K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J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I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H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G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B445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A445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K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J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I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G276" i="1"/>
  <c r="G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E276" i="1"/>
  <c r="F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C276" i="1"/>
  <c r="E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B276" i="1"/>
  <c r="C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A276" i="1"/>
  <c r="B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K275" i="1"/>
  <c r="A275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J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I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I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J4" i="1"/>
  <c r="B4" i="1"/>
  <c r="E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6" i="1"/>
  <c r="E5" i="1"/>
  <c r="I4" i="1"/>
  <c r="C106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A106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C11" i="1"/>
  <c r="G10" i="1"/>
  <c r="K9" i="1"/>
  <c r="C9" i="1"/>
  <c r="G8" i="1"/>
  <c r="K7" i="1"/>
  <c r="C7" i="1"/>
  <c r="G6" i="1"/>
  <c r="K5" i="1"/>
  <c r="C5" i="1"/>
  <c r="G4" i="1"/>
  <c r="K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B7" i="1"/>
  <c r="F6" i="1"/>
  <c r="J5" i="1"/>
  <c r="B5" i="1"/>
  <c r="F4" i="1"/>
  <c r="J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A5" i="1"/>
  <c r="E4" i="1"/>
  <c r="I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G7" i="1"/>
  <c r="K6" i="1"/>
  <c r="C6" i="1"/>
  <c r="G5" i="1"/>
  <c r="K4" i="1"/>
  <c r="C4" i="1"/>
  <c r="A4" i="1"/>
</calcChain>
</file>

<file path=xl/sharedStrings.xml><?xml version="1.0" encoding="utf-8"?>
<sst xmlns="http://schemas.openxmlformats.org/spreadsheetml/2006/main" count="223" uniqueCount="48">
  <si>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</si>
  <si>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</si>
  <si>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</si>
  <si>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</si>
  <si>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</si>
  <si>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</si>
  <si>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</si>
  <si>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</si>
  <si>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</si>
  <si>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</si>
  <si>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</si>
  <si>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</si>
  <si>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</si>
  <si>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</si>
  <si>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</si>
  <si>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</si>
  <si>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</si>
  <si>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</si>
  <si>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</si>
  <si>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</t>
  </si>
  <si>
    <t>Blotter</t>
  </si>
  <si>
    <t>TradeNewSubOrder</t>
  </si>
  <si>
    <t>Equity</t>
  </si>
  <si>
    <t>New</t>
  </si>
  <si>
    <t>CreateNewSubOrder</t>
  </si>
  <si>
    <t>GS</t>
  </si>
  <si>
    <t>PartiallyFilled</t>
  </si>
  <si>
    <t>Market</t>
  </si>
  <si>
    <t>Bernstein</t>
  </si>
  <si>
    <t>EditStageOrder</t>
  </si>
  <si>
    <t>CreateReplaceOrder</t>
  </si>
  <si>
    <t>UBS</t>
  </si>
  <si>
    <t>Replaced</t>
  </si>
  <si>
    <t>Auto</t>
  </si>
  <si>
    <t>VerifyOrder</t>
  </si>
  <si>
    <t>Multiple</t>
  </si>
  <si>
    <t>VerifySubOrder</t>
  </si>
  <si>
    <t>Filled</t>
  </si>
  <si>
    <t>Allocation</t>
  </si>
  <si>
    <t>GetDataAllocation</t>
  </si>
  <si>
    <t>Current</t>
  </si>
  <si>
    <t>CheckAllocatedGroups</t>
  </si>
  <si>
    <t>Open</t>
  </si>
  <si>
    <t>PortfolioManagement</t>
  </si>
  <si>
    <t>CheckPortfolioManagement</t>
  </si>
  <si>
    <t>Long</t>
  </si>
  <si>
    <t>US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</si>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</sst>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4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3" fillId="0" borderId="0" xfId="0" applyFont="1" applyAlignment="1"/>
    <xf numFmtId="0" fontId="3" fillId="0" borderId="5" xfId="0" applyFont="1" applyBorder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3" fillId="0" borderId="0" xfId="0" applyFont="1" applyAlignment="1"/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5" fillId="0" borderId="5" xfId="0" applyFont="1" applyBorder="1" applyAlignment="1">
      <alignment horizontal="right"/>
    </xf>
    <xf numFmtId="0" fontId="5" fillId="0" borderId="0" xfId="0" applyFont="1" applyAlignment="1"/>
    <xf numFmtId="3" fontId="2" fillId="0" borderId="0" xfId="0" applyNumberFormat="1" applyFont="1" applyAlignment="1"/>
    <xf numFmtId="0" fontId="13" fillId="0" borderId="0" xfId="0" applyFont="1" applyAlignment="1"/>
    <xf numFmtId="164" fontId="13" fillId="0" borderId="0" xfId="0" applyNumberFormat="1" applyFont="1" applyAlignment="1">
      <alignment horizontal="right"/>
    </xf>
    <xf numFmtId="0" fontId="13" fillId="0" borderId="0" xfId="0" applyFont="1" applyAlignment="1"/>
    <xf numFmtId="0" fontId="3" fillId="0" borderId="0" xfId="0" applyFont="1" applyAlignment="1"/>
    <xf numFmtId="3" fontId="5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41" t="s">
        <v>0</v>
      </c>
      <c r="B1" s="42"/>
      <c r="C1" s="42"/>
      <c r="D1" s="42"/>
      <c r="E1" s="42"/>
      <c r="F1" s="43"/>
    </row>
    <row r="2" spans="1:12" ht="15.75" customHeight="1">
      <c r="A2" s="1"/>
      <c r="B2" s="1"/>
      <c r="C2" s="1"/>
      <c r="D2" s="1"/>
      <c r="E2" s="1"/>
      <c r="F2" s="1"/>
    </row>
    <row r="3" spans="1:12" ht="15.75" customHeight="1">
      <c r="A3" s="2" t="s">
        <v>1</v>
      </c>
      <c r="B3" s="3"/>
      <c r="C3" s="4"/>
      <c r="D3" s="4"/>
      <c r="E3" s="4"/>
      <c r="F3" s="4"/>
    </row>
    <row r="4" spans="1:12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IFERROR(__xludf.DUMMYFUNCTION("""COMPUTED_VALUE"""),"undefined")</f>
        <v>undefined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IFERROR(__xludf.DUMMYFUNCTION("""COMPUTED_VALUE"""),"Rebalancer")</f>
        <v>Rebalancer</v>
      </c>
      <c r="B461" t="str">
        <f ca="1">IFERROR(__xludf.DUMMYFUNCTION("""COMPUTED_VALUE"""),"RebalanceAcrossSecuritiesViaBloomberg")</f>
        <v>RebalanceAcrossSecuritiesViaBloomberg</v>
      </c>
      <c r="C461" t="str">
        <f ca="1">IFERROR(__xludf.DUMMYFUNCTION("""COMPUTED_VALUE"""),"1z93mn3V8oo4z9cPizVEsKkgznY19l8cLUIZiwvfNHFs")</f>
        <v>1z93mn3V8oo4z9cPizVEsKkgznY19l8cLUIZiwvfNHFs</v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/>
    <row r="872" spans="1:12" ht="15.75" customHeight="1"/>
    <row r="873" spans="1:12" ht="15.75" customHeight="1"/>
    <row r="874" spans="1:12" ht="15.75" customHeight="1"/>
    <row r="875" spans="1:12" ht="15.75" customHeight="1"/>
    <row r="876" spans="1:12" ht="15.75" customHeight="1"/>
    <row r="877" spans="1:12" ht="15.75" customHeight="1"/>
    <row r="878" spans="1:12" ht="15.75" customHeight="1"/>
    <row r="879" spans="1:12" ht="15.75" customHeight="1"/>
    <row r="880" spans="1:12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44" t="s">
        <v>2</v>
      </c>
      <c r="B1" s="42"/>
      <c r="C1" s="43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41" t="s">
        <v>7</v>
      </c>
      <c r="B1" s="42"/>
      <c r="C1" s="42"/>
      <c r="D1" s="42"/>
      <c r="E1" s="42"/>
      <c r="F1" s="43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25"/>
      <c r="B6" s="26" t="s">
        <v>16</v>
      </c>
      <c r="C6" s="27" t="s">
        <v>17</v>
      </c>
      <c r="D6" s="28">
        <v>1000</v>
      </c>
      <c r="E6" s="29">
        <v>1000</v>
      </c>
      <c r="F6" s="27" t="s">
        <v>18</v>
      </c>
      <c r="G6" s="27" t="s">
        <v>19</v>
      </c>
      <c r="H6" s="27"/>
      <c r="I6" s="27"/>
      <c r="J6" s="29">
        <v>10</v>
      </c>
      <c r="K6" s="27"/>
      <c r="L6" s="27"/>
      <c r="M6" s="27"/>
      <c r="N6" s="27"/>
      <c r="O6" s="27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20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IFERROR(__xludf.DUMMYFUNCTION("""COMPUTED_VALUE"""),"Status (With Rollover)")</f>
        <v>Status (With Rollover)</v>
      </c>
      <c r="AZ5" s="24" t="str">
        <f ca="1">IFERROR(__xludf.DUMMYFUNCTION("""COMPUTED_VALUE"""),"Start of Day Qty")</f>
        <v>Start of Day Qty</v>
      </c>
      <c r="BA5" s="24" t="str">
        <f ca="1">IFERROR(__xludf.DUMMYFUNCTION("""COMPUTED_VALUE"""),"Leaves")</f>
        <v>Leaves</v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25"/>
      <c r="B6" s="26"/>
      <c r="C6" s="27"/>
      <c r="D6" s="26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1">
        <v>1</v>
      </c>
      <c r="AE6" s="30"/>
      <c r="AF6" s="30"/>
      <c r="AG6" s="30"/>
      <c r="AH6" s="30" t="s">
        <v>22</v>
      </c>
      <c r="AI6" s="30" t="s">
        <v>16</v>
      </c>
      <c r="AJ6" s="30" t="s">
        <v>17</v>
      </c>
      <c r="AK6" s="30" t="s">
        <v>23</v>
      </c>
      <c r="AL6" s="32">
        <v>1000</v>
      </c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24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IFERROR(__xludf.DUMMYFUNCTION("""COMPUTED_VALUE"""),"PopUpQuantity")</f>
        <v>PopUpQuantity</v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25"/>
      <c r="B6" s="26"/>
      <c r="C6" s="27"/>
      <c r="D6" s="28">
        <v>100</v>
      </c>
      <c r="E6" s="27"/>
      <c r="F6" s="27"/>
      <c r="G6" s="27" t="s">
        <v>25</v>
      </c>
      <c r="H6" s="27"/>
      <c r="I6" s="27"/>
      <c r="J6" s="33">
        <v>20</v>
      </c>
      <c r="K6" s="27"/>
      <c r="L6" s="27"/>
      <c r="M6" s="27"/>
      <c r="N6" s="27"/>
      <c r="O6" s="27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20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IFERROR(__xludf.DUMMYFUNCTION("""COMPUTED_VALUE"""),"Status (With Rollover)")</f>
        <v>Status (With Rollover)</v>
      </c>
      <c r="AZ5" s="24" t="str">
        <f ca="1">IFERROR(__xludf.DUMMYFUNCTION("""COMPUTED_VALUE"""),"Start of Day Qty")</f>
        <v>Start of Day Qty</v>
      </c>
      <c r="BA5" s="24" t="str">
        <f ca="1">IFERROR(__xludf.DUMMYFUNCTION("""COMPUTED_VALUE"""),"Leaves")</f>
        <v>Leaves</v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/>
      <c r="C6" s="5"/>
      <c r="D6" s="7"/>
      <c r="E6" s="34"/>
      <c r="F6" s="5"/>
      <c r="G6" s="5"/>
      <c r="H6" s="5"/>
      <c r="I6" s="5"/>
      <c r="J6" s="5"/>
      <c r="K6" s="5"/>
      <c r="L6" s="5"/>
      <c r="M6" s="5"/>
      <c r="N6" s="5"/>
      <c r="O6" s="5"/>
      <c r="AD6" s="6">
        <v>1</v>
      </c>
      <c r="AH6" s="6" t="s">
        <v>22</v>
      </c>
      <c r="AI6" s="6" t="s">
        <v>16</v>
      </c>
      <c r="AJ6" s="6" t="s">
        <v>17</v>
      </c>
      <c r="AK6" s="6" t="s">
        <v>26</v>
      </c>
      <c r="AL6" s="35">
        <v>1000</v>
      </c>
      <c r="AU6" s="6" t="s">
        <v>27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24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IFERROR(__xludf.DUMMYFUNCTION("""COMPUTED_VALUE"""),"PopUpQuantity")</f>
        <v>PopUpQuantity</v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25"/>
      <c r="B6" s="26"/>
      <c r="C6" s="27"/>
      <c r="D6" s="28">
        <v>150</v>
      </c>
      <c r="E6" s="27"/>
      <c r="F6" s="27"/>
      <c r="G6" s="27" t="s">
        <v>28</v>
      </c>
      <c r="H6" s="27"/>
      <c r="I6" s="27"/>
      <c r="J6" s="33">
        <v>30</v>
      </c>
      <c r="K6" s="27"/>
      <c r="L6" s="27"/>
      <c r="M6" s="27"/>
      <c r="N6" s="27"/>
      <c r="O6" s="27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20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1")</f>
        <v>Trade Attribute 1</v>
      </c>
      <c r="N5" s="22" t="str">
        <f ca="1">IFERROR(__xludf.DUMMYFUNCTION("""COMPUTED_VALUE"""),"Trade Attribute 2")</f>
        <v>Trade Attribute 2</v>
      </c>
      <c r="O5" s="22" t="str">
        <f ca="1">IFERROR(__xludf.DUMMYFUNCTION("""COMPUTED_VALUE"""),"Trade Attribute 3")</f>
        <v>Trade Attribute 3</v>
      </c>
      <c r="P5" s="22" t="str">
        <f ca="1">IFERROR(__xludf.DUMMYFUNCTION("""COMPUTED_VALUE"""),"Trade Attribute 4")</f>
        <v>Trade Attribute 4</v>
      </c>
      <c r="Q5" s="22" t="str">
        <f ca="1">IFERROR(__xludf.DUMMYFUNCTION("""COMPUTED_VALUE"""),"Trade Attribute 5")</f>
        <v>Trade Attribute 5</v>
      </c>
      <c r="R5" s="22" t="str">
        <f ca="1">IFERROR(__xludf.DUMMYFUNCTION("""COMPUTED_VALUE"""),"Trade Attribute 6")</f>
        <v>Trade Attribute 6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/>
      <c r="C6" s="5"/>
      <c r="D6" s="7"/>
      <c r="E6" s="34"/>
      <c r="F6" s="5"/>
      <c r="G6" s="5"/>
      <c r="H6" s="5"/>
      <c r="I6" s="5"/>
      <c r="J6" s="5"/>
      <c r="K6" s="5"/>
      <c r="L6" s="5"/>
      <c r="M6" s="5"/>
      <c r="N6" s="5"/>
      <c r="O6" s="5"/>
      <c r="AD6" s="6">
        <v>1</v>
      </c>
      <c r="AH6" s="6" t="s">
        <v>22</v>
      </c>
      <c r="AI6" s="6" t="s">
        <v>16</v>
      </c>
      <c r="AJ6" s="6" t="s">
        <v>17</v>
      </c>
      <c r="AK6" s="6" t="s">
        <v>26</v>
      </c>
      <c r="AL6" s="35">
        <v>1000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30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IFERROR(__xludf.DUMMYFUNCTION("""COMPUTED_VALUE"""),"MasterFund")</f>
        <v>MasterFund</v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/>
      <c r="C6" s="5"/>
      <c r="D6" s="7">
        <v>2000</v>
      </c>
      <c r="E6" s="34"/>
      <c r="F6" s="5"/>
      <c r="G6" s="7" t="s">
        <v>31</v>
      </c>
      <c r="H6" s="5"/>
      <c r="I6" s="5"/>
      <c r="J6" s="7">
        <v>40</v>
      </c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20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IFERROR(__xludf.DUMMYFUNCTION("""COMPUTED_VALUE"""),"Status (With Rollover)")</f>
        <v>Status (With Rollover)</v>
      </c>
      <c r="AZ5" s="24" t="str">
        <f ca="1">IFERROR(__xludf.DUMMYFUNCTION("""COMPUTED_VALUE"""),"Start of Day Qty")</f>
        <v>Start of Day Qty</v>
      </c>
      <c r="BA5" s="24" t="str">
        <f ca="1">IFERROR(__xludf.DUMMYFUNCTION("""COMPUTED_VALUE"""),"Leaves")</f>
        <v>Leaves</v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/>
      <c r="C6" s="5"/>
      <c r="D6" s="7"/>
      <c r="E6" s="34"/>
      <c r="F6" s="5"/>
      <c r="G6" s="5"/>
      <c r="H6" s="5"/>
      <c r="I6" s="5"/>
      <c r="J6" s="5"/>
      <c r="K6" s="5"/>
      <c r="L6" s="5"/>
      <c r="M6" s="5"/>
      <c r="N6" s="5"/>
      <c r="O6" s="5"/>
      <c r="AD6" s="6">
        <v>1</v>
      </c>
      <c r="AH6" s="6" t="s">
        <v>22</v>
      </c>
      <c r="AI6" s="6" t="s">
        <v>16</v>
      </c>
      <c r="AJ6" s="6" t="s">
        <v>17</v>
      </c>
      <c r="AK6" s="6" t="s">
        <v>32</v>
      </c>
      <c r="AL6" s="35">
        <v>2000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24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IFERROR(__xludf.DUMMYFUNCTION("""COMPUTED_VALUE"""),"PopUpQuantity")</f>
        <v>PopUpQuantity</v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/>
      <c r="C6" s="5"/>
      <c r="D6" s="7">
        <v>1000</v>
      </c>
      <c r="E6" s="34"/>
      <c r="F6" s="5"/>
      <c r="G6" s="5"/>
      <c r="H6" s="5"/>
      <c r="I6" s="5"/>
      <c r="J6" s="7">
        <v>50</v>
      </c>
      <c r="K6" s="5"/>
      <c r="L6" s="5"/>
      <c r="M6" s="5"/>
      <c r="N6" s="5"/>
      <c r="O6" s="5"/>
      <c r="AB6" s="6" t="s">
        <v>33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20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/>
      <c r="C6" s="5"/>
      <c r="D6" s="7">
        <v>45.2</v>
      </c>
      <c r="E6" s="34"/>
      <c r="F6" s="5"/>
      <c r="G6" s="5"/>
      <c r="H6" s="5"/>
      <c r="I6" s="5"/>
      <c r="J6" s="5"/>
      <c r="K6" s="5"/>
      <c r="L6" s="5"/>
      <c r="M6" s="5"/>
      <c r="N6" s="5"/>
      <c r="O6" s="5"/>
      <c r="AD6" s="6">
        <v>1</v>
      </c>
      <c r="AH6" s="6" t="s">
        <v>22</v>
      </c>
      <c r="AI6" s="6" t="s">
        <v>16</v>
      </c>
      <c r="AJ6" s="6" t="s">
        <v>17</v>
      </c>
      <c r="AK6" s="6" t="s">
        <v>26</v>
      </c>
      <c r="AL6" s="35">
        <v>2000</v>
      </c>
      <c r="AM6" s="35">
        <v>1250</v>
      </c>
      <c r="AN6" s="6">
        <v>62.5</v>
      </c>
      <c r="AO6" s="35">
        <v>1250</v>
      </c>
      <c r="AP6" s="6">
        <v>750</v>
      </c>
      <c r="AQ6" s="6">
        <v>50</v>
      </c>
      <c r="AR6" s="6">
        <v>45.2</v>
      </c>
      <c r="AS6" s="6" t="s">
        <v>35</v>
      </c>
      <c r="AT6" s="6" t="s">
        <v>18</v>
      </c>
      <c r="AU6" s="6" t="s">
        <v>27</v>
      </c>
      <c r="AV6" s="35">
        <v>56500</v>
      </c>
      <c r="AW6" s="35">
        <v>56500</v>
      </c>
      <c r="AY6" s="35">
        <v>2000</v>
      </c>
      <c r="AZ6" s="6">
        <v>750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20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2")</f>
        <v>Trade Attribute 2</v>
      </c>
      <c r="R5" s="22" t="str">
        <f ca="1">IFERROR(__xludf.DUMMYFUNCTION("""COMPUTED_VALUE"""),"Trade Attribute 1")</f>
        <v>Trade Attribute 1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IFERROR(__xludf.DUMMYFUNCTION("""COMPUTED_VALUE"""),"Quantity")</f>
        <v>Quantity</v>
      </c>
      <c r="AM5" s="24" t="str">
        <f ca="1">IFERROR(__xludf.DUMMYFUNCTION("""COMPUTED_VALUE"""),"Executed Qty")</f>
        <v>Executed Qty</v>
      </c>
      <c r="AN5" s="24" t="str">
        <f ca="1">IFERROR(__xludf.DUMMYFUNCTION("""COMPUTED_VALUE"""),"Day Executed Qty")</f>
        <v>Day Executed Qty</v>
      </c>
      <c r="AO5" s="24" t="str">
        <f ca="1">IFERROR(__xludf.DUMMYFUNCTION("""COMPUTED_VALUE"""),"Last Fill Price (Local)")</f>
        <v>Last Fill Price (Local)</v>
      </c>
      <c r="AP5" s="24" t="str">
        <f ca="1">IFERROR(__xludf.DUMMYFUNCTION("""COMPUTED_VALUE"""),"Avg Fill Price (Local)")</f>
        <v>Avg Fill Price (Local)</v>
      </c>
      <c r="AQ5" s="24" t="str">
        <f ca="1">IFERROR(__xludf.DUMMYFUNCTION("""COMPUTED_VALUE"""),"Broker")</f>
        <v>Broker</v>
      </c>
      <c r="AR5" s="24" t="str">
        <f ca="1">IFERROR(__xludf.DUMMYFUNCTION("""COMPUTED_VALUE"""),"Account")</f>
        <v>Account</v>
      </c>
      <c r="AS5" s="24" t="str">
        <f ca="1">IFERROR(__xludf.DUMMYFUNCTION("""COMPUTED_VALUE"""),"Order Type")</f>
        <v>Order Type</v>
      </c>
      <c r="AT5" s="24" t="str">
        <f ca="1">IFERROR(__xludf.DUMMYFUNCTION("""COMPUTED_VALUE"""),"Principal Amount (Local)")</f>
        <v>Principal Amount (Local)</v>
      </c>
      <c r="AU5" s="24" t="str">
        <f ca="1">IFERROR(__xludf.DUMMYFUNCTION("""COMPUTED_VALUE"""),"Principal Amount (Base)")</f>
        <v>Principal Amount (Base)</v>
      </c>
      <c r="AV5" s="24" t="str">
        <f ca="1">IFERROR(__xludf.DUMMYFUNCTION("""COMPUTED_VALUE"""),"Allocation Scheme Name")</f>
        <v>Allocation Scheme Name</v>
      </c>
      <c r="AW5" s="24" t="str">
        <f ca="1">IFERROR(__xludf.DUMMYFUNCTION("""COMPUTED_VALUE"""),"Status (With Rollover)")</f>
        <v>Status (With Rollover)</v>
      </c>
      <c r="AX5" s="24" t="str">
        <f ca="1">IFERROR(__xludf.DUMMYFUNCTION("""COMPUTED_VALUE"""),"Unexecuted Qty")</f>
        <v>Unexecuted Qty</v>
      </c>
      <c r="AY5" s="24" t="str">
        <f ca="1">IFERROR(__xludf.DUMMYFUNCTION("""COMPUTED_VALUE"""),"Strategy")</f>
        <v>Strategy</v>
      </c>
      <c r="AZ5" s="24" t="str">
        <f ca="1">IFERROR(__xludf.DUMMYFUNCTION("""COMPUTED_VALUE"""),"Actual User")</f>
        <v>Actual User</v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/>
      <c r="C6" s="5"/>
      <c r="D6" s="7">
        <v>20</v>
      </c>
      <c r="E6" s="34"/>
      <c r="F6" s="5"/>
      <c r="G6" s="5"/>
      <c r="H6" s="5"/>
      <c r="I6" s="5"/>
      <c r="J6" s="5"/>
      <c r="K6" s="5"/>
      <c r="L6" s="5"/>
      <c r="M6" s="5"/>
      <c r="N6" s="5"/>
      <c r="O6" s="5"/>
      <c r="AD6" s="6">
        <v>1</v>
      </c>
      <c r="AH6" s="6" t="s">
        <v>22</v>
      </c>
      <c r="AI6" s="6" t="s">
        <v>16</v>
      </c>
      <c r="AJ6" s="6" t="s">
        <v>17</v>
      </c>
      <c r="AK6" s="6" t="s">
        <v>37</v>
      </c>
      <c r="AL6" s="6">
        <v>100</v>
      </c>
      <c r="AM6" s="6">
        <v>100</v>
      </c>
      <c r="AO6" s="6">
        <v>20</v>
      </c>
      <c r="AP6" s="6">
        <v>20</v>
      </c>
      <c r="AQ6" s="6" t="s">
        <v>25</v>
      </c>
      <c r="AR6" s="6" t="s">
        <v>18</v>
      </c>
      <c r="AS6" s="6" t="s">
        <v>27</v>
      </c>
      <c r="AT6" s="35">
        <v>2000</v>
      </c>
      <c r="AU6" s="35">
        <v>2000</v>
      </c>
      <c r="AX6" s="6">
        <v>0</v>
      </c>
    </row>
    <row r="7" spans="1:154" ht="15.75" customHeight="1">
      <c r="A7" s="5"/>
      <c r="B7" s="5"/>
      <c r="C7" s="5"/>
      <c r="D7" s="7">
        <v>30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AD7" s="6">
        <v>1</v>
      </c>
      <c r="AH7" s="6" t="s">
        <v>22</v>
      </c>
      <c r="AI7" s="6" t="s">
        <v>16</v>
      </c>
      <c r="AJ7" s="6" t="s">
        <v>17</v>
      </c>
      <c r="AK7" s="6" t="s">
        <v>37</v>
      </c>
      <c r="AL7" s="6">
        <v>150</v>
      </c>
      <c r="AM7" s="6">
        <v>150</v>
      </c>
      <c r="AO7" s="6">
        <v>30</v>
      </c>
      <c r="AP7" s="6">
        <v>30</v>
      </c>
      <c r="AQ7" s="6" t="s">
        <v>28</v>
      </c>
      <c r="AR7" s="6" t="s">
        <v>18</v>
      </c>
      <c r="AS7" s="6" t="s">
        <v>27</v>
      </c>
      <c r="AT7" s="35">
        <v>4500</v>
      </c>
      <c r="AU7" s="35">
        <v>4500</v>
      </c>
      <c r="AX7" s="6">
        <v>0</v>
      </c>
    </row>
    <row r="8" spans="1:154" ht="15.75" customHeight="1">
      <c r="A8" s="5"/>
      <c r="B8" s="5"/>
      <c r="C8" s="5"/>
      <c r="D8" s="7">
        <v>50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AD8" s="6">
        <v>1</v>
      </c>
      <c r="AH8" s="6" t="s">
        <v>22</v>
      </c>
      <c r="AI8" s="6" t="s">
        <v>16</v>
      </c>
      <c r="AJ8" s="6" t="s">
        <v>17</v>
      </c>
      <c r="AK8" s="6" t="s">
        <v>37</v>
      </c>
      <c r="AL8" s="35">
        <v>1000</v>
      </c>
      <c r="AM8" s="35">
        <v>1000</v>
      </c>
      <c r="AO8" s="6">
        <v>50</v>
      </c>
      <c r="AP8" s="6">
        <v>50</v>
      </c>
      <c r="AQ8" s="6" t="s">
        <v>31</v>
      </c>
      <c r="AR8" s="6" t="s">
        <v>18</v>
      </c>
      <c r="AS8" s="6" t="s">
        <v>27</v>
      </c>
      <c r="AT8" s="35">
        <v>50000</v>
      </c>
      <c r="AU8" s="35">
        <v>50000</v>
      </c>
      <c r="AX8" s="6">
        <v>0</v>
      </c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38</v>
      </c>
      <c r="D3" s="2" t="s">
        <v>9</v>
      </c>
      <c r="E3" s="17" t="s">
        <v>39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40</v>
      </c>
      <c r="C6" s="5"/>
      <c r="D6" s="7"/>
      <c r="E6" s="34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38</v>
      </c>
      <c r="D3" s="2" t="s">
        <v>9</v>
      </c>
      <c r="E3" s="17" t="s">
        <v>41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36" t="s">
        <v>18</v>
      </c>
      <c r="C6" s="5"/>
      <c r="D6" s="37">
        <v>0</v>
      </c>
      <c r="E6" s="37">
        <v>100</v>
      </c>
      <c r="F6" s="5"/>
      <c r="G6" s="5"/>
      <c r="H6" s="37">
        <v>4</v>
      </c>
      <c r="I6" s="37">
        <v>5</v>
      </c>
      <c r="J6" s="5"/>
      <c r="K6" s="37">
        <v>20</v>
      </c>
      <c r="L6" s="37">
        <v>20</v>
      </c>
      <c r="M6" s="5"/>
      <c r="N6" s="5"/>
      <c r="O6" s="38" t="s">
        <v>25</v>
      </c>
      <c r="Q6" s="37">
        <v>3</v>
      </c>
      <c r="R6" s="37">
        <v>0</v>
      </c>
      <c r="S6" s="38" t="s">
        <v>42</v>
      </c>
      <c r="T6" s="37">
        <v>0</v>
      </c>
      <c r="U6" s="37">
        <v>0</v>
      </c>
      <c r="AE6" s="37">
        <v>100</v>
      </c>
      <c r="AI6" s="6">
        <v>1</v>
      </c>
      <c r="AT6" s="37">
        <v>2014.0011</v>
      </c>
      <c r="AU6" s="37">
        <v>2014.0011</v>
      </c>
      <c r="AW6" s="37">
        <v>0</v>
      </c>
      <c r="AX6" s="37">
        <v>0</v>
      </c>
      <c r="AY6" s="6" t="s">
        <v>27</v>
      </c>
      <c r="AZ6" s="37">
        <v>0</v>
      </c>
      <c r="BC6" s="37">
        <v>0</v>
      </c>
      <c r="BE6" s="37">
        <v>2000</v>
      </c>
      <c r="BF6" s="37">
        <v>2000</v>
      </c>
      <c r="BJ6" s="37">
        <v>100</v>
      </c>
      <c r="BK6" s="37">
        <v>0</v>
      </c>
      <c r="BO6" s="6" t="s">
        <v>17</v>
      </c>
      <c r="BP6" s="37">
        <v>0</v>
      </c>
      <c r="BQ6" s="37">
        <v>0</v>
      </c>
      <c r="BT6" s="6" t="s">
        <v>16</v>
      </c>
      <c r="BU6" s="37">
        <v>3</v>
      </c>
      <c r="BV6" s="37">
        <v>0</v>
      </c>
      <c r="BW6" s="37">
        <v>14.001099999999999</v>
      </c>
      <c r="BX6" s="37">
        <v>0</v>
      </c>
      <c r="CI6" s="38" t="s">
        <v>17</v>
      </c>
      <c r="CJ6" s="37">
        <v>0</v>
      </c>
    </row>
    <row r="7" spans="1:154" ht="15.75" customHeight="1">
      <c r="A7" s="5"/>
      <c r="B7" s="38" t="s">
        <v>18</v>
      </c>
      <c r="C7" s="5"/>
      <c r="D7" s="37">
        <v>0</v>
      </c>
      <c r="E7" s="37">
        <v>150</v>
      </c>
      <c r="F7" s="5"/>
      <c r="G7" s="5"/>
      <c r="H7" s="37">
        <v>4</v>
      </c>
      <c r="I7" s="37">
        <v>5</v>
      </c>
      <c r="J7" s="5"/>
      <c r="K7" s="37">
        <v>30</v>
      </c>
      <c r="L7" s="37">
        <v>30</v>
      </c>
      <c r="M7" s="5"/>
      <c r="N7" s="5"/>
      <c r="O7" s="38" t="s">
        <v>28</v>
      </c>
      <c r="Q7" s="37">
        <v>3</v>
      </c>
      <c r="R7" s="37">
        <v>0</v>
      </c>
      <c r="S7" s="38" t="s">
        <v>42</v>
      </c>
      <c r="T7" s="37">
        <v>0</v>
      </c>
      <c r="U7" s="37">
        <v>0</v>
      </c>
      <c r="AE7" s="37">
        <v>150</v>
      </c>
      <c r="AI7" s="6">
        <v>1</v>
      </c>
      <c r="AT7" s="37">
        <v>4514.0024999999996</v>
      </c>
      <c r="AU7" s="37">
        <v>4514.0024999999996</v>
      </c>
      <c r="AW7" s="37">
        <v>0</v>
      </c>
      <c r="AX7" s="37">
        <v>0</v>
      </c>
      <c r="AY7" s="6" t="s">
        <v>27</v>
      </c>
      <c r="AZ7" s="37">
        <v>0</v>
      </c>
      <c r="BC7" s="37">
        <v>0</v>
      </c>
      <c r="BE7" s="37">
        <v>4500</v>
      </c>
      <c r="BF7" s="37">
        <v>4500</v>
      </c>
      <c r="BJ7" s="37">
        <v>150</v>
      </c>
      <c r="BK7" s="37">
        <v>0</v>
      </c>
      <c r="BO7" s="6" t="s">
        <v>17</v>
      </c>
      <c r="BP7" s="37">
        <v>0</v>
      </c>
      <c r="BQ7" s="37">
        <v>0</v>
      </c>
      <c r="BT7" s="6" t="s">
        <v>16</v>
      </c>
      <c r="BU7" s="37">
        <v>3</v>
      </c>
      <c r="BV7" s="37">
        <v>0</v>
      </c>
      <c r="BW7" s="37">
        <v>14.0025</v>
      </c>
      <c r="BX7" s="37">
        <v>0</v>
      </c>
      <c r="CI7" s="38" t="s">
        <v>17</v>
      </c>
      <c r="CJ7" s="37">
        <v>0</v>
      </c>
    </row>
    <row r="8" spans="1:154" ht="15.75" customHeight="1">
      <c r="A8" s="5"/>
      <c r="B8" s="38" t="s">
        <v>18</v>
      </c>
      <c r="C8" s="5"/>
      <c r="D8" s="37">
        <v>0</v>
      </c>
      <c r="E8" s="37">
        <v>1000</v>
      </c>
      <c r="F8" s="5"/>
      <c r="G8" s="5"/>
      <c r="H8" s="37">
        <v>4</v>
      </c>
      <c r="I8" s="37">
        <v>5</v>
      </c>
      <c r="J8" s="5"/>
      <c r="K8" s="37">
        <v>50</v>
      </c>
      <c r="L8" s="37">
        <v>50</v>
      </c>
      <c r="M8" s="5"/>
      <c r="N8" s="5"/>
      <c r="O8" s="38" t="s">
        <v>31</v>
      </c>
      <c r="Q8" s="37">
        <v>3</v>
      </c>
      <c r="R8" s="37">
        <v>0</v>
      </c>
      <c r="S8" s="38" t="s">
        <v>42</v>
      </c>
      <c r="T8" s="37">
        <v>0</v>
      </c>
      <c r="U8" s="37">
        <v>0</v>
      </c>
      <c r="AE8" s="37">
        <v>1000</v>
      </c>
      <c r="AI8" s="6">
        <v>1</v>
      </c>
      <c r="AT8" s="37">
        <v>50014.027999999998</v>
      </c>
      <c r="AU8" s="37">
        <v>50014.027999999998</v>
      </c>
      <c r="AW8" s="37">
        <v>0</v>
      </c>
      <c r="AX8" s="37">
        <v>0</v>
      </c>
      <c r="AY8" s="6" t="s">
        <v>27</v>
      </c>
      <c r="AZ8" s="37">
        <v>0</v>
      </c>
      <c r="BC8" s="37">
        <v>0</v>
      </c>
      <c r="BE8" s="37">
        <v>50000</v>
      </c>
      <c r="BF8" s="37">
        <v>50000</v>
      </c>
      <c r="BJ8" s="37">
        <v>1000</v>
      </c>
      <c r="BK8" s="37">
        <v>0</v>
      </c>
      <c r="BO8" s="6" t="s">
        <v>17</v>
      </c>
      <c r="BP8" s="37">
        <v>0</v>
      </c>
      <c r="BQ8" s="37">
        <v>0</v>
      </c>
      <c r="BT8" s="6" t="s">
        <v>16</v>
      </c>
      <c r="BU8" s="37">
        <v>3</v>
      </c>
      <c r="BV8" s="37">
        <v>0</v>
      </c>
      <c r="BW8" s="37">
        <v>14.028</v>
      </c>
      <c r="BX8" s="37">
        <v>0</v>
      </c>
      <c r="CI8" s="38" t="s">
        <v>17</v>
      </c>
      <c r="CJ8" s="37">
        <v>0</v>
      </c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38"/>
      <c r="J9" s="5"/>
      <c r="K9" s="5"/>
      <c r="L9" s="5"/>
      <c r="M9" s="5"/>
      <c r="N9" s="5"/>
      <c r="O9" s="5"/>
      <c r="R9" s="38"/>
      <c r="S9" s="38"/>
      <c r="T9" s="38"/>
      <c r="U9" s="38"/>
      <c r="BJ9" s="38"/>
      <c r="BW9" s="38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S10" s="38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abSelected="1" topLeftCell="BF1" workbookViewId="0">
      <selection activeCell="BK5" sqref="BK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7" width="14.42578125" customWidth="1"/>
  </cols>
  <sheetData>
    <row r="1" spans="1:167" ht="15.75" customHeight="1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67" ht="15.75" customHeight="1">
      <c r="A3" s="16"/>
      <c r="B3" s="2" t="s">
        <v>8</v>
      </c>
      <c r="C3" s="17" t="s">
        <v>43</v>
      </c>
      <c r="D3" s="2" t="s">
        <v>9</v>
      </c>
      <c r="E3" s="17" t="s">
        <v>44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  <c r="EY4" s="20" t="str">
        <f ca="1">IFERROR(__xludf.DUMMYFUNCTION("""COMPUTED_VALUE"""),"")</f>
        <v/>
      </c>
      <c r="EZ4" s="20" t="str">
        <f ca="1">IFERROR(__xludf.DUMMYFUNCTION("""COMPUTED_VALUE"""),"")</f>
        <v/>
      </c>
      <c r="FA4" s="20" t="str">
        <f ca="1">IFERROR(__xludf.DUMMYFUNCTION("""COMPUTED_VALUE"""),"")</f>
        <v/>
      </c>
      <c r="FB4" s="20" t="str">
        <f ca="1">IFERROR(__xludf.DUMMYFUNCTION("""COMPUTED_VALUE"""),"")</f>
        <v/>
      </c>
      <c r="FC4" s="20" t="str">
        <f ca="1">IFERROR(__xludf.DUMMYFUNCTION("""COMPUTED_VALUE"""),"")</f>
        <v/>
      </c>
      <c r="FD4" s="20" t="str">
        <f ca="1">IFERROR(__xludf.DUMMYFUNCTION("""COMPUTED_VALUE"""),"")</f>
        <v/>
      </c>
      <c r="FE4" s="20" t="str">
        <f ca="1">IFERROR(__xludf.DUMMYFUNCTION("""COMPUTED_VALUE"""),"")</f>
        <v/>
      </c>
      <c r="FF4" s="20" t="str">
        <f ca="1">IFERROR(__xludf.DUMMYFUNCTION("""COMPUTED_VALUE"""),"")</f>
        <v/>
      </c>
      <c r="FG4" s="20" t="str">
        <f ca="1">IFERROR(__xludf.DUMMYFUNCTION("""COMPUTED_VALUE"""),"")</f>
        <v/>
      </c>
      <c r="FH4" s="20" t="str">
        <f ca="1">IFERROR(__xludf.DUMMYFUNCTION("""COMPUTED_VALUE"""),"")</f>
        <v/>
      </c>
      <c r="FI4" s="20" t="str">
        <f ca="1">IFERROR(__xludf.DUMMYFUNCTION("""COMPUTED_VALUE"""),"")</f>
        <v/>
      </c>
      <c r="FJ4" s="20" t="str">
        <f ca="1">IFERROR(__xludf.DUMMYFUNCTION("""COMPUTED_VALUE"""),"")</f>
        <v/>
      </c>
      <c r="FK4" s="20" t="str">
        <f ca="1">IFERROR(__xludf.DUMMYFUNCTION("""COMPUTED_VALUE"""),"")</f>
        <v/>
      </c>
    </row>
    <row r="5" spans="1:167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IFERROR(__xludf.DUMMYFUNCTION("""COMPUTED_VALUE"""),"")</f>
        <v/>
      </c>
      <c r="FC5" s="24" t="str">
        <f ca="1">IFERROR(__xludf.DUMMYFUNCTION("""COMPUTED_VALUE"""),"")</f>
        <v/>
      </c>
      <c r="FD5" s="24" t="str">
        <f ca="1">IFERROR(__xludf.DUMMYFUNCTION("""COMPUTED_VALUE"""),"")</f>
        <v/>
      </c>
      <c r="FE5" s="24" t="str">
        <f ca="1">IFERROR(__xludf.DUMMYFUNCTION("""COMPUTED_VALUE"""),"")</f>
        <v/>
      </c>
      <c r="FF5" s="24" t="str">
        <f ca="1">IFERROR(__xludf.DUMMYFUNCTION("""COMPUTED_VALUE"""),"")</f>
        <v/>
      </c>
      <c r="FG5" s="24" t="str">
        <f ca="1">IFERROR(__xludf.DUMMYFUNCTION("""COMPUTED_VALUE"""),"")</f>
        <v/>
      </c>
      <c r="FH5" s="24" t="str">
        <f ca="1">IFERROR(__xludf.DUMMYFUNCTION("""COMPUTED_VALUE"""),"")</f>
        <v/>
      </c>
      <c r="FI5" s="24" t="str">
        <f ca="1">IFERROR(__xludf.DUMMYFUNCTION("""COMPUTED_VALUE"""),"")</f>
        <v/>
      </c>
      <c r="FJ5" s="24" t="str">
        <f ca="1">IFERROR(__xludf.DUMMYFUNCTION("""COMPUTED_VALUE"""),"")</f>
        <v/>
      </c>
      <c r="FK5" s="24" t="str">
        <f ca="1">IFERROR(__xludf.DUMMYFUNCTION("""COMPUTED_VALUE"""),"")</f>
        <v/>
      </c>
    </row>
    <row r="6" spans="1:167" ht="15.75" customHeight="1">
      <c r="A6" s="7"/>
      <c r="B6" s="7"/>
      <c r="C6" s="7" t="s">
        <v>16</v>
      </c>
      <c r="D6" s="7">
        <v>100</v>
      </c>
      <c r="E6" s="7" t="s">
        <v>18</v>
      </c>
      <c r="F6" s="5"/>
      <c r="G6" s="7">
        <v>20</v>
      </c>
      <c r="H6" s="39" t="s">
        <v>45</v>
      </c>
      <c r="I6" s="7">
        <v>0</v>
      </c>
      <c r="J6" s="5"/>
      <c r="K6" s="7">
        <v>0</v>
      </c>
      <c r="M6" s="5"/>
      <c r="N6" s="40">
        <v>-2000</v>
      </c>
      <c r="O6" s="5"/>
      <c r="Q6" s="40">
        <v>-2000</v>
      </c>
      <c r="T6" s="6" t="s">
        <v>22</v>
      </c>
      <c r="U6" s="6" t="s">
        <v>46</v>
      </c>
      <c r="W6" s="6" t="s">
        <v>47</v>
      </c>
      <c r="Y6" s="6">
        <v>1</v>
      </c>
      <c r="AB6" s="6">
        <v>0</v>
      </c>
      <c r="AC6" s="6">
        <v>0</v>
      </c>
      <c r="AD6" s="6">
        <v>0</v>
      </c>
      <c r="AE6" s="6">
        <v>0</v>
      </c>
      <c r="AF6" s="6">
        <v>100</v>
      </c>
      <c r="AG6" s="6">
        <v>0</v>
      </c>
      <c r="AH6" s="6">
        <v>0</v>
      </c>
      <c r="AI6" s="6">
        <v>0</v>
      </c>
      <c r="AJ6" s="6">
        <v>0</v>
      </c>
      <c r="AK6" s="40">
        <v>-2000</v>
      </c>
      <c r="AL6" s="6">
        <v>1</v>
      </c>
      <c r="AN6" s="6" t="s">
        <v>17</v>
      </c>
      <c r="AP6" s="6" t="s">
        <v>45</v>
      </c>
      <c r="AQ6" s="6" t="s">
        <v>16</v>
      </c>
      <c r="AR6" s="6">
        <v>0</v>
      </c>
      <c r="AS6" s="6">
        <v>1</v>
      </c>
      <c r="AV6" s="6">
        <v>1</v>
      </c>
      <c r="AW6" s="40">
        <v>-2000</v>
      </c>
      <c r="AX6" s="6">
        <v>0</v>
      </c>
      <c r="AY6" s="6">
        <v>0</v>
      </c>
      <c r="AZ6" s="6">
        <v>0</v>
      </c>
      <c r="BD6" s="40">
        <v>-2000</v>
      </c>
      <c r="BE6" s="6" t="s">
        <v>22</v>
      </c>
      <c r="BJ6" s="6">
        <v>0</v>
      </c>
      <c r="BK6" s="6">
        <v>0</v>
      </c>
      <c r="BL6" s="6">
        <v>0</v>
      </c>
      <c r="BM6" s="6">
        <v>0</v>
      </c>
      <c r="BO6" s="40">
        <v>-2000</v>
      </c>
      <c r="BP6" s="6">
        <v>0</v>
      </c>
      <c r="BR6" s="6" t="s">
        <v>25</v>
      </c>
      <c r="BS6" s="6">
        <v>0</v>
      </c>
      <c r="BT6" s="6">
        <v>0</v>
      </c>
      <c r="BU6" s="6" t="s">
        <v>22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C6" s="6">
        <v>0</v>
      </c>
      <c r="CD6" s="40">
        <v>-2000</v>
      </c>
      <c r="CE6" s="6">
        <v>0</v>
      </c>
      <c r="CF6" s="6">
        <v>0</v>
      </c>
      <c r="CG6" s="40">
        <v>-2000</v>
      </c>
      <c r="CI6" s="6">
        <v>0</v>
      </c>
      <c r="CJ6" s="6">
        <v>0</v>
      </c>
      <c r="DA6" s="6">
        <v>0</v>
      </c>
      <c r="DB6" s="6">
        <v>0</v>
      </c>
      <c r="DE6" s="6">
        <v>0</v>
      </c>
      <c r="DF6" s="6">
        <v>0</v>
      </c>
      <c r="DG6" s="6">
        <v>0</v>
      </c>
      <c r="DI6" s="6">
        <v>0</v>
      </c>
      <c r="DJ6" s="6" t="s">
        <v>17</v>
      </c>
      <c r="DK6" s="6">
        <v>0</v>
      </c>
      <c r="DL6" s="6">
        <v>0</v>
      </c>
      <c r="DM6" s="6">
        <v>1</v>
      </c>
      <c r="DN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M6" s="6">
        <v>0</v>
      </c>
      <c r="EN6" s="6">
        <v>0</v>
      </c>
      <c r="EO6" s="6">
        <v>0</v>
      </c>
    </row>
    <row r="7" spans="1:167" ht="15.75" customHeight="1">
      <c r="A7" s="5"/>
      <c r="B7" s="5"/>
      <c r="C7" s="7" t="s">
        <v>16</v>
      </c>
      <c r="D7" s="7">
        <v>150</v>
      </c>
      <c r="E7" s="7" t="s">
        <v>18</v>
      </c>
      <c r="F7" s="5"/>
      <c r="G7" s="7">
        <v>30</v>
      </c>
      <c r="H7" s="39" t="s">
        <v>45</v>
      </c>
      <c r="I7" s="7">
        <v>0</v>
      </c>
      <c r="J7" s="5"/>
      <c r="K7" s="7">
        <v>0</v>
      </c>
      <c r="M7" s="5"/>
      <c r="N7" s="40">
        <v>-4500</v>
      </c>
      <c r="O7" s="5"/>
      <c r="Q7" s="40">
        <v>-4500</v>
      </c>
      <c r="T7" s="6" t="s">
        <v>22</v>
      </c>
      <c r="U7" s="6" t="s">
        <v>46</v>
      </c>
      <c r="W7" s="6" t="s">
        <v>47</v>
      </c>
      <c r="Y7" s="6">
        <v>1</v>
      </c>
      <c r="AB7" s="6">
        <v>0</v>
      </c>
      <c r="AC7" s="6">
        <v>0</v>
      </c>
      <c r="AD7" s="6">
        <v>0</v>
      </c>
      <c r="AE7" s="6">
        <v>0</v>
      </c>
      <c r="AF7" s="6">
        <v>150</v>
      </c>
      <c r="AG7" s="6">
        <v>0</v>
      </c>
      <c r="AH7" s="6">
        <v>0</v>
      </c>
      <c r="AI7" s="6">
        <v>0</v>
      </c>
      <c r="AJ7" s="6">
        <v>0</v>
      </c>
      <c r="AK7" s="40">
        <v>-4500</v>
      </c>
      <c r="AL7" s="6">
        <v>1</v>
      </c>
      <c r="AN7" s="6" t="s">
        <v>17</v>
      </c>
      <c r="AP7" s="6" t="s">
        <v>45</v>
      </c>
      <c r="AQ7" s="6" t="s">
        <v>16</v>
      </c>
      <c r="AR7" s="6">
        <v>0</v>
      </c>
      <c r="AS7" s="6">
        <v>1</v>
      </c>
      <c r="AV7" s="6">
        <v>1</v>
      </c>
      <c r="AW7" s="40">
        <v>-4500</v>
      </c>
      <c r="AX7" s="6">
        <v>0</v>
      </c>
      <c r="AY7" s="6">
        <v>0</v>
      </c>
      <c r="AZ7" s="6">
        <v>0</v>
      </c>
      <c r="BD7" s="40">
        <v>-4500</v>
      </c>
      <c r="BE7" s="6" t="s">
        <v>22</v>
      </c>
      <c r="BJ7" s="6">
        <v>0</v>
      </c>
      <c r="BK7" s="6">
        <v>0</v>
      </c>
      <c r="BL7" s="6">
        <v>0</v>
      </c>
      <c r="BM7" s="6">
        <v>0</v>
      </c>
      <c r="BO7" s="40">
        <v>-4500</v>
      </c>
      <c r="BP7" s="6">
        <v>0</v>
      </c>
      <c r="BR7" s="6" t="s">
        <v>28</v>
      </c>
      <c r="BS7" s="6">
        <v>0</v>
      </c>
      <c r="BT7" s="6">
        <v>0</v>
      </c>
      <c r="BU7" s="6" t="s">
        <v>22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C7" s="6">
        <v>0</v>
      </c>
      <c r="CD7" s="40">
        <v>-4500</v>
      </c>
      <c r="CE7" s="6">
        <v>0</v>
      </c>
      <c r="CF7" s="6">
        <v>0</v>
      </c>
      <c r="CG7" s="40">
        <v>-4500</v>
      </c>
      <c r="CI7" s="6">
        <v>0</v>
      </c>
      <c r="CJ7" s="6">
        <v>0</v>
      </c>
      <c r="DA7" s="6">
        <v>0</v>
      </c>
      <c r="DB7" s="6">
        <v>0</v>
      </c>
      <c r="DE7" s="6">
        <v>0</v>
      </c>
      <c r="DF7" s="6">
        <v>0</v>
      </c>
      <c r="DG7" s="6">
        <v>0</v>
      </c>
      <c r="DI7" s="6">
        <v>0</v>
      </c>
      <c r="DJ7" s="6" t="s">
        <v>17</v>
      </c>
      <c r="DK7" s="6">
        <v>0</v>
      </c>
      <c r="DL7" s="6">
        <v>0</v>
      </c>
      <c r="DM7" s="6">
        <v>1</v>
      </c>
      <c r="DN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M7" s="6">
        <v>0</v>
      </c>
      <c r="EN7" s="6">
        <v>0</v>
      </c>
      <c r="EO7" s="6">
        <v>0</v>
      </c>
    </row>
    <row r="8" spans="1:167" ht="15.75" customHeight="1">
      <c r="A8" s="5"/>
      <c r="B8" s="5"/>
      <c r="C8" s="7" t="s">
        <v>16</v>
      </c>
      <c r="D8" s="40">
        <v>1000</v>
      </c>
      <c r="E8" s="7" t="s">
        <v>18</v>
      </c>
      <c r="F8" s="5"/>
      <c r="G8" s="7">
        <v>50</v>
      </c>
      <c r="H8" s="39" t="s">
        <v>45</v>
      </c>
      <c r="I8" s="7">
        <v>0</v>
      </c>
      <c r="J8" s="5"/>
      <c r="K8" s="7">
        <v>0</v>
      </c>
      <c r="M8" s="5"/>
      <c r="N8" s="40">
        <v>-50000</v>
      </c>
      <c r="O8" s="5"/>
      <c r="Q8" s="40">
        <v>-50000</v>
      </c>
      <c r="T8" s="6" t="s">
        <v>22</v>
      </c>
      <c r="U8" s="6" t="s">
        <v>46</v>
      </c>
      <c r="W8" s="6" t="s">
        <v>47</v>
      </c>
      <c r="Y8" s="6">
        <v>1</v>
      </c>
      <c r="AB8" s="6">
        <v>0</v>
      </c>
      <c r="AC8" s="6">
        <v>0</v>
      </c>
      <c r="AD8" s="6">
        <v>0</v>
      </c>
      <c r="AE8" s="6">
        <v>0</v>
      </c>
      <c r="AF8" s="35">
        <v>1000</v>
      </c>
      <c r="AG8" s="6">
        <v>0</v>
      </c>
      <c r="AH8" s="6">
        <v>0</v>
      </c>
      <c r="AI8" s="6">
        <v>0</v>
      </c>
      <c r="AJ8" s="6">
        <v>0</v>
      </c>
      <c r="AK8" s="40">
        <v>-50000</v>
      </c>
      <c r="AL8" s="6">
        <v>1</v>
      </c>
      <c r="AN8" s="6" t="s">
        <v>17</v>
      </c>
      <c r="AP8" s="6" t="s">
        <v>45</v>
      </c>
      <c r="AQ8" s="6" t="s">
        <v>16</v>
      </c>
      <c r="AR8" s="6">
        <v>0</v>
      </c>
      <c r="AS8" s="6">
        <v>1</v>
      </c>
      <c r="AV8" s="6">
        <v>1</v>
      </c>
      <c r="AW8" s="40">
        <v>-50000</v>
      </c>
      <c r="AX8" s="6">
        <v>0</v>
      </c>
      <c r="AY8" s="6">
        <v>0</v>
      </c>
      <c r="AZ8" s="6">
        <v>0</v>
      </c>
      <c r="BD8" s="40">
        <v>-50000</v>
      </c>
      <c r="BE8" s="6" t="s">
        <v>22</v>
      </c>
      <c r="BJ8" s="6">
        <v>0</v>
      </c>
      <c r="BK8" s="6">
        <v>0</v>
      </c>
      <c r="BL8" s="6">
        <v>0</v>
      </c>
      <c r="BM8" s="6">
        <v>0</v>
      </c>
      <c r="BO8" s="40">
        <v>-50000</v>
      </c>
      <c r="BP8" s="6">
        <v>0</v>
      </c>
      <c r="BR8" s="6" t="s">
        <v>31</v>
      </c>
      <c r="BS8" s="6">
        <v>0</v>
      </c>
      <c r="BT8" s="6">
        <v>0</v>
      </c>
      <c r="BU8" s="6" t="s">
        <v>22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C8" s="6">
        <v>0</v>
      </c>
      <c r="CD8" s="40">
        <v>-50000</v>
      </c>
      <c r="CE8" s="6">
        <v>0</v>
      </c>
      <c r="CF8" s="6">
        <v>0</v>
      </c>
      <c r="CG8" s="40">
        <v>-50000</v>
      </c>
      <c r="CI8" s="6">
        <v>0</v>
      </c>
      <c r="CJ8" s="6">
        <v>0</v>
      </c>
      <c r="DA8" s="6">
        <v>0</v>
      </c>
      <c r="DB8" s="6">
        <v>0</v>
      </c>
      <c r="DE8" s="6">
        <v>0</v>
      </c>
      <c r="DF8" s="6">
        <v>0</v>
      </c>
      <c r="DG8" s="6">
        <v>0</v>
      </c>
      <c r="DI8" s="6">
        <v>0</v>
      </c>
      <c r="DJ8" s="6" t="s">
        <v>17</v>
      </c>
      <c r="DK8" s="6">
        <v>0</v>
      </c>
      <c r="DL8" s="6">
        <v>0</v>
      </c>
      <c r="DM8" s="6">
        <v>1</v>
      </c>
      <c r="DN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M8" s="6">
        <v>0</v>
      </c>
      <c r="EN8" s="6">
        <v>0</v>
      </c>
      <c r="EO8" s="6">
        <v>0</v>
      </c>
    </row>
    <row r="9" spans="1:167" ht="15.75" customHeight="1">
      <c r="A9" s="5"/>
      <c r="B9" s="5"/>
      <c r="C9" s="5"/>
      <c r="D9" s="5"/>
      <c r="E9" s="5"/>
      <c r="F9" s="5"/>
      <c r="G9" s="5"/>
      <c r="H9" s="1"/>
      <c r="I9" s="5"/>
      <c r="J9" s="5"/>
      <c r="K9" s="5"/>
      <c r="L9" s="5"/>
      <c r="M9" s="5"/>
      <c r="N9" s="5"/>
      <c r="O9" s="5"/>
      <c r="Q9" s="5"/>
    </row>
    <row r="10" spans="1:167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7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7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7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7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_Modules</vt:lpstr>
      <vt:lpstr>_Settings</vt:lpstr>
      <vt:lpstr>_MasterData</vt:lpstr>
      <vt:lpstr>CreateStageOrder</vt:lpstr>
      <vt:lpstr>TradeNewSubOrder</vt:lpstr>
      <vt:lpstr>CreateNewSubOrder</vt:lpstr>
      <vt:lpstr>TradeNewSubOrder1</vt:lpstr>
      <vt:lpstr>CreateNewSubOrder1</vt:lpstr>
      <vt:lpstr>EditStageOrder</vt:lpstr>
      <vt:lpstr>CreateReplaceOrder</vt:lpstr>
      <vt:lpstr>TradeNewSubOrder2</vt:lpstr>
      <vt:lpstr>CreateNewSubOrder2</vt:lpstr>
      <vt:lpstr>VerifyOrder</vt:lpstr>
      <vt:lpstr>VerifySubOrder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2021-08-04T10:18:09Z</dcterms:modified>
</cp:coreProperties>
</file>