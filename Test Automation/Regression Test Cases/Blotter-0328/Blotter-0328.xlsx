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MultipleDailyCash" sheetId="5" r:id="rId7"/>
    <sheet state="visible" name="CreateDoneAwayOrder" sheetId="6" r:id="rId8"/>
    <sheet state="visible" name="PricingInput" sheetId="7" r:id="rId9"/>
    <sheet state="visible" name="TradePTT" sheetId="8" r:id="rId10"/>
    <sheet state="visible" name="CreateDoneAwayOrder1" sheetId="9" r:id="rId11"/>
    <sheet state="visible" name="VerifyOrder" sheetId="10" r:id="rId12"/>
    <sheet state="visible" name="VerifyWorkingSubs" sheetId="11" r:id="rId13"/>
    <sheet state="visible" name="GetDataAllocation" sheetId="12" r:id="rId14"/>
    <sheet state="visible" name="CheckAllocatedGroups" sheetId="13" r:id="rId15"/>
    <sheet state="visible" name="ReloadOrderFromBlotter" sheetId="14" r:id="rId16"/>
    <sheet state="visible" name="CreateDoneAwayOrder2" sheetId="15" r:id="rId17"/>
    <sheet state="visible" name="VerifyOrder1" sheetId="16" r:id="rId18"/>
    <sheet state="visible" name="VerifyWorkingSubs1" sheetId="17" r:id="rId19"/>
  </sheets>
  <definedNames/>
  <calcPr/>
</workbook>
</file>

<file path=xl/sharedStrings.xml><?xml version="1.0" encoding="utf-8"?>
<sst xmlns="http://schemas.openxmlformats.org/spreadsheetml/2006/main" count="233" uniqueCount="47">
  <si>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</si>
  <si>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</si>
  <si>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</si>
  <si>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</si>
  <si>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</si>
  <si>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</si>
  <si>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</si>
  <si>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</si>
  <si>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</si>
  <si>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</si>
  <si>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</si>
  <si>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</si>
  <si>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</si>
  <si>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</si>
  <si>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</si>
  <si>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</si>
  <si>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UpdateMultipleDailyCash</t>
  </si>
  <si>
    <t>Allocation1</t>
  </si>
  <si>
    <t>USD</t>
  </si>
  <si>
    <t>Allocation2</t>
  </si>
  <si>
    <t>TradingTicket</t>
  </si>
  <si>
    <t>CreateDoneAwayOrder</t>
  </si>
  <si>
    <t>AAPL</t>
  </si>
  <si>
    <t>Buy</t>
  </si>
  <si>
    <t>MS</t>
  </si>
  <si>
    <t>Limit</t>
  </si>
  <si>
    <t>Allocation1,Allocation2</t>
  </si>
  <si>
    <t>50,50</t>
  </si>
  <si>
    <t>PricingInput</t>
  </si>
  <si>
    <t>PTT</t>
  </si>
  <si>
    <t>TradePTT</t>
  </si>
  <si>
    <t>Increase</t>
  </si>
  <si>
    <t xml:space="preserve">Percentage </t>
  </si>
  <si>
    <t>No</t>
  </si>
  <si>
    <t>Account</t>
  </si>
  <si>
    <t>Blotter</t>
  </si>
  <si>
    <t>VerifyOrder</t>
  </si>
  <si>
    <t>M</t>
  </si>
  <si>
    <t>Equity</t>
  </si>
  <si>
    <t>Filled</t>
  </si>
  <si>
    <t>Multiple</t>
  </si>
  <si>
    <t>VerifyWorkingSubs</t>
  </si>
  <si>
    <t>Allocation</t>
  </si>
  <si>
    <t>GetDataAllocation</t>
  </si>
  <si>
    <t xml:space="preserve">Current </t>
  </si>
  <si>
    <t>CheckAllocatedGroups</t>
  </si>
  <si>
    <t>ReloadOrderFromBlotter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</si>
</sst>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5" fillId="0" fontId="3" numFmtId="0" xfId="0" applyAlignment="1" applyBorder="1" applyFont="1">
      <alignment vertical="bottom"/>
    </xf>
    <xf borderId="6" fillId="0" fontId="5" numFmtId="1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>
        <f t="shared" ref="B6:C6" si="1">TODAY()-1</f>
        <v>45036</v>
      </c>
      <c r="C6" s="32">
        <f t="shared" si="1"/>
        <v>45036</v>
      </c>
      <c r="D6" s="33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 t="s">
        <v>17</v>
      </c>
      <c r="C6" s="34" t="s">
        <v>18</v>
      </c>
      <c r="D6" s="35">
        <v>100000.0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19</v>
      </c>
      <c r="C7" s="34" t="s">
        <v>18</v>
      </c>
      <c r="D7" s="36">
        <v>100000.0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 t="s">
        <v>22</v>
      </c>
      <c r="C6" s="34" t="s">
        <v>23</v>
      </c>
      <c r="D6" s="35">
        <v>1000.0</v>
      </c>
      <c r="E6" s="36">
        <v>1000.0</v>
      </c>
      <c r="F6" s="34"/>
      <c r="G6" s="34" t="s">
        <v>24</v>
      </c>
      <c r="H6" s="34"/>
      <c r="I6" s="37" t="s">
        <v>25</v>
      </c>
      <c r="J6" s="36"/>
      <c r="K6" s="34"/>
      <c r="L6" s="37">
        <v>10.0</v>
      </c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 t="s">
        <v>26</v>
      </c>
      <c r="AL6" s="34" t="s">
        <v>27</v>
      </c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 t="s">
        <v>22</v>
      </c>
      <c r="C6" s="36">
        <v>10.0</v>
      </c>
      <c r="D6" s="33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IFERROR(__xludf.DUMMYFUNCTION("""COMPUTED_VALUE"""),"MTT POP UP?")</f>
        <v>MTT POP UP?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 t="s">
        <v>22</v>
      </c>
      <c r="C6" s="34" t="s">
        <v>31</v>
      </c>
      <c r="D6" s="33" t="s">
        <v>32</v>
      </c>
      <c r="E6" s="36">
        <v>10.0</v>
      </c>
      <c r="F6" s="36">
        <v>10.0</v>
      </c>
      <c r="G6" s="34" t="s">
        <v>33</v>
      </c>
      <c r="H6" s="34" t="s">
        <v>34</v>
      </c>
      <c r="I6" s="38" t="s">
        <v>26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TradePTT!$4:$4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 t="s">
        <v>22</v>
      </c>
      <c r="C6" s="34"/>
      <c r="D6" s="33"/>
      <c r="E6" s="34"/>
      <c r="F6" s="34"/>
      <c r="G6" s="34"/>
      <c r="H6" s="34"/>
      <c r="I6" s="37" t="s">
        <v>25</v>
      </c>
      <c r="J6" s="36"/>
      <c r="K6" s="34"/>
      <c r="L6" s="37">
        <v>10.0</v>
      </c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/>
      <c r="C6" s="34"/>
      <c r="D6" s="35">
        <v>10.0</v>
      </c>
      <c r="E6" s="34"/>
      <c r="F6" s="37">
        <v>10.0</v>
      </c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9">
        <v>1.0</v>
      </c>
      <c r="AE6" s="34"/>
      <c r="AF6" s="34" t="s">
        <v>37</v>
      </c>
      <c r="AG6" s="34"/>
      <c r="AH6" s="34" t="s">
        <v>38</v>
      </c>
      <c r="AI6" s="34" t="s">
        <v>22</v>
      </c>
      <c r="AJ6" s="34" t="s">
        <v>23</v>
      </c>
      <c r="AK6" s="34" t="s">
        <v>39</v>
      </c>
      <c r="AL6" s="39">
        <v>1000.0</v>
      </c>
      <c r="AM6" s="39">
        <v>1000.0</v>
      </c>
      <c r="AN6" s="39">
        <v>100.0</v>
      </c>
      <c r="AO6" s="39">
        <v>1000.0</v>
      </c>
      <c r="AP6" s="34"/>
      <c r="AQ6" s="34"/>
      <c r="AR6" s="39">
        <v>10.0</v>
      </c>
      <c r="AS6" s="34" t="s">
        <v>24</v>
      </c>
      <c r="AT6" s="34" t="s">
        <v>40</v>
      </c>
      <c r="AU6" s="37" t="s">
        <v>25</v>
      </c>
      <c r="AV6" s="39">
        <v>10000.0</v>
      </c>
      <c r="AW6" s="39">
        <v>10000.0</v>
      </c>
      <c r="AX6" s="34"/>
      <c r="AY6" s="39">
        <v>1000.0</v>
      </c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/>
      <c r="C7" s="34"/>
      <c r="D7" s="36">
        <v>10.0</v>
      </c>
      <c r="E7" s="34"/>
      <c r="F7" s="37">
        <v>10.0</v>
      </c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9">
        <v>1.0</v>
      </c>
      <c r="AE7" s="34"/>
      <c r="AF7" s="34" t="s">
        <v>37</v>
      </c>
      <c r="AG7" s="34"/>
      <c r="AH7" s="34" t="s">
        <v>38</v>
      </c>
      <c r="AI7" s="34" t="s">
        <v>22</v>
      </c>
      <c r="AJ7" s="34" t="s">
        <v>23</v>
      </c>
      <c r="AK7" s="34" t="s">
        <v>39</v>
      </c>
      <c r="AL7" s="39">
        <v>2000.0</v>
      </c>
      <c r="AM7" s="39">
        <v>2000.0</v>
      </c>
      <c r="AN7" s="39">
        <v>100.0</v>
      </c>
      <c r="AO7" s="39">
        <v>2000.0</v>
      </c>
      <c r="AP7" s="34"/>
      <c r="AQ7" s="34"/>
      <c r="AR7" s="39">
        <v>10.0</v>
      </c>
      <c r="AS7" s="34" t="s">
        <v>24</v>
      </c>
      <c r="AT7" s="34" t="s">
        <v>40</v>
      </c>
      <c r="AU7" s="37" t="s">
        <v>25</v>
      </c>
      <c r="AV7" s="39">
        <v>20000.0</v>
      </c>
      <c r="AW7" s="39">
        <v>20000.0</v>
      </c>
      <c r="AX7" s="34"/>
      <c r="AY7" s="39">
        <v>2000.0</v>
      </c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IFERROR(__xludf.DUMMYFUNCTION("""COMPUTED_VALUE"""),"Unexecuted Qty")</f>
        <v>Unexecuted Qty</v>
      </c>
      <c r="G5" s="28" t="str">
        <f>IFERROR(__xludf.DUMMYFUNCTION("""COMPUTED_VALUE"""),"Status")</f>
        <v>Status</v>
      </c>
      <c r="H5" s="28" t="str">
        <f>IFERROR(__xludf.DUMMYFUNCTION("""COMPUTED_VALUE"""),"Last Shares")</f>
        <v>Last Shares</v>
      </c>
      <c r="I5" s="28" t="str">
        <f>IFERROR(__xludf.DUMMYFUNCTION("""COMPUTED_VALUE"""),"Last Fill Price (Local)")</f>
        <v>Last Fill Price (Local)</v>
      </c>
      <c r="J5" s="28" t="str">
        <f>IFERROR(__xludf.DUMMYFUNCTION("""COMPUTED_VALUE"""),"Avg Fill Price (Local)")</f>
        <v>Avg Fill Price (Local)</v>
      </c>
      <c r="K5" s="28" t="str">
        <f>IFERROR(__xludf.DUMMYFUNCTION("""COMPUTED_VALUE"""),"Broker")</f>
        <v>Broker</v>
      </c>
      <c r="L5" s="28" t="str">
        <f>IFERROR(__xludf.DUMMYFUNCTION("""COMPUTED_VALUE"""),"Account")</f>
        <v>Account</v>
      </c>
      <c r="M5" s="28" t="str">
        <f>IFERROR(__xludf.DUMMYFUNCTION("""COMPUTED_VALUE"""),"Order Type")</f>
        <v>Order Type</v>
      </c>
      <c r="N5" s="28" t="str">
        <f>IFERROR(__xludf.DUMMYFUNCTION("""COMPUTED_VALUE"""),"OrderStatus")</f>
        <v>OrderStatus</v>
      </c>
      <c r="O5" s="28" t="str">
        <f>IFERROR(__xludf.DUMMYFUNCTION("""COMPUTED_VALUE"""),"Avg Fill Price (Base)")</f>
        <v>Avg Fill Price (Base)</v>
      </c>
      <c r="P5" s="28" t="str">
        <f>IFERROR(__xludf.DUMMYFUNCTION("""COMPUTED_VALUE"""),"Limit Price")</f>
        <v>Limit Price</v>
      </c>
      <c r="Q5" s="28" t="str">
        <f>IFERROR(__xludf.DUMMYFUNCTION("""COMPUTED_VALUE"""),"Stop Price")</f>
        <v>Stop Price</v>
      </c>
      <c r="R5" s="28" t="str">
        <f>IFERROR(__xludf.DUMMYFUNCTION("""COMPUTED_VALUE"""),"Actual User")</f>
        <v>Actual User</v>
      </c>
      <c r="S5" s="28" t="str">
        <f>IFERROR(__xludf.DUMMYFUNCTION("""COMPUTED_VALUE"""),"Bloomberg Symbol")</f>
        <v>Bloomberg Symbol</v>
      </c>
      <c r="T5" s="30" t="str">
        <f>IFERROR(__xludf.DUMMYFUNCTION("""COMPUTED_VALUE"""),"Algo")</f>
        <v>Algo</v>
      </c>
      <c r="U5" s="30" t="str">
        <f>IFERROR(__xludf.DUMMYFUNCTION("""COMPUTED_VALUE"""),"Allocation Scheme Name")</f>
        <v>Allocation Scheme Name</v>
      </c>
      <c r="V5" s="30" t="str">
        <f>IFERROR(__xludf.DUMMYFUNCTION("""COMPUTED_VALUE"""),"Allocation Status")</f>
        <v>Allocation Status</v>
      </c>
      <c r="W5" s="30" t="str">
        <f>IFERROR(__xludf.DUMMYFUNCTION("""COMPUTED_VALUE"""),"Asset Class")</f>
        <v>Asset Class</v>
      </c>
      <c r="X5" s="30" t="str">
        <f>IFERROR(__xludf.DUMMYFUNCTION("""COMPUTED_VALUE"""),"FX Conversion Operator")</f>
        <v>FX Conversion Operator</v>
      </c>
      <c r="Y5" s="30" t="str">
        <f>IFERROR(__xludf.DUMMYFUNCTION("""COMPUTED_VALUE"""),"FX Rate")</f>
        <v>FX Rate</v>
      </c>
      <c r="Z5" s="30" t="str">
        <f>IFERROR(__xludf.DUMMYFUNCTION("""COMPUTED_VALUE"""),"Imported File Name")</f>
        <v>Imported File Name</v>
      </c>
      <c r="AA5" s="30" t="str">
        <f>IFERROR(__xludf.DUMMYFUNCTION("""COMPUTED_VALUE"""),"Internal Comments")</f>
        <v>Internal Comments</v>
      </c>
      <c r="AB5" s="30" t="str">
        <f>IFERROR(__xludf.DUMMYFUNCTION("""COMPUTED_VALUE"""),"Peg")</f>
        <v>Peg</v>
      </c>
      <c r="AC5" s="30" t="str">
        <f>IFERROR(__xludf.DUMMYFUNCTION("""COMPUTED_VALUE"""),"Principal Amount (Base)")</f>
        <v>Principal Amount (Base)</v>
      </c>
      <c r="AD5" s="30" t="str">
        <f>IFERROR(__xludf.DUMMYFUNCTION("""COMPUTED_VALUE"""),"Principal Amount (Local)")</f>
        <v>Principal Amount (Local)</v>
      </c>
      <c r="AE5" s="30" t="str">
        <f>IFERROR(__xludf.DUMMYFUNCTION("""COMPUTED_VALUE"""),"Process Date")</f>
        <v>Process Date</v>
      </c>
      <c r="AF5" s="30" t="str">
        <f>IFERROR(__xludf.DUMMYFUNCTION("""COMPUTED_VALUE"""),"Put/Call")</f>
        <v>Put/Call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IFERROR(__xludf.DUMMYFUNCTION("""COMPUTED_VALUE"""),"Source")</f>
        <v>Source</v>
      </c>
      <c r="AI5" s="30" t="str">
        <f>IFERROR(__xludf.DUMMYFUNCTION("""COMPUTED_VALUE"""),"Status (With Rollover)")</f>
        <v>Status (With Rollover)</v>
      </c>
      <c r="AJ5" s="30" t="str">
        <f>IFERROR(__xludf.DUMMYFUNCTION("""COMPUTED_VALUE"""),"Strategy")</f>
        <v>Strategy</v>
      </c>
      <c r="AK5" s="30" t="str">
        <f>IFERROR(__xludf.DUMMYFUNCTION("""COMPUTED_VALUE"""),"Strike Price")</f>
        <v>Strike Price</v>
      </c>
      <c r="AL5" s="30" t="str">
        <f>IFERROR(__xludf.DUMMYFUNCTION("""COMPUTED_VALUE"""),"Trade Attribute 1")</f>
        <v>Trade Attribute 1</v>
      </c>
      <c r="AM5" s="30" t="str">
        <f>IFERROR(__xludf.DUMMYFUNCTION("""COMPUTED_VALUE"""),"Trade Attribute 2")</f>
        <v>Trade Attribute 2</v>
      </c>
      <c r="AN5" s="30" t="str">
        <f>IFERROR(__xludf.DUMMYFUNCTION("""COMPUTED_VALUE"""),"Trade Attribute 3")</f>
        <v>Trade Attribute 3</v>
      </c>
      <c r="AO5" s="30" t="str">
        <f>IFERROR(__xludf.DUMMYFUNCTION("""COMPUTED_VALUE"""),"Trade Attribute 4")</f>
        <v>Trade Attribute 4</v>
      </c>
      <c r="AP5" s="30" t="str">
        <f>IFERROR(__xludf.DUMMYFUNCTION("""COMPUTED_VALUE"""),"Trade Attribute 5")</f>
        <v>Trade Attribute 5</v>
      </c>
      <c r="AQ5" s="30" t="str">
        <f>IFERROR(__xludf.DUMMYFUNCTION("""COMPUTED_VALUE"""),"Trade Attribute 6")</f>
        <v>Trade Attribute 6</v>
      </c>
      <c r="AR5" s="30" t="str">
        <f>IFERROR(__xludf.DUMMYFUNCTION("""COMPUTED_VALUE"""),"Trader")</f>
        <v>Trader</v>
      </c>
      <c r="AS5" s="30" t="str">
        <f>IFERROR(__xludf.DUMMYFUNCTION("""COMPUTED_VALUE"""),"Transaction Time")</f>
        <v>Transaction Time</v>
      </c>
      <c r="AT5" s="30" t="str">
        <f>IFERROR(__xludf.DUMMYFUNCTION("""COMPUTED_VALUE"""),"Underlying Country")</f>
        <v>Underlying Country</v>
      </c>
      <c r="AU5" s="30" t="str">
        <f>IFERROR(__xludf.DUMMYFUNCTION("""COMPUTED_VALUE"""),"Underlying Symbol")</f>
        <v>Underlying Symbol</v>
      </c>
      <c r="AV5" s="30" t="str">
        <f>IFERROR(__xludf.DUMMYFUNCTION("""COMPUTED_VALUE"""),"Venue")</f>
        <v>Venue</v>
      </c>
      <c r="AW5" s="30" t="str">
        <f>IFERROR(__xludf.DUMMYFUNCTION("""COMPUTED_VALUE"""),"Working Qty")</f>
        <v>Working Qty</v>
      </c>
      <c r="AX5" s="30" t="str">
        <f>IFERROR(__xludf.DUMMYFUNCTION("""COMPUTED_VALUE"""),"Client")</f>
        <v>Client</v>
      </c>
      <c r="AY5" s="30" t="str">
        <f>IFERROR(__xludf.DUMMYFUNCTION("""COMPUTED_VALUE"""),"OrderID")</f>
        <v>OrderID</v>
      </c>
      <c r="AZ5" s="30" t="str">
        <f>IFERROR(__xludf.DUMMYFUNCTION("""COMPUTED_VALUE"""),"ParentClOrderID")</f>
        <v>ParentClOrderID</v>
      </c>
      <c r="BA5" s="30" t="str">
        <f>IFERROR(__xludf.DUMMYFUNCTION("""COMPUTED_VALUE"""),"Master Fund")</f>
        <v>Master Fund</v>
      </c>
      <c r="BB5" s="30" t="str">
        <f>IFERROR(__xludf.DUMMYFUNCTION("""COMPUTED_VALUE"""),"Current User")</f>
        <v>Current User</v>
      </c>
      <c r="BC5" s="30" t="str">
        <f>IFERROR(__xludf.DUMMYFUNCTION("""COMPUTED_VALUE"""),"% Completed")</f>
        <v>% Completed</v>
      </c>
      <c r="BD5" s="30" t="str">
        <f>IFERROR(__xludf.DUMMYFUNCTION("""COMPUTED_VALUE"""),"isRowCountCheck")</f>
        <v>isRowCountCheck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 t="s">
        <v>22</v>
      </c>
      <c r="C6" s="34" t="s">
        <v>23</v>
      </c>
      <c r="D6" s="35">
        <v>1000.0</v>
      </c>
      <c r="E6" s="36">
        <v>1000.0</v>
      </c>
      <c r="F6" s="34"/>
      <c r="G6" s="34" t="s">
        <v>39</v>
      </c>
      <c r="H6" s="34"/>
      <c r="I6" s="34"/>
      <c r="J6" s="36">
        <v>10.0</v>
      </c>
      <c r="K6" s="34" t="s">
        <v>24</v>
      </c>
      <c r="L6" s="34" t="s">
        <v>40</v>
      </c>
      <c r="M6" s="37" t="s">
        <v>25</v>
      </c>
      <c r="N6" s="34"/>
      <c r="O6" s="36">
        <v>10.0</v>
      </c>
      <c r="P6" s="37">
        <v>10.0</v>
      </c>
      <c r="Q6" s="34"/>
      <c r="R6" s="34"/>
      <c r="S6" s="34"/>
      <c r="T6" s="34"/>
      <c r="U6" s="34"/>
      <c r="V6" s="34"/>
      <c r="W6" s="34" t="s">
        <v>38</v>
      </c>
      <c r="X6" s="34" t="s">
        <v>37</v>
      </c>
      <c r="Y6" s="39">
        <v>1.0</v>
      </c>
      <c r="Z6" s="34"/>
      <c r="AA6" s="34"/>
      <c r="AB6" s="34"/>
      <c r="AC6" s="39">
        <v>10000.0</v>
      </c>
      <c r="AD6" s="39">
        <v>10000.0</v>
      </c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22</v>
      </c>
      <c r="C7" s="34" t="s">
        <v>23</v>
      </c>
      <c r="D7" s="36">
        <v>2000.0</v>
      </c>
      <c r="E7" s="36">
        <v>2000.0</v>
      </c>
      <c r="F7" s="34"/>
      <c r="G7" s="34" t="s">
        <v>39</v>
      </c>
      <c r="H7" s="34"/>
      <c r="I7" s="34"/>
      <c r="J7" s="36">
        <v>10.0</v>
      </c>
      <c r="K7" s="34" t="s">
        <v>24</v>
      </c>
      <c r="L7" s="34" t="s">
        <v>40</v>
      </c>
      <c r="M7" s="37" t="s">
        <v>25</v>
      </c>
      <c r="N7" s="34"/>
      <c r="O7" s="36">
        <v>10.0</v>
      </c>
      <c r="P7" s="37">
        <v>10.0</v>
      </c>
      <c r="Q7" s="34"/>
      <c r="R7" s="34"/>
      <c r="S7" s="34"/>
      <c r="T7" s="34"/>
      <c r="U7" s="34"/>
      <c r="V7" s="34"/>
      <c r="W7" s="34" t="s">
        <v>38</v>
      </c>
      <c r="X7" s="34" t="s">
        <v>37</v>
      </c>
      <c r="Y7" s="39">
        <v>1.0</v>
      </c>
      <c r="Z7" s="34"/>
      <c r="AA7" s="34"/>
      <c r="AB7" s="34"/>
      <c r="AC7" s="39">
        <v>20000.0</v>
      </c>
      <c r="AD7" s="39">
        <v>20000.0</v>
      </c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 t="s">
        <v>44</v>
      </c>
      <c r="C6" s="34"/>
      <c r="D6" s="33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 t="s">
        <v>40</v>
      </c>
      <c r="C6" s="34"/>
      <c r="D6" s="33"/>
      <c r="E6" s="36">
        <v>1000.0</v>
      </c>
      <c r="F6" s="34"/>
      <c r="G6" s="34" t="s">
        <v>38</v>
      </c>
      <c r="H6" s="34"/>
      <c r="I6" s="34"/>
      <c r="J6" s="34"/>
      <c r="K6" s="36">
        <v>10.0</v>
      </c>
      <c r="L6" s="36">
        <v>10.0</v>
      </c>
      <c r="M6" s="34"/>
      <c r="N6" s="34"/>
      <c r="O6" s="34" t="s">
        <v>24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9">
        <v>1000.0</v>
      </c>
      <c r="AF6" s="34"/>
      <c r="AG6" s="34"/>
      <c r="AH6" s="34" t="s">
        <v>37</v>
      </c>
      <c r="AI6" s="39">
        <v>1.0</v>
      </c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9">
        <v>10014.006</v>
      </c>
      <c r="AU6" s="39">
        <v>10014.006</v>
      </c>
      <c r="AV6" s="34"/>
      <c r="AW6" s="34"/>
      <c r="AX6" s="34"/>
      <c r="AY6" s="37" t="s">
        <v>25</v>
      </c>
      <c r="AZ6" s="34"/>
      <c r="BA6" s="34"/>
      <c r="BB6" s="34"/>
      <c r="BC6" s="34"/>
      <c r="BD6" s="34"/>
      <c r="BE6" s="39">
        <v>10000.0</v>
      </c>
      <c r="BF6" s="39">
        <v>10000.0</v>
      </c>
      <c r="BG6" s="34"/>
      <c r="BH6" s="34"/>
      <c r="BI6" s="34"/>
      <c r="BJ6" s="39">
        <v>1000.0</v>
      </c>
      <c r="BK6" s="34"/>
      <c r="BL6" s="34"/>
      <c r="BM6" s="34"/>
      <c r="BN6" s="34"/>
      <c r="BO6" s="34" t="s">
        <v>23</v>
      </c>
      <c r="BP6" s="34"/>
      <c r="BQ6" s="34"/>
      <c r="BR6" s="34"/>
      <c r="BS6" s="34"/>
      <c r="BT6" s="34" t="s">
        <v>22</v>
      </c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40</v>
      </c>
      <c r="C7" s="34"/>
      <c r="D7" s="34"/>
      <c r="E7" s="36">
        <v>2000.0</v>
      </c>
      <c r="F7" s="34"/>
      <c r="G7" s="34" t="s">
        <v>38</v>
      </c>
      <c r="H7" s="34"/>
      <c r="I7" s="34"/>
      <c r="J7" s="34"/>
      <c r="K7" s="36">
        <v>10.0</v>
      </c>
      <c r="L7" s="36">
        <v>10.0</v>
      </c>
      <c r="M7" s="34"/>
      <c r="N7" s="34"/>
      <c r="O7" s="34" t="s">
        <v>24</v>
      </c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9">
        <v>2000.0</v>
      </c>
      <c r="AF7" s="34"/>
      <c r="AG7" s="34"/>
      <c r="AH7" s="34" t="s">
        <v>37</v>
      </c>
      <c r="AI7" s="39">
        <v>1.0</v>
      </c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9">
        <v>20014.011</v>
      </c>
      <c r="AU7" s="39">
        <v>20014.011</v>
      </c>
      <c r="AV7" s="34"/>
      <c r="AW7" s="34"/>
      <c r="AX7" s="34"/>
      <c r="AY7" s="37" t="s">
        <v>25</v>
      </c>
      <c r="AZ7" s="34"/>
      <c r="BA7" s="34"/>
      <c r="BB7" s="34"/>
      <c r="BC7" s="34"/>
      <c r="BD7" s="34"/>
      <c r="BE7" s="39">
        <v>20000.0</v>
      </c>
      <c r="BF7" s="39">
        <v>20000.0</v>
      </c>
      <c r="BG7" s="34"/>
      <c r="BH7" s="34"/>
      <c r="BI7" s="34"/>
      <c r="BJ7" s="39">
        <v>2000.0</v>
      </c>
      <c r="BK7" s="34"/>
      <c r="BL7" s="34"/>
      <c r="BM7" s="34"/>
      <c r="BN7" s="34"/>
      <c r="BO7" s="34" t="s">
        <v>23</v>
      </c>
      <c r="BP7" s="34"/>
      <c r="BQ7" s="34"/>
      <c r="BR7" s="34"/>
      <c r="BS7" s="34"/>
      <c r="BT7" s="34" t="s">
        <v>22</v>
      </c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/>
      <c r="C6" s="34"/>
      <c r="D6" s="33"/>
      <c r="E6" s="34"/>
      <c r="F6" s="37">
        <v>10.0</v>
      </c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9">
        <v>1.0</v>
      </c>
      <c r="AE6" s="34"/>
      <c r="AF6" s="34" t="s">
        <v>37</v>
      </c>
      <c r="AG6" s="34"/>
      <c r="AH6" s="34" t="s">
        <v>38</v>
      </c>
      <c r="AI6" s="34" t="s">
        <v>22</v>
      </c>
      <c r="AJ6" s="34" t="s">
        <v>23</v>
      </c>
      <c r="AK6" s="34" t="s">
        <v>39</v>
      </c>
      <c r="AL6" s="39">
        <v>2000.0</v>
      </c>
      <c r="AM6" s="39">
        <v>2000.0</v>
      </c>
      <c r="AN6" s="34"/>
      <c r="AO6" s="39">
        <v>2000.0</v>
      </c>
      <c r="AP6" s="34"/>
      <c r="AQ6" s="34"/>
      <c r="AR6" s="34"/>
      <c r="AS6" s="34" t="s">
        <v>24</v>
      </c>
      <c r="AT6" s="34" t="s">
        <v>40</v>
      </c>
      <c r="AU6" s="37" t="s">
        <v>25</v>
      </c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ReloadOrderFromBlotter!$4:$4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 t="s">
        <v>22</v>
      </c>
      <c r="C6" s="34"/>
      <c r="D6" s="33"/>
      <c r="E6" s="34"/>
      <c r="F6" s="34"/>
      <c r="G6" s="34"/>
      <c r="H6" s="34"/>
      <c r="I6" s="37" t="s">
        <v>25</v>
      </c>
      <c r="J6" s="36"/>
      <c r="K6" s="34"/>
      <c r="L6" s="37">
        <v>10.0</v>
      </c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CreateDoneAwayOrder2!$4:$4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/>
      <c r="C6" s="34"/>
      <c r="D6" s="35">
        <v>10.0</v>
      </c>
      <c r="E6" s="34"/>
      <c r="F6" s="37">
        <v>10.0</v>
      </c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9">
        <v>1.0</v>
      </c>
      <c r="AE6" s="34"/>
      <c r="AF6" s="34" t="s">
        <v>37</v>
      </c>
      <c r="AG6" s="34"/>
      <c r="AH6" s="34" t="s">
        <v>38</v>
      </c>
      <c r="AI6" s="34" t="s">
        <v>22</v>
      </c>
      <c r="AJ6" s="34" t="s">
        <v>23</v>
      </c>
      <c r="AK6" s="34" t="s">
        <v>39</v>
      </c>
      <c r="AL6" s="39">
        <v>1000.0</v>
      </c>
      <c r="AM6" s="39">
        <v>1000.0</v>
      </c>
      <c r="AN6" s="39">
        <v>100.0</v>
      </c>
      <c r="AO6" s="39">
        <v>1000.0</v>
      </c>
      <c r="AP6" s="34"/>
      <c r="AQ6" s="34"/>
      <c r="AR6" s="39">
        <v>10.0</v>
      </c>
      <c r="AS6" s="34" t="s">
        <v>24</v>
      </c>
      <c r="AT6" s="34" t="s">
        <v>40</v>
      </c>
      <c r="AU6" s="37" t="s">
        <v>25</v>
      </c>
      <c r="AV6" s="39">
        <v>10000.0</v>
      </c>
      <c r="AW6" s="39">
        <v>10000.0</v>
      </c>
      <c r="AX6" s="34"/>
      <c r="AY6" s="39">
        <v>1000.0</v>
      </c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/>
      <c r="C7" s="34"/>
      <c r="D7" s="36">
        <v>10.0</v>
      </c>
      <c r="E7" s="34"/>
      <c r="F7" s="37">
        <v>10.0</v>
      </c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9">
        <v>1.0</v>
      </c>
      <c r="AE7" s="34"/>
      <c r="AF7" s="34" t="s">
        <v>37</v>
      </c>
      <c r="AG7" s="34"/>
      <c r="AH7" s="34" t="s">
        <v>38</v>
      </c>
      <c r="AI7" s="34" t="s">
        <v>22</v>
      </c>
      <c r="AJ7" s="34" t="s">
        <v>23</v>
      </c>
      <c r="AK7" s="34" t="s">
        <v>39</v>
      </c>
      <c r="AL7" s="39">
        <v>2000.0</v>
      </c>
      <c r="AM7" s="39">
        <v>2000.0</v>
      </c>
      <c r="AN7" s="39">
        <v>100.0</v>
      </c>
      <c r="AO7" s="39">
        <v>2000.0</v>
      </c>
      <c r="AP7" s="34"/>
      <c r="AQ7" s="34"/>
      <c r="AR7" s="39">
        <v>10.0</v>
      </c>
      <c r="AS7" s="34" t="s">
        <v>24</v>
      </c>
      <c r="AT7" s="34" t="s">
        <v>40</v>
      </c>
      <c r="AU7" s="37" t="s">
        <v>25</v>
      </c>
      <c r="AV7" s="39">
        <v>20000.0</v>
      </c>
      <c r="AW7" s="39">
        <v>20000.0</v>
      </c>
      <c r="AX7" s="34"/>
      <c r="AY7" s="39">
        <v>2000.0</v>
      </c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/>
      <c r="C8" s="34"/>
      <c r="D8" s="36">
        <v>10.0</v>
      </c>
      <c r="E8" s="34"/>
      <c r="F8" s="37">
        <v>10.0</v>
      </c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9">
        <v>1.0</v>
      </c>
      <c r="AE8" s="34"/>
      <c r="AF8" s="34" t="s">
        <v>37</v>
      </c>
      <c r="AG8" s="34"/>
      <c r="AH8" s="34" t="s">
        <v>38</v>
      </c>
      <c r="AI8" s="34" t="s">
        <v>22</v>
      </c>
      <c r="AJ8" s="34" t="s">
        <v>23</v>
      </c>
      <c r="AK8" s="34" t="s">
        <v>39</v>
      </c>
      <c r="AL8" s="39">
        <v>2000.0</v>
      </c>
      <c r="AM8" s="39">
        <v>2000.0</v>
      </c>
      <c r="AN8" s="39">
        <v>100.0</v>
      </c>
      <c r="AO8" s="39">
        <v>2000.0</v>
      </c>
      <c r="AP8" s="34"/>
      <c r="AQ8" s="34"/>
      <c r="AR8" s="39">
        <v>10.0</v>
      </c>
      <c r="AS8" s="34" t="s">
        <v>24</v>
      </c>
      <c r="AT8" s="34" t="s">
        <v>17</v>
      </c>
      <c r="AU8" s="37" t="s">
        <v>25</v>
      </c>
      <c r="AV8" s="39">
        <v>20000.0</v>
      </c>
      <c r="AW8" s="39">
        <v>20000.0</v>
      </c>
      <c r="AX8" s="34"/>
      <c r="AY8" s="39">
        <v>2000.0</v>
      </c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IFERROR(__xludf.DUMMYFUNCTION("""COMPUTED_VALUE"""),"Unexecuted Qty")</f>
        <v>Unexecuted Qty</v>
      </c>
      <c r="G5" s="28" t="str">
        <f>IFERROR(__xludf.DUMMYFUNCTION("""COMPUTED_VALUE"""),"Status")</f>
        <v>Status</v>
      </c>
      <c r="H5" s="28" t="str">
        <f>IFERROR(__xludf.DUMMYFUNCTION("""COMPUTED_VALUE"""),"Last Shares")</f>
        <v>Last Shares</v>
      </c>
      <c r="I5" s="28" t="str">
        <f>IFERROR(__xludf.DUMMYFUNCTION("""COMPUTED_VALUE"""),"Last Fill Price (Local)")</f>
        <v>Last Fill Price (Local)</v>
      </c>
      <c r="J5" s="28" t="str">
        <f>IFERROR(__xludf.DUMMYFUNCTION("""COMPUTED_VALUE"""),"Avg Fill Price (Local)")</f>
        <v>Avg Fill Price (Local)</v>
      </c>
      <c r="K5" s="28" t="str">
        <f>IFERROR(__xludf.DUMMYFUNCTION("""COMPUTED_VALUE"""),"Broker")</f>
        <v>Broker</v>
      </c>
      <c r="L5" s="28" t="str">
        <f>IFERROR(__xludf.DUMMYFUNCTION("""COMPUTED_VALUE"""),"Account")</f>
        <v>Account</v>
      </c>
      <c r="M5" s="28" t="str">
        <f>IFERROR(__xludf.DUMMYFUNCTION("""COMPUTED_VALUE"""),"Order Type")</f>
        <v>Order Type</v>
      </c>
      <c r="N5" s="28" t="str">
        <f>IFERROR(__xludf.DUMMYFUNCTION("""COMPUTED_VALUE"""),"OrderStatus")</f>
        <v>OrderStatus</v>
      </c>
      <c r="O5" s="28" t="str">
        <f>IFERROR(__xludf.DUMMYFUNCTION("""COMPUTED_VALUE"""),"Avg Fill Price (Base)")</f>
        <v>Avg Fill Price (Base)</v>
      </c>
      <c r="P5" s="28" t="str">
        <f>IFERROR(__xludf.DUMMYFUNCTION("""COMPUTED_VALUE"""),"Limit Price")</f>
        <v>Limit Price</v>
      </c>
      <c r="Q5" s="28" t="str">
        <f>IFERROR(__xludf.DUMMYFUNCTION("""COMPUTED_VALUE"""),"Stop Price")</f>
        <v>Stop Price</v>
      </c>
      <c r="R5" s="28" t="str">
        <f>IFERROR(__xludf.DUMMYFUNCTION("""COMPUTED_VALUE"""),"Actual User")</f>
        <v>Actual User</v>
      </c>
      <c r="S5" s="28" t="str">
        <f>IFERROR(__xludf.DUMMYFUNCTION("""COMPUTED_VALUE"""),"Bloomberg Symbol")</f>
        <v>Bloomberg Symbol</v>
      </c>
      <c r="T5" s="30" t="str">
        <f>IFERROR(__xludf.DUMMYFUNCTION("""COMPUTED_VALUE"""),"Algo")</f>
        <v>Algo</v>
      </c>
      <c r="U5" s="30" t="str">
        <f>IFERROR(__xludf.DUMMYFUNCTION("""COMPUTED_VALUE"""),"Allocation Scheme Name")</f>
        <v>Allocation Scheme Name</v>
      </c>
      <c r="V5" s="30" t="str">
        <f>IFERROR(__xludf.DUMMYFUNCTION("""COMPUTED_VALUE"""),"Allocation Status")</f>
        <v>Allocation Status</v>
      </c>
      <c r="W5" s="30" t="str">
        <f>IFERROR(__xludf.DUMMYFUNCTION("""COMPUTED_VALUE"""),"Asset Class")</f>
        <v>Asset Class</v>
      </c>
      <c r="X5" s="30" t="str">
        <f>IFERROR(__xludf.DUMMYFUNCTION("""COMPUTED_VALUE"""),"FX Conversion Operator")</f>
        <v>FX Conversion Operator</v>
      </c>
      <c r="Y5" s="30" t="str">
        <f>IFERROR(__xludf.DUMMYFUNCTION("""COMPUTED_VALUE"""),"FX Rate")</f>
        <v>FX Rate</v>
      </c>
      <c r="Z5" s="30" t="str">
        <f>IFERROR(__xludf.DUMMYFUNCTION("""COMPUTED_VALUE"""),"Imported File Name")</f>
        <v>Imported File Name</v>
      </c>
      <c r="AA5" s="30" t="str">
        <f>IFERROR(__xludf.DUMMYFUNCTION("""COMPUTED_VALUE"""),"Internal Comments")</f>
        <v>Internal Comments</v>
      </c>
      <c r="AB5" s="30" t="str">
        <f>IFERROR(__xludf.DUMMYFUNCTION("""COMPUTED_VALUE"""),"Peg")</f>
        <v>Peg</v>
      </c>
      <c r="AC5" s="30" t="str">
        <f>IFERROR(__xludf.DUMMYFUNCTION("""COMPUTED_VALUE"""),"Principal Amount (Base)")</f>
        <v>Principal Amount (Base)</v>
      </c>
      <c r="AD5" s="30" t="str">
        <f>IFERROR(__xludf.DUMMYFUNCTION("""COMPUTED_VALUE"""),"Principal Amount (Local)")</f>
        <v>Principal Amount (Local)</v>
      </c>
      <c r="AE5" s="30" t="str">
        <f>IFERROR(__xludf.DUMMYFUNCTION("""COMPUTED_VALUE"""),"Process Date")</f>
        <v>Process Date</v>
      </c>
      <c r="AF5" s="30" t="str">
        <f>IFERROR(__xludf.DUMMYFUNCTION("""COMPUTED_VALUE"""),"Put/Call")</f>
        <v>Put/Call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IFERROR(__xludf.DUMMYFUNCTION("""COMPUTED_VALUE"""),"Source")</f>
        <v>Source</v>
      </c>
      <c r="AI5" s="30" t="str">
        <f>IFERROR(__xludf.DUMMYFUNCTION("""COMPUTED_VALUE"""),"Status (With Rollover)")</f>
        <v>Status (With Rollover)</v>
      </c>
      <c r="AJ5" s="30" t="str">
        <f>IFERROR(__xludf.DUMMYFUNCTION("""COMPUTED_VALUE"""),"Strategy")</f>
        <v>Strategy</v>
      </c>
      <c r="AK5" s="30" t="str">
        <f>IFERROR(__xludf.DUMMYFUNCTION("""COMPUTED_VALUE"""),"Strike Price")</f>
        <v>Strike Price</v>
      </c>
      <c r="AL5" s="30" t="str">
        <f>IFERROR(__xludf.DUMMYFUNCTION("""COMPUTED_VALUE"""),"Trade Attribute 1")</f>
        <v>Trade Attribute 1</v>
      </c>
      <c r="AM5" s="30" t="str">
        <f>IFERROR(__xludf.DUMMYFUNCTION("""COMPUTED_VALUE"""),"Trade Attribute 2")</f>
        <v>Trade Attribute 2</v>
      </c>
      <c r="AN5" s="30" t="str">
        <f>IFERROR(__xludf.DUMMYFUNCTION("""COMPUTED_VALUE"""),"Trade Attribute 3")</f>
        <v>Trade Attribute 3</v>
      </c>
      <c r="AO5" s="30" t="str">
        <f>IFERROR(__xludf.DUMMYFUNCTION("""COMPUTED_VALUE"""),"Trade Attribute 4")</f>
        <v>Trade Attribute 4</v>
      </c>
      <c r="AP5" s="30" t="str">
        <f>IFERROR(__xludf.DUMMYFUNCTION("""COMPUTED_VALUE"""),"Trade Attribute 5")</f>
        <v>Trade Attribute 5</v>
      </c>
      <c r="AQ5" s="30" t="str">
        <f>IFERROR(__xludf.DUMMYFUNCTION("""COMPUTED_VALUE"""),"Trade Attribute 6")</f>
        <v>Trade Attribute 6</v>
      </c>
      <c r="AR5" s="30" t="str">
        <f>IFERROR(__xludf.DUMMYFUNCTION("""COMPUTED_VALUE"""),"Trader")</f>
        <v>Trader</v>
      </c>
      <c r="AS5" s="30" t="str">
        <f>IFERROR(__xludf.DUMMYFUNCTION("""COMPUTED_VALUE"""),"Transaction Time")</f>
        <v>Transaction Time</v>
      </c>
      <c r="AT5" s="30" t="str">
        <f>IFERROR(__xludf.DUMMYFUNCTION("""COMPUTED_VALUE"""),"Underlying Country")</f>
        <v>Underlying Country</v>
      </c>
      <c r="AU5" s="30" t="str">
        <f>IFERROR(__xludf.DUMMYFUNCTION("""COMPUTED_VALUE"""),"Underlying Symbol")</f>
        <v>Underlying Symbol</v>
      </c>
      <c r="AV5" s="30" t="str">
        <f>IFERROR(__xludf.DUMMYFUNCTION("""COMPUTED_VALUE"""),"Venue")</f>
        <v>Venue</v>
      </c>
      <c r="AW5" s="30" t="str">
        <f>IFERROR(__xludf.DUMMYFUNCTION("""COMPUTED_VALUE"""),"Working Qty")</f>
        <v>Working Qty</v>
      </c>
      <c r="AX5" s="30" t="str">
        <f>IFERROR(__xludf.DUMMYFUNCTION("""COMPUTED_VALUE"""),"Client")</f>
        <v>Client</v>
      </c>
      <c r="AY5" s="30" t="str">
        <f>IFERROR(__xludf.DUMMYFUNCTION("""COMPUTED_VALUE"""),"OrderID")</f>
        <v>OrderID</v>
      </c>
      <c r="AZ5" s="30" t="str">
        <f>IFERROR(__xludf.DUMMYFUNCTION("""COMPUTED_VALUE"""),"ParentClOrderID")</f>
        <v>ParentClOrderID</v>
      </c>
      <c r="BA5" s="30" t="str">
        <f>IFERROR(__xludf.DUMMYFUNCTION("""COMPUTED_VALUE"""),"Master Fund")</f>
        <v>Master Fund</v>
      </c>
      <c r="BB5" s="30" t="str">
        <f>IFERROR(__xludf.DUMMYFUNCTION("""COMPUTED_VALUE"""),"Current User")</f>
        <v>Current User</v>
      </c>
      <c r="BC5" s="30" t="str">
        <f>IFERROR(__xludf.DUMMYFUNCTION("""COMPUTED_VALUE"""),"% Completed")</f>
        <v>% Completed</v>
      </c>
      <c r="BD5" s="30" t="str">
        <f>IFERROR(__xludf.DUMMYFUNCTION("""COMPUTED_VALUE"""),"isRowCountCheck")</f>
        <v>isRowCountCheck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 t="s">
        <v>22</v>
      </c>
      <c r="C6" s="34" t="s">
        <v>23</v>
      </c>
      <c r="D6" s="35">
        <v>1000.0</v>
      </c>
      <c r="E6" s="36">
        <v>1000.0</v>
      </c>
      <c r="F6" s="34"/>
      <c r="G6" s="34" t="s">
        <v>39</v>
      </c>
      <c r="H6" s="34"/>
      <c r="I6" s="34"/>
      <c r="J6" s="36">
        <v>10.0</v>
      </c>
      <c r="K6" s="34" t="s">
        <v>24</v>
      </c>
      <c r="L6" s="34" t="s">
        <v>40</v>
      </c>
      <c r="M6" s="37" t="s">
        <v>25</v>
      </c>
      <c r="N6" s="34"/>
      <c r="O6" s="36">
        <v>10.0</v>
      </c>
      <c r="P6" s="37">
        <v>10.0</v>
      </c>
      <c r="Q6" s="34"/>
      <c r="R6" s="34"/>
      <c r="S6" s="34"/>
      <c r="T6" s="34"/>
      <c r="U6" s="34"/>
      <c r="V6" s="34"/>
      <c r="W6" s="34" t="s">
        <v>38</v>
      </c>
      <c r="X6" s="34" t="s">
        <v>37</v>
      </c>
      <c r="Y6" s="39">
        <v>1.0</v>
      </c>
      <c r="Z6" s="34"/>
      <c r="AA6" s="34"/>
      <c r="AB6" s="34"/>
      <c r="AC6" s="39">
        <v>10000.0</v>
      </c>
      <c r="AD6" s="39">
        <v>10000.0</v>
      </c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22</v>
      </c>
      <c r="C7" s="34" t="s">
        <v>23</v>
      </c>
      <c r="D7" s="36">
        <v>2000.0</v>
      </c>
      <c r="E7" s="36">
        <v>2000.0</v>
      </c>
      <c r="F7" s="34"/>
      <c r="G7" s="34" t="s">
        <v>39</v>
      </c>
      <c r="H7" s="34"/>
      <c r="I7" s="34"/>
      <c r="J7" s="36">
        <v>10.0</v>
      </c>
      <c r="K7" s="34" t="s">
        <v>24</v>
      </c>
      <c r="L7" s="34" t="s">
        <v>40</v>
      </c>
      <c r="M7" s="37" t="s">
        <v>25</v>
      </c>
      <c r="N7" s="34"/>
      <c r="O7" s="36">
        <v>10.0</v>
      </c>
      <c r="P7" s="37">
        <v>10.0</v>
      </c>
      <c r="Q7" s="34"/>
      <c r="R7" s="34"/>
      <c r="S7" s="34"/>
      <c r="T7" s="34"/>
      <c r="U7" s="34"/>
      <c r="V7" s="34"/>
      <c r="W7" s="34" t="s">
        <v>38</v>
      </c>
      <c r="X7" s="34" t="s">
        <v>37</v>
      </c>
      <c r="Y7" s="39">
        <v>1.0</v>
      </c>
      <c r="Z7" s="34"/>
      <c r="AA7" s="34"/>
      <c r="AB7" s="34"/>
      <c r="AC7" s="39">
        <v>20000.0</v>
      </c>
      <c r="AD7" s="39">
        <v>20000.0</v>
      </c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 t="s">
        <v>22</v>
      </c>
      <c r="C8" s="34" t="s">
        <v>23</v>
      </c>
      <c r="D8" s="36">
        <v>2000.0</v>
      </c>
      <c r="E8" s="36">
        <v>2000.0</v>
      </c>
      <c r="F8" s="34"/>
      <c r="G8" s="34" t="s">
        <v>39</v>
      </c>
      <c r="H8" s="34"/>
      <c r="I8" s="34"/>
      <c r="J8" s="36">
        <v>10.0</v>
      </c>
      <c r="K8" s="34" t="s">
        <v>24</v>
      </c>
      <c r="L8" s="34" t="s">
        <v>17</v>
      </c>
      <c r="M8" s="37" t="s">
        <v>25</v>
      </c>
      <c r="N8" s="34"/>
      <c r="O8" s="36">
        <v>10.0</v>
      </c>
      <c r="P8" s="37">
        <v>10.0</v>
      </c>
      <c r="Q8" s="34"/>
      <c r="R8" s="34"/>
      <c r="S8" s="34"/>
      <c r="T8" s="34"/>
      <c r="U8" s="34"/>
      <c r="V8" s="34"/>
      <c r="W8" s="34" t="s">
        <v>38</v>
      </c>
      <c r="X8" s="34" t="s">
        <v>37</v>
      </c>
      <c r="Y8" s="39">
        <v>1.0</v>
      </c>
      <c r="Z8" s="34"/>
      <c r="AA8" s="34"/>
      <c r="AB8" s="34"/>
      <c r="AC8" s="39">
        <v>20000.0</v>
      </c>
      <c r="AD8" s="39">
        <v>20000.0</v>
      </c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VerifyWorkingSubs1!$4:$4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