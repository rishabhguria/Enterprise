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6" activeTab="10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DoneAwayOrder" sheetId="6" r:id="rId6"/>
    <sheet name="VerifyOrder" sheetId="7" r:id="rId7"/>
    <sheet name="GetDataAllocation" sheetId="8" r:id="rId8"/>
    <sheet name="CheckUnallocatedGroups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CE7" i="10" l="1"/>
  <c r="CE6" i="10"/>
  <c r="CD7" i="9"/>
  <c r="CD6" i="9"/>
  <c r="N9" i="6"/>
  <c r="N8" i="6"/>
  <c r="N7" i="6"/>
  <c r="N6" i="6"/>
  <c r="FK5" i="11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K4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W5" i="9"/>
  <c r="EO5" i="9"/>
  <c r="EG5" i="9"/>
  <c r="DY5" i="9"/>
  <c r="DQ5" i="9"/>
  <c r="FI5" i="11"/>
  <c r="CW5" i="11"/>
  <c r="AK5" i="11"/>
  <c r="EJ4" i="11"/>
  <c r="BX4" i="11"/>
  <c r="L4" i="11"/>
  <c r="DP5" i="10"/>
  <c r="BD5" i="10"/>
  <c r="EP4" i="10"/>
  <c r="CD4" i="10"/>
  <c r="AP4" i="10"/>
  <c r="J4" i="10"/>
  <c r="EL5" i="9"/>
  <c r="DS5" i="9"/>
  <c r="DA5" i="9"/>
  <c r="CK5" i="9"/>
  <c r="BU5" i="9"/>
  <c r="BE5" i="9"/>
  <c r="AO5" i="9"/>
  <c r="Y5" i="9"/>
  <c r="L5" i="9"/>
  <c r="EV4" i="9"/>
  <c r="EK4" i="9"/>
  <c r="DW4" i="9"/>
  <c r="DK4" i="9"/>
  <c r="CX4" i="9"/>
  <c r="CJ4" i="9"/>
  <c r="BY4" i="9"/>
  <c r="BK4" i="9"/>
  <c r="AZ4" i="9"/>
  <c r="AN4" i="9"/>
  <c r="AD4" i="9"/>
  <c r="T4" i="9"/>
  <c r="H4" i="9"/>
  <c r="EV5" i="8"/>
  <c r="EM5" i="8"/>
  <c r="ED5" i="8"/>
  <c r="DU5" i="8"/>
  <c r="DK5" i="8"/>
  <c r="DB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FA5" i="11"/>
  <c r="CO5" i="11"/>
  <c r="AC5" i="11"/>
  <c r="EB4" i="11"/>
  <c r="BP4" i="11"/>
  <c r="D4" i="11"/>
  <c r="DH5" i="10"/>
  <c r="AV5" i="10"/>
  <c r="EH4" i="10"/>
  <c r="BV4" i="10"/>
  <c r="AM4" i="10"/>
  <c r="G4" i="10"/>
  <c r="EJ5" i="9"/>
  <c r="DN5" i="9"/>
  <c r="CX5" i="9"/>
  <c r="CH5" i="9"/>
  <c r="BR5" i="9"/>
  <c r="BB5" i="9"/>
  <c r="AL5" i="9"/>
  <c r="V5" i="9"/>
  <c r="K5" i="9"/>
  <c r="EU4" i="9"/>
  <c r="EI4" i="9"/>
  <c r="DV4" i="9"/>
  <c r="DH4" i="9"/>
  <c r="CW4" i="9"/>
  <c r="CI4" i="9"/>
  <c r="BW4" i="9"/>
  <c r="BJ4" i="9"/>
  <c r="AY4" i="9"/>
  <c r="AM4" i="9"/>
  <c r="AC4" i="9"/>
  <c r="S4" i="9"/>
  <c r="G4" i="9"/>
  <c r="EU5" i="8"/>
  <c r="EL5" i="8"/>
  <c r="EC5" i="8"/>
  <c r="DS5" i="8"/>
  <c r="DJ5" i="8"/>
  <c r="DA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R5" i="6"/>
  <c r="EJ5" i="6"/>
  <c r="EB5" i="6"/>
  <c r="DT5" i="6"/>
  <c r="DL5" i="6"/>
  <c r="DD5" i="6"/>
  <c r="CV5" i="6"/>
  <c r="CN5" i="6"/>
  <c r="CF5" i="6"/>
  <c r="BX5" i="6"/>
  <c r="BP5" i="6"/>
  <c r="BH5" i="6"/>
  <c r="ES5" i="11"/>
  <c r="CG5" i="11"/>
  <c r="U5" i="11"/>
  <c r="DT4" i="11"/>
  <c r="BH4" i="11"/>
  <c r="CZ5" i="10"/>
  <c r="AN5" i="10"/>
  <c r="DZ4" i="10"/>
  <c r="BN4" i="10"/>
  <c r="AH4" i="10"/>
  <c r="B4" i="10"/>
  <c r="EI5" i="9"/>
  <c r="DL5" i="9"/>
  <c r="CV5" i="9"/>
  <c r="CF5" i="9"/>
  <c r="BP5" i="9"/>
  <c r="AZ5" i="9"/>
  <c r="AJ5" i="9"/>
  <c r="U5" i="9"/>
  <c r="I5" i="9"/>
  <c r="ET4" i="9"/>
  <c r="EF4" i="9"/>
  <c r="DU4" i="9"/>
  <c r="DG4" i="9"/>
  <c r="CU4" i="9"/>
  <c r="CH4" i="9"/>
  <c r="BT4" i="9"/>
  <c r="BI4" i="9"/>
  <c r="AV4" i="9"/>
  <c r="AL4" i="9"/>
  <c r="AB4" i="9"/>
  <c r="P4" i="9"/>
  <c r="F4" i="9"/>
  <c r="ET5" i="8"/>
  <c r="EK5" i="8"/>
  <c r="EA5" i="8"/>
  <c r="DR5" i="8"/>
  <c r="DI5" i="8"/>
  <c r="CZ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Q5" i="6"/>
  <c r="EI5" i="6"/>
  <c r="EA5" i="6"/>
  <c r="DS5" i="6"/>
  <c r="DK5" i="6"/>
  <c r="DC5" i="6"/>
  <c r="EK5" i="11"/>
  <c r="BY5" i="11"/>
  <c r="M5" i="11"/>
  <c r="DL4" i="11"/>
  <c r="AZ4" i="11"/>
  <c r="CR5" i="10"/>
  <c r="AF5" i="10"/>
  <c r="DR4" i="10"/>
  <c r="BK4" i="10"/>
  <c r="AE4" i="10"/>
  <c r="ED5" i="9"/>
  <c r="DK5" i="9"/>
  <c r="CU5" i="9"/>
  <c r="CE5" i="9"/>
  <c r="BO5" i="9"/>
  <c r="AY5" i="9"/>
  <c r="AI5" i="9"/>
  <c r="T5" i="9"/>
  <c r="F5" i="9"/>
  <c r="ES4" i="9"/>
  <c r="EE4" i="9"/>
  <c r="DS4" i="9"/>
  <c r="DF4" i="9"/>
  <c r="CR4" i="9"/>
  <c r="CG4" i="9"/>
  <c r="BS4" i="9"/>
  <c r="BG4" i="9"/>
  <c r="AU4" i="9"/>
  <c r="AK4" i="9"/>
  <c r="AA4" i="9"/>
  <c r="O4" i="9"/>
  <c r="E4" i="9"/>
  <c r="ES5" i="8"/>
  <c r="EI5" i="8"/>
  <c r="DZ5" i="8"/>
  <c r="DQ5" i="8"/>
  <c r="DH5" i="8"/>
  <c r="CY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EC5" i="11"/>
  <c r="BQ5" i="11"/>
  <c r="E5" i="11"/>
  <c r="DD4" i="11"/>
  <c r="AR4" i="11"/>
  <c r="EV5" i="10"/>
  <c r="CJ5" i="10"/>
  <c r="X5" i="10"/>
  <c r="DJ4" i="10"/>
  <c r="BF4" i="10"/>
  <c r="Z4" i="10"/>
  <c r="EB5" i="9"/>
  <c r="DI5" i="9"/>
  <c r="CS5" i="9"/>
  <c r="CC5" i="9"/>
  <c r="BM5" i="9"/>
  <c r="AW5" i="9"/>
  <c r="AG5" i="9"/>
  <c r="S5" i="9"/>
  <c r="E5" i="9"/>
  <c r="EQ4" i="9"/>
  <c r="ED4" i="9"/>
  <c r="DP4" i="9"/>
  <c r="DE4" i="9"/>
  <c r="CQ4" i="9"/>
  <c r="CE4" i="9"/>
  <c r="BR4" i="9"/>
  <c r="BD4" i="9"/>
  <c r="AT4" i="9"/>
  <c r="AJ4" i="9"/>
  <c r="X4" i="9"/>
  <c r="N4" i="9"/>
  <c r="D4" i="9"/>
  <c r="EQ5" i="8"/>
  <c r="EH5" i="8"/>
  <c r="DY5" i="8"/>
  <c r="DP5" i="8"/>
  <c r="DG5" i="8"/>
  <c r="CX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DU5" i="11"/>
  <c r="BI5" i="11"/>
  <c r="FH4" i="11"/>
  <c r="CV4" i="11"/>
  <c r="AJ4" i="11"/>
  <c r="EN5" i="10"/>
  <c r="CB5" i="10"/>
  <c r="P5" i="10"/>
  <c r="DB4" i="10"/>
  <c r="BC4" i="10"/>
  <c r="W4" i="10"/>
  <c r="ET5" i="9"/>
  <c r="EA5" i="9"/>
  <c r="DF5" i="9"/>
  <c r="CP5" i="9"/>
  <c r="BZ5" i="9"/>
  <c r="BJ5" i="9"/>
  <c r="AT5" i="9"/>
  <c r="AD5" i="9"/>
  <c r="Q5" i="9"/>
  <c r="D5" i="9"/>
  <c r="EN4" i="9"/>
  <c r="EC4" i="9"/>
  <c r="DO4" i="9"/>
  <c r="DC4" i="9"/>
  <c r="CP4" i="9"/>
  <c r="CB4" i="9"/>
  <c r="BQ4" i="9"/>
  <c r="BC4" i="9"/>
  <c r="AS4" i="9"/>
  <c r="AI4" i="9"/>
  <c r="W4" i="9"/>
  <c r="M4" i="9"/>
  <c r="C4" i="9"/>
  <c r="EP5" i="8"/>
  <c r="EG5" i="8"/>
  <c r="DX5" i="8"/>
  <c r="DO5" i="8"/>
  <c r="DF5" i="8"/>
  <c r="CW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DM5" i="11"/>
  <c r="BA5" i="11"/>
  <c r="EZ4" i="11"/>
  <c r="CN4" i="11"/>
  <c r="AB4" i="11"/>
  <c r="EF5" i="10"/>
  <c r="BT5" i="10"/>
  <c r="H5" i="10"/>
  <c r="CT4" i="10"/>
  <c r="AX4" i="10"/>
  <c r="R4" i="10"/>
  <c r="ER5" i="9"/>
  <c r="DV5" i="9"/>
  <c r="DD5" i="9"/>
  <c r="CN5" i="9"/>
  <c r="BX5" i="9"/>
  <c r="BH5" i="9"/>
  <c r="AR5" i="9"/>
  <c r="AB5" i="9"/>
  <c r="N5" i="9"/>
  <c r="C5" i="9"/>
  <c r="EM4" i="9"/>
  <c r="EA4" i="9"/>
  <c r="DN4" i="9"/>
  <c r="CZ4" i="9"/>
  <c r="CO4" i="9"/>
  <c r="CA4" i="9"/>
  <c r="BO4" i="9"/>
  <c r="BB4" i="9"/>
  <c r="AR4" i="9"/>
  <c r="AF4" i="9"/>
  <c r="V4" i="9"/>
  <c r="L4" i="9"/>
  <c r="EX5" i="8"/>
  <c r="EO5" i="8"/>
  <c r="EF5" i="8"/>
  <c r="DW5" i="8"/>
  <c r="DN5" i="8"/>
  <c r="DE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DE5" i="11"/>
  <c r="AS5" i="11"/>
  <c r="ER4" i="11"/>
  <c r="CF4" i="11"/>
  <c r="T4" i="11"/>
  <c r="DX5" i="10"/>
  <c r="BL5" i="10"/>
  <c r="EX4" i="10"/>
  <c r="CL4" i="10"/>
  <c r="AU4" i="10"/>
  <c r="O4" i="10"/>
  <c r="EQ5" i="9"/>
  <c r="DT5" i="9"/>
  <c r="DC5" i="9"/>
  <c r="CM5" i="9"/>
  <c r="BW5" i="9"/>
  <c r="BG5" i="9"/>
  <c r="AQ5" i="9"/>
  <c r="AA5" i="9"/>
  <c r="M5" i="9"/>
  <c r="A5" i="9"/>
  <c r="EL4" i="9"/>
  <c r="DX4" i="9"/>
  <c r="DM4" i="9"/>
  <c r="CY4" i="9"/>
  <c r="CM4" i="9"/>
  <c r="BZ4" i="9"/>
  <c r="BL4" i="9"/>
  <c r="BA4" i="9"/>
  <c r="AQ4" i="9"/>
  <c r="AE4" i="9"/>
  <c r="U4" i="9"/>
  <c r="K4" i="9"/>
  <c r="EW5" i="8"/>
  <c r="EN5" i="8"/>
  <c r="EE5" i="8"/>
  <c r="DV5" i="8"/>
  <c r="DM5" i="8"/>
  <c r="DC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T5" i="6"/>
  <c r="EL5" i="6"/>
  <c r="ED5" i="6"/>
  <c r="DV5" i="6"/>
  <c r="DN5" i="6"/>
  <c r="DF5" i="6"/>
  <c r="CX5" i="6"/>
  <c r="CP5" i="6"/>
  <c r="CH5" i="6"/>
  <c r="BZ5" i="6"/>
  <c r="BR5" i="6"/>
  <c r="BJ5" i="6"/>
  <c r="EU5" i="6"/>
  <c r="CQ5" i="6"/>
  <c r="BK5" i="6"/>
  <c r="AR5" i="6"/>
  <c r="AC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EM5" i="6"/>
  <c r="CM5" i="6"/>
  <c r="BG5" i="6"/>
  <c r="AQ5" i="6"/>
  <c r="AB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EE5" i="6"/>
  <c r="CI5" i="6"/>
  <c r="BC5" i="6"/>
  <c r="AM5" i="6"/>
  <c r="AA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DW5" i="6"/>
  <c r="CE5" i="6"/>
  <c r="BB5" i="6"/>
  <c r="AL5" i="6"/>
  <c r="W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DO5" i="6"/>
  <c r="CA5" i="6"/>
  <c r="AZ5" i="6"/>
  <c r="AJ5" i="6"/>
  <c r="V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DG5" i="6"/>
  <c r="BW5" i="6"/>
  <c r="AY5" i="6"/>
  <c r="AI5" i="6"/>
  <c r="U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CY5" i="6"/>
  <c r="BS5" i="6"/>
  <c r="AU5" i="6"/>
  <c r="AE5" i="6"/>
  <c r="T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CU5" i="6"/>
  <c r="BO5" i="6"/>
  <c r="AT5" i="6"/>
  <c r="AD5" i="6"/>
  <c r="S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I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K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J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I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H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G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F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C647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B647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A647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L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G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F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E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D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F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A477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L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J308" i="3"/>
  <c r="I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I308" i="3"/>
  <c r="H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H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E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D308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B308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A308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L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K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H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G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F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I859" i="1"/>
  <c r="E854" i="1"/>
  <c r="A849" i="1"/>
  <c r="A845" i="1"/>
  <c r="E842" i="1"/>
  <c r="I839" i="1"/>
  <c r="A837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A859" i="1"/>
  <c r="I853" i="1"/>
  <c r="E848" i="1"/>
  <c r="K844" i="1"/>
  <c r="C842" i="1"/>
  <c r="G839" i="1"/>
  <c r="K836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E858" i="1"/>
  <c r="A853" i="1"/>
  <c r="I847" i="1"/>
  <c r="E844" i="1"/>
  <c r="I841" i="1"/>
  <c r="A839" i="1"/>
  <c r="E836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I857" i="1"/>
  <c r="E852" i="1"/>
  <c r="A847" i="1"/>
  <c r="C844" i="1"/>
  <c r="G841" i="1"/>
  <c r="K838" i="1"/>
  <c r="C836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A857" i="1"/>
  <c r="I851" i="1"/>
  <c r="E846" i="1"/>
  <c r="I843" i="1"/>
  <c r="A841" i="1"/>
  <c r="E838" i="1"/>
  <c r="K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E856" i="1"/>
  <c r="A851" i="1"/>
  <c r="C846" i="1"/>
  <c r="G843" i="1"/>
  <c r="K840" i="1"/>
  <c r="C838" i="1"/>
  <c r="I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I855" i="1"/>
  <c r="E850" i="1"/>
  <c r="I845" i="1"/>
  <c r="A843" i="1"/>
  <c r="E840" i="1"/>
  <c r="I837" i="1"/>
  <c r="G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A855" i="1"/>
  <c r="I849" i="1"/>
  <c r="G845" i="1"/>
  <c r="K842" i="1"/>
  <c r="C840" i="1"/>
  <c r="G837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C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A670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B500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D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F4" i="1"/>
  <c r="I5" i="1"/>
  <c r="A4" i="1"/>
  <c r="B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E6" i="1"/>
  <c r="A329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5" i="1"/>
  <c r="C4" i="1"/>
  <c r="F7" i="1"/>
  <c r="F5" i="1"/>
  <c r="A6" i="1"/>
  <c r="L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K4" i="1"/>
  <c r="J8" i="1"/>
  <c r="J6" i="1"/>
  <c r="J4" i="1"/>
  <c r="E5" i="1"/>
  <c r="K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B8" i="1"/>
  <c r="B6" i="1"/>
  <c r="B4" i="1"/>
  <c r="J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I4" i="1"/>
  <c r="I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5" i="1"/>
  <c r="G4" i="1"/>
  <c r="B5" i="1"/>
  <c r="A7" i="1"/>
  <c r="E4" i="1"/>
  <c r="H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C5" i="1"/>
  <c r="J5" i="1"/>
  <c r="I7" i="1"/>
  <c r="A5" i="1"/>
  <c r="J2" i="9" l="1"/>
  <c r="J2" i="10"/>
  <c r="J2" i="11"/>
  <c r="J2" i="8"/>
  <c r="J2" i="7"/>
  <c r="J2" i="6"/>
  <c r="J2" i="4"/>
  <c r="J2" i="5"/>
</calcChain>
</file>

<file path=xl/sharedStrings.xml><?xml version="1.0" encoding="utf-8"?>
<sst xmlns="http://schemas.openxmlformats.org/spreadsheetml/2006/main" count="206" uniqueCount="46">
  <si>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</si>
  <si>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</si>
  <si>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</si>
  <si>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</si>
  <si>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</si>
  <si>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</si>
  <si>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</si>
  <si>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</si>
  <si>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</si>
  <si>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</si>
  <si>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</si>
  <si>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</si>
  <si>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</si>
  <si>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</si>
  <si>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</si>
  <si>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</si>
  <si>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</si>
  <si>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</si>
  <si>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NewMF1</t>
  </si>
  <si>
    <t>CreateDoneAwayOrder</t>
  </si>
  <si>
    <t>MSFT</t>
  </si>
  <si>
    <t>Buy</t>
  </si>
  <si>
    <t>Allocation2</t>
  </si>
  <si>
    <t>MS</t>
  </si>
  <si>
    <t>AAPL</t>
  </si>
  <si>
    <t>Allocation4</t>
  </si>
  <si>
    <t>Unallocated</t>
  </si>
  <si>
    <t>Blotter</t>
  </si>
  <si>
    <t>VerifyOrder</t>
  </si>
  <si>
    <t>US</t>
  </si>
  <si>
    <t>TradingAccount-2</t>
  </si>
  <si>
    <t>Equity</t>
  </si>
  <si>
    <t>Filled</t>
  </si>
  <si>
    <t>Market</t>
  </si>
  <si>
    <t>GetDataAllocation</t>
  </si>
  <si>
    <t>Current</t>
  </si>
  <si>
    <t>CheckUnallocatedGroups</t>
  </si>
  <si>
    <t>Open</t>
  </si>
  <si>
    <t>MICROSOFT INC</t>
  </si>
  <si>
    <t>USD</t>
  </si>
  <si>
    <t>M</t>
  </si>
  <si>
    <t>APPLE</t>
  </si>
  <si>
    <t>CheckAllocatedGroups</t>
  </si>
  <si>
    <t>PortfolioManagement</t>
  </si>
  <si>
    <t>CheckPortfolioManagement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</si>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</sst>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13" fillId="0" borderId="0" xfId="0" applyFont="1" applyAlignment="1"/>
    <xf numFmtId="0" fontId="13" fillId="0" borderId="5" xfId="0" applyFont="1" applyBorder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8" t="s">
        <v>0</v>
      </c>
      <c r="B1" s="49"/>
      <c r="C1" s="49"/>
      <c r="D1" s="49"/>
      <c r="E1" s="49"/>
      <c r="F1" s="5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20</v>
      </c>
      <c r="C6" s="28" t="s">
        <v>21</v>
      </c>
      <c r="D6" s="29">
        <v>1000</v>
      </c>
      <c r="E6" s="30">
        <v>1000</v>
      </c>
      <c r="F6" s="31" t="s">
        <v>22</v>
      </c>
      <c r="G6" s="28" t="s">
        <v>23</v>
      </c>
      <c r="H6" s="28"/>
      <c r="I6" s="28"/>
      <c r="J6" s="30">
        <v>120</v>
      </c>
      <c r="K6" s="28"/>
      <c r="L6" s="28"/>
      <c r="M6" s="28"/>
      <c r="N6" s="32">
        <f t="shared" ref="N6:N9" ca="1" si="0">TODAY()</f>
        <v>44412</v>
      </c>
      <c r="O6" s="28"/>
      <c r="P6" s="28"/>
      <c r="Q6" s="28"/>
      <c r="R6" s="28"/>
      <c r="S6" s="2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 t="s">
        <v>24</v>
      </c>
      <c r="C7" s="33" t="s">
        <v>21</v>
      </c>
      <c r="D7" s="34">
        <v>1000</v>
      </c>
      <c r="E7" s="34">
        <v>1000</v>
      </c>
      <c r="F7" s="35" t="s">
        <v>25</v>
      </c>
      <c r="G7" s="33" t="s">
        <v>23</v>
      </c>
      <c r="H7" s="33"/>
      <c r="I7" s="33"/>
      <c r="J7" s="34">
        <v>130</v>
      </c>
      <c r="K7" s="33"/>
      <c r="L7" s="33"/>
      <c r="M7" s="33"/>
      <c r="N7" s="36">
        <f t="shared" ca="1" si="0"/>
        <v>44412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 t="s">
        <v>20</v>
      </c>
      <c r="C8" s="33" t="s">
        <v>21</v>
      </c>
      <c r="D8" s="34">
        <v>1000</v>
      </c>
      <c r="E8" s="34">
        <v>1000</v>
      </c>
      <c r="F8" s="33" t="s">
        <v>26</v>
      </c>
      <c r="G8" s="33" t="s">
        <v>23</v>
      </c>
      <c r="H8" s="33"/>
      <c r="I8" s="33"/>
      <c r="J8" s="34">
        <v>120</v>
      </c>
      <c r="K8" s="33"/>
      <c r="L8" s="33"/>
      <c r="M8" s="33"/>
      <c r="N8" s="36">
        <f t="shared" ca="1" si="0"/>
        <v>44412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 t="s">
        <v>24</v>
      </c>
      <c r="C9" s="33" t="s">
        <v>21</v>
      </c>
      <c r="D9" s="34">
        <v>1000</v>
      </c>
      <c r="E9" s="34">
        <v>1000</v>
      </c>
      <c r="F9" s="33" t="s">
        <v>26</v>
      </c>
      <c r="G9" s="33" t="s">
        <v>23</v>
      </c>
      <c r="H9" s="33"/>
      <c r="I9" s="33"/>
      <c r="J9" s="34">
        <v>130</v>
      </c>
      <c r="K9" s="33"/>
      <c r="L9" s="33"/>
      <c r="M9" s="33"/>
      <c r="N9" s="36">
        <f t="shared" ca="1" si="0"/>
        <v>44412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/>
      <c r="C6" s="28"/>
      <c r="D6" s="29">
        <v>120</v>
      </c>
      <c r="E6" s="28"/>
      <c r="F6" s="28"/>
      <c r="G6" s="30"/>
      <c r="H6" s="28"/>
      <c r="I6" s="28"/>
      <c r="J6" s="28" t="s">
        <v>20</v>
      </c>
      <c r="K6" s="28" t="s">
        <v>29</v>
      </c>
      <c r="L6" s="31" t="s">
        <v>30</v>
      </c>
      <c r="M6" s="28"/>
      <c r="N6" s="28"/>
      <c r="O6" s="28"/>
      <c r="P6" s="28"/>
      <c r="Q6" s="28"/>
      <c r="R6" s="28"/>
      <c r="S6" s="28"/>
      <c r="T6" s="33"/>
      <c r="U6" s="33"/>
      <c r="V6" s="33"/>
      <c r="W6" s="33"/>
      <c r="X6" s="33"/>
      <c r="Y6" s="33"/>
      <c r="Z6" s="33"/>
      <c r="AA6" s="35" t="s">
        <v>18</v>
      </c>
      <c r="AB6" s="33"/>
      <c r="AC6" s="33"/>
      <c r="AD6" s="37">
        <v>1</v>
      </c>
      <c r="AE6" s="33"/>
      <c r="AF6" s="33"/>
      <c r="AG6" s="33"/>
      <c r="AH6" s="33" t="s">
        <v>31</v>
      </c>
      <c r="AI6" s="33" t="s">
        <v>20</v>
      </c>
      <c r="AJ6" s="33" t="s">
        <v>21</v>
      </c>
      <c r="AK6" s="33" t="s">
        <v>32</v>
      </c>
      <c r="AL6" s="37">
        <v>1000</v>
      </c>
      <c r="AM6" s="37">
        <v>1000</v>
      </c>
      <c r="AN6" s="37">
        <v>100</v>
      </c>
      <c r="AO6" s="33"/>
      <c r="AP6" s="33"/>
      <c r="AQ6" s="37">
        <v>120</v>
      </c>
      <c r="AR6" s="37">
        <v>120</v>
      </c>
      <c r="AS6" s="33" t="s">
        <v>23</v>
      </c>
      <c r="AT6" s="35" t="s">
        <v>22</v>
      </c>
      <c r="AU6" s="33" t="s">
        <v>33</v>
      </c>
      <c r="AV6" s="38">
        <v>120000</v>
      </c>
      <c r="AW6" s="38">
        <v>120000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34">
        <v>130</v>
      </c>
      <c r="E7" s="33"/>
      <c r="F7" s="33"/>
      <c r="G7" s="34"/>
      <c r="H7" s="33"/>
      <c r="I7" s="33"/>
      <c r="J7" s="33" t="s">
        <v>24</v>
      </c>
      <c r="K7" s="33" t="s">
        <v>29</v>
      </c>
      <c r="L7" s="31" t="s">
        <v>30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5" t="s">
        <v>18</v>
      </c>
      <c r="AB7" s="33"/>
      <c r="AC7" s="33"/>
      <c r="AD7" s="37">
        <v>1</v>
      </c>
      <c r="AE7" s="33"/>
      <c r="AF7" s="33"/>
      <c r="AG7" s="33"/>
      <c r="AH7" s="33" t="s">
        <v>31</v>
      </c>
      <c r="AI7" s="33" t="s">
        <v>24</v>
      </c>
      <c r="AJ7" s="33" t="s">
        <v>21</v>
      </c>
      <c r="AK7" s="33" t="s">
        <v>32</v>
      </c>
      <c r="AL7" s="37">
        <v>1000</v>
      </c>
      <c r="AM7" s="37">
        <v>1000</v>
      </c>
      <c r="AN7" s="37">
        <v>100</v>
      </c>
      <c r="AO7" s="33"/>
      <c r="AP7" s="33"/>
      <c r="AQ7" s="37">
        <v>130</v>
      </c>
      <c r="AR7" s="37">
        <v>130</v>
      </c>
      <c r="AS7" s="33" t="s">
        <v>23</v>
      </c>
      <c r="AT7" s="35" t="s">
        <v>25</v>
      </c>
      <c r="AU7" s="33" t="s">
        <v>33</v>
      </c>
      <c r="AV7" s="38">
        <v>130000</v>
      </c>
      <c r="AW7" s="38">
        <v>130000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4">
        <v>120</v>
      </c>
      <c r="E8" s="33"/>
      <c r="F8" s="33"/>
      <c r="G8" s="34"/>
      <c r="H8" s="33"/>
      <c r="I8" s="33"/>
      <c r="J8" s="33" t="s">
        <v>20</v>
      </c>
      <c r="K8" s="33" t="s">
        <v>29</v>
      </c>
      <c r="L8" s="31" t="s">
        <v>30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5" t="s">
        <v>18</v>
      </c>
      <c r="AB8" s="33"/>
      <c r="AC8" s="33"/>
      <c r="AD8" s="37">
        <v>1</v>
      </c>
      <c r="AE8" s="33"/>
      <c r="AF8" s="33"/>
      <c r="AG8" s="33"/>
      <c r="AH8" s="33" t="s">
        <v>31</v>
      </c>
      <c r="AI8" s="33" t="s">
        <v>20</v>
      </c>
      <c r="AJ8" s="33" t="s">
        <v>21</v>
      </c>
      <c r="AK8" s="33" t="s">
        <v>32</v>
      </c>
      <c r="AL8" s="37">
        <v>1000</v>
      </c>
      <c r="AM8" s="37">
        <v>1000</v>
      </c>
      <c r="AN8" s="37">
        <v>100</v>
      </c>
      <c r="AO8" s="33"/>
      <c r="AP8" s="33"/>
      <c r="AQ8" s="37">
        <v>120</v>
      </c>
      <c r="AR8" s="37">
        <v>120</v>
      </c>
      <c r="AS8" s="33" t="s">
        <v>23</v>
      </c>
      <c r="AT8" s="33"/>
      <c r="AU8" s="33" t="s">
        <v>33</v>
      </c>
      <c r="AV8" s="38">
        <v>120000</v>
      </c>
      <c r="AW8" s="38">
        <v>120000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/>
      <c r="C9" s="33"/>
      <c r="D9" s="34">
        <v>130</v>
      </c>
      <c r="E9" s="33"/>
      <c r="F9" s="33"/>
      <c r="G9" s="34"/>
      <c r="H9" s="33"/>
      <c r="I9" s="33"/>
      <c r="J9" s="33" t="s">
        <v>24</v>
      </c>
      <c r="K9" s="33" t="s">
        <v>29</v>
      </c>
      <c r="L9" s="31" t="s">
        <v>30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5" t="s">
        <v>18</v>
      </c>
      <c r="AB9" s="33"/>
      <c r="AC9" s="33"/>
      <c r="AD9" s="37">
        <v>1</v>
      </c>
      <c r="AE9" s="33"/>
      <c r="AF9" s="33"/>
      <c r="AG9" s="33"/>
      <c r="AH9" s="33" t="s">
        <v>31</v>
      </c>
      <c r="AI9" s="33" t="s">
        <v>24</v>
      </c>
      <c r="AJ9" s="33" t="s">
        <v>21</v>
      </c>
      <c r="AK9" s="33" t="s">
        <v>32</v>
      </c>
      <c r="AL9" s="37">
        <v>1000</v>
      </c>
      <c r="AM9" s="37">
        <v>1000</v>
      </c>
      <c r="AN9" s="37">
        <v>100</v>
      </c>
      <c r="AO9" s="33"/>
      <c r="AP9" s="33"/>
      <c r="AQ9" s="37">
        <v>130</v>
      </c>
      <c r="AR9" s="37">
        <v>130</v>
      </c>
      <c r="AS9" s="33" t="s">
        <v>23</v>
      </c>
      <c r="AT9" s="33"/>
      <c r="AU9" s="33" t="s">
        <v>33</v>
      </c>
      <c r="AV9" s="38">
        <v>130000</v>
      </c>
      <c r="AW9" s="38">
        <v>130000</v>
      </c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82" width="14.42578125" customWidth="1"/>
    <col min="83" max="83" width="19.140625" customWidth="1"/>
    <col min="84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/>
      <c r="C6" s="28"/>
      <c r="D6" s="39"/>
      <c r="E6" s="28"/>
      <c r="F6" s="28" t="s">
        <v>31</v>
      </c>
      <c r="G6" s="39">
        <v>4</v>
      </c>
      <c r="H6" s="39">
        <v>5</v>
      </c>
      <c r="I6" s="28"/>
      <c r="J6" s="39">
        <v>120</v>
      </c>
      <c r="K6" s="39">
        <v>120</v>
      </c>
      <c r="L6" s="28"/>
      <c r="M6" s="28"/>
      <c r="N6" s="28" t="s">
        <v>23</v>
      </c>
      <c r="O6" s="28"/>
      <c r="P6" s="28"/>
      <c r="R6" s="28"/>
      <c r="S6" s="40" t="s">
        <v>37</v>
      </c>
      <c r="V6" s="41" t="s">
        <v>38</v>
      </c>
      <c r="W6" s="33"/>
      <c r="X6" s="33"/>
      <c r="Y6" s="33"/>
      <c r="Z6" s="41" t="s">
        <v>39</v>
      </c>
      <c r="AA6" s="33"/>
      <c r="AB6" s="33"/>
      <c r="AC6" s="33"/>
      <c r="AD6" s="33"/>
      <c r="AE6" s="42">
        <v>1000</v>
      </c>
      <c r="AF6" s="33"/>
      <c r="AG6" s="41" t="s">
        <v>40</v>
      </c>
      <c r="AH6" s="42">
        <v>1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120014.0672</v>
      </c>
      <c r="AU6" s="42">
        <v>120014.0672</v>
      </c>
      <c r="AV6" s="33"/>
      <c r="AW6" s="33"/>
      <c r="AX6" s="33"/>
      <c r="AY6" s="41" t="s">
        <v>33</v>
      </c>
      <c r="AZ6" s="33"/>
      <c r="BA6" s="33"/>
      <c r="BB6" s="33"/>
      <c r="BC6" s="33"/>
      <c r="BD6" s="33"/>
      <c r="BE6" s="42">
        <v>120000</v>
      </c>
      <c r="BF6" s="42">
        <v>120000</v>
      </c>
      <c r="BG6" s="33"/>
      <c r="BH6" s="33"/>
      <c r="BI6" s="33"/>
      <c r="BJ6" s="42">
        <v>1000</v>
      </c>
      <c r="BK6" s="33"/>
      <c r="BL6" s="33"/>
      <c r="BM6" s="33"/>
      <c r="BN6" s="33"/>
      <c r="BO6" s="41" t="s">
        <v>21</v>
      </c>
      <c r="BP6" s="33"/>
      <c r="BQ6" s="33"/>
      <c r="BR6" s="33"/>
      <c r="BS6" s="41" t="s">
        <v>20</v>
      </c>
      <c r="BT6" s="42">
        <v>3</v>
      </c>
      <c r="BV6" s="42">
        <v>14.0672</v>
      </c>
      <c r="BX6" s="33"/>
      <c r="BY6" s="33"/>
      <c r="BZ6" s="33"/>
      <c r="CA6" s="33"/>
      <c r="CB6" s="33"/>
      <c r="CC6" s="33"/>
      <c r="CD6" s="43">
        <f t="shared" ref="CD6:CD7" ca="1" si="0">TODAY()</f>
        <v>44412</v>
      </c>
      <c r="CE6" s="44" t="s">
        <v>30</v>
      </c>
      <c r="CF6" s="42">
        <v>2</v>
      </c>
      <c r="CG6" s="41" t="s">
        <v>16</v>
      </c>
      <c r="CH6" s="41" t="s">
        <v>21</v>
      </c>
      <c r="CI6" s="33"/>
      <c r="CJ6" s="33"/>
      <c r="CK6" s="33"/>
      <c r="CL6" s="33"/>
      <c r="CM6" s="33"/>
      <c r="CN6" s="33"/>
      <c r="CO6" s="33"/>
      <c r="CP6" s="33"/>
      <c r="CQ6" s="35" t="s">
        <v>18</v>
      </c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42"/>
      <c r="E7" s="33"/>
      <c r="F7" s="33" t="s">
        <v>31</v>
      </c>
      <c r="G7" s="42">
        <v>4</v>
      </c>
      <c r="H7" s="42">
        <v>5</v>
      </c>
      <c r="I7" s="33"/>
      <c r="J7" s="42">
        <v>130</v>
      </c>
      <c r="K7" s="42">
        <v>130</v>
      </c>
      <c r="L7" s="33"/>
      <c r="M7" s="33"/>
      <c r="N7" s="33" t="s">
        <v>23</v>
      </c>
      <c r="O7" s="33"/>
      <c r="P7" s="33"/>
      <c r="R7" s="33"/>
      <c r="S7" s="41" t="s">
        <v>37</v>
      </c>
      <c r="V7" s="41" t="s">
        <v>41</v>
      </c>
      <c r="W7" s="33"/>
      <c r="X7" s="33"/>
      <c r="Y7" s="33"/>
      <c r="Z7" s="41" t="s">
        <v>39</v>
      </c>
      <c r="AA7" s="33"/>
      <c r="AB7" s="33"/>
      <c r="AC7" s="33"/>
      <c r="AD7" s="33"/>
      <c r="AE7" s="42">
        <v>1000</v>
      </c>
      <c r="AF7" s="33"/>
      <c r="AG7" s="41" t="s">
        <v>40</v>
      </c>
      <c r="AH7" s="42">
        <v>1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2">
        <v>130014.07279999999</v>
      </c>
      <c r="AU7" s="42">
        <v>130014.07279999999</v>
      </c>
      <c r="AV7" s="33"/>
      <c r="AW7" s="33"/>
      <c r="AX7" s="33"/>
      <c r="AY7" s="41" t="s">
        <v>33</v>
      </c>
      <c r="AZ7" s="33"/>
      <c r="BA7" s="33"/>
      <c r="BB7" s="33"/>
      <c r="BC7" s="33"/>
      <c r="BD7" s="33"/>
      <c r="BE7" s="42">
        <v>130000</v>
      </c>
      <c r="BF7" s="42">
        <v>130000</v>
      </c>
      <c r="BG7" s="33"/>
      <c r="BH7" s="33"/>
      <c r="BI7" s="33"/>
      <c r="BJ7" s="42">
        <v>1000</v>
      </c>
      <c r="BK7" s="33"/>
      <c r="BL7" s="33"/>
      <c r="BM7" s="33"/>
      <c r="BN7" s="33"/>
      <c r="BO7" s="41" t="s">
        <v>21</v>
      </c>
      <c r="BP7" s="33"/>
      <c r="BQ7" s="33"/>
      <c r="BR7" s="33"/>
      <c r="BS7" s="41" t="s">
        <v>24</v>
      </c>
      <c r="BT7" s="42">
        <v>3</v>
      </c>
      <c r="BV7" s="42">
        <v>14.072800000000001</v>
      </c>
      <c r="BX7" s="33"/>
      <c r="BY7" s="33"/>
      <c r="BZ7" s="33"/>
      <c r="CA7" s="33"/>
      <c r="CB7" s="33"/>
      <c r="CC7" s="33"/>
      <c r="CD7" s="43">
        <f t="shared" ca="1" si="0"/>
        <v>44412</v>
      </c>
      <c r="CE7" s="44" t="s">
        <v>30</v>
      </c>
      <c r="CF7" s="42">
        <v>2</v>
      </c>
      <c r="CG7" s="41" t="s">
        <v>16</v>
      </c>
      <c r="CH7" s="41" t="s">
        <v>21</v>
      </c>
      <c r="CI7" s="33"/>
      <c r="CJ7" s="33"/>
      <c r="CK7" s="33"/>
      <c r="CL7" s="33"/>
      <c r="CM7" s="33"/>
      <c r="CN7" s="33"/>
      <c r="CO7" s="33"/>
      <c r="CP7" s="33"/>
      <c r="CQ7" s="35" t="s">
        <v>18</v>
      </c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83" width="14.42578125" customWidth="1"/>
    <col min="84" max="84" width="16.5703125" customWidth="1"/>
    <col min="85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45" t="s">
        <v>22</v>
      </c>
      <c r="C6" s="28"/>
      <c r="D6" s="27"/>
      <c r="E6" s="39">
        <v>1000</v>
      </c>
      <c r="F6" s="28"/>
      <c r="G6" s="40" t="s">
        <v>31</v>
      </c>
      <c r="H6" s="39">
        <v>4</v>
      </c>
      <c r="I6" s="39">
        <v>5</v>
      </c>
      <c r="J6" s="28"/>
      <c r="K6" s="39">
        <v>120</v>
      </c>
      <c r="L6" s="39">
        <v>120</v>
      </c>
      <c r="M6" s="28"/>
      <c r="N6" s="28"/>
      <c r="O6" s="40" t="s">
        <v>23</v>
      </c>
      <c r="P6" s="28"/>
      <c r="Q6" s="28"/>
      <c r="R6" s="28"/>
      <c r="S6" s="2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2">
        <v>1000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120014.0672</v>
      </c>
      <c r="AU6" s="42">
        <v>120014.0672</v>
      </c>
      <c r="AV6" s="33"/>
      <c r="AW6" s="33"/>
      <c r="AX6" s="33"/>
      <c r="AY6" s="33" t="s">
        <v>33</v>
      </c>
      <c r="AZ6" s="33"/>
      <c r="BA6" s="33"/>
      <c r="BB6" s="33"/>
      <c r="BC6" s="33"/>
      <c r="BD6" s="33"/>
      <c r="BE6" s="42">
        <v>120000</v>
      </c>
      <c r="BF6" s="42">
        <v>120000</v>
      </c>
      <c r="BG6" s="33"/>
      <c r="BH6" s="33"/>
      <c r="BI6" s="33"/>
      <c r="BJ6" s="37">
        <v>1000</v>
      </c>
      <c r="BK6" s="33"/>
      <c r="BL6" s="33"/>
      <c r="BM6" s="33"/>
      <c r="BN6" s="33"/>
      <c r="BO6" s="41" t="s">
        <v>21</v>
      </c>
      <c r="BP6" s="33"/>
      <c r="BQ6" s="33"/>
      <c r="BR6" s="33"/>
      <c r="BS6" s="33"/>
      <c r="BT6" s="41" t="s">
        <v>20</v>
      </c>
      <c r="BU6" s="42">
        <v>3</v>
      </c>
      <c r="BV6" s="37">
        <v>0</v>
      </c>
      <c r="BW6" s="42">
        <v>14.0672</v>
      </c>
      <c r="BX6" s="37">
        <v>0</v>
      </c>
      <c r="BY6" s="33"/>
      <c r="BZ6" s="33"/>
      <c r="CA6" s="33"/>
      <c r="CB6" s="33"/>
      <c r="CC6" s="33"/>
      <c r="CD6" s="33"/>
      <c r="CE6" s="43">
        <f t="shared" ref="CE6:CE7" ca="1" si="0">TODAY()</f>
        <v>44412</v>
      </c>
      <c r="CF6" s="44" t="s">
        <v>30</v>
      </c>
      <c r="CG6" s="42">
        <v>2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44" t="s">
        <v>25</v>
      </c>
      <c r="C7" s="33"/>
      <c r="D7" s="33"/>
      <c r="E7" s="42">
        <v>1000</v>
      </c>
      <c r="F7" s="33"/>
      <c r="G7" s="41" t="s">
        <v>31</v>
      </c>
      <c r="H7" s="42">
        <v>4</v>
      </c>
      <c r="I7" s="42">
        <v>5</v>
      </c>
      <c r="J7" s="33"/>
      <c r="K7" s="42">
        <v>130</v>
      </c>
      <c r="L7" s="42">
        <v>130</v>
      </c>
      <c r="M7" s="33"/>
      <c r="N7" s="33"/>
      <c r="O7" s="41" t="s">
        <v>23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2">
        <v>1000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2">
        <v>130014.07279999999</v>
      </c>
      <c r="AU7" s="42">
        <v>130014.07279999999</v>
      </c>
      <c r="AV7" s="33"/>
      <c r="AW7" s="33"/>
      <c r="AX7" s="33"/>
      <c r="AY7" s="33" t="s">
        <v>33</v>
      </c>
      <c r="AZ7" s="33"/>
      <c r="BA7" s="33"/>
      <c r="BB7" s="33"/>
      <c r="BC7" s="33"/>
      <c r="BD7" s="33"/>
      <c r="BE7" s="42">
        <v>130000</v>
      </c>
      <c r="BF7" s="42">
        <v>130000</v>
      </c>
      <c r="BG7" s="33"/>
      <c r="BH7" s="33"/>
      <c r="BI7" s="33"/>
      <c r="BJ7" s="37">
        <v>1000</v>
      </c>
      <c r="BK7" s="33"/>
      <c r="BL7" s="33"/>
      <c r="BM7" s="33"/>
      <c r="BN7" s="33"/>
      <c r="BO7" s="41" t="s">
        <v>21</v>
      </c>
      <c r="BP7" s="33"/>
      <c r="BQ7" s="33"/>
      <c r="BR7" s="33"/>
      <c r="BS7" s="33"/>
      <c r="BT7" s="41" t="s">
        <v>24</v>
      </c>
      <c r="BU7" s="42">
        <v>3</v>
      </c>
      <c r="BV7" s="37">
        <v>0</v>
      </c>
      <c r="BW7" s="42">
        <v>14.072800000000001</v>
      </c>
      <c r="BX7" s="37">
        <v>0</v>
      </c>
      <c r="BY7" s="33"/>
      <c r="BZ7" s="33"/>
      <c r="CA7" s="33"/>
      <c r="CB7" s="33"/>
      <c r="CC7" s="33"/>
      <c r="CD7" s="33"/>
      <c r="CE7" s="43">
        <f t="shared" ca="1" si="0"/>
        <v>44412</v>
      </c>
      <c r="CF7" s="44" t="s">
        <v>30</v>
      </c>
      <c r="CG7" s="42">
        <v>2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45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26"/>
      <c r="B6" s="32"/>
      <c r="C6" s="28" t="s">
        <v>20</v>
      </c>
      <c r="D6" s="46">
        <v>1000</v>
      </c>
      <c r="E6" s="31" t="s">
        <v>22</v>
      </c>
      <c r="F6" s="31" t="s">
        <v>18</v>
      </c>
      <c r="G6" s="46">
        <v>120</v>
      </c>
      <c r="H6" s="28"/>
      <c r="I6" s="28"/>
      <c r="J6" s="28"/>
      <c r="K6" s="46"/>
      <c r="L6" s="28"/>
      <c r="M6" s="28"/>
      <c r="N6" s="28"/>
      <c r="O6" s="40" t="s">
        <v>38</v>
      </c>
      <c r="P6" s="28"/>
      <c r="Q6" s="28"/>
      <c r="R6" s="28"/>
      <c r="S6" s="28"/>
      <c r="T6" s="41" t="s">
        <v>31</v>
      </c>
      <c r="U6" s="41" t="s">
        <v>29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21</v>
      </c>
      <c r="AO6" s="33"/>
      <c r="AP6" s="33"/>
      <c r="AQ6" s="41" t="s">
        <v>20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 t="s">
        <v>23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44" t="s">
        <v>18</v>
      </c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</row>
    <row r="7" spans="1:167" ht="15.75" customHeight="1">
      <c r="A7" s="33"/>
      <c r="B7" s="36"/>
      <c r="C7" s="33" t="s">
        <v>24</v>
      </c>
      <c r="D7" s="47">
        <v>1000</v>
      </c>
      <c r="E7" s="35" t="s">
        <v>25</v>
      </c>
      <c r="F7" s="35" t="s">
        <v>18</v>
      </c>
      <c r="G7" s="47">
        <v>130</v>
      </c>
      <c r="H7" s="33"/>
      <c r="I7" s="33"/>
      <c r="J7" s="33"/>
      <c r="K7" s="47"/>
      <c r="L7" s="33"/>
      <c r="M7" s="33"/>
      <c r="N7" s="33"/>
      <c r="O7" s="41" t="s">
        <v>41</v>
      </c>
      <c r="P7" s="33"/>
      <c r="Q7" s="33"/>
      <c r="R7" s="33"/>
      <c r="S7" s="33"/>
      <c r="T7" s="41" t="s">
        <v>31</v>
      </c>
      <c r="U7" s="41" t="s">
        <v>29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21</v>
      </c>
      <c r="AO7" s="33"/>
      <c r="AP7" s="33"/>
      <c r="AQ7" s="41" t="s">
        <v>24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 t="s">
        <v>23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44" t="s">
        <v>18</v>
      </c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</row>
    <row r="8" spans="1:167" ht="15.75" customHeight="1">
      <c r="A8" s="33"/>
      <c r="B8" s="36"/>
      <c r="C8" s="33" t="s">
        <v>20</v>
      </c>
      <c r="D8" s="47">
        <v>1000</v>
      </c>
      <c r="E8" s="33"/>
      <c r="F8" s="35" t="s">
        <v>18</v>
      </c>
      <c r="G8" s="47">
        <v>120</v>
      </c>
      <c r="H8" s="33"/>
      <c r="I8" s="33"/>
      <c r="J8" s="33"/>
      <c r="K8" s="47"/>
      <c r="L8" s="33"/>
      <c r="M8" s="33"/>
      <c r="N8" s="33"/>
      <c r="O8" s="41" t="s">
        <v>38</v>
      </c>
      <c r="P8" s="33"/>
      <c r="Q8" s="33"/>
      <c r="R8" s="33"/>
      <c r="S8" s="33"/>
      <c r="T8" s="41" t="s">
        <v>31</v>
      </c>
      <c r="U8" s="41" t="s">
        <v>29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21</v>
      </c>
      <c r="AO8" s="33"/>
      <c r="AP8" s="33"/>
      <c r="AQ8" s="41" t="s">
        <v>20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 t="s">
        <v>23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44" t="s">
        <v>18</v>
      </c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</row>
    <row r="9" spans="1:167" ht="15.75" customHeight="1">
      <c r="A9" s="33"/>
      <c r="B9" s="36"/>
      <c r="C9" s="33" t="s">
        <v>24</v>
      </c>
      <c r="D9" s="47">
        <v>1000</v>
      </c>
      <c r="E9" s="33"/>
      <c r="F9" s="35" t="s">
        <v>18</v>
      </c>
      <c r="G9" s="47">
        <v>130</v>
      </c>
      <c r="H9" s="33"/>
      <c r="I9" s="33"/>
      <c r="J9" s="33"/>
      <c r="K9" s="47"/>
      <c r="L9" s="33"/>
      <c r="M9" s="33"/>
      <c r="N9" s="33"/>
      <c r="O9" s="41" t="s">
        <v>41</v>
      </c>
      <c r="P9" s="33"/>
      <c r="Q9" s="33"/>
      <c r="R9" s="33"/>
      <c r="S9" s="33"/>
      <c r="T9" s="41" t="s">
        <v>31</v>
      </c>
      <c r="U9" s="41" t="s">
        <v>29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21</v>
      </c>
      <c r="AO9" s="33"/>
      <c r="AP9" s="33"/>
      <c r="AQ9" s="41" t="s">
        <v>24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 t="s">
        <v>23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44" t="s">
        <v>18</v>
      </c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ShowMasterFundOnTT</vt:lpstr>
      <vt:lpstr>UpdateMasterFundOnTT</vt:lpstr>
      <vt:lpstr>CreateDoneAwayOrder</vt:lpstr>
      <vt:lpstr>VerifyOrder</vt:lpstr>
      <vt:lpstr>GetDataAllocation</vt:lpstr>
      <vt:lpstr>CheckUnallocatedGroups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2021-08-04T10:30:32Z</dcterms:modified>
</cp:coreProperties>
</file>