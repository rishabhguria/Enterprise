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DoneAwayOrder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ClosedTrades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<sst xmlns="http://schemas.openxmlformats.org/spreadsheetml/2006/main" count="169" uniqueCount="49">
  <si>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</si>
  <si>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</si>
  <si>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</si>
  <si>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</si>
  <si>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</si>
  <si>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</si>
  <si>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</si>
  <si>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</si>
  <si>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</si>
  <si>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</si>
  <si>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</si>
  <si>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</si>
  <si>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</si>
  <si>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</si>
  <si>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</si>
  <si>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</si>
  <si>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</si>
  <si>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</si>
  <si>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</si>
  <si>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</si>
  <si>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O:ABM 10D20.00</t>
  </si>
  <si>
    <t>Buy to Open</t>
  </si>
  <si>
    <t>Allocation1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</si>
  <si>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</si>
  <si>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</si>
  <si>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</si>
  <si>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</si>
  <si>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</si>
  <si>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</si>
  <si>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VerifyClosedTrades</t>
  </si>
  <si>
    <t>Strategy Unallocated</t>
  </si>
  <si>
    <t>Long</t>
  </si>
  <si>
    <t>Sell to Close</t>
  </si>
  <si>
    <t>GetDataAllocation</t>
  </si>
  <si>
    <t>CheckAllocatedGroups</t>
  </si>
  <si>
    <t>Manual</t>
  </si>
  <si>
    <t>MS</t>
  </si>
  <si>
    <t>Closed</t>
  </si>
  <si>
    <t>USD</t>
  </si>
  <si>
    <t>C</t>
  </si>
  <si>
    <t>BuytoOpen</t>
  </si>
  <si>
    <t>ABM</t>
  </si>
  <si>
    <t>Exercise</t>
  </si>
  <si>
    <t>Equity</t>
  </si>
  <si>
    <t>Open</t>
  </si>
  <si>
    <t>Buy</t>
  </si>
  <si>
    <t>PortfolioManagement</t>
  </si>
  <si>
    <t>CheckPortfolioManagement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</si>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</sst>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000000"/>
      <name val="Calibri"/>
    </font>
    <font>
      <color rgb="FF000000"/>
      <name val="Docs-Calibri"/>
    </font>
    <font>
      <sz val="10.0"/>
      <name val="Arial"/>
    </font>
    <font>
      <sz val="11.0"/>
      <color rgb="FF000000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5" fillId="6" fontId="15" numFmtId="0" xfId="0" applyAlignment="1" applyBorder="1" applyFill="1" applyFont="1">
      <alignment vertical="bottom"/>
    </xf>
    <xf borderId="0" fillId="0" fontId="16" numFmtId="0" xfId="0" applyAlignment="1" applyFon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7" numFmtId="0" xfId="0" applyAlignment="1" applyFont="1">
      <alignment shrinkToFit="0" vertical="bottom" wrapText="0"/>
    </xf>
    <xf borderId="0" fillId="2" fontId="18" numFmtId="0" xfId="0" applyAlignment="1" applyFont="1">
      <alignment horizontal="center" shrinkToFit="0" wrapText="0"/>
    </xf>
    <xf borderId="1" fillId="2" fontId="18" numFmtId="0" xfId="0" applyAlignment="1" applyBorder="1" applyFont="1">
      <alignment horizontal="center" shrinkToFit="0" wrapText="0"/>
    </xf>
    <xf borderId="0" fillId="2" fontId="16" numFmtId="0" xfId="0" applyFont="1"/>
    <xf borderId="0" fillId="0" fontId="16" numFmtId="0" xfId="0" applyAlignment="1" applyFont="1">
      <alignment shrinkToFit="0" wrapText="0"/>
    </xf>
    <xf borderId="0" fillId="0" fontId="19" numFmtId="0" xfId="0" applyAlignment="1" applyFont="1">
      <alignment shrinkToFit="0" wrapText="0"/>
    </xf>
    <xf borderId="0" fillId="0" fontId="16" numFmtId="0" xfId="0" applyFont="1"/>
    <xf borderId="0" fillId="3" fontId="18" numFmtId="0" xfId="0" applyAlignment="1" applyFont="1">
      <alignment shrinkToFit="0" wrapText="0"/>
    </xf>
    <xf borderId="4" fillId="3" fontId="18" numFmtId="0" xfId="0" applyAlignment="1" applyBorder="1" applyFont="1">
      <alignment shrinkToFit="0" wrapText="0"/>
    </xf>
    <xf borderId="4" fillId="3" fontId="19" numFmtId="0" xfId="0" applyAlignment="1" applyBorder="1" applyFont="1">
      <alignment readingOrder="0" shrinkToFit="0" wrapText="0"/>
    </xf>
    <xf borderId="4" fillId="3" fontId="19" numFmtId="0" xfId="0" applyAlignment="1" applyBorder="1" applyFont="1">
      <alignment shrinkToFit="0" wrapText="0"/>
    </xf>
    <xf borderId="0" fillId="3" fontId="19" numFmtId="0" xfId="0" applyFont="1"/>
    <xf borderId="0" fillId="4" fontId="20" numFmtId="0" xfId="0" applyAlignment="1" applyFont="1">
      <alignment shrinkToFit="0" wrapText="0"/>
    </xf>
    <xf borderId="0" fillId="4" fontId="20" numFmtId="0" xfId="0" applyFont="1"/>
    <xf borderId="0" fillId="5" fontId="18" numFmtId="0" xfId="0" applyAlignment="1" applyFont="1">
      <alignment shrinkToFit="0" wrapText="0"/>
    </xf>
    <xf borderId="4" fillId="5" fontId="18" numFmtId="0" xfId="0" applyAlignment="1" applyBorder="1" applyFont="1">
      <alignment shrinkToFit="0" wrapText="0"/>
    </xf>
    <xf borderId="4" fillId="5" fontId="18" numFmtId="0" xfId="0" applyAlignment="1" applyBorder="1" applyFont="1">
      <alignment readingOrder="0" shrinkToFit="0" wrapText="0"/>
    </xf>
    <xf borderId="0" fillId="5" fontId="19" numFmtId="0" xfId="0" applyFont="1"/>
    <xf borderId="0" fillId="0" fontId="16" numFmtId="0" xfId="0" applyAlignment="1" applyFont="1">
      <alignment readingOrder="0" shrinkToFit="0" wrapText="0"/>
    </xf>
    <xf borderId="0" fillId="0" fontId="0" numFmtId="3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13" t="s">
        <v>21</v>
      </c>
      <c r="D6" s="13">
        <v>100.0</v>
      </c>
      <c r="E6" s="13">
        <v>100.0</v>
      </c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3" t="s">
        <v>27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AQ6" s="9">
        <v>100.0</v>
      </c>
      <c r="BV6" s="13" t="s">
        <v>21</v>
      </c>
      <c r="CA6" s="9">
        <v>100.0</v>
      </c>
      <c r="CG6" s="9">
        <v>100.0</v>
      </c>
      <c r="CX6" s="9">
        <v>1.0</v>
      </c>
      <c r="DH6" s="3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 t="s">
        <v>30</v>
      </c>
      <c r="F6" s="13" t="s">
        <v>31</v>
      </c>
      <c r="G6" s="13" t="s">
        <v>27</v>
      </c>
      <c r="H6" s="34" t="s">
        <v>20</v>
      </c>
      <c r="I6" s="13">
        <v>100.0</v>
      </c>
      <c r="J6" s="13">
        <v>10.0</v>
      </c>
      <c r="K6" s="13">
        <v>0.0</v>
      </c>
      <c r="L6" s="35">
        <v>-100000.0</v>
      </c>
      <c r="M6" s="8"/>
      <c r="N6" s="8"/>
      <c r="O6" s="13" t="s">
        <v>31</v>
      </c>
      <c r="P6" s="9">
        <v>0.0</v>
      </c>
      <c r="Q6" s="3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8"/>
      <c r="D6" s="13"/>
      <c r="E6" s="37">
        <v>100.0</v>
      </c>
      <c r="F6" s="13" t="s">
        <v>35</v>
      </c>
      <c r="G6" s="36" t="s">
        <v>27</v>
      </c>
      <c r="H6" s="8"/>
      <c r="I6" s="8"/>
      <c r="J6" s="37">
        <v>12.0</v>
      </c>
      <c r="K6" s="37">
        <v>10.0</v>
      </c>
      <c r="L6" s="37">
        <v>10.0</v>
      </c>
      <c r="M6" s="8"/>
      <c r="N6" s="8"/>
      <c r="O6" s="13" t="s">
        <v>36</v>
      </c>
      <c r="Q6" s="9">
        <v>3.0</v>
      </c>
      <c r="S6" s="36" t="s">
        <v>37</v>
      </c>
      <c r="U6" s="9">
        <v>0.0</v>
      </c>
      <c r="Z6" s="36" t="s">
        <v>38</v>
      </c>
      <c r="AB6" s="9">
        <v>1.0</v>
      </c>
      <c r="AE6" s="37">
        <v>100.0</v>
      </c>
      <c r="AI6" s="9">
        <v>1.0</v>
      </c>
      <c r="AT6" s="38">
        <v>100000.0</v>
      </c>
      <c r="AU6" s="38">
        <v>100000.0</v>
      </c>
      <c r="AW6" s="9">
        <v>0.0</v>
      </c>
      <c r="AX6" s="37">
        <v>0.0</v>
      </c>
      <c r="AZ6" s="9">
        <v>0.0</v>
      </c>
      <c r="BC6" s="9">
        <v>0.0</v>
      </c>
      <c r="BE6" s="38">
        <v>100000.0</v>
      </c>
      <c r="BF6" s="38">
        <v>100000.0</v>
      </c>
      <c r="BI6" s="36" t="s">
        <v>39</v>
      </c>
      <c r="BJ6" s="37">
        <v>100.0</v>
      </c>
      <c r="BO6" s="36" t="s">
        <v>21</v>
      </c>
      <c r="BT6" s="39" t="s">
        <v>20</v>
      </c>
      <c r="BU6" s="9">
        <v>0.0</v>
      </c>
      <c r="BV6" s="9">
        <v>0.0</v>
      </c>
      <c r="BX6" s="9">
        <v>0.0</v>
      </c>
      <c r="CD6" s="36" t="s">
        <v>18</v>
      </c>
      <c r="CH6" s="36" t="s">
        <v>16</v>
      </c>
      <c r="CI6" s="36" t="s">
        <v>40</v>
      </c>
      <c r="CJ6" s="9">
        <v>0.0</v>
      </c>
      <c r="CM6" s="36" t="s">
        <v>41</v>
      </c>
    </row>
    <row r="7" ht="15.75" customHeight="1">
      <c r="A7" s="8"/>
      <c r="B7" s="36" t="s">
        <v>22</v>
      </c>
      <c r="C7" s="8"/>
      <c r="D7" s="8"/>
      <c r="E7" s="37">
        <v>100.0</v>
      </c>
      <c r="F7" s="13" t="s">
        <v>35</v>
      </c>
      <c r="G7" s="36" t="s">
        <v>27</v>
      </c>
      <c r="H7" s="8"/>
      <c r="I7" s="8"/>
      <c r="J7" s="37">
        <v>12.0</v>
      </c>
      <c r="K7" s="37">
        <v>0.0</v>
      </c>
      <c r="L7" s="37">
        <v>0.0</v>
      </c>
      <c r="M7" s="8"/>
      <c r="N7" s="8"/>
      <c r="O7" s="13" t="s">
        <v>36</v>
      </c>
      <c r="Q7" s="9">
        <v>3.0</v>
      </c>
      <c r="S7" s="36" t="s">
        <v>37</v>
      </c>
      <c r="U7" s="9">
        <v>0.0</v>
      </c>
      <c r="Z7" s="36" t="s">
        <v>38</v>
      </c>
      <c r="AB7" s="9">
        <v>1.0</v>
      </c>
      <c r="AE7" s="37">
        <v>100.0</v>
      </c>
      <c r="AI7" s="9">
        <v>1.0</v>
      </c>
      <c r="AT7" s="38">
        <v>100000.0</v>
      </c>
      <c r="AU7" s="38">
        <v>100000.0</v>
      </c>
      <c r="AW7" s="9">
        <v>0.0</v>
      </c>
      <c r="AX7" s="38">
        <v>-100000.0</v>
      </c>
      <c r="AZ7" s="9">
        <v>0.0</v>
      </c>
      <c r="BC7" s="9">
        <v>0.0</v>
      </c>
      <c r="BE7" s="37">
        <v>0.0</v>
      </c>
      <c r="BF7" s="37">
        <v>0.0</v>
      </c>
      <c r="BI7" s="36" t="s">
        <v>39</v>
      </c>
      <c r="BJ7" s="37">
        <v>100.0</v>
      </c>
      <c r="BO7" s="36" t="s">
        <v>32</v>
      </c>
      <c r="BT7" s="39" t="s">
        <v>20</v>
      </c>
      <c r="BU7" s="9">
        <v>0.0</v>
      </c>
      <c r="BV7" s="9">
        <v>0.0</v>
      </c>
      <c r="BX7" s="9">
        <v>0.0</v>
      </c>
      <c r="CD7" s="36" t="s">
        <v>18</v>
      </c>
      <c r="CH7" s="36" t="s">
        <v>23</v>
      </c>
      <c r="CI7" s="36" t="s">
        <v>42</v>
      </c>
      <c r="CJ7" s="9">
        <v>0.0</v>
      </c>
      <c r="CM7" s="36" t="s">
        <v>41</v>
      </c>
    </row>
    <row r="8" ht="15.75" customHeight="1">
      <c r="A8" s="8"/>
      <c r="B8" s="36" t="s">
        <v>22</v>
      </c>
      <c r="C8" s="8"/>
      <c r="D8" s="8"/>
      <c r="E8" s="38">
        <v>10000.0</v>
      </c>
      <c r="F8" s="13" t="s">
        <v>35</v>
      </c>
      <c r="G8" s="36" t="s">
        <v>43</v>
      </c>
      <c r="H8" s="8"/>
      <c r="I8" s="8"/>
      <c r="J8" s="37">
        <v>15.0</v>
      </c>
      <c r="K8" s="37">
        <v>20.0</v>
      </c>
      <c r="L8" s="37">
        <v>20.0</v>
      </c>
      <c r="M8" s="8"/>
      <c r="N8" s="8"/>
      <c r="O8" s="13" t="s">
        <v>36</v>
      </c>
      <c r="Q8" s="9">
        <v>3.0</v>
      </c>
      <c r="S8" s="36" t="s">
        <v>44</v>
      </c>
      <c r="U8" s="9">
        <v>0.0</v>
      </c>
      <c r="Z8" s="36" t="s">
        <v>38</v>
      </c>
      <c r="AB8" s="9">
        <v>1.0</v>
      </c>
      <c r="AE8" s="38">
        <v>10000.0</v>
      </c>
      <c r="AI8" s="9">
        <v>1.0</v>
      </c>
      <c r="AT8" s="38">
        <v>300000.0</v>
      </c>
      <c r="AU8" s="38">
        <v>300000.0</v>
      </c>
      <c r="AW8" s="9">
        <v>0.0</v>
      </c>
      <c r="AX8" s="38">
        <v>100000.0</v>
      </c>
      <c r="AZ8" s="9">
        <v>0.0</v>
      </c>
      <c r="BC8" s="9">
        <v>0.0</v>
      </c>
      <c r="BE8" s="38">
        <v>200000.0</v>
      </c>
      <c r="BF8" s="38">
        <v>200000.0</v>
      </c>
      <c r="BI8" s="40"/>
      <c r="BJ8" s="38">
        <v>10000.0</v>
      </c>
      <c r="BO8" s="36" t="s">
        <v>45</v>
      </c>
      <c r="BT8" s="39" t="s">
        <v>41</v>
      </c>
      <c r="BU8" s="9">
        <v>0.0</v>
      </c>
      <c r="BV8" s="9">
        <v>0.0</v>
      </c>
      <c r="BX8" s="9">
        <v>0.0</v>
      </c>
      <c r="CD8" s="36" t="s">
        <v>18</v>
      </c>
      <c r="CH8" s="36" t="s">
        <v>23</v>
      </c>
      <c r="CI8" s="36" t="s">
        <v>42</v>
      </c>
      <c r="CJ8" s="9">
        <v>0.0</v>
      </c>
      <c r="CM8" s="36" t="s">
        <v>41</v>
      </c>
    </row>
    <row r="9" ht="15.75" customHeight="1">
      <c r="A9" s="8"/>
      <c r="B9" s="8"/>
      <c r="C9" s="8"/>
      <c r="D9" s="8"/>
      <c r="E9" s="4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41"/>
      <c r="B1" s="42" t="s">
        <v>11</v>
      </c>
      <c r="C1" s="2"/>
      <c r="D1" s="2"/>
      <c r="E1" s="2"/>
      <c r="F1" s="2"/>
      <c r="G1" s="2"/>
      <c r="H1" s="3"/>
      <c r="I1" s="41"/>
      <c r="J1" s="41"/>
      <c r="K1" s="41"/>
      <c r="L1" s="41"/>
      <c r="M1" s="41"/>
      <c r="N1" s="41"/>
      <c r="O1" s="41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45" t="str">
        <f> VLOOKUP($E$3,'_MasterData'!B4:D1000,3,FALSE)</f>
        <v>#N/A</v>
      </c>
      <c r="K2" s="45"/>
      <c r="L2" s="44"/>
      <c r="M2" s="44"/>
      <c r="N2" s="44"/>
      <c r="O2" s="44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</row>
    <row r="3" ht="15.75" customHeight="1">
      <c r="A3" s="47"/>
      <c r="B3" s="48" t="s">
        <v>8</v>
      </c>
      <c r="C3" s="49" t="s">
        <v>46</v>
      </c>
      <c r="D3" s="48" t="s">
        <v>9</v>
      </c>
      <c r="E3" s="49" t="s">
        <v>47</v>
      </c>
      <c r="F3" s="48" t="s">
        <v>14</v>
      </c>
      <c r="G3" s="50" t="s">
        <v>15</v>
      </c>
      <c r="H3" s="48"/>
      <c r="I3" s="47"/>
      <c r="J3" s="47"/>
      <c r="K3" s="47"/>
      <c r="L3" s="47"/>
      <c r="M3" s="47"/>
      <c r="N3" s="47"/>
      <c r="O3" s="47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</row>
    <row r="4" ht="15.75" customHeight="1">
      <c r="A4" s="52"/>
      <c r="B4" s="52" t="str">
        <f>IFERROR(__xludf.DUMMYFUNCTION("IF(C3="""","""",Transpose(IMPORTRANGE('_Settings'!$B$3,C3&amp;""!A4:A1000"")))"),"CheckDashboardPM")</f>
        <v>CheckDashboardPM</v>
      </c>
      <c r="C4" s="52" t="str">
        <f>IFERROR(__xludf.DUMMYFUNCTION("""COMPUTED_VALUE"""),"CheckPortfolioManagement")</f>
        <v>CheckPortfolioManagement</v>
      </c>
      <c r="D4" s="52" t="str">
        <f>IFERROR(__xludf.DUMMYFUNCTION("""COMPUTED_VALUE"""),"CheckPMLiveFeed")</f>
        <v>CheckPMLiveFeed</v>
      </c>
      <c r="E4" s="52" t="str">
        <f>IFERROR(__xludf.DUMMYFUNCTION("""COMPUTED_VALUE"""),"OpenPSTFromPM")</f>
        <v>OpenPSTFromPM</v>
      </c>
      <c r="F4" s="52" t="str">
        <f>IFERROR(__xludf.DUMMYFUNCTION("""COMPUTED_VALUE"""),"IncreasePositionFromPM")</f>
        <v>IncreasePositionFromPM</v>
      </c>
      <c r="G4" s="52" t="str">
        <f>IFERROR(__xludf.DUMMYFUNCTION("""COMPUTED_VALUE"""),"ClosePM")</f>
        <v>ClosePM</v>
      </c>
      <c r="H4" s="52" t="str">
        <f>IFERROR(__xludf.DUMMYFUNCTION("""COMPUTED_VALUE"""),"RemoveGroupingFromPM")</f>
        <v>RemoveGroupingFromPM</v>
      </c>
      <c r="I4" s="52" t="str">
        <f>IFERROR(__xludf.DUMMYFUNCTION("""COMPUTED_VALUE"""),"OpenCreateTransactionFromPM")</f>
        <v>OpenCreateTransactionFromPM</v>
      </c>
      <c r="J4" s="52" t="str">
        <f>IFERROR(__xludf.DUMMYFUNCTION("""COMPUTED_VALUE"""),"FilterPM")</f>
        <v>FilterPM</v>
      </c>
      <c r="K4" s="52" t="str">
        <f>IFERROR(__xludf.DUMMYFUNCTION("""COMPUTED_VALUE"""),"GroupRowPM")</f>
        <v>GroupRowPM</v>
      </c>
      <c r="L4" s="52" t="str">
        <f>IFERROR(__xludf.DUMMYFUNCTION("""COMPUTED_VALUE"""),"CheckDashboardWithPM")</f>
        <v>CheckDashboardWithPM</v>
      </c>
      <c r="M4" s="52" t="str">
        <f>IFERROR(__xludf.DUMMYFUNCTION("""COMPUTED_VALUE"""),"RemoveFilterPM")</f>
        <v>RemoveFilterPM</v>
      </c>
      <c r="N4" s="52" t="str">
        <f>IFERROR(__xludf.DUMMYFUNCTION("""COMPUTED_VALUE"""),"CheckSummaryRowsPM")</f>
        <v>CheckSummaryRowsPM</v>
      </c>
      <c r="O4" s="52" t="str">
        <f>IFERROR(__xludf.DUMMYFUNCTION("""COMPUTED_VALUE"""),"OpenPTTFromPM")</f>
        <v>OpenPTTFromPM</v>
      </c>
      <c r="P4" s="53" t="str">
        <f>IFERROR(__xludf.DUMMYFUNCTION("""COMPUTED_VALUE"""),"DeleteCustomViewPM")</f>
        <v>DeleteCustomViewPM</v>
      </c>
      <c r="Q4" s="53" t="str">
        <f>IFERROR(__xludf.DUMMYFUNCTION("""COMPUTED_VALUE"""),"RenameCustomViewPM")</f>
        <v>RenameCustomViewPM</v>
      </c>
      <c r="R4" s="53" t="str">
        <f>IFERROR(__xludf.DUMMYFUNCTION("""COMPUTED_VALUE"""),"AddCustomViewRightClickPM")</f>
        <v>AddCustomViewRightClickPM</v>
      </c>
      <c r="S4" s="53" t="str">
        <f>IFERROR(__xludf.DUMMYFUNCTION("""COMPUTED_VALUE"""),"AddCustomViewPM")</f>
        <v>AddCustomViewPM</v>
      </c>
      <c r="T4" s="53" t="str">
        <f>IFERROR(__xludf.DUMMYFUNCTION("""COMPUTED_VALUE"""),"ExpandCollapsePM")</f>
        <v>ExpandCollapsePM</v>
      </c>
      <c r="U4" s="53" t="str">
        <f>IFERROR(__xludf.DUMMYFUNCTION("""COMPUTED_VALUE"""),"CloseSelectedTaxlotsFromPM")</f>
        <v>CloseSelectedTaxlotsFromPM</v>
      </c>
      <c r="V4" s="53" t="str">
        <f>IFERROR(__xludf.DUMMYFUNCTION("""COMPUTED_VALUE"""),"CloseAccountPositionFromPM")</f>
        <v>CloseAccountPositionFromPM</v>
      </c>
      <c r="W4" s="53" t="str">
        <f>IFERROR(__xludf.DUMMYFUNCTION("""COMPUTED_VALUE"""),"HideSummaryToolFromPM")</f>
        <v>HideSummaryToolFromPM</v>
      </c>
      <c r="X4" s="53" t="str">
        <f>IFERROR(__xludf.DUMMYFUNCTION("""COMPUTED_VALUE"""),"ShowSummaryToolFromPM")</f>
        <v>ShowSummaryToolFromPM</v>
      </c>
      <c r="Y4" s="53" t="str">
        <f>IFERROR(__xludf.DUMMYFUNCTION("""COMPUTED_VALUE"""),"ClosePositionFromPM")</f>
        <v>ClosePositionFromPM</v>
      </c>
      <c r="Z4" s="53" t="str">
        <f>IFERROR(__xludf.DUMMYFUNCTION("""COMPUTED_VALUE"""),"OpenDailyValuationFromPM")</f>
        <v>OpenDailyValuationFromPM</v>
      </c>
      <c r="AA4" s="53" t="str">
        <f>IFERROR(__xludf.DUMMYFUNCTION("""COMPUTED_VALUE"""),"OpenCorporateActionFromPM")</f>
        <v>OpenCorporateActionFromPM</v>
      </c>
      <c r="AB4" s="53" t="str">
        <f>IFERROR(__xludf.DUMMYFUNCTION("""COMPUTED_VALUE"""),"OpenClosingFromPM")</f>
        <v>OpenClosingFromPM</v>
      </c>
      <c r="AC4" s="53" t="str">
        <f>IFERROR(__xludf.DUMMYFUNCTION("""COMPUTED_VALUE"""),"SortAndVerifyPM")</f>
        <v>SortAndVerifyPM</v>
      </c>
      <c r="AD4" s="53" t="str">
        <f>IFERROR(__xludf.DUMMYFUNCTION("""COMPUTED_VALUE"""),"OpenPIFromPM")</f>
        <v>OpenPIFromPM</v>
      </c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</row>
    <row r="5" ht="15.75" customHeight="1">
      <c r="A5" s="54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IFERROR(__xludf.DUMMYFUNCTION("""COMPUTED_VALUE"""),"Trade Date")</f>
        <v>Trade Date</v>
      </c>
      <c r="C5" s="55" t="str">
        <f>IFERROR(__xludf.DUMMYFUNCTION("""COMPUTED_VALUE"""),"Symbol")</f>
        <v>Symbol</v>
      </c>
      <c r="D5" s="55" t="str">
        <f>IFERROR(__xludf.DUMMYFUNCTION("""COMPUTED_VALUE"""),"Position")</f>
        <v>Position</v>
      </c>
      <c r="E5" s="55" t="str">
        <f>IFERROR(__xludf.DUMMYFUNCTION("""COMPUTED_VALUE"""),"Account")</f>
        <v>Account</v>
      </c>
      <c r="F5" s="56" t="str">
        <f>IFERROR(__xludf.DUMMYFUNCTION("""COMPUTED_VALUE"""),"MasterFund")</f>
        <v>MasterFund</v>
      </c>
      <c r="G5" s="55" t="str">
        <f>IFERROR(__xludf.DUMMYFUNCTION("""COMPUTED_VALUE"""),"Cost Basis")</f>
        <v>Cost Basis</v>
      </c>
      <c r="H5" s="55" t="str">
        <f>IFERROR(__xludf.DUMMYFUNCTION("""COMPUTED_VALUE"""),"Position Side")</f>
        <v>Position Side</v>
      </c>
      <c r="I5" s="55" t="str">
        <f>IFERROR(__xludf.DUMMYFUNCTION("""COMPUTED_VALUE"""),"Market Value (Base)")</f>
        <v>Market Value (Base)</v>
      </c>
      <c r="J5" s="55" t="str">
        <f>IFERROR(__xludf.DUMMYFUNCTION("""COMPUTED_VALUE"""),"% Day P&amp;L (Gross MV)")</f>
        <v>% Day P&amp;L (Gross MV)</v>
      </c>
      <c r="K5" s="55" t="str">
        <f>IFERROR(__xludf.DUMMYFUNCTION("""COMPUTED_VALUE"""),"Net Exposure (Base)")</f>
        <v>Net Exposure (Base)</v>
      </c>
      <c r="L5" s="55" t="str">
        <f>IFERROR(__xludf.DUMMYFUNCTION("""COMPUTED_VALUE"""),"Beta Adj. Gross Exposure (Base)")</f>
        <v>Beta Adj. Gross Exposure (Base)</v>
      </c>
      <c r="M5" s="55" t="str">
        <f>IFERROR(__xludf.DUMMYFUNCTION("""COMPUTED_VALUE"""),"Beta Adj. Gross Exposure (Underlying) (Base)")</f>
        <v>Beta Adj. Gross Exposure (Underlying) (Base)</v>
      </c>
      <c r="N5" s="55" t="str">
        <f>IFERROR(__xludf.DUMMYFUNCTION("""COMPUTED_VALUE"""),"Day P&amp;L (Base)")</f>
        <v>Day P&amp;L (Base)</v>
      </c>
      <c r="O5" s="55" t="str">
        <f>IFERROR(__xludf.DUMMYFUNCTION("""COMPUTED_VALUE"""),"Security Name")</f>
        <v>Security Name</v>
      </c>
      <c r="P5" s="55" t="str">
        <f>IFERROR(__xludf.DUMMYFUNCTION("""COMPUTED_VALUE"""),"Closing Mark")</f>
        <v>Closing Mark</v>
      </c>
      <c r="Q5" s="55" t="str">
        <f>IFERROR(__xludf.DUMMYFUNCTION("""COMPUTED_VALUE"""),"Cost Basis P&amp;L (Base)")</f>
        <v>Cost Basis P&amp;L (Base)</v>
      </c>
      <c r="R5" s="55" t="str">
        <f>IFERROR(__xludf.DUMMYFUNCTION("""COMPUTED_VALUE"""),"Prime Broker")</f>
        <v>Prime Broker</v>
      </c>
      <c r="S5" s="55" t="str">
        <f>IFERROR(__xludf.DUMMYFUNCTION("""COMPUTED_VALUE"""),"Strategy")</f>
        <v>Strategy</v>
      </c>
      <c r="T5" s="57" t="str">
        <f>IFERROR(__xludf.DUMMYFUNCTION("""COMPUTED_VALUE"""),"Asset Class")</f>
        <v>Asset Class</v>
      </c>
      <c r="U5" s="57" t="str">
        <f>IFERROR(__xludf.DUMMYFUNCTION("""COMPUTED_VALUE"""),"Underlying")</f>
        <v>Underlying</v>
      </c>
      <c r="V5" s="57" t="str">
        <f>IFERROR(__xludf.DUMMYFUNCTION("""COMPUTED_VALUE"""),"Exchange")</f>
        <v>Exchange</v>
      </c>
      <c r="W5" s="57" t="str">
        <f>IFERROR(__xludf.DUMMYFUNCTION("""COMPUTED_VALUE"""),"Trade Currency")</f>
        <v>Trade Currency</v>
      </c>
      <c r="X5" s="57" t="str">
        <f>IFERROR(__xludf.DUMMYFUNCTION("""COMPUTED_VALUE"""),"Multiplier")</f>
        <v>Multiplier</v>
      </c>
      <c r="Y5" s="57" t="str">
        <f>IFERROR(__xludf.DUMMYFUNCTION("""COMPUTED_VALUE"""),"FX Rate")</f>
        <v>FX Rate</v>
      </c>
      <c r="Z5" s="57" t="str">
        <f>IFERROR(__xludf.DUMMYFUNCTION("""COMPUTED_VALUE"""),"Vs Currency")</f>
        <v>Vs Currency</v>
      </c>
      <c r="AA5" s="57" t="str">
        <f>IFERROR(__xludf.DUMMYFUNCTION("""COMPUTED_VALUE"""),"Lead Currency")</f>
        <v>Lead Currency</v>
      </c>
      <c r="AB5" s="57" t="str">
        <f>IFERROR(__xludf.DUMMYFUNCTION("""COMPUTED_VALUE"""),"Dividend Yield (%)")</f>
        <v>Dividend Yield (%)</v>
      </c>
      <c r="AC5" s="57" t="str">
        <f>IFERROR(__xludf.DUMMYFUNCTION("""COMPUTED_VALUE"""),"% Change")</f>
        <v>% Change</v>
      </c>
      <c r="AD5" s="57" t="str">
        <f>IFERROR(__xludf.DUMMYFUNCTION("""COMPUTED_VALUE"""),"Net Exposure (Local)")</f>
        <v>Net Exposure (Local)</v>
      </c>
      <c r="AE5" s="57" t="str">
        <f>IFERROR(__xludf.DUMMYFUNCTION("""COMPUTED_VALUE"""),"Exposure (Local)")</f>
        <v>Exposure (Local)</v>
      </c>
      <c r="AF5" s="57" t="str">
        <f>IFERROR(__xludf.DUMMYFUNCTION("""COMPUTED_VALUE"""),"Delta Adj. Position")</f>
        <v>Delta Adj. Position</v>
      </c>
      <c r="AG5" s="57" t="str">
        <f>IFERROR(__xludf.DUMMYFUNCTION("""COMPUTED_VALUE"""),"Exposure (Base)")</f>
        <v>Exposure (Base)</v>
      </c>
      <c r="AH5" s="57" t="str">
        <f>IFERROR(__xludf.DUMMYFUNCTION("""COMPUTED_VALUE"""),"Beta Adj. Exposure (Local)")</f>
        <v>Beta Adj. Exposure (Local)</v>
      </c>
      <c r="AI5" s="57" t="str">
        <f>IFERROR(__xludf.DUMMYFUNCTION("""COMPUTED_VALUE"""),"Beta Adj. Exposure (Base)")</f>
        <v>Beta Adj. Exposure (Base)</v>
      </c>
      <c r="AJ5" s="57" t="str">
        <f>IFERROR(__xludf.DUMMYFUNCTION("""COMPUTED_VALUE"""),"Exposure (BP)(Base)")</f>
        <v>Exposure (BP)(Base)</v>
      </c>
      <c r="AK5" s="57" t="str">
        <f>IFERROR(__xludf.DUMMYFUNCTION("""COMPUTED_VALUE"""),"Day P&amp;L (Local)")</f>
        <v>Day P&amp;L (Local)</v>
      </c>
      <c r="AL5" s="57" t="str">
        <f>IFERROR(__xludf.DUMMYFUNCTION("""COMPUTED_VALUE"""),"Delta")</f>
        <v>Delta</v>
      </c>
      <c r="AM5" s="57" t="str">
        <f>IFERROR(__xludf.DUMMYFUNCTION("""COMPUTED_VALUE"""),"Leveraged Factor")</f>
        <v>Leveraged Factor</v>
      </c>
      <c r="AN5" s="57" t="str">
        <f>IFERROR(__xludf.DUMMYFUNCTION("""COMPUTED_VALUE"""),"Order Side")</f>
        <v>Order Side</v>
      </c>
      <c r="AO5" s="57" t="str">
        <f>IFERROR(__xludf.DUMMYFUNCTION("""COMPUTED_VALUE"""),"Master Strategy")</f>
        <v>Master Strategy</v>
      </c>
      <c r="AP5" s="57" t="str">
        <f>IFERROR(__xludf.DUMMYFUNCTION("""COMPUTED_VALUE"""),"Transaction Side")</f>
        <v>Transaction Side</v>
      </c>
      <c r="AQ5" s="57" t="str">
        <f>IFERROR(__xludf.DUMMYFUNCTION("""COMPUTED_VALUE"""),"Underlying Symbol")</f>
        <v>Underlying Symbol</v>
      </c>
      <c r="AR5" s="57" t="str">
        <f>IFERROR(__xludf.DUMMYFUNCTION("""COMPUTED_VALUE"""),"Underlying Price")</f>
        <v>Underlying Price</v>
      </c>
      <c r="AS5" s="57" t="str">
        <f>IFERROR(__xludf.DUMMYFUNCTION("""COMPUTED_VALUE"""),"Side Multiplier")</f>
        <v>Side Multiplier</v>
      </c>
      <c r="AT5" s="57" t="str">
        <f>IFERROR(__xludf.DUMMYFUNCTION("""COMPUTED_VALUE"""),"Description")</f>
        <v>Description</v>
      </c>
      <c r="AU5" s="57" t="str">
        <f>IFERROR(__xludf.DUMMYFUNCTION("""COMPUTED_VALUE"""),"Internal Comments")</f>
        <v>Internal Comments</v>
      </c>
      <c r="AV5" s="57" t="str">
        <f>IFERROR(__xludf.DUMMYFUNCTION("""COMPUTED_VALUE"""),"FX Rate On Trade Date")</f>
        <v>FX Rate On Trade Date</v>
      </c>
      <c r="AW5" s="57" t="str">
        <f>IFERROR(__xludf.DUMMYFUNCTION("""COMPUTED_VALUE"""),"Cost Basis P&amp;L (Local)")</f>
        <v>Cost Basis P&amp;L (Local)</v>
      </c>
      <c r="AX5" s="57" t="str">
        <f>IFERROR(__xludf.DUMMYFUNCTION("""COMPUTED_VALUE"""),"Day Interest")</f>
        <v>Day Interest</v>
      </c>
      <c r="AY5" s="57" t="str">
        <f>IFERROR(__xludf.DUMMYFUNCTION("""COMPUTED_VALUE"""),"Total Interest")</f>
        <v>Total Interest</v>
      </c>
      <c r="AZ5" s="57" t="str">
        <f>IFERROR(__xludf.DUMMYFUNCTION("""COMPUTED_VALUE"""),"Market Value (Local)")</f>
        <v>Market Value (Local)</v>
      </c>
      <c r="BA5" s="57" t="str">
        <f>IFERROR(__xludf.DUMMYFUNCTION("""COMPUTED_VALUE"""),"% Gain/Loss Day")</f>
        <v>% Gain/Loss Day</v>
      </c>
      <c r="BB5" s="57" t="str">
        <f>IFERROR(__xludf.DUMMYFUNCTION("""COMPUTED_VALUE"""),"Update Time (Last Price)")</f>
        <v>Update Time (Last Price)</v>
      </c>
      <c r="BC5" s="57" t="str">
        <f>IFERROR(__xludf.DUMMYFUNCTION("""COMPUTED_VALUE"""),"Beta")</f>
        <v>Beta</v>
      </c>
      <c r="BD5" s="57" t="str">
        <f>IFERROR(__xludf.DUMMYFUNCTION("""COMPUTED_VALUE"""),"Cash Impact (Local)")</f>
        <v>Cash Impact (Local)</v>
      </c>
      <c r="BE5" s="57" t="str">
        <f>IFERROR(__xludf.DUMMYFUNCTION("""COMPUTED_VALUE"""),"User Asset")</f>
        <v>User Asset</v>
      </c>
      <c r="BF5" s="57" t="str">
        <f>IFERROR(__xludf.DUMMYFUNCTION("""COMPUTED_VALUE"""),"Security Type")</f>
        <v>Security Type</v>
      </c>
      <c r="BG5" s="57" t="str">
        <f>IFERROR(__xludf.DUMMYFUNCTION("""COMPUTED_VALUE"""),"Sector")</f>
        <v>Sector</v>
      </c>
      <c r="BH5" s="57" t="str">
        <f>IFERROR(__xludf.DUMMYFUNCTION("""COMPUTED_VALUE"""),"Sub Sector")</f>
        <v>Sub Sector</v>
      </c>
      <c r="BI5" s="57" t="str">
        <f>IFERROR(__xludf.DUMMYFUNCTION("""COMPUTED_VALUE"""),"Country")</f>
        <v>Country</v>
      </c>
      <c r="BJ5" s="57" t="str">
        <f>IFERROR(__xludf.DUMMYFUNCTION("""COMPUTED_VALUE"""),"Market Cap")</f>
        <v>Market Cap</v>
      </c>
      <c r="BK5" s="57" t="str">
        <f>IFERROR(__xludf.DUMMYFUNCTION("""COMPUTED_VALUE"""),"Shares Outstanding (MM)")</f>
        <v>Shares Outstanding (MM)</v>
      </c>
      <c r="BL5" s="57" t="str">
        <f>IFERROR(__xludf.DUMMYFUNCTION("""COMPUTED_VALUE"""),"Avg Volume 20 Day")</f>
        <v>Avg Volume 20 Day</v>
      </c>
      <c r="BM5" s="57" t="str">
        <f>IFERROR(__xludf.DUMMYFUNCTION("""COMPUTED_VALUE"""),"% Avg Volume (Delta Adj.)")</f>
        <v>% Avg Volume (Delta Adj.)</v>
      </c>
      <c r="BN5" s="57" t="str">
        <f>IFERROR(__xludf.DUMMYFUNCTION("""COMPUTED_VALUE"""),"Ex Dividend Date")</f>
        <v>Ex Dividend Date</v>
      </c>
      <c r="BO5" s="57" t="str">
        <f>IFERROR(__xludf.DUMMYFUNCTION("""COMPUTED_VALUE"""),"Cash Impact (Base)")</f>
        <v>Cash Impact (Base)</v>
      </c>
      <c r="BP5" s="57" t="str">
        <f>IFERROR(__xludf.DUMMYFUNCTION("""COMPUTED_VALUE"""),"Volatility (%)")</f>
        <v>Volatility (%)</v>
      </c>
      <c r="BQ5" s="57" t="str">
        <f>IFERROR(__xludf.DUMMYFUNCTION("""COMPUTED_VALUE"""),"User")</f>
        <v>User</v>
      </c>
      <c r="BR5" s="57" t="str">
        <f>IFERROR(__xludf.DUMMYFUNCTION("""COMPUTED_VALUE"""),"Broker")</f>
        <v>Broker</v>
      </c>
      <c r="BS5" s="57" t="str">
        <f>IFERROR(__xludf.DUMMYFUNCTION("""COMPUTED_VALUE"""),"Earned Dividend (Local)")</f>
        <v>Earned Dividend (Local)</v>
      </c>
      <c r="BT5" s="57" t="str">
        <f>IFERROR(__xludf.DUMMYFUNCTION("""COMPUTED_VALUE"""),"Earned Dividend (Base)")</f>
        <v>Earned Dividend (Base)</v>
      </c>
      <c r="BU5" s="57" t="str">
        <f>IFERROR(__xludf.DUMMYFUNCTION("""COMPUTED_VALUE"""),"Put/Call")</f>
        <v>Put/Call</v>
      </c>
      <c r="BV5" s="57" t="str">
        <f>IFERROR(__xludf.DUMMYFUNCTION("""COMPUTED_VALUE"""),"Expiration Date")</f>
        <v>Expiration Date</v>
      </c>
      <c r="BW5" s="57" t="str">
        <f>IFERROR(__xludf.DUMMYFUNCTION("""COMPUTED_VALUE"""),"Strike Price")</f>
        <v>Strike Price</v>
      </c>
      <c r="BX5" s="57" t="str">
        <f>IFERROR(__xludf.DUMMYFUNCTION("""COMPUTED_VALUE"""),"Gross Exposure (Base)")</f>
        <v>Gross Exposure (Base)</v>
      </c>
      <c r="BY5" s="57" t="str">
        <f>IFERROR(__xludf.DUMMYFUNCTION("""COMPUTED_VALUE"""),"Gross Market Value (Base)")</f>
        <v>Gross Market Value (Base)</v>
      </c>
      <c r="BZ5" s="57" t="str">
        <f>IFERROR(__xludf.DUMMYFUNCTION("""COMPUTED_VALUE"""),"Px Selected Feed (Local)")</f>
        <v>Px Selected Feed (Local)</v>
      </c>
      <c r="CA5" s="57" t="str">
        <f>IFERROR(__xludf.DUMMYFUNCTION("""COMPUTED_VALUE"""),"Px Selected Feed (Base)")</f>
        <v>Px Selected Feed (Base)</v>
      </c>
      <c r="CB5" s="57" t="str">
        <f>IFERROR(__xludf.DUMMYFUNCTION("""COMPUTED_VALUE"""),"Settlement Date")</f>
        <v>Settlement Date</v>
      </c>
      <c r="CC5" s="57" t="str">
        <f>IFERROR(__xludf.DUMMYFUNCTION("""COMPUTED_VALUE"""),"% Avg Volume")</f>
        <v>% Avg Volume</v>
      </c>
      <c r="CD5" s="57" t="str">
        <f>IFERROR(__xludf.DUMMYFUNCTION("""COMPUTED_VALUE"""),"Day P&amp;L (Base)(Price Gain)")</f>
        <v>Day P&amp;L (Base)(Price Gain)</v>
      </c>
      <c r="CE5" s="57" t="str">
        <f>IFERROR(__xludf.DUMMYFUNCTION("""COMPUTED_VALUE"""),"Day P&amp;L (Base)(FX Gain)")</f>
        <v>Day P&amp;L (Base)(FX Gain)</v>
      </c>
      <c r="CF5" s="57" t="str">
        <f>IFERROR(__xludf.DUMMYFUNCTION("""COMPUTED_VALUE"""),"Cost Basis P&amp;L (Base)(FX Gain)")</f>
        <v>Cost Basis P&amp;L (Base)(FX Gain)</v>
      </c>
      <c r="CG5" s="57" t="str">
        <f>IFERROR(__xludf.DUMMYFUNCTION("""COMPUTED_VALUE"""),"Cost Basis P&amp;L (Base)(Price Gain)")</f>
        <v>Cost Basis P&amp;L (Base)(Price Gain)</v>
      </c>
      <c r="CH5" s="57" t="str">
        <f>IFERROR(__xludf.DUMMYFUNCTION("""COMPUTED_VALUE"""),"% Gain/Loss Cost")</f>
        <v>% Gain/Loss Cost</v>
      </c>
      <c r="CI5" s="57" t="str">
        <f>IFERROR(__xludf.DUMMYFUNCTION("""COMPUTED_VALUE"""),"Underlying Value (Options)")</f>
        <v>Underlying Value (Options)</v>
      </c>
      <c r="CJ5" s="57" t="str">
        <f>IFERROR(__xludf.DUMMYFUNCTION("""COMPUTED_VALUE"""),"Avg Volume 20 Day (Underlying Symbol)")</f>
        <v>Avg Volume 20 Day (Underlying Symbol)</v>
      </c>
      <c r="CK5" s="57" t="str">
        <f>IFERROR(__xludf.DUMMYFUNCTION("""COMPUTED_VALUE"""),"IsStaleData")</f>
        <v>IsStaleData</v>
      </c>
      <c r="CL5" s="57" t="str">
        <f>IFERROR(__xludf.DUMMYFUNCTION("""COMPUTED_VALUE"""),"IDCO")</f>
        <v>IDCO</v>
      </c>
      <c r="CM5" s="57" t="str">
        <f>IFERROR(__xludf.DUMMYFUNCTION("""COMPUTED_VALUE"""),"OSI")</f>
        <v>OSI</v>
      </c>
      <c r="CN5" s="57" t="str">
        <f>IFERROR(__xludf.DUMMYFUNCTION("""COMPUTED_VALUE"""),"SEDOL")</f>
        <v>SEDOL</v>
      </c>
      <c r="CO5" s="57" t="str">
        <f>IFERROR(__xludf.DUMMYFUNCTION("""COMPUTED_VALUE"""),"CUSIP")</f>
        <v>CUSIP</v>
      </c>
      <c r="CP5" s="57" t="str">
        <f>IFERROR(__xludf.DUMMYFUNCTION("""COMPUTED_VALUE"""),"Bloomberg")</f>
        <v>Bloomberg</v>
      </c>
      <c r="CQ5" s="57" t="str">
        <f>IFERROR(__xludf.DUMMYFUNCTION("""COMPUTED_VALUE"""),"ISIN")</f>
        <v>ISIN</v>
      </c>
      <c r="CR5" s="57" t="str">
        <f>IFERROR(__xludf.DUMMYFUNCTION("""COMPUTED_VALUE"""),"Start Trade Date")</f>
        <v>Start Trade Date</v>
      </c>
      <c r="CS5" s="57" t="str">
        <f>IFERROR(__xludf.DUMMYFUNCTION("""COMPUTED_VALUE"""),"Cost Basis (Break Even)")</f>
        <v>Cost Basis (Break Even)</v>
      </c>
      <c r="CT5" s="57" t="str">
        <f>IFERROR(__xludf.DUMMYFUNCTION("""COMPUTED_VALUE"""),"Trade Attribute 3")</f>
        <v>Trade Attribute 3</v>
      </c>
      <c r="CU5" s="57" t="str">
        <f>IFERROR(__xludf.DUMMYFUNCTION("""COMPUTED_VALUE"""),"Trade Attribute 4")</f>
        <v>Trade Attribute 4</v>
      </c>
      <c r="CV5" s="57" t="str">
        <f>IFERROR(__xludf.DUMMYFUNCTION("""COMPUTED_VALUE"""),"Trade Attribute 5")</f>
        <v>Trade Attribute 5</v>
      </c>
      <c r="CW5" s="57" t="str">
        <f>IFERROR(__xludf.DUMMYFUNCTION("""COMPUTED_VALUE"""),"Trade Attribute 6")</f>
        <v>Trade Attribute 6</v>
      </c>
      <c r="CX5" s="57" t="str">
        <f>IFERROR(__xludf.DUMMYFUNCTION("""COMPUTED_VALUE"""),"Proxy Symbol")</f>
        <v>Proxy Symbol</v>
      </c>
      <c r="CY5" s="57" t="str">
        <f>IFERROR(__xludf.DUMMYFUNCTION("""COMPUTED_VALUE"""),"Pricing Source")</f>
        <v>Pricing Source</v>
      </c>
      <c r="CZ5" s="57" t="str">
        <f>IFERROR(__xludf.DUMMYFUNCTION("""COMPUTED_VALUE"""),"Delta Source")</f>
        <v>Delta Source</v>
      </c>
      <c r="DA5" s="57" t="str">
        <f>IFERROR(__xludf.DUMMYFUNCTION("""COMPUTED_VALUE"""),"Gross Exposure (Local)")</f>
        <v>Gross Exposure (Local)</v>
      </c>
      <c r="DB5" s="57" t="str">
        <f>IFERROR(__xludf.DUMMYFUNCTION("""COMPUTED_VALUE"""),"% Day P&amp;L (Net MV)")</f>
        <v>% Day P&amp;L (Net MV)</v>
      </c>
      <c r="DC5" s="57" t="str">
        <f>IFERROR(__xludf.DUMMYFUNCTION("""COMPUTED_VALUE"""),"Expiration Month")</f>
        <v>Expiration Month</v>
      </c>
      <c r="DD5" s="57" t="str">
        <f>IFERROR(__xludf.DUMMYFUNCTION("""COMPUTED_VALUE"""),"Delta Adj. Position (LME)")</f>
        <v>Delta Adj. Position (LME)</v>
      </c>
      <c r="DE5" s="57" t="str">
        <f>IFERROR(__xludf.DUMMYFUNCTION("""COMPUTED_VALUE"""),"Premium")</f>
        <v>Premium</v>
      </c>
      <c r="DF5" s="57" t="str">
        <f>IFERROR(__xludf.DUMMYFUNCTION("""COMPUTED_VALUE"""),"Premium $")</f>
        <v>Premium $</v>
      </c>
      <c r="DG5" s="57" t="str">
        <f>IFERROR(__xludf.DUMMYFUNCTION("""COMPUTED_VALUE"""),"Forward Points")</f>
        <v>Forward Points</v>
      </c>
      <c r="DH5" s="57" t="str">
        <f>IFERROR(__xludf.DUMMYFUNCTION("""COMPUTED_VALUE"""),"Closing Mark (Underlying)")</f>
        <v>Closing Mark (Underlying)</v>
      </c>
      <c r="DI5" s="57" t="str">
        <f>IFERROR(__xludf.DUMMYFUNCTION("""COMPUTED_VALUE"""),"% Change (Underlying Price)")</f>
        <v>% Change (Underlying Price)</v>
      </c>
      <c r="DJ5" s="57" t="str">
        <f>IFERROR(__xludf.DUMMYFUNCTION("""COMPUTED_VALUE"""),"Transaction Type")</f>
        <v>Transaction Type</v>
      </c>
      <c r="DK5" s="57" t="str">
        <f>IFERROR(__xludf.DUMMYFUNCTION("""COMPUTED_VALUE"""),"Closing Market Value (Local)")</f>
        <v>Closing Market Value (Local)</v>
      </c>
      <c r="DL5" s="57" t="str">
        <f>IFERROR(__xludf.DUMMYFUNCTION("""COMPUTED_VALUE"""),"Closing Market Value (Base)")</f>
        <v>Closing Market Value (Base)</v>
      </c>
      <c r="DM5" s="57" t="str">
        <f>IFERROR(__xludf.DUMMYFUNCTION("""COMPUTED_VALUE"""),"Closing FX Rate")</f>
        <v>Closing FX Rate</v>
      </c>
      <c r="DN5" s="57" t="str">
        <f>IFERROR(__xludf.DUMMYFUNCTION("""COMPUTED_VALUE"""),"Change In Underlying Price")</f>
        <v>Change In Underlying Price</v>
      </c>
      <c r="DO5" s="57" t="str">
        <f>IFERROR(__xludf.DUMMYFUNCTION("""COMPUTED_VALUE"""),"RIC")</f>
        <v>RIC</v>
      </c>
      <c r="DP5" s="57" t="str">
        <f>IFERROR(__xludf.DUMMYFUNCTION("""COMPUTED_VALUE"""),"Position Side Exposure (Boxed)")</f>
        <v>Position Side Exposure (Boxed)</v>
      </c>
      <c r="DQ5" s="57" t="str">
        <f>IFERROR(__xludf.DUMMYFUNCTION("""COMPUTED_VALUE"""),"Analyst")</f>
        <v>Analyst</v>
      </c>
      <c r="DR5" s="57" t="str">
        <f>IFERROR(__xludf.DUMMYFUNCTION("""COMPUTED_VALUE"""),"Country Of Risk")</f>
        <v>Country Of Risk</v>
      </c>
      <c r="DS5" s="57" t="str">
        <f>IFERROR(__xludf.DUMMYFUNCTION("""COMPUTED_VALUE"""),"Custom UDA1")</f>
        <v>Custom UDA1</v>
      </c>
      <c r="DT5" s="57" t="str">
        <f>IFERROR(__xludf.DUMMYFUNCTION("""COMPUTED_VALUE"""),"Custom UDA2")</f>
        <v>Custom UDA2</v>
      </c>
      <c r="DU5" s="57" t="str">
        <f>IFERROR(__xludf.DUMMYFUNCTION("""COMPUTED_VALUE"""),"Custom UDA3")</f>
        <v>Custom UDA3</v>
      </c>
      <c r="DV5" s="57" t="str">
        <f>IFERROR(__xludf.DUMMYFUNCTION("""COMPUTED_VALUE"""),"Custom UDA4")</f>
        <v>Custom UDA4</v>
      </c>
      <c r="DW5" s="57" t="str">
        <f>IFERROR(__xludf.DUMMYFUNCTION("""COMPUTED_VALUE"""),"Custom UDA5")</f>
        <v>Custom UDA5</v>
      </c>
      <c r="DX5" s="57" t="str">
        <f>IFERROR(__xludf.DUMMYFUNCTION("""COMPUTED_VALUE"""),"Custom UDA6")</f>
        <v>Custom UDA6</v>
      </c>
      <c r="DY5" s="57" t="str">
        <f>IFERROR(__xludf.DUMMYFUNCTION("""COMPUTED_VALUE"""),"Custom UDA7")</f>
        <v>Custom UDA7</v>
      </c>
      <c r="DZ5" s="57" t="str">
        <f>IFERROR(__xludf.DUMMYFUNCTION("""COMPUTED_VALUE"""),"Issuer")</f>
        <v>Issuer</v>
      </c>
      <c r="EA5" s="57" t="str">
        <f>IFERROR(__xludf.DUMMYFUNCTION("""COMPUTED_VALUE"""),"Liquid Tag")</f>
        <v>Liquid Tag</v>
      </c>
      <c r="EB5" s="57" t="str">
        <f>IFERROR(__xludf.DUMMYFUNCTION("""COMPUTED_VALUE"""),"Market Cap UDA")</f>
        <v>Market Cap UDA</v>
      </c>
      <c r="EC5" s="57" t="str">
        <f>IFERROR(__xludf.DUMMYFUNCTION("""COMPUTED_VALUE"""),"Region")</f>
        <v>Region</v>
      </c>
      <c r="ED5" s="57" t="str">
        <f>IFERROR(__xludf.DUMMYFUNCTION("""COMPUTED_VALUE"""),"Risk Currency")</f>
        <v>Risk Currency</v>
      </c>
      <c r="EE5" s="57" t="str">
        <f>IFERROR(__xludf.DUMMYFUNCTION("""COMPUTED_VALUE"""),"UCITS Eligible Tag")</f>
        <v>UCITS Eligible Tag</v>
      </c>
      <c r="EF5" s="57" t="str">
        <f>IFERROR(__xludf.DUMMYFUNCTION("""COMPUTED_VALUE"""),"FX Rate (Display)")</f>
        <v>FX Rate (Display)</v>
      </c>
      <c r="EG5" s="57" t="str">
        <f>IFERROR(__xludf.DUMMYFUNCTION("""COMPUTED_VALUE"""),"% Net Exposure (Base)")</f>
        <v>% Net Exposure (Base)</v>
      </c>
      <c r="EH5" s="57" t="str">
        <f>IFERROR(__xludf.DUMMYFUNCTION("""COMPUTED_VALUE"""),"% Gross Exposure (Base)")</f>
        <v>% Gross Exposure (Base)</v>
      </c>
      <c r="EI5" s="57" t="str">
        <f>IFERROR(__xludf.DUMMYFUNCTION("""COMPUTED_VALUE"""),"% Exposure (Base)")</f>
        <v>% Exposure (Base)</v>
      </c>
      <c r="EJ5" s="57" t="str">
        <f>IFERROR(__xludf.DUMMYFUNCTION("""COMPUTED_VALUE"""),"% Gross Exposure (Underlying) (Base)")</f>
        <v>% Gross Exposure (Underlying) (Base)</v>
      </c>
      <c r="EK5" s="57" t="str">
        <f>IFERROR(__xludf.DUMMYFUNCTION("""COMPUTED_VALUE"""),"% Beta Adj. Gross Exposure (Base)")</f>
        <v>% Beta Adj. Gross Exposure (Base)</v>
      </c>
      <c r="EL5" s="57" t="str">
        <f>IFERROR(__xludf.DUMMYFUNCTION("""COMPUTED_VALUE"""),"Position Side Exposure (Underlying)")</f>
        <v>Position Side Exposure (Underlying)</v>
      </c>
      <c r="EM5" s="57" t="str">
        <f>IFERROR(__xludf.DUMMYFUNCTION("""COMPUTED_VALUE"""),"Gross Exposure (Underlying) (Base)")</f>
        <v>Gross Exposure (Underlying) (Base)</v>
      </c>
      <c r="EN5" s="57" t="str">
        <f>IFERROR(__xludf.DUMMYFUNCTION("""COMPUTED_VALUE"""),"Gross Exposure (Underlying)")</f>
        <v>Gross Exposure (Underlying)</v>
      </c>
      <c r="EO5" s="57" t="str">
        <f>IFERROR(__xludf.DUMMYFUNCTION("""COMPUTED_VALUE"""),"Day Return")</f>
        <v>Day Return</v>
      </c>
      <c r="EP5" s="57" t="str">
        <f>IFERROR(__xludf.DUMMYFUNCTION("""COMPUTED_VALUE"""),"Start of Day NAV")</f>
        <v>Start of Day NAV</v>
      </c>
      <c r="EQ5" s="57" t="str">
        <f>IFERROR(__xludf.DUMMYFUNCTION("""COMPUTED_VALUE"""),"% Gross Market Value (Base)")</f>
        <v>% Gross Market Value (Base)</v>
      </c>
      <c r="ER5" s="57" t="str">
        <f>IFERROR(__xludf.DUMMYFUNCTION("""COMPUTED_VALUE"""),"Beta Adj. Gross Exposure (Underlying) (Local)")</f>
        <v>Beta Adj. Gross Exposure (Underlying) (Local)</v>
      </c>
      <c r="ES5" s="57" t="str">
        <f>IFERROR(__xludf.DUMMYFUNCTION("""COMPUTED_VALUE"""),"NAV")</f>
        <v>NAV</v>
      </c>
      <c r="ET5" s="57" t="str">
        <f>IFERROR(__xludf.DUMMYFUNCTION("""COMPUTED_VALUE"""),"% P&amp;L Contribution")</f>
        <v>% P&amp;L Contribution</v>
      </c>
      <c r="EU5" s="57" t="str">
        <f>IFERROR(__xludf.DUMMYFUNCTION("""COMPUTED_VALUE"""),"% Net Market Value (Base)")</f>
        <v>% Net Market Value (Base)</v>
      </c>
      <c r="EV5" s="57" t="str">
        <f>IFERROR(__xludf.DUMMYFUNCTION("""COMPUTED_VALUE"""),"Position Side Exposure")</f>
        <v>Position Side Exposure</v>
      </c>
      <c r="EW5" s="57" t="str">
        <f>IFERROR(__xludf.DUMMYFUNCTION("""COMPUTED_VALUE"""),"NAV (Touch)")</f>
        <v>NAV (Touch)</v>
      </c>
      <c r="EX5" s="57" t="str">
        <f>IFERROR(__xludf.DUMMYFUNCTION("""COMPUTED_VALUE"""),"IgnorePropertyChangeEvents")</f>
        <v>IgnorePropertyChangeEvents</v>
      </c>
      <c r="EY5" s="57" t="str">
        <f>IFERROR(__xludf.DUMMYFUNCTION("""COMPUTED_VALUE"""),"Trade Attribute 1")</f>
        <v>Trade Attribute 1</v>
      </c>
      <c r="EZ5" s="57" t="str">
        <f>IFERROR(__xludf.DUMMYFUNCTION("""COMPUTED_VALUE"""),"Trade Attribute 2")</f>
        <v>Trade Attribute 2</v>
      </c>
      <c r="FA5" s="57" t="str">
        <f>IFERROR(__xludf.DUMMYFUNCTION("""COMPUTED_VALUE"""),"Client")</f>
        <v>Client</v>
      </c>
      <c r="FB5" s="57" t="str">
        <f>IFERROR(__xludf.DUMMYFUNCTION("""COMPUTED_VALUE"""),"IsCustomViewTab")</f>
        <v>IsCustomViewTab</v>
      </c>
      <c r="FC5" s="57" t="str">
        <f>IFERROR(__xludf.DUMMYFUNCTION("""COMPUTED_VALUE"""),"ITM/OTM")</f>
        <v>ITM/OTM</v>
      </c>
      <c r="FD5" s="57" t="str">
        <f>IFERROR(__xludf.DUMMYFUNCTION("""COMPUTED_VALUE"""),"Days to Expiry")</f>
        <v>Days to Expiry</v>
      </c>
      <c r="FE5" s="57" t="str">
        <f>IFERROR(__xludf.DUMMYFUNCTION("""COMPUTED_VALUE"""),"% of Underlying Price")</f>
        <v>% of Underlying Price</v>
      </c>
      <c r="FF5" s="57" t="str">
        <f>IFERROR(__xludf.DUMMYFUNCTION("""COMPUTED_VALUE"""),"Intrinsic value")</f>
        <v>Intrinsic value</v>
      </c>
      <c r="FG5" s="57" t="str">
        <f>IFERROR(__xludf.DUMMYFUNCTION("""COMPUTED_VALUE"""),"Gain/Loss if Ex./Assign")</f>
        <v>Gain/Loss if Ex./Assign</v>
      </c>
      <c r="FH5" s="57" t="str">
        <f>IFERROR(__xludf.DUMMYFUNCTION("""COMPUTED_VALUE"""),"Day Traded Position")</f>
        <v>Day Traded Position</v>
      </c>
      <c r="FI5" s="57" t="str">
        <f>IFERROR(__xludf.DUMMYFUNCTION("""COMPUTED_VALUE"""),"isRowCountCheck")</f>
        <v>isRowCountCheck</v>
      </c>
      <c r="FJ5" s="57" t="str">
        <f>IFERROR(__xludf.DUMMYFUNCTION("""COMPUTED_VALUE"""),"ACTIV Symbol")</f>
        <v>ACTIV Symbol</v>
      </c>
      <c r="FK5" s="57"/>
    </row>
    <row r="6" ht="15.75" customHeight="1">
      <c r="A6" s="58"/>
      <c r="B6" s="58"/>
      <c r="C6" s="34" t="s">
        <v>20</v>
      </c>
      <c r="D6" s="58">
        <v>100.0</v>
      </c>
      <c r="E6" s="58" t="s">
        <v>22</v>
      </c>
      <c r="F6" s="58" t="s">
        <v>18</v>
      </c>
      <c r="G6" s="58">
        <v>10.0</v>
      </c>
      <c r="H6" s="58"/>
      <c r="I6" s="44"/>
      <c r="J6" s="44"/>
      <c r="K6" s="44"/>
      <c r="L6" s="44"/>
      <c r="M6" s="44"/>
      <c r="N6" s="59">
        <v>-100000.0</v>
      </c>
      <c r="O6" s="44"/>
      <c r="P6" s="46"/>
      <c r="Q6" s="59">
        <v>-100000.0</v>
      </c>
      <c r="R6" s="46"/>
      <c r="S6" s="46"/>
      <c r="T6" s="60" t="s">
        <v>27</v>
      </c>
      <c r="U6" s="61"/>
      <c r="V6" s="46"/>
      <c r="W6" s="61"/>
      <c r="X6" s="46"/>
      <c r="Y6" s="61">
        <v>1.0</v>
      </c>
      <c r="Z6" s="46"/>
      <c r="AA6" s="46"/>
      <c r="AB6" s="61">
        <v>0.0</v>
      </c>
      <c r="AC6" s="61">
        <v>0.0</v>
      </c>
      <c r="AD6" s="61">
        <v>0.0</v>
      </c>
      <c r="AE6" s="61">
        <v>0.0</v>
      </c>
      <c r="AF6" s="62">
        <v>0.0</v>
      </c>
      <c r="AG6" s="61">
        <v>0.0</v>
      </c>
      <c r="AH6" s="61">
        <v>0.0</v>
      </c>
      <c r="AI6" s="61">
        <v>0.0</v>
      </c>
      <c r="AJ6" s="61"/>
      <c r="AK6" s="59"/>
      <c r="AL6" s="46"/>
      <c r="AM6" s="46"/>
      <c r="AN6" s="36" t="s">
        <v>21</v>
      </c>
      <c r="AO6" s="46"/>
      <c r="AP6" s="61" t="s">
        <v>31</v>
      </c>
      <c r="AQ6" s="61" t="s">
        <v>41</v>
      </c>
      <c r="AR6" s="46"/>
      <c r="AS6" s="61">
        <v>1.0</v>
      </c>
      <c r="AT6" s="46"/>
      <c r="AU6" s="46"/>
      <c r="AV6" s="61"/>
      <c r="AW6" s="59"/>
      <c r="AX6" s="61">
        <v>0.0</v>
      </c>
      <c r="AY6" s="61">
        <v>0.0</v>
      </c>
      <c r="AZ6" s="61">
        <v>0.0</v>
      </c>
      <c r="BA6" s="37">
        <v>-100.0</v>
      </c>
      <c r="BB6" s="46"/>
      <c r="BC6" s="46"/>
      <c r="BD6" s="63"/>
      <c r="BE6" s="46"/>
      <c r="BF6" s="46"/>
      <c r="BG6" s="46"/>
      <c r="BH6" s="46"/>
      <c r="BI6" s="46"/>
      <c r="BJ6" s="61">
        <v>0.0</v>
      </c>
      <c r="BK6" s="61">
        <v>0.0</v>
      </c>
      <c r="BL6" s="61">
        <v>0.0</v>
      </c>
      <c r="BM6" s="61">
        <v>0.0</v>
      </c>
      <c r="BN6" s="46"/>
      <c r="BO6" s="63">
        <v>-100000.0</v>
      </c>
      <c r="BP6" s="61">
        <v>0.0</v>
      </c>
      <c r="BQ6" s="46"/>
      <c r="BR6" s="61" t="s">
        <v>36</v>
      </c>
      <c r="BS6" s="61">
        <v>0.0</v>
      </c>
      <c r="BT6" s="61">
        <v>0.0</v>
      </c>
      <c r="BU6" s="61" t="s">
        <v>48</v>
      </c>
      <c r="BV6" s="46"/>
      <c r="BW6" s="61">
        <v>20.0</v>
      </c>
      <c r="BX6" s="61">
        <v>0.0</v>
      </c>
      <c r="BY6" s="61">
        <v>0.0</v>
      </c>
      <c r="BZ6" s="61">
        <v>0.0</v>
      </c>
      <c r="CA6" s="61">
        <v>0.0</v>
      </c>
      <c r="CB6" s="46"/>
      <c r="CC6" s="61">
        <v>0.0</v>
      </c>
      <c r="CD6" s="59">
        <v>-100000.0</v>
      </c>
      <c r="CE6" s="61">
        <v>0.0</v>
      </c>
      <c r="CF6" s="61">
        <v>0.0</v>
      </c>
      <c r="CG6" s="59">
        <v>-100000.0</v>
      </c>
      <c r="CH6" s="61">
        <v>-100.0</v>
      </c>
      <c r="CI6" s="61"/>
      <c r="CJ6" s="61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61" t="s">
        <v>18</v>
      </c>
      <c r="CX6" s="46"/>
      <c r="CY6" s="46"/>
      <c r="CZ6" s="46"/>
      <c r="DA6" s="61">
        <v>0.0</v>
      </c>
      <c r="DB6" s="61">
        <v>0.0</v>
      </c>
      <c r="DC6" s="46"/>
      <c r="DD6" s="37">
        <v>0.0</v>
      </c>
      <c r="DE6" s="61">
        <v>0.0</v>
      </c>
      <c r="DF6" s="61">
        <v>0.0</v>
      </c>
      <c r="DG6" s="61">
        <v>0.0</v>
      </c>
      <c r="DH6" s="46"/>
      <c r="DI6" s="46"/>
      <c r="DJ6" s="36" t="s">
        <v>21</v>
      </c>
      <c r="DK6" s="46"/>
      <c r="DL6" s="46"/>
      <c r="DM6" s="61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</row>
    <row r="7" ht="15.75" customHeight="1">
      <c r="A7" s="44"/>
      <c r="B7" s="44"/>
      <c r="C7" s="34" t="s">
        <v>20</v>
      </c>
      <c r="D7" s="58">
        <v>-100.0</v>
      </c>
      <c r="E7" s="58" t="s">
        <v>22</v>
      </c>
      <c r="F7" s="58" t="s">
        <v>18</v>
      </c>
      <c r="G7" s="58">
        <v>0.0</v>
      </c>
      <c r="H7" s="58"/>
      <c r="I7" s="44"/>
      <c r="J7" s="44"/>
      <c r="K7" s="44"/>
      <c r="L7" s="44"/>
      <c r="M7" s="44"/>
      <c r="N7" s="62">
        <v>0.0</v>
      </c>
      <c r="O7" s="44"/>
      <c r="P7" s="46"/>
      <c r="Q7" s="62">
        <v>0.0</v>
      </c>
      <c r="R7" s="46"/>
      <c r="S7" s="46"/>
      <c r="T7" s="60" t="s">
        <v>27</v>
      </c>
      <c r="U7" s="61"/>
      <c r="V7" s="46"/>
      <c r="W7" s="61"/>
      <c r="X7" s="46"/>
      <c r="Y7" s="61">
        <v>1.0</v>
      </c>
      <c r="Z7" s="46"/>
      <c r="AA7" s="46"/>
      <c r="AB7" s="61">
        <v>0.0</v>
      </c>
      <c r="AC7" s="61">
        <v>0.0</v>
      </c>
      <c r="AD7" s="61">
        <v>0.0</v>
      </c>
      <c r="AE7" s="61">
        <v>0.0</v>
      </c>
      <c r="AF7" s="62">
        <v>0.0</v>
      </c>
      <c r="AG7" s="61">
        <v>0.0</v>
      </c>
      <c r="AH7" s="61">
        <v>0.0</v>
      </c>
      <c r="AI7" s="61">
        <v>0.0</v>
      </c>
      <c r="AJ7" s="61"/>
      <c r="AK7" s="62"/>
      <c r="AL7" s="46"/>
      <c r="AM7" s="46"/>
      <c r="AN7" s="36" t="s">
        <v>32</v>
      </c>
      <c r="AO7" s="46"/>
      <c r="AP7" s="61" t="s">
        <v>31</v>
      </c>
      <c r="AQ7" s="61" t="s">
        <v>41</v>
      </c>
      <c r="AR7" s="46"/>
      <c r="AS7" s="61">
        <v>-1.0</v>
      </c>
      <c r="AT7" s="46"/>
      <c r="AU7" s="46"/>
      <c r="AV7" s="61"/>
      <c r="AW7" s="62"/>
      <c r="AX7" s="61">
        <v>0.0</v>
      </c>
      <c r="AY7" s="61">
        <v>0.0</v>
      </c>
      <c r="AZ7" s="61">
        <v>0.0</v>
      </c>
      <c r="BA7" s="37">
        <v>0.0</v>
      </c>
      <c r="BB7" s="46"/>
      <c r="BC7" s="46"/>
      <c r="BD7" s="37"/>
      <c r="BE7" s="46"/>
      <c r="BF7" s="46"/>
      <c r="BG7" s="46"/>
      <c r="BH7" s="46"/>
      <c r="BI7" s="46"/>
      <c r="BJ7" s="61">
        <v>0.0</v>
      </c>
      <c r="BK7" s="61">
        <v>0.0</v>
      </c>
      <c r="BL7" s="61">
        <v>0.0</v>
      </c>
      <c r="BM7" s="61">
        <v>0.0</v>
      </c>
      <c r="BN7" s="46"/>
      <c r="BO7" s="37">
        <v>0.0</v>
      </c>
      <c r="BP7" s="61">
        <v>0.0</v>
      </c>
      <c r="BQ7" s="46"/>
      <c r="BR7" s="61" t="s">
        <v>36</v>
      </c>
      <c r="BS7" s="61">
        <v>0.0</v>
      </c>
      <c r="BT7" s="61">
        <v>0.0</v>
      </c>
      <c r="BU7" s="61" t="s">
        <v>48</v>
      </c>
      <c r="BV7" s="46"/>
      <c r="BW7" s="61">
        <v>20.0</v>
      </c>
      <c r="BX7" s="61">
        <v>0.0</v>
      </c>
      <c r="BY7" s="61">
        <v>0.0</v>
      </c>
      <c r="BZ7" s="61">
        <v>0.0</v>
      </c>
      <c r="CA7" s="61">
        <v>0.0</v>
      </c>
      <c r="CB7" s="46"/>
      <c r="CC7" s="61">
        <v>0.0</v>
      </c>
      <c r="CD7" s="62">
        <v>0.0</v>
      </c>
      <c r="CE7" s="61">
        <v>0.0</v>
      </c>
      <c r="CF7" s="61">
        <v>0.0</v>
      </c>
      <c r="CG7" s="62">
        <v>0.0</v>
      </c>
      <c r="CH7" s="61">
        <v>0.0</v>
      </c>
      <c r="CI7" s="61"/>
      <c r="CJ7" s="61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61" t="s">
        <v>18</v>
      </c>
      <c r="CX7" s="46"/>
      <c r="CY7" s="46"/>
      <c r="CZ7" s="46"/>
      <c r="DA7" s="61">
        <v>0.0</v>
      </c>
      <c r="DB7" s="61">
        <v>0.0</v>
      </c>
      <c r="DC7" s="46"/>
      <c r="DD7" s="37">
        <v>0.0</v>
      </c>
      <c r="DE7" s="61">
        <v>0.0</v>
      </c>
      <c r="DF7" s="61">
        <v>0.0</v>
      </c>
      <c r="DG7" s="61">
        <v>0.0</v>
      </c>
      <c r="DH7" s="46"/>
      <c r="DI7" s="46"/>
      <c r="DJ7" s="61" t="s">
        <v>42</v>
      </c>
      <c r="DK7" s="46"/>
      <c r="DL7" s="46"/>
      <c r="DM7" s="61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61">
        <v>0.0</v>
      </c>
      <c r="EH7" s="61">
        <v>0.0</v>
      </c>
      <c r="EI7" s="61">
        <v>0.0</v>
      </c>
      <c r="EJ7" s="61">
        <v>0.0</v>
      </c>
      <c r="EK7" s="61">
        <v>0.0</v>
      </c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</row>
    <row r="8" ht="15.75" customHeight="1">
      <c r="A8" s="44"/>
      <c r="B8" s="44"/>
      <c r="C8" s="34" t="s">
        <v>41</v>
      </c>
      <c r="D8" s="58">
        <v>10000.0</v>
      </c>
      <c r="E8" s="58" t="s">
        <v>22</v>
      </c>
      <c r="F8" s="58" t="s">
        <v>18</v>
      </c>
      <c r="G8" s="58">
        <v>20.0</v>
      </c>
      <c r="H8" s="58"/>
      <c r="I8" s="44"/>
      <c r="J8" s="44"/>
      <c r="K8" s="44"/>
      <c r="L8" s="44"/>
      <c r="M8" s="44"/>
      <c r="N8" s="59">
        <v>-200000.0</v>
      </c>
      <c r="O8" s="44"/>
      <c r="P8" s="46"/>
      <c r="Q8" s="59">
        <v>-200000.0</v>
      </c>
      <c r="R8" s="46"/>
      <c r="S8" s="46"/>
      <c r="T8" s="60" t="s">
        <v>43</v>
      </c>
      <c r="U8" s="61"/>
      <c r="V8" s="46"/>
      <c r="W8" s="61"/>
      <c r="X8" s="46"/>
      <c r="Y8" s="61">
        <v>1.0</v>
      </c>
      <c r="Z8" s="46"/>
      <c r="AA8" s="46"/>
      <c r="AB8" s="61">
        <v>0.0</v>
      </c>
      <c r="AC8" s="61">
        <v>0.0</v>
      </c>
      <c r="AD8" s="61">
        <v>0.0</v>
      </c>
      <c r="AE8" s="61">
        <v>0.0</v>
      </c>
      <c r="AF8" s="59">
        <v>10000.0</v>
      </c>
      <c r="AG8" s="61">
        <v>0.0</v>
      </c>
      <c r="AH8" s="61">
        <v>0.0</v>
      </c>
      <c r="AI8" s="61">
        <v>0.0</v>
      </c>
      <c r="AJ8" s="61"/>
      <c r="AK8" s="59"/>
      <c r="AL8" s="46"/>
      <c r="AM8" s="46"/>
      <c r="AN8" s="36" t="s">
        <v>45</v>
      </c>
      <c r="AO8" s="46"/>
      <c r="AP8" s="61" t="s">
        <v>31</v>
      </c>
      <c r="AQ8" s="61" t="s">
        <v>41</v>
      </c>
      <c r="AR8" s="46"/>
      <c r="AS8" s="61">
        <v>1.0</v>
      </c>
      <c r="AT8" s="46"/>
      <c r="AU8" s="46"/>
      <c r="AV8" s="61"/>
      <c r="AW8" s="59"/>
      <c r="AX8" s="61">
        <v>0.0</v>
      </c>
      <c r="AY8" s="61">
        <v>0.0</v>
      </c>
      <c r="AZ8" s="61">
        <v>0.0</v>
      </c>
      <c r="BA8" s="37">
        <v>-100.0</v>
      </c>
      <c r="BB8" s="46"/>
      <c r="BC8" s="46"/>
      <c r="BD8" s="63"/>
      <c r="BE8" s="46"/>
      <c r="BF8" s="46"/>
      <c r="BG8" s="46"/>
      <c r="BH8" s="46"/>
      <c r="BI8" s="46"/>
      <c r="BJ8" s="61">
        <v>0.0</v>
      </c>
      <c r="BK8" s="61">
        <v>0.0</v>
      </c>
      <c r="BL8" s="61">
        <v>0.0</v>
      </c>
      <c r="BM8" s="61">
        <v>0.0</v>
      </c>
      <c r="BN8" s="46"/>
      <c r="BO8" s="63">
        <v>-200000.0</v>
      </c>
      <c r="BP8" s="61">
        <v>0.0</v>
      </c>
      <c r="BQ8" s="46"/>
      <c r="BR8" s="61" t="s">
        <v>36</v>
      </c>
      <c r="BS8" s="61">
        <v>0.0</v>
      </c>
      <c r="BT8" s="61">
        <v>0.0</v>
      </c>
      <c r="BU8" s="61" t="s">
        <v>43</v>
      </c>
      <c r="BV8" s="46"/>
      <c r="BW8" s="61">
        <v>0.0</v>
      </c>
      <c r="BX8" s="61">
        <v>0.0</v>
      </c>
      <c r="BY8" s="61">
        <v>0.0</v>
      </c>
      <c r="BZ8" s="61">
        <v>0.0</v>
      </c>
      <c r="CA8" s="61">
        <v>0.0</v>
      </c>
      <c r="CB8" s="46"/>
      <c r="CC8" s="61">
        <v>0.0</v>
      </c>
      <c r="CD8" s="59">
        <v>-200000.0</v>
      </c>
      <c r="CE8" s="61">
        <v>0.0</v>
      </c>
      <c r="CF8" s="61">
        <v>0.0</v>
      </c>
      <c r="CG8" s="59">
        <v>-200000.0</v>
      </c>
      <c r="CH8" s="61">
        <v>-100.0</v>
      </c>
      <c r="CI8" s="61"/>
      <c r="CJ8" s="61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61" t="s">
        <v>18</v>
      </c>
      <c r="CX8" s="46"/>
      <c r="CY8" s="46"/>
      <c r="CZ8" s="46"/>
      <c r="DA8" s="61">
        <v>0.0</v>
      </c>
      <c r="DB8" s="61">
        <v>0.0</v>
      </c>
      <c r="DC8" s="46"/>
      <c r="DD8" s="63">
        <v>10000.0</v>
      </c>
      <c r="DE8" s="61">
        <v>0.0</v>
      </c>
      <c r="DF8" s="61">
        <v>0.0</v>
      </c>
      <c r="DG8" s="61">
        <v>0.0</v>
      </c>
      <c r="DH8" s="46"/>
      <c r="DI8" s="46"/>
      <c r="DJ8" s="61" t="s">
        <v>42</v>
      </c>
      <c r="DK8" s="46"/>
      <c r="DL8" s="46"/>
      <c r="DM8" s="61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61">
        <v>0.0</v>
      </c>
      <c r="EH8" s="61">
        <v>0.0</v>
      </c>
      <c r="EI8" s="61">
        <v>0.0</v>
      </c>
      <c r="EJ8" s="61">
        <v>0.0</v>
      </c>
      <c r="EK8" s="61">
        <v>0.0</v>
      </c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</row>
    <row r="9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</row>
    <row r="27" ht="15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</row>
    <row r="28" ht="15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</row>
    <row r="29" ht="15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</row>
    <row r="30" ht="15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</row>
    <row r="31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</row>
    <row r="32" ht="15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</row>
    <row r="34" ht="15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</row>
    <row r="35" ht="15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</row>
    <row r="36" ht="15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</row>
    <row r="37" ht="15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</row>
    <row r="38" ht="15.7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</row>
    <row r="39" ht="15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</row>
    <row r="40" ht="15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</row>
    <row r="41" ht="15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</row>
    <row r="42" ht="15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</row>
    <row r="44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  <c r="EX48" s="46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  <c r="EX49" s="46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46"/>
      <c r="EB50" s="46"/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  <c r="EN50" s="46"/>
      <c r="EO50" s="46"/>
      <c r="EP50" s="46"/>
      <c r="EQ50" s="46"/>
      <c r="ER50" s="46"/>
      <c r="ES50" s="46"/>
      <c r="ET50" s="46"/>
      <c r="EU50" s="46"/>
      <c r="EV50" s="46"/>
      <c r="EW50" s="46"/>
      <c r="EX50" s="46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46"/>
      <c r="EB51" s="46"/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  <c r="EN51" s="46"/>
      <c r="EO51" s="46"/>
      <c r="EP51" s="46"/>
      <c r="EQ51" s="46"/>
      <c r="ER51" s="46"/>
      <c r="ES51" s="46"/>
      <c r="ET51" s="46"/>
      <c r="EU51" s="46"/>
      <c r="EV51" s="46"/>
      <c r="EW51" s="46"/>
      <c r="EX51" s="46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46"/>
      <c r="EB52" s="46"/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  <c r="EN52" s="46"/>
      <c r="EO52" s="46"/>
      <c r="EP52" s="46"/>
      <c r="EQ52" s="46"/>
      <c r="ER52" s="46"/>
      <c r="ES52" s="46"/>
      <c r="ET52" s="46"/>
      <c r="EU52" s="46"/>
      <c r="EV52" s="46"/>
      <c r="EW52" s="46"/>
      <c r="EX52" s="46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46"/>
      <c r="EB53" s="46"/>
      <c r="EC53" s="46"/>
      <c r="ED53" s="46"/>
      <c r="EE53" s="46"/>
      <c r="EF53" s="46"/>
      <c r="EG53" s="46"/>
      <c r="EH53" s="46"/>
      <c r="EI53" s="46"/>
      <c r="EJ53" s="46"/>
      <c r="EK53" s="46"/>
      <c r="EL53" s="46"/>
      <c r="EM53" s="46"/>
      <c r="EN53" s="46"/>
      <c r="EO53" s="46"/>
      <c r="EP53" s="46"/>
      <c r="EQ53" s="46"/>
      <c r="ER53" s="46"/>
      <c r="ES53" s="46"/>
      <c r="ET53" s="46"/>
      <c r="EU53" s="46"/>
      <c r="EV53" s="46"/>
      <c r="EW53" s="46"/>
      <c r="EX53" s="46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6"/>
      <c r="DW54" s="46"/>
      <c r="DX54" s="46"/>
      <c r="DY54" s="46"/>
      <c r="DZ54" s="46"/>
      <c r="EA54" s="46"/>
      <c r="EB54" s="46"/>
      <c r="EC54" s="46"/>
      <c r="ED54" s="46"/>
      <c r="EE54" s="46"/>
      <c r="EF54" s="46"/>
      <c r="EG54" s="46"/>
      <c r="EH54" s="46"/>
      <c r="EI54" s="46"/>
      <c r="EJ54" s="46"/>
      <c r="EK54" s="46"/>
      <c r="EL54" s="46"/>
      <c r="EM54" s="46"/>
      <c r="EN54" s="46"/>
      <c r="EO54" s="46"/>
      <c r="EP54" s="46"/>
      <c r="EQ54" s="46"/>
      <c r="ER54" s="46"/>
      <c r="ES54" s="46"/>
      <c r="ET54" s="46"/>
      <c r="EU54" s="46"/>
      <c r="EV54" s="46"/>
      <c r="EW54" s="46"/>
      <c r="EX54" s="46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  <c r="EX55" s="46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46"/>
      <c r="EB58" s="46"/>
      <c r="EC58" s="46"/>
      <c r="ED58" s="46"/>
      <c r="EE58" s="46"/>
      <c r="EF58" s="46"/>
      <c r="EG58" s="46"/>
      <c r="EH58" s="46"/>
      <c r="EI58" s="46"/>
      <c r="EJ58" s="46"/>
      <c r="EK58" s="46"/>
      <c r="EL58" s="46"/>
      <c r="EM58" s="46"/>
      <c r="EN58" s="46"/>
      <c r="EO58" s="46"/>
      <c r="EP58" s="46"/>
      <c r="EQ58" s="46"/>
      <c r="ER58" s="46"/>
      <c r="ES58" s="46"/>
      <c r="ET58" s="46"/>
      <c r="EU58" s="46"/>
      <c r="EV58" s="46"/>
      <c r="EW58" s="46"/>
      <c r="EX58" s="46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  <c r="EX60" s="46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  <c r="EX61" s="46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  <c r="EX62" s="46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6"/>
      <c r="DN63" s="46"/>
      <c r="DO63" s="46"/>
      <c r="DP63" s="46"/>
      <c r="DQ63" s="46"/>
      <c r="DR63" s="46"/>
      <c r="DS63" s="46"/>
      <c r="DT63" s="46"/>
      <c r="DU63" s="46"/>
      <c r="DV63" s="46"/>
      <c r="DW63" s="46"/>
      <c r="DX63" s="46"/>
      <c r="DY63" s="46"/>
      <c r="DZ63" s="46"/>
      <c r="EA63" s="46"/>
      <c r="EB63" s="46"/>
      <c r="EC63" s="46"/>
      <c r="ED63" s="46"/>
      <c r="EE63" s="46"/>
      <c r="EF63" s="46"/>
      <c r="EG63" s="46"/>
      <c r="EH63" s="46"/>
      <c r="EI63" s="46"/>
      <c r="EJ63" s="46"/>
      <c r="EK63" s="46"/>
      <c r="EL63" s="46"/>
      <c r="EM63" s="46"/>
      <c r="EN63" s="46"/>
      <c r="EO63" s="46"/>
      <c r="EP63" s="46"/>
      <c r="EQ63" s="46"/>
      <c r="ER63" s="46"/>
      <c r="ES63" s="46"/>
      <c r="ET63" s="46"/>
      <c r="EU63" s="46"/>
      <c r="EV63" s="46"/>
      <c r="EW63" s="46"/>
      <c r="EX63" s="46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  <c r="EN64" s="46"/>
      <c r="EO64" s="46"/>
      <c r="EP64" s="46"/>
      <c r="EQ64" s="46"/>
      <c r="ER64" s="46"/>
      <c r="ES64" s="46"/>
      <c r="ET64" s="46"/>
      <c r="EU64" s="46"/>
      <c r="EV64" s="46"/>
      <c r="EW64" s="46"/>
      <c r="EX64" s="46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  <c r="DM65" s="46"/>
      <c r="DN65" s="46"/>
      <c r="DO65" s="46"/>
      <c r="DP65" s="46"/>
      <c r="DQ65" s="46"/>
      <c r="DR65" s="46"/>
      <c r="DS65" s="46"/>
      <c r="DT65" s="46"/>
      <c r="DU65" s="46"/>
      <c r="DV65" s="46"/>
      <c r="DW65" s="46"/>
      <c r="DX65" s="46"/>
      <c r="DY65" s="46"/>
      <c r="DZ65" s="46"/>
      <c r="EA65" s="46"/>
      <c r="EB65" s="46"/>
      <c r="EC65" s="46"/>
      <c r="ED65" s="46"/>
      <c r="EE65" s="46"/>
      <c r="EF65" s="46"/>
      <c r="EG65" s="46"/>
      <c r="EH65" s="46"/>
      <c r="EI65" s="46"/>
      <c r="EJ65" s="46"/>
      <c r="EK65" s="46"/>
      <c r="EL65" s="46"/>
      <c r="EM65" s="46"/>
      <c r="EN65" s="46"/>
      <c r="EO65" s="46"/>
      <c r="EP65" s="46"/>
      <c r="EQ65" s="46"/>
      <c r="ER65" s="46"/>
      <c r="ES65" s="46"/>
      <c r="ET65" s="46"/>
      <c r="EU65" s="46"/>
      <c r="EV65" s="46"/>
      <c r="EW65" s="46"/>
      <c r="EX65" s="46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46"/>
      <c r="EB66" s="46"/>
      <c r="EC66" s="46"/>
      <c r="ED66" s="46"/>
      <c r="EE66" s="46"/>
      <c r="EF66" s="46"/>
      <c r="EG66" s="46"/>
      <c r="EH66" s="46"/>
      <c r="EI66" s="46"/>
      <c r="EJ66" s="46"/>
      <c r="EK66" s="46"/>
      <c r="EL66" s="46"/>
      <c r="EM66" s="46"/>
      <c r="EN66" s="46"/>
      <c r="EO66" s="46"/>
      <c r="EP66" s="46"/>
      <c r="EQ66" s="46"/>
      <c r="ER66" s="46"/>
      <c r="ES66" s="46"/>
      <c r="ET66" s="46"/>
      <c r="EU66" s="46"/>
      <c r="EV66" s="46"/>
      <c r="EW66" s="46"/>
      <c r="EX66" s="46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6"/>
      <c r="DW67" s="46"/>
      <c r="DX67" s="46"/>
      <c r="DY67" s="46"/>
      <c r="DZ67" s="46"/>
      <c r="EA67" s="46"/>
      <c r="EB67" s="46"/>
      <c r="EC67" s="46"/>
      <c r="ED67" s="46"/>
      <c r="EE67" s="46"/>
      <c r="EF67" s="46"/>
      <c r="EG67" s="46"/>
      <c r="EH67" s="46"/>
      <c r="EI67" s="46"/>
      <c r="EJ67" s="46"/>
      <c r="EK67" s="46"/>
      <c r="EL67" s="46"/>
      <c r="EM67" s="46"/>
      <c r="EN67" s="46"/>
      <c r="EO67" s="46"/>
      <c r="EP67" s="46"/>
      <c r="EQ67" s="46"/>
      <c r="ER67" s="46"/>
      <c r="ES67" s="46"/>
      <c r="ET67" s="46"/>
      <c r="EU67" s="46"/>
      <c r="EV67" s="46"/>
      <c r="EW67" s="46"/>
      <c r="EX67" s="46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  <c r="EN68" s="46"/>
      <c r="EO68" s="46"/>
      <c r="EP68" s="46"/>
      <c r="EQ68" s="46"/>
      <c r="ER68" s="46"/>
      <c r="ES68" s="46"/>
      <c r="ET68" s="46"/>
      <c r="EU68" s="46"/>
      <c r="EV68" s="46"/>
      <c r="EW68" s="46"/>
      <c r="EX68" s="46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6"/>
      <c r="DN69" s="46"/>
      <c r="DO69" s="46"/>
      <c r="DP69" s="46"/>
      <c r="DQ69" s="46"/>
      <c r="DR69" s="46"/>
      <c r="DS69" s="46"/>
      <c r="DT69" s="46"/>
      <c r="DU69" s="46"/>
      <c r="DV69" s="46"/>
      <c r="DW69" s="46"/>
      <c r="DX69" s="46"/>
      <c r="DY69" s="46"/>
      <c r="DZ69" s="46"/>
      <c r="EA69" s="46"/>
      <c r="EB69" s="46"/>
      <c r="EC69" s="46"/>
      <c r="ED69" s="46"/>
      <c r="EE69" s="46"/>
      <c r="EF69" s="46"/>
      <c r="EG69" s="46"/>
      <c r="EH69" s="46"/>
      <c r="EI69" s="46"/>
      <c r="EJ69" s="46"/>
      <c r="EK69" s="46"/>
      <c r="EL69" s="46"/>
      <c r="EM69" s="46"/>
      <c r="EN69" s="46"/>
      <c r="EO69" s="46"/>
      <c r="EP69" s="46"/>
      <c r="EQ69" s="46"/>
      <c r="ER69" s="46"/>
      <c r="ES69" s="46"/>
      <c r="ET69" s="46"/>
      <c r="EU69" s="46"/>
      <c r="EV69" s="46"/>
      <c r="EW69" s="46"/>
      <c r="EX69" s="46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6"/>
      <c r="DW70" s="46"/>
      <c r="DX70" s="46"/>
      <c r="DY70" s="46"/>
      <c r="DZ70" s="46"/>
      <c r="EA70" s="46"/>
      <c r="EB70" s="46"/>
      <c r="EC70" s="46"/>
      <c r="ED70" s="46"/>
      <c r="EE70" s="46"/>
      <c r="EF70" s="46"/>
      <c r="EG70" s="46"/>
      <c r="EH70" s="46"/>
      <c r="EI70" s="46"/>
      <c r="EJ70" s="46"/>
      <c r="EK70" s="46"/>
      <c r="EL70" s="46"/>
      <c r="EM70" s="46"/>
      <c r="EN70" s="46"/>
      <c r="EO70" s="46"/>
      <c r="EP70" s="46"/>
      <c r="EQ70" s="46"/>
      <c r="ER70" s="46"/>
      <c r="ES70" s="46"/>
      <c r="ET70" s="46"/>
      <c r="EU70" s="46"/>
      <c r="EV70" s="46"/>
      <c r="EW70" s="46"/>
      <c r="EX70" s="46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  <c r="DM71" s="46"/>
      <c r="DN71" s="46"/>
      <c r="DO71" s="46"/>
      <c r="DP71" s="46"/>
      <c r="DQ71" s="46"/>
      <c r="DR71" s="46"/>
      <c r="DS71" s="46"/>
      <c r="DT71" s="46"/>
      <c r="DU71" s="46"/>
      <c r="DV71" s="46"/>
      <c r="DW71" s="46"/>
      <c r="DX71" s="46"/>
      <c r="DY71" s="46"/>
      <c r="DZ71" s="46"/>
      <c r="EA71" s="46"/>
      <c r="EB71" s="46"/>
      <c r="EC71" s="46"/>
      <c r="ED71" s="46"/>
      <c r="EE71" s="46"/>
      <c r="EF71" s="46"/>
      <c r="EG71" s="46"/>
      <c r="EH71" s="46"/>
      <c r="EI71" s="46"/>
      <c r="EJ71" s="46"/>
      <c r="EK71" s="46"/>
      <c r="EL71" s="46"/>
      <c r="EM71" s="46"/>
      <c r="EN71" s="46"/>
      <c r="EO71" s="46"/>
      <c r="EP71" s="46"/>
      <c r="EQ71" s="46"/>
      <c r="ER71" s="46"/>
      <c r="ES71" s="46"/>
      <c r="ET71" s="46"/>
      <c r="EU71" s="46"/>
      <c r="EV71" s="46"/>
      <c r="EW71" s="46"/>
      <c r="EX71" s="46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6"/>
      <c r="DW72" s="46"/>
      <c r="DX72" s="46"/>
      <c r="DY72" s="46"/>
      <c r="DZ72" s="46"/>
      <c r="EA72" s="46"/>
      <c r="EB72" s="46"/>
      <c r="EC72" s="46"/>
      <c r="ED72" s="46"/>
      <c r="EE72" s="46"/>
      <c r="EF72" s="46"/>
      <c r="EG72" s="46"/>
      <c r="EH72" s="46"/>
      <c r="EI72" s="46"/>
      <c r="EJ72" s="46"/>
      <c r="EK72" s="46"/>
      <c r="EL72" s="46"/>
      <c r="EM72" s="46"/>
      <c r="EN72" s="46"/>
      <c r="EO72" s="46"/>
      <c r="EP72" s="46"/>
      <c r="EQ72" s="46"/>
      <c r="ER72" s="46"/>
      <c r="ES72" s="46"/>
      <c r="ET72" s="46"/>
      <c r="EU72" s="46"/>
      <c r="EV72" s="46"/>
      <c r="EW72" s="46"/>
      <c r="EX72" s="46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/>
      <c r="DJ73" s="46"/>
      <c r="DK73" s="46"/>
      <c r="DL73" s="46"/>
      <c r="DM73" s="46"/>
      <c r="DN73" s="46"/>
      <c r="DO73" s="46"/>
      <c r="DP73" s="46"/>
      <c r="DQ73" s="46"/>
      <c r="DR73" s="46"/>
      <c r="DS73" s="46"/>
      <c r="DT73" s="46"/>
      <c r="DU73" s="46"/>
      <c r="DV73" s="46"/>
      <c r="DW73" s="46"/>
      <c r="DX73" s="46"/>
      <c r="DY73" s="46"/>
      <c r="DZ73" s="46"/>
      <c r="EA73" s="46"/>
      <c r="EB73" s="46"/>
      <c r="EC73" s="46"/>
      <c r="ED73" s="46"/>
      <c r="EE73" s="46"/>
      <c r="EF73" s="46"/>
      <c r="EG73" s="46"/>
      <c r="EH73" s="46"/>
      <c r="EI73" s="46"/>
      <c r="EJ73" s="46"/>
      <c r="EK73" s="46"/>
      <c r="EL73" s="46"/>
      <c r="EM73" s="46"/>
      <c r="EN73" s="46"/>
      <c r="EO73" s="46"/>
      <c r="EP73" s="46"/>
      <c r="EQ73" s="46"/>
      <c r="ER73" s="46"/>
      <c r="ES73" s="46"/>
      <c r="ET73" s="46"/>
      <c r="EU73" s="46"/>
      <c r="EV73" s="46"/>
      <c r="EW73" s="46"/>
      <c r="EX73" s="46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6"/>
      <c r="DW74" s="46"/>
      <c r="DX74" s="46"/>
      <c r="DY74" s="46"/>
      <c r="DZ74" s="46"/>
      <c r="EA74" s="46"/>
      <c r="EB74" s="46"/>
      <c r="EC74" s="46"/>
      <c r="ED74" s="46"/>
      <c r="EE74" s="46"/>
      <c r="EF74" s="46"/>
      <c r="EG74" s="46"/>
      <c r="EH74" s="46"/>
      <c r="EI74" s="46"/>
      <c r="EJ74" s="46"/>
      <c r="EK74" s="46"/>
      <c r="EL74" s="46"/>
      <c r="EM74" s="46"/>
      <c r="EN74" s="46"/>
      <c r="EO74" s="46"/>
      <c r="EP74" s="46"/>
      <c r="EQ74" s="46"/>
      <c r="ER74" s="46"/>
      <c r="ES74" s="46"/>
      <c r="ET74" s="46"/>
      <c r="EU74" s="46"/>
      <c r="EV74" s="46"/>
      <c r="EW74" s="46"/>
      <c r="EX74" s="46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6"/>
      <c r="DW76" s="46"/>
      <c r="DX76" s="46"/>
      <c r="DY76" s="46"/>
      <c r="DZ76" s="46"/>
      <c r="EA76" s="46"/>
      <c r="EB76" s="46"/>
      <c r="EC76" s="46"/>
      <c r="ED76" s="46"/>
      <c r="EE76" s="46"/>
      <c r="EF76" s="46"/>
      <c r="EG76" s="46"/>
      <c r="EH76" s="46"/>
      <c r="EI76" s="46"/>
      <c r="EJ76" s="46"/>
      <c r="EK76" s="46"/>
      <c r="EL76" s="46"/>
      <c r="EM76" s="46"/>
      <c r="EN76" s="46"/>
      <c r="EO76" s="46"/>
      <c r="EP76" s="46"/>
      <c r="EQ76" s="46"/>
      <c r="ER76" s="46"/>
      <c r="ES76" s="46"/>
      <c r="ET76" s="46"/>
      <c r="EU76" s="46"/>
      <c r="EV76" s="46"/>
      <c r="EW76" s="46"/>
      <c r="EX76" s="46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6"/>
      <c r="DW77" s="46"/>
      <c r="DX77" s="46"/>
      <c r="DY77" s="46"/>
      <c r="DZ77" s="46"/>
      <c r="EA77" s="46"/>
      <c r="EB77" s="46"/>
      <c r="EC77" s="46"/>
      <c r="ED77" s="46"/>
      <c r="EE77" s="46"/>
      <c r="EF77" s="46"/>
      <c r="EG77" s="46"/>
      <c r="EH77" s="46"/>
      <c r="EI77" s="46"/>
      <c r="EJ77" s="46"/>
      <c r="EK77" s="46"/>
      <c r="EL77" s="46"/>
      <c r="EM77" s="46"/>
      <c r="EN77" s="46"/>
      <c r="EO77" s="46"/>
      <c r="EP77" s="46"/>
      <c r="EQ77" s="46"/>
      <c r="ER77" s="46"/>
      <c r="ES77" s="46"/>
      <c r="ET77" s="46"/>
      <c r="EU77" s="46"/>
      <c r="EV77" s="46"/>
      <c r="EW77" s="46"/>
      <c r="EX77" s="46"/>
      <c r="EY77" s="46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  <c r="FK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6"/>
      <c r="DJ78" s="46"/>
      <c r="DK78" s="46"/>
      <c r="DL78" s="46"/>
      <c r="DM78" s="46"/>
      <c r="DN78" s="46"/>
      <c r="DO78" s="46"/>
      <c r="DP78" s="46"/>
      <c r="DQ78" s="46"/>
      <c r="DR78" s="46"/>
      <c r="DS78" s="46"/>
      <c r="DT78" s="46"/>
      <c r="DU78" s="46"/>
      <c r="DV78" s="46"/>
      <c r="DW78" s="46"/>
      <c r="DX78" s="46"/>
      <c r="DY78" s="46"/>
      <c r="DZ78" s="46"/>
      <c r="EA78" s="46"/>
      <c r="EB78" s="46"/>
      <c r="EC78" s="46"/>
      <c r="ED78" s="46"/>
      <c r="EE78" s="46"/>
      <c r="EF78" s="46"/>
      <c r="EG78" s="46"/>
      <c r="EH78" s="46"/>
      <c r="EI78" s="46"/>
      <c r="EJ78" s="46"/>
      <c r="EK78" s="46"/>
      <c r="EL78" s="46"/>
      <c r="EM78" s="46"/>
      <c r="EN78" s="46"/>
      <c r="EO78" s="46"/>
      <c r="EP78" s="46"/>
      <c r="EQ78" s="46"/>
      <c r="ER78" s="46"/>
      <c r="ES78" s="46"/>
      <c r="ET78" s="46"/>
      <c r="EU78" s="46"/>
      <c r="EV78" s="46"/>
      <c r="EW78" s="46"/>
      <c r="EX78" s="46"/>
      <c r="EY78" s="46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  <c r="FK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/>
      <c r="DJ79" s="46"/>
      <c r="DK79" s="46"/>
      <c r="DL79" s="46"/>
      <c r="DM79" s="46"/>
      <c r="DN79" s="46"/>
      <c r="DO79" s="46"/>
      <c r="DP79" s="46"/>
      <c r="DQ79" s="46"/>
      <c r="DR79" s="46"/>
      <c r="DS79" s="46"/>
      <c r="DT79" s="46"/>
      <c r="DU79" s="46"/>
      <c r="DV79" s="46"/>
      <c r="DW79" s="46"/>
      <c r="DX79" s="46"/>
      <c r="DY79" s="46"/>
      <c r="DZ79" s="46"/>
      <c r="EA79" s="46"/>
      <c r="EB79" s="46"/>
      <c r="EC79" s="46"/>
      <c r="ED79" s="46"/>
      <c r="EE79" s="46"/>
      <c r="EF79" s="46"/>
      <c r="EG79" s="46"/>
      <c r="EH79" s="46"/>
      <c r="EI79" s="46"/>
      <c r="EJ79" s="46"/>
      <c r="EK79" s="46"/>
      <c r="EL79" s="46"/>
      <c r="EM79" s="46"/>
      <c r="EN79" s="46"/>
      <c r="EO79" s="46"/>
      <c r="EP79" s="46"/>
      <c r="EQ79" s="46"/>
      <c r="ER79" s="46"/>
      <c r="ES79" s="46"/>
      <c r="ET79" s="46"/>
      <c r="EU79" s="46"/>
      <c r="EV79" s="46"/>
      <c r="EW79" s="46"/>
      <c r="EX79" s="46"/>
      <c r="EY79" s="46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  <c r="FK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6"/>
      <c r="DW80" s="46"/>
      <c r="DX80" s="46"/>
      <c r="DY80" s="46"/>
      <c r="DZ80" s="46"/>
      <c r="EA80" s="46"/>
      <c r="EB80" s="46"/>
      <c r="EC80" s="46"/>
      <c r="ED80" s="46"/>
      <c r="EE80" s="46"/>
      <c r="EF80" s="46"/>
      <c r="EG80" s="46"/>
      <c r="EH80" s="46"/>
      <c r="EI80" s="46"/>
      <c r="EJ80" s="46"/>
      <c r="EK80" s="46"/>
      <c r="EL80" s="46"/>
      <c r="EM80" s="46"/>
      <c r="EN80" s="46"/>
      <c r="EO80" s="46"/>
      <c r="EP80" s="46"/>
      <c r="EQ80" s="46"/>
      <c r="ER80" s="46"/>
      <c r="ES80" s="46"/>
      <c r="ET80" s="46"/>
      <c r="EU80" s="46"/>
      <c r="EV80" s="46"/>
      <c r="EW80" s="46"/>
      <c r="EX80" s="46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6"/>
      <c r="DW81" s="46"/>
      <c r="DX81" s="46"/>
      <c r="DY81" s="46"/>
      <c r="DZ81" s="46"/>
      <c r="EA81" s="46"/>
      <c r="EB81" s="46"/>
      <c r="EC81" s="46"/>
      <c r="ED81" s="46"/>
      <c r="EE81" s="46"/>
      <c r="EF81" s="46"/>
      <c r="EG81" s="46"/>
      <c r="EH81" s="46"/>
      <c r="EI81" s="46"/>
      <c r="EJ81" s="46"/>
      <c r="EK81" s="46"/>
      <c r="EL81" s="46"/>
      <c r="EM81" s="46"/>
      <c r="EN81" s="46"/>
      <c r="EO81" s="46"/>
      <c r="EP81" s="46"/>
      <c r="EQ81" s="46"/>
      <c r="ER81" s="46"/>
      <c r="ES81" s="46"/>
      <c r="ET81" s="46"/>
      <c r="EU81" s="46"/>
      <c r="EV81" s="46"/>
      <c r="EW81" s="46"/>
      <c r="EX81" s="46"/>
      <c r="EY81" s="46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6"/>
      <c r="DW82" s="46"/>
      <c r="DX82" s="46"/>
      <c r="DY82" s="46"/>
      <c r="DZ82" s="46"/>
      <c r="EA82" s="46"/>
      <c r="EB82" s="46"/>
      <c r="EC82" s="46"/>
      <c r="ED82" s="46"/>
      <c r="EE82" s="46"/>
      <c r="EF82" s="46"/>
      <c r="EG82" s="46"/>
      <c r="EH82" s="46"/>
      <c r="EI82" s="46"/>
      <c r="EJ82" s="46"/>
      <c r="EK82" s="46"/>
      <c r="EL82" s="46"/>
      <c r="EM82" s="46"/>
      <c r="EN82" s="46"/>
      <c r="EO82" s="46"/>
      <c r="EP82" s="46"/>
      <c r="EQ82" s="46"/>
      <c r="ER82" s="46"/>
      <c r="ES82" s="46"/>
      <c r="ET82" s="46"/>
      <c r="EU82" s="46"/>
      <c r="EV82" s="46"/>
      <c r="EW82" s="46"/>
      <c r="EX82" s="46"/>
      <c r="EY82" s="46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  <c r="DL83" s="46"/>
      <c r="DM83" s="46"/>
      <c r="DN83" s="46"/>
      <c r="DO83" s="46"/>
      <c r="DP83" s="46"/>
      <c r="DQ83" s="46"/>
      <c r="DR83" s="46"/>
      <c r="DS83" s="46"/>
      <c r="DT83" s="46"/>
      <c r="DU83" s="46"/>
      <c r="DV83" s="46"/>
      <c r="DW83" s="46"/>
      <c r="DX83" s="46"/>
      <c r="DY83" s="46"/>
      <c r="DZ83" s="46"/>
      <c r="EA83" s="46"/>
      <c r="EB83" s="46"/>
      <c r="EC83" s="46"/>
      <c r="ED83" s="46"/>
      <c r="EE83" s="46"/>
      <c r="EF83" s="46"/>
      <c r="EG83" s="46"/>
      <c r="EH83" s="46"/>
      <c r="EI83" s="46"/>
      <c r="EJ83" s="46"/>
      <c r="EK83" s="46"/>
      <c r="EL83" s="46"/>
      <c r="EM83" s="46"/>
      <c r="EN83" s="46"/>
      <c r="EO83" s="46"/>
      <c r="EP83" s="46"/>
      <c r="EQ83" s="46"/>
      <c r="ER83" s="46"/>
      <c r="ES83" s="46"/>
      <c r="ET83" s="46"/>
      <c r="EU83" s="46"/>
      <c r="EV83" s="46"/>
      <c r="EW83" s="46"/>
      <c r="EX83" s="46"/>
      <c r="EY83" s="46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  <c r="DM84" s="46"/>
      <c r="DN84" s="46"/>
      <c r="DO84" s="46"/>
      <c r="DP84" s="46"/>
      <c r="DQ84" s="46"/>
      <c r="DR84" s="46"/>
      <c r="DS84" s="46"/>
      <c r="DT84" s="46"/>
      <c r="DU84" s="46"/>
      <c r="DV84" s="46"/>
      <c r="DW84" s="46"/>
      <c r="DX84" s="46"/>
      <c r="DY84" s="46"/>
      <c r="DZ84" s="46"/>
      <c r="EA84" s="46"/>
      <c r="EB84" s="46"/>
      <c r="EC84" s="46"/>
      <c r="ED84" s="46"/>
      <c r="EE84" s="46"/>
      <c r="EF84" s="46"/>
      <c r="EG84" s="46"/>
      <c r="EH84" s="46"/>
      <c r="EI84" s="46"/>
      <c r="EJ84" s="46"/>
      <c r="EK84" s="46"/>
      <c r="EL84" s="46"/>
      <c r="EM84" s="46"/>
      <c r="EN84" s="46"/>
      <c r="EO84" s="46"/>
      <c r="EP84" s="46"/>
      <c r="EQ84" s="46"/>
      <c r="ER84" s="46"/>
      <c r="ES84" s="46"/>
      <c r="ET84" s="46"/>
      <c r="EU84" s="46"/>
      <c r="EV84" s="46"/>
      <c r="EW84" s="46"/>
      <c r="EX84" s="46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/>
      <c r="DJ85" s="46"/>
      <c r="DK85" s="46"/>
      <c r="DL85" s="46"/>
      <c r="DM85" s="46"/>
      <c r="DN85" s="46"/>
      <c r="DO85" s="46"/>
      <c r="DP85" s="46"/>
      <c r="DQ85" s="46"/>
      <c r="DR85" s="46"/>
      <c r="DS85" s="46"/>
      <c r="DT85" s="46"/>
      <c r="DU85" s="46"/>
      <c r="DV85" s="46"/>
      <c r="DW85" s="46"/>
      <c r="DX85" s="46"/>
      <c r="DY85" s="46"/>
      <c r="DZ85" s="46"/>
      <c r="EA85" s="46"/>
      <c r="EB85" s="46"/>
      <c r="EC85" s="46"/>
      <c r="ED85" s="46"/>
      <c r="EE85" s="46"/>
      <c r="EF85" s="46"/>
      <c r="EG85" s="46"/>
      <c r="EH85" s="46"/>
      <c r="EI85" s="46"/>
      <c r="EJ85" s="46"/>
      <c r="EK85" s="46"/>
      <c r="EL85" s="46"/>
      <c r="EM85" s="46"/>
      <c r="EN85" s="46"/>
      <c r="EO85" s="46"/>
      <c r="EP85" s="46"/>
      <c r="EQ85" s="46"/>
      <c r="ER85" s="46"/>
      <c r="ES85" s="46"/>
      <c r="ET85" s="46"/>
      <c r="EU85" s="46"/>
      <c r="EV85" s="46"/>
      <c r="EW85" s="46"/>
      <c r="EX85" s="46"/>
      <c r="EY85" s="46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  <c r="DM86" s="46"/>
      <c r="DN86" s="46"/>
      <c r="DO86" s="46"/>
      <c r="DP86" s="46"/>
      <c r="DQ86" s="46"/>
      <c r="DR86" s="46"/>
      <c r="DS86" s="46"/>
      <c r="DT86" s="46"/>
      <c r="DU86" s="46"/>
      <c r="DV86" s="46"/>
      <c r="DW86" s="46"/>
      <c r="DX86" s="46"/>
      <c r="DY86" s="46"/>
      <c r="DZ86" s="46"/>
      <c r="EA86" s="46"/>
      <c r="EB86" s="46"/>
      <c r="EC86" s="46"/>
      <c r="ED86" s="46"/>
      <c r="EE86" s="46"/>
      <c r="EF86" s="46"/>
      <c r="EG86" s="46"/>
      <c r="EH86" s="46"/>
      <c r="EI86" s="46"/>
      <c r="EJ86" s="46"/>
      <c r="EK86" s="46"/>
      <c r="EL86" s="46"/>
      <c r="EM86" s="46"/>
      <c r="EN86" s="46"/>
      <c r="EO86" s="46"/>
      <c r="EP86" s="46"/>
      <c r="EQ86" s="46"/>
      <c r="ER86" s="46"/>
      <c r="ES86" s="46"/>
      <c r="ET86" s="46"/>
      <c r="EU86" s="46"/>
      <c r="EV86" s="46"/>
      <c r="EW86" s="46"/>
      <c r="EX86" s="46"/>
      <c r="EY86" s="46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46"/>
      <c r="DM87" s="46"/>
      <c r="DN87" s="46"/>
      <c r="DO87" s="46"/>
      <c r="DP87" s="46"/>
      <c r="DQ87" s="46"/>
      <c r="DR87" s="46"/>
      <c r="DS87" s="46"/>
      <c r="DT87" s="46"/>
      <c r="DU87" s="46"/>
      <c r="DV87" s="46"/>
      <c r="DW87" s="46"/>
      <c r="DX87" s="46"/>
      <c r="DY87" s="46"/>
      <c r="DZ87" s="46"/>
      <c r="EA87" s="46"/>
      <c r="EB87" s="46"/>
      <c r="EC87" s="46"/>
      <c r="ED87" s="46"/>
      <c r="EE87" s="46"/>
      <c r="EF87" s="46"/>
      <c r="EG87" s="46"/>
      <c r="EH87" s="46"/>
      <c r="EI87" s="46"/>
      <c r="EJ87" s="46"/>
      <c r="EK87" s="46"/>
      <c r="EL87" s="46"/>
      <c r="EM87" s="46"/>
      <c r="EN87" s="46"/>
      <c r="EO87" s="46"/>
      <c r="EP87" s="46"/>
      <c r="EQ87" s="46"/>
      <c r="ER87" s="46"/>
      <c r="ES87" s="46"/>
      <c r="ET87" s="46"/>
      <c r="EU87" s="46"/>
      <c r="EV87" s="46"/>
      <c r="EW87" s="46"/>
      <c r="EX87" s="46"/>
      <c r="EY87" s="46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  <c r="DL88" s="46"/>
      <c r="DM88" s="46"/>
      <c r="DN88" s="46"/>
      <c r="DO88" s="46"/>
      <c r="DP88" s="46"/>
      <c r="DQ88" s="46"/>
      <c r="DR88" s="46"/>
      <c r="DS88" s="46"/>
      <c r="DT88" s="46"/>
      <c r="DU88" s="46"/>
      <c r="DV88" s="46"/>
      <c r="DW88" s="46"/>
      <c r="DX88" s="46"/>
      <c r="DY88" s="46"/>
      <c r="DZ88" s="46"/>
      <c r="EA88" s="46"/>
      <c r="EB88" s="46"/>
      <c r="EC88" s="46"/>
      <c r="ED88" s="46"/>
      <c r="EE88" s="46"/>
      <c r="EF88" s="46"/>
      <c r="EG88" s="46"/>
      <c r="EH88" s="46"/>
      <c r="EI88" s="46"/>
      <c r="EJ88" s="46"/>
      <c r="EK88" s="46"/>
      <c r="EL88" s="46"/>
      <c r="EM88" s="46"/>
      <c r="EN88" s="46"/>
      <c r="EO88" s="46"/>
      <c r="EP88" s="46"/>
      <c r="EQ88" s="46"/>
      <c r="ER88" s="46"/>
      <c r="ES88" s="46"/>
      <c r="ET88" s="46"/>
      <c r="EU88" s="46"/>
      <c r="EV88" s="46"/>
      <c r="EW88" s="46"/>
      <c r="EX88" s="46"/>
      <c r="EY88" s="46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  <c r="DK89" s="46"/>
      <c r="DL89" s="46"/>
      <c r="DM89" s="46"/>
      <c r="DN89" s="46"/>
      <c r="DO89" s="46"/>
      <c r="DP89" s="46"/>
      <c r="DQ89" s="46"/>
      <c r="DR89" s="46"/>
      <c r="DS89" s="46"/>
      <c r="DT89" s="46"/>
      <c r="DU89" s="46"/>
      <c r="DV89" s="46"/>
      <c r="DW89" s="46"/>
      <c r="DX89" s="46"/>
      <c r="DY89" s="46"/>
      <c r="DZ89" s="46"/>
      <c r="EA89" s="46"/>
      <c r="EB89" s="46"/>
      <c r="EC89" s="46"/>
      <c r="ED89" s="46"/>
      <c r="EE89" s="46"/>
      <c r="EF89" s="46"/>
      <c r="EG89" s="46"/>
      <c r="EH89" s="46"/>
      <c r="EI89" s="46"/>
      <c r="EJ89" s="46"/>
      <c r="EK89" s="46"/>
      <c r="EL89" s="46"/>
      <c r="EM89" s="46"/>
      <c r="EN89" s="46"/>
      <c r="EO89" s="46"/>
      <c r="EP89" s="46"/>
      <c r="EQ89" s="46"/>
      <c r="ER89" s="46"/>
      <c r="ES89" s="46"/>
      <c r="ET89" s="46"/>
      <c r="EU89" s="46"/>
      <c r="EV89" s="46"/>
      <c r="EW89" s="46"/>
      <c r="EX89" s="46"/>
      <c r="EY89" s="46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  <c r="DL90" s="46"/>
      <c r="DM90" s="46"/>
      <c r="DN90" s="46"/>
      <c r="DO90" s="46"/>
      <c r="DP90" s="46"/>
      <c r="DQ90" s="46"/>
      <c r="DR90" s="46"/>
      <c r="DS90" s="46"/>
      <c r="DT90" s="46"/>
      <c r="DU90" s="46"/>
      <c r="DV90" s="46"/>
      <c r="DW90" s="46"/>
      <c r="DX90" s="46"/>
      <c r="DY90" s="46"/>
      <c r="DZ90" s="46"/>
      <c r="EA90" s="46"/>
      <c r="EB90" s="46"/>
      <c r="EC90" s="46"/>
      <c r="ED90" s="46"/>
      <c r="EE90" s="46"/>
      <c r="EF90" s="46"/>
      <c r="EG90" s="46"/>
      <c r="EH90" s="46"/>
      <c r="EI90" s="46"/>
      <c r="EJ90" s="46"/>
      <c r="EK90" s="46"/>
      <c r="EL90" s="46"/>
      <c r="EM90" s="46"/>
      <c r="EN90" s="46"/>
      <c r="EO90" s="46"/>
      <c r="EP90" s="46"/>
      <c r="EQ90" s="46"/>
      <c r="ER90" s="46"/>
      <c r="ES90" s="46"/>
      <c r="ET90" s="46"/>
      <c r="EU90" s="46"/>
      <c r="EV90" s="46"/>
      <c r="EW90" s="46"/>
      <c r="EX90" s="46"/>
      <c r="EY90" s="46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  <c r="FK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  <c r="DK91" s="46"/>
      <c r="DL91" s="46"/>
      <c r="DM91" s="46"/>
      <c r="DN91" s="46"/>
      <c r="DO91" s="46"/>
      <c r="DP91" s="46"/>
      <c r="DQ91" s="46"/>
      <c r="DR91" s="46"/>
      <c r="DS91" s="46"/>
      <c r="DT91" s="46"/>
      <c r="DU91" s="46"/>
      <c r="DV91" s="46"/>
      <c r="DW91" s="46"/>
      <c r="DX91" s="46"/>
      <c r="DY91" s="46"/>
      <c r="DZ91" s="46"/>
      <c r="EA91" s="46"/>
      <c r="EB91" s="46"/>
      <c r="EC91" s="46"/>
      <c r="ED91" s="46"/>
      <c r="EE91" s="46"/>
      <c r="EF91" s="46"/>
      <c r="EG91" s="46"/>
      <c r="EH91" s="46"/>
      <c r="EI91" s="46"/>
      <c r="EJ91" s="46"/>
      <c r="EK91" s="46"/>
      <c r="EL91" s="46"/>
      <c r="EM91" s="46"/>
      <c r="EN91" s="46"/>
      <c r="EO91" s="46"/>
      <c r="EP91" s="46"/>
      <c r="EQ91" s="46"/>
      <c r="ER91" s="46"/>
      <c r="ES91" s="46"/>
      <c r="ET91" s="46"/>
      <c r="EU91" s="46"/>
      <c r="EV91" s="46"/>
      <c r="EW91" s="46"/>
      <c r="EX91" s="46"/>
      <c r="EY91" s="46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  <c r="DM92" s="46"/>
      <c r="DN92" s="46"/>
      <c r="DO92" s="46"/>
      <c r="DP92" s="46"/>
      <c r="DQ92" s="46"/>
      <c r="DR92" s="46"/>
      <c r="DS92" s="46"/>
      <c r="DT92" s="46"/>
      <c r="DU92" s="46"/>
      <c r="DV92" s="46"/>
      <c r="DW92" s="46"/>
      <c r="DX92" s="46"/>
      <c r="DY92" s="46"/>
      <c r="DZ92" s="46"/>
      <c r="EA92" s="46"/>
      <c r="EB92" s="46"/>
      <c r="EC92" s="46"/>
      <c r="ED92" s="46"/>
      <c r="EE92" s="46"/>
      <c r="EF92" s="46"/>
      <c r="EG92" s="46"/>
      <c r="EH92" s="46"/>
      <c r="EI92" s="46"/>
      <c r="EJ92" s="46"/>
      <c r="EK92" s="46"/>
      <c r="EL92" s="46"/>
      <c r="EM92" s="46"/>
      <c r="EN92" s="46"/>
      <c r="EO92" s="46"/>
      <c r="EP92" s="46"/>
      <c r="EQ92" s="46"/>
      <c r="ER92" s="46"/>
      <c r="ES92" s="46"/>
      <c r="ET92" s="46"/>
      <c r="EU92" s="46"/>
      <c r="EV92" s="46"/>
      <c r="EW92" s="46"/>
      <c r="EX92" s="46"/>
      <c r="EY92" s="46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  <c r="DM93" s="46"/>
      <c r="DN93" s="46"/>
      <c r="DO93" s="46"/>
      <c r="DP93" s="46"/>
      <c r="DQ93" s="46"/>
      <c r="DR93" s="46"/>
      <c r="DS93" s="46"/>
      <c r="DT93" s="46"/>
      <c r="DU93" s="46"/>
      <c r="DV93" s="46"/>
      <c r="DW93" s="46"/>
      <c r="DX93" s="46"/>
      <c r="DY93" s="46"/>
      <c r="DZ93" s="46"/>
      <c r="EA93" s="46"/>
      <c r="EB93" s="46"/>
      <c r="EC93" s="46"/>
      <c r="ED93" s="46"/>
      <c r="EE93" s="46"/>
      <c r="EF93" s="46"/>
      <c r="EG93" s="46"/>
      <c r="EH93" s="46"/>
      <c r="EI93" s="46"/>
      <c r="EJ93" s="46"/>
      <c r="EK93" s="46"/>
      <c r="EL93" s="46"/>
      <c r="EM93" s="46"/>
      <c r="EN93" s="46"/>
      <c r="EO93" s="46"/>
      <c r="EP93" s="46"/>
      <c r="EQ93" s="46"/>
      <c r="ER93" s="46"/>
      <c r="ES93" s="46"/>
      <c r="ET93" s="46"/>
      <c r="EU93" s="46"/>
      <c r="EV93" s="46"/>
      <c r="EW93" s="46"/>
      <c r="EX93" s="46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  <c r="DL94" s="46"/>
      <c r="DM94" s="46"/>
      <c r="DN94" s="46"/>
      <c r="DO94" s="46"/>
      <c r="DP94" s="46"/>
      <c r="DQ94" s="46"/>
      <c r="DR94" s="46"/>
      <c r="DS94" s="46"/>
      <c r="DT94" s="46"/>
      <c r="DU94" s="46"/>
      <c r="DV94" s="46"/>
      <c r="DW94" s="46"/>
      <c r="DX94" s="46"/>
      <c r="DY94" s="46"/>
      <c r="DZ94" s="46"/>
      <c r="EA94" s="46"/>
      <c r="EB94" s="46"/>
      <c r="EC94" s="46"/>
      <c r="ED94" s="46"/>
      <c r="EE94" s="46"/>
      <c r="EF94" s="46"/>
      <c r="EG94" s="46"/>
      <c r="EH94" s="46"/>
      <c r="EI94" s="46"/>
      <c r="EJ94" s="46"/>
      <c r="EK94" s="46"/>
      <c r="EL94" s="46"/>
      <c r="EM94" s="46"/>
      <c r="EN94" s="46"/>
      <c r="EO94" s="46"/>
      <c r="EP94" s="46"/>
      <c r="EQ94" s="46"/>
      <c r="ER94" s="46"/>
      <c r="ES94" s="46"/>
      <c r="ET94" s="46"/>
      <c r="EU94" s="46"/>
      <c r="EV94" s="46"/>
      <c r="EW94" s="46"/>
      <c r="EX94" s="46"/>
      <c r="EY94" s="46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  <c r="DL95" s="46"/>
      <c r="DM95" s="46"/>
      <c r="DN95" s="46"/>
      <c r="DO95" s="46"/>
      <c r="DP95" s="46"/>
      <c r="DQ95" s="46"/>
      <c r="DR95" s="46"/>
      <c r="DS95" s="46"/>
      <c r="DT95" s="46"/>
      <c r="DU95" s="46"/>
      <c r="DV95" s="46"/>
      <c r="DW95" s="46"/>
      <c r="DX95" s="46"/>
      <c r="DY95" s="46"/>
      <c r="DZ95" s="46"/>
      <c r="EA95" s="46"/>
      <c r="EB95" s="46"/>
      <c r="EC95" s="46"/>
      <c r="ED95" s="46"/>
      <c r="EE95" s="46"/>
      <c r="EF95" s="46"/>
      <c r="EG95" s="46"/>
      <c r="EH95" s="46"/>
      <c r="EI95" s="46"/>
      <c r="EJ95" s="46"/>
      <c r="EK95" s="46"/>
      <c r="EL95" s="46"/>
      <c r="EM95" s="46"/>
      <c r="EN95" s="46"/>
      <c r="EO95" s="46"/>
      <c r="EP95" s="46"/>
      <c r="EQ95" s="46"/>
      <c r="ER95" s="46"/>
      <c r="ES95" s="46"/>
      <c r="ET95" s="46"/>
      <c r="EU95" s="46"/>
      <c r="EV95" s="46"/>
      <c r="EW95" s="46"/>
      <c r="EX95" s="46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  <c r="DL96" s="46"/>
      <c r="DM96" s="46"/>
      <c r="DN96" s="46"/>
      <c r="DO96" s="46"/>
      <c r="DP96" s="46"/>
      <c r="DQ96" s="46"/>
      <c r="DR96" s="46"/>
      <c r="DS96" s="46"/>
      <c r="DT96" s="46"/>
      <c r="DU96" s="46"/>
      <c r="DV96" s="46"/>
      <c r="DW96" s="46"/>
      <c r="DX96" s="46"/>
      <c r="DY96" s="46"/>
      <c r="DZ96" s="46"/>
      <c r="EA96" s="46"/>
      <c r="EB96" s="46"/>
      <c r="EC96" s="46"/>
      <c r="ED96" s="46"/>
      <c r="EE96" s="46"/>
      <c r="EF96" s="46"/>
      <c r="EG96" s="46"/>
      <c r="EH96" s="46"/>
      <c r="EI96" s="46"/>
      <c r="EJ96" s="46"/>
      <c r="EK96" s="46"/>
      <c r="EL96" s="46"/>
      <c r="EM96" s="46"/>
      <c r="EN96" s="46"/>
      <c r="EO96" s="46"/>
      <c r="EP96" s="46"/>
      <c r="EQ96" s="46"/>
      <c r="ER96" s="46"/>
      <c r="ES96" s="46"/>
      <c r="ET96" s="46"/>
      <c r="EU96" s="46"/>
      <c r="EV96" s="46"/>
      <c r="EW96" s="46"/>
      <c r="EX96" s="46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  <c r="DK97" s="46"/>
      <c r="DL97" s="46"/>
      <c r="DM97" s="46"/>
      <c r="DN97" s="46"/>
      <c r="DO97" s="46"/>
      <c r="DP97" s="46"/>
      <c r="DQ97" s="46"/>
      <c r="DR97" s="46"/>
      <c r="DS97" s="46"/>
      <c r="DT97" s="46"/>
      <c r="DU97" s="46"/>
      <c r="DV97" s="46"/>
      <c r="DW97" s="46"/>
      <c r="DX97" s="46"/>
      <c r="DY97" s="46"/>
      <c r="DZ97" s="46"/>
      <c r="EA97" s="46"/>
      <c r="EB97" s="46"/>
      <c r="EC97" s="46"/>
      <c r="ED97" s="46"/>
      <c r="EE97" s="46"/>
      <c r="EF97" s="46"/>
      <c r="EG97" s="46"/>
      <c r="EH97" s="46"/>
      <c r="EI97" s="46"/>
      <c r="EJ97" s="46"/>
      <c r="EK97" s="46"/>
      <c r="EL97" s="46"/>
      <c r="EM97" s="46"/>
      <c r="EN97" s="46"/>
      <c r="EO97" s="46"/>
      <c r="EP97" s="46"/>
      <c r="EQ97" s="46"/>
      <c r="ER97" s="46"/>
      <c r="ES97" s="46"/>
      <c r="ET97" s="46"/>
      <c r="EU97" s="46"/>
      <c r="EV97" s="46"/>
      <c r="EW97" s="46"/>
      <c r="EX97" s="46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