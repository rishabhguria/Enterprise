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ditUnallocatedGrid" sheetId="6" r:id="rId8"/>
    <sheet state="visible" name="CheckUnallocatedGroups" sheetId="7" r:id="rId9"/>
  </sheets>
  <definedNames/>
  <calcPr/>
</workbook>
</file>

<file path=xl/sharedStrings.xml><?xml version="1.0" encoding="utf-8"?>
<sst xmlns="http://schemas.openxmlformats.org/spreadsheetml/2006/main" count="50" uniqueCount="26">
  <si>
    <t>Modules Info</t>
  </si>
  <si>
    <t>Modules</t>
  </si>
  <si>
    <t>Settings</t>
  </si>
  <si>
    <t>Module Step Setting File</t>
  </si>
  <si>
    <t>1EIOAnn5_ydURa9w8aagTvOqRzTyrnNiyPEGPgiL87Y4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</si>
  <si>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</si>
  <si>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</si>
  <si>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</si>
  <si>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</si>
  <si>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</si>
  <si>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</si>
  <si>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</si>
  <si>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</si>
  <si>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</si>
  <si>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</si>
  <si>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</si>
  <si>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</si>
  <si>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</si>
  <si>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</si>
  <si>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Allocation</t>
  </si>
  <si>
    <t>SelectUnallocatedGroup</t>
  </si>
  <si>
    <t>EditUnallocatedGrid</t>
  </si>
  <si>
    <t>Sell</t>
  </si>
  <si>
    <t>Testing Auto</t>
  </si>
  <si>
    <t>GS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</si>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</sst>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5" fillId="0" fontId="3" numFmtId="165" xfId="0" applyAlignment="1" applyBorder="1" applyFont="1" applyNumberForma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1000.0</v>
      </c>
      <c r="E6" s="33"/>
      <c r="F6" s="31" t="s">
        <v>18</v>
      </c>
      <c r="G6" s="33"/>
      <c r="H6" s="33"/>
      <c r="I6" s="33"/>
      <c r="J6" s="34">
        <v>89.0</v>
      </c>
      <c r="K6" s="33"/>
      <c r="L6" s="33"/>
      <c r="M6" s="33"/>
      <c r="N6" s="35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1000.0</v>
      </c>
      <c r="E6" s="33"/>
      <c r="F6" s="37"/>
      <c r="G6" s="33"/>
      <c r="H6" s="33"/>
      <c r="I6" s="33"/>
      <c r="J6" s="33"/>
      <c r="K6" s="33"/>
      <c r="L6" s="33"/>
      <c r="M6" s="33"/>
      <c r="N6" s="34">
        <v>89.0</v>
      </c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IFERROR(__xludf.DUMMYFUNCTION("""COMPUTED_VALUE"""),"Venue")</f>
        <v>Venue</v>
      </c>
      <c r="D5" s="27" t="str">
        <f>IFERROR(__xludf.DUMMYFUNCTION("""COMPUTED_VALUE"""),"Transaction Levy")</f>
        <v>Transaction Levy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IFERROR(__xludf.DUMMYFUNCTION("""COMPUTED_VALUE"""),"Process Date")</f>
        <v>Process Date</v>
      </c>
      <c r="H5" s="27" t="str">
        <f>IFERROR(__xludf.DUMMYFUNCTION("""COMPUTED_VALUE"""),"Original Purchase Date")</f>
        <v>Original Purchase Date</v>
      </c>
      <c r="I5" s="27" t="str">
        <f>IFERROR(__xludf.DUMMYFUNCTION("""COMPUTED_VALUE"""),"Settlement Date")</f>
        <v>Settlement Date</v>
      </c>
      <c r="J5" s="27" t="str">
        <f>IFERROR(__xludf.DUMMYFUNCTION("""COMPUTED_VALUE"""),"ISIN")</f>
        <v>ISIN</v>
      </c>
      <c r="K5" s="27" t="str">
        <f>IFERROR(__xludf.DUMMYFUNCTION("""COMPUTED_VALUE"""),"Internal Comments")</f>
        <v>Internal Comments</v>
      </c>
      <c r="L5" s="27" t="str">
        <f>IFERROR(__xludf.DUMMYFUNCTION("""COMPUTED_VALUE"""),"Accrued Interest")</f>
        <v>Accrued Interest</v>
      </c>
      <c r="M5" s="27" t="str">
        <f>IFERROR(__xludf.DUMMYFUNCTION("""COMPUTED_VALUE"""),"Broker")</f>
        <v>Broker</v>
      </c>
      <c r="N5" s="27" t="str">
        <f>IFERROR(__xludf.DUMMYFUNCTION("""COMPUTED_VALUE"""),"Transaction Type")</f>
        <v>Transaction Type</v>
      </c>
      <c r="O5" s="27" t="str">
        <f>IFERROR(__xludf.DUMMYFUNCTION("""COMPUTED_VALUE"""),"Trade Attribute 1")</f>
        <v>Trade Attribute 1</v>
      </c>
      <c r="P5" s="27" t="str">
        <f>IFERROR(__xludf.DUMMYFUNCTION("""COMPUTED_VALUE"""),"Trade Attribute 2")</f>
        <v>Trade Attribute 2</v>
      </c>
      <c r="Q5" s="27" t="str">
        <f>IFERROR(__xludf.DUMMYFUNCTION("""COMPUTED_VALUE"""),"Trade Attribute 3")</f>
        <v>Trade Attribute 3</v>
      </c>
      <c r="R5" s="27" t="str">
        <f>IFERROR(__xludf.DUMMYFUNCTION("""COMPUTED_VALUE"""),"Trade Attribute 4")</f>
        <v>Trade Attribute 4</v>
      </c>
      <c r="S5" s="27" t="str">
        <f>IFERROR(__xludf.DUMMYFUNCTION("""COMPUTED_VALUE"""),"Trade Attribute 5")</f>
        <v>Trade Attribute 5</v>
      </c>
      <c r="T5" s="29" t="str">
        <f>IFERROR(__xludf.DUMMYFUNCTION("""COMPUTED_VALUE"""),"Trade Attribute 6")</f>
        <v>Trade Attribute 6</v>
      </c>
      <c r="U5" s="29" t="str">
        <f>IFERROR(__xludf.DUMMYFUNCTION("""COMPUTED_VALUE"""),"Commission")</f>
        <v>Commission</v>
      </c>
      <c r="V5" s="29" t="str">
        <f>IFERROR(__xludf.DUMMYFUNCTION("""COMPUTED_VALUE"""),"Soft Commission")</f>
        <v>Soft Commission</v>
      </c>
      <c r="W5" s="29" t="str">
        <f>IFERROR(__xludf.DUMMYFUNCTION("""COMPUTED_VALUE"""),"Other Broker Fees")</f>
        <v>Other Broker Fees</v>
      </c>
      <c r="X5" s="29" t="str">
        <f>IFERROR(__xludf.DUMMYFUNCTION("""COMPUTED_VALUE"""),"Clearing Broker Fee")</f>
        <v>Clearing Broker Fee</v>
      </c>
      <c r="Y5" s="29" t="str">
        <f>IFERROR(__xludf.DUMMYFUNCTION("""COMPUTED_VALUE"""),"Stamp Duty")</f>
        <v>Stamp Duty</v>
      </c>
      <c r="Z5" s="29" t="str">
        <f>IFERROR(__xludf.DUMMYFUNCTION("""COMPUTED_VALUE"""),"AUEC Fee1")</f>
        <v>AUEC Fee1</v>
      </c>
      <c r="AA5" s="29" t="str">
        <f>IFERROR(__xludf.DUMMYFUNCTION("""COMPUTED_VALUE"""),"Tax On Commissions")</f>
        <v>Tax On Commissions</v>
      </c>
      <c r="AB5" s="29" t="str">
        <f>IFERROR(__xludf.DUMMYFUNCTION("""COMPUTED_VALUE"""),"AUEC Fee2")</f>
        <v>AUEC Fee2</v>
      </c>
      <c r="AC5" s="29" t="str">
        <f>IFERROR(__xludf.DUMMYFUNCTION("""COMPUTED_VALUE"""),"SEC Fee")</f>
        <v>SEC Fee</v>
      </c>
      <c r="AD5" s="29" t="str">
        <f>IFERROR(__xludf.DUMMYFUNCTION("""COMPUTED_VALUE"""),"OCC Fee")</f>
        <v>OCC Fee</v>
      </c>
      <c r="AE5" s="29" t="str">
        <f>IFERROR(__xludf.DUMMYFUNCTION("""COMPUTED_VALUE"""),"ORF Fee")</f>
        <v>ORF Fee</v>
      </c>
      <c r="AF5" s="29" t="str">
        <f>IFERROR(__xludf.DUMMYFUNCTION("""COMPUTED_VALUE"""),"Option Premium Adjustment")</f>
        <v>Option Premium Adjustment</v>
      </c>
      <c r="AG5" s="29" t="str">
        <f>IFERROR(__xludf.DUMMYFUNCTION("""COMPUTED_VALUE"""),"Change Comment")</f>
        <v>Change Comment</v>
      </c>
      <c r="AH5" s="29" t="str">
        <f>IFERROR(__xludf.DUMMYFUNCTION("""COMPUTED_VALUE"""),"Avg Price(Local)")</f>
        <v>Avg Price(Local)</v>
      </c>
      <c r="AI5" s="29" t="str">
        <f>IFERROR(__xludf.DUMMYFUNCTION("""COMPUTED_VALUE"""),"Nirvana Process Date")</f>
        <v>Nirvana Process Date</v>
      </c>
      <c r="AJ5" s="29" t="str">
        <f>IFERROR(__xludf.DUMMYFUNCTION("""COMPUTED_VALUE"""),"Closing Date")</f>
        <v>Closing Date</v>
      </c>
      <c r="AK5" s="29" t="str">
        <f>IFERROR(__xludf.DUMMYFUNCTION("""COMPUTED_VALUE"""),"Description")</f>
        <v>Description</v>
      </c>
      <c r="AL5" s="29" t="str">
        <f>IFERROR(__xludf.DUMMYFUNCTION("""COMPUTED_VALUE"""),"Coupon Rate")</f>
        <v>Coupon Rate</v>
      </c>
      <c r="AM5" s="29" t="str">
        <f>IFERROR(__xludf.DUMMYFUNCTION("""COMPUTED_VALUE"""),"Delta")</f>
        <v>Delta</v>
      </c>
      <c r="AN5" s="29" t="str">
        <f>IFERROR(__xludf.DUMMYFUNCTION("""COMPUTED_VALUE"""),"Symbol")</f>
        <v>Symbol</v>
      </c>
      <c r="AO5" s="29" t="str">
        <f>IFERROR(__xludf.DUMMYFUNCTION("""COMPUTED_VALUE"""),"Quantity")</f>
        <v>Quantity</v>
      </c>
      <c r="AP5" s="29" t="str">
        <f>IFERROR(__xludf.DUMMYFUNCTION("""COMPUTED_VALUE"""),"Avg Price(Base)")</f>
        <v>Avg Price(Base)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22</v>
      </c>
      <c r="C6" s="33"/>
      <c r="D6" s="39"/>
      <c r="E6" s="33"/>
      <c r="F6" s="40">
        <v>43451.0</v>
      </c>
      <c r="G6" s="33"/>
      <c r="H6" s="33"/>
      <c r="I6" s="33"/>
      <c r="J6" s="33"/>
      <c r="K6" s="33" t="s">
        <v>23</v>
      </c>
      <c r="L6" s="33"/>
      <c r="M6" s="33" t="s">
        <v>24</v>
      </c>
      <c r="N6" s="33"/>
      <c r="O6" s="33"/>
      <c r="P6" s="33"/>
      <c r="Q6" s="33"/>
      <c r="R6" s="33"/>
      <c r="S6" s="33"/>
      <c r="T6" s="36"/>
      <c r="U6" s="41">
        <v>90.0</v>
      </c>
      <c r="V6" s="41">
        <v>100.0</v>
      </c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41">
        <v>90.0</v>
      </c>
      <c r="AI6" s="36"/>
      <c r="AJ6" s="36"/>
      <c r="AK6" s="36"/>
      <c r="AL6" s="36"/>
      <c r="AM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11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7" width="12.63"/>
    <col customWidth="1" min="68" max="68" width="18.63"/>
    <col customWidth="1" min="69" max="69" width="20.63"/>
    <col customWidth="1" min="70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IFERROR(__xludf.DUMMYFUNCTION("""COMPUTED_VALUE"""),"isRowCountCheck")</f>
        <v>isRowCountCheck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/>
      <c r="C6" s="33"/>
      <c r="D6" s="39"/>
      <c r="E6" s="33"/>
      <c r="F6" s="33"/>
      <c r="G6" s="33"/>
      <c r="H6" s="33"/>
      <c r="I6" s="33"/>
      <c r="J6" s="33"/>
      <c r="K6" s="34">
        <v>90.0</v>
      </c>
      <c r="L6" s="33"/>
      <c r="M6" s="33"/>
      <c r="N6" s="33" t="s">
        <v>24</v>
      </c>
      <c r="O6" s="33"/>
      <c r="P6" s="33"/>
      <c r="Q6" s="33"/>
      <c r="R6" s="33"/>
      <c r="S6" s="33"/>
      <c r="T6" s="42">
        <v>90.0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1">
        <v>1000.0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1">
        <v>1000.0</v>
      </c>
      <c r="BK6" s="36"/>
      <c r="BL6" s="36"/>
      <c r="BM6" s="36"/>
      <c r="BN6" s="36"/>
      <c r="BO6" s="42" t="s">
        <v>22</v>
      </c>
      <c r="BP6" s="42">
        <v>100.0</v>
      </c>
      <c r="BQ6" s="36"/>
      <c r="BR6" s="36"/>
      <c r="BS6" s="36" t="s">
        <v>16</v>
      </c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43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