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onfigUpdater" sheetId="4" r:id="rId6"/>
    <sheet state="visible" name="EnableOrVerifyHotButton" sheetId="5" r:id="rId7"/>
    <sheet state="visible" name="CreateHotButtonOnBlotter" sheetId="6" r:id="rId8"/>
    <sheet state="visible" name="FillHBdetailsOnBlotter" sheetId="7" r:id="rId9"/>
    <sheet state="visible" name="EnableOrVerifyHotButton1" sheetId="8" r:id="rId10"/>
    <sheet state="visible" name="CustomOrderTT" sheetId="9" r:id="rId11"/>
    <sheet state="visible" name="ShortLocateFromTT" sheetId="10" r:id="rId12"/>
    <sheet state="visible" name="VerifyOrder" sheetId="11" r:id="rId13"/>
    <sheet state="visible" name="SelectTrade" sheetId="12" r:id="rId14"/>
    <sheet state="visible" name="AcknowledgeTrade" sheetId="13" r:id="rId15"/>
    <sheet state="visible" name="ExecuteTrade" sheetId="14" r:id="rId16"/>
    <sheet state="visible" name="RestartClient" sheetId="15" r:id="rId17"/>
    <sheet state="visible" name="Copy of Data" sheetId="16" r:id="rId18"/>
  </sheets>
  <definedNames/>
  <calcPr/>
</workbook>
</file>

<file path=xl/sharedStrings.xml><?xml version="1.0" encoding="utf-8"?>
<sst xmlns="http://schemas.openxmlformats.org/spreadsheetml/2006/main" count="269" uniqueCount="58">
  <si>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</si>
  <si>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</si>
  <si>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</si>
  <si>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</si>
  <si>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</si>
  <si>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</si>
  <si>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</si>
  <si>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</si>
  <si>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</si>
  <si>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</si>
  <si>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</si>
  <si>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</si>
  <si>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</si>
  <si>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ConfigUpdater</t>
  </si>
  <si>
    <t>Data Format</t>
  </si>
  <si>
    <t>Input Format</t>
  </si>
  <si>
    <t>Always_PopUp_Short_Locate</t>
  </si>
  <si>
    <t>Blotter</t>
  </si>
  <si>
    <t>EnableOrVerifyHotButton</t>
  </si>
  <si>
    <t>CreateHotButtonOnBlotter</t>
  </si>
  <si>
    <t>HotBtn</t>
  </si>
  <si>
    <t>Create New Order</t>
  </si>
  <si>
    <t>Confirm on TT</t>
  </si>
  <si>
    <t>Next</t>
  </si>
  <si>
    <t>FillHBdetailsOnBlotter</t>
  </si>
  <si>
    <t>IBM</t>
  </si>
  <si>
    <t>Allocation1</t>
  </si>
  <si>
    <t>MS</t>
  </si>
  <si>
    <t>Day</t>
  </si>
  <si>
    <t>Market</t>
  </si>
  <si>
    <t>Sell short</t>
  </si>
  <si>
    <t>Send</t>
  </si>
  <si>
    <t>Favorite</t>
  </si>
  <si>
    <t>TradingTicket</t>
  </si>
  <si>
    <t>CustomOrderTT</t>
  </si>
  <si>
    <t>ShortLocateFromTT</t>
  </si>
  <si>
    <t>kartik123</t>
  </si>
  <si>
    <t>VerifyOrder</t>
  </si>
  <si>
    <t/>
  </si>
  <si>
    <t>N.A.</t>
  </si>
  <si>
    <t>IBM US EQUITY</t>
  </si>
  <si>
    <t>NASDAQ</t>
  </si>
  <si>
    <t>Samsara</t>
  </si>
  <si>
    <t>US</t>
  </si>
  <si>
    <t>GCCAP1</t>
  </si>
  <si>
    <t>USD</t>
  </si>
  <si>
    <t>NONE</t>
  </si>
  <si>
    <t>NewMF</t>
  </si>
  <si>
    <t>M</t>
  </si>
  <si>
    <t>Equity</t>
  </si>
  <si>
    <t>New</t>
  </si>
  <si>
    <t>Manual</t>
  </si>
  <si>
    <t>Simulator</t>
  </si>
  <si>
    <t>SelectTrade</t>
  </si>
  <si>
    <t>CreateDoneAwayOrder</t>
  </si>
  <si>
    <t>msft</t>
  </si>
  <si>
    <t>buy</t>
  </si>
  <si>
    <t>PranaClient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</si>
</sst>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IFERROR(__xludf.DUMMYFUNCTION("""COMPUTED_VALUE"""),"Config_Key")</f>
        <v>Config_Key</v>
      </c>
      <c r="C5" s="28" t="str">
        <f>IFERROR(__xludf.DUMMYFUNCTION("""COMPUTED_VALUE"""),"Config_Value")</f>
        <v>Config_Value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b">
        <v>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ConfigUpdater!$4:$4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2" t="s">
        <v>20</v>
      </c>
      <c r="C6" s="32" t="s">
        <v>21</v>
      </c>
      <c r="D6" s="32" t="s">
        <v>22</v>
      </c>
      <c r="E6" s="34"/>
      <c r="F6" s="32" t="s">
        <v>23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CreateHotButtonOnBlotter!$4:$4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 t="str">
        <f>IFERROR(__xludf.DUMMYFUNCTION("""COMPUTED_VALUE"""),"Cent/BPS")</f>
        <v>Cent/BPS</v>
      </c>
      <c r="Q5" s="28" t="str">
        <f>IFERROR(__xludf.DUMMYFUNCTION("""COMPUTED_VALUE"""),"Ask/Bid/Last/Mid")</f>
        <v>Ask/Bid/Last/Mid</v>
      </c>
      <c r="R5" s="28" t="str">
        <f>IFERROR(__xludf.DUMMYFUNCTION("""COMPUTED_VALUE"""),"Limit Price")</f>
        <v>Limit Price</v>
      </c>
      <c r="S5" s="28" t="str">
        <f>IFERROR(__xludf.DUMMYFUNCTION("""COMPUTED_VALUE"""),"Expiration Date")</f>
        <v>Expiration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25</v>
      </c>
      <c r="C6" s="36">
        <v>100.0</v>
      </c>
      <c r="D6" s="32" t="s">
        <v>26</v>
      </c>
      <c r="E6" s="32" t="s">
        <v>27</v>
      </c>
      <c r="F6" s="34"/>
      <c r="G6" s="32" t="s">
        <v>28</v>
      </c>
      <c r="H6" s="32" t="s">
        <v>29</v>
      </c>
      <c r="I6" s="32" t="s">
        <v>30</v>
      </c>
      <c r="J6" s="32" t="s">
        <v>31</v>
      </c>
      <c r="K6" s="37" t="b">
        <v>1</v>
      </c>
      <c r="L6" s="32" t="s">
        <v>23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FillHBdetailsOnBlotter!$4:$4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2" t="s">
        <v>20</v>
      </c>
      <c r="E6" s="37" t="b">
        <v>1</v>
      </c>
      <c r="F6" s="32" t="s">
        <v>32</v>
      </c>
      <c r="G6" s="34"/>
      <c r="H6" s="37" t="b">
        <v>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6">
        <v>2.0</v>
      </c>
      <c r="E6" s="34"/>
      <c r="F6" s="34"/>
      <c r="G6" s="37" t="b">
        <v>1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IFERROR(__xludf.DUMMYFUNCTION("""COMPUTED_VALUE"""),"Borrow Broker")</f>
        <v>Borrow Broker</v>
      </c>
      <c r="C5" s="28" t="str">
        <f>IFERROR(__xludf.DUMMYFUNCTION("""COMPUTED_VALUE"""),"Share Available")</f>
        <v>Share Available</v>
      </c>
      <c r="D5" s="28" t="str">
        <f>IFERROR(__xludf.DUMMYFUNCTION("""COMPUTED_VALUE"""),"Quantity")</f>
        <v>Quantity</v>
      </c>
      <c r="E5" s="28" t="str">
        <f>IFERROR(__xludf.DUMMYFUNCTION("""COMPUTED_VALUE"""),"Rate %")</f>
        <v>Rate %</v>
      </c>
      <c r="F5" s="29" t="str">
        <f>IFERROR(__xludf.DUMMYFUNCTION("""COMPUTED_VALUE"""),"ID")</f>
        <v>ID</v>
      </c>
      <c r="G5" s="28" t="str">
        <f>IFERROR(__xludf.DUMMYFUNCTION("""COMPUTED_VALUE"""),"Send")</f>
        <v>Send</v>
      </c>
      <c r="H5" s="28" t="str">
        <f>IFERROR(__xludf.DUMMYFUNCTION("""COMPUTED_VALUE"""),"TradeType")</f>
        <v>TradeType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27</v>
      </c>
      <c r="C6" s="38">
        <v>100.0</v>
      </c>
      <c r="D6" s="36">
        <v>100.0</v>
      </c>
      <c r="E6" s="38">
        <v>5.0</v>
      </c>
      <c r="F6" s="39" t="s">
        <v>36</v>
      </c>
      <c r="G6" s="40" t="b">
        <v>1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ShortLocateFromTT!$4:$4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31" t="s">
        <v>38</v>
      </c>
      <c r="B6" s="31"/>
      <c r="C6" s="39" t="s">
        <v>39</v>
      </c>
      <c r="D6" s="31"/>
      <c r="E6" s="39" t="s">
        <v>40</v>
      </c>
      <c r="F6" s="38">
        <v>0.0</v>
      </c>
      <c r="G6" s="38">
        <v>100.0</v>
      </c>
      <c r="H6" s="39" t="s">
        <v>41</v>
      </c>
      <c r="I6" s="39" t="s">
        <v>42</v>
      </c>
      <c r="J6" s="39" t="s">
        <v>25</v>
      </c>
      <c r="K6" s="39" t="s">
        <v>43</v>
      </c>
      <c r="L6" s="39" t="s">
        <v>44</v>
      </c>
      <c r="M6" s="34" t="s">
        <v>38</v>
      </c>
      <c r="N6" s="34" t="s">
        <v>38</v>
      </c>
      <c r="O6" s="34" t="s">
        <v>38</v>
      </c>
      <c r="P6" s="34" t="s">
        <v>38</v>
      </c>
      <c r="Q6" s="34" t="s">
        <v>38</v>
      </c>
      <c r="R6" s="34" t="s">
        <v>38</v>
      </c>
      <c r="S6" s="34"/>
      <c r="T6" s="34"/>
      <c r="U6" s="34" t="s">
        <v>45</v>
      </c>
      <c r="V6" s="34" t="s">
        <v>46</v>
      </c>
      <c r="W6" s="34"/>
      <c r="X6" s="34"/>
      <c r="Y6" s="34"/>
      <c r="Z6" s="34"/>
      <c r="AA6" s="34" t="s">
        <v>47</v>
      </c>
      <c r="AB6" s="34"/>
      <c r="AC6" s="34"/>
      <c r="AD6" s="41">
        <v>1.0</v>
      </c>
      <c r="AE6" s="34"/>
      <c r="AF6" s="34" t="s">
        <v>48</v>
      </c>
      <c r="AG6" s="34"/>
      <c r="AH6" s="34" t="s">
        <v>49</v>
      </c>
      <c r="AI6" s="34" t="s">
        <v>25</v>
      </c>
      <c r="AJ6" s="34" t="s">
        <v>30</v>
      </c>
      <c r="AK6" s="34" t="s">
        <v>50</v>
      </c>
      <c r="AL6" s="41">
        <v>100.0</v>
      </c>
      <c r="AM6" s="34"/>
      <c r="AN6" s="34"/>
      <c r="AO6" s="34"/>
      <c r="AP6" s="34"/>
      <c r="AQ6" s="34"/>
      <c r="AR6" s="34"/>
      <c r="AS6" s="34" t="s">
        <v>27</v>
      </c>
      <c r="AT6" s="34" t="s">
        <v>26</v>
      </c>
      <c r="AU6" s="34" t="s">
        <v>29</v>
      </c>
      <c r="AV6" s="34"/>
      <c r="AW6" s="34"/>
      <c r="AX6" s="34" t="s">
        <v>51</v>
      </c>
      <c r="AY6" s="34" t="s">
        <v>38</v>
      </c>
      <c r="AZ6" s="41">
        <v>100.0</v>
      </c>
      <c r="BA6" s="34" t="s">
        <v>42</v>
      </c>
      <c r="BB6" s="34" t="s">
        <v>38</v>
      </c>
      <c r="BC6" s="34" t="s">
        <v>38</v>
      </c>
      <c r="BD6" s="34" t="s">
        <v>38</v>
      </c>
      <c r="BE6" s="34" t="s">
        <v>38</v>
      </c>
      <c r="BF6" s="34" t="s">
        <v>38</v>
      </c>
      <c r="BG6" s="34" t="s">
        <v>33</v>
      </c>
      <c r="BH6" s="34" t="s">
        <v>28</v>
      </c>
      <c r="BI6" s="34"/>
      <c r="BJ6" s="34"/>
      <c r="BK6" s="34" t="s">
        <v>38</v>
      </c>
      <c r="BL6" s="34"/>
      <c r="BM6" s="34" t="s">
        <v>36</v>
      </c>
      <c r="BN6" s="41">
        <v>5.0</v>
      </c>
      <c r="BO6" s="34" t="s">
        <v>27</v>
      </c>
      <c r="BP6" s="34"/>
      <c r="BQ6" s="34"/>
      <c r="BR6" s="34" t="s">
        <v>38</v>
      </c>
      <c r="BS6" s="34" t="s">
        <v>38</v>
      </c>
      <c r="BT6" s="34" t="s">
        <v>38</v>
      </c>
      <c r="BU6" s="34" t="s">
        <v>38</v>
      </c>
      <c r="BV6" s="34" t="s">
        <v>38</v>
      </c>
      <c r="BW6" s="34" t="s">
        <v>38</v>
      </c>
      <c r="BX6" s="34" t="s">
        <v>38</v>
      </c>
      <c r="BY6" s="34" t="s">
        <v>38</v>
      </c>
      <c r="BZ6" s="34" t="s">
        <v>38</v>
      </c>
      <c r="CA6" s="34" t="s">
        <v>38</v>
      </c>
      <c r="CB6" s="34" t="s">
        <v>38</v>
      </c>
      <c r="CC6" s="34" t="s">
        <v>38</v>
      </c>
      <c r="CD6" s="34" t="s">
        <v>38</v>
      </c>
      <c r="CE6" s="34" t="s">
        <v>38</v>
      </c>
      <c r="CF6" s="34" t="s">
        <v>38</v>
      </c>
      <c r="CG6" s="34" t="s">
        <v>38</v>
      </c>
      <c r="CH6" s="34" t="s">
        <v>38</v>
      </c>
      <c r="CI6" s="34" t="s">
        <v>38</v>
      </c>
      <c r="CJ6" s="34" t="s">
        <v>38</v>
      </c>
      <c r="CK6" s="34" t="s">
        <v>38</v>
      </c>
      <c r="CL6" s="34" t="s">
        <v>38</v>
      </c>
      <c r="CM6" s="34" t="s">
        <v>38</v>
      </c>
      <c r="CN6" s="34" t="s">
        <v>38</v>
      </c>
      <c r="CO6" s="34" t="s">
        <v>38</v>
      </c>
      <c r="CP6" s="34" t="s">
        <v>38</v>
      </c>
      <c r="CQ6" s="34" t="s">
        <v>38</v>
      </c>
      <c r="CR6" s="34" t="s">
        <v>38</v>
      </c>
      <c r="CS6" s="34" t="s">
        <v>38</v>
      </c>
      <c r="CT6" s="34" t="s">
        <v>38</v>
      </c>
      <c r="CU6" s="34" t="s">
        <v>38</v>
      </c>
      <c r="CV6" s="34" t="s">
        <v>38</v>
      </c>
      <c r="CW6" s="34" t="s">
        <v>38</v>
      </c>
      <c r="CX6" s="34" t="s">
        <v>38</v>
      </c>
      <c r="CY6" s="34" t="s">
        <v>38</v>
      </c>
      <c r="CZ6" s="34" t="s">
        <v>38</v>
      </c>
      <c r="DA6" s="34" t="s">
        <v>38</v>
      </c>
      <c r="DB6" s="34" t="s">
        <v>38</v>
      </c>
      <c r="DC6" s="34" t="s">
        <v>38</v>
      </c>
      <c r="DD6" s="34" t="s">
        <v>38</v>
      </c>
      <c r="DE6" s="34" t="s">
        <v>38</v>
      </c>
      <c r="DF6" s="34" t="s">
        <v>38</v>
      </c>
      <c r="DG6" s="34" t="s">
        <v>38</v>
      </c>
      <c r="DH6" s="34" t="s">
        <v>38</v>
      </c>
      <c r="DI6" s="34" t="s">
        <v>38</v>
      </c>
      <c r="DJ6" s="34" t="s">
        <v>38</v>
      </c>
      <c r="DK6" s="34" t="s">
        <v>38</v>
      </c>
      <c r="DL6" s="34" t="s">
        <v>38</v>
      </c>
      <c r="DM6" s="34" t="s">
        <v>38</v>
      </c>
      <c r="DN6" s="34" t="s">
        <v>38</v>
      </c>
      <c r="DO6" s="34" t="s">
        <v>38</v>
      </c>
      <c r="DP6" s="34" t="s">
        <v>38</v>
      </c>
      <c r="DQ6" s="34" t="s">
        <v>38</v>
      </c>
      <c r="DR6" s="34" t="s">
        <v>38</v>
      </c>
      <c r="DS6" s="34" t="s">
        <v>38</v>
      </c>
      <c r="DT6" s="34" t="s">
        <v>38</v>
      </c>
      <c r="DU6" s="34" t="s">
        <v>38</v>
      </c>
      <c r="DV6" s="34" t="s">
        <v>38</v>
      </c>
      <c r="DW6" s="34" t="s">
        <v>38</v>
      </c>
      <c r="DX6" s="34" t="s">
        <v>38</v>
      </c>
      <c r="DY6" s="34" t="s">
        <v>38</v>
      </c>
      <c r="DZ6" s="34" t="s">
        <v>38</v>
      </c>
      <c r="EA6" s="34" t="s">
        <v>38</v>
      </c>
      <c r="EB6" s="34" t="s">
        <v>38</v>
      </c>
      <c r="EC6" s="34" t="s">
        <v>38</v>
      </c>
      <c r="ED6" s="34" t="s">
        <v>38</v>
      </c>
      <c r="EE6" s="34" t="s">
        <v>38</v>
      </c>
      <c r="EF6" s="34" t="s">
        <v>38</v>
      </c>
      <c r="EG6" s="34" t="s">
        <v>38</v>
      </c>
      <c r="EH6" s="34" t="s">
        <v>38</v>
      </c>
      <c r="EI6" s="34" t="s">
        <v>38</v>
      </c>
      <c r="EJ6" s="34" t="s">
        <v>38</v>
      </c>
      <c r="EK6" s="34" t="s">
        <v>38</v>
      </c>
      <c r="EL6" s="34" t="s">
        <v>38</v>
      </c>
      <c r="EM6" s="34" t="s">
        <v>38</v>
      </c>
      <c r="EN6" s="34" t="s">
        <v>38</v>
      </c>
      <c r="EO6" s="34" t="s">
        <v>38</v>
      </c>
      <c r="EP6" s="34" t="s">
        <v>38</v>
      </c>
      <c r="EQ6" s="34" t="s">
        <v>38</v>
      </c>
      <c r="ER6" s="34" t="s">
        <v>38</v>
      </c>
      <c r="ES6" s="34" t="s">
        <v>38</v>
      </c>
      <c r="ET6" s="34" t="s">
        <v>38</v>
      </c>
      <c r="EU6" s="34" t="s">
        <v>38</v>
      </c>
      <c r="EV6" s="34" t="s">
        <v>38</v>
      </c>
      <c r="EW6" s="34" t="s">
        <v>38</v>
      </c>
      <c r="EX6" s="34" t="s">
        <v>38</v>
      </c>
      <c r="EY6" s="34" t="s">
        <v>38</v>
      </c>
      <c r="EZ6" s="34" t="s">
        <v>38</v>
      </c>
      <c r="FA6" s="34" t="s">
        <v>38</v>
      </c>
      <c r="FB6" s="34" t="s">
        <v>38</v>
      </c>
      <c r="FC6" s="34" t="s">
        <v>38</v>
      </c>
      <c r="FD6" s="34" t="s">
        <v>38</v>
      </c>
      <c r="FE6" s="34" t="s">
        <v>38</v>
      </c>
      <c r="FF6" s="34" t="s">
        <v>38</v>
      </c>
      <c r="FG6" s="34" t="s">
        <v>38</v>
      </c>
      <c r="FH6" s="34" t="s">
        <v>38</v>
      </c>
      <c r="FI6" s="34" t="s">
        <v>38</v>
      </c>
      <c r="FJ6" s="34" t="s">
        <v>38</v>
      </c>
      <c r="FK6" s="34" t="s">
        <v>38</v>
      </c>
      <c r="FL6" s="34" t="s">
        <v>38</v>
      </c>
      <c r="FM6" s="34" t="s">
        <v>38</v>
      </c>
      <c r="FN6" s="34" t="s">
        <v>38</v>
      </c>
      <c r="FO6" s="34" t="s">
        <v>38</v>
      </c>
      <c r="FP6" s="34" t="s">
        <v>38</v>
      </c>
      <c r="FQ6" s="34" t="s">
        <v>38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  <c r="AMM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IFERROR(__xludf.DUMMYFUNCTION("TRANSPOSE(IMPORTRANGE(VLOOKUP($E$3,IMPORTRANGE('_Settings'!$B$3,$C$3&amp;""!A4:B1000""),2,FALSE),$G$3&amp;""!A4:A1000""))"),"#N/A")</f>
        <v>#N/A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55</v>
      </c>
      <c r="C6" s="8"/>
      <c r="D6" s="13" t="s">
        <v>56</v>
      </c>
      <c r="E6" s="35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IFERROR(__xludf.DUMMYFUNCTION("TRANSPOSE(IMPORTRANGE(VLOOKUP($E$3,IMPORTRANGE('_Settings'!$B$3,$C$3&amp;""!A4:B1000""),2,FALSE),$G$3&amp;""!A4:A1000""))"),"#N/A")</f>
        <v>#N/A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55</v>
      </c>
      <c r="C6" s="8"/>
      <c r="D6" s="13" t="s">
        <v>56</v>
      </c>
      <c r="E6" s="35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IFERROR(__xludf.DUMMYFUNCTION("TRANSPOSE(IMPORTRANGE(VLOOKUP($E$3,IMPORTRANGE('_Settings'!$B$3,$C$3&amp;""!A4:B1000""),2,FALSE),$G$3&amp;""!A4:A1000""))"),"#N/A")</f>
        <v>#N/A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55</v>
      </c>
      <c r="C6" s="8"/>
      <c r="D6" s="13" t="s">
        <v>56</v>
      </c>
      <c r="E6" s="35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RestartClient!$4:$4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55</v>
      </c>
      <c r="C6" s="8"/>
      <c r="D6" s="13" t="s">
        <v>56</v>
      </c>
      <c r="E6" s="35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