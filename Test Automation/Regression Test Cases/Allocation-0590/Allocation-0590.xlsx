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AllocatedGroups" sheetId="10" r:id="rId12"/>
    <sheet state="visible" name="CheckAllocatedGroups1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CheckUnallocatedGroups" sheetId="15" r:id="rId17"/>
    <sheet state="visible" name="CheckUnallocatedGroups1" sheetId="16" r:id="rId18"/>
    <sheet state="visible" name="SelectTrade2" sheetId="17" r:id="rId19"/>
    <sheet state="visible" name="AcknowledgeTrade2" sheetId="18" r:id="rId20"/>
    <sheet state="visible" name="ExecuteTrade2" sheetId="19" r:id="rId21"/>
    <sheet state="visible" name="CheckAllocatedGroups2" sheetId="20" r:id="rId22"/>
  </sheets>
  <definedNames/>
  <calcPr/>
</workbook>
</file>

<file path=xl/sharedStrings.xml><?xml version="1.0" encoding="utf-8"?>
<sst xmlns="http://schemas.openxmlformats.org/spreadsheetml/2006/main" count="684" uniqueCount="60">
  <si>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</si>
  <si>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</si>
  <si>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</si>
  <si>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</si>
  <si>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</si>
  <si>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</si>
  <si>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</si>
  <si>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</si>
  <si>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</si>
  <si>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</si>
  <si>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</si>
  <si>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</si>
  <si>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</si>
  <si>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</si>
  <si>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</si>
  <si>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</si>
  <si>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</si>
  <si>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</si>
  <si>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</si>
  <si>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AAPL</t>
  </si>
  <si>
    <t>Buy</t>
  </si>
  <si>
    <t>Allocation1</t>
  </si>
  <si>
    <t>MS</t>
  </si>
  <si>
    <t>Day</t>
  </si>
  <si>
    <t>Market</t>
  </si>
  <si>
    <t>Shares/Contracts</t>
  </si>
  <si>
    <t>MSFT</t>
  </si>
  <si>
    <t>Unallocated</t>
  </si>
  <si>
    <t>ES U5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</si>
  <si>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</si>
  <si>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</si>
  <si>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</si>
  <si>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</si>
  <si>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</si>
  <si>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</si>
  <si>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</si>
  <si>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</si>
  <si>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</si>
  <si>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</si>
  <si>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</si>
  <si>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</si>
  <si>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</si>
  <si>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</si>
  <si>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</si>
  <si>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</si>
  <si>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</si>
  <si>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</si>
  <si>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</si>
  <si>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</si>
  <si>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</si>
  <si>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</si>
  <si>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</si>
  <si>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</si>
  <si>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</si>
  <si>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</si>
  <si>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NewMF</t>
  </si>
  <si>
    <t>CheckUnallocatedGroups</t>
  </si>
  <si>
    <t>MSFT US EQUITY</t>
  </si>
  <si>
    <t>Future</t>
  </si>
  <si>
    <t>CMEE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</si>
</sst>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  <xf borderId="5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SetCommissionRule!$4:$4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2" t="s">
        <v>20</v>
      </c>
      <c r="D6" s="33">
        <v>100.0</v>
      </c>
      <c r="E6" s="34">
        <v>100.0</v>
      </c>
      <c r="F6" s="35" t="s">
        <v>21</v>
      </c>
      <c r="G6" s="35" t="s">
        <v>22</v>
      </c>
      <c r="H6" s="35" t="s">
        <v>23</v>
      </c>
      <c r="I6" s="35" t="s">
        <v>24</v>
      </c>
      <c r="J6" s="34">
        <v>10.0</v>
      </c>
      <c r="K6" s="36"/>
      <c r="L6" s="36"/>
      <c r="M6" s="36"/>
      <c r="N6" s="37">
        <f t="shared" ref="N6:N8" si="1">today()</f>
        <v>45855</v>
      </c>
      <c r="O6" s="36"/>
      <c r="P6" s="36"/>
      <c r="Q6" s="36"/>
      <c r="R6" s="38" t="s">
        <v>25</v>
      </c>
      <c r="S6" s="39">
        <v>20.0</v>
      </c>
      <c r="T6" s="38" t="s">
        <v>25</v>
      </c>
      <c r="U6" s="39">
        <v>20.0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26</v>
      </c>
      <c r="C7" s="35" t="s">
        <v>20</v>
      </c>
      <c r="D7" s="34">
        <v>100.0</v>
      </c>
      <c r="E7" s="34">
        <v>100.0</v>
      </c>
      <c r="F7" s="35" t="s">
        <v>27</v>
      </c>
      <c r="G7" s="35" t="s">
        <v>22</v>
      </c>
      <c r="H7" s="35" t="s">
        <v>23</v>
      </c>
      <c r="I7" s="35" t="s">
        <v>24</v>
      </c>
      <c r="J7" s="34">
        <v>10.0</v>
      </c>
      <c r="K7" s="36"/>
      <c r="L7" s="36"/>
      <c r="M7" s="36"/>
      <c r="N7" s="37">
        <f t="shared" si="1"/>
        <v>45855</v>
      </c>
      <c r="O7" s="36"/>
      <c r="P7" s="36"/>
      <c r="Q7" s="36"/>
      <c r="R7" s="38" t="s">
        <v>25</v>
      </c>
      <c r="S7" s="39">
        <v>20.0</v>
      </c>
      <c r="T7" s="38" t="s">
        <v>25</v>
      </c>
      <c r="U7" s="39">
        <v>20.0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12" t="s">
        <v>28</v>
      </c>
      <c r="C8" s="32" t="s">
        <v>20</v>
      </c>
      <c r="D8" s="33">
        <v>100.0</v>
      </c>
      <c r="E8" s="34">
        <v>100.0</v>
      </c>
      <c r="F8" s="35" t="s">
        <v>21</v>
      </c>
      <c r="G8" s="35" t="s">
        <v>22</v>
      </c>
      <c r="H8" s="35" t="s">
        <v>23</v>
      </c>
      <c r="I8" s="35" t="s">
        <v>24</v>
      </c>
      <c r="J8" s="34">
        <v>10.0</v>
      </c>
      <c r="K8" s="36"/>
      <c r="L8" s="36"/>
      <c r="M8" s="36"/>
      <c r="N8" s="37">
        <f t="shared" si="1"/>
        <v>45855</v>
      </c>
      <c r="O8" s="36"/>
      <c r="P8" s="36"/>
      <c r="Q8" s="36"/>
      <c r="R8" s="38" t="s">
        <v>25</v>
      </c>
      <c r="S8" s="39">
        <v>20.0</v>
      </c>
      <c r="T8" s="38" t="s">
        <v>25</v>
      </c>
      <c r="U8" s="39">
        <v>20.0</v>
      </c>
      <c r="V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40">
        <f>today()-1</f>
        <v>45854</v>
      </c>
      <c r="D6" s="41">
        <f>today()</f>
        <v>45855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21</v>
      </c>
      <c r="C6" s="8" t="s">
        <v>38</v>
      </c>
      <c r="D6" s="42">
        <v>0.0</v>
      </c>
      <c r="E6" s="8">
        <v>10.0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42</v>
      </c>
      <c r="O6" s="8" t="s">
        <v>22</v>
      </c>
      <c r="Q6">
        <v>3.0</v>
      </c>
      <c r="R6">
        <v>0.0</v>
      </c>
      <c r="S6" t="s">
        <v>43</v>
      </c>
      <c r="T6">
        <v>200.0</v>
      </c>
      <c r="U6">
        <v>20.0</v>
      </c>
      <c r="V6" t="s">
        <v>44</v>
      </c>
      <c r="W6">
        <v>1.0</v>
      </c>
      <c r="X6">
        <v>0.0</v>
      </c>
      <c r="Y6" t="s">
        <v>37</v>
      </c>
      <c r="Z6" t="s">
        <v>45</v>
      </c>
      <c r="AA6" t="s">
        <v>19</v>
      </c>
      <c r="AB6">
        <v>1.0</v>
      </c>
      <c r="AD6" t="s">
        <v>46</v>
      </c>
      <c r="AE6">
        <v>10.0</v>
      </c>
      <c r="AF6" t="s">
        <v>37</v>
      </c>
      <c r="AH6" t="s">
        <v>47</v>
      </c>
      <c r="AI6">
        <v>1.0</v>
      </c>
      <c r="AJ6" t="s">
        <v>48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514.0001</v>
      </c>
      <c r="AU6">
        <v>514.0001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100.0</v>
      </c>
      <c r="BF6">
        <v>100.0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200.0</v>
      </c>
      <c r="BQ6">
        <v>20.0</v>
      </c>
      <c r="BR6">
        <v>1.0E-4</v>
      </c>
      <c r="BS6" t="s">
        <v>50</v>
      </c>
      <c r="BT6" t="s">
        <v>19</v>
      </c>
      <c r="BU6">
        <v>3.0</v>
      </c>
      <c r="BV6">
        <v>400.0</v>
      </c>
      <c r="BW6">
        <v>414.0001</v>
      </c>
      <c r="BX6">
        <v>40.0</v>
      </c>
      <c r="CF6" t="s">
        <v>51</v>
      </c>
      <c r="CG6">
        <v>2.0</v>
      </c>
      <c r="CH6" s="43"/>
      <c r="CI6" t="s">
        <v>20</v>
      </c>
      <c r="CJ6">
        <v>0.0</v>
      </c>
      <c r="CK6" t="s">
        <v>52</v>
      </c>
      <c r="CL6">
        <v>1.0</v>
      </c>
      <c r="CM6" t="s">
        <v>19</v>
      </c>
      <c r="CN6" t="s">
        <v>53</v>
      </c>
      <c r="CO6" t="s">
        <v>46</v>
      </c>
      <c r="CP6" t="s">
        <v>54</v>
      </c>
      <c r="CS6" t="s">
        <v>37</v>
      </c>
      <c r="CW6">
        <v>0.0</v>
      </c>
      <c r="CX6" t="s">
        <v>55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21</v>
      </c>
      <c r="C6" s="8" t="s">
        <v>38</v>
      </c>
      <c r="D6" s="42">
        <v>0.0</v>
      </c>
      <c r="E6" s="8">
        <v>20.0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42</v>
      </c>
      <c r="O6" s="8" t="s">
        <v>22</v>
      </c>
      <c r="Q6">
        <v>3.0</v>
      </c>
      <c r="R6">
        <v>0.0</v>
      </c>
      <c r="S6" t="s">
        <v>43</v>
      </c>
      <c r="T6">
        <v>400.0</v>
      </c>
      <c r="U6">
        <v>20.0</v>
      </c>
      <c r="V6" t="s">
        <v>44</v>
      </c>
      <c r="W6">
        <v>1.0</v>
      </c>
      <c r="X6">
        <v>0.0</v>
      </c>
      <c r="Y6" t="s">
        <v>37</v>
      </c>
      <c r="Z6" t="s">
        <v>45</v>
      </c>
      <c r="AA6" t="s">
        <v>19</v>
      </c>
      <c r="AB6">
        <v>1.0</v>
      </c>
      <c r="AD6" t="s">
        <v>46</v>
      </c>
      <c r="AE6">
        <v>20.0</v>
      </c>
      <c r="AF6" t="s">
        <v>37</v>
      </c>
      <c r="AH6" t="s">
        <v>47</v>
      </c>
      <c r="AI6">
        <v>1.0</v>
      </c>
      <c r="AJ6" t="s">
        <v>48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1014.0001</v>
      </c>
      <c r="AU6">
        <v>1014.0001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200.0</v>
      </c>
      <c r="BF6">
        <v>200.0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400.0</v>
      </c>
      <c r="BQ6">
        <v>20.0</v>
      </c>
      <c r="BR6">
        <v>1.0E-4</v>
      </c>
      <c r="BS6" t="s">
        <v>50</v>
      </c>
      <c r="BT6" t="s">
        <v>19</v>
      </c>
      <c r="BU6">
        <v>3.0</v>
      </c>
      <c r="BV6">
        <v>800.0</v>
      </c>
      <c r="BW6">
        <v>814.0001</v>
      </c>
      <c r="BX6">
        <v>40.0</v>
      </c>
      <c r="CF6" t="s">
        <v>51</v>
      </c>
      <c r="CG6">
        <v>2.0</v>
      </c>
      <c r="CH6" s="43"/>
      <c r="CI6" t="s">
        <v>20</v>
      </c>
      <c r="CJ6">
        <v>0.0</v>
      </c>
      <c r="CK6" t="s">
        <v>52</v>
      </c>
      <c r="CL6">
        <v>1.0</v>
      </c>
      <c r="CM6" t="s">
        <v>19</v>
      </c>
      <c r="CN6" t="s">
        <v>53</v>
      </c>
      <c r="CO6" t="s">
        <v>46</v>
      </c>
      <c r="CP6" t="s">
        <v>54</v>
      </c>
      <c r="CS6" t="s">
        <v>37</v>
      </c>
      <c r="CW6">
        <v>0.0</v>
      </c>
      <c r="CX6" t="s">
        <v>55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37</v>
      </c>
      <c r="C6" s="8">
        <v>0.0</v>
      </c>
      <c r="D6" s="42">
        <v>0.0</v>
      </c>
      <c r="E6" s="8"/>
      <c r="F6" s="8" t="s">
        <v>40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57</v>
      </c>
      <c r="M6" s="8" t="s">
        <v>37</v>
      </c>
      <c r="N6" s="8" t="s">
        <v>22</v>
      </c>
      <c r="O6" s="8"/>
      <c r="P6">
        <v>3.0</v>
      </c>
      <c r="Q6">
        <v>0.0</v>
      </c>
      <c r="R6" t="s">
        <v>54</v>
      </c>
      <c r="S6" t="s">
        <v>43</v>
      </c>
      <c r="T6">
        <v>200.0</v>
      </c>
      <c r="U6">
        <v>20.0</v>
      </c>
      <c r="W6">
        <v>1.0</v>
      </c>
      <c r="X6" t="s">
        <v>37</v>
      </c>
      <c r="Y6" t="s">
        <v>37</v>
      </c>
      <c r="Z6" t="s">
        <v>45</v>
      </c>
      <c r="AA6">
        <v>5.94918104E8</v>
      </c>
      <c r="AB6">
        <v>1.0</v>
      </c>
      <c r="AD6" t="s">
        <v>46</v>
      </c>
      <c r="AE6">
        <v>10.0</v>
      </c>
      <c r="AG6" t="s">
        <v>47</v>
      </c>
      <c r="AH6">
        <v>1.0</v>
      </c>
      <c r="AI6" t="s">
        <v>48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514.0001</v>
      </c>
      <c r="AU6">
        <v>514.0001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100.0</v>
      </c>
      <c r="BF6">
        <v>100.0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200.0</v>
      </c>
      <c r="BQ6">
        <v>20.0</v>
      </c>
      <c r="BR6">
        <v>1.0E-4</v>
      </c>
      <c r="BS6" t="s">
        <v>26</v>
      </c>
      <c r="BT6">
        <v>3.0</v>
      </c>
      <c r="BU6">
        <v>400.0</v>
      </c>
      <c r="BV6">
        <v>414.0001</v>
      </c>
      <c r="BW6">
        <v>40.0</v>
      </c>
      <c r="CE6" t="s">
        <v>51</v>
      </c>
      <c r="CF6">
        <v>2.0</v>
      </c>
      <c r="CG6" s="43"/>
      <c r="CH6" t="s">
        <v>20</v>
      </c>
      <c r="CI6">
        <v>10.0</v>
      </c>
      <c r="CJ6" t="s">
        <v>52</v>
      </c>
      <c r="CK6">
        <v>1.0</v>
      </c>
      <c r="CL6" t="s">
        <v>26</v>
      </c>
      <c r="CM6" t="s">
        <v>53</v>
      </c>
      <c r="CN6" t="s">
        <v>46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37</v>
      </c>
      <c r="C6" s="8">
        <v>0.0</v>
      </c>
      <c r="D6" s="42">
        <v>0.0</v>
      </c>
      <c r="E6" s="8"/>
      <c r="F6" s="8" t="s">
        <v>40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57</v>
      </c>
      <c r="M6" s="8" t="s">
        <v>37</v>
      </c>
      <c r="N6" s="8" t="s">
        <v>22</v>
      </c>
      <c r="O6" s="8"/>
      <c r="P6">
        <v>3.0</v>
      </c>
      <c r="Q6">
        <v>0.0</v>
      </c>
      <c r="R6" t="s">
        <v>54</v>
      </c>
      <c r="S6" t="s">
        <v>43</v>
      </c>
      <c r="T6">
        <v>400.0</v>
      </c>
      <c r="U6">
        <v>20.0</v>
      </c>
      <c r="W6">
        <v>1.0</v>
      </c>
      <c r="X6" t="s">
        <v>37</v>
      </c>
      <c r="Y6" t="s">
        <v>37</v>
      </c>
      <c r="Z6" t="s">
        <v>45</v>
      </c>
      <c r="AB6">
        <v>1.0</v>
      </c>
      <c r="AD6" t="s">
        <v>46</v>
      </c>
      <c r="AE6">
        <v>20.0</v>
      </c>
      <c r="AG6" t="s">
        <v>47</v>
      </c>
      <c r="AH6">
        <v>1.0</v>
      </c>
      <c r="AI6" t="s">
        <v>48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1014.0001</v>
      </c>
      <c r="AU6">
        <v>1014.0001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200.0</v>
      </c>
      <c r="BF6">
        <v>200.0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400.0</v>
      </c>
      <c r="BQ6">
        <v>20.0</v>
      </c>
      <c r="BR6">
        <v>1.0E-4</v>
      </c>
      <c r="BS6" t="s">
        <v>26</v>
      </c>
      <c r="BT6">
        <v>3.0</v>
      </c>
      <c r="BU6">
        <v>800.0</v>
      </c>
      <c r="BV6">
        <v>814.0001</v>
      </c>
      <c r="BW6">
        <v>40.0</v>
      </c>
      <c r="CE6" t="s">
        <v>51</v>
      </c>
      <c r="CF6">
        <v>2.0</v>
      </c>
      <c r="CG6" s="43"/>
      <c r="CH6" t="s">
        <v>20</v>
      </c>
      <c r="CI6">
        <v>20.0</v>
      </c>
      <c r="CJ6" t="s">
        <v>52</v>
      </c>
      <c r="CK6">
        <v>1.0</v>
      </c>
      <c r="CL6" t="s">
        <v>26</v>
      </c>
      <c r="CM6" t="s">
        <v>53</v>
      </c>
      <c r="CN6" t="s">
        <v>46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20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20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21</v>
      </c>
      <c r="C6" s="8" t="s">
        <v>38</v>
      </c>
      <c r="D6" s="42">
        <v>0.0</v>
      </c>
      <c r="E6" s="8">
        <v>10.0</v>
      </c>
      <c r="F6" s="8" t="s">
        <v>39</v>
      </c>
      <c r="G6" s="8" t="s">
        <v>58</v>
      </c>
      <c r="H6" s="8">
        <v>0.0</v>
      </c>
      <c r="I6" s="8">
        <v>0.0</v>
      </c>
      <c r="J6" s="8">
        <v>16.0</v>
      </c>
      <c r="K6" s="8">
        <v>10.0</v>
      </c>
      <c r="L6" s="8">
        <v>10.0</v>
      </c>
      <c r="M6" s="8"/>
      <c r="N6" s="8" t="s">
        <v>42</v>
      </c>
      <c r="O6" s="8" t="s">
        <v>22</v>
      </c>
      <c r="Q6">
        <v>3.0</v>
      </c>
      <c r="R6">
        <v>0.0</v>
      </c>
      <c r="S6" t="s">
        <v>43</v>
      </c>
      <c r="T6">
        <v>200.0</v>
      </c>
      <c r="U6">
        <v>20.0</v>
      </c>
      <c r="W6">
        <v>50.0</v>
      </c>
      <c r="X6">
        <v>0.0</v>
      </c>
      <c r="Y6" t="s">
        <v>37</v>
      </c>
      <c r="Z6" t="s">
        <v>45</v>
      </c>
      <c r="AA6" t="s">
        <v>28</v>
      </c>
      <c r="AB6">
        <v>1.0</v>
      </c>
      <c r="AD6" t="s">
        <v>59</v>
      </c>
      <c r="AE6">
        <v>10.0</v>
      </c>
      <c r="AF6" t="s">
        <v>37</v>
      </c>
      <c r="AH6" t="s">
        <v>47</v>
      </c>
      <c r="AI6">
        <v>1.0</v>
      </c>
      <c r="AJ6" t="s">
        <v>48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5400.0</v>
      </c>
      <c r="AU6">
        <v>5400.0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5000.0</v>
      </c>
      <c r="BF6">
        <v>5000.0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200.0</v>
      </c>
      <c r="BQ6">
        <v>20.0</v>
      </c>
      <c r="BR6">
        <v>0.0</v>
      </c>
      <c r="BS6" t="s">
        <v>50</v>
      </c>
      <c r="BT6" t="s">
        <v>28</v>
      </c>
      <c r="BU6">
        <v>0.0</v>
      </c>
      <c r="BV6">
        <v>400.0</v>
      </c>
      <c r="BW6">
        <v>400.0</v>
      </c>
      <c r="BX6">
        <v>40.0</v>
      </c>
      <c r="CF6" t="s">
        <v>51</v>
      </c>
      <c r="CG6">
        <v>0.0</v>
      </c>
      <c r="CH6" s="43"/>
      <c r="CI6" t="s">
        <v>20</v>
      </c>
      <c r="CJ6">
        <v>0.0</v>
      </c>
      <c r="CK6" t="s">
        <v>52</v>
      </c>
      <c r="CL6">
        <v>1.0</v>
      </c>
      <c r="CM6" t="s">
        <v>28</v>
      </c>
      <c r="CN6" t="s">
        <v>53</v>
      </c>
      <c r="CO6" t="s">
        <v>46</v>
      </c>
      <c r="CP6" t="s">
        <v>54</v>
      </c>
      <c r="CS6" t="s">
        <v>37</v>
      </c>
      <c r="CW6">
        <v>0.0</v>
      </c>
      <c r="CX6" t="s">
        <v>55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