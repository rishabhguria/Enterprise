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CustomOrderTT1" sheetId="14" r:id="rId16"/>
    <sheet state="visible" name="PricingInput1" sheetId="15" r:id="rId17"/>
    <sheet state="visible" name="GetDailyCash" sheetId="16" r:id="rId18"/>
    <sheet state="visible" name="UpdateMultipleDailyCash" sheetId="17" r:id="rId19"/>
    <sheet state="visible" name="GetCashTransaction" sheetId="18" r:id="rId20"/>
    <sheet state="visible" name="AddCashTransaction" sheetId="19" r:id="rId21"/>
    <sheet state="visible" name="RunRevaluation" sheetId="20" r:id="rId22"/>
    <sheet state="visible" name="RebalancePreference" sheetId="21" r:id="rId23"/>
    <sheet state="visible" name="FetchAccountPositions" sheetId="22" r:id="rId24"/>
    <sheet state="visible" name="NavImpactingComponent" sheetId="23" r:id="rId25"/>
    <sheet state="visible" name="AddCash" sheetId="24" r:id="rId26"/>
    <sheet state="visible" name="RunRebalance" sheetId="25" r:id="rId27"/>
    <sheet state="visible" name="RebalanceAcrossSecurities" sheetId="26" r:id="rId28"/>
    <sheet state="visible" name="ModifyRebalance" sheetId="27" r:id="rId29"/>
    <sheet state="visible" name="SendtoStaging" sheetId="28" r:id="rId30"/>
    <sheet state="visible" name="RunRebalance1" sheetId="29" r:id="rId31"/>
    <sheet state="visible" name="RebalanceAcrossSecurities1" sheetId="30" r:id="rId32"/>
    <sheet state="visible" name="ModifyRebalance1" sheetId="31" r:id="rId33"/>
    <sheet state="visible" name="SendtoStaging1" sheetId="32" r:id="rId34"/>
    <sheet state="visible" name="RunRebalance2" sheetId="33" r:id="rId35"/>
    <sheet state="visible" name="RebalanceAcrossSecurities2" sheetId="34" r:id="rId36"/>
    <sheet state="visible" name="ModifyRebalance2" sheetId="35" r:id="rId37"/>
    <sheet state="visible" name="SendtoStaging2" sheetId="36" r:id="rId38"/>
    <sheet state="visible" name="TradeNewSubOrder" sheetId="37" r:id="rId39"/>
    <sheet state="visible" name="CreateNewSubLiveOrder" sheetId="38" r:id="rId40"/>
    <sheet state="visible" name="TradeNewSubOrder1" sheetId="39" r:id="rId41"/>
    <sheet state="visible" name="CreateNewSubLiveOrder1" sheetId="40" r:id="rId42"/>
    <sheet state="visible" name="SelectTrade" sheetId="41" r:id="rId43"/>
    <sheet state="visible" name="AcknowledgeTrade" sheetId="42" r:id="rId44"/>
    <sheet state="visible" name="ExecuteTrade" sheetId="43" r:id="rId45"/>
    <sheet state="visible" name="SelectTrade1" sheetId="44" r:id="rId46"/>
    <sheet state="visible" name="AcknowledgeTrade1" sheetId="45" r:id="rId47"/>
    <sheet state="visible" name="CheckAllocatedGroups" sheetId="46" r:id="rId48"/>
    <sheet state="visible" name="CheckPortfolioManagement" sheetId="47" r:id="rId49"/>
    <sheet state="visible" name="SelectAllocatedGroup1" sheetId="48" r:id="rId50"/>
    <sheet state="visible" name="BookOrUpdateSwap1" sheetId="49" r:id="rId51"/>
  </sheets>
  <definedNames/>
  <calcPr/>
</workbook>
</file>

<file path=xl/sharedStrings.xml><?xml version="1.0" encoding="utf-8"?>
<sst xmlns="http://schemas.openxmlformats.org/spreadsheetml/2006/main" count="810" uniqueCount="127">
  <si>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</si>
  <si>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</si>
  <si>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</si>
  <si>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</si>
  <si>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</si>
  <si>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</si>
  <si>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</si>
  <si>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</si>
  <si>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</si>
  <si>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</si>
  <si>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</si>
  <si>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</si>
  <si>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</si>
  <si>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</si>
  <si>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</si>
  <si>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</si>
  <si>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</si>
  <si>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</si>
  <si>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</si>
  <si>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</si>
  <si>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</si>
  <si>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</si>
  <si>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</si>
  <si>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</si>
  <si>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</si>
  <si>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</si>
  <si>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</si>
  <si>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</si>
  <si>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</si>
  <si>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</si>
  <si>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</si>
  <si>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</si>
  <si>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</si>
  <si>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</si>
  <si>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</si>
  <si>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</si>
  <si>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</si>
  <si>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</si>
  <si>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</si>
  <si>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</si>
  <si>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</si>
  <si>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</si>
  <si>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</si>
  <si>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</si>
  <si>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</si>
  <si>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</si>
  <si>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</si>
  <si>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</si>
  <si>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</si>
  <si>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</si>
  <si>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</si>
  <si>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</si>
  <si>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</si>
  <si>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</si>
  <si>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</si>
  <si>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</si>
  <si>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</si>
  <si>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</si>
  <si>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</si>
  <si>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</si>
  <si>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</si>
  <si>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</si>
  <si>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</si>
  <si>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</si>
  <si>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</si>
  <si>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</si>
  <si>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</si>
  <si>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</si>
  <si>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</si>
  <si>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</si>
  <si>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</si>
  <si>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</si>
  <si>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</si>
  <si>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</si>
  <si>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</si>
  <si>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Value,Swap NAV Adjustments,Unrealized P&amp;L of Swaps</t>
  </si>
  <si>
    <t>FetchAccountPositions</t>
  </si>
  <si>
    <t>NavImpactingComponent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</si>
  <si>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</si>
  <si>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</si>
  <si>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</si>
  <si>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</si>
  <si>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</si>
  <si>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</si>
  <si>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</si>
  <si>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</si>
  <si>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</si>
  <si>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</si>
  <si>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</si>
  <si>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</si>
  <si>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Round Up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</si>
  <si>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</si>
  <si>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</si>
  <si>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</si>
  <si>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</si>
  <si>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</si>
  <si>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</si>
  <si>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</si>
  <si>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</si>
  <si>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</si>
  <si>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</si>
  <si>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</si>
  <si>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</si>
  <si>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</si>
  <si>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</si>
  <si>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</si>
  <si>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</si>
  <si>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</si>
  <si>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</si>
  <si>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</si>
  <si>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</si>
  <si>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</si>
  <si>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</si>
  <si>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</si>
  <si>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</si>
  <si>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</si>
  <si>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</si>
  <si>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</si>
  <si>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</si>
  <si>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</si>
  <si>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</si>
  <si>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</si>
  <si>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</si>
  <si>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FIMAT</t>
  </si>
  <si>
    <t>Equity General</t>
  </si>
  <si>
    <t>KO.N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</si>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</sst>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8"/>
      <c r="J6" s="8"/>
      <c r="K6" s="8"/>
      <c r="L6" s="8"/>
      <c r="M6" s="8"/>
      <c r="N6" s="8"/>
      <c r="O6" s="8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8"/>
      <c r="J7" s="8"/>
      <c r="K7" s="8"/>
      <c r="L7" s="8"/>
      <c r="M7" s="8"/>
      <c r="N7" s="8"/>
      <c r="O7" s="8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8"/>
      <c r="J8" s="8"/>
      <c r="K8" s="8"/>
      <c r="L8" s="8"/>
      <c r="M8" s="8"/>
      <c r="N8" s="8"/>
      <c r="O8" s="8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8"/>
      <c r="J9" s="8"/>
      <c r="K9" s="8"/>
      <c r="L9" s="8"/>
      <c r="M9" s="8"/>
      <c r="N9" s="8"/>
      <c r="O9" s="8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8"/>
      <c r="J10" s="8"/>
      <c r="K10" s="8"/>
      <c r="L10" s="8"/>
      <c r="M10" s="8"/>
      <c r="N10" s="8"/>
      <c r="O10" s="8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8"/>
      <c r="J11" s="8"/>
      <c r="K11" s="8"/>
      <c r="L11" s="8"/>
      <c r="M11" s="8"/>
      <c r="N11" s="8"/>
      <c r="O11" s="8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8"/>
      <c r="J12" s="8"/>
      <c r="K12" s="8"/>
      <c r="L12" s="8"/>
      <c r="M12" s="8"/>
      <c r="N12" s="8"/>
      <c r="O12" s="8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45916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45916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45916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45916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45916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45916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45916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45916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45916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45916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45916</v>
      </c>
      <c r="C6" s="37">
        <f>TODAY()</f>
        <v>45917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45916</v>
      </c>
      <c r="D6" s="37">
        <f>TODAY()</f>
        <v>45917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45916</v>
      </c>
      <c r="C6" s="37">
        <f t="shared" si="1"/>
        <v>45916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45917</v>
      </c>
      <c r="E6" s="39">
        <f t="shared" si="1"/>
        <v>45917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45916</v>
      </c>
      <c r="J6" s="37">
        <f>TODAY()+2</f>
        <v>45919</v>
      </c>
      <c r="K6" s="37">
        <f>TODAY()</f>
        <v>45917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45917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3" t="s">
        <v>75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>
        <v>50000.0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45" t="s">
        <v>79</v>
      </c>
      <c r="D6" s="34" t="s">
        <v>80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82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84</v>
      </c>
      <c r="C6" s="32" t="s">
        <v>85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58</v>
      </c>
      <c r="C6" s="47" t="s">
        <v>33</v>
      </c>
      <c r="D6" s="47">
        <v>1.23456789E8</v>
      </c>
      <c r="E6" s="48">
        <v>12000.0</v>
      </c>
      <c r="F6" s="48">
        <v>25.0</v>
      </c>
      <c r="G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7" t="s">
        <v>58</v>
      </c>
      <c r="C7" s="47" t="s">
        <v>88</v>
      </c>
      <c r="D7" s="47">
        <v>1.23456789E8</v>
      </c>
      <c r="E7" s="48">
        <v>13.0</v>
      </c>
      <c r="F7" s="48">
        <v>25.0</v>
      </c>
      <c r="G7" s="33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7" t="s">
        <v>58</v>
      </c>
      <c r="C8" s="47" t="s">
        <v>89</v>
      </c>
      <c r="D8" s="47" t="s">
        <v>35</v>
      </c>
      <c r="E8" s="48">
        <v>20000.0</v>
      </c>
      <c r="F8" s="48">
        <v>5.0</v>
      </c>
      <c r="G8" s="49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7" t="s">
        <v>58</v>
      </c>
      <c r="C9" s="47" t="s">
        <v>88</v>
      </c>
      <c r="D9" s="47" t="s">
        <v>35</v>
      </c>
      <c r="E9" s="48">
        <v>21.0</v>
      </c>
      <c r="F9" s="48">
        <v>5.0</v>
      </c>
      <c r="G9" s="33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47" t="s">
        <v>58</v>
      </c>
      <c r="C10" s="47" t="s">
        <v>33</v>
      </c>
      <c r="D10" s="47" t="s">
        <v>23</v>
      </c>
      <c r="E10" s="48">
        <v>100.0</v>
      </c>
      <c r="F10" s="48">
        <v>8.0</v>
      </c>
      <c r="G10" s="33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47" t="s">
        <v>58</v>
      </c>
      <c r="C11" s="47" t="s">
        <v>32</v>
      </c>
      <c r="D11" s="47" t="s">
        <v>84</v>
      </c>
      <c r="E11" s="48">
        <v>50.0</v>
      </c>
      <c r="F11" s="48">
        <v>10.0</v>
      </c>
      <c r="G11" s="33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58</v>
      </c>
      <c r="C12" s="47" t="s">
        <v>33</v>
      </c>
      <c r="D12" s="47" t="s">
        <v>24</v>
      </c>
      <c r="E12" s="48">
        <v>100.0</v>
      </c>
      <c r="F12" s="48">
        <v>25.0</v>
      </c>
      <c r="G12" s="49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47" t="s">
        <v>58</v>
      </c>
      <c r="C13" s="47" t="s">
        <v>89</v>
      </c>
      <c r="D13" s="47" t="s">
        <v>25</v>
      </c>
      <c r="E13" s="48">
        <v>10.0</v>
      </c>
      <c r="F13" s="48">
        <v>30.0</v>
      </c>
      <c r="G13" s="49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47" t="s">
        <v>58</v>
      </c>
      <c r="C14" s="47" t="s">
        <v>89</v>
      </c>
      <c r="D14" s="47" t="s">
        <v>26</v>
      </c>
      <c r="E14" s="48">
        <v>100.0</v>
      </c>
      <c r="F14" s="48">
        <v>10.0</v>
      </c>
      <c r="G14" s="49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47" t="s">
        <v>58</v>
      </c>
      <c r="C15" s="47" t="s">
        <v>89</v>
      </c>
      <c r="D15" s="47" t="s">
        <v>27</v>
      </c>
      <c r="E15" s="48">
        <v>10.0</v>
      </c>
      <c r="F15" s="48">
        <v>20.0</v>
      </c>
      <c r="G15" s="49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47" t="s">
        <v>58</v>
      </c>
      <c r="C16" s="47" t="s">
        <v>33</v>
      </c>
      <c r="D16" s="47" t="s">
        <v>28</v>
      </c>
      <c r="E16" s="48">
        <v>100.0</v>
      </c>
      <c r="F16" s="48">
        <v>10.0</v>
      </c>
      <c r="G16" s="49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2"/>
      <c r="C17" s="32"/>
      <c r="D17" s="32"/>
      <c r="E17" s="33"/>
      <c r="F17" s="33"/>
      <c r="G17" s="49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2"/>
      <c r="C18" s="32"/>
      <c r="D18" s="32"/>
      <c r="E18" s="33"/>
      <c r="F18" s="33"/>
      <c r="G18" s="49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2"/>
      <c r="C19" s="32"/>
      <c r="D19" s="32"/>
      <c r="E19" s="33"/>
      <c r="F19" s="33"/>
      <c r="G19" s="49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32"/>
      <c r="C20" s="32"/>
      <c r="D20" s="32"/>
      <c r="E20" s="33"/>
      <c r="F20" s="33"/>
      <c r="G20" s="49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32"/>
      <c r="C21" s="32"/>
      <c r="D21" s="32"/>
      <c r="E21" s="33"/>
      <c r="F21" s="33"/>
      <c r="G21" s="49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32"/>
      <c r="C22" s="32"/>
      <c r="D22" s="32"/>
      <c r="E22" s="33"/>
      <c r="F22" s="33"/>
      <c r="G22" s="33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90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84</v>
      </c>
      <c r="C6" s="32" t="s">
        <v>85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58</v>
      </c>
      <c r="C6" s="47" t="s">
        <v>33</v>
      </c>
      <c r="D6" s="47">
        <v>1.23456789E8</v>
      </c>
      <c r="E6" s="48"/>
      <c r="F6" s="48"/>
      <c r="G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7" t="s">
        <v>58</v>
      </c>
      <c r="C7" s="47" t="s">
        <v>88</v>
      </c>
      <c r="D7" s="47">
        <v>1.23456789E8</v>
      </c>
      <c r="E7" s="48"/>
      <c r="F7" s="48"/>
      <c r="G7" s="33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7" t="s">
        <v>58</v>
      </c>
      <c r="C8" s="47" t="s">
        <v>89</v>
      </c>
      <c r="D8" s="47" t="s">
        <v>35</v>
      </c>
      <c r="E8" s="48"/>
      <c r="F8" s="48"/>
      <c r="G8" s="49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7" t="s">
        <v>58</v>
      </c>
      <c r="C9" s="47" t="s">
        <v>88</v>
      </c>
      <c r="D9" s="47" t="s">
        <v>35</v>
      </c>
      <c r="E9" s="48"/>
      <c r="F9" s="48"/>
      <c r="G9" s="33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47" t="s">
        <v>58</v>
      </c>
      <c r="C10" s="47" t="s">
        <v>33</v>
      </c>
      <c r="D10" s="47" t="s">
        <v>23</v>
      </c>
      <c r="E10" s="48"/>
      <c r="F10" s="48"/>
      <c r="G10" s="33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47" t="s">
        <v>58</v>
      </c>
      <c r="C11" s="47" t="s">
        <v>88</v>
      </c>
      <c r="D11" s="47" t="s">
        <v>23</v>
      </c>
      <c r="E11" s="48"/>
      <c r="F11" s="48"/>
      <c r="G11" s="33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58</v>
      </c>
      <c r="C12" s="47" t="s">
        <v>32</v>
      </c>
      <c r="D12" s="47" t="s">
        <v>84</v>
      </c>
      <c r="E12" s="48"/>
      <c r="F12" s="48"/>
      <c r="G12" s="49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47" t="s">
        <v>58</v>
      </c>
      <c r="C13" s="47" t="s">
        <v>33</v>
      </c>
      <c r="D13" s="47" t="s">
        <v>24</v>
      </c>
      <c r="E13" s="48"/>
      <c r="F13" s="48"/>
      <c r="G13" s="49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47" t="s">
        <v>58</v>
      </c>
      <c r="C14" s="47" t="s">
        <v>88</v>
      </c>
      <c r="D14" s="47" t="s">
        <v>24</v>
      </c>
      <c r="E14" s="48"/>
      <c r="F14" s="48"/>
      <c r="G14" s="49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47" t="s">
        <v>58</v>
      </c>
      <c r="C15" s="47" t="s">
        <v>89</v>
      </c>
      <c r="D15" s="47" t="s">
        <v>25</v>
      </c>
      <c r="E15" s="48"/>
      <c r="F15" s="48"/>
      <c r="G15" s="49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47" t="s">
        <v>58</v>
      </c>
      <c r="C16" s="47" t="s">
        <v>88</v>
      </c>
      <c r="D16" s="47" t="s">
        <v>25</v>
      </c>
      <c r="E16" s="48"/>
      <c r="F16" s="48"/>
      <c r="G16" s="49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47" t="s">
        <v>58</v>
      </c>
      <c r="C17" s="47" t="s">
        <v>89</v>
      </c>
      <c r="D17" s="47" t="s">
        <v>26</v>
      </c>
      <c r="E17" s="48"/>
      <c r="F17" s="48"/>
      <c r="G17" s="49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47" t="s">
        <v>58</v>
      </c>
      <c r="C18" s="47" t="s">
        <v>88</v>
      </c>
      <c r="D18" s="47" t="s">
        <v>26</v>
      </c>
      <c r="E18" s="48"/>
      <c r="F18" s="48"/>
      <c r="G18" s="49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47" t="s">
        <v>58</v>
      </c>
      <c r="C19" s="47" t="s">
        <v>89</v>
      </c>
      <c r="D19" s="47" t="s">
        <v>27</v>
      </c>
      <c r="E19" s="48"/>
      <c r="F19" s="48"/>
      <c r="G19" s="49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47" t="s">
        <v>58</v>
      </c>
      <c r="C20" s="47" t="s">
        <v>88</v>
      </c>
      <c r="D20" s="47" t="s">
        <v>27</v>
      </c>
      <c r="E20" s="48"/>
      <c r="F20" s="48"/>
      <c r="G20" s="49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47" t="s">
        <v>58</v>
      </c>
      <c r="C21" s="47" t="s">
        <v>33</v>
      </c>
      <c r="D21" s="47" t="s">
        <v>28</v>
      </c>
      <c r="E21" s="48"/>
      <c r="F21" s="48"/>
      <c r="G21" s="49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47" t="s">
        <v>58</v>
      </c>
      <c r="C22" s="47" t="s">
        <v>88</v>
      </c>
      <c r="D22" s="47" t="s">
        <v>28</v>
      </c>
      <c r="E22" s="48"/>
      <c r="F22" s="48"/>
      <c r="G22" s="33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91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84</v>
      </c>
      <c r="C6" s="32" t="s">
        <v>85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58</v>
      </c>
      <c r="C6" s="47" t="s">
        <v>33</v>
      </c>
      <c r="D6" s="47">
        <v>1.23456789E8</v>
      </c>
      <c r="E6" s="48">
        <v>12000.0</v>
      </c>
      <c r="F6" s="48">
        <v>25.0</v>
      </c>
      <c r="G6" s="49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7" t="s">
        <v>58</v>
      </c>
      <c r="C7" s="47" t="s">
        <v>88</v>
      </c>
      <c r="D7" s="47">
        <v>1.23456789E8</v>
      </c>
      <c r="E7" s="48">
        <v>12.0</v>
      </c>
      <c r="F7" s="48">
        <v>25.0</v>
      </c>
      <c r="G7" s="33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7" t="s">
        <v>58</v>
      </c>
      <c r="C8" s="47" t="s">
        <v>89</v>
      </c>
      <c r="D8" s="47" t="s">
        <v>35</v>
      </c>
      <c r="E8" s="48">
        <v>20000.0</v>
      </c>
      <c r="F8" s="48">
        <v>5.0</v>
      </c>
      <c r="G8" s="49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7" t="s">
        <v>58</v>
      </c>
      <c r="C9" s="47" t="s">
        <v>88</v>
      </c>
      <c r="D9" s="47" t="s">
        <v>35</v>
      </c>
      <c r="E9" s="48">
        <v>20.0</v>
      </c>
      <c r="F9" s="48">
        <v>5.0</v>
      </c>
      <c r="G9" s="33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47" t="s">
        <v>58</v>
      </c>
      <c r="C10" s="47" t="s">
        <v>33</v>
      </c>
      <c r="D10" s="47" t="s">
        <v>23</v>
      </c>
      <c r="E10" s="48">
        <v>100.0</v>
      </c>
      <c r="F10" s="48">
        <v>8.0</v>
      </c>
      <c r="G10" s="33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47" t="s">
        <v>58</v>
      </c>
      <c r="C11" s="47" t="s">
        <v>32</v>
      </c>
      <c r="D11" s="47" t="s">
        <v>84</v>
      </c>
      <c r="E11" s="48">
        <v>49.0</v>
      </c>
      <c r="F11" s="48">
        <v>10.0</v>
      </c>
      <c r="G11" s="33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58</v>
      </c>
      <c r="C12" s="47" t="s">
        <v>33</v>
      </c>
      <c r="D12" s="47" t="s">
        <v>24</v>
      </c>
      <c r="E12" s="48">
        <v>100.0</v>
      </c>
      <c r="F12" s="48">
        <v>25.0</v>
      </c>
      <c r="G12" s="49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47" t="s">
        <v>58</v>
      </c>
      <c r="C13" s="47" t="s">
        <v>89</v>
      </c>
      <c r="D13" s="47" t="s">
        <v>25</v>
      </c>
      <c r="E13" s="48">
        <v>10.0</v>
      </c>
      <c r="F13" s="48">
        <v>30.0</v>
      </c>
      <c r="G13" s="49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47" t="s">
        <v>58</v>
      </c>
      <c r="C14" s="47" t="s">
        <v>89</v>
      </c>
      <c r="D14" s="47" t="s">
        <v>26</v>
      </c>
      <c r="E14" s="48">
        <v>100.0</v>
      </c>
      <c r="F14" s="48">
        <v>10.0</v>
      </c>
      <c r="G14" s="49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47" t="s">
        <v>58</v>
      </c>
      <c r="C15" s="47" t="s">
        <v>89</v>
      </c>
      <c r="D15" s="47" t="s">
        <v>27</v>
      </c>
      <c r="E15" s="48">
        <v>10.0</v>
      </c>
      <c r="F15" s="48">
        <v>20.0</v>
      </c>
      <c r="G15" s="49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47" t="s">
        <v>58</v>
      </c>
      <c r="C16" s="47" t="s">
        <v>33</v>
      </c>
      <c r="D16" s="47" t="s">
        <v>28</v>
      </c>
      <c r="E16" s="48">
        <v>100.0</v>
      </c>
      <c r="F16" s="48">
        <v>10.0</v>
      </c>
      <c r="G16" s="49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2"/>
      <c r="C17" s="32"/>
      <c r="D17" s="32"/>
      <c r="E17" s="33"/>
      <c r="F17" s="33"/>
      <c r="G17" s="49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2"/>
      <c r="C18" s="32"/>
      <c r="D18" s="32"/>
      <c r="E18" s="33"/>
      <c r="F18" s="33"/>
      <c r="G18" s="49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2"/>
      <c r="C19" s="32"/>
      <c r="D19" s="32"/>
      <c r="E19" s="33"/>
      <c r="F19" s="33"/>
      <c r="G19" s="49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32"/>
      <c r="C20" s="32"/>
      <c r="D20" s="32"/>
      <c r="E20" s="33"/>
      <c r="F20" s="33"/>
      <c r="G20" s="49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32"/>
      <c r="C21" s="32"/>
      <c r="D21" s="32"/>
      <c r="E21" s="33"/>
      <c r="F21" s="33"/>
      <c r="G21" s="49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32"/>
      <c r="C22" s="32"/>
      <c r="D22" s="32"/>
      <c r="E22" s="33"/>
      <c r="F22" s="33"/>
      <c r="G22" s="33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50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36">
        <v>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34</v>
      </c>
      <c r="AK6" s="31"/>
      <c r="AL6" s="50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23</v>
      </c>
      <c r="C6" s="32" t="s">
        <v>34</v>
      </c>
      <c r="D6" s="36">
        <v>1.0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20.0</v>
      </c>
      <c r="C6" s="33">
        <v>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95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100</v>
      </c>
      <c r="B6" s="8" t="s">
        <v>58</v>
      </c>
      <c r="C6" s="8" t="s">
        <v>101</v>
      </c>
      <c r="D6" s="8">
        <v>0.0</v>
      </c>
      <c r="E6" s="8">
        <v>1.0</v>
      </c>
      <c r="F6" s="8" t="s">
        <v>102</v>
      </c>
      <c r="G6" s="8" t="s">
        <v>103</v>
      </c>
      <c r="H6" s="8">
        <v>0.0</v>
      </c>
      <c r="I6" s="8">
        <v>0.0</v>
      </c>
      <c r="J6" s="8">
        <v>15.0</v>
      </c>
      <c r="K6" s="8">
        <v>20.0</v>
      </c>
      <c r="L6" s="8">
        <v>20.0</v>
      </c>
      <c r="M6" s="8" t="s">
        <v>104</v>
      </c>
      <c r="N6" s="8" t="s">
        <v>105</v>
      </c>
      <c r="O6" s="8" t="s">
        <v>106</v>
      </c>
      <c r="Q6">
        <v>2.0</v>
      </c>
      <c r="R6">
        <v>0.0</v>
      </c>
      <c r="S6" t="s">
        <v>107</v>
      </c>
      <c r="T6">
        <v>0.0</v>
      </c>
      <c r="U6">
        <v>0.0</v>
      </c>
      <c r="V6" t="s">
        <v>108</v>
      </c>
      <c r="W6">
        <v>1.0</v>
      </c>
      <c r="X6">
        <v>0.0</v>
      </c>
      <c r="Y6" t="s">
        <v>100</v>
      </c>
      <c r="Z6" t="s">
        <v>45</v>
      </c>
      <c r="AA6">
        <v>1.912161E8</v>
      </c>
      <c r="AB6">
        <v>1.0</v>
      </c>
      <c r="AD6" t="s">
        <v>109</v>
      </c>
      <c r="AE6">
        <v>1.0</v>
      </c>
      <c r="AF6" t="s">
        <v>100</v>
      </c>
      <c r="AH6" t="s">
        <v>69</v>
      </c>
      <c r="AI6">
        <v>1.0</v>
      </c>
      <c r="AJ6" t="s">
        <v>80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17.9965</v>
      </c>
      <c r="AU6">
        <v>17.9965</v>
      </c>
      <c r="AW6">
        <v>0.0</v>
      </c>
      <c r="AX6">
        <v>0.0</v>
      </c>
      <c r="AY6" t="s">
        <v>110</v>
      </c>
      <c r="AZ6">
        <v>0.0</v>
      </c>
      <c r="BC6">
        <v>0.0</v>
      </c>
      <c r="BD6" t="s">
        <v>111</v>
      </c>
      <c r="BE6">
        <v>20.0</v>
      </c>
      <c r="BF6">
        <v>20.0</v>
      </c>
      <c r="BJ6">
        <v>1.0</v>
      </c>
      <c r="BK6">
        <v>0.0</v>
      </c>
      <c r="BL6" t="s">
        <v>100</v>
      </c>
      <c r="BM6" t="s">
        <v>45</v>
      </c>
      <c r="BO6" t="s">
        <v>34</v>
      </c>
      <c r="BP6">
        <v>0.0</v>
      </c>
      <c r="BQ6">
        <v>0.0</v>
      </c>
      <c r="BR6">
        <v>0.0035</v>
      </c>
      <c r="BS6" t="s">
        <v>112</v>
      </c>
      <c r="BT6" t="s">
        <v>27</v>
      </c>
      <c r="BU6">
        <v>2.0</v>
      </c>
      <c r="BV6">
        <v>0.0</v>
      </c>
      <c r="BW6">
        <v>2.0035</v>
      </c>
      <c r="BX6">
        <v>0.0</v>
      </c>
      <c r="CF6" t="s">
        <v>113</v>
      </c>
      <c r="CG6">
        <v>0.0</v>
      </c>
      <c r="CH6" t="s">
        <v>73</v>
      </c>
      <c r="CI6" t="s">
        <v>88</v>
      </c>
      <c r="CJ6">
        <v>0.0</v>
      </c>
      <c r="CK6" t="s">
        <v>114</v>
      </c>
      <c r="CL6">
        <v>1.0</v>
      </c>
      <c r="CM6" t="s">
        <v>27</v>
      </c>
      <c r="CN6" t="s">
        <v>115</v>
      </c>
      <c r="CO6" t="s">
        <v>116</v>
      </c>
      <c r="CP6" t="s">
        <v>117</v>
      </c>
      <c r="CS6" t="s">
        <v>100</v>
      </c>
      <c r="CW6">
        <v>0.0</v>
      </c>
      <c r="CX6" t="s">
        <v>72</v>
      </c>
      <c r="CY6" t="s">
        <v>100</v>
      </c>
      <c r="CZ6" t="s">
        <v>100</v>
      </c>
      <c r="DA6" t="s">
        <v>100</v>
      </c>
      <c r="DB6" t="s">
        <v>100</v>
      </c>
      <c r="DC6" t="s">
        <v>100</v>
      </c>
      <c r="DD6" t="s">
        <v>100</v>
      </c>
      <c r="DE6" t="s">
        <v>100</v>
      </c>
      <c r="DF6" t="s">
        <v>100</v>
      </c>
      <c r="DG6" t="s">
        <v>100</v>
      </c>
      <c r="DH6" t="s">
        <v>100</v>
      </c>
      <c r="DI6" t="s">
        <v>100</v>
      </c>
      <c r="DJ6" t="s">
        <v>100</v>
      </c>
      <c r="DK6" t="s">
        <v>100</v>
      </c>
      <c r="DL6" t="s">
        <v>100</v>
      </c>
      <c r="DM6" t="s">
        <v>100</v>
      </c>
      <c r="DN6" t="s">
        <v>100</v>
      </c>
      <c r="DO6" t="s">
        <v>100</v>
      </c>
      <c r="DP6" t="s">
        <v>100</v>
      </c>
      <c r="DQ6" t="s">
        <v>100</v>
      </c>
      <c r="DR6" t="s">
        <v>100</v>
      </c>
      <c r="DS6" t="s">
        <v>100</v>
      </c>
      <c r="DT6" t="s">
        <v>100</v>
      </c>
      <c r="DU6" t="s">
        <v>100</v>
      </c>
      <c r="DV6" t="s">
        <v>100</v>
      </c>
      <c r="DW6" t="s">
        <v>100</v>
      </c>
      <c r="DX6" t="s">
        <v>100</v>
      </c>
      <c r="DY6" t="s">
        <v>100</v>
      </c>
      <c r="DZ6" t="s">
        <v>100</v>
      </c>
      <c r="EA6" t="s">
        <v>100</v>
      </c>
      <c r="EB6" t="s">
        <v>100</v>
      </c>
      <c r="EC6" t="s">
        <v>100</v>
      </c>
      <c r="ED6" t="s">
        <v>100</v>
      </c>
      <c r="EE6" t="s">
        <v>100</v>
      </c>
      <c r="EF6" t="s">
        <v>100</v>
      </c>
      <c r="EG6" t="s">
        <v>100</v>
      </c>
      <c r="EH6" t="s">
        <v>100</v>
      </c>
      <c r="EI6" t="s">
        <v>100</v>
      </c>
      <c r="EJ6" t="s">
        <v>100</v>
      </c>
      <c r="EK6" t="s">
        <v>100</v>
      </c>
      <c r="EL6" t="s">
        <v>100</v>
      </c>
      <c r="EM6" t="s">
        <v>100</v>
      </c>
      <c r="EN6" t="s">
        <v>100</v>
      </c>
      <c r="EO6" t="s">
        <v>100</v>
      </c>
      <c r="EP6" t="s">
        <v>100</v>
      </c>
      <c r="EQ6" t="s">
        <v>100</v>
      </c>
      <c r="ER6" t="s">
        <v>100</v>
      </c>
      <c r="ES6" t="s">
        <v>100</v>
      </c>
      <c r="ET6" t="s">
        <v>100</v>
      </c>
      <c r="EU6" t="s">
        <v>100</v>
      </c>
      <c r="EV6" t="s">
        <v>100</v>
      </c>
      <c r="EW6" t="s">
        <v>100</v>
      </c>
      <c r="EX6" t="s">
        <v>100</v>
      </c>
      <c r="FA6" t="s">
        <v>100</v>
      </c>
      <c r="FB6" t="s">
        <v>100</v>
      </c>
      <c r="FC6" t="s">
        <v>100</v>
      </c>
      <c r="FD6" t="s">
        <v>100</v>
      </c>
      <c r="FE6" t="s">
        <v>100</v>
      </c>
      <c r="FF6" t="s">
        <v>100</v>
      </c>
      <c r="FG6" t="s">
        <v>100</v>
      </c>
      <c r="FH6" t="s">
        <v>100</v>
      </c>
      <c r="FI6" t="s">
        <v>100</v>
      </c>
      <c r="FK6" t="s">
        <v>100</v>
      </c>
      <c r="FL6" t="s">
        <v>100</v>
      </c>
      <c r="FM6" t="s">
        <v>100</v>
      </c>
      <c r="FN6" t="s">
        <v>100</v>
      </c>
      <c r="FO6" t="s">
        <v>100</v>
      </c>
      <c r="FP6" t="s">
        <v>100</v>
      </c>
      <c r="FQ6" t="s">
        <v>100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100</v>
      </c>
      <c r="B7" s="8" t="s">
        <v>58</v>
      </c>
      <c r="C7" s="8" t="s">
        <v>101</v>
      </c>
      <c r="D7" s="8">
        <v>0.0</v>
      </c>
      <c r="E7" s="8">
        <v>1.0</v>
      </c>
      <c r="F7" s="8" t="s">
        <v>102</v>
      </c>
      <c r="G7" s="8" t="s">
        <v>103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118</v>
      </c>
      <c r="N7" s="8" t="s">
        <v>105</v>
      </c>
      <c r="O7" s="8" t="s">
        <v>106</v>
      </c>
      <c r="Q7">
        <v>2.0</v>
      </c>
      <c r="R7">
        <v>0.0</v>
      </c>
      <c r="S7" t="s">
        <v>107</v>
      </c>
      <c r="T7">
        <v>0.0</v>
      </c>
      <c r="U7">
        <v>0.0</v>
      </c>
      <c r="V7" t="s">
        <v>119</v>
      </c>
      <c r="W7">
        <v>1.0</v>
      </c>
      <c r="X7">
        <v>0.0</v>
      </c>
      <c r="Y7" t="s">
        <v>100</v>
      </c>
      <c r="Z7" t="s">
        <v>45</v>
      </c>
      <c r="AA7">
        <v>2.3135106E7</v>
      </c>
      <c r="AB7">
        <v>1.0</v>
      </c>
      <c r="AD7" t="s">
        <v>116</v>
      </c>
      <c r="AE7">
        <v>1.0</v>
      </c>
      <c r="AF7" t="s">
        <v>100</v>
      </c>
      <c r="AH7" t="s">
        <v>69</v>
      </c>
      <c r="AI7">
        <v>1.0</v>
      </c>
      <c r="AJ7" t="s">
        <v>80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6.0</v>
      </c>
      <c r="AU7">
        <v>6.0</v>
      </c>
      <c r="AW7">
        <v>0.0</v>
      </c>
      <c r="AX7">
        <v>0.0</v>
      </c>
      <c r="AY7" t="s">
        <v>110</v>
      </c>
      <c r="AZ7">
        <v>0.0</v>
      </c>
      <c r="BC7">
        <v>0.0</v>
      </c>
      <c r="BD7" t="s">
        <v>111</v>
      </c>
      <c r="BE7">
        <v>20.0</v>
      </c>
      <c r="BF7">
        <v>20.0</v>
      </c>
      <c r="BJ7">
        <v>1.0</v>
      </c>
      <c r="BK7">
        <v>0.0</v>
      </c>
      <c r="BL7" t="s">
        <v>100</v>
      </c>
      <c r="BM7" t="s">
        <v>45</v>
      </c>
      <c r="BO7" t="s">
        <v>34</v>
      </c>
      <c r="BP7">
        <v>0.0</v>
      </c>
      <c r="BQ7">
        <v>0.0</v>
      </c>
      <c r="BR7">
        <v>0.0</v>
      </c>
      <c r="BS7" t="s">
        <v>112</v>
      </c>
      <c r="BT7" t="s">
        <v>23</v>
      </c>
      <c r="BU7">
        <v>3.0</v>
      </c>
      <c r="BV7">
        <v>0.0</v>
      </c>
      <c r="BW7">
        <v>14.0</v>
      </c>
      <c r="BX7">
        <v>0.0</v>
      </c>
      <c r="CF7" t="s">
        <v>113</v>
      </c>
      <c r="CG7">
        <v>2.0</v>
      </c>
      <c r="CH7" t="s">
        <v>73</v>
      </c>
      <c r="CI7" t="s">
        <v>88</v>
      </c>
      <c r="CJ7">
        <v>0.0</v>
      </c>
      <c r="CK7" t="s">
        <v>114</v>
      </c>
      <c r="CL7">
        <v>1.0</v>
      </c>
      <c r="CM7" t="s">
        <v>23</v>
      </c>
      <c r="CN7" t="s">
        <v>115</v>
      </c>
      <c r="CO7" t="s">
        <v>116</v>
      </c>
      <c r="CP7" t="s">
        <v>117</v>
      </c>
      <c r="CS7" t="s">
        <v>100</v>
      </c>
      <c r="CW7">
        <v>0.0</v>
      </c>
      <c r="CX7" t="s">
        <v>72</v>
      </c>
      <c r="CY7" t="s">
        <v>100</v>
      </c>
      <c r="CZ7" t="s">
        <v>100</v>
      </c>
      <c r="DA7" t="s">
        <v>100</v>
      </c>
      <c r="DB7" t="s">
        <v>100</v>
      </c>
      <c r="DC7" t="s">
        <v>100</v>
      </c>
      <c r="DD7" t="s">
        <v>100</v>
      </c>
      <c r="DE7" t="s">
        <v>100</v>
      </c>
      <c r="DF7" t="s">
        <v>100</v>
      </c>
      <c r="DG7" t="s">
        <v>100</v>
      </c>
      <c r="DH7" t="s">
        <v>100</v>
      </c>
      <c r="DI7" t="s">
        <v>100</v>
      </c>
      <c r="DJ7" t="s">
        <v>100</v>
      </c>
      <c r="DK7" t="s">
        <v>100</v>
      </c>
      <c r="DL7" t="s">
        <v>100</v>
      </c>
      <c r="DM7" t="s">
        <v>100</v>
      </c>
      <c r="DN7" t="s">
        <v>100</v>
      </c>
      <c r="DO7" t="s">
        <v>100</v>
      </c>
      <c r="DP7" t="s">
        <v>100</v>
      </c>
      <c r="DQ7" t="s">
        <v>100</v>
      </c>
      <c r="DR7" t="s">
        <v>100</v>
      </c>
      <c r="DS7" t="s">
        <v>100</v>
      </c>
      <c r="DT7" t="s">
        <v>100</v>
      </c>
      <c r="DU7" t="s">
        <v>100</v>
      </c>
      <c r="DV7" t="s">
        <v>100</v>
      </c>
      <c r="DW7" t="s">
        <v>100</v>
      </c>
      <c r="DX7" t="s">
        <v>100</v>
      </c>
      <c r="DY7" t="s">
        <v>100</v>
      </c>
      <c r="DZ7" t="s">
        <v>100</v>
      </c>
      <c r="EA7" t="s">
        <v>100</v>
      </c>
      <c r="EB7" t="s">
        <v>100</v>
      </c>
      <c r="EC7" t="s">
        <v>100</v>
      </c>
      <c r="ED7" t="s">
        <v>100</v>
      </c>
      <c r="EE7" t="s">
        <v>100</v>
      </c>
      <c r="EF7" t="s">
        <v>100</v>
      </c>
      <c r="EG7" t="s">
        <v>100</v>
      </c>
      <c r="EH7" t="s">
        <v>100</v>
      </c>
      <c r="EI7" t="s">
        <v>100</v>
      </c>
      <c r="EJ7" t="s">
        <v>100</v>
      </c>
      <c r="EK7" t="s">
        <v>100</v>
      </c>
      <c r="EL7" t="s">
        <v>100</v>
      </c>
      <c r="EM7" t="s">
        <v>100</v>
      </c>
      <c r="EN7" t="s">
        <v>100</v>
      </c>
      <c r="EO7" t="s">
        <v>100</v>
      </c>
      <c r="EP7" t="s">
        <v>100</v>
      </c>
      <c r="EQ7" t="s">
        <v>100</v>
      </c>
      <c r="ER7" t="s">
        <v>100</v>
      </c>
      <c r="ES7" t="s">
        <v>100</v>
      </c>
      <c r="ET7" t="s">
        <v>100</v>
      </c>
      <c r="EU7" t="s">
        <v>100</v>
      </c>
      <c r="EV7" t="s">
        <v>100</v>
      </c>
      <c r="EW7" t="s">
        <v>100</v>
      </c>
      <c r="EX7" t="s">
        <v>100</v>
      </c>
      <c r="FA7" t="s">
        <v>100</v>
      </c>
      <c r="FB7" t="s">
        <v>100</v>
      </c>
      <c r="FC7" t="s">
        <v>100</v>
      </c>
      <c r="FD7" t="s">
        <v>100</v>
      </c>
      <c r="FE7" t="s">
        <v>100</v>
      </c>
      <c r="FF7" t="s">
        <v>100</v>
      </c>
      <c r="FG7" t="s">
        <v>100</v>
      </c>
      <c r="FH7" t="s">
        <v>100</v>
      </c>
      <c r="FI7" t="s">
        <v>100</v>
      </c>
      <c r="FK7" t="s">
        <v>100</v>
      </c>
      <c r="FL7" t="s">
        <v>100</v>
      </c>
      <c r="FM7" t="s">
        <v>100</v>
      </c>
      <c r="FN7" t="s">
        <v>100</v>
      </c>
      <c r="FO7" t="s">
        <v>100</v>
      </c>
      <c r="FP7" t="s">
        <v>100</v>
      </c>
      <c r="FQ7" t="s">
        <v>100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120</v>
      </c>
      <c r="D3" s="5" t="s">
        <v>9</v>
      </c>
      <c r="E3" s="22" t="s">
        <v>121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100</v>
      </c>
      <c r="B6" s="8"/>
      <c r="C6" s="8" t="s">
        <v>27</v>
      </c>
      <c r="D6" s="8">
        <v>-1.0</v>
      </c>
      <c r="E6" s="8" t="s">
        <v>58</v>
      </c>
      <c r="F6" s="8" t="s">
        <v>72</v>
      </c>
      <c r="G6" s="8"/>
      <c r="H6" s="8" t="s">
        <v>122</v>
      </c>
      <c r="I6" s="8">
        <v>-20.0</v>
      </c>
      <c r="J6" s="8"/>
      <c r="K6" s="8"/>
      <c r="L6" s="8"/>
      <c r="M6" s="8"/>
      <c r="N6" s="8"/>
      <c r="O6" s="8"/>
      <c r="R6" t="s">
        <v>123</v>
      </c>
      <c r="T6" t="s">
        <v>103</v>
      </c>
      <c r="U6" t="s">
        <v>114</v>
      </c>
      <c r="V6" t="s">
        <v>109</v>
      </c>
      <c r="W6" t="s">
        <v>45</v>
      </c>
      <c r="AM6">
        <v>1.0</v>
      </c>
      <c r="AN6" t="s">
        <v>34</v>
      </c>
      <c r="AP6" t="s">
        <v>122</v>
      </c>
      <c r="AQ6" t="s">
        <v>27</v>
      </c>
      <c r="AR6">
        <v>20.0</v>
      </c>
      <c r="AS6">
        <v>-1.0</v>
      </c>
      <c r="BC6">
        <v>1.0</v>
      </c>
      <c r="BE6" t="s">
        <v>103</v>
      </c>
      <c r="BF6" t="s">
        <v>124</v>
      </c>
      <c r="BQ6" t="s">
        <v>115</v>
      </c>
      <c r="BR6" t="s">
        <v>106</v>
      </c>
      <c r="BU6" t="s">
        <v>103</v>
      </c>
      <c r="DJ6" t="s">
        <v>34</v>
      </c>
      <c r="DO6" t="s">
        <v>125</v>
      </c>
      <c r="DP6" t="s">
        <v>122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100</v>
      </c>
      <c r="B7" s="8"/>
      <c r="C7" s="8" t="s">
        <v>23</v>
      </c>
      <c r="D7" s="8">
        <v>-1.0</v>
      </c>
      <c r="E7" s="8" t="s">
        <v>58</v>
      </c>
      <c r="F7" s="8" t="s">
        <v>72</v>
      </c>
      <c r="G7" s="8"/>
      <c r="H7" s="8" t="s">
        <v>67</v>
      </c>
      <c r="I7" s="8">
        <v>-8.0</v>
      </c>
      <c r="J7" s="8"/>
      <c r="K7" s="8"/>
      <c r="L7" s="8"/>
      <c r="M7" s="8"/>
      <c r="N7" s="8"/>
      <c r="O7" s="8"/>
      <c r="R7" t="s">
        <v>123</v>
      </c>
      <c r="T7" t="s">
        <v>103</v>
      </c>
      <c r="U7" t="s">
        <v>114</v>
      </c>
      <c r="V7" t="s">
        <v>116</v>
      </c>
      <c r="W7" t="s">
        <v>45</v>
      </c>
      <c r="AM7">
        <v>1.0</v>
      </c>
      <c r="AN7" t="s">
        <v>34</v>
      </c>
      <c r="AP7" t="s">
        <v>122</v>
      </c>
      <c r="AQ7" t="s">
        <v>23</v>
      </c>
      <c r="AR7">
        <v>8.0</v>
      </c>
      <c r="AS7">
        <v>-1.0</v>
      </c>
      <c r="BC7">
        <v>1.0</v>
      </c>
      <c r="BE7" t="s">
        <v>103</v>
      </c>
      <c r="BF7" t="s">
        <v>124</v>
      </c>
      <c r="BQ7" t="s">
        <v>115</v>
      </c>
      <c r="BR7" t="s">
        <v>106</v>
      </c>
      <c r="BU7" t="s">
        <v>103</v>
      </c>
      <c r="DJ7" t="s">
        <v>34</v>
      </c>
      <c r="DO7" t="s">
        <v>126</v>
      </c>
      <c r="DP7" t="s">
        <v>122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