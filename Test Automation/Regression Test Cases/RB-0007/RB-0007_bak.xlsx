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7" activeTab="12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FetchAccountPositions" sheetId="8" r:id="rId8"/>
    <sheet name="AddCash" sheetId="9" r:id="rId9"/>
    <sheet name="RunRebalance" sheetId="10" r:id="rId10"/>
    <sheet name="VerifyGridData" sheetId="11" r:id="rId11"/>
    <sheet name="RebalanceAcrossSecurities" sheetId="13" r:id="rId12"/>
    <sheet name="ModifyRebalance" sheetId="14" r:id="rId13"/>
  </sheets>
  <calcPr calcId="145621"/>
</workbook>
</file>

<file path=xl/calcChain.xml><?xml version="1.0" encoding="utf-8"?>
<calcChain xmlns="http://schemas.openxmlformats.org/spreadsheetml/2006/main">
  <c r="N8" i="6" l="1"/>
  <c r="N7" i="6"/>
  <c r="N6" i="6"/>
  <c r="C6" i="4"/>
  <c r="B6" i="4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S5" i="11"/>
  <c r="EK5" i="11"/>
  <c r="EC5" i="11"/>
  <c r="DU5" i="11"/>
  <c r="DM5" i="11"/>
  <c r="DE5" i="11"/>
  <c r="CW5" i="11"/>
  <c r="CO5" i="11"/>
  <c r="CG5" i="11"/>
  <c r="BY5" i="11"/>
  <c r="BQ5" i="11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W5" i="11"/>
  <c r="EO5" i="11"/>
  <c r="EG5" i="11"/>
  <c r="DY5" i="11"/>
  <c r="DQ5" i="11"/>
  <c r="DI5" i="11"/>
  <c r="DA5" i="11"/>
  <c r="CS5" i="11"/>
  <c r="CK5" i="11"/>
  <c r="CC5" i="11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V5" i="11"/>
  <c r="EN5" i="11"/>
  <c r="EF5" i="11"/>
  <c r="DX5" i="11"/>
  <c r="DP5" i="11"/>
  <c r="DH5" i="11"/>
  <c r="CZ5" i="11"/>
  <c r="CR5" i="11"/>
  <c r="CJ5" i="11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N4" i="13"/>
  <c r="EQ5" i="11"/>
  <c r="ED5" i="11"/>
  <c r="DR5" i="11"/>
  <c r="DD5" i="11"/>
  <c r="CQ5" i="11"/>
  <c r="CE5" i="11"/>
  <c r="BU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F4" i="13"/>
  <c r="EP5" i="11"/>
  <c r="EB5" i="11"/>
  <c r="DO5" i="11"/>
  <c r="DC5" i="11"/>
  <c r="CP5" i="11"/>
  <c r="CD5" i="11"/>
  <c r="BT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EM5" i="11"/>
  <c r="EA5" i="11"/>
  <c r="DN5" i="11"/>
  <c r="DB5" i="11"/>
  <c r="CN5" i="11"/>
  <c r="CB5" i="11"/>
  <c r="BS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EL5" i="11"/>
  <c r="DZ5" i="11"/>
  <c r="DL5" i="11"/>
  <c r="CY5" i="11"/>
  <c r="CM5" i="11"/>
  <c r="CA5" i="11"/>
  <c r="BR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EX5" i="11"/>
  <c r="EJ5" i="11"/>
  <c r="DW5" i="11"/>
  <c r="DK5" i="11"/>
  <c r="CX5" i="11"/>
  <c r="CL5" i="11"/>
  <c r="BZ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EU5" i="11"/>
  <c r="EI5" i="11"/>
  <c r="DV5" i="11"/>
  <c r="DJ5" i="11"/>
  <c r="CV5" i="11"/>
  <c r="CI5" i="11"/>
  <c r="BX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ET5" i="11"/>
  <c r="EH5" i="11"/>
  <c r="DT5" i="11"/>
  <c r="DG5" i="11"/>
  <c r="CU5" i="11"/>
  <c r="CH5" i="11"/>
  <c r="BW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ER5" i="11"/>
  <c r="EE5" i="11"/>
  <c r="DS5" i="11"/>
  <c r="DF5" i="11"/>
  <c r="CT5" i="11"/>
  <c r="CF5" i="11"/>
  <c r="BV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DC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S5" i="6"/>
  <c r="EK5" i="6"/>
  <c r="EC5" i="6"/>
  <c r="DU5" i="6"/>
  <c r="DM5" i="6"/>
  <c r="DE5" i="6"/>
  <c r="CW5" i="6"/>
  <c r="CO5" i="6"/>
  <c r="CU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AS5" i="6"/>
  <c r="D5" i="6"/>
  <c r="EC4" i="6"/>
  <c r="DF4" i="6"/>
  <c r="CI4" i="6"/>
  <c r="BQ4" i="6"/>
  <c r="AT4" i="6"/>
  <c r="W4" i="6"/>
  <c r="E4" i="6"/>
  <c r="EF5" i="5"/>
  <c r="DI5" i="5"/>
  <c r="CQ5" i="5"/>
  <c r="BW5" i="5"/>
  <c r="BG5" i="5"/>
  <c r="AQ5" i="5"/>
  <c r="AA5" i="5"/>
  <c r="O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AK5" i="6"/>
  <c r="EU4" i="6"/>
  <c r="DW4" i="6"/>
  <c r="DE4" i="6"/>
  <c r="CH4" i="6"/>
  <c r="BK4" i="6"/>
  <c r="AS4" i="6"/>
  <c r="V4" i="6"/>
  <c r="EW5" i="5"/>
  <c r="EE5" i="5"/>
  <c r="DH5" i="5"/>
  <c r="CK5" i="5"/>
  <c r="BU5" i="5"/>
  <c r="BE5" i="5"/>
  <c r="AO5" i="5"/>
  <c r="Y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AC5" i="6"/>
  <c r="ET4" i="6"/>
  <c r="DV4" i="6"/>
  <c r="CY4" i="6"/>
  <c r="CG4" i="6"/>
  <c r="BJ4" i="6"/>
  <c r="AM4" i="6"/>
  <c r="U4" i="6"/>
  <c r="EV5" i="5"/>
  <c r="DY5" i="5"/>
  <c r="DG5" i="5"/>
  <c r="CJ5" i="5"/>
  <c r="BT5" i="5"/>
  <c r="BD5" i="5"/>
  <c r="AN5" i="5"/>
  <c r="X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CG5" i="6"/>
  <c r="U5" i="6"/>
  <c r="EM4" i="6"/>
  <c r="DU4" i="6"/>
  <c r="CX4" i="6"/>
  <c r="CA4" i="6"/>
  <c r="BI4" i="6"/>
  <c r="AL4" i="6"/>
  <c r="O4" i="6"/>
  <c r="EU5" i="5"/>
  <c r="DX5" i="5"/>
  <c r="DA5" i="5"/>
  <c r="CI5" i="5"/>
  <c r="BS5" i="5"/>
  <c r="BC5" i="5"/>
  <c r="AM5" i="5"/>
  <c r="W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BY5" i="6"/>
  <c r="T5" i="6"/>
  <c r="EL4" i="6"/>
  <c r="DO4" i="6"/>
  <c r="CW4" i="6"/>
  <c r="BZ4" i="6"/>
  <c r="BC4" i="6"/>
  <c r="AK4" i="6"/>
  <c r="N4" i="6"/>
  <c r="EO5" i="5"/>
  <c r="DW5" i="5"/>
  <c r="CZ5" i="5"/>
  <c r="CE5" i="5"/>
  <c r="BO5" i="5"/>
  <c r="AY5" i="5"/>
  <c r="AI5" i="5"/>
  <c r="S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BQ5" i="6"/>
  <c r="M5" i="6"/>
  <c r="EK4" i="6"/>
  <c r="DN4" i="6"/>
  <c r="CQ4" i="6"/>
  <c r="BY4" i="6"/>
  <c r="BB4" i="6"/>
  <c r="AE4" i="6"/>
  <c r="M4" i="6"/>
  <c r="EN5" i="5"/>
  <c r="DQ5" i="5"/>
  <c r="CY5" i="5"/>
  <c r="CC5" i="5"/>
  <c r="BM5" i="5"/>
  <c r="AW5" i="5"/>
  <c r="AG5" i="5"/>
  <c r="R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BI5" i="6"/>
  <c r="L5" i="6"/>
  <c r="EE4" i="6"/>
  <c r="DM4" i="6"/>
  <c r="CP4" i="6"/>
  <c r="BS4" i="6"/>
  <c r="BA4" i="6"/>
  <c r="AD4" i="6"/>
  <c r="G4" i="6"/>
  <c r="EM5" i="5"/>
  <c r="DP5" i="5"/>
  <c r="CS5" i="5"/>
  <c r="CB5" i="5"/>
  <c r="BL5" i="5"/>
  <c r="AV5" i="5"/>
  <c r="AF5" i="5"/>
  <c r="Q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BA5" i="6"/>
  <c r="E5" i="6"/>
  <c r="ED4" i="6"/>
  <c r="DG4" i="6"/>
  <c r="CO4" i="6"/>
  <c r="BR4" i="6"/>
  <c r="AU4" i="6"/>
  <c r="AC4" i="6"/>
  <c r="F4" i="6"/>
  <c r="EG5" i="5"/>
  <c r="DO5" i="5"/>
  <c r="CR5" i="5"/>
  <c r="CA5" i="5"/>
  <c r="BK5" i="5"/>
  <c r="AU5" i="5"/>
  <c r="AE5" i="5"/>
  <c r="P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G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H885" i="3"/>
  <c r="I883" i="3"/>
  <c r="C882" i="3"/>
  <c r="D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B885" i="3"/>
  <c r="H883" i="3"/>
  <c r="B882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A885" i="3"/>
  <c r="B883" i="3"/>
  <c r="L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L884" i="3"/>
  <c r="A883" i="3"/>
  <c r="J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F884" i="3"/>
  <c r="L882" i="3"/>
  <c r="I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E884" i="3"/>
  <c r="F882" i="3"/>
  <c r="H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D884" i="3"/>
  <c r="E882" i="3"/>
  <c r="G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J883" i="3"/>
  <c r="D882" i="3"/>
  <c r="F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G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F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H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G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E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L295" i="3"/>
  <c r="K293" i="3"/>
  <c r="L291" i="3"/>
  <c r="H290" i="3"/>
  <c r="E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E295" i="3"/>
  <c r="E293" i="3"/>
  <c r="K291" i="3"/>
  <c r="G290" i="3"/>
  <c r="D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D295" i="3"/>
  <c r="D293" i="3"/>
  <c r="J291" i="3"/>
  <c r="F290" i="3"/>
  <c r="C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I294" i="3"/>
  <c r="C293" i="3"/>
  <c r="E291" i="3"/>
  <c r="A290" i="3"/>
  <c r="B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H294" i="3"/>
  <c r="I292" i="3"/>
  <c r="D291" i="3"/>
  <c r="L289" i="3"/>
  <c r="A289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G294" i="3"/>
  <c r="H292" i="3"/>
  <c r="C291" i="3"/>
  <c r="K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A294" i="3"/>
  <c r="G292" i="3"/>
  <c r="B291" i="3"/>
  <c r="J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L293" i="3"/>
  <c r="A292" i="3"/>
  <c r="I290" i="3"/>
  <c r="F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J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G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F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D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C822" i="1"/>
  <c r="D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822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L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I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H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G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F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E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H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F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E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D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C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B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G312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K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G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C311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J2" i="14" l="1"/>
  <c r="J2" i="13"/>
  <c r="J2" i="11"/>
  <c r="J2" i="9"/>
  <c r="J2" i="10"/>
  <c r="J2" i="8"/>
  <c r="J2" i="6"/>
  <c r="J2" i="7"/>
  <c r="J2" i="4"/>
  <c r="J2" i="5"/>
</calcChain>
</file>

<file path=xl/sharedStrings.xml><?xml version="1.0" encoding="utf-8"?>
<sst xmlns="http://schemas.openxmlformats.org/spreadsheetml/2006/main" count="121" uniqueCount="46">
  <si>
    <t>Modules Info</t>
  </si>
  <si>
    <t>Master Data Info</t>
  </si>
  <si>
    <t>Settings</t>
  </si>
  <si>
    <t>Modules</t>
  </si>
  <si>
    <t>Module</t>
  </si>
  <si>
    <t>Module Step Setting File</t>
  </si>
  <si>
    <t>1BICZ_GcMhh_S937ZinFvSYqvvKYtOYB2Bc4woEPpgPg</t>
  </si>
  <si>
    <t>Step</t>
  </si>
  <si>
    <t>Master Data Sheet</t>
  </si>
  <si>
    <t>Master Data Settings File</t>
  </si>
  <si>
    <t>1hEhI9rg16D4Xvfk19pDaFUFF78jjfIG29BBaNg8kT0A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</si>
  <si>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</si>
  <si>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</si>
  <si>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</si>
  <si>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</si>
  <si>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</si>
  <si>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</si>
  <si>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</si>
  <si>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</si>
  <si>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</si>
  <si>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</si>
  <si>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</si>
  <si>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</si>
  <si>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</si>
  <si>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</si>
  <si>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</si>
  <si>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</si>
  <si>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</si>
  <si>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</si>
  <si>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</si>
  <si>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</si>
  <si>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</si>
  <si>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</si>
  <si>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</si>
  <si>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</si>
  <si>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</si>
  <si>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</si>
  <si>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</si>
  <si>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</si>
  <si>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Accruals</t>
  </si>
  <si>
    <t>Cash</t>
  </si>
  <si>
    <t>Yes</t>
  </si>
  <si>
    <t>RebalanceAcrossSecurities</t>
  </si>
  <si>
    <t>AIG</t>
  </si>
  <si>
    <t xml:space="preserve">Set </t>
  </si>
  <si>
    <t>ModifyRebalance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</si>
</sst>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Inconsolata"/>
    </font>
    <font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14" fontId="13" fillId="6" borderId="0" xfId="0" applyNumberFormat="1" applyFont="1" applyFill="1" applyAlignment="1">
      <alignment horizontal="left"/>
    </xf>
    <xf numFmtId="0" fontId="5" fillId="0" borderId="0" xfId="0" applyFont="1" applyAlignment="1"/>
    <xf numFmtId="0" fontId="3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4" fillId="0" borderId="0" xfId="0" applyFont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4" fillId="0" borderId="5" xfId="0" applyFont="1" applyBorder="1" applyAlignment="1"/>
    <xf numFmtId="14" fontId="13" fillId="6" borderId="5" xfId="0" applyNumberFormat="1" applyFont="1" applyFill="1" applyBorder="1" applyAlignment="1">
      <alignment horizontal="right"/>
    </xf>
    <xf numFmtId="0" fontId="4" fillId="0" borderId="0" xfId="0" applyFont="1" applyAlignment="1"/>
    <xf numFmtId="0" fontId="5" fillId="0" borderId="0" xfId="0" applyFont="1" applyAlignment="1">
      <alignment horizontal="right"/>
    </xf>
    <xf numFmtId="14" fontId="13" fillId="6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4" fillId="0" borderId="0" xfId="0" applyFont="1" applyAlignme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45" t="s">
        <v>0</v>
      </c>
      <c r="B1" s="46"/>
      <c r="C1" s="46"/>
      <c r="D1" s="46"/>
      <c r="E1" s="46"/>
      <c r="F1" s="47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3" t="s">
        <v>3</v>
      </c>
      <c r="B3" s="5"/>
      <c r="C3" s="7"/>
      <c r="D3" s="7"/>
      <c r="E3" s="7"/>
      <c r="F3" s="7"/>
    </row>
    <row r="4" spans="1:12" ht="15.75" customHeight="1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27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IFERROR(__xludf.DUMMYFUNCTION("""COMPUTED_VALUE"""),"1y3edACvUtHcrCyn7bfzWXET_VAfASVChWeHuDnd6534")</f>
        <v>1y3edACvUtHcrCyn7bfzWXET_VAfASVChWeHuDnd6534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s="42" t="str">
        <f ca="1">IFERROR(__xludf.DUMMYFUNCTION("""COMPUTED_VALUE"""),"Compliance")</f>
        <v>Compliance</v>
      </c>
      <c r="B369" s="38" t="str">
        <f ca="1">IFERROR(__xludf.DUMMYFUNCTION("""COMPUTED_VALUE"""),"VerifyRowCalculationBaseWindow")</f>
        <v>VerifyRowCalculationBaseWindow</v>
      </c>
      <c r="C369" s="38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s="38" t="str">
        <f ca="1">IFERROR(__xludf.DUMMYFUNCTION("""COMPUTED_VALUE"""),"Compliance")</f>
        <v>Compliance</v>
      </c>
      <c r="B370" s="38" t="str">
        <f ca="1">IFERROR(__xludf.DUMMYFUNCTION("""COMPUTED_VALUE"""),"VerifySecurityWindow")</f>
        <v>VerifySecurityWindow</v>
      </c>
      <c r="C370" s="38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s="38" t="str">
        <f ca="1">IFERROR(__xludf.DUMMYFUNCTION("""COMPUTED_VALUE"""),"Compliance")</f>
        <v>Compliance</v>
      </c>
      <c r="B371" s="38" t="str">
        <f ca="1">IFERROR(__xludf.DUMMYFUNCTION("""COMPUTED_VALUE"""),"VerifySymbolDataWindow")</f>
        <v>VerifySymbolDataWindow</v>
      </c>
      <c r="C371" s="38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s="38" t="str">
        <f ca="1">IFERROR(__xludf.DUMMYFUNCTION("""COMPUTED_VALUE"""),"Compliance")</f>
        <v>Compliance</v>
      </c>
      <c r="B372" s="38" t="str">
        <f ca="1">IFERROR(__xludf.DUMMYFUNCTION("""COMPUTED_VALUE"""),"VerifySymbolDivisorWindow")</f>
        <v>VerifySymbolDivisorWindow</v>
      </c>
      <c r="C372" s="38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8" t="s">
        <v>2</v>
      </c>
      <c r="B1" s="46"/>
      <c r="C1" s="47"/>
    </row>
    <row r="2" spans="1:3" ht="15.75" customHeight="1">
      <c r="A2" s="2"/>
      <c r="B2" s="2"/>
      <c r="C2" s="2"/>
    </row>
    <row r="3" spans="1:3" ht="15.75" customHeight="1">
      <c r="A3" s="3" t="s">
        <v>5</v>
      </c>
      <c r="B3" s="8" t="s">
        <v>6</v>
      </c>
      <c r="C3" s="2"/>
    </row>
    <row r="4" spans="1:3" ht="15.75" customHeight="1">
      <c r="A4" s="4" t="s">
        <v>9</v>
      </c>
      <c r="B4" s="8" t="s">
        <v>10</v>
      </c>
      <c r="C4" s="2"/>
    </row>
    <row r="5" spans="1:3" ht="15.75" customHeight="1">
      <c r="A5" s="10"/>
      <c r="B5" s="2"/>
      <c r="C5" s="2"/>
    </row>
    <row r="6" spans="1:3" ht="15.75" customHeight="1">
      <c r="A6" s="10"/>
      <c r="B6" s="2"/>
      <c r="C6" s="2"/>
    </row>
    <row r="7" spans="1:3" ht="15.75" customHeight="1">
      <c r="A7" s="10"/>
      <c r="B7" s="2"/>
      <c r="C7" s="2"/>
    </row>
    <row r="8" spans="1:3" ht="15.75" customHeight="1">
      <c r="A8" s="10"/>
      <c r="B8" s="2"/>
      <c r="C8" s="2"/>
    </row>
    <row r="9" spans="1:3" ht="15.75" customHeight="1">
      <c r="A9" s="10"/>
      <c r="B9" s="2"/>
      <c r="C9" s="2"/>
    </row>
    <row r="10" spans="1:3" ht="15.75" customHeight="1">
      <c r="A10" s="10"/>
      <c r="B10" s="2"/>
      <c r="C10" s="2"/>
    </row>
    <row r="11" spans="1:3" ht="15.75" customHeight="1">
      <c r="A11" s="10"/>
      <c r="B11" s="2"/>
      <c r="C11" s="2"/>
    </row>
    <row r="12" spans="1:3" ht="15.75" customHeight="1">
      <c r="A12" s="10"/>
      <c r="B12" s="2"/>
      <c r="C12" s="2"/>
    </row>
    <row r="13" spans="1:3" ht="15.75" customHeight="1">
      <c r="A13" s="10"/>
      <c r="B13" s="2"/>
      <c r="C13" s="2"/>
    </row>
    <row r="14" spans="1:3" ht="15.75" customHeight="1">
      <c r="A14" s="10"/>
      <c r="B14" s="2"/>
      <c r="C14" s="2"/>
    </row>
    <row r="15" spans="1:3" ht="15.75" customHeight="1">
      <c r="A15" s="10"/>
      <c r="B15" s="2"/>
      <c r="C15" s="2"/>
    </row>
    <row r="16" spans="1:3" ht="15.75" customHeight="1">
      <c r="A16" s="10"/>
      <c r="B16" s="2"/>
      <c r="C16" s="2"/>
    </row>
    <row r="17" spans="1:3" ht="15.75" customHeight="1">
      <c r="A17" s="10"/>
      <c r="B17" s="2"/>
      <c r="C17" s="2"/>
    </row>
    <row r="18" spans="1:3" ht="15.75" customHeight="1">
      <c r="A18" s="10"/>
      <c r="B18" s="2"/>
      <c r="C18" s="2"/>
    </row>
    <row r="19" spans="1:3" ht="15.75" customHeight="1">
      <c r="A19" s="10"/>
      <c r="B19" s="2"/>
      <c r="C19" s="2"/>
    </row>
    <row r="20" spans="1:3" ht="15.75" customHeight="1">
      <c r="A20" s="10"/>
      <c r="B20" s="2"/>
      <c r="C20" s="2"/>
    </row>
    <row r="21" spans="1:3" ht="15.75" customHeight="1">
      <c r="A21" s="10"/>
      <c r="B21" s="2"/>
      <c r="C21" s="2"/>
    </row>
    <row r="22" spans="1:3" ht="15.75" customHeight="1">
      <c r="A22" s="10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5" t="s">
        <v>1</v>
      </c>
      <c r="B1" s="46"/>
      <c r="C1" s="46"/>
      <c r="D1" s="46"/>
      <c r="E1" s="46"/>
      <c r="F1" s="47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4" t="s">
        <v>4</v>
      </c>
      <c r="B3" s="6" t="s">
        <v>7</v>
      </c>
      <c r="C3" s="6" t="s">
        <v>8</v>
      </c>
      <c r="D3" s="9"/>
      <c r="E3" s="9"/>
      <c r="F3" s="9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" customHeight="1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5" t="s">
        <v>11</v>
      </c>
      <c r="C1" s="46"/>
      <c r="D1" s="46"/>
      <c r="E1" s="46"/>
      <c r="F1" s="46"/>
      <c r="G1" s="46"/>
      <c r="H1" s="4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12</v>
      </c>
      <c r="D3" s="3" t="s">
        <v>7</v>
      </c>
      <c r="E3" s="16" t="s">
        <v>13</v>
      </c>
      <c r="F3" s="3" t="s">
        <v>14</v>
      </c>
      <c r="G3" s="10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From")</f>
        <v>Copy From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24">
        <f t="shared" ref="B6:C6" ca="1" si="0">TODAY()-1</f>
        <v>43829</v>
      </c>
      <c r="C6" s="25">
        <f t="shared" ca="1" si="0"/>
        <v>43829</v>
      </c>
      <c r="D6" s="8"/>
      <c r="E6" s="26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5" t="s">
        <v>11</v>
      </c>
      <c r="C1" s="46"/>
      <c r="D1" s="46"/>
      <c r="E1" s="46"/>
      <c r="F1" s="46"/>
      <c r="G1" s="46"/>
      <c r="H1" s="4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12</v>
      </c>
      <c r="D3" s="3" t="s">
        <v>7</v>
      </c>
      <c r="E3" s="16" t="s">
        <v>16</v>
      </c>
      <c r="F3" s="3" t="s">
        <v>14</v>
      </c>
      <c r="G3" s="10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IFERROR(__xludf.DUMMYFUNCTION("""COMPUTED_VALUE"""),"Local Currency")</f>
        <v>Local Currency</v>
      </c>
      <c r="D5" s="21" t="str">
        <f ca="1">IFERROR(__xludf.DUMMYFUNCTION("""COMPUTED_VALUE"""),"Cash Value Local")</f>
        <v>Cash Value Local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28" t="s">
        <v>17</v>
      </c>
      <c r="C6" s="29" t="s">
        <v>18</v>
      </c>
      <c r="D6" s="30">
        <v>1000</v>
      </c>
      <c r="E6" s="26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1" t="s">
        <v>19</v>
      </c>
      <c r="C7" s="31" t="s">
        <v>18</v>
      </c>
      <c r="D7" s="32">
        <v>1000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5" t="s">
        <v>11</v>
      </c>
      <c r="C1" s="46"/>
      <c r="D1" s="46"/>
      <c r="E1" s="46"/>
      <c r="F1" s="46"/>
      <c r="G1" s="46"/>
      <c r="H1" s="4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1b5S4Xpp4fgZ1ez6cK92QFnVBylqz8jhwxdAyEvwDqUI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20</v>
      </c>
      <c r="D3" s="3" t="s">
        <v>7</v>
      </c>
      <c r="E3" s="16" t="s">
        <v>21</v>
      </c>
      <c r="F3" s="3" t="s">
        <v>14</v>
      </c>
      <c r="G3" s="10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3"/>
      <c r="B6" s="28" t="s">
        <v>22</v>
      </c>
      <c r="C6" s="29" t="s">
        <v>23</v>
      </c>
      <c r="D6" s="34">
        <v>100</v>
      </c>
      <c r="E6" s="35">
        <v>100</v>
      </c>
      <c r="F6" s="29" t="s">
        <v>17</v>
      </c>
      <c r="G6" s="36"/>
      <c r="H6" s="36"/>
      <c r="I6" s="36"/>
      <c r="J6" s="35">
        <v>10</v>
      </c>
      <c r="K6" s="36"/>
      <c r="L6" s="36"/>
      <c r="M6" s="36"/>
      <c r="N6" s="37">
        <f t="shared" ref="N6:N8" ca="1" si="0">TODAY()</f>
        <v>43830</v>
      </c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</row>
    <row r="7" spans="1:154" ht="15.75" customHeight="1">
      <c r="A7" s="38"/>
      <c r="B7" s="31" t="s">
        <v>22</v>
      </c>
      <c r="C7" s="31" t="s">
        <v>23</v>
      </c>
      <c r="D7" s="39">
        <v>100</v>
      </c>
      <c r="E7" s="39">
        <v>100</v>
      </c>
      <c r="F7" s="31" t="s">
        <v>19</v>
      </c>
      <c r="G7" s="38"/>
      <c r="H7" s="38"/>
      <c r="I7" s="38"/>
      <c r="J7" s="39">
        <v>10</v>
      </c>
      <c r="K7" s="38"/>
      <c r="L7" s="38"/>
      <c r="M7" s="38"/>
      <c r="N7" s="40">
        <f t="shared" ca="1" si="0"/>
        <v>43830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154" ht="15.75" customHeight="1">
      <c r="A8" s="2"/>
      <c r="B8" s="8" t="s">
        <v>24</v>
      </c>
      <c r="C8" s="8" t="s">
        <v>25</v>
      </c>
      <c r="D8" s="8">
        <v>200</v>
      </c>
      <c r="E8" s="8">
        <v>200</v>
      </c>
      <c r="F8" s="8" t="s">
        <v>17</v>
      </c>
      <c r="G8" s="2"/>
      <c r="H8" s="2"/>
      <c r="I8" s="2"/>
      <c r="J8" s="8">
        <v>10</v>
      </c>
      <c r="K8" s="2"/>
      <c r="L8" s="2"/>
      <c r="M8" s="2"/>
      <c r="N8" s="40">
        <f t="shared" ca="1" si="0"/>
        <v>43830</v>
      </c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5" t="s">
        <v>11</v>
      </c>
      <c r="C1" s="46"/>
      <c r="D1" s="46"/>
      <c r="E1" s="46"/>
      <c r="F1" s="46"/>
      <c r="G1" s="46"/>
      <c r="H1" s="4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26</v>
      </c>
      <c r="D3" s="3" t="s">
        <v>7</v>
      </c>
      <c r="E3" s="16" t="s">
        <v>26</v>
      </c>
      <c r="F3" s="3" t="s">
        <v>14</v>
      </c>
      <c r="G3" s="10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28" t="s">
        <v>22</v>
      </c>
      <c r="C6" s="35">
        <v>10</v>
      </c>
      <c r="D6" s="8"/>
      <c r="E6" s="26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8" t="s">
        <v>24</v>
      </c>
      <c r="C7" s="8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5" t="s">
        <v>11</v>
      </c>
      <c r="C1" s="46"/>
      <c r="D1" s="46"/>
      <c r="E1" s="46"/>
      <c r="F1" s="46"/>
      <c r="G1" s="46"/>
      <c r="H1" s="4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27</v>
      </c>
      <c r="D3" s="3" t="s">
        <v>7</v>
      </c>
      <c r="E3" s="16" t="s">
        <v>28</v>
      </c>
      <c r="F3" s="3" t="s">
        <v>14</v>
      </c>
      <c r="G3" s="10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IFERROR(__xludf.DUMMYFUNCTION("""COMPUTED_VALUE"""),"Account/Groups")</f>
        <v>Account/Groups</v>
      </c>
      <c r="C5" s="21" t="str">
        <f ca="1">IFERROR(__xludf.DUMMYFUNCTION("""COMPUTED_VALUE"""),"Account Positions")</f>
        <v>Account Positions</v>
      </c>
      <c r="D5" s="21" t="str">
        <f ca="1">IFERROR(__xludf.DUMMYFUNCTION("""COMPUTED_VALUE"""),"Calculation Level")</f>
        <v>Calculation Level</v>
      </c>
      <c r="E5" s="21" t="str">
        <f ca="1">IFERROR(__xludf.DUMMYFUNCTION("""COMPUTED_VALUE"""),"Refresh")</f>
        <v>Refresh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28" t="s">
        <v>29</v>
      </c>
      <c r="C6" s="29" t="s">
        <v>30</v>
      </c>
      <c r="D6" s="28" t="s">
        <v>31</v>
      </c>
      <c r="E6" s="29" t="s">
        <v>32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41">
        <v>0</v>
      </c>
      <c r="B1" s="45" t="s">
        <v>11</v>
      </c>
      <c r="C1" s="46"/>
      <c r="D1" s="46"/>
      <c r="E1" s="46"/>
      <c r="F1" s="46"/>
      <c r="G1" s="46"/>
      <c r="H1" s="4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27</v>
      </c>
      <c r="D3" s="3" t="s">
        <v>7</v>
      </c>
      <c r="E3" s="16" t="s">
        <v>33</v>
      </c>
      <c r="F3" s="3" t="s">
        <v>14</v>
      </c>
      <c r="G3" s="10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IFERROR(__xludf.DUMMYFUNCTION("""COMPUTED_VALUE"""),"Cash Flow(USD)")</f>
        <v>Cash Flow(USD)</v>
      </c>
      <c r="C5" s="21" t="str">
        <f ca="1">IFERROR(__xludf.DUMMYFUNCTION("""COMPUTED_VALUE"""),"Cash Flow Impact on NAV")</f>
        <v>Cash Flow Impact on NAV</v>
      </c>
      <c r="D5" s="21" t="str">
        <f ca="1">IFERROR(__xludf.DUMMYFUNCTION("""COMPUTED_VALUE"""),"Select Model")</f>
        <v>Select Model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>
        <v>-1000</v>
      </c>
      <c r="C6" s="8" t="s">
        <v>34</v>
      </c>
      <c r="D6" s="8" t="s">
        <v>35</v>
      </c>
      <c r="E6" s="26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5" t="s">
        <v>11</v>
      </c>
      <c r="C1" s="46"/>
      <c r="D1" s="46"/>
      <c r="E1" s="46"/>
      <c r="F1" s="46"/>
      <c r="G1" s="46"/>
      <c r="H1" s="4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27</v>
      </c>
      <c r="D3" s="3" t="s">
        <v>7</v>
      </c>
      <c r="E3" s="16" t="s">
        <v>36</v>
      </c>
      <c r="F3" s="3" t="s">
        <v>14</v>
      </c>
      <c r="G3" s="10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IFERROR(__xludf.DUMMYFUNCTION("""COMPUTED_VALUE"""),"Rounding Type")</f>
        <v>Rounding Type</v>
      </c>
      <c r="C5" s="21" t="str">
        <f ca="1">IFERROR(__xludf.DUMMYFUNCTION("""COMPUTED_VALUE"""),"Rebalance")</f>
        <v>Rebalance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"/>
      <c r="B6" s="8" t="s">
        <v>37</v>
      </c>
      <c r="C6" s="2"/>
      <c r="D6" s="8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5" t="s">
        <v>11</v>
      </c>
      <c r="C1" s="46"/>
      <c r="D1" s="46"/>
      <c r="E1" s="46"/>
      <c r="F1" s="46"/>
      <c r="G1" s="46"/>
      <c r="H1" s="4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27</v>
      </c>
      <c r="D3" s="3" t="s">
        <v>7</v>
      </c>
      <c r="E3" s="16" t="s">
        <v>38</v>
      </c>
      <c r="F3" s="3" t="s">
        <v>14</v>
      </c>
      <c r="G3" s="10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IFERROR(__xludf.DUMMYFUNCTION("""COMPUTED_VALUE"""),"Lock/Unlock")</f>
        <v>Lock/Unlock</v>
      </c>
      <c r="C5" s="21" t="str">
        <f ca="1">IFERROR(__xludf.DUMMYFUNCTION("""COMPUTED_VALUE"""),"Account")</f>
        <v>Account</v>
      </c>
      <c r="D5" s="21" t="str">
        <f ca="1">IFERROR(__xludf.DUMMYFUNCTION("""COMPUTED_VALUE"""),"Symbol")</f>
        <v>Symbol</v>
      </c>
      <c r="E5" s="21" t="str">
        <f ca="1">IFERROR(__xludf.DUMMYFUNCTION("""COMPUTED_VALUE"""),"Asset")</f>
        <v>Asset</v>
      </c>
      <c r="F5" s="22" t="str">
        <f ca="1">IFERROR(__xludf.DUMMYFUNCTION("""COMPUTED_VALUE"""),"Side")</f>
        <v>Side</v>
      </c>
      <c r="G5" s="21" t="str">
        <f ca="1">IFERROR(__xludf.DUMMYFUNCTION("""COMPUTED_VALUE"""),"Price (Local)")</f>
        <v>Price (Local)</v>
      </c>
      <c r="H5" s="21" t="str">
        <f ca="1">IFERROR(__xludf.DUMMYFUNCTION("""COMPUTED_VALUE"""),"Price")</f>
        <v>Price</v>
      </c>
      <c r="I5" s="21" t="str">
        <f ca="1">IFERROR(__xludf.DUMMYFUNCTION("""COMPUTED_VALUE"""),"FX Rate")</f>
        <v>FX Rate</v>
      </c>
      <c r="J5" s="21" t="str">
        <f ca="1">IFERROR(__xludf.DUMMYFUNCTION("""COMPUTED_VALUE"""),"Current %")</f>
        <v>Current %</v>
      </c>
      <c r="K5" s="21" t="str">
        <f ca="1">IFERROR(__xludf.DUMMYFUNCTION("""COMPUTED_VALUE"""),"Current Position")</f>
        <v>Current Position</v>
      </c>
      <c r="L5" s="21" t="str">
        <f ca="1">IFERROR(__xludf.DUMMYFUNCTION("""COMPUTED_VALUE"""),"Current Market Value (Local)")</f>
        <v>Current Market Value (Local)</v>
      </c>
      <c r="M5" s="21" t="str">
        <f ca="1">IFERROR(__xludf.DUMMYFUNCTION("""COMPUTED_VALUE"""),"Current Market Value")</f>
        <v>Current Market Value</v>
      </c>
      <c r="N5" s="21" t="str">
        <f ca="1">IFERROR(__xludf.DUMMYFUNCTION("""COMPUTED_VALUE"""),"Target %")</f>
        <v>Target %</v>
      </c>
      <c r="O5" s="21" t="str">
        <f ca="1">IFERROR(__xludf.DUMMYFUNCTION("""COMPUTED_VALUE"""),"Target Position")</f>
        <v>Target Position</v>
      </c>
      <c r="P5" s="21" t="str">
        <f ca="1">IFERROR(__xludf.DUMMYFUNCTION("""COMPUTED_VALUE"""),"Target Market Value (Local)")</f>
        <v>Target Market Value (Local)</v>
      </c>
      <c r="Q5" s="21" t="str">
        <f ca="1">IFERROR(__xludf.DUMMYFUNCTION("""COMPUTED_VALUE"""),"Target Market Value")</f>
        <v>Target Market Value</v>
      </c>
      <c r="R5" s="21" t="str">
        <f ca="1">IFERROR(__xludf.DUMMYFUNCTION("""COMPUTED_VALUE"""),"Buy/Sell Qty")</f>
        <v>Buy/Sell Qty</v>
      </c>
      <c r="S5" s="21" t="str">
        <f ca="1">IFERROR(__xludf.DUMMYFUNCTION("""COMPUTED_VALUE"""),"Buy/Sell Value")</f>
        <v>Buy/Sell Value</v>
      </c>
      <c r="T5" s="23" t="str">
        <f ca="1">IFERROR(__xludf.DUMMYFUNCTION("""COMPUTED_VALUE"""),"Sector")</f>
        <v>Sector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8"/>
      <c r="B6" s="36"/>
      <c r="C6" s="43" t="s">
        <v>17</v>
      </c>
      <c r="D6" s="43" t="s">
        <v>22</v>
      </c>
      <c r="E6" s="43"/>
      <c r="F6" s="43"/>
      <c r="G6" s="44"/>
      <c r="H6" s="44">
        <v>10</v>
      </c>
      <c r="I6" s="44"/>
      <c r="J6" s="44"/>
      <c r="K6" s="44">
        <v>100</v>
      </c>
      <c r="L6" s="44"/>
      <c r="M6" s="44"/>
      <c r="N6" s="43"/>
      <c r="O6" s="44">
        <v>50</v>
      </c>
      <c r="P6" s="44"/>
      <c r="Q6" s="44"/>
      <c r="R6" s="44">
        <v>-50</v>
      </c>
      <c r="S6" s="36"/>
      <c r="T6" s="38"/>
      <c r="U6" s="38"/>
      <c r="V6" s="38"/>
      <c r="W6" s="38"/>
    </row>
    <row r="7" spans="1:154" ht="15.75" customHeight="1">
      <c r="A7" s="38"/>
      <c r="B7" s="38"/>
      <c r="C7" s="43" t="s">
        <v>19</v>
      </c>
      <c r="D7" s="43" t="s">
        <v>22</v>
      </c>
      <c r="E7" s="43"/>
      <c r="F7" s="43"/>
      <c r="G7" s="44"/>
      <c r="H7" s="44">
        <v>10</v>
      </c>
      <c r="I7" s="44"/>
      <c r="J7" s="44"/>
      <c r="K7" s="44">
        <v>100</v>
      </c>
      <c r="L7" s="44"/>
      <c r="M7" s="44"/>
      <c r="N7" s="43"/>
      <c r="O7" s="44">
        <v>50</v>
      </c>
      <c r="P7" s="44"/>
      <c r="Q7" s="44"/>
      <c r="R7" s="44">
        <v>-50</v>
      </c>
      <c r="S7" s="38"/>
      <c r="T7" s="38"/>
      <c r="U7" s="38"/>
      <c r="V7" s="38"/>
      <c r="W7" s="38"/>
    </row>
    <row r="8" spans="1:154" ht="15.75" customHeight="1">
      <c r="A8" s="2"/>
      <c r="B8" s="2"/>
      <c r="C8" s="43" t="s">
        <v>17</v>
      </c>
      <c r="D8" s="43" t="s">
        <v>24</v>
      </c>
      <c r="E8" s="43"/>
      <c r="F8" s="43"/>
      <c r="G8" s="44"/>
      <c r="H8" s="44">
        <v>10</v>
      </c>
      <c r="I8" s="44"/>
      <c r="J8" s="44"/>
      <c r="K8" s="44">
        <v>200</v>
      </c>
      <c r="L8" s="44"/>
      <c r="M8" s="44"/>
      <c r="N8" s="43"/>
      <c r="O8" s="44">
        <v>100</v>
      </c>
      <c r="P8" s="44"/>
      <c r="Q8" s="44"/>
      <c r="R8" s="44">
        <v>-100</v>
      </c>
    </row>
    <row r="9" spans="1:154" ht="15.75" customHeight="1">
      <c r="A9" s="2"/>
      <c r="B9" s="2"/>
      <c r="C9" s="43" t="s">
        <v>17</v>
      </c>
      <c r="D9" s="43" t="s">
        <v>39</v>
      </c>
      <c r="E9" s="43"/>
      <c r="F9" s="43"/>
      <c r="G9" s="44"/>
      <c r="H9" s="44">
        <v>1</v>
      </c>
      <c r="I9" s="44"/>
      <c r="J9" s="44"/>
      <c r="K9" s="44">
        <v>0</v>
      </c>
      <c r="L9" s="44"/>
      <c r="M9" s="44"/>
      <c r="N9" s="43"/>
      <c r="O9" s="44">
        <v>0</v>
      </c>
      <c r="P9" s="44"/>
      <c r="Q9" s="44"/>
      <c r="R9" s="44">
        <v>0</v>
      </c>
    </row>
    <row r="10" spans="1:154" ht="15.75" customHeight="1">
      <c r="A10" s="2"/>
      <c r="B10" s="2"/>
      <c r="C10" s="43" t="s">
        <v>19</v>
      </c>
      <c r="D10" s="43" t="s">
        <v>39</v>
      </c>
      <c r="E10" s="43"/>
      <c r="F10" s="43"/>
      <c r="G10" s="44"/>
      <c r="H10" s="44">
        <v>1</v>
      </c>
      <c r="I10" s="44"/>
      <c r="J10" s="44"/>
      <c r="K10" s="44">
        <v>0</v>
      </c>
      <c r="L10" s="44"/>
      <c r="M10" s="44"/>
      <c r="N10" s="43"/>
      <c r="O10" s="44">
        <v>0</v>
      </c>
      <c r="P10" s="44"/>
      <c r="Q10" s="44"/>
      <c r="R10" s="44">
        <v>0</v>
      </c>
    </row>
    <row r="11" spans="1:154" ht="15.75" customHeight="1">
      <c r="A11" s="2"/>
      <c r="B11" s="2"/>
      <c r="C11" s="43" t="s">
        <v>17</v>
      </c>
      <c r="D11" s="43" t="s">
        <v>40</v>
      </c>
      <c r="E11" s="43"/>
      <c r="F11" s="43"/>
      <c r="G11" s="44"/>
      <c r="H11" s="44">
        <v>1</v>
      </c>
      <c r="I11" s="44"/>
      <c r="J11" s="44"/>
      <c r="K11" s="44">
        <v>2000</v>
      </c>
      <c r="L11" s="44"/>
      <c r="M11" s="44"/>
      <c r="N11" s="43"/>
      <c r="O11" s="44">
        <v>1000</v>
      </c>
      <c r="P11" s="44"/>
      <c r="Q11" s="44"/>
      <c r="R11" s="44">
        <v>-1000</v>
      </c>
    </row>
    <row r="12" spans="1:154" ht="15.75" customHeight="1">
      <c r="A12" s="2"/>
      <c r="B12" s="2"/>
      <c r="C12" s="43" t="s">
        <v>19</v>
      </c>
      <c r="D12" s="43" t="s">
        <v>40</v>
      </c>
      <c r="E12" s="43"/>
      <c r="F12" s="43"/>
      <c r="G12" s="44"/>
      <c r="H12" s="44">
        <v>1</v>
      </c>
      <c r="I12" s="44"/>
      <c r="J12" s="44"/>
      <c r="K12" s="44">
        <v>0</v>
      </c>
      <c r="L12" s="44"/>
      <c r="M12" s="44"/>
      <c r="N12" s="43"/>
      <c r="O12" s="44">
        <v>0</v>
      </c>
      <c r="P12" s="44"/>
      <c r="Q12" s="44"/>
      <c r="R12" s="44">
        <v>0</v>
      </c>
    </row>
    <row r="13" spans="1:154" ht="15.75" customHeight="1">
      <c r="A13" s="2"/>
      <c r="B13" s="2"/>
      <c r="C13" s="2"/>
      <c r="D13" s="2"/>
      <c r="E13" s="2"/>
      <c r="F13" s="2"/>
      <c r="G13" s="44"/>
      <c r="H13" s="2"/>
      <c r="I13" s="2"/>
      <c r="J13" s="2"/>
      <c r="K13" s="2"/>
      <c r="L13" s="44"/>
      <c r="M13" s="44"/>
      <c r="N13" s="43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5" t="s">
        <v>11</v>
      </c>
      <c r="C1" s="46"/>
      <c r="D1" s="46"/>
      <c r="E1" s="46"/>
      <c r="F1" s="46"/>
      <c r="G1" s="46"/>
      <c r="H1" s="4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27</v>
      </c>
      <c r="D3" s="3" t="s">
        <v>7</v>
      </c>
      <c r="E3" s="16" t="s">
        <v>42</v>
      </c>
      <c r="F3" s="3" t="s">
        <v>14</v>
      </c>
      <c r="G3" s="10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IFERROR(__xludf.DUMMYFUNCTION("""COMPUTED_VALUE"""),"Ticker")</f>
        <v>Ticker</v>
      </c>
      <c r="C5" s="21" t="str">
        <f ca="1">IFERROR(__xludf.DUMMYFUNCTION("""COMPUTED_VALUE"""),"Set/Inc/Dec")</f>
        <v>Set/Inc/Dec</v>
      </c>
      <c r="D5" s="21" t="str">
        <f ca="1">IFERROR(__xludf.DUMMYFUNCTION("""COMPUTED_VALUE"""),"Target%")</f>
        <v>Target%</v>
      </c>
      <c r="E5" s="21" t="str">
        <f ca="1">IFERROR(__xludf.DUMMYFUNCTION("""COMPUTED_VALUE"""),"Account/Group")</f>
        <v>Account/Group</v>
      </c>
      <c r="F5" s="22" t="str">
        <f ca="1">IFERROR(__xludf.DUMMYFUNCTION("""COMPUTED_VALUE"""),"ReinvestCash")</f>
        <v>ReinvestCash</v>
      </c>
      <c r="G5" s="21" t="str">
        <f ca="1">IFERROR(__xludf.DUMMYFUNCTION("""COMPUTED_VALUE"""),"SellToRaiseCash")</f>
        <v>SellToRaiseCash</v>
      </c>
      <c r="H5" s="21" t="str">
        <f ca="1">IFERROR(__xludf.DUMMYFUNCTION("""COMPUTED_VALUE"""),"AllowNegCash")</f>
        <v>AllowNegCash</v>
      </c>
      <c r="I5" s="21" t="str">
        <f ca="1">IFERROR(__xludf.DUMMYFUNCTION("""COMPUTED_VALUE"""),"NoShortning")</f>
        <v>NoShortning</v>
      </c>
      <c r="J5" s="21" t="str">
        <f ca="1">IFERROR(__xludf.DUMMYFUNCTION("""COMPUTED_VALUE"""),"Price")</f>
        <v>Price</v>
      </c>
      <c r="K5" s="21" t="str">
        <f ca="1">IFERROR(__xludf.DUMMYFUNCTION("""COMPUTED_VALUE"""),"Fx")</f>
        <v>Fx</v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 t="s">
        <v>43</v>
      </c>
      <c r="C6" s="8" t="s">
        <v>44</v>
      </c>
      <c r="D6" s="8">
        <v>50</v>
      </c>
      <c r="E6" s="8" t="s">
        <v>17</v>
      </c>
      <c r="F6" s="2"/>
      <c r="G6" s="2"/>
      <c r="H6" s="2"/>
      <c r="I6" s="2"/>
      <c r="J6" s="8">
        <v>66</v>
      </c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G24" sqref="G2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5" t="s">
        <v>11</v>
      </c>
      <c r="C1" s="46"/>
      <c r="D1" s="46"/>
      <c r="E1" s="46"/>
      <c r="F1" s="46"/>
      <c r="G1" s="46"/>
      <c r="H1" s="4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27</v>
      </c>
      <c r="D3" s="3" t="s">
        <v>7</v>
      </c>
      <c r="E3" s="16" t="s">
        <v>45</v>
      </c>
      <c r="F3" s="3" t="s">
        <v>14</v>
      </c>
      <c r="G3" s="10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IFERROR(__xludf.DUMMYFUNCTION("""COMPUTED_VALUE"""),"Modify Rebalance")</f>
        <v>Modify Rebalance</v>
      </c>
      <c r="C5" s="21" t="str">
        <f ca="1">IFERROR(__xludf.DUMMYFUNCTION("""COMPUTED_VALUE"""),"")</f>
        <v/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 t="s">
        <v>41</v>
      </c>
      <c r="C6" s="2"/>
      <c r="D6" s="8"/>
      <c r="E6" s="26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FetchAccountPositions</vt:lpstr>
      <vt:lpstr>AddCash</vt:lpstr>
      <vt:lpstr>RunRebalance</vt:lpstr>
      <vt:lpstr>VerifyGridData</vt:lpstr>
      <vt:lpstr>RebalanceAcrossSecurities</vt:lpstr>
      <vt:lpstr>ModifyRebalance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2019-12-31T13:22:48Z</dcterms:modified>
</cp:coreProperties>
</file>