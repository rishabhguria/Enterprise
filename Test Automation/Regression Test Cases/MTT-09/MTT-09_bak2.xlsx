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DoneAwayUsingMTT" sheetId="2" r:id="rId4"/>
    <sheet state="visible" name="_Settings" sheetId="3" r:id="rId5"/>
    <sheet state="visible" name="_MasterData" sheetId="4" r:id="rId6"/>
    <sheet state="visible" name="CreateStageOrder" sheetId="5" r:id="rId7"/>
    <sheet state="visible" name="MultiTradingTicketFromBlotter" sheetId="6" r:id="rId8"/>
    <sheet state="visible" name="SelectTradeUsingMTT" sheetId="7" r:id="rId9"/>
    <sheet state="visible" name="EditTradeUsingMTT" sheetId="8" r:id="rId10"/>
    <sheet state="visible" name="VerifyWorkingSubs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<sst xmlns="http://schemas.openxmlformats.org/spreadsheetml/2006/main" count="462" uniqueCount="195">
  <si>
    <t>Modules Info</t>
  </si>
  <si>
    <t>Modules</t>
  </si>
  <si>
    <t>Data</t>
  </si>
  <si>
    <t>Module</t>
  </si>
  <si>
    <t>MultiTradingTicket</t>
  </si>
  <si>
    <t>Step</t>
  </si>
  <si>
    <t>DoneAwayUsingMTT</t>
  </si>
  <si>
    <t>Data Format</t>
  </si>
  <si>
    <t>Input Format</t>
  </si>
  <si>
    <t>SelectTradeUsingMTT</t>
  </si>
  <si>
    <t>GetPriceUsingMTT</t>
  </si>
  <si>
    <t>SendOrderUsingMTT</t>
  </si>
  <si>
    <t>BulkChangeTradeDoneAway</t>
  </si>
  <si>
    <t>GOOG</t>
  </si>
  <si>
    <t>Sell short</t>
  </si>
  <si>
    <t>Buy to Close</t>
  </si>
  <si>
    <t>Settings</t>
  </si>
  <si>
    <t>Module Step Setting File</t>
  </si>
  <si>
    <t>15TZcyNzdODZnAEMI7Zyq6CaL1BTvFkhtTgtMBwN7UQA</t>
  </si>
  <si>
    <t>Master Data Settings File</t>
  </si>
  <si>
    <t>1Nt_rf5DtgjbN9Ag4AMMlUkZYROxKZLH5m54YOl7tRT0</t>
  </si>
  <si>
    <t>Master Data Info</t>
  </si>
  <si>
    <t>Master Data Sheet</t>
  </si>
  <si>
    <t>TradingTicket</t>
  </si>
  <si>
    <t>CreateStageOrder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</si>
  <si>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</si>
  <si>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</si>
  <si>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</si>
  <si>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</si>
  <si>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</si>
  <si>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</si>
  <si>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CreateReplaceOrder</t>
  </si>
  <si>
    <t>SetGeneralPreference</t>
  </si>
  <si>
    <t>CreateDoneAwayOrder</t>
  </si>
  <si>
    <t>CreateNewSubOrder</t>
  </si>
  <si>
    <t>TradeBloomberg</t>
  </si>
  <si>
    <t>ClickSymbolLookup</t>
  </si>
  <si>
    <t>CheckedUncheckedMTT</t>
  </si>
  <si>
    <t>Allocation1</t>
  </si>
  <si>
    <t>MS</t>
  </si>
  <si>
    <t>Flat Amount</t>
  </si>
  <si>
    <t>HKG</t>
  </si>
  <si>
    <t>Allocation2</t>
  </si>
  <si>
    <t>Blotter</t>
  </si>
  <si>
    <t>MultiTradingTicketFromBlotter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</si>
  <si>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</si>
  <si>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</si>
  <si>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</si>
  <si>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</si>
  <si>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</si>
  <si>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ViewAllocationDetailsWorkingSubs</t>
  </si>
  <si>
    <t>ShowDetailsForAlgoTradeSubOrder</t>
  </si>
  <si>
    <t>SelectTradeOrderBlotter</t>
  </si>
  <si>
    <t>AddFillsWorkingSubs</t>
  </si>
  <si>
    <t>ShowDetailsForAlgoTradeWorkingSubs</t>
  </si>
  <si>
    <t>EditAddFillsDetails</t>
  </si>
  <si>
    <t>SelectTradeOnOrderGrid</t>
  </si>
  <si>
    <t>ViewAllocationDetailsWorkingSub</t>
  </si>
  <si>
    <t>VerifyWorkingSubs</t>
  </si>
  <si>
    <t>TransferToUserOrder</t>
  </si>
  <si>
    <t>SelectTradeSubOrderBlotter</t>
  </si>
  <si>
    <t>VerifyOrder</t>
  </si>
  <si>
    <t>VerifySubOrder</t>
  </si>
  <si>
    <t>RemoveSelectedOrders</t>
  </si>
  <si>
    <t>CancelAllSelectedSubs</t>
  </si>
  <si>
    <t>AuditTrailOrderBlotter</t>
  </si>
  <si>
    <t>TradeNewSubOrder</t>
  </si>
  <si>
    <t>RemoveStageOrder</t>
  </si>
  <si>
    <t>TransferToUserSubOrder</t>
  </si>
  <si>
    <t>AddFillsSubOrder</t>
  </si>
  <si>
    <t>DetailsForAlgoTradeOrder</t>
  </si>
  <si>
    <t>ViewAllocationDetailsSubOrder</t>
  </si>
  <si>
    <t>CancelAllSubs</t>
  </si>
  <si>
    <t>CancelSubOrder</t>
  </si>
  <si>
    <t>EditStageOrder</t>
  </si>
  <si>
    <t>ReplaceSubOrder</t>
  </si>
  <si>
    <t>SelectTradeWorkingSub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</si>
  <si>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</si>
  <si>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</si>
  <si>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</si>
  <si>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</si>
  <si>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</si>
  <si>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</si>
  <si>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</si>
  <si>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EditTradeUsingMTT</t>
  </si>
  <si>
    <t>Allocation</t>
  </si>
  <si>
    <t>GetDataAllocation</t>
  </si>
  <si>
    <t>Unallocate</t>
  </si>
  <si>
    <t>SelectTradeAllocation</t>
  </si>
  <si>
    <t>EditTradesAllocated</t>
  </si>
  <si>
    <t>EditTradesUnallocated</t>
  </si>
  <si>
    <t>Reallocate</t>
  </si>
  <si>
    <t>CleanUp</t>
  </si>
  <si>
    <t>EditTrades</t>
  </si>
  <si>
    <t>TradeAttributeBulkChange</t>
  </si>
  <si>
    <t>CommissionBulkChange</t>
  </si>
  <si>
    <t>GeneralPreferencesDefaultRule</t>
  </si>
  <si>
    <t>AttributeRenaming</t>
  </si>
  <si>
    <t>AutoGroupingRules</t>
  </si>
  <si>
    <t>MasterFundRatioAllocation</t>
  </si>
  <si>
    <t>CheckFixedPreferenceScheme</t>
  </si>
  <si>
    <t>GetFixedScheme</t>
  </si>
  <si>
    <t>AddCalculatedPreferences</t>
  </si>
  <si>
    <t>BulkChangeCalculatedPreferences</t>
  </si>
  <si>
    <t>DeleteCalculatedPreferences</t>
  </si>
  <si>
    <t>RenameCalculatedPreferences</t>
  </si>
  <si>
    <t>CopyCalculatedPreferences</t>
  </si>
  <si>
    <t>RunAutoGroup</t>
  </si>
  <si>
    <t>SwapControl</t>
  </si>
  <si>
    <t>RunProrata</t>
  </si>
  <si>
    <t>SetDefaultRuleForCalculatedPreference</t>
  </si>
  <si>
    <t>RenameTradeAttributes</t>
  </si>
  <si>
    <t>SetAccountValueCalculatedPref</t>
  </si>
  <si>
    <t>TradeAttributeBulkChangeGroup</t>
  </si>
  <si>
    <t>TradeAttributeBulkChangeTaxlots</t>
  </si>
  <si>
    <t>TradeAttributeBulkChangeGroups</t>
  </si>
  <si>
    <t>SetMasterFundRatio</t>
  </si>
  <si>
    <t>AddCalculatedPreferenceToolbar</t>
  </si>
  <si>
    <t>SetGroupingRules</t>
  </si>
  <si>
    <t>ApplyBulkUpdateOnGroups</t>
  </si>
  <si>
    <t>SetStrategyValueCalculatedPref</t>
  </si>
  <si>
    <t>ApplyBulkUpdateOnTaxlots</t>
  </si>
  <si>
    <t>SetDefaultRuleCalculatedPref</t>
  </si>
  <si>
    <t>CommissionBulkChangeOnGroups</t>
  </si>
  <si>
    <t>CommissionBulkChangeOnTaxlots</t>
  </si>
  <si>
    <t>BookOrUpdateSwap</t>
  </si>
  <si>
    <t>SelectUnallocatedGroup</t>
  </si>
  <si>
    <t>SelectAllocatedGroup</t>
  </si>
  <si>
    <t>EnterAccountValuesToAllocate</t>
  </si>
  <si>
    <t>ApplyPrefetchFilters</t>
  </si>
  <si>
    <t>EnterAllocatePerference</t>
  </si>
  <si>
    <t>EnterStrategyValuesToAllocate</t>
  </si>
  <si>
    <t>SetGeneralRuleCalculatedPref</t>
  </si>
  <si>
    <t>CopyCalculatedPreferenceToolbar</t>
  </si>
  <si>
    <t>EnterAllocatePreference</t>
  </si>
  <si>
    <t>ExportAllCalculatedPreferences</t>
  </si>
  <si>
    <t>SaveCalculatedPreferences</t>
  </si>
  <si>
    <t>CloseCalculatedPreferences</t>
  </si>
  <si>
    <t>ExportCalculatedPreference</t>
  </si>
  <si>
    <t>EditUnallocatedGroupSidePanel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</si>
  <si>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</si>
  <si>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</si>
  <si>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</si>
  <si>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</si>
  <si>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</si>
  <si>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CheckFixedPreference</t>
  </si>
  <si>
    <t>DeleteFixedPreference</t>
  </si>
  <si>
    <t>OpenSymbolLookupUnallocateGroup</t>
  </si>
  <si>
    <t>OpenSymbolLookupAllocatedGroup</t>
  </si>
  <si>
    <t>GetFixedPreference</t>
  </si>
  <si>
    <t>CheckAllocatedGroups</t>
  </si>
  <si>
    <t>CheckUnallocatedGroups</t>
  </si>
  <si>
    <t>SetGeneralPreferences</t>
  </si>
  <si>
    <t>EditAllocatedGroupSidePanel</t>
  </si>
  <si>
    <t>OpenAuditTrailAllocatedGroup</t>
  </si>
  <si>
    <t>GroupTrades</t>
  </si>
  <si>
    <t>UngroupTrades</t>
  </si>
  <si>
    <t>DeleteGroup</t>
  </si>
  <si>
    <t>CloseOrder</t>
  </si>
  <si>
    <t>CloseAllocation</t>
  </si>
  <si>
    <t>GeneralPrefCompanyUserWise</t>
  </si>
  <si>
    <t>SetGeneralRuleCalPreference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</si>
  <si>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</si>
  <si>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</si>
  <si>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</si>
  <si>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</si>
  <si>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</si>
  <si>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</si>
  <si>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</si>
  <si>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</si>
  <si>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</si>
  <si>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</si>
  <si>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</si>
  <si>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</si>
  <si>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ModifyMFPrefGeneralRuleValues</t>
  </si>
  <si>
    <t>SetMFPrefStrategyValues</t>
  </si>
  <si>
    <t>SetMFPrefFundDistribution</t>
  </si>
  <si>
    <t>SetMFPreferencesDefaultRule</t>
  </si>
  <si>
    <t>SetMFPrefGeneralRule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</si>
  <si>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</si>
  <si>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</si>
  <si>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</si>
  <si>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</si>
  <si>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</si>
  <si>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Current</t>
  </si>
  <si>
    <t>PortfolioManagement</t>
  </si>
  <si>
    <t>CheckPortfolioManagement</t>
  </si>
  <si>
    <t>OpenPSTFromPM</t>
  </si>
  <si>
    <t>ClosePM</t>
  </si>
  <si>
    <t>FilterPM</t>
  </si>
  <si>
    <t>GroupRowPM</t>
  </si>
  <si>
    <t>CheckDashboardWithPM</t>
  </si>
  <si>
    <t>RemoveFilterPM</t>
  </si>
  <si>
    <t>CheckSummaryRowsPM</t>
  </si>
  <si>
    <t>OpenPTTFromPM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</si>
</sst>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0.0"/>
      <name val="Arial"/>
    </font>
    <font>
      <b/>
      <sz val="10.0"/>
      <color rgb="FFFFFFFF"/>
      <name val="Calibri"/>
    </font>
    <font>
      <sz val="10.0"/>
      <name val="Calibri"/>
    </font>
    <font>
      <sz val="11.0"/>
      <color rgb="FFFFFFFF"/>
      <name val="Inconsolata"/>
    </font>
    <font>
      <sz val="10.0"/>
      <color rgb="FFFFFFFF"/>
      <name val="Calibri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4.0"/>
      <color rgb="FFFFFFFF"/>
      <name val="Calibri"/>
    </font>
    <font>
      <b/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4" fillId="4" fontId="6" numFmtId="0" xfId="0" applyBorder="1" applyFill="1" applyFont="1"/>
    <xf borderId="0" fillId="0" fontId="7" numFmtId="0" xfId="0" applyFont="1"/>
    <xf borderId="4" fillId="3" fontId="7" numFmtId="0" xfId="0" applyBorder="1" applyFont="1"/>
    <xf borderId="4" fillId="3" fontId="8" numFmtId="0" xfId="0" applyBorder="1" applyFont="1"/>
    <xf borderId="4" fillId="5" fontId="9" numFmtId="0" xfId="0" applyBorder="1" applyFill="1" applyFont="1"/>
    <xf borderId="4" fillId="5" fontId="10" numFmtId="0" xfId="0" applyBorder="1" applyFont="1"/>
    <xf borderId="4" fillId="6" fontId="4" numFmtId="0" xfId="0" applyBorder="1" applyFill="1" applyFont="1"/>
    <xf borderId="4" fillId="6" fontId="8" numFmtId="0" xfId="0" applyBorder="1" applyFont="1"/>
    <xf borderId="1" fillId="2" fontId="11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4" fillId="3" fontId="5" numFmtId="0" xfId="0" applyBorder="1" applyFont="1"/>
    <xf borderId="4" fillId="3" fontId="12" numFmtId="0" xfId="0" applyBorder="1" applyFont="1"/>
    <xf borderId="4" fillId="3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13" width="14.43"/>
    <col customWidth="1" min="14" max="26" width="17.29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8"/>
      <c r="B1" s="1" t="s">
        <v>2</v>
      </c>
      <c r="C1" s="2"/>
      <c r="D1" s="2"/>
      <c r="E1" s="2"/>
      <c r="F1" s="2"/>
      <c r="G1" s="2"/>
      <c r="H1" s="3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0" t="str">
        <f>VLOOKUP($E$3,'_MasterData'!B4:D1000,3,FALSE)</f>
        <v>#N/A</v>
      </c>
      <c r="K2" s="11"/>
      <c r="L2" s="7"/>
      <c r="M2" s="7"/>
      <c r="N2" s="7"/>
      <c r="O2" s="7"/>
    </row>
    <row r="3" ht="15.75" customHeight="1">
      <c r="A3" s="5"/>
      <c r="B3" s="5" t="s">
        <v>3</v>
      </c>
      <c r="C3" s="12" t="s">
        <v>4</v>
      </c>
      <c r="D3" s="5" t="s">
        <v>5</v>
      </c>
      <c r="E3" s="12" t="s">
        <v>6</v>
      </c>
      <c r="F3" s="5" t="s">
        <v>7</v>
      </c>
      <c r="G3" s="12" t="s">
        <v>8</v>
      </c>
      <c r="H3" s="5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 ht="15.75" customHeight="1">
      <c r="A4" s="14"/>
      <c r="B4" s="14" t="str">
        <f>IFERROR(__xludf.DUMMYFUNCTION("IF(C3="""","""",Transpose(IMPORTRANGE('_Settings'!$B$3,C3&amp;""!A4:A1000"")))"),"#REF!")</f>
        <v>#REF!</v>
      </c>
      <c r="C4" s="14" t="s">
        <v>9</v>
      </c>
      <c r="D4" s="14" t="s">
        <v>10</v>
      </c>
      <c r="E4" s="14" t="s">
        <v>6</v>
      </c>
      <c r="F4" s="14" t="s">
        <v>11</v>
      </c>
      <c r="G4" s="14" t="s">
        <v>12</v>
      </c>
      <c r="H4" s="14"/>
      <c r="I4" s="14"/>
      <c r="J4" s="14"/>
      <c r="K4" s="14"/>
      <c r="L4" s="14"/>
      <c r="M4" s="14"/>
      <c r="N4" s="14"/>
      <c r="O4" s="14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IFERROR(__xludf.DUMMYFUNCTION("""COMPUTED_VALUE"""),"Symbol")</f>
        <v>Symbol</v>
      </c>
      <c r="C5" s="16" t="str">
        <f>IFERROR(__xludf.DUMMYFUNCTION("""COMPUTED_VALUE"""),"Order Side")</f>
        <v>Order Side</v>
      </c>
      <c r="D5" s="16" t="str">
        <f>IFERROR(__xludf.DUMMYFUNCTION("""COMPUTED_VALUE"""),"Quantity")</f>
        <v>Quantity</v>
      </c>
      <c r="E5" s="16" t="str">
        <f>IFERROR(__xludf.DUMMYFUNCTION("""COMPUTED_VALUE"""),"Target Quantity")</f>
        <v>Target Quantity</v>
      </c>
      <c r="F5" s="16" t="str">
        <f>IFERROR(__xludf.DUMMYFUNCTION("""COMPUTED_VALUE"""),"Allocation")</f>
        <v>Allocation</v>
      </c>
      <c r="G5" s="16" t="str">
        <f>IFERROR(__xludf.DUMMYFUNCTION("""COMPUTED_VALUE"""),"Broker")</f>
        <v>Broker</v>
      </c>
      <c r="H5" s="16" t="str">
        <f>IFERROR(__xludf.DUMMYFUNCTION("""COMPUTED_VALUE"""),"TIF")</f>
        <v>TIF</v>
      </c>
      <c r="I5" s="16" t="str">
        <f>IFERROR(__xludf.DUMMYFUNCTION("""COMPUTED_VALUE"""),"Order Type")</f>
        <v>Order Type</v>
      </c>
      <c r="J5" s="16" t="str">
        <f>IFERROR(__xludf.DUMMYFUNCTION("""COMPUTED_VALUE"""),"Price")</f>
        <v>Price</v>
      </c>
      <c r="K5" s="16" t="str">
        <f>IFERROR(__xludf.DUMMYFUNCTION("""COMPUTED_VALUE"""),"Stop")</f>
        <v>Stop</v>
      </c>
      <c r="L5" s="16" t="str">
        <f>IFERROR(__xludf.DUMMYFUNCTION("""COMPUTED_VALUE"""),"Limit")</f>
        <v>Limit</v>
      </c>
      <c r="M5" s="16" t="str">
        <f>IFERROR(__xludf.DUMMYFUNCTION("""COMPUTED_VALUE"""),"Strategy")</f>
        <v>Strategy</v>
      </c>
      <c r="N5" s="16" t="str">
        <f>IFERROR(__xludf.DUMMYFUNCTION("""COMPUTED_VALUE"""),"Trade Date")</f>
        <v>Trade Date</v>
      </c>
      <c r="O5" s="16" t="str">
        <f>IFERROR(__xludf.DUMMYFUNCTION("""COMPUTED_VALUE"""),"FX Rate")</f>
        <v>FX Rate</v>
      </c>
      <c r="P5" s="16" t="str">
        <f>IFERROR(__xludf.DUMMYFUNCTION("""COMPUTED_VALUE"""),"Notes")</f>
        <v>Notes</v>
      </c>
      <c r="Q5" s="16" t="str">
        <f>IFERROR(__xludf.DUMMYFUNCTION("""COMPUTED_VALUE"""),"Broker Notes")</f>
        <v>Broker Notes</v>
      </c>
      <c r="R5" s="16" t="str">
        <f>IFERROR(__xludf.DUMMYFUNCTION("""COMPUTED_VALUE"""),"Commission Basis")</f>
        <v>Commission Basis</v>
      </c>
      <c r="S5" s="16" t="str">
        <f>IFERROR(__xludf.DUMMYFUNCTION("""COMPUTED_VALUE"""),"Commission Rate")</f>
        <v>Commission Rate</v>
      </c>
      <c r="T5" s="17" t="str">
        <f>IFERROR(__xludf.DUMMYFUNCTION("""COMPUTED_VALUE"""),"Soft Basis")</f>
        <v>Soft Basis</v>
      </c>
      <c r="U5" s="17" t="str">
        <f>IFERROR(__xludf.DUMMYFUNCTION("""COMPUTED_VALUE"""),"Soft Rate")</f>
        <v>Soft Rate</v>
      </c>
      <c r="V5" s="17" t="str">
        <f>IFERROR(__xludf.DUMMYFUNCTION("""COMPUTED_VALUE"""),"Trade Attribute 1")</f>
        <v>Trade Attribute 1</v>
      </c>
      <c r="W5" s="17" t="str">
        <f>IFERROR(__xludf.DUMMYFUNCTION("""COMPUTED_VALUE"""),"Trade Attribute 2")</f>
        <v>Trade Attribute 2</v>
      </c>
      <c r="X5" s="17" t="str">
        <f>IFERROR(__xludf.DUMMYFUNCTION("""COMPUTED_VALUE"""),"Trade Attribute 3")</f>
        <v>Trade Attribute 3</v>
      </c>
      <c r="Y5" s="17" t="str">
        <f>IFERROR(__xludf.DUMMYFUNCTION("""COMPUTED_VALUE"""),"Trade Attribute 4")</f>
        <v>Trade Attribute 4</v>
      </c>
      <c r="Z5" s="17" t="str">
        <f>IFERROR(__xludf.DUMMYFUNCTION("""COMPUTED_VALUE"""),"Trade Attribute 5")</f>
        <v>Trade Attribute 5</v>
      </c>
      <c r="AA5" s="17" t="str">
        <f>IFERROR(__xludf.DUMMYFUNCTION("""COMPUTED_VALUE"""),"Trade Attribute 6")</f>
        <v>Trade Attribute 6</v>
      </c>
      <c r="AB5" s="17" t="str">
        <f>IFERROR(__xludf.DUMMYFUNCTION("""COMPUTED_VALUE"""),"Venue")</f>
        <v>Venue</v>
      </c>
      <c r="AC5" s="17" t="str">
        <f>IFERROR(__xludf.DUMMYFUNCTION("""COMPUTED_VALUE"""),"Execution Instructions")</f>
        <v>Execution Instructions</v>
      </c>
      <c r="AD5" s="17" t="str">
        <f>IFERROR(__xludf.DUMMYFUNCTION("""COMPUTED_VALUE"""),"Handling Instructions")</f>
        <v>Handling Instructions</v>
      </c>
      <c r="AE5" s="17" t="str">
        <f>IFERROR(__xludf.DUMMYFUNCTION("""COMPUTED_VALUE"""),"Trader")</f>
        <v>Trader</v>
      </c>
      <c r="AF5" s="17" t="str">
        <f>IFERROR(__xludf.DUMMYFUNCTION("""COMPUTED_VALUE"""),"Settlement Currency")</f>
        <v>Settlement Currency</v>
      </c>
      <c r="AG5" s="17" t="str">
        <f>IFERROR(__xludf.DUMMYFUNCTION("""COMPUTED_VALUE"""),"Settlement Fx Rate")</f>
        <v>Settlement Fx Rate</v>
      </c>
      <c r="AH5" s="17" t="str">
        <f>IFERROR(__xludf.DUMMYFUNCTION("""COMPUTED_VALUE"""),"Settlement Amount")</f>
        <v>Settlement Amount</v>
      </c>
      <c r="AI5" s="17" t="str">
        <f>IFERROR(__xludf.DUMMYFUNCTION("""COMPUTED_VALUE"""),"Settlement Fx Operator")</f>
        <v>Settlement Fx Operator</v>
      </c>
      <c r="AJ5" s="17" t="str">
        <f>IFERROR(__xludf.DUMMYFUNCTION("""COMPUTED_VALUE"""),"ImportFileName")</f>
        <v>ImportFileName</v>
      </c>
      <c r="AK5" s="17" t="str">
        <f>IFERROR(__xludf.DUMMYFUNCTION("""COMPUTED_VALUE"""),"")</f>
        <v/>
      </c>
      <c r="AL5" s="17" t="str">
        <f>IFERROR(__xludf.DUMMYFUNCTION("""COMPUTED_VALUE"""),"")</f>
        <v/>
      </c>
      <c r="AM5" s="17" t="str">
        <f>IFERROR(__xludf.DUMMYFUNCTION("""COMPUTED_VALUE"""),"")</f>
        <v/>
      </c>
      <c r="AN5" s="17" t="str">
        <f>IFERROR(__xludf.DUMMYFUNCTION("""COMPUTED_VALUE"""),"")</f>
        <v/>
      </c>
      <c r="AO5" s="17" t="str">
        <f>IFERROR(__xludf.DUMMYFUNCTION("""COMPUTED_VALUE"""),"")</f>
        <v/>
      </c>
      <c r="AP5" s="17" t="str">
        <f>IFERROR(__xludf.DUMMYFUNCTION("""COMPUTED_VALUE"""),"")</f>
        <v/>
      </c>
      <c r="AQ5" s="17" t="str">
        <f>IFERROR(__xludf.DUMMYFUNCTION("""COMPUTED_VALUE"""),"")</f>
        <v/>
      </c>
      <c r="AR5" s="17" t="str">
        <f>IFERROR(__xludf.DUMMYFUNCTION("""COMPUTED_VALUE"""),"")</f>
        <v/>
      </c>
      <c r="AS5" s="17" t="str">
        <f>IFERROR(__xludf.DUMMYFUNCTION("""COMPUTED_VALUE"""),"")</f>
        <v/>
      </c>
      <c r="AT5" s="17" t="str">
        <f>IFERROR(__xludf.DUMMYFUNCTION("""COMPUTED_VALUE"""),"")</f>
        <v/>
      </c>
    </row>
    <row r="6" ht="15.75" customHeight="1">
      <c r="A6" s="7"/>
      <c r="B6" s="4" t="s">
        <v>13</v>
      </c>
      <c r="C6" s="4" t="s">
        <v>14</v>
      </c>
    </row>
    <row r="7" ht="15.75" customHeight="1">
      <c r="A7" s="7"/>
      <c r="B7" s="7" t="s">
        <v>13</v>
      </c>
      <c r="C7" s="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ErrorMessage="1" sqref="E3">
      <formula1>DoneAwayUsingMTT!$4:$4</formula1>
    </dataValidation>
    <dataValidation type="list" allowBlank="1" showErrorMessage="1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44.43"/>
    <col customWidth="1" min="3" max="12" width="14.43"/>
    <col customWidth="1" min="13" max="26" width="17.29"/>
  </cols>
  <sheetData>
    <row r="1" ht="15.75" customHeight="1">
      <c r="A1" s="18" t="s">
        <v>16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17</v>
      </c>
      <c r="B3" s="19" t="s">
        <v>18</v>
      </c>
      <c r="C3" s="7"/>
    </row>
    <row r="4" ht="15.75" customHeight="1">
      <c r="A4" s="5" t="s">
        <v>19</v>
      </c>
      <c r="B4" s="19" t="s">
        <v>20</v>
      </c>
      <c r="C4" s="7"/>
    </row>
    <row r="5" ht="15.75" customHeight="1">
      <c r="A5" s="20"/>
      <c r="B5" s="7"/>
      <c r="C5" s="7"/>
    </row>
    <row r="6" ht="15.75" customHeight="1">
      <c r="A6" s="20"/>
      <c r="B6" s="7"/>
      <c r="C6" s="7"/>
    </row>
    <row r="7" ht="15.75" customHeight="1">
      <c r="A7" s="20"/>
      <c r="B7" s="7"/>
      <c r="C7" s="7"/>
    </row>
    <row r="8" ht="15.75" customHeight="1">
      <c r="A8" s="20"/>
      <c r="B8" s="7"/>
      <c r="C8" s="7"/>
    </row>
    <row r="9" ht="15.75" customHeight="1">
      <c r="A9" s="20"/>
      <c r="B9" s="7"/>
      <c r="C9" s="7"/>
    </row>
    <row r="10" ht="15.75" customHeight="1">
      <c r="A10" s="20"/>
      <c r="B10" s="7"/>
      <c r="C10" s="7"/>
    </row>
    <row r="11" ht="15.75" customHeight="1">
      <c r="A11" s="20"/>
      <c r="B11" s="7"/>
      <c r="C11" s="7"/>
    </row>
    <row r="12" ht="15.75" customHeight="1">
      <c r="A12" s="20"/>
      <c r="B12" s="7"/>
      <c r="C12" s="7"/>
    </row>
    <row r="13" ht="15.75" customHeight="1">
      <c r="A13" s="20"/>
      <c r="B13" s="7"/>
      <c r="C13" s="7"/>
    </row>
    <row r="14" ht="15.75" customHeight="1">
      <c r="A14" s="20"/>
      <c r="B14" s="7"/>
      <c r="C14" s="7"/>
    </row>
    <row r="15" ht="15.75" customHeight="1">
      <c r="A15" s="20"/>
      <c r="B15" s="7"/>
      <c r="C15" s="7"/>
    </row>
    <row r="16" ht="15.75" customHeight="1">
      <c r="A16" s="20"/>
      <c r="B16" s="7"/>
      <c r="C16" s="7"/>
    </row>
    <row r="17" ht="15.75" customHeight="1">
      <c r="A17" s="20"/>
      <c r="B17" s="7"/>
      <c r="C17" s="7"/>
    </row>
    <row r="18" ht="15.75" customHeight="1">
      <c r="A18" s="20"/>
      <c r="B18" s="7"/>
      <c r="C18" s="7"/>
    </row>
    <row r="19" ht="15.75" customHeight="1">
      <c r="A19" s="20"/>
      <c r="B19" s="7"/>
      <c r="C19" s="7"/>
    </row>
    <row r="20" ht="15.75" customHeight="1">
      <c r="A20" s="20"/>
      <c r="B20" s="7"/>
      <c r="C20" s="7"/>
    </row>
    <row r="21" ht="15.75" customHeight="1">
      <c r="A21" s="20"/>
      <c r="B21" s="7"/>
      <c r="C21" s="7"/>
    </row>
    <row r="22" ht="15.75" customHeight="1">
      <c r="A22" s="20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6" width="17.29"/>
  </cols>
  <sheetData>
    <row r="1">
      <c r="A1" s="1" t="s">
        <v>21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3</v>
      </c>
      <c r="B3" s="21" t="s">
        <v>5</v>
      </c>
      <c r="C3" s="21" t="s">
        <v>22</v>
      </c>
      <c r="D3" s="6"/>
      <c r="E3" s="6"/>
      <c r="F3" s="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 ht="15.75" customHeight="1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 ht="15.75" customHeight="1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 ht="15.75" customHeight="1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 ht="15.75" customHeight="1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 ht="15.75" customHeight="1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 ht="15.75" customHeight="1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 ht="15.75" customHeight="1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 ht="15.75" customHeight="1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 ht="15.75" customHeight="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 ht="15.75" customHeight="1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 ht="15.75" customHeight="1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 ht="15.75" customHeight="1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 ht="15.75" customHeight="1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 ht="15.75" customHeight="1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 ht="15.75" customHeight="1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 ht="15.75" customHeight="1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 ht="15.75" customHeight="1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 ht="15.75" customHeight="1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 ht="15.75" customHeight="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 ht="15.75" customHeight="1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 ht="15.75" customHeight="1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 ht="15.75" customHeight="1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 ht="15.75" customHeight="1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 ht="15.75" customHeight="1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 ht="15.75" customHeight="1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 ht="15.75" customHeight="1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 ht="15.75" customHeight="1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 ht="15.75" customHeight="1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 ht="15.75" customHeight="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 ht="15.75" customHeight="1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 ht="15.75" customHeight="1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 ht="15.75" customHeight="1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 ht="15.75" customHeight="1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 ht="15.75" customHeight="1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 ht="15.75" customHeight="1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 ht="15.75" customHeight="1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 ht="15.75" customHeight="1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 ht="15.75" customHeight="1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 ht="15.75" customHeight="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 ht="15.75" customHeight="1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 ht="15.75" customHeight="1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 ht="15.75" customHeight="1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 ht="15.75" customHeight="1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 ht="15.75" customHeight="1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 ht="15.75" customHeight="1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 ht="15.75" customHeight="1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 ht="15.75" customHeight="1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 ht="15.75" customHeight="1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 ht="15.75" customHeight="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 ht="15.75" customHeight="1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 ht="15.75" customHeight="1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 ht="15.75" customHeight="1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 ht="15.75" customHeight="1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 ht="15.75" customHeight="1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 ht="15.75" customHeight="1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 ht="15.75" customHeight="1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 ht="15.75" customHeight="1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 ht="15.75" customHeight="1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 ht="15.75" customHeight="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 ht="15.75" customHeight="1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 ht="15.75" customHeight="1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 ht="15.75" customHeight="1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 ht="15.75" customHeight="1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 ht="15.75" customHeight="1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 ht="15.75" customHeight="1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 ht="15.75" customHeight="1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 ht="15.75" customHeight="1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 ht="15.75" customHeight="1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 ht="15.75" customHeight="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 ht="15.75" customHeight="1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 ht="15.75" customHeight="1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 ht="15.75" customHeight="1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 ht="15.75" customHeight="1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 ht="15.75" customHeight="1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 ht="15.75" customHeight="1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 ht="15.75" customHeight="1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 ht="15.75" customHeight="1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 ht="15.75" customHeight="1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8"/>
      <c r="B1" s="1" t="s">
        <v>2</v>
      </c>
      <c r="C1" s="2"/>
      <c r="D1" s="2"/>
      <c r="E1" s="2"/>
      <c r="F1" s="2"/>
      <c r="G1" s="2"/>
      <c r="H1" s="3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0" t="str">
        <f>VLOOKUP($E$3,'_MasterData'!B4:D1000,3,FALSE)</f>
        <v>#N/A</v>
      </c>
      <c r="K2" s="11"/>
      <c r="L2" s="7"/>
      <c r="M2" s="7"/>
      <c r="N2" s="7"/>
      <c r="O2" s="7"/>
    </row>
    <row r="3" ht="15.75" customHeight="1">
      <c r="A3" s="5"/>
      <c r="B3" s="5" t="s">
        <v>3</v>
      </c>
      <c r="C3" s="12" t="s">
        <v>23</v>
      </c>
      <c r="D3" s="5" t="s">
        <v>5</v>
      </c>
      <c r="E3" s="12" t="s">
        <v>24</v>
      </c>
      <c r="F3" s="5" t="s">
        <v>7</v>
      </c>
      <c r="G3" s="12" t="s">
        <v>8</v>
      </c>
      <c r="H3" s="5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ht="15.75" customHeight="1">
      <c r="A4" s="14"/>
      <c r="B4" s="14" t="str">
        <f>IFERROR(__xludf.DUMMYFUNCTION("IF(C3="""","""",Transpose(IMPORTRANGE('_Settings'!$B$3,C3&amp;""!A4:A1000"")))"),"#REF!")</f>
        <v>#REF!</v>
      </c>
      <c r="C4" s="14" t="s">
        <v>25</v>
      </c>
      <c r="D4" s="14" t="s">
        <v>26</v>
      </c>
      <c r="E4" s="14" t="s">
        <v>27</v>
      </c>
      <c r="F4" s="14" t="s">
        <v>28</v>
      </c>
      <c r="G4" s="14" t="s">
        <v>29</v>
      </c>
      <c r="H4" s="14" t="s">
        <v>30</v>
      </c>
      <c r="I4" s="14" t="s">
        <v>24</v>
      </c>
      <c r="J4" s="14" t="s">
        <v>31</v>
      </c>
      <c r="K4" s="14" t="s">
        <v>31</v>
      </c>
      <c r="L4" s="14" t="s">
        <v>32</v>
      </c>
      <c r="M4" s="14" t="s">
        <v>33</v>
      </c>
      <c r="N4" s="14" t="s">
        <v>34</v>
      </c>
      <c r="O4" s="14" t="s">
        <v>35</v>
      </c>
      <c r="P4" s="15" t="s">
        <v>36</v>
      </c>
      <c r="Q4" s="15" t="s">
        <v>37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IFERROR(__xludf.DUMMYFUNCTION("""COMPUTED_VALUE"""),"Symbol")</f>
        <v>Symbol</v>
      </c>
      <c r="C5" s="16" t="str">
        <f>IFERROR(__xludf.DUMMYFUNCTION("""COMPUTED_VALUE"""),"Order Side")</f>
        <v>Order Side</v>
      </c>
      <c r="D5" s="16" t="str">
        <f>IFERROR(__xludf.DUMMYFUNCTION("""COMPUTED_VALUE"""),"Quantity")</f>
        <v>Quantity</v>
      </c>
      <c r="E5" s="16" t="str">
        <f>IFERROR(__xludf.DUMMYFUNCTION("""COMPUTED_VALUE"""),"TargetQuantityIn")</f>
        <v>TargetQuantityIn</v>
      </c>
      <c r="F5" s="16" t="str">
        <f>IFERROR(__xludf.DUMMYFUNCTION("""COMPUTED_VALUE"""),"AllocationMethod")</f>
        <v>AllocationMethod</v>
      </c>
      <c r="G5" s="16" t="str">
        <f>IFERROR(__xludf.DUMMYFUNCTION("""COMPUTED_VALUE"""),"Broker")</f>
        <v>Broker</v>
      </c>
      <c r="H5" s="16" t="str">
        <f>IFERROR(__xludf.DUMMYFUNCTION("""COMPUTED_VALUE"""),"TIF")</f>
        <v>TIF</v>
      </c>
      <c r="I5" s="16" t="str">
        <f>IFERROR(__xludf.DUMMYFUNCTION("""COMPUTED_VALUE"""),"Order Type")</f>
        <v>Order Type</v>
      </c>
      <c r="J5" s="16" t="str">
        <f>IFERROR(__xludf.DUMMYFUNCTION("""COMPUTED_VALUE"""),"Price")</f>
        <v>Price</v>
      </c>
      <c r="K5" s="16" t="str">
        <f>IFERROR(__xludf.DUMMYFUNCTION("""COMPUTED_VALUE"""),"Stop")</f>
        <v>Stop</v>
      </c>
      <c r="L5" s="16" t="str">
        <f>IFERROR(__xludf.DUMMYFUNCTION("""COMPUTED_VALUE"""),"Limit")</f>
        <v>Limit</v>
      </c>
      <c r="M5" s="16" t="str">
        <f>IFERROR(__xludf.DUMMYFUNCTION("""COMPUTED_VALUE"""),"Strategy")</f>
        <v>Strategy</v>
      </c>
      <c r="N5" s="16" t="str">
        <f>IFERROR(__xludf.DUMMYFUNCTION("""COMPUTED_VALUE"""),"Trade Date")</f>
        <v>Trade Date</v>
      </c>
      <c r="O5" s="16" t="str">
        <f>IFERROR(__xludf.DUMMYFUNCTION("""COMPUTED_VALUE"""),"FxRate")</f>
        <v>FxRate</v>
      </c>
      <c r="P5" s="16" t="str">
        <f>IFERROR(__xludf.DUMMYFUNCTION("""COMPUTED_VALUE"""),"Notes")</f>
        <v>Notes</v>
      </c>
      <c r="Q5" s="16" t="str">
        <f>IFERROR(__xludf.DUMMYFUNCTION("""COMPUTED_VALUE"""),"Broker Notes")</f>
        <v>Broker Notes</v>
      </c>
      <c r="R5" s="16" t="str">
        <f>IFERROR(__xludf.DUMMYFUNCTION("""COMPUTED_VALUE"""),"CommissionBasis")</f>
        <v>CommissionBasis</v>
      </c>
      <c r="S5" s="16" t="str">
        <f>IFERROR(__xludf.DUMMYFUNCTION("""COMPUTED_VALUE"""),"CommissionRate")</f>
        <v>CommissionRate</v>
      </c>
      <c r="T5" s="17" t="str">
        <f>IFERROR(__xludf.DUMMYFUNCTION("""COMPUTED_VALUE"""),"SoftBasis")</f>
        <v>SoftBasis</v>
      </c>
      <c r="U5" s="17" t="str">
        <f>IFERROR(__xludf.DUMMYFUNCTION("""COMPUTED_VALUE"""),"SoftRate")</f>
        <v>SoftRate</v>
      </c>
      <c r="V5" s="17" t="str">
        <f>IFERROR(__xludf.DUMMYFUNCTION("""COMPUTED_VALUE"""),"TradeAttribute1")</f>
        <v>TradeAttribute1</v>
      </c>
      <c r="W5" s="17" t="str">
        <f>IFERROR(__xludf.DUMMYFUNCTION("""COMPUTED_VALUE"""),"TradeAttribute2")</f>
        <v>TradeAttribute2</v>
      </c>
      <c r="X5" s="17" t="str">
        <f>IFERROR(__xludf.DUMMYFUNCTION("""COMPUTED_VALUE"""),"TradeAttribute3")</f>
        <v>TradeAttribute3</v>
      </c>
      <c r="Y5" s="17" t="str">
        <f>IFERROR(__xludf.DUMMYFUNCTION("""COMPUTED_VALUE"""),"TradeAttribute4")</f>
        <v>TradeAttribute4</v>
      </c>
      <c r="Z5" s="17" t="str">
        <f>IFERROR(__xludf.DUMMYFUNCTION("""COMPUTED_VALUE"""),"TradeAttribute5")</f>
        <v>TradeAttribute5</v>
      </c>
      <c r="AA5" s="17" t="str">
        <f>IFERROR(__xludf.DUMMYFUNCTION("""COMPUTED_VALUE"""),"TradeAttribute6")</f>
        <v>TradeAttribute6</v>
      </c>
      <c r="AB5" s="17" t="str">
        <f>IFERROR(__xludf.DUMMYFUNCTION("""COMPUTED_VALUE"""),"Venue")</f>
        <v>Venue</v>
      </c>
      <c r="AC5" s="17" t="str">
        <f>IFERROR(__xludf.DUMMYFUNCTION("""COMPUTED_VALUE"""),"ExecutionInstructions")</f>
        <v>ExecutionInstructions</v>
      </c>
      <c r="AD5" s="17" t="str">
        <f>IFERROR(__xludf.DUMMYFUNCTION("""COMPUTED_VALUE"""),"HandlingInstructions")</f>
        <v>HandlingInstructions</v>
      </c>
      <c r="AE5" s="17" t="str">
        <f>IFERROR(__xludf.DUMMYFUNCTION("""COMPUTED_VALUE"""),"Trader")</f>
        <v>Trader</v>
      </c>
      <c r="AF5" s="17" t="str">
        <f>IFERROR(__xludf.DUMMYFUNCTION("""COMPUTED_VALUE"""),"SettlementCurrency")</f>
        <v>SettlementCurrency</v>
      </c>
      <c r="AG5" s="17" t="str">
        <f>IFERROR(__xludf.DUMMYFUNCTION("""COMPUTED_VALUE"""),"SettlementFXRate")</f>
        <v>SettlementFXRate</v>
      </c>
      <c r="AH5" s="17" t="str">
        <f>IFERROR(__xludf.DUMMYFUNCTION("""COMPUTED_VALUE"""),"SettlementAmount")</f>
        <v>SettlementAmount</v>
      </c>
      <c r="AI5" s="17" t="str">
        <f>IFERROR(__xludf.DUMMYFUNCTION("""COMPUTED_VALUE"""),"SettlementFXOperator")</f>
        <v>SettlementFXOperator</v>
      </c>
      <c r="AJ5" s="17" t="str">
        <f>IFERROR(__xludf.DUMMYFUNCTION("""COMPUTED_VALUE"""),"SettleByBroker")</f>
        <v>SettleByBroker</v>
      </c>
      <c r="AK5" s="17" t="str">
        <f>IFERROR(__xludf.DUMMYFUNCTION("""COMPUTED_VALUE"""),"Account")</f>
        <v>Account</v>
      </c>
      <c r="AL5" s="17" t="str">
        <f>IFERROR(__xludf.DUMMYFUNCTION("""COMPUTED_VALUE"""),"Account %")</f>
        <v>Account %</v>
      </c>
      <c r="AM5" s="17" t="str">
        <f>IFERROR(__xludf.DUMMYFUNCTION("""COMPUTED_VALUE"""),"Deal In")</f>
        <v>Deal In</v>
      </c>
      <c r="AN5" s="17" t="str">
        <f>IFERROR(__xludf.DUMMYFUNCTION("""COMPUTED_VALUE"""),"")</f>
        <v/>
      </c>
      <c r="AO5" s="17" t="str">
        <f>IFERROR(__xludf.DUMMYFUNCTION("""COMPUTED_VALUE"""),"")</f>
        <v/>
      </c>
      <c r="AP5" s="17" t="str">
        <f>IFERROR(__xludf.DUMMYFUNCTION("""COMPUTED_VALUE"""),"")</f>
        <v/>
      </c>
      <c r="AQ5" s="17" t="str">
        <f>IFERROR(__xludf.DUMMYFUNCTION("""COMPUTED_VALUE"""),"")</f>
        <v/>
      </c>
      <c r="AR5" s="17" t="str">
        <f>IFERROR(__xludf.DUMMYFUNCTION("""COMPUTED_VALUE"""),"")</f>
        <v/>
      </c>
      <c r="AS5" s="17" t="str">
        <f>IFERROR(__xludf.DUMMYFUNCTION("""COMPUTED_VALUE"""),"")</f>
        <v/>
      </c>
      <c r="AT5" s="17" t="str">
        <f>IFERROR(__xludf.DUMMYFUNCTION("""COMPUTED_VALUE"""),"")</f>
        <v/>
      </c>
      <c r="AU5" s="17" t="str">
        <f>IFERROR(__xludf.DUMMYFUNCTION("""COMPUTED_VALUE"""),"")</f>
        <v/>
      </c>
      <c r="AV5" s="17" t="str">
        <f>IFERROR(__xludf.DUMMYFUNCTION("""COMPUTED_VALUE"""),"")</f>
        <v/>
      </c>
      <c r="AW5" s="17" t="str">
        <f>IFERROR(__xludf.DUMMYFUNCTION("""COMPUTED_VALUE"""),"")</f>
        <v/>
      </c>
    </row>
    <row r="6" ht="15.75" customHeight="1">
      <c r="A6" s="7"/>
      <c r="B6" s="4" t="s">
        <v>13</v>
      </c>
      <c r="C6" s="4" t="s">
        <v>14</v>
      </c>
      <c r="D6" s="4">
        <v>15000.0</v>
      </c>
      <c r="E6" s="4">
        <v>15000.0</v>
      </c>
      <c r="F6" s="4" t="s">
        <v>38</v>
      </c>
      <c r="G6" s="4" t="s">
        <v>39</v>
      </c>
      <c r="R6" s="4" t="s">
        <v>40</v>
      </c>
      <c r="S6" s="4">
        <v>1500.0</v>
      </c>
      <c r="T6" s="4" t="s">
        <v>40</v>
      </c>
      <c r="U6" s="4">
        <v>400.0</v>
      </c>
      <c r="AB6" t="s">
        <v>41</v>
      </c>
      <c r="AH6" s="4">
        <v>625.0</v>
      </c>
    </row>
    <row r="7" ht="15.75" customHeight="1">
      <c r="A7" s="7"/>
      <c r="B7" s="7" t="s">
        <v>13</v>
      </c>
      <c r="C7" s="7" t="s">
        <v>15</v>
      </c>
      <c r="D7" s="7">
        <v>20000.0</v>
      </c>
      <c r="E7" s="7">
        <v>20000.0</v>
      </c>
      <c r="F7" s="7" t="s">
        <v>42</v>
      </c>
      <c r="G7" s="7" t="s">
        <v>39</v>
      </c>
      <c r="H7" s="7"/>
      <c r="I7" s="7"/>
      <c r="J7" s="7"/>
      <c r="K7" s="7"/>
      <c r="L7" s="7"/>
      <c r="M7" s="7"/>
      <c r="N7" s="7"/>
      <c r="O7" s="7"/>
      <c r="R7" s="4" t="s">
        <v>40</v>
      </c>
      <c r="S7" s="4">
        <v>2000.0</v>
      </c>
      <c r="T7" s="4" t="s">
        <v>40</v>
      </c>
      <c r="U7" s="4">
        <v>800.0</v>
      </c>
      <c r="AB7" t="s">
        <v>41</v>
      </c>
      <c r="AH7" s="4">
        <v>852.0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᪺䀀Ā֓_x0003_" sqref="C3">
      <formula1>'_Modules'!$A$4:$A$1000</formula1>
    </dataValidation>
    <dataValidation type="list" allowBlank="1" showErrorMessage="1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62" width="14.43"/>
  </cols>
  <sheetData>
    <row r="1" ht="15.75" customHeight="1">
      <c r="A1" s="8"/>
      <c r="B1" s="1" t="s">
        <v>2</v>
      </c>
      <c r="C1" s="2"/>
      <c r="D1" s="2"/>
      <c r="E1" s="2"/>
      <c r="F1" s="2"/>
      <c r="G1" s="2"/>
      <c r="H1" s="3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0" t="str">
        <f>VLOOKUP($E$3,'_MasterData'!B4:D1000,3,FALSE)</f>
        <v>#N/A</v>
      </c>
      <c r="K2" s="11"/>
      <c r="L2" s="7"/>
      <c r="M2" s="7"/>
      <c r="N2" s="7"/>
      <c r="O2" s="7"/>
    </row>
    <row r="3" ht="15.75" customHeight="1">
      <c r="A3" s="5"/>
      <c r="B3" s="5" t="s">
        <v>3</v>
      </c>
      <c r="C3" s="22" t="s">
        <v>43</v>
      </c>
      <c r="D3" s="5" t="s">
        <v>5</v>
      </c>
      <c r="E3" s="22" t="s">
        <v>44</v>
      </c>
      <c r="F3" s="5" t="s">
        <v>7</v>
      </c>
      <c r="G3" s="12" t="s">
        <v>8</v>
      </c>
      <c r="H3" s="5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ht="15.75" customHeight="1">
      <c r="A4" s="14"/>
      <c r="B4" s="14" t="str">
        <f>IFERROR(__xludf.DUMMYFUNCTION("IF(C3="""","""",Transpose(IMPORTRANGE('_Settings'!$B$3,C3&amp;""!A4:A1000"")))"),"#REF!")</f>
        <v>#REF!</v>
      </c>
      <c r="C4" s="14" t="s">
        <v>45</v>
      </c>
      <c r="D4" s="14" t="s">
        <v>46</v>
      </c>
      <c r="E4" s="14" t="s">
        <v>47</v>
      </c>
      <c r="F4" s="14" t="s">
        <v>48</v>
      </c>
      <c r="G4" s="14" t="s">
        <v>49</v>
      </c>
      <c r="H4" s="14" t="s">
        <v>50</v>
      </c>
      <c r="I4" s="14" t="s">
        <v>51</v>
      </c>
      <c r="J4" s="14" t="s">
        <v>52</v>
      </c>
      <c r="K4" s="14" t="s">
        <v>53</v>
      </c>
      <c r="L4" s="14" t="s">
        <v>54</v>
      </c>
      <c r="M4" s="14" t="s">
        <v>55</v>
      </c>
      <c r="N4" s="14" t="s">
        <v>56</v>
      </c>
      <c r="O4" s="14" t="s">
        <v>57</v>
      </c>
      <c r="P4" s="15" t="s">
        <v>58</v>
      </c>
      <c r="Q4" s="15" t="s">
        <v>59</v>
      </c>
      <c r="R4" s="15" t="s">
        <v>59</v>
      </c>
      <c r="S4" s="15" t="s">
        <v>59</v>
      </c>
      <c r="T4" s="15" t="s">
        <v>60</v>
      </c>
      <c r="U4" s="15" t="s">
        <v>61</v>
      </c>
      <c r="V4" s="15" t="s">
        <v>62</v>
      </c>
      <c r="W4" s="15" t="s">
        <v>63</v>
      </c>
      <c r="X4" s="15" t="s">
        <v>64</v>
      </c>
      <c r="Y4" s="15" t="s">
        <v>4</v>
      </c>
      <c r="Z4" s="15" t="s">
        <v>65</v>
      </c>
      <c r="AA4" s="15" t="s">
        <v>66</v>
      </c>
      <c r="AB4" s="15" t="s">
        <v>67</v>
      </c>
      <c r="AC4" s="15" t="s">
        <v>60</v>
      </c>
      <c r="AD4" s="15" t="s">
        <v>60</v>
      </c>
      <c r="AE4" s="15" t="s">
        <v>68</v>
      </c>
      <c r="AF4" s="15" t="s">
        <v>69</v>
      </c>
      <c r="AG4" s="15" t="s">
        <v>70</v>
      </c>
      <c r="AH4" s="15" t="s">
        <v>71</v>
      </c>
      <c r="AI4" s="15" t="s">
        <v>55</v>
      </c>
      <c r="AJ4" s="15" t="s">
        <v>71</v>
      </c>
      <c r="AK4" s="15" t="s">
        <v>69</v>
      </c>
      <c r="AL4" s="15" t="s">
        <v>72</v>
      </c>
      <c r="AM4" s="15" t="s">
        <v>73</v>
      </c>
      <c r="AN4" s="15" t="s">
        <v>74</v>
      </c>
      <c r="AO4" s="15" t="s">
        <v>75</v>
      </c>
      <c r="AP4" s="15" t="s">
        <v>76</v>
      </c>
      <c r="AQ4" s="15" t="s">
        <v>77</v>
      </c>
      <c r="AR4" s="15" t="s">
        <v>78</v>
      </c>
      <c r="AS4" s="15" t="s">
        <v>79</v>
      </c>
      <c r="AT4" s="15" t="s">
        <v>80</v>
      </c>
      <c r="AU4" s="15" t="s">
        <v>81</v>
      </c>
      <c r="AV4" s="15" t="s">
        <v>82</v>
      </c>
      <c r="AW4" s="15" t="s">
        <v>82</v>
      </c>
      <c r="AX4" s="15" t="s">
        <v>83</v>
      </c>
      <c r="AY4" s="15" t="s">
        <v>44</v>
      </c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IFERROR(__xludf.DUMMYFUNCTION("""COMPUTED_VALUE"""),"Transaction Time")</f>
        <v>Transaction Time</v>
      </c>
      <c r="C5" s="16" t="str">
        <f>IFERROR(__xludf.DUMMYFUNCTION("""COMPUTED_VALUE"""),"Algo")</f>
        <v>Algo</v>
      </c>
      <c r="D5" s="16" t="str">
        <f>IFERROR(__xludf.DUMMYFUNCTION("""COMPUTED_VALUE"""),"Avg Fill Price (Base)")</f>
        <v>Avg Fill Price (Base)</v>
      </c>
      <c r="E5" s="16" t="str">
        <f>IFERROR(__xludf.DUMMYFUNCTION("""COMPUTED_VALUE"""),"Bloomberg Symbol")</f>
        <v>Bloomberg Symbol</v>
      </c>
      <c r="F5" s="16" t="str">
        <f>IFERROR(__xludf.DUMMYFUNCTION("""COMPUTED_VALUE"""),"Limit Price")</f>
        <v>Limit Price</v>
      </c>
      <c r="G5" s="16" t="str">
        <f>IFERROR(__xludf.DUMMYFUNCTION("""COMPUTED_VALUE"""),"Working Qty")</f>
        <v>Working Qty</v>
      </c>
      <c r="H5" s="16" t="str">
        <f>IFERROR(__xludf.DUMMYFUNCTION("""COMPUTED_VALUE"""),"Venue")</f>
        <v>Venue</v>
      </c>
      <c r="I5" s="16" t="str">
        <f>IFERROR(__xludf.DUMMYFUNCTION("""COMPUTED_VALUE"""),"User")</f>
        <v>User</v>
      </c>
      <c r="J5" s="16" t="str">
        <f>IFERROR(__xludf.DUMMYFUNCTION("""COMPUTED_VALUE"""),"Underlying Symbol")</f>
        <v>Underlying Symbol</v>
      </c>
      <c r="K5" s="16" t="str">
        <f>IFERROR(__xludf.DUMMYFUNCTION("""COMPUTED_VALUE"""),"Underlying Country")</f>
        <v>Underlying Country</v>
      </c>
      <c r="L5" s="16" t="str">
        <f>IFERROR(__xludf.DUMMYFUNCTION("""COMPUTED_VALUE"""),"Trader")</f>
        <v>Trader</v>
      </c>
      <c r="M5" s="16" t="str">
        <f>IFERROR(__xludf.DUMMYFUNCTION("""COMPUTED_VALUE"""),"Trade Attribute 6")</f>
        <v>Trade Attribute 6</v>
      </c>
      <c r="N5" s="16" t="str">
        <f>IFERROR(__xludf.DUMMYFUNCTION("""COMPUTED_VALUE"""),"Trade Attribute 5")</f>
        <v>Trade Attribute 5</v>
      </c>
      <c r="O5" s="16" t="str">
        <f>IFERROR(__xludf.DUMMYFUNCTION("""COMPUTED_VALUE"""),"Trade Attribute 4")</f>
        <v>Trade Attribute 4</v>
      </c>
      <c r="P5" s="16" t="str">
        <f>IFERROR(__xludf.DUMMYFUNCTION("""COMPUTED_VALUE"""),"Trade Attribute 3")</f>
        <v>Trade Attribute 3</v>
      </c>
      <c r="Q5" s="16" t="str">
        <f>IFERROR(__xludf.DUMMYFUNCTION("""COMPUTED_VALUE"""),"Trade Attribute 1")</f>
        <v>Trade Attribute 1</v>
      </c>
      <c r="R5" s="16" t="str">
        <f>IFERROR(__xludf.DUMMYFUNCTION("""COMPUTED_VALUE"""),"Trade Attribute 2")</f>
        <v>Trade Attribute 2</v>
      </c>
      <c r="S5" s="16" t="str">
        <f>IFERROR(__xludf.DUMMYFUNCTION("""COMPUTED_VALUE"""),"Strike Price")</f>
        <v>Strike Price</v>
      </c>
      <c r="T5" s="17" t="str">
        <f>IFERROR(__xludf.DUMMYFUNCTION("""COMPUTED_VALUE"""),"Stop Price")</f>
        <v>Stop Price</v>
      </c>
      <c r="U5" s="17" t="str">
        <f>IFERROR(__xludf.DUMMYFUNCTION("""COMPUTED_VALUE"""),"Settlement Currency")</f>
        <v>Settlement Currency</v>
      </c>
      <c r="V5" s="17" t="str">
        <f>IFERROR(__xludf.DUMMYFUNCTION("""COMPUTED_VALUE"""),"Put/Call")</f>
        <v>Put/Call</v>
      </c>
      <c r="W5" s="17" t="str">
        <f>IFERROR(__xludf.DUMMYFUNCTION("""COMPUTED_VALUE"""),"Process Date")</f>
        <v>Process Date</v>
      </c>
      <c r="X5" s="17" t="str">
        <f>IFERROR(__xludf.DUMMYFUNCTION("""COMPUTED_VALUE"""),"Peg")</f>
        <v>Peg</v>
      </c>
      <c r="Y5" s="17" t="str">
        <f>IFERROR(__xludf.DUMMYFUNCTION("""COMPUTED_VALUE"""),"ParentClOrderID")</f>
        <v>ParentClOrderID</v>
      </c>
      <c r="Z5" s="17" t="str">
        <f>IFERROR(__xludf.DUMMYFUNCTION("""COMPUTED_VALUE"""),"OrderID")</f>
        <v>OrderID</v>
      </c>
      <c r="AA5" s="17" t="str">
        <f>IFERROR(__xludf.DUMMYFUNCTION("""COMPUTED_VALUE"""),"Master Fund")</f>
        <v>Master Fund</v>
      </c>
      <c r="AB5" s="17" t="str">
        <f>IFERROR(__xludf.DUMMYFUNCTION("""COMPUTED_VALUE"""),"Last Shares")</f>
        <v>Last Shares</v>
      </c>
      <c r="AC5" s="17" t="str">
        <f>IFERROR(__xludf.DUMMYFUNCTION("""COMPUTED_VALUE"""),"Internal Comments")</f>
        <v>Internal Comments</v>
      </c>
      <c r="AD5" s="17" t="str">
        <f>IFERROR(__xludf.DUMMYFUNCTION("""COMPUTED_VALUE"""),"FX Rate")</f>
        <v>FX Rate</v>
      </c>
      <c r="AE5" s="17" t="str">
        <f>IFERROR(__xludf.DUMMYFUNCTION("""COMPUTED_VALUE"""),"Imported File Name")</f>
        <v>Imported File Name</v>
      </c>
      <c r="AF5" s="17" t="str">
        <f>IFERROR(__xludf.DUMMYFUNCTION("""COMPUTED_VALUE"""),"FX Conversion Operator")</f>
        <v>FX Conversion Operator</v>
      </c>
      <c r="AG5" s="17" t="str">
        <f>IFERROR(__xludf.DUMMYFUNCTION("""COMPUTED_VALUE"""),"Day Average Price")</f>
        <v>Day Average Price</v>
      </c>
      <c r="AH5" s="17" t="str">
        <f>IFERROR(__xludf.DUMMYFUNCTION("""COMPUTED_VALUE"""),"Asset Class")</f>
        <v>Asset Class</v>
      </c>
      <c r="AI5" s="17" t="str">
        <f>IFERROR(__xludf.DUMMYFUNCTION("""COMPUTED_VALUE"""),"Symbol")</f>
        <v>Symbol</v>
      </c>
      <c r="AJ5" s="17" t="str">
        <f>IFERROR(__xludf.DUMMYFUNCTION("""COMPUTED_VALUE"""),"Side")</f>
        <v>Side</v>
      </c>
      <c r="AK5" s="17" t="str">
        <f>IFERROR(__xludf.DUMMYFUNCTION("""COMPUTED_VALUE"""),"Status")</f>
        <v>Status</v>
      </c>
      <c r="AL5" s="17" t="str">
        <f>IFERROR(__xludf.DUMMYFUNCTION("""COMPUTED_VALUE"""),"Target Qty")</f>
        <v>Target Qty</v>
      </c>
      <c r="AM5" s="17" t="str">
        <f>IFERROR(__xludf.DUMMYFUNCTION("""COMPUTED_VALUE"""),"Total Executed Qty")</f>
        <v>Total Executed Qty</v>
      </c>
      <c r="AN5" s="17" t="str">
        <f>IFERROR(__xludf.DUMMYFUNCTION("""COMPUTED_VALUE"""),"% Executed")</f>
        <v>% Executed</v>
      </c>
      <c r="AO5" s="17" t="str">
        <f>IFERROR(__xludf.DUMMYFUNCTION("""COMPUTED_VALUE"""),"Day Executed Qty")</f>
        <v>Day Executed Qty</v>
      </c>
      <c r="AP5" s="17" t="str">
        <f>IFERROR(__xludf.DUMMYFUNCTION("""COMPUTED_VALUE"""),"Uncommitted Qty")</f>
        <v>Uncommitted Qty</v>
      </c>
      <c r="AQ5" s="17" t="str">
        <f>IFERROR(__xludf.DUMMYFUNCTION("""COMPUTED_VALUE"""),"Last Fill Price (Local)")</f>
        <v>Last Fill Price (Local)</v>
      </c>
      <c r="AR5" s="17" t="str">
        <f>IFERROR(__xludf.DUMMYFUNCTION("""COMPUTED_VALUE"""),"Avg Fill Price (Local)")</f>
        <v>Avg Fill Price (Local)</v>
      </c>
      <c r="AS5" s="17" t="str">
        <f>IFERROR(__xludf.DUMMYFUNCTION("""COMPUTED_VALUE"""),"Broker")</f>
        <v>Broker</v>
      </c>
      <c r="AT5" s="17" t="str">
        <f>IFERROR(__xludf.DUMMYFUNCTION("""COMPUTED_VALUE"""),"Account")</f>
        <v>Account</v>
      </c>
      <c r="AU5" s="17" t="str">
        <f>IFERROR(__xludf.DUMMYFUNCTION("""COMPUTED_VALUE"""),"Order Type")</f>
        <v>Order Type</v>
      </c>
      <c r="AV5" s="17" t="str">
        <f>IFERROR(__xludf.DUMMYFUNCTION("""COMPUTED_VALUE"""),"Principal Amount (Local)")</f>
        <v>Principal Amount (Local)</v>
      </c>
      <c r="AW5" s="17" t="str">
        <f>IFERROR(__xludf.DUMMYFUNCTION("""COMPUTED_VALUE"""),"Principal Amount (Base)")</f>
        <v>Principal Amount (Base)</v>
      </c>
      <c r="AX5" s="17" t="str">
        <f>IFERROR(__xludf.DUMMYFUNCTION("""COMPUTED_VALUE"""),"")</f>
        <v/>
      </c>
      <c r="AY5" s="17" t="str">
        <f>IFERROR(__xludf.DUMMYFUNCTION("""COMPUTED_VALUE"""),"")</f>
        <v/>
      </c>
      <c r="AZ5" s="17" t="str">
        <f>IFERROR(__xludf.DUMMYFUNCTION("""COMPUTED_VALUE"""),"")</f>
        <v/>
      </c>
      <c r="BA5" s="17" t="str">
        <f>IFERROR(__xludf.DUMMYFUNCTION("""COMPUTED_VALUE"""),"")</f>
        <v/>
      </c>
      <c r="BB5" s="17" t="str">
        <f>IFERROR(__xludf.DUMMYFUNCTION("""COMPUTED_VALUE"""),"")</f>
        <v/>
      </c>
      <c r="BC5" s="17" t="str">
        <f>IFERROR(__xludf.DUMMYFUNCTION("""COMPUTED_VALUE"""),"")</f>
        <v/>
      </c>
      <c r="BD5" s="17" t="str">
        <f>IFERROR(__xludf.DUMMYFUNCTION("""COMPUTED_VALUE"""),"")</f>
        <v/>
      </c>
      <c r="BE5" s="17" t="str">
        <f>IFERROR(__xludf.DUMMYFUNCTION("""COMPUTED_VALUE"""),"")</f>
        <v/>
      </c>
      <c r="BF5" s="17" t="str">
        <f>IFERROR(__xludf.DUMMYFUNCTION("""COMPUTED_VALUE"""),"")</f>
        <v/>
      </c>
      <c r="BG5" s="17" t="str">
        <f>IFERROR(__xludf.DUMMYFUNCTION("""COMPUTED_VALUE"""),"")</f>
        <v/>
      </c>
      <c r="BH5" s="17" t="str">
        <f>IFERROR(__xludf.DUMMYFUNCTION("""COMPUTED_VALUE"""),"")</f>
        <v/>
      </c>
      <c r="BI5" s="17" t="str">
        <f>IFERROR(__xludf.DUMMYFUNCTION("""COMPUTED_VALUE"""),"")</f>
        <v/>
      </c>
      <c r="BJ5" s="17" t="str">
        <f>IFERROR(__xludf.DUMMYFUNCTION("""COMPUTED_VALUE"""),"")</f>
        <v/>
      </c>
    </row>
    <row r="6" ht="15.75" customHeight="1">
      <c r="A6" s="7"/>
      <c r="AI6" s="4" t="s">
        <v>13</v>
      </c>
      <c r="AJ6" s="4" t="s">
        <v>14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I7" s="7" t="s">
        <v>13</v>
      </c>
      <c r="AJ7" s="7" t="s">
        <v>15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ErrorMessage="1" sqref="E3">
      <formula1>MultiTradingTicketFromBlotter!$4:$4</formula1>
    </dataValidation>
    <dataValidation type="list" allowBlank="1" showErrorMessage="1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8"/>
      <c r="B1" s="1" t="s">
        <v>2</v>
      </c>
      <c r="C1" s="2"/>
      <c r="D1" s="2"/>
      <c r="E1" s="2"/>
      <c r="F1" s="2"/>
      <c r="G1" s="2"/>
      <c r="H1" s="3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0" t="str">
        <f>VLOOKUP($E$3,'_MasterData'!B4:D1000,3,FALSE)</f>
        <v>#N/A</v>
      </c>
      <c r="K2" s="11"/>
      <c r="L2" s="7"/>
      <c r="M2" s="7"/>
      <c r="N2" s="7"/>
      <c r="O2" s="7"/>
    </row>
    <row r="3" ht="15.75" customHeight="1">
      <c r="A3" s="5"/>
      <c r="B3" s="5" t="s">
        <v>3</v>
      </c>
      <c r="C3" s="22" t="s">
        <v>4</v>
      </c>
      <c r="D3" s="5" t="s">
        <v>5</v>
      </c>
      <c r="E3" s="22" t="s">
        <v>9</v>
      </c>
      <c r="F3" s="5" t="s">
        <v>7</v>
      </c>
      <c r="G3" s="12" t="s">
        <v>8</v>
      </c>
      <c r="H3" s="5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 ht="15.75" customHeight="1">
      <c r="A4" s="14"/>
      <c r="B4" s="14" t="str">
        <f>IFERROR(__xludf.DUMMYFUNCTION("IF(C3="""","""",Transpose(IMPORTRANGE('_Settings'!$B$3,C3&amp;""!A4:A1000"")))"),"#REF!")</f>
        <v>#REF!</v>
      </c>
      <c r="C4" s="14" t="s">
        <v>9</v>
      </c>
      <c r="D4" s="14" t="s">
        <v>10</v>
      </c>
      <c r="E4" s="14" t="s">
        <v>6</v>
      </c>
      <c r="F4" s="14" t="s">
        <v>11</v>
      </c>
      <c r="G4" s="14" t="s">
        <v>12</v>
      </c>
      <c r="H4" s="14"/>
      <c r="I4" s="14"/>
      <c r="J4" s="14"/>
      <c r="K4" s="14"/>
      <c r="L4" s="14"/>
      <c r="M4" s="14"/>
      <c r="N4" s="14"/>
      <c r="O4" s="14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IFERROR(__xludf.DUMMYFUNCTION("""COMPUTED_VALUE"""),"Symbol")</f>
        <v>Symbol</v>
      </c>
      <c r="C5" s="16" t="str">
        <f>IFERROR(__xludf.DUMMYFUNCTION("""COMPUTED_VALUE"""),"Order Side")</f>
        <v>Order Side</v>
      </c>
      <c r="D5" s="16" t="str">
        <f>IFERROR(__xludf.DUMMYFUNCTION("""COMPUTED_VALUE"""),"Quantity")</f>
        <v>Quantity</v>
      </c>
      <c r="E5" s="16" t="str">
        <f>IFERROR(__xludf.DUMMYFUNCTION("""COMPUTED_VALUE"""),"Target Quantity")</f>
        <v>Target Quantity</v>
      </c>
      <c r="F5" s="16" t="str">
        <f>IFERROR(__xludf.DUMMYFUNCTION("""COMPUTED_VALUE"""),"Account")</f>
        <v>Account</v>
      </c>
      <c r="G5" s="16" t="str">
        <f>IFERROR(__xludf.DUMMYFUNCTION("""COMPUTED_VALUE"""),"Broker")</f>
        <v>Broker</v>
      </c>
      <c r="H5" s="16" t="str">
        <f>IFERROR(__xludf.DUMMYFUNCTION("""COMPUTED_VALUE"""),"TIF")</f>
        <v>TIF</v>
      </c>
      <c r="I5" s="16" t="str">
        <f>IFERROR(__xludf.DUMMYFUNCTION("""COMPUTED_VALUE"""),"Order Type")</f>
        <v>Order Type</v>
      </c>
      <c r="J5" s="16" t="str">
        <f>IFERROR(__xludf.DUMMYFUNCTION("""COMPUTED_VALUE"""),"Price")</f>
        <v>Price</v>
      </c>
      <c r="K5" s="16" t="str">
        <f>IFERROR(__xludf.DUMMYFUNCTION("""COMPUTED_VALUE"""),"Stop")</f>
        <v>Stop</v>
      </c>
      <c r="L5" s="16" t="str">
        <f>IFERROR(__xludf.DUMMYFUNCTION("""COMPUTED_VALUE"""),"Limit")</f>
        <v>Limit</v>
      </c>
      <c r="M5" s="16" t="str">
        <f>IFERROR(__xludf.DUMMYFUNCTION("""COMPUTED_VALUE"""),"Strategy")</f>
        <v>Strategy</v>
      </c>
      <c r="N5" s="16" t="str">
        <f>IFERROR(__xludf.DUMMYFUNCTION("""COMPUTED_VALUE"""),"Trade Date")</f>
        <v>Trade Date</v>
      </c>
      <c r="O5" s="16" t="str">
        <f>IFERROR(__xludf.DUMMYFUNCTION("""COMPUTED_VALUE"""),"FX Rate")</f>
        <v>FX Rate</v>
      </c>
      <c r="P5" s="16" t="str">
        <f>IFERROR(__xludf.DUMMYFUNCTION("""COMPUTED_VALUE"""),"Notes")</f>
        <v>Notes</v>
      </c>
      <c r="Q5" s="16" t="str">
        <f>IFERROR(__xludf.DUMMYFUNCTION("""COMPUTED_VALUE"""),"Broker Notes")</f>
        <v>Broker Notes</v>
      </c>
      <c r="R5" s="16" t="str">
        <f>IFERROR(__xludf.DUMMYFUNCTION("""COMPUTED_VALUE"""),"Commission Basis")</f>
        <v>Commission Basis</v>
      </c>
      <c r="S5" s="16" t="str">
        <f>IFERROR(__xludf.DUMMYFUNCTION("""COMPUTED_VALUE"""),"Commission Rate")</f>
        <v>Commission Rate</v>
      </c>
      <c r="T5" s="17" t="str">
        <f>IFERROR(__xludf.DUMMYFUNCTION("""COMPUTED_VALUE"""),"Soft Basis")</f>
        <v>Soft Basis</v>
      </c>
      <c r="U5" s="17" t="str">
        <f>IFERROR(__xludf.DUMMYFUNCTION("""COMPUTED_VALUE"""),"Soft Rate")</f>
        <v>Soft Rate</v>
      </c>
      <c r="V5" s="17" t="str">
        <f>IFERROR(__xludf.DUMMYFUNCTION("""COMPUTED_VALUE"""),"Trade Attribute 1")</f>
        <v>Trade Attribute 1</v>
      </c>
      <c r="W5" s="17" t="str">
        <f>IFERROR(__xludf.DUMMYFUNCTION("""COMPUTED_VALUE"""),"Trade Attribute 2")</f>
        <v>Trade Attribute 2</v>
      </c>
      <c r="X5" s="17" t="str">
        <f>IFERROR(__xludf.DUMMYFUNCTION("""COMPUTED_VALUE"""),"Trade Attribute 3")</f>
        <v>Trade Attribute 3</v>
      </c>
      <c r="Y5" s="17" t="str">
        <f>IFERROR(__xludf.DUMMYFUNCTION("""COMPUTED_VALUE"""),"Trade Attribute 4")</f>
        <v>Trade Attribute 4</v>
      </c>
      <c r="Z5" s="17" t="str">
        <f>IFERROR(__xludf.DUMMYFUNCTION("""COMPUTED_VALUE"""),"Trade Attribute 5")</f>
        <v>Trade Attribute 5</v>
      </c>
      <c r="AA5" s="17" t="str">
        <f>IFERROR(__xludf.DUMMYFUNCTION("""COMPUTED_VALUE"""),"Trade Attribute 6")</f>
        <v>Trade Attribute 6</v>
      </c>
      <c r="AB5" s="17" t="str">
        <f>IFERROR(__xludf.DUMMYFUNCTION("""COMPUTED_VALUE"""),"Venue")</f>
        <v>Venue</v>
      </c>
      <c r="AC5" s="17" t="str">
        <f>IFERROR(__xludf.DUMMYFUNCTION("""COMPUTED_VALUE"""),"Execution Instructions")</f>
        <v>Execution Instructions</v>
      </c>
      <c r="AD5" s="17" t="str">
        <f>IFERROR(__xludf.DUMMYFUNCTION("""COMPUTED_VALUE"""),"Handling Instructions")</f>
        <v>Handling Instructions</v>
      </c>
      <c r="AE5" s="17" t="str">
        <f>IFERROR(__xludf.DUMMYFUNCTION("""COMPUTED_VALUE"""),"Trader")</f>
        <v>Trader</v>
      </c>
      <c r="AF5" s="17" t="str">
        <f>IFERROR(__xludf.DUMMYFUNCTION("""COMPUTED_VALUE"""),"Settlement Currency")</f>
        <v>Settlement Currency</v>
      </c>
      <c r="AG5" s="17" t="str">
        <f>IFERROR(__xludf.DUMMYFUNCTION("""COMPUTED_VALUE"""),"Settlement Fx Rate")</f>
        <v>Settlement Fx Rate</v>
      </c>
      <c r="AH5" s="17" t="str">
        <f>IFERROR(__xludf.DUMMYFUNCTION("""COMPUTED_VALUE"""),"Settlement Amount")</f>
        <v>Settlement Amount</v>
      </c>
      <c r="AI5" s="17" t="str">
        <f>IFERROR(__xludf.DUMMYFUNCTION("""COMPUTED_VALUE"""),"Settlement Fx Operator")</f>
        <v>Settlement Fx Operator</v>
      </c>
      <c r="AJ5" s="17" t="str">
        <f>IFERROR(__xludf.DUMMYFUNCTION("""COMPUTED_VALUE"""),"ImportFileName")</f>
        <v>ImportFileName</v>
      </c>
      <c r="AK5" s="17" t="str">
        <f>IFERROR(__xludf.DUMMYFUNCTION("""COMPUTED_VALUE"""),"")</f>
        <v/>
      </c>
      <c r="AL5" s="17" t="str">
        <f>IFERROR(__xludf.DUMMYFUNCTION("""COMPUTED_VALUE"""),"")</f>
        <v/>
      </c>
      <c r="AM5" s="17" t="str">
        <f>IFERROR(__xludf.DUMMYFUNCTION("""COMPUTED_VALUE"""),"")</f>
        <v/>
      </c>
      <c r="AN5" s="17" t="str">
        <f>IFERROR(__xludf.DUMMYFUNCTION("""COMPUTED_VALUE"""),"")</f>
        <v/>
      </c>
      <c r="AO5" s="17" t="str">
        <f>IFERROR(__xludf.DUMMYFUNCTION("""COMPUTED_VALUE"""),"")</f>
        <v/>
      </c>
      <c r="AP5" s="17" t="str">
        <f>IFERROR(__xludf.DUMMYFUNCTION("""COMPUTED_VALUE"""),"")</f>
        <v/>
      </c>
      <c r="AQ5" s="17" t="str">
        <f>IFERROR(__xludf.DUMMYFUNCTION("""COMPUTED_VALUE"""),"")</f>
        <v/>
      </c>
      <c r="AR5" s="17" t="str">
        <f>IFERROR(__xludf.DUMMYFUNCTION("""COMPUTED_VALUE"""),"")</f>
        <v/>
      </c>
      <c r="AS5" s="17" t="str">
        <f>IFERROR(__xludf.DUMMYFUNCTION("""COMPUTED_VALUE"""),"")</f>
        <v/>
      </c>
      <c r="AT5" s="17" t="str">
        <f>IFERROR(__xludf.DUMMYFUNCTION("""COMPUTED_VALUE"""),"")</f>
        <v/>
      </c>
    </row>
    <row r="6" ht="15.75" customHeight="1">
      <c r="A6" s="7"/>
      <c r="B6" s="4" t="s">
        <v>13</v>
      </c>
      <c r="C6" s="4" t="s">
        <v>14</v>
      </c>
      <c r="D6" s="4"/>
    </row>
    <row r="7" ht="15.75" customHeight="1">
      <c r="A7" s="7"/>
      <c r="B7" s="7" t="s">
        <v>13</v>
      </c>
      <c r="C7" s="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ErrorMessage="1" sqref="E3">
      <formula1>SelectTradeUsingMTT!$4:$4</formula1>
    </dataValidation>
    <dataValidation type="list" allowBlank="1" showErrorMessage="1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8"/>
      <c r="B1" s="1" t="s">
        <v>2</v>
      </c>
      <c r="C1" s="2"/>
      <c r="D1" s="2"/>
      <c r="E1" s="2"/>
      <c r="F1" s="2"/>
      <c r="G1" s="2"/>
      <c r="H1" s="3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0" t="str">
        <f>VLOOKUP($E$3,'_MasterData'!B4:D1000,3,FALSE)</f>
        <v>#N/A</v>
      </c>
      <c r="K2" s="11"/>
      <c r="L2" s="7"/>
      <c r="M2" s="7"/>
      <c r="N2" s="7"/>
      <c r="O2" s="7"/>
    </row>
    <row r="3" ht="15.75" customHeight="1">
      <c r="A3" s="5"/>
      <c r="B3" s="5" t="s">
        <v>3</v>
      </c>
      <c r="C3" s="12" t="s">
        <v>4</v>
      </c>
      <c r="D3" s="5" t="s">
        <v>5</v>
      </c>
      <c r="E3" s="12" t="s">
        <v>84</v>
      </c>
      <c r="F3" s="5" t="s">
        <v>7</v>
      </c>
      <c r="G3" s="12" t="s">
        <v>8</v>
      </c>
      <c r="H3" s="5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 ht="15.75" customHeight="1">
      <c r="A4" s="14"/>
      <c r="B4" s="14" t="str">
        <f>IFERROR(__xludf.DUMMYFUNCTION("IF(C3="""","""",Transpose(IMPORTRANGE('_Settings'!$B$3,C3&amp;""!A4:A1000"")))"),"#REF!")</f>
        <v>#REF!</v>
      </c>
      <c r="C4" s="14" t="s">
        <v>9</v>
      </c>
      <c r="D4" s="14" t="s">
        <v>10</v>
      </c>
      <c r="E4" s="14" t="s">
        <v>6</v>
      </c>
      <c r="F4" s="14" t="s">
        <v>11</v>
      </c>
      <c r="G4" s="14" t="s">
        <v>12</v>
      </c>
      <c r="H4" s="14"/>
      <c r="I4" s="14"/>
      <c r="J4" s="14"/>
      <c r="K4" s="14"/>
      <c r="L4" s="14"/>
      <c r="M4" s="14"/>
      <c r="N4" s="14"/>
      <c r="O4" s="14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IFERROR(__xludf.DUMMYFUNCTION("""COMPUTED_VALUE"""),"Symbol")</f>
        <v>Symbol</v>
      </c>
      <c r="C5" s="16" t="str">
        <f>IFERROR(__xludf.DUMMYFUNCTION("""COMPUTED_VALUE"""),"Order Side")</f>
        <v>Order Side</v>
      </c>
      <c r="D5" s="16" t="str">
        <f>IFERROR(__xludf.DUMMYFUNCTION("""COMPUTED_VALUE"""),"Quantity")</f>
        <v>Quantity</v>
      </c>
      <c r="E5" s="16" t="str">
        <f>IFERROR(__xludf.DUMMYFUNCTION("""COMPUTED_VALUE"""),"Target Quantity")</f>
        <v>Target Quantity</v>
      </c>
      <c r="F5" s="16" t="str">
        <f>IFERROR(__xludf.DUMMYFUNCTION("""COMPUTED_VALUE"""),"Account")</f>
        <v>Account</v>
      </c>
      <c r="G5" s="16" t="str">
        <f>IFERROR(__xludf.DUMMYFUNCTION("""COMPUTED_VALUE"""),"Broker")</f>
        <v>Broker</v>
      </c>
      <c r="H5" s="16" t="str">
        <f>IFERROR(__xludf.DUMMYFUNCTION("""COMPUTED_VALUE"""),"TIF")</f>
        <v>TIF</v>
      </c>
      <c r="I5" s="16" t="str">
        <f>IFERROR(__xludf.DUMMYFUNCTION("""COMPUTED_VALUE"""),"Order Type")</f>
        <v>Order Type</v>
      </c>
      <c r="J5" s="16" t="str">
        <f>IFERROR(__xludf.DUMMYFUNCTION("""COMPUTED_VALUE"""),"Price")</f>
        <v>Price</v>
      </c>
      <c r="K5" s="16" t="str">
        <f>IFERROR(__xludf.DUMMYFUNCTION("""COMPUTED_VALUE"""),"Stop")</f>
        <v>Stop</v>
      </c>
      <c r="L5" s="16" t="str">
        <f>IFERROR(__xludf.DUMMYFUNCTION("""COMPUTED_VALUE"""),"Limit")</f>
        <v>Limit</v>
      </c>
      <c r="M5" s="16" t="str">
        <f>IFERROR(__xludf.DUMMYFUNCTION("""COMPUTED_VALUE"""),"Strategy")</f>
        <v>Strategy</v>
      </c>
      <c r="N5" s="16" t="str">
        <f>IFERROR(__xludf.DUMMYFUNCTION("""COMPUTED_VALUE"""),"Trade Date")</f>
        <v>Trade Date</v>
      </c>
      <c r="O5" s="16" t="str">
        <f>IFERROR(__xludf.DUMMYFUNCTION("""COMPUTED_VALUE"""),"FX Rate")</f>
        <v>FX Rate</v>
      </c>
      <c r="P5" s="16" t="str">
        <f>IFERROR(__xludf.DUMMYFUNCTION("""COMPUTED_VALUE"""),"Notes")</f>
        <v>Notes</v>
      </c>
      <c r="Q5" s="16" t="str">
        <f>IFERROR(__xludf.DUMMYFUNCTION("""COMPUTED_VALUE"""),"Broker Notes")</f>
        <v>Broker Notes</v>
      </c>
      <c r="R5" s="16" t="str">
        <f>IFERROR(__xludf.DUMMYFUNCTION("""COMPUTED_VALUE"""),"Commission Basis")</f>
        <v>Commission Basis</v>
      </c>
      <c r="S5" s="16" t="str">
        <f>IFERROR(__xludf.DUMMYFUNCTION("""COMPUTED_VALUE"""),"Commission Rate")</f>
        <v>Commission Rate</v>
      </c>
      <c r="T5" s="17" t="str">
        <f>IFERROR(__xludf.DUMMYFUNCTION("""COMPUTED_VALUE"""),"Soft Basis")</f>
        <v>Soft Basis</v>
      </c>
      <c r="U5" s="17" t="str">
        <f>IFERROR(__xludf.DUMMYFUNCTION("""COMPUTED_VALUE"""),"Soft Rate")</f>
        <v>Soft Rate</v>
      </c>
      <c r="V5" s="17" t="str">
        <f>IFERROR(__xludf.DUMMYFUNCTION("""COMPUTED_VALUE"""),"Trade Attribute 1")</f>
        <v>Trade Attribute 1</v>
      </c>
      <c r="W5" s="17" t="str">
        <f>IFERROR(__xludf.DUMMYFUNCTION("""COMPUTED_VALUE"""),"Trade Attribute 2")</f>
        <v>Trade Attribute 2</v>
      </c>
      <c r="X5" s="17" t="str">
        <f>IFERROR(__xludf.DUMMYFUNCTION("""COMPUTED_VALUE"""),"Trade Attribute 3")</f>
        <v>Trade Attribute 3</v>
      </c>
      <c r="Y5" s="17" t="str">
        <f>IFERROR(__xludf.DUMMYFUNCTION("""COMPUTED_VALUE"""),"Trade Attribute 4")</f>
        <v>Trade Attribute 4</v>
      </c>
      <c r="Z5" s="17" t="str">
        <f>IFERROR(__xludf.DUMMYFUNCTION("""COMPUTED_VALUE"""),"Trade Attribute 5")</f>
        <v>Trade Attribute 5</v>
      </c>
      <c r="AA5" s="17" t="str">
        <f>IFERROR(__xludf.DUMMYFUNCTION("""COMPUTED_VALUE"""),"Trade Attribute 6")</f>
        <v>Trade Attribute 6</v>
      </c>
      <c r="AB5" s="17" t="str">
        <f>IFERROR(__xludf.DUMMYFUNCTION("""COMPUTED_VALUE"""),"Venue")</f>
        <v>Venue</v>
      </c>
      <c r="AC5" s="17" t="str">
        <f>IFERROR(__xludf.DUMMYFUNCTION("""COMPUTED_VALUE"""),"Execution Instructions")</f>
        <v>Execution Instructions</v>
      </c>
      <c r="AD5" s="17" t="str">
        <f>IFERROR(__xludf.DUMMYFUNCTION("""COMPUTED_VALUE"""),"Handling Instructions")</f>
        <v>Handling Instructions</v>
      </c>
      <c r="AE5" s="17" t="str">
        <f>IFERROR(__xludf.DUMMYFUNCTION("""COMPUTED_VALUE"""),"Trader")</f>
        <v>Trader</v>
      </c>
      <c r="AF5" s="17" t="str">
        <f>IFERROR(__xludf.DUMMYFUNCTION("""COMPUTED_VALUE"""),"Settlement Currency")</f>
        <v>Settlement Currency</v>
      </c>
      <c r="AG5" s="17" t="str">
        <f>IFERROR(__xludf.DUMMYFUNCTION("""COMPUTED_VALUE"""),"Settlement Fx Rate")</f>
        <v>Settlement Fx Rate</v>
      </c>
      <c r="AH5" s="17" t="str">
        <f>IFERROR(__xludf.DUMMYFUNCTION("""COMPUTED_VALUE"""),"Settlement Amount")</f>
        <v>Settlement Amount</v>
      </c>
      <c r="AI5" s="17" t="str">
        <f>IFERROR(__xludf.DUMMYFUNCTION("""COMPUTED_VALUE"""),"Settlement Fx Operator")</f>
        <v>Settlement Fx Operator</v>
      </c>
      <c r="AJ5" s="17" t="str">
        <f>IFERROR(__xludf.DUMMYFUNCTION("""COMPUTED_VALUE"""),"ImportFileName")</f>
        <v>ImportFileName</v>
      </c>
      <c r="AK5" s="17" t="str">
        <f>IFERROR(__xludf.DUMMYFUNCTION("""COMPUTED_VALUE"""),"")</f>
        <v/>
      </c>
      <c r="AL5" s="17" t="str">
        <f>IFERROR(__xludf.DUMMYFUNCTION("""COMPUTED_VALUE"""),"")</f>
        <v/>
      </c>
      <c r="AM5" s="17" t="str">
        <f>IFERROR(__xludf.DUMMYFUNCTION("""COMPUTED_VALUE"""),"")</f>
        <v/>
      </c>
      <c r="AN5" s="17" t="str">
        <f>IFERROR(__xludf.DUMMYFUNCTION("""COMPUTED_VALUE"""),"")</f>
        <v/>
      </c>
      <c r="AO5" s="17" t="str">
        <f>IFERROR(__xludf.DUMMYFUNCTION("""COMPUTED_VALUE"""),"")</f>
        <v/>
      </c>
      <c r="AP5" s="17" t="str">
        <f>IFERROR(__xludf.DUMMYFUNCTION("""COMPUTED_VALUE"""),"")</f>
        <v/>
      </c>
      <c r="AQ5" s="17" t="str">
        <f>IFERROR(__xludf.DUMMYFUNCTION("""COMPUTED_VALUE"""),"")</f>
        <v/>
      </c>
      <c r="AR5" s="17" t="str">
        <f>IFERROR(__xludf.DUMMYFUNCTION("""COMPUTED_VALUE"""),"")</f>
        <v/>
      </c>
      <c r="AS5" s="17" t="str">
        <f>IFERROR(__xludf.DUMMYFUNCTION("""COMPUTED_VALUE"""),"")</f>
        <v/>
      </c>
      <c r="AT5" s="17" t="str">
        <f>IFERROR(__xludf.DUMMYFUNCTION("""COMPUTED_VALUE"""),"")</f>
        <v/>
      </c>
    </row>
    <row r="6" ht="15.75" customHeight="1">
      <c r="A6" s="7"/>
      <c r="B6" s="4" t="s">
        <v>13</v>
      </c>
      <c r="C6" s="4" t="s">
        <v>14</v>
      </c>
      <c r="D6" s="4">
        <v>1500.0</v>
      </c>
      <c r="E6" s="4">
        <v>1500.0</v>
      </c>
      <c r="R6" s="4" t="s">
        <v>40</v>
      </c>
      <c r="S6" s="4">
        <v>500.0</v>
      </c>
      <c r="T6" s="4" t="s">
        <v>40</v>
      </c>
      <c r="U6" s="4">
        <v>100.0</v>
      </c>
      <c r="AH6" s="4">
        <v>55.0</v>
      </c>
    </row>
    <row r="7" ht="15.75" customHeight="1">
      <c r="A7" s="7"/>
      <c r="B7" s="7" t="s">
        <v>13</v>
      </c>
      <c r="C7" s="7" t="s">
        <v>15</v>
      </c>
      <c r="D7" s="7">
        <v>2000.0</v>
      </c>
      <c r="E7" s="7">
        <v>2000.0</v>
      </c>
      <c r="F7" s="7"/>
      <c r="G7" s="7"/>
      <c r="H7" s="7"/>
      <c r="I7" s="7"/>
      <c r="J7" s="7"/>
      <c r="K7" s="7"/>
      <c r="L7" s="7"/>
      <c r="M7" s="7"/>
      <c r="N7" s="7"/>
      <c r="O7" s="7"/>
      <c r="R7" s="4" t="s">
        <v>40</v>
      </c>
      <c r="S7" s="4">
        <v>200.0</v>
      </c>
      <c r="T7" s="4" t="s">
        <v>40</v>
      </c>
      <c r="U7" s="4">
        <v>150.0</v>
      </c>
      <c r="AH7" s="4">
        <v>85.0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ErrorMessage="1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ᯚ䀀Ā֓_x0006_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61" width="14.43"/>
  </cols>
  <sheetData>
    <row r="1" ht="15.75" customHeight="1">
      <c r="A1" s="8"/>
      <c r="B1" s="1" t="s">
        <v>2</v>
      </c>
      <c r="C1" s="2"/>
      <c r="D1" s="2"/>
      <c r="E1" s="2"/>
      <c r="F1" s="2"/>
      <c r="G1" s="2"/>
      <c r="H1" s="3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0" t="str">
        <f>VLOOKUP($E$3,'_MasterData'!B4:D1000,3,FALSE)</f>
        <v>#N/A</v>
      </c>
      <c r="K2" s="11"/>
      <c r="L2" s="7"/>
      <c r="M2" s="7"/>
      <c r="N2" s="7"/>
      <c r="O2" s="7"/>
    </row>
    <row r="3" ht="15.75" customHeight="1">
      <c r="A3" s="5"/>
      <c r="B3" s="5" t="s">
        <v>3</v>
      </c>
      <c r="C3" s="12" t="s">
        <v>43</v>
      </c>
      <c r="D3" s="5" t="s">
        <v>5</v>
      </c>
      <c r="E3" s="12" t="s">
        <v>58</v>
      </c>
      <c r="F3" s="5" t="s">
        <v>7</v>
      </c>
      <c r="G3" s="12" t="s">
        <v>8</v>
      </c>
      <c r="H3" s="5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</row>
    <row r="4" ht="15.75" customHeight="1">
      <c r="A4" s="14"/>
      <c r="B4" s="14" t="str">
        <f>IFERROR(__xludf.DUMMYFUNCTION("IF(C3="""","""",Transpose(IMPORTRANGE('_Settings'!$B$3,C3&amp;""!A4:A1000"")))"),"#REF!")</f>
        <v>#REF!</v>
      </c>
      <c r="C4" s="14" t="s">
        <v>45</v>
      </c>
      <c r="D4" s="14" t="s">
        <v>46</v>
      </c>
      <c r="E4" s="14" t="s">
        <v>47</v>
      </c>
      <c r="F4" s="14" t="s">
        <v>48</v>
      </c>
      <c r="G4" s="14" t="s">
        <v>49</v>
      </c>
      <c r="H4" s="14" t="s">
        <v>50</v>
      </c>
      <c r="I4" s="14" t="s">
        <v>51</v>
      </c>
      <c r="J4" s="14" t="s">
        <v>52</v>
      </c>
      <c r="K4" s="14" t="s">
        <v>53</v>
      </c>
      <c r="L4" s="14" t="s">
        <v>54</v>
      </c>
      <c r="M4" s="14" t="s">
        <v>55</v>
      </c>
      <c r="N4" s="14" t="s">
        <v>56</v>
      </c>
      <c r="O4" s="14" t="s">
        <v>57</v>
      </c>
      <c r="P4" s="15" t="s">
        <v>58</v>
      </c>
      <c r="Q4" s="15" t="s">
        <v>59</v>
      </c>
      <c r="R4" s="15" t="s">
        <v>59</v>
      </c>
      <c r="S4" s="15" t="s">
        <v>59</v>
      </c>
      <c r="T4" s="15" t="s">
        <v>60</v>
      </c>
      <c r="U4" s="15" t="s">
        <v>61</v>
      </c>
      <c r="V4" s="15" t="s">
        <v>62</v>
      </c>
      <c r="W4" s="15" t="s">
        <v>63</v>
      </c>
      <c r="X4" s="15" t="s">
        <v>64</v>
      </c>
      <c r="Y4" s="15" t="s">
        <v>4</v>
      </c>
      <c r="Z4" s="15" t="s">
        <v>65</v>
      </c>
      <c r="AA4" s="15" t="s">
        <v>66</v>
      </c>
      <c r="AB4" s="15" t="s">
        <v>67</v>
      </c>
      <c r="AC4" s="15" t="s">
        <v>60</v>
      </c>
      <c r="AD4" s="15" t="s">
        <v>60</v>
      </c>
      <c r="AE4" s="15" t="s">
        <v>68</v>
      </c>
      <c r="AF4" s="15" t="s">
        <v>69</v>
      </c>
      <c r="AG4" s="15" t="s">
        <v>70</v>
      </c>
      <c r="AH4" s="15" t="s">
        <v>71</v>
      </c>
      <c r="AI4" s="15" t="s">
        <v>55</v>
      </c>
      <c r="AJ4" s="15" t="s">
        <v>71</v>
      </c>
      <c r="AK4" s="15" t="s">
        <v>69</v>
      </c>
      <c r="AL4" s="15" t="s">
        <v>72</v>
      </c>
      <c r="AM4" s="15" t="s">
        <v>73</v>
      </c>
      <c r="AN4" s="15" t="s">
        <v>74</v>
      </c>
      <c r="AO4" s="15" t="s">
        <v>75</v>
      </c>
      <c r="AP4" s="15" t="s">
        <v>76</v>
      </c>
      <c r="AQ4" s="15" t="s">
        <v>77</v>
      </c>
      <c r="AR4" s="15" t="s">
        <v>78</v>
      </c>
      <c r="AS4" s="15" t="s">
        <v>79</v>
      </c>
      <c r="AT4" s="15" t="s">
        <v>80</v>
      </c>
      <c r="AU4" s="15" t="s">
        <v>81</v>
      </c>
      <c r="AV4" s="15" t="s">
        <v>82</v>
      </c>
      <c r="AW4" s="15" t="s">
        <v>82</v>
      </c>
      <c r="AX4" s="15" t="s">
        <v>83</v>
      </c>
      <c r="AY4" s="15" t="s">
        <v>44</v>
      </c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IFERROR(__xludf.DUMMYFUNCTION("""COMPUTED_VALUE"""),"Symbol")</f>
        <v>Symbol</v>
      </c>
      <c r="C5" s="16" t="str">
        <f>IFERROR(__xludf.DUMMYFUNCTION("""COMPUTED_VALUE"""),"Side")</f>
        <v>Side</v>
      </c>
      <c r="D5" s="16" t="str">
        <f>IFERROR(__xludf.DUMMYFUNCTION("""COMPUTED_VALUE"""),"Quantity")</f>
        <v>Quantity</v>
      </c>
      <c r="E5" s="16" t="str">
        <f>IFERROR(__xludf.DUMMYFUNCTION("""COMPUTED_VALUE"""),"Executed Qty")</f>
        <v>Executed Qty</v>
      </c>
      <c r="F5" s="16" t="str">
        <f>IFERROR(__xludf.DUMMYFUNCTION("""COMPUTED_VALUE"""),"Unexecuted Qty")</f>
        <v>Unexecuted Qty</v>
      </c>
      <c r="G5" s="16" t="str">
        <f>IFERROR(__xludf.DUMMYFUNCTION("""COMPUTED_VALUE"""),"Status")</f>
        <v>Status</v>
      </c>
      <c r="H5" s="16" t="str">
        <f>IFERROR(__xludf.DUMMYFUNCTION("""COMPUTED_VALUE"""),"Last Shares")</f>
        <v>Last Shares</v>
      </c>
      <c r="I5" s="16" t="str">
        <f>IFERROR(__xludf.DUMMYFUNCTION("""COMPUTED_VALUE"""),"Last Fill Price (Local)")</f>
        <v>Last Fill Price (Local)</v>
      </c>
      <c r="J5" s="16" t="str">
        <f>IFERROR(__xludf.DUMMYFUNCTION("""COMPUTED_VALUE"""),"Avg Fill Price (Local)")</f>
        <v>Avg Fill Price (Local)</v>
      </c>
      <c r="K5" s="16" t="str">
        <f>IFERROR(__xludf.DUMMYFUNCTION("""COMPUTED_VALUE"""),"Broker")</f>
        <v>Broker</v>
      </c>
      <c r="L5" s="16" t="str">
        <f>IFERROR(__xludf.DUMMYFUNCTION("""COMPUTED_VALUE"""),"Account")</f>
        <v>Account</v>
      </c>
      <c r="M5" s="16" t="str">
        <f>IFERROR(__xludf.DUMMYFUNCTION("""COMPUTED_VALUE"""),"Order Type")</f>
        <v>Order Type</v>
      </c>
      <c r="N5" s="16" t="str">
        <f>IFERROR(__xludf.DUMMYFUNCTION("""COMPUTED_VALUE"""),"OrderStatus")</f>
        <v>OrderStatus</v>
      </c>
      <c r="O5" s="16" t="str">
        <f>IFERROR(__xludf.DUMMYFUNCTION("""COMPUTED_VALUE"""),"Avg Fill Price (Base)")</f>
        <v>Avg Fill Price (Base)</v>
      </c>
      <c r="P5" s="16" t="str">
        <f>IFERROR(__xludf.DUMMYFUNCTION("""COMPUTED_VALUE"""),"Limit Price")</f>
        <v>Limit Price</v>
      </c>
      <c r="Q5" s="16" t="str">
        <f>IFERROR(__xludf.DUMMYFUNCTION("""COMPUTED_VALUE"""),"Stop Price")</f>
        <v>Stop Price</v>
      </c>
      <c r="R5" s="16" t="str">
        <f>IFERROR(__xludf.DUMMYFUNCTION("""COMPUTED_VALUE"""),"User")</f>
        <v>User</v>
      </c>
      <c r="S5" s="16" t="str">
        <f>IFERROR(__xludf.DUMMYFUNCTION("""COMPUTED_VALUE"""),"Bloomberg Symbol")</f>
        <v>Bloomberg Symbol</v>
      </c>
      <c r="T5" s="17" t="str">
        <f>IFERROR(__xludf.DUMMYFUNCTION("""COMPUTED_VALUE"""),"Algo")</f>
        <v>Algo</v>
      </c>
      <c r="U5" s="17" t="str">
        <f>IFERROR(__xludf.DUMMYFUNCTION("""COMPUTED_VALUE"""),"Allocation Scheme Name")</f>
        <v>Allocation Scheme Name</v>
      </c>
      <c r="V5" s="17" t="str">
        <f>IFERROR(__xludf.DUMMYFUNCTION("""COMPUTED_VALUE"""),"Allocation Status")</f>
        <v>Allocation Status</v>
      </c>
      <c r="W5" s="17" t="str">
        <f>IFERROR(__xludf.DUMMYFUNCTION("""COMPUTED_VALUE"""),"Asset Class")</f>
        <v>Asset Class</v>
      </c>
      <c r="X5" s="17" t="str">
        <f>IFERROR(__xludf.DUMMYFUNCTION("""COMPUTED_VALUE"""),"FX Conversion Operator")</f>
        <v>FX Conversion Operator</v>
      </c>
      <c r="Y5" s="17" t="str">
        <f>IFERROR(__xludf.DUMMYFUNCTION("""COMPUTED_VALUE"""),"FX Rate")</f>
        <v>FX Rate</v>
      </c>
      <c r="Z5" s="17" t="str">
        <f>IFERROR(__xludf.DUMMYFUNCTION("""COMPUTED_VALUE"""),"Imported File Name")</f>
        <v>Imported File Name</v>
      </c>
      <c r="AA5" s="17" t="str">
        <f>IFERROR(__xludf.DUMMYFUNCTION("""COMPUTED_VALUE"""),"Internal Comments")</f>
        <v>Internal Comments</v>
      </c>
      <c r="AB5" s="17" t="str">
        <f>IFERROR(__xludf.DUMMYFUNCTION("""COMPUTED_VALUE"""),"Peg")</f>
        <v>Peg</v>
      </c>
      <c r="AC5" s="17" t="str">
        <f>IFERROR(__xludf.DUMMYFUNCTION("""COMPUTED_VALUE"""),"Principal Amount (Base)")</f>
        <v>Principal Amount (Base)</v>
      </c>
      <c r="AD5" s="17" t="str">
        <f>IFERROR(__xludf.DUMMYFUNCTION("""COMPUTED_VALUE"""),"Principal Amount (Local)")</f>
        <v>Principal Amount (Local)</v>
      </c>
      <c r="AE5" s="17" t="str">
        <f>IFERROR(__xludf.DUMMYFUNCTION("""COMPUTED_VALUE"""),"Process Date")</f>
        <v>Process Date</v>
      </c>
      <c r="AF5" s="17" t="str">
        <f>IFERROR(__xludf.DUMMYFUNCTION("""COMPUTED_VALUE"""),"Put/Call")</f>
        <v>Put/Call</v>
      </c>
      <c r="AG5" s="17" t="str">
        <f>IFERROR(__xludf.DUMMYFUNCTION("""COMPUTED_VALUE"""),"Settlement Currency")</f>
        <v>Settlement Currency</v>
      </c>
      <c r="AH5" s="17" t="str">
        <f>IFERROR(__xludf.DUMMYFUNCTION("""COMPUTED_VALUE"""),"Source")</f>
        <v>Source</v>
      </c>
      <c r="AI5" s="17" t="str">
        <f>IFERROR(__xludf.DUMMYFUNCTION("""COMPUTED_VALUE"""),"Status (With Rollover)")</f>
        <v>Status (With Rollover)</v>
      </c>
      <c r="AJ5" s="17" t="str">
        <f>IFERROR(__xludf.DUMMYFUNCTION("""COMPUTED_VALUE"""),"Strategy")</f>
        <v>Strategy</v>
      </c>
      <c r="AK5" s="17" t="str">
        <f>IFERROR(__xludf.DUMMYFUNCTION("""COMPUTED_VALUE"""),"Strike Price")</f>
        <v>Strike Price</v>
      </c>
      <c r="AL5" s="17" t="str">
        <f>IFERROR(__xludf.DUMMYFUNCTION("""COMPUTED_VALUE"""),"Trade Attribute 1")</f>
        <v>Trade Attribute 1</v>
      </c>
      <c r="AM5" s="17" t="str">
        <f>IFERROR(__xludf.DUMMYFUNCTION("""COMPUTED_VALUE"""),"Trade Attribute 2")</f>
        <v>Trade Attribute 2</v>
      </c>
      <c r="AN5" s="17" t="str">
        <f>IFERROR(__xludf.DUMMYFUNCTION("""COMPUTED_VALUE"""),"Trade Attribute 3")</f>
        <v>Trade Attribute 3</v>
      </c>
      <c r="AO5" s="17" t="str">
        <f>IFERROR(__xludf.DUMMYFUNCTION("""COMPUTED_VALUE"""),"Trade Attribute 4")</f>
        <v>Trade Attribute 4</v>
      </c>
      <c r="AP5" s="17" t="str">
        <f>IFERROR(__xludf.DUMMYFUNCTION("""COMPUTED_VALUE"""),"Trade Attribute 5")</f>
        <v>Trade Attribute 5</v>
      </c>
      <c r="AQ5" s="17" t="str">
        <f>IFERROR(__xludf.DUMMYFUNCTION("""COMPUTED_VALUE"""),"Trade Attribute 6")</f>
        <v>Trade Attribute 6</v>
      </c>
      <c r="AR5" s="17" t="str">
        <f>IFERROR(__xludf.DUMMYFUNCTION("""COMPUTED_VALUE"""),"Trader")</f>
        <v>Trader</v>
      </c>
      <c r="AS5" s="17" t="str">
        <f>IFERROR(__xludf.DUMMYFUNCTION("""COMPUTED_VALUE"""),"Transaction Time")</f>
        <v>Transaction Time</v>
      </c>
      <c r="AT5" s="17" t="str">
        <f>IFERROR(__xludf.DUMMYFUNCTION("""COMPUTED_VALUE"""),"Underlying Country")</f>
        <v>Underlying Country</v>
      </c>
      <c r="AU5" s="17" t="str">
        <f>IFERROR(__xludf.DUMMYFUNCTION("""COMPUTED_VALUE"""),"Underlying Symbol")</f>
        <v>Underlying Symbol</v>
      </c>
      <c r="AV5" s="17" t="str">
        <f>IFERROR(__xludf.DUMMYFUNCTION("""COMPUTED_VALUE"""),"Venue")</f>
        <v>Venue</v>
      </c>
      <c r="AW5" s="17" t="str">
        <f>IFERROR(__xludf.DUMMYFUNCTION("""COMPUTED_VALUE"""),"Working Qty")</f>
        <v>Working Qty</v>
      </c>
      <c r="AX5" s="17" t="str">
        <f>IFERROR(__xludf.DUMMYFUNCTION("""COMPUTED_VALUE"""),"Client")</f>
        <v>Client</v>
      </c>
      <c r="AY5" s="17" t="str">
        <f>IFERROR(__xludf.DUMMYFUNCTION("""COMPUTED_VALUE"""),"OrderID")</f>
        <v>OrderID</v>
      </c>
      <c r="AZ5" s="17" t="str">
        <f>IFERROR(__xludf.DUMMYFUNCTION("""COMPUTED_VALUE"""),"ParentClOrderID")</f>
        <v>ParentClOrderID</v>
      </c>
      <c r="BA5" s="17" t="str">
        <f>IFERROR(__xludf.DUMMYFUNCTION("""COMPUTED_VALUE"""),"Master Fund")</f>
        <v>Master Fund</v>
      </c>
      <c r="BB5" s="17" t="str">
        <f>IFERROR(__xludf.DUMMYFUNCTION("""COMPUTED_VALUE"""),"")</f>
        <v/>
      </c>
      <c r="BC5" s="17" t="str">
        <f>IFERROR(__xludf.DUMMYFUNCTION("""COMPUTED_VALUE"""),"")</f>
        <v/>
      </c>
      <c r="BD5" s="17" t="str">
        <f>IFERROR(__xludf.DUMMYFUNCTION("""COMPUTED_VALUE"""),"")</f>
        <v/>
      </c>
      <c r="BE5" s="17" t="str">
        <f>IFERROR(__xludf.DUMMYFUNCTION("""COMPUTED_VALUE"""),"")</f>
        <v/>
      </c>
      <c r="BF5" s="17" t="str">
        <f>IFERROR(__xludf.DUMMYFUNCTION("""COMPUTED_VALUE"""),"")</f>
        <v/>
      </c>
      <c r="BG5" s="17" t="str">
        <f>IFERROR(__xludf.DUMMYFUNCTION("""COMPUTED_VALUE"""),"")</f>
        <v/>
      </c>
      <c r="BH5" s="17" t="str">
        <f>IFERROR(__xludf.DUMMYFUNCTION("""COMPUTED_VALUE"""),"")</f>
        <v/>
      </c>
      <c r="BI5" s="17" t="str">
        <f>IFERROR(__xludf.DUMMYFUNCTION("""COMPUTED_VALUE"""),"")</f>
        <v/>
      </c>
    </row>
    <row r="6" ht="15.75" customHeight="1">
      <c r="A6" s="7"/>
      <c r="B6" s="4" t="s">
        <v>13</v>
      </c>
      <c r="C6" s="4" t="s">
        <v>14</v>
      </c>
    </row>
    <row r="7" ht="15.75" customHeight="1">
      <c r="A7" s="7"/>
      <c r="B7" s="7" t="s">
        <v>13</v>
      </c>
      <c r="C7" s="7" t="s">
        <v>15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ErrorMessage="1" sqref="E3">
      <formula1>VerifyWorkingSubs!$4:$4</formula1>
    </dataValidation>
    <dataValidation type="list" allowBlank="1" showErrorMessage="1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8"/>
      <c r="B1" s="1" t="s">
        <v>2</v>
      </c>
      <c r="C1" s="2"/>
      <c r="D1" s="2"/>
      <c r="E1" s="2"/>
      <c r="F1" s="2"/>
      <c r="G1" s="2"/>
      <c r="H1" s="3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0" t="str">
        <f>VLOOKUP($E$3,'_MasterData'!B4:D1000,3,FALSE)</f>
        <v>#N/A</v>
      </c>
      <c r="K2" s="11"/>
      <c r="L2" s="7"/>
      <c r="M2" s="7"/>
      <c r="N2" s="7"/>
      <c r="O2" s="7"/>
    </row>
    <row r="3" ht="15.75" customHeight="1">
      <c r="A3" s="5"/>
      <c r="B3" s="5" t="s">
        <v>3</v>
      </c>
      <c r="C3" s="12" t="s">
        <v>85</v>
      </c>
      <c r="D3" s="5" t="s">
        <v>5</v>
      </c>
      <c r="E3" s="12" t="s">
        <v>86</v>
      </c>
      <c r="F3" s="5" t="s">
        <v>7</v>
      </c>
      <c r="G3" s="12" t="s">
        <v>8</v>
      </c>
      <c r="H3" s="5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</row>
    <row r="4" ht="15.75" customHeight="1">
      <c r="A4" s="14"/>
      <c r="B4" s="14" t="str">
        <f>IFERROR(__xludf.DUMMYFUNCTION("IF(C3="""","""",Transpose(IMPORTRANGE('_Settings'!$B$3,C3&amp;""!A4:A1000"")))"),"#REF!")</f>
        <v>#REF!</v>
      </c>
      <c r="C4" s="14" t="s">
        <v>87</v>
      </c>
      <c r="D4" s="14" t="s">
        <v>86</v>
      </c>
      <c r="E4" s="14" t="s">
        <v>88</v>
      </c>
      <c r="F4" s="14" t="s">
        <v>89</v>
      </c>
      <c r="G4" s="14" t="s">
        <v>90</v>
      </c>
      <c r="H4" s="14" t="s">
        <v>91</v>
      </c>
      <c r="I4" s="14" t="s">
        <v>92</v>
      </c>
      <c r="J4" s="14" t="s">
        <v>93</v>
      </c>
      <c r="K4" s="14" t="s">
        <v>94</v>
      </c>
      <c r="L4" s="14" t="s">
        <v>95</v>
      </c>
      <c r="M4" s="14" t="s">
        <v>96</v>
      </c>
      <c r="N4" s="14" t="s">
        <v>97</v>
      </c>
      <c r="O4" s="14" t="s">
        <v>98</v>
      </c>
      <c r="P4" s="15" t="s">
        <v>99</v>
      </c>
      <c r="Q4" s="15" t="s">
        <v>100</v>
      </c>
      <c r="R4" s="15" t="s">
        <v>101</v>
      </c>
      <c r="S4" s="15" t="s">
        <v>102</v>
      </c>
      <c r="T4" s="15" t="s">
        <v>103</v>
      </c>
      <c r="U4" s="15" t="s">
        <v>104</v>
      </c>
      <c r="V4" s="15" t="s">
        <v>105</v>
      </c>
      <c r="W4" s="15" t="s">
        <v>106</v>
      </c>
      <c r="X4" s="15" t="s">
        <v>107</v>
      </c>
      <c r="Y4" s="15" t="s">
        <v>108</v>
      </c>
      <c r="Z4" s="15" t="s">
        <v>109</v>
      </c>
      <c r="AA4" s="15" t="s">
        <v>110</v>
      </c>
      <c r="AB4" s="15" t="s">
        <v>111</v>
      </c>
      <c r="AC4" s="15" t="s">
        <v>112</v>
      </c>
      <c r="AD4" s="15" t="s">
        <v>94</v>
      </c>
      <c r="AE4" s="15" t="s">
        <v>113</v>
      </c>
      <c r="AF4" s="15" t="s">
        <v>114</v>
      </c>
      <c r="AG4" s="15" t="s">
        <v>115</v>
      </c>
      <c r="AH4" s="15" t="s">
        <v>116</v>
      </c>
      <c r="AI4" s="15" t="s">
        <v>117</v>
      </c>
      <c r="AJ4" s="15" t="s">
        <v>118</v>
      </c>
      <c r="AK4" s="15" t="s">
        <v>119</v>
      </c>
      <c r="AL4" s="15" t="s">
        <v>120</v>
      </c>
      <c r="AM4" s="15" t="s">
        <v>121</v>
      </c>
      <c r="AN4" s="15" t="s">
        <v>122</v>
      </c>
      <c r="AO4" s="15" t="s">
        <v>123</v>
      </c>
      <c r="AP4" s="15" t="s">
        <v>124</v>
      </c>
      <c r="AQ4" s="15" t="s">
        <v>125</v>
      </c>
      <c r="AR4" s="15" t="s">
        <v>126</v>
      </c>
      <c r="AS4" s="15" t="s">
        <v>127</v>
      </c>
      <c r="AT4" s="15" t="s">
        <v>128</v>
      </c>
      <c r="AU4" s="15" t="s">
        <v>129</v>
      </c>
      <c r="AV4" s="15" t="s">
        <v>130</v>
      </c>
      <c r="AW4" s="15" t="s">
        <v>131</v>
      </c>
      <c r="AX4" s="15" t="s">
        <v>132</v>
      </c>
      <c r="AY4" s="15" t="s">
        <v>133</v>
      </c>
      <c r="AZ4" s="15" t="s">
        <v>134</v>
      </c>
      <c r="BA4" s="15" t="s">
        <v>135</v>
      </c>
      <c r="BB4" s="15" t="s">
        <v>136</v>
      </c>
      <c r="BC4" s="15" t="s">
        <v>137</v>
      </c>
      <c r="BD4" s="15" t="s">
        <v>138</v>
      </c>
      <c r="BE4" s="15" t="s">
        <v>139</v>
      </c>
      <c r="BF4" s="15" t="s">
        <v>140</v>
      </c>
      <c r="BG4" s="15" t="s">
        <v>141</v>
      </c>
      <c r="BH4" s="15" t="s">
        <v>142</v>
      </c>
      <c r="BI4" s="15" t="s">
        <v>143</v>
      </c>
      <c r="BJ4" s="15" t="s">
        <v>144</v>
      </c>
      <c r="BK4" s="15" t="s">
        <v>145</v>
      </c>
      <c r="BL4" s="15" t="s">
        <v>146</v>
      </c>
      <c r="BM4" s="15" t="s">
        <v>147</v>
      </c>
      <c r="BN4" s="15" t="s">
        <v>148</v>
      </c>
      <c r="BO4" s="15" t="s">
        <v>149</v>
      </c>
      <c r="BP4" s="15" t="s">
        <v>150</v>
      </c>
      <c r="BQ4" s="15" t="s">
        <v>151</v>
      </c>
      <c r="BR4" s="15" t="s">
        <v>152</v>
      </c>
      <c r="BS4" s="15" t="s">
        <v>153</v>
      </c>
      <c r="BT4" s="15" t="s">
        <v>154</v>
      </c>
      <c r="BU4" s="15" t="s">
        <v>155</v>
      </c>
      <c r="BV4" s="15" t="s">
        <v>156</v>
      </c>
      <c r="BW4" s="15" t="s">
        <v>157</v>
      </c>
      <c r="BX4" s="15" t="s">
        <v>158</v>
      </c>
      <c r="BY4" s="15" t="s">
        <v>87</v>
      </c>
      <c r="BZ4" s="15" t="s">
        <v>159</v>
      </c>
      <c r="CA4" s="15" t="s">
        <v>160</v>
      </c>
      <c r="CB4" s="15" t="s">
        <v>161</v>
      </c>
      <c r="CC4" s="15" t="s">
        <v>162</v>
      </c>
      <c r="CD4" s="15" t="s">
        <v>163</v>
      </c>
      <c r="CE4" s="15" t="s">
        <v>164</v>
      </c>
      <c r="CF4" s="15" t="s">
        <v>165</v>
      </c>
      <c r="CG4" s="15" t="s">
        <v>166</v>
      </c>
      <c r="CH4" s="15" t="s">
        <v>167</v>
      </c>
      <c r="CI4" s="15" t="s">
        <v>168</v>
      </c>
      <c r="CJ4" s="15" t="s">
        <v>169</v>
      </c>
      <c r="CK4" s="15" t="s">
        <v>170</v>
      </c>
      <c r="CL4" s="15" t="s">
        <v>171</v>
      </c>
      <c r="CM4" s="15" t="s">
        <v>172</v>
      </c>
      <c r="CN4" s="15" t="s">
        <v>173</v>
      </c>
      <c r="CO4" s="15" t="s">
        <v>174</v>
      </c>
      <c r="CP4" s="15" t="s">
        <v>175</v>
      </c>
      <c r="CQ4" s="15" t="s">
        <v>176</v>
      </c>
      <c r="CR4" s="15" t="s">
        <v>177</v>
      </c>
      <c r="CS4" s="15" t="s">
        <v>178</v>
      </c>
      <c r="CT4" s="15" t="s">
        <v>179</v>
      </c>
      <c r="CU4" s="15" t="s">
        <v>180</v>
      </c>
      <c r="CV4" s="15" t="s">
        <v>181</v>
      </c>
      <c r="CW4" s="15" t="s">
        <v>182</v>
      </c>
      <c r="CX4" s="15" t="s">
        <v>183</v>
      </c>
      <c r="CY4" s="15"/>
      <c r="CZ4" s="15"/>
      <c r="DA4" s="15"/>
      <c r="DB4" s="15"/>
      <c r="DC4" s="15"/>
      <c r="DD4" s="15"/>
      <c r="DE4" s="15"/>
      <c r="DF4" s="15"/>
      <c r="DG4" s="15"/>
      <c r="DH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IFERROR(__xludf.DUMMYFUNCTION("""COMPUTED_VALUE"""),"RangeType")</f>
        <v>RangeType</v>
      </c>
      <c r="C5" s="16" t="str">
        <f>IFERROR(__xludf.DUMMYFUNCTION("""COMPUTED_VALUE"""),"From")</f>
        <v>From</v>
      </c>
      <c r="D5" s="16" t="str">
        <f>IFERROR(__xludf.DUMMYFUNCTION("""COMPUTED_VALUE"""),"To")</f>
        <v>To</v>
      </c>
      <c r="E5" s="16" t="str">
        <f>IFERROR(__xludf.DUMMYFUNCTION("""COMPUTED_VALUE"""),"FilterTabName")</f>
        <v>FilterTabName</v>
      </c>
      <c r="F5" s="16" t="str">
        <f>IFERROR(__xludf.DUMMYFUNCTION("""COMPUTED_VALUE"""),"Symbol")</f>
        <v>Symbol</v>
      </c>
      <c r="G5" s="16" t="str">
        <f>IFERROR(__xludf.DUMMYFUNCTION("""COMPUTED_VALUE"""),"Asset")</f>
        <v>Asset</v>
      </c>
      <c r="H5" s="16" t="str">
        <f>IFERROR(__xludf.DUMMYFUNCTION("""COMPUTED_VALUE"""),"Side")</f>
        <v>Side</v>
      </c>
      <c r="I5" s="16" t="str">
        <f>IFERROR(__xludf.DUMMYFUNCTION("""COMPUTED_VALUE"""),"Account")</f>
        <v>Account</v>
      </c>
      <c r="J5" s="16" t="str">
        <f>IFERROR(__xludf.DUMMYFUNCTION("""COMPUTED_VALUE"""),"Broker")</f>
        <v>Broker</v>
      </c>
      <c r="K5" s="16" t="str">
        <f>IFERROR(__xludf.DUMMYFUNCTION("""COMPUTED_VALUE"""),"Currency")</f>
        <v>Currency</v>
      </c>
      <c r="L5" s="16" t="str">
        <f>IFERROR(__xludf.DUMMYFUNCTION("""COMPUTED_VALUE"""),"Exchange")</f>
        <v>Exchange</v>
      </c>
      <c r="M5" s="16" t="str">
        <f>IFERROR(__xludf.DUMMYFUNCTION("""COMPUTED_VALUE"""),"StrategyName")</f>
        <v>StrategyName</v>
      </c>
      <c r="N5" s="16" t="str">
        <f>IFERROR(__xludf.DUMMYFUNCTION("""COMPUTED_VALUE"""),"Underlying")</f>
        <v>Underlying</v>
      </c>
      <c r="O5" s="16" t="str">
        <f>IFERROR(__xludf.DUMMYFUNCTION("""COMPUTED_VALUE"""),"Venue")</f>
        <v>Venue</v>
      </c>
      <c r="P5" s="16" t="str">
        <f>IFERROR(__xludf.DUMMYFUNCTION("""COMPUTED_VALUE"""),"TradingAccount")</f>
        <v>TradingAccount</v>
      </c>
      <c r="Q5" s="16" t="str">
        <f>IFERROR(__xludf.DUMMYFUNCTION("""COMPUTED_VALUE"""),"PreAllocated")</f>
        <v>PreAllocated</v>
      </c>
      <c r="R5" s="16" t="str">
        <f>IFERROR(__xludf.DUMMYFUNCTION("""COMPUTED_VALUE"""),"ManualGroup")</f>
        <v>ManualGroup</v>
      </c>
      <c r="S5" s="16" t="str">
        <f>IFERROR(__xludf.DUMMYFUNCTION("""COMPUTED_VALUE"""),"")</f>
        <v/>
      </c>
      <c r="T5" s="17" t="str">
        <f>IFERROR(__xludf.DUMMYFUNCTION("""COMPUTED_VALUE"""),"")</f>
        <v/>
      </c>
      <c r="U5" s="17" t="str">
        <f>IFERROR(__xludf.DUMMYFUNCTION("""COMPUTED_VALUE"""),"")</f>
        <v/>
      </c>
      <c r="V5" s="17" t="str">
        <f>IFERROR(__xludf.DUMMYFUNCTION("""COMPUTED_VALUE"""),"")</f>
        <v/>
      </c>
      <c r="W5" s="17" t="str">
        <f>IFERROR(__xludf.DUMMYFUNCTION("""COMPUTED_VALUE"""),"")</f>
        <v/>
      </c>
      <c r="X5" s="17" t="str">
        <f>IFERROR(__xludf.DUMMYFUNCTION("""COMPUTED_VALUE"""),"")</f>
        <v/>
      </c>
      <c r="Y5" s="17" t="str">
        <f>IFERROR(__xludf.DUMMYFUNCTION("""COMPUTED_VALUE"""),"")</f>
        <v/>
      </c>
      <c r="Z5" s="17" t="str">
        <f>IFERROR(__xludf.DUMMYFUNCTION("""COMPUTED_VALUE"""),"")</f>
        <v/>
      </c>
      <c r="AA5" s="17" t="str">
        <f>IFERROR(__xludf.DUMMYFUNCTION("""COMPUTED_VALUE"""),"")</f>
        <v/>
      </c>
      <c r="AB5" s="17" t="str">
        <f>IFERROR(__xludf.DUMMYFUNCTION("""COMPUTED_VALUE"""),"")</f>
        <v/>
      </c>
      <c r="AC5" s="17" t="str">
        <f>IFERROR(__xludf.DUMMYFUNCTION("""COMPUTED_VALUE"""),"")</f>
        <v/>
      </c>
      <c r="AD5" s="17" t="str">
        <f>IFERROR(__xludf.DUMMYFUNCTION("""COMPUTED_VALUE"""),"")</f>
        <v/>
      </c>
      <c r="AE5" s="17" t="str">
        <f>IFERROR(__xludf.DUMMYFUNCTION("""COMPUTED_VALUE"""),"")</f>
        <v/>
      </c>
      <c r="AF5" s="17" t="str">
        <f>IFERROR(__xludf.DUMMYFUNCTION("""COMPUTED_VALUE"""),"")</f>
        <v/>
      </c>
      <c r="AG5" s="17" t="str">
        <f>IFERROR(__xludf.DUMMYFUNCTION("""COMPUTED_VALUE"""),"")</f>
        <v/>
      </c>
      <c r="AH5" s="17" t="str">
        <f>IFERROR(__xludf.DUMMYFUNCTION("""COMPUTED_VALUE"""),"")</f>
        <v/>
      </c>
      <c r="AI5" s="17" t="str">
        <f>IFERROR(__xludf.DUMMYFUNCTION("""COMPUTED_VALUE"""),"")</f>
        <v/>
      </c>
      <c r="AJ5" s="17" t="str">
        <f>IFERROR(__xludf.DUMMYFUNCTION("""COMPUTED_VALUE"""),"")</f>
        <v/>
      </c>
      <c r="AK5" s="17" t="str">
        <f>IFERROR(__xludf.DUMMYFUNCTION("""COMPUTED_VALUE"""),"")</f>
        <v/>
      </c>
      <c r="AL5" s="17" t="str">
        <f>IFERROR(__xludf.DUMMYFUNCTION("""COMPUTED_VALUE"""),"")</f>
        <v/>
      </c>
      <c r="AM5" s="17" t="str">
        <f>IFERROR(__xludf.DUMMYFUNCTION("""COMPUTED_VALUE"""),"")</f>
        <v/>
      </c>
      <c r="AN5" s="17" t="str">
        <f>IFERROR(__xludf.DUMMYFUNCTION("""COMPUTED_VALUE"""),"")</f>
        <v/>
      </c>
      <c r="AO5" s="17" t="str">
        <f>IFERROR(__xludf.DUMMYFUNCTION("""COMPUTED_VALUE"""),"")</f>
        <v/>
      </c>
      <c r="AP5" s="17" t="str">
        <f>IFERROR(__xludf.DUMMYFUNCTION("""COMPUTED_VALUE"""),"")</f>
        <v/>
      </c>
      <c r="AQ5" s="17" t="str">
        <f>IFERROR(__xludf.DUMMYFUNCTION("""COMPUTED_VALUE"""),"")</f>
        <v/>
      </c>
      <c r="AR5" s="17" t="str">
        <f>IFERROR(__xludf.DUMMYFUNCTION("""COMPUTED_VALUE"""),"")</f>
        <v/>
      </c>
      <c r="AS5" s="17" t="str">
        <f>IFERROR(__xludf.DUMMYFUNCTION("""COMPUTED_VALUE"""),"")</f>
        <v/>
      </c>
      <c r="AT5" s="17" t="str">
        <f>IFERROR(__xludf.DUMMYFUNCTION("""COMPUTED_VALUE"""),"")</f>
        <v/>
      </c>
      <c r="AU5" s="17" t="str">
        <f>IFERROR(__xludf.DUMMYFUNCTION("""COMPUTED_VALUE"""),"")</f>
        <v/>
      </c>
      <c r="AV5" s="17" t="str">
        <f>IFERROR(__xludf.DUMMYFUNCTION("""COMPUTED_VALUE"""),"")</f>
        <v/>
      </c>
      <c r="AW5" s="17" t="str">
        <f>IFERROR(__xludf.DUMMYFUNCTION("""COMPUTED_VALUE"""),"")</f>
        <v/>
      </c>
      <c r="AX5" s="17" t="str">
        <f>IFERROR(__xludf.DUMMYFUNCTION("""COMPUTED_VALUE"""),"")</f>
        <v/>
      </c>
      <c r="AY5" s="17" t="str">
        <f>IFERROR(__xludf.DUMMYFUNCTION("""COMPUTED_VALUE"""),"")</f>
        <v/>
      </c>
      <c r="AZ5" s="17" t="str">
        <f>IFERROR(__xludf.DUMMYFUNCTION("""COMPUTED_VALUE"""),"")</f>
        <v/>
      </c>
      <c r="BA5" s="17" t="str">
        <f>IFERROR(__xludf.DUMMYFUNCTION("""COMPUTED_VALUE"""),"")</f>
        <v/>
      </c>
      <c r="BB5" s="17" t="str">
        <f>IFERROR(__xludf.DUMMYFUNCTION("""COMPUTED_VALUE"""),"")</f>
        <v/>
      </c>
      <c r="BC5" s="17" t="str">
        <f>IFERROR(__xludf.DUMMYFUNCTION("""COMPUTED_VALUE"""),"")</f>
        <v/>
      </c>
      <c r="BD5" s="17" t="str">
        <f>IFERROR(__xludf.DUMMYFUNCTION("""COMPUTED_VALUE"""),"")</f>
        <v/>
      </c>
      <c r="BE5" s="17" t="str">
        <f>IFERROR(__xludf.DUMMYFUNCTION("""COMPUTED_VALUE"""),"")</f>
        <v/>
      </c>
      <c r="BF5" s="17" t="str">
        <f>IFERROR(__xludf.DUMMYFUNCTION("""COMPUTED_VALUE"""),"")</f>
        <v/>
      </c>
      <c r="BG5" s="17" t="str">
        <f>IFERROR(__xludf.DUMMYFUNCTION("""COMPUTED_VALUE"""),"")</f>
        <v/>
      </c>
      <c r="BH5" s="17" t="str">
        <f>IFERROR(__xludf.DUMMYFUNCTION("""COMPUTED_VALUE"""),"")</f>
        <v/>
      </c>
      <c r="BI5" s="17" t="str">
        <f>IFERROR(__xludf.DUMMYFUNCTION("""COMPUTED_VALUE"""),"")</f>
        <v/>
      </c>
      <c r="BJ5" s="17" t="str">
        <f>IFERROR(__xludf.DUMMYFUNCTION("""COMPUTED_VALUE"""),"")</f>
        <v/>
      </c>
      <c r="BK5" s="17" t="str">
        <f>IFERROR(__xludf.DUMMYFUNCTION("""COMPUTED_VALUE"""),"")</f>
        <v/>
      </c>
      <c r="BL5" s="17" t="str">
        <f>IFERROR(__xludf.DUMMYFUNCTION("""COMPUTED_VALUE"""),"")</f>
        <v/>
      </c>
      <c r="BM5" s="17" t="str">
        <f>IFERROR(__xludf.DUMMYFUNCTION("""COMPUTED_VALUE"""),"")</f>
        <v/>
      </c>
      <c r="BN5" s="17" t="str">
        <f>IFERROR(__xludf.DUMMYFUNCTION("""COMPUTED_VALUE"""),"")</f>
        <v/>
      </c>
      <c r="BO5" s="17" t="str">
        <f>IFERROR(__xludf.DUMMYFUNCTION("""COMPUTED_VALUE"""),"")</f>
        <v/>
      </c>
      <c r="BP5" s="17" t="str">
        <f>IFERROR(__xludf.DUMMYFUNCTION("""COMPUTED_VALUE"""),"")</f>
        <v/>
      </c>
      <c r="BQ5" s="17" t="str">
        <f>IFERROR(__xludf.DUMMYFUNCTION("""COMPUTED_VALUE"""),"")</f>
        <v/>
      </c>
      <c r="BR5" s="17" t="str">
        <f>IFERROR(__xludf.DUMMYFUNCTION("""COMPUTED_VALUE"""),"")</f>
        <v/>
      </c>
      <c r="BS5" s="17" t="str">
        <f>IFERROR(__xludf.DUMMYFUNCTION("""COMPUTED_VALUE"""),"")</f>
        <v/>
      </c>
      <c r="BT5" s="17" t="str">
        <f>IFERROR(__xludf.DUMMYFUNCTION("""COMPUTED_VALUE"""),"")</f>
        <v/>
      </c>
      <c r="BU5" s="17" t="str">
        <f>IFERROR(__xludf.DUMMYFUNCTION("""COMPUTED_VALUE"""),"")</f>
        <v/>
      </c>
      <c r="BV5" s="17" t="str">
        <f>IFERROR(__xludf.DUMMYFUNCTION("""COMPUTED_VALUE"""),"")</f>
        <v/>
      </c>
      <c r="BW5" s="17" t="str">
        <f>IFERROR(__xludf.DUMMYFUNCTION("""COMPUTED_VALUE"""),"")</f>
        <v/>
      </c>
      <c r="BX5" s="17" t="str">
        <f>IFERROR(__xludf.DUMMYFUNCTION("""COMPUTED_VALUE"""),"")</f>
        <v/>
      </c>
      <c r="BY5" s="17" t="str">
        <f>IFERROR(__xludf.DUMMYFUNCTION("""COMPUTED_VALUE"""),"")</f>
        <v/>
      </c>
      <c r="BZ5" s="17" t="str">
        <f>IFERROR(__xludf.DUMMYFUNCTION("""COMPUTED_VALUE"""),"")</f>
        <v/>
      </c>
      <c r="CA5" s="17" t="str">
        <f>IFERROR(__xludf.DUMMYFUNCTION("""COMPUTED_VALUE"""),"")</f>
        <v/>
      </c>
      <c r="CB5" s="17" t="str">
        <f>IFERROR(__xludf.DUMMYFUNCTION("""COMPUTED_VALUE"""),"")</f>
        <v/>
      </c>
      <c r="CC5" s="17" t="str">
        <f>IFERROR(__xludf.DUMMYFUNCTION("""COMPUTED_VALUE"""),"")</f>
        <v/>
      </c>
      <c r="CD5" s="17" t="str">
        <f>IFERROR(__xludf.DUMMYFUNCTION("""COMPUTED_VALUE"""),"")</f>
        <v/>
      </c>
      <c r="CE5" s="17" t="str">
        <f>IFERROR(__xludf.DUMMYFUNCTION("""COMPUTED_VALUE"""),"")</f>
        <v/>
      </c>
      <c r="CF5" s="17" t="str">
        <f>IFERROR(__xludf.DUMMYFUNCTION("""COMPUTED_VALUE"""),"")</f>
        <v/>
      </c>
      <c r="CG5" s="17" t="str">
        <f>IFERROR(__xludf.DUMMYFUNCTION("""COMPUTED_VALUE"""),"")</f>
        <v/>
      </c>
      <c r="CH5" s="17" t="str">
        <f>IFERROR(__xludf.DUMMYFUNCTION("""COMPUTED_VALUE"""),"")</f>
        <v/>
      </c>
      <c r="CI5" s="17" t="str">
        <f>IFERROR(__xludf.DUMMYFUNCTION("""COMPUTED_VALUE"""),"")</f>
        <v/>
      </c>
      <c r="CJ5" s="17" t="str">
        <f>IFERROR(__xludf.DUMMYFUNCTION("""COMPUTED_VALUE"""),"")</f>
        <v/>
      </c>
      <c r="CK5" s="17" t="str">
        <f>IFERROR(__xludf.DUMMYFUNCTION("""COMPUTED_VALUE"""),"")</f>
        <v/>
      </c>
      <c r="CL5" s="17" t="str">
        <f>IFERROR(__xludf.DUMMYFUNCTION("""COMPUTED_VALUE"""),"")</f>
        <v/>
      </c>
      <c r="CM5" s="17" t="str">
        <f>IFERROR(__xludf.DUMMYFUNCTION("""COMPUTED_VALUE"""),"")</f>
        <v/>
      </c>
      <c r="CN5" s="17" t="str">
        <f>IFERROR(__xludf.DUMMYFUNCTION("""COMPUTED_VALUE"""),"")</f>
        <v/>
      </c>
      <c r="CO5" s="17" t="str">
        <f>IFERROR(__xludf.DUMMYFUNCTION("""COMPUTED_VALUE"""),"")</f>
        <v/>
      </c>
      <c r="CP5" s="17" t="str">
        <f>IFERROR(__xludf.DUMMYFUNCTION("""COMPUTED_VALUE"""),"")</f>
        <v/>
      </c>
      <c r="CQ5" s="17" t="str">
        <f>IFERROR(__xludf.DUMMYFUNCTION("""COMPUTED_VALUE"""),"")</f>
        <v/>
      </c>
      <c r="CR5" s="17" t="str">
        <f>IFERROR(__xludf.DUMMYFUNCTION("""COMPUTED_VALUE"""),"")</f>
        <v/>
      </c>
      <c r="CS5" s="17" t="str">
        <f>IFERROR(__xludf.DUMMYFUNCTION("""COMPUTED_VALUE"""),"")</f>
        <v/>
      </c>
      <c r="CT5" s="17" t="str">
        <f>IFERROR(__xludf.DUMMYFUNCTION("""COMPUTED_VALUE"""),"")</f>
        <v/>
      </c>
      <c r="CU5" s="17" t="str">
        <f>IFERROR(__xludf.DUMMYFUNCTION("""COMPUTED_VALUE"""),"")</f>
        <v/>
      </c>
      <c r="CV5" s="17" t="str">
        <f>IFERROR(__xludf.DUMMYFUNCTION("""COMPUTED_VALUE"""),"")</f>
        <v/>
      </c>
      <c r="CW5" s="17" t="str">
        <f>IFERROR(__xludf.DUMMYFUNCTION("""COMPUTED_VALUE"""),"")</f>
        <v/>
      </c>
      <c r="CX5" s="17" t="str">
        <f>IFERROR(__xludf.DUMMYFUNCTION("""COMPUTED_VALUE"""),"")</f>
        <v/>
      </c>
      <c r="CY5" s="17" t="str">
        <f>IFERROR(__xludf.DUMMYFUNCTION("""COMPUTED_VALUE"""),"")</f>
        <v/>
      </c>
      <c r="CZ5" s="17" t="str">
        <f>IFERROR(__xludf.DUMMYFUNCTION("""COMPUTED_VALUE"""),"")</f>
        <v/>
      </c>
      <c r="DA5" s="17" t="str">
        <f>IFERROR(__xludf.DUMMYFUNCTION("""COMPUTED_VALUE"""),"")</f>
        <v/>
      </c>
      <c r="DB5" s="17" t="str">
        <f>IFERROR(__xludf.DUMMYFUNCTION("""COMPUTED_VALUE"""),"")</f>
        <v/>
      </c>
      <c r="DC5" s="17" t="str">
        <f>IFERROR(__xludf.DUMMYFUNCTION("""COMPUTED_VALUE"""),"")</f>
        <v/>
      </c>
      <c r="DD5" s="17" t="str">
        <f>IFERROR(__xludf.DUMMYFUNCTION("""COMPUTED_VALUE"""),"")</f>
        <v/>
      </c>
      <c r="DE5" s="17" t="str">
        <f>IFERROR(__xludf.DUMMYFUNCTION("""COMPUTED_VALUE"""),"")</f>
        <v/>
      </c>
      <c r="DF5" s="17" t="str">
        <f>IFERROR(__xludf.DUMMYFUNCTION("""COMPUTED_VALUE"""),"")</f>
        <v/>
      </c>
      <c r="DG5" s="17" t="str">
        <f>IFERROR(__xludf.DUMMYFUNCTION("""COMPUTED_VALUE"""),"")</f>
        <v/>
      </c>
      <c r="DH5" s="17" t="str">
        <f>IFERROR(__xludf.DUMMYFUNCTION("""COMPUTED_VALUE"""),"")</f>
        <v/>
      </c>
    </row>
    <row r="6" ht="15.75" customHeight="1">
      <c r="A6" s="7"/>
      <c r="B6" s="4" t="s">
        <v>184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ErrorMessage="1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ErrorMessage="1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8"/>
      <c r="B1" s="1" t="s">
        <v>2</v>
      </c>
      <c r="C1" s="2"/>
      <c r="D1" s="2"/>
      <c r="E1" s="2"/>
      <c r="F1" s="2"/>
      <c r="G1" s="2"/>
      <c r="H1" s="3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0" t="str">
        <f>VLOOKUP($E$3,'_MasterData'!B4:D1000,3,FALSE)</f>
        <v>#N/A</v>
      </c>
      <c r="K2" s="11"/>
      <c r="L2" s="7"/>
      <c r="M2" s="7"/>
      <c r="N2" s="7"/>
      <c r="O2" s="7"/>
    </row>
    <row r="3" ht="15.75" customHeight="1">
      <c r="A3" s="5"/>
      <c r="B3" s="5" t="s">
        <v>3</v>
      </c>
      <c r="C3" s="12" t="s">
        <v>85</v>
      </c>
      <c r="D3" s="5" t="s">
        <v>5</v>
      </c>
      <c r="E3" s="12" t="s">
        <v>150</v>
      </c>
      <c r="F3" s="5" t="s">
        <v>7</v>
      </c>
      <c r="G3" s="12" t="s">
        <v>8</v>
      </c>
      <c r="H3" s="5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</row>
    <row r="4" ht="15.75" customHeight="1">
      <c r="A4" s="14"/>
      <c r="B4" s="14" t="str">
        <f>IFERROR(__xludf.DUMMYFUNCTION("IF(C3="""","""",Transpose(IMPORTRANGE('_Settings'!$B$3,C3&amp;""!A4:A1000"")))"),"#REF!")</f>
        <v>#REF!</v>
      </c>
      <c r="C4" s="14" t="s">
        <v>87</v>
      </c>
      <c r="D4" s="14" t="s">
        <v>86</v>
      </c>
      <c r="E4" s="14" t="s">
        <v>88</v>
      </c>
      <c r="F4" s="14" t="s">
        <v>89</v>
      </c>
      <c r="G4" s="14" t="s">
        <v>90</v>
      </c>
      <c r="H4" s="14" t="s">
        <v>91</v>
      </c>
      <c r="I4" s="14" t="s">
        <v>92</v>
      </c>
      <c r="J4" s="14" t="s">
        <v>93</v>
      </c>
      <c r="K4" s="14" t="s">
        <v>94</v>
      </c>
      <c r="L4" s="14" t="s">
        <v>95</v>
      </c>
      <c r="M4" s="14" t="s">
        <v>96</v>
      </c>
      <c r="N4" s="14" t="s">
        <v>97</v>
      </c>
      <c r="O4" s="14" t="s">
        <v>98</v>
      </c>
      <c r="P4" s="15" t="s">
        <v>99</v>
      </c>
      <c r="Q4" s="15" t="s">
        <v>100</v>
      </c>
      <c r="R4" s="15" t="s">
        <v>101</v>
      </c>
      <c r="S4" s="15" t="s">
        <v>102</v>
      </c>
      <c r="T4" s="15" t="s">
        <v>103</v>
      </c>
      <c r="U4" s="15" t="s">
        <v>104</v>
      </c>
      <c r="V4" s="15" t="s">
        <v>105</v>
      </c>
      <c r="W4" s="15" t="s">
        <v>106</v>
      </c>
      <c r="X4" s="15" t="s">
        <v>107</v>
      </c>
      <c r="Y4" s="15" t="s">
        <v>108</v>
      </c>
      <c r="Z4" s="15" t="s">
        <v>109</v>
      </c>
      <c r="AA4" s="15" t="s">
        <v>110</v>
      </c>
      <c r="AB4" s="15" t="s">
        <v>111</v>
      </c>
      <c r="AC4" s="15" t="s">
        <v>112</v>
      </c>
      <c r="AD4" s="15" t="s">
        <v>94</v>
      </c>
      <c r="AE4" s="15" t="s">
        <v>113</v>
      </c>
      <c r="AF4" s="15" t="s">
        <v>114</v>
      </c>
      <c r="AG4" s="15" t="s">
        <v>115</v>
      </c>
      <c r="AH4" s="15" t="s">
        <v>116</v>
      </c>
      <c r="AI4" s="15" t="s">
        <v>117</v>
      </c>
      <c r="AJ4" s="15" t="s">
        <v>118</v>
      </c>
      <c r="AK4" s="15" t="s">
        <v>119</v>
      </c>
      <c r="AL4" s="15" t="s">
        <v>120</v>
      </c>
      <c r="AM4" s="15" t="s">
        <v>121</v>
      </c>
      <c r="AN4" s="15" t="s">
        <v>122</v>
      </c>
      <c r="AO4" s="15" t="s">
        <v>123</v>
      </c>
      <c r="AP4" s="15" t="s">
        <v>124</v>
      </c>
      <c r="AQ4" s="15" t="s">
        <v>125</v>
      </c>
      <c r="AR4" s="15" t="s">
        <v>126</v>
      </c>
      <c r="AS4" s="15" t="s">
        <v>127</v>
      </c>
      <c r="AT4" s="15" t="s">
        <v>128</v>
      </c>
      <c r="AU4" s="15" t="s">
        <v>129</v>
      </c>
      <c r="AV4" s="15" t="s">
        <v>130</v>
      </c>
      <c r="AW4" s="15" t="s">
        <v>131</v>
      </c>
      <c r="AX4" s="15" t="s">
        <v>132</v>
      </c>
      <c r="AY4" s="15" t="s">
        <v>133</v>
      </c>
      <c r="AZ4" s="15" t="s">
        <v>134</v>
      </c>
      <c r="BA4" s="15" t="s">
        <v>135</v>
      </c>
      <c r="BB4" s="15" t="s">
        <v>136</v>
      </c>
      <c r="BC4" s="15" t="s">
        <v>137</v>
      </c>
      <c r="BD4" s="15" t="s">
        <v>138</v>
      </c>
      <c r="BE4" s="15" t="s">
        <v>139</v>
      </c>
      <c r="BF4" s="15" t="s">
        <v>140</v>
      </c>
      <c r="BG4" s="15" t="s">
        <v>141</v>
      </c>
      <c r="BH4" s="15" t="s">
        <v>142</v>
      </c>
      <c r="BI4" s="15" t="s">
        <v>143</v>
      </c>
      <c r="BJ4" s="15" t="s">
        <v>144</v>
      </c>
      <c r="BK4" s="15" t="s">
        <v>145</v>
      </c>
      <c r="BL4" s="15" t="s">
        <v>146</v>
      </c>
      <c r="BM4" s="15" t="s">
        <v>147</v>
      </c>
      <c r="BN4" s="15" t="s">
        <v>148</v>
      </c>
      <c r="BO4" s="15" t="s">
        <v>149</v>
      </c>
      <c r="BP4" s="15" t="s">
        <v>150</v>
      </c>
      <c r="BQ4" s="15" t="s">
        <v>151</v>
      </c>
      <c r="BR4" s="15" t="s">
        <v>152</v>
      </c>
      <c r="BS4" s="15" t="s">
        <v>153</v>
      </c>
      <c r="BT4" s="15" t="s">
        <v>154</v>
      </c>
      <c r="BU4" s="15" t="s">
        <v>155</v>
      </c>
      <c r="BV4" s="15" t="s">
        <v>156</v>
      </c>
      <c r="BW4" s="15" t="s">
        <v>157</v>
      </c>
      <c r="BX4" s="15" t="s">
        <v>158</v>
      </c>
      <c r="BY4" s="15" t="s">
        <v>87</v>
      </c>
      <c r="BZ4" s="15" t="s">
        <v>159</v>
      </c>
      <c r="CA4" s="15" t="s">
        <v>160</v>
      </c>
      <c r="CB4" s="15" t="s">
        <v>161</v>
      </c>
      <c r="CC4" s="15" t="s">
        <v>162</v>
      </c>
      <c r="CD4" s="15" t="s">
        <v>163</v>
      </c>
      <c r="CE4" s="15" t="s">
        <v>164</v>
      </c>
      <c r="CF4" s="15" t="s">
        <v>165</v>
      </c>
      <c r="CG4" s="15" t="s">
        <v>166</v>
      </c>
      <c r="CH4" s="15" t="s">
        <v>167</v>
      </c>
      <c r="CI4" s="15" t="s">
        <v>168</v>
      </c>
      <c r="CJ4" s="15" t="s">
        <v>169</v>
      </c>
      <c r="CK4" s="15" t="s">
        <v>170</v>
      </c>
      <c r="CL4" s="15" t="s">
        <v>171</v>
      </c>
      <c r="CM4" s="15" t="s">
        <v>172</v>
      </c>
      <c r="CN4" s="15" t="s">
        <v>173</v>
      </c>
      <c r="CO4" s="15" t="s">
        <v>174</v>
      </c>
      <c r="CP4" s="15" t="s">
        <v>175</v>
      </c>
      <c r="CQ4" s="15" t="s">
        <v>176</v>
      </c>
      <c r="CR4" s="15" t="s">
        <v>177</v>
      </c>
      <c r="CS4" s="15" t="s">
        <v>178</v>
      </c>
      <c r="CT4" s="15" t="s">
        <v>179</v>
      </c>
      <c r="CU4" s="15" t="s">
        <v>180</v>
      </c>
      <c r="CV4" s="15" t="s">
        <v>181</v>
      </c>
      <c r="CW4" s="15" t="s">
        <v>182</v>
      </c>
      <c r="CX4" s="15" t="s">
        <v>183</v>
      </c>
      <c r="CY4" s="15"/>
      <c r="CZ4" s="15"/>
      <c r="DA4" s="15"/>
      <c r="DB4" s="15"/>
      <c r="DC4" s="15"/>
      <c r="DD4" s="15"/>
      <c r="DE4" s="15"/>
      <c r="DF4" s="15"/>
      <c r="DG4" s="15"/>
      <c r="DH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IFERROR(__xludf.DUMMYFUNCTION("""COMPUTED_VALUE"""),"Account Name")</f>
        <v>Account Name</v>
      </c>
      <c r="C5" s="16" t="str">
        <f>IFERROR(__xludf.DUMMYFUNCTION("""COMPUTED_VALUE"""),"Accrual Basis")</f>
        <v>Accrual Basis</v>
      </c>
      <c r="D5" s="16" t="str">
        <f>IFERROR(__xludf.DUMMYFUNCTION("""COMPUTED_VALUE"""),"Accrued Interest")</f>
        <v>Accrued Interest</v>
      </c>
      <c r="E5" s="16" t="str">
        <f>IFERROR(__xludf.DUMMYFUNCTION("""COMPUTED_VALUE"""),"Allocated Qty")</f>
        <v>Allocated Qty</v>
      </c>
      <c r="F5" s="16" t="str">
        <f>IFERROR(__xludf.DUMMYFUNCTION("""COMPUTED_VALUE"""),"Allocation Scheme Name")</f>
        <v>Allocation Scheme Name</v>
      </c>
      <c r="G5" s="16" t="str">
        <f>IFERROR(__xludf.DUMMYFUNCTION("""COMPUTED_VALUE"""),"Asset Category")</f>
        <v>Asset Category</v>
      </c>
      <c r="H5" s="16" t="str">
        <f>IFERROR(__xludf.DUMMYFUNCTION("""COMPUTED_VALUE"""),"AUEC Fee1")</f>
        <v>AUEC Fee1</v>
      </c>
      <c r="I5" s="16" t="str">
        <f>IFERROR(__xludf.DUMMYFUNCTION("""COMPUTED_VALUE"""),"AUEC Fee2")</f>
        <v>AUEC Fee2</v>
      </c>
      <c r="J5" s="16" t="str">
        <f>IFERROR(__xludf.DUMMYFUNCTION("""COMPUTED_VALUE"""),"AUECID")</f>
        <v>AUECID</v>
      </c>
      <c r="K5" s="16" t="str">
        <f>IFERROR(__xludf.DUMMYFUNCTION("""COMPUTED_VALUE"""),"Avg Price(Base)")</f>
        <v>Avg Price(Base)</v>
      </c>
      <c r="L5" s="16" t="str">
        <f>IFERROR(__xludf.DUMMYFUNCTION("""COMPUTED_VALUE"""),"Avg Price(Local)")</f>
        <v>Avg Price(Local)</v>
      </c>
      <c r="M5" s="16" t="str">
        <f>IFERROR(__xludf.DUMMYFUNCTION("""COMPUTED_VALUE"""),"Bloomberg")</f>
        <v>Bloomberg</v>
      </c>
      <c r="N5" s="16" t="str">
        <f>IFERROR(__xludf.DUMMYFUNCTION("""COMPUTED_VALUE"""),"Bond Type")</f>
        <v>Bond Type</v>
      </c>
      <c r="O5" s="16" t="str">
        <f>IFERROR(__xludf.DUMMYFUNCTION("""COMPUTED_VALUE"""),"Broker")</f>
        <v>Broker</v>
      </c>
      <c r="P5" s="16" t="str">
        <f>IFERROR(__xludf.DUMMYFUNCTION("""COMPUTED_VALUE"""),"Change Comment")</f>
        <v>Change Comment</v>
      </c>
      <c r="Q5" s="16" t="str">
        <f>IFERROR(__xludf.DUMMYFUNCTION("""COMPUTED_VALUE"""),"Change Type")</f>
        <v>Change Type</v>
      </c>
      <c r="R5" s="16" t="str">
        <f>IFERROR(__xludf.DUMMYFUNCTION("""COMPUTED_VALUE"""),"Clearing Broker Fee")</f>
        <v>Clearing Broker Fee</v>
      </c>
      <c r="S5" s="16" t="str">
        <f>IFERROR(__xludf.DUMMYFUNCTION("""COMPUTED_VALUE"""),"Closing Status")</f>
        <v>Closing Status</v>
      </c>
      <c r="T5" s="17" t="str">
        <f>IFERROR(__xludf.DUMMYFUNCTION("""COMPUTED_VALUE"""),"Commission")</f>
        <v>Commission</v>
      </c>
      <c r="U5" s="17" t="str">
        <f>IFERROR(__xludf.DUMMYFUNCTION("""COMPUTED_VALUE"""),"Commission Per Share")</f>
        <v>Commission Per Share</v>
      </c>
      <c r="V5" s="17" t="str">
        <f>IFERROR(__xludf.DUMMYFUNCTION("""COMPUTED_VALUE"""),"Company")</f>
        <v>Company</v>
      </c>
      <c r="W5" s="17" t="str">
        <f>IFERROR(__xludf.DUMMYFUNCTION("""COMPUTED_VALUE"""),"Contract Multiplier")</f>
        <v>Contract Multiplier</v>
      </c>
      <c r="X5" s="17" t="str">
        <f>IFERROR(__xludf.DUMMYFUNCTION("""COMPUTED_VALUE"""),"Coupon Rate")</f>
        <v>Coupon Rate</v>
      </c>
      <c r="Y5" s="17" t="str">
        <f>IFERROR(__xludf.DUMMYFUNCTION("""COMPUTED_VALUE"""),"Cum Qty For Sub Order")</f>
        <v>Cum Qty For Sub Order</v>
      </c>
      <c r="Z5" s="17" t="str">
        <f>IFERROR(__xludf.DUMMYFUNCTION("""COMPUTED_VALUE"""),"Currency")</f>
        <v>Currency</v>
      </c>
      <c r="AA5" s="17" t="str">
        <f>IFERROR(__xludf.DUMMYFUNCTION("""COMPUTED_VALUE"""),"Cusip Symbol")</f>
        <v>Cusip Symbol</v>
      </c>
      <c r="AB5" s="17" t="str">
        <f>IFERROR(__xludf.DUMMYFUNCTION("""COMPUTED_VALUE"""),"Delta")</f>
        <v>Delta</v>
      </c>
      <c r="AC5" s="17" t="str">
        <f>IFERROR(__xludf.DUMMYFUNCTION("""COMPUTED_VALUE"""),"Description")</f>
        <v>Description</v>
      </c>
      <c r="AD5" s="17" t="str">
        <f>IFERROR(__xludf.DUMMYFUNCTION("""COMPUTED_VALUE"""),"Exchange")</f>
        <v>Exchange</v>
      </c>
      <c r="AE5" s="17" t="str">
        <f>IFERROR(__xludf.DUMMYFUNCTION("""COMPUTED_VALUE"""),"Executed Qty")</f>
        <v>Executed Qty</v>
      </c>
      <c r="AF5" s="17" t="str">
        <f>IFERROR(__xludf.DUMMYFUNCTION("""COMPUTED_VALUE"""),"Exceution Time")</f>
        <v>Exceution Time</v>
      </c>
      <c r="AG5" s="17" t="str">
        <f>IFERROR(__xludf.DUMMYFUNCTION("""COMPUTED_VALUE"""),"Expiration Date")</f>
        <v>Expiration Date</v>
      </c>
      <c r="AH5" s="17" t="str">
        <f>IFERROR(__xludf.DUMMYFUNCTION("""COMPUTED_VALUE"""),"FX Conversion Operator")</f>
        <v>FX Conversion Operator</v>
      </c>
      <c r="AI5" s="17" t="str">
        <f>IFERROR(__xludf.DUMMYFUNCTION("""COMPUTED_VALUE"""),"FX Rate")</f>
        <v>FX Rate</v>
      </c>
      <c r="AJ5" s="17" t="str">
        <f>IFERROR(__xludf.DUMMYFUNCTION("""COMPUTED_VALUE"""),"Group Status")</f>
        <v>Group Status</v>
      </c>
      <c r="AK5" s="17" t="str">
        <f>IFERROR(__xludf.DUMMYFUNCTION("""COMPUTED_VALUE"""),"IDCOSymbol")</f>
        <v>IDCOSymbol</v>
      </c>
      <c r="AL5" s="17" t="str">
        <f>IFERROR(__xludf.DUMMYFUNCTION("""COMPUTED_VALUE"""),"Import File Name")</f>
        <v>Import File Name</v>
      </c>
      <c r="AM5" s="17" t="str">
        <f>IFERROR(__xludf.DUMMYFUNCTION("""COMPUTED_VALUE"""),"Internal Comments")</f>
        <v>Internal Comments</v>
      </c>
      <c r="AN5" s="17" t="str">
        <f>IFERROR(__xludf.DUMMYFUNCTION("""COMPUTED_VALUE"""),"IsAnotherTaxlotAttributesUpdated")</f>
        <v>IsAnotherTaxlotAttributesUpdated</v>
      </c>
      <c r="AO5" s="17" t="str">
        <f>IFERROR(__xludf.DUMMYFUNCTION("""COMPUTED_VALUE"""),"ISIN")</f>
        <v>ISIN</v>
      </c>
      <c r="AP5" s="17" t="str">
        <f>IFERROR(__xludf.DUMMYFUNCTION("""COMPUTED_VALUE"""),"IsManualGroup")</f>
        <v>IsManualGroup</v>
      </c>
      <c r="AQ5" s="17" t="str">
        <f>IFERROR(__xludf.DUMMYFUNCTION("""COMPUTED_VALUE"""),"ISNDF")</f>
        <v>ISNDF</v>
      </c>
      <c r="AR5" s="17" t="str">
        <f>IFERROR(__xludf.DUMMYFUNCTION("""COMPUTED_VALUE"""),"IsPreAllocated")</f>
        <v>IsPreAllocated</v>
      </c>
      <c r="AS5" s="17" t="str">
        <f>IFERROR(__xludf.DUMMYFUNCTION("""COMPUTED_VALUE"""),"M2MProfitLoss")</f>
        <v>M2MProfitLoss</v>
      </c>
      <c r="AT5" s="17" t="str">
        <f>IFERROR(__xludf.DUMMYFUNCTION("""COMPUTED_VALUE"""),"Net Amount( Base)")</f>
        <v>Net Amount( Base)</v>
      </c>
      <c r="AU5" s="17" t="str">
        <f>IFERROR(__xludf.DUMMYFUNCTION("""COMPUTED_VALUE"""),"Net Amount( Local)")</f>
        <v>Net Amount( Local)</v>
      </c>
      <c r="AV5" s="17" t="str">
        <f>IFERROR(__xludf.DUMMYFUNCTION("""COMPUTED_VALUE"""),"Nirvana Process Date")</f>
        <v>Nirvana Process Date</v>
      </c>
      <c r="AW5" s="17" t="str">
        <f>IFERROR(__xludf.DUMMYFUNCTION("""COMPUTED_VALUE"""),"OCC Fee")</f>
        <v>OCC Fee</v>
      </c>
      <c r="AX5" s="17" t="str">
        <f>IFERROR(__xludf.DUMMYFUNCTION("""COMPUTED_VALUE"""),"Option Premium Adjustment")</f>
        <v>Option Premium Adjustment</v>
      </c>
      <c r="AY5" s="17" t="str">
        <f>IFERROR(__xludf.DUMMYFUNCTION("""COMPUTED_VALUE"""),"Order Type")</f>
        <v>Order Type</v>
      </c>
      <c r="AZ5" s="17" t="str">
        <f>IFERROR(__xludf.DUMMYFUNCTION("""COMPUTED_VALUE"""),"ORF Fee")</f>
        <v>ORF Fee</v>
      </c>
      <c r="BA5" s="17" t="str">
        <f>IFERROR(__xludf.DUMMYFUNCTION("""COMPUTED_VALUE"""),"Original Purchase Date")</f>
        <v>Original Purchase Date</v>
      </c>
      <c r="BB5" s="17" t="str">
        <f>IFERROR(__xludf.DUMMYFUNCTION("""COMPUTED_VALUE"""),"OSISSymbol")</f>
        <v>OSISSymbol</v>
      </c>
      <c r="BC5" s="17" t="str">
        <f>IFERROR(__xludf.DUMMYFUNCTION("""COMPUTED_VALUE"""),"Other Broker Fees")</f>
        <v>Other Broker Fees</v>
      </c>
      <c r="BD5" s="17" t="str">
        <f>IFERROR(__xludf.DUMMYFUNCTION("""COMPUTED_VALUE"""),"Prana Msg Type")</f>
        <v>Prana Msg Type</v>
      </c>
      <c r="BE5" s="17" t="str">
        <f>IFERROR(__xludf.DUMMYFUNCTION("""COMPUTED_VALUE"""),"Principal Amount( Base)")</f>
        <v>Principal Amount( Base)</v>
      </c>
      <c r="BF5" s="17" t="str">
        <f>IFERROR(__xludf.DUMMYFUNCTION("""COMPUTED_VALUE"""),"Principal Amount( Local)")</f>
        <v>Principal Amount( Local)</v>
      </c>
      <c r="BG5" s="17" t="str">
        <f>IFERROR(__xludf.DUMMYFUNCTION("""COMPUTED_VALUE"""),"Process Date")</f>
        <v>Process Date</v>
      </c>
      <c r="BH5" s="17" t="str">
        <f>IFERROR(__xludf.DUMMYFUNCTION("""COMPUTED_VALUE"""),"Proxy Symbol")</f>
        <v>Proxy Symbol</v>
      </c>
      <c r="BI5" s="17" t="str">
        <f>IFERROR(__xludf.DUMMYFUNCTION("""COMPUTED_VALUE"""),"Put Or Call")</f>
        <v>Put Or Call</v>
      </c>
      <c r="BJ5" s="17" t="str">
        <f>IFERROR(__xludf.DUMMYFUNCTION("""COMPUTED_VALUE"""),"Quantity")</f>
        <v>Quantity</v>
      </c>
      <c r="BK5" s="17" t="str">
        <f>IFERROR(__xludf.DUMMYFUNCTION("""COMPUTED_VALUE"""),"SEC Fee")</f>
        <v>SEC Fee</v>
      </c>
      <c r="BL5" s="17" t="str">
        <f>IFERROR(__xludf.DUMMYFUNCTION("""COMPUTED_VALUE"""),"Sedol Symbol")</f>
        <v>Sedol Symbol</v>
      </c>
      <c r="BM5" s="17" t="str">
        <f>IFERROR(__xludf.DUMMYFUNCTION("""COMPUTED_VALUE"""),"Settlement Currency")</f>
        <v>Settlement Currency</v>
      </c>
      <c r="BN5" s="17" t="str">
        <f>IFERROR(__xludf.DUMMYFUNCTION("""COMPUTED_VALUE"""),"Settlement Date")</f>
        <v>Settlement Date</v>
      </c>
      <c r="BO5" s="17" t="str">
        <f>IFERROR(__xludf.DUMMYFUNCTION("""COMPUTED_VALUE"""),"Side")</f>
        <v>Side</v>
      </c>
      <c r="BP5" s="17" t="str">
        <f>IFERROR(__xludf.DUMMYFUNCTION("""COMPUTED_VALUE"""),"Soft Commission")</f>
        <v>Soft Commission</v>
      </c>
      <c r="BQ5" s="17" t="str">
        <f>IFERROR(__xludf.DUMMYFUNCTION("""COMPUTED_VALUE"""),"Soft Commission Per Share")</f>
        <v>Soft Commission Per Share</v>
      </c>
      <c r="BR5" s="17" t="str">
        <f>IFERROR(__xludf.DUMMYFUNCTION("""COMPUTED_VALUE"""),"Stamp Duty")</f>
        <v>Stamp Duty</v>
      </c>
      <c r="BS5" s="17" t="str">
        <f>IFERROR(__xludf.DUMMYFUNCTION("""COMPUTED_VALUE"""),"Strategy Name")</f>
        <v>Strategy Name</v>
      </c>
      <c r="BT5" s="17" t="str">
        <f>IFERROR(__xludf.DUMMYFUNCTION("""COMPUTED_VALUE"""),"Symbol")</f>
        <v>Symbol</v>
      </c>
      <c r="BU5" s="17" t="str">
        <f>IFERROR(__xludf.DUMMYFUNCTION("""COMPUTED_VALUE"""),"Tax On Commissions")</f>
        <v>Tax On Commissions</v>
      </c>
      <c r="BV5" s="17" t="str">
        <f>IFERROR(__xludf.DUMMYFUNCTION("""COMPUTED_VALUE"""),"Total Commission")</f>
        <v>Total Commission</v>
      </c>
      <c r="BW5" s="17" t="str">
        <f>IFERROR(__xludf.DUMMYFUNCTION("""COMPUTED_VALUE"""),"Total Commission And Fee")</f>
        <v>Total Commission And Fee</v>
      </c>
      <c r="BX5" s="17" t="str">
        <f>IFERROR(__xludf.DUMMYFUNCTION("""COMPUTED_VALUE"""),"Total Commission Per Share")</f>
        <v>Total Commission Per Share</v>
      </c>
      <c r="BY5" s="17" t="str">
        <f>IFERROR(__xludf.DUMMYFUNCTION("""COMPUTED_VALUE"""),"Trade Attribute 1")</f>
        <v>Trade Attribute 1</v>
      </c>
      <c r="BZ5" s="17" t="str">
        <f>IFERROR(__xludf.DUMMYFUNCTION("""COMPUTED_VALUE"""),"Trade Attribute 2")</f>
        <v>Trade Attribute 2</v>
      </c>
      <c r="CA5" s="17" t="str">
        <f>IFERROR(__xludf.DUMMYFUNCTION("""COMPUTED_VALUE"""),"Trade Attribute 3")</f>
        <v>Trade Attribute 3</v>
      </c>
      <c r="CB5" s="17" t="str">
        <f>IFERROR(__xludf.DUMMYFUNCTION("""COMPUTED_VALUE"""),"Trade Attribute 4")</f>
        <v>Trade Attribute 4</v>
      </c>
      <c r="CC5" s="17" t="str">
        <f>IFERROR(__xludf.DUMMYFUNCTION("""COMPUTED_VALUE"""),"Trade Attribute 5")</f>
        <v>Trade Attribute 5</v>
      </c>
      <c r="CD5" s="17" t="str">
        <f>IFERROR(__xludf.DUMMYFUNCTION("""COMPUTED_VALUE"""),"Trade Attribute 6")</f>
        <v>Trade Attribute 6</v>
      </c>
      <c r="CE5" s="17" t="str">
        <f>IFERROR(__xludf.DUMMYFUNCTION("""COMPUTED_VALUE"""),"Trade Date")</f>
        <v>Trade Date</v>
      </c>
      <c r="CF5" s="17" t="str">
        <f>IFERROR(__xludf.DUMMYFUNCTION("""COMPUTED_VALUE"""),"Trading Account")</f>
        <v>Trading Account</v>
      </c>
      <c r="CG5" s="17" t="str">
        <f>IFERROR(__xludf.DUMMYFUNCTION("""COMPUTED_VALUE"""),"Transaction Levy")</f>
        <v>Transaction Levy</v>
      </c>
      <c r="CH5" s="17" t="str">
        <f>IFERROR(__xludf.DUMMYFUNCTION("""COMPUTED_VALUE"""),"Transaction Source")</f>
        <v>Transaction Source</v>
      </c>
      <c r="CI5" s="17" t="str">
        <f>IFERROR(__xludf.DUMMYFUNCTION("""COMPUTED_VALUE"""),"Transaction Type")</f>
        <v>Transaction Type</v>
      </c>
      <c r="CJ5" s="17" t="str">
        <f>IFERROR(__xludf.DUMMYFUNCTION("""COMPUTED_VALUE"""),"UnAllocatedQty")</f>
        <v>UnAllocatedQty</v>
      </c>
      <c r="CK5" s="17" t="str">
        <f>IFERROR(__xludf.DUMMYFUNCTION("""COMPUTED_VALUE"""),"Underlying")</f>
        <v>Underlying</v>
      </c>
      <c r="CL5" s="17" t="str">
        <f>IFERROR(__xludf.DUMMYFUNCTION("""COMPUTED_VALUE"""),"Underlying Delta")</f>
        <v>Underlying Delta</v>
      </c>
      <c r="CM5" s="17" t="str">
        <f>IFERROR(__xludf.DUMMYFUNCTION("""COMPUTED_VALUE"""),"Underlying Symbol")</f>
        <v>Underlying Symbol</v>
      </c>
      <c r="CN5" s="17" t="str">
        <f>IFERROR(__xludf.DUMMYFUNCTION("""COMPUTED_VALUE"""),"User")</f>
        <v>User</v>
      </c>
      <c r="CO5" s="17" t="str">
        <f>IFERROR(__xludf.DUMMYFUNCTION("""COMPUTED_VALUE"""),"Venue")</f>
        <v>Venue</v>
      </c>
      <c r="CP5" s="17" t="str">
        <f>IFERROR(__xludf.DUMMYFUNCTION("""COMPUTED_VALUE"""),"Closing Method")</f>
        <v>Closing Method</v>
      </c>
      <c r="CQ5" s="17" t="str">
        <f>IFERROR(__xludf.DUMMYFUNCTION("""COMPUTED_VALUE"""),"Closing Date")</f>
        <v>Closing Date</v>
      </c>
      <c r="CR5" s="17" t="str">
        <f>IFERROR(__xludf.DUMMYFUNCTION("""COMPUTED_VALUE"""),"GroupID")</f>
        <v>GroupID</v>
      </c>
      <c r="CS5" s="17" t="str">
        <f>IFERROR(__xludf.DUMMYFUNCTION("""COMPUTED_VALUE"""),"Client")</f>
        <v>Client</v>
      </c>
      <c r="CT5" s="17" t="str">
        <f>IFERROR(__xludf.DUMMYFUNCTION("""COMPUTED_VALUE"""),"")</f>
        <v/>
      </c>
      <c r="CU5" s="17" t="str">
        <f>IFERROR(__xludf.DUMMYFUNCTION("""COMPUTED_VALUE"""),"")</f>
        <v/>
      </c>
      <c r="CV5" s="17" t="str">
        <f>IFERROR(__xludf.DUMMYFUNCTION("""COMPUTED_VALUE"""),"")</f>
        <v/>
      </c>
      <c r="CW5" s="17" t="str">
        <f>IFERROR(__xludf.DUMMYFUNCTION("""COMPUTED_VALUE"""),"")</f>
        <v/>
      </c>
      <c r="CX5" s="17" t="str">
        <f>IFERROR(__xludf.DUMMYFUNCTION("""COMPUTED_VALUE"""),"")</f>
        <v/>
      </c>
      <c r="CY5" s="17" t="str">
        <f>IFERROR(__xludf.DUMMYFUNCTION("""COMPUTED_VALUE"""),"")</f>
        <v/>
      </c>
      <c r="CZ5" s="17" t="str">
        <f>IFERROR(__xludf.DUMMYFUNCTION("""COMPUTED_VALUE"""),"")</f>
        <v/>
      </c>
      <c r="DA5" s="17" t="str">
        <f>IFERROR(__xludf.DUMMYFUNCTION("""COMPUTED_VALUE"""),"")</f>
        <v/>
      </c>
      <c r="DB5" s="17" t="str">
        <f>IFERROR(__xludf.DUMMYFUNCTION("""COMPUTED_VALUE"""),"")</f>
        <v/>
      </c>
      <c r="DC5" s="17" t="str">
        <f>IFERROR(__xludf.DUMMYFUNCTION("""COMPUTED_VALUE"""),"")</f>
        <v/>
      </c>
      <c r="DD5" s="17" t="str">
        <f>IFERROR(__xludf.DUMMYFUNCTION("""COMPUTED_VALUE"""),"")</f>
        <v/>
      </c>
      <c r="DE5" s="17" t="str">
        <f>IFERROR(__xludf.DUMMYFUNCTION("""COMPUTED_VALUE"""),"")</f>
        <v/>
      </c>
      <c r="DF5" s="17" t="str">
        <f>IFERROR(__xludf.DUMMYFUNCTION("""COMPUTED_VALUE"""),"")</f>
        <v/>
      </c>
      <c r="DG5" s="17" t="str">
        <f>IFERROR(__xludf.DUMMYFUNCTION("""COMPUTED_VALUE"""),"")</f>
        <v/>
      </c>
      <c r="DH5" s="17" t="str">
        <f>IFERROR(__xludf.DUMMYFUNCTION("""COMPUTED_VALUE"""),"")</f>
        <v/>
      </c>
    </row>
    <row r="6" ht="15.75" customHeight="1">
      <c r="A6" s="7"/>
      <c r="B6" s="4" t="s">
        <v>38</v>
      </c>
      <c r="BO6" s="4" t="s">
        <v>14</v>
      </c>
      <c r="BT6" s="4" t="s">
        <v>13</v>
      </c>
    </row>
    <row r="7" ht="15.75" customHeight="1">
      <c r="A7" s="7"/>
      <c r="B7" s="7" t="s">
        <v>42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BO7" s="7" t="s">
        <v>15</v>
      </c>
      <c r="BT7" s="7" t="s">
        <v>13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᷒䀀Ā֒&#10;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ErrorMessage="1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8"/>
      <c r="B1" s="1" t="s">
        <v>2</v>
      </c>
      <c r="C1" s="2"/>
      <c r="D1" s="2"/>
      <c r="E1" s="2"/>
      <c r="F1" s="2"/>
      <c r="G1" s="2"/>
      <c r="H1" s="3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0" t="str">
        <f>VLOOKUP($E$3,'_MasterData'!B4:D1000,3,FALSE)</f>
        <v>#N/A</v>
      </c>
      <c r="K2" s="11"/>
      <c r="L2" s="7"/>
      <c r="M2" s="7"/>
      <c r="N2" s="7"/>
      <c r="O2" s="7"/>
    </row>
    <row r="3" ht="15.75" customHeight="1">
      <c r="A3" s="5"/>
      <c r="B3" s="5" t="s">
        <v>3</v>
      </c>
      <c r="C3" s="12" t="s">
        <v>185</v>
      </c>
      <c r="D3" s="5" t="s">
        <v>5</v>
      </c>
      <c r="E3" s="12" t="s">
        <v>186</v>
      </c>
      <c r="F3" s="5" t="s">
        <v>7</v>
      </c>
      <c r="G3" s="12" t="s">
        <v>8</v>
      </c>
      <c r="H3" s="5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</row>
    <row r="4" ht="15.75" customHeight="1">
      <c r="A4" s="14"/>
      <c r="B4" s="14" t="str">
        <f>IFERROR(__xludf.DUMMYFUNCTION("IF(C3="""","""",Transpose(IMPORTRANGE('_Settings'!$B$3,C3&amp;""!A4:A1000"")))"),"#REF!")</f>
        <v>#REF!</v>
      </c>
      <c r="C4" s="14" t="s">
        <v>186</v>
      </c>
      <c r="D4" s="14" t="s">
        <v>187</v>
      </c>
      <c r="E4" s="14" t="s">
        <v>188</v>
      </c>
      <c r="F4" s="14" t="s">
        <v>189</v>
      </c>
      <c r="G4" s="14" t="s">
        <v>190</v>
      </c>
      <c r="H4" s="14" t="s">
        <v>191</v>
      </c>
      <c r="I4" s="14" t="s">
        <v>192</v>
      </c>
      <c r="J4" s="14" t="s">
        <v>193</v>
      </c>
      <c r="K4" s="14" t="s">
        <v>194</v>
      </c>
      <c r="L4" s="14"/>
      <c r="M4" s="14"/>
      <c r="N4" s="14"/>
      <c r="O4" s="14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</row>
    <row r="5" ht="15.75" customHeight="1">
      <c r="A5" s="16" t="str">
        <f>IFERROR(__xludf.DUMMYFUNCTION("TRANSPOSE(IMPORTRANGE(VLOOKUP($E$3,IMPORTRANGE('_Settings'!$B$3,$C$3&amp;""!A4:B1000""),2,FALSE),$G$3&amp;""!A4:A1000""))"),"")</f>
        <v/>
      </c>
      <c r="B5" s="16" t="str">
        <f>IFERROR(__xludf.DUMMYFUNCTION("""COMPUTED_VALUE"""),"Trade Date")</f>
        <v>Trade Date</v>
      </c>
      <c r="C5" s="16" t="str">
        <f>IFERROR(__xludf.DUMMYFUNCTION("""COMPUTED_VALUE"""),"Symbol")</f>
        <v>Symbol</v>
      </c>
      <c r="D5" s="16" t="str">
        <f>IFERROR(__xludf.DUMMYFUNCTION("""COMPUTED_VALUE"""),"Position")</f>
        <v>Position</v>
      </c>
      <c r="E5" s="16" t="str">
        <f>IFERROR(__xludf.DUMMYFUNCTION("""COMPUTED_VALUE"""),"Account")</f>
        <v>Account</v>
      </c>
      <c r="F5" s="16" t="str">
        <f>IFERROR(__xludf.DUMMYFUNCTION("""COMPUTED_VALUE"""),"MasterFund")</f>
        <v>MasterFund</v>
      </c>
      <c r="G5" s="16" t="str">
        <f>IFERROR(__xludf.DUMMYFUNCTION("""COMPUTED_VALUE"""),"Cost Basis")</f>
        <v>Cost Basis</v>
      </c>
      <c r="H5" s="16" t="str">
        <f>IFERROR(__xludf.DUMMYFUNCTION("""COMPUTED_VALUE"""),"Position Side")</f>
        <v>Position Side</v>
      </c>
      <c r="I5" s="16" t="str">
        <f>IFERROR(__xludf.DUMMYFUNCTION("""COMPUTED_VALUE"""),"Market Value (Base)")</f>
        <v>Market Value (Base)</v>
      </c>
      <c r="J5" s="16" t="str">
        <f>IFERROR(__xludf.DUMMYFUNCTION("""COMPUTED_VALUE"""),"% Day P&amp;L (Gross MV)")</f>
        <v>% Day P&amp;L (Gross MV)</v>
      </c>
      <c r="K5" s="16" t="str">
        <f>IFERROR(__xludf.DUMMYFUNCTION("""COMPUTED_VALUE"""),"Net Exposure (Base)")</f>
        <v>Net Exposure (Base)</v>
      </c>
      <c r="L5" s="16" t="str">
        <f>IFERROR(__xludf.DUMMYFUNCTION("""COMPUTED_VALUE"""),"Beta Adj. Gross Exposure (Base)")</f>
        <v>Beta Adj. Gross Exposure (Base)</v>
      </c>
      <c r="M5" s="16" t="str">
        <f>IFERROR(__xludf.DUMMYFUNCTION("""COMPUTED_VALUE"""),"Beta Adj. Gross Exposure (Underlying) (Base)")</f>
        <v>Beta Adj. Gross Exposure (Underlying) (Base)</v>
      </c>
      <c r="N5" s="16" t="str">
        <f>IFERROR(__xludf.DUMMYFUNCTION("""COMPUTED_VALUE"""),"Day P&amp;L (Base)")</f>
        <v>Day P&amp;L (Base)</v>
      </c>
      <c r="O5" s="16" t="str">
        <f>IFERROR(__xludf.DUMMYFUNCTION("""COMPUTED_VALUE"""),"Security Name")</f>
        <v>Security Name</v>
      </c>
      <c r="P5" s="16" t="str">
        <f>IFERROR(__xludf.DUMMYFUNCTION("""COMPUTED_VALUE"""),"Closing Mark")</f>
        <v>Closing Mark</v>
      </c>
      <c r="Q5" s="16" t="str">
        <f>IFERROR(__xludf.DUMMYFUNCTION("""COMPUTED_VALUE"""),"Cost Basis P&amp;L (Base)")</f>
        <v>Cost Basis P&amp;L (Base)</v>
      </c>
      <c r="R5" s="16" t="str">
        <f>IFERROR(__xludf.DUMMYFUNCTION("""COMPUTED_VALUE"""),"Prime Broker")</f>
        <v>Prime Broker</v>
      </c>
      <c r="S5" s="16" t="str">
        <f>IFERROR(__xludf.DUMMYFUNCTION("""COMPUTED_VALUE"""),"Strategy")</f>
        <v>Strategy</v>
      </c>
      <c r="T5" s="17" t="str">
        <f>IFERROR(__xludf.DUMMYFUNCTION("""COMPUTED_VALUE"""),"Asset Class")</f>
        <v>Asset Class</v>
      </c>
      <c r="U5" s="17" t="str">
        <f>IFERROR(__xludf.DUMMYFUNCTION("""COMPUTED_VALUE"""),"Underlying")</f>
        <v>Underlying</v>
      </c>
      <c r="V5" s="17" t="str">
        <f>IFERROR(__xludf.DUMMYFUNCTION("""COMPUTED_VALUE"""),"Exchange")</f>
        <v>Exchange</v>
      </c>
      <c r="W5" s="17" t="str">
        <f>IFERROR(__xludf.DUMMYFUNCTION("""COMPUTED_VALUE"""),"Trade Currency")</f>
        <v>Trade Currency</v>
      </c>
      <c r="X5" s="17" t="str">
        <f>IFERROR(__xludf.DUMMYFUNCTION("""COMPUTED_VALUE"""),"Multiplier")</f>
        <v>Multiplier</v>
      </c>
      <c r="Y5" s="17" t="str">
        <f>IFERROR(__xludf.DUMMYFUNCTION("""COMPUTED_VALUE"""),"FX Rate")</f>
        <v>FX Rate</v>
      </c>
      <c r="Z5" s="17" t="str">
        <f>IFERROR(__xludf.DUMMYFUNCTION("""COMPUTED_VALUE"""),"Vs Currency")</f>
        <v>Vs Currency</v>
      </c>
      <c r="AA5" s="17" t="str">
        <f>IFERROR(__xludf.DUMMYFUNCTION("""COMPUTED_VALUE"""),"Lead Currency")</f>
        <v>Lead Currency</v>
      </c>
      <c r="AB5" s="17" t="str">
        <f>IFERROR(__xludf.DUMMYFUNCTION("""COMPUTED_VALUE"""),"Dividend Yield (%)")</f>
        <v>Dividend Yield (%)</v>
      </c>
      <c r="AC5" s="17" t="str">
        <f>IFERROR(__xludf.DUMMYFUNCTION("""COMPUTED_VALUE"""),"% Change")</f>
        <v>% Change</v>
      </c>
      <c r="AD5" s="17" t="str">
        <f>IFERROR(__xludf.DUMMYFUNCTION("""COMPUTED_VALUE"""),"Net Exposure (Local)")</f>
        <v>Net Exposure (Local)</v>
      </c>
      <c r="AE5" s="17" t="str">
        <f>IFERROR(__xludf.DUMMYFUNCTION("""COMPUTED_VALUE"""),"Exposure (Local)")</f>
        <v>Exposure (Local)</v>
      </c>
      <c r="AF5" s="17" t="str">
        <f>IFERROR(__xludf.DUMMYFUNCTION("""COMPUTED_VALUE"""),"Delta Adj. Position")</f>
        <v>Delta Adj. Position</v>
      </c>
      <c r="AG5" s="17" t="str">
        <f>IFERROR(__xludf.DUMMYFUNCTION("""COMPUTED_VALUE"""),"Exposure (Base)")</f>
        <v>Exposure (Base)</v>
      </c>
      <c r="AH5" s="17" t="str">
        <f>IFERROR(__xludf.DUMMYFUNCTION("""COMPUTED_VALUE"""),"Beta Adj. Exposure (Local)")</f>
        <v>Beta Adj. Exposure (Local)</v>
      </c>
      <c r="AI5" s="17" t="str">
        <f>IFERROR(__xludf.DUMMYFUNCTION("""COMPUTED_VALUE"""),"Beta Adj. Exposure (Base)")</f>
        <v>Beta Adj. Exposure (Base)</v>
      </c>
      <c r="AJ5" s="17" t="str">
        <f>IFERROR(__xludf.DUMMYFUNCTION("""COMPUTED_VALUE"""),"Exposure (BP)(Base)")</f>
        <v>Exposure (BP)(Base)</v>
      </c>
      <c r="AK5" s="17" t="str">
        <f>IFERROR(__xludf.DUMMYFUNCTION("""COMPUTED_VALUE"""),"Day P&amp;L (Local)")</f>
        <v>Day P&amp;L (Local)</v>
      </c>
      <c r="AL5" s="17" t="str">
        <f>IFERROR(__xludf.DUMMYFUNCTION("""COMPUTED_VALUE"""),"Delta")</f>
        <v>Delta</v>
      </c>
      <c r="AM5" s="17" t="str">
        <f>IFERROR(__xludf.DUMMYFUNCTION("""COMPUTED_VALUE"""),"Leveraged Factor")</f>
        <v>Leveraged Factor</v>
      </c>
      <c r="AN5" s="17" t="str">
        <f>IFERROR(__xludf.DUMMYFUNCTION("""COMPUTED_VALUE"""),"Order Side")</f>
        <v>Order Side</v>
      </c>
      <c r="AO5" s="17" t="str">
        <f>IFERROR(__xludf.DUMMYFUNCTION("""COMPUTED_VALUE"""),"Master Strategy")</f>
        <v>Master Strategy</v>
      </c>
      <c r="AP5" s="17" t="str">
        <f>IFERROR(__xludf.DUMMYFUNCTION("""COMPUTED_VALUE"""),"Transaction Side")</f>
        <v>Transaction Side</v>
      </c>
      <c r="AQ5" s="17" t="str">
        <f>IFERROR(__xludf.DUMMYFUNCTION("""COMPUTED_VALUE"""),"Underlying Symbol")</f>
        <v>Underlying Symbol</v>
      </c>
      <c r="AR5" s="17" t="str">
        <f>IFERROR(__xludf.DUMMYFUNCTION("""COMPUTED_VALUE"""),"Underlying Price")</f>
        <v>Underlying Price</v>
      </c>
      <c r="AS5" s="17" t="str">
        <f>IFERROR(__xludf.DUMMYFUNCTION("""COMPUTED_VALUE"""),"Side Multiplier")</f>
        <v>Side Multiplier</v>
      </c>
      <c r="AT5" s="17" t="str">
        <f>IFERROR(__xludf.DUMMYFUNCTION("""COMPUTED_VALUE"""),"Description")</f>
        <v>Description</v>
      </c>
      <c r="AU5" s="17" t="str">
        <f>IFERROR(__xludf.DUMMYFUNCTION("""COMPUTED_VALUE"""),"Internal Comments")</f>
        <v>Internal Comments</v>
      </c>
      <c r="AV5" s="17" t="str">
        <f>IFERROR(__xludf.DUMMYFUNCTION("""COMPUTED_VALUE"""),"FX Rate On Trade Date")</f>
        <v>FX Rate On Trade Date</v>
      </c>
      <c r="AW5" s="17" t="str">
        <f>IFERROR(__xludf.DUMMYFUNCTION("""COMPUTED_VALUE"""),"Cost Basis P&amp;L (Local)")</f>
        <v>Cost Basis P&amp;L (Local)</v>
      </c>
      <c r="AX5" s="17" t="str">
        <f>IFERROR(__xludf.DUMMYFUNCTION("""COMPUTED_VALUE"""),"Day Interest")</f>
        <v>Day Interest</v>
      </c>
      <c r="AY5" s="17" t="str">
        <f>IFERROR(__xludf.DUMMYFUNCTION("""COMPUTED_VALUE"""),"Total Interest")</f>
        <v>Total Interest</v>
      </c>
      <c r="AZ5" s="17" t="str">
        <f>IFERROR(__xludf.DUMMYFUNCTION("""COMPUTED_VALUE"""),"Market Value (Local)")</f>
        <v>Market Value (Local)</v>
      </c>
      <c r="BA5" s="17" t="str">
        <f>IFERROR(__xludf.DUMMYFUNCTION("""COMPUTED_VALUE"""),"% Gain/Loss Day")</f>
        <v>% Gain/Loss Day</v>
      </c>
      <c r="BB5" s="17" t="str">
        <f>IFERROR(__xludf.DUMMYFUNCTION("""COMPUTED_VALUE"""),"Update Time (Last Price)")</f>
        <v>Update Time (Last Price)</v>
      </c>
      <c r="BC5" s="17" t="str">
        <f>IFERROR(__xludf.DUMMYFUNCTION("""COMPUTED_VALUE"""),"Beta")</f>
        <v>Beta</v>
      </c>
      <c r="BD5" s="17" t="str">
        <f>IFERROR(__xludf.DUMMYFUNCTION("""COMPUTED_VALUE"""),"Cash Impact (Local)")</f>
        <v>Cash Impact (Local)</v>
      </c>
      <c r="BE5" s="17" t="str">
        <f>IFERROR(__xludf.DUMMYFUNCTION("""COMPUTED_VALUE"""),"User Asset")</f>
        <v>User Asset</v>
      </c>
      <c r="BF5" s="17" t="str">
        <f>IFERROR(__xludf.DUMMYFUNCTION("""COMPUTED_VALUE"""),"Security Type")</f>
        <v>Security Type</v>
      </c>
      <c r="BG5" s="17" t="str">
        <f>IFERROR(__xludf.DUMMYFUNCTION("""COMPUTED_VALUE"""),"Sector")</f>
        <v>Sector</v>
      </c>
      <c r="BH5" s="17" t="str">
        <f>IFERROR(__xludf.DUMMYFUNCTION("""COMPUTED_VALUE"""),"Sub Sector")</f>
        <v>Sub Sector</v>
      </c>
      <c r="BI5" s="17" t="str">
        <f>IFERROR(__xludf.DUMMYFUNCTION("""COMPUTED_VALUE"""),"Country")</f>
        <v>Country</v>
      </c>
      <c r="BJ5" s="17" t="str">
        <f>IFERROR(__xludf.DUMMYFUNCTION("""COMPUTED_VALUE"""),"Market Cap")</f>
        <v>Market Cap</v>
      </c>
      <c r="BK5" s="17" t="str">
        <f>IFERROR(__xludf.DUMMYFUNCTION("""COMPUTED_VALUE"""),"Shares Outstanding")</f>
        <v>Shares Outstanding</v>
      </c>
      <c r="BL5" s="17" t="str">
        <f>IFERROR(__xludf.DUMMYFUNCTION("""COMPUTED_VALUE"""),"Avg Volume 20 Day")</f>
        <v>Avg Volume 20 Day</v>
      </c>
      <c r="BM5" s="17" t="str">
        <f>IFERROR(__xludf.DUMMYFUNCTION("""COMPUTED_VALUE"""),"% Avg Volume (Delta Adj.)")</f>
        <v>% Avg Volume (Delta Adj.)</v>
      </c>
      <c r="BN5" s="17" t="str">
        <f>IFERROR(__xludf.DUMMYFUNCTION("""COMPUTED_VALUE"""),"Ex Dividend Date")</f>
        <v>Ex Dividend Date</v>
      </c>
      <c r="BO5" s="17" t="str">
        <f>IFERROR(__xludf.DUMMYFUNCTION("""COMPUTED_VALUE"""),"Cash Impact (Base)")</f>
        <v>Cash Impact (Base)</v>
      </c>
      <c r="BP5" s="17" t="str">
        <f>IFERROR(__xludf.DUMMYFUNCTION("""COMPUTED_VALUE"""),"Volatility (%)")</f>
        <v>Volatility (%)</v>
      </c>
      <c r="BQ5" s="17" t="str">
        <f>IFERROR(__xludf.DUMMYFUNCTION("""COMPUTED_VALUE"""),"User")</f>
        <v>User</v>
      </c>
      <c r="BR5" s="17" t="str">
        <f>IFERROR(__xludf.DUMMYFUNCTION("""COMPUTED_VALUE"""),"Broker")</f>
        <v>Broker</v>
      </c>
      <c r="BS5" s="17" t="str">
        <f>IFERROR(__xludf.DUMMYFUNCTION("""COMPUTED_VALUE"""),"Earned Dividend (Local)")</f>
        <v>Earned Dividend (Local)</v>
      </c>
      <c r="BT5" s="17" t="str">
        <f>IFERROR(__xludf.DUMMYFUNCTION("""COMPUTED_VALUE"""),"Earned Dividend (Base)")</f>
        <v>Earned Dividend (Base)</v>
      </c>
      <c r="BU5" s="17" t="str">
        <f>IFERROR(__xludf.DUMMYFUNCTION("""COMPUTED_VALUE"""),"Put/Call")</f>
        <v>Put/Call</v>
      </c>
      <c r="BV5" s="17" t="str">
        <f>IFERROR(__xludf.DUMMYFUNCTION("""COMPUTED_VALUE"""),"Expiration Date")</f>
        <v>Expiration Date</v>
      </c>
      <c r="BW5" s="17" t="str">
        <f>IFERROR(__xludf.DUMMYFUNCTION("""COMPUTED_VALUE"""),"Strike Price")</f>
        <v>Strike Price</v>
      </c>
      <c r="BX5" s="17" t="str">
        <f>IFERROR(__xludf.DUMMYFUNCTION("""COMPUTED_VALUE"""),"Gross Exposure (Base)")</f>
        <v>Gross Exposure (Base)</v>
      </c>
      <c r="BY5" s="17" t="str">
        <f>IFERROR(__xludf.DUMMYFUNCTION("""COMPUTED_VALUE"""),"Gross Market Value (Base)")</f>
        <v>Gross Market Value (Base)</v>
      </c>
      <c r="BZ5" s="17" t="str">
        <f>IFERROR(__xludf.DUMMYFUNCTION("""COMPUTED_VALUE"""),"Px Selected Feed (Local)")</f>
        <v>Px Selected Feed (Local)</v>
      </c>
      <c r="CA5" s="17" t="str">
        <f>IFERROR(__xludf.DUMMYFUNCTION("""COMPUTED_VALUE"""),"Px Selected Feed (Base)")</f>
        <v>Px Selected Feed (Base)</v>
      </c>
      <c r="CB5" s="17" t="str">
        <f>IFERROR(__xludf.DUMMYFUNCTION("""COMPUTED_VALUE"""),"Settlement Date")</f>
        <v>Settlement Date</v>
      </c>
      <c r="CC5" s="17" t="str">
        <f>IFERROR(__xludf.DUMMYFUNCTION("""COMPUTED_VALUE"""),"% Avg Volume")</f>
        <v>% Avg Volume</v>
      </c>
      <c r="CD5" s="17" t="str">
        <f>IFERROR(__xludf.DUMMYFUNCTION("""COMPUTED_VALUE"""),"Day P&amp;L (Base)(Price Gain)")</f>
        <v>Day P&amp;L (Base)(Price Gain)</v>
      </c>
      <c r="CE5" s="17" t="str">
        <f>IFERROR(__xludf.DUMMYFUNCTION("""COMPUTED_VALUE"""),"Day P&amp;L (Base)(FX Gain)")</f>
        <v>Day P&amp;L (Base)(FX Gain)</v>
      </c>
      <c r="CF5" s="17" t="str">
        <f>IFERROR(__xludf.DUMMYFUNCTION("""COMPUTED_VALUE"""),"Cost Basis P&amp;L (Base)(FX Gain)")</f>
        <v>Cost Basis P&amp;L (Base)(FX Gain)</v>
      </c>
      <c r="CG5" s="17" t="str">
        <f>IFERROR(__xludf.DUMMYFUNCTION("""COMPUTED_VALUE"""),"Cost Basis P&amp;L (Base)(Price Gain)")</f>
        <v>Cost Basis P&amp;L (Base)(Price Gain)</v>
      </c>
      <c r="CH5" s="17" t="str">
        <f>IFERROR(__xludf.DUMMYFUNCTION("""COMPUTED_VALUE"""),"% Gain/Loss Cost")</f>
        <v>% Gain/Loss Cost</v>
      </c>
      <c r="CI5" s="17" t="str">
        <f>IFERROR(__xludf.DUMMYFUNCTION("""COMPUTED_VALUE"""),"Underlying Value (Options)")</f>
        <v>Underlying Value (Options)</v>
      </c>
      <c r="CJ5" s="17" t="str">
        <f>IFERROR(__xludf.DUMMYFUNCTION("""COMPUTED_VALUE"""),"Avg Volume 20 Day (Underlying Symbol)")</f>
        <v>Avg Volume 20 Day (Underlying Symbol)</v>
      </c>
      <c r="CK5" s="17" t="str">
        <f>IFERROR(__xludf.DUMMYFUNCTION("""COMPUTED_VALUE"""),"IsStaleData")</f>
        <v>IsStaleData</v>
      </c>
      <c r="CL5" s="17" t="str">
        <f>IFERROR(__xludf.DUMMYFUNCTION("""COMPUTED_VALUE"""),"IDCO")</f>
        <v>IDCO</v>
      </c>
      <c r="CM5" s="17" t="str">
        <f>IFERROR(__xludf.DUMMYFUNCTION("""COMPUTED_VALUE"""),"OSI")</f>
        <v>OSI</v>
      </c>
      <c r="CN5" s="17" t="str">
        <f>IFERROR(__xludf.DUMMYFUNCTION("""COMPUTED_VALUE"""),"SEDOL")</f>
        <v>SEDOL</v>
      </c>
      <c r="CO5" s="17" t="str">
        <f>IFERROR(__xludf.DUMMYFUNCTION("""COMPUTED_VALUE"""),"CUSIP")</f>
        <v>CUSIP</v>
      </c>
      <c r="CP5" s="17" t="str">
        <f>IFERROR(__xludf.DUMMYFUNCTION("""COMPUTED_VALUE"""),"Bloomberg")</f>
        <v>Bloomberg</v>
      </c>
      <c r="CQ5" s="17" t="str">
        <f>IFERROR(__xludf.DUMMYFUNCTION("""COMPUTED_VALUE"""),"ISIN")</f>
        <v>ISIN</v>
      </c>
      <c r="CR5" s="17" t="str">
        <f>IFERROR(__xludf.DUMMYFUNCTION("""COMPUTED_VALUE"""),"Start Trade Date")</f>
        <v>Start Trade Date</v>
      </c>
      <c r="CS5" s="17" t="str">
        <f>IFERROR(__xludf.DUMMYFUNCTION("""COMPUTED_VALUE"""),"Cost Basis (Break Even)")</f>
        <v>Cost Basis (Break Even)</v>
      </c>
      <c r="CT5" s="17" t="str">
        <f>IFERROR(__xludf.DUMMYFUNCTION("""COMPUTED_VALUE"""),"Trade Attribute 3")</f>
        <v>Trade Attribute 3</v>
      </c>
      <c r="CU5" s="17" t="str">
        <f>IFERROR(__xludf.DUMMYFUNCTION("""COMPUTED_VALUE"""),"Trade Attribute 4")</f>
        <v>Trade Attribute 4</v>
      </c>
      <c r="CV5" s="17" t="str">
        <f>IFERROR(__xludf.DUMMYFUNCTION("""COMPUTED_VALUE"""),"Trade Attribute 5")</f>
        <v>Trade Attribute 5</v>
      </c>
      <c r="CW5" s="17" t="str">
        <f>IFERROR(__xludf.DUMMYFUNCTION("""COMPUTED_VALUE"""),"Trade Attribute 6")</f>
        <v>Trade Attribute 6</v>
      </c>
      <c r="CX5" s="17" t="str">
        <f>IFERROR(__xludf.DUMMYFUNCTION("""COMPUTED_VALUE"""),"Proxy Symbol")</f>
        <v>Proxy Symbol</v>
      </c>
      <c r="CY5" s="17" t="str">
        <f>IFERROR(__xludf.DUMMYFUNCTION("""COMPUTED_VALUE"""),"Pricing Source")</f>
        <v>Pricing Source</v>
      </c>
      <c r="CZ5" s="17" t="str">
        <f>IFERROR(__xludf.DUMMYFUNCTION("""COMPUTED_VALUE"""),"Delta Source")</f>
        <v>Delta Source</v>
      </c>
      <c r="DA5" s="17" t="str">
        <f>IFERROR(__xludf.DUMMYFUNCTION("""COMPUTED_VALUE"""),"Gross Exposure (Local)")</f>
        <v>Gross Exposure (Local)</v>
      </c>
      <c r="DB5" s="17" t="str">
        <f>IFERROR(__xludf.DUMMYFUNCTION("""COMPUTED_VALUE"""),"% Day P&amp;L (Net MV)")</f>
        <v>% Day P&amp;L (Net MV)</v>
      </c>
      <c r="DC5" s="17" t="str">
        <f>IFERROR(__xludf.DUMMYFUNCTION("""COMPUTED_VALUE"""),"Expiration Month")</f>
        <v>Expiration Month</v>
      </c>
      <c r="DD5" s="17" t="str">
        <f>IFERROR(__xludf.DUMMYFUNCTION("""COMPUTED_VALUE"""),"Delta Adj. Position (LME)")</f>
        <v>Delta Adj. Position (LME)</v>
      </c>
      <c r="DE5" s="17" t="str">
        <f>IFERROR(__xludf.DUMMYFUNCTION("""COMPUTED_VALUE"""),"Premium")</f>
        <v>Premium</v>
      </c>
      <c r="DF5" s="17" t="str">
        <f>IFERROR(__xludf.DUMMYFUNCTION("""COMPUTED_VALUE"""),"Premium $")</f>
        <v>Premium $</v>
      </c>
      <c r="DG5" s="17" t="str">
        <f>IFERROR(__xludf.DUMMYFUNCTION("""COMPUTED_VALUE"""),"Forward Points")</f>
        <v>Forward Points</v>
      </c>
      <c r="DH5" s="17" t="str">
        <f>IFERROR(__xludf.DUMMYFUNCTION("""COMPUTED_VALUE"""),"Closing Mark (Underlying)")</f>
        <v>Closing Mark (Underlying)</v>
      </c>
      <c r="DI5" s="17" t="str">
        <f>IFERROR(__xludf.DUMMYFUNCTION("""COMPUTED_VALUE"""),"% Change (Underlying Price)")</f>
        <v>% Change (Underlying Price)</v>
      </c>
      <c r="DJ5" s="17" t="str">
        <f>IFERROR(__xludf.DUMMYFUNCTION("""COMPUTED_VALUE"""),"Transaction Type")</f>
        <v>Transaction Type</v>
      </c>
      <c r="DK5" s="17" t="str">
        <f>IFERROR(__xludf.DUMMYFUNCTION("""COMPUTED_VALUE"""),"Closing Market Value (Local)")</f>
        <v>Closing Market Value (Local)</v>
      </c>
      <c r="DL5" s="17" t="str">
        <f>IFERROR(__xludf.DUMMYFUNCTION("""COMPUTED_VALUE"""),"Closing Market Value (Base)")</f>
        <v>Closing Market Value (Base)</v>
      </c>
      <c r="DM5" s="17" t="str">
        <f>IFERROR(__xludf.DUMMYFUNCTION("""COMPUTED_VALUE"""),"Closing FX Rate")</f>
        <v>Closing FX Rate</v>
      </c>
      <c r="DN5" s="17" t="str">
        <f>IFERROR(__xludf.DUMMYFUNCTION("""COMPUTED_VALUE"""),"Change In Underlying Price")</f>
        <v>Change In Underlying Price</v>
      </c>
      <c r="DO5" s="17" t="str">
        <f>IFERROR(__xludf.DUMMYFUNCTION("""COMPUTED_VALUE"""),"RIC")</f>
        <v>RIC</v>
      </c>
      <c r="DP5" s="17" t="str">
        <f>IFERROR(__xludf.DUMMYFUNCTION("""COMPUTED_VALUE"""),"Position Side Exposure (Boxed)")</f>
        <v>Position Side Exposure (Boxed)</v>
      </c>
      <c r="DQ5" s="17" t="str">
        <f>IFERROR(__xludf.DUMMYFUNCTION("""COMPUTED_VALUE"""),"Analyst")</f>
        <v>Analyst</v>
      </c>
      <c r="DR5" s="17" t="str">
        <f>IFERROR(__xludf.DUMMYFUNCTION("""COMPUTED_VALUE"""),"Country Of Risk")</f>
        <v>Country Of Risk</v>
      </c>
      <c r="DS5" s="17" t="str">
        <f>IFERROR(__xludf.DUMMYFUNCTION("""COMPUTED_VALUE"""),"Custom UDA1")</f>
        <v>Custom UDA1</v>
      </c>
      <c r="DT5" s="17" t="str">
        <f>IFERROR(__xludf.DUMMYFUNCTION("""COMPUTED_VALUE"""),"Custom UDA2")</f>
        <v>Custom UDA2</v>
      </c>
      <c r="DU5" s="17" t="str">
        <f>IFERROR(__xludf.DUMMYFUNCTION("""COMPUTED_VALUE"""),"Custom UDA3")</f>
        <v>Custom UDA3</v>
      </c>
      <c r="DV5" s="17" t="str">
        <f>IFERROR(__xludf.DUMMYFUNCTION("""COMPUTED_VALUE"""),"Custom UDA4")</f>
        <v>Custom UDA4</v>
      </c>
      <c r="DW5" s="17" t="str">
        <f>IFERROR(__xludf.DUMMYFUNCTION("""COMPUTED_VALUE"""),"Custom UDA5")</f>
        <v>Custom UDA5</v>
      </c>
      <c r="DX5" s="17" t="str">
        <f>IFERROR(__xludf.DUMMYFUNCTION("""COMPUTED_VALUE"""),"Custom UDA6")</f>
        <v>Custom UDA6</v>
      </c>
      <c r="DY5" s="17" t="str">
        <f>IFERROR(__xludf.DUMMYFUNCTION("""COMPUTED_VALUE"""),"Custom UDA7")</f>
        <v>Custom UDA7</v>
      </c>
      <c r="DZ5" s="17" t="str">
        <f>IFERROR(__xludf.DUMMYFUNCTION("""COMPUTED_VALUE"""),"Issuer")</f>
        <v>Issuer</v>
      </c>
      <c r="EA5" s="17" t="str">
        <f>IFERROR(__xludf.DUMMYFUNCTION("""COMPUTED_VALUE"""),"Liquid Tag")</f>
        <v>Liquid Tag</v>
      </c>
      <c r="EB5" s="17" t="str">
        <f>IFERROR(__xludf.DUMMYFUNCTION("""COMPUTED_VALUE"""),"Market Cap UDA")</f>
        <v>Market Cap UDA</v>
      </c>
      <c r="EC5" s="17" t="str">
        <f>IFERROR(__xludf.DUMMYFUNCTION("""COMPUTED_VALUE"""),"Region")</f>
        <v>Region</v>
      </c>
      <c r="ED5" s="17" t="str">
        <f>IFERROR(__xludf.DUMMYFUNCTION("""COMPUTED_VALUE"""),"Risk Currency")</f>
        <v>Risk Currency</v>
      </c>
      <c r="EE5" s="17" t="str">
        <f>IFERROR(__xludf.DUMMYFUNCTION("""COMPUTED_VALUE"""),"UCITS Eligible Tag")</f>
        <v>UCITS Eligible Tag</v>
      </c>
      <c r="EF5" s="17" t="str">
        <f>IFERROR(__xludf.DUMMYFUNCTION("""COMPUTED_VALUE"""),"FX Rate (Display)")</f>
        <v>FX Rate (Display)</v>
      </c>
      <c r="EG5" s="17" t="str">
        <f>IFERROR(__xludf.DUMMYFUNCTION("""COMPUTED_VALUE"""),"% Net Exposure (Base)")</f>
        <v>% Net Exposure (Base)</v>
      </c>
      <c r="EH5" s="17" t="str">
        <f>IFERROR(__xludf.DUMMYFUNCTION("""COMPUTED_VALUE"""),"% Gross Exposure (Base)")</f>
        <v>% Gross Exposure (Base)</v>
      </c>
      <c r="EI5" s="17" t="str">
        <f>IFERROR(__xludf.DUMMYFUNCTION("""COMPUTED_VALUE"""),"% Exposure (Base)")</f>
        <v>% Exposure (Base)</v>
      </c>
      <c r="EJ5" s="17" t="str">
        <f>IFERROR(__xludf.DUMMYFUNCTION("""COMPUTED_VALUE"""),"% Gross Exposure (Underlying) (Base)")</f>
        <v>% Gross Exposure (Underlying) (Base)</v>
      </c>
      <c r="EK5" s="17" t="str">
        <f>IFERROR(__xludf.DUMMYFUNCTION("""COMPUTED_VALUE"""),"% Beta Adj. Gross Exposure (Base)")</f>
        <v>% Beta Adj. Gross Exposure (Base)</v>
      </c>
      <c r="EL5" s="17" t="str">
        <f>IFERROR(__xludf.DUMMYFUNCTION("""COMPUTED_VALUE"""),"Position Side Exposure (Underlying)")</f>
        <v>Position Side Exposure (Underlying)</v>
      </c>
      <c r="EM5" s="17" t="str">
        <f>IFERROR(__xludf.DUMMYFUNCTION("""COMPUTED_VALUE"""),"Gross Exposure (Underlying) (Base)")</f>
        <v>Gross Exposure (Underlying) (Base)</v>
      </c>
      <c r="EN5" s="17" t="str">
        <f>IFERROR(__xludf.DUMMYFUNCTION("""COMPUTED_VALUE"""),"Gross Exposure (Underlying)")</f>
        <v>Gross Exposure (Underlying)</v>
      </c>
      <c r="EO5" s="17" t="str">
        <f>IFERROR(__xludf.DUMMYFUNCTION("""COMPUTED_VALUE"""),"Day Return")</f>
        <v>Day Return</v>
      </c>
      <c r="EP5" s="17" t="str">
        <f>IFERROR(__xludf.DUMMYFUNCTION("""COMPUTED_VALUE"""),"Start of Day NAV")</f>
        <v>Start of Day NAV</v>
      </c>
      <c r="EQ5" s="17" t="str">
        <f>IFERROR(__xludf.DUMMYFUNCTION("""COMPUTED_VALUE"""),"% Gross Market Value (Base)")</f>
        <v>% Gross Market Value (Base)</v>
      </c>
      <c r="ER5" s="17" t="str">
        <f>IFERROR(__xludf.DUMMYFUNCTION("""COMPUTED_VALUE"""),"Beta Adj. Gross Exposure (Underlying) (Local)")</f>
        <v>Beta Adj. Gross Exposure (Underlying) (Local)</v>
      </c>
      <c r="ES5" s="17" t="str">
        <f>IFERROR(__xludf.DUMMYFUNCTION("""COMPUTED_VALUE"""),"NAV")</f>
        <v>NAV</v>
      </c>
      <c r="ET5" s="17" t="str">
        <f>IFERROR(__xludf.DUMMYFUNCTION("""COMPUTED_VALUE"""),"% P&amp;L Contribution")</f>
        <v>% P&amp;L Contribution</v>
      </c>
      <c r="EU5" s="17" t="str">
        <f>IFERROR(__xludf.DUMMYFUNCTION("""COMPUTED_VALUE"""),"% Net Market Value (Base)")</f>
        <v>% Net Market Value (Base)</v>
      </c>
      <c r="EV5" s="17" t="str">
        <f>IFERROR(__xludf.DUMMYFUNCTION("""COMPUTED_VALUE"""),"Position Side Exposure")</f>
        <v>Position Side Exposure</v>
      </c>
      <c r="EW5" s="17" t="str">
        <f>IFERROR(__xludf.DUMMYFUNCTION("""COMPUTED_VALUE"""),"NAV (Touch)")</f>
        <v>NAV (Touch)</v>
      </c>
      <c r="EX5" s="17" t="str">
        <f>IFERROR(__xludf.DUMMYFUNCTION("""COMPUTED_VALUE"""),"IgnorePropertyChangeEvents")</f>
        <v>IgnorePropertyChangeEvents</v>
      </c>
      <c r="EY5" s="17" t="str">
        <f>IFERROR(__xludf.DUMMYFUNCTION("""COMPUTED_VALUE"""),"Trade Attribute 1")</f>
        <v>Trade Attribute 1</v>
      </c>
      <c r="EZ5" s="17" t="str">
        <f>IFERROR(__xludf.DUMMYFUNCTION("""COMPUTED_VALUE"""),"Trade Attribute 2")</f>
        <v>Trade Attribute 2</v>
      </c>
      <c r="FA5" s="17" t="str">
        <f>IFERROR(__xludf.DUMMYFUNCTION("""COMPUTED_VALUE"""),"Client")</f>
        <v>Client</v>
      </c>
      <c r="FB5" s="17" t="str">
        <f>IFERROR(__xludf.DUMMYFUNCTION("""COMPUTED_VALUE"""),"")</f>
        <v/>
      </c>
      <c r="FC5" s="17" t="str">
        <f>IFERROR(__xludf.DUMMYFUNCTION("""COMPUTED_VALUE"""),"")</f>
        <v/>
      </c>
      <c r="FD5" s="17" t="str">
        <f>IFERROR(__xludf.DUMMYFUNCTION("""COMPUTED_VALUE"""),"")</f>
        <v/>
      </c>
      <c r="FE5" s="17" t="str">
        <f>IFERROR(__xludf.DUMMYFUNCTION("""COMPUTED_VALUE"""),"")</f>
        <v/>
      </c>
      <c r="FF5" s="17" t="str">
        <f>IFERROR(__xludf.DUMMYFUNCTION("""COMPUTED_VALUE"""),"")</f>
        <v/>
      </c>
      <c r="FG5" s="17" t="str">
        <f>IFERROR(__xludf.DUMMYFUNCTION("""COMPUTED_VALUE"""),"")</f>
        <v/>
      </c>
      <c r="FH5" s="17" t="str">
        <f>IFERROR(__xludf.DUMMYFUNCTION("""COMPUTED_VALUE"""),"")</f>
        <v/>
      </c>
      <c r="FI5" s="17" t="str">
        <f>IFERROR(__xludf.DUMMYFUNCTION("""COMPUTED_VALUE"""),"")</f>
        <v/>
      </c>
      <c r="FJ5" s="17" t="str">
        <f>IFERROR(__xludf.DUMMYFUNCTION("""COMPUTED_VALUE"""),"")</f>
        <v/>
      </c>
      <c r="FK5" s="17" t="str">
        <f>IFERROR(__xludf.DUMMYFUNCTION("""COMPUTED_VALUE"""),"")</f>
        <v/>
      </c>
      <c r="FL5" s="17" t="str">
        <f>IFERROR(__xludf.DUMMYFUNCTION("""COMPUTED_VALUE"""),"")</f>
        <v/>
      </c>
      <c r="FM5" s="17" t="str">
        <f>IFERROR(__xludf.DUMMYFUNCTION("""COMPUTED_VALUE"""),"")</f>
        <v/>
      </c>
    </row>
    <row r="6" ht="15.75" customHeight="1">
      <c r="A6" s="7"/>
      <c r="C6" s="4" t="s">
        <v>13</v>
      </c>
      <c r="E6" s="4" t="s">
        <v>38</v>
      </c>
      <c r="AN6" s="4" t="s">
        <v>14</v>
      </c>
    </row>
    <row r="7" ht="15.75" customHeight="1">
      <c r="A7" s="7"/>
      <c r="B7" s="7"/>
      <c r="C7" s="7" t="s">
        <v>13</v>
      </c>
      <c r="D7" s="7"/>
      <c r="E7" s="4" t="s">
        <v>42</v>
      </c>
      <c r="F7" s="7"/>
      <c r="G7" s="7"/>
      <c r="H7" s="7"/>
      <c r="I7" s="7"/>
      <c r="J7" s="7"/>
      <c r="K7" s="7"/>
      <c r="L7" s="7"/>
      <c r="M7" s="7"/>
      <c r="N7" s="7"/>
      <c r="O7" s="7"/>
      <c r="AN7" s="7" t="s">
        <v>15</v>
      </c>
    </row>
    <row r="8" ht="15.75" customHeight="1">
      <c r="A8" s="7"/>
      <c r="B8" s="7"/>
      <c r="C8" s="7"/>
      <c r="D8" s="7"/>
      <c r="E8" s="4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ẘ䀀Āڐ_x000b_" sqref="C3">
      <formula1>'_Modules'!$A$4:$A$1000</formula1>
    </dataValidation>
    <dataValidation type="list" allowBlank="1" showErrorMessage="1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