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UpdateExpnlConfig" sheetId="5" r:id="rId7"/>
    <sheet state="visible" name="UpdateRoundLot" sheetId="6" r:id="rId8"/>
    <sheet state="visible" name="CustomOrderTT" sheetId="7" r:id="rId9"/>
    <sheet state="visible" name="PricingInput" sheetId="8" r:id="rId10"/>
    <sheet state="visible" name="GetForexConversion" sheetId="9" r:id="rId11"/>
    <sheet state="visible" name="UpdateForexConversion" sheetId="10" r:id="rId12"/>
    <sheet state="visible" name="GetDataAllocation" sheetId="11" r:id="rId13"/>
    <sheet state="visible" name="SelectAllocatedGroup" sheetId="12" r:id="rId14"/>
    <sheet state="visible" name="BookOrUpdateSwap" sheetId="13" r:id="rId15"/>
    <sheet state="visible" name="SelectAllocatedGroup1" sheetId="14" r:id="rId16"/>
    <sheet state="visible" name="BookOrUpdateSwap1" sheetId="15" r:id="rId17"/>
    <sheet state="visible" name="CustomOrderTT1" sheetId="16" r:id="rId18"/>
    <sheet state="visible" name="PricingInput1" sheetId="17" r:id="rId19"/>
    <sheet state="visible" name="GetDailyCash" sheetId="18" r:id="rId20"/>
    <sheet state="visible" name="UpdateMultipleDailyCash" sheetId="19" r:id="rId21"/>
    <sheet state="visible" name="GetCashTransaction" sheetId="20" r:id="rId22"/>
    <sheet state="visible" name="RunRevaluation" sheetId="21" r:id="rId23"/>
    <sheet state="visible" name="AddCashTransaction" sheetId="22" r:id="rId24"/>
    <sheet state="visible" name="RebalancePreference" sheetId="23" r:id="rId25"/>
    <sheet state="visible" name="FetchAccountPositions" sheetId="24" r:id="rId26"/>
    <sheet state="visible" name="NavImpactingComponent" sheetId="25" r:id="rId27"/>
    <sheet state="visible" name="AddCash" sheetId="26" r:id="rId28"/>
    <sheet state="visible" name="RunRebalance" sheetId="27" r:id="rId29"/>
    <sheet state="visible" name="ModifyRebalance" sheetId="28" r:id="rId30"/>
    <sheet state="visible" name="RebalanceAcrossSecurities" sheetId="29" r:id="rId31"/>
    <sheet state="visible" name="SendtoStaging" sheetId="30" r:id="rId32"/>
    <sheet state="visible" name="RunRebalance1" sheetId="31" r:id="rId33"/>
    <sheet state="visible" name="SendtoStaging1" sheetId="32" r:id="rId34"/>
    <sheet state="visible" name="RunRebalance2" sheetId="33" r:id="rId35"/>
    <sheet state="visible" name="SendtoStaging2" sheetId="34" r:id="rId36"/>
    <sheet state="visible" name="SelectTradeOnOrderGrid" sheetId="35" r:id="rId37"/>
    <sheet state="visible" name="TradeNewSubOrder" sheetId="36" r:id="rId38"/>
    <sheet state="visible" name="CreateNewSubLiveOrder" sheetId="37" r:id="rId39"/>
    <sheet state="visible" name="SelectTradeOnOrderGrid1" sheetId="38" r:id="rId40"/>
    <sheet state="visible" name="TradeNewSubOrder1" sheetId="39" r:id="rId41"/>
    <sheet state="visible" name="CreateNewSubLiveOrder1" sheetId="40" r:id="rId42"/>
    <sheet state="visible" name="SelectTrade" sheetId="41" r:id="rId43"/>
    <sheet state="visible" name="AcknowledgeTrade" sheetId="42" r:id="rId44"/>
    <sheet state="visible" name="ExecuteTrade" sheetId="43" r:id="rId45"/>
    <sheet state="visible" name="SelectTrade1" sheetId="44" r:id="rId46"/>
    <sheet state="visible" name="AcknowledgeTrade1" sheetId="45" r:id="rId47"/>
    <sheet state="visible" name="ExecuteTrade1" sheetId="46" r:id="rId48"/>
    <sheet state="visible" name="CheckAllocatedGroups" sheetId="47" r:id="rId49"/>
    <sheet state="visible" name="CheckPortfolioManagement" sheetId="48" r:id="rId50"/>
    <sheet state="visible" name="RestartClient" sheetId="49" r:id="rId51"/>
  </sheets>
  <calcPr fullCalcOnLoad="1" fullPrecision="1"/>
</workbook>
</file>

<file path=xl/sharedStrings.xml><?xml version="1.0" encoding="utf-8"?>
<sst xmlns="http://schemas.openxmlformats.org/spreadsheetml/2006/main" count="145" uniqueCount="145">
  <si>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</si>
  <si>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</si>
  <si>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</si>
  <si>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</si>
  <si>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</si>
  <si>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</si>
  <si>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</si>
  <si>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</si>
  <si>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</si>
  <si>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</si>
  <si>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</si>
  <si>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</si>
  <si>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</si>
  <si>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</si>
  <si>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</si>
  <si>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</si>
  <si>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ES H4</t>
  </si>
  <si>
    <t>Yes</t>
  </si>
  <si>
    <t>Expnl</t>
  </si>
  <si>
    <t>UpdateExpnlConfig</t>
  </si>
  <si>
    <t>EquitySwapsMarketValueAsEquity</t>
  </si>
  <si>
    <t>Admin</t>
  </si>
  <si>
    <t>UpdateRoundLot</t>
  </si>
  <si>
    <t>AMZN</t>
  </si>
  <si>
    <t>FRA-FRA</t>
  </si>
  <si>
    <t>GLE-LON</t>
  </si>
  <si>
    <t>INFY</t>
  </si>
  <si>
    <t>KO</t>
  </si>
  <si>
    <t>SAP</t>
  </si>
  <si>
    <t>TradingTicket</t>
  </si>
  <si>
    <t>CustomOrderTT</t>
  </si>
  <si>
    <t>DoneAway</t>
  </si>
  <si>
    <t>Buy</t>
  </si>
  <si>
    <t>Sell</t>
  </si>
  <si>
    <t>Sell short</t>
  </si>
  <si>
    <t>912828WJ5</t>
  </si>
  <si>
    <t>O:AAPL 14C545.00</t>
  </si>
  <si>
    <t>Buy to Open</t>
  </si>
  <si>
    <t>O:MSFT 14K29.00</t>
  </si>
  <si>
    <t>Sell to Close</t>
  </si>
  <si>
    <t>PricingInput</t>
  </si>
  <si>
    <t>DailyValuation</t>
  </si>
  <si>
    <t>GetForexConversion</t>
  </si>
  <si>
    <t>UpdateForexConversion</t>
  </si>
  <si>
    <t>EUR</t>
  </si>
  <si>
    <t>USD</t>
  </si>
  <si>
    <t>USD A0-FX</t>
  </si>
  <si>
    <t>GBP</t>
  </si>
  <si>
    <t>GBP A0-FX</t>
  </si>
  <si>
    <t>Allocation</t>
  </si>
  <si>
    <t>GetDataAllocation</t>
  </si>
  <si>
    <t>Historical</t>
  </si>
  <si>
    <t>SelectAllocatedGroup</t>
  </si>
  <si>
    <t>BookOrUpdateSwap</t>
  </si>
  <si>
    <t xml:space="preserve"> ES U5</t>
  </si>
  <si>
    <t xml:space="preserve"> ES H4</t>
  </si>
  <si>
    <t>GetDailyCash</t>
  </si>
  <si>
    <t>UpdateMultipleDailyCash</t>
  </si>
  <si>
    <t>Allocation1</t>
  </si>
  <si>
    <t>GeneralLedger</t>
  </si>
  <si>
    <t>GetCashTransaction</t>
  </si>
  <si>
    <t>ExDate</t>
  </si>
  <si>
    <t>No</t>
  </si>
  <si>
    <t>Exact</t>
  </si>
  <si>
    <t>RunRevaluation</t>
  </si>
  <si>
    <t>NewMF</t>
  </si>
  <si>
    <t>AddCashTransaction</t>
  </si>
  <si>
    <t>DividendIncome</t>
  </si>
  <si>
    <t>GOOG</t>
  </si>
  <si>
    <t>Long</t>
  </si>
  <si>
    <t>mgmt fees</t>
  </si>
  <si>
    <t>M</t>
  </si>
  <si>
    <t>Cash Transaction</t>
  </si>
  <si>
    <t>Rebalancer</t>
  </si>
  <si>
    <t>RebalancePreference</t>
  </si>
  <si>
    <t>Allocation1,Other Assets Market Value</t>
  </si>
  <si>
    <t>FetchAccountPositions</t>
  </si>
  <si>
    <t>Real-Time Positions</t>
  </si>
  <si>
    <t>Account</t>
  </si>
  <si>
    <t>Positions</t>
  </si>
  <si>
    <t>NavImpactingComponent</t>
  </si>
  <si>
    <t>AddCash</t>
  </si>
  <si>
    <t>Impact NAV</t>
  </si>
  <si>
    <t>None</t>
  </si>
  <si>
    <t>RunRebalance</t>
  </si>
  <si>
    <t>Round Up</t>
  </si>
  <si>
    <t>ModifyRebalance</t>
  </si>
  <si>
    <t>RebalanceAcrossSecurities</t>
  </si>
  <si>
    <t>BMW-XET</t>
  </si>
  <si>
    <t>Increase</t>
  </si>
  <si>
    <t>Percentage</t>
  </si>
  <si>
    <t>SendtoStaging</t>
  </si>
  <si>
    <t>SellShort</t>
  </si>
  <si>
    <t>Round Down</t>
  </si>
  <si>
    <t>Nearest Round Off</t>
  </si>
  <si>
    <t>Blotter</t>
  </si>
  <si>
    <t>SelectTradeOnOrderGrid</t>
  </si>
  <si>
    <t>New</t>
  </si>
  <si>
    <t>TradeNewSubOrder</t>
  </si>
  <si>
    <t>CreateNewSubLiveOrder</t>
  </si>
  <si>
    <t>Simulator</t>
  </si>
  <si>
    <t>SelectTrade</t>
  </si>
  <si>
    <t>AcknowledgeTrade</t>
  </si>
  <si>
    <t>ExecuteTrade</t>
  </si>
  <si>
    <t>CheckAllocatedGroups</t>
  </si>
  <si>
    <t/>
  </si>
  <si>
    <t>Actual_365</t>
  </si>
  <si>
    <t>Manual</t>
  </si>
  <si>
    <t>Equity</t>
  </si>
  <si>
    <t>KO US EQUITY</t>
  </si>
  <si>
    <t>Treasury</t>
  </si>
  <si>
    <t>MS</t>
  </si>
  <si>
    <t>Open</t>
  </si>
  <si>
    <t>COCA COLA</t>
  </si>
  <si>
    <t>NYSE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</si>
  <si>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</si>
  <si>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</si>
  <si>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</si>
  <si>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</si>
  <si>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</si>
  <si>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</si>
  <si>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</si>
  <si>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</si>
  <si>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AMZN US EQUITY</t>
  </si>
  <si>
    <t>AMAZON.COM</t>
  </si>
  <si>
    <t>PortfolioManagement</t>
  </si>
  <si>
    <t>CheckPortfolioManagement</t>
  </si>
  <si>
    <t>Short</t>
  </si>
  <si>
    <t>Undefined</t>
  </si>
  <si>
    <t>FIMAT</t>
  </si>
  <si>
    <t>Equity General</t>
  </si>
  <si>
    <t>Consumer</t>
  </si>
  <si>
    <t>USA</t>
  </si>
  <si>
    <t>User Defined</t>
  </si>
  <si>
    <t>Default</t>
  </si>
  <si>
    <t>KO.N</t>
  </si>
  <si>
    <t>UK</t>
  </si>
  <si>
    <t>Communications</t>
  </si>
  <si>
    <t>Europe</t>
  </si>
  <si>
    <t>AMZN.O</t>
  </si>
  <si>
    <t>PranaClient</t>
  </si>
  <si>
    <t>CreateDoneAwayOrder</t>
  </si>
  <si>
    <t>Dummy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</si>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</sst>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applyFont="1" fillId="0" borderId="0" applyAlignment="1"/>
  </cellStyleXfs>
  <cellXfs count="53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4" applyFont="1" fillId="3" applyFill="1" borderId="4" applyBorder="1" xfId="0" applyAlignment="1"/>
    <xf numFmtId="0" fontId="5" applyFont="1" fillId="0" borderId="0" xfId="0" applyAlignment="1"/>
    <xf numFmtId="0" fontId="7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8" applyFont="1" fillId="3" applyFill="1" borderId="4" applyBorder="1" xfId="0" applyAlignment="1"/>
    <xf numFmtId="0" fontId="8" applyFont="1" fillId="3" applyFill="1" borderId="4" applyBorder="1" xfId="0" applyAlignment="1"/>
    <xf numFmtId="0" fontId="9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7" applyFont="1" fillId="0" borderId="0" xfId="0" applyAlignment="1"/>
    <xf numFmtId="0" fontId="4" applyFont="1" fillId="3" applyFill="1" borderId="0" xfId="0" applyAlignment="1"/>
    <xf numFmtId="0" fontId="7" applyFont="1" fillId="3" applyFill="1" borderId="4" applyBorder="1" xfId="0" applyAlignment="1"/>
    <xf numFmtId="0" fontId="10" applyFont="1" fillId="3" applyFill="1" borderId="0" xfId="0"/>
    <xf numFmtId="0" fontId="11" applyFont="1" fillId="4" applyFill="1" borderId="0" xfId="0" applyAlignment="1"/>
    <xf numFmtId="0" fontId="12" applyFont="1" fillId="4" applyFill="1" borderId="0" xfId="0"/>
    <xf numFmtId="0" fontId="4" applyFont="1" fillId="5" applyFill="1" borderId="0" xfId="0" applyAlignment="1"/>
    <xf numFmtId="0" fontId="4" applyFont="1" fillId="5" applyFill="1" borderId="4" applyBorder="1" xfId="0" applyAlignment="1"/>
    <xf numFmtId="0" fontId="4" applyFont="1" fillId="5" applyFill="1" borderId="4" applyBorder="1" xfId="0" applyAlignment="1"/>
    <xf numFmtId="0" fontId="10" applyFont="1" fillId="5" applyFill="1" borderId="0" xfId="0"/>
    <xf numFmtId="0" fontId="3" applyFont="1" fillId="0" borderId="0" xfId="0" applyAlignment="1"/>
    <xf numFmtId="0" fontId="3" applyFont="1" fillId="0" borderId="0" xfId="0" applyAlignment="1"/>
    <xf numFmtId="0" fontId="5" applyFont="1" fillId="0" borderId="0" xfId="0" applyAlignment="1"/>
    <xf numFmtId="0" fontId="5" applyFont="1" fillId="0" borderId="0" xfId="0" applyAlignment="1">
      <alignment horizontal="right"/>
    </xf>
    <xf numFmtId="0" fontId="5" applyFont="1" fillId="0" borderId="0" xfId="0" applyAlignment="1"/>
    <xf numFmtId="0" fontId="5" applyFont="1" fillId="0" borderId="0" xfId="0" applyAlignment="1">
      <alignment horizontal="center"/>
    </xf>
    <xf numFmtId="0" fontId="5" applyFont="1" fillId="0" borderId="0" xfId="0" applyAlignment="1"/>
    <xf numFmtId="0" fontId="5" applyFont="1" fillId="0" borderId="0" xfId="0" applyAlignment="1">
      <alignment horizontal="right"/>
    </xf>
    <xf numFmtId="14" applyNumberFormat="1" fontId="5" applyFont="1" fillId="0" borderId="0" xfId="0" applyAlignment="1">
      <alignment horizontal="right"/>
    </xf>
    <xf numFmtId="14" applyNumberFormat="1" fontId="3" applyFont="1" fillId="0" borderId="0" xfId="0" applyAlignment="1"/>
    <xf numFmtId="164" applyNumberFormat="1" fontId="3" applyFont="1" fillId="0" borderId="0" xfId="0" applyAlignment="1">
      <alignment horizontal="right"/>
    </xf>
    <xf numFmtId="0" fontId="13" applyFont="1" fillId="6" applyFill="1" borderId="0" xfId="0" applyAlignment="1"/>
    <xf numFmtId="0" fontId="13" applyFont="1" fillId="6" applyFill="1" borderId="0" xfId="0" applyAlignment="1">
      <alignment horizontal="right"/>
    </xf>
    <xf numFmtId="0" fontId="13" applyFont="1" fillId="6" applyFill="1" borderId="0" xfId="0" applyAlignment="1"/>
    <xf numFmtId="0" fontId="3" applyFont="1" fillId="0" borderId="5" applyBorder="1" xfId="0" applyAlignment="1"/>
    <xf numFmtId="0" fontId="3" applyFont="1" fillId="0" borderId="6" applyBorder="1" xfId="0" applyAlignment="1"/>
    <xf numFmtId="0" fontId="3" applyFont="1" fillId="0" borderId="6" applyBorder="1" xfId="0" applyAlignment="1"/>
    <xf numFmtId="0" fontId="14" applyFont="1" fillId="0" borderId="0" xfId="0" applyAlignment="1"/>
    <xf numFmtId="0" fontId="14" applyFont="1" fillId="0" borderId="0" xfId="0" applyAlignment="1">
      <alignment horizontal="right"/>
    </xf>
    <xf numFmtId="3" applyNumberFormat="1" fontId="14" applyFont="1" fillId="0" borderId="0" xfId="0" applyAlignment="1">
      <alignment horizontal="right"/>
    </xf>
    <xf numFmtId="0" fontId="3" applyFont="1" fillId="0" borderId="0" xfId="0" applyAlignment="1">
      <alignment horizontal="right"/>
    </xf>
    <xf numFmtId="0" fontId="3" applyFont="1" fillId="0" borderId="0" xfId="0" applyAlignment="1">
      <alignment horizontal="center"/>
    </xf>
    <xf numFmtId="164" applyNumberFormat="1" fontId="3" applyFont="1" fillId="0" borderId="0" xfId="0" applyAlignme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44" Type="http://schemas.openxmlformats.org/officeDocument/2006/relationships/worksheet" Target="worksheets/sheet42.xml"/><Relationship Id="rId43" Type="http://schemas.openxmlformats.org/officeDocument/2006/relationships/worksheet" Target="worksheets/sheet41.xml"/><Relationship Id="rId46" Type="http://schemas.openxmlformats.org/officeDocument/2006/relationships/worksheet" Target="worksheets/sheet44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48" Type="http://schemas.openxmlformats.org/officeDocument/2006/relationships/worksheet" Target="worksheets/sheet46.xml"/><Relationship Id="rId47" Type="http://schemas.openxmlformats.org/officeDocument/2006/relationships/worksheet" Target="worksheets/sheet45.xml"/><Relationship Id="rId49" Type="http://schemas.openxmlformats.org/officeDocument/2006/relationships/worksheet" Target="worksheets/sheet4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33" Type="http://schemas.openxmlformats.org/officeDocument/2006/relationships/worksheet" Target="worksheets/sheet31.xml"/><Relationship Id="rId32" Type="http://schemas.openxmlformats.org/officeDocument/2006/relationships/worksheet" Target="worksheets/sheet30.xml"/><Relationship Id="rId35" Type="http://schemas.openxmlformats.org/officeDocument/2006/relationships/worksheet" Target="worksheets/sheet33.xml"/><Relationship Id="rId34" Type="http://schemas.openxmlformats.org/officeDocument/2006/relationships/worksheet" Target="worksheets/sheet32.xml"/><Relationship Id="rId37" Type="http://schemas.openxmlformats.org/officeDocument/2006/relationships/worksheet" Target="worksheets/sheet35.xml"/><Relationship Id="rId36" Type="http://schemas.openxmlformats.org/officeDocument/2006/relationships/worksheet" Target="worksheets/sheet34.xml"/><Relationship Id="rId39" Type="http://schemas.openxmlformats.org/officeDocument/2006/relationships/worksheet" Target="worksheets/sheet37.xml"/><Relationship Id="rId38" Type="http://schemas.openxmlformats.org/officeDocument/2006/relationships/worksheet" Target="worksheets/sheet36.xml"/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29" Type="http://schemas.openxmlformats.org/officeDocument/2006/relationships/worksheet" Target="worksheets/sheet27.xml"/><Relationship Id="rId51" Type="http://schemas.openxmlformats.org/officeDocument/2006/relationships/worksheet" Target="worksheets/sheet49.xml"/><Relationship Id="rId50" Type="http://schemas.openxmlformats.org/officeDocument/2006/relationships/worksheet" Target="worksheets/sheet4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3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3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3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3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3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3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3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3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3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3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4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4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4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4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4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4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4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4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4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4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796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IFERROR(__xludf.DUMMYFUNCTION("""COMPUTED_VALUE"""),"StockDividend")</f>
        <v>StockDividend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IFERROR(__xludf.DUMMYFUNCTION("""COMPUTED_VALUE"""),"TradingTicket")</f>
        <v>TradingTicket</v>
      </c>
      <c r="B57" s="0" t="str">
        <f>IFERROR(__xludf.DUMMYFUNCTION("""COMPUTED_VALUE"""),"EnterDetailsOnTT")</f>
        <v>EnterDetailsOnTT</v>
      </c>
      <c r="C57" s="0" t="str">
        <f>IFERROR(__xludf.DUMMYFUNCTION("""COMPUTED_VALUE"""),"1G2yAwEmGug4VRRGiVJM3yHe88F7UHCmwLdFo2-Xj4bA")</f>
        <v>1G2yAwEmGug4VRRGiVJM3yHe88F7UHCmwLdFo2-Xj4bA</v>
      </c>
    </row>
    <row r="58" ht="15.75" customHeight="1">
      <c r="A58" s="0" t="str">
        <f>IFERROR(__xludf.DUMMYFUNCTION("""COMPUTED_VALUE"""),"DailyValuation")</f>
        <v>DailyValuation</v>
      </c>
      <c r="B58" s="0" t="str">
        <f>IFERROR(__xludf.DUMMYFUNCTION("""COMPUTED_VALUE"""),"CleanUp")</f>
        <v>CleanUp</v>
      </c>
      <c r="C58" s="0" t="str">
        <f>IFERROR(__xludf.DUMMYFUNCTION("""COMPUTED_VALUE"""),"Undefined")</f>
        <v>Undefined</v>
      </c>
    </row>
    <row r="59" ht="15.75" customHeight="1">
      <c r="A59" s="0" t="str">
        <f>IFERROR(__xludf.DUMMYFUNCTION("""COMPUTED_VALUE"""),"Allocation")</f>
        <v>Allocation</v>
      </c>
      <c r="B59" s="0" t="str">
        <f>IFERROR(__xludf.DUMMYFUNCTION("""COMPUTED_VALUE"""),"EditUnallocatedGroupSidePanel")</f>
        <v>EditUnallocatedGroupSidePanel</v>
      </c>
      <c r="C59" s="0" t="str">
        <f>IFERROR(__xludf.DUMMYFUNCTION("""COMPUTED_VALUE"""),"1sN4dA0wRDbkiqDmGZD3fRqB5XP8vsNgVSKTClqF2aqA")</f>
        <v>1sN4dA0wRDbkiqDmGZD3fRqB5XP8vsNgVSKTClqF2aqA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IFERROR(__xludf.DUMMYFUNCTION("""COMPUTED_VALUE"""),"TradeAttributeBulkChange")</f>
        <v>TradeAttributeBulkChange</v>
      </c>
      <c r="C60" s="0" t="str">
        <f>IFERROR(__xludf.DUMMYFUNCTION("""COMPUTED_VALUE"""),"1iFwUbi4eWTRVGpAAB27Nc1Ubu4j6hxNuLgSZZV6c_E4")</f>
        <v>1iFwUbi4eWTRVGpAAB27Nc1Ubu4j6hxNuLgSZZV6c_E4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IFERROR(__xludf.DUMMYFUNCTION("""COMPUTED_VALUE"""),"ApplyBulkUpdateOnGroups")</f>
        <v>ApplyBulkUpdateOnGroups</v>
      </c>
      <c r="C61" s="0" t="str">
        <f>IFERROR(__xludf.DUMMYFUNCTION("""COMPUTED_VALUE"""),"1XV7WEkcXTDuOgwDoGhKvy8HU-K-3479ZHAEZBvsa_tc")</f>
        <v>1XV7WEkcXTDuOgwDoGhKvy8HU-K-3479ZHAEZBvsa_tc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IFERROR(__xludf.DUMMYFUNCTION("""COMPUTED_VALUE"""),"ApplyPrefetchFilters")</f>
        <v>ApplyPrefetchFilters</v>
      </c>
      <c r="C62" s="0" t="str">
        <f>IFERROR(__xludf.DUMMYFUNCTION("""COMPUTED_VALUE"""),"1sQmxpKX5ogSXiV1qHf6NVjQl8QoUTsuD2rJ4pzqABAg")</f>
        <v>1sQmxpKX5ogSXiV1qHf6NVjQl8QoUTsuD2rJ4pzqABAg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IFERROR(__xludf.DUMMYFUNCTION("""COMPUTED_VALUE"""),"GeneralPreferencesDefaultRule")</f>
        <v>GeneralPreferencesDefaultRule</v>
      </c>
      <c r="C63" s="0" t="str">
        <f>IFERROR(__xludf.DUMMYFUNCTION("""COMPUTED_VALUE"""),"1WOXvZZCIiWWwLt85sMAJs5lA2Sd5seftlo0-PMFepo4")</f>
        <v>1WOXvZZCIiWWwLt85sMAJs5lA2Sd5seftlo0-PMFepo4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IFERROR(__xludf.DUMMYFUNCTION("""COMPUTED_VALUE"""),"GeneralPrefCompanyUserWise")</f>
        <v>GeneralPrefCompanyUserWise</v>
      </c>
      <c r="C64" s="0" t="str">
        <f>IFERROR(__xludf.DUMMYFUNCTION("""COMPUTED_VALUE"""),"13pRCCWisWUdYIzGghxtJvmhlBsj5sDr94g6VDPP0q-o")</f>
        <v>13pRCCWisWUdYIzGghxtJvmhlBsj5sDr94g6VDPP0q-o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IFERROR(__xludf.DUMMYFUNCTION("""COMPUTED_VALUE"""),"RenameTradeAttributes")</f>
        <v>RenameTradeAttributes</v>
      </c>
      <c r="C65" s="0" t="str">
        <f>IFERROR(__xludf.DUMMYFUNCTION("""COMPUTED_VALUE"""),"1npQSl0FjE4Lw1QD6s0yIpLzJ-rj0nbumIonEIRbWZwA")</f>
        <v>1npQSl0FjE4Lw1QD6s0yIpLzJ-rj0nbumIonEIRbWZwA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IFERROR(__xludf.DUMMYFUNCTION("""COMPUTED_VALUE"""),"SetGroupingRules")</f>
        <v>SetGroupingRules</v>
      </c>
      <c r="C66" s="0" t="str">
        <f>IFERROR(__xludf.DUMMYFUNCTION("""COMPUTED_VALUE"""),"1-pEik0paMvKDzhMzUpCB2FadNd3tINN9bPXcpr5W9hI")</f>
        <v>1-pEik0paMvKDzhMzUpCB2FadNd3tINN9bPXcpr5W9hI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IFERROR(__xludf.DUMMYFUNCTION("""COMPUTED_VALUE"""),"SetMasterFundRatio")</f>
        <v>SetMasterFundRatio</v>
      </c>
      <c r="C67" s="0" t="str">
        <f>IFERROR(__xludf.DUMMYFUNCTION("""COMPUTED_VALUE"""),"1G5A2JHuXFwIAKeFyFP_6qaRbfVnU9mvHz6q_tG-5I3M")</f>
        <v>1G5A2JHuXFwIAKeFyFP_6qaRbfVnU9mvHz6q_tG-5I3M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IFERROR(__xludf.DUMMYFUNCTION("""COMPUTED_VALUE"""),"CheckFixedPreference")</f>
        <v>CheckFixedPreference</v>
      </c>
      <c r="C68" s="0" t="str">
        <f>IFERROR(__xludf.DUMMYFUNCTION("""COMPUTED_VALUE"""),"1Qf7-OMFYaQTpiT3A76WLvhP_zTcAvN-GlTkEKWQI6CI")</f>
        <v>1Qf7-OMFYaQTpiT3A76WLvhP_zTcAvN-GlTkEKWQI6CI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IFERROR(__xludf.DUMMYFUNCTION("""COMPUTED_VALUE"""),"GetFixedPreference")</f>
        <v>GetFixedPreference</v>
      </c>
      <c r="C69" s="0" t="str">
        <f>IFERROR(__xludf.DUMMYFUNCTION("""COMPUTED_VALUE"""),"1X2GLgKZ0jCCf9C8tNz4LZTT8MEJ0rPmHVf74CRF92nI")</f>
        <v>1X2GLgKZ0jCCf9C8tNz4LZTT8MEJ0rPmHVf74CRF92nI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IFERROR(__xludf.DUMMYFUNCTION("""COMPUTED_VALUE"""),"AddCalculatedPreferences")</f>
        <v>AddCalculatedPreferences</v>
      </c>
      <c r="C70" s="0" t="str">
        <f>IFERROR(__xludf.DUMMYFUNCTION("""COMPUTED_VALUE"""),"1e3JDW1yEKYP-8ma-BqYu0whzm4Ze8aVDK3dsCw79llk")</f>
        <v>1e3JDW1yEKYP-8ma-BqYu0whzm4Ze8aVDK3dsCw79llk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IFERROR(__xludf.DUMMYFUNCTION("""COMPUTED_VALUE"""),"BulkChangeCalculatedPreferences")</f>
        <v>BulkChangeCalculatedPreferences</v>
      </c>
      <c r="C71" s="0" t="str">
        <f>IFERROR(__xludf.DUMMYFUNCTION("""COMPUTED_VALUE"""),"1eR96defw9DNiXlrKjqRh3R-qg9Pp1BeoNro96zMlcU0")</f>
        <v>1eR96defw9DNiXlrKjqRh3R-qg9Pp1BeoNro96zMlcU0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IFERROR(__xludf.DUMMYFUNCTION("""COMPUTED_VALUE"""),"DeleteCalculatedPreferences")</f>
        <v>DeleteCalculatedPreferences</v>
      </c>
      <c r="C72" s="0" t="str">
        <f>IFERROR(__xludf.DUMMYFUNCTION("""COMPUTED_VALUE"""),"1SYzOFlwMP7q1fa9ftG5nF3Q9-tr0BByrF1knPegiHxE")</f>
        <v>1SYzOFlwMP7q1fa9ftG5nF3Q9-tr0BByrF1knPegiHxE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IFERROR(__xludf.DUMMYFUNCTION("""COMPUTED_VALUE"""),"RenameCalculatedPreferences")</f>
        <v>RenameCalculatedPreferences</v>
      </c>
      <c r="C73" s="0" t="str">
        <f>IFERROR(__xludf.DUMMYFUNCTION("""COMPUTED_VALUE"""),"1oCPrKMTa-3fxaM06t7r0xjhAywYxptxUUWlM6IrpjIM")</f>
        <v>1oCPrKMTa-3fxaM06t7r0xjhAywYxptxUUWlM6IrpjIM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IFERROR(__xludf.DUMMYFUNCTION("""COMPUTED_VALUE"""),"CopyCalculatedPreferences")</f>
        <v>CopyCalculatedPreferences</v>
      </c>
      <c r="C74" s="0" t="str">
        <f>IFERROR(__xludf.DUMMYFUNCTION("""COMPUTED_VALUE"""),"1Juj0ekcKQL6KCq8ujd84mA8LXjLIO7F5-pt1BH073k4")</f>
        <v>1Juj0ekcKQL6KCq8ujd84mA8LXjLIO7F5-pt1BH073k4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IFERROR(__xludf.DUMMYFUNCTION("""COMPUTED_VALUE"""),"RunAutoGroup")</f>
        <v>RunAutoGroup</v>
      </c>
      <c r="C75" s="0" t="str">
        <f>IFERROR(__xludf.DUMMYFUNCTION("""COMPUTED_VALUE"""),"1TxDikOKco3kj-fpVp_swFmHRjk9xUFlp6SC01FXKsUA")</f>
        <v>1TxDikOKco3kj-fpVp_swFmHRjk9xUFlp6SC01FXKsUA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IFERROR(__xludf.DUMMYFUNCTION("""COMPUTED_VALUE"""),"BookOrUpdateSwap")</f>
        <v>BookOrUpdateSwap</v>
      </c>
      <c r="C76" s="0" t="str">
        <f>IFERROR(__xludf.DUMMYFUNCTION("""COMPUTED_VALUE"""),"1MIFnyUZMyR5a_8yHN1aP-GaxtBQUxu1tPzzD93BRKG4")</f>
        <v>1MIFnyUZMyR5a_8yHN1aP-GaxtBQUxu1tPzzD93BRKG4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IFERROR(__xludf.DUMMYFUNCTION("""COMPUTED_VALUE"""),"RunProrata")</f>
        <v>RunProrata</v>
      </c>
      <c r="C77" s="0" t="str">
        <f>IFERROR(__xludf.DUMMYFUNCTION("""COMPUTED_VALUE"""),"1UcA_Bp3Tg0bduC_hG_ymQO8Nl0fC8zwr0dqhn3G0X7w")</f>
        <v>1UcA_Bp3Tg0bduC_hG_ymQO8Nl0fC8zwr0dqhn3G0X7w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IFERROR(__xludf.DUMMYFUNCTION("""COMPUTED_VALUE"""),"SetDefaultRuleCalculatedPref")</f>
        <v>SetDefaultRuleCalculatedPref</v>
      </c>
      <c r="C78" s="0" t="str">
        <f>IFERROR(__xludf.DUMMYFUNCTION("""COMPUTED_VALUE"""),"1b3teGR3SeddkzmOAOI70zt3TPTIueqIXMb0_64vLmhg")</f>
        <v>1b3teGR3SeddkzmOAOI70zt3TPTIueqIXMb0_64vLmhg</v>
      </c>
    </row>
    <row r="79" ht="15.75" customHeight="1">
      <c r="A79" s="0" t="str">
        <f>IFERROR(__xludf.DUMMYFUNCTION("""COMPUTED_VALUE"""),"Admin")</f>
        <v>Admin</v>
      </c>
      <c r="B79" s="0" t="str">
        <f>IFERROR(__xludf.DUMMYFUNCTION("""COMPUTED_VALUE"""),"SetTTUIPreferences")</f>
        <v>SetTTUIPreferences</v>
      </c>
      <c r="C79" s="0" t="str">
        <f>IFERROR(__xludf.DUMMYFUNCTION("""COMPUTED_VALUE"""),"1x3db-DRDI09f9JOxbjTsFLBMBLSyw9w2LJAcwA_jthE")</f>
        <v>1x3db-DRDI09f9JOxbjTsFLBMBLSyw9w2LJAcwA_jthE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IFERROR(__xludf.DUMMYFUNCTION("""COMPUTED_VALUE"""),"TTPermissionLevel")</f>
        <v>TTPermissionLevel</v>
      </c>
      <c r="C80" s="0" t="str">
        <f>IFERROR(__xludf.DUMMYFUNCTION("""COMPUTED_VALUE"""),"1eWGWoFECkbD-qbHWTGCUT8Fyg7YSEuxVBQShAfH-4G8")</f>
        <v>1eWGWoFECkbD-qbHWTGCUT8Fyg7YSEuxVBQShAfH-4G8</v>
      </c>
    </row>
    <row r="81" ht="15.75" customHeight="1">
      <c r="A81" s="0" t="str">
        <f>IFERROR(__xludf.DUMMYFUNCTION("""COMPUTED_VALUE"""),"TradingTicket")</f>
        <v>TradingTicket</v>
      </c>
      <c r="B81" s="0" t="str">
        <f>IFERROR(__xludf.DUMMYFUNCTION("""COMPUTED_VALUE"""),"ValidateSymbolTT")</f>
        <v>ValidateSymbolTT</v>
      </c>
      <c r="C81" s="0" t="str">
        <f>IFERROR(__xludf.DUMMYFUNCTION("""COMPUTED_VALUE"""),"19tHMRXibaAxm7XMdcCTWHQ4bfVUBpa3dYIoVg7LgjMU")</f>
        <v>19tHMRXibaAxm7XMdcCTWHQ4bfVUBpa3dYIoVg7LgjMU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IFERROR(__xludf.DUMMYFUNCTION("""COMPUTED_VALUE"""),"VerifyDataTT")</f>
        <v>VerifyDataTT</v>
      </c>
      <c r="C82" s="0" t="str">
        <f>IFERROR(__xludf.DUMMYFUNCTION("""COMPUTED_VALUE"""),"Undefined")</f>
        <v>Undefined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IFERROR(__xludf.DUMMYFUNCTION("""COMPUTED_VALUE"""),"SetUIPreferencesTT")</f>
        <v>SetUIPreferencesTT</v>
      </c>
      <c r="C83" s="0" t="str">
        <f>IFERROR(__xludf.DUMMYFUNCTION("""COMPUTED_VALUE"""),"15dCu2cI6h2zz7EyE3HRTPJXretS_8rJXb6kEecm2wE4")</f>
        <v>15dCu2cI6h2zz7EyE3HRTPJXretS_8rJXb6kEecm2wE4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IFERROR(__xludf.DUMMYFUNCTION("""COMPUTED_VALUE"""),"SetBrokerWisePreferencesTT")</f>
        <v>SetBrokerWisePreferencesTT</v>
      </c>
      <c r="C84" s="0" t="str">
        <f>IFERROR(__xludf.DUMMYFUNCTION("""COMPUTED_VALUE"""),"1ox4TNNK5MqyA6BJGrZngJ2D4HejJ2lRtDKIKyPqu-tQ")</f>
        <v>1ox4TNNK5MqyA6BJGrZngJ2D4HejJ2lRtDKIKyPqu-tQ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IFERROR(__xludf.DUMMYFUNCTION("""COMPUTED_VALUE"""),"VerifyComplianceOrder")</f>
        <v>VerifyComplianceOrder</v>
      </c>
      <c r="C85" s="0" t="str">
        <f>IFERROR(__xludf.DUMMYFUNCTION("""COMPUTED_VALUE"""),"1H1jKHI5sFjF2JGI5Hsg2bL9f8P4Efy6KU_cClE3r75U")</f>
        <v>1H1jKHI5sFjF2JGI5Hsg2bL9f8P4Efy6KU_cClE3r75U</v>
      </c>
    </row>
    <row r="86" ht="15.75" customHeight="1">
      <c r="A86" s="0" t="str">
        <f>IFERROR(__xludf.DUMMYFUNCTION("""COMPUTED_VALUE"""),"Blotter")</f>
        <v>Blotter</v>
      </c>
      <c r="B86" s="0" t="str">
        <f>IFERROR(__xludf.DUMMYFUNCTION("""COMPUTED_VALUE"""),"BlotterFunctionalities")</f>
        <v>BlotterFunctionalities</v>
      </c>
      <c r="C86" s="0" t="str">
        <f>IFERROR(__xludf.DUMMYFUNCTION("""COMPUTED_VALUE"""),"1SOn4_JJeoHJYkiaVBjxfn5Lb7mA_qhKHshd3opLPQ1I")</f>
        <v>1SOn4_JJeoHJYkiaVBjxfn5Lb7mA_qhKHshd3opLPQ1I</v>
      </c>
    </row>
    <row r="87" ht="15.75" customHeight="1">
      <c r="A87" s="0" t="str">
        <f>IFERROR(__xludf.DUMMYFUNCTION("""COMPUTED_VALUE"""),"TradingTicket")</f>
        <v>TradingTicket</v>
      </c>
      <c r="B87" s="0" t="str">
        <f>IFERROR(__xludf.DUMMYFUNCTION("""COMPUTED_VALUE"""),"TradeNewSub")</f>
        <v>TradeNewSub</v>
      </c>
      <c r="C87" s="0" t="str">
        <f>IFERROR(__xludf.DUMMYFUNCTION("""COMPUTED_VALUE"""),"1IorkfR8EskF9Rg56tJ2oKYZpqvMIZEs2668wybtTQB4")</f>
        <v>1IorkfR8EskF9Rg56tJ2oKYZpqvMIZEs2668wybtTQB4</v>
      </c>
    </row>
    <row r="88" ht="15.75" customHeight="1">
      <c r="A88" s="0" t="str">
        <f>IFERROR(__xludf.DUMMYFUNCTION("""COMPUTED_VALUE"""),"GeneralLedger")</f>
        <v>GeneralLedger</v>
      </c>
      <c r="B88" s="0" t="str">
        <f>IFERROR(__xludf.DUMMYFUNCTION("""COMPUTED_VALUE"""),"GetTradingTransaction")</f>
        <v>GetTradingTransaction</v>
      </c>
      <c r="C88" s="0" t="str">
        <f>IFERROR(__xludf.DUMMYFUNCTION("""COMPUTED_VALUE"""),"1psefeS-lWFS-teA6LWf_DI6EUG6mtcOuqu918FZCTQU")</f>
        <v>1psefeS-lWFS-teA6LWf_DI6EUG6mtcOuqu918FZCTQU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IFERROR(__xludf.DUMMYFUNCTION("""COMPUTED_VALUE"""),"GetActivityData")</f>
        <v>GetActivityData</v>
      </c>
      <c r="C89" s="0" t="str">
        <f>IFERROR(__xludf.DUMMYFUNCTION("""COMPUTED_VALUE"""),"1rznTwdTAEkrPH0xYZH81RkQ1wUryJGoM9CMoeL4nmcQ")</f>
        <v>1rznTwdTAEkrPH0xYZH81RkQ1wUryJGoM9CMoeL4nmcQ</v>
      </c>
    </row>
    <row r="90" ht="15.75" customHeight="1">
      <c r="A90" s="0" t="str">
        <f>IFERROR(__xludf.DUMMYFUNCTION("""COMPUTED_VALUE"""),"Allocation")</f>
        <v>Allocation</v>
      </c>
      <c r="B90" s="0" t="str">
        <f>IFERROR(__xludf.DUMMYFUNCTION("""COMPUTED_VALUE"""),"SetAccountValueCalculatedPref")</f>
        <v>SetAccountValueCalculatedPref</v>
      </c>
      <c r="C90" s="0" t="str">
        <f>IFERROR(__xludf.DUMMYFUNCTION("""COMPUTED_VALUE"""),"1_z8RqXBRujVk2nmOKATscV8OMNcUKi2JifkR1W7KdRE")</f>
        <v>1_z8RqXBRujVk2nmOKATscV8OMNcUKi2JifkR1W7KdRE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IFERROR(__xludf.DUMMYFUNCTION("""COMPUTED_VALUE"""),"TradeAttributeBulkChangeGroups")</f>
        <v>TradeAttributeBulkChangeGroups</v>
      </c>
      <c r="C91" s="0" t="str">
        <f>IFERROR(__xludf.DUMMYFUNCTION("""COMPUTED_VALUE"""),"1PWEqwYA12VgsLsj6lvnqrW4sngZuq-sjrmnpL9peQPo")</f>
        <v>1PWEqwYA12VgsLsj6lvnqrW4sngZuq-sjrmnpL9peQPo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IFERROR(__xludf.DUMMYFUNCTION("""COMPUTED_VALUE"""),"TradeAttributeBulkChangeTaxlots")</f>
        <v>TradeAttributeBulkChangeTaxlots</v>
      </c>
      <c r="C92" s="0" t="str">
        <f>IFERROR(__xludf.DUMMYFUNCTION("""COMPUTED_VALUE"""),"1qWD23r6S8L6qNcKOENcBsVpBS_5raHBTtvCMOf8rwRo")</f>
        <v>1qWD23r6S8L6qNcKOENcBsVpBS_5raHBTtvCMOf8rwRo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IFERROR(__xludf.DUMMYFUNCTION("""COMPUTED_VALUE"""),"AddCalculatedPreferenceToolbar")</f>
        <v>AddCalculatedPreferenceToolbar</v>
      </c>
      <c r="C93" s="0" t="str">
        <f>IFERROR(__xludf.DUMMYFUNCTION("""COMPUTED_VALUE"""),"1ih6B6H3dMqTN2qoqiNuco5rugaDHzlFQvUiQTafq1-Y")</f>
        <v>1ih6B6H3dMqTN2qoqiNuco5rugaDHzlFQvUiQTafq1-Y</v>
      </c>
    </row>
    <row r="94" ht="15.75" customHeight="1">
      <c r="A94" s="0" t="str">
        <f>IFERROR(__xludf.DUMMYFUNCTION("""COMPUTED_VALUE"""),"GeneralLedger")</f>
        <v>GeneralLedger</v>
      </c>
      <c r="B94" s="0" t="str">
        <f>IFERROR(__xludf.DUMMYFUNCTION("""COMPUTED_VALUE"""),"GetRevaluationData")</f>
        <v>GetRevaluationData</v>
      </c>
      <c r="C94" s="0" t="str">
        <f>IFERROR(__xludf.DUMMYFUNCTION("""COMPUTED_VALUE"""),"105kp1yXOdHuKObnT282Gjsr9VcKIYY9fVt3jwRMQivk")</f>
        <v>105kp1yXOdHuKObnT282Gjsr9VcKIYY9fVt3jwRMQivk</v>
      </c>
    </row>
    <row r="95" ht="15.75" customHeight="1">
      <c r="A95" s="0" t="str">
        <f>IFERROR(__xludf.DUMMYFUNCTION("""COMPUTED_VALUE"""),"Allocation")</f>
        <v>Allocation</v>
      </c>
      <c r="B95" s="0" t="str">
        <f>IFERROR(__xludf.DUMMYFUNCTION("""COMPUTED_VALUE"""),"SetStrategyValueCalculatedPref")</f>
        <v>SetStrategyValueCalculatedPref</v>
      </c>
      <c r="C95" s="0" t="str">
        <f>IFERROR(__xludf.DUMMYFUNCTION("""COMPUTED_VALUE"""),"155MwUZO0qphL6P5-kiOzXA9wszW7MLyU3r6cueRluPE")</f>
        <v>155MwUZO0qphL6P5-kiOzXA9wszW7MLyU3r6cueRluPE</v>
      </c>
    </row>
    <row r="96" ht="15.75" customHeight="1">
      <c r="A96" s="0" t="str">
        <f>IFERROR(__xludf.DUMMYFUNCTION("""COMPUTED_VALUE"""),"GeneralLedger")</f>
        <v>GeneralLedger</v>
      </c>
      <c r="B96" s="0" t="str">
        <f>IFERROR(__xludf.DUMMYFUNCTION("""COMPUTED_VALUE"""),"GetAccountDetails")</f>
        <v>GetAccountDetails</v>
      </c>
      <c r="C96" s="0" t="str">
        <f>IFERROR(__xludf.DUMMYFUNCTION("""COMPUTED_VALUE"""),"1Me9UTDrd2996RjhiWBMkCi9mXdb5L42QQfdj510IoVM")</f>
        <v>1Me9UTDrd2996RjhiWBMkCi9mXdb5L42QQfdj510IoVM</v>
      </c>
    </row>
    <row r="97" ht="15.75" customHeight="1">
      <c r="A97" s="0" t="str">
        <f>IFERROR(__xludf.DUMMYFUNCTION("""COMPUTED_VALUE"""),"Allocation")</f>
        <v>Allocation</v>
      </c>
      <c r="B97" s="0" t="str">
        <f>IFERROR(__xludf.DUMMYFUNCTION("""COMPUTED_VALUE"""),"ApplyBulkUpdateOnTaxlots")</f>
        <v>ApplyBulkUpdateOnTaxlots</v>
      </c>
      <c r="C97" s="0" t="str">
        <f>IFERROR(__xludf.DUMMYFUNCTION("""COMPUTED_VALUE"""),"1kSbyPWCAETWkagyJeACNwFnEDTZGBY7V9VzLov8MtUE")</f>
        <v>1kSbyPWCAETWkagyJeACNwFnEDTZGBY7V9VzLov8MtUE</v>
      </c>
    </row>
    <row r="98" ht="15.75" customHeight="1">
      <c r="A98" s="0" t="str">
        <f>IFERROR(__xludf.DUMMYFUNCTION("""COMPUTED_VALUE"""),"GeneralLedger")</f>
        <v>GeneralLedger</v>
      </c>
      <c r="B98" s="0" t="str">
        <f>IFERROR(__xludf.DUMMYFUNCTION("""COMPUTED_VALUE"""),"GetNonTradingTransaction")</f>
        <v>GetNonTradingTransaction</v>
      </c>
      <c r="C98" s="0" t="str">
        <f>IFERROR(__xludf.DUMMYFUNCTION("""COMPUTED_VALUE"""),"1HUC5rEPCZfFcwW21tVUh6_8T3y5OGGZm3qS66vN0_Bc")</f>
        <v>1HUC5rEPCZfFcwW21tVUh6_8T3y5OGGZm3qS66vN0_Bc</v>
      </c>
    </row>
    <row r="99" ht="15.75" customHeight="1">
      <c r="A99" s="0" t="str">
        <f>IFERROR(__xludf.DUMMYFUNCTION("""COMPUTED_VALUE"""),"Allocation")</f>
        <v>Allocation</v>
      </c>
      <c r="B99" s="0" t="str">
        <f>IFERROR(__xludf.DUMMYFUNCTION("""COMPUTED_VALUE"""),"CommissionBulkChangeOnGroups")</f>
        <v>CommissionBulkChangeOnGroups</v>
      </c>
      <c r="C99" s="0" t="str">
        <f>IFERROR(__xludf.DUMMYFUNCTION("""COMPUTED_VALUE"""),"1nqghloueAtXKgiCD7E97C4HJhoG52Mgd5lseF3sy40Y")</f>
        <v>1nqghloueAtXKgiCD7E97C4HJhoG52Mgd5lseF3sy40Y</v>
      </c>
    </row>
    <row r="100" ht="15.75" customHeight="1">
      <c r="A100" s="0" t="str">
        <f>IFERROR(__xludf.DUMMYFUNCTION("""COMPUTED_VALUE"""),"GeneralLedger")</f>
        <v>GeneralLedger</v>
      </c>
      <c r="B100" s="0" t="str">
        <f>IFERROR(__xludf.DUMMYFUNCTION("""COMPUTED_VALUE"""),"GetDividendData")</f>
        <v>GetDividendData</v>
      </c>
      <c r="C100" s="0" t="str">
        <f>IFERROR(__xludf.DUMMYFUNCTION("""COMPUTED_VALUE"""),"1U4lTeqJHZq-7DOC_oNjNvpvqxZzMTAVQzmbDBSE3iSw")</f>
        <v>1U4lTeqJHZq-7DOC_oNjNvpvqxZzMTAVQzmbDBSE3iSw</v>
      </c>
    </row>
    <row r="101" ht="15.75" customHeight="1">
      <c r="A101" s="0" t="str">
        <f>IFERROR(__xludf.DUMMYFUNCTION("""COMPUTED_VALUE"""),"Allocation")</f>
        <v>Allocation</v>
      </c>
      <c r="B101" s="0" t="str">
        <f>IFERROR(__xludf.DUMMYFUNCTION("""COMPUTED_VALUE"""),"CommissionBulkChangeOnTaxlots")</f>
        <v>CommissionBulkChangeOnTaxlots</v>
      </c>
      <c r="C101" s="0" t="str">
        <f>IFERROR(__xludf.DUMMYFUNCTION("""COMPUTED_VALUE"""),"1_7vsYYCvTxkAYqYXjLmISGV0viOCb9khDDddgaDCzbE")</f>
        <v>1_7vsYYCvTxkAYqYXjLmISGV0viOCb9khDDddgaDCzbE</v>
      </c>
    </row>
    <row r="102" ht="15.75" customHeight="1">
      <c r="A102" s="0" t="str">
        <f>IFERROR(__xludf.DUMMYFUNCTION("""COMPUTED_VALUE"""),"GeneralLedger")</f>
        <v>GeneralLedger</v>
      </c>
      <c r="B102" s="0" t="str">
        <f>IFERROR(__xludf.DUMMYFUNCTION("""COMPUTED_VALUE"""),"VerifyNonTradingTransaction")</f>
        <v>VerifyNonTradingTransaction</v>
      </c>
      <c r="C102" s="0" t="str">
        <f>IFERROR(__xludf.DUMMYFUNCTION("""COMPUTED_VALUE"""),"1O0bP5QXQjQiDANZIp9Obrifa55tdLvVLynbjdLFGE3g")</f>
        <v>1O0bP5QXQjQiDANZIp9Obrifa55tdLvVLynbjdLFGE3g</v>
      </c>
    </row>
    <row r="103" ht="15.75" customHeight="1">
      <c r="A103" s="0" t="str">
        <f>IFERROR(__xludf.DUMMYFUNCTION("""COMPUTED_VALUE"""),"Allocation")</f>
        <v>Allocation</v>
      </c>
      <c r="B103" s="0" t="str">
        <f>IFERROR(__xludf.DUMMYFUNCTION("""COMPUTED_VALUE"""),"SelectUnallocatedGroup")</f>
        <v>SelectUnallocatedGroup</v>
      </c>
      <c r="C103" s="0" t="str">
        <f>IFERROR(__xludf.DUMMYFUNCTION("""COMPUTED_VALUE"""),"1o4oo91ek1Mn_DDe4KMGTI4QP4Tr2a7dk4W6GhZrx8C0")</f>
        <v>1o4oo91ek1Mn_DDe4KMGTI4QP4Tr2a7dk4W6GhZrx8C0</v>
      </c>
    </row>
    <row r="104" ht="15.75" customHeight="1">
      <c r="A104" s="0" t="str">
        <f>IFERROR(__xludf.DUMMYFUNCTION("""COMPUTED_VALUE"""),"GeneralLedger")</f>
        <v>GeneralLedger</v>
      </c>
      <c r="B104" s="0" t="str">
        <f>IFERROR(__xludf.DUMMYFUNCTION("""COMPUTED_VALUE"""),"VerifyDividend")</f>
        <v>VerifyDividend</v>
      </c>
      <c r="C104" s="0" t="str">
        <f>IFERROR(__xludf.DUMMYFUNCTION("""COMPUTED_VALUE"""),"1rqUHYcdAPy30n3DVnBbBC1G7pAs0HVw8bk6U4wElamU")</f>
        <v>1rqUHYcdAPy30n3DVnBbBC1G7pAs0HVw8bk6U4wElamU</v>
      </c>
    </row>
    <row r="105" ht="15.75" customHeight="1">
      <c r="A105" s="0" t="str">
        <f>IFERROR(__xludf.DUMMYFUNCTION("""COMPUTED_VALUE"""),"Allocation")</f>
        <v>Allocation</v>
      </c>
      <c r="B105" s="0" t="str">
        <f>IFERROR(__xludf.DUMMYFUNCTION("""COMPUTED_VALUE"""),"EnterAccountValuesToAllocate")</f>
        <v>EnterAccountValuesToAllocate</v>
      </c>
      <c r="C105" s="0" t="str">
        <f>IFERROR(__xludf.DUMMYFUNCTION("""COMPUTED_VALUE"""),"1_xxunJZv--OoaMu--vIqANsrHbGnp7zgAejiREqgC9o")</f>
        <v>1_xxunJZv--OoaMu--vIqANsrHbGnp7zgAejiREqgC9o</v>
      </c>
    </row>
    <row r="106" ht="15.75" customHeight="1">
      <c r="A106" s="0" t="str">
        <f>IFERROR(__xludf.DUMMYFUNCTION("""COMPUTED_VALUE"""),"GeneralLedger")</f>
        <v>GeneralLedger</v>
      </c>
      <c r="B106" s="0" t="str">
        <f>IFERROR(__xludf.DUMMYFUNCTION("""COMPUTED_VALUE"""),"GetOpeningBalanceData")</f>
        <v>GetOpeningBalanceData</v>
      </c>
      <c r="C106" s="0" t="str">
        <f>IFERROR(__xludf.DUMMYFUNCTION("""COMPUTED_VALUE"""),"1szTOtKIGVoQMbhobEgnUxaIGXhP5R27tXCm0Kr5COss")</f>
        <v>1szTOtKIGVoQMbhobEgnUxaIGXhP5R27tXCm0Kr5COss</v>
      </c>
    </row>
    <row r="107" ht="15.75" customHeight="1">
      <c r="A107" s="0" t="str">
        <f>IFERROR(__xludf.DUMMYFUNCTION("""COMPUTED_VALUE"""),"Allocation")</f>
        <v>Allocation</v>
      </c>
      <c r="B107" s="0" t="str">
        <f>IFERROR(__xludf.DUMMYFUNCTION("""COMPUTED_VALUE"""),"EnterAllocatePreference")</f>
        <v>EnterAllocatePreference</v>
      </c>
      <c r="C107" s="0" t="str">
        <f>IFERROR(__xludf.DUMMYFUNCTION("""COMPUTED_VALUE"""),"19kT9xClnQROyvkZyFnUNnYg5PZsgZfC-L8n5MQshEKw")</f>
        <v>19kT9xClnQROyvkZyFnUNnYg5PZsgZfC-L8n5MQshEKw</v>
      </c>
    </row>
    <row r="108" ht="15.75" customHeight="1">
      <c r="A108" s="0" t="str">
        <f>IFERROR(__xludf.DUMMYFUNCTION("""COMPUTED_VALUE"""),"GeneralLedger")</f>
        <v>GeneralLedger</v>
      </c>
      <c r="B108" s="0" t="str">
        <f>IFERROR(__xludf.DUMMYFUNCTION("""COMPUTED_VALUE"""),"GetAccountBalance")</f>
        <v>GetAccountBalance</v>
      </c>
      <c r="C108" s="0" t="str">
        <f>IFERROR(__xludf.DUMMYFUNCTION("""COMPUTED_VALUE"""),"14i8_M9tTYQnmPA2vP4WK8Gc1mKSw08Q2z6JEQNMQ2jA")</f>
        <v>14i8_M9tTYQnmPA2vP4WK8Gc1mKSw08Q2z6JEQNMQ2jA</v>
      </c>
    </row>
    <row r="109" ht="15.75" customHeight="1">
      <c r="A109" s="0" t="str">
        <f>IFERROR(__xludf.DUMMYFUNCTION("""COMPUTED_VALUE"""),"Expnl")</f>
        <v>Expnl</v>
      </c>
      <c r="B109" s="0" t="str">
        <f>IFERROR(__xludf.DUMMYFUNCTION("""COMPUTED_VALUE"""),"RestartExpnl")</f>
        <v>RestartExpnl</v>
      </c>
      <c r="C109" s="0" t="str">
        <f>IFERROR(__xludf.DUMMYFUNCTION("""COMPUTED_VALUE"""),"1XudD6Nj0wqCZAKVseYGTPtKQwNCe9E1uqJVw4IlOpus")</f>
        <v>1XudD6Nj0wqCZAKVseYGTPtKQwNCe9E1uqJVw4IlOpus</v>
      </c>
    </row>
    <row r="110" ht="15.75" customHeight="1">
      <c r="A110" s="0" t="str">
        <f>IFERROR(__xludf.DUMMYFUNCTION("""COMPUTED_VALUE"""),"PortfolioManagement")</f>
        <v>PortfolioManagement</v>
      </c>
      <c r="B110" s="0" t="str">
        <f>IFERROR(__xludf.DUMMYFUNCTION("""COMPUTED_VALUE"""),"ClosePM")</f>
        <v>ClosePM</v>
      </c>
      <c r="C110" s="0" t="str">
        <f>IFERROR(__xludf.DUMMYFUNCTION("""COMPUTED_VALUE"""),"Undefined")</f>
        <v>Undefined</v>
      </c>
    </row>
    <row r="111" ht="15.75" customHeight="1">
      <c r="A111" s="0" t="str">
        <f>IFERROR(__xludf.DUMMYFUNCTION("""COMPUTED_VALUE"""),"Allocation")</f>
        <v>Allocation</v>
      </c>
      <c r="B111" s="0" t="str">
        <f>IFERROR(__xludf.DUMMYFUNCTION("""COMPUTED_VALUE"""),"EnterStrategyValuesToAllocate")</f>
        <v>EnterStrategyValuesToAllocate</v>
      </c>
      <c r="C111" s="0" t="str">
        <f>IFERROR(__xludf.DUMMYFUNCTION("""COMPUTED_VALUE"""),"1Zsko4640_o83_hPa401AVs4ihF17JntIpyHAOhJZX6E")</f>
        <v>1Zsko4640_o83_hPa401AVs4ihF17JntIpyHAOhJZX6E</v>
      </c>
    </row>
    <row r="112" ht="15.75" customHeight="1">
      <c r="A112" s="0" t="str">
        <f>IFERROR(__xludf.DUMMYFUNCTION("""COMPUTED_VALUE"""),"GeneralLedger")</f>
        <v>GeneralLedger</v>
      </c>
      <c r="B112" s="0" t="str">
        <f>IFERROR(__xludf.DUMMYFUNCTION("""COMPUTED_VALUE"""),"SelectNonTradingTransaction")</f>
        <v>SelectNonTradingTransaction</v>
      </c>
      <c r="C112" s="0" t="str">
        <f>IFERROR(__xludf.DUMMYFUNCTION("""COMPUTED_VALUE"""),"13CpGgA7xAiUMopTzEjt2gG1RljXAXIuKfHjB9r5e5x4")</f>
        <v>13CpGgA7xAiUMopTzEjt2gG1RljXAXIuKfHjB9r5e5x4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IFERROR(__xludf.DUMMYFUNCTION("""COMPUTED_VALUE"""),"SelectNonTradingTranItem")</f>
        <v>SelectNonTradingTranItem</v>
      </c>
      <c r="C113" s="0" t="str">
        <f>IFERROR(__xludf.DUMMYFUNCTION("""COMPUTED_VALUE"""),"1UZ09M0xmOuNjWYpsoghYu3B-9Dp1XeyMl6CRaUgL7PU")</f>
        <v>1UZ09M0xmOuNjWYpsoghYu3B-9Dp1XeyMl6CRaUgL7PU</v>
      </c>
    </row>
    <row r="114" ht="15.75" customHeight="1">
      <c r="A114" s="0" t="str">
        <f>IFERROR(__xludf.DUMMYFUNCTION("""COMPUTED_VALUE"""),"Allocation")</f>
        <v>Allocation</v>
      </c>
      <c r="B114" s="0" t="str">
        <f>IFERROR(__xludf.DUMMYFUNCTION("""COMPUTED_VALUE"""),"CopyCalculatedPreferenceToolbar")</f>
        <v>CopyCalculatedPreferenceToolbar</v>
      </c>
      <c r="C114" s="0" t="str">
        <f>IFERROR(__xludf.DUMMYFUNCTION("""COMPUTED_VALUE"""),"1l11hWn_7rpljZexuNHkg5KleyKXo_4jx1d21BZRdJLg")</f>
        <v>1l11hWn_7rpljZexuNHkg5KleyKXo_4jx1d21BZRdJLg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IFERROR(__xludf.DUMMYFUNCTION("""COMPUTED_VALUE"""),"SetGeneralRuleCalculatedPref")</f>
        <v>SetGeneralRuleCalculatedPref</v>
      </c>
      <c r="C115" s="0" t="str">
        <f>IFERROR(__xludf.DUMMYFUNCTION("""COMPUTED_VALUE"""),"1R_5SIhO5vmNiNTSvxGDIsDQW7k4dpl_tTORq2eMqTMQ")</f>
        <v>1R_5SIhO5vmNiNTSvxGDIsDQW7k4dpl_tTORq2eMqTMQ</v>
      </c>
    </row>
    <row r="116" ht="15.75" customHeight="1">
      <c r="A116" s="0" t="str">
        <f>IFERROR(__xludf.DUMMYFUNCTION("""COMPUTED_VALUE"""),"GeneralLedger")</f>
        <v>GeneralLedger</v>
      </c>
      <c r="B116" s="0" t="str">
        <f>IFERROR(__xludf.DUMMYFUNCTION("""COMPUTED_VALUE"""),"DeleteNonTradingTransaction")</f>
        <v>DeleteNonTradingTransaction</v>
      </c>
      <c r="C116" s="0" t="str">
        <f>IFERROR(__xludf.DUMMYFUNCTION("""COMPUTED_VALUE"""),"1BNSpLr6-8xmfOdPhxn_mllvRzgMVOx2ZkRBPRI9o3dM")</f>
        <v>1BNSpLr6-8xmfOdPhxn_mllvRzgMVOx2ZkRBPRI9o3dM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IFERROR(__xludf.DUMMYFUNCTION("""COMPUTED_VALUE"""),"DeleteNonTradingTranItem")</f>
        <v>DeleteNonTradingTranItem</v>
      </c>
      <c r="C117" s="0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s="0" t="str">
        <f>IFERROR(__xludf.DUMMYFUNCTION("""COMPUTED_VALUE"""),"ExportAllCalculatedPreferences")</f>
        <v>ExportAllCalculatedPreferences</v>
      </c>
      <c r="C118" s="0" t="str">
        <f>IFERROR(__xludf.DUMMYFUNCTION("""COMPUTED_VALUE"""),"1McqZVOvpDAyyblkMX74qXcQoiQxkSLybROu-ztjMQIc")</f>
        <v>1McqZVOvpDAyyblkMX74qXcQoiQxkSLybROu-ztjMQIc</v>
      </c>
    </row>
    <row r="119" ht="15.75" customHeight="1">
      <c r="A119" s="0" t="str">
        <f>IFERROR(__xludf.DUMMYFUNCTION("""COMPUTED_VALUE"""),"GeneralLedger")</f>
        <v>GeneralLedger</v>
      </c>
      <c r="B119" s="0" t="str">
        <f>IFERROR(__xludf.DUMMYFUNCTION("""COMPUTED_VALUE"""),"AddNonTradingTransaction")</f>
        <v>AddNonTradingTransaction</v>
      </c>
      <c r="C119" s="0" t="str">
        <f>IFERROR(__xludf.DUMMYFUNCTION("""COMPUTED_VALUE"""),"1P841AyLOX69wx-NB44lpyuRlaUGV1cMYqaugaIGxr5Q")</f>
        <v>1P841AyLOX69wx-NB44lpyuRlaUGV1cMYqaugaIGxr5Q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IFERROR(__xludf.DUMMYFUNCTION("""COMPUTED_VALUE"""),"AddNonTradingTranItem")</f>
        <v>AddNonTradingTranItem</v>
      </c>
      <c r="C120" s="0" t="str">
        <f>IFERROR(__xludf.DUMMYFUNCTION("""COMPUTED_VALUE"""),"1fEUUuW7bCEL3WiGDSZKRox2hDLlMEtVBUR46151jGvw")</f>
        <v>1fEUUuW7bCEL3WiGDSZKRox2hDLlMEtVBUR46151jGvw</v>
      </c>
    </row>
    <row r="121" ht="15.75" customHeight="1">
      <c r="A121" s="0" t="str">
        <f>IFERROR(__xludf.DUMMYFUNCTION("""COMPUTED_VALUE"""),"Allocation")</f>
        <v>Allocation</v>
      </c>
      <c r="B121" s="0" t="str">
        <f>IFERROR(__xludf.DUMMYFUNCTION("""COMPUTED_VALUE"""),"SaveCalculatedPreferences")</f>
        <v>SaveCalculatedPreferences</v>
      </c>
      <c r="C121" s="0" t="str">
        <f>IFERROR(__xludf.DUMMYFUNCTION("""COMPUTED_VALUE"""),"Undefined")</f>
        <v>Undefined</v>
      </c>
    </row>
    <row r="122" ht="15.75" customHeight="1">
      <c r="A122" s="0" t="str">
        <f>IFERROR(__xludf.DUMMYFUNCTION("""COMPUTED_VALUE"""),"GeneralLedger")</f>
        <v>GeneralLedger</v>
      </c>
      <c r="B122" s="0" t="str">
        <f>IFERROR(__xludf.DUMMYFUNCTION("""COMPUTED_VALUE"""),"VerifyOpeningBalanceData")</f>
        <v>VerifyOpeningBalanceData</v>
      </c>
      <c r="C122" s="0" t="str">
        <f>IFERROR(__xludf.DUMMYFUNCTION("""COMPUTED_VALUE"""),"1fYqc0dGDB6VLPr77gmUss7eBXhlUYc0GLttj6ffr-Kg")</f>
        <v>1fYqc0dGDB6VLPr77gmUss7eBXhlUYc0GLttj6ffr-Kg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IFERROR(__xludf.DUMMYFUNCTION("""COMPUTED_VALUE"""),"SelectOpeningBalanceTransaction")</f>
        <v>SelectOpeningBalanceTransaction</v>
      </c>
      <c r="C123" s="0" t="str">
        <f>IFERROR(__xludf.DUMMYFUNCTION("""COMPUTED_VALUE"""),"1WebIwh6H8t2c0-92bwEKV5DshdjoRQmVPIJVFLHmnls")</f>
        <v>1WebIwh6H8t2c0-92bwEKV5DshdjoRQmVPIJVFLHmnls</v>
      </c>
    </row>
    <row r="124" ht="15.75" customHeight="1">
      <c r="A124" s="0" t="str">
        <f>IFERROR(__xludf.DUMMYFUNCTION("""COMPUTED_VALUE"""),"TradingTicket")</f>
        <v>TradingTicket</v>
      </c>
      <c r="B124" s="0" t="str">
        <f>IFERROR(__xludf.DUMMYFUNCTION("""COMPUTED_VALUE"""),"CreateStageOrder ")</f>
        <v>CreateStageOrder </v>
      </c>
      <c r="C124" s="0" t="str">
        <f>IFERROR(__xludf.DUMMYFUNCTION("""COMPUTED_VALUE"""),"19L_mzuhDLQ5wPlLAxlOHp1eRSS4zc0D4J6BOKCagXpw")</f>
        <v>19L_mzuhDLQ5wPlLAxlOHp1eRSS4zc0D4J6BOKCagXpw</v>
      </c>
    </row>
    <row r="125" ht="15.75" customHeight="1">
      <c r="A125" s="0" t="str">
        <f>IFERROR(__xludf.DUMMYFUNCTION("""COMPUTED_VALUE"""),"Blotter")</f>
        <v>Blotter</v>
      </c>
      <c r="B125" s="0" t="str">
        <f>IFERROR(__xludf.DUMMYFUNCTION("""COMPUTED_VALUE"""),"TransferToUserWorkingSubs")</f>
        <v>TransferToUserWorkingSubs</v>
      </c>
      <c r="C125" s="0" t="str">
        <f>IFERROR(__xludf.DUMMYFUNCTION("""COMPUTED_VALUE"""),"1SYHCL9X3kLj_YpZgCZTrllmRvVgAsjam3MbM-5vKhuQ")</f>
        <v>1SYHCL9X3kLj_YpZgCZTrllmRvVgAsjam3MbM-5vKhuQ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IFERROR(__xludf.DUMMYFUNCTION("""COMPUTED_VALUE"""),"CancelWorkingSubs")</f>
        <v>CancelWorkingSubs</v>
      </c>
      <c r="C126" s="0" t="str">
        <f>IFERROR(__xludf.DUMMYFUNCTION("""COMPUTED_VALUE"""),"1O_QhVVvq9XcwVG6eOk1KDiQEBXDVkfHIoF5OQ05ChQM")</f>
        <v>1O_QhVVvq9XcwVG6eOk1KDiQEBXDVkfHIoF5OQ05ChQM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IFERROR(__xludf.DUMMYFUNCTION("""COMPUTED_VALUE"""),"ReplaceWorkingSubs")</f>
        <v>ReplaceWorkingSubs</v>
      </c>
      <c r="C127" s="0" t="str">
        <f>IFERROR(__xludf.DUMMYFUNCTION("""COMPUTED_VALUE"""),"1WZoxOuHE4Qt6q835PwLh8-0EnNhekv7piYE-Kd-vnjg")</f>
        <v>1WZoxOuHE4Qt6q835PwLh8-0EnNhekv7piYE-Kd-vnjg</v>
      </c>
    </row>
    <row r="128" ht="15.75" customHeight="1">
      <c r="A128" s="0" t="str">
        <f>IFERROR(__xludf.DUMMYFUNCTION("""COMPUTED_VALUE"""),"Expnl")</f>
        <v>Expnl</v>
      </c>
      <c r="B128" s="0" t="str">
        <f>IFERROR(__xludf.DUMMYFUNCTION("""COMPUTED_VALUE"""),"UpdateExpnlConfig")</f>
        <v>UpdateExpnlConfig</v>
      </c>
      <c r="C128" s="0" t="str">
        <f>IFERROR(__xludf.DUMMYFUNCTION("""COMPUTED_VALUE"""),"1V8BI4yfIyQECE1JcMRsApfmTPthAoYudd5HOhx1IeZ4")</f>
        <v>1V8BI4yfIyQECE1JcMRsApfmTPthAoYudd5HOhx1IeZ4</v>
      </c>
    </row>
    <row r="129" ht="15.75" customHeight="1">
      <c r="A129" s="0" t="str">
        <f>IFERROR(__xludf.DUMMYFUNCTION("""COMPUTED_VALUE"""),"Blotter")</f>
        <v>Blotter</v>
      </c>
      <c r="B129" s="0" t="str">
        <f>IFERROR(__xludf.DUMMYFUNCTION("""COMPUTED_VALUE"""),"ViewAllocationDetailsWorkingSub")</f>
        <v>ViewAllocationDetailsWorkingSub</v>
      </c>
      <c r="C129" s="0" t="str">
        <f>IFERROR(__xludf.DUMMYFUNCTION("""COMPUTED_VALUE"""),"1C9lg9oeUsmJEC3FDEmDYEDxYEZ48vhTvBpc_7jzrG-A")</f>
        <v>1C9lg9oeUsmJEC3FDEmDYEDxYEZ48vhTvBpc_7jzrG-A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IFERROR(__xludf.DUMMYFUNCTION("""COMPUTED_VALUE"""),"SelectTradeOnOrderGrid")</f>
        <v>SelectTradeOnOrderGrid</v>
      </c>
      <c r="C130" s="0" t="str">
        <f>IFERROR(__xludf.DUMMYFUNCTION("""COMPUTED_VALUE"""),"1pIqb45gaTMZAVl6ZTIr9XBk4KURb-nsLncnz6oXfhbs")</f>
        <v>1pIqb45gaTMZAVl6ZTIr9XBk4KURb-nsLncnz6oXfhbs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IFERROR(__xludf.DUMMYFUNCTION("""COMPUTED_VALUE"""),"ShowDetailsForAlgoTradeSubOrder")</f>
        <v>ShowDetailsForAlgoTradeSubOrder</v>
      </c>
      <c r="C131" s="0" t="str">
        <f>IFERROR(__xludf.DUMMYFUNCTION("""COMPUTED_VALUE"""),"1m-tuubYj3kpg3IX2REfAJAcN1l96k6ONTKyiKvxjX2Y")</f>
        <v>1m-tuubYj3kpg3IX2REfAJAcN1l96k6ONTKyiKvxjX2Y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IFERROR(__xludf.DUMMYFUNCTION("""COMPUTED_VALUE"""),"SelectTradeOrderBlotter")</f>
        <v>SelectTradeOrderBlotter</v>
      </c>
      <c r="C132" s="0" t="str">
        <f>IFERROR(__xludf.DUMMYFUNCTION("""COMPUTED_VALUE"""),"16c7e_rK3O0Zi9I0WlDJ908i_nRkDa4gzAI-9qAWkMGU")</f>
        <v>16c7e_rK3O0Zi9I0WlDJ908i_nRkDa4gzAI-9qAWkMGU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IFERROR(__xludf.DUMMYFUNCTION("""COMPUTED_VALUE"""),"AddFillsWorkingSubs")</f>
        <v>AddFillsWorkingSubs</v>
      </c>
      <c r="C133" s="0" t="str">
        <f>IFERROR(__xludf.DUMMYFUNCTION("""COMPUTED_VALUE"""),"1NsatpolfnrnOWuJS48_OImvxU5HT7tC5tpa6K_1j4nw")</f>
        <v>1NsatpolfnrnOWuJS48_OImvxU5HT7tC5tpa6K_1j4nw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IFERROR(__xludf.DUMMYFUNCTION("""COMPUTED_VALUE"""),"EditAddFillsDetails")</f>
        <v>EditAddFillsDetails</v>
      </c>
      <c r="C134" s="0" t="str">
        <f>IFERROR(__xludf.DUMMYFUNCTION("""COMPUTED_VALUE"""),"1wzlYzJ1XCTaoLeP4tjkY8-ZhqlYA9IRvRsKXraPyMT4")</f>
        <v>1wzlYzJ1XCTaoLeP4tjkY8-ZhqlYA9IRvRsKXraPyMT4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IFERROR(__xludf.DUMMYFUNCTION("""COMPUTED_VALUE"""),"ShowDetailsForAlgoTradeWorkingSubs")</f>
        <v>ShowDetailsForAlgoTradeWorkingSubs</v>
      </c>
      <c r="C135" s="0" t="str">
        <f>IFERROR(__xludf.DUMMYFUNCTION("""COMPUTED_VALUE"""),"1uzLHi4CNBx0MyhR8WKVB_6WHQpiBXI6BeN8IK55J1co")</f>
        <v>1uzLHi4CNBx0MyhR8WKVB_6WHQpiBXI6BeN8IK55J1co</v>
      </c>
    </row>
    <row r="136" ht="15.75" customHeight="1">
      <c r="A136" s="0" t="str">
        <f>IFERROR(__xludf.DUMMYFUNCTION("""COMPUTED_VALUE"""),"Closing")</f>
        <v>Closing</v>
      </c>
      <c r="B136" s="0" t="str">
        <f>IFERROR(__xludf.DUMMYFUNCTION("""COMPUTED_VALUE"""),"SwapExpire")</f>
        <v>SwapExpire</v>
      </c>
      <c r="C136" s="0" t="str">
        <f>IFERROR(__xludf.DUMMYFUNCTION("""COMPUTED_VALUE"""),"1Ch8ljdOLO5qpDv9DppYdH0GSLe_dObZX8Z4007tRKtk")</f>
        <v>1Ch8ljdOLO5qpDv9DppYdH0GSLe_dObZX8Z4007tRKtk</v>
      </c>
    </row>
    <row r="137" ht="15.75" customHeight="1">
      <c r="A137" s="0" t="str">
        <f>IFERROR(__xludf.DUMMYFUNCTION("""COMPUTED_VALUE"""),"Blotter")</f>
        <v>Blotter</v>
      </c>
      <c r="B137" s="0" t="str">
        <f>IFERROR(__xludf.DUMMYFUNCTION("""COMPUTED_VALUE"""),"VerifyWorkingSubs")</f>
        <v>VerifyWorkingSubs</v>
      </c>
      <c r="C137" s="0" t="str">
        <f>IFERROR(__xludf.DUMMYFUNCTION("""COMPUTED_VALUE"""),"1bWNa-3AC2rjiVCHfnFAnV1_niiebvWSmqy0pa2Y3A1U")</f>
        <v>1bWNa-3AC2rjiVCHfnFAnV1_niiebvWSmqy0pa2Y3A1U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IFERROR(__xludf.DUMMYFUNCTION("""COMPUTED_VALUE"""),"TransferToUserOrder")</f>
        <v>TransferToUserOrder</v>
      </c>
      <c r="C138" s="0" t="str">
        <f>IFERROR(__xludf.DUMMYFUNCTION("""COMPUTED_VALUE"""),"1P2MumATI6sYkJ-NV9pAkg1QlFtz454tMWNv0omhAY0U")</f>
        <v>1P2MumATI6sYkJ-NV9pAkg1QlFtz454tMWNv0omhAY0U</v>
      </c>
    </row>
    <row r="139" ht="15.75" customHeight="1">
      <c r="A139" s="0" t="str">
        <f>IFERROR(__xludf.DUMMYFUNCTION("""COMPUTED_VALUE"""),"Allocation")</f>
        <v>Allocation</v>
      </c>
      <c r="B139" s="0" t="str">
        <f>IFERROR(__xludf.DUMMYFUNCTION("""COMPUTED_VALUE"""),"CloseCalculatedPreferences")</f>
        <v>CloseCalculatedPreferences</v>
      </c>
      <c r="C139" s="0" t="str">
        <f>IFERROR(__xludf.DUMMYFUNCTION("""COMPUTED_VALUE"""),"Undefined")</f>
        <v>Undefined</v>
      </c>
    </row>
    <row r="140" ht="15.75" customHeight="1">
      <c r="A140" s="0" t="str">
        <f>IFERROR(__xludf.DUMMYFUNCTION("""COMPUTED_VALUE"""),"TradingTicket")</f>
        <v>TradingTicket</v>
      </c>
      <c r="B140" s="0" t="str">
        <f>IFERROR(__xludf.DUMMYFUNCTION("""COMPUTED_VALUE"""),"CreateReplaceOrder")</f>
        <v>CreateReplaceOrder</v>
      </c>
      <c r="C140" s="0" t="str">
        <f>IFERROR(__xludf.DUMMYFUNCTION("""COMPUTED_VALUE"""),"18AeAxxP9aKc0LkOM-a21d3p-tmpinB6dTkwcwxQslJ4")</f>
        <v>18AeAxxP9aKc0LkOM-a21d3p-tmpinB6dTkwcwxQslJ4</v>
      </c>
    </row>
    <row r="141" ht="15.75" customHeight="1">
      <c r="A141" s="0" t="str">
        <f>IFERROR(__xludf.DUMMYFUNCTION("""COMPUTED_VALUE"""),"Blotter")</f>
        <v>Blotter</v>
      </c>
      <c r="B141" s="0" t="str">
        <f>IFERROR(__xludf.DUMMYFUNCTION("""COMPUTED_VALUE"""),"EditOrder")</f>
        <v>EditOrder</v>
      </c>
      <c r="C141" s="0" t="str">
        <f>IFERROR(__xludf.DUMMYFUNCTION("""COMPUTED_VALUE"""),"1Vd5K36QAgnLOt0ytUkYptPSTuOBM4MelFsNL6C-vyXQ")</f>
        <v>1Vd5K36QAgnLOt0ytUkYptPSTuOBM4MelFsNL6C-vyXQ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IFERROR(__xludf.DUMMYFUNCTION("""COMPUTED_VALUE"""),"SelectTradeSubOrderBlotter")</f>
        <v>SelectTradeSubOrderBlotter</v>
      </c>
      <c r="C142" s="0" t="str">
        <f>IFERROR(__xludf.DUMMYFUNCTION("""COMPUTED_VALUE"""),"1Kn7RmQ6euNcNOy6NDUbPzjJlZhiqP-WxVYqXlDo2C6U")</f>
        <v>1Kn7RmQ6euNcNOy6NDUbPzjJlZhiqP-WxVYqXlDo2C6U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IFERROR(__xludf.DUMMYFUNCTION("""COMPUTED_VALUE"""),"VerifyOrder")</f>
        <v>VerifyOrder</v>
      </c>
      <c r="C143" s="0" t="str">
        <f>IFERROR(__xludf.DUMMYFUNCTION("""COMPUTED_VALUE"""),"1p-jiDGPGYwCR90lkSnOJde0bJTbS9VRZ-owO733geR8")</f>
        <v>1p-jiDGPGYwCR90lkSnOJde0bJTbS9VRZ-owO733geR8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IFERROR(__xludf.DUMMYFUNCTION("""COMPUTED_VALUE"""),"VerifySubOrder")</f>
        <v>VerifySubOrder</v>
      </c>
      <c r="C144" s="0" t="str">
        <f>IFERROR(__xludf.DUMMYFUNCTION("""COMPUTED_VALUE"""),"1TafQ5l2I9Hkp5-ghxq8hrHGyq-Oxs6F71aj4qMJyg5c")</f>
        <v>1TafQ5l2I9Hkp5-ghxq8hrHGyq-Oxs6F71aj4qMJyg5c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IFERROR(__xludf.DUMMYFUNCTION("""COMPUTED_VALUE"""),"RemoveSelectedOrders")</f>
        <v>RemoveSelectedOrders</v>
      </c>
      <c r="C145" s="0" t="str">
        <f>IFERROR(__xludf.DUMMYFUNCTION("""COMPUTED_VALUE"""),"1J3iMkZUt2VcZ66ADaKSSINJ5EJabuIdY1zSwd6M45wM")</f>
        <v>1J3iMkZUt2VcZ66ADaKSSINJ5EJabuIdY1zSwd6M45wM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IFERROR(__xludf.DUMMYFUNCTION("""COMPUTED_VALUE"""),"CancelAllSelectedSubs")</f>
        <v>CancelAllSelectedSubs</v>
      </c>
      <c r="C146" s="0" t="str">
        <f>IFERROR(__xludf.DUMMYFUNCTION("""COMPUTED_VALUE"""),"179OBcD6MtBcn4KEI2yimM-WbOG9HdQPq_M4QYKWxCWE")</f>
        <v>179OBcD6MtBcn4KEI2yimM-WbOG9HdQPq_M4QYKWxCWE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IFERROR(__xludf.DUMMYFUNCTION("""COMPUTED_VALUE"""),"MultiTradingTicket")</f>
        <v>MultiTradingTicket</v>
      </c>
      <c r="C147" s="0" t="str">
        <f>IFERROR(__xludf.DUMMYFUNCTION("""COMPUTED_VALUE"""),"13Mz382SvngJftLB83NIojgoFXnAjqYRnP5Vbj9lh-rA")</f>
        <v>13Mz382SvngJftLB83NIojgoFXnAjqYRnP5Vbj9lh-rA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IFERROR(__xludf.DUMMYFUNCTION("""COMPUTED_VALUE"""),"AuditTrailOrderBlotter")</f>
        <v>AuditTrailOrderBlotter</v>
      </c>
      <c r="C148" s="0" t="str">
        <f>IFERROR(__xludf.DUMMYFUNCTION("""COMPUTED_VALUE"""),"1IuRqDm9SdGbwaATc_E-eFeQdhAmE2zhtBB3igLL_Md4")</f>
        <v>1IuRqDm9SdGbwaATc_E-eFeQdhAmE2zhtBB3igLL_Md4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IFERROR(__xludf.DUMMYFUNCTION("""COMPUTED_VALUE"""),"TradeNewSubOrder")</f>
        <v>TradeNewSubOrder</v>
      </c>
      <c r="C149" s="0" t="str">
        <f>IFERROR(__xludf.DUMMYFUNCTION("""COMPUTED_VALUE"""),"1UHeoJyRun4tW18yAwGHn5G5F3bVCz5YfTdVoKPsPhio")</f>
        <v>1UHeoJyRun4tW18yAwGHn5G5F3bVCz5YfTdVoKPsPhio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IFERROR(__xludf.DUMMYFUNCTION("""COMPUTED_VALUE"""),"RemoveStageOrder")</f>
        <v>RemoveStageOrder</v>
      </c>
      <c r="C150" s="0" t="str">
        <f>IFERROR(__xludf.DUMMYFUNCTION("""COMPUTED_VALUE"""),"19q7R-0jpTlv8r84XWOTVvpxM4KAqBUjmWW6bBepm980")</f>
        <v>19q7R-0jpTlv8r84XWOTVvpxM4KAqBUjmWW6bBepm980</v>
      </c>
    </row>
    <row r="151" ht="15.75" customHeight="1">
      <c r="A151" s="0" t="str">
        <f>IFERROR(__xludf.DUMMYFUNCTION("""COMPUTED_VALUE"""),"TradingTicket")</f>
        <v>TradingTicket</v>
      </c>
      <c r="B151" s="0" t="str">
        <f>IFERROR(__xludf.DUMMYFUNCTION("""COMPUTED_VALUE"""),"SetGeneralPreference")</f>
        <v>SetGeneralPreference</v>
      </c>
      <c r="C151" s="0" t="str">
        <f>IFERROR(__xludf.DUMMYFUNCTION("""COMPUTED_VALUE"""),"1_gksmHNJnLr9h_WVPZU3z30gw7YXBg5xb6ekKca50wE")</f>
        <v>1_gksmHNJnLr9h_WVPZU3z30gw7YXBg5xb6ekKca50wE</v>
      </c>
    </row>
    <row r="152" ht="15.75" customHeight="1">
      <c r="A152" s="0" t="str">
        <f>IFERROR(__xludf.DUMMYFUNCTION("""COMPUTED_VALUE"""),"Allocation")</f>
        <v>Allocation</v>
      </c>
      <c r="B152" s="0" t="str">
        <f>IFERROR(__xludf.DUMMYFUNCTION("""COMPUTED_VALUE"""),"ExportCalculatedPreference")</f>
        <v>ExportCalculatedPreference</v>
      </c>
      <c r="C152" s="0" t="str">
        <f>IFERROR(__xludf.DUMMYFUNCTION("""COMPUTED_VALUE"""),"12SdpCUJEukku3_4FXm4sTQG2YnlN1FabyPasyveh6Dw")</f>
        <v>12SdpCUJEukku3_4FXm4sTQG2YnlN1FabyPasyveh6Dw</v>
      </c>
    </row>
    <row r="153" ht="15.75" customHeight="1">
      <c r="A153" s="0" t="str">
        <f>IFERROR(__xludf.DUMMYFUNCTION("""COMPUTED_VALUE"""),"GeneralLedger")</f>
        <v>GeneralLedger</v>
      </c>
      <c r="B153" s="0" t="str">
        <f>IFERROR(__xludf.DUMMYFUNCTION("""COMPUTED_VALUE"""),"SelectOpeningBalanceTranItem")</f>
        <v>SelectOpeningBalanceTranItem</v>
      </c>
      <c r="C153" s="0" t="str">
        <f>IFERROR(__xludf.DUMMYFUNCTION("""COMPUTED_VALUE"""),"1V0qkYxwmCcH2Rlv3ntrESGxjt8CqDUtCWLpF5NLEkms")</f>
        <v>1V0qkYxwmCcH2Rlv3ntrESGxjt8CqDUtCWLpF5NLEkms</v>
      </c>
    </row>
    <row r="154" ht="15.75" customHeight="1">
      <c r="A154" s="0" t="str">
        <f>IFERROR(__xludf.DUMMYFUNCTION("""COMPUTED_VALUE"""),"PricingInput")</f>
        <v>PricingInput</v>
      </c>
      <c r="B154" s="0" t="str">
        <f>IFERROR(__xludf.DUMMYFUNCTION("""COMPUTED_VALUE"""),"EODTPreferences")</f>
        <v>EODTPreferences</v>
      </c>
      <c r="C154" s="0" t="str">
        <f>IFERROR(__xludf.DUMMYFUNCTION("""COMPUTED_VALUE"""),"1C2CqSypfxVefrec-UaZokCKMFMAIxUNiNEksS0cQC9U")</f>
        <v>1C2CqSypfxVefrec-UaZokCKMFMAIxUNiNEksS0cQC9U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IFERROR(__xludf.DUMMYFUNCTION("""COMPUTED_VALUE"""),"LiveData")</f>
        <v>LiveData</v>
      </c>
      <c r="C155" s="0" t="str">
        <f>IFERROR(__xludf.DUMMYFUNCTION("""COMPUTED_VALUE"""),"1qTWgd0vjJZEbzPL7hyO9Ya7BIHhBEh6QZh1zrIXWpQU")</f>
        <v>1qTWgd0vjJZEbzPL7hyO9Ya7BIHhBEh6QZh1zrIXWpQU</v>
      </c>
    </row>
    <row r="156" ht="15.75" customHeight="1">
      <c r="A156" s="0" t="str">
        <f>IFERROR(__xludf.DUMMYFUNCTION("""COMPUTED_VALUE"""),"GeneralLedger")</f>
        <v>GeneralLedger</v>
      </c>
      <c r="B156" s="0" t="str">
        <f>IFERROR(__xludf.DUMMYFUNCTION("""COMPUTED_VALUE"""),"EditNonTradingTransaction")</f>
        <v>EditNonTradingTransaction</v>
      </c>
      <c r="C156" s="0" t="str">
        <f>IFERROR(__xludf.DUMMYFUNCTION("""COMPUTED_VALUE"""),"1WmisSfIxG2dETBBICN9Eopb2Zv5RAlXVeuJrc4fJW4g")</f>
        <v>1WmisSfIxG2dETBBICN9Eopb2Zv5RAlXVeuJrc4fJW4g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IFERROR(__xludf.DUMMYFUNCTION("""COMPUTED_VALUE"""),"EditNonTradingTranItem")</f>
        <v>EditNonTradingTranItem</v>
      </c>
      <c r="C157" s="0" t="str">
        <f>IFERROR(__xludf.DUMMYFUNCTION("""COMPUTED_VALUE"""),"1e5H-E0bLrEbyATTG2-Q8bJEJjiq7I3m-fVl6pCGecHY")</f>
        <v>1e5H-E0bLrEbyATTG2-Q8bJEJjiq7I3m-fVl6pCGecHY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IFERROR(__xludf.DUMMYFUNCTION("""COMPUTED_VALUE"""),"DeleteOpeningBalanceTransaction")</f>
        <v>DeleteOpeningBalanceTransaction</v>
      </c>
      <c r="C158" s="0" t="str">
        <f>IFERROR(__xludf.DUMMYFUNCTION("""COMPUTED_VALUE"""),"1MvfhsW88dxVl3ZUBRUYKI_kaV1VM3uvoAiEBGKh80jc")</f>
        <v>1MvfhsW88dxVl3ZUBRUYKI_kaV1VM3uvoAiEBGKh80jc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IFERROR(__xludf.DUMMYFUNCTION("""COMPUTED_VALUE"""),"DeleteOpeningBalanceTranItem")</f>
        <v>DeleteOpeningBalanceTranItem</v>
      </c>
      <c r="C159" s="0" t="str">
        <f>IFERROR(__xludf.DUMMYFUNCTION("""COMPUTED_VALUE"""),"11WwR-OgN8B5mzAatud8VLIETSaP2cgH0N18z_22aKgM")</f>
        <v>11WwR-OgN8B5mzAatud8VLIETSaP2cgH0N18z_22aKgM</v>
      </c>
    </row>
    <row r="160" ht="15.75" customHeight="1">
      <c r="A160" s="0" t="str">
        <f>IFERROR(__xludf.DUMMYFUNCTION("""COMPUTED_VALUE"""),"Allocation")</f>
        <v>Allocation</v>
      </c>
      <c r="B160" s="0" t="str">
        <f>IFERROR(__xludf.DUMMYFUNCTION("""COMPUTED_VALUE"""),"ImportCalculatedPreferences")</f>
        <v>ImportCalculatedPreferences</v>
      </c>
      <c r="C160" s="0" t="str">
        <f>IFERROR(__xludf.DUMMYFUNCTION("""COMPUTED_VALUE"""),"12i9wrB43t1Z92_jmrsnfeEq7d6hFZLuijrf1vuyfCko")</f>
        <v>12i9wrB43t1Z92_jmrsnfeEq7d6hFZLuijrf1vuyfCko</v>
      </c>
    </row>
    <row r="161" ht="15.75" customHeight="1">
      <c r="A161" s="0" t="str">
        <f>IFERROR(__xludf.DUMMYFUNCTION("""COMPUTED_VALUE"""),"GeneralLedger")</f>
        <v>GeneralLedger</v>
      </c>
      <c r="B161" s="0" t="str">
        <f>IFERROR(__xludf.DUMMYFUNCTION("""COMPUTED_VALUE"""),"GetDayEndCash")</f>
        <v>GetDayEndCash</v>
      </c>
      <c r="C161" s="0" t="str">
        <f>IFERROR(__xludf.DUMMYFUNCTION("""COMPUTED_VALUE"""),"1s50OqXSYiKWrnT8nYaGDzYThTJTAHIyFoV9ohpgHPgY")</f>
        <v>1s50OqXSYiKWrnT8nYaGDzYThTJTAHIyFoV9ohpgHPgY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IFERROR(__xludf.DUMMYFUNCTION("""COMPUTED_VALUE"""),"VerifyDayEndCash")</f>
        <v>VerifyDayEndCash</v>
      </c>
      <c r="C162" s="0" t="str">
        <f>IFERROR(__xludf.DUMMYFUNCTION("""COMPUTED_VALUE"""),"1s_0rGgUmKN57rRoq55juTGojQ5Fitk0m-U_OTDoirHA")</f>
        <v>1s_0rGgUmKN57rRoq55juTGojQ5Fitk0m-U_OTDoirHA</v>
      </c>
    </row>
    <row r="163" ht="15.75" customHeight="1">
      <c r="A163" s="0" t="str">
        <f>IFERROR(__xludf.DUMMYFUNCTION("""COMPUTED_VALUE"""),"Allocation")</f>
        <v>Allocation</v>
      </c>
      <c r="B163" s="0" t="str">
        <f>IFERROR(__xludf.DUMMYFUNCTION("""COMPUTED_VALUE"""),"OpenAuditTrailUnallocatedGroup")</f>
        <v>OpenAuditTrailUnallocatedGroup</v>
      </c>
      <c r="C163" s="0" t="str">
        <f>IFERROR(__xludf.DUMMYFUNCTION("""COMPUTED_VALUE"""),"1ZIhvRGHTU76uT9xqOXXJRFi1H1sbFljHmLeOicgscVU")</f>
        <v>1ZIhvRGHTU76uT9xqOXXJRFi1H1sbFljHmLeOicgscVU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IFERROR(__xludf.DUMMYFUNCTION("""COMPUTED_VALUE"""),"DeleteCalculatedPreferencesTool")</f>
        <v>DeleteCalculatedPreferencesTool</v>
      </c>
      <c r="C164" s="0" t="str">
        <f>IFERROR(__xludf.DUMMYFUNCTION("""COMPUTED_VALUE"""),"1dFC-TZzOuqwhb_lRy1ppdZVR5YELDGJURNyboYEsnco")</f>
        <v>1dFC-TZzOuqwhb_lRy1ppdZVR5YELDGJURNyboYEsnco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IFERROR(__xludf.DUMMYFUNCTION("""COMPUTED_VALUE"""),"ImportCalculatedPreferencesTool")</f>
        <v>ImportCalculatedPreferencesTool</v>
      </c>
      <c r="C165" s="0" t="str">
        <f>IFERROR(__xludf.DUMMYFUNCTION("""COMPUTED_VALUE"""),"1rWzqQSM4eQ-4N76g_1QP-9cfgPs0Z0ZIXVExsfMleuM")</f>
        <v>1rWzqQSM4eQ-4N76g_1QP-9cfgPs0Z0ZIXVExsfMleuM</v>
      </c>
    </row>
    <row r="166" ht="15.75" customHeight="1">
      <c r="A166" s="0" t="str">
        <f>IFERROR(__xludf.DUMMYFUNCTION("""COMPUTED_VALUE"""),"GeneralLedger")</f>
        <v>GeneralLedger</v>
      </c>
      <c r="B166" s="0" t="str">
        <f>IFERROR(__xludf.DUMMYFUNCTION("""COMPUTED_VALUE"""),"RunRevaluation")</f>
        <v>RunRevaluation</v>
      </c>
      <c r="C166" s="0" t="str">
        <f>IFERROR(__xludf.DUMMYFUNCTION("""COMPUTED_VALUE"""),"1TDDqb6Jok6OvWUFmx4I0wMt8-yhtBiM7TnVQKCoYxTA")</f>
        <v>1TDDqb6Jok6OvWUFmx4I0wMt8-yhtBiM7TnVQKCoYxTA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IFERROR(__xludf.DUMMYFUNCTION("""COMPUTED_VALUE"""),"CalculateDayEndCash")</f>
        <v>CalculateDayEndCash</v>
      </c>
      <c r="C167" s="0" t="str">
        <f>IFERROR(__xludf.DUMMYFUNCTION("""COMPUTED_VALUE"""),"Undefined")</f>
        <v>Undefined</v>
      </c>
    </row>
    <row r="168" ht="15.75" customHeight="1">
      <c r="A168" s="0" t="str">
        <f>IFERROR(__xludf.DUMMYFUNCTION("""COMPUTED_VALUE"""),"Allocation")</f>
        <v>Allocation</v>
      </c>
      <c r="B168" s="0" t="str">
        <f>IFERROR(__xludf.DUMMYFUNCTION("""COMPUTED_VALUE"""),"ExportAllCalculatedPreferTool")</f>
        <v>ExportAllCalculatedPreferTool</v>
      </c>
      <c r="C168" s="0" t="str">
        <f>IFERROR(__xludf.DUMMYFUNCTION("""COMPUTED_VALUE"""),"1T2Ras3k5fDjACI972XeavE_8pgs6THSrI1HhB1ye48s")</f>
        <v>1T2Ras3k5fDjACI972XeavE_8pgs6THSrI1HhB1ye48s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IFERROR(__xludf.DUMMYFUNCTION("""COMPUTED_VALUE"""),"OpenAuditTrailAllocatedGroup")</f>
        <v>OpenAuditTrailAllocatedGroup</v>
      </c>
      <c r="C169" s="0" t="str">
        <f>IFERROR(__xludf.DUMMYFUNCTION("""COMPUTED_VALUE"""),"1YcVp-kfCDUoegdhsKsCe_PMzE3_cIy1wejc4JCzTgEw")</f>
        <v>1YcVp-kfCDUoegdhsKsCe_PMzE3_cIy1wejc4JCzTgEw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IFERROR(__xludf.DUMMYFUNCTION("""COMPUTED_VALUE"""),"OpenSymbolLookupUnallocateGroup")</f>
        <v>OpenSymbolLookupUnallocateGroup</v>
      </c>
      <c r="C170" s="0" t="str">
        <f>IFERROR(__xludf.DUMMYFUNCTION("""COMPUTED_VALUE"""),"1PzyY_nfLYU66GT9Elm7rbepVT4M0Aao_ExWURbHlXso")</f>
        <v>1PzyY_nfLYU66GT9Elm7rbepVT4M0Aao_ExWURbHlXso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IFERROR(__xludf.DUMMYFUNCTION("""COMPUTED_VALUE"""),"OpenSymbolLookupAllocatedGroup")</f>
        <v>OpenSymbolLookupAllocatedGroup</v>
      </c>
      <c r="C171" s="0" t="str">
        <f>IFERROR(__xludf.DUMMYFUNCTION("""COMPUTED_VALUE"""),"1Z_dQvfdgkluFyhKo149XBcbe0Kth-fg0fOFf4_u2E-4")</f>
        <v>1Z_dQvfdgkluFyhKo149XBcbe0Kth-fg0fOFf4_u2E-4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IFERROR(__xludf.DUMMYFUNCTION("""COMPUTED_VALUE"""),"DeleteFixedPreference")</f>
        <v>DeleteFixedPreference</v>
      </c>
      <c r="C172" s="0" t="str">
        <f>IFERROR(__xludf.DUMMYFUNCTION("""COMPUTED_VALUE"""),"1RZplEfcQQUVd1Ggv65V_0dKqsLpnMuOaVEaLnQ7ckpE")</f>
        <v>1RZplEfcQQUVd1Ggv65V_0dKqsLpnMuOaVEaLnQ7ckpE</v>
      </c>
    </row>
    <row r="173" ht="15.75" customHeight="1">
      <c r="A173" s="0" t="str">
        <f>IFERROR(__xludf.DUMMYFUNCTION("""COMPUTED_VALUE"""),"Blotter")</f>
        <v>Blotter</v>
      </c>
      <c r="B173" s="0" t="str">
        <f>IFERROR(__xludf.DUMMYFUNCTION("""COMPUTED_VALUE"""),"TransferToUserSubOrder")</f>
        <v>TransferToUserSubOrder</v>
      </c>
      <c r="C173" s="0" t="str">
        <f>IFERROR(__xludf.DUMMYFUNCTION("""COMPUTED_VALUE"""),"1_ZLPKYyCpcCv90izwkS7MZMbhNEXzuAQiOx8npro20g")</f>
        <v>1_ZLPKYyCpcCv90izwkS7MZMbhNEXzuAQiOx8npro20g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IFERROR(__xludf.DUMMYFUNCTION("""COMPUTED_VALUE"""),"DetailsForAlgoTradeOrder")</f>
        <v>DetailsForAlgoTradeOrder</v>
      </c>
      <c r="C174" s="0" t="str">
        <f>IFERROR(__xludf.DUMMYFUNCTION("""COMPUTED_VALUE"""),"1AS722xjcIKYd_PpocpO2JLwR2JMqFfBPkVK39Q2XMxE")</f>
        <v>1AS722xjcIKYd_PpocpO2JLwR2JMqFfBPkVK39Q2XMxE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IFERROR(__xludf.DUMMYFUNCTION("""COMPUTED_VALUE"""),"AddFillsSubOrder")</f>
        <v>AddFillsSubOrder</v>
      </c>
      <c r="C175" s="0" t="str">
        <f>IFERROR(__xludf.DUMMYFUNCTION("""COMPUTED_VALUE"""),"1r-tyec_fx-pIqzGddgSbcLuJdAU-B20ZTaGzahpBV2w")</f>
        <v>1r-tyec_fx-pIqzGddgSbcLuJdAU-B20ZTaGzahpBV2w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IFERROR(__xludf.DUMMYFUNCTION("""COMPUTED_VALUE"""),"ViewAllocationDetailsSubOrder")</f>
        <v>ViewAllocationDetailsSubOrder</v>
      </c>
      <c r="C176" s="0" t="str">
        <f>IFERROR(__xludf.DUMMYFUNCTION("""COMPUTED_VALUE"""),"1PRG5_5qrohtjUlpAk-DjC1B6M75OdF99hA2vEgdD_Uw")</f>
        <v>1PRG5_5qrohtjUlpAk-DjC1B6M75OdF99hA2vEgdD_Uw</v>
      </c>
    </row>
    <row r="177" ht="15.75" customHeight="1">
      <c r="A177" s="0" t="str">
        <f>IFERROR(__xludf.DUMMYFUNCTION("""COMPUTED_VALUE"""),"GeneralLedger")</f>
        <v>GeneralLedger</v>
      </c>
      <c r="B177" s="0" t="str">
        <f>IFERROR(__xludf.DUMMYFUNCTION("""COMPUTED_VALUE"""),"GetCashTransaction")</f>
        <v>GetCashTransaction</v>
      </c>
      <c r="C177" s="0" t="str">
        <f>IFERROR(__xludf.DUMMYFUNCTION("""COMPUTED_VALUE"""),"1U9O1ZNQe03mFGPQ67ySm3ZLNJbWXRqnbI-8ZV30Jyz4")</f>
        <v>1U9O1ZNQe03mFGPQ67ySm3ZLNJbWXRqnbI-8ZV30Jyz4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IFERROR(__xludf.DUMMYFUNCTION("""COMPUTED_VALUE"""),"SelectCashTransaction")</f>
        <v>SelectCashTransaction</v>
      </c>
      <c r="C178" s="0" t="str">
        <f>IFERROR(__xludf.DUMMYFUNCTION("""COMPUTED_VALUE"""),"157yMc4dFxYWky5rc3_ip4Q-PBeeptVpZvBUznJzbfjE")</f>
        <v>157yMc4dFxYWky5rc3_ip4Q-PBeeptVpZvBUznJzbfjE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IFERROR(__xludf.DUMMYFUNCTION("""COMPUTED_VALUE"""),"DeleteCashTransaction")</f>
        <v>DeleteCashTransaction</v>
      </c>
      <c r="C179" s="0" t="str">
        <f>IFERROR(__xludf.DUMMYFUNCTION("""COMPUTED_VALUE"""),"1qeXbjcZPeClkYAwZmHJs2rG7V0JsRRg6mw5SmjAQHTE")</f>
        <v>1qeXbjcZPeClkYAwZmHJs2rG7V0JsRRg6mw5SmjAQHTE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IFERROR(__xludf.DUMMYFUNCTION("""COMPUTED_VALUE"""),"EditCashTransaction")</f>
        <v>EditCashTransaction</v>
      </c>
      <c r="C180" s="0" t="str">
        <f>IFERROR(__xludf.DUMMYFUNCTION("""COMPUTED_VALUE"""),"1lMHtKGRo9R39-rGVJg8v2Vp15-3oz56OtDPZn55yAvA")</f>
        <v>1lMHtKGRo9R39-rGVJg8v2Vp15-3oz56OtDPZn55yAvA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IFERROR(__xludf.DUMMYFUNCTION("""COMPUTED_VALUE"""),"AddCashTransaction")</f>
        <v>AddCashTransaction</v>
      </c>
      <c r="C181" s="0" t="str">
        <f>IFERROR(__xludf.DUMMYFUNCTION("""COMPUTED_VALUE"""),"1_UOfRF0S9c4jZDCW6MVXmTaalhrK1N7Qp-p7qITvrb4")</f>
        <v>1_UOfRF0S9c4jZDCW6MVXmTaalhrK1N7Qp-p7qITvrb4</v>
      </c>
    </row>
    <row r="182" ht="15.75" customHeight="1">
      <c r="A182" s="0" t="str">
        <f>IFERROR(__xludf.DUMMYFUNCTION("""COMPUTED_VALUE"""),"Allocation")</f>
        <v>Allocation</v>
      </c>
      <c r="B182" s="0" t="str">
        <f>IFERROR(__xludf.DUMMYFUNCTION("""COMPUTED_VALUE"""),"EditAllocatedGroupSidePanel")</f>
        <v>EditAllocatedGroupSidePanel</v>
      </c>
      <c r="C182" s="0" t="str">
        <f>IFERROR(__xludf.DUMMYFUNCTION("""COMPUTED_VALUE"""),"1hHq4PASBEElrCZSeU0tjApkvEqoqk_kzbqRw1XNza9I")</f>
        <v>1hHq4PASBEElrCZSeU0tjApkvEqoqk_kzbqRw1XNza9I</v>
      </c>
    </row>
    <row r="183" ht="15.75" customHeight="1">
      <c r="A183" s="0" t="str">
        <f>IFERROR(__xludf.DUMMYFUNCTION("""COMPUTED_VALUE"""),"DailyValuation")</f>
        <v>DailyValuation</v>
      </c>
      <c r="B183" s="0" t="str">
        <f>IFERROR(__xludf.DUMMYFUNCTION("""COMPUTED_VALUE"""),"GetMarkPriceData")</f>
        <v>GetMarkPriceData</v>
      </c>
      <c r="C183" s="0" t="str">
        <f>IFERROR(__xludf.DUMMYFUNCTION("""COMPUTED_VALUE"""),"1pHb0k1fYZKumDsM-GMxxgG_-LpX7T8zxKSXMXqWTh3o")</f>
        <v>1pHb0k1fYZKumDsM-GMxxgG_-LpX7T8zxKSXMXqWTh3o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IFERROR(__xludf.DUMMYFUNCTION("""COMPUTED_VALUE"""),"GetForwardPoints")</f>
        <v>GetForwardPoints</v>
      </c>
      <c r="C184" s="0" t="str">
        <f>IFERROR(__xludf.DUMMYFUNCTION("""COMPUTED_VALUE"""),"12tr3nHtXwkFq8bzK-zX9KhfXrHqVcRxmWSgThepFUAU")</f>
        <v>12tr3nHtXwkFq8bzK-zX9KhfXrHqVcRxmWSgThepFUAU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IFERROR(__xludf.DUMMYFUNCTION("""COMPUTED_VALUE"""),"UpdateForwardPoints")</f>
        <v>UpdateForwardPoints</v>
      </c>
      <c r="C185" s="0" t="str">
        <f>IFERROR(__xludf.DUMMYFUNCTION("""COMPUTED_VALUE"""),"1cbxy6VdPjCKlq1CYH-5uKvOCKpxB1FDLj3t8SOJ-Lic")</f>
        <v>1cbxy6VdPjCKlq1CYH-5uKvOCKpxB1FDLj3t8SOJ-Lic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IFERROR(__xludf.DUMMYFUNCTION("""COMPUTED_VALUE"""),"GetForexConversion")</f>
        <v>GetForexConversion</v>
      </c>
      <c r="C186" s="0" t="str">
        <f>IFERROR(__xludf.DUMMYFUNCTION("""COMPUTED_VALUE"""),"1VwGGAbs40-P3TWEPuxpd84Kd482ffeBen_bvUeH5XLs")</f>
        <v>1VwGGAbs40-P3TWEPuxpd84Kd482ffeBen_bvUeH5XLs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IFERROR(__xludf.DUMMYFUNCTION("""COMPUTED_VALUE"""),"DeleteNAV")</f>
        <v>DeleteNAV</v>
      </c>
      <c r="C187" s="0" t="str">
        <f>IFERROR(__xludf.DUMMYFUNCTION("""COMPUTED_VALUE"""),"1ZXcPQzGoPQ5lCt0SIdxE4Wn22XxZZBrghVN8TQa_PA8")</f>
        <v>1ZXcPQzGoPQ5lCt0SIdxE4Wn22XxZZBrghVN8TQa_PA8</v>
      </c>
    </row>
    <row r="188" ht="15.75" customHeight="1">
      <c r="A188" s="0" t="str">
        <f>IFERROR(__xludf.DUMMYFUNCTION("""COMPUTED_VALUE"""),"Allocation")</f>
        <v>Allocation</v>
      </c>
      <c r="B188" s="0" t="str">
        <f>IFERROR(__xludf.DUMMYFUNCTION("""COMPUTED_VALUE"""),"CheckUnallocatedGroups")</f>
        <v>CheckUnallocatedGroups</v>
      </c>
      <c r="C188" s="0" t="str">
        <f>IFERROR(__xludf.DUMMYFUNCTION("""COMPUTED_VALUE"""),"1pfMfohF1Z5TFRSXZGi_8kDUwu6rKdB84lDXAsFAROuo")</f>
        <v>1pfMfohF1Z5TFRSXZGi_8kDUwu6rKdB84lDXAsFAROuo</v>
      </c>
    </row>
    <row r="189" ht="15.75" customHeight="1">
      <c r="A189" s="0" t="str">
        <f>IFERROR(__xludf.DUMMYFUNCTION("""COMPUTED_VALUE"""),"DailyValuation")</f>
        <v>DailyValuation</v>
      </c>
      <c r="B189" s="0" t="str">
        <f>IFERROR(__xludf.DUMMYFUNCTION("""COMPUTED_VALUE"""),"GetDailyCash")</f>
        <v>GetDailyCash</v>
      </c>
      <c r="C189" s="0" t="str">
        <f>IFERROR(__xludf.DUMMYFUNCTION("""COMPUTED_VALUE"""),"1U-4IfRlC3qUMRnRVCAR_hKALXnY1sI4xOCfuq1PlavE")</f>
        <v>1U-4IfRlC3qUMRnRVCAR_hKALXnY1sI4xOCfuq1PlavE</v>
      </c>
    </row>
    <row r="190" ht="15.75" customHeight="1">
      <c r="A190" s="0" t="str">
        <f>IFERROR(__xludf.DUMMYFUNCTION("""COMPUTED_VALUE"""),"Allocation")</f>
        <v>Allocation</v>
      </c>
      <c r="B190" s="0" t="str">
        <f>IFERROR(__xludf.DUMMYFUNCTION("""COMPUTED_VALUE"""),"SetGeneralPreferences")</f>
        <v>SetGeneralPreferences</v>
      </c>
      <c r="C190" s="0" t="str">
        <f>IFERROR(__xludf.DUMMYFUNCTION("""COMPUTED_VALUE"""),"1ch-af2kKdJm7_QNV7VeJuxk-LrNEXnkjKpb6t0Dug3c")</f>
        <v>1ch-af2kKdJm7_QNV7VeJuxk-LrNEXnkjKpb6t0Dug3c</v>
      </c>
    </row>
    <row r="191" ht="15.75" customHeight="1">
      <c r="A191" s="0" t="str">
        <f>IFERROR(__xludf.DUMMYFUNCTION("""COMPUTED_VALUE"""),"DailyValuation")</f>
        <v>DailyValuation</v>
      </c>
      <c r="B191" s="0" t="str">
        <f>IFERROR(__xludf.DUMMYFUNCTION("""COMPUTED_VALUE"""),"GetDailyBeta")</f>
        <v>GetDailyBeta</v>
      </c>
      <c r="C191" s="0" t="str">
        <f>IFERROR(__xludf.DUMMYFUNCTION("""COMPUTED_VALUE"""),"1wWqxRP1qZT537GjecxDT1YzzgNpudY5jHpZOp2gu3Ys")</f>
        <v>1wWqxRP1qZT537GjecxDT1YzzgNpudY5jHpZOp2gu3Ys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IFERROR(__xludf.DUMMYFUNCTION("""COMPUTED_VALUE"""),"GetDailyVolatility")</f>
        <v>GetDailyVolatility</v>
      </c>
      <c r="C192" s="0" t="str">
        <f>IFERROR(__xludf.DUMMYFUNCTION("""COMPUTED_VALUE"""),"1VkaV63Kp_-m9xakgvN4nwjFQliVbH-uDTupRnx4k5U0")</f>
        <v>1VkaV63Kp_-m9xakgvN4nwjFQliVbH-uDTupRnx4k5U0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IFERROR(__xludf.DUMMYFUNCTION("""COMPUTED_VALUE"""),"GetDailyDividendYield")</f>
        <v>GetDailyDividendYield</v>
      </c>
      <c r="C193" s="0" t="str">
        <f>IFERROR(__xludf.DUMMYFUNCTION("""COMPUTED_VALUE"""),"1yDZte754Sm0fLUnothHlWsZVXFoWOOh4q4YiAbmaN6A")</f>
        <v>1yDZte754Sm0fLUnothHlWsZVXFoWOOh4q4YiAbmaN6A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IFERROR(__xludf.DUMMYFUNCTION("""COMPUTED_VALUE"""),"GetDailyTradingVolume")</f>
        <v>GetDailyTradingVolume</v>
      </c>
      <c r="C194" s="0" t="str">
        <f>IFERROR(__xludf.DUMMYFUNCTION("""COMPUTED_VALUE"""),"1CcDYZea7aWB5x3R1FD5XPCk14XdXJmtBfwMqrKIo5P8")</f>
        <v>1CcDYZea7aWB5x3R1FD5XPCk14XdXJmtBfwMqrKIo5P8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IFERROR(__xludf.DUMMYFUNCTION("""COMPUTED_VALUE"""),"GetDailyOutstandings")</f>
        <v>GetDailyOutstandings</v>
      </c>
      <c r="C195" s="0" t="str">
        <f>IFERROR(__xludf.DUMMYFUNCTION("""COMPUTED_VALUE"""),"1IiJr_OFZwBuXGoSVJLT-iESeCoaaWmoNTh6qdlxCYp8")</f>
        <v>1IiJr_OFZwBuXGoSVJLT-iESeCoaaWmoNTh6qdlxCYp8</v>
      </c>
    </row>
    <row r="196" ht="15.75" customHeight="1">
      <c r="A196" s="0" t="str">
        <f>IFERROR(__xludf.DUMMYFUNCTION("""COMPUTED_VALUE"""),"Allocation")</f>
        <v>Allocation</v>
      </c>
      <c r="B196" s="0" t="str">
        <f>IFERROR(__xludf.DUMMYFUNCTION("""COMPUTED_VALUE"""),"GroupTrades")</f>
        <v>GroupTrades</v>
      </c>
      <c r="C196" s="0" t="str">
        <f>IFERROR(__xludf.DUMMYFUNCTION("""COMPUTED_VALUE"""),"1U2asF2q2-aZLq6UJkzTZA2eUVbNqPzpMApCuwatTcT8")</f>
        <v>1U2asF2q2-aZLq6UJkzTZA2eUVbNqPzpMApCuwatTcT8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IFERROR(__xludf.DUMMYFUNCTION("""COMPUTED_VALUE"""),"UngroupTrades")</f>
        <v>UngroupTrades</v>
      </c>
      <c r="C197" s="0" t="str">
        <f>IFERROR(__xludf.DUMMYFUNCTION("""COMPUTED_VALUE"""),"1azHuhW2QGS0U6YxkL00Txr4JY62dACA7LLHadkRZziQ")</f>
        <v>1azHuhW2QGS0U6YxkL00Txr4JY62dACA7LLHadkRZziQ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IFERROR(__xludf.DUMMYFUNCTION("""COMPUTED_VALUE"""),"DeleteGroup")</f>
        <v>DeleteGroup</v>
      </c>
      <c r="C198" s="0" t="str">
        <f>IFERROR(__xludf.DUMMYFUNCTION("""COMPUTED_VALUE"""),"1V8imeRfJQChz23ycPrmDDSrmAMiwTobLSV9OD1bH-ME")</f>
        <v>1V8imeRfJQChz23ycPrmDDSrmAMiwTobLSV9OD1bH-ME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IFERROR(__xludf.DUMMYFUNCTION("""COMPUTED_VALUE"""),"CloseOrder")</f>
        <v>CloseOrder</v>
      </c>
      <c r="C199" s="0" t="str">
        <f>IFERROR(__xludf.DUMMYFUNCTION("""COMPUTED_VALUE"""),"18PQbi1ps1nA6V6t9zvfGRiJCtqCe0Uh1GTuATjDjRFU")</f>
        <v>18PQbi1ps1nA6V6t9zvfGRiJCtqCe0Uh1GTuATjDjRFU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IFERROR(__xludf.DUMMYFUNCTION("""COMPUTED_VALUE"""),"Unallocate")</f>
        <v>Unallocate</v>
      </c>
      <c r="C200" s="0" t="str">
        <f>IFERROR(__xludf.DUMMYFUNCTION("""COMPUTED_VALUE"""),"1ygZhQ5BPNveZ0IXpSzWUoJb1-CWbPI5yquJ9p2XgS_A")</f>
        <v>1ygZhQ5BPNveZ0IXpSzWUoJb1-CWbPI5yquJ9p2XgS_A</v>
      </c>
    </row>
    <row r="201" ht="15.75" customHeight="1">
      <c r="A201" s="0" t="str">
        <f>IFERROR(__xludf.DUMMYFUNCTION("""COMPUTED_VALUE"""),"DailyValuation")</f>
        <v>DailyValuation</v>
      </c>
      <c r="B201" s="0" t="str">
        <f>IFERROR(__xludf.DUMMYFUNCTION("""COMPUTED_VALUE"""),"GetDailyDelta")</f>
        <v>GetDailyDelta</v>
      </c>
      <c r="C201" s="0" t="str">
        <f>IFERROR(__xludf.DUMMYFUNCTION("""COMPUTED_VALUE"""),"1t6rdR9qbfOeXuejoH6-sBwI1bEWh_0AoKUHuMjTKafo")</f>
        <v>1t6rdR9qbfOeXuejoH6-sBwI1bEWh_0AoKUHuMjTKafo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IFERROR(__xludf.DUMMYFUNCTION("""COMPUTED_VALUE"""),"UpdateDailyVolatility")</f>
        <v>UpdateDailyVolatility</v>
      </c>
      <c r="C202" s="0" t="str">
        <f>IFERROR(__xludf.DUMMYFUNCTION("""COMPUTED_VALUE"""),"1xOQEqNJ31jaKfw8cBs7M5YCMT7FCefB_iA4lkNg82js")</f>
        <v>1xOQEqNJ31jaKfw8cBs7M5YCMT7FCefB_iA4lkNg82js</v>
      </c>
    </row>
    <row r="203" ht="15.75" customHeight="1">
      <c r="A203" s="0" t="str">
        <f>IFERROR(__xludf.DUMMYFUNCTION("""COMPUTED_VALUE"""),"GeneralLedger")</f>
        <v>GeneralLedger</v>
      </c>
      <c r="B203" s="0" t="str">
        <f>IFERROR(__xludf.DUMMYFUNCTION("""COMPUTED_VALUE"""),"AddOpeningBalanceTransaction")</f>
        <v>AddOpeningBalanceTransaction</v>
      </c>
      <c r="C203" s="0" t="str">
        <f>IFERROR(__xludf.DUMMYFUNCTION("""COMPUTED_VALUE"""),"1JROeUyPo81jRm3vqYwqsMl1H0kBJhkmxJV8gZyip19Q")</f>
        <v>1JROeUyPo81jRm3vqYwqsMl1H0kBJhkmxJV8gZyip19Q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IFERROR(__xludf.DUMMYFUNCTION("""COMPUTED_VALUE"""),"AddOpeningBalanceTranItem")</f>
        <v>AddOpeningBalanceTranItem</v>
      </c>
      <c r="C204" s="0" t="str">
        <f>IFERROR(__xludf.DUMMYFUNCTION("""COMPUTED_VALUE"""),"12owFpcC343n8bWFq_cmWVlxZQTmpEiqxbdSc8TdfgEw")</f>
        <v>12owFpcC343n8bWFq_cmWVlxZQTmpEiqxbdSc8TdfgEw</v>
      </c>
    </row>
    <row r="205" ht="15.75" customHeight="1">
      <c r="A205" s="0" t="str">
        <f>IFERROR(__xludf.DUMMYFUNCTION("""COMPUTED_VALUE"""),"Blotter")</f>
        <v>Blotter</v>
      </c>
      <c r="B205" s="0" t="str">
        <f>IFERROR(__xludf.DUMMYFUNCTION("""COMPUTED_VALUE"""),"CancelAllSubs")</f>
        <v>CancelAllSubs</v>
      </c>
      <c r="C205" s="0" t="str">
        <f>IFERROR(__xludf.DUMMYFUNCTION("""COMPUTED_VALUE"""),"1sDEuT-X92-7VkSoQJG80zx85OLZfb4OJklyeYXjn00w")</f>
        <v>1sDEuT-X92-7VkSoQJG80zx85OLZfb4OJklyeYXjn00w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IFERROR(__xludf.DUMMYFUNCTION("""COMPUTED_VALUE"""),"CancelSubOrder")</f>
        <v>CancelSubOrder</v>
      </c>
      <c r="C206" s="0" t="str">
        <f>IFERROR(__xludf.DUMMYFUNCTION("""COMPUTED_VALUE"""),"1g_US2vYcZyFbH88JB_z0oKsrXpyeYv1qZRWzpU4UgoM")</f>
        <v>1g_US2vYcZyFbH88JB_z0oKsrXpyeYv1qZRWzpU4UgoM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IFERROR(__xludf.DUMMYFUNCTION("""COMPUTED_VALUE"""),"EditStageOrder")</f>
        <v>EditStageOrder</v>
      </c>
      <c r="C207" s="0" t="str">
        <f>IFERROR(__xludf.DUMMYFUNCTION("""COMPUTED_VALUE"""),"11epgwU0jWDfsHzxAEUws_p-DkKq5wLTVrJRQztotJjU")</f>
        <v>11epgwU0jWDfsHzxAEUws_p-DkKq5wLTVrJRQztotJjU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IFERROR(__xludf.DUMMYFUNCTION("""COMPUTED_VALUE"""),"ReplaceSubOrder")</f>
        <v>ReplaceSubOrder</v>
      </c>
      <c r="C208" s="0" t="str">
        <f>IFERROR(__xludf.DUMMYFUNCTION("""COMPUTED_VALUE"""),"19tR0THpqi92bFoT67A4MgCZbfdZtGuYVK1wFx1a6hwo")</f>
        <v>19tR0THpqi92bFoT67A4MgCZbfdZtGuYVK1wFx1a6hwo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IFERROR(__xludf.DUMMYFUNCTION("""COMPUTED_VALUE"""),"SelectTradeWorkingSubsBlotter")</f>
        <v>SelectTradeWorkingSubsBlotter</v>
      </c>
      <c r="C209" s="0" t="str">
        <f>IFERROR(__xludf.DUMMYFUNCTION("""COMPUTED_VALUE"""),"1u7slY1ab8D2XeXM53lB7bN6QKwuw3IYd0Uezr9zLB70")</f>
        <v>1u7slY1ab8D2XeXM53lB7bN6QKwuw3IYd0Uezr9zLB70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IFERROR(__xludf.DUMMYFUNCTION("""COMPUTED_VALUE"""),"VerifyAlgoDetails")</f>
        <v>VerifyAlgoDetails</v>
      </c>
      <c r="C210" s="0" t="str">
        <f>IFERROR(__xludf.DUMMYFUNCTION("""COMPUTED_VALUE"""),"1l5zTPCkdGLabcDuCPPiDIGH_EGN_2xuth7vkyyaCe9E")</f>
        <v>1l5zTPCkdGLabcDuCPPiDIGH_EGN_2xuth7vkyyaCe9E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IFERROR(__xludf.DUMMYFUNCTION("""COMPUTED_VALUE"""),"VerifyTransferToUserOrder")</f>
        <v>VerifyTransferToUserOrder</v>
      </c>
      <c r="C211" s="0" t="str">
        <f>IFERROR(__xludf.DUMMYFUNCTION("""COMPUTED_VALUE"""),"1NMIbm0wDsBqrDHS0Aoctj5TYT8IIncVXBEr7jRlTKX8")</f>
        <v>1NMIbm0wDsBqrDHS0Aoctj5TYT8IIncVXBEr7jRlTKX8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IFERROR(__xludf.DUMMYFUNCTION("""COMPUTED_VALUE"""),"VerifyTransferToUserSubOdr")</f>
        <v>VerifyTransferToUserSubOdr</v>
      </c>
      <c r="C212" s="0" t="str">
        <f>IFERROR(__xludf.DUMMYFUNCTION("""COMPUTED_VALUE"""),"1x3CBu_5bjY_MnaanR3C8FZLu7-9IkDv52367LRcP7lY")</f>
        <v>1x3CBu_5bjY_MnaanR3C8FZLu7-9IkDv52367LRcP7lY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IFERROR(__xludf.DUMMYFUNCTION("""COMPUTED_VALUE"""),"VerifyTransferToUserWorkSub")</f>
        <v>VerifyTransferToUserWorkSub</v>
      </c>
      <c r="C213" s="0" t="str">
        <f>IFERROR(__xludf.DUMMYFUNCTION("""COMPUTED_VALUE"""),"1moqW_Avii95AiWD080nTWw5DOlaf1npl8FoxJYdN1CQ")</f>
        <v>1moqW_Avii95AiWD080nTWw5DOlaf1npl8FoxJYdN1CQ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IFERROR(__xludf.DUMMYFUNCTION("""COMPUTED_VALUE"""),"SaveLayoutOrderGrid")</f>
        <v>SaveLayoutOrderGrid</v>
      </c>
      <c r="C214" s="0" t="str">
        <f>IFERROR(__xludf.DUMMYFUNCTION("""COMPUTED_VALUE"""),"1f-tHMdwxYv41Vtbgl8usVHR6_T_uXK9iU0Jvj6byf54")</f>
        <v>1f-tHMdwxYv41Vtbgl8usVHR6_T_uXK9iU0Jvj6byf54</v>
      </c>
    </row>
    <row r="215" ht="15.75" customHeight="1">
      <c r="A215" s="0" t="str">
        <f>IFERROR(__xludf.DUMMYFUNCTION("""COMPUTED_VALUE"""),"DailyValuation")</f>
        <v>DailyValuation</v>
      </c>
      <c r="B215" s="0" t="str">
        <f>IFERROR(__xludf.DUMMYFUNCTION("""COMPUTED_VALUE"""),"UpdateDividendYield")</f>
        <v>UpdateDividendYield</v>
      </c>
      <c r="C215" s="0" t="str">
        <f>IFERROR(__xludf.DUMMYFUNCTION("""COMPUTED_VALUE"""),"1v7x__YSHVrzfUigPB6cJL0n6H5tfL-dG0jQDSNwK77w")</f>
        <v>1v7x__YSHVrzfUigPB6cJL0n6H5tfL-dG0jQDSNwK77w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IFERROR(__xludf.DUMMYFUNCTION("""COMPUTED_VALUE"""),"UpdateTradingVolume")</f>
        <v>UpdateTradingVolume</v>
      </c>
      <c r="C216" s="0" t="str">
        <f>IFERROR(__xludf.DUMMYFUNCTION("""COMPUTED_VALUE"""),"1C_WPdfJ5Y6XiI6PQIaQC_kYRA1cyB4pILSmTaQXBjt4")</f>
        <v>1C_WPdfJ5Y6XiI6PQIaQC_kYRA1cyB4pILSmTaQXBjt4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IFERROR(__xludf.DUMMYFUNCTION("""COMPUTED_VALUE"""),"UpdateDailyDelta")</f>
        <v>UpdateDailyDelta</v>
      </c>
      <c r="C217" s="0" t="str">
        <f>IFERROR(__xludf.DUMMYFUNCTION("""COMPUTED_VALUE"""),"1W8cpbOsbEL0O66_8nq5ID6snA8EoJQojgueScqnJeds")</f>
        <v>1W8cpbOsbEL0O66_8nq5ID6snA8EoJQojgueScqnJeds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IFERROR(__xludf.DUMMYFUNCTION("""COMPUTED_VALUE"""),"UpdateDailyOutstandings")</f>
        <v>UpdateDailyOutstandings</v>
      </c>
      <c r="C218" s="0" t="str">
        <f>IFERROR(__xludf.DUMMYFUNCTION("""COMPUTED_VALUE"""),"1S-1Yd6wHzPfXlddWYHNVJ59ndiC9mBcoDpJ24XG_wEs")</f>
        <v>1S-1Yd6wHzPfXlddWYHNVJ59ndiC9mBcoDpJ24XG_wEs</v>
      </c>
    </row>
    <row r="219" ht="15.75" customHeight="1">
      <c r="A219" s="0" t="str">
        <f>IFERROR(__xludf.DUMMYFUNCTION("""COMPUTED_VALUE"""),"Closing")</f>
        <v>Closing</v>
      </c>
      <c r="B219" s="0" t="str">
        <f>IFERROR(__xludf.DUMMYFUNCTION("""COMPUTED_VALUE"""),"GetDataClosing")</f>
        <v>GetDataClosing</v>
      </c>
      <c r="C219" s="0" t="str">
        <f>IFERROR(__xludf.DUMMYFUNCTION("""COMPUTED_VALUE"""),"1_NT03sUSvuLe4_tGLyzUnjVgc0h0wP1QyFRqz5J0AQs")</f>
        <v>1_NT03sUSvuLe4_tGLyzUnjVgc0h0wP1QyFRqz5J0AQs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IFERROR(__xludf.DUMMYFUNCTION("""COMPUTED_VALUE"""),"ManualClosing")</f>
        <v>ManualClosing</v>
      </c>
      <c r="C220" s="0" t="str">
        <f>IFERROR(__xludf.DUMMYFUNCTION("""COMPUTED_VALUE"""),"1NsF8mN2Zlx2L1ZUQo3cwyNVoYdFbhQ1U5KK4lQjqyj8")</f>
        <v>1NsF8mN2Zlx2L1ZUQo3cwyNVoYdFbhQ1U5KK4lQjqyj8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IFERROR(__xludf.DUMMYFUNCTION("""COMPUTED_VALUE"""),"AutomaticClosing")</f>
        <v>AutomaticClosing</v>
      </c>
      <c r="C221" s="0" t="str">
        <f>IFERROR(__xludf.DUMMYFUNCTION("""COMPUTED_VALUE"""),"1TAvTYpcE3pQc_4LWO3rdsALNXiihqGoq5C7VuUqnyGI")</f>
        <v>1TAvTYpcE3pQc_4LWO3rdsALNXiihqGoq5C7VuUqnyGI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IFERROR(__xludf.DUMMYFUNCTION("""COMPUTED_VALUE"""),"UnwindClosing")</f>
        <v>UnwindClosing</v>
      </c>
      <c r="C222" s="0" t="str">
        <f>IFERROR(__xludf.DUMMYFUNCTION("""COMPUTED_VALUE"""),"1n5b-erBJJNMUcxydpftL5PGG7ARm-uGjDncl8Qx2sLo")</f>
        <v>1n5b-erBJJNMUcxydpftL5PGG7ARm-uGjDncl8Qx2sLo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IFERROR(__xludf.DUMMYFUNCTION("""COMPUTED_VALUE"""),"VerifyClosedTrades")</f>
        <v>VerifyClosedTrades</v>
      </c>
      <c r="C223" s="0" t="str">
        <f>IFERROR(__xludf.DUMMYFUNCTION("""COMPUTED_VALUE"""),"1oZ2JeM-TEXzpPQK7aQoL3fUJwhe037lPXwowIAhJJXM")</f>
        <v>1oZ2JeM-TEXzpPQK7aQoL3fUJwhe037lPXwowIAhJJXM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IFERROR(__xludf.DUMMYFUNCTION("""COMPUTED_VALUE"""),"VerifyLongPositionsGrid")</f>
        <v>VerifyLongPositionsGrid</v>
      </c>
      <c r="C224" s="0" t="str">
        <f>IFERROR(__xludf.DUMMYFUNCTION("""COMPUTED_VALUE"""),"1n66-ge1M-RYaB4fzMAeKVE4b9J93Ec6FE8prEnrbrUY")</f>
        <v>1n66-ge1M-RYaB4fzMAeKVE4b9J93Ec6FE8prEnrbrUY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IFERROR(__xludf.DUMMYFUNCTION("""COMPUTED_VALUE"""),"VerifyShortPositionsGrid")</f>
        <v>VerifyShortPositionsGrid</v>
      </c>
      <c r="C225" s="0" t="str">
        <f>IFERROR(__xludf.DUMMYFUNCTION("""COMPUTED_VALUE"""),"147WeBw6VRRHCzDjjEVkUG93H71mx9_6u7JDqSzExZfQ")</f>
        <v>147WeBw6VRRHCzDjjEVkUG93H71mx9_6u7JDqSzExZfQ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IFERROR(__xludf.DUMMYFUNCTION("""COMPUTED_VALUE"""),"SelectTradeUnexpiredUnsettled")</f>
        <v>SelectTradeUnexpiredUnsettled</v>
      </c>
      <c r="C226" s="0" t="str">
        <f>IFERROR(__xludf.DUMMYFUNCTION("""COMPUTED_VALUE"""),"1FObt5ouO_Fd-1C35ZJOB1hwrDeISMD1uqyNw6Muc52E")</f>
        <v>1FObt5ouO_Fd-1C35ZJOB1hwrDeISMD1uqyNw6Muc52E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IFERROR(__xludf.DUMMYFUNCTION("""COMPUTED_VALUE"""),"CashSettlementAtCost")</f>
        <v>CashSettlementAtCost</v>
      </c>
      <c r="C227" s="0" t="str">
        <f>IFERROR(__xludf.DUMMYFUNCTION("""COMPUTED_VALUE"""),"1awz_EN5JaDo7-X8Cf7oYlxG4f8ZrsYEG1oL1QBkQb8o")</f>
        <v>1awz_EN5JaDo7-X8Cf7oYlxG4f8ZrsYEG1oL1QBkQb8o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IFERROR(__xludf.DUMMYFUNCTION("""COMPUTED_VALUE"""),"CashSettlementAtZeroPrice")</f>
        <v>CashSettlementAtZeroPrice</v>
      </c>
      <c r="C228" s="0" t="str">
        <f>IFERROR(__xludf.DUMMYFUNCTION("""COMPUTED_VALUE"""),"1txP1PJigV4vdVbKFMO3GMi5BhiLWeUOneGt9yA7DphY")</f>
        <v>1txP1PJigV4vdVbKFMO3GMi5BhiLWeUOneGt9yA7DphY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IFERROR(__xludf.DUMMYFUNCTION("""COMPUTED_VALUE"""),"CashSettlementAtClosingDtSpotPx")</f>
        <v>CashSettlementAtClosingDtSpotPx</v>
      </c>
      <c r="C229" s="0" t="str">
        <f>IFERROR(__xludf.DUMMYFUNCTION("""COMPUTED_VALUE"""),"1if6Ixw7Wo72s71jewq4kGd3bUrRBHD3uxb6oVEU8m4M")</f>
        <v>1if6Ixw7Wo72s71jewq4kGd3bUrRBHD3uxb6oVEU8m4M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IFERROR(__xludf.DUMMYFUNCTION("""COMPUTED_VALUE"""),"PhysicalSettlement")</f>
        <v>PhysicalSettlement</v>
      </c>
      <c r="C230" s="0" t="str">
        <f>IFERROR(__xludf.DUMMYFUNCTION("""COMPUTED_VALUE"""),"1j0_OFQL6cAngAn_f8e2c9s48kIx6T1DMB1HtKzhVgxM")</f>
        <v>1j0_OFQL6cAngAn_f8e2c9s48kIx6T1DMB1HtKzhVgxM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IFERROR(__xludf.DUMMYFUNCTION("""COMPUTED_VALUE"""),"Expire")</f>
        <v>Expire</v>
      </c>
      <c r="C231" s="0" t="str">
        <f>IFERROR(__xludf.DUMMYFUNCTION("""COMPUTED_VALUE"""),"1uTXnR3b0dBBJ12poieg819Sw5X7A31DAefoPTF8HvS8")</f>
        <v>1uTXnR3b0dBBJ12poieg819Sw5X7A31DAefoPTF8HvS8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IFERROR(__xludf.DUMMYFUNCTION("""COMPUTED_VALUE"""),"ExerciseAssignment")</f>
        <v>ExerciseAssignment</v>
      </c>
      <c r="C232" s="0" t="str">
        <f>IFERROR(__xludf.DUMMYFUNCTION("""COMPUTED_VALUE"""),"1bA6aaAVKiSAEQCN3NhxCUAsXZXF9JFxOfu0VhfUugtE")</f>
        <v>1bA6aaAVKiSAEQCN3NhxCUAsXZXF9JFxOfu0VhfUugtE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IFERROR(__xludf.DUMMYFUNCTION("""COMPUTED_VALUE"""),"ExerciseAssignmentAtZero")</f>
        <v>ExerciseAssignmentAtZero</v>
      </c>
      <c r="C233" s="0" t="str">
        <f>IFERROR(__xludf.DUMMYFUNCTION("""COMPUTED_VALUE"""),"1kqk3qr2A_0HgAfwasm4ONZYUjKRgUd9wRoNg3NH_CQs")</f>
        <v>1kqk3qr2A_0HgAfwasm4ONZYUjKRgUd9wRoNg3NH_CQs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IFERROR(__xludf.DUMMYFUNCTION("""COMPUTED_VALUE"""),"SwapExpireAndRollover")</f>
        <v>SwapExpireAndRollover</v>
      </c>
      <c r="C234" s="0" t="str">
        <f>IFERROR(__xludf.DUMMYFUNCTION("""COMPUTED_VALUE"""),"1ZgJYe9feHH1JnnrqSkw7W1JoIKEcT_NnlnQtzP0MXSc")</f>
        <v>1ZgJYe9feHH1JnnrqSkw7W1JoIKEcT_NnlnQtzP0MXSc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IFERROR(__xludf.DUMMYFUNCTION("""COMPUTED_VALUE"""),"SwapExpire")</f>
        <v>SwapExpire</v>
      </c>
      <c r="C235" s="0" t="str">
        <f>IFERROR(__xludf.DUMMYFUNCTION("""COMPUTED_VALUE"""),"1Ch8ljdOLO5qpDv9DppYdH0GSLe_dObZX8Z4007tRKtk")</f>
        <v>1Ch8ljdOLO5qpDv9DppYdH0GSLe_dObZX8Z4007tRKtk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IFERROR(__xludf.DUMMYFUNCTION("""COMPUTED_VALUE"""),"VerifyExpiredSettledGrid")</f>
        <v>VerifyExpiredSettledGrid</v>
      </c>
      <c r="C236" s="0" t="str">
        <f>IFERROR(__xludf.DUMMYFUNCTION("""COMPUTED_VALUE"""),"1Y7iTcrm1lcqAexGSYgLsLlCOYw223ra4LBG0yn-I2bY")</f>
        <v>1Y7iTcrm1lcqAexGSYgLsLlCOYw223ra4LBG0yn-I2bY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IFERROR(__xludf.DUMMYFUNCTION("""COMPUTED_VALUE"""),"VerifyUnExpiredUnSettledGrid")</f>
        <v>VerifyUnExpiredUnSettledGrid</v>
      </c>
      <c r="C237" s="0" t="str">
        <f>IFERROR(__xludf.DUMMYFUNCTION("""COMPUTED_VALUE"""),"1L2S89q_MaWf4uZDOO7k9zl1iHulikAZk9KJ78CUobIc")</f>
        <v>1L2S89q_MaWf4uZDOO7k9zl1iHulikAZk9KJ78CUobIc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IFERROR(__xludf.DUMMYFUNCTION("""COMPUTED_VALUE"""),"UnWindTradeSettlement")</f>
        <v>UnWindTradeSettlement</v>
      </c>
      <c r="C238" s="0" t="str">
        <f>IFERROR(__xludf.DUMMYFUNCTION("""COMPUTED_VALUE"""),"1r8av4OWUDi-9UDzyWe0DRs-rlCS90W4iepyl32hgsu0")</f>
        <v>1r8av4OWUDi-9UDzyWe0DRs-rlCS90W4iepyl32hgsu0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IFERROR(__xludf.DUMMYFUNCTION("""COMPUTED_VALUE"""),"CloseOrder")</f>
        <v>CloseOrder</v>
      </c>
      <c r="C239" s="0" t="str">
        <f>IFERROR(__xludf.DUMMYFUNCTION("""COMPUTED_VALUE"""),"1L4oOTgickdBKDs0CYP74xqSVxT5XAemsQon_0M_wIY4")</f>
        <v>1L4oOTgickdBKDs0CYP74xqSVxT5XAemsQon_0M_wIY4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IFERROR(__xludf.DUMMYFUNCTION("""COMPUTED_VALUE"""),"VerifyCloseOrder")</f>
        <v>VerifyCloseOrder</v>
      </c>
      <c r="C240" s="0" t="str">
        <f>IFERROR(__xludf.DUMMYFUNCTION("""COMPUTED_VALUE"""),"1wVhrU78CBgt-9aXoQMxmex2szYfOWevs1reuZQwcSlU")</f>
        <v>1wVhrU78CBgt-9aXoQMxmex2szYfOWevs1reuZQwcSlU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IFERROR(__xludf.DUMMYFUNCTION("""COMPUTED_VALUE"""),"UnWindCloseOrder")</f>
        <v>UnWindCloseOrder</v>
      </c>
      <c r="C241" s="0" t="str">
        <f>IFERROR(__xludf.DUMMYFUNCTION("""COMPUTED_VALUE"""),"1h8Riwp0PTUKBHWNb4d5NQ9Foe2ig0mS3tu7vxq74C6A")</f>
        <v>1h8Riwp0PTUKBHWNb4d5NQ9Foe2ig0mS3tu7vxq74C6A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IFERROR(__xludf.DUMMYFUNCTION("""COMPUTED_VALUE"""),"ClosingCleanUp")</f>
        <v>ClosingCleanUp</v>
      </c>
      <c r="C242" s="0" t="str">
        <f>IFERROR(__xludf.DUMMYFUNCTION("""COMPUTED_VALUE"""),"1_1ie9PGDigjyhcBrTgIzPawnFkZMYxHtKWtsPu9B_3c")</f>
        <v>1_1ie9PGDigjyhcBrTgIzPawnFkZMYxHtKWtsPu9B_3c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IFERROR(__xludf.DUMMYFUNCTION("""COMPUTED_VALUE"""),"CloseClosingUI")</f>
        <v>CloseClosingUI</v>
      </c>
      <c r="C243" s="0" t="str">
        <f>IFERROR(__xludf.DUMMYFUNCTION("""COMPUTED_VALUE"""),"1KiRs-Mdk_DhlHcSNlHArhVLFJzMKzKu1kat_TZ71jkQ")</f>
        <v>1KiRs-Mdk_DhlHcSNlHArhVLFJzMKzKu1kat_TZ71jkQ</v>
      </c>
    </row>
    <row r="244" ht="15.75" customHeight="1">
      <c r="A244" s="0" t="str">
        <f>IFERROR(__xludf.DUMMYFUNCTION("""COMPUTED_VALUE"""),"GeneralLedger")</f>
        <v>GeneralLedger</v>
      </c>
      <c r="B244" s="0" t="str">
        <f>IFERROR(__xludf.DUMMYFUNCTION("""COMPUTED_VALUE"""),"GetDailyCalculationsData")</f>
        <v>GetDailyCalculationsData</v>
      </c>
      <c r="C244" s="0" t="str">
        <f>IFERROR(__xludf.DUMMYFUNCTION("""COMPUTED_VALUE"""),"1pIJnQCXHxy82ZF8KgUVRHcagp8aZHkkagJfnU-cLYRo")</f>
        <v>1pIJnQCXHxy82ZF8KgUVRHcagp8aZHkkagJfnU-cLYRo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IFERROR(__xludf.DUMMYFUNCTION("""COMPUTED_VALUE"""),"CalculateDailyCalculations")</f>
        <v>CalculateDailyCalculations</v>
      </c>
      <c r="C245" s="0" t="str">
        <f>IFERROR(__xludf.DUMMYFUNCTION("""COMPUTED_VALUE"""),"Undefined")</f>
        <v>Undefined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IFERROR(__xludf.DUMMYFUNCTION("""COMPUTED_VALUE"""),"EditOpeningBalanceTransaction")</f>
        <v>EditOpeningBalanceTransaction</v>
      </c>
      <c r="C246" s="0" t="str">
        <f>IFERROR(__xludf.DUMMYFUNCTION("""COMPUTED_VALUE"""),"1wqhiyeuGFjr-d-douLAdeAoIl9zOMj0hG7J2an8e7EA")</f>
        <v>1wqhiyeuGFjr-d-douLAdeAoIl9zOMj0hG7J2an8e7EA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IFERROR(__xludf.DUMMYFUNCTION("""COMPUTED_VALUE"""),"EditOpeningBalanceTranItem")</f>
        <v>EditOpeningBalanceTranItem</v>
      </c>
      <c r="C247" s="0" t="str">
        <f>IFERROR(__xludf.DUMMYFUNCTION("""COMPUTED_VALUE"""),"1yTjsXnh8twOBshtRTYPboRkkXpXN8T2vC7KUsimL2Ec")</f>
        <v>1yTjsXnh8twOBshtRTYPboRkkXpXN8T2vC7KUsimL2Ec</v>
      </c>
    </row>
    <row r="248" ht="15.75" customHeight="1">
      <c r="A248" s="0" t="str">
        <f>IFERROR(__xludf.DUMMYFUNCTION("""COMPUTED_VALUE"""),"DailyValuation")</f>
        <v>DailyValuation</v>
      </c>
      <c r="B248" s="0" t="str">
        <f>IFERROR(__xludf.DUMMYFUNCTION("""COMPUTED_VALUE"""),"UpdateBeta")</f>
        <v>UpdateBeta</v>
      </c>
      <c r="C248" s="0" t="str">
        <f>IFERROR(__xludf.DUMMYFUNCTION("""COMPUTED_VALUE"""),"14bzYQBiZIs2a3lfzwT4TROCDnXpt72UALcJjBTZdEAk")</f>
        <v>14bzYQBiZIs2a3lfzwT4TROCDnXpt72UALcJjBTZdEAk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IFERROR(__xludf.DUMMYFUNCTION("""COMPUTED_VALUE"""),"UpdateNAV")</f>
        <v>UpdateNAV</v>
      </c>
      <c r="C249" s="0" t="str">
        <f>IFERROR(__xludf.DUMMYFUNCTION("""COMPUTED_VALUE"""),"13mmaXGk97gVSQ6zDXJnzFolB9Xj-Wrq5OulWkf9iQjA")</f>
        <v>13mmaXGk97gVSQ6zDXJnzFolB9Xj-Wrq5OulWkf9iQjA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IFERROR(__xludf.DUMMYFUNCTION("""COMPUTED_VALUE"""),"UpdateDailyCash")</f>
        <v>UpdateDailyCash</v>
      </c>
      <c r="C250" s="0" t="str">
        <f>IFERROR(__xludf.DUMMYFUNCTION("""COMPUTED_VALUE"""),"1qlSfNvUHenegqRyv9ZFeKA5gN-iwbykaaRHcYfx0vR8")</f>
        <v>1qlSfNvUHenegqRyv9ZFeKA5gN-iwbykaaRHcYfx0vR8</v>
      </c>
    </row>
    <row r="251" ht="15.75" customHeight="1">
      <c r="A251" s="0" t="str">
        <f>IFERROR(__xludf.DUMMYFUNCTION("""COMPUTED_VALUE"""),"GeneralLedger")</f>
        <v>GeneralLedger</v>
      </c>
      <c r="B251" s="0" t="str">
        <f>IFERROR(__xludf.DUMMYFUNCTION("""COMPUTED_VALUE"""),"VerifyDailyCalTransactions")</f>
        <v>VerifyDailyCalTransactions</v>
      </c>
      <c r="C251" s="0" t="str">
        <f>IFERROR(__xludf.DUMMYFUNCTION("""COMPUTED_VALUE"""),"10wpUsik3kWUK9FdBcY3wa_rIK92CGwBAPxPW94n8RI0")</f>
        <v>10wpUsik3kWUK9FdBcY3wa_rIK92CGwBAPxPW94n8RI0</v>
      </c>
    </row>
    <row r="252" ht="15.75" customHeight="1">
      <c r="A252" s="0" t="str">
        <f>IFERROR(__xludf.DUMMYFUNCTION("""COMPUTED_VALUE"""),"DailyValuation")</f>
        <v>DailyValuation</v>
      </c>
      <c r="B252" s="0" t="str">
        <f>IFERROR(__xludf.DUMMYFUNCTION("""COMPUTED_VALUE"""),"UpdateDailyCreditLimt")</f>
        <v>UpdateDailyCreditLimt</v>
      </c>
      <c r="C252" s="0" t="str">
        <f>IFERROR(__xludf.DUMMYFUNCTION("""COMPUTED_VALUE"""),"1WMfqGkZABhjGZzyIgr3hBp-ZTraQiBbIVqdAP3KAOGo")</f>
        <v>1WMfqGkZABhjGZzyIgr3hBp-ZTraQiBbIVqdAP3KAOGo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IFERROR(__xludf.DUMMYFUNCTION("""COMPUTED_VALUE"""),"RemoveDailyCreditLimit")</f>
        <v>RemoveDailyCreditLimit</v>
      </c>
      <c r="C253" s="0" t="str">
        <f>IFERROR(__xludf.DUMMYFUNCTION("""COMPUTED_VALUE"""),"1PWZIcowZzyQZ43yBopMfNLylAaq2RlmTxS0-Y7SK0KI")</f>
        <v>1PWZIcowZzyQZ43yBopMfNLylAaq2RlmTxS0-Y7SK0KI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IFERROR(__xludf.DUMMYFUNCTION("""COMPUTED_VALUE"""),"RemoveDailyCash")</f>
        <v>RemoveDailyCash</v>
      </c>
      <c r="C254" s="0" t="str">
        <f>IFERROR(__xludf.DUMMYFUNCTION("""COMPUTED_VALUE"""),"1K-Bl5yG-Q_sgro0guK9BOk2wSxZk_7rHH7Lj7Qp_H2U")</f>
        <v>1K-Bl5yG-Q_sgro0guK9BOk2wSxZk_7rHH7Lj7Qp_H2U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IFERROR(__xludf.DUMMYFUNCTION("""COMPUTED_VALUE"""),"RemoveNAV")</f>
        <v>RemoveNAV</v>
      </c>
      <c r="C255" s="0" t="str">
        <f>IFERROR(__xludf.DUMMYFUNCTION("""COMPUTED_VALUE"""),"1iKNzN1CKH1HHjrGq7o2kZo9f76Pk7b7qYuTxqOHQZzE")</f>
        <v>1iKNzN1CKH1HHjrGq7o2kZo9f76Pk7b7qYuTxqOHQZzE</v>
      </c>
    </row>
    <row r="256" ht="15.75" customHeight="1">
      <c r="A256" s="0" t="str">
        <f>IFERROR(__xludf.DUMMYFUNCTION("""COMPUTED_VALUE"""),"PortfolioManagement")</f>
        <v>PortfolioManagement</v>
      </c>
      <c r="B256" s="0" t="str">
        <f>IFERROR(__xludf.DUMMYFUNCTION("""COMPUTED_VALUE"""),"FilterPM")</f>
        <v>FilterPM</v>
      </c>
      <c r="C256" s="0" t="str">
        <f>IFERROR(__xludf.DUMMYFUNCTION("""COMPUTED_VALUE"""),"1lo4DMzd6cjmA4-4d7dLNuKsGBW61BpeW2eCf7oK-9og")</f>
        <v>1lo4DMzd6cjmA4-4d7dLNuKsGBW61BpeW2eCf7oK-9og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IFERROR(__xludf.DUMMYFUNCTION("""COMPUTED_VALUE"""),"GroupRowPM")</f>
        <v>GroupRowPM</v>
      </c>
      <c r="C257" s="0" t="str">
        <f>IFERROR(__xludf.DUMMYFUNCTION("""COMPUTED_VALUE"""),"1pgA3lsv5kfGNh9RHELfgbcW6XvdfbOLjdTg2dR5EYAU")</f>
        <v>1pgA3lsv5kfGNh9RHELfgbcW6XvdfbOLjdTg2dR5EYAU</v>
      </c>
    </row>
    <row r="258" ht="15.75" customHeight="1">
      <c r="A258" s="0" t="str">
        <f>IFERROR(__xludf.DUMMYFUNCTION("""COMPUTED_VALUE"""),"Allocation")</f>
        <v>Allocation</v>
      </c>
      <c r="B258" s="0" t="str">
        <f>IFERROR(__xludf.DUMMYFUNCTION("""COMPUTED_VALUE"""),"CloseAllocation")</f>
        <v>CloseAllocation</v>
      </c>
      <c r="C258" s="0" t="str">
        <f>IFERROR(__xludf.DUMMYFUNCTION("""COMPUTED_VALUE"""),"Undefined")</f>
        <v>Undefined</v>
      </c>
    </row>
    <row r="259" ht="15.75" customHeight="1">
      <c r="A259" s="0" t="str">
        <f>IFERROR(__xludf.DUMMYFUNCTION("""COMPUTED_VALUE"""),"PortfolioManagement")</f>
        <v>PortfolioManagement</v>
      </c>
      <c r="B259" s="0" t="str">
        <f>IFERROR(__xludf.DUMMYFUNCTION("""COMPUTED_VALUE"""),"CheckDashboardWithPM")</f>
        <v>CheckDashboardWithPM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IFERROR(__xludf.DUMMYFUNCTION("""COMPUTED_VALUE"""),"RemoveFilterPM")</f>
        <v>RemoveFilterPM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IFERROR(__xludf.DUMMYFUNCTION("""COMPUTED_VALUE"""),"CheckSummaryRowsPM")</f>
        <v>CheckSummaryRowsPM</v>
      </c>
      <c r="C261" s="0" t="str">
        <f>IFERROR(__xludf.DUMMYFUNCTION("""COMPUTED_VALUE"""),"18xKZpSz1Db7JKLK-skQuvwxZf_NdSC71Y9j-EFPSnbQ")</f>
        <v>18xKZpSz1Db7JKLK-skQuvwxZf_NdSC71Y9j-EFPSnbQ</v>
      </c>
    </row>
    <row r="262" ht="15.75" customHeight="1">
      <c r="A262" s="0" t="str">
        <f>IFERROR(__xludf.DUMMYFUNCTION("""COMPUTED_VALUE"""),"GeneralLedger")</f>
        <v>GeneralLedger</v>
      </c>
      <c r="B262" s="0" t="str">
        <f>IFERROR(__xludf.DUMMYFUNCTION("""COMPUTED_VALUE"""),"CloseGeneralLedger")</f>
        <v>CloseGeneralLedger</v>
      </c>
      <c r="C262" s="0" t="str">
        <f>IFERROR(__xludf.DUMMYFUNCTION("""COMPUTED_VALUE"""),"Undefined")</f>
        <v>Undefined</v>
      </c>
    </row>
    <row r="263" ht="15.75" customHeight="1">
      <c r="A263" s="0" t="str">
        <f>IFERROR(__xludf.DUMMYFUNCTION("""COMPUTED_VALUE"""),"Blotter")</f>
        <v>Blotter</v>
      </c>
      <c r="B263" s="0" t="str">
        <f>IFERROR(__xludf.DUMMYFUNCTION("""COMPUTED_VALUE"""),"ReplaceStageOrder")</f>
        <v>ReplaceStageOrder</v>
      </c>
      <c r="C263" s="0" t="str">
        <f>IFERROR(__xludf.DUMMYFUNCTION("""COMPUTED_VALUE"""),"1-oDkMaOdHN8EaXZIPTt5fr6PNuottX0kRXE8vmlhi0M")</f>
        <v>1-oDkMaOdHN8EaXZIPTt5fr6PNuottX0kRXE8vmlhi0M</v>
      </c>
    </row>
    <row r="264" ht="15.75" customHeight="1">
      <c r="A264" s="0" t="str">
        <f>IFERROR(__xludf.DUMMYFUNCTION("""COMPUTED_VALUE"""),"GeneralLedger")</f>
        <v>GeneralLedger</v>
      </c>
      <c r="B264" s="0" t="str">
        <f>IFERROR(__xludf.DUMMYFUNCTION("""COMPUTED_VALUE"""),"VerifyAccountDetails")</f>
        <v>VerifyAccountDetails</v>
      </c>
      <c r="C264" s="0" t="str">
        <f>IFERROR(__xludf.DUMMYFUNCTION("""COMPUTED_VALUE"""),"11lQbu7XGSf0C5u04fqQXzcjWfa8v7VnskbBQpcCwy_o")</f>
        <v>11lQbu7XGSf0C5u04fqQXzcjWfa8v7VnskbBQpcCwy_o</v>
      </c>
    </row>
    <row r="265" ht="15.75" customHeight="1">
      <c r="A265" s="0" t="str">
        <f>IFERROR(__xludf.DUMMYFUNCTION("""COMPUTED_VALUE"""),"TradingTicket")</f>
        <v>TradingTicket</v>
      </c>
      <c r="B265" s="0" t="str">
        <f>IFERROR(__xludf.DUMMYFUNCTION("""COMPUTED_VALUE"""),"CreateNewSubOrder")</f>
        <v>CreateNewSubOrder</v>
      </c>
      <c r="C265" s="0" t="str">
        <f>IFERROR(__xludf.DUMMYFUNCTION("""COMPUTED_VALUE"""),"1RZrP677SP63N91bZw2_Jkjen0Emt_iknfC5GljLySfA")</f>
        <v>1RZrP677SP63N91bZw2_Jkjen0Emt_iknfC5GljLySfA</v>
      </c>
    </row>
    <row r="266" ht="15.75" customHeight="1">
      <c r="A266" s="0" t="str">
        <f>IFERROR(__xludf.DUMMYFUNCTION("""COMPUTED_VALUE"""),"CreateTransaction")</f>
        <v>CreateTransaction</v>
      </c>
      <c r="B266" s="0" t="str">
        <f>IFERROR(__xludf.DUMMYFUNCTION("""COMPUTED_VALUE"""),"AddNewTransaction")</f>
        <v>AddNewTransaction</v>
      </c>
      <c r="C266" s="0" t="str">
        <f>IFERROR(__xludf.DUMMYFUNCTION("""COMPUTED_VALUE"""),"1MnHnb-l2FXZIx21V59Pn6jwBL3jngTBLnGBTJFgQ-Ac")</f>
        <v>1MnHnb-l2FXZIx21V59Pn6jwBL3jngTBLnGBTJFgQ-Ac</v>
      </c>
    </row>
    <row r="267" ht="15.75" customHeight="1">
      <c r="A267" s="0" t="str">
        <f>IFERROR(__xludf.DUMMYFUNCTION("""COMPUTED_VALUE"""),"TradingTicket")</f>
        <v>TradingTicket</v>
      </c>
      <c r="B267" s="0" t="str">
        <f>IFERROR(__xludf.DUMMYFUNCTION("""COMPUTED_VALUE"""),"TradeBloomberg")</f>
        <v>TradeBloomberg</v>
      </c>
      <c r="C267" s="0" t="str">
        <f>IFERROR(__xludf.DUMMYFUNCTION("""COMPUTED_VALUE"""),"1igxH2dPQGq9u7PuOMV2GHwxFfHVL1KzVtINO6ZbdDOk")</f>
        <v>1igxH2dPQGq9u7PuOMV2GHwxFfHVL1KzVtINO6ZbdDOk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IFERROR(__xludf.DUMMYFUNCTION("""COMPUTED_VALUE"""),"ClickSymbolLookup")</f>
        <v>ClickSymbolLookup</v>
      </c>
      <c r="C268" s="0" t="str">
        <f>IFERROR(__xludf.DUMMYFUNCTION("""COMPUTED_VALUE"""),"1_Bm_U_dCrJ0O95Ye84SVu3C35Bm-_zVESf68LNiMCZg")</f>
        <v>1_Bm_U_dCrJ0O95Ye84SVu3C35Bm-_zVESf68LNiMCZg</v>
      </c>
    </row>
    <row r="269" ht="15.75" customHeight="1">
      <c r="A269" s="0" t="str">
        <f>IFERROR(__xludf.DUMMYFUNCTION("""COMPUTED_VALUE"""),"PricingServer")</f>
        <v>PricingServer</v>
      </c>
      <c r="B269" s="0" t="str">
        <f>IFERROR(__xludf.DUMMYFUNCTION("""COMPUTED_VALUE"""),"RestartPricingServer")</f>
        <v>RestartPricingServer</v>
      </c>
      <c r="C269" s="0" t="str">
        <f>IFERROR(__xludf.DUMMYFUNCTION("""COMPUTED_VALUE"""),"1k3a_zG703e90jYbfBz_iHma7miT_nDAo2-jitint-XA")</f>
        <v>1k3a_zG703e90jYbfBz_iHma7miT_nDAo2-jitint-XA</v>
      </c>
    </row>
    <row r="270" ht="15.75" customHeight="1">
      <c r="A270" s="0" t="str">
        <f>IFERROR(__xludf.DUMMYFUNCTION("""COMPUTED_VALUE"""),"TradeServer")</f>
        <v>TradeServer</v>
      </c>
      <c r="B270" s="0" t="str">
        <f>IFERROR(__xludf.DUMMYFUNCTION("""COMPUTED_VALUE"""),"RestartServer")</f>
        <v>RestartServer</v>
      </c>
      <c r="C270" s="0" t="str">
        <f>IFERROR(__xludf.DUMMYFUNCTION("""COMPUTED_VALUE"""),"1MfgZTAXl6-DPer9VdHbo42n6sPuMFimLowm4iDrtYBI")</f>
        <v>1MfgZTAXl6-DPer9VdHbo42n6sPuMFimLowm4iDrtYBI</v>
      </c>
    </row>
    <row r="271" ht="15.75" customHeight="1">
      <c r="A271" s="0" t="str">
        <f>IFERROR(__xludf.DUMMYFUNCTION("""COMPUTED_VALUE"""),"PranaClient")</f>
        <v>PranaClient</v>
      </c>
      <c r="B271" s="0" t="str">
        <f>IFERROR(__xludf.DUMMYFUNCTION("""COMPUTED_VALUE"""),"RestartClient")</f>
        <v>RestartClient</v>
      </c>
      <c r="C271" s="0" t="str">
        <f>IFERROR(__xludf.DUMMYFUNCTION("""COMPUTED_VALUE"""),"1TkGJ89cY994clB-HD-UJNYqO5eDGSgcM1fC_LiASQLE")</f>
        <v>1TkGJ89cY994clB-HD-UJNYqO5eDGSgcM1fC_LiASQLE</v>
      </c>
    </row>
    <row r="272" ht="15.75" customHeight="1">
      <c r="A272" s="0" t="str">
        <f>IFERROR(__xludf.DUMMYFUNCTION("""COMPUTED_VALUE"""),"PTT")</f>
        <v>PTT</v>
      </c>
      <c r="B272" s="0" t="str">
        <f>IFERROR(__xludf.DUMMYFUNCTION("""COMPUTED_VALUE"""),"CalculatePTT")</f>
        <v>CalculatePTT</v>
      </c>
      <c r="C272" s="0" t="str">
        <f>IFERROR(__xludf.DUMMYFUNCTION("""COMPUTED_VALUE"""),"1yHP4_99wm3NtNEt8v0-IjBSsqD_IeK0TrVbe411pPPY")</f>
        <v>1yHP4_99wm3NtNEt8v0-IjBSsqD_IeK0TrVbe411pPPY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IFERROR(__xludf.DUMMYFUNCTION("""COMPUTED_VALUE"""),"TradeUsingPTT")</f>
        <v>TradeUsingPTT</v>
      </c>
      <c r="C273" s="0" t="str">
        <f>IFERROR(__xludf.DUMMYFUNCTION("""COMPUTED_VALUE"""),"1824j5jyCdsYtwCFE1rcBhAGlXsh5bjIsayUXkGUuMpA")</f>
        <v>1824j5jyCdsYtwCFE1rcBhAGlXsh5bjIsayUXkGUuMpA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IFERROR(__xludf.DUMMYFUNCTION("""COMPUTED_VALUE"""),"VerifyPTTCompliance")</f>
        <v>VerifyPTTCompliance</v>
      </c>
      <c r="C274" s="0" t="str">
        <f>IFERROR(__xludf.DUMMYFUNCTION("""COMPUTED_VALUE"""),"1yei-AbmUpfNZz4VT2JbIDaKDIJzO7hZwvaUFib1oTyU")</f>
        <v>1yei-AbmUpfNZz4VT2JbIDaKDIJzO7hZwvaUFib1oTyU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IFERROR(__xludf.DUMMYFUNCTION("""COMPUTED_VALUE"""),"StageOrderUsingPTT")</f>
        <v>StageOrderUsingPTT</v>
      </c>
      <c r="C275" s="0" t="str">
        <f>IFERROR(__xludf.DUMMYFUNCTION("""COMPUTED_VALUE"""),"1u1w8ItMzM1YYZrH2R4RqLkUrIog6pmIGeXUsy-3e_ZA")</f>
        <v>1u1w8ItMzM1YYZrH2R4RqLkUrIog6pmIGeXUsy-3e_ZA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IFERROR(__xludf.DUMMYFUNCTION("""COMPUTED_VALUE"""),"CreateOrderPTT")</f>
        <v>CreateOrderPTT</v>
      </c>
      <c r="C276" s="0" t="str">
        <f>IFERROR(__xludf.DUMMYFUNCTION("""COMPUTED_VALUE"""),"1EbdeLHTIKN4RoLAyfGnlPPL3QVcvg2-CXPpGl0RGN44")</f>
        <v>1EbdeLHTIKN4RoLAyfGnlPPL3QVcvg2-CXPpGl0RGN44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IFERROR(__xludf.DUMMYFUNCTION("""COMPUTED_VALUE"""),"TradePTT")</f>
        <v>TradePTT</v>
      </c>
      <c r="C277" s="0" t="str">
        <f>IFERROR(__xludf.DUMMYFUNCTION("""COMPUTED_VALUE"""),"1pJFZ4nCBnJDUZQAqiaY6J68G36x1oN7JuKzRtRA-0zc")</f>
        <v>1pJFZ4nCBnJDUZQAqiaY6J68G36x1oN7JuKzRtRA-0zc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IFERROR(__xludf.DUMMYFUNCTION("""COMPUTED_VALUE"""),"VerifyPTT")</f>
        <v>VerifyPTT</v>
      </c>
      <c r="C278" s="0" t="str">
        <f>IFERROR(__xludf.DUMMYFUNCTION("""COMPUTED_VALUE"""),"1_DLMzeonBUhfhJl5AJqMD8mt1Z4T5mgBI7fF7cbQFWs")</f>
        <v>1_DLMzeonBUhfhJl5AJqMD8mt1Z4T5mgBI7fF7cbQFWs</v>
      </c>
    </row>
    <row r="279" ht="15.75" customHeight="1">
      <c r="A279" s="0" t="str">
        <f>IFERROR(__xludf.DUMMYFUNCTION("""COMPUTED_VALUE"""),"PortfolioManagement")</f>
        <v>PortfolioManagement</v>
      </c>
      <c r="B279" s="0" t="str">
        <f>IFERROR(__xludf.DUMMYFUNCTION("""COMPUTED_VALUE"""),"OpenPTTFromPM")</f>
        <v>OpenPTTFromPM</v>
      </c>
      <c r="C279" s="0" t="str">
        <f>IFERROR(__xludf.DUMMYFUNCTION("""COMPUTED_VALUE"""),"1GRj9e94k8ieHylVePoJ-nbC4owLOnPd7BKuaFvCouaI")</f>
        <v>1GRj9e94k8ieHylVePoJ-nbC4owLOnPd7BKuaFvCouaI</v>
      </c>
    </row>
    <row r="280" ht="15.75" customHeight="1">
      <c r="A280" s="0" t="str">
        <f>IFERROR(__xludf.DUMMYFUNCTION("""COMPUTED_VALUE"""),"PTT")</f>
        <v>PTT</v>
      </c>
      <c r="B280" s="0" t="str">
        <f>IFERROR(__xludf.DUMMYFUNCTION("""COMPUTED_VALUE"""),"OpenMultiTTFromPTT")</f>
        <v>OpenMultiTTFromPTT</v>
      </c>
      <c r="C280" s="0" t="str">
        <f>IFERROR(__xludf.DUMMYFUNCTION("""COMPUTED_VALUE"""),"1e52wyc2ELTM7QWL7k_ZT3-JQQ8Kf4qrLMW0R_fjW7Qc")</f>
        <v>1e52wyc2ELTM7QWL7k_ZT3-JQQ8Kf4qrLMW0R_fjW7Qc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IFERROR(__xludf.DUMMYFUNCTION("""COMPUTED_VALUE"""),"SelectMultiTT")</f>
        <v>SelectMultiTT</v>
      </c>
      <c r="C281" s="0" t="str">
        <f>IFERROR(__xludf.DUMMYFUNCTION("""COMPUTED_VALUE"""),"1kwb8DPg_4i30YSR_tr8LD3r1jIWVTgBzMVprGkITggA")</f>
        <v>1kwb8DPg_4i30YSR_tr8LD3r1jIWVTgBzMVprGkITggA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IFERROR(__xludf.DUMMYFUNCTION("""COMPUTED_VALUE"""),"EditMultiTT")</f>
        <v>EditMultiTT</v>
      </c>
      <c r="C282" s="0" t="str">
        <f>IFERROR(__xludf.DUMMYFUNCTION("""COMPUTED_VALUE"""),"1wbgmqX9Wp9SZWfRgJAummbN_5spSjp-tG3G1lreoQKk")</f>
        <v>1wbgmqX9Wp9SZWfRgJAummbN_5spSjp-tG3G1lreoQKk</v>
      </c>
    </row>
    <row r="283" ht="15.75" customHeight="1">
      <c r="A283" s="0" t="str">
        <f>IFERROR(__xludf.DUMMYFUNCTION("""COMPUTED_VALUE"""),"MultiTradingTicket")</f>
        <v>MultiTradingTicket</v>
      </c>
      <c r="B283" s="0" t="str">
        <f>IFERROR(__xludf.DUMMYFUNCTION("""COMPUTED_VALUE"""),"EditTradeUsingMTT")</f>
        <v>EditTradeUsingMTT</v>
      </c>
      <c r="C283" s="0" t="str">
        <f>IFERROR(__xludf.DUMMYFUNCTION("""COMPUTED_VALUE"""),"1FQlM2ubifDakZ2t9YEosDOTBdf06YZcr9_nTRuQDt2Q")</f>
        <v>1FQlM2ubifDakZ2t9YEosDOTBdf06YZcr9_nTRuQDt2Q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IFERROR(__xludf.DUMMYFUNCTION("""COMPUTED_VALUE"""),"SelectTradeUsingMTT")</f>
        <v>SelectTradeUsingMTT</v>
      </c>
      <c r="C284" s="0" t="str">
        <f>IFERROR(__xludf.DUMMYFUNCTION("""COMPUTED_VALUE"""),"1iacfEsOlPHPGZ6nQjKZ7USkjh5EdozTXI9wUlBmEE4k")</f>
        <v>1iacfEsOlPHPGZ6nQjKZ7USkjh5EdozTXI9wUlBmEE4k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IFERROR(__xludf.DUMMYFUNCTION("""COMPUTED_VALUE"""),"GetPriceUsingMTT")</f>
        <v>GetPriceUsingMTT</v>
      </c>
      <c r="C285" s="0" t="str">
        <f>IFERROR(__xludf.DUMMYFUNCTION("""COMPUTED_VALUE"""),"13sqL2ynaexfP9lWe37uE-qHPdf1jgMi_dGKwnz6usMQ")</f>
        <v>13sqL2ynaexfP9lWe37uE-qHPdf1jgMi_dGKwnz6usMQ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IFERROR(__xludf.DUMMYFUNCTION("""COMPUTED_VALUE"""),"DoneAwayUsingMTT")</f>
        <v>DoneAwayUsingMTT</v>
      </c>
      <c r="C286" s="0" t="str">
        <f>IFERROR(__xludf.DUMMYFUNCTION("""COMPUTED_VALUE"""),"1X_Cc-k1Zsfie7xcaz_9nQ2vWDlJ47gL_5qoTESaishI")</f>
        <v>1X_Cc-k1Zsfie7xcaz_9nQ2vWDlJ47gL_5qoTESaishI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IFERROR(__xludf.DUMMYFUNCTION("""COMPUTED_VALUE"""),"SendOrderUsingMTT")</f>
        <v>SendOrderUsingMTT</v>
      </c>
      <c r="C287" s="0" t="str">
        <f>IFERROR(__xludf.DUMMYFUNCTION("""COMPUTED_VALUE"""),"1ZvOomDY73mDwy_2FkmlYUkc7eFVBtku_M6XrhU6zAMQ")</f>
        <v>1ZvOomDY73mDwy_2FkmlYUkc7eFVBtku_M6XrhU6zAMQ</v>
      </c>
    </row>
    <row r="288" ht="15.75" customHeight="1">
      <c r="A288" s="0" t="str">
        <f>IFERROR(__xludf.DUMMYFUNCTION("""COMPUTED_VALUE"""),"Allocation")</f>
        <v>Allocation</v>
      </c>
      <c r="B288" s="0" t="str">
        <f>IFERROR(__xludf.DUMMYFUNCTION("""COMPUTED_VALUE"""),"UpdateGRAccountValue")</f>
        <v>UpdateGRAccountValue</v>
      </c>
      <c r="C288" s="0" t="str">
        <f>IFERROR(__xludf.DUMMYFUNCTION("""COMPUTED_VALUE"""),"1lFz3FRcCczoccbDWuOrmoeTNI3Wt72tV40C0B_Fdulo")</f>
        <v>1lFz3FRcCczoccbDWuOrmoeTNI3Wt72tV40C0B_Fdulo</v>
      </c>
    </row>
    <row r="289" ht="15.75" customHeight="1">
      <c r="A289" s="0" t="str">
        <f>IFERROR(__xludf.DUMMYFUNCTION("""COMPUTED_VALUE"""),"MultiTradingTicket")</f>
        <v>MultiTradingTicket</v>
      </c>
      <c r="B289" s="0" t="str">
        <f>IFERROR(__xludf.DUMMYFUNCTION("""COMPUTED_VALUE"""),"BulkChangeTradeDoneAway")</f>
        <v>BulkChangeTradeDoneAway</v>
      </c>
      <c r="C289" s="0" t="str">
        <f>IFERROR(__xludf.DUMMYFUNCTION("""COMPUTED_VALUE"""),"1vJUuWNjZCta9Nc4XEHCHO5jwABRogxaKkvSksrCc1y4")</f>
        <v>1vJUuWNjZCta9Nc4XEHCHO5jwABRogxaKkvSksrCc1y4</v>
      </c>
    </row>
    <row r="290" ht="15.75" customHeight="1">
      <c r="A290" s="0" t="str">
        <f>IFERROR(__xludf.DUMMYFUNCTION("""COMPUTED_VALUE"""),"Allocation")</f>
        <v>Allocation</v>
      </c>
      <c r="B290" s="0" t="str">
        <f>IFERROR(__xludf.DUMMYFUNCTION("""COMPUTED_VALUE"""),"UpdateGRStrategyValue")</f>
        <v>UpdateGRStrategyValue</v>
      </c>
      <c r="C290" s="0" t="str">
        <f>IFERROR(__xludf.DUMMYFUNCTION("""COMPUTED_VALUE"""),"1AMJDRnPPFGSypYHzJlk3Nkh0AERQpMOKwpNzmwWYf3k")</f>
        <v>1AMJDRnPPFGSypYHzJlk3Nkh0AERQpMOKwpNzmwWYf3k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IFERROR(__xludf.DUMMYFUNCTION("""COMPUTED_VALUE"""),"UpdateGRDefaultRule")</f>
        <v>UpdateGRDefaultRule</v>
      </c>
      <c r="C291" s="0" t="str">
        <f>IFERROR(__xludf.DUMMYFUNCTION("""COMPUTED_VALUE"""),"1x73ZveKV63dLEGp1JA9RvvtDZiF2PeXvK6rEa4ECUUg")</f>
        <v>1x73ZveKV63dLEGp1JA9RvvtDZiF2PeXvK6rEa4ECUUg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IFERROR(__xludf.DUMMYFUNCTION("""COMPUTED_VALUE"""),"UpdateGeneralRulePref")</f>
        <v>UpdateGeneralRulePref</v>
      </c>
      <c r="C292" s="0" t="str">
        <f>IFERROR(__xludf.DUMMYFUNCTION("""COMPUTED_VALUE"""),"Undefined")</f>
        <v>Undefined</v>
      </c>
    </row>
    <row r="293" ht="15.75" customHeight="1">
      <c r="A293" s="0" t="str">
        <f>IFERROR(__xludf.DUMMYFUNCTION("""COMPUTED_VALUE"""),"Blotter")</f>
        <v>Blotter</v>
      </c>
      <c r="B293" s="0" t="str">
        <f>IFERROR(__xludf.DUMMYFUNCTION("""COMPUTED_VALUE"""),"MultiTradingTicketFromBlotter")</f>
        <v>MultiTradingTicketFromBlotter</v>
      </c>
      <c r="C293" s="0" t="str">
        <f>IFERROR(__xludf.DUMMYFUNCTION("""COMPUTED_VALUE"""),"19n2Z-CCAzNZctQndnPqhAilz4AHqd4Hew_NupZSf3AA")</f>
        <v>19n2Z-CCAzNZctQndnPqhAilz4AHqd4Hew_NupZSf3AA</v>
      </c>
    </row>
    <row r="294" ht="15.75" customHeight="1">
      <c r="A294" s="0" t="str">
        <f>IFERROR(__xludf.DUMMYFUNCTION("""COMPUTED_VALUE"""),"CleanUp")</f>
        <v>CleanUp</v>
      </c>
      <c r="B294" s="0" t="str">
        <f>IFERROR(__xludf.DUMMYFUNCTION("""COMPUTED_VALUE"""),"DeleteClientData")</f>
        <v>DeleteClientData</v>
      </c>
      <c r="C294" s="0" t="str">
        <f>IFERROR(__xludf.DUMMYFUNCTION("""COMPUTED_VALUE"""),"1Lz82jeHUZGtvibY9vO7baLqlJAO5OFAL6yO4JpHFkAo")</f>
        <v>1Lz82jeHUZGtvibY9vO7baLqlJAO5OFAL6yO4JpHFkAo</v>
      </c>
    </row>
    <row r="295" ht="15.75" customHeight="1">
      <c r="A295" s="0" t="str">
        <f>IFERROR(__xludf.DUMMYFUNCTION("""COMPUTED_VALUE"""),"Allocation")</f>
        <v>Allocation</v>
      </c>
      <c r="B295" s="0" t="str">
        <f>IFERROR(__xludf.DUMMYFUNCTION("""COMPUTED_VALUE"""),"ModifyGRPreferenceValues")</f>
        <v>ModifyGRPreferenceValues</v>
      </c>
      <c r="C295" s="0" t="str">
        <f>IFERROR(__xludf.DUMMYFUNCTION("""COMPUTED_VALUE"""),"1POjj1zjXLEqeN6JF24QjN0-KOauAggBwl69xOVrb_Mc")</f>
        <v>1POjj1zjXLEqeN6JF24QjN0-KOauAggBwl69xOVrb_Mc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IFERROR(__xludf.DUMMYFUNCTION("""COMPUTED_VALUE"""),"AddMFPreferences")</f>
        <v>AddMFPreferences</v>
      </c>
      <c r="C296" s="0" t="str">
        <f>IFERROR(__xludf.DUMMYFUNCTION("""COMPUTED_VALUE"""),"1AksWVHEmnBxwC-L3YrZrbvNzH0SfJRQe4Dy7NrKt6qU")</f>
        <v>1AksWVHEmnBxwC-L3YrZrbvNzH0SfJRQe4Dy7NrKt6qU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IFERROR(__xludf.DUMMYFUNCTION("""COMPUTED_VALUE"""),"AddMFPreferenceToolbar")</f>
        <v>AddMFPreferenceToolbar</v>
      </c>
      <c r="C297" s="0" t="str">
        <f>IFERROR(__xludf.DUMMYFUNCTION("""COMPUTED_VALUE"""),"1s4ugOdWq4GlEglv4uvOceAxijOR8vwwy9sfLCQSJsPI")</f>
        <v>1s4ugOdWq4GlEglv4uvOceAxijOR8vwwy9sfLCQSJsPI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IFERROR(__xludf.DUMMYFUNCTION("""COMPUTED_VALUE"""),"DeleteMFPreferences")</f>
        <v>DeleteMFPreferences</v>
      </c>
      <c r="C298" s="0" t="str">
        <f>IFERROR(__xludf.DUMMYFUNCTION("""COMPUTED_VALUE"""),"1kF8Cp9ixfKWT-O7A_ykr8O24ot4jIuMf7Cny33fw3tE")</f>
        <v>1kF8Cp9ixfKWT-O7A_ykr8O24ot4jIuMf7Cny33fw3tE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IFERROR(__xludf.DUMMYFUNCTION("""COMPUTED_VALUE"""),"DeleteMFPreferenceToolbar")</f>
        <v>DeleteMFPreferenceToolbar</v>
      </c>
      <c r="C299" s="0" t="str">
        <f>IFERROR(__xludf.DUMMYFUNCTION("""COMPUTED_VALUE"""),"1CgwWCnwId8fIOzVPEbCjbP0EmIDkblROsvVu3kqYqG8")</f>
        <v>1CgwWCnwId8fIOzVPEbCjbP0EmIDkblROsvVu3kqYqG8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IFERROR(__xludf.DUMMYFUNCTION("""COMPUTED_VALUE"""),"RenameMFPreferences")</f>
        <v>RenameMFPreferences</v>
      </c>
      <c r="C300" s="0" t="str">
        <f>IFERROR(__xludf.DUMMYFUNCTION("""COMPUTED_VALUE"""),"1LgeTTI9drsJb1V9MtKWU3N5XU-_UpbynXkgneV6bnSU")</f>
        <v>1LgeTTI9drsJb1V9MtKWU3N5XU-_UpbynXkgneV6bnSU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IFERROR(__xludf.DUMMYFUNCTION("""COMPUTED_VALUE"""),"SaveCloseMFPreference")</f>
        <v>SaveCloseMFPreference</v>
      </c>
      <c r="C301" s="0" t="str">
        <f>IFERROR(__xludf.DUMMYFUNCTION("""COMPUTED_VALUE"""),"Undefined")</f>
        <v>Undefined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IFERROR(__xludf.DUMMYFUNCTION("""COMPUTED_VALUE"""),"SetMFPrefAccountValues")</f>
        <v>SetMFPrefAccountValues</v>
      </c>
      <c r="C302" s="0" t="str">
        <f>IFERROR(__xludf.DUMMYFUNCTION("""COMPUTED_VALUE"""),"1ICA8c_OKdesVMDcE_s1raBD2JqcZdspbl-jQG5DX7vA")</f>
        <v>1ICA8c_OKdesVMDcE_s1raBD2JqcZdspbl-jQG5DX7vA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IFERROR(__xludf.DUMMYFUNCTION("""COMPUTED_VALUE"""),"ModifyMFPrefGeneralRuleValues")</f>
        <v>ModifyMFPrefGeneralRuleValues</v>
      </c>
      <c r="C303" s="0" t="str">
        <f>IFERROR(__xludf.DUMMYFUNCTION("""COMPUTED_VALUE"""),"Undefined")</f>
        <v>Undefined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IFERROR(__xludf.DUMMYFUNCTION("""COMPUTED_VALUE"""),"SetMFPrefStrategyValues")</f>
        <v>SetMFPrefStrategyValues</v>
      </c>
      <c r="C304" s="0" t="str">
        <f>IFERROR(__xludf.DUMMYFUNCTION("""COMPUTED_VALUE"""),"1Nend9TmgX0Jkh8tsL--LHqNCMB0QE7KGu0lM4MrvJx8")</f>
        <v>1Nend9TmgX0Jkh8tsL--LHqNCMB0QE7KGu0lM4MrvJx8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IFERROR(__xludf.DUMMYFUNCTION("""COMPUTED_VALUE"""),"SetMFPrefGeneralRule")</f>
        <v>SetMFPrefGeneralRule</v>
      </c>
      <c r="C305" s="0" t="str">
        <f>IFERROR(__xludf.DUMMYFUNCTION("""COMPUTED_VALUE"""),"1OkFtbYrIDPpC3pMP--6KPjkSbZDpo31jp348DsVbjWk")</f>
        <v>1OkFtbYrIDPpC3pMP--6KPjkSbZDpo31jp348DsVbjWk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IFERROR(__xludf.DUMMYFUNCTION("""COMPUTED_VALUE"""),"SetMFPrefFundDistribution")</f>
        <v>SetMFPrefFundDistribution</v>
      </c>
      <c r="C306" s="0" t="str">
        <f>IFERROR(__xludf.DUMMYFUNCTION("""COMPUTED_VALUE"""),"1sNOuaTOrp-Ppia2ZUARA48WLB5S-7ja2Q0cjsdZu1cc")</f>
        <v>1sNOuaTOrp-Ppia2ZUARA48WLB5S-7ja2Q0cjsdZu1cc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IFERROR(__xludf.DUMMYFUNCTION("""COMPUTED_VALUE"""),"SetMFPreferencesDefaultRule")</f>
        <v>SetMFPreferencesDefaultRule</v>
      </c>
      <c r="C307" s="0" t="str">
        <f>IFERROR(__xludf.DUMMYFUNCTION("""COMPUTED_VALUE"""),"1SseU888nr5JryggSHE9VBdTiZug_v-cOJmjdm-vO3sQ")</f>
        <v>1SseU888nr5JryggSHE9VBdTiZug_v-cOJmjdm-vO3sQ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IFERROR(__xludf.DUMMYFUNCTION("""COMPUTED_VALUE"""),"SetMFPrefFundDefaultRule")</f>
        <v>SetMFPrefFundDefaultRule</v>
      </c>
      <c r="C308" s="0" t="str">
        <f>IFERROR(__xludf.DUMMYFUNCTION("""COMPUTED_VALUE"""),"1HfizE5szbvAqgcrnlAlRZlGwJnDpLifnRSpo_rNHclE")</f>
        <v>1HfizE5szbvAqgcrnlAlRZlGwJnDpLifnRSpo_rNHclE</v>
      </c>
    </row>
    <row r="309" ht="15.75" customHeight="1">
      <c r="A309" s="0" t="str">
        <f>IFERROR(__xludf.DUMMYFUNCTION("""COMPUTED_VALUE"""),"PTT")</f>
        <v>PTT</v>
      </c>
      <c r="B309" s="0" t="str">
        <f>IFERROR(__xludf.DUMMYFUNCTION("""COMPUTED_VALUE"""),"SetAccountFactor")</f>
        <v>SetAccountFactor</v>
      </c>
      <c r="C309" s="0" t="str">
        <f>IFERROR(__xludf.DUMMYFUNCTION("""COMPUTED_VALUE"""),"18dn1sQFfRDKOAHwu3DueV8YA7DVB7FDzA7y_am44ADk")</f>
        <v>18dn1sQFfRDKOAHwu3DueV8YA7DVB7FDzA7y_am44ADk</v>
      </c>
    </row>
    <row r="310" ht="15.75" customHeight="1">
      <c r="A310" s="0" t="str">
        <f>IFERROR(__xludf.DUMMYFUNCTION("""COMPUTED_VALUE"""),"Allocation")</f>
        <v>Allocation</v>
      </c>
      <c r="B310" s="0" t="str">
        <f>IFERROR(__xludf.DUMMYFUNCTION("""COMPUTED_VALUE"""),"ClearPrefetchFilters")</f>
        <v>ClearPrefetchFilters</v>
      </c>
      <c r="C310" s="0" t="str">
        <f>IFERROR(__xludf.DUMMYFUNCTION("""COMPUTED_VALUE"""),"Undefined")</f>
        <v>Undefined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IFERROR(__xludf.DUMMYFUNCTION("""COMPUTED_VALUE"""),"ExpandCollapseAllUnallocated")</f>
        <v>ExpandCollapseAllUnallocated</v>
      </c>
      <c r="C311" s="0" t="str">
        <f>IFERROR(__xludf.DUMMYFUNCTION("""COMPUTED_VALUE"""),"1ochAcIa6jxqrTKXkyAIMtaQp8GfBZfq8KAPLV0y7yvU")</f>
        <v>1ochAcIa6jxqrTKXkyAIMtaQp8GfBZfq8KAPLV0y7yvU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IFERROR(__xludf.DUMMYFUNCTION("""COMPUTED_VALUE"""),"ExpandCollapseAllAllocated")</f>
        <v>ExpandCollapseAllAllocated</v>
      </c>
      <c r="C312" s="0" t="str">
        <f>IFERROR(__xludf.DUMMYFUNCTION("""COMPUTED_VALUE"""),"1PUqbTX2rRI0cNPNL7NJ1fKh-Jy0Q9mQVBO0nXiQtUlc")</f>
        <v>1PUqbTX2rRI0cNPNL7NJ1fKh-Jy0Q9mQVBO0nXiQtUlc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IFERROR(__xludf.DUMMYFUNCTION("""COMPUTED_VALUE"""),"GenerateCashTransaction")</f>
        <v>GenerateCashTransaction</v>
      </c>
      <c r="C313" s="0" t="str">
        <f>IFERROR(__xludf.DUMMYFUNCTION("""COMPUTED_VALUE"""),"1XFWL8Sv_tc7--6q-PVtJAyjWEb-HcxsbKKtSdB3jRJY")</f>
        <v>1XFWL8Sv_tc7--6q-PVtJAyjWEb-HcxsbKKtSdB3jRJY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IFERROR(__xludf.DUMMYFUNCTION("""COMPUTED_VALUE"""),"SaveAllocation")</f>
        <v>SaveAllocation</v>
      </c>
      <c r="C314" s="0" t="str">
        <f>IFERROR(__xludf.DUMMYFUNCTION("""COMPUTED_VALUE"""),"Undefined")</f>
        <v>Undefined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IFERROR(__xludf.DUMMYFUNCTION("""COMPUTED_VALUE"""),"UnallocateWithOutSave")</f>
        <v>UnallocateWithOutSave</v>
      </c>
      <c r="C315" s="0" t="str">
        <f>IFERROR(__xludf.DUMMYFUNCTION("""COMPUTED_VALUE"""),"1rdEWSy_MOHkYaq5akux-7N0yuwWEIIprojEJYWvhiRo")</f>
        <v>1rdEWSy_MOHkYaq5akux-7N0yuwWEIIprojEJYWvhiRo</v>
      </c>
    </row>
    <row r="316" ht="15.75" customHeight="1">
      <c r="A316" s="0" t="str">
        <f>IFERROR(__xludf.DUMMYFUNCTION("""COMPUTED_VALUE"""),"TradeServer")</f>
        <v>TradeServer</v>
      </c>
      <c r="B316" s="0" t="str">
        <f>IFERROR(__xludf.DUMMYFUNCTION("""COMPUTED_VALUE"""),"UpdateServerConfig")</f>
        <v>UpdateServerConfig</v>
      </c>
      <c r="C316" s="0" t="str">
        <f>IFERROR(__xludf.DUMMYFUNCTION("""COMPUTED_VALUE"""),"1h5l007iy5WesxdhwZzCT3YK9aNRB6rnqf82fKK-qWhA")</f>
        <v>1h5l007iy5WesxdhwZzCT3YK9aNRB6rnqf82fKK-qWhA</v>
      </c>
    </row>
    <row r="317" ht="15.75" customHeight="1">
      <c r="A317" s="0" t="str">
        <f>IFERROR(__xludf.DUMMYFUNCTION("""COMPUTED_VALUE"""),"PricingServer")</f>
        <v>PricingServer</v>
      </c>
      <c r="B317" s="0" t="str">
        <f>IFERROR(__xludf.DUMMYFUNCTION("""COMPUTED_VALUE"""),"UpdatePricingConfig")</f>
        <v>UpdatePricingConfig</v>
      </c>
      <c r="C317" s="0" t="str">
        <f>IFERROR(__xludf.DUMMYFUNCTION("""COMPUTED_VALUE"""),"1ixTeJ65ywBUTH41BRto926xFAKoLo3WSj5TxpKyxMCI")</f>
        <v>1ixTeJ65ywBUTH41BRto926xFAKoLo3WSj5TxpKyxMCI</v>
      </c>
    </row>
    <row r="318" ht="15.75" customHeight="1">
      <c r="A318" s="0" t="str">
        <f>IFERROR(__xludf.DUMMYFUNCTION("""COMPUTED_VALUE"""),"PranaClient")</f>
        <v>PranaClient</v>
      </c>
      <c r="B318" s="0" t="str">
        <f>IFERROR(__xludf.DUMMYFUNCTION("""COMPUTED_VALUE"""),"UpdateClientConfig")</f>
        <v>UpdateClientConfig</v>
      </c>
      <c r="C318" s="0" t="str">
        <f>IFERROR(__xludf.DUMMYFUNCTION("""COMPUTED_VALUE"""),"1LE8gxOzR6SvbLuSropjBzTYDDoubnt2wbweARCuf3LU")</f>
        <v>1LE8gxOzR6SvbLuSropjBzTYDDoubnt2wbweARCuf3LU</v>
      </c>
    </row>
    <row r="319" ht="15.75" customHeight="1">
      <c r="A319" s="0" t="str">
        <f>IFERROR(__xludf.DUMMYFUNCTION("""COMPUTED_VALUE"""),"PortfolioManagement")</f>
        <v>PortfolioManagement</v>
      </c>
      <c r="B319" s="0" t="str">
        <f>IFERROR(__xludf.DUMMYFUNCTION("""COMPUTED_VALUE"""),"OpenClosingFromPM")</f>
        <v>OpenClosingFromPM</v>
      </c>
      <c r="C319" s="0" t="str">
        <f>IFERROR(__xludf.DUMMYFUNCTION("""COMPUTED_VALUE"""),"Undefined")</f>
        <v>Undefined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IFERROR(__xludf.DUMMYFUNCTION("""COMPUTED_VALUE"""),"OpenCorporateActionFromPM")</f>
        <v>OpenCorporateActionFromPM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IFERROR(__xludf.DUMMYFUNCTION("""COMPUTED_VALUE"""),"OpenDailyValuationFromPM")</f>
        <v>OpenDailyValuationFromPM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IFERROR(__xludf.DUMMYFUNCTION("""COMPUTED_VALUE"""),"ClosePositionFromPM")</f>
        <v>ClosePositionFromPM</v>
      </c>
      <c r="C322" s="0" t="str">
        <f>IFERROR(__xludf.DUMMYFUNCTION("""COMPUTED_VALUE"""),"121YPApuObrizJgYF5sgfQP5hMExkoSYkCPrW-Ew_ldk")</f>
        <v>121YPApuObrizJgYF5sgfQP5hMExkoSYkCPrW-Ew_ldk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IFERROR(__xludf.DUMMYFUNCTION("""COMPUTED_VALUE"""),"ShowSummaryToolFromPM")</f>
        <v>ShowSummaryToolFromPM</v>
      </c>
      <c r="C323" s="0" t="str">
        <f>IFERROR(__xludf.DUMMYFUNCTION("""COMPUTED_VALUE"""),"Undefined")</f>
        <v>Undefined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IFERROR(__xludf.DUMMYFUNCTION("""COMPUTED_VALUE"""),"HideSummaryToolFromPM")</f>
        <v>HideSummaryToolFromPM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IFERROR(__xludf.DUMMYFUNCTION("""COMPUTED_VALUE"""),"CloseAccountPositionFromPM")</f>
        <v>CloseAccountPositionFromPM</v>
      </c>
      <c r="C325" s="0" t="str">
        <f>IFERROR(__xludf.DUMMYFUNCTION("""COMPUTED_VALUE"""),"10LRFkXyhAzpYLr41wTB8e5wmi1IZIGFBMZPeDp64XK0")</f>
        <v>10LRFkXyhAzpYLr41wTB8e5wmi1IZIGFBMZPeDp64XK0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IFERROR(__xludf.DUMMYFUNCTION("""COMPUTED_VALUE"""),"CloseSelectedTaxlotsFromPM")</f>
        <v>CloseSelectedTaxlotsFromPM</v>
      </c>
      <c r="C326" s="0" t="str">
        <f>IFERROR(__xludf.DUMMYFUNCTION("""COMPUTED_VALUE"""),"1vJSNFM5zkHc9zBvl1ymJquJpvovmW3E_RSN3pozpWns")</f>
        <v>1vJSNFM5zkHc9zBvl1ymJquJpvovmW3E_RSN3pozpWns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IFERROR(__xludf.DUMMYFUNCTION("""COMPUTED_VALUE"""),"ExpandCollapsePM")</f>
        <v>ExpandCollapsePM</v>
      </c>
      <c r="C327" s="0" t="str">
        <f>IFERROR(__xludf.DUMMYFUNCTION("""COMPUTED_VALUE"""),"1kNeqOSQLa6o8vkFZaArRKZabtB_GXZBV_Al1s8DHf50")</f>
        <v>1kNeqOSQLa6o8vkFZaArRKZabtB_GXZBV_Al1s8DHf50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IFERROR(__xludf.DUMMYFUNCTION("""COMPUTED_VALUE"""),"AddCustomViewPM")</f>
        <v>AddCustomViewPM</v>
      </c>
      <c r="C328" s="0" t="str">
        <f>IFERROR(__xludf.DUMMYFUNCTION("""COMPUTED_VALUE"""),"1WARVnQ0kPZNSKX8kRaPiqFQVReKwU7ReLEjyOvwThEk")</f>
        <v>1WARVnQ0kPZNSKX8kRaPiqFQVReKwU7ReLEjyOvwThEk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IFERROR(__xludf.DUMMYFUNCTION("""COMPUTED_VALUE"""),"AddCustomViewRightClickPM")</f>
        <v>AddCustomViewRightClickPM</v>
      </c>
      <c r="C329" s="0" t="str">
        <f>IFERROR(__xludf.DUMMYFUNCTION("""COMPUTED_VALUE"""),"1221yqGeEHt8OWBppipf5Q2xZ7hMYHBO7XKQ1Hp4-_1k")</f>
        <v>1221yqGeEHt8OWBppipf5Q2xZ7hMYHBO7XKQ1Hp4-_1k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IFERROR(__xludf.DUMMYFUNCTION("""COMPUTED_VALUE"""),"RenameCustomViewPM")</f>
        <v>RenameCustomViewPM</v>
      </c>
      <c r="C330" s="0" t="str">
        <f>IFERROR(__xludf.DUMMYFUNCTION("""COMPUTED_VALUE"""),"1saPHdgxC5QXYmLAufIbglxhQ01_MTtBMgX000SwjhFY")</f>
        <v>1saPHdgxC5QXYmLAufIbglxhQ01_MTtBMgX000SwjhFY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IFERROR(__xludf.DUMMYFUNCTION("""COMPUTED_VALUE"""),"DeleteCustomViewPM")</f>
        <v>DeleteCustomViewPM</v>
      </c>
      <c r="C331" s="0" t="str">
        <f>IFERROR(__xludf.DUMMYFUNCTION("""COMPUTED_VALUE"""),"1_EYKIDrS0AWuMJMgbTbeqmEwSkf7_gL_EAGl7D2-Ggk")</f>
        <v>1_EYKIDrS0AWuMJMgbTbeqmEwSkf7_gL_EAGl7D2-Ggk</v>
      </c>
    </row>
    <row r="332" ht="15.75" customHeight="1">
      <c r="A332" s="0" t="str">
        <f>IFERROR(__xludf.DUMMYFUNCTION("""COMPUTED_VALUE"""),"Closing")</f>
        <v>Closing</v>
      </c>
      <c r="B332" s="0" t="str">
        <f>IFERROR(__xludf.DUMMYFUNCTION("""COMPUTED_VALUE"""),"SetClosingPreference")</f>
        <v>SetClosingPreference</v>
      </c>
      <c r="C332" s="0" t="str">
        <f>IFERROR(__xludf.DUMMYFUNCTION("""COMPUTED_VALUE"""),"1cplMQV_xOYFJ8djnU96c9xg2GdJ6on6353kFnCvM4ig")</f>
        <v>1cplMQV_xOYFJ8djnU96c9xg2GdJ6on6353kFnCvM4ig</v>
      </c>
    </row>
    <row r="333" ht="15.75" customHeight="1">
      <c r="A333" s="0" t="str">
        <f>IFERROR(__xludf.DUMMYFUNCTION("""COMPUTED_VALUE"""),"CreateTransaction")</f>
        <v>CreateTransaction</v>
      </c>
      <c r="B333" s="0" t="str">
        <f>IFERROR(__xludf.DUMMYFUNCTION("""COMPUTED_VALUE"""),"SaveTransaction")</f>
        <v>SaveTransaction</v>
      </c>
      <c r="C333" s="0" t="str">
        <f>IFERROR(__xludf.DUMMYFUNCTION("""COMPUTED_VALUE"""),"Undefined")</f>
        <v>Undefined</v>
      </c>
    </row>
    <row r="334" ht="15.75" customHeight="1">
      <c r="A334" s="0" t="str">
        <f>IFERROR(__xludf.DUMMYFUNCTION("""COMPUTED_VALUE"""),"Allocation")</f>
        <v>Allocation</v>
      </c>
      <c r="B334" s="0" t="str">
        <f>IFERROR(__xludf.DUMMYFUNCTION("""COMPUTED_VALUE"""),"EditUnallocatedGrid")</f>
        <v>EditUnallocatedGrid</v>
      </c>
      <c r="C334" s="0" t="str">
        <f>IFERROR(__xludf.DUMMYFUNCTION("""COMPUTED_VALUE"""),"1ZILedE8lKyjaVDMMusXelzpLvtoQCjqNJqFoXOUTp4I")</f>
        <v>1ZILedE8lKyjaVDMMusXelzpLvtoQCjqNJqFoXOUTp4I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IFERROR(__xludf.DUMMYFUNCTION("""COMPUTED_VALUE"""),"EditAllocatedGrid")</f>
        <v>EditAllocatedGrid</v>
      </c>
      <c r="C335" s="0" t="str">
        <f>IFERROR(__xludf.DUMMYFUNCTION("""COMPUTED_VALUE"""),"19QWlDxD5eijFqhVbgkdX7QOLXkQ9taESRekiHpQgMcU")</f>
        <v>19QWlDxD5eijFqhVbgkdX7QOLXkQ9taESRekiHpQgMcU</v>
      </c>
    </row>
    <row r="336" ht="15.75" customHeight="1">
      <c r="A336" s="0" t="str">
        <f>IFERROR(__xludf.DUMMYFUNCTION("""COMPUTED_VALUE"""),"PTT")</f>
        <v>PTT</v>
      </c>
      <c r="B336" s="0" t="str">
        <f>IFERROR(__xludf.DUMMYFUNCTION("""COMPUTED_VALUE"""),"SetPTTPreference")</f>
        <v>SetPTTPreference</v>
      </c>
      <c r="C336" s="0" t="str">
        <f>IFERROR(__xludf.DUMMYFUNCTION("""COMPUTED_VALUE"""),"1Baqp1iuVr1x4qDwfwIaTJvW6VzT4ZWfbjwZ_EWPzpzY")</f>
        <v>1Baqp1iuVr1x4qDwfwIaTJvW6VzT4ZWfbjwZ_EWPzpzY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IFERROR(__xludf.DUMMYFUNCTION("""COMPUTED_VALUE"""),"SetLongShortPTTPreference")</f>
        <v>SetLongShortPTTPreference</v>
      </c>
      <c r="C337" s="0" t="str">
        <f>IFERROR(__xludf.DUMMYFUNCTION("""COMPUTED_VALUE"""),"1_lCMnn8iZS0bQEHszxmzf23ats0dIWEEckwO9fjPCeE")</f>
        <v>1_lCMnn8iZS0bQEHszxmzf23ats0dIWEEckwO9fjPCeE</v>
      </c>
    </row>
    <row r="338" ht="15.75" customHeight="1">
      <c r="A338" s="0" t="str">
        <f>IFERROR(__xludf.DUMMYFUNCTION("""COMPUTED_VALUE"""),"TradingTicket")</f>
        <v>TradingTicket</v>
      </c>
      <c r="B338" s="0" t="str">
        <f>IFERROR(__xludf.DUMMYFUNCTION("""COMPUTED_VALUE"""),"VerifyTT")</f>
        <v>VerifyTT</v>
      </c>
      <c r="C338" s="0" t="str">
        <f>IFERROR(__xludf.DUMMYFUNCTION("""COMPUTED_VALUE"""),"13oTZo0AjsgJNWyNhqVmwouwYywOEGfdiPe94wMNxXqo")</f>
        <v>13oTZo0AjsgJNWyNhqVmwouwYywOEGfdiPe94wMNxXqo</v>
      </c>
    </row>
    <row r="339" ht="15.75" customHeight="1">
      <c r="A339" s="0" t="str">
        <f>IFERROR(__xludf.DUMMYFUNCTION("""COMPUTED_VALUE"""),"Allocation")</f>
        <v>Allocation</v>
      </c>
      <c r="B339" s="0" t="str">
        <f>IFERROR(__xludf.DUMMYFUNCTION("""COMPUTED_VALUE"""),"SaveLayoutAllocatedGrid")</f>
        <v>SaveLayoutAllocatedGrid</v>
      </c>
      <c r="C339" s="0" t="str">
        <f>IFERROR(__xludf.DUMMYFUNCTION("""COMPUTED_VALUE"""),"1rucb3CcDlDDXwMhjXDHQWofStRKKouzl7PSb2_F37FA")</f>
        <v>1rucb3CcDlDDXwMhjXDHQWofStRKKouzl7PSb2_F37FA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IFERROR(__xludf.DUMMYFUNCTION("""COMPUTED_VALUE"""),"SaveLayoutUnallocatedGrid")</f>
        <v>SaveLayoutUnallocatedGrid</v>
      </c>
      <c r="C340" s="0" t="str">
        <f>IFERROR(__xludf.DUMMYFUNCTION("""COMPUTED_VALUE"""),"1dixy47vGD4ZYjt9U_ih3BSiZbzPzvIDLtlafZIpeyC4")</f>
        <v>1dixy47vGD4ZYjt9U_ih3BSiZbzPzvIDLtlafZIpeyC4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IFERROR(__xludf.DUMMYFUNCTION("""COMPUTED_VALUE"""),"SaveLayoutAllocationUI")</f>
        <v>SaveLayoutAllocationUI</v>
      </c>
      <c r="C341" s="0" t="str">
        <f>IFERROR(__xludf.DUMMYFUNCTION("""COMPUTED_VALUE"""),"1S-6rMK11n-3mFrONpo_U4rlR4O69j6bQAGuGNcrrS6A")</f>
        <v>1S-6rMK11n-3mFrONpo_U4rlR4O69j6bQAGuGNcrrS6A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IFERROR(__xludf.DUMMYFUNCTION("""COMPUTED_VALUE"""),"ClearFiltersAllocatedGrid")</f>
        <v>ClearFiltersAllocatedGrid</v>
      </c>
      <c r="C342" s="0" t="str">
        <f>IFERROR(__xludf.DUMMYFUNCTION("""COMPUTED_VALUE"""),"Undefined")</f>
        <v>Undefined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IFERROR(__xludf.DUMMYFUNCTION("""COMPUTED_VALUE"""),"ClearFiltersUnallocatedGrid")</f>
        <v>ClearFiltersUnallocatedGrid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IFERROR(__xludf.DUMMYFUNCTION("""COMPUTED_VALUE"""),"VerifyLayoutAllocatedGrid")</f>
        <v>VerifyLayoutAllocatedGrid</v>
      </c>
      <c r="C344" s="0" t="str">
        <f>IFERROR(__xludf.DUMMYFUNCTION("""COMPUTED_VALUE"""),"11nzl66L5rtvJi9vTz487iVKURd3BfoYcknfycWFT-fU")</f>
        <v>11nzl66L5rtvJi9vTz487iVKURd3BfoYcknfycWFT-fU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IFERROR(__xludf.DUMMYFUNCTION("""COMPUTED_VALUE"""),"VerifyLayoutUnallocatedGrid")</f>
        <v>VerifyLayoutUnallocatedGrid</v>
      </c>
      <c r="C345" s="0" t="str">
        <f>IFERROR(__xludf.DUMMYFUNCTION("""COMPUTED_VALUE"""),"1dD8vrEBSx_3diJl50IJ7yG6cl8wP386vXzl21YBIEPg")</f>
        <v>1dD8vrEBSx_3diJl50IJ7yG6cl8wP386vXzl21YBIEPg</v>
      </c>
    </row>
    <row r="346" ht="15.75" customHeight="1">
      <c r="A346" s="0" t="str">
        <f>IFERROR(__xludf.DUMMYFUNCTION("""COMPUTED_VALUE"""),"DailyValuation")</f>
        <v>DailyValuation</v>
      </c>
      <c r="B346" s="0" t="str">
        <f>IFERROR(__xludf.DUMMYFUNCTION("""COMPUTED_VALUE"""),"UpdateForexConversionMonthly")</f>
        <v>UpdateForexConversionMonthly</v>
      </c>
      <c r="C346" s="0" t="str">
        <f>IFERROR(__xludf.DUMMYFUNCTION("""COMPUTED_VALUE"""),"1MCpJWwFXEogB1VlqUXy1Ww954nX83LPwb4Qy6-fZMp8")</f>
        <v>1MCpJWwFXEogB1VlqUXy1Ww954nX83LPwb4Qy6-fZMp8</v>
      </c>
    </row>
    <row r="347" ht="15.75" customHeight="1">
      <c r="A347" s="0" t="str">
        <f>IFERROR(__xludf.DUMMYFUNCTION("""COMPUTED_VALUE"""),"GeneralLedger")</f>
        <v>GeneralLedger</v>
      </c>
      <c r="B347" s="0" t="str">
        <f>IFERROR(__xludf.DUMMYFUNCTION("""COMPUTED_VALUE"""),"SaveTransaction")</f>
        <v>SaveTransaction</v>
      </c>
      <c r="C347" s="0" t="str">
        <f>IFERROR(__xludf.DUMMYFUNCTION("""COMPUTED_VALUE"""),"Undefined")</f>
        <v>Undefined</v>
      </c>
    </row>
    <row r="348" ht="15.75" customHeight="1">
      <c r="A348" s="0" t="str">
        <f>IFERROR(__xludf.DUMMYFUNCTION("""COMPUTED_VALUE"""),"DailyValuation")</f>
        <v>DailyValuation</v>
      </c>
      <c r="B348" s="0" t="str">
        <f>IFERROR(__xludf.DUMMYFUNCTION("""COMPUTED_VALUE"""),"UpdateMarkPriceMonthly")</f>
        <v>UpdateMarkPriceMonthly</v>
      </c>
      <c r="C348" s="0" t="str">
        <f>IFERROR(__xludf.DUMMYFUNCTION("""COMPUTED_VALUE"""),"1gKeBaYxaZTHXY5r3gp7mJKZhpLEFv3B0eTcgmwO2faY")</f>
        <v>1gKeBaYxaZTHXY5r3gp7mJKZhpLEFv3B0eTcgmwO2faY</v>
      </c>
    </row>
    <row r="349" ht="15.75" customHeight="1">
      <c r="A349" s="0" t="str">
        <f>IFERROR(__xludf.DUMMYFUNCTION("""COMPUTED_VALUE"""),"Allocation")</f>
        <v>Allocation</v>
      </c>
      <c r="B349" s="0" t="str">
        <f>IFERROR(__xludf.DUMMYFUNCTION("""COMPUTED_VALUE"""),"CleanUp")</f>
        <v>CleanUp</v>
      </c>
      <c r="C349" s="0" t="str">
        <f>IFERROR(__xludf.DUMMYFUNCTION("""COMPUTED_VALUE"""),"1gjchR0Aowyhj6YMJ5EMxZmG6NvilqGkSR93seXN-MEo")</f>
        <v>1gjchR0Aowyhj6YMJ5EMxZmG6NvilqGkSR93seXN-MEo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IFERROR(__xludf.DUMMYFUNCTION("""COMPUTED_VALUE"""),"CheckAllocatedTaxlots")</f>
        <v>CheckAllocatedTaxlots</v>
      </c>
      <c r="C350" s="0" t="str">
        <f>IFERROR(__xludf.DUMMYFUNCTION("""COMPUTED_VALUE"""),"1v_Yhw10id_6Cs6P4bR6iDeu8RDRjtyjgz19lxjEw6Ng")</f>
        <v>1v_Yhw10id_6Cs6P4bR6iDeu8RDRjtyjgz19lxjEw6Ng</v>
      </c>
    </row>
    <row r="351" ht="15.75" customHeight="1">
      <c r="A351" s="0" t="str">
        <f>IFERROR(__xludf.DUMMYFUNCTION("""COMPUTED_VALUE"""),"Closing")</f>
        <v>Closing</v>
      </c>
      <c r="B351" s="0" t="str">
        <f>IFERROR(__xludf.DUMMYFUNCTION("""COMPUTED_VALUE"""),"EditTradeUnexpiredUnsettled")</f>
        <v>EditTradeUnexpiredUnsettled</v>
      </c>
      <c r="C351" s="0" t="str">
        <f>IFERROR(__xludf.DUMMYFUNCTION("""COMPUTED_VALUE"""),"1Mk2JLd9CmSbDVOmTJu58VWjrwhxNKoopJHemupq4qBs")</f>
        <v>1Mk2JLd9CmSbDVOmTJu58VWjrwhxNKoopJHemupq4qBs</v>
      </c>
    </row>
    <row r="352" ht="15.75" customHeight="1">
      <c r="A352" s="0" t="str">
        <f>IFERROR(__xludf.DUMMYFUNCTION("""COMPUTED_VALUE"""),"ThirdParty")</f>
        <v>ThirdParty</v>
      </c>
      <c r="B352" s="0" t="str">
        <f>IFERROR(__xludf.DUMMYFUNCTION("""COMPUTED_VALUE"""),"VerifyThirdPartyView")</f>
        <v>VerifyThirdPartyView</v>
      </c>
      <c r="C352" s="0" t="str">
        <f>IFERROR(__xludf.DUMMYFUNCTION("""COMPUTED_VALUE"""),"118wRv0r1kNYT6nexs-UFGKd_eWq769gwdBDpcAfrJMc")</f>
        <v>118wRv0r1kNYT6nexs-UFGKd_eWq769gwdBDpcAfrJMc</v>
      </c>
    </row>
    <row r="353" ht="15.75" customHeight="1">
      <c r="A353" s="0" t="str">
        <f>IFERROR(__xludf.DUMMYFUNCTION("""COMPUTED_VALUE"""),"Compliance")</f>
        <v>Compliance</v>
      </c>
      <c r="B353" s="0" t="str">
        <f>IFERROR(__xludf.DUMMYFUNCTION("""COMPUTED_VALUE"""),"CheckCompliance")</f>
        <v>CheckCompliance</v>
      </c>
      <c r="C353" s="0" t="str">
        <f>IFERROR(__xludf.DUMMYFUNCTION("""COMPUTED_VALUE"""),"1SsqNYuLQYnAQojY1ScqgFlAVNPt1c0Du5CgtRfS4XTs")</f>
        <v>1SsqNYuLQYnAQojY1ScqgFlAVNPt1c0Du5CgtRfS4XTs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IFERROR(__xludf.DUMMYFUNCTION("""COMPUTED_VALUE"""),"VerifyAccountDivisorWindow")</f>
        <v>VerifyAccountDivisorWindow</v>
      </c>
      <c r="C354" s="0" t="str">
        <f>IFERROR(__xludf.DUMMYFUNCTION("""COMPUTED_VALUE"""),"1nWJ7MmdctU6UHdtDMBx4cO0Za1AVHgWqATvU2HaIrN0")</f>
        <v>1nWJ7MmdctU6UHdtDMBx4cO0Za1AVHgWqATvU2HaIrN0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IFERROR(__xludf.DUMMYFUNCTION("""COMPUTED_VALUE"""),"VerifyAccountSymbolDivisorWindow")</f>
        <v>VerifyAccountSymbolDivisorWindow</v>
      </c>
      <c r="C355" s="0" t="str">
        <f>IFERROR(__xludf.DUMMYFUNCTION("""COMPUTED_VALUE"""),"1XEkR9NvAEC2bh6wfHaqLzZiNwp5p6N_DuThzwLCpi_k")</f>
        <v>1XEkR9NvAEC2bh6wfHaqLzZiNwp5p6N_DuThzwLCpi_k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IFERROR(__xludf.DUMMYFUNCTION("""COMPUTED_VALUE"""),"VerifyAggregationAccountSymbolWithNav")</f>
        <v>VerifyAggregationAccountSymbolWithNav</v>
      </c>
      <c r="C356" s="0" t="str">
        <f>IFERROR(__xludf.DUMMYFUNCTION("""COMPUTED_VALUE"""),"1wa6cXAbpdMTz-hsF4yUayu1Tnpnl9Kbq__2Vi33WjNM")</f>
        <v>1wa6cXAbpdMTz-hsF4yUayu1Tnpnl9Kbq__2Vi33WjNM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IFERROR(__xludf.DUMMYFUNCTION("""COMPUTED_VALUE"""),"VerifyAggregationAccountWithNav")</f>
        <v>VerifyAggregationAccountWithNav</v>
      </c>
      <c r="C357" s="0" t="str">
        <f>IFERROR(__xludf.DUMMYFUNCTION("""COMPUTED_VALUE"""),"1_rVRnADrf7Ggj_HNj9UdEOl7VoPKVA5LDHVnB3Llwac")</f>
        <v>1_rVRnADrf7Ggj_HNj9UdEOl7VoPKVA5LDHVnB3Llwac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IFERROR(__xludf.DUMMYFUNCTION("""COMPUTED_VALUE"""),"VerifyAggregationMasterFundSymbolWithNav")</f>
        <v>VerifyAggregationMasterFundSymbolWithNav</v>
      </c>
      <c r="C358" s="0" t="str">
        <f>IFERROR(__xludf.DUMMYFUNCTION("""COMPUTED_VALUE"""),"1v9DEhh9RUUR50m2cY_9XHSOZSpjev0D_FC7YxL6Dx-M")</f>
        <v>1v9DEhh9RUUR50m2cY_9XHSOZSpjev0D_FC7YxL6Dx-M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IFERROR(__xludf.DUMMYFUNCTION("""COMPUTED_VALUE"""),"VerifyAggregationMasterFundUnderlyingSymbolWithNav")</f>
        <v>VerifyAggregationMasterFundUnderlyingSymbolWithNav</v>
      </c>
      <c r="C359" s="0" t="str">
        <f>IFERROR(__xludf.DUMMYFUNCTION("""COMPUTED_VALUE"""),"1_l1dXRaSvBu8xSpL_0LuTGDpZT2uwv7HrTTqPpX1zh0")</f>
        <v>1_l1dXRaSvBu8xSpL_0LuTGDpZT2uwv7HrTTqPpX1zh0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IFERROR(__xludf.DUMMYFUNCTION("""COMPUTED_VALUE"""),"VerifyAggregationMasterFundWithNav")</f>
        <v>VerifyAggregationMasterFundWithNav</v>
      </c>
      <c r="C360" s="0" t="str">
        <f>IFERROR(__xludf.DUMMYFUNCTION("""COMPUTED_VALUE"""),"1bukvmw7uDn5EWU749u99t380wnpilFiwB3NEfjqNUko")</f>
        <v>1bukvmw7uDn5EWU749u99t380wnpilFiwB3NEfjqNUko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IFERROR(__xludf.DUMMYFUNCTION("""COMPUTED_VALUE"""),"VerifyAggregationSectorWithNav")</f>
        <v>VerifyAggregationSectorWithNav</v>
      </c>
      <c r="C361" s="0" t="str">
        <f>IFERROR(__xludf.DUMMYFUNCTION("""COMPUTED_VALUE"""),"1Fv-QPc8yv7ZaNdT1FlDCX7eIaQQMAYX7KS5-P986RCQ")</f>
        <v>1Fv-QPc8yv7ZaNdT1FlDCX7eIaQQMAYX7KS5-P986RCQ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IFERROR(__xludf.DUMMYFUNCTION("""COMPUTED_VALUE"""),"VerifyAggregationUnderlyingSymbolWithNav")</f>
        <v>VerifyAggregationUnderlyingSymbolWithNav</v>
      </c>
      <c r="C362" s="0" t="str">
        <f>IFERROR(__xludf.DUMMYFUNCTION("""COMPUTED_VALUE"""),"1lb3zBRstb1VKpx0rM4A2DDz_IQHBTzL0OUyXXa4H2AU")</f>
        <v>1lb3zBRstb1VKpx0rM4A2DDz_IQHBTzL0OUyXXa4H2AU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IFERROR(__xludf.DUMMYFUNCTION("""COMPUTED_VALUE"""),"VerifyAuecWindow")</f>
        <v>VerifyAuecWindow</v>
      </c>
      <c r="C363" s="0" t="str">
        <f>IFERROR(__xludf.DUMMYFUNCTION("""COMPUTED_VALUE"""),"1EhWPzRJ5WEwpWzc-SX3LVcLgYlPDIKzkNS-LD2bNahk")</f>
        <v>1EhWPzRJ5WEwpWzc-SX3LVcLgYlPDIKzkNS-LD2bNahk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IFERROR(__xludf.DUMMYFUNCTION("""COMPUTED_VALUE"""),"VerifyBetaWindow")</f>
        <v>VerifyBetaWindow</v>
      </c>
      <c r="C364" s="0" t="str">
        <f>IFERROR(__xludf.DUMMYFUNCTION("""COMPUTED_VALUE"""),"1vnD8kKYEQArpqSXLRpqKdW0bWfXfMAye26LmcRtOGI4")</f>
        <v>1vnD8kKYEQArpqSXLRpqKdW0bWfXfMAye26LmcRtOGI4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IFERROR(__xludf.DUMMYFUNCTION("""COMPUTED_VALUE"""),"VerifyCustomSymbolDataWindow")</f>
        <v>VerifyCustomSymbolDataWindow</v>
      </c>
      <c r="C365" s="0" t="str">
        <f>IFERROR(__xludf.DUMMYFUNCTION("""COMPUTED_VALUE"""),"1xency978Yhb2ZeNxG-Gp8xcJ8QjKX9kP348vEmQ2gwA")</f>
        <v>1xency978Yhb2ZeNxG-Gp8xcJ8QjKX9kP348vEmQ2gwA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IFERROR(__xludf.DUMMYFUNCTION("""COMPUTED_VALUE"""),"VerifyDayEndCashAccountWindow")</f>
        <v>VerifyDayEndCashAccountWindow</v>
      </c>
      <c r="C366" s="0" t="str">
        <f>IFERROR(__xludf.DUMMYFUNCTION("""COMPUTED_VALUE"""),"1qPMFAgMRzEYcCWAk5IayLOH_U1htslpfkeJMVPWbpLQ")</f>
        <v>1qPMFAgMRzEYcCWAk5IayLOH_U1htslpfkeJMVPWbpLQ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IFERROR(__xludf.DUMMYFUNCTION("""COMPUTED_VALUE"""),"VerifyDbNavWindow")</f>
        <v>VerifyDbNavWindow</v>
      </c>
      <c r="C367" s="0" t="str">
        <f>IFERROR(__xludf.DUMMYFUNCTION("""COMPUTED_VALUE"""),"1KIH7eWcCPPCZqRVbqOvdvQQatjP_INfvJUbzjGTz7fE")</f>
        <v>1KIH7eWcCPPCZqRVbqOvdvQQatjP_INfvJUbzjGTz7fE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IFERROR(__xludf.DUMMYFUNCTION("""COMPUTED_VALUE"""),"VerifyGlobalDivisorWindow")</f>
        <v>VerifyGlobalDivisorWindow</v>
      </c>
      <c r="C368" s="0" t="str">
        <f>IFERROR(__xludf.DUMMYFUNCTION("""COMPUTED_VALUE"""),"11KuCDI7q37RrZjNhVRB_sRU4JrklHajDN-nvioCXIow")</f>
        <v>11KuCDI7q37RrZjNhVRB_sRU4JrklHajDN-nvioCXIow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IFERROR(__xludf.DUMMYFUNCTION("""COMPUTED_VALUE"""),"VerifyPmCalculationPreferenceWindow")</f>
        <v>VerifyPmCalculationPreferenceWindow</v>
      </c>
      <c r="C369" s="0" t="str">
        <f>IFERROR(__xludf.DUMMYFUNCTION("""COMPUTED_VALUE"""),"1tHuAZIaBkKFsAt4wQU_f2q5uJEGZ6DbWQnO08Rx4g5Y")</f>
        <v>1tHuAZIaBkKFsAt4wQU_f2q5uJEGZ6DbWQnO08Rx4g5Y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IFERROR(__xludf.DUMMYFUNCTION("""COMPUTED_VALUE"""),"VerifyRowCalculationBaseWindow")</f>
        <v>VerifyRowCalculationBaseWindow</v>
      </c>
      <c r="C370" s="0" t="str">
        <f>IFERROR(__xludf.DUMMYFUNCTION("""COMPUTED_VALUE"""),"1LloNg0BgixU9tpWx4HUT43bl1SpVE4381HnFlsajvaQ")</f>
        <v>1LloNg0BgixU9tpWx4HUT43bl1SpVE4381HnFlsajvaQ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IFERROR(__xludf.DUMMYFUNCTION("""COMPUTED_VALUE"""),"VerifySecurityWindow")</f>
        <v>VerifySecurityWindow</v>
      </c>
      <c r="C371" s="0" t="str">
        <f>IFERROR(__xludf.DUMMYFUNCTION("""COMPUTED_VALUE"""),"1C0AkzcituMMrkQqJg0M_n6cswWPjROFn0jqkTPCHfis")</f>
        <v>1C0AkzcituMMrkQqJg0M_n6cswWPjROFn0jqkTPCHfis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IFERROR(__xludf.DUMMYFUNCTION("""COMPUTED_VALUE"""),"VerifySymbolDataWindow")</f>
        <v>VerifySymbolDataWindow</v>
      </c>
      <c r="C372" s="0" t="str">
        <f>IFERROR(__xludf.DUMMYFUNCTION("""COMPUTED_VALUE"""),"1WOYWuhLyuq1ul6GF5dWAdvSkpKBaWmcsEY0pPRgeOWM")</f>
        <v>1WOYWuhLyuq1ul6GF5dWAdvSkpKBaWmcsEY0pPRgeOWM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IFERROR(__xludf.DUMMYFUNCTION("""COMPUTED_VALUE"""),"VerifySymbolDivisorWindow")</f>
        <v>VerifySymbolDivisorWindow</v>
      </c>
      <c r="C373" s="0" t="str">
        <f>IFERROR(__xludf.DUMMYFUNCTION("""COMPUTED_VALUE"""),"1e9Xd2rI7lHFWIFLmRoe5LtT9y4BSPW6sfCjWP0lcVso")</f>
        <v>1e9Xd2rI7lHFWIFLmRoe5LtT9y4BSPW6sfCjWP0lcVso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IFERROR(__xludf.DUMMYFUNCTION("""COMPUTED_VALUE"""),"VerifyTaxlotWindow")</f>
        <v>VerifyTaxlotWindow</v>
      </c>
      <c r="C374" s="0" t="str">
        <f>IFERROR(__xludf.DUMMYFUNCTION("""COMPUTED_VALUE"""),"1X0RghwSavvuWnxK9psKDA7-qI86K-IaBKRJ1fVYnJbY")</f>
        <v>1X0RghwSavvuWnxK9psKDA7-qI86K-IaBKRJ1fVYnJbY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IFERROR(__xludf.DUMMYFUNCTION("""COMPUTED_VALUE"""),"RestartEsper")</f>
        <v>RestartEsper</v>
      </c>
      <c r="C375" s="0" t="str">
        <f>IFERROR(__xludf.DUMMYFUNCTION("""COMPUTED_VALUE"""),"Undefined")</f>
        <v>Undefined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IFERROR(__xludf.DUMMYFUNCTION("""COMPUTED_VALUE"""),"VerifyAccountNavPreferenceWindow")</f>
        <v>VerifyAccountNavPreferenceWindow</v>
      </c>
      <c r="C376" s="0" t="str">
        <f>IFERROR(__xludf.DUMMYFUNCTION("""COMPUTED_VALUE"""),"1nlqDVTvG9tGHVZU_R5Kpe2ScGFiP2pODIjUgp62eOcg")</f>
        <v>1nlqDVTvG9tGHVZU_R5Kpe2ScGFiP2pODIjUgp62eOcg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 VerifyAggregationAccountUnderlyingSymbolWithNav")</f>
        <v> VerifyAggregationAccountUnderlyingSymbolWithNav</v>
      </c>
      <c r="C377" s="0" t="str">
        <f>IFERROR(__xludf.DUMMYFUNCTION("""COMPUTED_VALUE"""),"1td6xh2jOVJ_tOP88gOQ7VzA7zC3W0ZUyud3q5jhH1eM")</f>
        <v>1td6xh2jOVJ_tOP88gOQ7VzA7zC3W0ZUyud3q5jhH1eM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IFERROR(__xludf.DUMMYFUNCTION("""COMPUTED_VALUE"""),"VerifyAggregationAssetWithNav")</f>
        <v>VerifyAggregationAssetWithNav</v>
      </c>
      <c r="C378" s="0" t="str">
        <f>IFERROR(__xludf.DUMMYFUNCTION("""COMPUTED_VALUE"""),"11IOPX3JerrbITJGj2KKdtGuSCn7wqoda4D14yJors8g")</f>
        <v>11IOPX3JerrbITJGj2KKdtGuSCn7wqoda4D14yJors8g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IFERROR(__xludf.DUMMYFUNCTION("""COMPUTED_VALUE"""),"VerifyAggregationSymbolWithNav")</f>
        <v>VerifyAggregationSymbolWithNav</v>
      </c>
      <c r="C379" s="0" t="str">
        <f>IFERROR(__xludf.DUMMYFUNCTION("""COMPUTED_VALUE"""),"10pZ09xnUx2pqa5QZzEljxvSOWUoO4MpFFlj3IgHixAY")</f>
        <v>10pZ09xnUx2pqa5QZzEljxvSOWUoO4MpFFlj3IgHixAY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IFERROR(__xludf.DUMMYFUNCTION("""COMPUTED_VALUE"""),"VerifyAggregationSubSectorWithNav")</f>
        <v>VerifyAggregationSubSectorWithNav</v>
      </c>
      <c r="C380" s="0" t="str">
        <f>IFERROR(__xludf.DUMMYFUNCTION("""COMPUTED_VALUE"""),"1lLMwkGATnotz4Fwa-o2i_-buFLFRD1fPDjBRCRge2g8")</f>
        <v>1lLMwkGATnotz4Fwa-o2i_-buFLFRD1fPDjBRCRge2g8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IFERROR(__xludf.DUMMYFUNCTION("""COMPUTED_VALUE"""),"VerifyAggregationGlobalWithNav")</f>
        <v>VerifyAggregationGlobalWithNav</v>
      </c>
      <c r="C381" s="0" t="str">
        <f>IFERROR(__xludf.DUMMYFUNCTION("""COMPUTED_VALUE"""),"1AvL03tSx1mQR9FO4i7ta-0KC1RPfLKkELFYsFU7pHz0")</f>
        <v>1AvL03tSx1mQR9FO4i7ta-0KC1RPfLKkELFYsFU7pHz0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 VerifyAggregationGlobalWithNav")</f>
        <v> 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IFERROR(__xludf.DUMMYFUNCTION("""COMPUTED_VALUE"""),"VerifyGlobalDivisorWindow")</f>
        <v>VerifyGlobalDivisorWindow</v>
      </c>
      <c r="C383" s="0" t="str">
        <f>IFERROR(__xludf.DUMMYFUNCTION("""COMPUTED_VALUE"""),"11KuCDI7q37RrZjNhVRB_sRU4JrklHajDN-nvioCXIow")</f>
        <v>11KuCDI7q37RrZjNhVRB_sRU4JrklHajDN-nvioCXIow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 VerifyAccrualForAccountWindow")</f>
        <v> VerifyAccrualForAccountWindow</v>
      </c>
      <c r="C384" s="0" t="str">
        <f>IFERROR(__xludf.DUMMYFUNCTION("""COMPUTED_VALUE"""),"1UibESJzXseK9_-c9HjMbuHTeklThYekhSZ72rmoM1T8")</f>
        <v>1UibESJzXseK9_-c9HjMbuHTeklThYekhSZ72rmoM1T8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IFERROR(__xludf.DUMMYFUNCTION("""COMPUTED_VALUE"""),"VerifyGlobalDivisorWindow")</f>
        <v>VerifyGlobalDivisorWindow</v>
      </c>
      <c r="C385" s="0" t="str">
        <f>IFERROR(__xludf.DUMMYFUNCTION("""COMPUTED_VALUE"""),"11KuCDI7q37RrZjNhVRB_sRU4JrklHajDN-nvioCXIow")</f>
        <v>11KuCDI7q37RrZjNhVRB_sRU4JrklHajDN-nvioCXIow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IFERROR(__xludf.DUMMYFUNCTION("""COMPUTED_VALUE"""),"VerifyMasterFundDivisorWindow")</f>
        <v>VerifyMasterFundDivisorWindow</v>
      </c>
      <c r="C386" s="0" t="str">
        <f>IFERROR(__xludf.DUMMYFUNCTION("""COMPUTED_VALUE"""),"1MjAfg4F6NQuUAQUFW37k3htPnyMxWHWagiOU-lnvmGI")</f>
        <v>1MjAfg4F6NQuUAQUFW37k3htPnyMxWHWagiOU-lnvmGI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IFERROR(__xludf.DUMMYFUNCTION("""COMPUTED_VALUE"""),"VerifyMasterFundSymbolDivisorWindow")</f>
        <v>VerifyMasterFundSymbolDivisorWindow</v>
      </c>
      <c r="C387" s="0" t="str">
        <f>IFERROR(__xludf.DUMMYFUNCTION("""COMPUTED_VALUE"""),"12jSVbeEJpxmA75PPUiLNi7NaIc00WbgI34Q6rhSS0Ds")</f>
        <v>12jSVbeEJpxmA75PPUiLNi7NaIc00WbgI34Q6rhSS0Ds</v>
      </c>
    </row>
    <row r="388" ht="15.75" customHeight="1">
      <c r="A388" s="0" t="str">
        <f>IFERROR(__xludf.DUMMYFUNCTION("""COMPUTED_VALUE"""),"Rebalancer")</f>
        <v>Rebalancer</v>
      </c>
      <c r="B388" s="0" t="str">
        <f>IFERROR(__xludf.DUMMYFUNCTION("""COMPUTED_VALUE"""),"FetchAccountPositions")</f>
        <v>FetchAccountPositions</v>
      </c>
      <c r="C388" s="0" t="str">
        <f>IFERROR(__xludf.DUMMYFUNCTION("""COMPUTED_VALUE"""),"16zBwty-rTFSFJMyCqyxtBb2FiCbKptl_JuviIETsEjc")</f>
        <v>16zBwty-rTFSFJMyCqyxtBb2FiCbKptl_JuviIETsEjc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IFERROR(__xludf.DUMMYFUNCTION("""COMPUTED_VALUE"""),"AddCash")</f>
        <v>AddCash</v>
      </c>
      <c r="C389" s="0" t="str">
        <f>IFERROR(__xludf.DUMMYFUNCTION("""COMPUTED_VALUE"""),"1uD1wJYx80LMyhlbMy1CctqDOk9brp6uU03OlbnDuAe4")</f>
        <v>1uD1wJYx80LMyhlbMy1CctqDOk9brp6uU03OlbnDuAe4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IFERROR(__xludf.DUMMYFUNCTION("""COMPUTED_VALUE"""),"VerifyGridData")</f>
        <v>VerifyGridData</v>
      </c>
      <c r="C390" s="0" t="str">
        <f>IFERROR(__xludf.DUMMYFUNCTION("""COMPUTED_VALUE"""),"1m6MOQNhKkVt1jpFum_tComrSd-dEbwpLJ09ma9hwHJ0")</f>
        <v>1m6MOQNhKkVt1jpFum_tComrSd-dEbwpLJ09ma9hwHJ0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IFERROR(__xludf.DUMMYFUNCTION("""COMPUTED_VALUE"""),"RunRebalance")</f>
        <v>RunRebalance</v>
      </c>
      <c r="C391" s="0" t="str">
        <f>IFERROR(__xludf.DUMMYFUNCTION("""COMPUTED_VALUE"""),"1z6sLqoF1dgSy-5wTE_wKZTVXhp9JEOqwje341a02WpA")</f>
        <v>1z6sLqoF1dgSy-5wTE_wKZTVXhp9JEOqwje341a02WpA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IFERROR(__xludf.DUMMYFUNCTION("""COMPUTED_VALUE"""),"EnableComplianceTab")</f>
        <v>EnableComplianceTab</v>
      </c>
      <c r="C392" s="0" t="str">
        <f>IFERROR(__xludf.DUMMYFUNCTION("""COMPUTED_VALUE"""),"Undefined")</f>
        <v>Undefined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IFERROR(__xludf.DUMMYFUNCTION("""COMPUTED_VALUE"""),"RebalancePreference")</f>
        <v>RebalancePreference</v>
      </c>
      <c r="C393" s="0" t="str">
        <f>IFERROR(__xludf.DUMMYFUNCTION("""COMPUTED_VALUE"""),"1OuZKBdhFXWj4geXHEAw683kkB5iaP1xy85nS7Y_bfc8")</f>
        <v>1OuZKBdhFXWj4geXHEAw683kkB5iaP1xy85nS7Y_bfc8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IFERROR(__xludf.DUMMYFUNCTION("""COMPUTED_VALUE"""),"ImportModelPortfolio")</f>
        <v>ImportModelPortfolio</v>
      </c>
      <c r="C394" s="0" t="str">
        <f>IFERROR(__xludf.DUMMYFUNCTION("""COMPUTED_VALUE"""),"1acRsUVfXLMARgfUMygVmnq-Xn9oHJ7aBMct5mdqEBsA")</f>
        <v>1acRsUVfXLMARgfUMygVmnq-Xn9oHJ7aBMct5mdqEBsA</v>
      </c>
    </row>
    <row r="395" ht="15.75" customHeight="1">
      <c r="A395" s="0" t="str">
        <f>IFERROR(__xludf.DUMMYFUNCTION("""COMPUTED_VALUE"""),"Simulator")</f>
        <v>Simulator</v>
      </c>
      <c r="B395" s="0" t="str">
        <f>IFERROR(__xludf.DUMMYFUNCTION("""COMPUTED_VALUE"""),"SelectTrade")</f>
        <v>SelectTrade</v>
      </c>
      <c r="C395" s="0" t="str">
        <f>IFERROR(__xludf.DUMMYFUNCTION("""COMPUTED_VALUE"""),"1lkSiBclw-Nrw61K0j2t1vOsiLqNO8ejgCPuA23bupec")</f>
        <v>1lkSiBclw-Nrw61K0j2t1vOsiLqNO8ejgCPuA23bupec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IFERROR(__xludf.DUMMYFUNCTION("""COMPUTED_VALUE"""),"AcknowledgeTrade")</f>
        <v>AcknowledgeTrade</v>
      </c>
      <c r="C396" s="0" t="str">
        <f>IFERROR(__xludf.DUMMYFUNCTION("""COMPUTED_VALUE"""),"1KZmCs4XZYKInO0g2s3RZpteE670ImER8luciQluLB8Q")</f>
        <v>1KZmCs4XZYKInO0g2s3RZpteE670ImER8luciQluLB8Q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IFERROR(__xludf.DUMMYFUNCTION("""COMPUTED_VALUE"""),"RejectTrade")</f>
        <v>RejectTrade</v>
      </c>
      <c r="C397" s="0" t="str">
        <f>IFERROR(__xludf.DUMMYFUNCTION("""COMPUTED_VALUE"""),"1Kga6eZygJKjrpwyXiE7s-uRu_0SsnmwvP5tlfNUz67E")</f>
        <v>1Kga6eZygJKjrpwyXiE7s-uRu_0SsnmwvP5tlfNUz67E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IFERROR(__xludf.DUMMYFUNCTION("""COMPUTED_VALUE"""),"ExecuteTrade")</f>
        <v>ExecuteTrade</v>
      </c>
      <c r="C398" s="0" t="str">
        <f>IFERROR(__xludf.DUMMYFUNCTION("""COMPUTED_VALUE"""),"1wokLkQCDTR1Moa2-CJdvv9EBpX8uIBke1ynZq7Am8Qo")</f>
        <v>1wokLkQCDTR1Moa2-CJdvv9EBpX8uIBke1ynZq7Am8Qo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IFERROR(__xludf.DUMMYFUNCTION("""COMPUTED_VALUE"""),"CancelTrade")</f>
        <v>CancelTrade</v>
      </c>
      <c r="C399" s="0" t="str">
        <f>IFERROR(__xludf.DUMMYFUNCTION("""COMPUTED_VALUE"""),"1GDmvU5vTnCfl5qfCk6XuxvygpiC0858nHCMz3cF2Th8")</f>
        <v>1GDmvU5vTnCfl5qfCk6XuxvygpiC0858nHCMz3cF2Th8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IFERROR(__xludf.DUMMYFUNCTION("""COMPUTED_VALUE"""),"OpenLiveTT")</f>
        <v>OpenLiveTT</v>
      </c>
      <c r="C400" s="0" t="str">
        <f>IFERROR(__xludf.DUMMYFUNCTION("""COMPUTED_VALUE"""),"1LsvDJHpVcibXPqLhnrrvp6d6K4W1s7PURcprihlc9WE")</f>
        <v>1LsvDJHpVcibXPqLhnrrvp6d6K4W1s7PURcprihlc9WE</v>
      </c>
    </row>
    <row r="401" ht="15.75" customHeight="1">
      <c r="A401" s="0" t="str">
        <f>IFERROR(__xludf.DUMMYFUNCTION("""COMPUTED_VALUE"""),"TradingTicket")</f>
        <v>TradingTicket</v>
      </c>
      <c r="B401" s="0" t="str">
        <f>IFERROR(__xludf.DUMMYFUNCTION("""COMPUTED_VALUE"""),"CreateLiveOrder")</f>
        <v>CreateLiveOrder</v>
      </c>
      <c r="C401" s="0" t="str">
        <f>IFERROR(__xludf.DUMMYFUNCTION("""COMPUTED_VALUE"""),"15NzWGpqvL8MMBvyvBoyZPbRw6m8dVQhvejNQYv6xMAo")</f>
        <v>15NzWGpqvL8MMBvyvBoyZPbRw6m8dVQhvejNQYv6xMAo</v>
      </c>
    </row>
    <row r="402" ht="15.75" customHeight="1">
      <c r="A402" s="0" t="str">
        <f>IFERROR(__xludf.DUMMYFUNCTION("""COMPUTED_VALUE"""),"Simulator")</f>
        <v>Simulator</v>
      </c>
      <c r="B402" s="0" t="str">
        <f>IFERROR(__xludf.DUMMYFUNCTION("""COMPUTED_VALUE"""),"SetManualResponse ")</f>
        <v>SetManualResponse </v>
      </c>
      <c r="C402" s="0" t="str">
        <f>IFERROR(__xludf.DUMMYFUNCTION("""COMPUTED_VALUE"""),"Undefined")</f>
        <v>Undefined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IFERROR(__xludf.DUMMYFUNCTION("""COMPUTED_VALUE"""),"ClearUI")</f>
        <v>ClearUI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IFERROR(__xludf.DUMMYFUNCTION("""COMPUTED_VALUE"""),"Rebalancer")</f>
        <v>Rebalancer</v>
      </c>
      <c r="B404" s="0" t="str">
        <f>IFERROR(__xludf.DUMMYFUNCTION("""COMPUTED_VALUE"""),"RebalanceAcrossSecurities")</f>
        <v>RebalanceAcrossSecurities</v>
      </c>
      <c r="C404" s="0" t="str">
        <f>IFERROR(__xludf.DUMMYFUNCTION("""COMPUTED_VALUE"""),"1hj7paFEdaJfp8zCVq4BI5XPlCE2BysKhNQY5CdXDN44")</f>
        <v>1hj7paFEdaJfp8zCVq4BI5XPlCE2BysKhNQY5CdXDN44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IFERROR(__xludf.DUMMYFUNCTION("""COMPUTED_VALUE"""),"CheckBasketCompliance")</f>
        <v>CheckBasketCompliance</v>
      </c>
      <c r="C405" s="0" t="str">
        <f>IFERROR(__xludf.DUMMYFUNCTION("""COMPUTED_VALUE"""),"1TJXKyPI71JpDJp6PJy2JOx4mnjeYvDigctM4hrexDvM")</f>
        <v>1TJXKyPI71JpDJp6PJy2JOx4mnjeYvDigctM4hrexDvM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IFERROR(__xludf.DUMMYFUNCTION("""COMPUTED_VALUE"""),"ClearCalculations")</f>
        <v>ClearCalculations</v>
      </c>
      <c r="C406" s="0" t="str">
        <f>IFERROR(__xludf.DUMMYFUNCTION("""COMPUTED_VALUE"""),"1ctMlkyXd7Fyoxty8UQ8vXNA2lmrIfMbc3leGsnW7ne0")</f>
        <v>1ctMlkyXd7Fyoxty8UQ8vXNA2lmrIfMbc3leGsnW7ne0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IFERROR(__xludf.DUMMYFUNCTION("""COMPUTED_VALUE"""),"ModifyRebalance")</f>
        <v>ModifyRebalance</v>
      </c>
      <c r="C407" s="0" t="str">
        <f>IFERROR(__xludf.DUMMYFUNCTION("""COMPUTED_VALUE"""),"14V-PVFSEtii0bJelGOw8nDeNWqcO5GO2gi1hoqmJbFU")</f>
        <v>14V-PVFSEtii0bJelGOw8nDeNWqcO5GO2gi1hoqmJbFU</v>
      </c>
    </row>
    <row r="408" ht="15.75" customHeight="1">
      <c r="A408" s="0" t="str">
        <f>IFERROR(__xludf.DUMMYFUNCTION("""COMPUTED_VALUE"""),"ThirdParty")</f>
        <v>ThirdParty</v>
      </c>
      <c r="B408" s="0" t="str">
        <f>IFERROR(__xludf.DUMMYFUNCTION("""COMPUTED_VALUE"""),"SelectThirdParty")</f>
        <v>SelectThirdParty</v>
      </c>
      <c r="C408" s="0" t="str">
        <f>IFERROR(__xludf.DUMMYFUNCTION("""COMPUTED_VALUE"""),"1wKEUsTX7MrGti2S1TEzF0iJk4vRZB1LxyQL9WgMGYrY")</f>
        <v>1wKEUsTX7MrGti2S1TEzF0iJk4vRZB1LxyQL9WgMGYrY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IFERROR(__xludf.DUMMYFUNCTION("""COMPUTED_VALUE"""),"ViewThirdParty")</f>
        <v>ViewThirdParty</v>
      </c>
      <c r="C409" s="0" t="str">
        <f>IFERROR(__xludf.DUMMYFUNCTION("""COMPUTED_VALUE"""),"1UalkAEsbJcZQAzEnT3T29et4u4PKQ3n66SBTt1HPqVc")</f>
        <v>1UalkAEsbJcZQAzEnT3T29et4u4PKQ3n66SBTt1HPqVc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IFERROR(__xludf.DUMMYFUNCTION("""COMPUTED_VALUE"""),"ThirdPartyGenerate")</f>
        <v>ThirdPartyGenerate</v>
      </c>
      <c r="C410" s="0" t="str">
        <f>IFERROR(__xludf.DUMMYFUNCTION("""COMPUTED_VALUE"""),"1DvEoe2QroRweeE3U1wG41DK1tPqNY7Qfs3ZfLQeMbgA")</f>
        <v>1DvEoe2QroRweeE3U1wG41DK1tPqNY7Qfs3ZfLQeMbgA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IFERROR(__xludf.DUMMYFUNCTION("""COMPUTED_VALUE"""),"VerifyThirdPartyView")</f>
        <v>VerifyThirdPartyView</v>
      </c>
      <c r="C411" s="0" t="str">
        <f>IFERROR(__xludf.DUMMYFUNCTION("""COMPUTED_VALUE"""),"118wRv0r1kNYT6nexs-UFGKd_eWq769gwdBDpcAfrJMc")</f>
        <v>118wRv0r1kNYT6nexs-UFGKd_eWq769gwdBDpcAfrJMc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IFERROR(__xludf.DUMMYFUNCTION("""COMPUTED_VALUE"""),"VerifyThirdPartyGenerate")</f>
        <v>VerifyThirdPartyGenerate</v>
      </c>
      <c r="C412" s="0" t="str">
        <f>IFERROR(__xludf.DUMMYFUNCTION("""COMPUTED_VALUE"""),"1bvzvGTpSSz8jFgbBJV7s2zMg9ku9TwcOoI2gD8mXZeI")</f>
        <v>1bvzvGTpSSz8jFgbBJV7s2zMg9ku9TwcOoI2gD8mXZeI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IFERROR(__xludf.DUMMYFUNCTION("""COMPUTED_VALUE"""),"VerifyThirdPartySend")</f>
        <v>VerifyThirdPartySend</v>
      </c>
      <c r="C413" s="0" t="str">
        <f>IFERROR(__xludf.DUMMYFUNCTION("""COMPUTED_VALUE"""),"1Uss7PL0z4ynwsEaU-5ZugX8DJ-4eQWi9JELroKHVjks")</f>
        <v>1Uss7PL0z4ynwsEaU-5ZugX8DJ-4eQWi9JELroKHVjks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IFERROR(__xludf.DUMMYFUNCTION("""COMPUTED_VALUE"""),"ThirdPartySend")</f>
        <v>ThirdPartySend</v>
      </c>
      <c r="C414" s="0" t="str">
        <f>IFERROR(__xludf.DUMMYFUNCTION("""COMPUTED_VALUE"""),"10lROCv8vZU4pHDAKFRaGDjYVmJmDXRVY6aLP5O0hPiU")</f>
        <v>10lROCv8vZU4pHDAKFRaGDjYVmJmDXRVY6aLP5O0hPiU</v>
      </c>
    </row>
    <row r="415" ht="15.75" customHeight="1">
      <c r="A415" s="0" t="str">
        <f>IFERROR(__xludf.DUMMYFUNCTION("""COMPUTED_VALUE"""),"Blotter")</f>
        <v>Blotter</v>
      </c>
      <c r="B415" s="0" t="str">
        <f>IFERROR(__xludf.DUMMYFUNCTION("""COMPUTED_VALUE"""),"VerifyViewAllocationDetails")</f>
        <v>VerifyViewAllocationDetails</v>
      </c>
      <c r="C415" s="0" t="str">
        <f>IFERROR(__xludf.DUMMYFUNCTION("""COMPUTED_VALUE"""),"1N0pdLUTdwOkDe6Oxo1hLVvtHrAW845GKRDRrNw2nQsA")</f>
        <v>1N0pdLUTdwOkDe6Oxo1hLVvtHrAW845GKRDRrNw2nQsA</v>
      </c>
    </row>
    <row r="416" ht="15.75" customHeight="1">
      <c r="A416" s="0" t="str">
        <f>IFERROR(__xludf.DUMMYFUNCTION("""COMPUTED_VALUE"""),"PTT")</f>
        <v>PTT</v>
      </c>
      <c r="B416" s="0" t="str">
        <f>IFERROR(__xludf.DUMMYFUNCTION("""COMPUTED_VALUE"""),"SelectPTTRecord")</f>
        <v>SelectPTTRecord</v>
      </c>
      <c r="C416" s="0" t="str">
        <f>IFERROR(__xludf.DUMMYFUNCTION("""COMPUTED_VALUE"""),"1XeFP2lm7tB6wETfm2dDqZYoeAfXyeA1KjbojdrZ69vE")</f>
        <v>1XeFP2lm7tB6wETfm2dDqZYoeAfXyeA1KjbojdrZ69vE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IFERROR(__xludf.DUMMYFUNCTION("""COMPUTED_VALUE"""),"EditPTTRecordAndExecuteOrder")</f>
        <v>EditPTTRecordAndExecuteOrder</v>
      </c>
      <c r="C417" s="0" t="str">
        <f>IFERROR(__xludf.DUMMYFUNCTION("""COMPUTED_VALUE"""),"1PSIJ72QdQ-ByplSZsPtKhZm3ADB7dR-xpWzGR4Bdl_4")</f>
        <v>1PSIJ72QdQ-ByplSZsPtKhZm3ADB7dR-xpWzGR4Bdl_4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IFERROR(__xludf.DUMMYFUNCTION("""COMPUTED_VALUE"""),"CreateOrderAfterEditPTT")</f>
        <v>CreateOrderAfterEditPTT</v>
      </c>
      <c r="C418" s="0" t="str">
        <f>IFERROR(__xludf.DUMMYFUNCTION("""COMPUTED_VALUE"""),"1KsDVAM-jGZBkXQCAjl-IKGN6XcMkdTfUj_E_EYUPpqE")</f>
        <v>1KsDVAM-jGZBkXQCAjl-IKGN6XcMkdTfUj_E_EYUPpqE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IFERROR(__xludf.DUMMYFUNCTION("""COMPUTED_VALUE"""),"EditPTTWPFGrid")</f>
        <v>EditPTTWPFGrid</v>
      </c>
      <c r="C419" s="0" t="str">
        <f>IFERROR(__xludf.DUMMYFUNCTION("""COMPUTED_VALUE"""),"1ZN6M0c0ta4_uysjU0LRmcc9chF9IgYpFmqSwGW6bPCY")</f>
        <v>1ZN6M0c0ta4_uysjU0LRmcc9chF9IgYpFmqSwGW6bPCY</v>
      </c>
    </row>
    <row r="420" ht="15.75" customHeight="1">
      <c r="A420" s="0" t="str">
        <f>IFERROR(__xludf.DUMMYFUNCTION("""COMPUTED_VALUE"""),"Blotter")</f>
        <v>Blotter</v>
      </c>
      <c r="B420" s="0" t="str">
        <f>IFERROR(__xludf.DUMMYFUNCTION("""COMPUTED_VALUE"""),"GoToAllocation")</f>
        <v>GoToAllocation</v>
      </c>
      <c r="C420" s="0" t="str">
        <f>IFERROR(__xludf.DUMMYFUNCTION("""COMPUTED_VALUE"""),"1I3StwH3fzwwbh9YvrnDvP_ICtYYZrMPHOthgqOvVOQc")</f>
        <v>1I3StwH3fzwwbh9YvrnDvP_ICtYYZrMPHOthgqOvVOQc</v>
      </c>
    </row>
    <row r="421" ht="15.75" customHeight="1">
      <c r="A421" s="0" t="str">
        <f>IFERROR(__xludf.DUMMYFUNCTION("""COMPUTED_VALUE"""),"Simulator")</f>
        <v>Simulator</v>
      </c>
      <c r="B421" s="0" t="str">
        <f>IFERROR(__xludf.DUMMYFUNCTION("""COMPUTED_VALUE"""),"CloseSimulator")</f>
        <v>CloseSimulator</v>
      </c>
      <c r="C421" s="0" t="str">
        <f>IFERROR(__xludf.DUMMYFUNCTION("""COMPUTED_VALUE"""),"Undefined")</f>
        <v>Undefined</v>
      </c>
    </row>
    <row r="422" ht="15.75" customHeight="1">
      <c r="A422" s="0" t="str">
        <f>IFERROR(__xludf.DUMMYFUNCTION("""COMPUTED_VALUE"""),"GeneralLedger")</f>
        <v>GeneralLedger</v>
      </c>
      <c r="B422" s="0" t="str">
        <f>IFERROR(__xludf.DUMMYFUNCTION("""COMPUTED_VALUE"""),"VerifyCashTransaction")</f>
        <v>VerifyCashTransaction</v>
      </c>
      <c r="C422" s="0" t="str">
        <f>IFERROR(__xludf.DUMMYFUNCTION("""COMPUTED_VALUE"""),"1Urp2F7pMdEwHLyPetR0SnA22v2OTvsTN73e1Eyzzg08")</f>
        <v>1Urp2F7pMdEwHLyPetR0SnA22v2OTvsTN73e1Eyzzg08</v>
      </c>
    </row>
    <row r="423" ht="15.75" customHeight="1">
      <c r="A423" s="0" t="str">
        <f>IFERROR(__xludf.DUMMYFUNCTION("""COMPUTED_VALUE"""),"Rebalancer")</f>
        <v>Rebalancer</v>
      </c>
      <c r="B423" s="0" t="str">
        <f>IFERROR(__xludf.DUMMYFUNCTION("""COMPUTED_VALUE"""),"ModelPortfolio")</f>
        <v>ModelPortfolio</v>
      </c>
      <c r="C423" s="0" t="str">
        <f>IFERROR(__xludf.DUMMYFUNCTION("""COMPUTED_VALUE"""),"1BbwKnMbWwdBYCEpdFconwZ_xILH2kPX-Qj3vt8xntk8")</f>
        <v>1BbwKnMbWwdBYCEpdFconwZ_xILH2kPX-Qj3vt8xntk8</v>
      </c>
    </row>
    <row r="424" ht="15.75" customHeight="1">
      <c r="A424" s="0" t="str">
        <f>IFERROR(__xludf.DUMMYFUNCTION("""COMPUTED_VALUE"""),"DailyValuation")</f>
        <v>DailyValuation</v>
      </c>
      <c r="B424" s="0" t="str">
        <f>IFERROR(__xludf.DUMMYFUNCTION("""COMPUTED_VALUE"""),"VerifyDailyCash")</f>
        <v>VerifyDailyCash</v>
      </c>
      <c r="C424" s="0" t="str">
        <f>IFERROR(__xludf.DUMMYFUNCTION("""COMPUTED_VALUE"""),"1p7JeAcaHVG_A1SPdHgM-evd78CkJgoJkRTeDWckd4RI")</f>
        <v>1p7JeAcaHVG_A1SPdHgM-evd78CkJgoJkRTeDWckd4RI</v>
      </c>
    </row>
    <row r="425" ht="15.75" customHeight="1">
      <c r="A425" s="0" t="str">
        <f>IFERROR(__xludf.DUMMYFUNCTION("""COMPUTED_VALUE"""),"Admin")</f>
        <v>Admin</v>
      </c>
      <c r="B425" s="0" t="str">
        <f>IFERROR(__xludf.DUMMYFUNCTION("""COMPUTED_VALUE"""),"SetCheckSide")</f>
        <v>SetCheckSide</v>
      </c>
      <c r="C425" s="0" t="str">
        <f>IFERROR(__xludf.DUMMYFUNCTION("""COMPUTED_VALUE"""),"1LLz3d9Ay0qFO2Tla_12_h2xvLhss_jI9DSuQFTlU_-4")</f>
        <v>1LLz3d9Ay0qFO2Tla_12_h2xvLhss_jI9DSuQFTlU_-4</v>
      </c>
    </row>
    <row r="426" ht="15.75" customHeight="1">
      <c r="A426" s="0" t="str">
        <f>IFERROR(__xludf.DUMMYFUNCTION("""COMPUTED_VALUE"""),"CorporateAction")</f>
        <v>CorporateAction</v>
      </c>
      <c r="B426" s="0" t="str">
        <f>IFERROR(__xludf.DUMMYFUNCTION("""COMPUTED_VALUE"""),"OpenSpinOff")</f>
        <v>OpenSpinOff</v>
      </c>
      <c r="C426" s="0" t="str">
        <f>IFERROR(__xludf.DUMMYFUNCTION("""COMPUTED_VALUE"""),"1U-BRH15bKLYYFZT4KsAnHYfSvzq2OYUbyJ1Q899SsZo")</f>
        <v>1U-BRH15bKLYYFZT4KsAnHYfSvzq2OYUbyJ1Q899SsZo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IFERROR(__xludf.DUMMYFUNCTION("""COMPUTED_VALUE"""),"VerifyAndApplyCorpAction")</f>
        <v>VerifyAndApplyCorpAction</v>
      </c>
      <c r="C427" s="0" t="str">
        <f>IFERROR(__xludf.DUMMYFUNCTION("""COMPUTED_VALUE"""),"1AigkCEPlVCiWI2_hOeywoNapLN_03Q3acTp_JCEFIOQ")</f>
        <v>1AigkCEPlVCiWI2_hOeywoNapLN_03Q3acTp_JCEFIOQ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IFERROR(__xludf.DUMMYFUNCTION("""COMPUTED_VALUE"""),"VerifyAndSaveCorpAction")</f>
        <v>VerifyAndSaveCorpAction</v>
      </c>
      <c r="C428" s="0" t="str">
        <f>IFERROR(__xludf.DUMMYFUNCTION("""COMPUTED_VALUE"""),"1C7e-MCh1gT21XsWE5Tb7VqU31f42EtVA62RnW2VwOPQ")</f>
        <v>1C7e-MCh1gT21XsWE5Tb7VqU31f42EtVA62RnW2VwOPQ</v>
      </c>
    </row>
    <row r="429" ht="15.75" customHeight="1">
      <c r="A429" s="0" t="str">
        <f>IFERROR(__xludf.DUMMYFUNCTION("""COMPUTED_VALUE"""),"Allocation")</f>
        <v>Allocation</v>
      </c>
      <c r="B429" s="0" t="str">
        <f>IFERROR(__xludf.DUMMYFUNCTION("""COMPUTED_VALUE"""),"DisableChecksideForAsset")</f>
        <v>DisableChecksideForAsset</v>
      </c>
      <c r="C429" s="0" t="str">
        <f>IFERROR(__xludf.DUMMYFUNCTION("""COMPUTED_VALUE"""),"1RfBjyCTLzPEw44vo9RFEbPNENo_b3MvJETDgJ_nbkSM")</f>
        <v>1RfBjyCTLzPEw44vo9RFEbPNENo_b3MvJETDgJ_nbkSM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IFERROR(__xludf.DUMMYFUNCTION("""COMPUTED_VALUE"""),"DisableChecksideForAccount")</f>
        <v>DisableChecksideForAccount</v>
      </c>
      <c r="C430" s="0" t="str">
        <f>IFERROR(__xludf.DUMMYFUNCTION("""COMPUTED_VALUE"""),"11m6ioGVfQ91nl6h-xQws9I_OKyCH0bSRW5XRwmAkUaI")</f>
        <v>11m6ioGVfQ91nl6h-xQws9I_OKyCH0bSRW5XRwmAkUaI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IFERROR(__xludf.DUMMYFUNCTION("""COMPUTED_VALUE"""),"DisableChecksideForCounterParty")</f>
        <v>DisableChecksideForCounterParty</v>
      </c>
      <c r="C431" s="0" t="str">
        <f>IFERROR(__xludf.DUMMYFUNCTION("""COMPUTED_VALUE"""),"1y3920luel_XKEL-2MDmGAmxE3KlfO7vibX7k3zEiD9Q")</f>
        <v>1y3920luel_XKEL-2MDmGAmxE3KlfO7vibX7k3zEiD9Q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IFERROR(__xludf.DUMMYFUNCTION("""COMPUTED_VALUE"""),"DisableCheckside")</f>
        <v>DisableCheckside</v>
      </c>
      <c r="C432" s="0" t="str">
        <f>IFERROR(__xludf.DUMMYFUNCTION("""COMPUTED_VALUE"""),"1h5qvpgDwc493Hj-H0wWhM1iGSyxbWrc_X9wqtwjDzjw")</f>
        <v>1h5qvpgDwc493Hj-H0wWhM1iGSyxbWrc_X9wqtwjDzjw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IFERROR(__xludf.DUMMYFUNCTION("""COMPUTED_VALUE"""),"ApplyMasterFundFilter")</f>
        <v>ApplyMasterFundFilter</v>
      </c>
      <c r="C433" s="0" t="str">
        <f>IFERROR(__xludf.DUMMYFUNCTION("""COMPUTED_VALUE"""),"1T-KlzOWiZhplDNh7jZx1mhTu8M9hH3oMPjY-e5YW0xo")</f>
        <v>1T-KlzOWiZhplDNh7jZx1mhTu8M9hH3oMPjY-e5YW0xo</v>
      </c>
    </row>
    <row r="434" ht="15.75" customHeight="1">
      <c r="A434" s="0" t="str">
        <f>IFERROR(__xludf.DUMMYFUNCTION("""COMPUTED_VALUE"""),"TradingTicket")</f>
        <v>TradingTicket</v>
      </c>
      <c r="B434" s="0" t="str">
        <f>IFERROR(__xludf.DUMMYFUNCTION("""COMPUTED_VALUE"""),"UpdateMasterFundOnTT")</f>
        <v>UpdateMasterFundOnTT</v>
      </c>
      <c r="C434" s="0" t="str">
        <f>IFERROR(__xludf.DUMMYFUNCTION("""COMPUTED_VALUE"""),"1N4y3bAhW2tDoINGw83G-QdXBeLDO0PKtGSW5-tKN3js")</f>
        <v>1N4y3bAhW2tDoINGw83G-QdXBeLDO0PKtGSW5-tKN3js</v>
      </c>
    </row>
    <row r="435" ht="15.75" customHeight="1">
      <c r="A435" s="0" t="str">
        <f>IFERROR(__xludf.DUMMYFUNCTION("""COMPUTED_VALUE"""),"Allocation")</f>
        <v>Allocation</v>
      </c>
      <c r="B435" s="0" t="str">
        <f>IFERROR(__xludf.DUMMYFUNCTION("""COMPUTED_VALUE"""),"ShowMasterFundOnTT")</f>
        <v>ShowMasterFundOnTT</v>
      </c>
      <c r="C435" s="0" t="str">
        <f>IFERROR(__xludf.DUMMYFUNCTION("""COMPUTED_VALUE"""),"1iwI9tV-bzTDjn_UTMv4g-Fow5pL0wNDuxL4_vgERgxw")</f>
        <v>1iwI9tV-bzTDjn_UTMv4g-Fow5pL0wNDuxL4_vgERgxw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IFERROR(__xludf.DUMMYFUNCTION("""COMPUTED_VALUE"""),"ShowMasterFundAsClient")</f>
        <v>ShowMasterFundAsClient</v>
      </c>
      <c r="C436" s="0" t="str">
        <f>IFERROR(__xludf.DUMMYFUNCTION("""COMPUTED_VALUE"""),"1HEkSiTQJoo7hAoCQeG1OliZY3I1tX5067K2-bEPpUxg")</f>
        <v>1HEkSiTQJoo7hAoCQeG1OliZY3I1tX5067K2-bEPpUxg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IFERROR(__xludf.DUMMYFUNCTION("""COMPUTED_VALUE"""),"SetBrokerAccountMapping")</f>
        <v>SetBrokerAccountMapping</v>
      </c>
      <c r="C437" s="0" t="str">
        <f>IFERROR(__xludf.DUMMYFUNCTION("""COMPUTED_VALUE"""),"1-jAH0BUHYr2W4UnUXp9EOBGtAxXgCqMhloL3-aVw-xA")</f>
        <v>1-jAH0BUHYr2W4UnUXp9EOBGtAxXgCqMhloL3-aVw-xA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IFERROR(__xludf.DUMMYFUNCTION("""COMPUTED_VALUE"""),"EditUnallocatedGridWPF")</f>
        <v>EditUnallocatedGridWPF</v>
      </c>
      <c r="C438" s="0" t="str">
        <f>IFERROR(__xludf.DUMMYFUNCTION("""COMPUTED_VALUE"""),"1WjO2793DSB3AexrCH-5fVAyD2T9Kn-TpIQtV-sN3fXM")</f>
        <v>1WjO2793DSB3AexrCH-5fVAyD2T9Kn-TpIQtV-sN3fXM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IFERROR(__xludf.DUMMYFUNCTION("""COMPUTED_VALUE"""),"EditAllocatedGridWPF")</f>
        <v>EditAllocatedGridWPF</v>
      </c>
      <c r="C439" s="0" t="str">
        <f>IFERROR(__xludf.DUMMYFUNCTION("""COMPUTED_VALUE"""),"1FZKuHmBcm_XpFiBPl_RDPdJ0LU4pfInz2KIRBirG4RA")</f>
        <v>1FZKuHmBcm_XpFiBPl_RDPdJ0LU4pfInz2KIRBirG4RA</v>
      </c>
    </row>
    <row r="440" ht="15.75" customHeight="1">
      <c r="A440" s="0" t="str">
        <f>IFERROR(__xludf.DUMMYFUNCTION("""COMPUTED_VALUE"""),"Admin")</f>
        <v>Admin</v>
      </c>
      <c r="B440" s="0" t="str">
        <f>IFERROR(__xludf.DUMMYFUNCTION("""COMPUTED_VALUE"""),"SetRollover")</f>
        <v>SetRollover</v>
      </c>
      <c r="C440" s="0" t="str">
        <f>IFERROR(__xludf.DUMMYFUNCTION("""COMPUTED_VALUE"""),"1IsN0Cfhu8GLrkUalboK5NrRy7btTAbLYUuekJ2Ma6Yg")</f>
        <v>1IsN0Cfhu8GLrkUalboK5NrRy7btTAbLYUuekJ2Ma6Yg</v>
      </c>
    </row>
    <row r="441" ht="15.75" customHeight="1">
      <c r="A441" s="0" t="str">
        <f>IFERROR(__xludf.DUMMYFUNCTION("""COMPUTED_VALUE"""),"Blotter")</f>
        <v>Blotter</v>
      </c>
      <c r="B441" s="0" t="str">
        <f>IFERROR(__xludf.DUMMYFUNCTION("""COMPUTED_VALUE"""),"VerifyRollover")</f>
        <v>VerifyRollover</v>
      </c>
      <c r="C441" s="0" t="str">
        <f>IFERROR(__xludf.DUMMYFUNCTION("""COMPUTED_VALUE"""),"1LK99kRJ1Jix1IHxif4J6qr7zVjtU8vqt4IThBtuOVf4")</f>
        <v>1LK99kRJ1Jix1IHxif4J6qr7zVjtU8vqt4IThBtuOVf4</v>
      </c>
    </row>
    <row r="442" ht="15.75" customHeight="1">
      <c r="A442" s="0" t="str">
        <f>IFERROR(__xludf.DUMMYFUNCTION("""COMPUTED_VALUE"""),"Allocation")</f>
        <v>Allocation</v>
      </c>
      <c r="B442" s="0" t="str">
        <f>IFERROR(__xludf.DUMMYFUNCTION("""COMPUTED_VALUE"""),"EditAllocatedGridTaxlot")</f>
        <v>EditAllocatedGridTaxlot</v>
      </c>
      <c r="C442" s="0" t="str">
        <f>IFERROR(__xludf.DUMMYFUNCTION("""COMPUTED_VALUE"""),"1BFSIhQB5TYAg8_M-Mo1tG8w-M1mRnNY_0PslvrGE6V0")</f>
        <v>1BFSIhQB5TYAg8_M-Mo1tG8w-M1mRnNY_0PslvrGE6V0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IFERROR(__xludf.DUMMYFUNCTION("""COMPUTED_VALUE"""),"ExpandCollapseAllocatedGrid")</f>
        <v>ExpandCollapseAllocatedGrid</v>
      </c>
      <c r="C443" s="0" t="str">
        <f>IFERROR(__xludf.DUMMYFUNCTION("""COMPUTED_VALUE"""),"1qQZFllfIgVu8YI6RYgRzVq7hDp1kHBoOsvq3lGCpsu0")</f>
        <v>1qQZFllfIgVu8YI6RYgRzVq7hDp1kHBoOsvq3lGCpsu0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IFERROR(__xludf.DUMMYFUNCTION("""COMPUTED_VALUE"""),"ExpandCollapseUnallocatedGrid")</f>
        <v>ExpandCollapseUnallocatedGrid</v>
      </c>
      <c r="C444" s="0" t="str">
        <f>IFERROR(__xludf.DUMMYFUNCTION("""COMPUTED_VALUE"""),"1UD0TjK90W_15S50XezLY8jX9yJZvWP_kzf3zvGKH6Lo")</f>
        <v>1UD0TjK90W_15S50XezLY8jX9yJZvWP_kzf3zvGKH6Lo</v>
      </c>
    </row>
    <row r="445" ht="15.75" customHeight="1">
      <c r="A445" s="0" t="str">
        <f>IFERROR(__xludf.DUMMYFUNCTION("""COMPUTED_VALUE"""),"Blotter")</f>
        <v>Blotter</v>
      </c>
      <c r="B445" s="0" t="str">
        <f>IFERROR(__xludf.DUMMYFUNCTION("""COMPUTED_VALUE"""),"VerifySubOrderAfterRollover")</f>
        <v>VerifySubOrderAfterRollover</v>
      </c>
      <c r="C445" s="0" t="str">
        <f>IFERROR(__xludf.DUMMYFUNCTION("""COMPUTED_VALUE"""),"1d2n7uTbGUAG0Fw_-hVLgvR5bPSacMCQFYb_9Aqwi25c")</f>
        <v>1d2n7uTbGUAG0Fw_-hVLgvR5bPSacMCQFYb_9Aqwi25c</v>
      </c>
    </row>
    <row r="446" ht="15.75" customHeight="1">
      <c r="A446" s="0" t="str">
        <f>IFERROR(__xludf.DUMMYFUNCTION("""COMPUTED_VALUE"""),"Import")</f>
        <v>Import</v>
      </c>
      <c r="B446" s="0" t="str">
        <f>IFERROR(__xludf.DUMMYFUNCTION("""COMPUTED_VALUE"""),"SelectTransactionImportType")</f>
        <v>SelectTransactionImportType</v>
      </c>
      <c r="C446" s="0" t="str">
        <f>IFERROR(__xludf.DUMMYFUNCTION("""COMPUTED_VALUE"""),"1Ug5aDJXZ2MYzdZjiy87TkbK0iURa_OwZ6nFZNhxoHGY")</f>
        <v>1Ug5aDJXZ2MYzdZjiy87TkbK0iURa_OwZ6nFZNhxoHGY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IFERROR(__xludf.DUMMYFUNCTION("""COMPUTED_VALUE"""),"SelectAllOnImport")</f>
        <v>SelectAllOnImport</v>
      </c>
      <c r="C447" s="0" t="str">
        <f>IFERROR(__xludf.DUMMYFUNCTION("""COMPUTED_VALUE"""),"15kH24bHLnChO_IakP1yWGQ4NHnPUcWr-qrx2hCLl0Rs")</f>
        <v>15kH24bHLnChO_IakP1yWGQ4NHnPUcWr-qrx2hCLl0Rs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IFERROR(__xludf.DUMMYFUNCTION("""COMPUTED_VALUE"""),"SelectMarkPriceImportType")</f>
        <v>SelectMarkPriceImportType</v>
      </c>
      <c r="C448" s="0" t="str">
        <f>IFERROR(__xludf.DUMMYFUNCTION("""COMPUTED_VALUE"""),"1u361oGPG-Jq-p0fQA91MqPpn9RXhbu_kuvkRTxMFWxM")</f>
        <v>1u361oGPG-Jq-p0fQA91MqPpn9RXhbu_kuvkRTxMFWxM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IFERROR(__xludf.DUMMYFUNCTION("""COMPUTED_VALUE"""),"SelectForexImportType")</f>
        <v>SelectForexImportType</v>
      </c>
      <c r="C449" s="0" t="str">
        <f>IFERROR(__xludf.DUMMYFUNCTION("""COMPUTED_VALUE"""),"1VuEhlxb0Ntlbh7FJ4BwgZpb9ydlc_jleqg7A8gRSuOE")</f>
        <v>1VuEhlxb0Ntlbh7FJ4BwgZpb9ydlc_jleqg7A8gRSuOE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IFERROR(__xludf.DUMMYFUNCTION("""COMPUTED_VALUE"""),"SelectDoubleEntryCashImportType")</f>
        <v>SelectDoubleEntryCashImportType</v>
      </c>
      <c r="C450" s="0" t="str">
        <f>IFERROR(__xludf.DUMMYFUNCTION("""COMPUTED_VALUE"""),"1w4_aAJj7RTcH4PfJ4aGD-0Fx9fQcCz5rUlLhFvihhzU")</f>
        <v>1w4_aAJj7RTcH4PfJ4aGD-0Fx9fQcCz5rUlLhFvihhzU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IFERROR(__xludf.DUMMYFUNCTION("""COMPUTED_VALUE"""),"SelectActivitiesImportType")</f>
        <v>SelectActivitiesImportType</v>
      </c>
      <c r="C451" s="0" t="str">
        <f>IFERROR(__xludf.DUMMYFUNCTION("""COMPUTED_VALUE"""),"1QRxHDbBMkMUkH0F8WiORPd2loUWwUte9XykaaWPOOig")</f>
        <v>1QRxHDbBMkMUkH0F8WiORPd2loUWwUte9XykaaWPOOig</v>
      </c>
    </row>
    <row r="452" ht="15.75" customHeight="1">
      <c r="A452" s="0" t="str">
        <f>IFERROR(__xludf.DUMMYFUNCTION("""COMPUTED_VALUE"""),"TradingTicket")</f>
        <v>TradingTicket</v>
      </c>
      <c r="B452" s="0" t="str">
        <f>IFERROR(__xludf.DUMMYFUNCTION("""COMPUTED_VALUE"""),"SetTTCompliancePreference")</f>
        <v>SetTTCompliancePreference</v>
      </c>
      <c r="C452" s="0" t="str">
        <f>IFERROR(__xludf.DUMMYFUNCTION("""COMPUTED_VALUE"""),"1gOOiQiJSKveyRw21YYv0m2VV5trx-l9sZqzNVA40Sc8")</f>
        <v>1gOOiQiJSKveyRw21YYv0m2VV5trx-l9sZqzNVA40Sc8</v>
      </c>
    </row>
    <row r="453" ht="15.75" customHeight="1">
      <c r="A453" s="0" t="str">
        <f>IFERROR(__xludf.DUMMYFUNCTION("""COMPUTED_VALUE"""),"Rebalancer")</f>
        <v>Rebalancer</v>
      </c>
      <c r="B453" s="0" t="str">
        <f>IFERROR(__xludf.DUMMYFUNCTION("""COMPUTED_VALUE"""),"LockandUnlockGridData")</f>
        <v>LockandUnlockGridData</v>
      </c>
      <c r="C453" s="0" t="str">
        <f>IFERROR(__xludf.DUMMYFUNCTION("""COMPUTED_VALUE"""),"1DO2kiuySeBrdw-FrV0IYgBcHEHdO56ih8X2yodtEv_w")</f>
        <v>1DO2kiuySeBrdw-FrV0IYgBcHEHdO56ih8X2yodtEv_w</v>
      </c>
    </row>
    <row r="454" ht="15.75" customHeight="1">
      <c r="A454" s="0" t="str">
        <f>IFERROR(__xludf.DUMMYFUNCTION("""COMPUTED_VALUE"""),"Allocation")</f>
        <v>Allocation</v>
      </c>
      <c r="B454" s="0" t="str">
        <f>IFERROR(__xludf.DUMMYFUNCTION("""COMPUTED_VALUE"""),"SetTradeAttributePreferences")</f>
        <v>SetTradeAttributePreferences</v>
      </c>
      <c r="C454" s="0" t="str">
        <f>IFERROR(__xludf.DUMMYFUNCTION("""COMPUTED_VALUE"""),"1dN2leQSssJt9dSc9XBrW1dbIBOLPLbP7aD2QXcqVoYI")</f>
        <v>1dN2leQSssJt9dSc9XBrW1dbIBOLPLbP7aD2QXcqVoYI</v>
      </c>
    </row>
    <row r="455" ht="15.75" customHeight="1">
      <c r="A455" s="0" t="str">
        <f>IFERROR(__xludf.DUMMYFUNCTION("""COMPUTED_VALUE"""),"GeneralLedger")</f>
        <v>GeneralLedger</v>
      </c>
      <c r="B455" s="0" t="str">
        <f>IFERROR(__xludf.DUMMYFUNCTION("""COMPUTED_VALUE"""),"VerifyAccountBalances")</f>
        <v>VerifyAccountBalances</v>
      </c>
      <c r="C455" s="0" t="str">
        <f>IFERROR(__xludf.DUMMYFUNCTION("""COMPUTED_VALUE"""),"1_Bb0NJhmEZf0GRznXLKybd9VevZ8za-sCX4G7B4qtsM")</f>
        <v>1_Bb0NJhmEZf0GRznXLKybd9VevZ8za-sCX4G7B4qtsM</v>
      </c>
    </row>
    <row r="456" ht="15.75" customHeight="1">
      <c r="A456" s="0" t="str">
        <f>IFERROR(__xludf.DUMMYFUNCTION("""COMPUTED_VALUE"""),"Rebalancer")</f>
        <v>Rebalancer</v>
      </c>
      <c r="B456" s="0" t="str">
        <f>IFERROR(__xludf.DUMMYFUNCTION("""COMPUTED_VALUE"""),"RefreshGridData")</f>
        <v>RefreshGridData</v>
      </c>
      <c r="C456" s="0" t="str">
        <f>IFERROR(__xludf.DUMMYFUNCTION("""COMPUTED_VALUE"""),"1eXT2UFbktlYGRbqw2LWDBJOU8xuu3DfP6EZDAMps2jg")</f>
        <v>1eXT2UFbktlYGRbqw2LWDBJOU8xuu3DfP6EZDAMps2jg</v>
      </c>
    </row>
    <row r="457" ht="15.75" customHeight="1">
      <c r="A457" s="0" t="str">
        <f>IFERROR(__xludf.DUMMYFUNCTION("""COMPUTED_VALUE"""),"GeneralLedger")</f>
        <v>GeneralLedger</v>
      </c>
      <c r="B457" s="0" t="str">
        <f>IFERROR(__xludf.DUMMYFUNCTION("""COMPUTED_VALUE"""),"AddMultipleOpeningBalTranItem")</f>
        <v>AddMultipleOpeningBalTranItem</v>
      </c>
      <c r="C457" s="0" t="str">
        <f>IFERROR(__xludf.DUMMYFUNCTION("""COMPUTED_VALUE"""),"11A7t3ReNCtqF9GmtCIeyqSvuLyXTOIz6Z7rrR1rcLxU")</f>
        <v>11A7t3ReNCtqF9GmtCIeyqSvuLyXTOIz6Z7rrR1rcLxU</v>
      </c>
    </row>
    <row r="458" ht="15.75" customHeight="1">
      <c r="A458" s="0" t="str">
        <f>IFERROR(__xludf.DUMMYFUNCTION("""COMPUTED_VALUE"""),"Import")</f>
        <v>Import</v>
      </c>
      <c r="B458" s="0" t="str">
        <f>IFERROR(__xludf.DUMMYFUNCTION("""COMPUTED_VALUE"""),"ApplyFilterOnImport")</f>
        <v>ApplyFilterOnImport</v>
      </c>
      <c r="C458" s="0" t="str">
        <f>IFERROR(__xludf.DUMMYFUNCTION("""COMPUTED_VALUE"""),"1X_Y_CvwjwEfeRv6rV15vWdCxvbtSeiwVqa6n3rAtKrs")</f>
        <v>1X_Y_CvwjwEfeRv6rV15vWdCxvbtSeiwVqa6n3rAtKrs</v>
      </c>
    </row>
    <row r="459" ht="15.75" customHeight="1">
      <c r="A459" s="0" t="str">
        <f>IFERROR(__xludf.DUMMYFUNCTION("""COMPUTED_VALUE"""),"Rebalancer")</f>
        <v>Rebalancer</v>
      </c>
      <c r="B459" s="0" t="str">
        <f>IFERROR(__xludf.DUMMYFUNCTION("""COMPUTED_VALUE"""),"SendtoStaging")</f>
        <v>SendtoStaging</v>
      </c>
      <c r="C459" s="0" t="str">
        <f>IFERROR(__xludf.DUMMYFUNCTION("""COMPUTED_VALUE"""),"1Xnuh_Wo19bTeQK24IGGha1PcZfjhUkK-31O4OTo-8gk")</f>
        <v>1Xnuh_Wo19bTeQK24IGGha1PcZfjhUkK-31O4OTo-8gk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IFERROR(__xludf.DUMMYFUNCTION("""COMPUTED_VALUE"""),"SendToStagingExport")</f>
        <v>SendToStagingExport</v>
      </c>
      <c r="C460" s="0" t="str">
        <f>IFERROR(__xludf.DUMMYFUNCTION("""COMPUTED_VALUE"""),"1OPD3lVtYSDe_XHE5HwEohhSSru0N2Ct-tsJMahW36gA")</f>
        <v>1OPD3lVtYSDe_XHE5HwEohhSSru0N2Ct-tsJMahW36gA</v>
      </c>
    </row>
    <row r="461" ht="15.75" customHeight="1">
      <c r="A461" s="0" t="str">
        <f>IFERROR(__xludf.DUMMYFUNCTION("""COMPUTED_VALUE"""),"PTT")</f>
        <v>PTT</v>
      </c>
      <c r="B461" s="0" t="str">
        <f>IFERROR(__xludf.DUMMYFUNCTION("""COMPUTED_VALUE"""),"SetDefaultSymbology")</f>
        <v>SetDefaultSymbology</v>
      </c>
      <c r="C461" s="0" t="str">
        <f>IFERROR(__xludf.DUMMYFUNCTION("""COMPUTED_VALUE"""),"1KdWYL-9o3T_s8hnOZgoqVlgZifoowhBftf1dB8UUEjA")</f>
        <v>1KdWYL-9o3T_s8hnOZgoqVlgZifoowhBftf1dB8UUEjA</v>
      </c>
    </row>
    <row r="462" ht="15.75" customHeight="1">
      <c r="A462" s="0" t="str">
        <f>IFERROR(__xludf.DUMMYFUNCTION("""COMPUTED_VALUE"""),"Allocation")</f>
        <v>Allocation</v>
      </c>
      <c r="B462" s="0" t="str">
        <f>IFERROR(__xludf.DUMMYFUNCTION("""COMPUTED_VALUE"""),"EnterCustomAllocatePreference")</f>
        <v>EnterCustomAllocatePreference</v>
      </c>
      <c r="C462" s="0" t="str">
        <f>IFERROR(__xludf.DUMMYFUNCTION("""COMPUTED_VALUE"""),"1kexOrwBiHtqG3kWPF004vh7Uh_fsxYODz7FwJELyxHs")</f>
        <v>1kexOrwBiHtqG3kWPF004vh7Uh_fsxYODz7FwJELyxHs</v>
      </c>
    </row>
    <row r="463" ht="15.75" customHeight="1">
      <c r="A463" s="0" t="str">
        <f>IFERROR(__xludf.DUMMYFUNCTION("""COMPUTED_VALUE"""),"PTT")</f>
        <v>PTT</v>
      </c>
      <c r="B463" s="0" t="str">
        <f>IFERROR(__xludf.DUMMYFUNCTION("""COMPUTED_VALUE"""),"EditPTTAccountLevelWPF")</f>
        <v>EditPTTAccountLevelWPF</v>
      </c>
      <c r="C463" s="0" t="str">
        <f>IFERROR(__xludf.DUMMYFUNCTION("""COMPUTED_VALUE"""),"1FOz3pvVXQqHqNaQZoj1ZAwoakpNcXbTzmGBaHQHWAHg")</f>
        <v>1FOz3pvVXQqHqNaQZoj1ZAwoakpNcXbTzmGBaHQHWAHg</v>
      </c>
    </row>
    <row r="464" ht="15.75" customHeight="1">
      <c r="A464" s="0" t="str">
        <f>IFERROR(__xludf.DUMMYFUNCTION("""COMPUTED_VALUE"""),"PortfolioManagement")</f>
        <v>PortfolioManagement</v>
      </c>
      <c r="B464" s="0" t="str">
        <f>IFERROR(__xludf.DUMMYFUNCTION("""COMPUTED_VALUE"""),"OpenCreateTransactionFromPM")</f>
        <v>OpenCreateTransactionFromPM</v>
      </c>
      <c r="C464" s="0" t="str">
        <f>IFERROR(__xludf.DUMMYFUNCTION("""COMPUTED_VALUE"""),"1P5WpmZxUJFZHJeXXrd3NNkBg8pOhlyvhikvYTRi0xJw")</f>
        <v>1P5WpmZxUJFZHJeXXrd3NNkBg8pOhlyvhikvYTRi0xJw</v>
      </c>
    </row>
    <row r="465" ht="15.75" customHeight="1">
      <c r="A465" s="0" t="str">
        <f>IFERROR(__xludf.DUMMYFUNCTION("""COMPUTED_VALUE"""),"Allocation")</f>
        <v>Allocation</v>
      </c>
      <c r="B465" s="0" t="str">
        <f>IFERROR(__xludf.DUMMYFUNCTION("""COMPUTED_VALUE"""),"SetAutoGroupingPreferences")</f>
        <v>SetAutoGroupingPreferences</v>
      </c>
      <c r="C465" s="0" t="str">
        <f>IFERROR(__xludf.DUMMYFUNCTION("""COMPUTED_VALUE"""),"1AhbrxQBzlUvYhZ04Lc7wrtynsHI_0KCLcf8QD3l6tpk")</f>
        <v>1AhbrxQBzlUvYhZ04Lc7wrtynsHI_0KCLcf8QD3l6tpk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IFERROR(__xludf.DUMMYFUNCTION("""COMPUTED_VALUE"""),"SetAutoGroupingAccount")</f>
        <v>SetAutoGroupingAccount</v>
      </c>
      <c r="C466" s="0" t="str">
        <f>IFERROR(__xludf.DUMMYFUNCTION("""COMPUTED_VALUE"""),"18esH6GBNz1-GV7-ZFJ2hX2Sp9V56SlvmGczGBmWjjgk")</f>
        <v>18esH6GBNz1-GV7-ZFJ2hX2Sp9V56SlvmGczGBmWjjgk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IFERROR(__xludf.DUMMYFUNCTION("""COMPUTED_VALUE"""),"SetAvgPriceRounding")</f>
        <v>SetAvgPriceRounding</v>
      </c>
      <c r="C467" s="0" t="str">
        <f>IFERROR(__xludf.DUMMYFUNCTION("""COMPUTED_VALUE"""),"1rkw9xlq4Ee01gKbFKqk4K6RIEIEZdOXtofMrjBh_3qs")</f>
        <v>1rkw9xlq4Ee01gKbFKqk4K6RIEIEZdOXtofMrjBh_3qs</v>
      </c>
    </row>
    <row r="468" ht="15.75" customHeight="1">
      <c r="A468" s="0" t="str">
        <f>IFERROR(__xludf.DUMMYFUNCTION("""COMPUTED_VALUE"""),"Admin")</f>
        <v>Admin</v>
      </c>
      <c r="B468" s="0" t="str">
        <f>IFERROR(__xludf.DUMMYFUNCTION("""COMPUTED_VALUE"""),"SetActive")</f>
        <v>SetActive</v>
      </c>
      <c r="C468" s="0" t="str">
        <f>IFERROR(__xludf.DUMMYFUNCTION("""COMPUTED_VALUE"""),"1gUu6sYSTqVEyjUlOCoeeIVztfrHW4NwiHtVAghjPiO0")</f>
        <v>1gUu6sYSTqVEyjUlOCoeeIVztfrHW4NwiHtVAghjPiO0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IFERROR(__xludf.DUMMYFUNCTION("""COMPUTED_VALUE"""),"SetThirdPartyFormat")</f>
        <v>SetThirdPartyFormat</v>
      </c>
      <c r="C469" s="0" t="str">
        <f>IFERROR(__xludf.DUMMYFUNCTION("""COMPUTED_VALUE"""),"1taVilha9wCvlWWrWySxYHIg1IUM3Js0xeAEsGXu1wb4")</f>
        <v>1taVilha9wCvlWWrWySxYHIg1IUM3Js0xeAEsGXu1wb4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IFERROR(__xludf.DUMMYFUNCTION("""COMPUTED_VALUE"""),"UpdateRoundLot")</f>
        <v>UpdateRoundLot</v>
      </c>
      <c r="C470" s="0" t="str">
        <f>IFERROR(__xludf.DUMMYFUNCTION("""COMPUTED_VALUE"""),"1vPyYrDAjwQJe-gHSwofvAmZ5sGU32BIPiqw9QJOb7sE")</f>
        <v>1vPyYrDAjwQJe-gHSwofvAmZ5sGU32BIPiqw9QJOb7sE</v>
      </c>
    </row>
    <row r="471" ht="15.75" customHeight="1">
      <c r="A471" s="0" t="str">
        <f>IFERROR(__xludf.DUMMYFUNCTION("""COMPUTED_VALUE"""),"Rebalancer")</f>
        <v>Rebalancer</v>
      </c>
      <c r="B471" s="0" t="str">
        <f>IFERROR(__xludf.DUMMYFUNCTION("""COMPUTED_VALUE"""),"RebalanceViaBloomberg")</f>
        <v>RebalanceViaBloomberg</v>
      </c>
      <c r="C471" s="0" t="str">
        <f>IFERROR(__xludf.DUMMYFUNCTION("""COMPUTED_VALUE"""),"1b_5w3PXwhAeh_pAkVMhtUU4Bo19ZrhM2By_3wd6TgrU")</f>
        <v>1b_5w3PXwhAeh_pAkVMhtUU4Bo19ZrhM2By_3wd6TgrU</v>
      </c>
    </row>
    <row r="472" ht="15.75" customHeight="1">
      <c r="A472" s="0" t="str">
        <f>IFERROR(__xludf.DUMMYFUNCTION("""COMPUTED_VALUE"""),"ThirdParty")</f>
        <v>ThirdParty</v>
      </c>
      <c r="B472" s="0" t="str">
        <f>IFERROR(__xludf.DUMMYFUNCTION("""COMPUTED_VALUE"""),"RefreshThirdParty")</f>
        <v>RefreshThirdParty</v>
      </c>
      <c r="C472" s="0" t="str">
        <f>IFERROR(__xludf.DUMMYFUNCTION("""COMPUTED_VALUE"""),"1_zhn88q1H87WPtNgcDXU0tgtHx0YBJLMCcYxzXXroVs")</f>
        <v>1_zhn88q1H87WPtNgcDXU0tgtHx0YBJLMCcYxzXXroVs</v>
      </c>
    </row>
    <row r="473" ht="15.75" customHeight="1">
      <c r="A473" s="0" t="str">
        <f>IFERROR(__xludf.DUMMYFUNCTION("""COMPUTED_VALUE"""),"Rebalancer")</f>
        <v>Rebalancer</v>
      </c>
      <c r="B473" s="0" t="str">
        <f>IFERROR(__xludf.DUMMYFUNCTION("""COMPUTED_VALUE"""),"AddUserAdjustedNAV")</f>
        <v>AddUserAdjustedNAV</v>
      </c>
      <c r="C473" s="0" t="str">
        <f>IFERROR(__xludf.DUMMYFUNCTION("""COMPUTED_VALUE"""),"1ifdh8xwjLpytsTG8bbxfIam9ZdqvEHGM-CzxVYGEXIs")</f>
        <v>1ifdh8xwjLpytsTG8bbxfIam9ZdqvEHGM-CzxVYGEXIs</v>
      </c>
    </row>
    <row r="474" ht="15.75" customHeight="1">
      <c r="A474" s="0" t="str">
        <f>IFERROR(__xludf.DUMMYFUNCTION("""COMPUTED_VALUE"""),"Allocation")</f>
        <v>Allocation</v>
      </c>
      <c r="B474" s="0" t="str">
        <f>IFERROR(__xludf.DUMMYFUNCTION("""COMPUTED_VALUE"""),"IsAllocationOpen")</f>
        <v>IsAllocationOpen</v>
      </c>
      <c r="C474" s="0" t="str">
        <f>IFERROR(__xludf.DUMMYFUNCTION("""COMPUTED_VALUE"""),"1-MLs_Ww619D0GTJenhKi8JspiyKlENvHCAfkc99ZDXk")</f>
        <v>1-MLs_Ww619D0GTJenhKi8JspiyKlENvHCAfkc99ZDXk</v>
      </c>
    </row>
    <row r="475" ht="15.75" customHeight="1">
      <c r="A475" s="0" t="str">
        <f>IFERROR(__xludf.DUMMYFUNCTION("""COMPUTED_VALUE"""),"ShortLocate")</f>
        <v>ShortLocate</v>
      </c>
      <c r="B475" s="0" t="str">
        <f>IFERROR(__xludf.DUMMYFUNCTION("""COMPUTED_VALUE"""),"ImportOnShortLocate")</f>
        <v>ImportOnShortLocate</v>
      </c>
      <c r="C475" s="0" t="str">
        <f>IFERROR(__xludf.DUMMYFUNCTION("""COMPUTED_VALUE"""),"18TtTrIfDPZ4FY6y6BEM1QWT6a3RezlV2Qgs0VYjta1Y")</f>
        <v>18TtTrIfDPZ4FY6y6BEM1QWT6a3RezlV2Qgs0VYjta1Y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IFERROR(__xludf.DUMMYFUNCTION("""COMPUTED_VALUE"""),"ApplyFilterOnShortLocate")</f>
        <v>ApplyFilterOnShortLocate</v>
      </c>
      <c r="C476" s="0" t="str">
        <f>IFERROR(__xludf.DUMMYFUNCTION("""COMPUTED_VALUE"""),"1e-EcYLjI4QLWe-aVZQLSs4AE3HMdDde42AK_ilP7W14")</f>
        <v>1e-EcYLjI4QLWe-aVZQLSs4AE3HMdDde42AK_ilP7W14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IFERROR(__xludf.DUMMYFUNCTION("""COMPUTED_VALUE"""),"OpenTTFromShortLocate")</f>
        <v>OpenTTFromShortLocate</v>
      </c>
      <c r="C477" s="0" t="str">
        <f>IFERROR(__xludf.DUMMYFUNCTION("""COMPUTED_VALUE"""),"1uHiyIq7-VOPV7W3fHIxv6wpgB0bdb_j-j33CMdKoHG8")</f>
        <v>1uHiyIq7-VOPV7W3fHIxv6wpgB0bdb_j-j33CMdKoHG8</v>
      </c>
    </row>
    <row r="478" ht="15.75" customHeight="1">
      <c r="A478" s="0" t="str">
        <f>IFERROR(__xludf.DUMMYFUNCTION("""COMPUTED_VALUE"""),"PortfolioManagement")</f>
        <v>PortfolioManagement</v>
      </c>
      <c r="B478" s="0" t="str">
        <f>IFERROR(__xludf.DUMMYFUNCTION("""COMPUTED_VALUE"""),"RemoveGroupingFromPM")</f>
        <v>RemoveGroupingFromPM</v>
      </c>
      <c r="C478" s="0" t="str">
        <f>IFERROR(__xludf.DUMMYFUNCTION("""COMPUTED_VALUE"""),"1a2knGiql1wCzuaB8DKpd6ZNGZ4PU78GHbVc-HCTMRz4")</f>
        <v>1a2knGiql1wCzuaB8DKpd6ZNGZ4PU78GHbVc-HCTMRz4</v>
      </c>
    </row>
    <row r="479" ht="15.75" customHeight="1">
      <c r="A479" s="0" t="str">
        <f>IFERROR(__xludf.DUMMYFUNCTION("""COMPUTED_VALUE"""),"Watchlist")</f>
        <v>Watchlist</v>
      </c>
      <c r="B479" s="0" t="str">
        <f>IFERROR(__xludf.DUMMYFUNCTION("""COMPUTED_VALUE"""),"AddTabOnWatchlist")</f>
        <v>AddTabOnWatchlist</v>
      </c>
      <c r="C479" s="0" t="str">
        <f>IFERROR(__xludf.DUMMYFUNCTION("""COMPUTED_VALUE"""),"1azJ9v2w7AwJhl_0_bAUZne2G_SFJMuLBPzq7954262s")</f>
        <v>1azJ9v2w7AwJhl_0_bAUZne2G_SFJMuLBPzq7954262s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IFERROR(__xludf.DUMMYFUNCTION("""COMPUTED_VALUE"""),"DeleteTabOnWatchlist")</f>
        <v>DeleteTabOnWatchlist</v>
      </c>
      <c r="C480" s="0" t="str">
        <f>IFERROR(__xludf.DUMMYFUNCTION("""COMPUTED_VALUE"""),"1dywOfaMeYMgLGbyodr_rgJqA7HdxAyRDvqwTgOr_FV8")</f>
        <v>1dywOfaMeYMgLGbyodr_rgJqA7HdxAyRDvqwTgOr_FV8</v>
      </c>
    </row>
    <row r="481" ht="15.75" customHeight="1">
      <c r="A481" s="0" t="str">
        <f>IFERROR(__xludf.DUMMYFUNCTION("""COMPUTED_VALUE"""),"ShortLocate")</f>
        <v>ShortLocate</v>
      </c>
      <c r="B481" s="0" t="str">
        <f>IFERROR(__xludf.DUMMYFUNCTION("""COMPUTED_VALUE"""),"Upload")</f>
        <v>Upload</v>
      </c>
      <c r="C481" s="0" t="str">
        <f>IFERROR(__xludf.DUMMYFUNCTION("""COMPUTED_VALUE"""),"1K3403vK5pLvuvcWTXHu1UmgT1GohIYz7DPLRQAD0HCk")</f>
        <v>1K3403vK5pLvuvcWTXHu1UmgT1GohIYz7DPLRQAD0HCk</v>
      </c>
    </row>
    <row r="482" ht="15.75" customHeight="1">
      <c r="A482" s="0" t="str">
        <f>IFERROR(__xludf.DUMMYFUNCTION("""COMPUTED_VALUE"""),"Recon")</f>
        <v>Recon</v>
      </c>
      <c r="B482" s="0" t="str">
        <f>IFERROR(__xludf.DUMMYFUNCTION("""COMPUTED_VALUE"""),"ViewDataOnRecon")</f>
        <v>ViewDataOnRecon</v>
      </c>
      <c r="C482" s="0" t="str">
        <f>IFERROR(__xludf.DUMMYFUNCTION("""COMPUTED_VALUE"""),"1hgvmb7xlOL1LeDD1_c2ehf_CcTQs-NVEQcrj52EgfkY")</f>
        <v>1hgvmb7xlOL1LeDD1_c2ehf_CcTQs-NVEQcrj52EgfkY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IFERROR(__xludf.DUMMYFUNCTION("""COMPUTED_VALUE"""),"RunRecon")</f>
        <v>RunRecon</v>
      </c>
      <c r="C483" s="0" t="str">
        <f>IFERROR(__xludf.DUMMYFUNCTION("""COMPUTED_VALUE"""),"1a_lIF-yQ_4BbBIj3H4E_Sa208tyBml3azCVHLulXbZA")</f>
        <v>1a_lIF-yQ_4BbBIj3H4E_Sa208tyBml3azCVHLulXbZA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IFERROR(__xludf.DUMMYFUNCTION("""COMPUTED_VALUE"""),"GenerateExceptionReport")</f>
        <v>GenerateExceptionReport</v>
      </c>
      <c r="C484" s="0" t="str">
        <f>IFERROR(__xludf.DUMMYFUNCTION("""COMPUTED_VALUE"""),"1hLXxcwsJweMSg5Go7Aa_QZphxBktbdPjlASa0S1xBos")</f>
        <v>1hLXxcwsJweMSg5Go7Aa_QZphxBktbdPjlASa0S1xBos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IFERROR(__xludf.DUMMYFUNCTION("""COMPUTED_VALUE"""),"ImportDataOnRecon")</f>
        <v>ImportDataOnRecon</v>
      </c>
      <c r="C485" s="0" t="str">
        <f>IFERROR(__xludf.DUMMYFUNCTION("""COMPUTED_VALUE"""),"1NPXdEV4aauKt592s3ZSJRLqkCido8G_bhh0amZ9aT9g")</f>
        <v>1NPXdEV4aauKt592s3ZSJRLqkCido8G_bhh0amZ9aT9g</v>
      </c>
    </row>
    <row r="486" ht="15.75" customHeight="1">
      <c r="A486" s="0" t="str">
        <f>IFERROR(__xludf.DUMMYFUNCTION("""COMPUTED_VALUE"""),"ShortLocate")</f>
        <v>ShortLocate</v>
      </c>
      <c r="B486" s="0" t="str">
        <f>IFERROR(__xludf.DUMMYFUNCTION("""COMPUTED_VALUE"""),"VerifyShortLocateGrid")</f>
        <v>VerifyShortLocateGrid</v>
      </c>
      <c r="C486" s="0" t="str">
        <f>IFERROR(__xludf.DUMMYFUNCTION("""COMPUTED_VALUE"""),"1l0BuHlCc_a8ajF2i2LyuIx-ihrOOGibGtDl3YzOfSEY")</f>
        <v>1l0BuHlCc_a8ajF2i2LyuIx-ihrOOGibGtDl3YzOfSEY</v>
      </c>
    </row>
    <row r="487" ht="15.75" customHeight="1">
      <c r="A487" s="0" t="str">
        <f>IFERROR(__xludf.DUMMYFUNCTION("""COMPUTED_VALUE"""),"Recon")</f>
        <v>Recon</v>
      </c>
      <c r="B487" s="0" t="str">
        <f>IFERROR(__xludf.DUMMYFUNCTION("""COMPUTED_VALUE"""),"VerifyApplicationData")</f>
        <v>VerifyApplicationData</v>
      </c>
      <c r="C487" s="0" t="str">
        <f>IFERROR(__xludf.DUMMYFUNCTION("""COMPUTED_VALUE"""),"1Dpr8WIv6TDBK0rxjxSy_MqWbkp0VcPh0dzzq05jelwk")</f>
        <v>1Dpr8WIv6TDBK0rxjxSy_MqWbkp0VcPh0dzzq05jelwk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IFERROR(__xludf.DUMMYFUNCTION("""COMPUTED_VALUE"""),"VerifyExceptionReport")</f>
        <v>VerifyExceptionReport</v>
      </c>
      <c r="C488" s="0" t="str">
        <f>IFERROR(__xludf.DUMMYFUNCTION("""COMPUTED_VALUE"""),"1vn6eAU_TNbjFlzAIJE-M1vn49jstJpRKNVt1ALlVQus")</f>
        <v>1vn6eAU_TNbjFlzAIJE-M1vn49jstJpRKNVt1ALlVQus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IFERROR(__xludf.DUMMYFUNCTION("""COMPUTED_VALUE"""),"VerifyPrimeBrokerData")</f>
        <v>VerifyPrimeBrokerData</v>
      </c>
      <c r="C489" s="0" t="str">
        <f>IFERROR(__xludf.DUMMYFUNCTION("""COMPUTED_VALUE"""),"1vO08eQ3WtVgvFFa4m5QUSWEYmv1ZOhFWcta7Kzp1MBQ")</f>
        <v>1vO08eQ3WtVgvFFa4m5QUSWEYmv1ZOhFWcta7Kzp1MBQ</v>
      </c>
    </row>
    <row r="490" ht="15.75" customHeight="1">
      <c r="A490" s="0" t="str">
        <f>IFERROR(__xludf.DUMMYFUNCTION("""COMPUTED_VALUE"""),"Admin")</f>
        <v>Admin</v>
      </c>
      <c r="B490" s="0" t="str">
        <f>IFERROR(__xludf.DUMMYFUNCTION("""COMPUTED_VALUE"""),"SetTradingComplianceRules")</f>
        <v>SetTradingComplianceRules</v>
      </c>
      <c r="C490" s="0" t="str">
        <f>IFERROR(__xludf.DUMMYFUNCTION("""COMPUTED_VALUE"""),"1bIqD5onAh5fgPov8t1pUC5b4a9exQ5D7TG3YiT7HTiQ")</f>
        <v>1bIqD5onAh5fgPov8t1pUC5b4a9exQ5D7TG3YiT7HTiQ</v>
      </c>
    </row>
    <row r="491" ht="15.75" customHeight="1">
      <c r="A491" s="0" t="str">
        <f>IFERROR(__xludf.DUMMYFUNCTION("""COMPUTED_VALUE"""),"TradingTicket")</f>
        <v>TradingTicket</v>
      </c>
      <c r="B491" s="0" t="str">
        <f>IFERROR(__xludf.DUMMYFUNCTION("""COMPUTED_VALUE"""),"ImportSymbol")</f>
        <v>ImportSymbol</v>
      </c>
      <c r="C491" s="0" t="str">
        <f>IFERROR(__xludf.DUMMYFUNCTION("""COMPUTED_VALUE"""),"1oBs-bjVGuZxR8kCsLcXR9mY_XazhDhrpRb2xJaLqs_E")</f>
        <v>1oBs-bjVGuZxR8kCsLcXR9mY_XazhDhrpRb2xJaLqs_E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IFERROR(__xludf.DUMMYFUNCTION("""COMPUTED_VALUE"""),"ExportSymbolFromRAList")</f>
        <v>ExportSymbolFromRAList</v>
      </c>
      <c r="C492" s="0" t="str">
        <f>IFERROR(__xludf.DUMMYFUNCTION("""COMPUTED_VALUE"""),"1xtzuWBhZe0eLq8O7xxtzG82zLI_pS5mUV_moECZdNpU")</f>
        <v>1xtzuWBhZe0eLq8O7xxtzG82zLI_pS5mUV_moECZdNpU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 CheckPendingNewOrderAlert")</f>
        <v> CheckPendingNewOrderAlert</v>
      </c>
      <c r="C493" s="0" t="str">
        <f>IFERROR(__xludf.DUMMYFUNCTION("""COMPUTED_VALUE"""),"1Uee-x9kYITNzfo5Jmi-ZzN4muIc1l3aGkFEjg6zK4rw")</f>
        <v>1Uee-x9kYITNzfo5Jmi-ZzN4muIc1l3aGkFEjg6zK4rw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IFERROR(__xludf.DUMMYFUNCTION("""COMPUTED_VALUE"""),"AddSymbolOnRAList")</f>
        <v>AddSymbolOnRAList</v>
      </c>
      <c r="C494" s="0" t="str">
        <f>IFERROR(__xludf.DUMMYFUNCTION("""COMPUTED_VALUE"""),"1Ylf1m_iypjthZ6_f8Zwlk6GflWigvWKGFKPUkF0Lw3M")</f>
        <v>1Ylf1m_iypjthZ6_f8Zwlk6GflWigvWKGFKPUkF0Lw3M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IFERROR(__xludf.DUMMYFUNCTION("""COMPUTED_VALUE"""),"DeleteSymbolListFromRA")</f>
        <v>DeleteSymbolListFromRA</v>
      </c>
      <c r="C495" s="0" t="str">
        <f>IFERROR(__xludf.DUMMYFUNCTION("""COMPUTED_VALUE"""),"18mAZrsY4iORaJ31tWyzQUe_E2I0WZiducaWhtQhI1bo")</f>
        <v>18mAZrsY4iORaJ31tWyzQUe_E2I0WZiducaWhtQhI1bo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IFERROR(__xludf.DUMMYFUNCTION("""COMPUTED_VALUE"""),"RemoveSymbolFromRAList")</f>
        <v>RemoveSymbolFromRAList</v>
      </c>
      <c r="C496" s="0" t="str">
        <f>IFERROR(__xludf.DUMMYFUNCTION("""COMPUTED_VALUE"""),"14z6QrYYlP1TDKDUb39O0_rjdC6MZsyDDHft5bKbFe7Y")</f>
        <v>14z6QrYYlP1TDKDUb39O0_rjdC6MZsyDDHft5bKbFe7Y</v>
      </c>
    </row>
    <row r="497" ht="15.75" customHeight="1">
      <c r="A497" s="0" t="str">
        <f>IFERROR(__xludf.DUMMYFUNCTION("""COMPUTED_VALUE"""),"Report")</f>
        <v>Report</v>
      </c>
      <c r="B497" s="0" t="str">
        <f>IFERROR(__xludf.DUMMYFUNCTION("""COMPUTED_VALUE"""),"ReportMatching")</f>
        <v>ReportMatching</v>
      </c>
      <c r="C497" s="0" t="str">
        <f>IFERROR(__xludf.DUMMYFUNCTION("""COMPUTED_VALUE"""),"1cUl6l-zlpV-4qvapXc106s6KeXaODz51BbbafJiEu1o")</f>
        <v>1cUl6l-zlpV-4qvapXc106s6KeXaODz51BbbafJiEu1o</v>
      </c>
    </row>
    <row r="498" ht="15.75" customHeight="1">
      <c r="A498" s="0" t="str">
        <f>IFERROR(__xludf.DUMMYFUNCTION("""COMPUTED_VALUE"""),"Admin")</f>
        <v>Admin</v>
      </c>
      <c r="B498" s="0" t="str">
        <f>IFERROR(__xludf.DUMMYFUNCTION("""COMPUTED_VALUE"""),"EnableBreakdownRealizedPNL")</f>
        <v>EnableBreakdownRealizedPNL</v>
      </c>
      <c r="C498" s="0" t="str">
        <f>IFERROR(__xludf.DUMMYFUNCTION("""COMPUTED_VALUE"""),"1wcOWSlWdG4WrRltcCk8absTbbQd4rfzbEvV0Z6QnDIw")</f>
        <v>1wcOWSlWdG4WrRltcCk8absTbbQd4rfzbEvV0Z6QnDIw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IFERROR(__xludf.DUMMYFUNCTION("""COMPUTED_VALUE"""),"SetTTGeneralPreferences")</f>
        <v>SetTTGeneralPreferences</v>
      </c>
      <c r="C499" s="0" t="str">
        <f>IFERROR(__xludf.DUMMYFUNCTION("""COMPUTED_VALUE"""),"16Tth7MhAr108iP6FoFBCWQNX3Hmi5JoCWiuEzBw-oDs")</f>
        <v>16Tth7MhAr108iP6FoFBCWQNX3Hmi5JoCWiuEzBw-oDs</v>
      </c>
    </row>
    <row r="500" ht="15.75" customHeight="1">
      <c r="A500" s="0" t="str">
        <f>IFERROR(__xludf.DUMMYFUNCTION("""COMPUTED_VALUE"""),"Blotter")</f>
        <v>Blotter</v>
      </c>
      <c r="B500" s="0" t="str">
        <f>IFERROR(__xludf.DUMMYFUNCTION("""COMPUTED_VALUE"""),"OpenBlotter")</f>
        <v>OpenBlotter</v>
      </c>
      <c r="C500" s="0" t="str">
        <f>IFERROR(__xludf.DUMMYFUNCTION("""COMPUTED_VALUE"""),"1l2IXt5uxs1t4URHUX-BmZTtbv2Q2iQVM5OFWXazn3Wc")</f>
        <v>1l2IXt5uxs1t4URHUX-BmZTtbv2Q2iQVM5OFWXazn3Wc</v>
      </c>
    </row>
    <row r="501" ht="15.75" customHeight="1">
      <c r="A501" s="0" t="str">
        <f>IFERROR(__xludf.DUMMYFUNCTION("""COMPUTED_VALUE"""),"ExeExecutor")</f>
        <v>ExeExecutor</v>
      </c>
      <c r="B501" s="0" t="str">
        <f>IFERROR(__xludf.DUMMYFUNCTION("""COMPUTED_VALUE"""),"CallExeExecutor")</f>
        <v>CallExeExecutor</v>
      </c>
      <c r="C501" s="0" t="str">
        <f>IFERROR(__xludf.DUMMYFUNCTION("""COMPUTED_VALUE"""),"1_4imnW45MZPZdDQqRFOTudFEJKoWNdNsFhqwsPVjiyI")</f>
        <v>1_4imnW45MZPZdDQqRFOTudFEJKoWNdNsFhqwsPVjiyI</v>
      </c>
    </row>
    <row r="502" ht="15.75" customHeight="1">
      <c r="A502" s="0" t="str">
        <f>IFERROR(__xludf.DUMMYFUNCTION("""COMPUTED_VALUE"""),"TradingTicket")</f>
        <v>TradingTicket</v>
      </c>
      <c r="B502" s="0" t="str">
        <f>IFERROR(__xludf.DUMMYFUNCTION("""COMPUTED_VALUE"""),"ToggleBlombergOnRA")</f>
        <v>ToggleBlombergOnRA</v>
      </c>
      <c r="C502" s="0" t="str">
        <f>IFERROR(__xludf.DUMMYFUNCTION("""COMPUTED_VALUE"""),"1QO8L98pM1tM7XV0KByn2LfhNUlfBr61uBaOgp8tlTrY")</f>
        <v>1QO8L98pM1tM7XV0KByn2LfhNUlfBr61uBaOgp8tlTrY</v>
      </c>
    </row>
    <row r="503" ht="15.75" customHeight="1">
      <c r="A503" s="0" t="str">
        <f>IFERROR(__xludf.DUMMYFUNCTION("""COMPUTED_VALUE"""),"Blotter")</f>
        <v>Blotter</v>
      </c>
      <c r="B503" s="0" t="str">
        <f>IFERROR(__xludf.DUMMYFUNCTION("""COMPUTED_VALUE"""),"RemoveManualExecution")</f>
        <v>RemoveManualExecution</v>
      </c>
      <c r="C503" s="0" t="str">
        <f>IFERROR(__xludf.DUMMYFUNCTION("""COMPUTED_VALUE"""),"1El5uRwN8Zwko5NwYgHohK1zpiRKkh_YePJ0cX2E3glo")</f>
        <v>1El5uRwN8Zwko5NwYgHohK1zpiRKkh_YePJ0cX2E3glo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IFERROR(__xludf.DUMMYFUNCTION("""COMPUTED_VALUE"""),"RemoveExecutionWorkingSubs")</f>
        <v>RemoveExecutionWorkingSubs</v>
      </c>
      <c r="C504" s="0" t="str">
        <f>IFERROR(__xludf.DUMMYFUNCTION("""COMPUTED_VALUE"""),"1Gty3Ew09-jbNIs7SPwjiMC4qk0nDYdsdjNgVHEdl6r0")</f>
        <v>1Gty3Ew09-jbNIs7SPwjiMC4qk0nDYdsdjNgVHEdl6r0</v>
      </c>
    </row>
    <row r="505" ht="15.75" customHeight="1">
      <c r="A505" s="0" t="str">
        <f>IFERROR(__xludf.DUMMYFUNCTION("""COMPUTED_VALUE"""),"Dropcopy")</f>
        <v>Dropcopy</v>
      </c>
      <c r="B505" s="0" t="str">
        <f>IFERROR(__xludf.DUMMYFUNCTION("""COMPUTED_VALUE"""),"UploadDropcopyFile")</f>
        <v>UploadDropcopyFile</v>
      </c>
      <c r="C505" s="0" t="str">
        <f>IFERROR(__xludf.DUMMYFUNCTION("""COMPUTED_VALUE"""),"1h8dY4l_y7yym8l9hTXHVlg3E6GsG52_9KIo5GFjmA8k")</f>
        <v>1h8dY4l_y7yym8l9hTXHVlg3E6GsG52_9KIo5GFjmA8k</v>
      </c>
    </row>
    <row r="506" ht="15.75" customHeight="1">
      <c r="A506" s="0" t="str">
        <f>IFERROR(__xludf.DUMMYFUNCTION("""COMPUTED_VALUE"""),"TradeServer")</f>
        <v>TradeServer</v>
      </c>
      <c r="B506" s="0" t="str">
        <f>IFERROR(__xludf.DUMMYFUNCTION("""COMPUTED_VALUE"""),"StartTradeServer")</f>
        <v>StartTradeServer</v>
      </c>
      <c r="C506" s="0" t="str">
        <f>IFERROR(__xludf.DUMMYFUNCTION("""COMPUTED_VALUE"""),"1dwpz97u-suG-Fl1p7vL-LH_dugKcjjOV8oBHWhL-Ggg")</f>
        <v>1dwpz97u-suG-Fl1p7vL-LH_dugKcjjOV8oBHWhL-Ggg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IFERROR(__xludf.DUMMYFUNCTION("""COMPUTED_VALUE"""),"CloseTradeServer ")</f>
        <v>CloseTradeServer </v>
      </c>
      <c r="C507" s="0" t="str">
        <f>IFERROR(__xludf.DUMMYFUNCTION("""COMPUTED_VALUE"""),"1RUpNNC94eo6CzUCyYXnEgJjNJNHljZmxUqpU88hDqvo")</f>
        <v>1RUpNNC94eo6CzUCyYXnEgJjNJNHljZmxUqpU88hDqvo</v>
      </c>
    </row>
    <row r="508" ht="15.75" customHeight="1">
      <c r="A508" s="0" t="str">
        <f>IFERROR(__xludf.DUMMYFUNCTION("""COMPUTED_VALUE"""),"Blotter")</f>
        <v>Blotter</v>
      </c>
      <c r="B508" s="0" t="str">
        <f>IFERROR(__xludf.DUMMYFUNCTION("""COMPUTED_VALUE"""),"GetExecutionReportOrders")</f>
        <v>GetExecutionReportOrders</v>
      </c>
      <c r="C508" s="0" t="str">
        <f>IFERROR(__xludf.DUMMYFUNCTION("""COMPUTED_VALUE"""),"1AFiNBanUg4LBaZwE0sKs99uF_4CT4Qq3z4KSYaBlk8s")</f>
        <v>1AFiNBanUg4LBaZwE0sKs99uF_4CT4Qq3z4KSYaBlk8s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IFERROR(__xludf.DUMMYFUNCTION("""COMPUTED_VALUE"""),"GetExecutionReportDetails")</f>
        <v>GetExecutionReportDetails</v>
      </c>
      <c r="C509" s="0" t="str">
        <f>IFERROR(__xludf.DUMMYFUNCTION("""COMPUTED_VALUE"""),"1Ns2Ww-kwbzOvCy0I9cUznz2PW19y3SgMCpf0oi4ieAA")</f>
        <v>1Ns2Ww-kwbzOvCy0I9cUznz2PW19y3SgMCpf0oi4ieAA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IFERROR(__xludf.DUMMYFUNCTION("""COMPUTED_VALUE"""),"ExportExecutionReportData")</f>
        <v>ExportExecutionReportData</v>
      </c>
      <c r="C510" s="0" t="str">
        <f>IFERROR(__xludf.DUMMYFUNCTION("""COMPUTED_VALUE"""),"1LAiUKfzdOor0ACQpWIfOZgQ4MfnhBXObmZFMPVXU20w")</f>
        <v>1LAiUKfzdOor0ACQpWIfOZgQ4MfnhBXObmZFMPVXU20w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IFERROR(__xludf.DUMMYFUNCTION("""COMPUTED_VALUE"""),"VerifyExecutionReport")</f>
        <v>VerifyExecutionReport</v>
      </c>
      <c r="C511" s="0" t="str">
        <f>IFERROR(__xludf.DUMMYFUNCTION("""COMPUTED_VALUE"""),"1yd48b6wQ6aCrLoLmfkjO8wiQZP62vLgpK_Q_eTapu4w")</f>
        <v>1yd48b6wQ6aCrLoLmfkjO8wiQZP62vLgpK_Q_eTapu4w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IFERROR(__xludf.DUMMYFUNCTION("""COMPUTED_VALUE"""),"BlotterExecutionReportSnapshot")</f>
        <v>BlotterExecutionReportSnapshot</v>
      </c>
      <c r="C512" s="0" t="str">
        <f>IFERROR(__xludf.DUMMYFUNCTION("""COMPUTED_VALUE"""),"1QqGxhnz20HsALFYnGuJyEDL2dd1qSmiBMaPsF8MowY4")</f>
        <v>1QqGxhnz20HsALFYnGuJyEDL2dd1qSmiBMaPsF8MowY4</v>
      </c>
    </row>
    <row r="513" ht="15.75" customHeight="1">
      <c r="A513" s="0" t="str">
        <f>IFERROR(__xludf.DUMMYFUNCTION("""COMPUTED_VALUE"""),"Admin")</f>
        <v>Admin</v>
      </c>
      <c r="B513" s="0" t="str">
        <f>IFERROR(__xludf.DUMMYFUNCTION("""COMPUTED_VALUE"""),"SetDollarAmountPermission")</f>
        <v>SetDollarAmountPermission</v>
      </c>
      <c r="C513" s="0" t="str">
        <f>IFERROR(__xludf.DUMMYFUNCTION("""COMPUTED_VALUE"""),"1NsNQ11sPW94qOsA9wYppHUUVQ7VTg0TDchX6vMjxHSM")</f>
        <v>1NsNQ11sPW94qOsA9wYppHUUVQ7VTg0TDchX6vMjxHSM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IFERROR(__xludf.DUMMYFUNCTION("""COMPUTED_VALUE"""),"EnableDisableModule")</f>
        <v>EnableDisableModule</v>
      </c>
      <c r="C514" s="0" t="str">
        <f>IFERROR(__xludf.DUMMYFUNCTION("""COMPUTED_VALUE"""),"1-qgayCVgYh-TiFPYq2yiHpH2YNskBCiyIqUU44hFn5Q")</f>
        <v>1-qgayCVgYh-TiFPYq2yiHpH2YNskBCiyIqUU44hFn5Q</v>
      </c>
    </row>
    <row r="515" ht="15.75" customHeight="1">
      <c r="A515" s="0" t="str">
        <f>IFERROR(__xludf.DUMMYFUNCTION("""COMPUTED_VALUE"""),"Blotter")</f>
        <v>Blotter</v>
      </c>
      <c r="B515" s="0" t="str">
        <f>IFERROR(__xludf.DUMMYFUNCTION("""COMPUTED_VALUE"""),"MultipleTradeTransferToUser")</f>
        <v>MultipleTradeTransferToUser</v>
      </c>
      <c r="C515" s="0" t="str">
        <f>IFERROR(__xludf.DUMMYFUNCTION("""COMPUTED_VALUE"""),"1E2U9CGylDUGLaqjTgTRpuzNMvkBV33m3fLyu2q73_EA")</f>
        <v>1E2U9CGylDUGLaqjTgTRpuzNMvkBV33m3fLyu2q73_EA</v>
      </c>
    </row>
    <row r="516" ht="15.75" customHeight="1">
      <c r="A516" s="0" t="str">
        <f>IFERROR(__xludf.DUMMYFUNCTION("""COMPUTED_VALUE"""),"Admin")</f>
        <v>Admin</v>
      </c>
      <c r="B516" s="0" t="str">
        <f>IFERROR(__xludf.DUMMYFUNCTION("""COMPUTED_VALUE"""),"IsImportOverrideOnShortLocate")</f>
        <v>IsImportOverrideOnShortLocate</v>
      </c>
      <c r="C516" s="0" t="str">
        <f>IFERROR(__xludf.DUMMYFUNCTION("""COMPUTED_VALUE"""),"1MgEuiFXaa1Xj8qTQvvYNz_eFGUeOpsltw9v4WXyPp2Y")</f>
        <v>1MgEuiFXaa1Xj8qTQvvYNz_eFGUeOpsltw9v4WXyPp2Y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IFERROR(__xludf.DUMMYFUNCTION("""COMPUTED_VALUE"""),"SetShortLocateStructures")</f>
        <v>SetShortLocateStructures</v>
      </c>
      <c r="C517" s="0" t="str">
        <f>IFERROR(__xludf.DUMMYFUNCTION("""COMPUTED_VALUE"""),"1JXTS2aPwtzmzfaVv_4dqx8kGMWZ6ZPlluMh_AtB-VLM")</f>
        <v>1JXTS2aPwtzmzfaVv_4dqx8kGMWZ6ZPlluMh_AtB-VLM</v>
      </c>
    </row>
    <row r="518" ht="15.75" customHeight="1">
      <c r="A518" s="0" t="str">
        <f>IFERROR(__xludf.DUMMYFUNCTION("""COMPUTED_VALUE"""),"ShortLocate")</f>
        <v>ShortLocate</v>
      </c>
      <c r="B518" s="0" t="str">
        <f>IFERROR(__xludf.DUMMYFUNCTION("""COMPUTED_VALUE"""),"DownloadFile")</f>
        <v>DownloadFile</v>
      </c>
      <c r="C518" s="0" t="str">
        <f>IFERROR(__xludf.DUMMYFUNCTION("""COMPUTED_VALUE"""),"1GexWNjbmQyaHL_wkUkmt5M8rNIMs2PLpyJ1OKlPF_6U")</f>
        <v>1GexWNjbmQyaHL_wkUkmt5M8rNIMs2PLpyJ1OKlPF_6U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IFERROR(__xludf.DUMMYFUNCTION("""COMPUTED_VALUE"""),"SearchShortLocateUI")</f>
        <v>SearchShortLocateUI</v>
      </c>
      <c r="C519" s="0" t="str">
        <f>IFERROR(__xludf.DUMMYFUNCTION("""COMPUTED_VALUE"""),"1DKCTM5c59GatMPMxnS0Zbz1IgpCEMmNSn4fulcFSBWA")</f>
        <v>1DKCTM5c59GatMPMxnS0Zbz1IgpCEMmNSn4fulcFSBWA</v>
      </c>
    </row>
    <row r="520" ht="15.75" customHeight="1">
      <c r="A520" s="0" t="str">
        <f>IFERROR(__xludf.DUMMYFUNCTION("""COMPUTED_VALUE"""),"TradingTicket")</f>
        <v>TradingTicket</v>
      </c>
      <c r="B520" s="0" t="str">
        <f>IFERROR(__xludf.DUMMYFUNCTION("""COMPUTED_VALUE"""),"CreateDoneAwayOrder")</f>
        <v>CreateDoneAwayOrder</v>
      </c>
      <c r="C520" s="0" t="str">
        <f>IFERROR(__xludf.DUMMYFUNCTION("""COMPUTED_VALUE"""),"1pwqFJvfA5qKkD2Qmt-A4AWYNSsLomMIhtyww_eUX__s")</f>
        <v>1pwqFJvfA5qKkD2Qmt-A4AWYNSsLomMIhtyww_eUX__s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IFERROR(__xludf.DUMMYFUNCTION("""COMPUTED_VALUE"""),"CreateComplianceOrder")</f>
        <v>CreateComplianceOrder</v>
      </c>
      <c r="C521" s="0" t="str">
        <f>IFERROR(__xludf.DUMMYFUNCTION("""COMPUTED_VALUE"""),"1uZhdRETigrNB3cZo1BXMteOrJRYMf6Vdte0mKG3B7a4")</f>
        <v>1uZhdRETigrNB3cZo1BXMteOrJRYMf6Vdte0mKG3B7a4</v>
      </c>
    </row>
    <row r="522" ht="15.75" customHeight="1">
      <c r="A522" s="0" t="str">
        <f>IFERROR(__xludf.DUMMYFUNCTION("""COMPUTED_VALUE"""),"Simulator")</f>
        <v>Simulator</v>
      </c>
      <c r="B522" s="0" t="str">
        <f>IFERROR(__xludf.DUMMYFUNCTION("""COMPUTED_VALUE"""),"VerifyTrades")</f>
        <v>VerifyTrades</v>
      </c>
      <c r="C522" s="0" t="str">
        <f>IFERROR(__xludf.DUMMYFUNCTION("""COMPUTED_VALUE"""),"11LnIuQUyQWz16zxwmr7_BDMlsw3tCEXwF0lALQ35sts")</f>
        <v>11LnIuQUyQWz16zxwmr7_BDMlsw3tCEXwF0lALQ35sts</v>
      </c>
    </row>
    <row r="523" ht="15.75" customHeight="1">
      <c r="A523" s="0" t="str">
        <f>IFERROR(__xludf.DUMMYFUNCTION("""COMPUTED_VALUE"""),"ShortLocate")</f>
        <v>ShortLocate</v>
      </c>
      <c r="B523" s="0" t="str">
        <f>IFERROR(__xludf.DUMMYFUNCTION("""COMPUTED_VALUE"""),"SetShortLocatePreferences")</f>
        <v>SetShortLocatePreferences</v>
      </c>
      <c r="C523" s="0" t="str">
        <f>IFERROR(__xludf.DUMMYFUNCTION("""COMPUTED_VALUE"""),"1NeZSwz1SIB3gUqQIL6UzRE-Qr4gJDeQupuxQaufcHLY")</f>
        <v>1NeZSwz1SIB3gUqQIL6UzRE-Qr4gJDeQupuxQaufcHLY</v>
      </c>
    </row>
    <row r="524" ht="15.75" customHeight="1">
      <c r="A524" s="0" t="str">
        <f>IFERROR(__xludf.DUMMYFUNCTION("""COMPUTED_VALUE"""),"SecurityMaster")</f>
        <v>SecurityMaster</v>
      </c>
      <c r="B524" s="0" t="str">
        <f>IFERROR(__xludf.DUMMYFUNCTION("""COMPUTED_VALUE"""),"GetSymbolData")</f>
        <v>GetSymbolData</v>
      </c>
      <c r="C524" s="0" t="str">
        <f>IFERROR(__xludf.DUMMYFUNCTION("""COMPUTED_VALUE"""),"1vv3kyJccjfIyDBgn04x7w4Z7FTIBcJUQzYbJHry0Wks")</f>
        <v>1vv3kyJccjfIyDBgn04x7w4Z7FTIBcJUQzYbJHry0Wks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IFERROR(__xludf.DUMMYFUNCTION("""COMPUTED_VALUE"""),"EditSMData")</f>
        <v>EditSMData</v>
      </c>
      <c r="C525" s="0" t="str">
        <f>IFERROR(__xludf.DUMMYFUNCTION("""COMPUTED_VALUE"""),"16iJOTy3fdvVyoTNVUlTTv2ipMkLHpwnR83hPFzIH7Ak")</f>
        <v>16iJOTy3fdvVyoTNVUlTTv2ipMkLHpwnR83hPFzIH7Ak</v>
      </c>
    </row>
    <row r="526" ht="15.75" customHeight="1">
      <c r="A526" s="0" t="str">
        <f>IFERROR(__xludf.DUMMYFUNCTION("""COMPUTED_VALUE"""),"Compliance")</f>
        <v>Compliance</v>
      </c>
      <c r="B526" s="0" t="str">
        <f>IFERROR(__xludf.DUMMYFUNCTION("""COMPUTED_VALUE"""),"RestartRuleMediator")</f>
        <v>RestartRuleMediator</v>
      </c>
      <c r="C526" s="0" t="str">
        <f>IFERROR(__xludf.DUMMYFUNCTION("""COMPUTED_VALUE"""),"1akNR1Amf59L1AstQQY5CTYwWnooFsbcOYuynBM4CKmM")</f>
        <v>1akNR1Amf59L1AstQQY5CTYwWnooFsbcOYuynBM4CKmM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IFERROR(__xludf.DUMMYFUNCTION("""COMPUTED_VALUE"""),"VerifyAggAccountSymbolWithNav")</f>
        <v>VerifyAggAccountSymbolWithNav</v>
      </c>
      <c r="C527" s="0" t="str">
        <f>IFERROR(__xludf.DUMMYFUNCTION("""COMPUTED_VALUE"""),"1LuYoSjO5AtvBb9EYhrEUIwfKVSVQx9KjgCN-yIF7lFk")</f>
        <v>1LuYoSjO5AtvBb9EYhrEUIwfKVSVQx9KjgCN-yIF7lFk</v>
      </c>
    </row>
    <row r="528" ht="15.75" customHeight="1">
      <c r="A528" s="0" t="str">
        <f>IFERROR(__xludf.DUMMYFUNCTION("""COMPUTED_VALUE"""),"Admin")</f>
        <v>Admin</v>
      </c>
      <c r="B528" s="0" t="str">
        <f>IFERROR(__xludf.DUMMYFUNCTION("""COMPUTED_VALUE"""),"SetComplianceAlert")</f>
        <v>SetComplianceAlert</v>
      </c>
      <c r="C528" s="0" t="str">
        <f>IFERROR(__xludf.DUMMYFUNCTION("""COMPUTED_VALUE"""),"1KxvRGZsDhpllA_7NzN1oRSxO912EnakDtX0IH-ZIdC4")</f>
        <v>1KxvRGZsDhpllA_7NzN1oRSxO912EnakDtX0IH-ZIdC4</v>
      </c>
    </row>
    <row r="529" ht="15.75" customHeight="1">
      <c r="A529" s="0" t="str">
        <f>IFERROR(__xludf.DUMMYFUNCTION("""COMPUTED_VALUE"""),"Blotter")</f>
        <v>Blotter</v>
      </c>
      <c r="B529" s="0" t="str">
        <f>IFERROR(__xludf.DUMMYFUNCTION("""COMPUTED_VALUE"""),"ReloadOrderFromBlotter")</f>
        <v>ReloadOrderFromBlotter</v>
      </c>
      <c r="C529" s="0" t="str">
        <f>IFERROR(__xludf.DUMMYFUNCTION("""COMPUTED_VALUE"""),"1EkVmrnKs5-j3ysMwtCilrRqPyrGmw8rBBIGOYfmBm9Y")</f>
        <v>1EkVmrnKs5-j3ysMwtCilrRqPyrGmw8rBBIGOYfmBm9Y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IFERROR(__xludf.DUMMYFUNCTION("""COMPUTED_VALUE"""),"ReloadOrderFromSubOrder")</f>
        <v>ReloadOrderFromSubOrder</v>
      </c>
      <c r="C530" s="0" t="str">
        <f>IFERROR(__xludf.DUMMYFUNCTION("""COMPUTED_VALUE"""),"1Df8QexVjibp6e-DrJ15K3SNBfL1Xk8NzcYqAlIfaa0Q")</f>
        <v>1Df8QexVjibp6e-DrJ15K3SNBfL1Xk8NzcYqAlIfaa0Q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IFERROR(__xludf.DUMMYFUNCTION("""COMPUTED_VALUE"""),"ReloadOrderFromWorkingSubs")</f>
        <v>ReloadOrderFromWorkingSubs</v>
      </c>
      <c r="C531" s="0" t="str">
        <f>IFERROR(__xludf.DUMMYFUNCTION("""COMPUTED_VALUE"""),"1_Z5bqDo4adEqHJVIqWRtiyLJ5XKZ_2mwsPRoF8LP0Bw")</f>
        <v>1_Z5bqDo4adEqHJVIqWRtiyLJ5XKZ_2mwsPRoF8LP0Bw</v>
      </c>
    </row>
    <row r="532" ht="15.75" customHeight="1">
      <c r="A532" s="0" t="str">
        <f>IFERROR(__xludf.DUMMYFUNCTION("""COMPUTED_VALUE"""),"Closing")</f>
        <v>Closing</v>
      </c>
      <c r="B532" s="0" t="str">
        <f>IFERROR(__xludf.DUMMYFUNCTION("""COMPUTED_VALUE"""),"AutoExercise")</f>
        <v>AutoExercise</v>
      </c>
      <c r="C532" s="0" t="str">
        <f>IFERROR(__xludf.DUMMYFUNCTION("""COMPUTED_VALUE"""),"13xi1kTQASkj8aQlRGOWvQoPk02IQ_8Htevc-MnANS_E")</f>
        <v>13xi1kTQASkj8aQlRGOWvQoPk02IQ_8Htevc-MnANS_E</v>
      </c>
    </row>
    <row r="533" ht="15.75" customHeight="1">
      <c r="A533" s="0" t="str">
        <f>IFERROR(__xludf.DUMMYFUNCTION("""COMPUTED_VALUE"""),"PortfolioManagement")</f>
        <v>PortfolioManagement</v>
      </c>
      <c r="B533" s="0" t="str">
        <f>IFERROR(__xludf.DUMMYFUNCTION("""COMPUTED_VALUE"""),"IncreasePositionFromPM")</f>
        <v>IncreasePositionFromPM</v>
      </c>
      <c r="C533" s="0" t="str">
        <f>IFERROR(__xludf.DUMMYFUNCTION("""COMPUTED_VALUE"""),"1A8qhbXaCu_lyhbz2UUV32k3iWOdMoe0Sf6z4T7bvx9A")</f>
        <v>1A8qhbXaCu_lyhbz2UUV32k3iWOdMoe0Sf6z4T7bvx9A</v>
      </c>
    </row>
    <row r="534" ht="15.75" customHeight="1">
      <c r="A534" s="0" t="str">
        <f>IFERROR(__xludf.DUMMYFUNCTION("""COMPUTED_VALUE"""),"TradingTicket")</f>
        <v>TradingTicket</v>
      </c>
      <c r="B534" s="0" t="str">
        <f>IFERROR(__xludf.DUMMYFUNCTION("""COMPUTED_VALUE"""),"AddOptionTrade")</f>
        <v>AddOptionTrade</v>
      </c>
      <c r="C534" s="0" t="str">
        <f>IFERROR(__xludf.DUMMYFUNCTION("""COMPUTED_VALUE"""),"1BnawmW4udc8sZOPuV7h7bRAlUEV61-K41xkK0_fFpqM")</f>
        <v>1BnawmW4udc8sZOPuV7h7bRAlUEV61-K41xkK0_fFpqM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IFERROR(__xludf.DUMMYFUNCTION("""COMPUTED_VALUE"""),"SendLiveBloomberg")</f>
        <v>SendLiveBloomberg</v>
      </c>
      <c r="C535" s="0" t="str">
        <f>IFERROR(__xludf.DUMMYFUNCTION("""COMPUTED_VALUE"""),"1CgHn_7kdT53U7SiVepIsdA1uAaPRM8bfTqAGitUOOP4")</f>
        <v>1CgHn_7kdT53U7SiVepIsdA1uAaPRM8bfTqAGitUOOP4</v>
      </c>
    </row>
    <row r="536" ht="15.75" customHeight="1">
      <c r="A536" s="0" t="str">
        <f>IFERROR(__xludf.DUMMYFUNCTION("""COMPUTED_VALUE"""),"Admin")</f>
        <v>Admin</v>
      </c>
      <c r="B536" s="0" t="str">
        <f>IFERROR(__xludf.DUMMYFUNCTION("""COMPUTED_VALUE"""),"UpdateExpirationDate")</f>
        <v>UpdateExpirationDate</v>
      </c>
      <c r="C536" s="0" t="str">
        <f>IFERROR(__xludf.DUMMYFUNCTION("""COMPUTED_VALUE"""),"1mmWGifvPj1sNVTticw-ikM3hyycxf4NX4_kCu7BEFVg")</f>
        <v>1mmWGifvPj1sNVTticw-ikM3hyycxf4NX4_kCu7BEFVg</v>
      </c>
    </row>
    <row r="537" ht="15.75" customHeight="1">
      <c r="A537" s="0" t="str">
        <f>IFERROR(__xludf.DUMMYFUNCTION("""COMPUTED_VALUE"""),"PricingInput")</f>
        <v>PricingInput</v>
      </c>
      <c r="B537" s="0" t="str">
        <f>IFERROR(__xludf.DUMMYFUNCTION("""COMPUTED_VALUE"""),"UncheckDividendYield")</f>
        <v>UncheckDividendYield</v>
      </c>
      <c r="C537" s="0" t="str">
        <f>IFERROR(__xludf.DUMMYFUNCTION("""COMPUTED_VALUE"""),"1Bv6bI4dQ2ISUgEtnN3hvoJAzlS1QXNp7i6djThWT5cY")</f>
        <v>1Bv6bI4dQ2ISUgEtnN3hvoJAzlS1QXNp7i6djThWT5cY</v>
      </c>
    </row>
    <row r="538" ht="15.75" customHeight="1">
      <c r="A538" s="0" t="str">
        <f>IFERROR(__xludf.DUMMYFUNCTION("""COMPUTED_VALUE"""),"Admin")</f>
        <v>Admin</v>
      </c>
      <c r="B538" s="0" t="str">
        <f>IFERROR(__xludf.DUMMYFUNCTION("""COMPUTED_VALUE"""),"RenameMasterStrategy")</f>
        <v>RenameMasterStrategy</v>
      </c>
      <c r="C538" s="0" t="str">
        <f>IFERROR(__xludf.DUMMYFUNCTION("""COMPUTED_VALUE"""),"12O1uREcq0M99vtEd065TQGLRLI69TvAORCdhR9BifGE")</f>
        <v>12O1uREcq0M99vtEd065TQGLRLI69TvAORCdhR9BifGE</v>
      </c>
    </row>
    <row r="539" ht="15.75" customHeight="1">
      <c r="A539" s="0" t="str">
        <f>IFERROR(__xludf.DUMMYFUNCTION("""COMPUTED_VALUE"""),"Blotter")</f>
        <v>Blotter</v>
      </c>
      <c r="B539" s="0" t="str">
        <f>IFERROR(__xludf.DUMMYFUNCTION("""COMPUTED_VALUE"""),"SelectFills")</f>
        <v>SelectFills</v>
      </c>
      <c r="C539" s="0" t="str">
        <f>IFERROR(__xludf.DUMMYFUNCTION("""COMPUTED_VALUE"""),"1GwliO03epBl45R4knM3UVULlRK9QRt0v-e2GwmiEUVI")</f>
        <v>1GwliO03epBl45R4knM3UVULlRK9QRt0v-e2GwmiEUVI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IFERROR(__xludf.DUMMYFUNCTION("""COMPUTED_VALUE"""),"ModifyFills")</f>
        <v>ModifyFills</v>
      </c>
      <c r="C540" s="0" t="str">
        <f>IFERROR(__xludf.DUMMYFUNCTION("""COMPUTED_VALUE"""),"1YjVe9_PX2h3FN6yNWurYgQZIShnphN6dzATY8FarTcw")</f>
        <v>1YjVe9_PX2h3FN6yNWurYgQZIShnphN6dzATY8FarTcw</v>
      </c>
    </row>
    <row r="541" ht="15.75" customHeight="1">
      <c r="A541" s="0" t="str">
        <f>IFERROR(__xludf.DUMMYFUNCTION("""COMPUTED_VALUE"""),"PranaClient")</f>
        <v>PranaClient</v>
      </c>
      <c r="B541" s="0" t="str">
        <f>IFERROR(__xludf.DUMMYFUNCTION("""COMPUTED_VALUE"""),"PranaClient")</f>
        <v>PranaClient</v>
      </c>
      <c r="C541" s="0" t="str">
        <f>IFERROR(__xludf.DUMMYFUNCTION("""COMPUTED_VALUE"""),"1i5E-WuqIWaEe-yq-sesr8ybgECXELHpH055E0IrggKc")</f>
        <v>1i5E-WuqIWaEe-yq-sesr8ybgECXELHpH055E0IrggKc</v>
      </c>
    </row>
    <row r="542" ht="15.75" customHeight="1">
      <c r="A542" s="0" t="str">
        <f>IFERROR(__xludf.DUMMYFUNCTION("""COMPUTED_VALUE"""),"Closing")</f>
        <v>Closing</v>
      </c>
      <c r="B542" s="0" t="str">
        <f>IFERROR(__xludf.DUMMYFUNCTION("""COMPUTED_VALUE"""),"EditMultipleCloseQuantity")</f>
        <v>EditMultipleCloseQuantity</v>
      </c>
      <c r="C542" s="0" t="str">
        <f>IFERROR(__xludf.DUMMYFUNCTION("""COMPUTED_VALUE"""),"1LqHFuFqpoaWRQRABWhj8ApwmhDIIDfhqJOvirqq1jXs")</f>
        <v>1LqHFuFqpoaWRQRABWhj8ApwmhDIIDfhqJOvirqq1jXs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IFERROR(__xludf.DUMMYFUNCTION("""COMPUTED_VALUE"""),"ManualCloseOrder")</f>
        <v>ManualCloseOrder</v>
      </c>
      <c r="C543" s="0" t="str">
        <f>IFERROR(__xludf.DUMMYFUNCTION("""COMPUTED_VALUE"""),"1SRIxoyDz2yiuwxeL4eG8FC_4NGCpPmQ7cq3BGkqiS_M")</f>
        <v>1SRIxoyDz2yiuwxeL4eG8FC_4NGCpPmQ7cq3BGkqiS_M</v>
      </c>
    </row>
    <row r="544" ht="15.75" customHeight="1">
      <c r="A544" s="0" t="str">
        <f>IFERROR(__xludf.DUMMYFUNCTION("""COMPUTED_VALUE"""),"Admin")</f>
        <v>Admin</v>
      </c>
      <c r="B544" s="0" t="str">
        <f>IFERROR(__xludf.DUMMYFUNCTION("""COMPUTED_VALUE"""),"SetTTUIAdminPreferences")</f>
        <v>SetTTUIAdminPreferences</v>
      </c>
      <c r="C544" s="0" t="str">
        <f>IFERROR(__xludf.DUMMYFUNCTION("""COMPUTED_VALUE"""),"1NBKCTAbyW8FTd7HpiDVAL8uUdoKPPfDaX-zyJ69TnN8")</f>
        <v>1NBKCTAbyW8FTd7HpiDVAL8uUdoKPPfDaX-zyJ69TnN8</v>
      </c>
    </row>
    <row r="545" ht="15.75" customHeight="1">
      <c r="A545" s="0" t="str">
        <f>IFERROR(__xludf.DUMMYFUNCTION("""COMPUTED_VALUE"""),"Closing")</f>
        <v>Closing</v>
      </c>
      <c r="B545" s="0" t="str">
        <f>IFERROR(__xludf.DUMMYFUNCTION("""COMPUTED_VALUE"""),"PreviewDataWithFilters")</f>
        <v>PreviewDataWithFilters</v>
      </c>
      <c r="C545" s="0" t="str">
        <f>IFERROR(__xludf.DUMMYFUNCTION("""COMPUTED_VALUE"""),"1UfijNzsxS8xhicrd1aaNFJ8AVGE-4qurWWApSDn5ctE")</f>
        <v>1UfijNzsxS8xhicrd1aaNFJ8AVGE-4qurWWApSDn5ctE</v>
      </c>
    </row>
    <row r="546" ht="15.75" customHeight="1">
      <c r="A546" s="0" t="str">
        <f>IFERROR(__xludf.DUMMYFUNCTION("""COMPUTED_VALUE"""),"TradingTicket")</f>
        <v>TradingTicket</v>
      </c>
      <c r="B546" s="0" t="str">
        <f>IFERROR(__xludf.DUMMYFUNCTION("""COMPUTED_VALUE"""),"ViewAllocation")</f>
        <v>ViewAllocation</v>
      </c>
      <c r="C546" s="0" t="str">
        <f>IFERROR(__xludf.DUMMYFUNCTION("""COMPUTED_VALUE"""),"1hZIgWSjxAyvd_l19sawUh-Lx7qkIkwoEJWszPqq6LiM")</f>
        <v>1hZIgWSjxAyvd_l19sawUh-Lx7qkIkwoEJWszPqq6LiM</v>
      </c>
    </row>
    <row r="547" ht="15.75" customHeight="1">
      <c r="A547" s="0" t="str">
        <f>IFERROR(__xludf.DUMMYFUNCTION("""COMPUTED_VALUE"""),"Admin")</f>
        <v>Admin</v>
      </c>
      <c r="B547" s="0" t="str">
        <f>IFERROR(__xludf.DUMMYFUNCTION("""COMPUTED_VALUE"""),"UpdateSecFee")</f>
        <v>UpdateSecFee</v>
      </c>
      <c r="C547" s="0" t="str">
        <f>IFERROR(__xludf.DUMMYFUNCTION("""COMPUTED_VALUE"""),"1fx7weHaG3pIYPq09mXJDlCsGxJxkuwvD9qpnxGKxsUg")</f>
        <v>1fx7weHaG3pIYPq09mXJDlCsGxJxkuwvD9qpnxGKxsUg</v>
      </c>
    </row>
    <row r="548" ht="15.75" customHeight="1">
      <c r="A548" s="0" t="str">
        <f>IFERROR(__xludf.DUMMYFUNCTION("""COMPUTED_VALUE"""),"Closing")</f>
        <v>Closing</v>
      </c>
      <c r="B548" s="0" t="str">
        <f>IFERROR(__xludf.DUMMYFUNCTION("""COMPUTED_VALUE"""),"CreateClosingTemplate")</f>
        <v>CreateClosingTemplate</v>
      </c>
      <c r="C548" s="0" t="str">
        <f>IFERROR(__xludf.DUMMYFUNCTION("""COMPUTED_VALUE"""),"1idwtgSTl3puPU819EeoiFOFlLMiFqqc7fSq_DQM9Ahw")</f>
        <v>1idwtgSTl3puPU819EeoiFOFlLMiFqqc7fSq_DQM9Ahw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IFERROR(__xludf.DUMMYFUNCTION("""COMPUTED_VALUE"""),"CreateUnwindingTemplate")</f>
        <v>CreateUnwindingTemplate</v>
      </c>
      <c r="C549" s="0" t="str">
        <f>IFERROR(__xludf.DUMMYFUNCTION("""COMPUTED_VALUE"""),"1yALn3s6q8XYTgNqh8-DnAgKgqPoPCCf4cd3q4rK7dc4")</f>
        <v>1yALn3s6q8XYTgNqh8-DnAgKgqPoPCCf4cd3q4rK7dc4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IFERROR(__xludf.DUMMYFUNCTION("""COMPUTED_VALUE"""),"EditTemplate")</f>
        <v>EditTemplate</v>
      </c>
      <c r="C550" s="0" t="str">
        <f>IFERROR(__xludf.DUMMYFUNCTION("""COMPUTED_VALUE"""),"1NuhPbvX0aXlI0GJFIFdnaVEUWbKSGZAOsYo2ZJs_LTI")</f>
        <v>1NuhPbvX0aXlI0GJFIFdnaVEUWbKSGZAOsYo2ZJs_LTI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IFERROR(__xludf.DUMMYFUNCTION("""COMPUTED_VALUE"""),"DeleteTemplate")</f>
        <v>DeleteTemplate</v>
      </c>
      <c r="C551" s="0" t="str">
        <f>IFERROR(__xludf.DUMMYFUNCTION("""COMPUTED_VALUE"""),"1FPAHemO6UOqAm-LkkBB9rvkNCOTy_xygY4DA2D71HrY")</f>
        <v>1FPAHemO6UOqAm-LkkBB9rvkNCOTy_xygY4DA2D71HrY</v>
      </c>
    </row>
    <row r="552" ht="15.75" customHeight="1">
      <c r="A552" s="0" t="str">
        <f>IFERROR(__xludf.DUMMYFUNCTION("""COMPUTED_VALUE"""),"Allocation")</f>
        <v>Allocation</v>
      </c>
      <c r="B552" s="0" t="str">
        <f>IFERROR(__xludf.DUMMYFUNCTION("""COMPUTED_VALUE"""),"AllocationAuditTrail")</f>
        <v>AllocationAuditTrail</v>
      </c>
      <c r="C552" s="0" t="str">
        <f>IFERROR(__xludf.DUMMYFUNCTION("""COMPUTED_VALUE"""),"1HD9Qq-FkgtsDvTn0E1mBJqbrvDYs85STToXiwyfSFIc")</f>
        <v>1HD9Qq-FkgtsDvTn0E1mBJqbrvDYs85STToXiwyfSFIc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IFERROR(__xludf.DUMMYFUNCTION("""COMPUTED_VALUE"""),"GetAuditTrailData")</f>
        <v>GetAuditTrailData</v>
      </c>
      <c r="C553" s="0" t="str">
        <f>IFERROR(__xludf.DUMMYFUNCTION("""COMPUTED_VALUE"""),"1aMbSm8ZDz2Qwg0lNK8q7egOJXYlZK0_CTEZ8ROuOuw4")</f>
        <v>1aMbSm8ZDz2Qwg0lNK8q7egOJXYlZK0_CTEZ8ROuOuw4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IFERROR(__xludf.DUMMYFUNCTION("""COMPUTED_VALUE"""),"CheckAuditTrailData")</f>
        <v>CheckAuditTrailData</v>
      </c>
      <c r="C554" s="0" t="str">
        <f>IFERROR(__xludf.DUMMYFUNCTION("""COMPUTED_VALUE"""),"1C9HB4waKEi-rOcSPUPOqqKP4_UtACzcf-3WiPrg8wl8")</f>
        <v>1C9HB4waKEi-rOcSPUPOqqKP4_UtACzcf-3WiPrg8wl8</v>
      </c>
    </row>
    <row r="555" ht="15.75" customHeight="1">
      <c r="A555" s="0" t="str">
        <f>IFERROR(__xludf.DUMMYFUNCTION("""COMPUTED_VALUE"""),"Closing")</f>
        <v>Closing</v>
      </c>
      <c r="B555" s="0" t="str">
        <f>IFERROR(__xludf.DUMMYFUNCTION("""COMPUTED_VALUE"""),"RunTemplate")</f>
        <v>RunTemplate</v>
      </c>
      <c r="C555" s="0" t="str">
        <f>IFERROR(__xludf.DUMMYFUNCTION("""COMPUTED_VALUE"""),"1CrtezjyXDUNI03P2ug3fbBszOkDQB11KC1jkQWvhhb0")</f>
        <v>1CrtezjyXDUNI03P2ug3fbBszOkDQB11KC1jkQWvhhb0</v>
      </c>
    </row>
    <row r="556" ht="15.75" customHeight="1">
      <c r="A556" s="0" t="str">
        <f>IFERROR(__xludf.DUMMYFUNCTION("""COMPUTED_VALUE"""),"SymbolLookup")</f>
        <v>SymbolLookup</v>
      </c>
      <c r="B556" s="0" t="str">
        <f>IFERROR(__xludf.DUMMYFUNCTION("""COMPUTED_VALUE"""),"EnterEquity")</f>
        <v>EnterEquity</v>
      </c>
      <c r="C556" s="0" t="str">
        <f>IFERROR(__xludf.DUMMYFUNCTION("""COMPUTED_VALUE"""),"1aaVe9FlMYC6RFGiTb4FjozEKzxGyq3kDwxhYjfzfAD4")</f>
        <v>1aaVe9FlMYC6RFGiTb4FjozEKzxGyq3kDwxhYjfzfAD4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IFERROR(__xludf.DUMMYFUNCTION("""COMPUTED_VALUE"""),"UpdateSecurityInfoOnSM")</f>
        <v>UpdateSecurityInfoOnSM</v>
      </c>
      <c r="C557" s="0" t="str">
        <f>IFERROR(__xludf.DUMMYFUNCTION("""COMPUTED_VALUE"""),"17-t-GrQf2zL-8Q67F4HdNpsG_6uuzTew55S0LtWs234")</f>
        <v>17-t-GrQf2zL-8Q67F4HdNpsG_6uuzTew55S0LtWs234</v>
      </c>
    </row>
    <row r="558" ht="15.75" customHeight="1">
      <c r="A558" s="0" t="str">
        <f>IFERROR(__xludf.DUMMYFUNCTION("""COMPUTED_VALUE"""),"Blotter")</f>
        <v>Blotter</v>
      </c>
      <c r="B558" s="0" t="str">
        <f>IFERROR(__xludf.DUMMYFUNCTION("""COMPUTED_VALUE"""),"AllocateFromBlotter")</f>
        <v>AllocateFromBlotter</v>
      </c>
      <c r="C558" s="0" t="str">
        <f>IFERROR(__xludf.DUMMYFUNCTION("""COMPUTED_VALUE"""),"1XTJi2OXX9tDNK8ST579LThIVIiMnVsCWKD8hYv1DwCk")</f>
        <v>1XTJi2OXX9tDNK8ST579LThIVIiMnVsCWKD8hYv1DwCk</v>
      </c>
    </row>
    <row r="559" ht="15.75" customHeight="1">
      <c r="A559" s="0" t="str">
        <f>IFERROR(__xludf.DUMMYFUNCTION("""COMPUTED_VALUE"""),"Admin")</f>
        <v>Admin</v>
      </c>
      <c r="B559" s="0" t="str">
        <f>IFERROR(__xludf.DUMMYFUNCTION("""COMPUTED_VALUE"""),"UpdateFee")</f>
        <v>UpdateFee</v>
      </c>
      <c r="C559" s="0" t="str">
        <f>IFERROR(__xludf.DUMMYFUNCTION("""COMPUTED_VALUE"""),"18i3ZoYVYHAnZwXwaD1wecFKaay3F1XWD-fGr1yOXxiI")</f>
        <v>18i3ZoYVYHAnZwXwaD1wecFKaay3F1XWD-fGr1yOXxiI</v>
      </c>
    </row>
    <row r="560" ht="15.75" customHeight="1">
      <c r="A560" s="0" t="str">
        <f>IFERROR(__xludf.DUMMYFUNCTION("""COMPUTED_VALUE"""),"Allocation")</f>
        <v>Allocation</v>
      </c>
      <c r="B560" s="0" t="str">
        <f>IFERROR(__xludf.DUMMYFUNCTION("""COMPUTED_VALUE"""),"DeleteGroupWithOutSave")</f>
        <v>DeleteGroupWithOutSave</v>
      </c>
      <c r="C560" s="0" t="str">
        <f>IFERROR(__xludf.DUMMYFUNCTION("""COMPUTED_VALUE"""),"1aIaLYmwd1_7VvSXSXs0xCiLDHvkOFY2I2WhFegjZjbM")</f>
        <v>1aIaLYmwd1_7VvSXSXs0xCiLDHvkOFY2I2WhFegjZjbM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IFERROR(__xludf.DUMMYFUNCTION("""COMPUTED_VALUE"""),"CheckPreferences")</f>
        <v>CheckPreferences</v>
      </c>
      <c r="C561" s="0" t="str">
        <f>IFERROR(__xludf.DUMMYFUNCTION("""COMPUTED_VALUE"""),"1Gt4DTANotwpTFTn2K0N4FyEH3Wy4mVS3CndTI3qhjT0")</f>
        <v>1Gt4DTANotwpTFTn2K0N4FyEH3Wy4mVS3CndTI3qhjT0</v>
      </c>
    </row>
    <row r="562" ht="15.75" customHeight="1">
      <c r="A562" s="0" t="str">
        <f>IFERROR(__xludf.DUMMYFUNCTION("""COMPUTED_VALUE"""),"Rebalancer")</f>
        <v>Rebalancer</v>
      </c>
      <c r="B562" s="0" t="str">
        <f>IFERROR(__xludf.DUMMYFUNCTION("""COMPUTED_VALUE"""),"SymbologyChangeRB")</f>
        <v>SymbologyChangeRB</v>
      </c>
      <c r="C562" s="0" t="str">
        <f>IFERROR(__xludf.DUMMYFUNCTION("""COMPUTED_VALUE"""),"Undefined")</f>
        <v>Undefined</v>
      </c>
    </row>
    <row r="563" ht="15.75" customHeight="1">
      <c r="A563" s="0" t="str">
        <f>IFERROR(__xludf.DUMMYFUNCTION("""COMPUTED_VALUE"""),"TradingTicket")</f>
        <v>TradingTicket</v>
      </c>
      <c r="B563" s="0" t="str">
        <f>IFERROR(__xludf.DUMMYFUNCTION("""COMPUTED_VALUE"""),"CreateReplaceLiveOrder")</f>
        <v>CreateReplaceLiveOrder</v>
      </c>
      <c r="C563" s="0" t="str">
        <f>IFERROR(__xludf.DUMMYFUNCTION("""COMPUTED_VALUE"""),"1k4O2DH0z6o7Zp7BJki2B-GvLEd7WL3r0-BBl39ErSwA")</f>
        <v>1k4O2DH0z6o7Zp7BJki2B-GvLEd7WL3r0-BBl39ErSwA</v>
      </c>
    </row>
    <row r="564" ht="15.75" customHeight="1">
      <c r="A564" s="0" t="str">
        <f>IFERROR(__xludf.DUMMYFUNCTION("""COMPUTED_VALUE"""),"Admin")</f>
        <v>Admin</v>
      </c>
      <c r="B564" s="0" t="str">
        <f>IFERROR(__xludf.DUMMYFUNCTION("""COMPUTED_VALUE"""),"RevertingSMSharesOutValue")</f>
        <v>RevertingSMSharesOutValue</v>
      </c>
      <c r="C564" s="0" t="str">
        <f>IFERROR(__xludf.DUMMYFUNCTION("""COMPUTED_VALUE"""),"14NB1Fv5kuloQb2TqNZV019UwD238JCIlsMkapq0l2ag")</f>
        <v>14NB1Fv5kuloQb2TqNZV019UwD238JCIlsMkapq0l2ag</v>
      </c>
    </row>
    <row r="565" ht="15.75" customHeight="1">
      <c r="A565" s="0" t="str">
        <f>IFERROR(__xludf.DUMMYFUNCTION("""COMPUTED_VALUE"""),"SymbolLookup")</f>
        <v>SymbolLookup</v>
      </c>
      <c r="B565" s="0" t="str">
        <f>IFERROR(__xludf.DUMMYFUNCTION("""COMPUTED_VALUE"""),"TradeSymbolFromSM")</f>
        <v>TradeSymbolFromSM</v>
      </c>
      <c r="C565" s="0" t="str">
        <f>IFERROR(__xludf.DUMMYFUNCTION("""COMPUTED_VALUE"""),"1QQqyEJAxSiITSpbxeSzT-43Z_t_k8RMkNqyDU83B9yw")</f>
        <v>1QQqyEJAxSiITSpbxeSzT-43Z_t_k8RMkNqyDU83B9yw</v>
      </c>
    </row>
    <row r="566" ht="15.75" customHeight="1">
      <c r="A566" s="0" t="str">
        <f>IFERROR(__xludf.DUMMYFUNCTION("""COMPUTED_VALUE"""),"Closing")</f>
        <v>Closing</v>
      </c>
      <c r="B566" s="0" t="str">
        <f>IFERROR(__xludf.DUMMYFUNCTION("""COMPUTED_VALUE"""),"SelectAccountWiseAsset")</f>
        <v>SelectAccountWiseAsset</v>
      </c>
      <c r="C566" s="0" t="str">
        <f>IFERROR(__xludf.DUMMYFUNCTION("""COMPUTED_VALUE"""),"1dg717feD1PLoJMODUOkjay-kVKs_HU6lWkwzq6Dzicw")</f>
        <v>1dg717feD1PLoJMODUOkjay-kVKs_HU6lWkwzq6Dzicw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IFERROR(__xludf.DUMMYFUNCTION("""COMPUTED_VALUE"""),"VerifyCTData")</f>
        <v>VerifyCTData</v>
      </c>
      <c r="C567" s="0" t="str">
        <f>IFERROR(__xludf.DUMMYFUNCTION("""COMPUTED_VALUE"""),"1DhgxoqROPCGpHN0ZvF_CxvGD_XGKqi4hirH4AyU5edM")</f>
        <v>1DhgxoqROPCGpHN0ZvF_CxvGD_XGKqi4hirH4AyU5edM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IFERROR(__xludf.DUMMYFUNCTION("""COMPUTED_VALUE"""),"ExerciseAssignmentWithOutSave")</f>
        <v>ExerciseAssignmentWithOutSave</v>
      </c>
      <c r="C568" s="0" t="str">
        <f>IFERROR(__xludf.DUMMYFUNCTION("""COMPUTED_VALUE"""),"13ISfl53WS5qjapt8_QubQCWQC5PngpTaN-DNznWEfnM")</f>
        <v>13ISfl53WS5qjapt8_QubQCWQC5PngpTaN-DNznWEfnM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IFERROR(__xludf.DUMMYFUNCTION("""COMPUTED_VALUE"""),"SaveCTData")</f>
        <v>SaveCTData</v>
      </c>
      <c r="C569" s="0" t="str">
        <f>IFERROR(__xludf.DUMMYFUNCTION("""COMPUTED_VALUE"""),"1lX2ofL0aTKUlfGG5tlpbifm1409nxXKN3EvA38tIwsI")</f>
        <v>1lX2ofL0aTKUlfGG5tlpbifm1409nxXKN3EvA38tIwsI</v>
      </c>
    </row>
    <row r="570" ht="15.75" customHeight="1">
      <c r="A570" s="0" t="str">
        <f>IFERROR(__xludf.DUMMYFUNCTION("""COMPUTED_VALUE"""),"Allocation")</f>
        <v>Allocation</v>
      </c>
      <c r="B570" s="0" t="str">
        <f>IFERROR(__xludf.DUMMYFUNCTION("""COMPUTED_VALUE"""),"AllocateWithPopUp")</f>
        <v>AllocateWithPopUp</v>
      </c>
      <c r="C570" s="0" t="str">
        <f>IFERROR(__xludf.DUMMYFUNCTION("""COMPUTED_VALUE"""),"1xGs6-0rm5y24BDfu0xaFuFjmw24xo_mnA1FsmchPkoQ")</f>
        <v>1xGs6-0rm5y24BDfu0xaFuFjmw24xo_mnA1FsmchPkoQ</v>
      </c>
    </row>
    <row r="571" ht="15.75" customHeight="1">
      <c r="A571" s="0" t="str">
        <f>IFERROR(__xludf.DUMMYFUNCTION("""COMPUTED_VALUE"""),"TradingTicket")</f>
        <v>TradingTicket</v>
      </c>
      <c r="B571" s="0" t="str">
        <f>IFERROR(__xludf.DUMMYFUNCTION("""COMPUTED_VALUE"""),"CreateNewSubLiveOrder")</f>
        <v>CreateNewSubLiveOrder</v>
      </c>
      <c r="C571" s="0" t="str">
        <f>IFERROR(__xludf.DUMMYFUNCTION("""COMPUTED_VALUE"""),"1sXlRlM3l3g7Y_cbxe72XjBbsp4DKHWhRKjq3FHbAEZg")</f>
        <v>1sXlRlM3l3g7Y_cbxe72XjBbsp4DKHWhRKjq3FHbAEZg</v>
      </c>
    </row>
    <row r="572" ht="15.75" customHeight="1">
      <c r="A572" s="0" t="str">
        <f>IFERROR(__xludf.DUMMYFUNCTION("""COMPUTED_VALUE"""),"Blotter")</f>
        <v>Blotter</v>
      </c>
      <c r="B572" s="0" t="str">
        <f>IFERROR(__xludf.DUMMYFUNCTION("""COMPUTED_VALUE"""),"ViewPTTAllocationDetails")</f>
        <v>ViewPTTAllocationDetails</v>
      </c>
      <c r="C572" s="0" t="str">
        <f>IFERROR(__xludf.DUMMYFUNCTION("""COMPUTED_VALUE"""),"1K3kCif21tZY3Z_07H3JuRu8yZ2BuxGjW7WwookIx-Fc")</f>
        <v>1K3kCif21tZY3Z_07H3JuRu8yZ2BuxGjW7WwookIx-Fc</v>
      </c>
    </row>
    <row r="573" ht="15.75" customHeight="1">
      <c r="A573" s="0" t="str">
        <f>IFERROR(__xludf.DUMMYFUNCTION("""COMPUTED_VALUE"""),"Admin")</f>
        <v>Admin</v>
      </c>
      <c r="B573" s="0" t="str">
        <f>IFERROR(__xludf.DUMMYFUNCTION("""COMPUTED_VALUE"""),"RestartSQL")</f>
        <v>RestartSQL</v>
      </c>
      <c r="C573" s="0" t="str">
        <f>IFERROR(__xludf.DUMMYFUNCTION("""COMPUTED_VALUE"""),"1-12TcMWdB2mXxQH8e7co5k5BUH-Uzpps1uWKQ-CLR00")</f>
        <v>1-12TcMWdB2mXxQH8e7co5k5BUH-Uzpps1uWKQ-CLR00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IFERROR(__xludf.DUMMYFUNCTION("""COMPUTED_VALUE"""),"TradeAuditCleanUp")</f>
        <v>TradeAuditCleanUp</v>
      </c>
      <c r="C574" s="0" t="str">
        <f>IFERROR(__xludf.DUMMYFUNCTION("""COMPUTED_VALUE"""),"1te_tPkqDmMAupeEd8qm_jD3j66mFB1Z4N9FMCo8XPy4")</f>
        <v>1te_tPkqDmMAupeEd8qm_jD3j66mFB1Z4N9FMCo8XPy4</v>
      </c>
    </row>
    <row r="575" ht="15.75" customHeight="1">
      <c r="A575" s="0" t="str">
        <f>IFERROR(__xludf.DUMMYFUNCTION("""COMPUTED_VALUE"""),"Import")</f>
        <v>Import</v>
      </c>
      <c r="B575" s="0" t="str">
        <f>IFERROR(__xludf.DUMMYFUNCTION("""COMPUTED_VALUE"""),"SelectTradeOnImport")</f>
        <v>SelectTradeOnImport</v>
      </c>
      <c r="C575" s="0" t="str">
        <f>IFERROR(__xludf.DUMMYFUNCTION("""COMPUTED_VALUE"""),"1E9KQGFIuEW08WBNI-XqSj37_5i6SG51bbwPJ0NN4Mmc")</f>
        <v>1E9KQGFIuEW08WBNI-XqSj37_5i6SG51bbwPJ0NN4Mmc</v>
      </c>
    </row>
    <row r="576" ht="15.75" customHeight="1">
      <c r="A576" s="0" t="str">
        <f>IFERROR(__xludf.DUMMYFUNCTION("""COMPUTED_VALUE"""),"Allocation")</f>
        <v>Allocation</v>
      </c>
      <c r="B576" s="0" t="str">
        <f>IFERROR(__xludf.DUMMYFUNCTION("""COMPUTED_VALUE"""),"SelectAllRowsAllocated")</f>
        <v>SelectAllRowsAllocated</v>
      </c>
      <c r="C576" s="0" t="str">
        <f>IFERROR(__xludf.DUMMYFUNCTION("""COMPUTED_VALUE"""),"Undefined")</f>
        <v>Undefined</v>
      </c>
    </row>
    <row r="577" ht="15.75" customHeight="1">
      <c r="A577" s="0" t="str">
        <f>IFERROR(__xludf.DUMMYFUNCTION("""COMPUTED_VALUE"""),"Closing")</f>
        <v>Closing</v>
      </c>
      <c r="B577" s="0" t="str">
        <f>IFERROR(__xludf.DUMMYFUNCTION("""COMPUTED_VALUE"""),"FilterLongPositionGrid")</f>
        <v>FilterLongPositionGrid</v>
      </c>
      <c r="C577" s="0" t="str">
        <f>IFERROR(__xludf.DUMMYFUNCTION("""COMPUTED_VALUE"""),"1eQ05g7FlkoucBRzqzHC6DYgristCD8IKA7i0JOPqMMs")</f>
        <v>1eQ05g7FlkoucBRzqzHC6DYgristCD8IKA7i0JOPqMMs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IFERROR(__xludf.DUMMYFUNCTION("""COMPUTED_VALUE"""),"FilterShortPositionGrid")</f>
        <v>FilterShortPositionGrid</v>
      </c>
      <c r="C578" s="0" t="str">
        <f>IFERROR(__xludf.DUMMYFUNCTION("""COMPUTED_VALUE"""),"1_Kaj9Gla2_3_3DWDcJLohN-Ulu6Or19SpBltOn1IqpA")</f>
        <v>1_Kaj9Gla2_3_3DWDcJLohN-Ulu6Or19SpBltOn1IqpA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IFERROR(__xludf.DUMMYFUNCTION("""COMPUTED_VALUE"""),"FilterClosingGrid")</f>
        <v>FilterClosingGrid</v>
      </c>
      <c r="C579" s="0" t="str">
        <f>IFERROR(__xludf.DUMMYFUNCTION("""COMPUTED_VALUE"""),"1x0tSTgqZ5yRnN4Tz7nFtGYNGMoM4Tz6TBq0Ru3xflwY")</f>
        <v>1x0tSTgqZ5yRnN4Tz7nFtGYNGMoM4Tz6TBq0Ru3xflwY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IFERROR(__xludf.DUMMYFUNCTION("""COMPUTED_VALUE"""),"FilterUnexpiredGrid")</f>
        <v>FilterUnexpiredGrid</v>
      </c>
      <c r="C580" s="0" t="str">
        <f>IFERROR(__xludf.DUMMYFUNCTION("""COMPUTED_VALUE"""),"19__Spg6yNEdiEgPsq0ju_vHO7AEAj0c1TjazwCSKFSs")</f>
        <v>19__Spg6yNEdiEgPsq0ju_vHO7AEAj0c1TjazwCSKFSs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IFERROR(__xludf.DUMMYFUNCTION("""COMPUTED_VALUE"""),"FilterExpiredGrid")</f>
        <v>FilterExpiredGrid</v>
      </c>
      <c r="C581" s="0" t="str">
        <f>IFERROR(__xludf.DUMMYFUNCTION("""COMPUTED_VALUE"""),"1jZq080VyNhunffpTX7Q8WctBF6FMMlgDqxOs2X0M62s")</f>
        <v>1jZq080VyNhunffpTX7Q8WctBF6FMMlgDqxOs2X0M62s</v>
      </c>
    </row>
    <row r="582" ht="15.75" customHeight="1">
      <c r="A582" s="0" t="str">
        <f>IFERROR(__xludf.DUMMYFUNCTION("""COMPUTED_VALUE"""),"GeneralLedger")</f>
        <v>GeneralLedger</v>
      </c>
      <c r="B582" s="0" t="str">
        <f>IFERROR(__xludf.DUMMYFUNCTION("""COMPUTED_VALUE"""),"FilterCashTransactionGrid")</f>
        <v>FilterCashTransactionGrid</v>
      </c>
      <c r="C582" s="0" t="str">
        <f>IFERROR(__xludf.DUMMYFUNCTION("""COMPUTED_VALUE"""),"1yFQmKvzwAFdsY1i_j5krUyRXB0Jw9K6HiJ1sedlnizE")</f>
        <v>1yFQmKvzwAFdsY1i_j5krUyRXB0Jw9K6HiJ1sedlnizE</v>
      </c>
    </row>
    <row r="583" ht="15.75" customHeight="1">
      <c r="A583" s="0" t="str">
        <f>IFERROR(__xludf.DUMMYFUNCTION("""COMPUTED_VALUE"""),"Recon")</f>
        <v>Recon</v>
      </c>
      <c r="B583" s="0" t="str">
        <f>IFERROR(__xludf.DUMMYFUNCTION("""COMPUTED_VALUE"""),"VerifyApplicationData")</f>
        <v>VerifyApplicationData</v>
      </c>
      <c r="C583" s="0" t="str">
        <f>IFERROR(__xludf.DUMMYFUNCTION("""COMPUTED_VALUE"""),"1Dpr8WIv6TDBK0rxjxSy_MqWbkp0VcPh0dzzq05jelwk")</f>
        <v>1Dpr8WIv6TDBK0rxjxSy_MqWbkp0VcPh0dzzq05jelwk</v>
      </c>
    </row>
    <row r="584" ht="15.75" customHeight="1">
      <c r="A584" s="0" t="str">
        <f>IFERROR(__xludf.DUMMYFUNCTION("""COMPUTED_VALUE"""),"GeneralLedger")</f>
        <v>GeneralLedger</v>
      </c>
      <c r="B584" s="0" t="str">
        <f>IFERROR(__xludf.DUMMYFUNCTION("""COMPUTED_VALUE"""),"EditGridCashTransactions")</f>
        <v>EditGridCashTransactions</v>
      </c>
      <c r="C584" s="0" t="str">
        <f>IFERROR(__xludf.DUMMYFUNCTION("""COMPUTED_VALUE"""),"1U3Lll-22S6_flQX8K9e2RYFi60F4xvlFiIrO7oI53SM")</f>
        <v>1U3Lll-22S6_flQX8K9e2RYFi60F4xvlFiIrO7oI53SM</v>
      </c>
    </row>
    <row r="585" ht="15.75" customHeight="1">
      <c r="A585" s="0" t="str">
        <f>IFERROR(__xludf.DUMMYFUNCTION("""COMPUTED_VALUE"""),"Closing")</f>
        <v>Closing</v>
      </c>
      <c r="B585" s="0" t="str">
        <f>IFERROR(__xludf.DUMMYFUNCTION("""COMPUTED_VALUE"""),"UnwindAllClosingData")</f>
        <v>UnwindAllClosingData</v>
      </c>
      <c r="C585" s="0" t="str">
        <f>IFERROR(__xludf.DUMMYFUNCTION("""COMPUTED_VALUE"""),"1tWUIoWkYt76dEoPLffGeR3BKhumyPmGYrDDpNHf57-E")</f>
        <v>1tWUIoWkYt76dEoPLffGeR3BKhumyPmGYrDDpNHf57-E</v>
      </c>
    </row>
    <row r="586" ht="15.75" customHeight="1">
      <c r="A586" s="0" t="str">
        <f>IFERROR(__xludf.DUMMYFUNCTION("""COMPUTED_VALUE"""),"GeneralLedger")</f>
        <v>GeneralLedger</v>
      </c>
      <c r="B586" s="0" t="str">
        <f>IFERROR(__xludf.DUMMYFUNCTION("""COMPUTED_VALUE"""),"SaveCashTransaction")</f>
        <v>SaveCashTransaction</v>
      </c>
      <c r="C586" s="0" t="str">
        <f>IFERROR(__xludf.DUMMYFUNCTION("""COMPUTED_VALUE"""),"1B21k1fT7qeMq7F9lYaslrVehhg0joFVgy-pYc8Lkmf8")</f>
        <v>1B21k1fT7qeMq7F9lYaslrVehhg0joFVgy-pYc8Lkmf8</v>
      </c>
    </row>
    <row r="587" ht="15.75" customHeight="1">
      <c r="A587" s="0" t="str">
        <f>IFERROR(__xludf.DUMMYFUNCTION("""COMPUTED_VALUE"""),"ThirdParty")</f>
        <v>ThirdParty</v>
      </c>
      <c r="B587" s="0" t="str">
        <f>IFERROR(__xludf.DUMMYFUNCTION("""COMPUTED_VALUE"""),"ChangeThirdpartyDate")</f>
        <v>ChangeThirdpartyDate</v>
      </c>
      <c r="C587" s="0" t="str">
        <f>IFERROR(__xludf.DUMMYFUNCTION("""COMPUTED_VALUE"""),"1h4P6VS7hFcj6Gpcpap9UycUQLIp7GSGhFN-Pc67f1mU")</f>
        <v>1h4P6VS7hFcj6Gpcpap9UycUQLIp7GSGhFN-Pc67f1mU</v>
      </c>
    </row>
    <row r="588" ht="15.75" customHeight="1">
      <c r="A588" s="0" t="str">
        <f>IFERROR(__xludf.DUMMYFUNCTION("""COMPUTED_VALUE"""),"GeneralLedger")</f>
        <v>GeneralLedger</v>
      </c>
      <c r="B588" s="0" t="str">
        <f>IFERROR(__xludf.DUMMYFUNCTION("""COMPUTED_VALUE"""),"RunManualRevaluation")</f>
        <v>RunManualRevaluation</v>
      </c>
      <c r="C588" s="0" t="str">
        <f>IFERROR(__xludf.DUMMYFUNCTION("""COMPUTED_VALUE"""),"1tQChZuaBAI5usO4RbYIySlrw0tFhWje4RI-gh286me8")</f>
        <v>1tQChZuaBAI5usO4RbYIySlrw0tFhWje4RI-gh286me8</v>
      </c>
    </row>
    <row r="589" ht="15.75" customHeight="1">
      <c r="A589" s="0" t="str">
        <f>IFERROR(__xludf.DUMMYFUNCTION("""COMPUTED_VALUE"""),"SymbolLookup")</f>
        <v>SymbolLookup</v>
      </c>
      <c r="B589" s="0" t="str">
        <f>IFERROR(__xludf.DUMMYFUNCTION("""COMPUTED_VALUE"""),"AddSymbol")</f>
        <v>AddSymbol</v>
      </c>
      <c r="C589" s="0" t="str">
        <f>IFERROR(__xludf.DUMMYFUNCTION("""COMPUTED_VALUE"""),"1Sm5U6q-jz5LeKeyf9JfBjKzov0tNefLFi5MsaafqKYg")</f>
        <v>1Sm5U6q-jz5LeKeyf9JfBjKzov0tNefLFi5MsaafqKYg</v>
      </c>
    </row>
    <row r="590" ht="15.75" customHeight="1">
      <c r="A590" s="0" t="str">
        <f>IFERROR(__xludf.DUMMYFUNCTION("""COMPUTED_VALUE"""),"Admin")</f>
        <v>Admin</v>
      </c>
      <c r="B590" s="0" t="str">
        <f>IFERROR(__xludf.DUMMYFUNCTION("""COMPUTED_VALUE"""),"DeleteSymbolFromSM")</f>
        <v>DeleteSymbolFromSM</v>
      </c>
      <c r="C590" s="0" t="str">
        <f>IFERROR(__xludf.DUMMYFUNCTION("""COMPUTED_VALUE"""),"1DudMRucUgcEjmlylDgFYqu5uXTRzRsr-jnE6lVHMbjY")</f>
        <v>1DudMRucUgcEjmlylDgFYqu5uXTRzRsr-jnE6lVHMbjY</v>
      </c>
    </row>
    <row r="591" ht="15.75" customHeight="1">
      <c r="A591" s="0" t="str">
        <f>IFERROR(__xludf.DUMMYFUNCTION("""COMPUTED_VALUE"""),"Watchlist")</f>
        <v>Watchlist</v>
      </c>
      <c r="B591" s="0" t="str">
        <f>IFERROR(__xludf.DUMMYFUNCTION("""COMPUTED_VALUE"""),"AddSymbolToWatchlist")</f>
        <v>AddSymbolToWatchlist</v>
      </c>
      <c r="C591" s="0" t="str">
        <f>IFERROR(__xludf.DUMMYFUNCTION("""COMPUTED_VALUE"""),"1XmnTrOtQLoxDHPfo2HMbZB9NBqLkHPulaqnXm4cQ5KA")</f>
        <v>1XmnTrOtQLoxDHPfo2HMbZB9NBqLkHPulaqnXm4cQ5KA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IFERROR(__xludf.DUMMYFUNCTION("""COMPUTED_VALUE"""),"TradeFromWatchlist")</f>
        <v>TradeFromWatchlist</v>
      </c>
      <c r="C592" s="0" t="str">
        <f>IFERROR(__xludf.DUMMYFUNCTION("""COMPUTED_VALUE"""),"1T9s9NPtF9Q_Ppi6FLLTTJxb43fAm4QnWCD3GM96gXjQ")</f>
        <v>1T9s9NPtF9Q_Ppi6FLLTTJxb43fAm4QnWCD3GM96gXjQ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IFERROR(__xludf.DUMMYFUNCTION("""COMPUTED_VALUE"""),"MultiTradeFromWatchlist")</f>
        <v>MultiTradeFromWatchlist</v>
      </c>
      <c r="C593" s="0" t="str">
        <f>IFERROR(__xludf.DUMMYFUNCTION("""COMPUTED_VALUE"""),"13Bo68XuCJXrtlP5Ji1GdlQm3HIyUjNAnbQEqNi_0j80")</f>
        <v>13Bo68XuCJXrtlP5Ji1GdlQm3HIyUjNAnbQEqNi_0j80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IFERROR(__xludf.DUMMYFUNCTION("""COMPUTED_VALUE"""),"DeleteSymbolFromWatchlist")</f>
        <v>DeleteSymbolFromWatchlist</v>
      </c>
      <c r="C594" s="0" t="str">
        <f>IFERROR(__xludf.DUMMYFUNCTION("""COMPUTED_VALUE"""),"1KR8LzaHhEwxGacZ2Jul0uakCfHBvSq8Om-PWySPLpHU")</f>
        <v>1KR8LzaHhEwxGacZ2Jul0uakCfHBvSq8Om-PWySPLpHU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IFERROR(__xludf.DUMMYFUNCTION("""COMPUTED_VALUE"""),"VerifySymbolsOnWatchlist")</f>
        <v>VerifySymbolsOnWatchlist</v>
      </c>
      <c r="C595" s="0" t="str">
        <f>IFERROR(__xludf.DUMMYFUNCTION("""COMPUTED_VALUE"""),"1fkU0S4violR7UFjAn9TlUpgOonAIAkkJZA9g0xcb6hU")</f>
        <v>1fkU0S4violR7UFjAn9TlUpgOonAIAkkJZA9g0xcb6hU</v>
      </c>
    </row>
    <row r="596" ht="15.75" customHeight="1">
      <c r="A596" s="0" t="str">
        <f>IFERROR(__xludf.DUMMYFUNCTION("""COMPUTED_VALUE"""),"Recon")</f>
        <v>Recon</v>
      </c>
      <c r="B596" s="0" t="str">
        <f>IFERROR(__xludf.DUMMYFUNCTION("""COMPUTED_VALUE"""),"VerifyAppMatchedData")</f>
        <v>VerifyAppMatchedData</v>
      </c>
      <c r="C596" s="0" t="str">
        <f>IFERROR(__xludf.DUMMYFUNCTION("""COMPUTED_VALUE"""),"14GA6gCi0TKNLF2vISw-OK2MXQBKkoHIrNEl4pTEICeg")</f>
        <v>14GA6gCi0TKNLF2vISw-OK2MXQBKkoHIrNEl4pTEICeg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IFERROR(__xludf.DUMMYFUNCTION("""COMPUTED_VALUE"""),"VerifyAppUnmatchedData")</f>
        <v>VerifyAppUnmatchedData</v>
      </c>
      <c r="C597" s="0" t="str">
        <f>IFERROR(__xludf.DUMMYFUNCTION("""COMPUTED_VALUE"""),"1fRtlhH7TyRkIcxAV3P_BFbmJBgSLDwOvrBxrqiU6xKw")</f>
        <v>1fRtlhH7TyRkIcxAV3P_BFbmJBgSLDwOvrBxrqiU6xKw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IFERROR(__xludf.DUMMYFUNCTION("""COMPUTED_VALUE"""),"VerifyPBMatchedData")</f>
        <v>VerifyPBMatchedData</v>
      </c>
      <c r="C598" s="0" t="str">
        <f>IFERROR(__xludf.DUMMYFUNCTION("""COMPUTED_VALUE"""),"18BzE30Ho0Qvtx4D8qR8XqV6nyyOdYbSVu-Z17SjWyuA")</f>
        <v>18BzE30Ho0Qvtx4D8qR8XqV6nyyOdYbSVu-Z17SjWyuA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IFERROR(__xludf.DUMMYFUNCTION("""COMPUTED_VALUE"""),"VerifyPBUnmatchedData")</f>
        <v>VerifyPBUnmatchedData</v>
      </c>
      <c r="C599" s="0" t="str">
        <f>IFERROR(__xludf.DUMMYFUNCTION("""COMPUTED_VALUE"""),"175euYUhYwu8NiO4e3-6islzKymxACVs9cl3KioQ0DbA")</f>
        <v>175euYUhYwu8NiO4e3-6islzKymxACVs9cl3KioQ0DbA</v>
      </c>
    </row>
    <row r="600" ht="15.75" customHeight="1">
      <c r="A600" s="0" t="str">
        <f>IFERROR(__xludf.DUMMYFUNCTION("""COMPUTED_VALUE"""),"QTT")</f>
        <v>QTT</v>
      </c>
      <c r="B600" s="0" t="str">
        <f>IFERROR(__xludf.DUMMYFUNCTION("""COMPUTED_VALUE"""),"OpenQtt")</f>
        <v>OpenQtt</v>
      </c>
      <c r="C600" s="0" t="str">
        <f>IFERROR(__xludf.DUMMYFUNCTION("""COMPUTED_VALUE"""),"1aAWPiagRSQBPzFpFvPGXOL3ffgkx6Nv3C5nWfeoNcgM")</f>
        <v>1aAWPiagRSQBPzFpFvPGXOL3ffgkx6Nv3C5nWfeoNcgM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IFERROR(__xludf.DUMMYFUNCTION("""COMPUTED_VALUE"""),"TradeFromQTT")</f>
        <v>TradeFromQTT</v>
      </c>
      <c r="C601" s="0" t="str">
        <f>IFERROR(__xludf.DUMMYFUNCTION("""COMPUTED_VALUE"""),"1VxR48DRURy-5fMryJTwAP30_4MHBsyd5IYM_MA17mH4")</f>
        <v>1VxR48DRURy-5fMryJTwAP30_4MHBsyd5IYM_MA17mH4</v>
      </c>
    </row>
    <row r="602" ht="15.75" customHeight="1">
      <c r="A602" s="0" t="str">
        <f>IFERROR(__xludf.DUMMYFUNCTION("""COMPUTED_VALUE"""),"TradingTicket")</f>
        <v>TradingTicket</v>
      </c>
      <c r="B602" s="0" t="str">
        <f>IFERROR(__xludf.DUMMYFUNCTION("""COMPUTED_VALUE"""),"VerifyBasketExport")</f>
        <v>VerifyBasketExport</v>
      </c>
      <c r="C602" s="0" t="str">
        <f>IFERROR(__xludf.DUMMYFUNCTION("""COMPUTED_VALUE"""),"1KOVAJXM-60wuzbemyOcR8_7Pu3PI0nXBRqpYgb3dzkU")</f>
        <v>1KOVAJXM-60wuzbemyOcR8_7Pu3PI0nXBRqpYgb3dzkU</v>
      </c>
    </row>
    <row r="603" ht="15.75" customHeight="1">
      <c r="A603" s="0" t="str">
        <f>IFERROR(__xludf.DUMMYFUNCTION("""COMPUTED_VALUE"""),"Admin")</f>
        <v>Admin</v>
      </c>
      <c r="B603" s="0" t="str">
        <f>IFERROR(__xludf.DUMMYFUNCTION("""COMPUTED_VALUE"""),"SetCompliancePermission")</f>
        <v>SetCompliancePermission</v>
      </c>
      <c r="C603" s="0" t="str">
        <f>IFERROR(__xludf.DUMMYFUNCTION("""COMPUTED_VALUE"""),"125GL21UTNAv-VPIkHZbpZjsENPGN-XLVcbrUI4CZxxA")</f>
        <v>125GL21UTNAv-VPIkHZbpZjsENPGN-XLVcbrUI4CZxxA</v>
      </c>
    </row>
    <row r="604" ht="15.75" customHeight="1">
      <c r="A604" s="0" t="str">
        <f>IFERROR(__xludf.DUMMYFUNCTION("""COMPUTED_VALUE"""),"Compliance")</f>
        <v>Compliance</v>
      </c>
      <c r="B604" s="0" t="str">
        <f>IFERROR(__xludf.DUMMYFUNCTION("""COMPUTED_VALUE"""),"ApproveorRejectpendingapproval")</f>
        <v>ApproveorRejectpendingapproval</v>
      </c>
      <c r="C604" s="0" t="str">
        <f>IFERROR(__xludf.DUMMYFUNCTION("""COMPUTED_VALUE"""),"1kblrJiY5tjWVV0kCU90-uYIUPjXfJMDg72L-1IJOLGU")</f>
        <v>1kblrJiY5tjWVV0kCU90-uYIUPjXfJMDg72L-1IJOLGU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IFERROR(__xludf.DUMMYFUNCTION("""COMPUTED_VALUE"""),"VerifyAlertHistory")</f>
        <v>VerifyAlertHistory</v>
      </c>
      <c r="C605" s="0" t="str">
        <f>IFERROR(__xludf.DUMMYFUNCTION("""COMPUTED_VALUE"""),"1flh7l8ahyS7C018bO_Y6k1K-XT76tXzdz53HLkQ4xU4")</f>
        <v>1flh7l8ahyS7C018bO_Y6k1K-XT76tXzdz53HLkQ4xU4</v>
      </c>
    </row>
    <row r="606" ht="15.75" customHeight="1">
      <c r="A606" s="0" t="str">
        <f>IFERROR(__xludf.DUMMYFUNCTION("""COMPUTED_VALUE"""),"Blotter")</f>
        <v>Blotter</v>
      </c>
      <c r="B606" s="0" t="str">
        <f>IFERROR(__xludf.DUMMYFUNCTION("""COMPUTED_VALUE"""),"MergeOrder")</f>
        <v>MergeOrder</v>
      </c>
      <c r="C606" s="0" t="str">
        <f>IFERROR(__xludf.DUMMYFUNCTION("""COMPUTED_VALUE"""),"1MPmJ5VEjT-ZUHCoVctZCP9aHjIzuZW0_hruDc41GD-A")</f>
        <v>1MPmJ5VEjT-ZUHCoVctZCP9aHjIzuZW0_hruDc41GD-A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IFERROR(__xludf.DUMMYFUNCTION("""COMPUTED_VALUE"""),"VerifyMergeOrder")</f>
        <v>VerifyMergeOrder</v>
      </c>
      <c r="C607" s="0" t="str">
        <f>IFERROR(__xludf.DUMMYFUNCTION("""COMPUTED_VALUE"""),"1YPCy9ceoUg_SjAt-3PXhz8GxVOfWkuIJ1yRR9c0aZrE")</f>
        <v>1YPCy9ceoUg_SjAt-3PXhz8GxVOfWkuIJ1yRR9c0aZrE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IFERROR(__xludf.DUMMYFUNCTION("""COMPUTED_VALUE"""),"AddTabBlotter")</f>
        <v>AddTabBlotter</v>
      </c>
      <c r="C608" s="0" t="str">
        <f>IFERROR(__xludf.DUMMYFUNCTION("""COMPUTED_VALUE"""),"1YMp0jrKM8rLBzloaDu3tQ6aTv8C98xCVaQ6Wxe_flKc")</f>
        <v>1YMp0jrKM8rLBzloaDu3tQ6aTv8C98xCVaQ6Wxe_flKc</v>
      </c>
    </row>
    <row r="609" ht="15.75" customHeight="1">
      <c r="A609" s="0" t="str">
        <f>IFERROR(__xludf.DUMMYFUNCTION("""COMPUTED_VALUE"""),"Rebalancer")</f>
        <v>Rebalancer</v>
      </c>
      <c r="B609" s="0" t="str">
        <f>IFERROR(__xludf.DUMMYFUNCTION("""COMPUTED_VALUE"""),"CloseRebalancer")</f>
        <v>CloseRebalancer</v>
      </c>
      <c r="C609" s="0" t="str">
        <f>IFERROR(__xludf.DUMMYFUNCTION("""COMPUTED_VALUE"""),"Undefined")</f>
        <v>Undefined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IFERROR(__xludf.DUMMYFUNCTION("""COMPUTED_VALUE"""),"AddCustomCashUsingImport")</f>
        <v>AddCustomCashUsingImport</v>
      </c>
      <c r="C610" s="0" t="str">
        <f>IFERROR(__xludf.DUMMYFUNCTION("""COMPUTED_VALUE"""),"1nK0OIxssf5AR0xHG2TzYVlqjkwDX8BRkcb7sWcPW2kA")</f>
        <v>1nK0OIxssf5AR0xHG2TzYVlqjkwDX8BRkcb7sWcPW2kA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IFERROR(__xludf.DUMMYFUNCTION("""COMPUTED_VALUE"""),"EditRebalanceGrid")</f>
        <v>EditRebalanceGrid</v>
      </c>
      <c r="C611" s="0" t="str">
        <f>IFERROR(__xludf.DUMMYFUNCTION("""COMPUTED_VALUE"""),"1QX_rYsr8GIcxa1bv4oQ2qNxe0w-YwiY_loABgwfLsP0")</f>
        <v>1QX_rYsr8GIcxa1bv4oQ2qNxe0w-YwiY_loABgwfLsP0</v>
      </c>
    </row>
    <row r="612" ht="15.75" customHeight="1">
      <c r="A612" s="0" t="str">
        <f>IFERROR(__xludf.DUMMYFUNCTION("""COMPUTED_VALUE"""),"DailyValuation")</f>
        <v>DailyValuation</v>
      </c>
      <c r="B612" s="0" t="str">
        <f>IFERROR(__xludf.DUMMYFUNCTION("""COMPUTED_VALUE"""),"EnableBlankMarkPrices")</f>
        <v>EnableBlankMarkPrices</v>
      </c>
      <c r="C612" s="0" t="str">
        <f>IFERROR(__xludf.DUMMYFUNCTION("""COMPUTED_VALUE"""),"10Mzp90fyme73_sxAYwM2i8xwqgeQUe_de_N7Y-Cnu6Q")</f>
        <v>10Mzp90fyme73_sxAYwM2i8xwqgeQUe_de_N7Y-Cnu6Q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IFERROR(__xludf.DUMMYFUNCTION("""COMPUTED_VALUE"""),"UpateSymbolBlankMP")</f>
        <v>UpateSymbolBlankMP</v>
      </c>
      <c r="C613" s="0" t="str">
        <f>IFERROR(__xludf.DUMMYFUNCTION("""COMPUTED_VALUE"""),"1Y4lmODSKti17gLeUqSwERRx-4D5awbTM9UOJZrp60F4")</f>
        <v>1Y4lmODSKti17gLeUqSwERRx-4D5awbTM9UOJZrp60F4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IFERROR(__xludf.DUMMYFUNCTION("""COMPUTED_VALUE"""),"UpdateBlankMP")</f>
        <v>UpdateBlankMP</v>
      </c>
      <c r="C614" s="0" t="str">
        <f>IFERROR(__xludf.DUMMYFUNCTION("""COMPUTED_VALUE"""),"1i5WlaPZ1-uo5yRQyqBi_NoGgPj8ziXj7cnN8reG8SXo")</f>
        <v>1i5WlaPZ1-uo5yRQyqBi_NoGgPj8ziXj7cnN8reG8SXo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IFERROR(__xludf.DUMMYFUNCTION("""COMPUTED_VALUE"""),"FilterBlankMP")</f>
        <v>FilterBlankMP</v>
      </c>
      <c r="C615" s="0" t="str">
        <f>IFERROR(__xludf.DUMMYFUNCTION("""COMPUTED_VALUE"""),"1zsU3_vPB4UlwnEI6Hgxofosk22-vdytF5SYhkTLGr3Y")</f>
        <v>1zsU3_vPB4UlwnEI6Hgxofosk22-vdytF5SYhkTLGr3Y</v>
      </c>
    </row>
    <row r="616" ht="15.75" customHeight="1">
      <c r="A616" s="0" t="str">
        <f>IFERROR(__xludf.DUMMYFUNCTION("""COMPUTED_VALUE"""),"SymbolLookup")</f>
        <v>SymbolLookup</v>
      </c>
      <c r="B616" s="0" t="str">
        <f>IFERROR(__xludf.DUMMYFUNCTION("""COMPUTED_VALUE"""),"SelectFromSMGridUI")</f>
        <v>SelectFromSMGridUI</v>
      </c>
      <c r="C616" s="0" t="str">
        <f>IFERROR(__xludf.DUMMYFUNCTION("""COMPUTED_VALUE"""),"1RozaKMXual4WXW46lBsE3Orf9OV2Nn-FhxvokH28xaw")</f>
        <v>1RozaKMXual4WXW46lBsE3Orf9OV2Nn-FhxvokH28xaw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IFERROR(__xludf.DUMMYFUNCTION("""COMPUTED_VALUE"""),"EditSMGridUi")</f>
        <v>EditSMGridUi</v>
      </c>
      <c r="C617" s="0" t="str">
        <f>IFERROR(__xludf.DUMMYFUNCTION("""COMPUTED_VALUE"""),"1P3hQI12FYJP4QrekwcLQ4UJcZeg6WQU7Y7X6wSfNfe4")</f>
        <v>1P3hQI12FYJP4QrekwcLQ4UJcZeg6WQU7Y7X6wSfNfe4</v>
      </c>
    </row>
    <row r="618" ht="15.75" customHeight="1">
      <c r="A618" s="0" t="str">
        <f>IFERROR(__xludf.DUMMYFUNCTION("""COMPUTED_VALUE"""),"Compliance")</f>
        <v>Compliance</v>
      </c>
      <c r="B618" s="0" t="str">
        <f>IFERROR(__xludf.DUMMYFUNCTION("""COMPUTED_VALUE"""),"EditInterceptorFile")</f>
        <v>EditInterceptorFile</v>
      </c>
      <c r="C618" s="0" t="str">
        <f>IFERROR(__xludf.DUMMYFUNCTION("""COMPUTED_VALUE"""),"1E0GenYl5VsF6ic5npTKWWfS_gebqIIj6InrHMvvbtso")</f>
        <v>1E0GenYl5VsF6ic5npTKWWfS_gebqIIj6InrHMvvbtso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IFERROR(__xludf.DUMMYFUNCTION("""COMPUTED_VALUE"""),"ReplaceInterceptorFile")</f>
        <v>ReplaceInterceptorFile</v>
      </c>
      <c r="C619" s="0" t="str">
        <f>IFERROR(__xludf.DUMMYFUNCTION("""COMPUTED_VALUE"""),"Undefined")</f>
        <v>Undefined</v>
      </c>
    </row>
    <row r="620" ht="15.75" customHeight="1">
      <c r="A620" s="0" t="str">
        <f>IFERROR(__xludf.DUMMYFUNCTION("""COMPUTED_VALUE"""),"Blotter")</f>
        <v>Blotter</v>
      </c>
      <c r="B620" s="0" t="str">
        <f>IFERROR(__xludf.DUMMYFUNCTION("""COMPUTED_VALUE"""),"VerifyLowerStripBlotterUI")</f>
        <v>VerifyLowerStripBlotterUI</v>
      </c>
      <c r="C620" s="0" t="str">
        <f>IFERROR(__xludf.DUMMYFUNCTION("""COMPUTED_VALUE"""),"1HZDVVf9laKE8xHcR6trbwHakdbl6uFndhwO94MHDlcQ")</f>
        <v>1HZDVVf9laKE8xHcR6trbwHakdbl6uFndhwO94MHDlcQ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IFERROR(__xludf.DUMMYFUNCTION("""COMPUTED_VALUE"""),"SaveOrRemoveInSummaryTab")</f>
        <v>SaveOrRemoveInSummaryTab</v>
      </c>
      <c r="C621" s="0" t="str">
        <f>IFERROR(__xludf.DUMMYFUNCTION("""COMPUTED_VALUE"""),"16E73g0W5LRIhkg1RbjzOOK94Uv0Vlbn7MMDq-QXA2kc")</f>
        <v>16E73g0W5LRIhkg1RbjzOOK94Uv0Vlbn7MMDq-QXA2kc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IFERROR(__xludf.DUMMYFUNCTION("""COMPUTED_VALUE"""),"SaveOrRemoveInWorkingSubsTab")</f>
        <v>SaveOrRemoveInWorkingSubsTab</v>
      </c>
      <c r="C622" s="0" t="str">
        <f>IFERROR(__xludf.DUMMYFUNCTION("""COMPUTED_VALUE"""),"15CFpQocegIFfZ23cSQZai_mnb9NZPlp99oh6nO0sjXg")</f>
        <v>15CFpQocegIFfZ23cSQZai_mnb9NZPlp99oh6nO0sjXg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IFERROR(__xludf.DUMMYFUNCTION("""COMPUTED_VALUE"""),"SelectCheckBoxOnOrderGrid")</f>
        <v>SelectCheckBoxOnOrderGrid</v>
      </c>
      <c r="C623" s="0" t="str">
        <f>IFERROR(__xludf.DUMMYFUNCTION("""COMPUTED_VALUE"""),"18ge8W43MnUH64uDLyzdwmaOTsTAxaKRTY5e2M2PR7Ig")</f>
        <v>18ge8W43MnUH64uDLyzdwmaOTsTAxaKRTY5e2M2PR7Ig</v>
      </c>
    </row>
    <row r="624" ht="15.75" customHeight="1">
      <c r="A624" s="0" t="str">
        <f>IFERROR(__xludf.DUMMYFUNCTION("""COMPUTED_VALUE"""),"Compliance")</f>
        <v>Compliance</v>
      </c>
      <c r="B624" s="0" t="str">
        <f>IFERROR(__xludf.DUMMYFUNCTION("""COMPUTED_VALUE"""),"RestartReleasesAndServices")</f>
        <v>RestartReleasesAndServices</v>
      </c>
      <c r="C624" s="0" t="str">
        <f>IFERROR(__xludf.DUMMYFUNCTION("""COMPUTED_VALUE"""),"1T07pMES6_0vIAOHEcHllSqzIfxdK3kjZkG_bnk1Q87E")</f>
        <v>1T07pMES6_0vIAOHEcHllSqzIfxdK3kjZkG_bnk1Q87E</v>
      </c>
    </row>
    <row r="625" ht="15.75" customHeight="1">
      <c r="A625" s="0" t="str">
        <f>IFERROR(__xludf.DUMMYFUNCTION("""COMPUTED_VALUE"""),"PTT")</f>
        <v>PTT</v>
      </c>
      <c r="B625" s="0" t="str">
        <f>IFERROR(__xludf.DUMMYFUNCTION("""COMPUTED_VALUE"""),"AutoStageImportFromPTTExport")</f>
        <v>AutoStageImportFromPTTExport</v>
      </c>
      <c r="C625" s="0" t="str">
        <f>IFERROR(__xludf.DUMMYFUNCTION("""COMPUTED_VALUE"""),"Undefined")</f>
        <v>Undefined</v>
      </c>
    </row>
    <row r="626" ht="15.75" customHeight="1">
      <c r="A626" s="0" t="str">
        <f>IFERROR(__xludf.DUMMYFUNCTION("""COMPUTED_VALUE"""),"Closing")</f>
        <v>Closing</v>
      </c>
      <c r="B626" s="0" t="str">
        <f>IFERROR(__xludf.DUMMYFUNCTION("""COMPUTED_VALUE"""),"FilterClosing")</f>
        <v>FilterClosing</v>
      </c>
      <c r="C626" s="0" t="str">
        <f>IFERROR(__xludf.DUMMYFUNCTION("""COMPUTED_VALUE"""),"1JSzRoeUWroBBbNbincAHC4uO8KmsFjinSPOeKTzIgWw")</f>
        <v>1JSzRoeUWroBBbNbincAHC4uO8KmsFjinSPOeKTzIgWw</v>
      </c>
    </row>
    <row r="627" ht="15.75" customHeight="1">
      <c r="A627" s="0" t="str">
        <f>IFERROR(__xludf.DUMMYFUNCTION("""COMPUTED_VALUE"""),"MultiTradingTicket")</f>
        <v>MultiTradingTicket</v>
      </c>
      <c r="B627" s="0" t="str">
        <f>IFERROR(__xludf.DUMMYFUNCTION("""COMPUTED_VALUE"""),"BulkEditUpdateFromMTT")</f>
        <v>BulkEditUpdateFromMTT</v>
      </c>
      <c r="C627" s="0" t="str">
        <f>IFERROR(__xludf.DUMMYFUNCTION("""COMPUTED_VALUE"""),"1M4JJJsoeSKu6pTetWn8bRE7zQlcKGucRxjGGlqEA3d4")</f>
        <v>1M4JJJsoeSKu6pTetWn8bRE7zQlcKGucRxjGGlqEA3d4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IFERROR(__xludf.DUMMYFUNCTION("""COMPUTED_VALUE"""),"BulkChangeCreateStageOrder")</f>
        <v>BulkChangeCreateStageOrder</v>
      </c>
      <c r="C628" s="0" t="str">
        <f>IFERROR(__xludf.DUMMYFUNCTION("""COMPUTED_VALUE"""),"1eGv-pvwZhT1511VogxRAfh-QbF2wJZDvzpTQHphliak")</f>
        <v>1eGv-pvwZhT1511VogxRAfh-QbF2wJZDvzpTQHphliak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IFERROR(__xludf.DUMMYFUNCTION("""COMPUTED_VALUE"""),"BulkUpdateUsingMTT")</f>
        <v>BulkUpdateUsingMTT</v>
      </c>
      <c r="C629" s="0" t="str">
        <f>IFERROR(__xludf.DUMMYFUNCTION("""COMPUTED_VALUE"""),"1H01hn91s0buuShObE8vUpumNB-99MHja4DJxcTvy1GU")</f>
        <v>1H01hn91s0buuShObE8vUpumNB-99MHja4DJxcTvy1GU</v>
      </c>
    </row>
    <row r="630" ht="15.75" customHeight="1">
      <c r="A630" s="0" t="str">
        <f>IFERROR(__xludf.DUMMYFUNCTION("""COMPUTED_VALUE"""),"PranaClient")</f>
        <v>PranaClient</v>
      </c>
      <c r="B630" s="0" t="str">
        <f>IFERROR(__xludf.DUMMYFUNCTION("""COMPUTED_VALUE"""),"CompareXML")</f>
        <v>CompareXML</v>
      </c>
      <c r="C630" s="0" t="str">
        <f>IFERROR(__xludf.DUMMYFUNCTION("""COMPUTED_VALUE"""),"1WtgbOyiLNErYI8GO9AbbJE12IcFr1TtjqIL6v2nwjLU")</f>
        <v>1WtgbOyiLNErYI8GO9AbbJE12IcFr1TtjqIL6v2nwjLU</v>
      </c>
    </row>
    <row r="631" ht="15.75" customHeight="1">
      <c r="A631" s="0" t="str">
        <f>IFERROR(__xludf.DUMMYFUNCTION("""COMPUTED_VALUE"""),"Admin")</f>
        <v>Admin</v>
      </c>
      <c r="B631" s="0" t="str">
        <f>IFERROR(__xludf.DUMMYFUNCTION("""COMPUTED_VALUE"""),"SetMasterFundOnTT")</f>
        <v>SetMasterFundOnTT</v>
      </c>
      <c r="C631" s="0" t="str">
        <f>IFERROR(__xludf.DUMMYFUNCTION("""COMPUTED_VALUE"""),"1duRG5DukVziXM3AbWJjEHG1WfsWREKj0zcQWLcC3N0o")</f>
        <v>1duRG5DukVziXM3AbWJjEHG1WfsWREKj0zcQWLcC3N0o</v>
      </c>
    </row>
    <row r="632" ht="15.75" customHeight="1">
      <c r="A632" s="0" t="str">
        <f>IFERROR(__xludf.DUMMYFUNCTION("""COMPUTED_VALUE"""),"TradingTicket")</f>
        <v>TradingTicket</v>
      </c>
      <c r="B632" s="0" t="str">
        <f>IFERROR(__xludf.DUMMYFUNCTION("""COMPUTED_VALUE"""),"VerifyCustomAllocationonTT")</f>
        <v>VerifyCustomAllocationonTT</v>
      </c>
      <c r="C632" s="0" t="str">
        <f>IFERROR(__xludf.DUMMYFUNCTION("""COMPUTED_VALUE"""),"1Z3l-jIyJbM2hFTF5NgxtnL1fChZg2TPPhaAzx7mfVm8")</f>
        <v>1Z3l-jIyJbM2hFTF5NgxtnL1fChZg2TPPhaAzx7mfVm8</v>
      </c>
    </row>
    <row r="633" ht="15.75" customHeight="1">
      <c r="A633" s="0" t="str">
        <f>IFERROR(__xludf.DUMMYFUNCTION("""COMPUTED_VALUE"""),"Blotter")</f>
        <v>Blotter</v>
      </c>
      <c r="B633" s="0" t="str">
        <f>IFERROR(__xludf.DUMMYFUNCTION("""COMPUTED_VALUE"""),"ReAllocateFromBlotterByAllocate")</f>
        <v>ReAllocateFromBlotterByAllocate</v>
      </c>
      <c r="C633" s="0" t="str">
        <f>IFERROR(__xludf.DUMMYFUNCTION("""COMPUTED_VALUE"""),"1NHKxDgR0tyL2jet1xXc0HhWXSJ-79CcnSRkHUBgPpoY")</f>
        <v>1NHKxDgR0tyL2jet1xXc0HhWXSJ-79CcnSRkHUBgPpoY</v>
      </c>
    </row>
    <row r="634" ht="15.75" customHeight="1">
      <c r="A634" s="0" t="str">
        <f>IFERROR(__xludf.DUMMYFUNCTION("""COMPUTED_VALUE"""),"Simulator")</f>
        <v>Simulator</v>
      </c>
      <c r="B634" s="0" t="str">
        <f>IFERROR(__xludf.DUMMYFUNCTION("""COMPUTED_VALUE"""),"VerifyTagInAllFixLogs")</f>
        <v>VerifyTagInAllFixLogs</v>
      </c>
      <c r="C634" s="0" t="str">
        <f>IFERROR(__xludf.DUMMYFUNCTION("""COMPUTED_VALUE"""),"1uy63r2XjpUIBlAUk-lXKJTr-PpvpP6wxvLlLDzoM-Ic")</f>
        <v>1uy63r2XjpUIBlAUk-lXKJTr-PpvpP6wxvLlLDzoM-Ic</v>
      </c>
    </row>
    <row r="635" ht="15.75" customHeight="1">
      <c r="A635" s="0" t="str">
        <f>IFERROR(__xludf.DUMMYFUNCTION("""COMPUTED_VALUE"""),"PranaClient")</f>
        <v>PranaClient</v>
      </c>
      <c r="B635" s="0" t="str">
        <f>IFERROR(__xludf.DUMMYFUNCTION("""COMPUTED_VALUE"""),"LoginClient")</f>
        <v>LoginClient</v>
      </c>
      <c r="C635" s="0" t="str">
        <f>IFERROR(__xludf.DUMMYFUNCTION("""COMPUTED_VALUE"""),"1zfvz-aZrAcrVcCZFJj3FAv1GqBrnIiDpgU-TteWVAOw")</f>
        <v>1zfvz-aZrAcrVcCZFJj3FAv1GqBrnIiDpgU-TteWVAOw</v>
      </c>
    </row>
    <row r="636" ht="15.75" customHeight="1">
      <c r="A636" s="0" t="str">
        <f>IFERROR(__xludf.DUMMYFUNCTION("""COMPUTED_VALUE"""),"PortfolioManagement")</f>
        <v>PortfolioManagement</v>
      </c>
      <c r="B636" s="0" t="str">
        <f>IFERROR(__xludf.DUMMYFUNCTION("""COMPUTED_VALUE"""),"SortAndVerifyPM")</f>
        <v>SortAndVerifyPM</v>
      </c>
      <c r="C636" s="0" t="str">
        <f>IFERROR(__xludf.DUMMYFUNCTION("""COMPUTED_VALUE"""),"1X7RzdVuf6bK9F2T7pOeh4nUpKg76Hv2aa-gBjDxYkcs")</f>
        <v>1X7RzdVuf6bK9F2T7pOeh4nUpKg76Hv2aa-gBjDxYkcs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IFERROR(__xludf.DUMMYFUNCTION("""COMPUTED_VALUE"""),"OpenPIFromPM")</f>
        <v>OpenPIFromPM</v>
      </c>
      <c r="C637" s="0" t="str">
        <f>IFERROR(__xludf.DUMMYFUNCTION("""COMPUTED_VALUE"""),"1IuAnXzRzuOehEMtqDK11-sb6DktGPWzx0jT8n2IsrY4")</f>
        <v>1IuAnXzRzuOehEMtqDK11-sb6DktGPWzx0jT8n2IsrY4</v>
      </c>
    </row>
    <row r="638" ht="15.75" customHeight="1">
      <c r="A638" s="0" t="str">
        <f>IFERROR(__xludf.DUMMYFUNCTION("""COMPUTED_VALUE"""),"MultiTradingTicket")</f>
        <v>MultiTradingTicket</v>
      </c>
      <c r="B638" s="0" t="str">
        <f>IFERROR(__xludf.DUMMYFUNCTION("""COMPUTED_VALUE"""),"RefreshPriceUsingMTT")</f>
        <v>RefreshPriceUsingMTT</v>
      </c>
      <c r="C638" s="0" t="str">
        <f>IFERROR(__xludf.DUMMYFUNCTION("""COMPUTED_VALUE"""),"1YtdRVMbFR2kvDHO7XasICZNjFKswCtDImUT3Gjkkfk4")</f>
        <v>1YtdRVMbFR2kvDHO7XasICZNjFKswCtDImUT3Gjkkfk4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IFERROR(__xludf.DUMMYFUNCTION("""COMPUTED_VALUE"""),"VerifyMTT")</f>
        <v>VerifyMTT</v>
      </c>
      <c r="C639" s="0" t="str">
        <f>IFERROR(__xludf.DUMMYFUNCTION("""COMPUTED_VALUE"""),"1LkpuYouts5i-ZznsIzocNzJ13lcRDsnSdXk19BRgReI")</f>
        <v>1LkpuYouts5i-ZznsIzocNzJ13lcRDsnSdXk19BRgReI</v>
      </c>
    </row>
    <row r="640" ht="15.75" customHeight="1">
      <c r="A640" s="0" t="str">
        <f>IFERROR(__xludf.DUMMYFUNCTION("""COMPUTED_VALUE"""),"Simulator")</f>
        <v>Simulator</v>
      </c>
      <c r="B640" s="0" t="str">
        <f>IFERROR(__xludf.DUMMYFUNCTION("""COMPUTED_VALUE"""),"SetToAutomaticResponse")</f>
        <v>SetToAutomaticResponse</v>
      </c>
      <c r="C640" s="0" t="str">
        <f>IFERROR(__xludf.DUMMYFUNCTION("""COMPUTED_VALUE"""),"Undefined")</f>
        <v>Undefined</v>
      </c>
    </row>
    <row r="641" ht="15.75" customHeight="1">
      <c r="A641" s="0" t="str">
        <f>IFERROR(__xludf.DUMMYFUNCTION("""COMPUTED_VALUE"""),"Rebalancer")</f>
        <v>Rebalancer</v>
      </c>
      <c r="B641" s="0" t="str">
        <f>IFERROR(__xludf.DUMMYFUNCTION("""COMPUTED_VALUE"""),"SaveTradeList")</f>
        <v>SaveTradeList</v>
      </c>
      <c r="C641" s="0" t="str">
        <f>IFERROR(__xludf.DUMMYFUNCTION("""COMPUTED_VALUE"""),"1xCgr8y8ZWOV67Yl77qPCYg-GSJNVZrE2EwAmtpL4Xfg")</f>
        <v>1xCgr8y8ZWOV67Yl77qPCYg-GSJNVZrE2EwAmtpL4Xfg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IFERROR(__xludf.DUMMYFUNCTION("""COMPUTED_VALUE"""),"NavImpactingComponent")</f>
        <v>NavImpactingComponent</v>
      </c>
      <c r="C642" s="0" t="str">
        <f>IFERROR(__xludf.DUMMYFUNCTION("""COMPUTED_VALUE"""),"1f0zk0GxJ77AGpV5f_CL_mwxkoRha7_3Z1PIbpXZtod4")</f>
        <v>1f0zk0GxJ77AGpV5f_CL_mwxkoRha7_3Z1PIbpXZtod4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IFERROR(__xludf.DUMMYFUNCTION("""COMPUTED_VALUE"""),"ImportUsingRebalAccrossSec")</f>
        <v>ImportUsingRebalAccrossSec</v>
      </c>
      <c r="C643" s="0" t="str">
        <f>IFERROR(__xludf.DUMMYFUNCTION("""COMPUTED_VALUE"""),"1wqAINPqghzd-HB-5iMIqQiCzJj40pqhM2cTv6gahRwo")</f>
        <v>1wqAINPqghzd-HB-5iMIqQiCzJj40pqhM2cTv6gahRwo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IFERROR(__xludf.DUMMYFUNCTION("""COMPUTED_VALUE"""),"EditImportStatus")</f>
        <v>EditImportStatus</v>
      </c>
      <c r="C644" s="0" t="str">
        <f>IFERROR(__xludf.DUMMYFUNCTION("""COMPUTED_VALUE"""),"1Xkf1z6WsFfAEpWdBzMACVnTjRvtpZJ0Jbfvug1u1fb8")</f>
        <v>1Xkf1z6WsFfAEpWdBzMACVnTjRvtpZJ0Jbfvug1u1fb8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IFERROR(__xludf.DUMMYFUNCTION("""COMPUTED_VALUE"""),"SelectActionsOnImportStatus")</f>
        <v>SelectActionsOnImportStatus</v>
      </c>
      <c r="C645" s="0" t="str">
        <f>IFERROR(__xludf.DUMMYFUNCTION("""COMPUTED_VALUE"""),"10jCuA8F_28LjeoDXTbc5IgQjfWoEPTWq9svKzhi97OA")</f>
        <v>10jCuA8F_28LjeoDXTbc5IgQjfWoEPTWq9svKzhi97OA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IFERROR(__xludf.DUMMYFUNCTION("""COMPUTED_VALUE"""),"VerifyImportStatus")</f>
        <v>VerifyImportStatus</v>
      </c>
      <c r="C646" s="0" t="str">
        <f>IFERROR(__xludf.DUMMYFUNCTION("""COMPUTED_VALUE"""),"1cyg6XGf_AlQQ_g5DPcBgmBfH4Oz4BH6IUMfTD5nIhFQ")</f>
        <v>1cyg6XGf_AlQQ_g5DPcBgmBfH4Oz4BH6IUMfTD5nIhFQ</v>
      </c>
    </row>
    <row r="647" ht="15.75" customHeight="1">
      <c r="A647" s="0" t="str">
        <f>IFERROR(__xludf.DUMMYFUNCTION("""COMPUTED_VALUE"""),"PTT")</f>
        <v>PTT</v>
      </c>
      <c r="B647" s="0" t="str">
        <f>IFERROR(__xludf.DUMMYFUNCTION("""COMPUTED_VALUE"""),"OpenPreferencesFromPTT")</f>
        <v>OpenPreferencesFromPTT</v>
      </c>
      <c r="C647" s="0" t="str">
        <f>IFERROR(__xludf.DUMMYFUNCTION("""COMPUTED_VALUE"""),"Undefined")</f>
        <v>Undefined</v>
      </c>
    </row>
    <row r="648" ht="15.75" customHeight="1">
      <c r="A648" s="0" t="str">
        <f>IFERROR(__xludf.DUMMYFUNCTION("""COMPUTED_VALUE"""),"Watchlist")</f>
        <v>Watchlist</v>
      </c>
      <c r="B648" s="0" t="str">
        <f>IFERROR(__xludf.DUMMYFUNCTION("""COMPUTED_VALUE"""),"OpenPTTFromWatchlist")</f>
        <v>OpenPTTFromWatchlist</v>
      </c>
      <c r="C648" s="0" t="str">
        <f>IFERROR(__xludf.DUMMYFUNCTION("""COMPUTED_VALUE"""),"1CRJ_F5octCl23LyAw_CoHc_10OvrxRq8f7mNNzl_B6c")</f>
        <v>1CRJ_F5octCl23LyAw_CoHc_10OvrxRq8f7mNNzl_B6c</v>
      </c>
    </row>
    <row r="649" ht="15.75" customHeight="1">
      <c r="A649" s="0" t="str">
        <f>IFERROR(__xludf.DUMMYFUNCTION("""COMPUTED_VALUE"""),"Admin")</f>
        <v>Admin</v>
      </c>
      <c r="B649" s="0" t="str">
        <f>IFERROR(__xludf.DUMMYFUNCTION("""COMPUTED_VALUE"""),"SetMarketDataProvider")</f>
        <v>SetMarketDataProvider</v>
      </c>
      <c r="C649" s="0" t="str">
        <f>IFERROR(__xludf.DUMMYFUNCTION("""COMPUTED_VALUE"""),"11vW7fknzM8vTBH8SeRsGGkS29p8E1Xfx9205Qtc5hC4")</f>
        <v>11vW7fknzM8vTBH8SeRsGGkS29p8E1Xfx9205Qtc5hC4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IFERROR(__xludf.DUMMYFUNCTION("""COMPUTED_VALUE"""),"SetAllocationPreferences")</f>
        <v>SetAllocationPreferences</v>
      </c>
      <c r="C650" s="0" t="str">
        <f>IFERROR(__xludf.DUMMYFUNCTION("""COMPUTED_VALUE"""),"16PO4KGgITIDM3iQzFlyKHfXPBXba023pXOJQCBN_Elc")</f>
        <v>16PO4KGgITIDM3iQzFlyKHfXPBXba023pXOJQCBN_Elc</v>
      </c>
    </row>
    <row r="651" ht="15.75" customHeight="1">
      <c r="A651" s="0" t="str">
        <f>IFERROR(__xludf.DUMMYFUNCTION("""COMPUTED_VALUE"""),"TradingTicket")</f>
        <v>TradingTicket</v>
      </c>
      <c r="B651" s="0" t="str">
        <f>IFERROR(__xludf.DUMMYFUNCTION("""COMPUTED_VALUE"""),"CustomOrderTT")</f>
        <v>CustomOrderTT</v>
      </c>
      <c r="C651" s="0" t="str">
        <f>IFERROR(__xludf.DUMMYFUNCTION("""COMPUTED_VALUE"""),"1v9UMAQA-yD9UreUAgBLbyi4tqqYMESm4YnqZhD5jKvk")</f>
        <v>1v9UMAQA-yD9UreUAgBLbyi4tqqYMESm4YnqZhD5jKvk</v>
      </c>
    </row>
    <row r="652" ht="15.75" customHeight="1">
      <c r="A652" s="0" t="str">
        <f>IFERROR(__xludf.DUMMYFUNCTION("""COMPUTED_VALUE"""),"TradeServer")</f>
        <v>TradeServer</v>
      </c>
      <c r="B652" s="0" t="str">
        <f>IFERROR(__xludf.DUMMYFUNCTION("""COMPUTED_VALUE"""),"ConnectToSimAutoMan")</f>
        <v>ConnectToSimAutoMan</v>
      </c>
      <c r="C652" s="0" t="str">
        <f>IFERROR(__xludf.DUMMYFUNCTION("""COMPUTED_VALUE"""),"1kmGpZTH9xe92vT2JQhF-Njj6d_RCoVtRypLmoKTlseo")</f>
        <v>1kmGpZTH9xe92vT2JQhF-Njj6d_RCoVtRypLmoKTlseo</v>
      </c>
    </row>
    <row r="653" ht="15.75" customHeight="1">
      <c r="A653" s="0" t="str">
        <f>IFERROR(__xludf.DUMMYFUNCTION("""COMPUTED_VALUE"""),"Admin")</f>
        <v>Admin</v>
      </c>
      <c r="B653" s="0" t="str">
        <f>IFERROR(__xludf.DUMMYFUNCTION("""COMPUTED_VALUE"""),"SetRegularCompliancePermission")</f>
        <v>SetRegularCompliancePermission</v>
      </c>
      <c r="C653" s="0" t="str">
        <f>IFERROR(__xludf.DUMMYFUNCTION("""COMPUTED_VALUE"""),"1pGZ7u9bF4Lu1nJJRSpSz5TQn_FVJsrIH05yxOHHU4S4")</f>
        <v>1pGZ7u9bF4Lu1nJJRSpSz5TQn_FVJsrIH05yxOHHU4S4</v>
      </c>
    </row>
    <row r="654" ht="15.75" customHeight="1">
      <c r="A654" s="0" t="str">
        <f>IFERROR(__xludf.DUMMYFUNCTION("""COMPUTED_VALUE"""),"MultiTradingTicket")</f>
        <v>MultiTradingTicket</v>
      </c>
      <c r="B654" s="0" t="str">
        <f>IFERROR(__xludf.DUMMYFUNCTION("""COMPUTED_VALUE"""),"AddOrRemoveColumn")</f>
        <v>AddOrRemoveColumn</v>
      </c>
      <c r="C654" s="0" t="str">
        <f>IFERROR(__xludf.DUMMYFUNCTION("""COMPUTED_VALUE"""),"143kwNkqtTW1E3kVeTrESBbZbd8h3b9KHBzWYPombeFE")</f>
        <v>143kwNkqtTW1E3kVeTrESBbZbd8h3b9KHBzWYPombeFE</v>
      </c>
    </row>
    <row r="655" ht="15.75" customHeight="1">
      <c r="A655" s="0" t="str">
        <f>IFERROR(__xludf.DUMMYFUNCTION("""COMPUTED_VALUE"""),"Blotter")</f>
        <v>Blotter</v>
      </c>
      <c r="B655" s="0" t="str">
        <f>IFERROR(__xludf.DUMMYFUNCTION("""COMPUTED_VALUE"""),"RemoveOrderFromCustomTab")</f>
        <v>RemoveOrderFromCustomTab</v>
      </c>
      <c r="C655" s="0" t="str">
        <f>IFERROR(__xludf.DUMMYFUNCTION("""COMPUTED_VALUE"""),"1sfynQiLVUyAEBtlKhgJSpN7R6q9257IFweh0qT9mx20")</f>
        <v>1sfynQiLVUyAEBtlKhgJSpN7R6q9257IFweh0qT9mx20</v>
      </c>
    </row>
    <row r="656" ht="15.75" customHeight="1">
      <c r="A656" s="0" t="str">
        <f>IFERROR(__xludf.DUMMYFUNCTION("""COMPUTED_VALUE"""),"MultiTradingTicket")</f>
        <v>MultiTradingTicket</v>
      </c>
      <c r="B656" s="0" t="str">
        <f>IFERROR(__xludf.DUMMYFUNCTION("""COMPUTED_VALUE"""),"SaveLayoutUsingMTT")</f>
        <v>SaveLayoutUsingMTT</v>
      </c>
      <c r="C656" s="0" t="str">
        <f>IFERROR(__xludf.DUMMYFUNCTION("""COMPUTED_VALUE"""),"Undefined")</f>
        <v>Undefined</v>
      </c>
    </row>
    <row r="657" ht="15.75" customHeight="1">
      <c r="A657" s="0" t="str">
        <f>IFERROR(__xludf.DUMMYFUNCTION("""COMPUTED_VALUE"""),"Blotter")</f>
        <v>Blotter</v>
      </c>
      <c r="B657" s="0" t="str">
        <f>IFERROR(__xludf.DUMMYFUNCTION("""COMPUTED_VALUE"""),"ReloadFromSummary")</f>
        <v>ReloadFromSummary</v>
      </c>
      <c r="C657" s="0" t="str">
        <f>IFERROR(__xludf.DUMMYFUNCTION("""COMPUTED_VALUE"""),"1va9lkysxv5IoF2imeSPCpBsD6J_IgJcN5bBcjjoS3g4")</f>
        <v>1va9lkysxv5IoF2imeSPCpBsD6J_IgJcN5bBcjjoS3g4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IFERROR(__xludf.DUMMYFUNCTION("""COMPUTED_VALUE"""),"AllocateFromWorkingSubsBlotter")</f>
        <v>AllocateFromWorkingSubsBlotter</v>
      </c>
      <c r="C658" s="0" t="str">
        <f>IFERROR(__xludf.DUMMYFUNCTION("""COMPUTED_VALUE"""),"1y2YFZm3A-cdE2rpKOdJdC0HlrimUfKr3DluQsVb-w0E")</f>
        <v>1y2YFZm3A-cdE2rpKOdJdC0HlrimUfKr3DluQsVb-w0E</v>
      </c>
    </row>
    <row r="659" ht="15.75" customHeight="1">
      <c r="A659" s="0" t="str">
        <f>IFERROR(__xludf.DUMMYFUNCTION("""COMPUTED_VALUE"""),"TradingTicket")</f>
        <v>TradingTicket</v>
      </c>
      <c r="B659" s="0" t="str">
        <f>IFERROR(__xludf.DUMMYFUNCTION("""COMPUTED_VALUE"""),"CheckStepSheet")</f>
        <v>CheckStepSheet</v>
      </c>
      <c r="C659" s="0" t="str">
        <f>IFERROR(__xludf.DUMMYFUNCTION("""COMPUTED_VALUE"""),"1CcLgTaVQvUoDbfsClCPnFcyGRwVMAdsncTnhtlJxsws")</f>
        <v>1CcLgTaVQvUoDbfsClCPnFcyGRwVMAdsncTnhtlJxsws</v>
      </c>
    </row>
    <row r="660" ht="15.75" customHeight="1">
      <c r="A660" s="0" t="str">
        <f>IFERROR(__xludf.DUMMYFUNCTION("""COMPUTED_VALUE"""),"Rebalancer")</f>
        <v>Rebalancer</v>
      </c>
      <c r="B660" s="0" t="str">
        <f>IFERROR(__xludf.DUMMYFUNCTION("""COMPUTED_VALUE"""),"AddNewModelPortfolio")</f>
        <v>AddNewModelPortfolio</v>
      </c>
      <c r="C660" s="0" t="str">
        <f>IFERROR(__xludf.DUMMYFUNCTION("""COMPUTED_VALUE"""),"1Qh_vkSA3OzQ68ohGqDcDXce4JnkIitnyepLjVSKsW40")</f>
        <v>1Qh_vkSA3OzQ68ohGqDcDXce4JnkIitnyepLjVSKsW40</v>
      </c>
    </row>
    <row r="661" ht="15.75" customHeight="1">
      <c r="A661" s="0" t="str">
        <f>IFERROR(__xludf.DUMMYFUNCTION("""COMPUTED_VALUE"""),"MultiTradingTicket")</f>
        <v>MultiTradingTicket</v>
      </c>
      <c r="B661" s="0" t="str">
        <f>IFERROR(__xludf.DUMMYFUNCTION("""COMPUTED_VALUE"""),"ApplyFilterOnMTTGrid")</f>
        <v>ApplyFilterOnMTTGrid</v>
      </c>
      <c r="C661" s="0" t="str">
        <f>IFERROR(__xludf.DUMMYFUNCTION("""COMPUTED_VALUE"""),"1Vbhwhkyzzv1rTVbuvoBAl60OJALDvg_yXNHVYwq0EhE")</f>
        <v>1Vbhwhkyzzv1rTVbuvoBAl60OJALDvg_yXNHVYwq0EhE</v>
      </c>
    </row>
    <row r="662" ht="15.75" customHeight="1">
      <c r="A662" s="0" t="str">
        <f>IFERROR(__xludf.DUMMYFUNCTION("""COMPUTED_VALUE"""),"Blotter")</f>
        <v>Blotter</v>
      </c>
      <c r="B662" s="0" t="str">
        <f>IFERROR(__xludf.DUMMYFUNCTION("""COMPUTED_VALUE"""),"EditOrderForMTT")</f>
        <v>EditOrderForMTT</v>
      </c>
      <c r="C662" s="0" t="str">
        <f>IFERROR(__xludf.DUMMYFUNCTION("""COMPUTED_VALUE"""),"1qWfM-5I-ku-5EHZAkn8eS-IZo3tx5B4_gWM6t3Q6Ioo")</f>
        <v>1qWfM-5I-ku-5EHZAkn8eS-IZo3tx5B4_gWM6t3Q6Ioo</v>
      </c>
    </row>
    <row r="663" ht="15.75" customHeight="1">
      <c r="A663" s="0" t="str">
        <f>IFERROR(__xludf.DUMMYFUNCTION("""COMPUTED_VALUE"""),"PortfolioManagement")</f>
        <v>PortfolioManagement</v>
      </c>
      <c r="B663" s="0" t="str">
        <f>IFERROR(__xludf.DUMMYFUNCTION("""COMPUTED_VALUE"""),"ViewSettings")</f>
        <v>ViewSettings</v>
      </c>
      <c r="C663" s="0" t="str">
        <f>IFERROR(__xludf.DUMMYFUNCTION("""COMPUTED_VALUE"""),"1BCFYc9ywS4ss91grP2kHc2F1OGEGuTk3Hc5CFYfKKao")</f>
        <v>1BCFYc9ywS4ss91grP2kHc2F1OGEGuTk3Hc5CFYfKKao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IFERROR(__xludf.DUMMYFUNCTION("""COMPUTED_VALUE"""),"SaveLayoutPM")</f>
        <v>SaveLayoutPM</v>
      </c>
      <c r="C664" s="0" t="str">
        <f>IFERROR(__xludf.DUMMYFUNCTION("""COMPUTED_VALUE"""),"18bINF8LvIWUr1rFpe1vpLTKdPT6dJi-B14KFcAVwyfQ")</f>
        <v>18bINF8LvIWUr1rFpe1vpLTKdPT6dJi-B14KFcAVwyfQ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IFERROR(__xludf.DUMMYFUNCTION("""COMPUTED_VALUE"""),"OpenCustomView")</f>
        <v>OpenCustomView</v>
      </c>
      <c r="C665" s="0" t="str">
        <f>IFERROR(__xludf.DUMMYFUNCTION("""COMPUTED_VALUE"""),"1aiFAc6kqib929pQs2Ufmf6eB0G6tPhDoqY6caFUaSUk")</f>
        <v>1aiFAc6kqib929pQs2Ufmf6eB0G6tPhDoqY6caFUaSUk</v>
      </c>
    </row>
    <row r="666" ht="15.75" customHeight="1">
      <c r="A666" s="0" t="str">
        <f>IFERROR(__xludf.DUMMYFUNCTION("""COMPUTED_VALUE"""),"Blotter")</f>
        <v>Blotter</v>
      </c>
      <c r="B666" s="0" t="str">
        <f>IFERROR(__xludf.DUMMYFUNCTION("""COMPUTED_VALUE"""),"VerifyCustomTabs")</f>
        <v>VerifyCustomTabs</v>
      </c>
      <c r="C666" s="0" t="str">
        <f>IFERROR(__xludf.DUMMYFUNCTION("""COMPUTED_VALUE"""),"1s7r1b7iwigom4v0m_RFb-ufZk23d2CqFi99gb-mX0YY")</f>
        <v>1s7r1b7iwigom4v0m_RFb-ufZk23d2CqFi99gb-mX0YY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IFERROR(__xludf.DUMMYFUNCTION("""COMPUTED_VALUE"""),"SelectCheckBoxOnCustomTab")</f>
        <v>SelectCheckBoxOnCustomTab</v>
      </c>
      <c r="C667" s="0" t="str">
        <f>IFERROR(__xludf.DUMMYFUNCTION("""COMPUTED_VALUE"""),"1W7_hWkxbVlSNSzD2alHZ5u1n0B8MxwrlBkeZiMYqHMY")</f>
        <v>1W7_hWkxbVlSNSzD2alHZ5u1n0B8MxwrlBkeZiMYqHMY</v>
      </c>
    </row>
    <row r="668" ht="15.75" customHeight="1">
      <c r="A668" s="0" t="str">
        <f>IFERROR(__xludf.DUMMYFUNCTION("""COMPUTED_VALUE"""),"Admin")</f>
        <v>Admin</v>
      </c>
      <c r="B668" s="0" t="str">
        <f>IFERROR(__xludf.DUMMYFUNCTION("""COMPUTED_VALUE"""),"SetCommissionRule")</f>
        <v>SetCommissionRule</v>
      </c>
      <c r="C668" s="0" t="str">
        <f>IFERROR(__xludf.DUMMYFUNCTION("""COMPUTED_VALUE"""),"1e-yvODG5ey0ZbxkvSZQ_rap65UOoA-JbxTp0ybaw-TQ")</f>
        <v>1e-yvODG5ey0ZbxkvSZQ_rap65UOoA-JbxTp0ybaw-TQ</v>
      </c>
    </row>
    <row r="669" ht="15.75" customHeight="1">
      <c r="A669" s="0" t="str">
        <f>IFERROR(__xludf.DUMMYFUNCTION("""COMPUTED_VALUE"""),"Rebalancer")</f>
        <v>Rebalancer</v>
      </c>
      <c r="B669" s="0" t="str">
        <f>IFERROR(__xludf.DUMMYFUNCTION("""COMPUTED_VALUE"""),"VerifyBuySellList")</f>
        <v>VerifyBuySellList</v>
      </c>
      <c r="C669" s="0" t="str">
        <f>IFERROR(__xludf.DUMMYFUNCTION("""COMPUTED_VALUE"""),"1O2u9vu9lB8RTOcsD20GdbXlSWEbt310TUvIkuLxRuBg")</f>
        <v>1O2u9vu9lB8RTOcsD20GdbXlSWEbt310TUvIkuLxRuBg</v>
      </c>
    </row>
    <row r="670" ht="15.75" customHeight="1">
      <c r="A670" s="0" t="str">
        <f>IFERROR(__xludf.DUMMYFUNCTION("""COMPUTED_VALUE"""),"Admin")</f>
        <v>Admin</v>
      </c>
      <c r="B670" s="0" t="str">
        <f>IFERROR(__xludf.DUMMYFUNCTION("""COMPUTED_VALUE"""),"SetPreTradeCompliancePermission")</f>
        <v>SetPreTradeCompliancePermission</v>
      </c>
      <c r="C670" s="0" t="str">
        <f>IFERROR(__xludf.DUMMYFUNCTION("""COMPUTED_VALUE"""),"1ewjQxQzAYWPb_Xt7eg-BDaW0JVta4cevciiv9vOUvg0")</f>
        <v>1ewjQxQzAYWPb_Xt7eg-BDaW0JVta4cevciiv9vOUvg0</v>
      </c>
    </row>
    <row r="671" ht="15.75" customHeight="1">
      <c r="A671" s="0" t="str">
        <f>IFERROR(__xludf.DUMMYFUNCTION("""COMPUTED_VALUE"""),"Blotter")</f>
        <v>Blotter</v>
      </c>
      <c r="B671" s="0" t="str">
        <f>IFERROR(__xludf.DUMMYFUNCTION("""COMPUTED_VALUE"""),"UploadStageOrder")</f>
        <v>UploadStageOrder</v>
      </c>
      <c r="C671" s="0" t="str">
        <f>IFERROR(__xludf.DUMMYFUNCTION("""COMPUTED_VALUE"""),"1lK9zUhBpffXk_Fyp8pfWJfS2RpqtAwa9zGPb9Vlkb7Q")</f>
        <v>1lK9zUhBpffXk_Fyp8pfWJfS2RpqtAwa9zGPb9Vlkb7Q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IFERROR(__xludf.DUMMYFUNCTION("""COMPUTED_VALUE"""),"RefreshBlotter")</f>
        <v>RefreshBlotter</v>
      </c>
      <c r="C672" s="0" t="str">
        <f>IFERROR(__xludf.DUMMYFUNCTION("""COMPUTED_VALUE"""),"Undefined")</f>
        <v>Undefined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IFERROR(__xludf.DUMMYFUNCTION("""COMPUTED_VALUE"""),"CancelFromSummary")</f>
        <v>CancelFromSummary</v>
      </c>
      <c r="C673" s="0" t="str">
        <f>IFERROR(__xludf.DUMMYFUNCTION("""COMPUTED_VALUE"""),"1jSLVysCdd7TUYKjG07aOiq3UU-oAUNbdPg35uHeWwhk")</f>
        <v>1jSLVysCdd7TUYKjG07aOiq3UU-oAUNbdPg35uHeWwhk</v>
      </c>
    </row>
    <row r="674" ht="15.75" customHeight="1">
      <c r="A674" s="0" t="str">
        <f>IFERROR(__xludf.DUMMYFUNCTION("""COMPUTED_VALUE"""),"PortfolioManagement")</f>
        <v>PortfolioManagement</v>
      </c>
      <c r="B674" s="0" t="str">
        <f>IFERROR(__xludf.DUMMYFUNCTION("""COMPUTED_VALUE"""),"OpenTaxlotDetails")</f>
        <v>OpenTaxlotDetails</v>
      </c>
      <c r="C674" s="0" t="str">
        <f>IFERROR(__xludf.DUMMYFUNCTION("""COMPUTED_VALUE"""),"183AzyWH5HmQPGs1axkOpXRel-i1zs9GjyySy7q1x--0")</f>
        <v>183AzyWH5HmQPGs1axkOpXRel-i1zs9GjyySy7q1x--0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IFERROR(__xludf.DUMMYFUNCTION("""COMPUTED_VALUE"""),"CheckTaxlotDetails")</f>
        <v>CheckTaxlotDetails</v>
      </c>
      <c r="C675" s="0" t="str">
        <f>IFERROR(__xludf.DUMMYFUNCTION("""COMPUTED_VALUE"""),"1u7Vyi2HvA8tXNgHY_2MzmzcCg8vrtuLRURK0hFpMTXk")</f>
        <v>1u7Vyi2HvA8tXNgHY_2MzmzcCg8vrtuLRURK0hFpMTXk</v>
      </c>
    </row>
    <row r="676" ht="15.75" customHeight="1">
      <c r="A676" s="0" t="str">
        <f>IFERROR(__xludf.DUMMYFUNCTION("""COMPUTED_VALUE"""),"Blotter")</f>
        <v>Blotter</v>
      </c>
      <c r="B676" s="0" t="str">
        <f>IFERROR(__xludf.DUMMYFUNCTION("""COMPUTED_VALUE"""),"VerifyAuditTrail")</f>
        <v>VerifyAuditTrail</v>
      </c>
      <c r="C676" s="0" t="str">
        <f>IFERROR(__xludf.DUMMYFUNCTION("""COMPUTED_VALUE"""),"1SsF4E82QKwgB26ZoKXUhkX5AaUZdZC5n2EeHmwKGduU")</f>
        <v>1SsF4E82QKwgB26ZoKXUhkX5AaUZdZC5n2EeHmwKGduU</v>
      </c>
    </row>
    <row r="677" ht="15.75" customHeight="1">
      <c r="A677" s="0" t="str">
        <f>IFERROR(__xludf.DUMMYFUNCTION("""COMPUTED_VALUE"""),"PranaClient")</f>
        <v>PranaClient</v>
      </c>
      <c r="B677" s="0" t="str">
        <f>IFERROR(__xludf.DUMMYFUNCTION("""COMPUTED_VALUE"""),"DbPicker")</f>
        <v>DbPicker</v>
      </c>
      <c r="C677" s="0" t="str">
        <f>IFERROR(__xludf.DUMMYFUNCTION("""COMPUTED_VALUE"""),"1tqSr_cmWz94o-j1zOzyqKpbL44h18j2PCfFMgpuxVw0")</f>
        <v>1tqSr_cmWz94o-j1zOzyqKpbL44h18j2PCfFMgpuxVw0</v>
      </c>
    </row>
    <row r="678" ht="15.75" customHeight="1">
      <c r="A678" s="0" t="str">
        <f>IFERROR(__xludf.DUMMYFUNCTION("""COMPUTED_VALUE"""),"Simulator")</f>
        <v>Simulator</v>
      </c>
      <c r="B678" s="0" t="str">
        <f>IFERROR(__xludf.DUMMYFUNCTION("""COMPUTED_VALUE"""),"DoneForDay")</f>
        <v>DoneForDay</v>
      </c>
      <c r="C678" s="0" t="str">
        <f>IFERROR(__xludf.DUMMYFUNCTION("""COMPUTED_VALUE"""),"Undefined")</f>
        <v>Undefined</v>
      </c>
    </row>
    <row r="679" ht="15.75" customHeight="1">
      <c r="A679" s="0" t="str">
        <f>IFERROR(__xludf.DUMMYFUNCTION("""COMPUTED_VALUE"""),"Admin")</f>
        <v>Admin</v>
      </c>
      <c r="B679" s="0" t="str">
        <f>IFERROR(__xludf.DUMMYFUNCTION("""COMPUTED_VALUE"""),"SetAuecExecutingBroker")</f>
        <v>SetAuecExecutingBroker</v>
      </c>
      <c r="C679" s="0" t="str">
        <f>IFERROR(__xludf.DUMMYFUNCTION("""COMPUTED_VALUE"""),"1FOtSQ752PHH-4nayG7R-PaG921WCWKVU8Lsl4pC6Mr0")</f>
        <v>1FOtSQ752PHH-4nayG7R-PaG921WCWKVU8Lsl4pC6Mr0</v>
      </c>
    </row>
    <row r="680" ht="15.75" customHeight="1">
      <c r="A680" s="0" t="str">
        <f>IFERROR(__xludf.DUMMYFUNCTION("""COMPUTED_VALUE"""),"AuditTrail")</f>
        <v>AuditTrail</v>
      </c>
      <c r="B680" s="0" t="str">
        <f>IFERROR(__xludf.DUMMYFUNCTION("""COMPUTED_VALUE"""),"GetDataFromAuditTrail")</f>
        <v>GetDataFromAuditTrail</v>
      </c>
      <c r="C680" s="0" t="str">
        <f>IFERROR(__xludf.DUMMYFUNCTION("""COMPUTED_VALUE"""),"1tNXZNqCj-1qo8Li9Rf4t_XiY-dX6itH2UAbOSe3-Mxc")</f>
        <v>1tNXZNqCj-1qo8Li9Rf4t_XiY-dX6itH2UAbOSe3-Mxc</v>
      </c>
    </row>
    <row r="681" ht="15.75" customHeight="1">
      <c r="A681" s="0" t="str">
        <f>IFERROR(__xludf.DUMMYFUNCTION("""COMPUTED_VALUE"""),"AuditTrail")</f>
        <v>AuditTrail</v>
      </c>
      <c r="B681" s="0" t="str">
        <f>IFERROR(__xludf.DUMMYFUNCTION("""COMPUTED_VALUE"""),"VerifyAuditTrail")</f>
        <v>VerifyAuditTrail</v>
      </c>
      <c r="C681" s="0" t="str">
        <f>IFERROR(__xludf.DUMMYFUNCTION("""COMPUTED_VALUE"""),"1yv4ikffZOFZ-OOoWF_aNEGZA8dcvqtzobkyZjf8TDRs")</f>
        <v>1yv4ikffZOFZ-OOoWF_aNEGZA8dcvqtzobkyZjf8TDRs</v>
      </c>
    </row>
    <row r="682" ht="15.75" customHeight="1">
      <c r="A682" s="0" t="str">
        <f>IFERROR(__xludf.DUMMYFUNCTION("""COMPUTED_VALUE"""),"PranaClient")</f>
        <v>PranaClient</v>
      </c>
      <c r="B682" s="0" t="str">
        <f>IFERROR(__xludf.DUMMYFUNCTION("""COMPUTED_VALUE"""),"RunPortfolio")</f>
        <v>RunPortfolio</v>
      </c>
      <c r="C682" s="0" t="str">
        <f>IFERROR(__xludf.DUMMYFUNCTION("""COMPUTED_VALUE"""),"1zDfER5xLj_X17wyRdaAzzNf3aYbaPGLRGVpc2rFBtc0")</f>
        <v>1zDfER5xLj_X17wyRdaAzzNf3aYbaPGLRGVpc2rFBtc0</v>
      </c>
    </row>
    <row r="683" ht="15.75" customHeight="1">
      <c r="A683" s="0" t="str">
        <f>IFERROR(__xludf.DUMMYFUNCTION("""COMPUTED_VALUE"""),"Blotter")</f>
        <v>Blotter</v>
      </c>
      <c r="B683" s="0" t="str">
        <f>IFERROR(__xludf.DUMMYFUNCTION("""COMPUTED_VALUE"""),"AddOrRemoveColumnFromBlotter")</f>
        <v>AddOrRemoveColumnFromBlotter</v>
      </c>
      <c r="C683" s="0" t="str">
        <f>IFERROR(__xludf.DUMMYFUNCTION("""COMPUTED_VALUE"""),"1AImtOGYKAeR3YFeq_UoGYWtzjfmt90mMudYE0gCcfuY")</f>
        <v>1AImtOGYKAeR3YFeq_UoGYWtzjfmt90mMudYE0gCcfuY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IFERROR(__xludf.DUMMYFUNCTION("""COMPUTED_VALUE"""),"ApplyFilterOnBlotter")</f>
        <v>ApplyFilterOnBlotter</v>
      </c>
      <c r="C684" s="0" t="str">
        <f>IFERROR(__xludf.DUMMYFUNCTION("""COMPUTED_VALUE"""),"1HwDVyMvyOdl2-ZD1QqhAZuwUuRJSMW_PlBPxaE_76EI")</f>
        <v>1HwDVyMvyOdl2-ZD1QqhAZuwUuRJSMW_PlBPxaE_76EI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IFERROR(__xludf.DUMMYFUNCTION("""COMPUTED_VALUE"""),"SortGridOnBlotter")</f>
        <v>SortGridOnBlotter</v>
      </c>
      <c r="C685" s="0" t="str">
        <f>IFERROR(__xludf.DUMMYFUNCTION("""COMPUTED_VALUE"""),"1MvLrWPS7fBH0YzOrBIt5TdlPdCiRTwsVXBfvicm6qvY")</f>
        <v>1MvLrWPS7fBH0YzOrBIt5TdlPdCiRTwsVXBfvicm6qvY</v>
      </c>
    </row>
    <row r="686" ht="15.75" customHeight="1">
      <c r="A686" s="0" t="str">
        <f>IFERROR(__xludf.DUMMYFUNCTION("""COMPUTED_VALUE"""),"Blotter")</f>
        <v>Blotter</v>
      </c>
      <c r="B686" s="0" t="str">
        <f>IFERROR(__xludf.DUMMYFUNCTION("""COMPUTED_VALUE"""),"VerifyDataIndexWise")</f>
        <v>VerifyDataIndexWise</v>
      </c>
      <c r="C686" s="0" t="str">
        <f>IFERROR(__xludf.DUMMYFUNCTION("""COMPUTED_VALUE"""),"18hzviv5ObHcdclDM2TEFd2OQL7r5vS4oemcrzjwtOSk")</f>
        <v>18hzviv5ObHcdclDM2TEFd2OQL7r5vS4oemcrzjwtOSk</v>
      </c>
    </row>
    <row r="687" ht="15.75" customHeight="1">
      <c r="A687" s="0" t="str">
        <f>IFERROR(__xludf.DUMMYFUNCTION("""COMPUTED_VALUE"""),"RTPNL")</f>
        <v>RTPNL</v>
      </c>
      <c r="B687" s="0" t="str">
        <f>IFERROR(__xludf.DUMMYFUNCTION("""COMPUTED_VALUE"""),"CheckSummaryDashboard")</f>
        <v>CheckSummaryDashboard</v>
      </c>
      <c r="C687" s="0" t="str">
        <f>IFERROR(__xludf.DUMMYFUNCTION("""COMPUTED_VALUE"""),"19yZ--qYnhGSO8AdhnHqcmGmViOWMDkup5wR8bA3T2Os")</f>
        <v>19yZ--qYnhGSO8AdhnHqcmGmViOWMDkup5wR8bA3T2Os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IFERROR(__xludf.DUMMYFUNCTION("""COMPUTED_VALUE"""),"CheckFundLevelAggregation")</f>
        <v>CheckFundLevelAggregation</v>
      </c>
      <c r="C688" s="0" t="str">
        <f>IFERROR(__xludf.DUMMYFUNCTION("""COMPUTED_VALUE"""),"1onoHaI0svf2S0wDmLkCePbLXTpyPt2uzhxg7tVdRMeI")</f>
        <v>1onoHaI0svf2S0wDmLkCePbLXTpyPt2uzhxg7tVdRMeI</v>
      </c>
    </row>
    <row r="689" ht="15.75" customHeight="1">
      <c r="A689" s="0" t="str">
        <f>IFERROR(__xludf.DUMMYFUNCTION("""COMPUTED_VALUE"""),"RTPNL")</f>
        <v>RTPNL</v>
      </c>
      <c r="B689" s="0" t="str">
        <f>IFERROR(__xludf.DUMMYFUNCTION("""COMPUTED_VALUE"""),"CheckAccountLevelAggregation")</f>
        <v>CheckAccountLevelAggregation</v>
      </c>
      <c r="C689" s="0" t="str">
        <f>IFERROR(__xludf.DUMMYFUNCTION("""COMPUTED_VALUE"""),"1wpk-GXi0GZ8cadXtuW18V6GfYany_8NjDMShh2aobZ4")</f>
        <v>1wpk-GXi0GZ8cadXtuW18V6GfYany_8NjDMShh2aobZ4</v>
      </c>
    </row>
    <row r="690" ht="15.75" customHeight="1">
      <c r="A690" s="0" t="str">
        <f>IFERROR(__xludf.DUMMYFUNCTION("""COMPUTED_VALUE"""),"RTPNL")</f>
        <v>RTPNL</v>
      </c>
      <c r="B690" s="0" t="str">
        <f>IFERROR(__xludf.DUMMYFUNCTION("""COMPUTED_VALUE"""),"CheckSymbolLevelAggregation")</f>
        <v>CheckSymbolLevelAggregation</v>
      </c>
      <c r="C690" s="0" t="str">
        <f>IFERROR(__xludf.DUMMYFUNCTION("""COMPUTED_VALUE"""),"1j6_k8vwocZ8wAvUMMfdx9IKldUmmqzRN2HCaaoFysqc")</f>
        <v>1j6_k8vwocZ8wAvUMMfdx9IKldUmmqzRN2HCaaoFysqc</v>
      </c>
    </row>
    <row r="691" ht="15.75" customHeight="1">
      <c r="A691" s="0" t="str">
        <f>IFERROR(__xludf.DUMMYFUNCTION("""COMPUTED_VALUE"""),"RTPNL")</f>
        <v>RTPNL</v>
      </c>
      <c r="B691" s="0" t="str">
        <f>IFERROR(__xludf.DUMMYFUNCTION("""COMPUTED_VALUE"""),"CheckRealTimeSymbolFundMonitor")</f>
        <v>CheckRealTimeSymbolFundMonitor</v>
      </c>
      <c r="C691" s="0" t="str">
        <f>IFERROR(__xludf.DUMMYFUNCTION("""COMPUTED_VALUE"""),"1YeAroYmlm8GLwEhMTsKLli9Lc6cZEoPatK76WOit8ho")</f>
        <v>1YeAroYmlm8GLwEhMTsKLli9Lc6cZEoPatK76WOit8ho</v>
      </c>
    </row>
    <row r="692" ht="15.75" customHeight="1">
      <c r="A692" s="0" t="str">
        <f>IFERROR(__xludf.DUMMYFUNCTION("""COMPUTED_VALUE"""),"RTPNL")</f>
        <v>RTPNL</v>
      </c>
      <c r="B692" s="0" t="str">
        <f>IFERROR(__xludf.DUMMYFUNCTION("""COMPUTED_VALUE"""),"CheckRealTimeSymAccountMonitor")</f>
        <v>CheckRealTimeSymAccountMonitor</v>
      </c>
      <c r="C692" s="0" t="str">
        <f>IFERROR(__xludf.DUMMYFUNCTION("""COMPUTED_VALUE"""),"1YWIN_lFXkJFac_sw0d58YkjeJOr7Xa3JotKO9BAEG3Q")</f>
        <v>1YWIN_lFXkJFac_sw0d58YkjeJOr7Xa3JotKO9BAEG3Q</v>
      </c>
    </row>
    <row r="693" ht="15.75" customHeight="1">
      <c r="A693" s="0" t="str">
        <f>IFERROR(__xludf.DUMMYFUNCTION("""COMPUTED_VALUE"""),"CorporateAction")</f>
        <v>CorporateAction</v>
      </c>
      <c r="B693" s="0" t="str">
        <f>IFERROR(__xludf.DUMMYFUNCTION("""COMPUTED_VALUE"""),"Split")</f>
        <v>Split</v>
      </c>
      <c r="C693" s="0" t="str">
        <f>IFERROR(__xludf.DUMMYFUNCTION("""COMPUTED_VALUE"""),"1YQNpSzhH6xtFfgEJnDqykr5nsIzqMbnBQEatRhEpHOs")</f>
        <v>1YQNpSzhH6xtFfgEJnDqykr5nsIzqMbnBQEatRhEpHOs</v>
      </c>
    </row>
    <row r="694" ht="15.75" customHeight="1">
      <c r="A694" s="0" t="str">
        <f>IFERROR(__xludf.DUMMYFUNCTION("""COMPUTED_VALUE"""),"RTPNL")</f>
        <v>RTPNL</v>
      </c>
      <c r="B694" s="0" t="str">
        <f>IFERROR(__xludf.DUMMYFUNCTION("""COMPUTED_VALUE"""),"CreateDashBoard")</f>
        <v>CreateDashBoard</v>
      </c>
      <c r="C694" s="0" t="str">
        <f>IFERROR(__xludf.DUMMYFUNCTION("""COMPUTED_VALUE"""),"1dY75aj2BVOI4B62Yc0rtSVntoWfkhHllgE9tFaIW26k")</f>
        <v>1dY75aj2BVOI4B62Yc0rtSVntoWfkhHllgE9tFaIW26k</v>
      </c>
    </row>
    <row r="695" ht="15.75" customHeight="1">
      <c r="A695" s="0" t="str">
        <f>IFERROR(__xludf.DUMMYFUNCTION("""COMPUTED_VALUE"""),"OpenFin")</f>
        <v>OpenFin</v>
      </c>
      <c r="B695" s="0" t="str">
        <f>IFERROR(__xludf.DUMMYFUNCTION("""COMPUTED_VALUE"""),"CheckOpenFinWindowName")</f>
        <v>CheckOpenFinWindowName</v>
      </c>
      <c r="C695" s="0" t="str">
        <f>IFERROR(__xludf.DUMMYFUNCTION("""COMPUTED_VALUE"""),"1_QbFW_DIr-YIJKQnRAaHNRalcZ0QCmFiB-DdP5Sbwko")</f>
        <v>1_QbFW_DIr-YIJKQnRAaHNRalcZ0QCmFiB-DdP5Sbwko</v>
      </c>
    </row>
    <row r="696" ht="15.75" customHeight="1">
      <c r="A696" s="0" t="str">
        <f>IFERROR(__xludf.DUMMYFUNCTION("""COMPUTED_VALUE"""),"OpenFin")</f>
        <v>OpenFin</v>
      </c>
      <c r="B696" s="0" t="str">
        <f>IFERROR(__xludf.DUMMYFUNCTION("""COMPUTED_VALUE"""),"OpenWindowFromSearch")</f>
        <v>OpenWindowFromSearch</v>
      </c>
      <c r="C696" s="0" t="str">
        <f>IFERROR(__xludf.DUMMYFUNCTION("""COMPUTED_VALUE"""),"1e8B2KIAHr80o-fgghowV60Cd3dClYg316CFpnQaQAIE")</f>
        <v>1e8B2KIAHr80o-fgghowV60Cd3dClYg316CFpnQaQAIE</v>
      </c>
    </row>
    <row r="697" ht="15.75" customHeight="1">
      <c r="A697" s="0" t="str">
        <f>IFERROR(__xludf.DUMMYFUNCTION("""COMPUTED_VALUE"""),"TradingTicket")</f>
        <v>TradingTicket</v>
      </c>
      <c r="B697" s="0" t="str">
        <f>IFERROR(__xludf.DUMMYFUNCTION("""COMPUTED_VALUE"""),"OptionTradingThroughSecurity")</f>
        <v>OptionTradingThroughSecurity</v>
      </c>
      <c r="C697" s="0" t="str">
        <f>IFERROR(__xludf.DUMMYFUNCTION("""COMPUTED_VALUE"""),"1clAdB0F6htmQF_MbmjwcIdau2ji1ufQer1WZBDOaeBQ")</f>
        <v>1clAdB0F6htmQF_MbmjwcIdau2ji1ufQer1WZBDOaeBQ</v>
      </c>
    </row>
    <row r="698" ht="15.75" customHeight="1">
      <c r="A698" s="0" t="str">
        <f>IFERROR(__xludf.DUMMYFUNCTION("""COMPUTED_VALUE"""),"RTPNL")</f>
        <v>RTPNL</v>
      </c>
      <c r="B698" s="0" t="str">
        <f>IFERROR(__xludf.DUMMYFUNCTION("""COMPUTED_VALUE"""),"UpdateDashboardName")</f>
        <v>UpdateDashboardName</v>
      </c>
      <c r="C698" s="0" t="str">
        <f>IFERROR(__xludf.DUMMYFUNCTION("""COMPUTED_VALUE"""),"1aNmeOLOU3vHxn4vCNTUtDLnYV9ZzH4jYF4G95SD77ow")</f>
        <v>1aNmeOLOU3vHxn4vCNTUtDLnYV9ZzH4jYF4G95SD77ow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IFERROR(__xludf.DUMMYFUNCTION("""COMPUTED_VALUE"""),"AddWidget")</f>
        <v>AddWidget</v>
      </c>
      <c r="C699" s="0" t="str">
        <f>IFERROR(__xludf.DUMMYFUNCTION("""COMPUTED_VALUE"""),"1QetwOPuGJZ9VGJxG4h8-cX_06kX2sFa3dVbulVAf6H8")</f>
        <v>1QetwOPuGJZ9VGJxG4h8-cX_06kX2sFa3dVbulVAf6H8</v>
      </c>
    </row>
    <row r="700" ht="15.75" customHeight="1">
      <c r="A700" s="0" t="str">
        <f>IFERROR(__xludf.DUMMYFUNCTION("""COMPUTED_VALUE"""),"RTPNL")</f>
        <v>RTPNL</v>
      </c>
      <c r="B700" s="0" t="str">
        <f>IFERROR(__xludf.DUMMYFUNCTION("""COMPUTED_VALUE"""),"CheckDashboardWidgetTitle")</f>
        <v>CheckDashboardWidgetTitle</v>
      </c>
      <c r="C700" s="0" t="str">
        <f>IFERROR(__xludf.DUMMYFUNCTION("""COMPUTED_VALUE"""),"1HywJj49UTJ0a2drrA-uSVbVT8uwRKeg9hrZ_IYbHs7M")</f>
        <v>1HywJj49UTJ0a2drrA-uSVbVT8uwRKeg9hrZ_IYbHs7M</v>
      </c>
    </row>
    <row r="701" ht="15.75" customHeight="1">
      <c r="A701" s="0" t="str">
        <f>IFERROR(__xludf.DUMMYFUNCTION("""COMPUTED_VALUE"""),"RTPNL")</f>
        <v>RTPNL</v>
      </c>
      <c r="B701" s="0" t="str">
        <f>IFERROR(__xludf.DUMMYFUNCTION("""COMPUTED_VALUE"""),"updateWidget")</f>
        <v>updateWidget</v>
      </c>
      <c r="C701" s="0" t="str">
        <f>IFERROR(__xludf.DUMMYFUNCTION("""COMPUTED_VALUE"""),"1SEQwBhkZIg_dA_RSQqCGv5m0-nf1OjN8eXQzvxE35tE")</f>
        <v>1SEQwBhkZIg_dA_RSQqCGv5m0-nf1OjN8eXQzvxE35tE</v>
      </c>
    </row>
    <row r="702" ht="15.75" customHeight="1">
      <c r="A702" s="0" t="str">
        <f>IFERROR(__xludf.DUMMYFUNCTION("""COMPUTED_VALUE"""),"Admin")</f>
        <v>Admin</v>
      </c>
      <c r="B702" s="0" t="str">
        <f>IFERROR(__xludf.DUMMYFUNCTION("""COMPUTED_VALUE"""),"SetAlgoBroker")</f>
        <v>SetAlgoBroker</v>
      </c>
      <c r="C702" s="0" t="str">
        <f>IFERROR(__xludf.DUMMYFUNCTION("""COMPUTED_VALUE"""),"1ysK6XeT3Tu7B_jcnGseqzvKUCFY5_PNP6KEmR-uswgE")</f>
        <v>1ysK6XeT3Tu7B_jcnGseqzvKUCFY5_PNP6KEmR-uswgE</v>
      </c>
    </row>
    <row r="703" ht="15.75" customHeight="1">
      <c r="A703" s="0" t="str">
        <f>IFERROR(__xludf.DUMMYFUNCTION("""COMPUTED_VALUE"""),"TradingTicket")</f>
        <v>TradingTicket</v>
      </c>
      <c r="B703" s="0" t="str">
        <f>IFERROR(__xludf.DUMMYFUNCTION("""COMPUTED_VALUE"""),"CreateTradeWithAlgoBroker")</f>
        <v>CreateTradeWithAlgoBroker</v>
      </c>
      <c r="C703" s="0" t="str">
        <f>IFERROR(__xludf.DUMMYFUNCTION("""COMPUTED_VALUE"""),"1D-4t1xB_3TrWQDfVaykN5dg7eoT58IEqv3gXIDpM20c")</f>
        <v>1D-4t1xB_3TrWQDfVaykN5dg7eoT58IEqv3gXIDpM20c</v>
      </c>
    </row>
    <row r="704" ht="15.75" customHeight="1">
      <c r="A704" s="0" t="str">
        <f>IFERROR(__xludf.DUMMYFUNCTION("""COMPUTED_VALUE"""),"Admin")</f>
        <v>Admin</v>
      </c>
      <c r="B704" s="0" t="str">
        <f>IFERROR(__xludf.DUMMYFUNCTION("""COMPUTED_VALUE"""),"EnableAutoGroupingAllocation")</f>
        <v>EnableAutoGroupingAllocation</v>
      </c>
      <c r="C704" s="0" t="str">
        <f>IFERROR(__xludf.DUMMYFUNCTION("""COMPUTED_VALUE"""),"1NeqButT68ws592R_0_8U2URVQT-opGH4uQ6W30VuDKo")</f>
        <v>1NeqButT68ws592R_0_8U2URVQT-opGH4uQ6W30VuDKo</v>
      </c>
    </row>
    <row r="705" ht="15.75" customHeight="1">
      <c r="A705" s="0" t="str">
        <f>IFERROR(__xludf.DUMMYFUNCTION("""COMPUTED_VALUE"""),"Compliance")</f>
        <v>Compliance</v>
      </c>
      <c r="B705" s="0" t="str">
        <f>IFERROR(__xludf.DUMMYFUNCTION("""COMPUTED_VALUE"""),"GetEmail")</f>
        <v>GetEmail</v>
      </c>
      <c r="C705" s="0" t="str">
        <f>IFERROR(__xludf.DUMMYFUNCTION("""COMPUTED_VALUE"""),"14zIr297hHEwbCXtU1KW8tP9R8vZWp-yZlZOWIyQ8JM8")</f>
        <v>14zIr297hHEwbCXtU1KW8tP9R8vZWp-yZlZOWIyQ8JM8</v>
      </c>
    </row>
    <row r="706" ht="15.75" customHeight="1">
      <c r="A706" s="0" t="str">
        <f>IFERROR(__xludf.DUMMYFUNCTION("""COMPUTED_VALUE"""),"TradeServer")</f>
        <v>TradeServer</v>
      </c>
      <c r="B706" s="0" t="str">
        <f>IFERROR(__xludf.DUMMYFUNCTION("""COMPUTED_VALUE"""),"BrokerConnectionThroughTUI")</f>
        <v>BrokerConnectionThroughTUI</v>
      </c>
      <c r="C706" s="0" t="str">
        <f>IFERROR(__xludf.DUMMYFUNCTION("""COMPUTED_VALUE"""),"1zjPR01VJFgDurgv90dzI5FheiwzguF_eQq_gmAIYF1E")</f>
        <v>1zjPR01VJFgDurgv90dzI5FheiwzguF_eQq_gmAIYF1E</v>
      </c>
    </row>
    <row r="707" ht="15.75" customHeight="1">
      <c r="A707" s="0" t="str">
        <f>IFERROR(__xludf.DUMMYFUNCTION("""COMPUTED_VALUE"""),"OpenFin")</f>
        <v>OpenFin</v>
      </c>
      <c r="B707" s="0" t="str">
        <f>IFERROR(__xludf.DUMMYFUNCTION("""COMPUTED_VALUE"""),"VerifyColour")</f>
        <v>VerifyColour</v>
      </c>
      <c r="C707" s="0" t="str">
        <f>IFERROR(__xludf.DUMMYFUNCTION("""COMPUTED_VALUE"""),"1JqfkBahL4M3QJ6OlrKFEO0l-A5PRm9-rSzRM19eNLvM")</f>
        <v>1JqfkBahL4M3QJ6OlrKFEO0l-A5PRm9-rSzRM19eNLvM</v>
      </c>
    </row>
    <row r="708" ht="15.75" customHeight="1">
      <c r="A708" s="0" t="str">
        <f>IFERROR(__xludf.DUMMYFUNCTION("""COMPUTED_VALUE"""),"RTPNL")</f>
        <v>RTPNL</v>
      </c>
      <c r="B708" s="0" t="str">
        <f>IFERROR(__xludf.DUMMYFUNCTION("""COMPUTED_VALUE"""),"OpenRTPNL")</f>
        <v>OpenRTPNL</v>
      </c>
      <c r="C708" s="0" t="str">
        <f>IFERROR(__xludf.DUMMYFUNCTION("""COMPUTED_VALUE"""),"1j-FWEidBpUuPYcE4AbSAw08LdLumr0SQSFYFcyX2SkM")</f>
        <v>1j-FWEidBpUuPYcE4AbSAw08LdLumr0SQSFYFcyX2SkM</v>
      </c>
    </row>
    <row r="709" ht="15.75" customHeight="1">
      <c r="A709" s="0" t="str">
        <f>IFERROR(__xludf.DUMMYFUNCTION("""COMPUTED_VALUE"""),"TradingTicket")</f>
        <v>TradingTicket</v>
      </c>
      <c r="B709" s="0" t="str">
        <f>IFERROR(__xludf.DUMMYFUNCTION("""COMPUTED_VALUE"""),"VerifyOrderSide")</f>
        <v>VerifyOrderSide</v>
      </c>
      <c r="C709" s="0" t="str">
        <f>IFERROR(__xludf.DUMMYFUNCTION("""COMPUTED_VALUE"""),"1c9KH-8l1ETf94Oe0mx95JD0fjeeah2gCx04R2mT4vgU")</f>
        <v>1c9KH-8l1ETf94Oe0mx95JD0fjeeah2gCx04R2mT4vgU</v>
      </c>
    </row>
    <row r="710" ht="15.75" customHeight="1">
      <c r="A710" s="0" t="str">
        <f>IFERROR(__xludf.DUMMYFUNCTION("""COMPUTED_VALUE"""),"OpenFin")</f>
        <v>OpenFin</v>
      </c>
      <c r="B710" s="0" t="str">
        <f>IFERROR(__xludf.DUMMYFUNCTION("""COMPUTED_VALUE"""),"OpenReleaseClient")</f>
        <v>OpenReleaseClient</v>
      </c>
      <c r="C710" s="0" t="str">
        <f>IFERROR(__xludf.DUMMYFUNCTION("""COMPUTED_VALUE"""),"1lDURQPfx8lvChAjYM0DztCXj5aW1r1sP_KQ4sTM3ljc")</f>
        <v>1lDURQPfx8lvChAjYM0DztCXj5aW1r1sP_KQ4sTM3ljc</v>
      </c>
    </row>
    <row r="711" ht="15.75" customHeight="1">
      <c r="A711" s="0" t="str">
        <f>IFERROR(__xludf.DUMMYFUNCTION("""COMPUTED_VALUE"""),"RTPNL")</f>
        <v>RTPNL</v>
      </c>
      <c r="B711" s="0" t="str">
        <f>IFERROR(__xludf.DUMMYFUNCTION("""COMPUTED_VALUE"""),"LinkDashboardTabs")</f>
        <v>LinkDashboardTabs</v>
      </c>
      <c r="C711" s="0" t="str">
        <f>IFERROR(__xludf.DUMMYFUNCTION("""COMPUTED_VALUE"""),"1_ZOUJw5mEb5-uMCe7uXUcU1uwSnKbENOdKRfc5frcRI")</f>
        <v>1_ZOUJw5mEb5-uMCe7uXUcU1uwSnKbENOdKRfc5frcRI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IFERROR(__xludf.DUMMYFUNCTION("""COMPUTED_VALUE"""),"SelectDashboardTabRow")</f>
        <v>SelectDashboardTabRow</v>
      </c>
      <c r="C712" s="0" t="str">
        <f>IFERROR(__xludf.DUMMYFUNCTION("""COMPUTED_VALUE"""),"10Vd3dhJiCjsba_tbRecSrC0PBN1F1QFBXBKfTY2hBy4")</f>
        <v>10Vd3dhJiCjsba_tbRecSrC0PBN1F1QFBXBKfTY2hBy4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IFERROR(__xludf.DUMMYFUNCTION("""COMPUTED_VALUE"""),"SelectRowAtFLAggregation")</f>
        <v>SelectRowAtFLAggregation</v>
      </c>
      <c r="C713" s="0" t="str">
        <f>IFERROR(__xludf.DUMMYFUNCTION("""COMPUTED_VALUE"""),"1cEp9PBaAuW5WBA5D6VvUB32hYlXbJCbbqSozcxuwCxs")</f>
        <v>1cEp9PBaAuW5WBA5D6VvUB32hYlXbJCbbqSozcxuwCxs</v>
      </c>
    </row>
    <row r="714" ht="15.75" customHeight="1">
      <c r="A714" s="0" t="str">
        <f>IFERROR(__xludf.DUMMYFUNCTION("""COMPUTED_VALUE"""),"RTPNL")</f>
        <v>RTPNL</v>
      </c>
      <c r="B714" s="0" t="str">
        <f>IFERROR(__xludf.DUMMYFUNCTION("""COMPUTED_VALUE"""),"SelectRowAtALAggregation")</f>
        <v>SelectRowAtALAggregation</v>
      </c>
      <c r="C714" s="0" t="str">
        <f>IFERROR(__xludf.DUMMYFUNCTION("""COMPUTED_VALUE"""),"1rSsC3GJdez3CoU5cuG9j4H7yxOCRUN1u8OaLrlQV3ms")</f>
        <v>1rSsC3GJdez3CoU5cuG9j4H7yxOCRUN1u8OaLrlQV3ms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IFERROR(__xludf.DUMMYFUNCTION("""COMPUTED_VALUE"""),"SelectRowAtSLAggregation")</f>
        <v>SelectRowAtSLAggregation</v>
      </c>
      <c r="C715" s="0" t="str">
        <f>IFERROR(__xludf.DUMMYFUNCTION("""COMPUTED_VALUE"""),"17LhetpqlUGKZ842KdCVcUSBi-Oo7pi9N29U1unAcSXI")</f>
        <v>17LhetpqlUGKZ842KdCVcUSBi-Oo7pi9N29U1unAcSXI</v>
      </c>
    </row>
    <row r="716" ht="15.75" customHeight="1">
      <c r="A716" s="0" t="str">
        <f>IFERROR(__xludf.DUMMYFUNCTION("""COMPUTED_VALUE"""),"RTPNL")</f>
        <v>RTPNL</v>
      </c>
      <c r="B716" s="0" t="str">
        <f>IFERROR(__xludf.DUMMYFUNCTION("""COMPUTED_VALUE"""),"SelectRowAtRTSFundMonitor")</f>
        <v>SelectRowAtRTSFundMonitor</v>
      </c>
      <c r="C716" s="0" t="str">
        <f>IFERROR(__xludf.DUMMYFUNCTION("""COMPUTED_VALUE"""),"1GfRMRoQy-JJWGhUYOAlTtktEu_COt80geQtMyahWn-g")</f>
        <v>1GfRMRoQy-JJWGhUYOAlTtktEu_COt80geQtMyahWn-g</v>
      </c>
    </row>
    <row r="717" ht="15.75" customHeight="1">
      <c r="A717" s="0" t="str">
        <f>IFERROR(__xludf.DUMMYFUNCTION("""COMPUTED_VALUE"""),"RTPNL")</f>
        <v>RTPNL</v>
      </c>
      <c r="B717" s="0" t="str">
        <f>IFERROR(__xludf.DUMMYFUNCTION("""COMPUTED_VALUE"""),"SelectRowAtRTSAccountMonitor")</f>
        <v>SelectRowAtRTSAccountMonitor</v>
      </c>
      <c r="C717" s="0" t="str">
        <f>IFERROR(__xludf.DUMMYFUNCTION("""COMPUTED_VALUE"""),"1ymWI4H-rYSuYcMBnVqoCFZgBq0wgkwh4HNQd4M6a3EE")</f>
        <v>1ymWI4H-rYSuYcMBnVqoCFZgBq0wgkwh4HNQd4M6a3EE</v>
      </c>
    </row>
    <row r="718" ht="15.75" customHeight="1">
      <c r="A718" s="0" t="str">
        <f>IFERROR(__xludf.DUMMYFUNCTION("""COMPUTED_VALUE"""),"RTPNL")</f>
        <v>RTPNL</v>
      </c>
      <c r="B718" s="0" t="str">
        <f>IFERROR(__xludf.DUMMYFUNCTION("""COMPUTED_VALUE"""),"FilterRTSAM")</f>
        <v>FilterRTSAM</v>
      </c>
      <c r="C718" s="0" t="str">
        <f>IFERROR(__xludf.DUMMYFUNCTION("""COMPUTED_VALUE"""),"19QrXgA8ZQp9FIUAggXNU6zXTsnkvA4_nCUqf6XrnTIM")</f>
        <v>19QrXgA8ZQp9FIUAggXNU6zXTsnkvA4_nCUqf6XrnTIM</v>
      </c>
    </row>
    <row r="719" ht="15.75" customHeight="1">
      <c r="A719" s="0" t="str">
        <f>IFERROR(__xludf.DUMMYFUNCTION("""COMPUTED_VALUE"""),"RTPNL")</f>
        <v>RTPNL</v>
      </c>
      <c r="B719" s="0" t="str">
        <f>IFERROR(__xludf.DUMMYFUNCTION("""COMPUTED_VALUE"""),"SortRTSAM")</f>
        <v>SortRTSAM</v>
      </c>
      <c r="C719" s="0" t="str">
        <f>IFERROR(__xludf.DUMMYFUNCTION("""COMPUTED_VALUE"""),"1JGXz9lScbj7NMo2gp1dnjyAosk2i-_vn-_beAX5olZY")</f>
        <v>1JGXz9lScbj7NMo2gp1dnjyAosk2i-_vn-_beAX5olZY</v>
      </c>
    </row>
    <row r="720" ht="15.75" customHeight="1">
      <c r="A720" s="0" t="str">
        <f>IFERROR(__xludf.DUMMYFUNCTION("""COMPUTED_VALUE"""),"TradingTicket")</f>
        <v>TradingTicket</v>
      </c>
      <c r="B720" s="0" t="str">
        <f>IFERROR(__xludf.DUMMYFUNCTION("""COMPUTED_VALUE"""),"CreateOrEditSymbolTT")</f>
        <v>CreateOrEditSymbolTT</v>
      </c>
      <c r="C720" s="0" t="str">
        <f>IFERROR(__xludf.DUMMYFUNCTION("""COMPUTED_VALUE"""),"1idmpWrKnVe2S0NRHKC3RamOBjdC5_vnd76rycS2naOU")</f>
        <v>1idmpWrKnVe2S0NRHKC3RamOBjdC5_vnd76rycS2naOU</v>
      </c>
    </row>
    <row r="721" ht="15.75" customHeight="1">
      <c r="A721" s="0" t="str">
        <f>IFERROR(__xludf.DUMMYFUNCTION("""COMPUTED_VALUE"""),"RTPNL")</f>
        <v>RTPNL</v>
      </c>
      <c r="B721" s="0" t="str">
        <f>IFERROR(__xludf.DUMMYFUNCTION("""COMPUTED_VALUE"""),"ExtractTabOutsidePMDashboard")</f>
        <v>ExtractTabOutsidePMDashboard</v>
      </c>
      <c r="C721" s="0" t="str">
        <f>IFERROR(__xludf.DUMMYFUNCTION("""COMPUTED_VALUE"""),"1gL_7b12xxIm2t8SbS3r1OEz_l436Ag72OxKiVxsSHao")</f>
        <v>1gL_7b12xxIm2t8SbS3r1OEz_l436Ag72OxKiVxsSHao</v>
      </c>
    </row>
    <row r="722" ht="15.75" customHeight="1">
      <c r="A722" s="0" t="str">
        <f>IFERROR(__xludf.DUMMYFUNCTION("""COMPUTED_VALUE"""),"RTPNL")</f>
        <v>RTPNL</v>
      </c>
      <c r="B722" s="0" t="str">
        <f>IFERROR(__xludf.DUMMYFUNCTION("""COMPUTED_VALUE"""),"SortRTSFM")</f>
        <v>SortRTSFM</v>
      </c>
      <c r="C722" s="0" t="str">
        <f>IFERROR(__xludf.DUMMYFUNCTION("""COMPUTED_VALUE"""),"1RPd2Hj7qN07O5usXRKyD6vnEBaAjN4s-c66S7_cTJL0")</f>
        <v>1RPd2Hj7qN07O5usXRKyD6vnEBaAjN4s-c66S7_cTJL0</v>
      </c>
    </row>
    <row r="723" ht="15.75" customHeight="1">
      <c r="A723" s="0" t="str">
        <f>IFERROR(__xludf.DUMMYFUNCTION("""COMPUTED_VALUE"""),"RTPNL")</f>
        <v>RTPNL</v>
      </c>
      <c r="B723" s="0" t="str">
        <f>IFERROR(__xludf.DUMMYFUNCTION("""COMPUTED_VALUE"""),"SortSLA")</f>
        <v>SortSLA</v>
      </c>
      <c r="C723" s="0" t="str">
        <f>IFERROR(__xludf.DUMMYFUNCTION("""COMPUTED_VALUE"""),"1uqQ9rYn7Web5f-3p1kL2oa_1jv5CTxiLTZgtyeOnG5k")</f>
        <v>1uqQ9rYn7Web5f-3p1kL2oa_1jv5CTxiLTZgtyeOnG5k</v>
      </c>
    </row>
    <row r="724" ht="15.75" customHeight="1">
      <c r="A724" s="0" t="str">
        <f>IFERROR(__xludf.DUMMYFUNCTION("""COMPUTED_VALUE"""),"RTPNL")</f>
        <v>RTPNL</v>
      </c>
      <c r="B724" s="0" t="str">
        <f>IFERROR(__xludf.DUMMYFUNCTION("""COMPUTED_VALUE"""),"SortALA")</f>
        <v>SortALA</v>
      </c>
      <c r="C724" s="0" t="str">
        <f>IFERROR(__xludf.DUMMYFUNCTION("""COMPUTED_VALUE"""),"1HFxukRhN8_NG06AxIvFbitVTjtpuHxAfEbMllW36roE")</f>
        <v>1HFxukRhN8_NG06AxIvFbitVTjtpuHxAfEbMllW36roE</v>
      </c>
    </row>
    <row r="725" ht="15.75" customHeight="1">
      <c r="A725" s="0" t="str">
        <f>IFERROR(__xludf.DUMMYFUNCTION("""COMPUTED_VALUE"""),"RTPNL")</f>
        <v>RTPNL</v>
      </c>
      <c r="B725" s="0" t="str">
        <f>IFERROR(__xludf.DUMMYFUNCTION("""COMPUTED_VALUE"""),"SortFLA")</f>
        <v>SortFLA</v>
      </c>
      <c r="C725" s="0" t="str">
        <f>IFERROR(__xludf.DUMMYFUNCTION("""COMPUTED_VALUE"""),"16fbn56mKuCbv6fF3O21I3-tlQPhsQWvtInKzVunyM7s")</f>
        <v>16fbn56mKuCbv6fF3O21I3-tlQPhsQWvtInKzVunyM7s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IFERROR(__xludf.DUMMYFUNCTION("""COMPUTED_VALUE"""),"FilterRTSFM")</f>
        <v>FilterRTSFM</v>
      </c>
      <c r="C726" s="0" t="str">
        <f>IFERROR(__xludf.DUMMYFUNCTION("""COMPUTED_VALUE"""),"1aR-wCrpB-M5qPHNLKmkkkDXUdLLquektow3lRehT7aA")</f>
        <v>1aR-wCrpB-M5qPHNLKmkkkDXUdLLquektow3lRehT7aA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IFERROR(__xludf.DUMMYFUNCTION("""COMPUTED_VALUE"""),"FilterSLA")</f>
        <v>FilterSLA</v>
      </c>
      <c r="C727" s="0" t="str">
        <f>IFERROR(__xludf.DUMMYFUNCTION("""COMPUTED_VALUE"""),"1VstTCReOBMZnMYs_uYfmc2u8trc1ET-vbWFFCBehT_I")</f>
        <v>1VstTCReOBMZnMYs_uYfmc2u8trc1ET-vbWFFCBehT_I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IFERROR(__xludf.DUMMYFUNCTION("""COMPUTED_VALUE"""),"FilterALA")</f>
        <v>FilterALA</v>
      </c>
      <c r="C728" s="0" t="str">
        <f>IFERROR(__xludf.DUMMYFUNCTION("""COMPUTED_VALUE"""),"1a9lso4ZEh6d-62hPnh0hEsACtRSusVGWjAO1Q5WPAEg")</f>
        <v>1a9lso4ZEh6d-62hPnh0hEsACtRSusVGWjAO1Q5WPAEg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IFERROR(__xludf.DUMMYFUNCTION("""COMPUTED_VALUE"""),"FilterFLA")</f>
        <v>FilterFLA</v>
      </c>
      <c r="C729" s="0" t="str">
        <f>IFERROR(__xludf.DUMMYFUNCTION("""COMPUTED_VALUE"""),"1iInEvGMej-U3deNeFM-LhHIJxa9DnH1LfYmUlixwoO0")</f>
        <v>1iInEvGMej-U3deNeFM-LhHIJxa9DnH1LfYmUlixwoO0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IFERROR(__xludf.DUMMYFUNCTION("""COMPUTED_VALUE"""),"IncreaseOrUnwindPositionRTPNL")</f>
        <v>IncreaseOrUnwindPositionRTPNL</v>
      </c>
      <c r="C730" s="0" t="str">
        <f>IFERROR(__xludf.DUMMYFUNCTION("""COMPUTED_VALUE"""),"1q1Wc-dRTuQg4BlHBt6hfkwKefeK_K_Mif-Ctd_wCOUc")</f>
        <v>1q1Wc-dRTuQg4BlHBt6hfkwKefeK_K_Mif-Ctd_wCOUc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IFERROR(__xludf.DUMMYFUNCTION("""COMPUTED_VALUE"""),"SavePage")</f>
        <v>SavePage</v>
      </c>
      <c r="C731" s="0" t="str">
        <f>IFERROR(__xludf.DUMMYFUNCTION("""COMPUTED_VALUE"""),"1_uQYVoc5DS6NYv0EYGKjax2jWsfgKobFEjxJkQjLL3w")</f>
        <v>1_uQYVoc5DS6NYv0EYGKjax2jWsfgKobFEjxJkQjLL3w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IFERROR(__xludf.DUMMYFUNCTION("""COMPUTED_VALUE"""),"CloseRTPNL")</f>
        <v>CloseRTPNL</v>
      </c>
      <c r="C732" s="0" t="str">
        <f>IFERROR(__xludf.DUMMYFUNCTION("""COMPUTED_VALUE"""),"1q0e1lbiWuCHi7U7mu_pkI_EHtO0vohpMfwjgm_XpoMk")</f>
        <v>1q0e1lbiWuCHi7U7mu_pkI_EHtO0vohpMfwjgm_XpoMk</v>
      </c>
    </row>
    <row r="733" ht="15.75" customHeight="1">
      <c r="A733" s="0" t="str">
        <f>IFERROR(__xludf.DUMMYFUNCTION("""COMPUTED_VALUE"""),"RTPNL")</f>
        <v>RTPNL</v>
      </c>
      <c r="B733" s="0" t="str">
        <f>IFERROR(__xludf.DUMMYFUNCTION("""COMPUTED_VALUE"""),"VerifyColumns")</f>
        <v>VerifyColumns</v>
      </c>
      <c r="C733" s="0" t="str">
        <f>IFERROR(__xludf.DUMMYFUNCTION("""COMPUTED_VALUE"""),"1hv4fjReFX37JfqBQku0u9vApiCQpf-X1f4UEDLw3y_s")</f>
        <v>1hv4fjReFX37JfqBQku0u9vApiCQpf-X1f4UEDLw3y_s</v>
      </c>
    </row>
    <row r="734" ht="15.75" customHeight="1">
      <c r="A734" s="0" t="str">
        <f>IFERROR(__xludf.DUMMYFUNCTION("""COMPUTED_VALUE"""),"Admin")</f>
        <v>Admin</v>
      </c>
      <c r="B734" s="0" t="str">
        <f>IFERROR(__xludf.DUMMYFUNCTION("""COMPUTED_VALUE"""),"RemoveMasterUser")</f>
        <v>RemoveMasterUser</v>
      </c>
      <c r="C734" s="0" t="str">
        <f>IFERROR(__xludf.DUMMYFUNCTION("""COMPUTED_VALUE"""),"Undefined")</f>
        <v>Undefined</v>
      </c>
    </row>
    <row r="735" ht="15.75" customHeight="1">
      <c r="A735" s="0" t="str">
        <f>IFERROR(__xludf.DUMMYFUNCTION("""COMPUTED_VALUE"""),"Blotter")</f>
        <v>Blotter</v>
      </c>
      <c r="B735" s="0" t="str">
        <f>IFERROR(__xludf.DUMMYFUNCTION("""COMPUTED_VALUE"""),"SaveLayoutBlotter")</f>
        <v>SaveLayoutBlotter</v>
      </c>
      <c r="C735" s="0" t="str">
        <f>IFERROR(__xludf.DUMMYFUNCTION("""COMPUTED_VALUE"""),"Undefined")</f>
        <v>Undefined</v>
      </c>
    </row>
    <row r="736" ht="15.75" customHeight="1">
      <c r="A736" s="0" t="str">
        <f>IFERROR(__xludf.DUMMYFUNCTION("""COMPUTED_VALUE"""),"NavLock")</f>
        <v>NavLock</v>
      </c>
      <c r="B736" s="0" t="str">
        <f>IFERROR(__xludf.DUMMYFUNCTION("""COMPUTED_VALUE"""),"DeleteExistingNavLock")</f>
        <v>DeleteExistingNavLock</v>
      </c>
      <c r="C736" s="0" t="str">
        <f>IFERROR(__xludf.DUMMYFUNCTION("""COMPUTED_VALUE"""),"1HqQPyzif5um_L8C14d1R1blK2opfeEitYxPutZTlmFw")</f>
        <v>1HqQPyzif5um_L8C14d1R1blK2opfeEitYxPutZTlmFw</v>
      </c>
    </row>
    <row r="737" ht="15.75" customHeight="1">
      <c r="A737" s="0" t="str">
        <f>IFERROR(__xludf.DUMMYFUNCTION("""COMPUTED_VALUE"""),"NavLock")</f>
        <v>NavLock</v>
      </c>
      <c r="B737" s="0" t="str">
        <f>IFERROR(__xludf.DUMMYFUNCTION("""COMPUTED_VALUE"""),"AddNavLock")</f>
        <v>AddNavLock</v>
      </c>
      <c r="C737" s="0" t="str">
        <f>IFERROR(__xludf.DUMMYFUNCTION("""COMPUTED_VALUE"""),"1GPjpONzArmJk58f1PhPdnRa4N-8ryMP6ZWGSYiH7Y3s")</f>
        <v>1GPjpONzArmJk58f1PhPdnRa4N-8ryMP6ZWGSYiH7Y3s</v>
      </c>
    </row>
    <row r="738" ht="15.75" customHeight="1">
      <c r="A738" s="0" t="str">
        <f>IFERROR(__xludf.DUMMYFUNCTION("""COMPUTED_VALUE"""),"Allocation")</f>
        <v>Allocation</v>
      </c>
      <c r="B738" s="0" t="str">
        <f>IFERROR(__xludf.DUMMYFUNCTION("""COMPUTED_VALUE"""),"VerifyAllocationNavLockPopup")</f>
        <v>VerifyAllocationNavLockPopup</v>
      </c>
      <c r="C738" s="0" t="str">
        <f>IFERROR(__xludf.DUMMYFUNCTION("""COMPUTED_VALUE"""),"1nlDKsMtQr89ys6-s3fNyeXJhd3KY9s6Hzaoil52avTI")</f>
        <v>1nlDKsMtQr89ys6-s3fNyeXJhd3KY9s6Hzaoil52avTI</v>
      </c>
    </row>
    <row r="739" ht="15.75" customHeight="1">
      <c r="A739" s="0" t="str">
        <f>IFERROR(__xludf.DUMMYFUNCTION("""COMPUTED_VALUE"""),"RTPNL")</f>
        <v>RTPNL</v>
      </c>
      <c r="B739" s="0" t="str">
        <f>IFERROR(__xludf.DUMMYFUNCTION("""COMPUTED_VALUE"""),"ConfigureWidget")</f>
        <v>ConfigureWidget</v>
      </c>
      <c r="C739" s="0" t="str">
        <f>IFERROR(__xludf.DUMMYFUNCTION("""COMPUTED_VALUE"""),"1W6yBhMOu0wchoi8WJBVKvPLgngkTy6xSOF5JPGpCiJM")</f>
        <v>1W6yBhMOu0wchoi8WJBVKvPLgngkTy6xSOF5JPGpCiJM</v>
      </c>
    </row>
    <row r="740" ht="15.75" customHeight="1">
      <c r="A740" s="0" t="str">
        <f>IFERROR(__xludf.DUMMYFUNCTION("""COMPUTED_VALUE"""),"CreateTransaction")</f>
        <v>CreateTransaction</v>
      </c>
      <c r="B740" s="0" t="str">
        <f>IFERROR(__xludf.DUMMYFUNCTION("""COMPUTED_VALUE"""),"VerifyCTNavLockPopup")</f>
        <v>VerifyCTNavLockPopup</v>
      </c>
      <c r="C740" s="0" t="str">
        <f>IFERROR(__xludf.DUMMYFUNCTION("""COMPUTED_VALUE"""),"144sdIKvp1IYBLo1BR5xnXjJV08MEYXOtOle_BzmZysU")</f>
        <v>144sdIKvp1IYBLo1BR5xnXjJV08MEYXOtOle_BzmZysU</v>
      </c>
    </row>
    <row r="741" ht="15.75" customHeight="1">
      <c r="A741" s="0" t="str">
        <f>IFERROR(__xludf.DUMMYFUNCTION("""COMPUTED_VALUE"""),"DailyValuation")</f>
        <v>DailyValuation</v>
      </c>
      <c r="B741" s="0" t="str">
        <f>IFERROR(__xludf.DUMMYFUNCTION("""COMPUTED_VALUE"""),"VerifyDVNavLockPopup")</f>
        <v>VerifyDVNavLockPopup</v>
      </c>
      <c r="C741" s="0" t="str">
        <f>IFERROR(__xludf.DUMMYFUNCTION("""COMPUTED_VALUE"""),"1rXDKRADphBVDpGsYUs6Jq5ugHFrpJ_qRur3VkVbGwV4")</f>
        <v>1rXDKRADphBVDpGsYUs6Jq5ugHFrpJ_qRur3VkVbGwV4</v>
      </c>
    </row>
    <row r="742" ht="15.75" customHeight="1">
      <c r="A742" s="0" t="str">
        <f>IFERROR(__xludf.DUMMYFUNCTION("""COMPUTED_VALUE"""),"GeneralLedger")</f>
        <v>GeneralLedger</v>
      </c>
      <c r="B742" s="0" t="str">
        <f>IFERROR(__xludf.DUMMYFUNCTION("""COMPUTED_VALUE"""),"VerifyGLNavLockPopup")</f>
        <v>VerifyGLNavLockPopup</v>
      </c>
      <c r="C742" s="0" t="str">
        <f>IFERROR(__xludf.DUMMYFUNCTION("""COMPUTED_VALUE"""),"13qCmJnkjFZw_O4n_dVKtJg-5eOkymkypG_MjQGuuNAo")</f>
        <v>13qCmJnkjFZw_O4n_dVKtJg-5eOkymkypG_MjQGuuNAo</v>
      </c>
    </row>
    <row r="743" ht="15.75" customHeight="1">
      <c r="A743" s="0" t="str">
        <f>IFERROR(__xludf.DUMMYFUNCTION("""COMPUTED_VALUE"""),"Import")</f>
        <v>Import</v>
      </c>
      <c r="B743" s="0" t="str">
        <f>IFERROR(__xludf.DUMMYFUNCTION("""COMPUTED_VALUE"""),"VerifyImportNavLockPopup")</f>
        <v>VerifyImportNavLockPopup</v>
      </c>
      <c r="C743" s="0" t="str">
        <f>IFERROR(__xludf.DUMMYFUNCTION("""COMPUTED_VALUE"""),"1pXdTBlTEvtcQUfX_APkVY3rRe3gVlj4Sk_Jyd6F4sNM")</f>
        <v>1pXdTBlTEvtcQUfX_APkVY3rRe3gVlj4Sk_Jyd6F4sNM</v>
      </c>
    </row>
    <row r="744" ht="15.75" customHeight="1">
      <c r="A744" s="0" t="str">
        <f>IFERROR(__xludf.DUMMYFUNCTION("""COMPUTED_VALUE"""),"MultiTradingTicket")</f>
        <v>MultiTradingTicket</v>
      </c>
      <c r="B744" s="0" t="str">
        <f>IFERROR(__xludf.DUMMYFUNCTION("""COMPUTED_VALUE"""),"VerifyMTTNavLockPopup")</f>
        <v>VerifyMTTNavLockPopup</v>
      </c>
      <c r="C744" s="0" t="str">
        <f>IFERROR(__xludf.DUMMYFUNCTION("""COMPUTED_VALUE"""),"1hzuWfGgMcTuN77JdNWDiNq95xYqAIxYrqdk47goXdlc")</f>
        <v>1hzuWfGgMcTuN77JdNWDiNq95xYqAIxYrqdk47goXdlc</v>
      </c>
    </row>
    <row r="745" ht="15.75" customHeight="1">
      <c r="A745" s="0" t="str">
        <f>IFERROR(__xludf.DUMMYFUNCTION("""COMPUTED_VALUE"""),"PricingInput")</f>
        <v>PricingInput</v>
      </c>
      <c r="B745" s="0" t="str">
        <f>IFERROR(__xludf.DUMMYFUNCTION("""COMPUTED_VALUE"""),"VerifyPINavLockPopup")</f>
        <v>VerifyPINavLockPopup</v>
      </c>
      <c r="C745" s="0" t="str">
        <f>IFERROR(__xludf.DUMMYFUNCTION("""COMPUTED_VALUE"""),"1MqKw1Z4nex0wIRjcW-Lhchpv8ZsSNuruz2cszeIP01M")</f>
        <v>1MqKw1Z4nex0wIRjcW-Lhchpv8ZsSNuruz2cszeIP01M</v>
      </c>
    </row>
    <row r="746" ht="15.75" customHeight="1">
      <c r="A746" s="0" t="str">
        <f>IFERROR(__xludf.DUMMYFUNCTION("""COMPUTED_VALUE"""),"ShortLocate")</f>
        <v>ShortLocate</v>
      </c>
      <c r="B746" s="0" t="str">
        <f>IFERROR(__xludf.DUMMYFUNCTION("""COMPUTED_VALUE"""),"VerifySLNavLockPopup")</f>
        <v>VerifySLNavLockPopup</v>
      </c>
      <c r="C746" s="0" t="str">
        <f>IFERROR(__xludf.DUMMYFUNCTION("""COMPUTED_VALUE"""),"1sBI9JpwaQW2KTgfDWaY7h3xdvzXzeqjaP8_Vml6QbTo")</f>
        <v>1sBI9JpwaQW2KTgfDWaY7h3xdvzXzeqjaP8_Vml6QbTo</v>
      </c>
    </row>
    <row r="747" ht="15.75" customHeight="1">
      <c r="A747" s="0" t="str">
        <f>IFERROR(__xludf.DUMMYFUNCTION("""COMPUTED_VALUE"""),"TradingTicket")</f>
        <v>TradingTicket</v>
      </c>
      <c r="B747" s="0" t="str">
        <f>IFERROR(__xludf.DUMMYFUNCTION("""COMPUTED_VALUE"""),"VerifyTTNavLockPopup")</f>
        <v>VerifyTTNavLockPopup</v>
      </c>
      <c r="C747" s="0" t="str">
        <f>IFERROR(__xludf.DUMMYFUNCTION("""COMPUTED_VALUE"""),"15lRx1SPPsy7nykR6nVYUadOnwKG80Q6OfxTDuQ_dvXI")</f>
        <v>15lRx1SPPsy7nykR6nVYUadOnwKG80Q6OfxTDuQ_dvXI</v>
      </c>
    </row>
    <row r="748" ht="15.75" customHeight="1">
      <c r="A748" s="0" t="str">
        <f>IFERROR(__xludf.DUMMYFUNCTION("""COMPUTED_VALUE"""),"Blotter")</f>
        <v>Blotter</v>
      </c>
      <c r="B748" s="0" t="str">
        <f>IFERROR(__xludf.DUMMYFUNCTION("""COMPUTED_VALUE"""),"VerifyBlotterNavLockPopup")</f>
        <v>VerifyBlotterNavLockPopup</v>
      </c>
      <c r="C748" s="0" t="str">
        <f>IFERROR(__xludf.DUMMYFUNCTION("""COMPUTED_VALUE"""),"1NXDngJ54gfiJxrqVxgbEYZ7hW3c4kquifXR6Lg7EK5Y")</f>
        <v>1NXDngJ54gfiJxrqVxgbEYZ7hW3c4kquifXR6Lg7EK5Y</v>
      </c>
    </row>
    <row r="749" ht="15.75" customHeight="1">
      <c r="A749" s="0" t="str">
        <f>IFERROR(__xludf.DUMMYFUNCTION("""COMPUTED_VALUE"""),"Closing")</f>
        <v>Closing</v>
      </c>
      <c r="B749" s="0" t="str">
        <f>IFERROR(__xludf.DUMMYFUNCTION("""COMPUTED_VALUE"""),"VerifyClosingNavLockPopup")</f>
        <v>VerifyClosingNavLockPopup</v>
      </c>
      <c r="C749" s="0" t="str">
        <f>IFERROR(__xludf.DUMMYFUNCTION("""COMPUTED_VALUE"""),"1AR0JbTGvV_W-vRVG60LJNAab-sFlfdBFwEtZpVYEMPo")</f>
        <v>1AR0JbTGvV_W-vRVG60LJNAab-sFlfdBFwEtZpVYEMPo</v>
      </c>
    </row>
    <row r="750" ht="15.75" customHeight="1">
      <c r="A750" s="0" t="str">
        <f>IFERROR(__xludf.DUMMYFUNCTION("""COMPUTED_VALUE"""),"RTPNL")</f>
        <v>RTPNL</v>
      </c>
      <c r="B750" s="0" t="str">
        <f>IFERROR(__xludf.DUMMYFUNCTION("""COMPUTED_VALUE"""),"ChangeWidgetView")</f>
        <v>ChangeWidgetView</v>
      </c>
      <c r="C750" s="0" t="str">
        <f>IFERROR(__xludf.DUMMYFUNCTION("""COMPUTED_VALUE"""),"1PKf_qqqp1j7_MkyduQmNqqaKdDFTgjuq1ApwaDumMj0")</f>
        <v>1PKf_qqqp1j7_MkyduQmNqqaKdDFTgjuq1ApwaDumMj0</v>
      </c>
    </row>
    <row r="751" ht="15.75" customHeight="1">
      <c r="A751" s="0" t="str">
        <f>IFERROR(__xludf.DUMMYFUNCTION("""COMPUTED_VALUE"""),"NavLock")</f>
        <v>NavLock</v>
      </c>
      <c r="B751" s="0" t="str">
        <f>IFERROR(__xludf.DUMMYFUNCTION("""COMPUTED_VALUE"""),"VerifyNavLockPopup")</f>
        <v>VerifyNavLockPopup</v>
      </c>
      <c r="C751" s="0" t="str">
        <f>IFERROR(__xludf.DUMMYFUNCTION("""COMPUTED_VALUE"""),"1BZhGha4iLlieCbbyTcPylU2maLzwgdHAfTO198z-aX8")</f>
        <v>1BZhGha4iLlieCbbyTcPylU2maLzwgdHAfTO198z-aX8</v>
      </c>
    </row>
    <row r="752" ht="15.75" customHeight="1">
      <c r="A752" s="0" t="str">
        <f>IFERROR(__xludf.DUMMYFUNCTION("""COMPUTED_VALUE"""),"NavLock")</f>
        <v>NavLock</v>
      </c>
      <c r="B752" s="0" t="str">
        <f>IFERROR(__xludf.DUMMYFUNCTION("""COMPUTED_VALUE"""),"VerifyRowsNavLock")</f>
        <v>VerifyRowsNavLock</v>
      </c>
      <c r="C752" s="0" t="str">
        <f>IFERROR(__xludf.DUMMYFUNCTION("""COMPUTED_VALUE"""),"12Dl3x2X_C-RCm3K5RkyuRq_t8lxeYk98IQBRrsF9WLU")</f>
        <v>12Dl3x2X_C-RCm3K5RkyuRq_t8lxeYk98IQBRrsF9WLU</v>
      </c>
    </row>
    <row r="753" ht="15.75" customHeight="1">
      <c r="A753" s="0" t="str">
        <f>IFERROR(__xludf.DUMMYFUNCTION("""COMPUTED_VALUE"""),"Blotter")</f>
        <v>Blotter</v>
      </c>
      <c r="B753" s="0" t="str">
        <f>IFERROR(__xludf.DUMMYFUNCTION("""COMPUTED_VALUE"""),"CustomTabActions")</f>
        <v>CustomTabActions</v>
      </c>
      <c r="C753" s="0" t="str">
        <f>IFERROR(__xludf.DUMMYFUNCTION("""COMPUTED_VALUE"""),"163hnSm9KTeABqdRxsfyyCsrxGVcrGd0nCGT4WqLsJ9Q")</f>
        <v>163hnSm9KTeABqdRxsfyyCsrxGVcrGd0nCGT4WqLsJ9Q</v>
      </c>
    </row>
    <row r="754" ht="15.75" customHeight="1">
      <c r="A754" s="0" t="str">
        <f>IFERROR(__xludf.DUMMYFUNCTION("""COMPUTED_VALUE"""),"Blotter")</f>
        <v>Blotter</v>
      </c>
      <c r="B754" s="0" t="str">
        <f>IFERROR(__xludf.DUMMYFUNCTION("""COMPUTED_VALUE"""),"VerifyAllocationWindow")</f>
        <v>VerifyAllocationWindow</v>
      </c>
      <c r="C754" s="0" t="str">
        <f>IFERROR(__xludf.DUMMYFUNCTION("""COMPUTED_VALUE"""),"1DUwxSUq_47EK60XmK3LOdCXa1fkWqWJE9bLuGS3ccv4")</f>
        <v>1DUwxSUq_47EK60XmK3LOdCXa1fkWqWJE9bLuGS3ccv4</v>
      </c>
    </row>
    <row r="755" ht="15.75" customHeight="1">
      <c r="A755" s="0" t="str">
        <f>IFERROR(__xludf.DUMMYFUNCTION("""COMPUTED_VALUE"""),"OpenFin")</f>
        <v>OpenFin</v>
      </c>
      <c r="B755" s="0" t="str">
        <f>IFERROR(__xludf.DUMMYFUNCTION("""COMPUTED_VALUE"""),"SavePageView")</f>
        <v>SavePageView</v>
      </c>
      <c r="C755" s="0" t="str">
        <f>IFERROR(__xludf.DUMMYFUNCTION("""COMPUTED_VALUE"""),"1wFFzsxWBm8VT5o4pz2dFosHS72pEaQuVZFVkiVeZE9w")</f>
        <v>1wFFzsxWBm8VT5o4pz2dFosHS72pEaQuVZFVkiVeZE9w</v>
      </c>
    </row>
    <row r="756" ht="15.75" customHeight="1">
      <c r="A756" s="0" t="str">
        <f>IFERROR(__xludf.DUMMYFUNCTION("""COMPUTED_VALUE"""),"OpenFin")</f>
        <v>OpenFin</v>
      </c>
      <c r="B756" s="0" t="str">
        <f>IFERROR(__xludf.DUMMYFUNCTION("""COMPUTED_VALUE"""),"ActionOnPageFromSearch")</f>
        <v>ActionOnPageFromSearch</v>
      </c>
      <c r="C756" s="0" t="str">
        <f>IFERROR(__xludf.DUMMYFUNCTION("""COMPUTED_VALUE"""),"1jCpG4ETPp9dfvh-Ymdex8Mb3Taz9sYrOR-1uBd5Ceyc")</f>
        <v>1jCpG4ETPp9dfvh-Ymdex8Mb3Taz9sYrOR-1uBd5Ceyc</v>
      </c>
    </row>
    <row r="757" ht="15.75" customHeight="1">
      <c r="A757" s="0" t="str">
        <f>IFERROR(__xludf.DUMMYFUNCTION("""COMPUTED_VALUE"""),"OpenFin")</f>
        <v>OpenFin</v>
      </c>
      <c r="B757" s="0" t="str">
        <f>IFERROR(__xludf.DUMMYFUNCTION("""COMPUTED_VALUE"""),"ChangeThemeOnModule")</f>
        <v>ChangeThemeOnModule</v>
      </c>
      <c r="C757" s="0" t="str">
        <f>IFERROR(__xludf.DUMMYFUNCTION("""COMPUTED_VALUE"""),"1KKiVG313VPgZZadw3-GZ4Cbt7wTwEPpmyGsp3MHFp9Q")</f>
        <v>1KKiVG313VPgZZadw3-GZ4Cbt7wTwEPpmyGsp3MHFp9Q</v>
      </c>
    </row>
    <row r="758" ht="15.75" customHeight="1">
      <c r="A758" s="0" t="str">
        <f>IFERROR(__xludf.DUMMYFUNCTION("""COMPUTED_VALUE"""),"PranaClient")</f>
        <v>PranaClient</v>
      </c>
      <c r="B758" s="0" t="str">
        <f>IFERROR(__xludf.DUMMYFUNCTION("""COMPUTED_VALUE"""),"MoveFile")</f>
        <v>MoveFile</v>
      </c>
      <c r="C758" s="0" t="str">
        <f>IFERROR(__xludf.DUMMYFUNCTION("""COMPUTED_VALUE"""),"1BBCKN3cBzJgvZqLoHeAi1YmxeNaesC7YrayWsYVuQeU")</f>
        <v>1BBCKN3cBzJgvZqLoHeAi1YmxeNaesC7YrayWsYVuQeU</v>
      </c>
    </row>
    <row r="759" ht="15.75" customHeight="1">
      <c r="A759" s="0" t="str">
        <f>IFERROR(__xludf.DUMMYFUNCTION("""COMPUTED_VALUE"""),"OpenFin")</f>
        <v>OpenFin</v>
      </c>
      <c r="B759" s="0" t="str">
        <f>IFERROR(__xludf.DUMMYFUNCTION("""COMPUTED_VALUE"""),"CloseService")</f>
        <v>CloseService</v>
      </c>
      <c r="C759" s="0" t="str">
        <f>IFERROR(__xludf.DUMMYFUNCTION("""COMPUTED_VALUE"""),"1YXPx62dgEZ9yV5qKkFLgWipyvziAW1SJVEqhiNHEONM")</f>
        <v>1YXPx62dgEZ9yV5qKkFLgWipyvziAW1SJVEqhiNHEONM</v>
      </c>
    </row>
    <row r="760" ht="15.75" customHeight="1">
      <c r="A760" s="0" t="str">
        <f>IFERROR(__xludf.DUMMYFUNCTION("""COMPUTED_VALUE"""),"OpenFin")</f>
        <v>OpenFin</v>
      </c>
      <c r="B760" s="0" t="str">
        <f>IFERROR(__xludf.DUMMYFUNCTION("""COMPUTED_VALUE"""),"LogOutSamsara")</f>
        <v>LogOutSamsara</v>
      </c>
      <c r="C760" s="0" t="str">
        <f>IFERROR(__xludf.DUMMYFUNCTION("""COMPUTED_VALUE"""),"1AHqtQRX4cdwOByK5Ip_T2FJlZFaU23rmiDk0afFhfaY")</f>
        <v>1AHqtQRX4cdwOByK5Ip_T2FJlZFaU23rmiDk0afFhfaY</v>
      </c>
    </row>
    <row r="761" ht="15.75" customHeight="1">
      <c r="A761" s="0" t="str">
        <f>IFERROR(__xludf.DUMMYFUNCTION("""COMPUTED_VALUE"""),"QTT")</f>
        <v>QTT</v>
      </c>
      <c r="B761" s="0" t="str">
        <f>IFERROR(__xludf.DUMMYFUNCTION("""COMPUTED_VALUE"""),"TradeQTT")</f>
        <v>TradeQTT</v>
      </c>
      <c r="C761" s="0" t="str">
        <f>IFERROR(__xludf.DUMMYFUNCTION("""COMPUTED_VALUE"""),"1-5lKqkX57JBaCsmy3TeMGKEVsjNdXnqCttYvBHsfJ14")</f>
        <v>1-5lKqkX57JBaCsmy3TeMGKEVsjNdXnqCttYvBHsfJ14</v>
      </c>
    </row>
    <row r="762" ht="15.75" customHeight="1">
      <c r="A762" s="0" t="str">
        <f>IFERROR(__xludf.DUMMYFUNCTION("""COMPUTED_VALUE"""),"TradingTicket")</f>
        <v>TradingTicket</v>
      </c>
      <c r="B762" s="0" t="str">
        <f>IFERROR(__xludf.DUMMYFUNCTION("""COMPUTED_VALUE"""),"VerifyCustomAllocationSecondUI")</f>
        <v>VerifyCustomAllocationSecondUI</v>
      </c>
      <c r="C762" s="0" t="str">
        <f>IFERROR(__xludf.DUMMYFUNCTION("""COMPUTED_VALUE"""),"1AL5eBNcstEo3uS52PLH2Duzff-16gDD2eEJx_augMtM")</f>
        <v>1AL5eBNcstEo3uS52PLH2Duzff-16gDD2eEJx_augMtM</v>
      </c>
    </row>
    <row r="763" ht="15.75" customHeight="1">
      <c r="A763" s="0" t="str">
        <f>IFERROR(__xludf.DUMMYFUNCTION("""COMPUTED_VALUE"""),"Blotter")</f>
        <v>Blotter</v>
      </c>
      <c r="B763" s="0" t="str">
        <f>IFERROR(__xludf.DUMMYFUNCTION("""COMPUTED_VALUE"""),"VerifyViewAllocationOrder")</f>
        <v>VerifyViewAllocationOrder</v>
      </c>
      <c r="C763" s="0" t="str">
        <f>IFERROR(__xludf.DUMMYFUNCTION("""COMPUTED_VALUE"""),"1I3aVj-PRyRug4M5EDTw8espL6CeDhXPCYr5qa2gbwZk")</f>
        <v>1I3aVj-PRyRug4M5EDTw8espL6CeDhXPCYr5qa2gbwZk</v>
      </c>
    </row>
    <row r="764" ht="15.75" customHeight="1">
      <c r="A764" s="0" t="str">
        <f>IFERROR(__xludf.DUMMYFUNCTION("""COMPUTED_VALUE"""),"QTT")</f>
        <v>QTT</v>
      </c>
      <c r="B764" s="0" t="str">
        <f>IFERROR(__xludf.DUMMYFUNCTION("""COMPUTED_VALUE"""),"UseOrVerifyHotKeys")</f>
        <v>UseOrVerifyHotKeys</v>
      </c>
      <c r="C764" s="0" t="str">
        <f>IFERROR(__xludf.DUMMYFUNCTION("""COMPUTED_VALUE"""),"1ajjcbjqpEui4y62RzfJ-6ARI0W8GAhrdUmWCOsG_ovE")</f>
        <v>1ajjcbjqpEui4y62RzfJ-6ARI0W8GAhrdUmWCOsG_ovE</v>
      </c>
    </row>
    <row r="765" ht="15.75" customHeight="1">
      <c r="A765" s="0" t="str">
        <f>IFERROR(__xludf.DUMMYFUNCTION("""COMPUTED_VALUE"""),"TradingTicket")</f>
        <v>TradingTicket</v>
      </c>
      <c r="B765" s="0" t="str">
        <f>IFERROR(__xludf.DUMMYFUNCTION("""COMPUTED_VALUE"""),"ShortLocateFromTT")</f>
        <v>ShortLocateFromTT</v>
      </c>
      <c r="C765" s="0" t="str">
        <f>IFERROR(__xludf.DUMMYFUNCTION("""COMPUTED_VALUE"""),"1saPgjE09_MBiqASRTSQboRMwRdUlFv6nzTocBZeFm-I")</f>
        <v>1saPgjE09_MBiqASRTSQboRMwRdUlFv6nzTocBZeFm-I</v>
      </c>
    </row>
    <row r="766" ht="15.75" customHeight="1">
      <c r="A766" s="0" t="str">
        <f>IFERROR(__xludf.DUMMYFUNCTION("""COMPUTED_VALUE"""),"TradingTicket")</f>
        <v>TradingTicket</v>
      </c>
      <c r="B766" s="0" t="str">
        <f>IFERROR(__xludf.DUMMYFUNCTION("""COMPUTED_VALUE"""),"VerifyShortLocateWindowOnTT")</f>
        <v>VerifyShortLocateWindowOnTT</v>
      </c>
      <c r="C766" s="0" t="str">
        <f>IFERROR(__xludf.DUMMYFUNCTION("""COMPUTED_VALUE"""),"1ljyVPm21FKmOvEmG0-JvPMTBuyG89a_7EGFToCoHgI4")</f>
        <v>1ljyVPm21FKmOvEmG0-JvPMTBuyG89a_7EGFToCoHgI4</v>
      </c>
    </row>
    <row r="767" ht="15.75" customHeight="1">
      <c r="A767" s="0" t="str">
        <f>IFERROR(__xludf.DUMMYFUNCTION("""COMPUTED_VALUE"""),"RTPNL")</f>
        <v>RTPNL</v>
      </c>
      <c r="B767" s="0" t="str">
        <f>IFERROR(__xludf.DUMMYFUNCTION("""COMPUTED_VALUE"""),"RenameTabs")</f>
        <v>RenameTabs</v>
      </c>
      <c r="C767" s="0" t="str">
        <f>IFERROR(__xludf.DUMMYFUNCTION("""COMPUTED_VALUE"""),"1K7LcioEl1sTwLRhqHc9go_7jNmUIRZNy9zBQLMgtBw8")</f>
        <v>1K7LcioEl1sTwLRhqHc9go_7jNmUIRZNy9zBQLMgtBw8</v>
      </c>
    </row>
    <row r="768" ht="15.75" customHeight="1">
      <c r="A768" s="0" t="str">
        <f>IFERROR(__xludf.DUMMYFUNCTION("""COMPUTED_VALUE"""),"RTPNL")</f>
        <v>RTPNL</v>
      </c>
      <c r="B768" s="0" t="str">
        <f>IFERROR(__xludf.DUMMYFUNCTION("""COMPUTED_VALUE"""),"ResizeEnsure")</f>
        <v>ResizeEnsure</v>
      </c>
      <c r="C768" s="0" t="str">
        <f>IFERROR(__xludf.DUMMYFUNCTION("""COMPUTED_VALUE"""),"1-peVyQ_nIwd8owwmtDtNW-yx12KQx2nHeYee6duB46M")</f>
        <v>1-peVyQ_nIwd8owwmtDtNW-yx12KQx2nHeYee6duB46M</v>
      </c>
    </row>
    <row r="769" ht="15.75" customHeight="1">
      <c r="A769" s="0" t="str">
        <f>IFERROR(__xludf.DUMMYFUNCTION("""COMPUTED_VALUE"""),"Admin")</f>
        <v>Admin</v>
      </c>
      <c r="B769" s="0" t="str">
        <f>IFERROR(__xludf.DUMMYFUNCTION("""COMPUTED_VALUE"""),"ClearRTPNLtabs")</f>
        <v>ClearRTPNLtabs</v>
      </c>
      <c r="C769" s="0" t="str">
        <f>IFERROR(__xludf.DUMMYFUNCTION("""COMPUTED_VALUE"""),"Undefined")</f>
        <v>Undefined</v>
      </c>
    </row>
    <row r="770" ht="15.75" customHeight="1">
      <c r="A770" s="0" t="str">
        <f>IFERROR(__xludf.DUMMYFUNCTION("""COMPUTED_VALUE"""),"RTPNL")</f>
        <v>RTPNL</v>
      </c>
      <c r="B770" s="0" t="str">
        <f>IFERROR(__xludf.DUMMYFUNCTION("""COMPUTED_VALUE"""),"AddTabRTPNL")</f>
        <v>AddTabRTPNL</v>
      </c>
      <c r="C770" s="0" t="str">
        <f>IFERROR(__xludf.DUMMYFUNCTION("""COMPUTED_VALUE"""),"18kG7vS-CfSLW8Q-ho416lyPlP36XJPPHA0cRbCk3vjU")</f>
        <v>18kG7vS-CfSLW8Q-ho416lyPlP36XJPPHA0cRbCk3vjU</v>
      </c>
    </row>
    <row r="771" ht="15.75" customHeight="1">
      <c r="A771" s="0" t="str">
        <f>IFERROR(__xludf.DUMMYFUNCTION("""COMPUTED_VALUE"""),"PortfolioManagement")</f>
        <v>PortfolioManagement</v>
      </c>
      <c r="B771" s="0" t="str">
        <f>IFERROR(__xludf.DUMMYFUNCTION("""COMPUTED_VALUE"""),"SelectTradeOnPM")</f>
        <v>SelectTradeOnPM</v>
      </c>
      <c r="C771" s="0" t="str">
        <f>IFERROR(__xludf.DUMMYFUNCTION("""COMPUTED_VALUE"""),"1_tBJjps2mULQyHra_AnC6BBvPbOko3FAY-kc11l7eTg")</f>
        <v>1_tBJjps2mULQyHra_AnC6BBvPbOko3FAY-kc11l7eTg</v>
      </c>
    </row>
    <row r="772" ht="15.75" customHeight="1">
      <c r="A772" s="0" t="str">
        <f>IFERROR(__xludf.DUMMYFUNCTION("""COMPUTED_VALUE"""),"Unknown")</f>
        <v>Unknown</v>
      </c>
      <c r="B772" s="0" t="str">
        <f>IFERROR(__xludf.DUMMYFUNCTION("""COMPUTED_VALUE"""),"RightClickOperations")</f>
        <v>RightClickOperations</v>
      </c>
      <c r="C772" s="0" t="str">
        <f>IFERROR(__xludf.DUMMYFUNCTION("""COMPUTED_VALUE"""),"17jhCujI-0V0U3n5lzlkc-azSuwCa7rf-4KwcSInm9ts")</f>
        <v>17jhCujI-0V0U3n5lzlkc-azSuwCa7rf-4KwcSInm9ts</v>
      </c>
    </row>
    <row r="773" ht="15.75" customHeight="1">
      <c r="A773" s="0" t="str">
        <f>IFERROR(__xludf.DUMMYFUNCTION("""COMPUTED_VALUE"""),"Unknown")</f>
        <v>Unknown</v>
      </c>
      <c r="B773" s="0" t="str">
        <f>IFERROR(__xludf.DUMMYFUNCTION("""COMPUTED_VALUE"""),"RightClickAndClickOperations")</f>
        <v>RightClickAndClickOperations</v>
      </c>
      <c r="C773" s="0" t="str">
        <f>IFERROR(__xludf.DUMMYFUNCTION("""COMPUTED_VALUE"""),"1e9jtl9r57SkbYm3S4wbHtvkeG2KExZEiFSIkkRSaq-8")</f>
        <v>1e9jtl9r57SkbYm3S4wbHtvkeG2KExZEiFSIkkRSaq-8</v>
      </c>
    </row>
    <row r="774" ht="15.75" customHeight="1">
      <c r="A774" s="0" t="str">
        <f>IFERROR(__xludf.DUMMYFUNCTION("""COMPUTED_VALUE"""),"Blotter")</f>
        <v>Blotter</v>
      </c>
      <c r="B774" s="0" t="str">
        <f>IFERROR(__xludf.DUMMYFUNCTION("""COMPUTED_VALUE"""),"BlotterToolBarAction")</f>
        <v>BlotterToolBarAction</v>
      </c>
      <c r="C774" s="0" t="str">
        <f>IFERROR(__xludf.DUMMYFUNCTION("""COMPUTED_VALUE"""),"1bI1kIBxH6qy8zi5tx46rN3vNgbmxbdwtAo1inrXDALs")</f>
        <v>1bI1kIBxH6qy8zi5tx46rN3vNgbmxbdwtAo1inrXDALs</v>
      </c>
    </row>
    <row r="775" ht="15.75" customHeight="1">
      <c r="A775" s="0" t="str">
        <f>IFERROR(__xludf.DUMMYFUNCTION("""COMPUTED_VALUE"""),"TradingTicket")</f>
        <v>TradingTicket</v>
      </c>
      <c r="B775" s="0" t="str">
        <f>IFERROR(__xludf.DUMMYFUNCTION("""COMPUTED_VALUE"""),"MergeTT")</f>
        <v>MergeTT</v>
      </c>
      <c r="C775" s="0" t="str">
        <f>IFERROR(__xludf.DUMMYFUNCTION("""COMPUTED_VALUE"""),"1BEiRPdwHXsXVZ0ioude04Me5qSQ_YU6xh1ZwMWgExVU")</f>
        <v>1BEiRPdwHXsXVZ0ioude04Me5qSQ_YU6xh1ZwMWgExVU</v>
      </c>
    </row>
    <row r="776" ht="15.75" customHeight="1">
      <c r="A776" s="0" t="str">
        <f>IFERROR(__xludf.DUMMYFUNCTION("""COMPUTED_VALUE"""),"PortfolioManagement")</f>
        <v>PortfolioManagement</v>
      </c>
      <c r="B776" s="0" t="str">
        <f>IFERROR(__xludf.DUMMYFUNCTION("""COMPUTED_VALUE"""),"OperationsonPM")</f>
        <v>OperationsonPM</v>
      </c>
      <c r="C776" s="0" t="str">
        <f>IFERROR(__xludf.DUMMYFUNCTION("""COMPUTED_VALUE"""),"13hKVogBv66c752V1EGUyqXp4dGESQOZLmMqIB56fbAs")</f>
        <v>13hKVogBv66c752V1EGUyqXp4dGESQOZLmMqIB56fbAs</v>
      </c>
    </row>
    <row r="777" ht="15.75" customHeight="1">
      <c r="A777" s="0" t="str">
        <f>IFERROR(__xludf.DUMMYFUNCTION("""COMPUTED_VALUE"""),"Rebalancer")</f>
        <v>Rebalancer</v>
      </c>
      <c r="B777" s="0" t="str">
        <f>IFERROR(__xludf.DUMMYFUNCTION("""COMPUTED_VALUE"""),"CreateOrViewModelPortfolio")</f>
        <v>CreateOrViewModelPortfolio</v>
      </c>
      <c r="C777" s="0" t="str">
        <f>IFERROR(__xludf.DUMMYFUNCTION("""COMPUTED_VALUE"""),"1vejknW_QiO0r5pMzMjOGCCsgwLVes4a3Ubx1l-0Mg1k")</f>
        <v>1vejknW_QiO0r5pMzMjOGCCsgwLVes4a3Ubx1l-0Mg1k</v>
      </c>
    </row>
    <row r="778" ht="15.75" customHeight="1">
      <c r="A778" s="0" t="str">
        <f>IFERROR(__xludf.DUMMYFUNCTION("""COMPUTED_VALUE"""),"Rebalancer")</f>
        <v>Rebalancer</v>
      </c>
      <c r="B778" s="0" t="str">
        <f>IFERROR(__xludf.DUMMYFUNCTION("""COMPUTED_VALUE"""),"VerifyModelPortfolio")</f>
        <v>VerifyModelPortfolio</v>
      </c>
      <c r="C778" s="0" t="str">
        <f>IFERROR(__xludf.DUMMYFUNCTION("""COMPUTED_VALUE"""),"1Tza5cx7NJ2J8vr_f6DC-KPhnXCzf7l1m0EERc6z_T-U")</f>
        <v>1Tza5cx7NJ2J8vr_f6DC-KPhnXCzf7l1m0EERc6z_T-U</v>
      </c>
    </row>
    <row r="779" ht="15.75" customHeight="1">
      <c r="A779" s="0" t="str">
        <f>IFERROR(__xludf.DUMMYFUNCTION("""COMPUTED_VALUE"""),"Allocation")</f>
        <v>Allocation</v>
      </c>
      <c r="B779" s="0" t="str">
        <f>IFERROR(__xludf.DUMMYFUNCTION("""COMPUTED_VALUE"""),"ReviewExistingPositions")</f>
        <v>ReviewExistingPositions</v>
      </c>
      <c r="C779" s="0" t="str">
        <f>IFERROR(__xludf.DUMMYFUNCTION("""COMPUTED_VALUE"""),"1KwYoTdpeW6LDhzloVKHp5buZqc8IjXEShjwnUx45Ql8")</f>
        <v>1KwYoTdpeW6LDhzloVKHp5buZqc8IjXEShjwnUx45Ql8</v>
      </c>
    </row>
    <row r="780" ht="15.75" customHeight="1">
      <c r="A780" s="0" t="str">
        <f>IFERROR(__xludf.DUMMYFUNCTION("""COMPUTED_VALUE"""),"PTT")</f>
        <v>PTT</v>
      </c>
      <c r="B780" s="0" t="str">
        <f>IFERROR(__xludf.DUMMYFUNCTION("""COMPUTED_VALUE"""),"OperationsonPTT")</f>
        <v>OperationsonPTT</v>
      </c>
      <c r="C780" s="0" t="str">
        <f>IFERROR(__xludf.DUMMYFUNCTION("""COMPUTED_VALUE"""),"1J40rCXEDilLEF_x0Wkeeg1lwGfejucV1VSY9UcyeSlw")</f>
        <v>1J40rCXEDilLEF_x0Wkeeg1lwGfejucV1VSY9UcyeSlw</v>
      </c>
    </row>
    <row r="781" ht="15.75" customHeight="1">
      <c r="A781" s="0" t="str">
        <f>IFERROR(__xludf.DUMMYFUNCTION("""COMPUTED_VALUE"""),"PricingInput")</f>
        <v>PricingInput</v>
      </c>
      <c r="B781" s="0" t="str">
        <f>IFERROR(__xludf.DUMMYFUNCTION("""COMPUTED_VALUE"""),"UpdatePricingInput")</f>
        <v>UpdatePricingInput</v>
      </c>
      <c r="C781" s="0" t="str">
        <f>IFERROR(__xludf.DUMMYFUNCTION("""COMPUTED_VALUE"""),"1CG9iYOkRKzlGEsKh7QuEyMdGRQea_W4KDWwlnjE2BdE")</f>
        <v>1CG9iYOkRKzlGEsKh7QuEyMdGRQea_W4KDWwlnjE2BdE</v>
      </c>
    </row>
    <row r="782" ht="15.75" customHeight="1">
      <c r="A782" s="0" t="str">
        <f>IFERROR(__xludf.DUMMYFUNCTION("""COMPUTED_VALUE"""),"DailyValuation")</f>
        <v>DailyValuation</v>
      </c>
      <c r="B782" s="0" t="str">
        <f>IFERROR(__xludf.DUMMYFUNCTION("""COMPUTED_VALUE"""),"UpdateMPAndFC")</f>
        <v>UpdateMPAndFC</v>
      </c>
      <c r="C782" s="0" t="str">
        <f>IFERROR(__xludf.DUMMYFUNCTION("""COMPUTED_VALUE"""),"1UCNfZng94LprScqCmSKImRjCwiKlLQU_e1kY1tum91I")</f>
        <v>1UCNfZng94LprScqCmSKImRjCwiKlLQU_e1kY1tum91I</v>
      </c>
    </row>
    <row r="783" ht="15.75" customHeight="1">
      <c r="A783" s="0" t="str">
        <f>IFERROR(__xludf.DUMMYFUNCTION("""COMPUTED_VALUE"""),"Rebalancer")</f>
        <v>Rebalancer</v>
      </c>
      <c r="B783" s="0" t="str">
        <f>IFERROR(__xludf.DUMMYFUNCTION("""COMPUTED_VALUE"""),"SelectAndVerifyTradeList")</f>
        <v>SelectAndVerifyTradeList</v>
      </c>
      <c r="C783" s="0" t="str">
        <f>IFERROR(__xludf.DUMMYFUNCTION("""COMPUTED_VALUE"""),"1fXJG--hBH0hPvU7g5jtXyZnD1GiwJXfYX9HdEyhGyGs")</f>
        <v>1fXJG--hBH0hPvU7g5jtXyZnD1GiwJXfYX9HdEyhGyGs</v>
      </c>
    </row>
    <row r="784" ht="15.75" customHeight="1">
      <c r="A784" s="0" t="str">
        <f>IFERROR(__xludf.DUMMYFUNCTION("""COMPUTED_VALUE"""),"Rebalancer")</f>
        <v>Rebalancer</v>
      </c>
      <c r="B784" s="0" t="str">
        <f>IFERROR(__xludf.DUMMYFUNCTION("""COMPUTED_VALUE"""),"ActionOnTradeBuySellListView")</f>
        <v>ActionOnTradeBuySellListView</v>
      </c>
      <c r="C784" s="0" t="str">
        <f>IFERROR(__xludf.DUMMYFUNCTION("""COMPUTED_VALUE"""),"1xeJEpkdxtbik3vPUTkxALkXsnL-Vl5dF07PBUoheM3k")</f>
        <v>1xeJEpkdxtbik3vPUTkxALkXsnL-Vl5dF07PBUoheM3k</v>
      </c>
    </row>
    <row r="785" ht="15.75" customHeight="1">
      <c r="A785" s="0" t="str">
        <f>IFERROR(__xludf.DUMMYFUNCTION("""COMPUTED_VALUE"""),"Blotter")</f>
        <v>Blotter</v>
      </c>
      <c r="B785" s="0" t="str">
        <f>IFERROR(__xludf.DUMMYFUNCTION("""COMPUTED_VALUE"""),"AddTabToFav")</f>
        <v>AddTabToFav</v>
      </c>
      <c r="C785" s="0" t="str">
        <f>IFERROR(__xludf.DUMMYFUNCTION("""COMPUTED_VALUE"""),"1Hrblc1gk4JIYboQ1lGHgl7HatAXp5amAl9mS58vzT-0")</f>
        <v>1Hrblc1gk4JIYboQ1lGHgl7HatAXp5amAl9mS58vzT-0</v>
      </c>
    </row>
    <row r="786" ht="15.75" customHeight="1">
      <c r="A786" s="0" t="str">
        <f>IFERROR(__xludf.DUMMYFUNCTION("""COMPUTED_VALUE"""),"TradingTicket")</f>
        <v>TradingTicket</v>
      </c>
      <c r="B786" s="0" t="str">
        <f>IFERROR(__xludf.DUMMYFUNCTION("""COMPUTED_VALUE"""),"VerifyExecutionType")</f>
        <v>VerifyExecutionType</v>
      </c>
      <c r="C786" s="0" t="str">
        <f>IFERROR(__xludf.DUMMYFUNCTION("""COMPUTED_VALUE"""),"1GeLKG0YL6nDFQYX8NohWSG0yonppxuSHWgOuwLzEWwI")</f>
        <v>1GeLKG0YL6nDFQYX8NohWSG0yonppxuSHWgOuwLzEWwI</v>
      </c>
    </row>
    <row r="787" ht="15.75" customHeight="1">
      <c r="A787" s="0" t="str">
        <f>IFERROR(__xludf.DUMMYFUNCTION("""COMPUTED_VALUE"""),"OpenFin")</f>
        <v>OpenFin</v>
      </c>
      <c r="B787" s="0" t="str">
        <f>IFERROR(__xludf.DUMMYFUNCTION("""COMPUTED_VALUE"""),"VerifyNotification")</f>
        <v>VerifyNotification</v>
      </c>
      <c r="C787" s="0" t="str">
        <f>IFERROR(__xludf.DUMMYFUNCTION("""COMPUTED_VALUE"""),"1rm7dGZ4-j6MPtyiMlJDHnZgIjnFk8Hv19VRPaPCgUMY")</f>
        <v>1rm7dGZ4-j6MPtyiMlJDHnZgIjnFk8Hv19VRPaPCgUMY</v>
      </c>
    </row>
    <row r="788" ht="15.75" customHeight="1">
      <c r="A788" s="0" t="str">
        <f>IFERROR(__xludf.DUMMYFUNCTION("""COMPUTED_VALUE"""),"Blotter")</f>
        <v>Blotter</v>
      </c>
      <c r="B788" s="0" t="str">
        <f>IFERROR(__xludf.DUMMYFUNCTION("""COMPUTED_VALUE"""),"RollOverContextMenu")</f>
        <v>RollOverContextMenu</v>
      </c>
      <c r="C788" s="0" t="str">
        <f>IFERROR(__xludf.DUMMYFUNCTION("""COMPUTED_VALUE"""),"1d45ieJRLC6DQ7t19pclAZz5EI6hBsZ5_VdNJYb3VsNc")</f>
        <v>1d45ieJRLC6DQ7t19pclAZz5EI6hBsZ5_VdNJYb3VsNc</v>
      </c>
    </row>
    <row r="789" ht="15.75" customHeight="1">
      <c r="A789" s="0" t="str">
        <f>IFERROR(__xludf.DUMMYFUNCTION("""COMPUTED_VALUE"""),"PTT")</f>
        <v>PTT</v>
      </c>
      <c r="B789" s="0" t="str">
        <f>IFERROR(__xludf.DUMMYFUNCTION("""COMPUTED_VALUE"""),"RefreshCalculation")</f>
        <v>RefreshCalculation</v>
      </c>
    </row>
    <row r="790" ht="15.75" customHeight="1">
      <c r="A790" s="0" t="str">
        <f>IFERROR(__xludf.DUMMYFUNCTION("""COMPUTED_VALUE"""),"Blotter")</f>
        <v>Blotter</v>
      </c>
      <c r="B790" s="0" t="str">
        <f>IFERROR(__xludf.DUMMYFUNCTION("""COMPUTED_VALUE"""),"BookAsSwap")</f>
        <v>BookAsSwap</v>
      </c>
      <c r="C790" s="0" t="str">
        <f>IFERROR(__xludf.DUMMYFUNCTION("""COMPUTED_VALUE"""),"1tnkP5eD3WH53SXu2O-MWk6774J7b5ihwlD7r9dGtpiY")</f>
        <v>1tnkP5eD3WH53SXu2O-MWk6774J7b5ihwlD7r9dGtpiY</v>
      </c>
    </row>
    <row r="791" ht="15.75" customHeight="1">
      <c r="A791" s="0" t="str">
        <f>IFERROR(__xludf.DUMMYFUNCTION("""COMPUTED_VALUE"""),"Blotter")</f>
        <v>Blotter</v>
      </c>
      <c r="B791" s="0" t="str">
        <f>IFERROR(__xludf.DUMMYFUNCTION("""COMPUTED_VALUE"""),"ActionOnFloatingWindow")</f>
        <v>ActionOnFloatingWindow</v>
      </c>
      <c r="C791" s="0" t="str">
        <f>IFERROR(__xludf.DUMMYFUNCTION("""COMPUTED_VALUE"""),"1tFNUPT3PXgCKRnnehGwo6OF7EhLu13UJ8Elfq83HArE")</f>
        <v>1tFNUPT3PXgCKRnnehGwo6OF7EhLu13UJ8Elfq83HArE</v>
      </c>
    </row>
    <row r="792" ht="15.75" customHeight="1">
      <c r="A792" s="0" t="str">
        <f>IFERROR(__xludf.DUMMYFUNCTION("""COMPUTED_VALUE"""),"OpenFin")</f>
        <v>OpenFin</v>
      </c>
      <c r="B792" s="0" t="str">
        <f>IFERROR(__xludf.DUMMYFUNCTION("""COMPUTED_VALUE"""),"LockUnlockModule")</f>
        <v>LockUnlockModule</v>
      </c>
      <c r="C792" s="0" t="str">
        <f>IFERROR(__xludf.DUMMYFUNCTION("""COMPUTED_VALUE"""),"179D0kPRO8f_KLxd7hs6seM9XGxpL-u1rhIhNgFVePsQ")</f>
        <v>179D0kPRO8f_KLxd7hs6seM9XGxpL-u1rhIhNgFVePsQ</v>
      </c>
    </row>
    <row r="793" ht="15.75" customHeight="1">
      <c r="A793" s="0" t="str">
        <f>IFERROR(__xludf.DUMMYFUNCTION("""COMPUTED_VALUE"""),"OpenFin")</f>
        <v>OpenFin</v>
      </c>
      <c r="B793" s="0" t="str">
        <f>IFERROR(__xludf.DUMMYFUNCTION("""COMPUTED_VALUE"""),"OpenModule")</f>
        <v>OpenModule</v>
      </c>
      <c r="C793" s="0" t="str">
        <f>IFERROR(__xludf.DUMMYFUNCTION("""COMPUTED_VALUE"""),"1IdmD7l42pWNjFNVt_7UwbOO7y5tDxaXr7tE60c9ETLw")</f>
        <v>1IdmD7l42pWNjFNVt_7UwbOO7y5tDxaXr7tE60c9ETLw</v>
      </c>
    </row>
    <row r="794" ht="15.75" customHeight="1">
      <c r="A794" s="0" t="str">
        <f>IFERROR(__xludf.DUMMYFUNCTION("""COMPUTED_VALUE"""),"TradingTicket")</f>
        <v>TradingTicket</v>
      </c>
      <c r="B794" s="0" t="str">
        <f>IFERROR(__xludf.DUMMYFUNCTION("""COMPUTED_VALUE"""),"SymbolSuggestionVerify")</f>
        <v>SymbolSuggestionVerify</v>
      </c>
      <c r="C794" s="0" t="str">
        <f>IFERROR(__xludf.DUMMYFUNCTION("""COMPUTED_VALUE"""),"14aTeLjmUbS-nhaQwjtZAMGxdQ5DS6UsBjE5OTWN-LQU")</f>
        <v>14aTeLjmUbS-nhaQwjtZAMGxdQ5DS6UsBjE5OTWN-LQU</v>
      </c>
    </row>
    <row r="795" ht="15.75" customHeight="1">
      <c r="A795" s="0" t="str">
        <f>IFERROR(__xludf.DUMMYFUNCTION("""COMPUTED_VALUE"""),"Blotter")</f>
        <v>Blotter</v>
      </c>
      <c r="B795" s="0" t="str">
        <f>IFERROR(__xludf.DUMMYFUNCTION("""COMPUTED_VALUE"""),"CreateHotButtonOnBlotter")</f>
        <v>CreateHotButtonOnBlotter</v>
      </c>
      <c r="C795" s="0" t="str">
        <f>IFERROR(__xludf.DUMMYFUNCTION("""COMPUTED_VALUE"""),"1Yu7Fb6AjhUP8b-KuRJvgAwq8TykNK6BDh9F0Xpf12Ek")</f>
        <v>1Yu7Fb6AjhUP8b-KuRJvgAwq8TykNK6BDh9F0Xpf12Ek</v>
      </c>
    </row>
    <row r="796" ht="15.75" customHeight="1">
      <c r="A796" s="0" t="str">
        <f>IFERROR(__xludf.DUMMYFUNCTION("""COMPUTED_VALUE"""),"Blotter")</f>
        <v>Blotter</v>
      </c>
      <c r="B796" s="0" t="str">
        <f>IFERROR(__xludf.DUMMYFUNCTION("""COMPUTED_VALUE"""),"FillHBdetailsOnBlotter")</f>
        <v>FillHBdetailsOnBlotter</v>
      </c>
      <c r="C796" s="0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IFERROR(__xludf.DUMMYFUNCTION("IF(C3="""","""",Transpose(IMPORTRANGE('_Settings'!$B$3,C3&amp;""!A4:A1000"")))"),"VerifySymbolLookUp")</f>
        <v>VerifySymbolLookUp</v>
      </c>
      <c r="C4" s="24" t="str">
        <f>IFERROR(__xludf.DUMMYFUNCTION("""COMPUTED_VALUE"""),"SymbolLookupFromTT")</f>
        <v>SymbolLookupFromTT</v>
      </c>
      <c r="D4" s="24" t="str">
        <f>IFERROR(__xludf.DUMMYFUNCTION("""COMPUTED_VALUE"""),"UpdateUDA")</f>
        <v>UpdateUDA</v>
      </c>
      <c r="E4" s="24" t="str">
        <f>IFERROR(__xludf.DUMMYFUNCTION("""COMPUTED_VALUE"""),"GetSymbol")</f>
        <v>GetSymbol</v>
      </c>
      <c r="F4" s="24" t="str">
        <f>IFERROR(__xludf.DUMMYFUNCTION("""COMPUTED_VALUE"""),"GetDataSymbolLookup")</f>
        <v>GetDataSymbolLookup</v>
      </c>
      <c r="G4" s="24" t="str">
        <f>IFERROR(__xludf.DUMMYFUNCTION("""COMPUTED_VALUE"""),"DeleteValidateSymbol")</f>
        <v>DeleteValidateSymbol</v>
      </c>
      <c r="H4" s="24" t="str">
        <f>IFERROR(__xludf.DUMMYFUNCTION("""COMPUTED_VALUE"""),"EnterEquity")</f>
        <v>EnterEquity</v>
      </c>
      <c r="I4" s="24" t="str">
        <f>IFERROR(__xludf.DUMMYFUNCTION("""COMPUTED_VALUE"""),"UpdateSecurityInfoOnSM")</f>
        <v>UpdateSecurityInfoOnSM</v>
      </c>
      <c r="J4" s="24" t="str">
        <f>IFERROR(__xludf.DUMMYFUNCTION("""COMPUTED_VALUE"""),"TradeSymbolFromSM")</f>
        <v>TradeSymbolFromSM</v>
      </c>
      <c r="K4" s="24" t="str">
        <f>IFERROR(__xludf.DUMMYFUNCTION("""COMPUTED_VALUE"""),"AddSymbol")</f>
        <v>AddSymbol</v>
      </c>
      <c r="L4" s="24" t="str">
        <f>IFERROR(__xludf.DUMMYFUNCTION("""COMPUTED_VALUE"""),"SelectFromSMGridUI")</f>
        <v>SelectFromSMGridUI</v>
      </c>
      <c r="M4" s="24" t="str">
        <f>IFERROR(__xludf.DUMMYFUNCTION("""COMPUTED_VALUE"""),"EditSMGridUi")</f>
        <v>EditSMGridUi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IFERROR(__xludf.DUMMYFUNCTION("""COMPUTED_VALUE"""),"UseUDAFromUnderlyingOrRoot")</f>
        <v>UseUDAFromUnderlyingOrRoot</v>
      </c>
      <c r="C5" s="27" t="str">
        <f>IFERROR(__xludf.DUMMYFUNCTION("""COMPUTED_VALUE"""),"Is NDF")</f>
        <v>Is NDF</v>
      </c>
      <c r="D5" s="27" t="str">
        <f>IFERROR(__xludf.DUMMYFUNCTION("""COMPUTED_VALUE"""),"IsZero")</f>
        <v>IsZero</v>
      </c>
      <c r="E5" s="27" t="str">
        <f>IFERROR(__xludf.DUMMYFUNCTION("""COMPUTED_VALUE"""),"IsSecApproved")</f>
        <v>IsSecApproved</v>
      </c>
      <c r="F5" s="28" t="str">
        <f>IFERROR(__xludf.DUMMYFUNCTION("""COMPUTED_VALUE"""),"Strike Price")</f>
        <v>Strike Price</v>
      </c>
      <c r="G5" s="27" t="str">
        <f>IFERROR(__xludf.DUMMYFUNCTION("""COMPUTED_VALUE"""),"Search Type")</f>
        <v>Search Type</v>
      </c>
      <c r="H5" s="27" t="str">
        <f>IFERROR(__xludf.DUMMYFUNCTION("""COMPUTED_VALUE"""),"Symbol")</f>
        <v>Symbol</v>
      </c>
      <c r="I5" s="27" t="str">
        <f>IFERROR(__xludf.DUMMYFUNCTION("""COMPUTED_VALUE"""),"SearchBeforeEdit")</f>
        <v>SearchBeforeEdit</v>
      </c>
      <c r="J5" s="27" t="str">
        <f>IFERROR(__xludf.DUMMYFUNCTION("""COMPUTED_VALUE"""),"BB Code")</f>
        <v>BB Code</v>
      </c>
      <c r="K5" s="27" t="str">
        <f>IFERROR(__xludf.DUMMYFUNCTION("""COMPUTED_VALUE"""),"Underlying Symbol")</f>
        <v>Underlying Symbol</v>
      </c>
      <c r="L5" s="27" t="str">
        <f>IFERROR(__xludf.DUMMYFUNCTION("""COMPUTED_VALUE"""),"Multiplier")</f>
        <v>Multiplier</v>
      </c>
      <c r="M5" s="27" t="str">
        <f>IFERROR(__xludf.DUMMYFUNCTION("""COMPUTED_VALUE"""),"CUSIP")</f>
        <v>CUSIP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2" t="s">
        <v>16</v>
      </c>
      <c r="I6" s="32" t="s">
        <v>17</v>
      </c>
      <c r="J6" s="31"/>
      <c r="K6" s="31"/>
      <c r="L6" s="33">
        <v>1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671602F4-390B-4A31-B6BD-DC50B2A6B9E8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C18725A6-10D0-4AC0-8BFD-2101A74F4C95}">
          <x14:formula1>
            <xm:f>EditSMGridUi!$4:$4</xm:f>
          </x14:formula1>
          <xm:sqref>E3</xm:sqref>
        </x14:dataValidation>
        <x14:dataValidation type="list" allowBlank="1" showInputMessage="1" showErrorMessage="1" prompt="Choose an available module" xr:uid="{C4ABDFF4-763F-4E58-898A-37CB45F9A937}">
          <x14:formula1>
            <xm:f>'_Modules'!$A$4:$A$1000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20</v>
      </c>
      <c r="C6" s="35" t="b">
        <v>1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E6DD5BD7-A895-4B9C-B21A-B69FBEEE020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2BCE6CE2-519B-4D25-B637-2407875804E4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48AF9860-F9DA-415C-9385-8DF7669F7FC7}">
          <x14:formula1>
            <xm:f>UpdateExpnlConfig!$4:$4</xm:f>
          </x14:formula1>
          <xm:sqref>E3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 Update")</f>
        <v>Symbol Update</v>
      </c>
      <c r="C5" s="27" t="str">
        <f>IFERROR(__xludf.DUMMYFUNCTION("""COMPUTED_VALUE"""),"RoundLot")</f>
        <v>RoundLot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23</v>
      </c>
      <c r="C6" s="33">
        <v>100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24</v>
      </c>
      <c r="C7" s="33">
        <v>200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25</v>
      </c>
      <c r="C8" s="33">
        <v>400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26</v>
      </c>
      <c r="C9" s="33">
        <v>500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 t="s">
        <v>27</v>
      </c>
      <c r="C10" s="33">
        <v>600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2" t="s">
        <v>28</v>
      </c>
      <c r="C11" s="33">
        <v>300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7102D3F-4BE9-4BFC-9886-AFBC9A08CB9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BD42FBF6-D776-448B-A6C0-E4F670629E12}">
          <x14:formula1>
            <xm:f>UpdateRoundLot!$4:$4</xm:f>
          </x14:formula1>
          <xm:sqref>E3</xm:sqref>
        </x14:dataValidation>
        <x14:dataValidation type="list" allowBlank="1" showInputMessage="1" showErrorMessage="1" prompt="Choose an available module" xr:uid="{BA62DC22-796C-4A06-93D6-F052D7D4DE1A}">
          <x14:formula1>
            <xm:f>'_Modules'!$A$4:$A$1000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24</v>
      </c>
      <c r="C6" s="33">
        <v>100</v>
      </c>
      <c r="D6" s="37">
        <v>26.47</v>
      </c>
      <c r="E6" s="31" t="s">
        <v>31</v>
      </c>
      <c r="F6" s="31"/>
      <c r="G6" s="31"/>
      <c r="H6" s="31"/>
      <c r="I6" s="31"/>
      <c r="J6" s="32" t="s">
        <v>32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8">
        <f ref="Z6:Z15" t="shared" si="1">TODAY()-1</f>
        <v>45854</v>
      </c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28</v>
      </c>
      <c r="C7" s="33">
        <v>100</v>
      </c>
      <c r="D7" s="33">
        <v>10</v>
      </c>
      <c r="E7" s="31" t="s">
        <v>31</v>
      </c>
      <c r="F7" s="31"/>
      <c r="G7" s="31"/>
      <c r="H7" s="31"/>
      <c r="I7" s="31"/>
      <c r="J7" s="32" t="s">
        <v>32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8">
        <f t="shared" si="1"/>
        <v>45854</v>
      </c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>
        <v>123456789</v>
      </c>
      <c r="C8" s="33">
        <v>12000</v>
      </c>
      <c r="D8" s="33">
        <v>25</v>
      </c>
      <c r="E8" s="31" t="s">
        <v>31</v>
      </c>
      <c r="F8" s="31"/>
      <c r="G8" s="31"/>
      <c r="H8" s="31"/>
      <c r="I8" s="31"/>
      <c r="J8" s="32" t="s">
        <v>32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8">
        <f t="shared" si="1"/>
        <v>45854</v>
      </c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27</v>
      </c>
      <c r="C9" s="33">
        <v>10</v>
      </c>
      <c r="D9" s="33">
        <v>20</v>
      </c>
      <c r="E9" s="31" t="s">
        <v>31</v>
      </c>
      <c r="F9" s="31"/>
      <c r="G9" s="31"/>
      <c r="H9" s="31"/>
      <c r="I9" s="31"/>
      <c r="J9" s="32" t="s">
        <v>33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8">
        <f t="shared" si="1"/>
        <v>45854</v>
      </c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26</v>
      </c>
      <c r="C10" s="33">
        <v>100</v>
      </c>
      <c r="D10" s="33">
        <v>10</v>
      </c>
      <c r="E10" s="31" t="s">
        <v>31</v>
      </c>
      <c r="F10" s="31"/>
      <c r="G10" s="31"/>
      <c r="H10" s="31"/>
      <c r="I10" s="31"/>
      <c r="J10" s="32" t="s">
        <v>34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8">
        <f t="shared" si="1"/>
        <v>45854</v>
      </c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25</v>
      </c>
      <c r="C11" s="33">
        <v>10</v>
      </c>
      <c r="D11" s="33">
        <v>36.6</v>
      </c>
      <c r="E11" s="31" t="s">
        <v>31</v>
      </c>
      <c r="F11" s="31"/>
      <c r="G11" s="31"/>
      <c r="H11" s="31"/>
      <c r="I11" s="31"/>
      <c r="J11" s="32" t="s">
        <v>34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8">
        <f t="shared" si="1"/>
        <v>45854</v>
      </c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2" t="s">
        <v>23</v>
      </c>
      <c r="C12" s="33">
        <v>100</v>
      </c>
      <c r="D12" s="33">
        <v>8</v>
      </c>
      <c r="E12" s="31" t="s">
        <v>31</v>
      </c>
      <c r="F12" s="31"/>
      <c r="G12" s="31"/>
      <c r="H12" s="31"/>
      <c r="I12" s="31"/>
      <c r="J12" s="32" t="s">
        <v>32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8">
        <f t="shared" si="1"/>
        <v>45854</v>
      </c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2" t="s">
        <v>35</v>
      </c>
      <c r="C13" s="33">
        <v>20000</v>
      </c>
      <c r="D13" s="33">
        <v>5</v>
      </c>
      <c r="E13" s="31" t="s">
        <v>31</v>
      </c>
      <c r="F13" s="31"/>
      <c r="G13" s="31"/>
      <c r="H13" s="31"/>
      <c r="I13" s="31"/>
      <c r="J13" s="32" t="s">
        <v>33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8">
        <f t="shared" si="1"/>
        <v>45854</v>
      </c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36</v>
      </c>
      <c r="C14" s="33">
        <v>100</v>
      </c>
      <c r="D14" s="33">
        <v>8</v>
      </c>
      <c r="E14" s="31" t="s">
        <v>31</v>
      </c>
      <c r="F14" s="31"/>
      <c r="G14" s="31"/>
      <c r="H14" s="31"/>
      <c r="I14" s="31"/>
      <c r="J14" s="32" t="s">
        <v>37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8">
        <f t="shared" si="1"/>
        <v>45854</v>
      </c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2" t="s">
        <v>38</v>
      </c>
      <c r="C15" s="33">
        <v>10</v>
      </c>
      <c r="D15" s="33">
        <v>5</v>
      </c>
      <c r="E15" s="31" t="s">
        <v>31</v>
      </c>
      <c r="F15" s="31"/>
      <c r="G15" s="31"/>
      <c r="H15" s="31"/>
      <c r="I15" s="31"/>
      <c r="J15" s="32" t="s">
        <v>39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8">
        <f t="shared" si="1"/>
        <v>45854</v>
      </c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</row>
    <row r="17" ht="15.75" customHeigh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</row>
    <row r="18" ht="15.75" customHeigh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  <c r="CW18" s="31"/>
      <c r="CX18" s="31"/>
      <c r="CY18" s="31"/>
      <c r="CZ18" s="31"/>
      <c r="DA18" s="31"/>
      <c r="DB18" s="31"/>
      <c r="DC18" s="31"/>
      <c r="DD18" s="31"/>
      <c r="DE18" s="31"/>
      <c r="DF18" s="31"/>
      <c r="DG18" s="31"/>
      <c r="DH18" s="31"/>
      <c r="DI18" s="31"/>
      <c r="DJ18" s="31"/>
      <c r="DK18" s="31"/>
      <c r="DL18" s="31"/>
      <c r="DM18" s="31"/>
      <c r="DN18" s="31"/>
      <c r="DO18" s="31"/>
      <c r="DP18" s="31"/>
      <c r="DQ18" s="31"/>
      <c r="DR18" s="31"/>
      <c r="DS18" s="31"/>
      <c r="DT18" s="31"/>
      <c r="DU18" s="31"/>
      <c r="DV18" s="31"/>
      <c r="DW18" s="31"/>
      <c r="DX18" s="31"/>
      <c r="DY18" s="31"/>
      <c r="DZ18" s="31"/>
      <c r="EA18" s="31"/>
      <c r="EB18" s="31"/>
      <c r="EC18" s="31"/>
      <c r="ED18" s="31"/>
      <c r="EE18" s="31"/>
      <c r="EF18" s="31"/>
      <c r="EG18" s="31"/>
      <c r="EH18" s="31"/>
      <c r="EI18" s="31"/>
      <c r="EJ18" s="31"/>
      <c r="EK18" s="31"/>
      <c r="EL18" s="31"/>
      <c r="EM18" s="31"/>
      <c r="EN18" s="31"/>
      <c r="EO18" s="31"/>
      <c r="EP18" s="31"/>
      <c r="EQ18" s="31"/>
      <c r="ER18" s="31"/>
      <c r="ES18" s="31"/>
      <c r="ET18" s="31"/>
      <c r="EU18" s="31"/>
      <c r="EV18" s="31"/>
      <c r="EW18" s="31"/>
      <c r="EX18" s="31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8EE171C2-1208-4E27-963C-FB36720D848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43E94277-3287-4AE2-9FC8-13C2A5C2E0CE}">
          <x14:formula1>
            <xm:f>CustomOrderTT!$4:$4</xm:f>
          </x14:formula1>
          <xm:sqref>E3</xm:sqref>
        </x14:dataValidation>
        <x14:dataValidation type="list" allowBlank="1" showInputMessage="1" showErrorMessage="1" prompt="Choose an available module" xr:uid="{DB08C134-F6AC-4313-9B8F-02CA40162CE7}">
          <x14:formula1>
            <xm:f>'_Modules'!$A$4:$A$1000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24</v>
      </c>
      <c r="C6" s="33">
        <v>25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28</v>
      </c>
      <c r="C7" s="33">
        <v>10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>
        <v>123456789</v>
      </c>
      <c r="C8" s="33">
        <v>25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27</v>
      </c>
      <c r="C9" s="33">
        <v>20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 t="s">
        <v>26</v>
      </c>
      <c r="C10" s="33">
        <v>10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2" t="s">
        <v>25</v>
      </c>
      <c r="C11" s="33">
        <v>30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2" t="s">
        <v>23</v>
      </c>
      <c r="C12" s="33">
        <v>8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2" t="s">
        <v>35</v>
      </c>
      <c r="C13" s="33">
        <v>5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1" t="s">
        <v>36</v>
      </c>
      <c r="C14" s="33">
        <v>25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2" t="s">
        <v>38</v>
      </c>
      <c r="C15" s="33">
        <v>15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1"/>
      <c r="C16" s="31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A7BCC7D3-3474-418C-B169-47EA44BF41D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02D1555C-8F62-4A33-B0FA-5BD136F31D50}">
          <x14:formula1>
            <xm:f>PricingInput!$4:$4</xm:f>
          </x14:formula1>
          <xm:sqref>E3</xm:sqref>
        </x14:dataValidation>
        <x14:dataValidation type="list" allowBlank="1" showInputMessage="1" showErrorMessage="1" prompt="Choose an available module" xr:uid="{EAAE5F08-04A9-461E-9C80-209BD25E3EA3}">
          <x14:formula1>
            <xm:f>'_Modules'!$A$4:$A$1000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>
        <f>TODAY()-1</f>
        <v>45854</v>
      </c>
      <c r="C6" s="38">
        <f>TODAY()</f>
        <v>45855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ADF8F10-5180-49FA-B28F-B44EEF96EDF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1C707591-1C60-4A40-BEC1-1B8B57313F9D}">
          <x14:formula1>
            <xm:f>GetForexConversion!$4:$4</xm:f>
          </x14:formula1>
          <xm:sqref>E3</xm:sqref>
        </x14:dataValidation>
        <x14:dataValidation type="list" allowBlank="1" showInputMessage="1" showErrorMessage="1" prompt="Choose an available module" xr:uid="{CDC34EF2-982B-4B93-B06F-A3D2222B2B83}">
          <x14:formula1>
            <xm:f>'_Modules'!$A$4:$A$1000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44</v>
      </c>
      <c r="C6" s="32" t="s">
        <v>45</v>
      </c>
      <c r="D6" s="34" t="s">
        <v>46</v>
      </c>
      <c r="E6" s="33">
        <v>1.0588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47</v>
      </c>
      <c r="C7" s="32" t="s">
        <v>45</v>
      </c>
      <c r="D7" s="32" t="s">
        <v>48</v>
      </c>
      <c r="E7" s="33">
        <v>1.22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/>
      <c r="C8" s="31"/>
      <c r="D8" s="31"/>
      <c r="E8" s="31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1"/>
      <c r="C9" s="31"/>
      <c r="D9" s="31"/>
      <c r="E9" s="31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8CF984A-43EA-4DEB-BBB9-2825B1FA57A5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695AF57E-48BA-47B9-B7F4-9E0C40E53AA1}">
          <x14:formula1>
            <xm:f>UpdateForexConversion!$4:$4</xm:f>
          </x14:formula1>
          <xm:sqref>E3</xm:sqref>
        </x14:dataValidation>
        <x14:dataValidation type="list" allowBlank="1" showInputMessage="1" showErrorMessage="1" prompt="Choose an available module" xr:uid="{DDE0F8CC-72FA-4167-ACA0-861F5CC11349}">
          <x14:formula1>
            <xm:f>'_Modules'!$A$4:$A$1000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51</v>
      </c>
      <c r="C6" s="38">
        <f>TODAY()-1</f>
        <v>45854</v>
      </c>
      <c r="D6" s="38">
        <f>TODAY()</f>
        <v>45855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/>
      <c r="C7" s="31"/>
      <c r="D7" s="31"/>
      <c r="E7" s="31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0E5E0F1-AA74-4EE9-967E-8FB45AEF0B2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14B0AB73-05BD-48D9-BA2A-F5F9341FFAF6}">
          <x14:formula1>
            <xm:f>GetDataAllocation!$4:$4</xm:f>
          </x14:formula1>
          <xm:sqref>E3</xm:sqref>
        </x14:dataValidation>
        <x14:dataValidation type="list" allowBlank="1" showInputMessage="1" showErrorMessage="1" prompt="Choose an available module" xr:uid="{D502DF98-F76C-4724-B523-6157CC006D60}">
          <x14:formula1>
            <xm:f>'_Modules'!$A$4:$A$1000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26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4738E9A-FCDE-49FE-B812-B97B3EED9B9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9A5B3261-AC36-4AFF-941B-C0463A798A50}">
          <x14:formula1>
            <xm:f>SelectAllocatedGroup!$4:$4</xm:f>
          </x14:formula1>
          <xm:sqref>E3</xm:sqref>
        </x14:dataValidation>
        <x14:dataValidation type="list" allowBlank="1" showInputMessage="1" showErrorMessage="1" prompt="Choose an available module" xr:uid="{FF27C8EC-5D9F-4EEC-A61F-997FAEF2B8F6}">
          <x14:formula1>
            <xm:f>'_Modules'!$A$4:$A$1000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>
        <v>720</v>
      </c>
      <c r="C6" s="31"/>
      <c r="D6" s="30"/>
      <c r="E6" s="31"/>
      <c r="F6" s="33">
        <v>365</v>
      </c>
      <c r="G6" s="31"/>
      <c r="H6" s="33">
        <v>8</v>
      </c>
      <c r="I6" s="31"/>
      <c r="J6" s="31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881BBB6-AE63-48D2-B789-131FA99B61AD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5B45EC35-B4FA-4548-8DE9-4399BB2B0143}">
          <x14:formula1>
            <xm:f>BookOrUpdateSwap!$4:$4</xm:f>
          </x14:formula1>
          <xm:sqref>E3</xm:sqref>
        </x14:dataValidation>
        <x14:dataValidation type="list" allowBlank="1" showInputMessage="1" showErrorMessage="1" prompt="Choose an available module" xr:uid="{0FC09EB5-519F-4BDF-80D7-6E20AFD7BAD7}">
          <x14:formula1>
            <xm:f>'_Modules'!$A$4:$A$1000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23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C677A4ED-469C-4365-A5D8-43091068AC9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19E55B9C-FD48-47A2-A546-A5DBA4D347EB}">
          <x14:formula1>
            <xm:f>SelectAllocatedGroup1!$4:$4</xm:f>
          </x14:formula1>
          <xm:sqref>E3</xm:sqref>
        </x14:dataValidation>
        <x14:dataValidation type="list" allowBlank="1" showInputMessage="1" showErrorMessage="1" prompt="Choose an available module" xr:uid="{D73FFA0D-8A32-4ED7-A08D-3D7BAFEB0EA2}">
          <x14:formula1>
            <xm:f>'_Modules'!$A$4:$A$1000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>
        <v>50</v>
      </c>
      <c r="C6" s="31"/>
      <c r="D6" s="30"/>
      <c r="E6" s="31"/>
      <c r="F6" s="33">
        <v>365</v>
      </c>
      <c r="G6" s="31"/>
      <c r="H6" s="33">
        <v>5</v>
      </c>
      <c r="I6" s="31"/>
      <c r="J6" s="31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BE95F96-8643-41B5-B650-79F09B0AC6A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FDFE2B5A-8520-4F0F-97AE-7238B24067DA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E5A15486-FC0B-472F-A0E5-251A981A1888}">
          <x14:formula1>
            <xm:f>BookOrUpdateSwap1!$4:$4</xm:f>
          </x14:formula1>
          <xm:sqref>E3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54</v>
      </c>
      <c r="C6" s="33">
        <v>100</v>
      </c>
      <c r="D6" s="37">
        <v>50</v>
      </c>
      <c r="E6" s="31" t="s">
        <v>31</v>
      </c>
      <c r="F6" s="31"/>
      <c r="G6" s="31"/>
      <c r="H6" s="31"/>
      <c r="I6" s="31"/>
      <c r="J6" s="32" t="s">
        <v>32</v>
      </c>
      <c r="K6" s="31"/>
      <c r="L6" s="31"/>
      <c r="M6" s="31"/>
      <c r="N6" s="39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54</v>
      </c>
      <c r="C7" s="33">
        <v>1</v>
      </c>
      <c r="D7" s="33">
        <v>50</v>
      </c>
      <c r="E7" s="31" t="s">
        <v>31</v>
      </c>
      <c r="F7" s="31"/>
      <c r="G7" s="31"/>
      <c r="H7" s="31"/>
      <c r="I7" s="31"/>
      <c r="J7" s="32" t="s">
        <v>33</v>
      </c>
      <c r="K7" s="31"/>
      <c r="L7" s="31"/>
      <c r="M7" s="31"/>
      <c r="N7" s="39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54</v>
      </c>
      <c r="C8" s="33">
        <v>98</v>
      </c>
      <c r="D8" s="33">
        <v>50</v>
      </c>
      <c r="E8" s="31" t="s">
        <v>31</v>
      </c>
      <c r="F8" s="31"/>
      <c r="G8" s="31"/>
      <c r="H8" s="31"/>
      <c r="I8" s="31"/>
      <c r="J8" s="32" t="s">
        <v>33</v>
      </c>
      <c r="K8" s="31"/>
      <c r="L8" s="31"/>
      <c r="M8" s="31"/>
      <c r="N8" s="39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55</v>
      </c>
      <c r="C9" s="33">
        <v>10</v>
      </c>
      <c r="D9" s="33">
        <v>5</v>
      </c>
      <c r="E9" s="31" t="s">
        <v>31</v>
      </c>
      <c r="F9" s="31"/>
      <c r="G9" s="31"/>
      <c r="H9" s="31"/>
      <c r="I9" s="31"/>
      <c r="J9" s="32" t="s">
        <v>33</v>
      </c>
      <c r="K9" s="31"/>
      <c r="L9" s="31"/>
      <c r="M9" s="31"/>
      <c r="N9" s="39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C6E191A-30B8-4C6E-B729-BE63CDD23A15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520F9D77-39A4-45A2-9089-09EE93B87B02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52CE3C29-B5B2-412D-A39D-69399A91DDEF}">
          <x14:formula1>
            <xm:f>CustomOrderTT1!$4:$4</xm:f>
          </x14:formula1>
          <xm:sqref>E3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54</v>
      </c>
      <c r="C6" s="33">
        <v>15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55</v>
      </c>
      <c r="C7" s="33">
        <v>20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11A39B6-A088-4453-9EE5-52622A9C0FB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5116CBB5-8B98-4E31-8BA9-BDFE000EE706}">
          <x14:formula1>
            <xm:f>PricingInput1!$4:$4</xm:f>
          </x14:formula1>
          <xm:sqref>E3</xm:sqref>
        </x14:dataValidation>
        <x14:dataValidation type="list" allowBlank="1" showInputMessage="1" showErrorMessage="1" prompt="Choose an available module" xr:uid="{70B6DE7B-AF90-4A61-8BEF-539C9B3C905C}">
          <x14:formula1>
            <xm:f>'_Modules'!$A$4:$A$1000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>
        <f ref="B6:C6" t="shared" si="1">TODAY()-1</f>
        <v>45854</v>
      </c>
      <c r="C6" s="38">
        <f t="shared" si="1"/>
        <v>45854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A584D900-B895-4898-9AB5-CD64AB16E29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B226B9FB-67BC-4568-819C-1067953A3A4F}">
          <x14:formula1>
            <xm:f>GetDailyCash!$4:$4</xm:f>
          </x14:formula1>
          <xm:sqref>E3</xm:sqref>
        </x14:dataValidation>
        <x14:dataValidation type="list" allowBlank="1" showInputMessage="1" showErrorMessage="1" prompt="Choose an available module" xr:uid="{5ED29E3E-20DC-4EFB-BB6F-A19A09DE7746}">
          <x14:formula1>
            <xm:f>'_Modules'!$A$4:$A$1000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58</v>
      </c>
      <c r="C6" s="32" t="s">
        <v>45</v>
      </c>
      <c r="D6" s="12">
        <v>4662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CC705A50-5423-4562-928E-BC8B86B51DD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3095E5EB-1A29-44AE-B6D7-325CB1B16425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FC4DDC5C-6506-4E0C-A0A3-A8383EF70F81}">
          <x14:formula1>
            <xm:f>UpdateMultipleDailyCash!$4:$4</xm:f>
          </x14:formula1>
          <xm:sqref>E3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IFERROR(__xludf.DUMMYFUNCTION("""COMPUTED_VALUE"""),"Account")</f>
        <v>Account</v>
      </c>
      <c r="C5" s="27" t="str">
        <f>IFERROR(__xludf.DUMMYFUNCTION("""COMPUTED_VALUE"""),"Date Type")</f>
        <v>Date Type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IFERROR(__xludf.DUMMYFUNCTION("""COMPUTED_VALUE"""),"Symbol")</f>
        <v>Symbol</v>
      </c>
      <c r="G5" s="27" t="str">
        <f>IFERROR(__xludf.DUMMYFUNCTION("""COMPUTED_VALUE"""),"Contains")</f>
        <v>Contains</v>
      </c>
      <c r="H5" s="27" t="str">
        <f>IFERROR(__xludf.DUMMYFUNCTION("""COMPUTED_VALUE"""),"Exact")</f>
        <v>Exact</v>
      </c>
      <c r="I5" s="27" t="str">
        <f>IFERROR(__xludf.DUMMYFUNCTION("""COMPUTED_VALUE"""),"Starts With")</f>
        <v>Starts With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58</v>
      </c>
      <c r="C6" s="31" t="s">
        <v>61</v>
      </c>
      <c r="D6" s="40">
        <f ref="D6:E6" t="shared" si="1">TODAY()</f>
        <v>45855</v>
      </c>
      <c r="E6" s="40">
        <f t="shared" si="1"/>
        <v>45855</v>
      </c>
      <c r="F6" s="31"/>
      <c r="G6" s="31" t="s">
        <v>62</v>
      </c>
      <c r="H6" s="31" t="s">
        <v>63</v>
      </c>
      <c r="I6" s="31" t="s">
        <v>62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9CBA249-2BF0-4AD1-8095-D47B02B3C0C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548C1F49-7631-4F07-BFC5-7031062C38F3}">
          <x14:formula1>
            <xm:f>GetCashTransaction!$4:$4</xm:f>
          </x14:formula1>
          <xm:sqref>E3</xm:sqref>
        </x14:dataValidation>
        <x14:dataValidation type="list" allowBlank="1" showInputMessage="1" showErrorMessage="1" prompt="Choose an available module" xr:uid="{A2F0BD76-6805-4383-8999-51EC71DDC509}">
          <x14:formula1>
            <xm:f>'_Modules'!$A$4:$A$1000</xm:f>
          </x14:formula1>
          <xm:sqref>C3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65</v>
      </c>
      <c r="C6" s="32" t="s">
        <v>58</v>
      </c>
      <c r="D6" s="38">
        <f>TODAY()</f>
        <v>45855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820C6615-D552-4EA7-8C70-92E7F0FFE29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86211305-A8E6-447E-A18D-AE4D208D9085}">
          <x14:formula1>
            <xm:f>RunRevaluation!$4:$4</xm:f>
          </x14:formula1>
          <xm:sqref>E3</xm:sqref>
        </x14:dataValidation>
        <x14:dataValidation type="list" allowBlank="1" showInputMessage="1" showErrorMessage="1" prompt="Choose an available module" xr:uid="{40B6ED30-06DD-49F1-852C-856A91F677FE}">
          <x14:formula1>
            <xm:f>'_Modules'!$A$4:$A$1000</xm:f>
          </x14:formula1>
          <xm:sqref>C3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IFERROR(__xludf.DUMMYFUNCTION("""COMPUTED_VALUE"""),"CashTransactionId")</f>
        <v>CashTransactionId</v>
      </c>
      <c r="C5" s="27" t="str">
        <f>IFERROR(__xludf.DUMMYFUNCTION("""COMPUTED_VALUE"""),"Activity Type")</f>
        <v>Activity Type</v>
      </c>
      <c r="D5" s="27" t="str">
        <f>IFERROR(__xludf.DUMMYFUNCTION("""COMPUTED_VALUE"""),"Symbol")</f>
        <v>Symbol</v>
      </c>
      <c r="E5" s="27" t="str">
        <f>IFERROR(__xludf.DUMMYFUNCTION("""COMPUTED_VALUE"""),"Strategy")</f>
        <v>Strategy</v>
      </c>
      <c r="F5" s="28" t="str">
        <f>IFERROR(__xludf.DUMMYFUNCTION("""COMPUTED_VALUE"""),"Account")</f>
        <v>Account</v>
      </c>
      <c r="G5" s="27" t="str">
        <f>IFERROR(__xludf.DUMMYFUNCTION("""COMPUTED_VALUE"""),"Currency")</f>
        <v>Currency</v>
      </c>
      <c r="H5" s="27" t="str">
        <f>IFERROR(__xludf.DUMMYFUNCTION("""COMPUTED_VALUE"""),"Amount")</f>
        <v>Amount</v>
      </c>
      <c r="I5" s="27" t="str">
        <f>IFERROR(__xludf.DUMMYFUNCTION("""COMPUTED_VALUE"""),"Ex Date")</f>
        <v>Ex Date</v>
      </c>
      <c r="J5" s="27" t="str">
        <f>IFERROR(__xludf.DUMMYFUNCTION("""COMPUTED_VALUE"""),"Payout Date")</f>
        <v>Payout Date</v>
      </c>
      <c r="K5" s="27" t="str">
        <f>IFERROR(__xludf.DUMMYFUNCTION("""COMPUTED_VALUE"""),"Record Date")</f>
        <v>Record Date</v>
      </c>
      <c r="L5" s="27" t="str">
        <f>IFERROR(__xludf.DUMMYFUNCTION("""COMPUTED_VALUE"""),"Declaration Date")</f>
        <v>Declaration Date</v>
      </c>
      <c r="M5" s="27" t="str">
        <f>IFERROR(__xludf.DUMMYFUNCTION("""COMPUTED_VALUE"""),"Description")</f>
        <v>Description</v>
      </c>
      <c r="N5" s="27" t="str">
        <f>IFERROR(__xludf.DUMMYFUNCTION("""COMPUTED_VALUE"""),"Other Currency")</f>
        <v>Other Currency</v>
      </c>
      <c r="O5" s="27" t="str">
        <f>IFERROR(__xludf.DUMMYFUNCTION("""COMPUTED_VALUE"""),"FXRate")</f>
        <v>FXRate</v>
      </c>
      <c r="P5" s="27" t="str">
        <f>IFERROR(__xludf.DUMMYFUNCTION("""COMPUTED_VALUE"""),"FXConversionMethodOperator")</f>
        <v>FXConversionMethodOperator</v>
      </c>
      <c r="Q5" s="27" t="str">
        <f>IFERROR(__xludf.DUMMYFUNCTION("""COMPUTED_VALUE"""),"Transaction Source")</f>
        <v>Transaction Source</v>
      </c>
      <c r="R5" s="27" t="str">
        <f>IFERROR(__xludf.DUMMYFUNCTION("""COMPUTED_VALUE"""),"Entry Date")</f>
        <v>Entry Date</v>
      </c>
      <c r="S5" s="27" t="str">
        <f>IFERROR(__xludf.DUMMYFUNCTION("""COMPUTED_VALUE"""),"Modify Date")</f>
        <v>Modify Date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/>
      <c r="C6" s="31" t="s">
        <v>67</v>
      </c>
      <c r="D6" s="34" t="s">
        <v>68</v>
      </c>
      <c r="E6" s="31" t="s">
        <v>69</v>
      </c>
      <c r="F6" s="32" t="s">
        <v>58</v>
      </c>
      <c r="G6" s="32" t="s">
        <v>45</v>
      </c>
      <c r="H6" s="33">
        <v>1500</v>
      </c>
      <c r="I6" s="38">
        <f>TODAY()-1</f>
        <v>45854</v>
      </c>
      <c r="J6" s="38">
        <f>TODAY()+2</f>
        <v>45857</v>
      </c>
      <c r="K6" s="38">
        <f>TODAY()</f>
        <v>45855</v>
      </c>
      <c r="L6" s="31"/>
      <c r="M6" s="41" t="s">
        <v>70</v>
      </c>
      <c r="N6" s="41" t="s">
        <v>45</v>
      </c>
      <c r="O6" s="42">
        <v>1</v>
      </c>
      <c r="P6" s="41" t="s">
        <v>71</v>
      </c>
      <c r="Q6" s="43" t="s">
        <v>72</v>
      </c>
      <c r="R6" s="31"/>
      <c r="S6" s="31"/>
      <c r="T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F9CF93F-73FF-4103-8451-F44726595B3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63D27CAC-9BEE-44E9-84F9-DCF46A1A4376}">
          <x14:formula1>
            <xm:f>AddCashTransaction!$4:$4</xm:f>
          </x14:formula1>
          <xm:sqref>E3</xm:sqref>
        </x14:dataValidation>
        <x14:dataValidation type="list" allowBlank="1" showInputMessage="1" showErrorMessage="1" prompt="Choose an available module" xr:uid="{D58BAFE8-CF50-4307-9C26-4B45CF154040}">
          <x14:formula1>
            <xm:f>'_Modules'!$A$4:$A$1000</xm:f>
          </x14:formula1>
          <xm:sqref>C3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8"/>
      <c r="H6" s="8"/>
      <c r="I6" s="12" t="s">
        <v>75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F5BD3856-9492-4E33-9951-52530269C99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503DB6D5-7F3A-49FB-B0C2-A0A317F94DED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CB813556-328C-44D6-8B09-7BB30D4EF101}">
          <x14:formula1>
            <xm:f>RebalancePreference!$4:$4</xm:f>
          </x14:formula1>
          <xm:sqref>E3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58</v>
      </c>
      <c r="C6" s="44" t="s">
        <v>77</v>
      </c>
      <c r="D6" s="45" t="s">
        <v>78</v>
      </c>
      <c r="E6" s="46" t="s">
        <v>79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727C079-CD25-45B2-86F9-C20856713A0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452C6C4D-737F-4FA2-8FB5-313BAF696F79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075F8FC8-BE09-4CED-A2B3-9BD131EBFDF9}">
          <x14:formula1>
            <xm:f>FetchAccountPositions!$4:$4</xm:f>
          </x14:formula1>
          <xm:sqref>E3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IFERROR(__xludf.DUMMYFUNCTION("""COMPUTED_VALUE"""),"Account")</f>
        <v>Account</v>
      </c>
      <c r="C5" s="27" t="str">
        <f>IFERROR(__xludf.DUMMYFUNCTION("""COMPUTED_VALUE"""),"User Adjusted Nav")</f>
        <v>User Adjusted Nav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58</v>
      </c>
      <c r="C6" s="33">
        <v>50000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/>
      <c r="C7" s="31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0DF74A21-1B4F-4CD0-9FB1-3E237386BE4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E38EB478-3846-433B-A12E-95FD48751B77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B0820AC8-2DCA-41E3-830F-F036D994C353}">
          <x14:formula1>
            <xm:f>NavImpactingComponent!$4:$4</xm:f>
          </x14:formula1>
          <xm:sqref>E3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>
        <v>50000</v>
      </c>
      <c r="C6" s="31" t="s">
        <v>82</v>
      </c>
      <c r="D6" s="34" t="s">
        <v>83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02D727C3-E96F-4A2F-8329-3C61D0993711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3D927C09-3F67-4A2A-84C7-9A7CC31F72F6}">
          <x14:formula1>
            <xm:f>AddCash!$4:$4</xm:f>
          </x14:formula1>
          <xm:sqref>E3</xm:sqref>
        </x14:dataValidation>
        <x14:dataValidation type="list" allowBlank="1" showInputMessage="1" showErrorMessage="1" prompt="Choose an available module" xr:uid="{10130EF5-86F0-4D31-AE32-6B78CD6B63DF}">
          <x14:formula1>
            <xm:f>'_Modules'!$A$4:$A$1000</xm:f>
          </x14:formula1>
          <xm:sqref>C3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85</v>
      </c>
      <c r="C6" s="8"/>
      <c r="D6" s="12" t="b">
        <v>1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CA1B03A-46AA-43A3-BF57-F1E70A3BDC0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5D3E5218-F702-40AE-891E-0CA5F30CA4E4}">
          <x14:formula1>
            <xm:f>RunRebalance!$4:$4</xm:f>
          </x14:formula1>
          <xm:sqref>E3</xm:sqref>
        </x14:dataValidation>
        <x14:dataValidation type="list" allowBlank="1" showInputMessage="1" showErrorMessage="1" prompt="Choose an available module" xr:uid="{555758F4-AF93-4652-92DE-26A12958E642}">
          <x14:formula1>
            <xm:f>'_Modules'!$A$4:$A$1000</xm:f>
          </x14:formula1>
          <xm:sqref>C3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AACEE456-2F91-4AE1-8E76-CD3FDBC95D6D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D5918F8E-9987-4BEF-8615-F993705BAC60}">
          <x14:formula1>
            <xm:f>ModifyRebalance!$4:$4</xm:f>
          </x14:formula1>
          <xm:sqref>E3</xm:sqref>
        </x14:dataValidation>
        <x14:dataValidation type="list" allowBlank="1" showInputMessage="1" showErrorMessage="1" prompt="Choose an available module" xr:uid="{7C6B8D11-DC24-4E75-ABF0-C1317A832D2F}">
          <x14:formula1>
            <xm:f>'_Modules'!$A$4:$A$1000</xm:f>
          </x14:formula1>
          <xm:sqref>C3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88</v>
      </c>
      <c r="C6" s="32" t="s">
        <v>89</v>
      </c>
      <c r="D6" s="37">
        <v>1</v>
      </c>
      <c r="E6" s="31"/>
      <c r="F6" s="31"/>
      <c r="G6" s="31"/>
      <c r="H6" s="31"/>
      <c r="I6" s="31"/>
      <c r="J6" s="33">
        <v>10</v>
      </c>
      <c r="K6" s="33">
        <v>1</v>
      </c>
      <c r="L6" s="32" t="s">
        <v>90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F1564C5-2EA8-4B82-8C0F-39509750FF01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CFB1CC71-6F0B-4EE3-A1D3-8BD33C35C8D1}">
          <x14:formula1>
            <xm:f>RebalanceAcrossSecurities!$4:$4</xm:f>
          </x14:formula1>
          <xm:sqref>E3</xm:sqref>
        </x14:dataValidation>
        <x14:dataValidation type="list" allowBlank="1" showInputMessage="1" showErrorMessage="1" prompt="Choose an available module" xr:uid="{9D995F03-B957-48C1-AB88-76B70CB55120}">
          <x14:formula1>
            <xm:f>'_Modules'!$A$4:$A$1000</xm:f>
          </x14:formula1>
          <xm:sqref>C3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91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7" t="s">
        <v>58</v>
      </c>
      <c r="C6" s="47" t="s">
        <v>32</v>
      </c>
      <c r="D6" s="47" t="s">
        <v>24</v>
      </c>
      <c r="E6" s="48">
        <v>600</v>
      </c>
      <c r="F6" s="48">
        <v>25</v>
      </c>
      <c r="G6" s="49">
        <v>15882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7" t="s">
        <v>58</v>
      </c>
      <c r="C7" s="47" t="s">
        <v>32</v>
      </c>
      <c r="D7" s="47">
        <v>123456789</v>
      </c>
      <c r="E7" s="48">
        <v>60063</v>
      </c>
      <c r="F7" s="48">
        <v>25</v>
      </c>
      <c r="G7" s="49">
        <v>15016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7" t="s">
        <v>58</v>
      </c>
      <c r="C8" s="47" t="s">
        <v>92</v>
      </c>
      <c r="D8" s="47" t="s">
        <v>35</v>
      </c>
      <c r="E8" s="48">
        <v>100105</v>
      </c>
      <c r="F8" s="48">
        <v>5</v>
      </c>
      <c r="G8" s="49">
        <v>-5005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7" t="s">
        <v>58</v>
      </c>
      <c r="C9" s="47" t="s">
        <v>32</v>
      </c>
      <c r="D9" s="47" t="s">
        <v>28</v>
      </c>
      <c r="E9" s="48">
        <v>600</v>
      </c>
      <c r="F9" s="48">
        <v>10</v>
      </c>
      <c r="G9" s="49">
        <v>6000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7" t="s">
        <v>58</v>
      </c>
      <c r="C10" s="47" t="s">
        <v>92</v>
      </c>
      <c r="D10" s="47" t="s">
        <v>27</v>
      </c>
      <c r="E10" s="48">
        <v>600</v>
      </c>
      <c r="F10" s="48">
        <v>20</v>
      </c>
      <c r="G10" s="49">
        <v>-12000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7" t="s">
        <v>58</v>
      </c>
      <c r="C11" s="47" t="s">
        <v>92</v>
      </c>
      <c r="D11" s="47" t="s">
        <v>25</v>
      </c>
      <c r="E11" s="48">
        <v>400</v>
      </c>
      <c r="F11" s="48">
        <v>30</v>
      </c>
      <c r="G11" s="49">
        <v>-14640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7" t="s">
        <v>58</v>
      </c>
      <c r="C12" s="47" t="s">
        <v>92</v>
      </c>
      <c r="D12" s="47" t="s">
        <v>26</v>
      </c>
      <c r="E12" s="48">
        <v>1000</v>
      </c>
      <c r="F12" s="48">
        <v>10</v>
      </c>
      <c r="G12" s="49">
        <v>-10000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7" t="s">
        <v>58</v>
      </c>
      <c r="C13" s="47" t="s">
        <v>32</v>
      </c>
      <c r="D13" s="47" t="s">
        <v>23</v>
      </c>
      <c r="E13" s="48">
        <v>600</v>
      </c>
      <c r="F13" s="48">
        <v>8</v>
      </c>
      <c r="G13" s="49">
        <v>4800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7" t="s">
        <v>58</v>
      </c>
      <c r="C14" s="47" t="s">
        <v>32</v>
      </c>
      <c r="D14" s="47" t="s">
        <v>88</v>
      </c>
      <c r="E14" s="48">
        <v>295</v>
      </c>
      <c r="F14" s="48">
        <v>10</v>
      </c>
      <c r="G14" s="49">
        <v>2950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D7D7A86-63D6-4DDD-A1BE-15F73074DB5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E737728A-4937-4328-A9E0-C8E0B8493D34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A73E7C18-454A-4A15-BED0-ABC61EB7C67C}">
          <x14:formula1>
            <xm:f>SendtoStaging!$4:$4</xm:f>
          </x14:formula1>
          <xm:sqref>E3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93</v>
      </c>
      <c r="C6" s="8"/>
      <c r="D6" s="12" t="b">
        <v>1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9277C78-CAE6-4D0F-8279-97ECAF405C4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FEFBA039-B834-4EA7-80E0-169E5C3FBCFC}">
          <x14:formula1>
            <xm:f>RunRebalance1!$4:$4</xm:f>
          </x14:formula1>
          <xm:sqref>E3</xm:sqref>
        </x14:dataValidation>
        <x14:dataValidation type="list" allowBlank="1" showInputMessage="1" showErrorMessage="1" prompt="Choose an available module" xr:uid="{ECC57C80-C5CE-4D1E-96EE-AA8FDF1DF3F7}">
          <x14:formula1>
            <xm:f>'_Modules'!$A$4:$A$1000</xm:f>
          </x14:formula1>
          <xm:sqref>C3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91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7" t="s">
        <v>58</v>
      </c>
      <c r="C6" s="47" t="s">
        <v>32</v>
      </c>
      <c r="D6" s="47" t="s">
        <v>24</v>
      </c>
      <c r="E6" s="48">
        <v>400</v>
      </c>
      <c r="F6" s="48">
        <v>25</v>
      </c>
      <c r="G6" s="49">
        <v>10588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7" t="s">
        <v>58</v>
      </c>
      <c r="C7" s="47" t="s">
        <v>32</v>
      </c>
      <c r="D7" s="47">
        <v>123456789</v>
      </c>
      <c r="E7" s="48">
        <v>60062</v>
      </c>
      <c r="F7" s="48">
        <v>25</v>
      </c>
      <c r="G7" s="49">
        <v>15016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7" t="s">
        <v>58</v>
      </c>
      <c r="C8" s="47" t="s">
        <v>92</v>
      </c>
      <c r="D8" s="47" t="s">
        <v>35</v>
      </c>
      <c r="E8" s="48">
        <v>100104</v>
      </c>
      <c r="F8" s="48">
        <v>5</v>
      </c>
      <c r="G8" s="49">
        <v>-5005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7" t="s">
        <v>58</v>
      </c>
      <c r="C9" s="47" t="s">
        <v>32</v>
      </c>
      <c r="D9" s="47" t="s">
        <v>28</v>
      </c>
      <c r="E9" s="48">
        <v>300</v>
      </c>
      <c r="F9" s="48">
        <v>10</v>
      </c>
      <c r="G9" s="49">
        <v>3000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7" t="s">
        <v>58</v>
      </c>
      <c r="C10" s="47" t="s">
        <v>92</v>
      </c>
      <c r="D10" s="47" t="s">
        <v>26</v>
      </c>
      <c r="E10" s="48">
        <v>500</v>
      </c>
      <c r="F10" s="48">
        <v>10</v>
      </c>
      <c r="G10" s="49">
        <v>-5000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7" t="s">
        <v>58</v>
      </c>
      <c r="C11" s="47" t="s">
        <v>32</v>
      </c>
      <c r="D11" s="47" t="s">
        <v>23</v>
      </c>
      <c r="E11" s="48">
        <v>500</v>
      </c>
      <c r="F11" s="48">
        <v>8</v>
      </c>
      <c r="G11" s="49">
        <v>4000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7" t="s">
        <v>58</v>
      </c>
      <c r="C12" s="47" t="s">
        <v>32</v>
      </c>
      <c r="D12" s="47" t="s">
        <v>88</v>
      </c>
      <c r="E12" s="48">
        <v>294</v>
      </c>
      <c r="F12" s="48">
        <v>10</v>
      </c>
      <c r="G12" s="49">
        <v>2940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6FA60875-C13C-4570-A737-540E0BA4693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390F63CC-C39C-4E95-9C08-6FF833E7B42C}">
          <x14:formula1>
            <xm:f>SendtoStaging1!$4:$4</xm:f>
          </x14:formula1>
          <xm:sqref>E3</xm:sqref>
        </x14:dataValidation>
        <x14:dataValidation type="list" allowBlank="1" showInputMessage="1" showErrorMessage="1" prompt="Choose an available module" xr:uid="{BC38C5E0-FB8D-4BA2-8E46-4DDF42F41947}">
          <x14:formula1>
            <xm:f>'_Modules'!$A$4:$A$1000</xm:f>
          </x14:formula1>
          <xm:sqref>C3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94</v>
      </c>
      <c r="C6" s="8"/>
      <c r="D6" s="12" t="b">
        <v>1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DCFA9E7-2F71-44F9-AAD0-2B6EF91D540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09F2A608-5179-494B-A896-2DE53BC5FFD4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C540D86B-63F7-44BF-9E74-4560CEBFCABE}">
          <x14:formula1>
            <xm:f>RunRebalance2!$4:$4</xm:f>
          </x14:formula1>
          <xm:sqref>E3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91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7" t="s">
        <v>58</v>
      </c>
      <c r="C6" s="47" t="s">
        <v>32</v>
      </c>
      <c r="D6" s="47" t="s">
        <v>24</v>
      </c>
      <c r="E6" s="48">
        <v>600</v>
      </c>
      <c r="F6" s="48">
        <v>25</v>
      </c>
      <c r="G6" s="49">
        <v>15882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7" t="s">
        <v>58</v>
      </c>
      <c r="C7" s="47" t="s">
        <v>32</v>
      </c>
      <c r="D7" s="47">
        <v>123456789</v>
      </c>
      <c r="E7" s="48">
        <v>60063</v>
      </c>
      <c r="F7" s="48">
        <v>25</v>
      </c>
      <c r="G7" s="49">
        <v>15016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7" t="s">
        <v>58</v>
      </c>
      <c r="C8" s="47" t="s">
        <v>92</v>
      </c>
      <c r="D8" s="47" t="s">
        <v>35</v>
      </c>
      <c r="E8" s="48">
        <v>100105</v>
      </c>
      <c r="F8" s="48">
        <v>5</v>
      </c>
      <c r="G8" s="49">
        <v>-5005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7" t="s">
        <v>58</v>
      </c>
      <c r="C9" s="47" t="s">
        <v>32</v>
      </c>
      <c r="D9" s="47" t="s">
        <v>28</v>
      </c>
      <c r="E9" s="48">
        <v>600</v>
      </c>
      <c r="F9" s="48">
        <v>10</v>
      </c>
      <c r="G9" s="49">
        <v>6000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7" t="s">
        <v>58</v>
      </c>
      <c r="C10" s="47" t="s">
        <v>92</v>
      </c>
      <c r="D10" s="47" t="s">
        <v>26</v>
      </c>
      <c r="E10" s="48">
        <v>500</v>
      </c>
      <c r="F10" s="48">
        <v>10</v>
      </c>
      <c r="G10" s="49">
        <v>-5000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7" t="s">
        <v>58</v>
      </c>
      <c r="C11" s="47" t="s">
        <v>32</v>
      </c>
      <c r="D11" s="47" t="s">
        <v>23</v>
      </c>
      <c r="E11" s="48">
        <v>500</v>
      </c>
      <c r="F11" s="48">
        <v>8</v>
      </c>
      <c r="G11" s="49">
        <v>4000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7" t="s">
        <v>58</v>
      </c>
      <c r="C12" s="47" t="s">
        <v>32</v>
      </c>
      <c r="D12" s="47" t="s">
        <v>88</v>
      </c>
      <c r="E12" s="48">
        <v>295</v>
      </c>
      <c r="F12" s="48">
        <v>10</v>
      </c>
      <c r="G12" s="49">
        <v>2950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8D7E6A32-2C69-4869-87B3-C8BA23E8DBA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FCDE7F86-B039-4DAA-82E9-8A1EB3930312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6DD4B8B7-2CC0-4805-9AF7-737E9736B25D}">
          <x14:formula1>
            <xm:f>SendtoStaging2!$4:$4</xm:f>
          </x14:formula1>
          <xm:sqref>E3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95</v>
      </c>
      <c r="D3" s="5" t="s">
        <v>9</v>
      </c>
      <c r="E3" s="22" t="s">
        <v>96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34" t="s">
        <v>27</v>
      </c>
      <c r="E6" s="31"/>
      <c r="F6" s="32" t="s">
        <v>34</v>
      </c>
      <c r="G6" s="32" t="s">
        <v>97</v>
      </c>
      <c r="H6" s="33">
        <v>600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AC3E3D1-5179-4A9C-B9E6-817BF2D7BF7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9919C8D1-071E-41CA-ADD9-CDEEC03743DC}">
          <x14:formula1>
            <xm:f>SelectTradeOnOrderGrid!$4:$4</xm:f>
          </x14:formula1>
          <xm:sqref>E3</xm:sqref>
        </x14:dataValidation>
        <x14:dataValidation type="list" allowBlank="1" showInputMessage="1" showErrorMessage="1" prompt="Choose an available module" xr:uid="{6B962AF7-6048-4902-8C71-924BC81E84EA}">
          <x14:formula1>
            <xm:f>'_Modules'!$A$4:$A$1000</xm:f>
          </x14:formula1>
          <xm:sqref>C3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95</v>
      </c>
      <c r="D3" s="5" t="s">
        <v>9</v>
      </c>
      <c r="E3" s="22" t="s">
        <v>98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32" t="s">
        <v>27</v>
      </c>
      <c r="AJ6" s="32" t="s">
        <v>34</v>
      </c>
      <c r="AK6" s="32" t="s">
        <v>97</v>
      </c>
      <c r="AL6" s="33">
        <v>600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A3766911-6FDF-41F9-A144-4DECC4EE334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C26C4F19-F66B-4DD3-8E38-F1B4BC813455}">
          <x14:formula1>
            <xm:f>TradeNewSubOrder!$4:$4</xm:f>
          </x14:formula1>
          <xm:sqref>E3</xm:sqref>
        </x14:dataValidation>
        <x14:dataValidation type="list" allowBlank="1" showInputMessage="1" showErrorMessage="1" prompt="Choose an available module" xr:uid="{08F6A612-D507-4F28-8604-D4101027592F}">
          <x14:formula1>
            <xm:f>'_Modules'!$A$4:$A$1000</xm:f>
          </x14:formula1>
          <xm:sqref>C3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99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27</v>
      </c>
      <c r="C6" s="32" t="s">
        <v>34</v>
      </c>
      <c r="D6" s="34" t="s">
        <v>97</v>
      </c>
      <c r="E6" s="33">
        <v>600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061F55D-79AE-4C2D-A88D-FA7BDD2A71C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22384CDB-C667-4DD9-B951-DCC3D3BD20EE}">
          <x14:formula1>
            <xm:f>CreateNewSubLiveOrder!$4:$4</xm:f>
          </x14:formula1>
          <xm:sqref>E3</xm:sqref>
        </x14:dataValidation>
        <x14:dataValidation type="list" allowBlank="1" showInputMessage="1" showErrorMessage="1" prompt="Choose an available module" xr:uid="{800C4005-C258-411C-B91B-9419463FE509}">
          <x14:formula1>
            <xm:f>'_Modules'!$A$4:$A$1000</xm:f>
          </x14:formula1>
          <xm:sqref>C3</xm:sqref>
        </x14:dataValidation>
      </x14:dataValidation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95</v>
      </c>
      <c r="D3" s="5" t="s">
        <v>9</v>
      </c>
      <c r="E3" s="22" t="s">
        <v>96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34" t="s">
        <v>23</v>
      </c>
      <c r="E6" s="31"/>
      <c r="F6" s="32" t="s">
        <v>32</v>
      </c>
      <c r="G6" s="32" t="s">
        <v>97</v>
      </c>
      <c r="H6" s="33">
        <v>600</v>
      </c>
      <c r="I6" s="31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A77D70E0-F585-40F4-AD58-EC94379AEF3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5C6F26B7-93DD-4FB8-ADF8-1F8DE2137BFC}">
          <x14:formula1>
            <xm:f>SelectTradeOnOrderGrid1!$4:$4</xm:f>
          </x14:formula1>
          <xm:sqref>E3</xm:sqref>
        </x14:dataValidation>
        <x14:dataValidation type="list" allowBlank="1" showInputMessage="1" showErrorMessage="1" prompt="Choose an available module" xr:uid="{5F4E485C-A1C4-4BE3-B3B9-89A6BA66EAFE}">
          <x14:formula1>
            <xm:f>'_Modules'!$A$4:$A$1000</xm:f>
          </x14:formula1>
          <xm:sqref>C3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95</v>
      </c>
      <c r="D3" s="5" t="s">
        <v>9</v>
      </c>
      <c r="E3" s="22" t="s">
        <v>98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32" t="s">
        <v>23</v>
      </c>
      <c r="AJ6" s="32" t="s">
        <v>32</v>
      </c>
      <c r="AK6" s="32" t="s">
        <v>97</v>
      </c>
      <c r="AL6" s="33">
        <v>600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1CED9BF-7AC3-4FEE-9F45-A483C439617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63C4F0A4-E3E6-4690-8950-4A48E1F7C666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8B0A9B02-2647-483A-89B5-A2BB393BEC9B}">
          <x14:formula1>
            <xm:f>TradeNewSubOrder1!$4:$4</xm:f>
          </x14:formula1>
          <xm:sqref>E3</xm:sqref>
        </x14:dataValidation>
      </x14:dataValidation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99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23</v>
      </c>
      <c r="C6" s="32" t="s">
        <v>32</v>
      </c>
      <c r="D6" s="34" t="s">
        <v>97</v>
      </c>
      <c r="E6" s="33">
        <v>600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E53F9B72-B2B1-4396-9CF2-D839B05B4A91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3FB1ABE3-66E5-47DA-AF30-36EE91FF7DBB}">
          <x14:formula1>
            <xm:f>CreateNewSubLiveOrder1!$4:$4</xm:f>
          </x14:formula1>
          <xm:sqref>E3</xm:sqref>
        </x14:dataValidation>
        <x14:dataValidation type="list" allowBlank="1" showInputMessage="1" showErrorMessage="1" prompt="Choose an available module" xr:uid="{B8E2FE8B-3082-445E-ADC2-3104E4F24E6F}">
          <x14:formula1>
            <xm:f>'_Modules'!$A$4:$A$1000</xm:f>
          </x14:formula1>
          <xm:sqref>C3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100</v>
      </c>
      <c r="D3" s="5" t="s">
        <v>9</v>
      </c>
      <c r="E3" s="22" t="s">
        <v>101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34</v>
      </c>
      <c r="C6" s="32" t="s">
        <v>27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130F1F8-C003-4A47-ABC5-7AADFE0CAF05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59F48513-133D-4DA4-9032-B7B86861C07E}">
          <x14:formula1>
            <xm:f>SelectTrade!$4:$4</xm:f>
          </x14:formula1>
          <xm:sqref>E3</xm:sqref>
        </x14:dataValidation>
        <x14:dataValidation type="list" allowBlank="1" showInputMessage="1" showErrorMessage="1" prompt="Choose an available module" xr:uid="{3C3F4E70-7572-47D9-AF63-E8B7E026ECE8}">
          <x14:formula1>
            <xm:f>'_Modules'!$A$4:$A$1000</xm:f>
          </x14:formula1>
          <xm:sqref>C3</xm:sqref>
        </x14:dataValidation>
      </x14:dataValidation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100</v>
      </c>
      <c r="D3" s="5" t="s">
        <v>9</v>
      </c>
      <c r="E3" s="22" t="s">
        <v>102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34</v>
      </c>
      <c r="C6" s="32" t="s">
        <v>27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8F27D69D-BF87-43F2-99F2-341ADA3CAFE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2BCFAA8D-9F8F-46DD-BA4F-5201E479AF71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821694A2-B624-46A5-B995-B43947177BC2}">
          <x14:formula1>
            <xm:f>AcknowledgeTrade!$4:$4</xm:f>
          </x14:formula1>
          <xm:sqref>E3</xm:sqref>
        </x14:dataValidation>
      </x14:dataValidation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100</v>
      </c>
      <c r="D3" s="5" t="s">
        <v>9</v>
      </c>
      <c r="E3" s="22" t="s">
        <v>103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</v>
      </c>
      <c r="C6" s="12">
        <v>600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ADF20EED-86B5-4FC9-901A-BCF2ED67251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7F5B3BB2-F59A-4736-9382-4A41DEFED843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D377AB26-D1B3-4143-97F4-36E66871E12E}">
          <x14:formula1>
            <xm:f>ExecuteTrade!$4:$4</xm:f>
          </x14:formula1>
          <xm:sqref>E3</xm:sqref>
        </x14:dataValidation>
      </x14:dataValidation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100</v>
      </c>
      <c r="D3" s="5" t="s">
        <v>9</v>
      </c>
      <c r="E3" s="22" t="s">
        <v>101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32</v>
      </c>
      <c r="C6" s="32" t="s">
        <v>23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F5F92DC3-7C6A-444F-A7D9-E4BE3E38790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4640D060-A687-4E71-B576-4C3DD72FA79C}">
          <x14:formula1>
            <xm:f>SelectTrade1!$4:$4</xm:f>
          </x14:formula1>
          <xm:sqref>E3</xm:sqref>
        </x14:dataValidation>
        <x14:dataValidation type="list" allowBlank="1" showInputMessage="1" showErrorMessage="1" prompt="Choose an available module" xr:uid="{DFF35551-B0C2-4B8F-B08E-BAF671A26D67}">
          <x14:formula1>
            <xm:f>'_Modules'!$A$4:$A$1000</xm:f>
          </x14:formula1>
          <xm:sqref>C3</xm:sqref>
        </x14:dataValidation>
      </x14:dataValidation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100</v>
      </c>
      <c r="D3" s="5" t="s">
        <v>9</v>
      </c>
      <c r="E3" s="22" t="s">
        <v>102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32</v>
      </c>
      <c r="C6" s="32" t="s">
        <v>23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F65B4FD0-9E94-49B4-8D41-96A218B2A9C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64712348-B14A-41B4-8E24-39ECD61FD3E4}">
          <x14:formula1>
            <xm:f>AcknowledgeTrade1!$4:$4</xm:f>
          </x14:formula1>
          <xm:sqref>E3</xm:sqref>
        </x14:dataValidation>
        <x14:dataValidation type="list" allowBlank="1" showInputMessage="1" showErrorMessage="1" prompt="Choose an available module" xr:uid="{E5A45059-42FB-4E80-B865-36804F3571A0}">
          <x14:formula1>
            <xm:f>'_Modules'!$A$4:$A$1000</xm:f>
          </x14:formula1>
          <xm:sqref>C3</xm:sqref>
        </x14:dataValidation>
      </x14:dataValidation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100</v>
      </c>
      <c r="D3" s="5" t="s">
        <v>9</v>
      </c>
      <c r="E3" s="22" t="s">
        <v>103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</v>
      </c>
      <c r="C6" s="12">
        <v>600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2F3EC83-D075-4688-8D1C-F1EF1E148505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3085D268-3FBF-4528-A0CE-E9FD0F8136EA}">
          <x14:formula1>
            <xm:f>ExecuteTrade1!$4:$4</xm:f>
          </x14:formula1>
          <xm:sqref>E3</xm:sqref>
        </x14:dataValidation>
        <x14:dataValidation type="list" allowBlank="1" showInputMessage="1" showErrorMessage="1" prompt="Choose an available module" xr:uid="{2A963185-3598-41E3-9A80-BCC54AEE5FC5}">
          <x14:formula1>
            <xm:f>'_Modules'!$A$4:$A$1000</xm:f>
          </x14:formula1>
          <xm:sqref>C3</xm:sqref>
        </x14:dataValidation>
      </x14:dataValidation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AML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6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104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105</v>
      </c>
      <c r="B6" s="34" t="s">
        <v>58</v>
      </c>
      <c r="C6" s="32" t="s">
        <v>106</v>
      </c>
      <c r="D6" s="30"/>
      <c r="E6" s="33">
        <v>600</v>
      </c>
      <c r="F6" s="32" t="s">
        <v>107</v>
      </c>
      <c r="G6" s="32" t="s">
        <v>108</v>
      </c>
      <c r="H6" s="33">
        <v>108</v>
      </c>
      <c r="I6" s="33">
        <v>0</v>
      </c>
      <c r="J6" s="33">
        <v>15</v>
      </c>
      <c r="K6" s="33">
        <v>20</v>
      </c>
      <c r="L6" s="33">
        <v>20</v>
      </c>
      <c r="M6" s="32" t="s">
        <v>109</v>
      </c>
      <c r="N6" s="32" t="s">
        <v>110</v>
      </c>
      <c r="O6" s="32" t="s">
        <v>111</v>
      </c>
      <c r="P6" s="31"/>
      <c r="Q6" s="50">
        <v>2</v>
      </c>
      <c r="R6" s="31"/>
      <c r="S6" s="31" t="s">
        <v>112</v>
      </c>
      <c r="T6" s="31"/>
      <c r="U6" s="31"/>
      <c r="V6" s="31" t="s">
        <v>113</v>
      </c>
      <c r="W6" s="50">
        <v>1</v>
      </c>
      <c r="X6" s="31"/>
      <c r="Y6" s="31" t="s">
        <v>105</v>
      </c>
      <c r="Z6" s="31" t="s">
        <v>45</v>
      </c>
      <c r="AA6" s="31"/>
      <c r="AB6" s="50">
        <v>1</v>
      </c>
      <c r="AC6" s="31"/>
      <c r="AD6" s="31" t="s">
        <v>114</v>
      </c>
      <c r="AE6" s="50">
        <v>600</v>
      </c>
      <c r="AF6" s="31" t="s">
        <v>105</v>
      </c>
      <c r="AG6" s="31"/>
      <c r="AH6" s="31" t="s">
        <v>71</v>
      </c>
      <c r="AI6" s="50">
        <v>1</v>
      </c>
      <c r="AJ6" s="31" t="s">
        <v>83</v>
      </c>
      <c r="AK6" s="31"/>
      <c r="AL6" s="31"/>
      <c r="AM6" s="31"/>
      <c r="AN6" s="51" t="b">
        <v>0</v>
      </c>
      <c r="AO6" s="31"/>
      <c r="AP6" s="51" t="b">
        <v>0</v>
      </c>
      <c r="AQ6" s="51" t="b">
        <v>0</v>
      </c>
      <c r="AR6" s="51" t="b">
        <v>1</v>
      </c>
      <c r="AS6" s="31"/>
      <c r="AT6" s="50">
        <v>11887.9</v>
      </c>
      <c r="AU6" s="50">
        <v>11887.9</v>
      </c>
      <c r="AV6" s="31"/>
      <c r="AW6" s="31"/>
      <c r="AX6" s="31"/>
      <c r="AY6" s="31" t="s">
        <v>115</v>
      </c>
      <c r="AZ6" s="31"/>
      <c r="BA6" s="31"/>
      <c r="BB6" s="31"/>
      <c r="BC6" s="31"/>
      <c r="BD6" s="31" t="s">
        <v>116</v>
      </c>
      <c r="BE6" s="50">
        <v>12000</v>
      </c>
      <c r="BF6" s="50">
        <v>12000</v>
      </c>
      <c r="BG6" s="31"/>
      <c r="BH6" s="31"/>
      <c r="BI6" s="31"/>
      <c r="BJ6" s="50">
        <v>600</v>
      </c>
      <c r="BK6" s="31"/>
      <c r="BL6" s="31" t="s">
        <v>105</v>
      </c>
      <c r="BM6" s="31" t="s">
        <v>45</v>
      </c>
      <c r="BN6" s="31"/>
      <c r="BO6" s="31" t="s">
        <v>34</v>
      </c>
      <c r="BP6" s="31"/>
      <c r="BQ6" s="31"/>
      <c r="BR6" s="50">
        <v>2.1</v>
      </c>
      <c r="BS6" s="31" t="s">
        <v>117</v>
      </c>
      <c r="BT6" s="31" t="s">
        <v>27</v>
      </c>
      <c r="BU6" s="50">
        <v>2</v>
      </c>
      <c r="BV6" s="31"/>
      <c r="BW6" s="50">
        <v>112.1</v>
      </c>
      <c r="BX6" s="31"/>
      <c r="BY6" s="31"/>
      <c r="BZ6" s="31"/>
      <c r="CA6" s="31"/>
      <c r="CB6" s="31"/>
      <c r="CC6" s="31"/>
      <c r="CD6" s="31"/>
      <c r="CE6" s="31"/>
      <c r="CF6" s="31" t="s">
        <v>118</v>
      </c>
      <c r="CG6" s="50">
        <v>0</v>
      </c>
      <c r="CH6" s="31" t="s">
        <v>73</v>
      </c>
      <c r="CI6" s="31" t="s">
        <v>92</v>
      </c>
      <c r="CJ6" s="31"/>
      <c r="CK6" s="31" t="s">
        <v>119</v>
      </c>
      <c r="CL6" s="50">
        <v>1</v>
      </c>
      <c r="CM6" s="31" t="s">
        <v>27</v>
      </c>
      <c r="CN6" s="31" t="s">
        <v>120</v>
      </c>
      <c r="CO6" s="31" t="s">
        <v>121</v>
      </c>
      <c r="CP6" s="31" t="s">
        <v>122</v>
      </c>
      <c r="CQ6" s="31"/>
      <c r="CR6" s="31"/>
      <c r="CS6" s="31" t="s">
        <v>105</v>
      </c>
      <c r="CT6" s="31"/>
      <c r="CU6" s="31"/>
      <c r="CV6" s="31"/>
      <c r="CW6" s="50">
        <v>0</v>
      </c>
      <c r="CX6" s="31" t="s">
        <v>65</v>
      </c>
      <c r="CY6" s="31" t="s">
        <v>105</v>
      </c>
      <c r="CZ6" s="31" t="s">
        <v>105</v>
      </c>
      <c r="DA6" s="31" t="s">
        <v>105</v>
      </c>
      <c r="DB6" s="31" t="s">
        <v>105</v>
      </c>
      <c r="DC6" s="31" t="s">
        <v>105</v>
      </c>
      <c r="DD6" s="31" t="s">
        <v>105</v>
      </c>
      <c r="DE6" s="31" t="s">
        <v>105</v>
      </c>
      <c r="DF6" s="31" t="s">
        <v>105</v>
      </c>
      <c r="DG6" s="31" t="s">
        <v>105</v>
      </c>
      <c r="DH6" s="31" t="s">
        <v>105</v>
      </c>
      <c r="DI6" s="31" t="s">
        <v>105</v>
      </c>
      <c r="DJ6" s="31" t="s">
        <v>105</v>
      </c>
      <c r="DK6" s="31" t="s">
        <v>105</v>
      </c>
      <c r="DL6" s="31" t="s">
        <v>105</v>
      </c>
      <c r="DM6" s="31" t="s">
        <v>105</v>
      </c>
      <c r="DN6" s="31" t="s">
        <v>105</v>
      </c>
      <c r="DO6" s="31" t="s">
        <v>105</v>
      </c>
      <c r="DP6" s="31" t="s">
        <v>105</v>
      </c>
      <c r="DQ6" s="31" t="s">
        <v>105</v>
      </c>
      <c r="DR6" s="31" t="s">
        <v>105</v>
      </c>
      <c r="DS6" s="31" t="s">
        <v>105</v>
      </c>
      <c r="DT6" s="31" t="s">
        <v>105</v>
      </c>
      <c r="DU6" s="31" t="s">
        <v>105</v>
      </c>
      <c r="DV6" s="31" t="s">
        <v>105</v>
      </c>
      <c r="DW6" s="31" t="s">
        <v>105</v>
      </c>
      <c r="DX6" s="31" t="s">
        <v>105</v>
      </c>
      <c r="DY6" s="31" t="s">
        <v>105</v>
      </c>
      <c r="DZ6" s="31" t="s">
        <v>105</v>
      </c>
      <c r="EA6" s="31" t="s">
        <v>105</v>
      </c>
      <c r="EB6" s="31" t="s">
        <v>105</v>
      </c>
      <c r="EC6" s="31" t="s">
        <v>105</v>
      </c>
      <c r="ED6" s="31" t="s">
        <v>105</v>
      </c>
      <c r="EE6" s="31" t="s">
        <v>105</v>
      </c>
      <c r="EF6" s="31" t="s">
        <v>105</v>
      </c>
      <c r="EG6" s="31" t="s">
        <v>105</v>
      </c>
      <c r="EH6" s="31" t="s">
        <v>105</v>
      </c>
      <c r="EI6" s="31" t="s">
        <v>105</v>
      </c>
      <c r="EJ6" s="31" t="s">
        <v>105</v>
      </c>
      <c r="EK6" s="31" t="s">
        <v>105</v>
      </c>
      <c r="EL6" s="31" t="s">
        <v>105</v>
      </c>
      <c r="EM6" s="31" t="s">
        <v>105</v>
      </c>
      <c r="EN6" s="31" t="s">
        <v>105</v>
      </c>
      <c r="EO6" s="31" t="s">
        <v>105</v>
      </c>
      <c r="EP6" s="31" t="s">
        <v>105</v>
      </c>
      <c r="EQ6" s="31" t="s">
        <v>105</v>
      </c>
      <c r="ER6" s="31" t="s">
        <v>105</v>
      </c>
      <c r="ES6" s="31" t="s">
        <v>105</v>
      </c>
      <c r="ET6" s="31" t="s">
        <v>105</v>
      </c>
      <c r="EU6" s="31" t="s">
        <v>105</v>
      </c>
      <c r="EV6" s="31" t="s">
        <v>105</v>
      </c>
      <c r="EW6" s="31" t="s">
        <v>105</v>
      </c>
      <c r="EX6" s="31" t="s">
        <v>105</v>
      </c>
      <c r="EY6" s="31"/>
      <c r="EZ6" s="31"/>
      <c r="FA6" s="31" t="s">
        <v>105</v>
      </c>
      <c r="FB6" s="31" t="s">
        <v>105</v>
      </c>
      <c r="FC6" s="31" t="s">
        <v>105</v>
      </c>
      <c r="FD6" s="31" t="s">
        <v>105</v>
      </c>
      <c r="FE6" s="31" t="s">
        <v>105</v>
      </c>
      <c r="FF6" s="31" t="s">
        <v>105</v>
      </c>
      <c r="FG6" s="31" t="s">
        <v>105</v>
      </c>
      <c r="FH6" s="31" t="s">
        <v>105</v>
      </c>
      <c r="FI6" s="31" t="s">
        <v>105</v>
      </c>
      <c r="FJ6" s="31"/>
      <c r="FK6" s="31" t="s">
        <v>105</v>
      </c>
      <c r="FL6" s="31" t="s">
        <v>105</v>
      </c>
      <c r="FM6" s="31" t="s">
        <v>105</v>
      </c>
      <c r="FN6" s="31" t="s">
        <v>105</v>
      </c>
      <c r="FO6" s="31" t="s">
        <v>105</v>
      </c>
      <c r="FP6" s="31" t="s">
        <v>105</v>
      </c>
      <c r="FQ6" s="31" t="s">
        <v>105</v>
      </c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  <c r="AMK6" s="52"/>
      <c r="AML6" s="52"/>
    </row>
    <row r="7" ht="15.75" customHeight="1">
      <c r="A7" s="31" t="s">
        <v>105</v>
      </c>
      <c r="B7" s="32" t="s">
        <v>58</v>
      </c>
      <c r="C7" s="32" t="s">
        <v>106</v>
      </c>
      <c r="D7" s="31"/>
      <c r="E7" s="33">
        <v>600</v>
      </c>
      <c r="F7" s="32" t="s">
        <v>107</v>
      </c>
      <c r="G7" s="32" t="s">
        <v>108</v>
      </c>
      <c r="H7" s="33">
        <v>4</v>
      </c>
      <c r="I7" s="33">
        <v>5</v>
      </c>
      <c r="J7" s="33">
        <v>1</v>
      </c>
      <c r="K7" s="33">
        <v>20</v>
      </c>
      <c r="L7" s="33">
        <v>20</v>
      </c>
      <c r="M7" s="32" t="s">
        <v>123</v>
      </c>
      <c r="N7" s="32" t="s">
        <v>110</v>
      </c>
      <c r="O7" s="32" t="s">
        <v>111</v>
      </c>
      <c r="P7" s="31"/>
      <c r="Q7" s="50">
        <v>2</v>
      </c>
      <c r="R7" s="31"/>
      <c r="S7" s="31" t="s">
        <v>112</v>
      </c>
      <c r="T7" s="31"/>
      <c r="U7" s="31"/>
      <c r="V7" s="31" t="s">
        <v>124</v>
      </c>
      <c r="W7" s="50">
        <v>1</v>
      </c>
      <c r="X7" s="31"/>
      <c r="Y7" s="31" t="s">
        <v>105</v>
      </c>
      <c r="Z7" s="31" t="s">
        <v>45</v>
      </c>
      <c r="AA7" s="31"/>
      <c r="AB7" s="50">
        <v>1</v>
      </c>
      <c r="AC7" s="31"/>
      <c r="AD7" s="31" t="s">
        <v>121</v>
      </c>
      <c r="AE7" s="50">
        <v>600</v>
      </c>
      <c r="AF7" s="31" t="s">
        <v>105</v>
      </c>
      <c r="AG7" s="31"/>
      <c r="AH7" s="31" t="s">
        <v>71</v>
      </c>
      <c r="AI7" s="50">
        <v>1</v>
      </c>
      <c r="AJ7" s="31" t="s">
        <v>83</v>
      </c>
      <c r="AK7" s="31"/>
      <c r="AL7" s="31"/>
      <c r="AM7" s="31"/>
      <c r="AN7" s="51" t="b">
        <v>0</v>
      </c>
      <c r="AO7" s="31"/>
      <c r="AP7" s="51" t="b">
        <v>0</v>
      </c>
      <c r="AQ7" s="51" t="b">
        <v>0</v>
      </c>
      <c r="AR7" s="51" t="b">
        <v>1</v>
      </c>
      <c r="AS7" s="31"/>
      <c r="AT7" s="50">
        <v>12014.0067</v>
      </c>
      <c r="AU7" s="50">
        <v>12014.0067</v>
      </c>
      <c r="AV7" s="31"/>
      <c r="AW7" s="31"/>
      <c r="AX7" s="31"/>
      <c r="AY7" s="31" t="s">
        <v>115</v>
      </c>
      <c r="AZ7" s="31"/>
      <c r="BA7" s="31"/>
      <c r="BB7" s="31"/>
      <c r="BC7" s="31"/>
      <c r="BD7" s="31" t="s">
        <v>116</v>
      </c>
      <c r="BE7" s="50">
        <v>12000</v>
      </c>
      <c r="BF7" s="50">
        <v>12000</v>
      </c>
      <c r="BG7" s="31"/>
      <c r="BH7" s="31"/>
      <c r="BI7" s="31"/>
      <c r="BJ7" s="50">
        <v>600</v>
      </c>
      <c r="BK7" s="31"/>
      <c r="BL7" s="31" t="s">
        <v>105</v>
      </c>
      <c r="BM7" s="31" t="s">
        <v>45</v>
      </c>
      <c r="BN7" s="31"/>
      <c r="BO7" s="31" t="s">
        <v>32</v>
      </c>
      <c r="BP7" s="31"/>
      <c r="BQ7" s="31"/>
      <c r="BR7" s="50">
        <v>0.0067</v>
      </c>
      <c r="BS7" s="31" t="s">
        <v>117</v>
      </c>
      <c r="BT7" s="31" t="s">
        <v>23</v>
      </c>
      <c r="BU7" s="50">
        <v>3</v>
      </c>
      <c r="BV7" s="31"/>
      <c r="BW7" s="50">
        <v>14.0067</v>
      </c>
      <c r="BX7" s="31"/>
      <c r="BY7" s="31"/>
      <c r="BZ7" s="31"/>
      <c r="CA7" s="31"/>
      <c r="CB7" s="31"/>
      <c r="CC7" s="31"/>
      <c r="CD7" s="31"/>
      <c r="CE7" s="31"/>
      <c r="CF7" s="31" t="s">
        <v>118</v>
      </c>
      <c r="CG7" s="50">
        <v>2</v>
      </c>
      <c r="CH7" s="31" t="s">
        <v>73</v>
      </c>
      <c r="CI7" s="31" t="s">
        <v>32</v>
      </c>
      <c r="CJ7" s="31"/>
      <c r="CK7" s="31" t="s">
        <v>119</v>
      </c>
      <c r="CL7" s="50">
        <v>1</v>
      </c>
      <c r="CM7" s="31" t="s">
        <v>23</v>
      </c>
      <c r="CN7" s="31" t="s">
        <v>120</v>
      </c>
      <c r="CO7" s="31" t="s">
        <v>121</v>
      </c>
      <c r="CP7" s="31" t="s">
        <v>122</v>
      </c>
      <c r="CQ7" s="31"/>
      <c r="CR7" s="31"/>
      <c r="CS7" s="31" t="s">
        <v>105</v>
      </c>
      <c r="CT7" s="31"/>
      <c r="CU7" s="31"/>
      <c r="CV7" s="31"/>
      <c r="CW7" s="50">
        <v>0</v>
      </c>
      <c r="CX7" s="31" t="s">
        <v>65</v>
      </c>
      <c r="CY7" s="31" t="s">
        <v>105</v>
      </c>
      <c r="CZ7" s="31" t="s">
        <v>105</v>
      </c>
      <c r="DA7" s="31" t="s">
        <v>105</v>
      </c>
      <c r="DB7" s="31" t="s">
        <v>105</v>
      </c>
      <c r="DC7" s="31" t="s">
        <v>105</v>
      </c>
      <c r="DD7" s="31" t="s">
        <v>105</v>
      </c>
      <c r="DE7" s="31" t="s">
        <v>105</v>
      </c>
      <c r="DF7" s="31" t="s">
        <v>105</v>
      </c>
      <c r="DG7" s="31" t="s">
        <v>105</v>
      </c>
      <c r="DH7" s="31" t="s">
        <v>105</v>
      </c>
      <c r="DI7" s="31" t="s">
        <v>105</v>
      </c>
      <c r="DJ7" s="31" t="s">
        <v>105</v>
      </c>
      <c r="DK7" s="31" t="s">
        <v>105</v>
      </c>
      <c r="DL7" s="31" t="s">
        <v>105</v>
      </c>
      <c r="DM7" s="31" t="s">
        <v>105</v>
      </c>
      <c r="DN7" s="31" t="s">
        <v>105</v>
      </c>
      <c r="DO7" s="31" t="s">
        <v>105</v>
      </c>
      <c r="DP7" s="31" t="s">
        <v>105</v>
      </c>
      <c r="DQ7" s="31" t="s">
        <v>105</v>
      </c>
      <c r="DR7" s="31" t="s">
        <v>105</v>
      </c>
      <c r="DS7" s="31" t="s">
        <v>105</v>
      </c>
      <c r="DT7" s="31" t="s">
        <v>105</v>
      </c>
      <c r="DU7" s="31" t="s">
        <v>105</v>
      </c>
      <c r="DV7" s="31" t="s">
        <v>105</v>
      </c>
      <c r="DW7" s="31" t="s">
        <v>105</v>
      </c>
      <c r="DX7" s="31" t="s">
        <v>105</v>
      </c>
      <c r="DY7" s="31" t="s">
        <v>105</v>
      </c>
      <c r="DZ7" s="31" t="s">
        <v>105</v>
      </c>
      <c r="EA7" s="31" t="s">
        <v>105</v>
      </c>
      <c r="EB7" s="31" t="s">
        <v>105</v>
      </c>
      <c r="EC7" s="31" t="s">
        <v>105</v>
      </c>
      <c r="ED7" s="31" t="s">
        <v>105</v>
      </c>
      <c r="EE7" s="31" t="s">
        <v>105</v>
      </c>
      <c r="EF7" s="31" t="s">
        <v>105</v>
      </c>
      <c r="EG7" s="31" t="s">
        <v>105</v>
      </c>
      <c r="EH7" s="31" t="s">
        <v>105</v>
      </c>
      <c r="EI7" s="31" t="s">
        <v>105</v>
      </c>
      <c r="EJ7" s="31" t="s">
        <v>105</v>
      </c>
      <c r="EK7" s="31" t="s">
        <v>105</v>
      </c>
      <c r="EL7" s="31" t="s">
        <v>105</v>
      </c>
      <c r="EM7" s="31" t="s">
        <v>105</v>
      </c>
      <c r="EN7" s="31" t="s">
        <v>105</v>
      </c>
      <c r="EO7" s="31" t="s">
        <v>105</v>
      </c>
      <c r="EP7" s="31" t="s">
        <v>105</v>
      </c>
      <c r="EQ7" s="31" t="s">
        <v>105</v>
      </c>
      <c r="ER7" s="31" t="s">
        <v>105</v>
      </c>
      <c r="ES7" s="31" t="s">
        <v>105</v>
      </c>
      <c r="ET7" s="31" t="s">
        <v>105</v>
      </c>
      <c r="EU7" s="31" t="s">
        <v>105</v>
      </c>
      <c r="EV7" s="31" t="s">
        <v>105</v>
      </c>
      <c r="EW7" s="31" t="s">
        <v>105</v>
      </c>
      <c r="EX7" s="31" t="s">
        <v>105</v>
      </c>
      <c r="EY7" s="31"/>
      <c r="EZ7" s="31"/>
      <c r="FA7" s="31" t="s">
        <v>105</v>
      </c>
      <c r="FB7" s="31" t="s">
        <v>105</v>
      </c>
      <c r="FC7" s="31" t="s">
        <v>105</v>
      </c>
      <c r="FD7" s="31" t="s">
        <v>105</v>
      </c>
      <c r="FE7" s="31" t="s">
        <v>105</v>
      </c>
      <c r="FF7" s="31" t="s">
        <v>105</v>
      </c>
      <c r="FG7" s="31" t="s">
        <v>105</v>
      </c>
      <c r="FH7" s="31" t="s">
        <v>105</v>
      </c>
      <c r="FI7" s="31" t="s">
        <v>105</v>
      </c>
      <c r="FJ7" s="31"/>
      <c r="FK7" s="31" t="s">
        <v>105</v>
      </c>
      <c r="FL7" s="31" t="s">
        <v>105</v>
      </c>
      <c r="FM7" s="31" t="s">
        <v>105</v>
      </c>
      <c r="FN7" s="31" t="s">
        <v>105</v>
      </c>
      <c r="FO7" s="31" t="s">
        <v>105</v>
      </c>
      <c r="FP7" s="31" t="s">
        <v>105</v>
      </c>
      <c r="FQ7" s="31" t="s">
        <v>105</v>
      </c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J7" s="52"/>
      <c r="JK7" s="52"/>
      <c r="JL7" s="52"/>
      <c r="JM7" s="52"/>
      <c r="JN7" s="52"/>
      <c r="JO7" s="52"/>
      <c r="JP7" s="52"/>
      <c r="JQ7" s="52"/>
      <c r="JR7" s="52"/>
      <c r="JS7" s="52"/>
      <c r="JT7" s="52"/>
      <c r="JU7" s="52"/>
      <c r="JV7" s="52"/>
      <c r="JW7" s="52"/>
      <c r="JX7" s="52"/>
      <c r="JY7" s="52"/>
      <c r="JZ7" s="52"/>
      <c r="KA7" s="52"/>
      <c r="KB7" s="52"/>
      <c r="KC7" s="52"/>
      <c r="KD7" s="52"/>
      <c r="KE7" s="52"/>
      <c r="KF7" s="52"/>
      <c r="KG7" s="52"/>
      <c r="KH7" s="52"/>
      <c r="KI7" s="52"/>
      <c r="KJ7" s="52"/>
      <c r="KK7" s="52"/>
      <c r="KL7" s="52"/>
      <c r="KM7" s="52"/>
      <c r="KN7" s="52"/>
      <c r="KO7" s="52"/>
      <c r="KP7" s="52"/>
      <c r="KQ7" s="52"/>
      <c r="KR7" s="52"/>
      <c r="KS7" s="52"/>
      <c r="KT7" s="52"/>
      <c r="KU7" s="52"/>
      <c r="KV7" s="52"/>
      <c r="KW7" s="52"/>
      <c r="KX7" s="52"/>
      <c r="KY7" s="52"/>
      <c r="KZ7" s="52"/>
      <c r="LA7" s="52"/>
      <c r="LB7" s="52"/>
      <c r="LC7" s="52"/>
      <c r="LD7" s="52"/>
      <c r="LE7" s="52"/>
      <c r="LF7" s="52"/>
      <c r="LG7" s="52"/>
      <c r="LH7" s="52"/>
      <c r="LI7" s="52"/>
      <c r="LJ7" s="52"/>
      <c r="LK7" s="52"/>
      <c r="LL7" s="52"/>
      <c r="LM7" s="52"/>
      <c r="LN7" s="52"/>
      <c r="LO7" s="52"/>
      <c r="LP7" s="52"/>
      <c r="LQ7" s="52"/>
      <c r="LR7" s="52"/>
      <c r="LS7" s="52"/>
      <c r="LT7" s="52"/>
      <c r="LU7" s="52"/>
      <c r="LV7" s="52"/>
      <c r="LW7" s="52"/>
      <c r="LX7" s="52"/>
      <c r="LY7" s="52"/>
      <c r="LZ7" s="52"/>
      <c r="MA7" s="52"/>
      <c r="MB7" s="52"/>
      <c r="MC7" s="52"/>
      <c r="MD7" s="52"/>
      <c r="ME7" s="52"/>
      <c r="MF7" s="52"/>
      <c r="MG7" s="52"/>
      <c r="MH7" s="52"/>
      <c r="MI7" s="52"/>
      <c r="MJ7" s="52"/>
      <c r="MK7" s="52"/>
      <c r="ML7" s="52"/>
      <c r="MM7" s="52"/>
      <c r="MN7" s="52"/>
      <c r="MO7" s="52"/>
      <c r="MP7" s="52"/>
      <c r="MQ7" s="52"/>
      <c r="MR7" s="52"/>
      <c r="MS7" s="52"/>
      <c r="MT7" s="52"/>
      <c r="MU7" s="52"/>
      <c r="MV7" s="52"/>
      <c r="MW7" s="52"/>
      <c r="MX7" s="52"/>
      <c r="MY7" s="52"/>
      <c r="MZ7" s="52"/>
      <c r="NA7" s="52"/>
      <c r="NB7" s="52"/>
      <c r="NC7" s="52"/>
      <c r="ND7" s="52"/>
      <c r="NE7" s="52"/>
      <c r="NF7" s="52"/>
      <c r="NG7" s="52"/>
      <c r="NH7" s="52"/>
      <c r="NI7" s="52"/>
      <c r="NJ7" s="52"/>
      <c r="NK7" s="52"/>
      <c r="NL7" s="52"/>
      <c r="NM7" s="52"/>
      <c r="NN7" s="52"/>
      <c r="NO7" s="52"/>
      <c r="NP7" s="52"/>
      <c r="NQ7" s="52"/>
      <c r="NR7" s="52"/>
      <c r="NS7" s="52"/>
      <c r="NT7" s="52"/>
      <c r="NU7" s="52"/>
      <c r="NV7" s="52"/>
      <c r="NW7" s="52"/>
      <c r="NX7" s="52"/>
      <c r="NY7" s="52"/>
      <c r="NZ7" s="52"/>
      <c r="OA7" s="52"/>
      <c r="OB7" s="52"/>
      <c r="OC7" s="52"/>
      <c r="OD7" s="52"/>
      <c r="OE7" s="52"/>
      <c r="OF7" s="52"/>
      <c r="OG7" s="52"/>
      <c r="OH7" s="52"/>
      <c r="OI7" s="52"/>
      <c r="OJ7" s="52"/>
      <c r="OK7" s="52"/>
      <c r="OL7" s="52"/>
      <c r="OM7" s="52"/>
      <c r="ON7" s="52"/>
      <c r="OO7" s="52"/>
      <c r="OP7" s="52"/>
      <c r="OQ7" s="52"/>
      <c r="OR7" s="52"/>
      <c r="OS7" s="52"/>
      <c r="OT7" s="52"/>
      <c r="OU7" s="52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2"/>
      <c r="PN7" s="52"/>
      <c r="PO7" s="52"/>
      <c r="PP7" s="52"/>
      <c r="PQ7" s="52"/>
      <c r="PR7" s="52"/>
      <c r="PS7" s="52"/>
      <c r="PT7" s="52"/>
      <c r="PU7" s="52"/>
      <c r="PV7" s="52"/>
      <c r="PW7" s="52"/>
      <c r="PX7" s="52"/>
      <c r="PY7" s="52"/>
      <c r="PZ7" s="52"/>
      <c r="QA7" s="52"/>
      <c r="QB7" s="52"/>
      <c r="QC7" s="52"/>
      <c r="QD7" s="52"/>
      <c r="QE7" s="52"/>
      <c r="QF7" s="52"/>
      <c r="QG7" s="52"/>
      <c r="QH7" s="52"/>
      <c r="QI7" s="52"/>
      <c r="QJ7" s="52"/>
      <c r="QK7" s="52"/>
      <c r="QL7" s="52"/>
      <c r="QM7" s="52"/>
      <c r="QN7" s="52"/>
      <c r="QO7" s="52"/>
      <c r="QP7" s="52"/>
      <c r="QQ7" s="52"/>
      <c r="QR7" s="52"/>
      <c r="QS7" s="52"/>
      <c r="QT7" s="52"/>
      <c r="QU7" s="52"/>
      <c r="QV7" s="52"/>
      <c r="QW7" s="52"/>
      <c r="QX7" s="52"/>
      <c r="QY7" s="52"/>
      <c r="QZ7" s="52"/>
      <c r="RA7" s="52"/>
      <c r="RB7" s="52"/>
      <c r="RC7" s="52"/>
      <c r="RD7" s="52"/>
      <c r="RE7" s="52"/>
      <c r="RF7" s="52"/>
      <c r="RG7" s="52"/>
      <c r="RH7" s="52"/>
      <c r="RI7" s="52"/>
      <c r="RJ7" s="52"/>
      <c r="RK7" s="52"/>
      <c r="RL7" s="52"/>
      <c r="RM7" s="52"/>
      <c r="RN7" s="52"/>
      <c r="RO7" s="52"/>
      <c r="RP7" s="52"/>
      <c r="RQ7" s="52"/>
      <c r="RR7" s="52"/>
      <c r="RS7" s="52"/>
      <c r="RT7" s="52"/>
      <c r="RU7" s="52"/>
      <c r="RV7" s="52"/>
      <c r="RW7" s="52"/>
      <c r="RX7" s="52"/>
      <c r="RY7" s="52"/>
      <c r="RZ7" s="52"/>
      <c r="SA7" s="52"/>
      <c r="SB7" s="52"/>
      <c r="SC7" s="52"/>
      <c r="SD7" s="52"/>
      <c r="SE7" s="52"/>
      <c r="SF7" s="52"/>
      <c r="SG7" s="52"/>
      <c r="SH7" s="52"/>
      <c r="SI7" s="52"/>
      <c r="SJ7" s="52"/>
      <c r="SK7" s="52"/>
      <c r="SL7" s="52"/>
      <c r="SM7" s="52"/>
      <c r="SN7" s="52"/>
      <c r="SO7" s="52"/>
      <c r="SP7" s="52"/>
      <c r="SQ7" s="52"/>
      <c r="SR7" s="52"/>
      <c r="SS7" s="52"/>
      <c r="ST7" s="52"/>
      <c r="SU7" s="52"/>
      <c r="SV7" s="52"/>
      <c r="SW7" s="52"/>
      <c r="SX7" s="52"/>
      <c r="SY7" s="52"/>
      <c r="SZ7" s="52"/>
      <c r="TA7" s="52"/>
      <c r="TB7" s="52"/>
      <c r="TC7" s="52"/>
      <c r="TD7" s="52"/>
      <c r="TE7" s="52"/>
      <c r="TF7" s="52"/>
      <c r="TG7" s="52"/>
      <c r="TH7" s="52"/>
      <c r="TI7" s="52"/>
      <c r="TJ7" s="52"/>
      <c r="TK7" s="52"/>
      <c r="TL7" s="52"/>
      <c r="TM7" s="52"/>
      <c r="TN7" s="52"/>
      <c r="TO7" s="52"/>
      <c r="TP7" s="52"/>
      <c r="TQ7" s="52"/>
      <c r="TR7" s="52"/>
      <c r="TS7" s="52"/>
      <c r="TT7" s="52"/>
      <c r="TU7" s="52"/>
      <c r="TV7" s="52"/>
      <c r="TW7" s="52"/>
      <c r="TX7" s="52"/>
      <c r="TY7" s="52"/>
      <c r="TZ7" s="52"/>
      <c r="UA7" s="52"/>
      <c r="UB7" s="52"/>
      <c r="UC7" s="52"/>
      <c r="UD7" s="52"/>
      <c r="UE7" s="52"/>
      <c r="UF7" s="52"/>
      <c r="UG7" s="52"/>
      <c r="UH7" s="52"/>
      <c r="UI7" s="52"/>
      <c r="UJ7" s="52"/>
      <c r="UK7" s="52"/>
      <c r="UL7" s="52"/>
      <c r="UM7" s="52"/>
      <c r="UN7" s="52"/>
      <c r="UO7" s="52"/>
      <c r="UP7" s="52"/>
      <c r="UQ7" s="52"/>
      <c r="UR7" s="52"/>
      <c r="US7" s="52"/>
      <c r="UT7" s="52"/>
      <c r="UU7" s="52"/>
      <c r="UV7" s="52"/>
      <c r="UW7" s="52"/>
      <c r="UX7" s="52"/>
      <c r="UY7" s="52"/>
      <c r="UZ7" s="52"/>
      <c r="VA7" s="52"/>
      <c r="VB7" s="52"/>
      <c r="VC7" s="52"/>
      <c r="VD7" s="52"/>
      <c r="VE7" s="52"/>
      <c r="VF7" s="52"/>
      <c r="VG7" s="52"/>
      <c r="VH7" s="52"/>
      <c r="VI7" s="52"/>
      <c r="VJ7" s="52"/>
      <c r="VK7" s="52"/>
      <c r="VL7" s="52"/>
      <c r="VM7" s="52"/>
      <c r="VN7" s="52"/>
      <c r="VO7" s="52"/>
      <c r="VP7" s="52"/>
      <c r="VQ7" s="52"/>
      <c r="VR7" s="52"/>
      <c r="VS7" s="52"/>
      <c r="VT7" s="52"/>
      <c r="VU7" s="52"/>
      <c r="VV7" s="52"/>
      <c r="VW7" s="52"/>
      <c r="VX7" s="52"/>
      <c r="VY7" s="52"/>
      <c r="VZ7" s="52"/>
      <c r="WA7" s="52"/>
      <c r="WB7" s="52"/>
      <c r="WC7" s="52"/>
      <c r="WD7" s="52"/>
      <c r="WE7" s="52"/>
      <c r="WF7" s="52"/>
      <c r="WG7" s="52"/>
      <c r="WH7" s="52"/>
      <c r="WI7" s="52"/>
      <c r="WJ7" s="52"/>
      <c r="WK7" s="52"/>
      <c r="WL7" s="52"/>
      <c r="WM7" s="52"/>
      <c r="WN7" s="52"/>
      <c r="WO7" s="52"/>
      <c r="WP7" s="52"/>
      <c r="WQ7" s="52"/>
      <c r="WR7" s="52"/>
      <c r="WS7" s="52"/>
      <c r="WT7" s="52"/>
      <c r="WU7" s="52"/>
      <c r="WV7" s="52"/>
      <c r="WW7" s="52"/>
      <c r="WX7" s="52"/>
      <c r="WY7" s="52"/>
      <c r="WZ7" s="52"/>
      <c r="XA7" s="52"/>
      <c r="XB7" s="52"/>
      <c r="XC7" s="52"/>
      <c r="XD7" s="52"/>
      <c r="XE7" s="52"/>
      <c r="XF7" s="52"/>
      <c r="XG7" s="52"/>
      <c r="XH7" s="52"/>
      <c r="XI7" s="52"/>
      <c r="XJ7" s="52"/>
      <c r="XK7" s="52"/>
      <c r="XL7" s="52"/>
      <c r="XM7" s="52"/>
      <c r="XN7" s="52"/>
      <c r="XO7" s="52"/>
      <c r="XP7" s="52"/>
      <c r="XQ7" s="52"/>
      <c r="XR7" s="52"/>
      <c r="XS7" s="52"/>
      <c r="XT7" s="52"/>
      <c r="XU7" s="52"/>
      <c r="XV7" s="52"/>
      <c r="XW7" s="52"/>
      <c r="XX7" s="52"/>
      <c r="XY7" s="52"/>
      <c r="XZ7" s="52"/>
      <c r="YA7" s="52"/>
      <c r="YB7" s="52"/>
      <c r="YC7" s="52"/>
      <c r="YD7" s="52"/>
      <c r="YE7" s="52"/>
      <c r="YF7" s="52"/>
      <c r="YG7" s="52"/>
      <c r="YH7" s="52"/>
      <c r="YI7" s="52"/>
      <c r="YJ7" s="52"/>
      <c r="YK7" s="52"/>
      <c r="YL7" s="52"/>
      <c r="YM7" s="52"/>
      <c r="YN7" s="52"/>
      <c r="YO7" s="52"/>
      <c r="YP7" s="52"/>
      <c r="YQ7" s="52"/>
      <c r="YR7" s="52"/>
      <c r="YS7" s="52"/>
      <c r="YT7" s="52"/>
      <c r="YU7" s="52"/>
      <c r="YV7" s="52"/>
      <c r="YW7" s="52"/>
      <c r="YX7" s="52"/>
      <c r="YY7" s="52"/>
      <c r="YZ7" s="52"/>
      <c r="ZA7" s="52"/>
      <c r="ZB7" s="52"/>
      <c r="ZC7" s="52"/>
      <c r="ZD7" s="52"/>
      <c r="ZE7" s="52"/>
      <c r="ZF7" s="52"/>
      <c r="ZG7" s="52"/>
      <c r="ZH7" s="52"/>
      <c r="ZI7" s="52"/>
      <c r="ZJ7" s="52"/>
      <c r="ZK7" s="52"/>
      <c r="ZL7" s="52"/>
      <c r="ZM7" s="52"/>
      <c r="ZN7" s="52"/>
      <c r="ZO7" s="52"/>
      <c r="ZP7" s="52"/>
      <c r="ZQ7" s="52"/>
      <c r="ZR7" s="52"/>
      <c r="ZS7" s="52"/>
      <c r="ZT7" s="52"/>
      <c r="ZU7" s="52"/>
      <c r="ZV7" s="52"/>
      <c r="ZW7" s="52"/>
      <c r="ZX7" s="52"/>
      <c r="ZY7" s="52"/>
      <c r="ZZ7" s="52"/>
      <c r="AAA7" s="52"/>
      <c r="AAB7" s="52"/>
      <c r="AAC7" s="52"/>
      <c r="AAD7" s="52"/>
      <c r="AAE7" s="52"/>
      <c r="AAF7" s="52"/>
      <c r="AAG7" s="52"/>
      <c r="AAH7" s="52"/>
      <c r="AAI7" s="52"/>
      <c r="AAJ7" s="52"/>
      <c r="AAK7" s="52"/>
      <c r="AAL7" s="52"/>
      <c r="AAM7" s="52"/>
      <c r="AAN7" s="52"/>
      <c r="AAO7" s="52"/>
      <c r="AAP7" s="52"/>
      <c r="AAQ7" s="52"/>
      <c r="AAR7" s="52"/>
      <c r="AAS7" s="52"/>
      <c r="AAT7" s="52"/>
      <c r="AAU7" s="52"/>
      <c r="AAV7" s="52"/>
      <c r="AAW7" s="52"/>
      <c r="AAX7" s="52"/>
      <c r="AAY7" s="52"/>
      <c r="AAZ7" s="52"/>
      <c r="ABA7" s="52"/>
      <c r="ABB7" s="52"/>
      <c r="ABC7" s="52"/>
      <c r="ABD7" s="52"/>
      <c r="ABE7" s="52"/>
      <c r="ABF7" s="52"/>
      <c r="ABG7" s="52"/>
      <c r="ABH7" s="52"/>
      <c r="ABI7" s="52"/>
      <c r="ABJ7" s="52"/>
      <c r="ABK7" s="52"/>
      <c r="ABL7" s="52"/>
      <c r="ABM7" s="52"/>
      <c r="ABN7" s="52"/>
      <c r="ABO7" s="52"/>
      <c r="ABP7" s="52"/>
      <c r="ABQ7" s="52"/>
      <c r="ABR7" s="52"/>
      <c r="ABS7" s="52"/>
      <c r="ABT7" s="52"/>
      <c r="ABU7" s="52"/>
      <c r="ABV7" s="52"/>
      <c r="ABW7" s="52"/>
      <c r="ABX7" s="52"/>
      <c r="ABY7" s="52"/>
      <c r="ABZ7" s="52"/>
      <c r="ACA7" s="52"/>
      <c r="ACB7" s="52"/>
      <c r="ACC7" s="52"/>
      <c r="ACD7" s="52"/>
      <c r="ACE7" s="52"/>
      <c r="ACF7" s="52"/>
      <c r="ACG7" s="52"/>
      <c r="ACH7" s="52"/>
      <c r="ACI7" s="52"/>
      <c r="ACJ7" s="52"/>
      <c r="ACK7" s="52"/>
      <c r="ACL7" s="52"/>
      <c r="ACM7" s="52"/>
      <c r="ACN7" s="52"/>
      <c r="ACO7" s="52"/>
      <c r="ACP7" s="52"/>
      <c r="ACQ7" s="52"/>
      <c r="ACR7" s="52"/>
      <c r="ACS7" s="52"/>
      <c r="ACT7" s="52"/>
      <c r="ACU7" s="52"/>
      <c r="ACV7" s="52"/>
      <c r="ACW7" s="52"/>
      <c r="ACX7" s="52"/>
      <c r="ACY7" s="52"/>
      <c r="ACZ7" s="52"/>
      <c r="ADA7" s="52"/>
      <c r="ADB7" s="52"/>
      <c r="ADC7" s="52"/>
      <c r="ADD7" s="52"/>
      <c r="ADE7" s="52"/>
      <c r="ADF7" s="52"/>
      <c r="ADG7" s="52"/>
      <c r="ADH7" s="52"/>
      <c r="ADI7" s="52"/>
      <c r="ADJ7" s="52"/>
      <c r="ADK7" s="52"/>
      <c r="ADL7" s="52"/>
      <c r="ADM7" s="52"/>
      <c r="ADN7" s="52"/>
      <c r="ADO7" s="52"/>
      <c r="ADP7" s="52"/>
      <c r="ADQ7" s="52"/>
      <c r="ADR7" s="52"/>
      <c r="ADS7" s="52"/>
      <c r="ADT7" s="52"/>
      <c r="ADU7" s="52"/>
      <c r="ADV7" s="52"/>
      <c r="ADW7" s="52"/>
      <c r="ADX7" s="52"/>
      <c r="ADY7" s="52"/>
      <c r="ADZ7" s="52"/>
      <c r="AEA7" s="52"/>
      <c r="AEB7" s="52"/>
      <c r="AEC7" s="52"/>
      <c r="AED7" s="52"/>
      <c r="AEE7" s="52"/>
      <c r="AEF7" s="52"/>
      <c r="AEG7" s="52"/>
      <c r="AEH7" s="52"/>
      <c r="AEI7" s="52"/>
      <c r="AEJ7" s="52"/>
      <c r="AEK7" s="52"/>
      <c r="AEL7" s="52"/>
      <c r="AEM7" s="52"/>
      <c r="AEN7" s="52"/>
      <c r="AEO7" s="52"/>
      <c r="AEP7" s="52"/>
      <c r="AEQ7" s="52"/>
      <c r="AER7" s="52"/>
      <c r="AES7" s="52"/>
      <c r="AET7" s="52"/>
      <c r="AEU7" s="52"/>
      <c r="AEV7" s="52"/>
      <c r="AEW7" s="52"/>
      <c r="AEX7" s="52"/>
      <c r="AEY7" s="52"/>
      <c r="AEZ7" s="52"/>
      <c r="AFA7" s="52"/>
      <c r="AFB7" s="52"/>
      <c r="AFC7" s="52"/>
      <c r="AFD7" s="52"/>
      <c r="AFE7" s="52"/>
      <c r="AFF7" s="52"/>
      <c r="AFG7" s="52"/>
      <c r="AFH7" s="52"/>
      <c r="AFI7" s="52"/>
      <c r="AFJ7" s="52"/>
      <c r="AFK7" s="52"/>
      <c r="AFL7" s="52"/>
      <c r="AFM7" s="52"/>
      <c r="AFN7" s="52"/>
      <c r="AFO7" s="52"/>
      <c r="AFP7" s="52"/>
      <c r="AFQ7" s="52"/>
      <c r="AFR7" s="52"/>
      <c r="AFS7" s="52"/>
      <c r="AFT7" s="52"/>
      <c r="AFU7" s="52"/>
      <c r="AFV7" s="52"/>
      <c r="AFW7" s="52"/>
      <c r="AFX7" s="52"/>
      <c r="AFY7" s="52"/>
      <c r="AFZ7" s="52"/>
      <c r="AGA7" s="52"/>
      <c r="AGB7" s="52"/>
      <c r="AGC7" s="52"/>
      <c r="AGD7" s="52"/>
      <c r="AGE7" s="52"/>
      <c r="AGF7" s="52"/>
      <c r="AGG7" s="52"/>
      <c r="AGH7" s="52"/>
      <c r="AGI7" s="52"/>
      <c r="AGJ7" s="52"/>
      <c r="AGK7" s="52"/>
      <c r="AGL7" s="52"/>
      <c r="AGM7" s="52"/>
      <c r="AGN7" s="52"/>
      <c r="AGO7" s="52"/>
      <c r="AGP7" s="52"/>
      <c r="AGQ7" s="52"/>
      <c r="AGR7" s="52"/>
      <c r="AGS7" s="52"/>
      <c r="AGT7" s="52"/>
      <c r="AGU7" s="52"/>
      <c r="AGV7" s="52"/>
      <c r="AGW7" s="52"/>
      <c r="AGX7" s="52"/>
      <c r="AGY7" s="52"/>
      <c r="AGZ7" s="52"/>
      <c r="AHA7" s="52"/>
      <c r="AHB7" s="52"/>
      <c r="AHC7" s="52"/>
      <c r="AHD7" s="52"/>
      <c r="AHE7" s="52"/>
      <c r="AHF7" s="52"/>
      <c r="AHG7" s="52"/>
      <c r="AHH7" s="52"/>
      <c r="AHI7" s="52"/>
      <c r="AHJ7" s="52"/>
      <c r="AHK7" s="52"/>
      <c r="AHL7" s="52"/>
      <c r="AHM7" s="52"/>
      <c r="AHN7" s="52"/>
      <c r="AHO7" s="52"/>
      <c r="AHP7" s="52"/>
      <c r="AHQ7" s="52"/>
      <c r="AHR7" s="52"/>
      <c r="AHS7" s="52"/>
      <c r="AHT7" s="52"/>
      <c r="AHU7" s="52"/>
      <c r="AHV7" s="52"/>
      <c r="AHW7" s="52"/>
      <c r="AHX7" s="52"/>
      <c r="AHY7" s="52"/>
      <c r="AHZ7" s="52"/>
      <c r="AIA7" s="52"/>
      <c r="AIB7" s="52"/>
      <c r="AIC7" s="52"/>
      <c r="AID7" s="52"/>
      <c r="AIE7" s="52"/>
      <c r="AIF7" s="52"/>
      <c r="AIG7" s="52"/>
      <c r="AIH7" s="52"/>
      <c r="AII7" s="52"/>
      <c r="AIJ7" s="52"/>
      <c r="AIK7" s="52"/>
      <c r="AIL7" s="52"/>
      <c r="AIM7" s="52"/>
      <c r="AIN7" s="52"/>
      <c r="AIO7" s="52"/>
      <c r="AIP7" s="52"/>
      <c r="AIQ7" s="52"/>
      <c r="AIR7" s="52"/>
      <c r="AIS7" s="52"/>
      <c r="AIT7" s="52"/>
      <c r="AIU7" s="52"/>
      <c r="AIV7" s="52"/>
      <c r="AIW7" s="52"/>
      <c r="AIX7" s="52"/>
      <c r="AIY7" s="52"/>
      <c r="AIZ7" s="52"/>
      <c r="AJA7" s="52"/>
      <c r="AJB7" s="52"/>
      <c r="AJC7" s="52"/>
      <c r="AJD7" s="52"/>
      <c r="AJE7" s="52"/>
      <c r="AJF7" s="52"/>
      <c r="AJG7" s="52"/>
      <c r="AJH7" s="52"/>
      <c r="AJI7" s="52"/>
      <c r="AJJ7" s="52"/>
      <c r="AJK7" s="52"/>
      <c r="AJL7" s="52"/>
      <c r="AJM7" s="52"/>
      <c r="AJN7" s="52"/>
      <c r="AJO7" s="52"/>
      <c r="AJP7" s="52"/>
      <c r="AJQ7" s="52"/>
      <c r="AJR7" s="52"/>
      <c r="AJS7" s="52"/>
      <c r="AJT7" s="52"/>
      <c r="AJU7" s="52"/>
      <c r="AJV7" s="52"/>
      <c r="AJW7" s="52"/>
      <c r="AJX7" s="52"/>
      <c r="AJY7" s="52"/>
      <c r="AJZ7" s="52"/>
      <c r="AKA7" s="52"/>
      <c r="AKB7" s="52"/>
      <c r="AKC7" s="52"/>
      <c r="AKD7" s="52"/>
      <c r="AKE7" s="52"/>
      <c r="AKF7" s="52"/>
      <c r="AKG7" s="52"/>
      <c r="AKH7" s="52"/>
      <c r="AKI7" s="52"/>
      <c r="AKJ7" s="52"/>
      <c r="AKK7" s="52"/>
      <c r="AKL7" s="52"/>
      <c r="AKM7" s="52"/>
      <c r="AKN7" s="52"/>
      <c r="AKO7" s="52"/>
      <c r="AKP7" s="52"/>
      <c r="AKQ7" s="52"/>
      <c r="AKR7" s="52"/>
      <c r="AKS7" s="52"/>
      <c r="AKT7" s="52"/>
      <c r="AKU7" s="52"/>
      <c r="AKV7" s="52"/>
      <c r="AKW7" s="52"/>
      <c r="AKX7" s="52"/>
      <c r="AKY7" s="52"/>
      <c r="AKZ7" s="52"/>
      <c r="ALA7" s="52"/>
      <c r="ALB7" s="52"/>
      <c r="ALC7" s="52"/>
      <c r="ALD7" s="52"/>
      <c r="ALE7" s="52"/>
      <c r="ALF7" s="52"/>
      <c r="ALG7" s="52"/>
      <c r="ALH7" s="52"/>
      <c r="ALI7" s="52"/>
      <c r="ALJ7" s="52"/>
      <c r="ALK7" s="52"/>
      <c r="ALL7" s="52"/>
      <c r="ALM7" s="52"/>
      <c r="ALN7" s="52"/>
      <c r="ALO7" s="52"/>
      <c r="ALP7" s="52"/>
      <c r="ALQ7" s="52"/>
      <c r="ALR7" s="52"/>
      <c r="ALS7" s="52"/>
      <c r="ALT7" s="52"/>
      <c r="ALU7" s="52"/>
      <c r="ALV7" s="52"/>
      <c r="ALW7" s="52"/>
      <c r="ALX7" s="52"/>
      <c r="ALY7" s="52"/>
      <c r="ALZ7" s="52"/>
      <c r="AMA7" s="52"/>
      <c r="AMB7" s="52"/>
      <c r="AMC7" s="52"/>
      <c r="AMD7" s="52"/>
      <c r="AME7" s="52"/>
      <c r="AMF7" s="52"/>
      <c r="AMG7" s="52"/>
      <c r="AMH7" s="52"/>
      <c r="AMI7" s="52"/>
      <c r="AMJ7" s="52"/>
      <c r="AMK7" s="52"/>
      <c r="AML7" s="52"/>
    </row>
    <row r="8" ht="15.75" customHeight="1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  <c r="FM8" s="31"/>
      <c r="FN8" s="31"/>
      <c r="FO8" s="31"/>
      <c r="FP8" s="31"/>
      <c r="FQ8" s="31"/>
      <c r="FR8" s="31"/>
      <c r="FS8" s="31"/>
      <c r="FT8" s="31"/>
      <c r="FU8" s="31"/>
      <c r="FV8" s="31"/>
      <c r="FW8" s="31"/>
      <c r="FX8" s="31"/>
      <c r="FY8" s="31"/>
      <c r="FZ8" s="31"/>
      <c r="GA8" s="31"/>
      <c r="GB8" s="31"/>
      <c r="GC8" s="31"/>
      <c r="GD8" s="31"/>
      <c r="GE8" s="31"/>
      <c r="GF8" s="31"/>
      <c r="GG8" s="31"/>
      <c r="GH8" s="31"/>
      <c r="GI8" s="31"/>
      <c r="GJ8" s="31"/>
      <c r="GK8" s="31"/>
      <c r="GL8" s="31"/>
      <c r="GM8" s="31"/>
      <c r="GN8" s="31"/>
      <c r="GO8" s="31"/>
      <c r="GP8" s="31"/>
      <c r="GQ8" s="31"/>
      <c r="GR8" s="31"/>
      <c r="GS8" s="31"/>
      <c r="GT8" s="31"/>
      <c r="GU8" s="31"/>
      <c r="GV8" s="31"/>
      <c r="GW8" s="31"/>
      <c r="GX8" s="31"/>
      <c r="GY8" s="31"/>
      <c r="GZ8" s="31"/>
      <c r="HA8" s="31"/>
      <c r="HB8" s="31"/>
      <c r="HC8" s="31"/>
      <c r="HD8" s="31"/>
      <c r="HE8" s="31"/>
      <c r="HF8" s="31"/>
      <c r="HG8" s="31"/>
      <c r="HH8" s="31"/>
      <c r="HI8" s="31"/>
      <c r="HJ8" s="31"/>
      <c r="HK8" s="31"/>
      <c r="HL8" s="31"/>
      <c r="HM8" s="31"/>
      <c r="HN8" s="31"/>
      <c r="HO8" s="31"/>
      <c r="HP8" s="31"/>
      <c r="HQ8" s="31"/>
      <c r="HR8" s="31"/>
      <c r="HS8" s="31"/>
      <c r="HT8" s="31"/>
      <c r="HU8" s="31"/>
      <c r="HV8" s="31"/>
      <c r="HW8" s="31"/>
      <c r="HX8" s="31"/>
      <c r="HY8" s="31"/>
      <c r="HZ8" s="31"/>
      <c r="IA8" s="31"/>
      <c r="IB8" s="31"/>
      <c r="IC8" s="31"/>
      <c r="ID8" s="31"/>
      <c r="IE8" s="31"/>
      <c r="IF8" s="31"/>
      <c r="IG8" s="31"/>
      <c r="IH8" s="31"/>
      <c r="II8" s="31"/>
      <c r="IJ8" s="31"/>
      <c r="IK8" s="31"/>
      <c r="IL8" s="31"/>
      <c r="IM8" s="31"/>
      <c r="IN8" s="31"/>
      <c r="IO8" s="31"/>
      <c r="IP8" s="31"/>
      <c r="IQ8" s="31"/>
      <c r="IR8" s="31"/>
      <c r="IS8" s="31"/>
      <c r="IT8" s="31"/>
      <c r="IU8" s="31"/>
      <c r="IV8" s="31"/>
      <c r="IW8" s="31"/>
      <c r="IX8" s="31"/>
      <c r="IY8" s="31"/>
      <c r="IZ8" s="31"/>
      <c r="JA8" s="31"/>
      <c r="JB8" s="31"/>
      <c r="JC8" s="31"/>
      <c r="JD8" s="31"/>
      <c r="JE8" s="31"/>
      <c r="JF8" s="31"/>
      <c r="JG8" s="31"/>
      <c r="JH8" s="31"/>
      <c r="JI8" s="31"/>
      <c r="JJ8" s="31"/>
      <c r="JK8" s="31"/>
      <c r="JL8" s="31"/>
      <c r="JM8" s="31"/>
      <c r="JN8" s="31"/>
      <c r="JO8" s="31"/>
      <c r="JP8" s="31"/>
      <c r="JQ8" s="31"/>
      <c r="JR8" s="31"/>
      <c r="JS8" s="31"/>
      <c r="JT8" s="31"/>
      <c r="JU8" s="31"/>
      <c r="JV8" s="31"/>
      <c r="JW8" s="31"/>
      <c r="JX8" s="31"/>
      <c r="JY8" s="31"/>
      <c r="JZ8" s="31"/>
      <c r="KA8" s="31"/>
      <c r="KB8" s="31"/>
      <c r="KC8" s="31"/>
      <c r="KD8" s="31"/>
      <c r="KE8" s="31"/>
      <c r="KF8" s="31"/>
      <c r="KG8" s="31"/>
      <c r="KH8" s="31"/>
      <c r="KI8" s="31"/>
      <c r="KJ8" s="31"/>
      <c r="KK8" s="31"/>
      <c r="KL8" s="31"/>
      <c r="KM8" s="31"/>
      <c r="KN8" s="31"/>
      <c r="KO8" s="31"/>
      <c r="KP8" s="31"/>
      <c r="KQ8" s="31"/>
      <c r="KR8" s="31"/>
      <c r="KS8" s="31"/>
      <c r="KT8" s="31"/>
      <c r="KU8" s="31"/>
      <c r="KV8" s="31"/>
      <c r="KW8" s="31"/>
      <c r="KX8" s="31"/>
      <c r="KY8" s="31"/>
      <c r="KZ8" s="31"/>
      <c r="LA8" s="31"/>
      <c r="LB8" s="31"/>
      <c r="LC8" s="31"/>
      <c r="LD8" s="31"/>
      <c r="LE8" s="31"/>
      <c r="LF8" s="31"/>
      <c r="LG8" s="31"/>
      <c r="LH8" s="31"/>
      <c r="LI8" s="31"/>
      <c r="LJ8" s="31"/>
      <c r="LK8" s="31"/>
      <c r="LL8" s="31"/>
      <c r="LM8" s="31"/>
      <c r="LN8" s="31"/>
      <c r="LO8" s="31"/>
      <c r="LP8" s="31"/>
      <c r="LQ8" s="31"/>
      <c r="LR8" s="31"/>
      <c r="LS8" s="31"/>
      <c r="LT8" s="31"/>
      <c r="LU8" s="31"/>
      <c r="LV8" s="31"/>
      <c r="LW8" s="31"/>
      <c r="LX8" s="31"/>
      <c r="LY8" s="31"/>
      <c r="LZ8" s="31"/>
      <c r="MA8" s="31"/>
      <c r="MB8" s="31"/>
      <c r="MC8" s="31"/>
      <c r="MD8" s="31"/>
      <c r="ME8" s="31"/>
      <c r="MF8" s="31"/>
      <c r="MG8" s="31"/>
      <c r="MH8" s="31"/>
      <c r="MI8" s="31"/>
      <c r="MJ8" s="31"/>
      <c r="MK8" s="31"/>
      <c r="ML8" s="31"/>
      <c r="MM8" s="31"/>
      <c r="MN8" s="31"/>
      <c r="MO8" s="31"/>
      <c r="MP8" s="31"/>
      <c r="MQ8" s="31"/>
      <c r="MR8" s="31"/>
      <c r="MS8" s="31"/>
      <c r="MT8" s="31"/>
      <c r="MU8" s="31"/>
      <c r="MV8" s="31"/>
      <c r="MW8" s="31"/>
      <c r="MX8" s="31"/>
      <c r="MY8" s="31"/>
      <c r="MZ8" s="31"/>
      <c r="NA8" s="31"/>
      <c r="NB8" s="31"/>
      <c r="NC8" s="31"/>
      <c r="ND8" s="31"/>
      <c r="NE8" s="31"/>
      <c r="NF8" s="31"/>
      <c r="NG8" s="31"/>
      <c r="NH8" s="31"/>
      <c r="NI8" s="31"/>
      <c r="NJ8" s="31"/>
      <c r="NK8" s="31"/>
      <c r="NL8" s="31"/>
      <c r="NM8" s="31"/>
      <c r="NN8" s="31"/>
      <c r="NO8" s="31"/>
      <c r="NP8" s="31"/>
      <c r="NQ8" s="31"/>
      <c r="NR8" s="31"/>
      <c r="NS8" s="31"/>
      <c r="NT8" s="31"/>
      <c r="NU8" s="31"/>
      <c r="NV8" s="31"/>
      <c r="NW8" s="31"/>
      <c r="NX8" s="31"/>
      <c r="NY8" s="31"/>
      <c r="NZ8" s="31"/>
      <c r="OA8" s="31"/>
      <c r="OB8" s="31"/>
      <c r="OC8" s="31"/>
      <c r="OD8" s="31"/>
      <c r="OE8" s="31"/>
      <c r="OF8" s="31"/>
      <c r="OG8" s="31"/>
      <c r="OH8" s="31"/>
      <c r="OI8" s="31"/>
      <c r="OJ8" s="31"/>
      <c r="OK8" s="31"/>
      <c r="OL8" s="31"/>
      <c r="OM8" s="31"/>
      <c r="ON8" s="31"/>
      <c r="OO8" s="31"/>
      <c r="OP8" s="31"/>
      <c r="OQ8" s="31"/>
      <c r="OR8" s="31"/>
      <c r="OS8" s="31"/>
      <c r="OT8" s="31"/>
      <c r="OU8" s="31"/>
      <c r="OV8" s="31"/>
      <c r="OW8" s="31"/>
      <c r="OX8" s="31"/>
      <c r="OY8" s="31"/>
      <c r="OZ8" s="31"/>
      <c r="PA8" s="31"/>
      <c r="PB8" s="31"/>
      <c r="PC8" s="31"/>
      <c r="PD8" s="31"/>
      <c r="PE8" s="31"/>
      <c r="PF8" s="31"/>
      <c r="PG8" s="31"/>
      <c r="PH8" s="31"/>
      <c r="PI8" s="31"/>
      <c r="PJ8" s="31"/>
      <c r="PK8" s="31"/>
      <c r="PL8" s="31"/>
      <c r="PM8" s="31"/>
      <c r="PN8" s="31"/>
      <c r="PO8" s="31"/>
      <c r="PP8" s="31"/>
      <c r="PQ8" s="31"/>
      <c r="PR8" s="31"/>
      <c r="PS8" s="31"/>
      <c r="PT8" s="31"/>
      <c r="PU8" s="31"/>
      <c r="PV8" s="31"/>
      <c r="PW8" s="31"/>
      <c r="PX8" s="31"/>
      <c r="PY8" s="31"/>
      <c r="PZ8" s="31"/>
      <c r="QA8" s="31"/>
      <c r="QB8" s="31"/>
      <c r="QC8" s="31"/>
      <c r="QD8" s="31"/>
      <c r="QE8" s="31"/>
      <c r="QF8" s="31"/>
      <c r="QG8" s="31"/>
      <c r="QH8" s="31"/>
      <c r="QI8" s="31"/>
      <c r="QJ8" s="31"/>
      <c r="QK8" s="31"/>
      <c r="QL8" s="31"/>
      <c r="QM8" s="31"/>
      <c r="QN8" s="31"/>
      <c r="QO8" s="31"/>
      <c r="QP8" s="31"/>
      <c r="QQ8" s="31"/>
      <c r="QR8" s="31"/>
      <c r="QS8" s="31"/>
      <c r="QT8" s="31"/>
      <c r="QU8" s="31"/>
      <c r="QV8" s="31"/>
      <c r="QW8" s="31"/>
      <c r="QX8" s="31"/>
      <c r="QY8" s="31"/>
      <c r="QZ8" s="31"/>
      <c r="RA8" s="31"/>
      <c r="RB8" s="31"/>
      <c r="RC8" s="31"/>
      <c r="RD8" s="31"/>
      <c r="RE8" s="31"/>
      <c r="RF8" s="31"/>
      <c r="RG8" s="31"/>
      <c r="RH8" s="31"/>
      <c r="RI8" s="31"/>
      <c r="RJ8" s="31"/>
      <c r="RK8" s="31"/>
      <c r="RL8" s="31"/>
      <c r="RM8" s="31"/>
      <c r="RN8" s="31"/>
      <c r="RO8" s="31"/>
      <c r="RP8" s="31"/>
      <c r="RQ8" s="31"/>
      <c r="RR8" s="31"/>
      <c r="RS8" s="31"/>
      <c r="RT8" s="31"/>
      <c r="RU8" s="31"/>
      <c r="RV8" s="31"/>
      <c r="RW8" s="31"/>
      <c r="RX8" s="31"/>
      <c r="RY8" s="31"/>
      <c r="RZ8" s="31"/>
      <c r="SA8" s="31"/>
      <c r="SB8" s="31"/>
      <c r="SC8" s="31"/>
      <c r="SD8" s="31"/>
      <c r="SE8" s="31"/>
      <c r="SF8" s="31"/>
      <c r="SG8" s="31"/>
      <c r="SH8" s="31"/>
      <c r="SI8" s="31"/>
      <c r="SJ8" s="31"/>
      <c r="SK8" s="31"/>
      <c r="SL8" s="31"/>
      <c r="SM8" s="31"/>
      <c r="SN8" s="31"/>
      <c r="SO8" s="31"/>
      <c r="SP8" s="31"/>
      <c r="SQ8" s="31"/>
      <c r="SR8" s="31"/>
      <c r="SS8" s="31"/>
      <c r="ST8" s="31"/>
      <c r="SU8" s="31"/>
      <c r="SV8" s="31"/>
      <c r="SW8" s="31"/>
      <c r="SX8" s="31"/>
      <c r="SY8" s="31"/>
      <c r="SZ8" s="31"/>
      <c r="TA8" s="31"/>
      <c r="TB8" s="31"/>
      <c r="TC8" s="31"/>
      <c r="TD8" s="31"/>
      <c r="TE8" s="31"/>
      <c r="TF8" s="31"/>
      <c r="TG8" s="31"/>
      <c r="TH8" s="31"/>
      <c r="TI8" s="31"/>
      <c r="TJ8" s="31"/>
      <c r="TK8" s="31"/>
      <c r="TL8" s="31"/>
      <c r="TM8" s="31"/>
      <c r="TN8" s="31"/>
      <c r="TO8" s="31"/>
      <c r="TP8" s="31"/>
      <c r="TQ8" s="31"/>
      <c r="TR8" s="31"/>
      <c r="TS8" s="31"/>
      <c r="TT8" s="31"/>
      <c r="TU8" s="31"/>
      <c r="TV8" s="31"/>
      <c r="TW8" s="31"/>
      <c r="TX8" s="31"/>
      <c r="TY8" s="31"/>
      <c r="TZ8" s="31"/>
      <c r="UA8" s="31"/>
      <c r="UB8" s="31"/>
      <c r="UC8" s="31"/>
      <c r="UD8" s="31"/>
      <c r="UE8" s="31"/>
      <c r="UF8" s="31"/>
      <c r="UG8" s="31"/>
      <c r="UH8" s="31"/>
      <c r="UI8" s="31"/>
      <c r="UJ8" s="31"/>
      <c r="UK8" s="31"/>
      <c r="UL8" s="31"/>
      <c r="UM8" s="31"/>
      <c r="UN8" s="31"/>
      <c r="UO8" s="31"/>
      <c r="UP8" s="31"/>
      <c r="UQ8" s="31"/>
      <c r="UR8" s="31"/>
      <c r="US8" s="31"/>
      <c r="UT8" s="31"/>
      <c r="UU8" s="31"/>
      <c r="UV8" s="31"/>
      <c r="UW8" s="31"/>
      <c r="UX8" s="31"/>
      <c r="UY8" s="31"/>
      <c r="UZ8" s="31"/>
      <c r="VA8" s="31"/>
      <c r="VB8" s="31"/>
      <c r="VC8" s="31"/>
      <c r="VD8" s="31"/>
      <c r="VE8" s="31"/>
      <c r="VF8" s="31"/>
      <c r="VG8" s="31"/>
      <c r="VH8" s="31"/>
      <c r="VI8" s="31"/>
      <c r="VJ8" s="31"/>
      <c r="VK8" s="31"/>
      <c r="VL8" s="31"/>
      <c r="VM8" s="31"/>
      <c r="VN8" s="31"/>
      <c r="VO8" s="31"/>
      <c r="VP8" s="31"/>
      <c r="VQ8" s="31"/>
      <c r="VR8" s="31"/>
      <c r="VS8" s="31"/>
      <c r="VT8" s="31"/>
      <c r="VU8" s="31"/>
      <c r="VV8" s="31"/>
      <c r="VW8" s="31"/>
      <c r="VX8" s="31"/>
      <c r="VY8" s="31"/>
      <c r="VZ8" s="31"/>
      <c r="WA8" s="31"/>
      <c r="WB8" s="31"/>
      <c r="WC8" s="31"/>
      <c r="WD8" s="31"/>
      <c r="WE8" s="31"/>
      <c r="WF8" s="31"/>
      <c r="WG8" s="31"/>
      <c r="WH8" s="31"/>
      <c r="WI8" s="31"/>
      <c r="WJ8" s="31"/>
      <c r="WK8" s="31"/>
      <c r="WL8" s="31"/>
      <c r="WM8" s="31"/>
      <c r="WN8" s="31"/>
      <c r="WO8" s="31"/>
      <c r="WP8" s="31"/>
      <c r="WQ8" s="31"/>
      <c r="WR8" s="31"/>
      <c r="WS8" s="31"/>
      <c r="WT8" s="31"/>
      <c r="WU8" s="31"/>
      <c r="WV8" s="31"/>
      <c r="WW8" s="31"/>
      <c r="WX8" s="31"/>
      <c r="WY8" s="31"/>
      <c r="WZ8" s="31"/>
      <c r="XA8" s="31"/>
      <c r="XB8" s="31"/>
      <c r="XC8" s="31"/>
      <c r="XD8" s="31"/>
      <c r="XE8" s="31"/>
      <c r="XF8" s="31"/>
      <c r="XG8" s="31"/>
      <c r="XH8" s="31"/>
      <c r="XI8" s="31"/>
      <c r="XJ8" s="31"/>
      <c r="XK8" s="31"/>
      <c r="XL8" s="31"/>
      <c r="XM8" s="31"/>
      <c r="XN8" s="31"/>
      <c r="XO8" s="31"/>
      <c r="XP8" s="31"/>
      <c r="XQ8" s="31"/>
      <c r="XR8" s="31"/>
      <c r="XS8" s="31"/>
      <c r="XT8" s="31"/>
      <c r="XU8" s="31"/>
      <c r="XV8" s="31"/>
      <c r="XW8" s="31"/>
      <c r="XX8" s="31"/>
      <c r="XY8" s="31"/>
      <c r="XZ8" s="31"/>
      <c r="YA8" s="31"/>
      <c r="YB8" s="31"/>
      <c r="YC8" s="31"/>
      <c r="YD8" s="31"/>
      <c r="YE8" s="31"/>
      <c r="YF8" s="31"/>
      <c r="YG8" s="31"/>
      <c r="YH8" s="31"/>
      <c r="YI8" s="31"/>
      <c r="YJ8" s="31"/>
      <c r="YK8" s="31"/>
      <c r="YL8" s="31"/>
      <c r="YM8" s="31"/>
      <c r="YN8" s="31"/>
      <c r="YO8" s="31"/>
      <c r="YP8" s="31"/>
      <c r="YQ8" s="31"/>
      <c r="YR8" s="31"/>
      <c r="YS8" s="31"/>
      <c r="YT8" s="31"/>
      <c r="YU8" s="31"/>
      <c r="YV8" s="31"/>
      <c r="YW8" s="31"/>
      <c r="YX8" s="31"/>
      <c r="YY8" s="31"/>
      <c r="YZ8" s="31"/>
      <c r="ZA8" s="31"/>
      <c r="ZB8" s="31"/>
      <c r="ZC8" s="31"/>
      <c r="ZD8" s="31"/>
      <c r="ZE8" s="31"/>
      <c r="ZF8" s="31"/>
      <c r="ZG8" s="31"/>
      <c r="ZH8" s="31"/>
      <c r="ZI8" s="31"/>
      <c r="ZJ8" s="31"/>
      <c r="ZK8" s="31"/>
      <c r="ZL8" s="31"/>
      <c r="ZM8" s="31"/>
      <c r="ZN8" s="31"/>
      <c r="ZO8" s="31"/>
      <c r="ZP8" s="31"/>
      <c r="ZQ8" s="31"/>
      <c r="ZR8" s="31"/>
      <c r="ZS8" s="31"/>
      <c r="ZT8" s="31"/>
      <c r="ZU8" s="31"/>
      <c r="ZV8" s="31"/>
      <c r="ZW8" s="31"/>
      <c r="ZX8" s="31"/>
      <c r="ZY8" s="31"/>
      <c r="ZZ8" s="31"/>
      <c r="AAA8" s="31"/>
      <c r="AAB8" s="31"/>
      <c r="AAC8" s="31"/>
      <c r="AAD8" s="31"/>
      <c r="AAE8" s="31"/>
      <c r="AAF8" s="31"/>
      <c r="AAG8" s="31"/>
      <c r="AAH8" s="31"/>
      <c r="AAI8" s="31"/>
      <c r="AAJ8" s="31"/>
      <c r="AAK8" s="31"/>
      <c r="AAL8" s="31"/>
      <c r="AAM8" s="31"/>
      <c r="AAN8" s="31"/>
      <c r="AAO8" s="31"/>
      <c r="AAP8" s="31"/>
      <c r="AAQ8" s="31"/>
      <c r="AAR8" s="31"/>
      <c r="AAS8" s="31"/>
      <c r="AAT8" s="31"/>
      <c r="AAU8" s="31"/>
      <c r="AAV8" s="31"/>
      <c r="AAW8" s="31"/>
      <c r="AAX8" s="31"/>
      <c r="AAY8" s="31"/>
      <c r="AAZ8" s="31"/>
      <c r="ABA8" s="31"/>
      <c r="ABB8" s="31"/>
      <c r="ABC8" s="31"/>
      <c r="ABD8" s="31"/>
      <c r="ABE8" s="31"/>
      <c r="ABF8" s="31"/>
      <c r="ABG8" s="31"/>
      <c r="ABH8" s="31"/>
      <c r="ABI8" s="31"/>
      <c r="ABJ8" s="31"/>
      <c r="ABK8" s="31"/>
      <c r="ABL8" s="31"/>
      <c r="ABM8" s="31"/>
      <c r="ABN8" s="31"/>
      <c r="ABO8" s="31"/>
      <c r="ABP8" s="31"/>
      <c r="ABQ8" s="31"/>
      <c r="ABR8" s="31"/>
      <c r="ABS8" s="31"/>
      <c r="ABT8" s="31"/>
      <c r="ABU8" s="31"/>
      <c r="ABV8" s="31"/>
      <c r="ABW8" s="31"/>
      <c r="ABX8" s="31"/>
      <c r="ABY8" s="31"/>
      <c r="ABZ8" s="31"/>
      <c r="ACA8" s="31"/>
      <c r="ACB8" s="31"/>
      <c r="ACC8" s="31"/>
      <c r="ACD8" s="31"/>
      <c r="ACE8" s="31"/>
      <c r="ACF8" s="31"/>
      <c r="ACG8" s="31"/>
      <c r="ACH8" s="31"/>
      <c r="ACI8" s="31"/>
      <c r="ACJ8" s="31"/>
      <c r="ACK8" s="31"/>
      <c r="ACL8" s="31"/>
      <c r="ACM8" s="31"/>
      <c r="ACN8" s="31"/>
      <c r="ACO8" s="31"/>
      <c r="ACP8" s="31"/>
      <c r="ACQ8" s="31"/>
      <c r="ACR8" s="31"/>
      <c r="ACS8" s="31"/>
      <c r="ACT8" s="31"/>
      <c r="ACU8" s="31"/>
      <c r="ACV8" s="31"/>
      <c r="ACW8" s="31"/>
      <c r="ACX8" s="31"/>
      <c r="ACY8" s="31"/>
      <c r="ACZ8" s="31"/>
      <c r="ADA8" s="31"/>
      <c r="ADB8" s="31"/>
      <c r="ADC8" s="31"/>
      <c r="ADD8" s="31"/>
      <c r="ADE8" s="31"/>
      <c r="ADF8" s="31"/>
      <c r="ADG8" s="31"/>
      <c r="ADH8" s="31"/>
      <c r="ADI8" s="31"/>
      <c r="ADJ8" s="31"/>
      <c r="ADK8" s="31"/>
      <c r="ADL8" s="31"/>
      <c r="ADM8" s="31"/>
      <c r="ADN8" s="31"/>
      <c r="ADO8" s="31"/>
      <c r="ADP8" s="31"/>
      <c r="ADQ8" s="31"/>
      <c r="ADR8" s="31"/>
      <c r="ADS8" s="31"/>
      <c r="ADT8" s="31"/>
      <c r="ADU8" s="31"/>
      <c r="ADV8" s="31"/>
      <c r="ADW8" s="31"/>
      <c r="ADX8" s="31"/>
      <c r="ADY8" s="31"/>
      <c r="ADZ8" s="31"/>
      <c r="AEA8" s="31"/>
      <c r="AEB8" s="31"/>
      <c r="AEC8" s="31"/>
      <c r="AED8" s="31"/>
      <c r="AEE8" s="31"/>
      <c r="AEF8" s="31"/>
      <c r="AEG8" s="31"/>
      <c r="AEH8" s="31"/>
      <c r="AEI8" s="31"/>
      <c r="AEJ8" s="31"/>
      <c r="AEK8" s="31"/>
      <c r="AEL8" s="31"/>
      <c r="AEM8" s="31"/>
      <c r="AEN8" s="31"/>
      <c r="AEO8" s="31"/>
      <c r="AEP8" s="31"/>
      <c r="AEQ8" s="31"/>
      <c r="AER8" s="31"/>
      <c r="AES8" s="31"/>
      <c r="AET8" s="31"/>
      <c r="AEU8" s="31"/>
      <c r="AEV8" s="31"/>
      <c r="AEW8" s="31"/>
      <c r="AEX8" s="31"/>
      <c r="AEY8" s="31"/>
      <c r="AEZ8" s="31"/>
      <c r="AFA8" s="31"/>
      <c r="AFB8" s="31"/>
      <c r="AFC8" s="31"/>
      <c r="AFD8" s="31"/>
      <c r="AFE8" s="31"/>
      <c r="AFF8" s="31"/>
      <c r="AFG8" s="31"/>
      <c r="AFH8" s="31"/>
      <c r="AFI8" s="31"/>
      <c r="AFJ8" s="31"/>
      <c r="AFK8" s="31"/>
      <c r="AFL8" s="31"/>
      <c r="AFM8" s="31"/>
      <c r="AFN8" s="31"/>
      <c r="AFO8" s="31"/>
      <c r="AFP8" s="31"/>
      <c r="AFQ8" s="31"/>
      <c r="AFR8" s="31"/>
      <c r="AFS8" s="31"/>
      <c r="AFT8" s="31"/>
      <c r="AFU8" s="31"/>
      <c r="AFV8" s="31"/>
      <c r="AFW8" s="31"/>
      <c r="AFX8" s="31"/>
      <c r="AFY8" s="31"/>
      <c r="AFZ8" s="31"/>
      <c r="AGA8" s="31"/>
      <c r="AGB8" s="31"/>
      <c r="AGC8" s="31"/>
      <c r="AGD8" s="31"/>
      <c r="AGE8" s="31"/>
      <c r="AGF8" s="31"/>
      <c r="AGG8" s="31"/>
      <c r="AGH8" s="31"/>
      <c r="AGI8" s="31"/>
      <c r="AGJ8" s="31"/>
      <c r="AGK8" s="31"/>
      <c r="AGL8" s="31"/>
      <c r="AGM8" s="31"/>
      <c r="AGN8" s="31"/>
      <c r="AGO8" s="31"/>
      <c r="AGP8" s="31"/>
      <c r="AGQ8" s="31"/>
      <c r="AGR8" s="31"/>
      <c r="AGS8" s="31"/>
      <c r="AGT8" s="31"/>
      <c r="AGU8" s="31"/>
      <c r="AGV8" s="31"/>
      <c r="AGW8" s="31"/>
      <c r="AGX8" s="31"/>
      <c r="AGY8" s="31"/>
      <c r="AGZ8" s="31"/>
      <c r="AHA8" s="31"/>
      <c r="AHB8" s="31"/>
      <c r="AHC8" s="31"/>
      <c r="AHD8" s="31"/>
      <c r="AHE8" s="31"/>
      <c r="AHF8" s="31"/>
      <c r="AHG8" s="31"/>
      <c r="AHH8" s="31"/>
      <c r="AHI8" s="31"/>
      <c r="AHJ8" s="31"/>
      <c r="AHK8" s="31"/>
      <c r="AHL8" s="31"/>
      <c r="AHM8" s="31"/>
      <c r="AHN8" s="31"/>
      <c r="AHO8" s="31"/>
      <c r="AHP8" s="31"/>
      <c r="AHQ8" s="31"/>
      <c r="AHR8" s="31"/>
      <c r="AHS8" s="31"/>
      <c r="AHT8" s="31"/>
      <c r="AHU8" s="31"/>
      <c r="AHV8" s="31"/>
      <c r="AHW8" s="31"/>
      <c r="AHX8" s="31"/>
      <c r="AHY8" s="31"/>
      <c r="AHZ8" s="31"/>
      <c r="AIA8" s="31"/>
      <c r="AIB8" s="31"/>
      <c r="AIC8" s="31"/>
      <c r="AID8" s="31"/>
      <c r="AIE8" s="31"/>
      <c r="AIF8" s="31"/>
      <c r="AIG8" s="31"/>
      <c r="AIH8" s="31"/>
      <c r="AII8" s="31"/>
      <c r="AIJ8" s="31"/>
      <c r="AIK8" s="31"/>
      <c r="AIL8" s="31"/>
      <c r="AIM8" s="31"/>
      <c r="AIN8" s="31"/>
      <c r="AIO8" s="31"/>
      <c r="AIP8" s="31"/>
      <c r="AIQ8" s="31"/>
      <c r="AIR8" s="31"/>
      <c r="AIS8" s="31"/>
      <c r="AIT8" s="31"/>
      <c r="AIU8" s="31"/>
      <c r="AIV8" s="31"/>
      <c r="AIW8" s="31"/>
      <c r="AIX8" s="31"/>
      <c r="AIY8" s="31"/>
      <c r="AIZ8" s="31"/>
      <c r="AJA8" s="31"/>
      <c r="AJB8" s="31"/>
      <c r="AJC8" s="31"/>
      <c r="AJD8" s="31"/>
      <c r="AJE8" s="31"/>
      <c r="AJF8" s="31"/>
      <c r="AJG8" s="31"/>
      <c r="AJH8" s="31"/>
      <c r="AJI8" s="31"/>
      <c r="AJJ8" s="31"/>
      <c r="AJK8" s="31"/>
      <c r="AJL8" s="31"/>
      <c r="AJM8" s="31"/>
      <c r="AJN8" s="31"/>
      <c r="AJO8" s="31"/>
      <c r="AJP8" s="31"/>
      <c r="AJQ8" s="31"/>
      <c r="AJR8" s="31"/>
      <c r="AJS8" s="31"/>
      <c r="AJT8" s="31"/>
      <c r="AJU8" s="31"/>
      <c r="AJV8" s="31"/>
      <c r="AJW8" s="31"/>
      <c r="AJX8" s="31"/>
      <c r="AJY8" s="31"/>
      <c r="AJZ8" s="31"/>
      <c r="AKA8" s="31"/>
      <c r="AKB8" s="31"/>
      <c r="AKC8" s="31"/>
      <c r="AKD8" s="31"/>
      <c r="AKE8" s="31"/>
      <c r="AKF8" s="31"/>
      <c r="AKG8" s="31"/>
      <c r="AKH8" s="31"/>
      <c r="AKI8" s="31"/>
      <c r="AKJ8" s="31"/>
      <c r="AKK8" s="31"/>
      <c r="AKL8" s="31"/>
      <c r="AKM8" s="31"/>
      <c r="AKN8" s="31"/>
      <c r="AKO8" s="31"/>
      <c r="AKP8" s="31"/>
      <c r="AKQ8" s="31"/>
      <c r="AKR8" s="31"/>
      <c r="AKS8" s="31"/>
      <c r="AKT8" s="31"/>
      <c r="AKU8" s="31"/>
      <c r="AKV8" s="31"/>
      <c r="AKW8" s="31"/>
      <c r="AKX8" s="31"/>
      <c r="AKY8" s="31"/>
      <c r="AKZ8" s="31"/>
      <c r="ALA8" s="31"/>
      <c r="ALB8" s="31"/>
      <c r="ALC8" s="31"/>
      <c r="ALD8" s="31"/>
      <c r="ALE8" s="31"/>
      <c r="ALF8" s="31"/>
      <c r="ALG8" s="31"/>
      <c r="ALH8" s="31"/>
      <c r="ALI8" s="31"/>
      <c r="ALJ8" s="31"/>
      <c r="ALK8" s="31"/>
      <c r="ALL8" s="31"/>
      <c r="ALM8" s="31"/>
      <c r="ALN8" s="31"/>
      <c r="ALO8" s="31"/>
      <c r="ALP8" s="31"/>
      <c r="ALQ8" s="31"/>
      <c r="ALR8" s="31"/>
      <c r="ALS8" s="31"/>
      <c r="ALT8" s="31"/>
      <c r="ALU8" s="31"/>
      <c r="ALV8" s="31"/>
      <c r="ALW8" s="31"/>
      <c r="ALX8" s="31"/>
      <c r="ALY8" s="31"/>
      <c r="ALZ8" s="31"/>
      <c r="AMA8" s="31"/>
      <c r="AMB8" s="31"/>
      <c r="AMC8" s="31"/>
      <c r="AMD8" s="31"/>
      <c r="AME8" s="31"/>
      <c r="AMF8" s="31"/>
      <c r="AMG8" s="31"/>
      <c r="AMH8" s="31"/>
      <c r="AMI8" s="31"/>
      <c r="AMJ8" s="31"/>
      <c r="AMK8" s="31"/>
      <c r="AML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88348928-B33D-4E78-92DC-5068F80A662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8F22C265-43AB-495F-8BE2-A2105BE46EAC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2AE4CC00-14BE-4A75-B785-8F21AA3F0A20}">
          <x14:formula1>
            <xm:f>CheckAllocatedGroups!$4:$4</xm:f>
          </x14:formula1>
          <xm:sqref>E3</xm:sqref>
        </x14:dataValidation>
      </x14:dataValidations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AML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6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125</v>
      </c>
      <c r="D3" s="5" t="s">
        <v>9</v>
      </c>
      <c r="E3" s="22" t="s">
        <v>126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105</v>
      </c>
      <c r="B6" s="30"/>
      <c r="C6" s="32" t="s">
        <v>27</v>
      </c>
      <c r="D6" s="37">
        <v>-600</v>
      </c>
      <c r="E6" s="32" t="s">
        <v>58</v>
      </c>
      <c r="F6" s="32" t="s">
        <v>65</v>
      </c>
      <c r="G6" s="33">
        <v>20</v>
      </c>
      <c r="H6" s="32" t="s">
        <v>127</v>
      </c>
      <c r="I6" s="33">
        <v>-12000</v>
      </c>
      <c r="J6" s="31"/>
      <c r="K6" s="33">
        <v>-12000</v>
      </c>
      <c r="L6" s="33">
        <v>12000</v>
      </c>
      <c r="M6" s="33">
        <v>12200</v>
      </c>
      <c r="N6" s="31"/>
      <c r="O6" s="32" t="s">
        <v>113</v>
      </c>
      <c r="P6" s="31" t="s">
        <v>128</v>
      </c>
      <c r="Q6" s="31"/>
      <c r="R6" s="31" t="s">
        <v>129</v>
      </c>
      <c r="S6" s="31" t="s">
        <v>117</v>
      </c>
      <c r="T6" s="31" t="s">
        <v>108</v>
      </c>
      <c r="U6" s="31" t="s">
        <v>119</v>
      </c>
      <c r="V6" s="31" t="s">
        <v>114</v>
      </c>
      <c r="W6" s="31" t="s">
        <v>45</v>
      </c>
      <c r="X6" s="50">
        <v>1</v>
      </c>
      <c r="Y6" s="50">
        <v>1</v>
      </c>
      <c r="Z6" s="31"/>
      <c r="AA6" s="31"/>
      <c r="AB6" s="31"/>
      <c r="AC6" s="31"/>
      <c r="AD6" s="50">
        <v>-12000</v>
      </c>
      <c r="AE6" s="50">
        <v>-12000</v>
      </c>
      <c r="AF6" s="50">
        <v>-600</v>
      </c>
      <c r="AG6" s="50">
        <v>-12000</v>
      </c>
      <c r="AH6" s="50">
        <v>-12000</v>
      </c>
      <c r="AI6" s="50">
        <v>-12000</v>
      </c>
      <c r="AJ6" s="31"/>
      <c r="AK6" s="31"/>
      <c r="AL6" s="50">
        <v>1</v>
      </c>
      <c r="AM6" s="50">
        <v>1</v>
      </c>
      <c r="AN6" s="31" t="s">
        <v>34</v>
      </c>
      <c r="AO6" s="31"/>
      <c r="AP6" s="31" t="s">
        <v>127</v>
      </c>
      <c r="AQ6" s="31" t="s">
        <v>27</v>
      </c>
      <c r="AR6" s="50">
        <v>20</v>
      </c>
      <c r="AS6" s="50">
        <v>-1</v>
      </c>
      <c r="AT6" s="31"/>
      <c r="AU6" s="31"/>
      <c r="AV6" s="50">
        <v>1</v>
      </c>
      <c r="AW6" s="31"/>
      <c r="AX6" s="31"/>
      <c r="AY6" s="31"/>
      <c r="AZ6" s="50">
        <v>-12000</v>
      </c>
      <c r="BA6" s="50">
        <v>0</v>
      </c>
      <c r="BB6" s="31"/>
      <c r="BC6" s="50">
        <v>1</v>
      </c>
      <c r="BD6" s="50">
        <v>12000</v>
      </c>
      <c r="BE6" s="31" t="s">
        <v>108</v>
      </c>
      <c r="BF6" s="31" t="s">
        <v>130</v>
      </c>
      <c r="BG6" s="31" t="s">
        <v>131</v>
      </c>
      <c r="BH6" s="31" t="s">
        <v>128</v>
      </c>
      <c r="BI6" s="31" t="s">
        <v>132</v>
      </c>
      <c r="BJ6" s="31"/>
      <c r="BK6" s="31"/>
      <c r="BL6" s="31"/>
      <c r="BM6" s="31"/>
      <c r="BN6" s="31"/>
      <c r="BO6" s="50">
        <v>12000</v>
      </c>
      <c r="BP6" s="31"/>
      <c r="BQ6" s="31" t="s">
        <v>120</v>
      </c>
      <c r="BR6" s="31" t="s">
        <v>111</v>
      </c>
      <c r="BS6" s="31"/>
      <c r="BT6" s="31"/>
      <c r="BU6" s="31" t="s">
        <v>108</v>
      </c>
      <c r="BV6" s="31"/>
      <c r="BW6" s="31"/>
      <c r="BX6" s="50">
        <v>12000</v>
      </c>
      <c r="BY6" s="50">
        <v>12000</v>
      </c>
      <c r="BZ6" s="50">
        <v>20</v>
      </c>
      <c r="CA6" s="50">
        <v>20</v>
      </c>
      <c r="CB6" s="31"/>
      <c r="CC6" s="31"/>
      <c r="CD6" s="31"/>
      <c r="CE6" s="31"/>
      <c r="CF6" s="31"/>
      <c r="CG6" s="31"/>
      <c r="CH6" s="31"/>
      <c r="CI6" s="31"/>
      <c r="CJ6" s="31"/>
      <c r="CK6" s="51" t="b">
        <v>0</v>
      </c>
      <c r="CL6" s="31"/>
      <c r="CM6" s="31"/>
      <c r="CN6" s="31"/>
      <c r="CO6" s="31"/>
      <c r="CP6" s="31"/>
      <c r="CQ6" s="31"/>
      <c r="CR6" s="31"/>
      <c r="CS6" s="50">
        <v>20</v>
      </c>
      <c r="CT6" s="31"/>
      <c r="CU6" s="31"/>
      <c r="CV6" s="31"/>
      <c r="CW6" s="31"/>
      <c r="CX6" s="31"/>
      <c r="CY6" s="31" t="s">
        <v>133</v>
      </c>
      <c r="CZ6" s="31" t="s">
        <v>134</v>
      </c>
      <c r="DA6" s="50">
        <v>12000</v>
      </c>
      <c r="DB6" s="31"/>
      <c r="DC6" s="31"/>
      <c r="DD6" s="50">
        <v>-600</v>
      </c>
      <c r="DE6" s="31"/>
      <c r="DF6" s="31"/>
      <c r="DG6" s="31"/>
      <c r="DH6" s="31" t="s">
        <v>128</v>
      </c>
      <c r="DI6" s="31"/>
      <c r="DJ6" s="31" t="s">
        <v>34</v>
      </c>
      <c r="DK6" s="31"/>
      <c r="DL6" s="31"/>
      <c r="DM6" s="50">
        <v>1</v>
      </c>
      <c r="DN6" s="50">
        <v>20</v>
      </c>
      <c r="DO6" s="31" t="s">
        <v>135</v>
      </c>
      <c r="DP6" s="31" t="s">
        <v>127</v>
      </c>
      <c r="DQ6" s="31" t="s">
        <v>128</v>
      </c>
      <c r="DR6" s="31" t="s">
        <v>136</v>
      </c>
      <c r="DS6" s="31" t="s">
        <v>128</v>
      </c>
      <c r="DT6" s="31" t="s">
        <v>128</v>
      </c>
      <c r="DU6" s="31" t="s">
        <v>128</v>
      </c>
      <c r="DV6" s="31" t="s">
        <v>128</v>
      </c>
      <c r="DW6" s="31" t="s">
        <v>128</v>
      </c>
      <c r="DX6" s="31" t="s">
        <v>128</v>
      </c>
      <c r="DY6" s="31" t="s">
        <v>128</v>
      </c>
      <c r="DZ6" s="31" t="s">
        <v>113</v>
      </c>
      <c r="EA6" s="31" t="s">
        <v>17</v>
      </c>
      <c r="EB6" s="31" t="s">
        <v>128</v>
      </c>
      <c r="EC6" s="31" t="s">
        <v>128</v>
      </c>
      <c r="ED6" s="31" t="s">
        <v>45</v>
      </c>
      <c r="EE6" s="31" t="s">
        <v>17</v>
      </c>
      <c r="EF6" s="31"/>
      <c r="EG6" s="31"/>
      <c r="EH6" s="31"/>
      <c r="EI6" s="31"/>
      <c r="EJ6" s="31" t="s">
        <v>105</v>
      </c>
      <c r="EK6" s="31" t="s">
        <v>105</v>
      </c>
      <c r="EL6" s="31" t="s">
        <v>105</v>
      </c>
      <c r="EM6" s="31" t="s">
        <v>105</v>
      </c>
      <c r="EN6" s="31" t="s">
        <v>105</v>
      </c>
      <c r="EO6" s="31" t="s">
        <v>105</v>
      </c>
      <c r="EP6" s="31" t="s">
        <v>105</v>
      </c>
      <c r="EQ6" s="31" t="s">
        <v>105</v>
      </c>
      <c r="ER6" s="31" t="s">
        <v>105</v>
      </c>
      <c r="ES6" s="31" t="s">
        <v>105</v>
      </c>
      <c r="ET6" s="31" t="s">
        <v>105</v>
      </c>
      <c r="EU6" s="31" t="s">
        <v>105</v>
      </c>
      <c r="EV6" s="31" t="s">
        <v>105</v>
      </c>
      <c r="EW6" s="31" t="s">
        <v>105</v>
      </c>
      <c r="EX6" s="31" t="s">
        <v>105</v>
      </c>
      <c r="EY6" s="31" t="s">
        <v>105</v>
      </c>
      <c r="EZ6" s="31" t="s">
        <v>105</v>
      </c>
      <c r="FA6" s="31" t="s">
        <v>105</v>
      </c>
      <c r="FB6" s="31" t="s">
        <v>105</v>
      </c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  <c r="AMK6" s="52"/>
      <c r="AML6" s="52"/>
    </row>
    <row r="7" ht="15.75" customHeight="1">
      <c r="A7" s="31" t="s">
        <v>105</v>
      </c>
      <c r="B7" s="31"/>
      <c r="C7" s="32" t="s">
        <v>23</v>
      </c>
      <c r="D7" s="33">
        <v>600</v>
      </c>
      <c r="E7" s="32" t="s">
        <v>58</v>
      </c>
      <c r="F7" s="32" t="s">
        <v>65</v>
      </c>
      <c r="G7" s="33">
        <v>20</v>
      </c>
      <c r="H7" s="32" t="s">
        <v>69</v>
      </c>
      <c r="I7" s="33">
        <v>4800</v>
      </c>
      <c r="J7" s="33">
        <v>-150</v>
      </c>
      <c r="K7" s="33">
        <v>4800</v>
      </c>
      <c r="L7" s="33">
        <v>4800</v>
      </c>
      <c r="M7" s="33">
        <v>5600</v>
      </c>
      <c r="N7" s="33">
        <v>-7200</v>
      </c>
      <c r="O7" s="32" t="s">
        <v>124</v>
      </c>
      <c r="P7" s="31" t="s">
        <v>128</v>
      </c>
      <c r="Q7" s="50">
        <v>-7200</v>
      </c>
      <c r="R7" s="31" t="s">
        <v>129</v>
      </c>
      <c r="S7" s="31" t="s">
        <v>117</v>
      </c>
      <c r="T7" s="31" t="s">
        <v>108</v>
      </c>
      <c r="U7" s="31" t="s">
        <v>119</v>
      </c>
      <c r="V7" s="31" t="s">
        <v>121</v>
      </c>
      <c r="W7" s="31" t="s">
        <v>45</v>
      </c>
      <c r="X7" s="50">
        <v>1</v>
      </c>
      <c r="Y7" s="50">
        <v>1</v>
      </c>
      <c r="Z7" s="31"/>
      <c r="AA7" s="31"/>
      <c r="AB7" s="31"/>
      <c r="AC7" s="31"/>
      <c r="AD7" s="50">
        <v>4800</v>
      </c>
      <c r="AE7" s="50">
        <v>4800</v>
      </c>
      <c r="AF7" s="50">
        <v>600</v>
      </c>
      <c r="AG7" s="50">
        <v>4800</v>
      </c>
      <c r="AH7" s="50">
        <v>4800</v>
      </c>
      <c r="AI7" s="50">
        <v>4800</v>
      </c>
      <c r="AJ7" s="31"/>
      <c r="AK7" s="50">
        <v>-7200</v>
      </c>
      <c r="AL7" s="50">
        <v>1</v>
      </c>
      <c r="AM7" s="50">
        <v>1</v>
      </c>
      <c r="AN7" s="31" t="s">
        <v>32</v>
      </c>
      <c r="AO7" s="31"/>
      <c r="AP7" s="31" t="s">
        <v>69</v>
      </c>
      <c r="AQ7" s="31" t="s">
        <v>23</v>
      </c>
      <c r="AR7" s="50">
        <v>8</v>
      </c>
      <c r="AS7" s="50">
        <v>1</v>
      </c>
      <c r="AT7" s="31"/>
      <c r="AU7" s="31"/>
      <c r="AV7" s="50">
        <v>1</v>
      </c>
      <c r="AW7" s="50">
        <v>-7200</v>
      </c>
      <c r="AX7" s="31"/>
      <c r="AY7" s="31"/>
      <c r="AZ7" s="50">
        <v>4800</v>
      </c>
      <c r="BA7" s="50">
        <v>-60</v>
      </c>
      <c r="BB7" s="31"/>
      <c r="BC7" s="50">
        <v>1</v>
      </c>
      <c r="BD7" s="50">
        <v>-12000</v>
      </c>
      <c r="BE7" s="31" t="s">
        <v>108</v>
      </c>
      <c r="BF7" s="31" t="s">
        <v>130</v>
      </c>
      <c r="BG7" s="31" t="s">
        <v>137</v>
      </c>
      <c r="BH7" s="31" t="s">
        <v>138</v>
      </c>
      <c r="BI7" s="31" t="s">
        <v>132</v>
      </c>
      <c r="BJ7" s="31"/>
      <c r="BK7" s="31"/>
      <c r="BL7" s="31"/>
      <c r="BM7" s="31"/>
      <c r="BN7" s="31"/>
      <c r="BO7" s="50">
        <v>-12000</v>
      </c>
      <c r="BP7" s="31"/>
      <c r="BQ7" s="31" t="s">
        <v>120</v>
      </c>
      <c r="BR7" s="31" t="s">
        <v>111</v>
      </c>
      <c r="BS7" s="31"/>
      <c r="BT7" s="31"/>
      <c r="BU7" s="31" t="s">
        <v>108</v>
      </c>
      <c r="BV7" s="31"/>
      <c r="BW7" s="31"/>
      <c r="BX7" s="50">
        <v>4800</v>
      </c>
      <c r="BY7" s="50">
        <v>4800</v>
      </c>
      <c r="BZ7" s="50">
        <v>8</v>
      </c>
      <c r="CA7" s="50">
        <v>8</v>
      </c>
      <c r="CB7" s="31"/>
      <c r="CC7" s="31"/>
      <c r="CD7" s="50">
        <v>-7200</v>
      </c>
      <c r="CE7" s="31"/>
      <c r="CF7" s="31"/>
      <c r="CG7" s="50">
        <v>-7200</v>
      </c>
      <c r="CH7" s="50">
        <v>-60</v>
      </c>
      <c r="CI7" s="31"/>
      <c r="CJ7" s="31"/>
      <c r="CK7" s="51" t="b">
        <v>0</v>
      </c>
      <c r="CL7" s="31"/>
      <c r="CM7" s="31"/>
      <c r="CN7" s="31"/>
      <c r="CO7" s="31"/>
      <c r="CP7" s="31"/>
      <c r="CQ7" s="31"/>
      <c r="CR7" s="31"/>
      <c r="CS7" s="50">
        <v>20</v>
      </c>
      <c r="CT7" s="31"/>
      <c r="CU7" s="31"/>
      <c r="CV7" s="31"/>
      <c r="CW7" s="31"/>
      <c r="CX7" s="31"/>
      <c r="CY7" s="31" t="s">
        <v>133</v>
      </c>
      <c r="CZ7" s="31" t="s">
        <v>134</v>
      </c>
      <c r="DA7" s="50">
        <v>4800</v>
      </c>
      <c r="DB7" s="50">
        <v>-150</v>
      </c>
      <c r="DC7" s="31"/>
      <c r="DD7" s="50">
        <v>600</v>
      </c>
      <c r="DE7" s="31"/>
      <c r="DF7" s="31"/>
      <c r="DG7" s="31"/>
      <c r="DH7" s="31" t="s">
        <v>128</v>
      </c>
      <c r="DI7" s="31"/>
      <c r="DJ7" s="31" t="s">
        <v>32</v>
      </c>
      <c r="DK7" s="31"/>
      <c r="DL7" s="31"/>
      <c r="DM7" s="50">
        <v>1</v>
      </c>
      <c r="DN7" s="50">
        <v>8</v>
      </c>
      <c r="DO7" s="31" t="s">
        <v>139</v>
      </c>
      <c r="DP7" s="31" t="s">
        <v>69</v>
      </c>
      <c r="DQ7" s="31" t="s">
        <v>128</v>
      </c>
      <c r="DR7" s="31" t="s">
        <v>136</v>
      </c>
      <c r="DS7" s="31" t="s">
        <v>128</v>
      </c>
      <c r="DT7" s="31" t="s">
        <v>128</v>
      </c>
      <c r="DU7" s="31" t="s">
        <v>128</v>
      </c>
      <c r="DV7" s="31" t="s">
        <v>128</v>
      </c>
      <c r="DW7" s="31" t="s">
        <v>128</v>
      </c>
      <c r="DX7" s="31" t="s">
        <v>128</v>
      </c>
      <c r="DY7" s="31" t="s">
        <v>128</v>
      </c>
      <c r="DZ7" s="31" t="s">
        <v>124</v>
      </c>
      <c r="EA7" s="31" t="s">
        <v>17</v>
      </c>
      <c r="EB7" s="31" t="s">
        <v>128</v>
      </c>
      <c r="EC7" s="31" t="s">
        <v>128</v>
      </c>
      <c r="ED7" s="31" t="s">
        <v>45</v>
      </c>
      <c r="EE7" s="31" t="s">
        <v>17</v>
      </c>
      <c r="EF7" s="31"/>
      <c r="EG7" s="31"/>
      <c r="EH7" s="31"/>
      <c r="EI7" s="31"/>
      <c r="EJ7" s="31" t="s">
        <v>105</v>
      </c>
      <c r="EK7" s="31" t="s">
        <v>105</v>
      </c>
      <c r="EL7" s="31" t="s">
        <v>105</v>
      </c>
      <c r="EM7" s="31" t="s">
        <v>105</v>
      </c>
      <c r="EN7" s="31" t="s">
        <v>105</v>
      </c>
      <c r="EO7" s="31" t="s">
        <v>105</v>
      </c>
      <c r="EP7" s="31" t="s">
        <v>105</v>
      </c>
      <c r="EQ7" s="31" t="s">
        <v>105</v>
      </c>
      <c r="ER7" s="31" t="s">
        <v>105</v>
      </c>
      <c r="ES7" s="31" t="s">
        <v>105</v>
      </c>
      <c r="ET7" s="31" t="s">
        <v>105</v>
      </c>
      <c r="EU7" s="31" t="s">
        <v>105</v>
      </c>
      <c r="EV7" s="31" t="s">
        <v>105</v>
      </c>
      <c r="EW7" s="31" t="s">
        <v>105</v>
      </c>
      <c r="EX7" s="31" t="s">
        <v>105</v>
      </c>
      <c r="EY7" s="31" t="s">
        <v>105</v>
      </c>
      <c r="EZ7" s="31" t="s">
        <v>105</v>
      </c>
      <c r="FA7" s="31" t="s">
        <v>105</v>
      </c>
      <c r="FB7" s="31" t="s">
        <v>105</v>
      </c>
      <c r="FC7" s="31"/>
      <c r="FD7" s="31"/>
      <c r="FE7" s="31"/>
      <c r="FF7" s="31"/>
      <c r="FG7" s="31"/>
      <c r="FH7" s="31"/>
      <c r="FI7" s="31"/>
      <c r="FJ7" s="31"/>
      <c r="FK7" s="31"/>
      <c r="FL7" s="31"/>
      <c r="FM7" s="31"/>
      <c r="FN7" s="31"/>
      <c r="FO7" s="31"/>
      <c r="FP7" s="31"/>
      <c r="FQ7" s="31"/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J7" s="52"/>
      <c r="JK7" s="52"/>
      <c r="JL7" s="52"/>
      <c r="JM7" s="52"/>
      <c r="JN7" s="52"/>
      <c r="JO7" s="52"/>
      <c r="JP7" s="52"/>
      <c r="JQ7" s="52"/>
      <c r="JR7" s="52"/>
      <c r="JS7" s="52"/>
      <c r="JT7" s="52"/>
      <c r="JU7" s="52"/>
      <c r="JV7" s="52"/>
      <c r="JW7" s="52"/>
      <c r="JX7" s="52"/>
      <c r="JY7" s="52"/>
      <c r="JZ7" s="52"/>
      <c r="KA7" s="52"/>
      <c r="KB7" s="52"/>
      <c r="KC7" s="52"/>
      <c r="KD7" s="52"/>
      <c r="KE7" s="52"/>
      <c r="KF7" s="52"/>
      <c r="KG7" s="52"/>
      <c r="KH7" s="52"/>
      <c r="KI7" s="52"/>
      <c r="KJ7" s="52"/>
      <c r="KK7" s="52"/>
      <c r="KL7" s="52"/>
      <c r="KM7" s="52"/>
      <c r="KN7" s="52"/>
      <c r="KO7" s="52"/>
      <c r="KP7" s="52"/>
      <c r="KQ7" s="52"/>
      <c r="KR7" s="52"/>
      <c r="KS7" s="52"/>
      <c r="KT7" s="52"/>
      <c r="KU7" s="52"/>
      <c r="KV7" s="52"/>
      <c r="KW7" s="52"/>
      <c r="KX7" s="52"/>
      <c r="KY7" s="52"/>
      <c r="KZ7" s="52"/>
      <c r="LA7" s="52"/>
      <c r="LB7" s="52"/>
      <c r="LC7" s="52"/>
      <c r="LD7" s="52"/>
      <c r="LE7" s="52"/>
      <c r="LF7" s="52"/>
      <c r="LG7" s="52"/>
      <c r="LH7" s="52"/>
      <c r="LI7" s="52"/>
      <c r="LJ7" s="52"/>
      <c r="LK7" s="52"/>
      <c r="LL7" s="52"/>
      <c r="LM7" s="52"/>
      <c r="LN7" s="52"/>
      <c r="LO7" s="52"/>
      <c r="LP7" s="52"/>
      <c r="LQ7" s="52"/>
      <c r="LR7" s="52"/>
      <c r="LS7" s="52"/>
      <c r="LT7" s="52"/>
      <c r="LU7" s="52"/>
      <c r="LV7" s="52"/>
      <c r="LW7" s="52"/>
      <c r="LX7" s="52"/>
      <c r="LY7" s="52"/>
      <c r="LZ7" s="52"/>
      <c r="MA7" s="52"/>
      <c r="MB7" s="52"/>
      <c r="MC7" s="52"/>
      <c r="MD7" s="52"/>
      <c r="ME7" s="52"/>
      <c r="MF7" s="52"/>
      <c r="MG7" s="52"/>
      <c r="MH7" s="52"/>
      <c r="MI7" s="52"/>
      <c r="MJ7" s="52"/>
      <c r="MK7" s="52"/>
      <c r="ML7" s="52"/>
      <c r="MM7" s="52"/>
      <c r="MN7" s="52"/>
      <c r="MO7" s="52"/>
      <c r="MP7" s="52"/>
      <c r="MQ7" s="52"/>
      <c r="MR7" s="52"/>
      <c r="MS7" s="52"/>
      <c r="MT7" s="52"/>
      <c r="MU7" s="52"/>
      <c r="MV7" s="52"/>
      <c r="MW7" s="52"/>
      <c r="MX7" s="52"/>
      <c r="MY7" s="52"/>
      <c r="MZ7" s="52"/>
      <c r="NA7" s="52"/>
      <c r="NB7" s="52"/>
      <c r="NC7" s="52"/>
      <c r="ND7" s="52"/>
      <c r="NE7" s="52"/>
      <c r="NF7" s="52"/>
      <c r="NG7" s="52"/>
      <c r="NH7" s="52"/>
      <c r="NI7" s="52"/>
      <c r="NJ7" s="52"/>
      <c r="NK7" s="52"/>
      <c r="NL7" s="52"/>
      <c r="NM7" s="52"/>
      <c r="NN7" s="52"/>
      <c r="NO7" s="52"/>
      <c r="NP7" s="52"/>
      <c r="NQ7" s="52"/>
      <c r="NR7" s="52"/>
      <c r="NS7" s="52"/>
      <c r="NT7" s="52"/>
      <c r="NU7" s="52"/>
      <c r="NV7" s="52"/>
      <c r="NW7" s="52"/>
      <c r="NX7" s="52"/>
      <c r="NY7" s="52"/>
      <c r="NZ7" s="52"/>
      <c r="OA7" s="52"/>
      <c r="OB7" s="52"/>
      <c r="OC7" s="52"/>
      <c r="OD7" s="52"/>
      <c r="OE7" s="52"/>
      <c r="OF7" s="52"/>
      <c r="OG7" s="52"/>
      <c r="OH7" s="52"/>
      <c r="OI7" s="52"/>
      <c r="OJ7" s="52"/>
      <c r="OK7" s="52"/>
      <c r="OL7" s="52"/>
      <c r="OM7" s="52"/>
      <c r="ON7" s="52"/>
      <c r="OO7" s="52"/>
      <c r="OP7" s="52"/>
      <c r="OQ7" s="52"/>
      <c r="OR7" s="52"/>
      <c r="OS7" s="52"/>
      <c r="OT7" s="52"/>
      <c r="OU7" s="52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2"/>
      <c r="PN7" s="52"/>
      <c r="PO7" s="52"/>
      <c r="PP7" s="52"/>
      <c r="PQ7" s="52"/>
      <c r="PR7" s="52"/>
      <c r="PS7" s="52"/>
      <c r="PT7" s="52"/>
      <c r="PU7" s="52"/>
      <c r="PV7" s="52"/>
      <c r="PW7" s="52"/>
      <c r="PX7" s="52"/>
      <c r="PY7" s="52"/>
      <c r="PZ7" s="52"/>
      <c r="QA7" s="52"/>
      <c r="QB7" s="52"/>
      <c r="QC7" s="52"/>
      <c r="QD7" s="52"/>
      <c r="QE7" s="52"/>
      <c r="QF7" s="52"/>
      <c r="QG7" s="52"/>
      <c r="QH7" s="52"/>
      <c r="QI7" s="52"/>
      <c r="QJ7" s="52"/>
      <c r="QK7" s="52"/>
      <c r="QL7" s="52"/>
      <c r="QM7" s="52"/>
      <c r="QN7" s="52"/>
      <c r="QO7" s="52"/>
      <c r="QP7" s="52"/>
      <c r="QQ7" s="52"/>
      <c r="QR7" s="52"/>
      <c r="QS7" s="52"/>
      <c r="QT7" s="52"/>
      <c r="QU7" s="52"/>
      <c r="QV7" s="52"/>
      <c r="QW7" s="52"/>
      <c r="QX7" s="52"/>
      <c r="QY7" s="52"/>
      <c r="QZ7" s="52"/>
      <c r="RA7" s="52"/>
      <c r="RB7" s="52"/>
      <c r="RC7" s="52"/>
      <c r="RD7" s="52"/>
      <c r="RE7" s="52"/>
      <c r="RF7" s="52"/>
      <c r="RG7" s="52"/>
      <c r="RH7" s="52"/>
      <c r="RI7" s="52"/>
      <c r="RJ7" s="52"/>
      <c r="RK7" s="52"/>
      <c r="RL7" s="52"/>
      <c r="RM7" s="52"/>
      <c r="RN7" s="52"/>
      <c r="RO7" s="52"/>
      <c r="RP7" s="52"/>
      <c r="RQ7" s="52"/>
      <c r="RR7" s="52"/>
      <c r="RS7" s="52"/>
      <c r="RT7" s="52"/>
      <c r="RU7" s="52"/>
      <c r="RV7" s="52"/>
      <c r="RW7" s="52"/>
      <c r="RX7" s="52"/>
      <c r="RY7" s="52"/>
      <c r="RZ7" s="52"/>
      <c r="SA7" s="52"/>
      <c r="SB7" s="52"/>
      <c r="SC7" s="52"/>
      <c r="SD7" s="52"/>
      <c r="SE7" s="52"/>
      <c r="SF7" s="52"/>
      <c r="SG7" s="52"/>
      <c r="SH7" s="52"/>
      <c r="SI7" s="52"/>
      <c r="SJ7" s="52"/>
      <c r="SK7" s="52"/>
      <c r="SL7" s="52"/>
      <c r="SM7" s="52"/>
      <c r="SN7" s="52"/>
      <c r="SO7" s="52"/>
      <c r="SP7" s="52"/>
      <c r="SQ7" s="52"/>
      <c r="SR7" s="52"/>
      <c r="SS7" s="52"/>
      <c r="ST7" s="52"/>
      <c r="SU7" s="52"/>
      <c r="SV7" s="52"/>
      <c r="SW7" s="52"/>
      <c r="SX7" s="52"/>
      <c r="SY7" s="52"/>
      <c r="SZ7" s="52"/>
      <c r="TA7" s="52"/>
      <c r="TB7" s="52"/>
      <c r="TC7" s="52"/>
      <c r="TD7" s="52"/>
      <c r="TE7" s="52"/>
      <c r="TF7" s="52"/>
      <c r="TG7" s="52"/>
      <c r="TH7" s="52"/>
      <c r="TI7" s="52"/>
      <c r="TJ7" s="52"/>
      <c r="TK7" s="52"/>
      <c r="TL7" s="52"/>
      <c r="TM7" s="52"/>
      <c r="TN7" s="52"/>
      <c r="TO7" s="52"/>
      <c r="TP7" s="52"/>
      <c r="TQ7" s="52"/>
      <c r="TR7" s="52"/>
      <c r="TS7" s="52"/>
      <c r="TT7" s="52"/>
      <c r="TU7" s="52"/>
      <c r="TV7" s="52"/>
      <c r="TW7" s="52"/>
      <c r="TX7" s="52"/>
      <c r="TY7" s="52"/>
      <c r="TZ7" s="52"/>
      <c r="UA7" s="52"/>
      <c r="UB7" s="52"/>
      <c r="UC7" s="52"/>
      <c r="UD7" s="52"/>
      <c r="UE7" s="52"/>
      <c r="UF7" s="52"/>
      <c r="UG7" s="52"/>
      <c r="UH7" s="52"/>
      <c r="UI7" s="52"/>
      <c r="UJ7" s="52"/>
      <c r="UK7" s="52"/>
      <c r="UL7" s="52"/>
      <c r="UM7" s="52"/>
      <c r="UN7" s="52"/>
      <c r="UO7" s="52"/>
      <c r="UP7" s="52"/>
      <c r="UQ7" s="52"/>
      <c r="UR7" s="52"/>
      <c r="US7" s="52"/>
      <c r="UT7" s="52"/>
      <c r="UU7" s="52"/>
      <c r="UV7" s="52"/>
      <c r="UW7" s="52"/>
      <c r="UX7" s="52"/>
      <c r="UY7" s="52"/>
      <c r="UZ7" s="52"/>
      <c r="VA7" s="52"/>
      <c r="VB7" s="52"/>
      <c r="VC7" s="52"/>
      <c r="VD7" s="52"/>
      <c r="VE7" s="52"/>
      <c r="VF7" s="52"/>
      <c r="VG7" s="52"/>
      <c r="VH7" s="52"/>
      <c r="VI7" s="52"/>
      <c r="VJ7" s="52"/>
      <c r="VK7" s="52"/>
      <c r="VL7" s="52"/>
      <c r="VM7" s="52"/>
      <c r="VN7" s="52"/>
      <c r="VO7" s="52"/>
      <c r="VP7" s="52"/>
      <c r="VQ7" s="52"/>
      <c r="VR7" s="52"/>
      <c r="VS7" s="52"/>
      <c r="VT7" s="52"/>
      <c r="VU7" s="52"/>
      <c r="VV7" s="52"/>
      <c r="VW7" s="52"/>
      <c r="VX7" s="52"/>
      <c r="VY7" s="52"/>
      <c r="VZ7" s="52"/>
      <c r="WA7" s="52"/>
      <c r="WB7" s="52"/>
      <c r="WC7" s="52"/>
      <c r="WD7" s="52"/>
      <c r="WE7" s="52"/>
      <c r="WF7" s="52"/>
      <c r="WG7" s="52"/>
      <c r="WH7" s="52"/>
      <c r="WI7" s="52"/>
      <c r="WJ7" s="52"/>
      <c r="WK7" s="52"/>
      <c r="WL7" s="52"/>
      <c r="WM7" s="52"/>
      <c r="WN7" s="52"/>
      <c r="WO7" s="52"/>
      <c r="WP7" s="52"/>
      <c r="WQ7" s="52"/>
      <c r="WR7" s="52"/>
      <c r="WS7" s="52"/>
      <c r="WT7" s="52"/>
      <c r="WU7" s="52"/>
      <c r="WV7" s="52"/>
      <c r="WW7" s="52"/>
      <c r="WX7" s="52"/>
      <c r="WY7" s="52"/>
      <c r="WZ7" s="52"/>
      <c r="XA7" s="52"/>
      <c r="XB7" s="52"/>
      <c r="XC7" s="52"/>
      <c r="XD7" s="52"/>
      <c r="XE7" s="52"/>
      <c r="XF7" s="52"/>
      <c r="XG7" s="52"/>
      <c r="XH7" s="52"/>
      <c r="XI7" s="52"/>
      <c r="XJ7" s="52"/>
      <c r="XK7" s="52"/>
      <c r="XL7" s="52"/>
      <c r="XM7" s="52"/>
      <c r="XN7" s="52"/>
      <c r="XO7" s="52"/>
      <c r="XP7" s="52"/>
      <c r="XQ7" s="52"/>
      <c r="XR7" s="52"/>
      <c r="XS7" s="52"/>
      <c r="XT7" s="52"/>
      <c r="XU7" s="52"/>
      <c r="XV7" s="52"/>
      <c r="XW7" s="52"/>
      <c r="XX7" s="52"/>
      <c r="XY7" s="52"/>
      <c r="XZ7" s="52"/>
      <c r="YA7" s="52"/>
      <c r="YB7" s="52"/>
      <c r="YC7" s="52"/>
      <c r="YD7" s="52"/>
      <c r="YE7" s="52"/>
      <c r="YF7" s="52"/>
      <c r="YG7" s="52"/>
      <c r="YH7" s="52"/>
      <c r="YI7" s="52"/>
      <c r="YJ7" s="52"/>
      <c r="YK7" s="52"/>
      <c r="YL7" s="52"/>
      <c r="YM7" s="52"/>
      <c r="YN7" s="52"/>
      <c r="YO7" s="52"/>
      <c r="YP7" s="52"/>
      <c r="YQ7" s="52"/>
      <c r="YR7" s="52"/>
      <c r="YS7" s="52"/>
      <c r="YT7" s="52"/>
      <c r="YU7" s="52"/>
      <c r="YV7" s="52"/>
      <c r="YW7" s="52"/>
      <c r="YX7" s="52"/>
      <c r="YY7" s="52"/>
      <c r="YZ7" s="52"/>
      <c r="ZA7" s="52"/>
      <c r="ZB7" s="52"/>
      <c r="ZC7" s="52"/>
      <c r="ZD7" s="52"/>
      <c r="ZE7" s="52"/>
      <c r="ZF7" s="52"/>
      <c r="ZG7" s="52"/>
      <c r="ZH7" s="52"/>
      <c r="ZI7" s="52"/>
      <c r="ZJ7" s="52"/>
      <c r="ZK7" s="52"/>
      <c r="ZL7" s="52"/>
      <c r="ZM7" s="52"/>
      <c r="ZN7" s="52"/>
      <c r="ZO7" s="52"/>
      <c r="ZP7" s="52"/>
      <c r="ZQ7" s="52"/>
      <c r="ZR7" s="52"/>
      <c r="ZS7" s="52"/>
      <c r="ZT7" s="52"/>
      <c r="ZU7" s="52"/>
      <c r="ZV7" s="52"/>
      <c r="ZW7" s="52"/>
      <c r="ZX7" s="52"/>
      <c r="ZY7" s="52"/>
      <c r="ZZ7" s="52"/>
      <c r="AAA7" s="52"/>
      <c r="AAB7" s="52"/>
      <c r="AAC7" s="52"/>
      <c r="AAD7" s="52"/>
      <c r="AAE7" s="52"/>
      <c r="AAF7" s="52"/>
      <c r="AAG7" s="52"/>
      <c r="AAH7" s="52"/>
      <c r="AAI7" s="52"/>
      <c r="AAJ7" s="52"/>
      <c r="AAK7" s="52"/>
      <c r="AAL7" s="52"/>
      <c r="AAM7" s="52"/>
      <c r="AAN7" s="52"/>
      <c r="AAO7" s="52"/>
      <c r="AAP7" s="52"/>
      <c r="AAQ7" s="52"/>
      <c r="AAR7" s="52"/>
      <c r="AAS7" s="52"/>
      <c r="AAT7" s="52"/>
      <c r="AAU7" s="52"/>
      <c r="AAV7" s="52"/>
      <c r="AAW7" s="52"/>
      <c r="AAX7" s="52"/>
      <c r="AAY7" s="52"/>
      <c r="AAZ7" s="52"/>
      <c r="ABA7" s="52"/>
      <c r="ABB7" s="52"/>
      <c r="ABC7" s="52"/>
      <c r="ABD7" s="52"/>
      <c r="ABE7" s="52"/>
      <c r="ABF7" s="52"/>
      <c r="ABG7" s="52"/>
      <c r="ABH7" s="52"/>
      <c r="ABI7" s="52"/>
      <c r="ABJ7" s="52"/>
      <c r="ABK7" s="52"/>
      <c r="ABL7" s="52"/>
      <c r="ABM7" s="52"/>
      <c r="ABN7" s="52"/>
      <c r="ABO7" s="52"/>
      <c r="ABP7" s="52"/>
      <c r="ABQ7" s="52"/>
      <c r="ABR7" s="52"/>
      <c r="ABS7" s="52"/>
      <c r="ABT7" s="52"/>
      <c r="ABU7" s="52"/>
      <c r="ABV7" s="52"/>
      <c r="ABW7" s="52"/>
      <c r="ABX7" s="52"/>
      <c r="ABY7" s="52"/>
      <c r="ABZ7" s="52"/>
      <c r="ACA7" s="52"/>
      <c r="ACB7" s="52"/>
      <c r="ACC7" s="52"/>
      <c r="ACD7" s="52"/>
      <c r="ACE7" s="52"/>
      <c r="ACF7" s="52"/>
      <c r="ACG7" s="52"/>
      <c r="ACH7" s="52"/>
      <c r="ACI7" s="52"/>
      <c r="ACJ7" s="52"/>
      <c r="ACK7" s="52"/>
      <c r="ACL7" s="52"/>
      <c r="ACM7" s="52"/>
      <c r="ACN7" s="52"/>
      <c r="ACO7" s="52"/>
      <c r="ACP7" s="52"/>
      <c r="ACQ7" s="52"/>
      <c r="ACR7" s="52"/>
      <c r="ACS7" s="52"/>
      <c r="ACT7" s="52"/>
      <c r="ACU7" s="52"/>
      <c r="ACV7" s="52"/>
      <c r="ACW7" s="52"/>
      <c r="ACX7" s="52"/>
      <c r="ACY7" s="52"/>
      <c r="ACZ7" s="52"/>
      <c r="ADA7" s="52"/>
      <c r="ADB7" s="52"/>
      <c r="ADC7" s="52"/>
      <c r="ADD7" s="52"/>
      <c r="ADE7" s="52"/>
      <c r="ADF7" s="52"/>
      <c r="ADG7" s="52"/>
      <c r="ADH7" s="52"/>
      <c r="ADI7" s="52"/>
      <c r="ADJ7" s="52"/>
      <c r="ADK7" s="52"/>
      <c r="ADL7" s="52"/>
      <c r="ADM7" s="52"/>
      <c r="ADN7" s="52"/>
      <c r="ADO7" s="52"/>
      <c r="ADP7" s="52"/>
      <c r="ADQ7" s="52"/>
      <c r="ADR7" s="52"/>
      <c r="ADS7" s="52"/>
      <c r="ADT7" s="52"/>
      <c r="ADU7" s="52"/>
      <c r="ADV7" s="52"/>
      <c r="ADW7" s="52"/>
      <c r="ADX7" s="52"/>
      <c r="ADY7" s="52"/>
      <c r="ADZ7" s="52"/>
      <c r="AEA7" s="52"/>
      <c r="AEB7" s="52"/>
      <c r="AEC7" s="52"/>
      <c r="AED7" s="52"/>
      <c r="AEE7" s="52"/>
      <c r="AEF7" s="52"/>
      <c r="AEG7" s="52"/>
      <c r="AEH7" s="52"/>
      <c r="AEI7" s="52"/>
      <c r="AEJ7" s="52"/>
      <c r="AEK7" s="52"/>
      <c r="AEL7" s="52"/>
      <c r="AEM7" s="52"/>
      <c r="AEN7" s="52"/>
      <c r="AEO7" s="52"/>
      <c r="AEP7" s="52"/>
      <c r="AEQ7" s="52"/>
      <c r="AER7" s="52"/>
      <c r="AES7" s="52"/>
      <c r="AET7" s="52"/>
      <c r="AEU7" s="52"/>
      <c r="AEV7" s="52"/>
      <c r="AEW7" s="52"/>
      <c r="AEX7" s="52"/>
      <c r="AEY7" s="52"/>
      <c r="AEZ7" s="52"/>
      <c r="AFA7" s="52"/>
      <c r="AFB7" s="52"/>
      <c r="AFC7" s="52"/>
      <c r="AFD7" s="52"/>
      <c r="AFE7" s="52"/>
      <c r="AFF7" s="52"/>
      <c r="AFG7" s="52"/>
      <c r="AFH7" s="52"/>
      <c r="AFI7" s="52"/>
      <c r="AFJ7" s="52"/>
      <c r="AFK7" s="52"/>
      <c r="AFL7" s="52"/>
      <c r="AFM7" s="52"/>
      <c r="AFN7" s="52"/>
      <c r="AFO7" s="52"/>
      <c r="AFP7" s="52"/>
      <c r="AFQ7" s="52"/>
      <c r="AFR7" s="52"/>
      <c r="AFS7" s="52"/>
      <c r="AFT7" s="52"/>
      <c r="AFU7" s="52"/>
      <c r="AFV7" s="52"/>
      <c r="AFW7" s="52"/>
      <c r="AFX7" s="52"/>
      <c r="AFY7" s="52"/>
      <c r="AFZ7" s="52"/>
      <c r="AGA7" s="52"/>
      <c r="AGB7" s="52"/>
      <c r="AGC7" s="52"/>
      <c r="AGD7" s="52"/>
      <c r="AGE7" s="52"/>
      <c r="AGF7" s="52"/>
      <c r="AGG7" s="52"/>
      <c r="AGH7" s="52"/>
      <c r="AGI7" s="52"/>
      <c r="AGJ7" s="52"/>
      <c r="AGK7" s="52"/>
      <c r="AGL7" s="52"/>
      <c r="AGM7" s="52"/>
      <c r="AGN7" s="52"/>
      <c r="AGO7" s="52"/>
      <c r="AGP7" s="52"/>
      <c r="AGQ7" s="52"/>
      <c r="AGR7" s="52"/>
      <c r="AGS7" s="52"/>
      <c r="AGT7" s="52"/>
      <c r="AGU7" s="52"/>
      <c r="AGV7" s="52"/>
      <c r="AGW7" s="52"/>
      <c r="AGX7" s="52"/>
      <c r="AGY7" s="52"/>
      <c r="AGZ7" s="52"/>
      <c r="AHA7" s="52"/>
      <c r="AHB7" s="52"/>
      <c r="AHC7" s="52"/>
      <c r="AHD7" s="52"/>
      <c r="AHE7" s="52"/>
      <c r="AHF7" s="52"/>
      <c r="AHG7" s="52"/>
      <c r="AHH7" s="52"/>
      <c r="AHI7" s="52"/>
      <c r="AHJ7" s="52"/>
      <c r="AHK7" s="52"/>
      <c r="AHL7" s="52"/>
      <c r="AHM7" s="52"/>
      <c r="AHN7" s="52"/>
      <c r="AHO7" s="52"/>
      <c r="AHP7" s="52"/>
      <c r="AHQ7" s="52"/>
      <c r="AHR7" s="52"/>
      <c r="AHS7" s="52"/>
      <c r="AHT7" s="52"/>
      <c r="AHU7" s="52"/>
      <c r="AHV7" s="52"/>
      <c r="AHW7" s="52"/>
      <c r="AHX7" s="52"/>
      <c r="AHY7" s="52"/>
      <c r="AHZ7" s="52"/>
      <c r="AIA7" s="52"/>
      <c r="AIB7" s="52"/>
      <c r="AIC7" s="52"/>
      <c r="AID7" s="52"/>
      <c r="AIE7" s="52"/>
      <c r="AIF7" s="52"/>
      <c r="AIG7" s="52"/>
      <c r="AIH7" s="52"/>
      <c r="AII7" s="52"/>
      <c r="AIJ7" s="52"/>
      <c r="AIK7" s="52"/>
      <c r="AIL7" s="52"/>
      <c r="AIM7" s="52"/>
      <c r="AIN7" s="52"/>
      <c r="AIO7" s="52"/>
      <c r="AIP7" s="52"/>
      <c r="AIQ7" s="52"/>
      <c r="AIR7" s="52"/>
      <c r="AIS7" s="52"/>
      <c r="AIT7" s="52"/>
      <c r="AIU7" s="52"/>
      <c r="AIV7" s="52"/>
      <c r="AIW7" s="52"/>
      <c r="AIX7" s="52"/>
      <c r="AIY7" s="52"/>
      <c r="AIZ7" s="52"/>
      <c r="AJA7" s="52"/>
      <c r="AJB7" s="52"/>
      <c r="AJC7" s="52"/>
      <c r="AJD7" s="52"/>
      <c r="AJE7" s="52"/>
      <c r="AJF7" s="52"/>
      <c r="AJG7" s="52"/>
      <c r="AJH7" s="52"/>
      <c r="AJI7" s="52"/>
      <c r="AJJ7" s="52"/>
      <c r="AJK7" s="52"/>
      <c r="AJL7" s="52"/>
      <c r="AJM7" s="52"/>
      <c r="AJN7" s="52"/>
      <c r="AJO7" s="52"/>
      <c r="AJP7" s="52"/>
      <c r="AJQ7" s="52"/>
      <c r="AJR7" s="52"/>
      <c r="AJS7" s="52"/>
      <c r="AJT7" s="52"/>
      <c r="AJU7" s="52"/>
      <c r="AJV7" s="52"/>
      <c r="AJW7" s="52"/>
      <c r="AJX7" s="52"/>
      <c r="AJY7" s="52"/>
      <c r="AJZ7" s="52"/>
      <c r="AKA7" s="52"/>
      <c r="AKB7" s="52"/>
      <c r="AKC7" s="52"/>
      <c r="AKD7" s="52"/>
      <c r="AKE7" s="52"/>
      <c r="AKF7" s="52"/>
      <c r="AKG7" s="52"/>
      <c r="AKH7" s="52"/>
      <c r="AKI7" s="52"/>
      <c r="AKJ7" s="52"/>
      <c r="AKK7" s="52"/>
      <c r="AKL7" s="52"/>
      <c r="AKM7" s="52"/>
      <c r="AKN7" s="52"/>
      <c r="AKO7" s="52"/>
      <c r="AKP7" s="52"/>
      <c r="AKQ7" s="52"/>
      <c r="AKR7" s="52"/>
      <c r="AKS7" s="52"/>
      <c r="AKT7" s="52"/>
      <c r="AKU7" s="52"/>
      <c r="AKV7" s="52"/>
      <c r="AKW7" s="52"/>
      <c r="AKX7" s="52"/>
      <c r="AKY7" s="52"/>
      <c r="AKZ7" s="52"/>
      <c r="ALA7" s="52"/>
      <c r="ALB7" s="52"/>
      <c r="ALC7" s="52"/>
      <c r="ALD7" s="52"/>
      <c r="ALE7" s="52"/>
      <c r="ALF7" s="52"/>
      <c r="ALG7" s="52"/>
      <c r="ALH7" s="52"/>
      <c r="ALI7" s="52"/>
      <c r="ALJ7" s="52"/>
      <c r="ALK7" s="52"/>
      <c r="ALL7" s="52"/>
      <c r="ALM7" s="52"/>
      <c r="ALN7" s="52"/>
      <c r="ALO7" s="52"/>
      <c r="ALP7" s="52"/>
      <c r="ALQ7" s="52"/>
      <c r="ALR7" s="52"/>
      <c r="ALS7" s="52"/>
      <c r="ALT7" s="52"/>
      <c r="ALU7" s="52"/>
      <c r="ALV7" s="52"/>
      <c r="ALW7" s="52"/>
      <c r="ALX7" s="52"/>
      <c r="ALY7" s="52"/>
      <c r="ALZ7" s="52"/>
      <c r="AMA7" s="52"/>
      <c r="AMB7" s="52"/>
      <c r="AMC7" s="52"/>
      <c r="AMD7" s="52"/>
      <c r="AME7" s="52"/>
      <c r="AMF7" s="52"/>
      <c r="AMG7" s="52"/>
      <c r="AMH7" s="52"/>
      <c r="AMI7" s="52"/>
      <c r="AMJ7" s="52"/>
      <c r="AMK7" s="52"/>
      <c r="AML7" s="52"/>
    </row>
    <row r="8" ht="15.75" customHeight="1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  <c r="FM8" s="31"/>
      <c r="FN8" s="31"/>
      <c r="FO8" s="31"/>
      <c r="FP8" s="31"/>
      <c r="FQ8" s="31"/>
      <c r="FR8" s="31"/>
      <c r="FS8" s="31"/>
      <c r="FT8" s="31"/>
      <c r="FU8" s="31"/>
      <c r="FV8" s="31"/>
      <c r="FW8" s="31"/>
      <c r="FX8" s="31"/>
      <c r="FY8" s="31"/>
      <c r="FZ8" s="31"/>
      <c r="GA8" s="31"/>
      <c r="GB8" s="31"/>
      <c r="GC8" s="31"/>
      <c r="GD8" s="31"/>
      <c r="GE8" s="31"/>
      <c r="GF8" s="31"/>
      <c r="GG8" s="31"/>
      <c r="GH8" s="31"/>
      <c r="GI8" s="31"/>
      <c r="GJ8" s="31"/>
      <c r="GK8" s="31"/>
      <c r="GL8" s="31"/>
      <c r="GM8" s="31"/>
      <c r="GN8" s="31"/>
      <c r="GO8" s="31"/>
      <c r="GP8" s="31"/>
      <c r="GQ8" s="31"/>
      <c r="GR8" s="31"/>
      <c r="GS8" s="31"/>
      <c r="GT8" s="31"/>
      <c r="GU8" s="31"/>
      <c r="GV8" s="31"/>
      <c r="GW8" s="31"/>
      <c r="GX8" s="31"/>
      <c r="GY8" s="31"/>
      <c r="GZ8" s="31"/>
      <c r="HA8" s="31"/>
      <c r="HB8" s="31"/>
      <c r="HC8" s="31"/>
      <c r="HD8" s="31"/>
      <c r="HE8" s="31"/>
      <c r="HF8" s="31"/>
      <c r="HG8" s="31"/>
      <c r="HH8" s="31"/>
      <c r="HI8" s="31"/>
      <c r="HJ8" s="31"/>
      <c r="HK8" s="31"/>
      <c r="HL8" s="31"/>
      <c r="HM8" s="31"/>
      <c r="HN8" s="31"/>
      <c r="HO8" s="31"/>
      <c r="HP8" s="31"/>
      <c r="HQ8" s="31"/>
      <c r="HR8" s="31"/>
      <c r="HS8" s="31"/>
      <c r="HT8" s="31"/>
      <c r="HU8" s="31"/>
      <c r="HV8" s="31"/>
      <c r="HW8" s="31"/>
      <c r="HX8" s="31"/>
      <c r="HY8" s="31"/>
      <c r="HZ8" s="31"/>
      <c r="IA8" s="31"/>
      <c r="IB8" s="31"/>
      <c r="IC8" s="31"/>
      <c r="ID8" s="31"/>
      <c r="IE8" s="31"/>
      <c r="IF8" s="31"/>
      <c r="IG8" s="31"/>
      <c r="IH8" s="31"/>
      <c r="II8" s="31"/>
      <c r="IJ8" s="31"/>
      <c r="IK8" s="31"/>
      <c r="IL8" s="31"/>
      <c r="IM8" s="31"/>
      <c r="IN8" s="31"/>
      <c r="IO8" s="31"/>
      <c r="IP8" s="31"/>
      <c r="IQ8" s="31"/>
      <c r="IR8" s="31"/>
      <c r="IS8" s="31"/>
      <c r="IT8" s="31"/>
      <c r="IU8" s="31"/>
      <c r="IV8" s="31"/>
      <c r="IW8" s="31"/>
      <c r="IX8" s="31"/>
      <c r="IY8" s="31"/>
      <c r="IZ8" s="31"/>
      <c r="JA8" s="31"/>
      <c r="JB8" s="31"/>
      <c r="JC8" s="31"/>
      <c r="JD8" s="31"/>
      <c r="JE8" s="31"/>
      <c r="JF8" s="31"/>
      <c r="JG8" s="31"/>
      <c r="JH8" s="31"/>
      <c r="JI8" s="31"/>
      <c r="JJ8" s="31"/>
      <c r="JK8" s="31"/>
      <c r="JL8" s="31"/>
      <c r="JM8" s="31"/>
      <c r="JN8" s="31"/>
      <c r="JO8" s="31"/>
      <c r="JP8" s="31"/>
      <c r="JQ8" s="31"/>
      <c r="JR8" s="31"/>
      <c r="JS8" s="31"/>
      <c r="JT8" s="31"/>
      <c r="JU8" s="31"/>
      <c r="JV8" s="31"/>
      <c r="JW8" s="31"/>
      <c r="JX8" s="31"/>
      <c r="JY8" s="31"/>
      <c r="JZ8" s="31"/>
      <c r="KA8" s="31"/>
      <c r="KB8" s="31"/>
      <c r="KC8" s="31"/>
      <c r="KD8" s="31"/>
      <c r="KE8" s="31"/>
      <c r="KF8" s="31"/>
      <c r="KG8" s="31"/>
      <c r="KH8" s="31"/>
      <c r="KI8" s="31"/>
      <c r="KJ8" s="31"/>
      <c r="KK8" s="31"/>
      <c r="KL8" s="31"/>
      <c r="KM8" s="31"/>
      <c r="KN8" s="31"/>
      <c r="KO8" s="31"/>
      <c r="KP8" s="31"/>
      <c r="KQ8" s="31"/>
      <c r="KR8" s="31"/>
      <c r="KS8" s="31"/>
      <c r="KT8" s="31"/>
      <c r="KU8" s="31"/>
      <c r="KV8" s="31"/>
      <c r="KW8" s="31"/>
      <c r="KX8" s="31"/>
      <c r="KY8" s="31"/>
      <c r="KZ8" s="31"/>
      <c r="LA8" s="31"/>
      <c r="LB8" s="31"/>
      <c r="LC8" s="31"/>
      <c r="LD8" s="31"/>
      <c r="LE8" s="31"/>
      <c r="LF8" s="31"/>
      <c r="LG8" s="31"/>
      <c r="LH8" s="31"/>
      <c r="LI8" s="31"/>
      <c r="LJ8" s="31"/>
      <c r="LK8" s="31"/>
      <c r="LL8" s="31"/>
      <c r="LM8" s="31"/>
      <c r="LN8" s="31"/>
      <c r="LO8" s="31"/>
      <c r="LP8" s="31"/>
      <c r="LQ8" s="31"/>
      <c r="LR8" s="31"/>
      <c r="LS8" s="31"/>
      <c r="LT8" s="31"/>
      <c r="LU8" s="31"/>
      <c r="LV8" s="31"/>
      <c r="LW8" s="31"/>
      <c r="LX8" s="31"/>
      <c r="LY8" s="31"/>
      <c r="LZ8" s="31"/>
      <c r="MA8" s="31"/>
      <c r="MB8" s="31"/>
      <c r="MC8" s="31"/>
      <c r="MD8" s="31"/>
      <c r="ME8" s="31"/>
      <c r="MF8" s="31"/>
      <c r="MG8" s="31"/>
      <c r="MH8" s="31"/>
      <c r="MI8" s="31"/>
      <c r="MJ8" s="31"/>
      <c r="MK8" s="31"/>
      <c r="ML8" s="31"/>
      <c r="MM8" s="31"/>
      <c r="MN8" s="31"/>
      <c r="MO8" s="31"/>
      <c r="MP8" s="31"/>
      <c r="MQ8" s="31"/>
      <c r="MR8" s="31"/>
      <c r="MS8" s="31"/>
      <c r="MT8" s="31"/>
      <c r="MU8" s="31"/>
      <c r="MV8" s="31"/>
      <c r="MW8" s="31"/>
      <c r="MX8" s="31"/>
      <c r="MY8" s="31"/>
      <c r="MZ8" s="31"/>
      <c r="NA8" s="31"/>
      <c r="NB8" s="31"/>
      <c r="NC8" s="31"/>
      <c r="ND8" s="31"/>
      <c r="NE8" s="31"/>
      <c r="NF8" s="31"/>
      <c r="NG8" s="31"/>
      <c r="NH8" s="31"/>
      <c r="NI8" s="31"/>
      <c r="NJ8" s="31"/>
      <c r="NK8" s="31"/>
      <c r="NL8" s="31"/>
      <c r="NM8" s="31"/>
      <c r="NN8" s="31"/>
      <c r="NO8" s="31"/>
      <c r="NP8" s="31"/>
      <c r="NQ8" s="31"/>
      <c r="NR8" s="31"/>
      <c r="NS8" s="31"/>
      <c r="NT8" s="31"/>
      <c r="NU8" s="31"/>
      <c r="NV8" s="31"/>
      <c r="NW8" s="31"/>
      <c r="NX8" s="31"/>
      <c r="NY8" s="31"/>
      <c r="NZ8" s="31"/>
      <c r="OA8" s="31"/>
      <c r="OB8" s="31"/>
      <c r="OC8" s="31"/>
      <c r="OD8" s="31"/>
      <c r="OE8" s="31"/>
      <c r="OF8" s="31"/>
      <c r="OG8" s="31"/>
      <c r="OH8" s="31"/>
      <c r="OI8" s="31"/>
      <c r="OJ8" s="31"/>
      <c r="OK8" s="31"/>
      <c r="OL8" s="31"/>
      <c r="OM8" s="31"/>
      <c r="ON8" s="31"/>
      <c r="OO8" s="31"/>
      <c r="OP8" s="31"/>
      <c r="OQ8" s="31"/>
      <c r="OR8" s="31"/>
      <c r="OS8" s="31"/>
      <c r="OT8" s="31"/>
      <c r="OU8" s="31"/>
      <c r="OV8" s="31"/>
      <c r="OW8" s="31"/>
      <c r="OX8" s="31"/>
      <c r="OY8" s="31"/>
      <c r="OZ8" s="31"/>
      <c r="PA8" s="31"/>
      <c r="PB8" s="31"/>
      <c r="PC8" s="31"/>
      <c r="PD8" s="31"/>
      <c r="PE8" s="31"/>
      <c r="PF8" s="31"/>
      <c r="PG8" s="31"/>
      <c r="PH8" s="31"/>
      <c r="PI8" s="31"/>
      <c r="PJ8" s="31"/>
      <c r="PK8" s="31"/>
      <c r="PL8" s="31"/>
      <c r="PM8" s="31"/>
      <c r="PN8" s="31"/>
      <c r="PO8" s="31"/>
      <c r="PP8" s="31"/>
      <c r="PQ8" s="31"/>
      <c r="PR8" s="31"/>
      <c r="PS8" s="31"/>
      <c r="PT8" s="31"/>
      <c r="PU8" s="31"/>
      <c r="PV8" s="31"/>
      <c r="PW8" s="31"/>
      <c r="PX8" s="31"/>
      <c r="PY8" s="31"/>
      <c r="PZ8" s="31"/>
      <c r="QA8" s="31"/>
      <c r="QB8" s="31"/>
      <c r="QC8" s="31"/>
      <c r="QD8" s="31"/>
      <c r="QE8" s="31"/>
      <c r="QF8" s="31"/>
      <c r="QG8" s="31"/>
      <c r="QH8" s="31"/>
      <c r="QI8" s="31"/>
      <c r="QJ8" s="31"/>
      <c r="QK8" s="31"/>
      <c r="QL8" s="31"/>
      <c r="QM8" s="31"/>
      <c r="QN8" s="31"/>
      <c r="QO8" s="31"/>
      <c r="QP8" s="31"/>
      <c r="QQ8" s="31"/>
      <c r="QR8" s="31"/>
      <c r="QS8" s="31"/>
      <c r="QT8" s="31"/>
      <c r="QU8" s="31"/>
      <c r="QV8" s="31"/>
      <c r="QW8" s="31"/>
      <c r="QX8" s="31"/>
      <c r="QY8" s="31"/>
      <c r="QZ8" s="31"/>
      <c r="RA8" s="31"/>
      <c r="RB8" s="31"/>
      <c r="RC8" s="31"/>
      <c r="RD8" s="31"/>
      <c r="RE8" s="31"/>
      <c r="RF8" s="31"/>
      <c r="RG8" s="31"/>
      <c r="RH8" s="31"/>
      <c r="RI8" s="31"/>
      <c r="RJ8" s="31"/>
      <c r="RK8" s="31"/>
      <c r="RL8" s="31"/>
      <c r="RM8" s="31"/>
      <c r="RN8" s="31"/>
      <c r="RO8" s="31"/>
      <c r="RP8" s="31"/>
      <c r="RQ8" s="31"/>
      <c r="RR8" s="31"/>
      <c r="RS8" s="31"/>
      <c r="RT8" s="31"/>
      <c r="RU8" s="31"/>
      <c r="RV8" s="31"/>
      <c r="RW8" s="31"/>
      <c r="RX8" s="31"/>
      <c r="RY8" s="31"/>
      <c r="RZ8" s="31"/>
      <c r="SA8" s="31"/>
      <c r="SB8" s="31"/>
      <c r="SC8" s="31"/>
      <c r="SD8" s="31"/>
      <c r="SE8" s="31"/>
      <c r="SF8" s="31"/>
      <c r="SG8" s="31"/>
      <c r="SH8" s="31"/>
      <c r="SI8" s="31"/>
      <c r="SJ8" s="31"/>
      <c r="SK8" s="31"/>
      <c r="SL8" s="31"/>
      <c r="SM8" s="31"/>
      <c r="SN8" s="31"/>
      <c r="SO8" s="31"/>
      <c r="SP8" s="31"/>
      <c r="SQ8" s="31"/>
      <c r="SR8" s="31"/>
      <c r="SS8" s="31"/>
      <c r="ST8" s="31"/>
      <c r="SU8" s="31"/>
      <c r="SV8" s="31"/>
      <c r="SW8" s="31"/>
      <c r="SX8" s="31"/>
      <c r="SY8" s="31"/>
      <c r="SZ8" s="31"/>
      <c r="TA8" s="31"/>
      <c r="TB8" s="31"/>
      <c r="TC8" s="31"/>
      <c r="TD8" s="31"/>
      <c r="TE8" s="31"/>
      <c r="TF8" s="31"/>
      <c r="TG8" s="31"/>
      <c r="TH8" s="31"/>
      <c r="TI8" s="31"/>
      <c r="TJ8" s="31"/>
      <c r="TK8" s="31"/>
      <c r="TL8" s="31"/>
      <c r="TM8" s="31"/>
      <c r="TN8" s="31"/>
      <c r="TO8" s="31"/>
      <c r="TP8" s="31"/>
      <c r="TQ8" s="31"/>
      <c r="TR8" s="31"/>
      <c r="TS8" s="31"/>
      <c r="TT8" s="31"/>
      <c r="TU8" s="31"/>
      <c r="TV8" s="31"/>
      <c r="TW8" s="31"/>
      <c r="TX8" s="31"/>
      <c r="TY8" s="31"/>
      <c r="TZ8" s="31"/>
      <c r="UA8" s="31"/>
      <c r="UB8" s="31"/>
      <c r="UC8" s="31"/>
      <c r="UD8" s="31"/>
      <c r="UE8" s="31"/>
      <c r="UF8" s="31"/>
      <c r="UG8" s="31"/>
      <c r="UH8" s="31"/>
      <c r="UI8" s="31"/>
      <c r="UJ8" s="31"/>
      <c r="UK8" s="31"/>
      <c r="UL8" s="31"/>
      <c r="UM8" s="31"/>
      <c r="UN8" s="31"/>
      <c r="UO8" s="31"/>
      <c r="UP8" s="31"/>
      <c r="UQ8" s="31"/>
      <c r="UR8" s="31"/>
      <c r="US8" s="31"/>
      <c r="UT8" s="31"/>
      <c r="UU8" s="31"/>
      <c r="UV8" s="31"/>
      <c r="UW8" s="31"/>
      <c r="UX8" s="31"/>
      <c r="UY8" s="31"/>
      <c r="UZ8" s="31"/>
      <c r="VA8" s="31"/>
      <c r="VB8" s="31"/>
      <c r="VC8" s="31"/>
      <c r="VD8" s="31"/>
      <c r="VE8" s="31"/>
      <c r="VF8" s="31"/>
      <c r="VG8" s="31"/>
      <c r="VH8" s="31"/>
      <c r="VI8" s="31"/>
      <c r="VJ8" s="31"/>
      <c r="VK8" s="31"/>
      <c r="VL8" s="31"/>
      <c r="VM8" s="31"/>
      <c r="VN8" s="31"/>
      <c r="VO8" s="31"/>
      <c r="VP8" s="31"/>
      <c r="VQ8" s="31"/>
      <c r="VR8" s="31"/>
      <c r="VS8" s="31"/>
      <c r="VT8" s="31"/>
      <c r="VU8" s="31"/>
      <c r="VV8" s="31"/>
      <c r="VW8" s="31"/>
      <c r="VX8" s="31"/>
      <c r="VY8" s="31"/>
      <c r="VZ8" s="31"/>
      <c r="WA8" s="31"/>
      <c r="WB8" s="31"/>
      <c r="WC8" s="31"/>
      <c r="WD8" s="31"/>
      <c r="WE8" s="31"/>
      <c r="WF8" s="31"/>
      <c r="WG8" s="31"/>
      <c r="WH8" s="31"/>
      <c r="WI8" s="31"/>
      <c r="WJ8" s="31"/>
      <c r="WK8" s="31"/>
      <c r="WL8" s="31"/>
      <c r="WM8" s="31"/>
      <c r="WN8" s="31"/>
      <c r="WO8" s="31"/>
      <c r="WP8" s="31"/>
      <c r="WQ8" s="31"/>
      <c r="WR8" s="31"/>
      <c r="WS8" s="31"/>
      <c r="WT8" s="31"/>
      <c r="WU8" s="31"/>
      <c r="WV8" s="31"/>
      <c r="WW8" s="31"/>
      <c r="WX8" s="31"/>
      <c r="WY8" s="31"/>
      <c r="WZ8" s="31"/>
      <c r="XA8" s="31"/>
      <c r="XB8" s="31"/>
      <c r="XC8" s="31"/>
      <c r="XD8" s="31"/>
      <c r="XE8" s="31"/>
      <c r="XF8" s="31"/>
      <c r="XG8" s="31"/>
      <c r="XH8" s="31"/>
      <c r="XI8" s="31"/>
      <c r="XJ8" s="31"/>
      <c r="XK8" s="31"/>
      <c r="XL8" s="31"/>
      <c r="XM8" s="31"/>
      <c r="XN8" s="31"/>
      <c r="XO8" s="31"/>
      <c r="XP8" s="31"/>
      <c r="XQ8" s="31"/>
      <c r="XR8" s="31"/>
      <c r="XS8" s="31"/>
      <c r="XT8" s="31"/>
      <c r="XU8" s="31"/>
      <c r="XV8" s="31"/>
      <c r="XW8" s="31"/>
      <c r="XX8" s="31"/>
      <c r="XY8" s="31"/>
      <c r="XZ8" s="31"/>
      <c r="YA8" s="31"/>
      <c r="YB8" s="31"/>
      <c r="YC8" s="31"/>
      <c r="YD8" s="31"/>
      <c r="YE8" s="31"/>
      <c r="YF8" s="31"/>
      <c r="YG8" s="31"/>
      <c r="YH8" s="31"/>
      <c r="YI8" s="31"/>
      <c r="YJ8" s="31"/>
      <c r="YK8" s="31"/>
      <c r="YL8" s="31"/>
      <c r="YM8" s="31"/>
      <c r="YN8" s="31"/>
      <c r="YO8" s="31"/>
      <c r="YP8" s="31"/>
      <c r="YQ8" s="31"/>
      <c r="YR8" s="31"/>
      <c r="YS8" s="31"/>
      <c r="YT8" s="31"/>
      <c r="YU8" s="31"/>
      <c r="YV8" s="31"/>
      <c r="YW8" s="31"/>
      <c r="YX8" s="31"/>
      <c r="YY8" s="31"/>
      <c r="YZ8" s="31"/>
      <c r="ZA8" s="31"/>
      <c r="ZB8" s="31"/>
      <c r="ZC8" s="31"/>
      <c r="ZD8" s="31"/>
      <c r="ZE8" s="31"/>
      <c r="ZF8" s="31"/>
      <c r="ZG8" s="31"/>
      <c r="ZH8" s="31"/>
      <c r="ZI8" s="31"/>
      <c r="ZJ8" s="31"/>
      <c r="ZK8" s="31"/>
      <c r="ZL8" s="31"/>
      <c r="ZM8" s="31"/>
      <c r="ZN8" s="31"/>
      <c r="ZO8" s="31"/>
      <c r="ZP8" s="31"/>
      <c r="ZQ8" s="31"/>
      <c r="ZR8" s="31"/>
      <c r="ZS8" s="31"/>
      <c r="ZT8" s="31"/>
      <c r="ZU8" s="31"/>
      <c r="ZV8" s="31"/>
      <c r="ZW8" s="31"/>
      <c r="ZX8" s="31"/>
      <c r="ZY8" s="31"/>
      <c r="ZZ8" s="31"/>
      <c r="AAA8" s="31"/>
      <c r="AAB8" s="31"/>
      <c r="AAC8" s="31"/>
      <c r="AAD8" s="31"/>
      <c r="AAE8" s="31"/>
      <c r="AAF8" s="31"/>
      <c r="AAG8" s="31"/>
      <c r="AAH8" s="31"/>
      <c r="AAI8" s="31"/>
      <c r="AAJ8" s="31"/>
      <c r="AAK8" s="31"/>
      <c r="AAL8" s="31"/>
      <c r="AAM8" s="31"/>
      <c r="AAN8" s="31"/>
      <c r="AAO8" s="31"/>
      <c r="AAP8" s="31"/>
      <c r="AAQ8" s="31"/>
      <c r="AAR8" s="31"/>
      <c r="AAS8" s="31"/>
      <c r="AAT8" s="31"/>
      <c r="AAU8" s="31"/>
      <c r="AAV8" s="31"/>
      <c r="AAW8" s="31"/>
      <c r="AAX8" s="31"/>
      <c r="AAY8" s="31"/>
      <c r="AAZ8" s="31"/>
      <c r="ABA8" s="31"/>
      <c r="ABB8" s="31"/>
      <c r="ABC8" s="31"/>
      <c r="ABD8" s="31"/>
      <c r="ABE8" s="31"/>
      <c r="ABF8" s="31"/>
      <c r="ABG8" s="31"/>
      <c r="ABH8" s="31"/>
      <c r="ABI8" s="31"/>
      <c r="ABJ8" s="31"/>
      <c r="ABK8" s="31"/>
      <c r="ABL8" s="31"/>
      <c r="ABM8" s="31"/>
      <c r="ABN8" s="31"/>
      <c r="ABO8" s="31"/>
      <c r="ABP8" s="31"/>
      <c r="ABQ8" s="31"/>
      <c r="ABR8" s="31"/>
      <c r="ABS8" s="31"/>
      <c r="ABT8" s="31"/>
      <c r="ABU8" s="31"/>
      <c r="ABV8" s="31"/>
      <c r="ABW8" s="31"/>
      <c r="ABX8" s="31"/>
      <c r="ABY8" s="31"/>
      <c r="ABZ8" s="31"/>
      <c r="ACA8" s="31"/>
      <c r="ACB8" s="31"/>
      <c r="ACC8" s="31"/>
      <c r="ACD8" s="31"/>
      <c r="ACE8" s="31"/>
      <c r="ACF8" s="31"/>
      <c r="ACG8" s="31"/>
      <c r="ACH8" s="31"/>
      <c r="ACI8" s="31"/>
      <c r="ACJ8" s="31"/>
      <c r="ACK8" s="31"/>
      <c r="ACL8" s="31"/>
      <c r="ACM8" s="31"/>
      <c r="ACN8" s="31"/>
      <c r="ACO8" s="31"/>
      <c r="ACP8" s="31"/>
      <c r="ACQ8" s="31"/>
      <c r="ACR8" s="31"/>
      <c r="ACS8" s="31"/>
      <c r="ACT8" s="31"/>
      <c r="ACU8" s="31"/>
      <c r="ACV8" s="31"/>
      <c r="ACW8" s="31"/>
      <c r="ACX8" s="31"/>
      <c r="ACY8" s="31"/>
      <c r="ACZ8" s="31"/>
      <c r="ADA8" s="31"/>
      <c r="ADB8" s="31"/>
      <c r="ADC8" s="31"/>
      <c r="ADD8" s="31"/>
      <c r="ADE8" s="31"/>
      <c r="ADF8" s="31"/>
      <c r="ADG8" s="31"/>
      <c r="ADH8" s="31"/>
      <c r="ADI8" s="31"/>
      <c r="ADJ8" s="31"/>
      <c r="ADK8" s="31"/>
      <c r="ADL8" s="31"/>
      <c r="ADM8" s="31"/>
      <c r="ADN8" s="31"/>
      <c r="ADO8" s="31"/>
      <c r="ADP8" s="31"/>
      <c r="ADQ8" s="31"/>
      <c r="ADR8" s="31"/>
      <c r="ADS8" s="31"/>
      <c r="ADT8" s="31"/>
      <c r="ADU8" s="31"/>
      <c r="ADV8" s="31"/>
      <c r="ADW8" s="31"/>
      <c r="ADX8" s="31"/>
      <c r="ADY8" s="31"/>
      <c r="ADZ8" s="31"/>
      <c r="AEA8" s="31"/>
      <c r="AEB8" s="31"/>
      <c r="AEC8" s="31"/>
      <c r="AED8" s="31"/>
      <c r="AEE8" s="31"/>
      <c r="AEF8" s="31"/>
      <c r="AEG8" s="31"/>
      <c r="AEH8" s="31"/>
      <c r="AEI8" s="31"/>
      <c r="AEJ8" s="31"/>
      <c r="AEK8" s="31"/>
      <c r="AEL8" s="31"/>
      <c r="AEM8" s="31"/>
      <c r="AEN8" s="31"/>
      <c r="AEO8" s="31"/>
      <c r="AEP8" s="31"/>
      <c r="AEQ8" s="31"/>
      <c r="AER8" s="31"/>
      <c r="AES8" s="31"/>
      <c r="AET8" s="31"/>
      <c r="AEU8" s="31"/>
      <c r="AEV8" s="31"/>
      <c r="AEW8" s="31"/>
      <c r="AEX8" s="31"/>
      <c r="AEY8" s="31"/>
      <c r="AEZ8" s="31"/>
      <c r="AFA8" s="31"/>
      <c r="AFB8" s="31"/>
      <c r="AFC8" s="31"/>
      <c r="AFD8" s="31"/>
      <c r="AFE8" s="31"/>
      <c r="AFF8" s="31"/>
      <c r="AFG8" s="31"/>
      <c r="AFH8" s="31"/>
      <c r="AFI8" s="31"/>
      <c r="AFJ8" s="31"/>
      <c r="AFK8" s="31"/>
      <c r="AFL8" s="31"/>
      <c r="AFM8" s="31"/>
      <c r="AFN8" s="31"/>
      <c r="AFO8" s="31"/>
      <c r="AFP8" s="31"/>
      <c r="AFQ8" s="31"/>
      <c r="AFR8" s="31"/>
      <c r="AFS8" s="31"/>
      <c r="AFT8" s="31"/>
      <c r="AFU8" s="31"/>
      <c r="AFV8" s="31"/>
      <c r="AFW8" s="31"/>
      <c r="AFX8" s="31"/>
      <c r="AFY8" s="31"/>
      <c r="AFZ8" s="31"/>
      <c r="AGA8" s="31"/>
      <c r="AGB8" s="31"/>
      <c r="AGC8" s="31"/>
      <c r="AGD8" s="31"/>
      <c r="AGE8" s="31"/>
      <c r="AGF8" s="31"/>
      <c r="AGG8" s="31"/>
      <c r="AGH8" s="31"/>
      <c r="AGI8" s="31"/>
      <c r="AGJ8" s="31"/>
      <c r="AGK8" s="31"/>
      <c r="AGL8" s="31"/>
      <c r="AGM8" s="31"/>
      <c r="AGN8" s="31"/>
      <c r="AGO8" s="31"/>
      <c r="AGP8" s="31"/>
      <c r="AGQ8" s="31"/>
      <c r="AGR8" s="31"/>
      <c r="AGS8" s="31"/>
      <c r="AGT8" s="31"/>
      <c r="AGU8" s="31"/>
      <c r="AGV8" s="31"/>
      <c r="AGW8" s="31"/>
      <c r="AGX8" s="31"/>
      <c r="AGY8" s="31"/>
      <c r="AGZ8" s="31"/>
      <c r="AHA8" s="31"/>
      <c r="AHB8" s="31"/>
      <c r="AHC8" s="31"/>
      <c r="AHD8" s="31"/>
      <c r="AHE8" s="31"/>
      <c r="AHF8" s="31"/>
      <c r="AHG8" s="31"/>
      <c r="AHH8" s="31"/>
      <c r="AHI8" s="31"/>
      <c r="AHJ8" s="31"/>
      <c r="AHK8" s="31"/>
      <c r="AHL8" s="31"/>
      <c r="AHM8" s="31"/>
      <c r="AHN8" s="31"/>
      <c r="AHO8" s="31"/>
      <c r="AHP8" s="31"/>
      <c r="AHQ8" s="31"/>
      <c r="AHR8" s="31"/>
      <c r="AHS8" s="31"/>
      <c r="AHT8" s="31"/>
      <c r="AHU8" s="31"/>
      <c r="AHV8" s="31"/>
      <c r="AHW8" s="31"/>
      <c r="AHX8" s="31"/>
      <c r="AHY8" s="31"/>
      <c r="AHZ8" s="31"/>
      <c r="AIA8" s="31"/>
      <c r="AIB8" s="31"/>
      <c r="AIC8" s="31"/>
      <c r="AID8" s="31"/>
      <c r="AIE8" s="31"/>
      <c r="AIF8" s="31"/>
      <c r="AIG8" s="31"/>
      <c r="AIH8" s="31"/>
      <c r="AII8" s="31"/>
      <c r="AIJ8" s="31"/>
      <c r="AIK8" s="31"/>
      <c r="AIL8" s="31"/>
      <c r="AIM8" s="31"/>
      <c r="AIN8" s="31"/>
      <c r="AIO8" s="31"/>
      <c r="AIP8" s="31"/>
      <c r="AIQ8" s="31"/>
      <c r="AIR8" s="31"/>
      <c r="AIS8" s="31"/>
      <c r="AIT8" s="31"/>
      <c r="AIU8" s="31"/>
      <c r="AIV8" s="31"/>
      <c r="AIW8" s="31"/>
      <c r="AIX8" s="31"/>
      <c r="AIY8" s="31"/>
      <c r="AIZ8" s="31"/>
      <c r="AJA8" s="31"/>
      <c r="AJB8" s="31"/>
      <c r="AJC8" s="31"/>
      <c r="AJD8" s="31"/>
      <c r="AJE8" s="31"/>
      <c r="AJF8" s="31"/>
      <c r="AJG8" s="31"/>
      <c r="AJH8" s="31"/>
      <c r="AJI8" s="31"/>
      <c r="AJJ8" s="31"/>
      <c r="AJK8" s="31"/>
      <c r="AJL8" s="31"/>
      <c r="AJM8" s="31"/>
      <c r="AJN8" s="31"/>
      <c r="AJO8" s="31"/>
      <c r="AJP8" s="31"/>
      <c r="AJQ8" s="31"/>
      <c r="AJR8" s="31"/>
      <c r="AJS8" s="31"/>
      <c r="AJT8" s="31"/>
      <c r="AJU8" s="31"/>
      <c r="AJV8" s="31"/>
      <c r="AJW8" s="31"/>
      <c r="AJX8" s="31"/>
      <c r="AJY8" s="31"/>
      <c r="AJZ8" s="31"/>
      <c r="AKA8" s="31"/>
      <c r="AKB8" s="31"/>
      <c r="AKC8" s="31"/>
      <c r="AKD8" s="31"/>
      <c r="AKE8" s="31"/>
      <c r="AKF8" s="31"/>
      <c r="AKG8" s="31"/>
      <c r="AKH8" s="31"/>
      <c r="AKI8" s="31"/>
      <c r="AKJ8" s="31"/>
      <c r="AKK8" s="31"/>
      <c r="AKL8" s="31"/>
      <c r="AKM8" s="31"/>
      <c r="AKN8" s="31"/>
      <c r="AKO8" s="31"/>
      <c r="AKP8" s="31"/>
      <c r="AKQ8" s="31"/>
      <c r="AKR8" s="31"/>
      <c r="AKS8" s="31"/>
      <c r="AKT8" s="31"/>
      <c r="AKU8" s="31"/>
      <c r="AKV8" s="31"/>
      <c r="AKW8" s="31"/>
      <c r="AKX8" s="31"/>
      <c r="AKY8" s="31"/>
      <c r="AKZ8" s="31"/>
      <c r="ALA8" s="31"/>
      <c r="ALB8" s="31"/>
      <c r="ALC8" s="31"/>
      <c r="ALD8" s="31"/>
      <c r="ALE8" s="31"/>
      <c r="ALF8" s="31"/>
      <c r="ALG8" s="31"/>
      <c r="ALH8" s="31"/>
      <c r="ALI8" s="31"/>
      <c r="ALJ8" s="31"/>
      <c r="ALK8" s="31"/>
      <c r="ALL8" s="31"/>
      <c r="ALM8" s="31"/>
      <c r="ALN8" s="31"/>
      <c r="ALO8" s="31"/>
      <c r="ALP8" s="31"/>
      <c r="ALQ8" s="31"/>
      <c r="ALR8" s="31"/>
      <c r="ALS8" s="31"/>
      <c r="ALT8" s="31"/>
      <c r="ALU8" s="31"/>
      <c r="ALV8" s="31"/>
      <c r="ALW8" s="31"/>
      <c r="ALX8" s="31"/>
      <c r="ALY8" s="31"/>
      <c r="ALZ8" s="31"/>
      <c r="AMA8" s="31"/>
      <c r="AMB8" s="31"/>
      <c r="AMC8" s="31"/>
      <c r="AMD8" s="31"/>
      <c r="AME8" s="31"/>
      <c r="AMF8" s="31"/>
      <c r="AMG8" s="31"/>
      <c r="AMH8" s="31"/>
      <c r="AMI8" s="31"/>
      <c r="AMJ8" s="31"/>
      <c r="AMK8" s="31"/>
      <c r="AML8" s="31"/>
    </row>
    <row r="9" ht="15.75" customHeight="1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31"/>
      <c r="FL9" s="31"/>
      <c r="FM9" s="31"/>
      <c r="FN9" s="31"/>
      <c r="FO9" s="31"/>
      <c r="FP9" s="31"/>
      <c r="FQ9" s="31"/>
      <c r="FR9" s="31"/>
      <c r="FS9" s="31"/>
      <c r="FT9" s="31"/>
      <c r="FU9" s="31"/>
      <c r="FV9" s="31"/>
      <c r="FW9" s="31"/>
      <c r="FX9" s="31"/>
      <c r="FY9" s="31"/>
      <c r="FZ9" s="31"/>
      <c r="GA9" s="31"/>
      <c r="GB9" s="31"/>
      <c r="GC9" s="31"/>
      <c r="GD9" s="31"/>
      <c r="GE9" s="31"/>
      <c r="GF9" s="31"/>
      <c r="GG9" s="31"/>
      <c r="GH9" s="31"/>
      <c r="GI9" s="31"/>
      <c r="GJ9" s="31"/>
      <c r="GK9" s="31"/>
      <c r="GL9" s="31"/>
      <c r="GM9" s="31"/>
      <c r="GN9" s="31"/>
      <c r="GO9" s="31"/>
      <c r="GP9" s="31"/>
      <c r="GQ9" s="31"/>
      <c r="GR9" s="31"/>
      <c r="GS9" s="31"/>
      <c r="GT9" s="31"/>
      <c r="GU9" s="31"/>
      <c r="GV9" s="31"/>
      <c r="GW9" s="31"/>
      <c r="GX9" s="31"/>
      <c r="GY9" s="31"/>
      <c r="GZ9" s="31"/>
      <c r="HA9" s="31"/>
      <c r="HB9" s="31"/>
      <c r="HC9" s="31"/>
      <c r="HD9" s="31"/>
      <c r="HE9" s="31"/>
      <c r="HF9" s="31"/>
      <c r="HG9" s="31"/>
      <c r="HH9" s="31"/>
      <c r="HI9" s="31"/>
      <c r="HJ9" s="31"/>
      <c r="HK9" s="31"/>
      <c r="HL9" s="31"/>
      <c r="HM9" s="31"/>
      <c r="HN9" s="31"/>
      <c r="HO9" s="31"/>
      <c r="HP9" s="31"/>
      <c r="HQ9" s="31"/>
      <c r="HR9" s="31"/>
      <c r="HS9" s="31"/>
      <c r="HT9" s="31"/>
      <c r="HU9" s="31"/>
      <c r="HV9" s="31"/>
      <c r="HW9" s="31"/>
      <c r="HX9" s="31"/>
      <c r="HY9" s="31"/>
      <c r="HZ9" s="31"/>
      <c r="IA9" s="31"/>
      <c r="IB9" s="31"/>
      <c r="IC9" s="31"/>
      <c r="ID9" s="31"/>
      <c r="IE9" s="31"/>
      <c r="IF9" s="31"/>
      <c r="IG9" s="31"/>
      <c r="IH9" s="31"/>
      <c r="II9" s="31"/>
      <c r="IJ9" s="31"/>
      <c r="IK9" s="31"/>
      <c r="IL9" s="31"/>
      <c r="IM9" s="31"/>
      <c r="IN9" s="31"/>
      <c r="IO9" s="31"/>
      <c r="IP9" s="31"/>
      <c r="IQ9" s="31"/>
      <c r="IR9" s="31"/>
      <c r="IS9" s="31"/>
      <c r="IT9" s="31"/>
      <c r="IU9" s="31"/>
      <c r="IV9" s="31"/>
      <c r="IW9" s="31"/>
      <c r="IX9" s="31"/>
      <c r="IY9" s="31"/>
      <c r="IZ9" s="31"/>
      <c r="JA9" s="31"/>
      <c r="JB9" s="31"/>
      <c r="JC9" s="31"/>
      <c r="JD9" s="31"/>
      <c r="JE9" s="31"/>
      <c r="JF9" s="31"/>
      <c r="JG9" s="31"/>
      <c r="JH9" s="31"/>
      <c r="JI9" s="31"/>
      <c r="JJ9" s="31"/>
      <c r="JK9" s="31"/>
      <c r="JL9" s="31"/>
      <c r="JM9" s="31"/>
      <c r="JN9" s="31"/>
      <c r="JO9" s="31"/>
      <c r="JP9" s="31"/>
      <c r="JQ9" s="31"/>
      <c r="JR9" s="31"/>
      <c r="JS9" s="31"/>
      <c r="JT9" s="31"/>
      <c r="JU9" s="31"/>
      <c r="JV9" s="31"/>
      <c r="JW9" s="31"/>
      <c r="JX9" s="31"/>
      <c r="JY9" s="31"/>
      <c r="JZ9" s="31"/>
      <c r="KA9" s="31"/>
      <c r="KB9" s="31"/>
      <c r="KC9" s="31"/>
      <c r="KD9" s="31"/>
      <c r="KE9" s="31"/>
      <c r="KF9" s="31"/>
      <c r="KG9" s="31"/>
      <c r="KH9" s="31"/>
      <c r="KI9" s="31"/>
      <c r="KJ9" s="31"/>
      <c r="KK9" s="31"/>
      <c r="KL9" s="31"/>
      <c r="KM9" s="31"/>
      <c r="KN9" s="31"/>
      <c r="KO9" s="31"/>
      <c r="KP9" s="31"/>
      <c r="KQ9" s="31"/>
      <c r="KR9" s="31"/>
      <c r="KS9" s="31"/>
      <c r="KT9" s="31"/>
      <c r="KU9" s="31"/>
      <c r="KV9" s="31"/>
      <c r="KW9" s="31"/>
      <c r="KX9" s="31"/>
      <c r="KY9" s="31"/>
      <c r="KZ9" s="31"/>
      <c r="LA9" s="31"/>
      <c r="LB9" s="31"/>
      <c r="LC9" s="31"/>
      <c r="LD9" s="31"/>
      <c r="LE9" s="31"/>
      <c r="LF9" s="31"/>
      <c r="LG9" s="31"/>
      <c r="LH9" s="31"/>
      <c r="LI9" s="31"/>
      <c r="LJ9" s="31"/>
      <c r="LK9" s="31"/>
      <c r="LL9" s="31"/>
      <c r="LM9" s="31"/>
      <c r="LN9" s="31"/>
      <c r="LO9" s="31"/>
      <c r="LP9" s="31"/>
      <c r="LQ9" s="31"/>
      <c r="LR9" s="31"/>
      <c r="LS9" s="31"/>
      <c r="LT9" s="31"/>
      <c r="LU9" s="31"/>
      <c r="LV9" s="31"/>
      <c r="LW9" s="31"/>
      <c r="LX9" s="31"/>
      <c r="LY9" s="31"/>
      <c r="LZ9" s="31"/>
      <c r="MA9" s="31"/>
      <c r="MB9" s="31"/>
      <c r="MC9" s="31"/>
      <c r="MD9" s="31"/>
      <c r="ME9" s="31"/>
      <c r="MF9" s="31"/>
      <c r="MG9" s="31"/>
      <c r="MH9" s="31"/>
      <c r="MI9" s="31"/>
      <c r="MJ9" s="31"/>
      <c r="MK9" s="31"/>
      <c r="ML9" s="31"/>
      <c r="MM9" s="31"/>
      <c r="MN9" s="31"/>
      <c r="MO9" s="31"/>
      <c r="MP9" s="31"/>
      <c r="MQ9" s="31"/>
      <c r="MR9" s="31"/>
      <c r="MS9" s="31"/>
      <c r="MT9" s="31"/>
      <c r="MU9" s="31"/>
      <c r="MV9" s="31"/>
      <c r="MW9" s="31"/>
      <c r="MX9" s="31"/>
      <c r="MY9" s="31"/>
      <c r="MZ9" s="31"/>
      <c r="NA9" s="31"/>
      <c r="NB9" s="31"/>
      <c r="NC9" s="31"/>
      <c r="ND9" s="31"/>
      <c r="NE9" s="31"/>
      <c r="NF9" s="31"/>
      <c r="NG9" s="31"/>
      <c r="NH9" s="31"/>
      <c r="NI9" s="31"/>
      <c r="NJ9" s="31"/>
      <c r="NK9" s="31"/>
      <c r="NL9" s="31"/>
      <c r="NM9" s="31"/>
      <c r="NN9" s="31"/>
      <c r="NO9" s="31"/>
      <c r="NP9" s="31"/>
      <c r="NQ9" s="31"/>
      <c r="NR9" s="31"/>
      <c r="NS9" s="31"/>
      <c r="NT9" s="31"/>
      <c r="NU9" s="31"/>
      <c r="NV9" s="31"/>
      <c r="NW9" s="31"/>
      <c r="NX9" s="31"/>
      <c r="NY9" s="31"/>
      <c r="NZ9" s="31"/>
      <c r="OA9" s="31"/>
      <c r="OB9" s="31"/>
      <c r="OC9" s="31"/>
      <c r="OD9" s="31"/>
      <c r="OE9" s="31"/>
      <c r="OF9" s="31"/>
      <c r="OG9" s="31"/>
      <c r="OH9" s="31"/>
      <c r="OI9" s="31"/>
      <c r="OJ9" s="31"/>
      <c r="OK9" s="31"/>
      <c r="OL9" s="31"/>
      <c r="OM9" s="31"/>
      <c r="ON9" s="31"/>
      <c r="OO9" s="31"/>
      <c r="OP9" s="31"/>
      <c r="OQ9" s="31"/>
      <c r="OR9" s="31"/>
      <c r="OS9" s="31"/>
      <c r="OT9" s="31"/>
      <c r="OU9" s="31"/>
      <c r="OV9" s="31"/>
      <c r="OW9" s="31"/>
      <c r="OX9" s="31"/>
      <c r="OY9" s="31"/>
      <c r="OZ9" s="31"/>
      <c r="PA9" s="31"/>
      <c r="PB9" s="31"/>
      <c r="PC9" s="31"/>
      <c r="PD9" s="31"/>
      <c r="PE9" s="31"/>
      <c r="PF9" s="31"/>
      <c r="PG9" s="31"/>
      <c r="PH9" s="31"/>
      <c r="PI9" s="31"/>
      <c r="PJ9" s="31"/>
      <c r="PK9" s="31"/>
      <c r="PL9" s="31"/>
      <c r="PM9" s="31"/>
      <c r="PN9" s="31"/>
      <c r="PO9" s="31"/>
      <c r="PP9" s="31"/>
      <c r="PQ9" s="31"/>
      <c r="PR9" s="31"/>
      <c r="PS9" s="31"/>
      <c r="PT9" s="31"/>
      <c r="PU9" s="31"/>
      <c r="PV9" s="31"/>
      <c r="PW9" s="31"/>
      <c r="PX9" s="31"/>
      <c r="PY9" s="31"/>
      <c r="PZ9" s="31"/>
      <c r="QA9" s="31"/>
      <c r="QB9" s="31"/>
      <c r="QC9" s="31"/>
      <c r="QD9" s="31"/>
      <c r="QE9" s="31"/>
      <c r="QF9" s="31"/>
      <c r="QG9" s="31"/>
      <c r="QH9" s="31"/>
      <c r="QI9" s="31"/>
      <c r="QJ9" s="31"/>
      <c r="QK9" s="31"/>
      <c r="QL9" s="31"/>
      <c r="QM9" s="31"/>
      <c r="QN9" s="31"/>
      <c r="QO9" s="31"/>
      <c r="QP9" s="31"/>
      <c r="QQ9" s="31"/>
      <c r="QR9" s="31"/>
      <c r="QS9" s="31"/>
      <c r="QT9" s="31"/>
      <c r="QU9" s="31"/>
      <c r="QV9" s="31"/>
      <c r="QW9" s="31"/>
      <c r="QX9" s="31"/>
      <c r="QY9" s="31"/>
      <c r="QZ9" s="31"/>
      <c r="RA9" s="31"/>
      <c r="RB9" s="31"/>
      <c r="RC9" s="31"/>
      <c r="RD9" s="31"/>
      <c r="RE9" s="31"/>
      <c r="RF9" s="31"/>
      <c r="RG9" s="31"/>
      <c r="RH9" s="31"/>
      <c r="RI9" s="31"/>
      <c r="RJ9" s="31"/>
      <c r="RK9" s="31"/>
      <c r="RL9" s="31"/>
      <c r="RM9" s="31"/>
      <c r="RN9" s="31"/>
      <c r="RO9" s="31"/>
      <c r="RP9" s="31"/>
      <c r="RQ9" s="31"/>
      <c r="RR9" s="31"/>
      <c r="RS9" s="31"/>
      <c r="RT9" s="31"/>
      <c r="RU9" s="31"/>
      <c r="RV9" s="31"/>
      <c r="RW9" s="31"/>
      <c r="RX9" s="31"/>
      <c r="RY9" s="31"/>
      <c r="RZ9" s="31"/>
      <c r="SA9" s="31"/>
      <c r="SB9" s="31"/>
      <c r="SC9" s="31"/>
      <c r="SD9" s="31"/>
      <c r="SE9" s="31"/>
      <c r="SF9" s="31"/>
      <c r="SG9" s="31"/>
      <c r="SH9" s="31"/>
      <c r="SI9" s="31"/>
      <c r="SJ9" s="31"/>
      <c r="SK9" s="31"/>
      <c r="SL9" s="31"/>
      <c r="SM9" s="31"/>
      <c r="SN9" s="31"/>
      <c r="SO9" s="31"/>
      <c r="SP9" s="31"/>
      <c r="SQ9" s="31"/>
      <c r="SR9" s="31"/>
      <c r="SS9" s="31"/>
      <c r="ST9" s="31"/>
      <c r="SU9" s="31"/>
      <c r="SV9" s="31"/>
      <c r="SW9" s="31"/>
      <c r="SX9" s="31"/>
      <c r="SY9" s="31"/>
      <c r="SZ9" s="31"/>
      <c r="TA9" s="31"/>
      <c r="TB9" s="31"/>
      <c r="TC9" s="31"/>
      <c r="TD9" s="31"/>
      <c r="TE9" s="31"/>
      <c r="TF9" s="31"/>
      <c r="TG9" s="31"/>
      <c r="TH9" s="31"/>
      <c r="TI9" s="31"/>
      <c r="TJ9" s="31"/>
      <c r="TK9" s="31"/>
      <c r="TL9" s="31"/>
      <c r="TM9" s="31"/>
      <c r="TN9" s="31"/>
      <c r="TO9" s="31"/>
      <c r="TP9" s="31"/>
      <c r="TQ9" s="31"/>
      <c r="TR9" s="31"/>
      <c r="TS9" s="31"/>
      <c r="TT9" s="31"/>
      <c r="TU9" s="31"/>
      <c r="TV9" s="31"/>
      <c r="TW9" s="31"/>
      <c r="TX9" s="31"/>
      <c r="TY9" s="31"/>
      <c r="TZ9" s="31"/>
      <c r="UA9" s="31"/>
      <c r="UB9" s="31"/>
      <c r="UC9" s="31"/>
      <c r="UD9" s="31"/>
      <c r="UE9" s="31"/>
      <c r="UF9" s="31"/>
      <c r="UG9" s="31"/>
      <c r="UH9" s="31"/>
      <c r="UI9" s="31"/>
      <c r="UJ9" s="31"/>
      <c r="UK9" s="31"/>
      <c r="UL9" s="31"/>
      <c r="UM9" s="31"/>
      <c r="UN9" s="31"/>
      <c r="UO9" s="31"/>
      <c r="UP9" s="31"/>
      <c r="UQ9" s="31"/>
      <c r="UR9" s="31"/>
      <c r="US9" s="31"/>
      <c r="UT9" s="31"/>
      <c r="UU9" s="31"/>
      <c r="UV9" s="31"/>
      <c r="UW9" s="31"/>
      <c r="UX9" s="31"/>
      <c r="UY9" s="31"/>
      <c r="UZ9" s="31"/>
      <c r="VA9" s="31"/>
      <c r="VB9" s="31"/>
      <c r="VC9" s="31"/>
      <c r="VD9" s="31"/>
      <c r="VE9" s="31"/>
      <c r="VF9" s="31"/>
      <c r="VG9" s="31"/>
      <c r="VH9" s="31"/>
      <c r="VI9" s="31"/>
      <c r="VJ9" s="31"/>
      <c r="VK9" s="31"/>
      <c r="VL9" s="31"/>
      <c r="VM9" s="31"/>
      <c r="VN9" s="31"/>
      <c r="VO9" s="31"/>
      <c r="VP9" s="31"/>
      <c r="VQ9" s="31"/>
      <c r="VR9" s="31"/>
      <c r="VS9" s="31"/>
      <c r="VT9" s="31"/>
      <c r="VU9" s="31"/>
      <c r="VV9" s="31"/>
      <c r="VW9" s="31"/>
      <c r="VX9" s="31"/>
      <c r="VY9" s="31"/>
      <c r="VZ9" s="31"/>
      <c r="WA9" s="31"/>
      <c r="WB9" s="31"/>
      <c r="WC9" s="31"/>
      <c r="WD9" s="31"/>
      <c r="WE9" s="31"/>
      <c r="WF9" s="31"/>
      <c r="WG9" s="31"/>
      <c r="WH9" s="31"/>
      <c r="WI9" s="31"/>
      <c r="WJ9" s="31"/>
      <c r="WK9" s="31"/>
      <c r="WL9" s="31"/>
      <c r="WM9" s="31"/>
      <c r="WN9" s="31"/>
      <c r="WO9" s="31"/>
      <c r="WP9" s="31"/>
      <c r="WQ9" s="31"/>
      <c r="WR9" s="31"/>
      <c r="WS9" s="31"/>
      <c r="WT9" s="31"/>
      <c r="WU9" s="31"/>
      <c r="WV9" s="31"/>
      <c r="WW9" s="31"/>
      <c r="WX9" s="31"/>
      <c r="WY9" s="31"/>
      <c r="WZ9" s="31"/>
      <c r="XA9" s="31"/>
      <c r="XB9" s="31"/>
      <c r="XC9" s="31"/>
      <c r="XD9" s="31"/>
      <c r="XE9" s="31"/>
      <c r="XF9" s="31"/>
      <c r="XG9" s="31"/>
      <c r="XH9" s="31"/>
      <c r="XI9" s="31"/>
      <c r="XJ9" s="31"/>
      <c r="XK9" s="31"/>
      <c r="XL9" s="31"/>
      <c r="XM9" s="31"/>
      <c r="XN9" s="31"/>
      <c r="XO9" s="31"/>
      <c r="XP9" s="31"/>
      <c r="XQ9" s="31"/>
      <c r="XR9" s="31"/>
      <c r="XS9" s="31"/>
      <c r="XT9" s="31"/>
      <c r="XU9" s="31"/>
      <c r="XV9" s="31"/>
      <c r="XW9" s="31"/>
      <c r="XX9" s="31"/>
      <c r="XY9" s="31"/>
      <c r="XZ9" s="31"/>
      <c r="YA9" s="31"/>
      <c r="YB9" s="31"/>
      <c r="YC9" s="31"/>
      <c r="YD9" s="31"/>
      <c r="YE9" s="31"/>
      <c r="YF9" s="31"/>
      <c r="YG9" s="31"/>
      <c r="YH9" s="31"/>
      <c r="YI9" s="31"/>
      <c r="YJ9" s="31"/>
      <c r="YK9" s="31"/>
      <c r="YL9" s="31"/>
      <c r="YM9" s="31"/>
      <c r="YN9" s="31"/>
      <c r="YO9" s="31"/>
      <c r="YP9" s="31"/>
      <c r="YQ9" s="31"/>
      <c r="YR9" s="31"/>
      <c r="YS9" s="31"/>
      <c r="YT9" s="31"/>
      <c r="YU9" s="31"/>
      <c r="YV9" s="31"/>
      <c r="YW9" s="31"/>
      <c r="YX9" s="31"/>
      <c r="YY9" s="31"/>
      <c r="YZ9" s="31"/>
      <c r="ZA9" s="31"/>
      <c r="ZB9" s="31"/>
      <c r="ZC9" s="31"/>
      <c r="ZD9" s="31"/>
      <c r="ZE9" s="31"/>
      <c r="ZF9" s="31"/>
      <c r="ZG9" s="31"/>
      <c r="ZH9" s="31"/>
      <c r="ZI9" s="31"/>
      <c r="ZJ9" s="31"/>
      <c r="ZK9" s="31"/>
      <c r="ZL9" s="31"/>
      <c r="ZM9" s="31"/>
      <c r="ZN9" s="31"/>
      <c r="ZO9" s="31"/>
      <c r="ZP9" s="31"/>
      <c r="ZQ9" s="31"/>
      <c r="ZR9" s="31"/>
      <c r="ZS9" s="31"/>
      <c r="ZT9" s="31"/>
      <c r="ZU9" s="31"/>
      <c r="ZV9" s="31"/>
      <c r="ZW9" s="31"/>
      <c r="ZX9" s="31"/>
      <c r="ZY9" s="31"/>
      <c r="ZZ9" s="31"/>
      <c r="AAA9" s="31"/>
      <c r="AAB9" s="31"/>
      <c r="AAC9" s="31"/>
      <c r="AAD9" s="31"/>
      <c r="AAE9" s="31"/>
      <c r="AAF9" s="31"/>
      <c r="AAG9" s="31"/>
      <c r="AAH9" s="31"/>
      <c r="AAI9" s="31"/>
      <c r="AAJ9" s="31"/>
      <c r="AAK9" s="31"/>
      <c r="AAL9" s="31"/>
      <c r="AAM9" s="31"/>
      <c r="AAN9" s="31"/>
      <c r="AAO9" s="31"/>
      <c r="AAP9" s="31"/>
      <c r="AAQ9" s="31"/>
      <c r="AAR9" s="31"/>
      <c r="AAS9" s="31"/>
      <c r="AAT9" s="31"/>
      <c r="AAU9" s="31"/>
      <c r="AAV9" s="31"/>
      <c r="AAW9" s="31"/>
      <c r="AAX9" s="31"/>
      <c r="AAY9" s="31"/>
      <c r="AAZ9" s="31"/>
      <c r="ABA9" s="31"/>
      <c r="ABB9" s="31"/>
      <c r="ABC9" s="31"/>
      <c r="ABD9" s="31"/>
      <c r="ABE9" s="31"/>
      <c r="ABF9" s="31"/>
      <c r="ABG9" s="31"/>
      <c r="ABH9" s="31"/>
      <c r="ABI9" s="31"/>
      <c r="ABJ9" s="31"/>
      <c r="ABK9" s="31"/>
      <c r="ABL9" s="31"/>
      <c r="ABM9" s="31"/>
      <c r="ABN9" s="31"/>
      <c r="ABO9" s="31"/>
      <c r="ABP9" s="31"/>
      <c r="ABQ9" s="31"/>
      <c r="ABR9" s="31"/>
      <c r="ABS9" s="31"/>
      <c r="ABT9" s="31"/>
      <c r="ABU9" s="31"/>
      <c r="ABV9" s="31"/>
      <c r="ABW9" s="31"/>
      <c r="ABX9" s="31"/>
      <c r="ABY9" s="31"/>
      <c r="ABZ9" s="31"/>
      <c r="ACA9" s="31"/>
      <c r="ACB9" s="31"/>
      <c r="ACC9" s="31"/>
      <c r="ACD9" s="31"/>
      <c r="ACE9" s="31"/>
      <c r="ACF9" s="31"/>
      <c r="ACG9" s="31"/>
      <c r="ACH9" s="31"/>
      <c r="ACI9" s="31"/>
      <c r="ACJ9" s="31"/>
      <c r="ACK9" s="31"/>
      <c r="ACL9" s="31"/>
      <c r="ACM9" s="31"/>
      <c r="ACN9" s="31"/>
      <c r="ACO9" s="31"/>
      <c r="ACP9" s="31"/>
      <c r="ACQ9" s="31"/>
      <c r="ACR9" s="31"/>
      <c r="ACS9" s="31"/>
      <c r="ACT9" s="31"/>
      <c r="ACU9" s="31"/>
      <c r="ACV9" s="31"/>
      <c r="ACW9" s="31"/>
      <c r="ACX9" s="31"/>
      <c r="ACY9" s="31"/>
      <c r="ACZ9" s="31"/>
      <c r="ADA9" s="31"/>
      <c r="ADB9" s="31"/>
      <c r="ADC9" s="31"/>
      <c r="ADD9" s="31"/>
      <c r="ADE9" s="31"/>
      <c r="ADF9" s="31"/>
      <c r="ADG9" s="31"/>
      <c r="ADH9" s="31"/>
      <c r="ADI9" s="31"/>
      <c r="ADJ9" s="31"/>
      <c r="ADK9" s="31"/>
      <c r="ADL9" s="31"/>
      <c r="ADM9" s="31"/>
      <c r="ADN9" s="31"/>
      <c r="ADO9" s="31"/>
      <c r="ADP9" s="31"/>
      <c r="ADQ9" s="31"/>
      <c r="ADR9" s="31"/>
      <c r="ADS9" s="31"/>
      <c r="ADT9" s="31"/>
      <c r="ADU9" s="31"/>
      <c r="ADV9" s="31"/>
      <c r="ADW9" s="31"/>
      <c r="ADX9" s="31"/>
      <c r="ADY9" s="31"/>
      <c r="ADZ9" s="31"/>
      <c r="AEA9" s="31"/>
      <c r="AEB9" s="31"/>
      <c r="AEC9" s="31"/>
      <c r="AED9" s="31"/>
      <c r="AEE9" s="31"/>
      <c r="AEF9" s="31"/>
      <c r="AEG9" s="31"/>
      <c r="AEH9" s="31"/>
      <c r="AEI9" s="31"/>
      <c r="AEJ9" s="31"/>
      <c r="AEK9" s="31"/>
      <c r="AEL9" s="31"/>
      <c r="AEM9" s="31"/>
      <c r="AEN9" s="31"/>
      <c r="AEO9" s="31"/>
      <c r="AEP9" s="31"/>
      <c r="AEQ9" s="31"/>
      <c r="AER9" s="31"/>
      <c r="AES9" s="31"/>
      <c r="AET9" s="31"/>
      <c r="AEU9" s="31"/>
      <c r="AEV9" s="31"/>
      <c r="AEW9" s="31"/>
      <c r="AEX9" s="31"/>
      <c r="AEY9" s="31"/>
      <c r="AEZ9" s="31"/>
      <c r="AFA9" s="31"/>
      <c r="AFB9" s="31"/>
      <c r="AFC9" s="31"/>
      <c r="AFD9" s="31"/>
      <c r="AFE9" s="31"/>
      <c r="AFF9" s="31"/>
      <c r="AFG9" s="31"/>
      <c r="AFH9" s="31"/>
      <c r="AFI9" s="31"/>
      <c r="AFJ9" s="31"/>
      <c r="AFK9" s="31"/>
      <c r="AFL9" s="31"/>
      <c r="AFM9" s="31"/>
      <c r="AFN9" s="31"/>
      <c r="AFO9" s="31"/>
      <c r="AFP9" s="31"/>
      <c r="AFQ9" s="31"/>
      <c r="AFR9" s="31"/>
      <c r="AFS9" s="31"/>
      <c r="AFT9" s="31"/>
      <c r="AFU9" s="31"/>
      <c r="AFV9" s="31"/>
      <c r="AFW9" s="31"/>
      <c r="AFX9" s="31"/>
      <c r="AFY9" s="31"/>
      <c r="AFZ9" s="31"/>
      <c r="AGA9" s="31"/>
      <c r="AGB9" s="31"/>
      <c r="AGC9" s="31"/>
      <c r="AGD9" s="31"/>
      <c r="AGE9" s="31"/>
      <c r="AGF9" s="31"/>
      <c r="AGG9" s="31"/>
      <c r="AGH9" s="31"/>
      <c r="AGI9" s="31"/>
      <c r="AGJ9" s="31"/>
      <c r="AGK9" s="31"/>
      <c r="AGL9" s="31"/>
      <c r="AGM9" s="31"/>
      <c r="AGN9" s="31"/>
      <c r="AGO9" s="31"/>
      <c r="AGP9" s="31"/>
      <c r="AGQ9" s="31"/>
      <c r="AGR9" s="31"/>
      <c r="AGS9" s="31"/>
      <c r="AGT9" s="31"/>
      <c r="AGU9" s="31"/>
      <c r="AGV9" s="31"/>
      <c r="AGW9" s="31"/>
      <c r="AGX9" s="31"/>
      <c r="AGY9" s="31"/>
      <c r="AGZ9" s="31"/>
      <c r="AHA9" s="31"/>
      <c r="AHB9" s="31"/>
      <c r="AHC9" s="31"/>
      <c r="AHD9" s="31"/>
      <c r="AHE9" s="31"/>
      <c r="AHF9" s="31"/>
      <c r="AHG9" s="31"/>
      <c r="AHH9" s="31"/>
      <c r="AHI9" s="31"/>
      <c r="AHJ9" s="31"/>
      <c r="AHK9" s="31"/>
      <c r="AHL9" s="31"/>
      <c r="AHM9" s="31"/>
      <c r="AHN9" s="31"/>
      <c r="AHO9" s="31"/>
      <c r="AHP9" s="31"/>
      <c r="AHQ9" s="31"/>
      <c r="AHR9" s="31"/>
      <c r="AHS9" s="31"/>
      <c r="AHT9" s="31"/>
      <c r="AHU9" s="31"/>
      <c r="AHV9" s="31"/>
      <c r="AHW9" s="31"/>
      <c r="AHX9" s="31"/>
      <c r="AHY9" s="31"/>
      <c r="AHZ9" s="31"/>
      <c r="AIA9" s="31"/>
      <c r="AIB9" s="31"/>
      <c r="AIC9" s="31"/>
      <c r="AID9" s="31"/>
      <c r="AIE9" s="31"/>
      <c r="AIF9" s="31"/>
      <c r="AIG9" s="31"/>
      <c r="AIH9" s="31"/>
      <c r="AII9" s="31"/>
      <c r="AIJ9" s="31"/>
      <c r="AIK9" s="31"/>
      <c r="AIL9" s="31"/>
      <c r="AIM9" s="31"/>
      <c r="AIN9" s="31"/>
      <c r="AIO9" s="31"/>
      <c r="AIP9" s="31"/>
      <c r="AIQ9" s="31"/>
      <c r="AIR9" s="31"/>
      <c r="AIS9" s="31"/>
      <c r="AIT9" s="31"/>
      <c r="AIU9" s="31"/>
      <c r="AIV9" s="31"/>
      <c r="AIW9" s="31"/>
      <c r="AIX9" s="31"/>
      <c r="AIY9" s="31"/>
      <c r="AIZ9" s="31"/>
      <c r="AJA9" s="31"/>
      <c r="AJB9" s="31"/>
      <c r="AJC9" s="31"/>
      <c r="AJD9" s="31"/>
      <c r="AJE9" s="31"/>
      <c r="AJF9" s="31"/>
      <c r="AJG9" s="31"/>
      <c r="AJH9" s="31"/>
      <c r="AJI9" s="31"/>
      <c r="AJJ9" s="31"/>
      <c r="AJK9" s="31"/>
      <c r="AJL9" s="31"/>
      <c r="AJM9" s="31"/>
      <c r="AJN9" s="31"/>
      <c r="AJO9" s="31"/>
      <c r="AJP9" s="31"/>
      <c r="AJQ9" s="31"/>
      <c r="AJR9" s="31"/>
      <c r="AJS9" s="31"/>
      <c r="AJT9" s="31"/>
      <c r="AJU9" s="31"/>
      <c r="AJV9" s="31"/>
      <c r="AJW9" s="31"/>
      <c r="AJX9" s="31"/>
      <c r="AJY9" s="31"/>
      <c r="AJZ9" s="31"/>
      <c r="AKA9" s="31"/>
      <c r="AKB9" s="31"/>
      <c r="AKC9" s="31"/>
      <c r="AKD9" s="31"/>
      <c r="AKE9" s="31"/>
      <c r="AKF9" s="31"/>
      <c r="AKG9" s="31"/>
      <c r="AKH9" s="31"/>
      <c r="AKI9" s="31"/>
      <c r="AKJ9" s="31"/>
      <c r="AKK9" s="31"/>
      <c r="AKL9" s="31"/>
      <c r="AKM9" s="31"/>
      <c r="AKN9" s="31"/>
      <c r="AKO9" s="31"/>
      <c r="AKP9" s="31"/>
      <c r="AKQ9" s="31"/>
      <c r="AKR9" s="31"/>
      <c r="AKS9" s="31"/>
      <c r="AKT9" s="31"/>
      <c r="AKU9" s="31"/>
      <c r="AKV9" s="31"/>
      <c r="AKW9" s="31"/>
      <c r="AKX9" s="31"/>
      <c r="AKY9" s="31"/>
      <c r="AKZ9" s="31"/>
      <c r="ALA9" s="31"/>
      <c r="ALB9" s="31"/>
      <c r="ALC9" s="31"/>
      <c r="ALD9" s="31"/>
      <c r="ALE9" s="31"/>
      <c r="ALF9" s="31"/>
      <c r="ALG9" s="31"/>
      <c r="ALH9" s="31"/>
      <c r="ALI9" s="31"/>
      <c r="ALJ9" s="31"/>
      <c r="ALK9" s="31"/>
      <c r="ALL9" s="31"/>
      <c r="ALM9" s="31"/>
      <c r="ALN9" s="31"/>
      <c r="ALO9" s="31"/>
      <c r="ALP9" s="31"/>
      <c r="ALQ9" s="31"/>
      <c r="ALR9" s="31"/>
      <c r="ALS9" s="31"/>
      <c r="ALT9" s="31"/>
      <c r="ALU9" s="31"/>
      <c r="ALV9" s="31"/>
      <c r="ALW9" s="31"/>
      <c r="ALX9" s="31"/>
      <c r="ALY9" s="31"/>
      <c r="ALZ9" s="31"/>
      <c r="AMA9" s="31"/>
      <c r="AMB9" s="31"/>
      <c r="AMC9" s="31"/>
      <c r="AMD9" s="31"/>
      <c r="AME9" s="31"/>
      <c r="AMF9" s="31"/>
      <c r="AMG9" s="31"/>
      <c r="AMH9" s="31"/>
      <c r="AMI9" s="31"/>
      <c r="AMJ9" s="31"/>
      <c r="AMK9" s="31"/>
      <c r="AML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765FE4F-7EDF-43B6-AC70-7FA1DFE8A8D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AF5E10E6-79EC-4D27-B37D-B8DB343E728A}">
          <x14:formula1>
            <xm:f>CheckPortfolioManagement!$4:$4</xm:f>
          </x14:formula1>
          <xm:sqref>E3</xm:sqref>
        </x14:dataValidation>
        <x14:dataValidation type="list" allowBlank="1" showInputMessage="1" showErrorMessage="1" prompt="Choose an available module" xr:uid="{63BA06FB-5F35-4A05-8F1B-EAFAABE90F63}">
          <x14:formula1>
            <xm:f>'_Modules'!$A$4:$A$1000</xm:f>
          </x14:formula1>
          <xm:sqref>C3</xm:sqref>
        </x14:dataValidation>
      </x14:dataValidation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140</v>
      </c>
      <c r="D3" s="5" t="s">
        <v>9</v>
      </c>
      <c r="E3" s="22" t="s">
        <v>141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142</v>
      </c>
    </row>
    <row r="6" ht="15.75" customHeight="1">
      <c r="A6" s="12"/>
      <c r="B6" s="12" t="s">
        <v>143</v>
      </c>
      <c r="C6" s="8"/>
      <c r="D6" s="12" t="s">
        <v>144</v>
      </c>
      <c r="E6" s="36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EC037C8-B504-4E67-8B91-AFA7BDC4C43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567E4C74-EF9F-46A2-9944-ABF1EFE94E1A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40CCEC5C-3B71-4C35-BF16-5590F3F35D97}">
          <x14:formula1>
            <xm:f>RestartClient!$4:$4</xm:f>
          </x14:formula1>
          <xm:sqref>E3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