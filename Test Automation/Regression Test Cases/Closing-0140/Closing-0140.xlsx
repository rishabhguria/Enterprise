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VerifyLongPositionsGrid" sheetId="6" r:id="rId8"/>
    <sheet state="visible" name="VerifyShortPositionsGrid" sheetId="7" r:id="rId9"/>
    <sheet state="visible" name="AutomaticClosing" sheetId="8" r:id="rId10"/>
    <sheet state="visible" name="VerifyClosedTrades" sheetId="9" r:id="rId11"/>
    <sheet state="visible" name="GetDataAllocation" sheetId="10" r:id="rId12"/>
    <sheet state="visible" name="CheckAllocatedGroups" sheetId="11" r:id="rId13"/>
  </sheets>
  <definedNames/>
  <calcPr/>
</workbook>
</file>

<file path=xl/sharedStrings.xml><?xml version="1.0" encoding="utf-8"?>
<sst xmlns="http://schemas.openxmlformats.org/spreadsheetml/2006/main" count="395" uniqueCount="45">
  <si>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</si>
  <si>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</si>
  <si>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</si>
  <si>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</si>
  <si>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</si>
  <si>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</si>
  <si>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</si>
  <si>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</si>
  <si>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</si>
  <si>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</si>
  <si>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</si>
  <si>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</si>
  <si>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</si>
  <si>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</si>
  <si>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</si>
  <si>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</si>
  <si>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</si>
  <si>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 to Close</t>
  </si>
  <si>
    <t>Allocation1</t>
  </si>
  <si>
    <t>Sell short</t>
  </si>
  <si>
    <t>Closing</t>
  </si>
  <si>
    <t>GetDataClosing</t>
  </si>
  <si>
    <t>Historical</t>
  </si>
  <si>
    <t>VerifyLongPositionsGrid</t>
  </si>
  <si>
    <t>Equity</t>
  </si>
  <si>
    <t>VerifyShortPositionsGrid</t>
  </si>
  <si>
    <t>AutomaticClosing</t>
  </si>
  <si>
    <t>FIFO</t>
  </si>
  <si>
    <t>None</t>
  </si>
  <si>
    <t>Default</t>
  </si>
  <si>
    <t>VerifyClosedTrades</t>
  </si>
  <si>
    <t>Long</t>
  </si>
  <si>
    <t>Allocation</t>
  </si>
  <si>
    <t>GetDataAllocation</t>
  </si>
  <si>
    <t>CheckAllocatedGroups</t>
  </si>
  <si>
    <t/>
  </si>
  <si>
    <t>AAPL US EQUITY</t>
  </si>
  <si>
    <t>MS</t>
  </si>
  <si>
    <t>APPLE</t>
  </si>
  <si>
    <t>USD</t>
  </si>
  <si>
    <t>NASDAQ</t>
  </si>
  <si>
    <t>M</t>
  </si>
  <si>
    <t>Market</t>
  </si>
  <si>
    <t>Strategy Unallocated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</si>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</sst>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b/>
      <name val="Arial"/>
    </font>
    <font>
      <sz val="11.0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shrinkToFit="0" wrapText="1"/>
    </xf>
    <xf borderId="0" fillId="0" fontId="3" numFmtId="14" xfId="0" applyAlignment="1" applyFont="1" applyNumberFormat="1">
      <alignment horizontal="center" shrinkToFit="0" wrapText="1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horizontal="center" shrinkToFit="0" wrapText="1"/>
    </xf>
    <xf borderId="0" fillId="0" fontId="14" numFmtId="14" xfId="0" applyAlignment="1" applyFont="1" applyNumberFormat="1">
      <alignment horizontal="center" shrinkToFit="0" wrapText="1"/>
    </xf>
    <xf borderId="0" fillId="0" fontId="5" numFmtId="164" xfId="0" applyAlignment="1" applyFont="1" applyNumberFormat="1">
      <alignment horizontal="right" readingOrder="0" vertical="bottom"/>
    </xf>
    <xf borderId="0" fillId="0" fontId="15" numFmtId="0" xfId="0" applyAlignment="1" applyFont="1">
      <alignment readingOrder="0" shrinkToFit="0" wrapText="0"/>
    </xf>
    <xf borderId="0" fillId="0" fontId="15" numFmtId="0" xfId="0" applyAlignment="1" applyFont="1">
      <alignment horizontal="right" readingOrder="0" shrinkToFit="0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6" fontId="16" numFmtId="164" xfId="0" applyAlignment="1" applyFill="1" applyFont="1" applyNumberFormat="1">
      <alignment horizontal="right" readingOrder="0" vertical="bottom"/>
    </xf>
    <xf borderId="0" fillId="0" fontId="15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1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15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2">
        <v>200.0</v>
      </c>
      <c r="E6" s="34">
        <v>200.0</v>
      </c>
      <c r="F6" s="31"/>
      <c r="G6" s="33"/>
      <c r="H6" s="31"/>
      <c r="I6" s="31"/>
      <c r="J6" s="32">
        <v>14.0</v>
      </c>
      <c r="K6" s="31"/>
      <c r="L6" s="31"/>
      <c r="M6" s="31"/>
      <c r="N6" s="35">
        <v>42037.0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6" t="s">
        <v>18</v>
      </c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16</v>
      </c>
      <c r="C7" s="33" t="s">
        <v>17</v>
      </c>
      <c r="D7" s="32">
        <v>500.0</v>
      </c>
      <c r="E7" s="34">
        <v>500.0</v>
      </c>
      <c r="F7" s="31"/>
      <c r="G7" s="33"/>
      <c r="H7" s="31"/>
      <c r="I7" s="31"/>
      <c r="J7" s="32">
        <v>13.0</v>
      </c>
      <c r="K7" s="31"/>
      <c r="L7" s="31"/>
      <c r="M7" s="31"/>
      <c r="N7" s="35">
        <v>42037.0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6" t="s">
        <v>18</v>
      </c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4" t="s">
        <v>16</v>
      </c>
      <c r="C8" s="31" t="s">
        <v>17</v>
      </c>
      <c r="D8" s="34">
        <v>300.0</v>
      </c>
      <c r="E8" s="34">
        <v>300.0</v>
      </c>
      <c r="F8" s="31"/>
      <c r="G8" s="31"/>
      <c r="H8" s="31"/>
      <c r="I8" s="31"/>
      <c r="J8" s="34">
        <v>12.0</v>
      </c>
      <c r="K8" s="31"/>
      <c r="L8" s="31"/>
      <c r="M8" s="31"/>
      <c r="N8" s="35">
        <v>42037.0</v>
      </c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6" t="s">
        <v>18</v>
      </c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7" t="s">
        <v>16</v>
      </c>
      <c r="C9" s="31" t="s">
        <v>17</v>
      </c>
      <c r="D9" s="37">
        <v>400.0</v>
      </c>
      <c r="E9" s="37">
        <v>400.0</v>
      </c>
      <c r="F9" s="31"/>
      <c r="G9" s="31"/>
      <c r="H9" s="31"/>
      <c r="I9" s="31"/>
      <c r="J9" s="37">
        <v>10.0</v>
      </c>
      <c r="K9" s="31"/>
      <c r="L9" s="31"/>
      <c r="M9" s="31"/>
      <c r="N9" s="38">
        <v>42038.0</v>
      </c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6" t="s">
        <v>18</v>
      </c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4" t="s">
        <v>16</v>
      </c>
      <c r="C10" s="31" t="s">
        <v>17</v>
      </c>
      <c r="D10" s="34">
        <v>600.0</v>
      </c>
      <c r="E10" s="34">
        <v>600.0</v>
      </c>
      <c r="F10" s="31"/>
      <c r="G10" s="31"/>
      <c r="H10" s="31"/>
      <c r="I10" s="31"/>
      <c r="J10" s="34">
        <v>12.0</v>
      </c>
      <c r="K10" s="31"/>
      <c r="L10" s="31"/>
      <c r="M10" s="31"/>
      <c r="N10" s="35">
        <v>42037.0</v>
      </c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6" t="s">
        <v>18</v>
      </c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4" t="s">
        <v>16</v>
      </c>
      <c r="C11" s="31" t="s">
        <v>17</v>
      </c>
      <c r="D11" s="34">
        <v>100.0</v>
      </c>
      <c r="E11" s="34">
        <v>100.0</v>
      </c>
      <c r="F11" s="31"/>
      <c r="G11" s="31"/>
      <c r="H11" s="31"/>
      <c r="I11" s="31"/>
      <c r="J11" s="34">
        <v>13.0</v>
      </c>
      <c r="K11" s="31"/>
      <c r="L11" s="31"/>
      <c r="M11" s="31"/>
      <c r="N11" s="35">
        <v>42039.0</v>
      </c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6" t="s">
        <v>18</v>
      </c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4" t="s">
        <v>16</v>
      </c>
      <c r="C12" s="31" t="s">
        <v>19</v>
      </c>
      <c r="D12" s="34">
        <v>400.0</v>
      </c>
      <c r="E12" s="34">
        <v>400.0</v>
      </c>
      <c r="F12" s="31"/>
      <c r="G12" s="31"/>
      <c r="H12" s="31"/>
      <c r="I12" s="31"/>
      <c r="J12" s="34">
        <v>14.0</v>
      </c>
      <c r="K12" s="31"/>
      <c r="L12" s="31"/>
      <c r="M12" s="31"/>
      <c r="N12" s="35">
        <v>42039.0</v>
      </c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6" t="s">
        <v>18</v>
      </c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8"/>
      <c r="B13" s="34" t="s">
        <v>16</v>
      </c>
      <c r="C13" s="31" t="s">
        <v>19</v>
      </c>
      <c r="D13" s="34">
        <v>200.0</v>
      </c>
      <c r="E13" s="34">
        <v>200.0</v>
      </c>
      <c r="F13" s="8"/>
      <c r="G13" s="8"/>
      <c r="H13" s="8"/>
      <c r="I13" s="8"/>
      <c r="J13" s="34">
        <v>15.0</v>
      </c>
      <c r="K13" s="8"/>
      <c r="L13" s="8"/>
      <c r="M13" s="8"/>
      <c r="N13" s="35">
        <v>42039.0</v>
      </c>
      <c r="O13" s="8"/>
      <c r="AK13" s="36" t="s">
        <v>18</v>
      </c>
    </row>
    <row r="14" ht="15.75" customHeight="1">
      <c r="A14" s="8"/>
      <c r="B14" s="34" t="s">
        <v>16</v>
      </c>
      <c r="C14" s="31" t="s">
        <v>19</v>
      </c>
      <c r="D14" s="34">
        <v>300.0</v>
      </c>
      <c r="E14" s="34">
        <v>300.0</v>
      </c>
      <c r="F14" s="8"/>
      <c r="G14" s="8"/>
      <c r="H14" s="8"/>
      <c r="I14" s="8"/>
      <c r="J14" s="34">
        <v>16.0</v>
      </c>
      <c r="K14" s="8"/>
      <c r="L14" s="8"/>
      <c r="M14" s="8"/>
      <c r="N14" s="35">
        <v>42039.0</v>
      </c>
      <c r="O14" s="8"/>
      <c r="AK14" s="36" t="s">
        <v>18</v>
      </c>
    </row>
    <row r="15" ht="15.75" customHeight="1">
      <c r="A15" s="8"/>
      <c r="B15" s="34" t="s">
        <v>16</v>
      </c>
      <c r="C15" s="31" t="s">
        <v>19</v>
      </c>
      <c r="D15" s="34">
        <v>1000.0</v>
      </c>
      <c r="E15" s="34">
        <v>1000.0</v>
      </c>
      <c r="F15" s="8"/>
      <c r="G15" s="8"/>
      <c r="H15" s="8"/>
      <c r="I15" s="8"/>
      <c r="J15" s="34">
        <v>13.0</v>
      </c>
      <c r="K15" s="8"/>
      <c r="L15" s="8"/>
      <c r="M15" s="8"/>
      <c r="N15" s="35">
        <v>42040.0</v>
      </c>
      <c r="O15" s="8"/>
      <c r="AK15" s="36" t="s">
        <v>18</v>
      </c>
    </row>
    <row r="16" ht="15.75" customHeight="1">
      <c r="A16" s="8"/>
      <c r="B16" s="34" t="s">
        <v>16</v>
      </c>
      <c r="C16" s="31" t="s">
        <v>19</v>
      </c>
      <c r="D16" s="34">
        <v>200.0</v>
      </c>
      <c r="E16" s="34">
        <v>200.0</v>
      </c>
      <c r="F16" s="8"/>
      <c r="G16" s="8"/>
      <c r="H16" s="8"/>
      <c r="I16" s="8"/>
      <c r="J16" s="34">
        <v>13.0</v>
      </c>
      <c r="K16" s="8"/>
      <c r="L16" s="8"/>
      <c r="M16" s="8"/>
      <c r="N16" s="35">
        <v>42041.0</v>
      </c>
      <c r="O16" s="8"/>
      <c r="AK16" s="36" t="s">
        <v>18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22</v>
      </c>
      <c r="C6" s="39">
        <v>42037.0</v>
      </c>
      <c r="D6" s="39">
        <v>42041.0</v>
      </c>
      <c r="E6" s="33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18</v>
      </c>
      <c r="C6" s="33" t="s">
        <v>24</v>
      </c>
      <c r="D6" s="33"/>
      <c r="E6" s="31"/>
      <c r="F6" s="33"/>
      <c r="G6" s="31"/>
      <c r="H6" s="31"/>
      <c r="I6" s="41">
        <v>14.0</v>
      </c>
      <c r="J6" s="31"/>
      <c r="K6" s="31"/>
      <c r="L6" s="31"/>
      <c r="M6" s="41">
        <v>200.0</v>
      </c>
      <c r="N6" s="31"/>
      <c r="O6" s="31"/>
      <c r="P6" s="40" t="s">
        <v>17</v>
      </c>
      <c r="Q6" s="31"/>
      <c r="R6" s="33" t="s">
        <v>16</v>
      </c>
      <c r="S6" s="31"/>
      <c r="T6" s="31"/>
      <c r="U6" s="31"/>
      <c r="V6" s="31"/>
      <c r="W6" s="31"/>
      <c r="X6" s="31"/>
      <c r="Y6" s="31"/>
      <c r="Z6" s="41">
        <v>14.0</v>
      </c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40" t="s">
        <v>18</v>
      </c>
      <c r="C7" s="31" t="s">
        <v>24</v>
      </c>
      <c r="D7" s="31"/>
      <c r="E7" s="31"/>
      <c r="F7" s="31"/>
      <c r="G7" s="31"/>
      <c r="H7" s="31"/>
      <c r="I7" s="41">
        <v>13.0</v>
      </c>
      <c r="J7" s="31"/>
      <c r="K7" s="31"/>
      <c r="L7" s="31"/>
      <c r="M7" s="41">
        <v>500.0</v>
      </c>
      <c r="N7" s="31"/>
      <c r="O7" s="31"/>
      <c r="P7" s="40" t="s">
        <v>17</v>
      </c>
      <c r="Q7" s="31"/>
      <c r="R7" s="31" t="s">
        <v>16</v>
      </c>
      <c r="S7" s="31"/>
      <c r="T7" s="31"/>
      <c r="U7" s="31"/>
      <c r="V7" s="31"/>
      <c r="W7" s="31"/>
      <c r="X7" s="31"/>
      <c r="Y7" s="31"/>
      <c r="Z7" s="41">
        <v>13.0</v>
      </c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40" t="s">
        <v>18</v>
      </c>
      <c r="C8" s="31" t="s">
        <v>24</v>
      </c>
      <c r="D8" s="31"/>
      <c r="E8" s="31"/>
      <c r="F8" s="31"/>
      <c r="G8" s="31"/>
      <c r="H8" s="31"/>
      <c r="I8" s="41">
        <v>12.0</v>
      </c>
      <c r="J8" s="31"/>
      <c r="K8" s="31"/>
      <c r="L8" s="31"/>
      <c r="M8" s="41">
        <v>300.0</v>
      </c>
      <c r="N8" s="31"/>
      <c r="O8" s="31"/>
      <c r="P8" s="40" t="s">
        <v>17</v>
      </c>
      <c r="Q8" s="31"/>
      <c r="R8" s="31" t="s">
        <v>16</v>
      </c>
      <c r="S8" s="31"/>
      <c r="T8" s="31"/>
      <c r="U8" s="31"/>
      <c r="V8" s="31"/>
      <c r="W8" s="31"/>
      <c r="X8" s="31"/>
      <c r="Y8" s="31"/>
      <c r="Z8" s="41">
        <v>12.0</v>
      </c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40" t="s">
        <v>18</v>
      </c>
      <c r="C9" s="31" t="s">
        <v>24</v>
      </c>
      <c r="D9" s="31"/>
      <c r="E9" s="31"/>
      <c r="F9" s="31"/>
      <c r="G9" s="31"/>
      <c r="H9" s="31"/>
      <c r="I9" s="41">
        <v>10.0</v>
      </c>
      <c r="J9" s="31"/>
      <c r="K9" s="31"/>
      <c r="L9" s="31"/>
      <c r="M9" s="41">
        <v>400.0</v>
      </c>
      <c r="N9" s="31"/>
      <c r="O9" s="31"/>
      <c r="P9" s="40" t="s">
        <v>17</v>
      </c>
      <c r="Q9" s="31"/>
      <c r="R9" s="31" t="s">
        <v>16</v>
      </c>
      <c r="S9" s="31"/>
      <c r="T9" s="31"/>
      <c r="U9" s="31"/>
      <c r="V9" s="31"/>
      <c r="W9" s="31"/>
      <c r="X9" s="31"/>
      <c r="Y9" s="31"/>
      <c r="Z9" s="41">
        <v>10.0</v>
      </c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40" t="s">
        <v>18</v>
      </c>
      <c r="C10" s="31" t="s">
        <v>24</v>
      </c>
      <c r="D10" s="8"/>
      <c r="E10" s="8"/>
      <c r="F10" s="8"/>
      <c r="G10" s="8"/>
      <c r="H10" s="8"/>
      <c r="I10" s="41">
        <v>12.0</v>
      </c>
      <c r="J10" s="8"/>
      <c r="K10" s="8"/>
      <c r="L10" s="8"/>
      <c r="M10" s="41">
        <v>600.0</v>
      </c>
      <c r="N10" s="8"/>
      <c r="O10" s="8"/>
      <c r="P10" s="40" t="s">
        <v>17</v>
      </c>
      <c r="R10" s="31" t="s">
        <v>16</v>
      </c>
      <c r="Z10" s="41">
        <v>12.0</v>
      </c>
    </row>
    <row r="11" ht="15.75" customHeight="1">
      <c r="A11" s="8"/>
      <c r="B11" s="40" t="s">
        <v>18</v>
      </c>
      <c r="C11" s="31" t="s">
        <v>24</v>
      </c>
      <c r="D11" s="8"/>
      <c r="E11" s="8"/>
      <c r="F11" s="8"/>
      <c r="G11" s="8"/>
      <c r="H11" s="8"/>
      <c r="I11" s="41">
        <v>13.0</v>
      </c>
      <c r="J11" s="8"/>
      <c r="K11" s="8"/>
      <c r="L11" s="8"/>
      <c r="M11" s="41">
        <v>100.0</v>
      </c>
      <c r="N11" s="8"/>
      <c r="O11" s="8"/>
      <c r="P11" s="40" t="s">
        <v>17</v>
      </c>
      <c r="R11" s="31" t="s">
        <v>16</v>
      </c>
      <c r="Z11" s="41">
        <v>13.0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R12" s="3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18</v>
      </c>
      <c r="C6" s="33" t="s">
        <v>24</v>
      </c>
      <c r="D6" s="33"/>
      <c r="E6" s="31"/>
      <c r="F6" s="33"/>
      <c r="G6" s="31"/>
      <c r="H6" s="31"/>
      <c r="I6" s="31"/>
      <c r="J6" s="31"/>
      <c r="K6" s="31"/>
      <c r="L6" s="31"/>
      <c r="M6" s="41">
        <v>400.0</v>
      </c>
      <c r="N6" s="31"/>
      <c r="O6" s="31"/>
      <c r="P6" s="33" t="s">
        <v>19</v>
      </c>
      <c r="Q6" s="31"/>
      <c r="R6" s="33" t="s">
        <v>16</v>
      </c>
      <c r="S6" s="31"/>
      <c r="T6" s="31"/>
      <c r="U6" s="31"/>
      <c r="V6" s="31"/>
      <c r="W6" s="31"/>
      <c r="X6" s="31"/>
      <c r="Y6" s="31"/>
      <c r="Z6" s="41">
        <v>14.0</v>
      </c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18</v>
      </c>
      <c r="C7" s="31" t="s">
        <v>24</v>
      </c>
      <c r="D7" s="31"/>
      <c r="E7" s="31"/>
      <c r="F7" s="31"/>
      <c r="G7" s="31"/>
      <c r="H7" s="31"/>
      <c r="I7" s="31"/>
      <c r="J7" s="31"/>
      <c r="K7" s="31"/>
      <c r="L7" s="31"/>
      <c r="M7" s="41">
        <v>200.0</v>
      </c>
      <c r="N7" s="31"/>
      <c r="O7" s="31"/>
      <c r="P7" s="31" t="s">
        <v>19</v>
      </c>
      <c r="Q7" s="31"/>
      <c r="R7" s="31" t="s">
        <v>16</v>
      </c>
      <c r="S7" s="31"/>
      <c r="T7" s="31"/>
      <c r="U7" s="31"/>
      <c r="V7" s="31"/>
      <c r="W7" s="31"/>
      <c r="X7" s="31"/>
      <c r="Y7" s="31"/>
      <c r="Z7" s="41">
        <v>15.0</v>
      </c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 t="s">
        <v>18</v>
      </c>
      <c r="C8" s="31" t="s">
        <v>24</v>
      </c>
      <c r="D8" s="31"/>
      <c r="E8" s="31"/>
      <c r="F8" s="31"/>
      <c r="G8" s="31"/>
      <c r="H8" s="31"/>
      <c r="I8" s="31"/>
      <c r="J8" s="31"/>
      <c r="K8" s="31"/>
      <c r="L8" s="31"/>
      <c r="M8" s="41">
        <v>300.0</v>
      </c>
      <c r="N8" s="31"/>
      <c r="O8" s="31"/>
      <c r="P8" s="31" t="s">
        <v>19</v>
      </c>
      <c r="Q8" s="31"/>
      <c r="R8" s="31" t="s">
        <v>16</v>
      </c>
      <c r="S8" s="31"/>
      <c r="T8" s="31"/>
      <c r="U8" s="31"/>
      <c r="V8" s="31"/>
      <c r="W8" s="31"/>
      <c r="X8" s="31"/>
      <c r="Y8" s="31"/>
      <c r="Z8" s="41">
        <v>16.0</v>
      </c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40" t="s">
        <v>18</v>
      </c>
      <c r="C9" s="31" t="s">
        <v>24</v>
      </c>
      <c r="D9" s="8"/>
      <c r="E9" s="8"/>
      <c r="F9" s="8"/>
      <c r="G9" s="8"/>
      <c r="H9" s="8"/>
      <c r="I9" s="8"/>
      <c r="J9" s="8"/>
      <c r="K9" s="8"/>
      <c r="L9" s="8"/>
      <c r="M9" s="41">
        <v>1000.0</v>
      </c>
      <c r="N9" s="8"/>
      <c r="O9" s="8"/>
      <c r="P9" s="31" t="s">
        <v>19</v>
      </c>
      <c r="R9" s="31" t="s">
        <v>16</v>
      </c>
      <c r="Z9" s="41">
        <v>13.0</v>
      </c>
    </row>
    <row r="10" ht="15.75" customHeight="1">
      <c r="A10" s="8"/>
      <c r="B10" s="40" t="s">
        <v>18</v>
      </c>
      <c r="C10" s="31" t="s">
        <v>24</v>
      </c>
      <c r="D10" s="8"/>
      <c r="E10" s="8"/>
      <c r="F10" s="8"/>
      <c r="G10" s="8"/>
      <c r="H10" s="8"/>
      <c r="I10" s="8"/>
      <c r="J10" s="8"/>
      <c r="K10" s="8"/>
      <c r="L10" s="8"/>
      <c r="M10" s="41">
        <v>200.0</v>
      </c>
      <c r="N10" s="8"/>
      <c r="O10" s="8"/>
      <c r="P10" s="31" t="s">
        <v>19</v>
      </c>
      <c r="R10" s="31" t="s">
        <v>16</v>
      </c>
      <c r="Z10" s="41">
        <v>13.0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1zwv-aZp-DRCpq8bqLR0XRiyt0av-GAm0ORqbhnV-FKI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 ")</f>
        <v>CloseSSw/BuyBTO </v>
      </c>
      <c r="C5" s="28" t="str">
        <f>IFERROR(__xludf.DUMMYFUNCTION("""COMPUTED_VALUE"""),"AutoCloseStrategy")</f>
        <v>AutoCloseStrategy</v>
      </c>
      <c r="D5" s="28" t="str">
        <f>IFERROR(__xludf.DUMMYFUNCTION("""COMPUTED_VALUE"""),"Algorithm")</f>
        <v>Algorithm</v>
      </c>
      <c r="E5" s="28" t="str">
        <f>IFERROR(__xludf.DUMMYFUNCTION("""COMPUTED_VALUE"""),"SecondarySortCriteria")</f>
        <v>SecondarySortCriteria</v>
      </c>
      <c r="F5" s="29" t="str">
        <f>IFERROR(__xludf.DUMMYFUNCTION("""COMPUTED_VALUE"""),"ClosingField")</f>
        <v>ClosingField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b">
        <v>0</v>
      </c>
      <c r="C6" s="42" t="b">
        <v>0</v>
      </c>
      <c r="D6" s="43" t="s">
        <v>27</v>
      </c>
      <c r="E6" s="44" t="s">
        <v>28</v>
      </c>
      <c r="F6" s="44" t="s">
        <v>29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 t="str">
        <f>IFERROR(__xludf.DUMMYFUNCTION("""COMPUTED_VALUE"""),"isRowCountCheck")</f>
        <v>isRowCountCheck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40" t="s">
        <v>18</v>
      </c>
      <c r="E6" s="31"/>
      <c r="F6" s="40" t="s">
        <v>31</v>
      </c>
      <c r="G6" s="33"/>
      <c r="H6" s="33" t="s">
        <v>16</v>
      </c>
      <c r="I6" s="31"/>
      <c r="J6" s="41">
        <v>14.0</v>
      </c>
      <c r="K6" s="41">
        <v>14.0</v>
      </c>
      <c r="L6" s="31"/>
      <c r="M6" s="31"/>
      <c r="N6" s="31"/>
      <c r="O6" s="40" t="s">
        <v>31</v>
      </c>
      <c r="P6" s="31"/>
      <c r="Q6" s="40" t="s">
        <v>19</v>
      </c>
      <c r="R6" s="33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1"/>
      <c r="D7" s="40" t="s">
        <v>18</v>
      </c>
      <c r="E7" s="31"/>
      <c r="F7" s="40" t="s">
        <v>31</v>
      </c>
      <c r="G7" s="31"/>
      <c r="H7" s="31" t="s">
        <v>16</v>
      </c>
      <c r="I7" s="31"/>
      <c r="J7" s="41">
        <v>13.0</v>
      </c>
      <c r="K7" s="41">
        <v>14.0</v>
      </c>
      <c r="L7" s="31"/>
      <c r="M7" s="31"/>
      <c r="N7" s="31"/>
      <c r="O7" s="40" t="s">
        <v>31</v>
      </c>
      <c r="P7" s="31"/>
      <c r="Q7" s="40" t="s">
        <v>19</v>
      </c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/>
      <c r="C8" s="31"/>
      <c r="D8" s="40" t="s">
        <v>18</v>
      </c>
      <c r="E8" s="31"/>
      <c r="F8" s="40" t="s">
        <v>31</v>
      </c>
      <c r="G8" s="31"/>
      <c r="H8" s="31" t="s">
        <v>16</v>
      </c>
      <c r="I8" s="31"/>
      <c r="J8" s="41">
        <v>13.0</v>
      </c>
      <c r="K8" s="41">
        <v>15.0</v>
      </c>
      <c r="L8" s="31"/>
      <c r="M8" s="31"/>
      <c r="N8" s="31"/>
      <c r="O8" s="40" t="s">
        <v>31</v>
      </c>
      <c r="P8" s="31"/>
      <c r="Q8" s="40" t="s">
        <v>19</v>
      </c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1"/>
      <c r="C9" s="31"/>
      <c r="D9" s="40" t="s">
        <v>18</v>
      </c>
      <c r="E9" s="31"/>
      <c r="F9" s="40" t="s">
        <v>31</v>
      </c>
      <c r="G9" s="31"/>
      <c r="H9" s="31" t="s">
        <v>16</v>
      </c>
      <c r="I9" s="31"/>
      <c r="J9" s="41">
        <v>13.0</v>
      </c>
      <c r="K9" s="41">
        <v>16.0</v>
      </c>
      <c r="L9" s="31"/>
      <c r="M9" s="31"/>
      <c r="N9" s="31"/>
      <c r="O9" s="40" t="s">
        <v>31</v>
      </c>
      <c r="P9" s="31"/>
      <c r="Q9" s="40" t="s">
        <v>19</v>
      </c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1"/>
      <c r="C10" s="31"/>
      <c r="D10" s="40" t="s">
        <v>18</v>
      </c>
      <c r="E10" s="31"/>
      <c r="F10" s="40" t="s">
        <v>31</v>
      </c>
      <c r="G10" s="31"/>
      <c r="H10" s="31" t="s">
        <v>16</v>
      </c>
      <c r="I10" s="31"/>
      <c r="J10" s="41">
        <v>12.0</v>
      </c>
      <c r="K10" s="41">
        <v>16.0</v>
      </c>
      <c r="L10" s="31"/>
      <c r="M10" s="31"/>
      <c r="N10" s="31"/>
      <c r="O10" s="40" t="s">
        <v>31</v>
      </c>
      <c r="P10" s="31"/>
      <c r="Q10" s="40" t="s">
        <v>19</v>
      </c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8"/>
      <c r="B11" s="8"/>
      <c r="C11" s="8"/>
      <c r="D11" s="40" t="s">
        <v>18</v>
      </c>
      <c r="E11" s="8"/>
      <c r="F11" s="40" t="s">
        <v>31</v>
      </c>
      <c r="G11" s="8"/>
      <c r="H11" s="31" t="s">
        <v>16</v>
      </c>
      <c r="I11" s="8"/>
      <c r="J11" s="41">
        <v>12.0</v>
      </c>
      <c r="K11" s="41">
        <v>13.0</v>
      </c>
      <c r="L11" s="8"/>
      <c r="M11" s="8"/>
      <c r="N11" s="8"/>
      <c r="O11" s="40" t="s">
        <v>31</v>
      </c>
      <c r="Q11" s="40" t="s">
        <v>19</v>
      </c>
    </row>
    <row r="12" ht="15.75" customHeight="1">
      <c r="A12" s="8"/>
      <c r="B12" s="8"/>
      <c r="C12" s="8"/>
      <c r="D12" s="40" t="s">
        <v>18</v>
      </c>
      <c r="E12" s="8"/>
      <c r="F12" s="40" t="s">
        <v>31</v>
      </c>
      <c r="G12" s="8"/>
      <c r="H12" s="31" t="s">
        <v>16</v>
      </c>
      <c r="I12" s="8"/>
      <c r="J12" s="41">
        <v>12.0</v>
      </c>
      <c r="K12" s="41">
        <v>13.0</v>
      </c>
      <c r="L12" s="8"/>
      <c r="M12" s="8"/>
      <c r="N12" s="8"/>
      <c r="O12" s="40" t="s">
        <v>31</v>
      </c>
      <c r="Q12" s="40" t="s">
        <v>19</v>
      </c>
    </row>
    <row r="13" ht="15.75" customHeight="1">
      <c r="A13" s="8"/>
      <c r="B13" s="8"/>
      <c r="C13" s="8"/>
      <c r="D13" s="40" t="s">
        <v>18</v>
      </c>
      <c r="E13" s="8"/>
      <c r="F13" s="40" t="s">
        <v>31</v>
      </c>
      <c r="G13" s="8"/>
      <c r="H13" s="31" t="s">
        <v>16</v>
      </c>
      <c r="I13" s="8"/>
      <c r="J13" s="41">
        <v>10.0</v>
      </c>
      <c r="K13" s="41">
        <v>13.0</v>
      </c>
      <c r="L13" s="8"/>
      <c r="M13" s="8"/>
      <c r="N13" s="8"/>
      <c r="O13" s="40" t="s">
        <v>31</v>
      </c>
      <c r="Q13" s="40" t="s">
        <v>19</v>
      </c>
    </row>
    <row r="14" ht="15.75" customHeight="1">
      <c r="A14" s="8"/>
      <c r="B14" s="8"/>
      <c r="C14" s="8"/>
      <c r="D14" s="40" t="s">
        <v>18</v>
      </c>
      <c r="E14" s="8"/>
      <c r="F14" s="40" t="s">
        <v>31</v>
      </c>
      <c r="G14" s="8"/>
      <c r="H14" s="31" t="s">
        <v>16</v>
      </c>
      <c r="I14" s="8"/>
      <c r="J14" s="41">
        <v>10.0</v>
      </c>
      <c r="K14" s="41">
        <v>13.0</v>
      </c>
      <c r="L14" s="8"/>
      <c r="M14" s="8"/>
      <c r="N14" s="8"/>
      <c r="O14" s="40" t="s">
        <v>31</v>
      </c>
      <c r="Q14" s="40" t="s">
        <v>19</v>
      </c>
    </row>
    <row r="15" ht="15.75" customHeight="1">
      <c r="A15" s="8"/>
      <c r="B15" s="8"/>
      <c r="C15" s="8"/>
      <c r="D15" s="40" t="s">
        <v>18</v>
      </c>
      <c r="E15" s="8"/>
      <c r="F15" s="40" t="s">
        <v>31</v>
      </c>
      <c r="G15" s="8"/>
      <c r="H15" s="31" t="s">
        <v>16</v>
      </c>
      <c r="I15" s="8"/>
      <c r="J15" s="41">
        <v>13.0</v>
      </c>
      <c r="K15" s="41">
        <v>13.0</v>
      </c>
      <c r="L15" s="8"/>
      <c r="M15" s="8"/>
      <c r="N15" s="8"/>
      <c r="O15" s="40" t="s">
        <v>31</v>
      </c>
      <c r="Q15" s="40" t="s">
        <v>19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22</v>
      </c>
      <c r="C6" s="39">
        <v>42037.0</v>
      </c>
      <c r="D6" s="45">
        <v>42041.0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6" t="s">
        <v>18</v>
      </c>
      <c r="C6" s="31" t="s">
        <v>35</v>
      </c>
      <c r="D6" s="47"/>
      <c r="E6" s="48">
        <v>200.0</v>
      </c>
      <c r="F6" s="31"/>
      <c r="G6" s="46" t="s">
        <v>24</v>
      </c>
      <c r="H6" s="48">
        <v>4.0</v>
      </c>
      <c r="I6" s="49">
        <v>5.0</v>
      </c>
      <c r="J6" s="49">
        <v>1.0</v>
      </c>
      <c r="K6" s="48">
        <v>14.0</v>
      </c>
      <c r="L6" s="48">
        <v>14.0</v>
      </c>
      <c r="M6" s="46" t="s">
        <v>36</v>
      </c>
      <c r="N6" s="31" t="s">
        <v>35</v>
      </c>
      <c r="O6" s="33" t="s">
        <v>37</v>
      </c>
      <c r="P6" s="31"/>
      <c r="Q6" s="48">
        <v>3.0</v>
      </c>
      <c r="R6" s="31"/>
      <c r="S6" s="31"/>
      <c r="T6" s="31"/>
      <c r="U6" s="31"/>
      <c r="V6" s="31" t="s">
        <v>38</v>
      </c>
      <c r="W6" s="50">
        <v>1.0</v>
      </c>
      <c r="X6" s="31" t="s">
        <v>35</v>
      </c>
      <c r="Y6" s="31" t="s">
        <v>35</v>
      </c>
      <c r="Z6" s="31" t="s">
        <v>39</v>
      </c>
      <c r="AA6" s="31"/>
      <c r="AB6" s="31"/>
      <c r="AC6" s="31"/>
      <c r="AD6" s="31" t="s">
        <v>40</v>
      </c>
      <c r="AE6" s="48">
        <v>200.0</v>
      </c>
      <c r="AF6" s="31" t="s">
        <v>35</v>
      </c>
      <c r="AG6" s="31"/>
      <c r="AH6" s="31" t="s">
        <v>41</v>
      </c>
      <c r="AI6" s="50">
        <v>1.0</v>
      </c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 t="s">
        <v>42</v>
      </c>
      <c r="AZ6" s="31"/>
      <c r="BA6" s="31"/>
      <c r="BB6" s="31"/>
      <c r="BC6" s="31"/>
      <c r="BD6" s="31"/>
      <c r="BE6" s="51">
        <v>2800.0</v>
      </c>
      <c r="BF6" s="51">
        <v>2800.0</v>
      </c>
      <c r="BG6" s="31"/>
      <c r="BH6" s="31"/>
      <c r="BI6" s="31"/>
      <c r="BJ6" s="48">
        <v>200.0</v>
      </c>
      <c r="BK6" s="31"/>
      <c r="BL6" s="31" t="s">
        <v>35</v>
      </c>
      <c r="BM6" s="31"/>
      <c r="BN6" s="31"/>
      <c r="BO6" s="46" t="s">
        <v>17</v>
      </c>
      <c r="BP6" s="31"/>
      <c r="BQ6" s="31"/>
      <c r="BR6" s="31"/>
      <c r="BS6" s="46" t="s">
        <v>43</v>
      </c>
      <c r="BT6" s="33" t="s">
        <v>16</v>
      </c>
      <c r="BU6" s="50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 t="s">
        <v>44</v>
      </c>
      <c r="CL6" s="31"/>
      <c r="CM6" s="31"/>
      <c r="CN6" s="31"/>
      <c r="CO6" s="31"/>
      <c r="CP6" s="46" t="s">
        <v>27</v>
      </c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46" t="s">
        <v>18</v>
      </c>
      <c r="C7" s="31" t="s">
        <v>35</v>
      </c>
      <c r="D7" s="31"/>
      <c r="E7" s="48">
        <v>100.0</v>
      </c>
      <c r="F7" s="31"/>
      <c r="G7" s="46" t="s">
        <v>24</v>
      </c>
      <c r="H7" s="48">
        <v>4.0</v>
      </c>
      <c r="I7" s="49">
        <v>5.0</v>
      </c>
      <c r="J7" s="49">
        <v>1.0</v>
      </c>
      <c r="K7" s="48">
        <v>13.0</v>
      </c>
      <c r="L7" s="48">
        <v>13.0</v>
      </c>
      <c r="M7" s="46" t="s">
        <v>36</v>
      </c>
      <c r="N7" s="31" t="s">
        <v>35</v>
      </c>
      <c r="O7" s="33" t="s">
        <v>37</v>
      </c>
      <c r="P7" s="31"/>
      <c r="Q7" s="48">
        <v>3.0</v>
      </c>
      <c r="R7" s="31"/>
      <c r="S7" s="31"/>
      <c r="T7" s="31"/>
      <c r="U7" s="31"/>
      <c r="V7" s="31" t="s">
        <v>38</v>
      </c>
      <c r="W7" s="50">
        <v>1.0</v>
      </c>
      <c r="X7" s="31" t="s">
        <v>35</v>
      </c>
      <c r="Y7" s="31" t="s">
        <v>35</v>
      </c>
      <c r="Z7" s="31" t="s">
        <v>39</v>
      </c>
      <c r="AA7" s="31"/>
      <c r="AB7" s="31"/>
      <c r="AC7" s="31"/>
      <c r="AD7" s="31" t="s">
        <v>40</v>
      </c>
      <c r="AE7" s="48">
        <v>100.0</v>
      </c>
      <c r="AF7" s="31" t="s">
        <v>35</v>
      </c>
      <c r="AG7" s="31"/>
      <c r="AH7" s="31" t="s">
        <v>41</v>
      </c>
      <c r="AI7" s="50">
        <v>1.0</v>
      </c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 t="s">
        <v>42</v>
      </c>
      <c r="AZ7" s="31"/>
      <c r="BA7" s="31"/>
      <c r="BB7" s="31"/>
      <c r="BC7" s="31"/>
      <c r="BD7" s="31"/>
      <c r="BE7" s="51">
        <v>1300.0</v>
      </c>
      <c r="BF7" s="51">
        <v>1300.0</v>
      </c>
      <c r="BG7" s="31"/>
      <c r="BH7" s="31"/>
      <c r="BI7" s="31"/>
      <c r="BJ7" s="48">
        <v>100.0</v>
      </c>
      <c r="BK7" s="31"/>
      <c r="BL7" s="31" t="s">
        <v>35</v>
      </c>
      <c r="BM7" s="31"/>
      <c r="BN7" s="31"/>
      <c r="BO7" s="46" t="s">
        <v>17</v>
      </c>
      <c r="BP7" s="31"/>
      <c r="BQ7" s="31"/>
      <c r="BR7" s="31"/>
      <c r="BS7" s="46" t="s">
        <v>43</v>
      </c>
      <c r="BT7" s="33" t="s">
        <v>16</v>
      </c>
      <c r="BU7" s="50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 t="s">
        <v>44</v>
      </c>
      <c r="CL7" s="31"/>
      <c r="CM7" s="31"/>
      <c r="CN7" s="31"/>
      <c r="CO7" s="31"/>
      <c r="CP7" s="46" t="s">
        <v>27</v>
      </c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46" t="s">
        <v>18</v>
      </c>
      <c r="C8" s="31" t="s">
        <v>35</v>
      </c>
      <c r="D8" s="31"/>
      <c r="E8" s="48">
        <v>400.0</v>
      </c>
      <c r="F8" s="31"/>
      <c r="G8" s="46" t="s">
        <v>24</v>
      </c>
      <c r="H8" s="48">
        <v>4.0</v>
      </c>
      <c r="I8" s="49">
        <v>5.0</v>
      </c>
      <c r="J8" s="49">
        <v>1.0</v>
      </c>
      <c r="K8" s="48">
        <v>14.0</v>
      </c>
      <c r="L8" s="48">
        <v>14.0</v>
      </c>
      <c r="M8" s="46" t="s">
        <v>36</v>
      </c>
      <c r="N8" s="31" t="s">
        <v>35</v>
      </c>
      <c r="O8" s="31" t="s">
        <v>37</v>
      </c>
      <c r="P8" s="31"/>
      <c r="Q8" s="48">
        <v>3.0</v>
      </c>
      <c r="R8" s="31"/>
      <c r="S8" s="31"/>
      <c r="T8" s="31"/>
      <c r="U8" s="31"/>
      <c r="V8" s="31" t="s">
        <v>38</v>
      </c>
      <c r="W8" s="50">
        <v>1.0</v>
      </c>
      <c r="X8" s="31" t="s">
        <v>35</v>
      </c>
      <c r="Y8" s="31" t="s">
        <v>35</v>
      </c>
      <c r="Z8" s="31" t="s">
        <v>39</v>
      </c>
      <c r="AA8" s="31"/>
      <c r="AB8" s="31"/>
      <c r="AC8" s="31"/>
      <c r="AD8" s="31" t="s">
        <v>40</v>
      </c>
      <c r="AE8" s="48">
        <v>400.0</v>
      </c>
      <c r="AF8" s="31" t="s">
        <v>35</v>
      </c>
      <c r="AG8" s="31"/>
      <c r="AH8" s="31" t="s">
        <v>41</v>
      </c>
      <c r="AI8" s="50">
        <v>1.0</v>
      </c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 t="s">
        <v>42</v>
      </c>
      <c r="AZ8" s="31"/>
      <c r="BA8" s="31"/>
      <c r="BB8" s="31"/>
      <c r="BC8" s="31"/>
      <c r="BD8" s="31"/>
      <c r="BE8" s="51">
        <v>5600.0</v>
      </c>
      <c r="BF8" s="51">
        <v>5600.0</v>
      </c>
      <c r="BG8" s="31"/>
      <c r="BH8" s="31"/>
      <c r="BI8" s="31"/>
      <c r="BJ8" s="48">
        <v>400.0</v>
      </c>
      <c r="BK8" s="31"/>
      <c r="BL8" s="31" t="s">
        <v>35</v>
      </c>
      <c r="BM8" s="31"/>
      <c r="BN8" s="31"/>
      <c r="BO8" s="46" t="s">
        <v>19</v>
      </c>
      <c r="BP8" s="31"/>
      <c r="BQ8" s="31"/>
      <c r="BR8" s="31"/>
      <c r="BS8" s="46" t="s">
        <v>43</v>
      </c>
      <c r="BT8" s="31" t="s">
        <v>16</v>
      </c>
      <c r="BU8" s="50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 t="s">
        <v>44</v>
      </c>
      <c r="CL8" s="31"/>
      <c r="CM8" s="31"/>
      <c r="CN8" s="31"/>
      <c r="CO8" s="31"/>
      <c r="CP8" s="46" t="s">
        <v>27</v>
      </c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46" t="s">
        <v>18</v>
      </c>
      <c r="C9" s="31" t="s">
        <v>35</v>
      </c>
      <c r="D9" s="31"/>
      <c r="E9" s="48">
        <v>200.0</v>
      </c>
      <c r="F9" s="31"/>
      <c r="G9" s="46" t="s">
        <v>24</v>
      </c>
      <c r="H9" s="48">
        <v>4.0</v>
      </c>
      <c r="I9" s="49">
        <v>5.0</v>
      </c>
      <c r="J9" s="49">
        <v>1.0</v>
      </c>
      <c r="K9" s="48">
        <v>15.0</v>
      </c>
      <c r="L9" s="48">
        <v>15.0</v>
      </c>
      <c r="M9" s="46" t="s">
        <v>36</v>
      </c>
      <c r="N9" s="31" t="s">
        <v>35</v>
      </c>
      <c r="O9" s="31" t="s">
        <v>37</v>
      </c>
      <c r="P9" s="31"/>
      <c r="Q9" s="48">
        <v>3.0</v>
      </c>
      <c r="R9" s="31"/>
      <c r="S9" s="31"/>
      <c r="T9" s="31"/>
      <c r="U9" s="31"/>
      <c r="V9" s="31" t="s">
        <v>38</v>
      </c>
      <c r="W9" s="50">
        <v>1.0</v>
      </c>
      <c r="X9" s="31" t="s">
        <v>35</v>
      </c>
      <c r="Y9" s="31" t="s">
        <v>35</v>
      </c>
      <c r="Z9" s="31" t="s">
        <v>39</v>
      </c>
      <c r="AA9" s="31"/>
      <c r="AB9" s="31"/>
      <c r="AC9" s="31"/>
      <c r="AD9" s="31" t="s">
        <v>40</v>
      </c>
      <c r="AE9" s="48">
        <v>200.0</v>
      </c>
      <c r="AF9" s="31" t="s">
        <v>35</v>
      </c>
      <c r="AG9" s="31"/>
      <c r="AH9" s="31" t="s">
        <v>41</v>
      </c>
      <c r="AI9" s="50">
        <v>1.0</v>
      </c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 t="s">
        <v>42</v>
      </c>
      <c r="AZ9" s="31"/>
      <c r="BA9" s="31"/>
      <c r="BB9" s="31"/>
      <c r="BC9" s="31"/>
      <c r="BD9" s="31"/>
      <c r="BE9" s="51">
        <v>3000.0</v>
      </c>
      <c r="BF9" s="51">
        <v>3000.0</v>
      </c>
      <c r="BG9" s="31"/>
      <c r="BH9" s="31"/>
      <c r="BI9" s="31"/>
      <c r="BJ9" s="48">
        <v>200.0</v>
      </c>
      <c r="BK9" s="31"/>
      <c r="BL9" s="31" t="s">
        <v>35</v>
      </c>
      <c r="BM9" s="31"/>
      <c r="BN9" s="31"/>
      <c r="BO9" s="46" t="s">
        <v>19</v>
      </c>
      <c r="BP9" s="31"/>
      <c r="BQ9" s="31"/>
      <c r="BR9" s="31"/>
      <c r="BS9" s="46" t="s">
        <v>43</v>
      </c>
      <c r="BT9" s="31" t="s">
        <v>16</v>
      </c>
      <c r="BU9" s="50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 t="s">
        <v>44</v>
      </c>
      <c r="CL9" s="31"/>
      <c r="CM9" s="31"/>
      <c r="CN9" s="31"/>
      <c r="CO9" s="31"/>
      <c r="CP9" s="46" t="s">
        <v>27</v>
      </c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46" t="s">
        <v>18</v>
      </c>
      <c r="C10" s="31" t="s">
        <v>35</v>
      </c>
      <c r="D10" s="31"/>
      <c r="E10" s="48">
        <v>300.0</v>
      </c>
      <c r="F10" s="31"/>
      <c r="G10" s="46" t="s">
        <v>24</v>
      </c>
      <c r="H10" s="48">
        <v>4.0</v>
      </c>
      <c r="I10" s="49">
        <v>5.0</v>
      </c>
      <c r="J10" s="49">
        <v>1.0</v>
      </c>
      <c r="K10" s="48">
        <v>12.0</v>
      </c>
      <c r="L10" s="48">
        <v>12.0</v>
      </c>
      <c r="M10" s="46" t="s">
        <v>36</v>
      </c>
      <c r="N10" s="31" t="s">
        <v>35</v>
      </c>
      <c r="O10" s="31" t="s">
        <v>37</v>
      </c>
      <c r="P10" s="31"/>
      <c r="Q10" s="48">
        <v>3.0</v>
      </c>
      <c r="R10" s="31"/>
      <c r="S10" s="31"/>
      <c r="T10" s="31"/>
      <c r="U10" s="31"/>
      <c r="V10" s="31" t="s">
        <v>38</v>
      </c>
      <c r="W10" s="50">
        <v>1.0</v>
      </c>
      <c r="X10" s="31" t="s">
        <v>35</v>
      </c>
      <c r="Y10" s="31" t="s">
        <v>35</v>
      </c>
      <c r="Z10" s="31" t="s">
        <v>39</v>
      </c>
      <c r="AA10" s="31"/>
      <c r="AB10" s="31"/>
      <c r="AC10" s="31"/>
      <c r="AD10" s="31" t="s">
        <v>40</v>
      </c>
      <c r="AE10" s="48">
        <v>300.0</v>
      </c>
      <c r="AF10" s="31" t="s">
        <v>35</v>
      </c>
      <c r="AG10" s="31"/>
      <c r="AH10" s="31" t="s">
        <v>41</v>
      </c>
      <c r="AI10" s="50">
        <v>1.0</v>
      </c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 t="s">
        <v>42</v>
      </c>
      <c r="AZ10" s="31"/>
      <c r="BA10" s="31"/>
      <c r="BB10" s="31"/>
      <c r="BC10" s="31"/>
      <c r="BD10" s="31"/>
      <c r="BE10" s="51">
        <v>3600.0</v>
      </c>
      <c r="BF10" s="51">
        <v>3600.0</v>
      </c>
      <c r="BG10" s="31"/>
      <c r="BH10" s="31"/>
      <c r="BI10" s="31"/>
      <c r="BJ10" s="48">
        <v>300.0</v>
      </c>
      <c r="BK10" s="31"/>
      <c r="BL10" s="31" t="s">
        <v>35</v>
      </c>
      <c r="BM10" s="31"/>
      <c r="BN10" s="31"/>
      <c r="BO10" s="46" t="s">
        <v>17</v>
      </c>
      <c r="BP10" s="31"/>
      <c r="BQ10" s="31"/>
      <c r="BR10" s="31"/>
      <c r="BS10" s="46" t="s">
        <v>43</v>
      </c>
      <c r="BT10" s="31" t="s">
        <v>16</v>
      </c>
      <c r="BU10" s="50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 t="s">
        <v>44</v>
      </c>
      <c r="CL10" s="31"/>
      <c r="CM10" s="31"/>
      <c r="CN10" s="31"/>
      <c r="CO10" s="31"/>
      <c r="CP10" s="46" t="s">
        <v>27</v>
      </c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46" t="s">
        <v>18</v>
      </c>
      <c r="C11" s="31" t="s">
        <v>35</v>
      </c>
      <c r="D11" s="31"/>
      <c r="E11" s="48">
        <v>500.0</v>
      </c>
      <c r="F11" s="31"/>
      <c r="G11" s="46" t="s">
        <v>24</v>
      </c>
      <c r="H11" s="48">
        <v>4.0</v>
      </c>
      <c r="I11" s="49">
        <v>5.0</v>
      </c>
      <c r="J11" s="49">
        <v>1.0</v>
      </c>
      <c r="K11" s="48">
        <v>13.0</v>
      </c>
      <c r="L11" s="48">
        <v>13.0</v>
      </c>
      <c r="M11" s="46" t="s">
        <v>36</v>
      </c>
      <c r="N11" s="31" t="s">
        <v>35</v>
      </c>
      <c r="O11" s="31" t="s">
        <v>37</v>
      </c>
      <c r="P11" s="31"/>
      <c r="Q11" s="48">
        <v>3.0</v>
      </c>
      <c r="R11" s="31"/>
      <c r="S11" s="31"/>
      <c r="T11" s="31"/>
      <c r="U11" s="31"/>
      <c r="V11" s="31" t="s">
        <v>38</v>
      </c>
      <c r="W11" s="50">
        <v>1.0</v>
      </c>
      <c r="X11" s="31" t="s">
        <v>35</v>
      </c>
      <c r="Y11" s="31" t="s">
        <v>35</v>
      </c>
      <c r="Z11" s="31" t="s">
        <v>39</v>
      </c>
      <c r="AA11" s="31"/>
      <c r="AB11" s="31"/>
      <c r="AC11" s="31"/>
      <c r="AD11" s="31" t="s">
        <v>40</v>
      </c>
      <c r="AE11" s="48">
        <v>500.0</v>
      </c>
      <c r="AF11" s="31" t="s">
        <v>35</v>
      </c>
      <c r="AG11" s="31"/>
      <c r="AH11" s="31" t="s">
        <v>41</v>
      </c>
      <c r="AI11" s="50">
        <v>1.0</v>
      </c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 t="s">
        <v>42</v>
      </c>
      <c r="AZ11" s="31"/>
      <c r="BA11" s="31"/>
      <c r="BB11" s="31"/>
      <c r="BC11" s="31"/>
      <c r="BD11" s="31"/>
      <c r="BE11" s="51">
        <v>6500.0</v>
      </c>
      <c r="BF11" s="51">
        <v>6500.0</v>
      </c>
      <c r="BG11" s="31"/>
      <c r="BH11" s="31"/>
      <c r="BI11" s="31"/>
      <c r="BJ11" s="48">
        <v>500.0</v>
      </c>
      <c r="BK11" s="31"/>
      <c r="BL11" s="31" t="s">
        <v>35</v>
      </c>
      <c r="BM11" s="31"/>
      <c r="BN11" s="31"/>
      <c r="BO11" s="46" t="s">
        <v>17</v>
      </c>
      <c r="BP11" s="31"/>
      <c r="BQ11" s="31"/>
      <c r="BR11" s="31"/>
      <c r="BS11" s="46" t="s">
        <v>43</v>
      </c>
      <c r="BT11" s="31" t="s">
        <v>16</v>
      </c>
      <c r="BU11" s="50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 t="s">
        <v>44</v>
      </c>
      <c r="CL11" s="31"/>
      <c r="CM11" s="31"/>
      <c r="CN11" s="31"/>
      <c r="CO11" s="31"/>
      <c r="CP11" s="46" t="s">
        <v>27</v>
      </c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46" t="s">
        <v>18</v>
      </c>
      <c r="C12" s="31" t="s">
        <v>35</v>
      </c>
      <c r="D12" s="31"/>
      <c r="E12" s="48">
        <v>400.0</v>
      </c>
      <c r="F12" s="31"/>
      <c r="G12" s="46" t="s">
        <v>24</v>
      </c>
      <c r="H12" s="48">
        <v>4.0</v>
      </c>
      <c r="I12" s="49">
        <v>5.0</v>
      </c>
      <c r="J12" s="49">
        <v>1.0</v>
      </c>
      <c r="K12" s="48">
        <v>10.0</v>
      </c>
      <c r="L12" s="48">
        <v>10.0</v>
      </c>
      <c r="M12" s="46" t="s">
        <v>36</v>
      </c>
      <c r="N12" s="31" t="s">
        <v>35</v>
      </c>
      <c r="O12" s="31" t="s">
        <v>37</v>
      </c>
      <c r="P12" s="31"/>
      <c r="Q12" s="48">
        <v>3.0</v>
      </c>
      <c r="R12" s="31"/>
      <c r="S12" s="31"/>
      <c r="T12" s="31"/>
      <c r="U12" s="31"/>
      <c r="V12" s="31" t="s">
        <v>38</v>
      </c>
      <c r="W12" s="50">
        <v>1.0</v>
      </c>
      <c r="X12" s="31" t="s">
        <v>35</v>
      </c>
      <c r="Y12" s="31" t="s">
        <v>35</v>
      </c>
      <c r="Z12" s="31" t="s">
        <v>39</v>
      </c>
      <c r="AA12" s="31"/>
      <c r="AB12" s="31"/>
      <c r="AC12" s="31"/>
      <c r="AD12" s="31" t="s">
        <v>40</v>
      </c>
      <c r="AE12" s="48">
        <v>400.0</v>
      </c>
      <c r="AF12" s="31" t="s">
        <v>35</v>
      </c>
      <c r="AG12" s="31"/>
      <c r="AH12" s="31" t="s">
        <v>41</v>
      </c>
      <c r="AI12" s="50">
        <v>1.0</v>
      </c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 t="s">
        <v>42</v>
      </c>
      <c r="AZ12" s="31"/>
      <c r="BA12" s="31"/>
      <c r="BB12" s="31"/>
      <c r="BC12" s="31"/>
      <c r="BD12" s="31"/>
      <c r="BE12" s="51">
        <v>4000.0</v>
      </c>
      <c r="BF12" s="51">
        <v>4000.0</v>
      </c>
      <c r="BG12" s="31"/>
      <c r="BH12" s="31"/>
      <c r="BI12" s="31"/>
      <c r="BJ12" s="48">
        <v>400.0</v>
      </c>
      <c r="BK12" s="31"/>
      <c r="BL12" s="31" t="s">
        <v>35</v>
      </c>
      <c r="BM12" s="31"/>
      <c r="BN12" s="31"/>
      <c r="BO12" s="46" t="s">
        <v>17</v>
      </c>
      <c r="BP12" s="31"/>
      <c r="BQ12" s="31"/>
      <c r="BR12" s="31"/>
      <c r="BS12" s="46" t="s">
        <v>43</v>
      </c>
      <c r="BT12" s="31" t="s">
        <v>16</v>
      </c>
      <c r="BU12" s="50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 t="s">
        <v>44</v>
      </c>
      <c r="CL12" s="31"/>
      <c r="CM12" s="31"/>
      <c r="CN12" s="31"/>
      <c r="CO12" s="31"/>
      <c r="CP12" s="46" t="s">
        <v>27</v>
      </c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8"/>
      <c r="B13" s="46" t="s">
        <v>18</v>
      </c>
      <c r="C13" s="8"/>
      <c r="D13" s="8"/>
      <c r="E13" s="48">
        <v>600.0</v>
      </c>
      <c r="F13" s="8"/>
      <c r="G13" s="46" t="s">
        <v>24</v>
      </c>
      <c r="H13" s="48">
        <v>4.0</v>
      </c>
      <c r="I13" s="13">
        <v>5.0</v>
      </c>
      <c r="J13" s="13">
        <v>1.0</v>
      </c>
      <c r="K13" s="48">
        <v>12.0</v>
      </c>
      <c r="L13" s="48">
        <v>12.0</v>
      </c>
      <c r="M13" s="46" t="s">
        <v>36</v>
      </c>
      <c r="N13" s="8"/>
      <c r="O13" s="31" t="s">
        <v>37</v>
      </c>
      <c r="Q13" s="48">
        <v>3.0</v>
      </c>
      <c r="V13" s="31" t="s">
        <v>38</v>
      </c>
      <c r="W13" s="9">
        <v>1.0</v>
      </c>
      <c r="Z13" s="31" t="s">
        <v>39</v>
      </c>
      <c r="AD13" s="31" t="s">
        <v>40</v>
      </c>
      <c r="AE13" s="48">
        <v>600.0</v>
      </c>
      <c r="AH13" s="31" t="s">
        <v>41</v>
      </c>
      <c r="AI13" s="9">
        <v>1.0</v>
      </c>
      <c r="AY13" s="31" t="s">
        <v>42</v>
      </c>
      <c r="BE13" s="51">
        <v>7200.0</v>
      </c>
      <c r="BF13" s="51">
        <v>7200.0</v>
      </c>
      <c r="BJ13" s="48">
        <v>600.0</v>
      </c>
      <c r="BO13" s="46" t="s">
        <v>17</v>
      </c>
      <c r="BS13" s="46" t="s">
        <v>43</v>
      </c>
      <c r="BT13" s="31" t="s">
        <v>16</v>
      </c>
      <c r="CK13" s="31" t="s">
        <v>44</v>
      </c>
      <c r="CP13" s="46" t="s">
        <v>27</v>
      </c>
    </row>
    <row r="14" ht="15.75" customHeight="1">
      <c r="A14" s="8"/>
      <c r="B14" s="46" t="s">
        <v>18</v>
      </c>
      <c r="C14" s="8"/>
      <c r="D14" s="8"/>
      <c r="E14" s="48">
        <v>300.0</v>
      </c>
      <c r="F14" s="8"/>
      <c r="G14" s="46" t="s">
        <v>24</v>
      </c>
      <c r="H14" s="48">
        <v>4.0</v>
      </c>
      <c r="I14" s="13">
        <v>5.0</v>
      </c>
      <c r="J14" s="13">
        <v>1.0</v>
      </c>
      <c r="K14" s="48">
        <v>16.0</v>
      </c>
      <c r="L14" s="48">
        <v>16.0</v>
      </c>
      <c r="M14" s="46" t="s">
        <v>36</v>
      </c>
      <c r="N14" s="8"/>
      <c r="O14" s="31" t="s">
        <v>37</v>
      </c>
      <c r="Q14" s="48">
        <v>3.0</v>
      </c>
      <c r="V14" s="31" t="s">
        <v>38</v>
      </c>
      <c r="W14" s="9">
        <v>1.0</v>
      </c>
      <c r="Z14" s="31" t="s">
        <v>39</v>
      </c>
      <c r="AD14" s="31" t="s">
        <v>40</v>
      </c>
      <c r="AE14" s="48">
        <v>300.0</v>
      </c>
      <c r="AH14" s="31" t="s">
        <v>41</v>
      </c>
      <c r="AI14" s="9">
        <v>1.0</v>
      </c>
      <c r="AY14" s="31" t="s">
        <v>42</v>
      </c>
      <c r="BE14" s="51">
        <v>4800.0</v>
      </c>
      <c r="BF14" s="51">
        <v>4800.0</v>
      </c>
      <c r="BJ14" s="48">
        <v>300.0</v>
      </c>
      <c r="BO14" s="46" t="s">
        <v>19</v>
      </c>
      <c r="BS14" s="46" t="s">
        <v>43</v>
      </c>
      <c r="BT14" s="31" t="s">
        <v>16</v>
      </c>
      <c r="CK14" s="31" t="s">
        <v>44</v>
      </c>
      <c r="CP14" s="46" t="s">
        <v>27</v>
      </c>
    </row>
    <row r="15" ht="15.75" customHeight="1">
      <c r="A15" s="8"/>
      <c r="B15" s="46" t="s">
        <v>18</v>
      </c>
      <c r="C15" s="8"/>
      <c r="D15" s="8"/>
      <c r="E15" s="51">
        <v>1000.0</v>
      </c>
      <c r="F15" s="8"/>
      <c r="G15" s="46" t="s">
        <v>24</v>
      </c>
      <c r="H15" s="48">
        <v>4.0</v>
      </c>
      <c r="I15" s="13">
        <v>5.0</v>
      </c>
      <c r="J15" s="13">
        <v>1.0</v>
      </c>
      <c r="K15" s="48">
        <v>13.0</v>
      </c>
      <c r="L15" s="48">
        <v>13.0</v>
      </c>
      <c r="M15" s="46" t="s">
        <v>36</v>
      </c>
      <c r="N15" s="8"/>
      <c r="O15" s="31" t="s">
        <v>37</v>
      </c>
      <c r="Q15" s="48">
        <v>3.0</v>
      </c>
      <c r="V15" s="31" t="s">
        <v>38</v>
      </c>
      <c r="W15" s="9">
        <v>1.0</v>
      </c>
      <c r="Z15" s="31" t="s">
        <v>39</v>
      </c>
      <c r="AD15" s="31" t="s">
        <v>40</v>
      </c>
      <c r="AE15" s="51">
        <v>1000.0</v>
      </c>
      <c r="AH15" s="31" t="s">
        <v>41</v>
      </c>
      <c r="AI15" s="9">
        <v>1.0</v>
      </c>
      <c r="AY15" s="31" t="s">
        <v>42</v>
      </c>
      <c r="BE15" s="51">
        <v>13000.0</v>
      </c>
      <c r="BF15" s="51">
        <v>13000.0</v>
      </c>
      <c r="BJ15" s="51">
        <v>1000.0</v>
      </c>
      <c r="BO15" s="46" t="s">
        <v>19</v>
      </c>
      <c r="BS15" s="46" t="s">
        <v>43</v>
      </c>
      <c r="BT15" s="31" t="s">
        <v>16</v>
      </c>
      <c r="CK15" s="31" t="s">
        <v>44</v>
      </c>
      <c r="CP15" s="46" t="s">
        <v>27</v>
      </c>
    </row>
    <row r="16" ht="15.75" customHeight="1">
      <c r="A16" s="8"/>
      <c r="B16" s="46" t="s">
        <v>18</v>
      </c>
      <c r="C16" s="8"/>
      <c r="D16" s="8"/>
      <c r="E16" s="48">
        <v>200.0</v>
      </c>
      <c r="F16" s="8"/>
      <c r="G16" s="46" t="s">
        <v>24</v>
      </c>
      <c r="H16" s="48">
        <v>4.0</v>
      </c>
      <c r="I16" s="13">
        <v>5.0</v>
      </c>
      <c r="J16" s="13">
        <v>1.0</v>
      </c>
      <c r="K16" s="48">
        <v>13.0</v>
      </c>
      <c r="L16" s="48">
        <v>13.0</v>
      </c>
      <c r="M16" s="46" t="s">
        <v>36</v>
      </c>
      <c r="N16" s="8"/>
      <c r="O16" s="31" t="s">
        <v>37</v>
      </c>
      <c r="Q16" s="48">
        <v>3.0</v>
      </c>
      <c r="V16" s="31" t="s">
        <v>38</v>
      </c>
      <c r="W16" s="9">
        <v>1.0</v>
      </c>
      <c r="Z16" s="31" t="s">
        <v>39</v>
      </c>
      <c r="AD16" s="31" t="s">
        <v>40</v>
      </c>
      <c r="AE16" s="48">
        <v>200.0</v>
      </c>
      <c r="AH16" s="31" t="s">
        <v>41</v>
      </c>
      <c r="AI16" s="9">
        <v>1.0</v>
      </c>
      <c r="AY16" s="31" t="s">
        <v>42</v>
      </c>
      <c r="BE16" s="51">
        <v>2600.0</v>
      </c>
      <c r="BF16" s="51">
        <v>2600.0</v>
      </c>
      <c r="BJ16" s="48">
        <v>200.0</v>
      </c>
      <c r="BO16" s="46" t="s">
        <v>19</v>
      </c>
      <c r="BS16" s="46" t="s">
        <v>43</v>
      </c>
      <c r="BT16" s="31" t="s">
        <v>16</v>
      </c>
      <c r="CK16" s="31" t="s">
        <v>44</v>
      </c>
      <c r="CP16" s="46" t="s">
        <v>27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