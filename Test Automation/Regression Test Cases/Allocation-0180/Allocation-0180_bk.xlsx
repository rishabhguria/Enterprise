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8" activeTab="12"/>
  </bookViews>
  <sheets>
    <sheet name="_Modules" sheetId="1" r:id="rId1"/>
    <sheet name="_Settings" sheetId="2" r:id="rId2"/>
    <sheet name="_MasterData" sheetId="3" r:id="rId3"/>
    <sheet name="SetTradeAttributePreferences" sheetId="4" r:id="rId4"/>
    <sheet name="CreateDoneAwayOrder" sheetId="5" r:id="rId5"/>
    <sheet name="GetDataAllocation" sheetId="6" r:id="rId6"/>
    <sheet name="SelectAllocatedGroup" sheetId="7" r:id="rId7"/>
    <sheet name="EditAllocatedGrid" sheetId="8" r:id="rId8"/>
    <sheet name="CreateDoneAwayOrder1" sheetId="9" r:id="rId9"/>
    <sheet name="VerifyOrder" sheetId="10" r:id="rId10"/>
    <sheet name="VerifyWorkingSubs" sheetId="11" r:id="rId11"/>
    <sheet name="CheckAllocatedGroups" sheetId="12" r:id="rId12"/>
    <sheet name="CheckPortfolioManagement" sheetId="13" r:id="rId13"/>
  </sheets>
  <calcPr calcId="145621"/>
</workbook>
</file>

<file path=xl/calcChain.xml><?xml version="1.0" encoding="utf-8"?>
<calcChain xmlns="http://schemas.openxmlformats.org/spreadsheetml/2006/main">
  <c r="J2" i="13" l="1"/>
  <c r="J2" i="12"/>
  <c r="J2" i="11"/>
  <c r="J2" i="10"/>
  <c r="J2" i="9"/>
  <c r="J2" i="8"/>
  <c r="J2" i="7"/>
  <c r="J2" i="6"/>
  <c r="J2" i="5"/>
  <c r="J2" i="4"/>
  <c r="FA5" i="13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V4" i="13"/>
  <c r="N4" i="13"/>
  <c r="F4" i="13"/>
  <c r="CQ5" i="12"/>
  <c r="CI5" i="12"/>
  <c r="CA5" i="12"/>
  <c r="BS5" i="12"/>
  <c r="BK5" i="12"/>
  <c r="BC5" i="12"/>
  <c r="AU5" i="12"/>
  <c r="AM5" i="12"/>
  <c r="AE5" i="12"/>
  <c r="W5" i="12"/>
  <c r="O5" i="12"/>
  <c r="G5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AV5" i="11"/>
  <c r="AN5" i="11"/>
  <c r="AF5" i="11"/>
  <c r="X5" i="11"/>
  <c r="P5" i="11"/>
  <c r="H5" i="11"/>
  <c r="AT4" i="11"/>
  <c r="AL4" i="11"/>
  <c r="AD4" i="11"/>
  <c r="V4" i="11"/>
  <c r="N4" i="11"/>
  <c r="F4" i="11"/>
  <c r="AX5" i="10"/>
  <c r="AP5" i="10"/>
  <c r="AH5" i="10"/>
  <c r="Z5" i="10"/>
  <c r="R5" i="10"/>
  <c r="J5" i="10"/>
  <c r="B5" i="10"/>
  <c r="AN4" i="10"/>
  <c r="AF4" i="10"/>
  <c r="X4" i="10"/>
  <c r="P4" i="10"/>
  <c r="H4" i="10"/>
  <c r="AO5" i="9"/>
  <c r="AG5" i="9"/>
  <c r="Y5" i="9"/>
  <c r="Q5" i="9"/>
  <c r="EZ5" i="13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U4" i="13"/>
  <c r="M4" i="13"/>
  <c r="E4" i="13"/>
  <c r="CP5" i="12"/>
  <c r="CH5" i="12"/>
  <c r="BZ5" i="12"/>
  <c r="BR5" i="12"/>
  <c r="BJ5" i="12"/>
  <c r="BB5" i="12"/>
  <c r="AT5" i="12"/>
  <c r="AL5" i="12"/>
  <c r="AD5" i="12"/>
  <c r="V5" i="12"/>
  <c r="N5" i="12"/>
  <c r="F5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AU5" i="11"/>
  <c r="AM5" i="11"/>
  <c r="AE5" i="11"/>
  <c r="W5" i="11"/>
  <c r="O5" i="11"/>
  <c r="G5" i="11"/>
  <c r="AS4" i="11"/>
  <c r="AK4" i="11"/>
  <c r="AC4" i="11"/>
  <c r="U4" i="11"/>
  <c r="M4" i="11"/>
  <c r="E4" i="11"/>
  <c r="AW5" i="10"/>
  <c r="AO5" i="10"/>
  <c r="AG5" i="10"/>
  <c r="Y5" i="10"/>
  <c r="Q5" i="10"/>
  <c r="I5" i="10"/>
  <c r="A5" i="10"/>
  <c r="AM4" i="10"/>
  <c r="AE4" i="10"/>
  <c r="W4" i="10"/>
  <c r="O4" i="10"/>
  <c r="G4" i="10"/>
  <c r="AN5" i="9"/>
  <c r="AF5" i="9"/>
  <c r="X5" i="9"/>
  <c r="P5" i="9"/>
  <c r="H5" i="9"/>
  <c r="EY5" i="13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T4" i="13"/>
  <c r="L4" i="13"/>
  <c r="D4" i="13"/>
  <c r="CO5" i="12"/>
  <c r="CG5" i="12"/>
  <c r="BY5" i="12"/>
  <c r="BQ5" i="12"/>
  <c r="BI5" i="12"/>
  <c r="BA5" i="12"/>
  <c r="AS5" i="12"/>
  <c r="AK5" i="12"/>
  <c r="AC5" i="12"/>
  <c r="U5" i="12"/>
  <c r="M5" i="12"/>
  <c r="E5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X5" i="13"/>
  <c r="EW5" i="13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Y4" i="13"/>
  <c r="Q4" i="13"/>
  <c r="I4" i="13"/>
  <c r="EU5" i="13"/>
  <c r="EM5" i="13"/>
  <c r="EE5" i="13"/>
  <c r="DW5" i="13"/>
  <c r="DO5" i="13"/>
  <c r="DG5" i="13"/>
  <c r="CY5" i="13"/>
  <c r="CQ5" i="13"/>
  <c r="CI5" i="13"/>
  <c r="CA5" i="13"/>
  <c r="BS5" i="13"/>
  <c r="BC5" i="13"/>
  <c r="AU5" i="13"/>
  <c r="AM5" i="13"/>
  <c r="AE5" i="13"/>
  <c r="W5" i="13"/>
  <c r="O5" i="13"/>
  <c r="G5" i="13"/>
  <c r="X4" i="13"/>
  <c r="P4" i="13"/>
  <c r="H4" i="13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AX5" i="11"/>
  <c r="AP5" i="11"/>
  <c r="AH5" i="11"/>
  <c r="Z5" i="11"/>
  <c r="R5" i="11"/>
  <c r="J5" i="11"/>
  <c r="B5" i="11"/>
  <c r="AN4" i="11"/>
  <c r="AF4" i="11"/>
  <c r="X4" i="11"/>
  <c r="P4" i="11"/>
  <c r="H4" i="11"/>
  <c r="AZ5" i="10"/>
  <c r="AR5" i="10"/>
  <c r="AJ5" i="10"/>
  <c r="AB5" i="10"/>
  <c r="T5" i="10"/>
  <c r="L5" i="10"/>
  <c r="D5" i="10"/>
  <c r="AP4" i="10"/>
  <c r="AH4" i="10"/>
  <c r="Z4" i="10"/>
  <c r="R4" i="10"/>
  <c r="J4" i="10"/>
  <c r="B4" i="10"/>
  <c r="AI5" i="9"/>
  <c r="AA5" i="9"/>
  <c r="S5" i="9"/>
  <c r="K5" i="9"/>
  <c r="C5" i="9"/>
  <c r="O4" i="9"/>
  <c r="G4" i="9"/>
  <c r="AE5" i="8"/>
  <c r="W5" i="8"/>
  <c r="O5" i="8"/>
  <c r="G5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CN5" i="7"/>
  <c r="CF5" i="7"/>
  <c r="BX5" i="7"/>
  <c r="BP5" i="7"/>
  <c r="BH5" i="7"/>
  <c r="AZ5" i="7"/>
  <c r="AR5" i="7"/>
  <c r="AJ5" i="7"/>
  <c r="AB5" i="7"/>
  <c r="T5" i="7"/>
  <c r="L5" i="7"/>
  <c r="D5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R5" i="6"/>
  <c r="ET5" i="13"/>
  <c r="EP5" i="13"/>
  <c r="DV5" i="13"/>
  <c r="DA5" i="13"/>
  <c r="CD5" i="13"/>
  <c r="BJ5" i="13"/>
  <c r="AO5" i="13"/>
  <c r="R5" i="13"/>
  <c r="W4" i="13"/>
  <c r="B4" i="13"/>
  <c r="CE5" i="12"/>
  <c r="BO5" i="12"/>
  <c r="AY5" i="12"/>
  <c r="AI5" i="12"/>
  <c r="S5" i="12"/>
  <c r="C5" i="12"/>
  <c r="CY4" i="12"/>
  <c r="CI4" i="12"/>
  <c r="BS4" i="12"/>
  <c r="BC4" i="12"/>
  <c r="AM4" i="12"/>
  <c r="W4" i="12"/>
  <c r="G4" i="12"/>
  <c r="AT5" i="11"/>
  <c r="AI5" i="11"/>
  <c r="U5" i="11"/>
  <c r="I5" i="11"/>
  <c r="AP4" i="11"/>
  <c r="AB4" i="11"/>
  <c r="Q4" i="11"/>
  <c r="C4" i="11"/>
  <c r="AQ5" i="10"/>
  <c r="AD5" i="10"/>
  <c r="P5" i="10"/>
  <c r="E5" i="10"/>
  <c r="AK4" i="10"/>
  <c r="Y4" i="10"/>
  <c r="L4" i="10"/>
  <c r="AM5" i="9"/>
  <c r="AB5" i="9"/>
  <c r="N5" i="9"/>
  <c r="D5" i="9"/>
  <c r="N4" i="9"/>
  <c r="E4" i="9"/>
  <c r="AB5" i="8"/>
  <c r="S5" i="8"/>
  <c r="J5" i="8"/>
  <c r="A5" i="8"/>
  <c r="DD4" i="8"/>
  <c r="CT4" i="8"/>
  <c r="CK4" i="8"/>
  <c r="CB4" i="8"/>
  <c r="BS4" i="8"/>
  <c r="BJ4" i="8"/>
  <c r="BA4" i="8"/>
  <c r="AR4" i="8"/>
  <c r="AH4" i="8"/>
  <c r="Y4" i="8"/>
  <c r="P4" i="8"/>
  <c r="G4" i="8"/>
  <c r="CQ5" i="7"/>
  <c r="CH5" i="7"/>
  <c r="BY5" i="7"/>
  <c r="BO5" i="7"/>
  <c r="BF5" i="7"/>
  <c r="AW5" i="7"/>
  <c r="AN5" i="7"/>
  <c r="AE5" i="7"/>
  <c r="V5" i="7"/>
  <c r="M5" i="7"/>
  <c r="C5" i="7"/>
  <c r="DF4" i="7"/>
  <c r="CW4" i="7"/>
  <c r="CN4" i="7"/>
  <c r="CE4" i="7"/>
  <c r="BV4" i="7"/>
  <c r="BM4" i="7"/>
  <c r="BC4" i="7"/>
  <c r="AT4" i="7"/>
  <c r="AK4" i="7"/>
  <c r="AB4" i="7"/>
  <c r="S4" i="7"/>
  <c r="J4" i="7"/>
  <c r="J5" i="6"/>
  <c r="B5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AM5" i="5"/>
  <c r="AE5" i="5"/>
  <c r="W5" i="5"/>
  <c r="O5" i="5"/>
  <c r="G5" i="5"/>
  <c r="S4" i="5"/>
  <c r="K4" i="5"/>
  <c r="C4" i="5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EO5" i="13"/>
  <c r="DR5" i="13"/>
  <c r="CX5" i="13"/>
  <c r="CC5" i="13"/>
  <c r="BF5" i="13"/>
  <c r="AL5" i="13"/>
  <c r="Q5" i="13"/>
  <c r="S4" i="13"/>
  <c r="CD5" i="12"/>
  <c r="BN5" i="12"/>
  <c r="AX5" i="12"/>
  <c r="AH5" i="12"/>
  <c r="R5" i="12"/>
  <c r="B5" i="12"/>
  <c r="CX4" i="12"/>
  <c r="CH4" i="12"/>
  <c r="BR4" i="12"/>
  <c r="BB4" i="12"/>
  <c r="AL4" i="12"/>
  <c r="V4" i="12"/>
  <c r="F4" i="12"/>
  <c r="AS5" i="11"/>
  <c r="AG5" i="11"/>
  <c r="T5" i="11"/>
  <c r="F5" i="11"/>
  <c r="AO4" i="11"/>
  <c r="AA4" i="11"/>
  <c r="O4" i="11"/>
  <c r="B4" i="11"/>
  <c r="AN5" i="10"/>
  <c r="AC5" i="10"/>
  <c r="O5" i="10"/>
  <c r="C5" i="10"/>
  <c r="AJ4" i="10"/>
  <c r="V4" i="10"/>
  <c r="K4" i="10"/>
  <c r="AL5" i="9"/>
  <c r="Z5" i="9"/>
  <c r="M5" i="9"/>
  <c r="B5" i="9"/>
  <c r="M4" i="9"/>
  <c r="D4" i="9"/>
  <c r="AA5" i="8"/>
  <c r="R5" i="8"/>
  <c r="I5" i="8"/>
  <c r="DL4" i="8"/>
  <c r="DB4" i="8"/>
  <c r="CS4" i="8"/>
  <c r="CJ4" i="8"/>
  <c r="CA4" i="8"/>
  <c r="BR4" i="8"/>
  <c r="BI4" i="8"/>
  <c r="AZ4" i="8"/>
  <c r="AP4" i="8"/>
  <c r="AG4" i="8"/>
  <c r="X4" i="8"/>
  <c r="O4" i="8"/>
  <c r="F4" i="8"/>
  <c r="CP5" i="7"/>
  <c r="CG5" i="7"/>
  <c r="BW5" i="7"/>
  <c r="BN5" i="7"/>
  <c r="BE5" i="7"/>
  <c r="AV5" i="7"/>
  <c r="AM5" i="7"/>
  <c r="AD5" i="7"/>
  <c r="U5" i="7"/>
  <c r="K5" i="7"/>
  <c r="B5" i="7"/>
  <c r="DE4" i="7"/>
  <c r="CV4" i="7"/>
  <c r="CM4" i="7"/>
  <c r="CD4" i="7"/>
  <c r="BU4" i="7"/>
  <c r="BK4" i="7"/>
  <c r="BB4" i="7"/>
  <c r="AS4" i="7"/>
  <c r="AJ4" i="7"/>
  <c r="AA4" i="7"/>
  <c r="R4" i="7"/>
  <c r="I4" i="7"/>
  <c r="Q5" i="6"/>
  <c r="I5" i="6"/>
  <c r="A5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AL5" i="5"/>
  <c r="AD5" i="5"/>
  <c r="V5" i="5"/>
  <c r="N5" i="5"/>
  <c r="F5" i="5"/>
  <c r="R4" i="5"/>
  <c r="J4" i="5"/>
  <c r="B4" i="5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B448" i="1"/>
  <c r="C445" i="1"/>
  <c r="A443" i="1"/>
  <c r="B440" i="1"/>
  <c r="C437" i="1"/>
  <c r="A435" i="1"/>
  <c r="EL5" i="13"/>
  <c r="DQ5" i="13"/>
  <c r="CT5" i="13"/>
  <c r="BZ5" i="13"/>
  <c r="BE5" i="13"/>
  <c r="AH5" i="13"/>
  <c r="N5" i="13"/>
  <c r="R4" i="13"/>
  <c r="CR5" i="12"/>
  <c r="CB5" i="12"/>
  <c r="BL5" i="12"/>
  <c r="AV5" i="12"/>
  <c r="AF5" i="12"/>
  <c r="P5" i="12"/>
  <c r="DL4" i="12"/>
  <c r="CV4" i="12"/>
  <c r="CF4" i="12"/>
  <c r="BP4" i="12"/>
  <c r="AZ4" i="12"/>
  <c r="AJ4" i="12"/>
  <c r="T4" i="12"/>
  <c r="D4" i="12"/>
  <c r="AR5" i="11"/>
  <c r="AD5" i="11"/>
  <c r="S5" i="11"/>
  <c r="E5" i="11"/>
  <c r="AM4" i="11"/>
  <c r="Z4" i="11"/>
  <c r="L4" i="11"/>
  <c r="AM5" i="10"/>
  <c r="AA5" i="10"/>
  <c r="N5" i="10"/>
  <c r="AT4" i="10"/>
  <c r="AI4" i="10"/>
  <c r="U4" i="10"/>
  <c r="I4" i="10"/>
  <c r="AK5" i="9"/>
  <c r="W5" i="9"/>
  <c r="L5" i="9"/>
  <c r="A5" i="9"/>
  <c r="L4" i="9"/>
  <c r="C4" i="9"/>
  <c r="Z5" i="8"/>
  <c r="Q5" i="8"/>
  <c r="H5" i="8"/>
  <c r="DJ4" i="8"/>
  <c r="DA4" i="8"/>
  <c r="CR4" i="8"/>
  <c r="CI4" i="8"/>
  <c r="BZ4" i="8"/>
  <c r="BQ4" i="8"/>
  <c r="BH4" i="8"/>
  <c r="AX4" i="8"/>
  <c r="AO4" i="8"/>
  <c r="AF4" i="8"/>
  <c r="W4" i="8"/>
  <c r="N4" i="8"/>
  <c r="E4" i="8"/>
  <c r="CO5" i="7"/>
  <c r="CE5" i="7"/>
  <c r="BV5" i="7"/>
  <c r="BM5" i="7"/>
  <c r="BD5" i="7"/>
  <c r="AU5" i="7"/>
  <c r="AL5" i="7"/>
  <c r="AC5" i="7"/>
  <c r="S5" i="7"/>
  <c r="J5" i="7"/>
  <c r="A5" i="7"/>
  <c r="DD4" i="7"/>
  <c r="CU4" i="7"/>
  <c r="CL4" i="7"/>
  <c r="CC4" i="7"/>
  <c r="BS4" i="7"/>
  <c r="BJ4" i="7"/>
  <c r="BA4" i="7"/>
  <c r="AR4" i="7"/>
  <c r="AI4" i="7"/>
  <c r="Z4" i="7"/>
  <c r="Q4" i="7"/>
  <c r="G4" i="7"/>
  <c r="P5" i="6"/>
  <c r="H5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AK5" i="5"/>
  <c r="AC5" i="5"/>
  <c r="U5" i="5"/>
  <c r="M5" i="5"/>
  <c r="E5" i="5"/>
  <c r="Q4" i="5"/>
  <c r="I4" i="5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A448" i="1"/>
  <c r="B445" i="1"/>
  <c r="C442" i="1"/>
  <c r="A440" i="1"/>
  <c r="B437" i="1"/>
  <c r="EH5" i="13"/>
  <c r="DN5" i="13"/>
  <c r="CS5" i="13"/>
  <c r="BV5" i="13"/>
  <c r="BB5" i="13"/>
  <c r="AG5" i="13"/>
  <c r="J5" i="13"/>
  <c r="O4" i="13"/>
  <c r="CN5" i="12"/>
  <c r="BX5" i="12"/>
  <c r="BH5" i="12"/>
  <c r="AR5" i="12"/>
  <c r="AB5" i="12"/>
  <c r="L5" i="12"/>
  <c r="DH4" i="12"/>
  <c r="CR4" i="12"/>
  <c r="CB4" i="12"/>
  <c r="BL4" i="12"/>
  <c r="AV4" i="12"/>
  <c r="AF4" i="12"/>
  <c r="P4" i="12"/>
  <c r="AQ5" i="11"/>
  <c r="AC5" i="11"/>
  <c r="Q5" i="11"/>
  <c r="D5" i="11"/>
  <c r="AJ4" i="11"/>
  <c r="Y4" i="11"/>
  <c r="K4" i="11"/>
  <c r="AY5" i="10"/>
  <c r="AL5" i="10"/>
  <c r="X5" i="10"/>
  <c r="M5" i="10"/>
  <c r="AS4" i="10"/>
  <c r="AG4" i="10"/>
  <c r="T4" i="10"/>
  <c r="F4" i="10"/>
  <c r="AJ5" i="9"/>
  <c r="V5" i="9"/>
  <c r="J5" i="9"/>
  <c r="T4" i="9"/>
  <c r="K4" i="9"/>
  <c r="B4" i="9"/>
  <c r="Y5" i="8"/>
  <c r="P5" i="8"/>
  <c r="F5" i="8"/>
  <c r="DI4" i="8"/>
  <c r="CZ4" i="8"/>
  <c r="CQ4" i="8"/>
  <c r="CH4" i="8"/>
  <c r="BY4" i="8"/>
  <c r="BP4" i="8"/>
  <c r="BF4" i="8"/>
  <c r="AW4" i="8"/>
  <c r="AN4" i="8"/>
  <c r="AE4" i="8"/>
  <c r="V4" i="8"/>
  <c r="M4" i="8"/>
  <c r="D4" i="8"/>
  <c r="CM5" i="7"/>
  <c r="CD5" i="7"/>
  <c r="BU5" i="7"/>
  <c r="BL5" i="7"/>
  <c r="BC5" i="7"/>
  <c r="AT5" i="7"/>
  <c r="AK5" i="7"/>
  <c r="AA5" i="7"/>
  <c r="R5" i="7"/>
  <c r="I5" i="7"/>
  <c r="DL4" i="7"/>
  <c r="DC4" i="7"/>
  <c r="CT4" i="7"/>
  <c r="CK4" i="7"/>
  <c r="CA4" i="7"/>
  <c r="BR4" i="7"/>
  <c r="BI4" i="7"/>
  <c r="AZ4" i="7"/>
  <c r="AQ4" i="7"/>
  <c r="AH4" i="7"/>
  <c r="Y4" i="7"/>
  <c r="O4" i="7"/>
  <c r="F4" i="7"/>
  <c r="O5" i="6"/>
  <c r="G5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AJ5" i="5"/>
  <c r="AB5" i="5"/>
  <c r="T5" i="5"/>
  <c r="L5" i="5"/>
  <c r="D5" i="5"/>
  <c r="P4" i="5"/>
  <c r="H4" i="5"/>
  <c r="E5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G5" i="13"/>
  <c r="DJ5" i="13"/>
  <c r="CP5" i="13"/>
  <c r="BU5" i="13"/>
  <c r="AX5" i="13"/>
  <c r="AD5" i="13"/>
  <c r="I5" i="13"/>
  <c r="K4" i="13"/>
  <c r="CM5" i="12"/>
  <c r="BW5" i="12"/>
  <c r="BG5" i="12"/>
  <c r="AQ5" i="12"/>
  <c r="AA5" i="12"/>
  <c r="K5" i="12"/>
  <c r="DG4" i="12"/>
  <c r="CQ4" i="12"/>
  <c r="CA4" i="12"/>
  <c r="BK4" i="12"/>
  <c r="AU4" i="12"/>
  <c r="AE4" i="12"/>
  <c r="O4" i="12"/>
  <c r="BA5" i="11"/>
  <c r="AO5" i="11"/>
  <c r="AB5" i="11"/>
  <c r="N5" i="11"/>
  <c r="C5" i="11"/>
  <c r="AI4" i="11"/>
  <c r="W4" i="11"/>
  <c r="J4" i="11"/>
  <c r="AV5" i="10"/>
  <c r="AK5" i="10"/>
  <c r="W5" i="10"/>
  <c r="K5" i="10"/>
  <c r="AR4" i="10"/>
  <c r="AD4" i="10"/>
  <c r="S4" i="10"/>
  <c r="E4" i="10"/>
  <c r="AH5" i="9"/>
  <c r="U5" i="9"/>
  <c r="I5" i="9"/>
  <c r="S4" i="9"/>
  <c r="J4" i="9"/>
  <c r="X5" i="8"/>
  <c r="N5" i="8"/>
  <c r="E5" i="8"/>
  <c r="DH4" i="8"/>
  <c r="CY4" i="8"/>
  <c r="CP4" i="8"/>
  <c r="CG4" i="8"/>
  <c r="BX4" i="8"/>
  <c r="BN4" i="8"/>
  <c r="BE4" i="8"/>
  <c r="AV4" i="8"/>
  <c r="AM4" i="8"/>
  <c r="AD4" i="8"/>
  <c r="U4" i="8"/>
  <c r="L4" i="8"/>
  <c r="B4" i="8"/>
  <c r="CL5" i="7"/>
  <c r="CC5" i="7"/>
  <c r="BT5" i="7"/>
  <c r="BK5" i="7"/>
  <c r="BB5" i="7"/>
  <c r="AS5" i="7"/>
  <c r="AI5" i="7"/>
  <c r="Z5" i="7"/>
  <c r="Q5" i="7"/>
  <c r="H5" i="7"/>
  <c r="DK4" i="7"/>
  <c r="DB4" i="7"/>
  <c r="CS4" i="7"/>
  <c r="CI4" i="7"/>
  <c r="BZ4" i="7"/>
  <c r="BQ4" i="7"/>
  <c r="BH4" i="7"/>
  <c r="AY4" i="7"/>
  <c r="AP4" i="7"/>
  <c r="AG4" i="7"/>
  <c r="W4" i="7"/>
  <c r="N4" i="7"/>
  <c r="E4" i="7"/>
  <c r="N5" i="6"/>
  <c r="F5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AI5" i="5"/>
  <c r="AA5" i="5"/>
  <c r="S5" i="5"/>
  <c r="K5" i="5"/>
  <c r="C5" i="5"/>
  <c r="O4" i="5"/>
  <c r="G4" i="5"/>
  <c r="D5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ED5" i="13"/>
  <c r="DI5" i="13"/>
  <c r="CL5" i="13"/>
  <c r="BR5" i="13"/>
  <c r="AW5" i="13"/>
  <c r="Z5" i="13"/>
  <c r="F5" i="13"/>
  <c r="J4" i="13"/>
  <c r="CL5" i="12"/>
  <c r="BV5" i="12"/>
  <c r="BF5" i="12"/>
  <c r="AP5" i="12"/>
  <c r="Z5" i="12"/>
  <c r="J5" i="12"/>
  <c r="DF4" i="12"/>
  <c r="CP4" i="12"/>
  <c r="BZ4" i="12"/>
  <c r="BJ4" i="12"/>
  <c r="AT4" i="12"/>
  <c r="AD4" i="12"/>
  <c r="N4" i="12"/>
  <c r="AZ5" i="11"/>
  <c r="AL5" i="11"/>
  <c r="AA5" i="11"/>
  <c r="M5" i="11"/>
  <c r="A5" i="11"/>
  <c r="AH4" i="11"/>
  <c r="T4" i="11"/>
  <c r="I4" i="11"/>
  <c r="AU5" i="10"/>
  <c r="AI5" i="10"/>
  <c r="V5" i="10"/>
  <c r="H5" i="10"/>
  <c r="AQ4" i="10"/>
  <c r="AC4" i="10"/>
  <c r="Q4" i="10"/>
  <c r="D4" i="10"/>
  <c r="AE5" i="9"/>
  <c r="T5" i="9"/>
  <c r="G5" i="9"/>
  <c r="R4" i="9"/>
  <c r="I4" i="9"/>
  <c r="AF5" i="8"/>
  <c r="V5" i="8"/>
  <c r="M5" i="8"/>
  <c r="D5" i="8"/>
  <c r="DG4" i="8"/>
  <c r="CX4" i="8"/>
  <c r="CO4" i="8"/>
  <c r="CF4" i="8"/>
  <c r="BV4" i="8"/>
  <c r="BM4" i="8"/>
  <c r="BD4" i="8"/>
  <c r="AU4" i="8"/>
  <c r="AL4" i="8"/>
  <c r="AC4" i="8"/>
  <c r="T4" i="8"/>
  <c r="J4" i="8"/>
  <c r="CK5" i="7"/>
  <c r="CB5" i="7"/>
  <c r="BS5" i="7"/>
  <c r="BJ5" i="7"/>
  <c r="BA5" i="7"/>
  <c r="AQ5" i="7"/>
  <c r="AH5" i="7"/>
  <c r="Y5" i="7"/>
  <c r="P5" i="7"/>
  <c r="G5" i="7"/>
  <c r="DJ4" i="7"/>
  <c r="DA4" i="7"/>
  <c r="CQ4" i="7"/>
  <c r="CH4" i="7"/>
  <c r="BY4" i="7"/>
  <c r="BP4" i="7"/>
  <c r="BG4" i="7"/>
  <c r="AX4" i="7"/>
  <c r="AO4" i="7"/>
  <c r="AE4" i="7"/>
  <c r="V4" i="7"/>
  <c r="M4" i="7"/>
  <c r="D4" i="7"/>
  <c r="M5" i="6"/>
  <c r="E5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AH5" i="5"/>
  <c r="Z5" i="5"/>
  <c r="R5" i="5"/>
  <c r="J5" i="5"/>
  <c r="B5" i="5"/>
  <c r="N4" i="5"/>
  <c r="F4" i="5"/>
  <c r="C5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C449" i="1"/>
  <c r="A447" i="1"/>
  <c r="B444" i="1"/>
  <c r="C441" i="1"/>
  <c r="A439" i="1"/>
  <c r="DZ5" i="13"/>
  <c r="DF5" i="13"/>
  <c r="CK5" i="13"/>
  <c r="BN5" i="13"/>
  <c r="AT5" i="13"/>
  <c r="Y5" i="13"/>
  <c r="B5" i="13"/>
  <c r="G4" i="13"/>
  <c r="CJ5" i="12"/>
  <c r="BT5" i="12"/>
  <c r="BD5" i="12"/>
  <c r="AN5" i="12"/>
  <c r="X5" i="12"/>
  <c r="H5" i="12"/>
  <c r="DD4" i="12"/>
  <c r="CN4" i="12"/>
  <c r="BX4" i="12"/>
  <c r="BH4" i="12"/>
  <c r="AR4" i="12"/>
  <c r="AB4" i="12"/>
  <c r="L4" i="12"/>
  <c r="AY5" i="11"/>
  <c r="AK5" i="11"/>
  <c r="Y5" i="11"/>
  <c r="L5" i="11"/>
  <c r="AR4" i="11"/>
  <c r="AG4" i="11"/>
  <c r="S4" i="11"/>
  <c r="G4" i="11"/>
  <c r="AT5" i="10"/>
  <c r="AF5" i="10"/>
  <c r="U5" i="10"/>
  <c r="G5" i="10"/>
  <c r="AO4" i="10"/>
  <c r="AB4" i="10"/>
  <c r="N4" i="10"/>
  <c r="C4" i="10"/>
  <c r="AD5" i="9"/>
  <c r="R5" i="9"/>
  <c r="F5" i="9"/>
  <c r="Q4" i="9"/>
  <c r="H4" i="9"/>
  <c r="AD5" i="8"/>
  <c r="U5" i="8"/>
  <c r="L5" i="8"/>
  <c r="C5" i="8"/>
  <c r="DF4" i="8"/>
  <c r="CW4" i="8"/>
  <c r="CN4" i="8"/>
  <c r="CD4" i="8"/>
  <c r="BU4" i="8"/>
  <c r="BL4" i="8"/>
  <c r="BC4" i="8"/>
  <c r="AT4" i="8"/>
  <c r="AK4" i="8"/>
  <c r="AB4" i="8"/>
  <c r="R4" i="8"/>
  <c r="I4" i="8"/>
  <c r="CS5" i="7"/>
  <c r="CJ5" i="7"/>
  <c r="CA5" i="7"/>
  <c r="BR5" i="7"/>
  <c r="BI5" i="7"/>
  <c r="AY5" i="7"/>
  <c r="AP5" i="7"/>
  <c r="AG5" i="7"/>
  <c r="X5" i="7"/>
  <c r="O5" i="7"/>
  <c r="F5" i="7"/>
  <c r="DI4" i="7"/>
  <c r="CY4" i="7"/>
  <c r="CP4" i="7"/>
  <c r="CG4" i="7"/>
  <c r="BX4" i="7"/>
  <c r="BO4" i="7"/>
  <c r="BF4" i="7"/>
  <c r="AW4" i="7"/>
  <c r="AM4" i="7"/>
  <c r="AD4" i="7"/>
  <c r="U4" i="7"/>
  <c r="L4" i="7"/>
  <c r="C4" i="7"/>
  <c r="L5" i="6"/>
  <c r="D5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AO5" i="5"/>
  <c r="AG5" i="5"/>
  <c r="Y5" i="5"/>
  <c r="Q5" i="5"/>
  <c r="I5" i="5"/>
  <c r="A5" i="5"/>
  <c r="M4" i="5"/>
  <c r="E4" i="5"/>
  <c r="B5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B449" i="1"/>
  <c r="C446" i="1"/>
  <c r="A444" i="1"/>
  <c r="B441" i="1"/>
  <c r="C438" i="1"/>
  <c r="A436" i="1"/>
  <c r="B433" i="1"/>
  <c r="DY5" i="13"/>
  <c r="DB5" i="13"/>
  <c r="CH5" i="13"/>
  <c r="BM5" i="13"/>
  <c r="AP5" i="13"/>
  <c r="V5" i="13"/>
  <c r="A5" i="13"/>
  <c r="C4" i="13"/>
  <c r="CF5" i="12"/>
  <c r="BP5" i="12"/>
  <c r="AZ5" i="12"/>
  <c r="AJ5" i="12"/>
  <c r="T5" i="12"/>
  <c r="D5" i="12"/>
  <c r="CZ4" i="12"/>
  <c r="CJ4" i="12"/>
  <c r="BT4" i="12"/>
  <c r="BD4" i="12"/>
  <c r="AN4" i="12"/>
  <c r="X4" i="12"/>
  <c r="H4" i="12"/>
  <c r="AW5" i="11"/>
  <c r="AJ5" i="11"/>
  <c r="V5" i="11"/>
  <c r="K5" i="11"/>
  <c r="AQ4" i="11"/>
  <c r="AE4" i="11"/>
  <c r="R4" i="11"/>
  <c r="D4" i="11"/>
  <c r="AS5" i="10"/>
  <c r="AE5" i="10"/>
  <c r="S5" i="10"/>
  <c r="F5" i="10"/>
  <c r="AL4" i="10"/>
  <c r="AA4" i="10"/>
  <c r="M4" i="10"/>
  <c r="AC5" i="9"/>
  <c r="O5" i="9"/>
  <c r="E5" i="9"/>
  <c r="P4" i="9"/>
  <c r="F4" i="9"/>
  <c r="AC5" i="8"/>
  <c r="T5" i="8"/>
  <c r="K5" i="8"/>
  <c r="B5" i="8"/>
  <c r="DE4" i="8"/>
  <c r="CV4" i="8"/>
  <c r="CL4" i="8"/>
  <c r="CC4" i="8"/>
  <c r="BT4" i="8"/>
  <c r="BK4" i="8"/>
  <c r="BB4" i="8"/>
  <c r="AS4" i="8"/>
  <c r="AJ4" i="8"/>
  <c r="Z4" i="8"/>
  <c r="Q4" i="8"/>
  <c r="H4" i="8"/>
  <c r="CR5" i="7"/>
  <c r="CI5" i="7"/>
  <c r="BZ5" i="7"/>
  <c r="BQ5" i="7"/>
  <c r="BG5" i="7"/>
  <c r="AX5" i="7"/>
  <c r="AO5" i="7"/>
  <c r="AF5" i="7"/>
  <c r="W5" i="7"/>
  <c r="N5" i="7"/>
  <c r="E5" i="7"/>
  <c r="DG4" i="7"/>
  <c r="CX4" i="7"/>
  <c r="CO4" i="7"/>
  <c r="CF4" i="7"/>
  <c r="BW4" i="7"/>
  <c r="BN4" i="7"/>
  <c r="BE4" i="7"/>
  <c r="AU4" i="7"/>
  <c r="AL4" i="7"/>
  <c r="AC4" i="7"/>
  <c r="T4" i="7"/>
  <c r="K4" i="7"/>
  <c r="B4" i="7"/>
  <c r="K5" i="6"/>
  <c r="C5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AN5" i="5"/>
  <c r="AF5" i="5"/>
  <c r="X5" i="5"/>
  <c r="P5" i="5"/>
  <c r="H5" i="5"/>
  <c r="T4" i="5"/>
  <c r="L4" i="5"/>
  <c r="D4" i="5"/>
  <c r="A5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B446" i="1"/>
  <c r="A441" i="1"/>
  <c r="B436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D4" i="4"/>
  <c r="A446" i="1"/>
  <c r="C440" i="1"/>
  <c r="C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445" i="1"/>
  <c r="C439" i="1"/>
  <c r="B435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4" i="3"/>
  <c r="C444" i="1"/>
  <c r="B439" i="1"/>
  <c r="C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A449" i="1"/>
  <c r="C443" i="1"/>
  <c r="B438" i="1"/>
  <c r="B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C448" i="1"/>
  <c r="B443" i="1"/>
  <c r="A438" i="1"/>
  <c r="A434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447" i="1"/>
  <c r="B442" i="1"/>
  <c r="A437" i="1"/>
  <c r="C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B447" i="1"/>
  <c r="A442" i="1"/>
  <c r="C436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A108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107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4" i="1"/>
  <c r="A107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</calcChain>
</file>

<file path=xl/sharedStrings.xml><?xml version="1.0" encoding="utf-8"?>
<sst xmlns="http://schemas.openxmlformats.org/spreadsheetml/2006/main" count="173" uniqueCount="46">
  <si>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</si>
  <si>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</si>
  <si>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</si>
  <si>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</si>
  <si>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</si>
  <si>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</si>
  <si>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</si>
  <si>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</si>
  <si>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</si>
  <si>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</si>
  <si>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</si>
  <si>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</si>
  <si>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</si>
  <si>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SetTradeAttributePreferences</t>
  </si>
  <si>
    <t>Data Format</t>
  </si>
  <si>
    <t>Input Format</t>
  </si>
  <si>
    <t>TradeAttribute1</t>
  </si>
  <si>
    <t>PIPR,TA1,TA3</t>
  </si>
  <si>
    <t>TradeAttribute2</t>
  </si>
  <si>
    <t>TA4,TA5</t>
  </si>
  <si>
    <t>TradingTicket</t>
  </si>
  <si>
    <t>CreateDoneAwayOrder</t>
  </si>
  <si>
    <t>MSFT</t>
  </si>
  <si>
    <t>Buy</t>
  </si>
  <si>
    <t>Allocation1</t>
  </si>
  <si>
    <t>TA1</t>
  </si>
  <si>
    <t>GetDataAllocation</t>
  </si>
  <si>
    <t>Current</t>
  </si>
  <si>
    <t>SelectAllocatedGroup</t>
  </si>
  <si>
    <t>MS</t>
  </si>
  <si>
    <t>Equity</t>
  </si>
  <si>
    <t>Market</t>
  </si>
  <si>
    <t>EditAllocatedGrid</t>
  </si>
  <si>
    <t>TA2</t>
  </si>
  <si>
    <t>AAPL</t>
  </si>
  <si>
    <t>PIPR</t>
  </si>
  <si>
    <t>Blotter</t>
  </si>
  <si>
    <t>VerifyOrder</t>
  </si>
  <si>
    <t>Filled</t>
  </si>
  <si>
    <t>VerifyWorkingSubs</t>
  </si>
  <si>
    <t>CheckAllocatedGroups</t>
  </si>
  <si>
    <t>Open</t>
  </si>
  <si>
    <t>PortfolioManagement</t>
  </si>
  <si>
    <t>CheckPortfolioManagement</t>
  </si>
  <si>
    <t>Long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</si>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</sst>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3" fillId="0" borderId="5" xfId="0" applyFont="1" applyBorder="1" applyAlignme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/>
    <xf numFmtId="164" fontId="13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0" fontId="13" fillId="0" borderId="0" xfId="0" applyFont="1" applyAlignment="1"/>
    <xf numFmtId="0" fontId="13" fillId="0" borderId="0" xfId="0" applyFont="1" applyAlignme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5" t="s">
        <v>0</v>
      </c>
      <c r="B1" s="46"/>
      <c r="C1" s="46"/>
      <c r="D1" s="46"/>
      <c r="E1" s="46"/>
      <c r="F1" s="47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</row>
    <row r="330" spans="1:3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</row>
    <row r="331" spans="1:3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</row>
    <row r="332" spans="1:3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</row>
    <row r="334" spans="1:3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</row>
    <row r="336" spans="1:3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</row>
    <row r="337" spans="1:3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</row>
    <row r="344" spans="1:3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</row>
    <row r="346" spans="1:3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</row>
    <row r="347" spans="1:3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</row>
    <row r="349" spans="1:3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</row>
    <row r="350" spans="1:3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</row>
    <row r="351" spans="1:3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</row>
    <row r="386" spans="1:3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</row>
    <row r="390" spans="1:3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</row>
    <row r="397" spans="1:3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</row>
    <row r="399" spans="1:3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</row>
    <row r="402" spans="1:3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</row>
    <row r="409" spans="1:3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</row>
    <row r="410" spans="1:3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</row>
    <row r="412" spans="1:3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</row>
    <row r="413" spans="1:3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</row>
    <row r="414" spans="1:3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</row>
    <row r="415" spans="1:3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</row>
    <row r="416" spans="1:3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</row>
    <row r="417" spans="1:3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</row>
    <row r="418" spans="1:3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</row>
    <row r="420" spans="1:3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</row>
    <row r="421" spans="1:3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</row>
    <row r="427" spans="1:3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IFERROR(__xludf.DUMMYFUNCTION("""COMPUTED_VALUE"""),"EditUnallocatedGridWPF")</f>
        <v>EditUnallocatedGridWPF</v>
      </c>
      <c r="C431" t="str">
        <f ca="1">IFERROR(__xludf.DUMMYFUNCTION("""COMPUTED_VALUE"""),"1FoqMjsh7kSUAPZgAsBdK0Dgz6XaVskoGr37G773xRsI")</f>
        <v>1FoqMjsh7kSUAPZgAsBdK0Dgz6XaVskoGr37G773xRsI</v>
      </c>
    </row>
    <row r="432" spans="1:3" ht="15.75" customHeight="1">
      <c r="A432" t="str">
        <f ca="1">IFERROR(__xludf.DUMMYFUNCTION("""COMPUTED_VALUE"""),"Allocation")</f>
        <v>Allocation</v>
      </c>
      <c r="B432" t="str">
        <f ca="1">IFERROR(__xludf.DUMMYFUNCTION("""COMPUTED_VALUE"""),"EditAllocatedGridWPF")</f>
        <v>EditAllocatedGridWPF</v>
      </c>
      <c r="C432" t="str">
        <f ca="1">IFERROR(__xludf.DUMMYFUNCTION("""COMPUTED_VALUE"""),"1JDZt3yDzGJYLwgfnrM-1JpkYjLh4xdqn3im1wNwUiWg")</f>
        <v>1JDZt3yDzGJYLwgfnrM-1JpkYjLh4xdqn3im1wNwUiWg</v>
      </c>
    </row>
    <row r="433" spans="1:3" ht="15.75" customHeight="1">
      <c r="A433" t="str">
        <f ca="1">IFERROR(__xludf.DUMMYFUNCTION("""COMPUTED_VALUE"""),"Admin")</f>
        <v>Admin</v>
      </c>
      <c r="B433" t="str">
        <f ca="1">IFERROR(__xludf.DUMMYFUNCTION("""COMPUTED_VALUE"""),"SetRollover")</f>
        <v>SetRollover</v>
      </c>
      <c r="C433" t="str">
        <f ca="1">IFERROR(__xludf.DUMMYFUNCTION("""COMPUTED_VALUE"""),"1mcj3boGZkRmnkbGNVOiMK0RBd1tDfxGwoUagq09FwTM")</f>
        <v>1mcj3boGZkRmnkbGNVOiMK0RBd1tDfxGwoUagq09FwTM</v>
      </c>
    </row>
    <row r="434" spans="1:3" ht="15.75" customHeight="1">
      <c r="A434" t="str">
        <f ca="1">IFERROR(__xludf.DUMMYFUNCTION("""COMPUTED_VALUE"""),"Blotter")</f>
        <v>Blotter</v>
      </c>
      <c r="B434" t="str">
        <f ca="1">IFERROR(__xludf.DUMMYFUNCTION("""COMPUTED_VALUE"""),"VerifyRollover")</f>
        <v>VerifyRollover</v>
      </c>
      <c r="C434" t="str">
        <f ca="1">IFERROR(__xludf.DUMMYFUNCTION("""COMPUTED_VALUE"""),"1ZZ2-R1OHOoSZ9jUfqlZ7UX-MNoTL_RipoEPOEeDhUiU")</f>
        <v>1ZZ2-R1OHOoSZ9jUfqlZ7UX-MNoTL_RipoEPOEeDhUiU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IFERROR(__xludf.DUMMYFUNCTION("""COMPUTED_VALUE"""),"EditAllocatedGridTaxlot")</f>
        <v>EditAllocatedGridTaxlot</v>
      </c>
      <c r="C435" t="str">
        <f ca="1">IFERROR(__xludf.DUMMYFUNCTION("""COMPUTED_VALUE"""),"1tuNkOgVUAgmGZdePkvb6Kq4fOIVUbM2Oo-j35VwEMxU")</f>
        <v>1tuNkOgVUAgmGZdePkvb6Kq4fOIVUbM2Oo-j35VwEMxU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IFERROR(__xludf.DUMMYFUNCTION("""COMPUTED_VALUE"""),"ExpandCollapseAllocatedGrid")</f>
        <v>ExpandCollapseAllocatedGrid</v>
      </c>
      <c r="C436" t="str">
        <f ca="1">IFERROR(__xludf.DUMMYFUNCTION("""COMPUTED_VALUE"""),"1rFegPn3vtFd9CjW_Q7sLLAAJfMR24R2aIjZeDzV88kI")</f>
        <v>1rFegPn3vtFd9CjW_Q7sLLAAJfMR24R2aIjZeDzV88kI</v>
      </c>
    </row>
    <row r="437" spans="1:3" ht="15.75" customHeight="1">
      <c r="A437" t="str">
        <f ca="1">IFERROR(__xludf.DUMMYFUNCTION("""COMPUTED_VALUE"""),"Allocation")</f>
        <v>Allocation</v>
      </c>
      <c r="B437" t="str">
        <f ca="1">IFERROR(__xludf.DUMMYFUNCTION("""COMPUTED_VALUE"""),"ExpandCollapseUnallocatedGrid")</f>
        <v>ExpandCollapseUnallocatedGrid</v>
      </c>
      <c r="C437" t="str">
        <f ca="1">IFERROR(__xludf.DUMMYFUNCTION("""COMPUTED_VALUE"""),"1AUbU9P9evi80SGX-0B0OEU4EIeSy8XoX0Jxc2neUG7Y")</f>
        <v>1AUbU9P9evi80SGX-0B0OEU4EIeSy8XoX0Jxc2neUG7Y</v>
      </c>
    </row>
    <row r="438" spans="1:3" ht="15.75" customHeight="1">
      <c r="A438" t="str">
        <f ca="1">IFERROR(__xludf.DUMMYFUNCTION("""COMPUTED_VALUE"""),"Blotter")</f>
        <v>Blotter</v>
      </c>
      <c r="B438" t="str">
        <f ca="1">IFERROR(__xludf.DUMMYFUNCTION("""COMPUTED_VALUE"""),"VerifySubOrderAfterRollover")</f>
        <v>VerifySubOrderAfterRollover</v>
      </c>
      <c r="C438" t="str">
        <f ca="1">IFERROR(__xludf.DUMMYFUNCTION("""COMPUTED_VALUE"""),"1BmRHukyQ4miHL0fDoU1ytWmIfZkbbUhts6aUXOoJt1M")</f>
        <v>1BmRHukyQ4miHL0fDoU1ytWmIfZkbbUhts6aUXOoJt1M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IFERROR(__xludf.DUMMYFUNCTION("""COMPUTED_VALUE"""),"SelectTransactionImportType")</f>
        <v>SelectTransactionImportType</v>
      </c>
      <c r="C439" t="str">
        <f ca="1">IFERROR(__xludf.DUMMYFUNCTION("""COMPUTED_VALUE"""),"1ultylVChPDBFQEPMhDgNhsGAOiEjOy4yrylpQgIIDRs")</f>
        <v>1ultylVChPDBFQEPMhDgNhsGAOiEjOy4yrylpQgIIDRs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IFERROR(__xludf.DUMMYFUNCTION("""COMPUTED_VALUE"""),"SelectAllOnImport")</f>
        <v>SelectAllOnImport</v>
      </c>
      <c r="C440" t="str">
        <f ca="1">IFERROR(__xludf.DUMMYFUNCTION("""COMPUTED_VALUE"""),"1kfuraVHmWK4GQJ5l-V_xi5ZOvrVVE_6df75wO3Tczkw")</f>
        <v>1kfuraVHmWK4GQJ5l-V_xi5ZOvrVVE_6df75wO3Tczkw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IFERROR(__xludf.DUMMYFUNCTION("""COMPUTED_VALUE"""),"SelectMarkPriceImportType")</f>
        <v>SelectMarkPriceImportType</v>
      </c>
      <c r="C441" t="str">
        <f ca="1">IFERROR(__xludf.DUMMYFUNCTION("""COMPUTED_VALUE"""),"16WxFw58KivOf3P1utNNMuCYVONlWBgTIRn0wVd6Sq10")</f>
        <v>16WxFw58KivOf3P1utNNMuCYVONlWBgTIRn0wVd6Sq10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IFERROR(__xludf.DUMMYFUNCTION("""COMPUTED_VALUE"""),"SelectForexImportType")</f>
        <v>SelectForexImportType</v>
      </c>
      <c r="C442" t="str">
        <f ca="1">IFERROR(__xludf.DUMMYFUNCTION("""COMPUTED_VALUE"""),"1niCpVuSl0IoWtjAcvElNI0GeVHeA4cKvepxzq7Z4t0Y")</f>
        <v>1niCpVuSl0IoWtjAcvElNI0GeVHeA4cKvepxzq7Z4t0Y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IFERROR(__xludf.DUMMYFUNCTION("""COMPUTED_VALUE"""),"SelectDoubleEntryCashImportType")</f>
        <v>SelectDoubleEntryCashImportType</v>
      </c>
      <c r="C443" t="str">
        <f ca="1">IFERROR(__xludf.DUMMYFUNCTION("""COMPUTED_VALUE"""),"1c3AV5tCWYyTG5GupbNYTh4Y6mBGeI5Q18WF7jbA_FoE")</f>
        <v>1c3AV5tCWYyTG5GupbNYTh4Y6mBGeI5Q18WF7jbA_FoE</v>
      </c>
    </row>
    <row r="444" spans="1:3" ht="15.75" customHeight="1">
      <c r="A444" t="str">
        <f ca="1">IFERROR(__xludf.DUMMYFUNCTION("""COMPUTED_VALUE"""),"Import")</f>
        <v>Import</v>
      </c>
      <c r="B444" t="str">
        <f ca="1">IFERROR(__xludf.DUMMYFUNCTION("""COMPUTED_VALUE"""),"SelectActivitiesImportType")</f>
        <v>SelectActivitiesImportType</v>
      </c>
      <c r="C444" t="str">
        <f ca="1">IFERROR(__xludf.DUMMYFUNCTION("""COMPUTED_VALUE"""),"1X6nskWL8-xWWF-gN9qfxhhV3aBuAeoxKsrdra5tJcpQ")</f>
        <v>1X6nskWL8-xWWF-gN9qfxhhV3aBuAeoxKsrdra5tJcpQ</v>
      </c>
    </row>
    <row r="445" spans="1:3" ht="15.75" customHeight="1">
      <c r="A445" t="str">
        <f ca="1">IFERROR(__xludf.DUMMYFUNCTION("""COMPUTED_VALUE"""),"TradingTicket")</f>
        <v>TradingTicket</v>
      </c>
      <c r="B445" t="str">
        <f ca="1">IFERROR(__xludf.DUMMYFUNCTION("""COMPUTED_VALUE"""),"SetTTCompliancePreference")</f>
        <v>SetTTCompliancePreference</v>
      </c>
      <c r="C445" t="str">
        <f ca="1">IFERROR(__xludf.DUMMYFUNCTION("""COMPUTED_VALUE"""),"1OPa8vYQi1QXXNENlCNdP6ay_L5vU7WyWP5dErE2KHEA")</f>
        <v>1OPa8vYQi1QXXNENlCNdP6ay_L5vU7WyWP5dErE2KHEA</v>
      </c>
    </row>
    <row r="446" spans="1:3" ht="15.75" customHeight="1">
      <c r="A446" t="str">
        <f ca="1">IFERROR(__xludf.DUMMYFUNCTION("""COMPUTED_VALUE"""),"Rebalancer")</f>
        <v>Rebalancer</v>
      </c>
      <c r="B446" t="str">
        <f ca="1">IFERROR(__xludf.DUMMYFUNCTION("""COMPUTED_VALUE"""),"LockandUnlockGridData")</f>
        <v>LockandUnlockGridData</v>
      </c>
      <c r="C446" t="str">
        <f ca="1">IFERROR(__xludf.DUMMYFUNCTION("""COMPUTED_VALUE"""),"1Km85kIYSTzG-NQHFDL8ZVRQQ0TKLUDOYsw-kdDX29xE")</f>
        <v>1Km85kIYSTzG-NQHFDL8ZVRQQ0TKLUDOYsw-kdDX29xE</v>
      </c>
    </row>
    <row r="447" spans="1:3" ht="15.75" customHeight="1">
      <c r="A447" t="str">
        <f ca="1">IFERROR(__xludf.DUMMYFUNCTION("""COMPUTED_VALUE"""),"Allocation")</f>
        <v>Allocation</v>
      </c>
      <c r="B447" t="str">
        <f ca="1">IFERROR(__xludf.DUMMYFUNCTION("""COMPUTED_VALUE"""),"SetTradeAttributePreferences")</f>
        <v>SetTradeAttributePreferences</v>
      </c>
      <c r="C447" t="str">
        <f ca="1">IFERROR(__xludf.DUMMYFUNCTION("""COMPUTED_VALUE"""),"1jyPRPc_0lTWCpP9oldB5fgtg2dy3jSnXLkS_qYf40-I")</f>
        <v>1jyPRPc_0lTWCpP9oldB5fgtg2dy3jSnXLkS_qYf40-I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IFERROR(__xludf.DUMMYFUNCTION("""COMPUTED_VALUE"""),"VerifyAccountBalances")</f>
        <v>VerifyAccountBalances</v>
      </c>
      <c r="C448" t="str">
        <f ca="1">IFERROR(__xludf.DUMMYFUNCTION("""COMPUTED_VALUE"""),"1ym14EKcw7B3au8SvVteq2gmFR3cDcsMvQQEIm0TQjf4")</f>
        <v>1ym14EKcw7B3au8SvVteq2gmFR3cDcsMvQQEIm0TQjf4</v>
      </c>
    </row>
    <row r="449" spans="1:3" ht="15.75" customHeight="1">
      <c r="A449" t="str">
        <f ca="1">IFERROR(__xludf.DUMMYFUNCTION("""COMPUTED_VALUE"""),"Rebalancer")</f>
        <v>Rebalancer</v>
      </c>
      <c r="B449" t="str">
        <f ca="1">IFERROR(__xludf.DUMMYFUNCTION("""COMPUTED_VALUE"""),"RefreshGridData")</f>
        <v>RefreshGridData</v>
      </c>
      <c r="C449" t="str">
        <f ca="1">IFERROR(__xludf.DUMMYFUNCTION("""COMPUTED_VALUE"""),"1iFsjUbnYA0Jwd89eYQjg5OrnW3lr2WGVb5quimwHrRw")</f>
        <v>1iFsjUbnYA0Jwd89eYQjg5OrnW3lr2WGVb5quimwHrRw</v>
      </c>
    </row>
    <row r="450" spans="1:3" ht="15.75" customHeight="1"/>
    <row r="451" spans="1:3" ht="15.75" customHeight="1"/>
    <row r="452" spans="1:3" ht="15.75" customHeight="1"/>
    <row r="453" spans="1:3" ht="15.75" customHeight="1"/>
    <row r="454" spans="1:3" ht="15.75" customHeight="1"/>
    <row r="455" spans="1:3" ht="15.75" customHeight="1"/>
    <row r="456" spans="1:3" ht="15.75" customHeight="1"/>
    <row r="457" spans="1:3" ht="15.75" customHeight="1"/>
    <row r="458" spans="1:3" ht="15.75" customHeight="1"/>
    <row r="459" spans="1:3" ht="15.75" customHeight="1"/>
    <row r="460" spans="1:3" ht="15.75" customHeight="1"/>
    <row r="461" spans="1:3" ht="15.75" customHeight="1"/>
    <row r="462" spans="1:3" ht="15.75" customHeight="1"/>
    <row r="463" spans="1:3" ht="15.75" customHeight="1"/>
    <row r="464" spans="1:3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8" t="s">
        <v>2</v>
      </c>
      <c r="B1" s="46"/>
      <c r="C1" s="47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5" t="s">
        <v>7</v>
      </c>
      <c r="B1" s="46"/>
      <c r="C1" s="46"/>
      <c r="D1" s="46"/>
      <c r="E1" s="46"/>
      <c r="F1" s="47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IFERROR(__xludf.DUMMYFUNCTION("""COMPUTED_VALUE"""),"AttributeValue")</f>
        <v>AttributeValue</v>
      </c>
      <c r="C5" s="22" t="str">
        <f ca="1">IFERROR(__xludf.DUMMYFUNCTION("""COMPUTED_VALUE"""),"AttributeName")</f>
        <v>AttributeName</v>
      </c>
      <c r="D5" s="22" t="str">
        <f ca="1">IFERROR(__xludf.DUMMYFUNCTION("""COMPUTED_VALUE"""),"KeepRecord")</f>
        <v>KeepRecord</v>
      </c>
      <c r="E5" s="22" t="str">
        <f ca="1">IFERROR(__xludf.DUMMYFUNCTION("""COMPUTED_VALUE"""),"DefaultValues")</f>
        <v>DefaultValues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16</v>
      </c>
      <c r="C6" s="5"/>
      <c r="D6" s="7" t="b">
        <v>0</v>
      </c>
      <c r="E6" s="7" t="s">
        <v>17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7" t="s">
        <v>18</v>
      </c>
      <c r="C7" s="5"/>
      <c r="D7" s="7" t="b">
        <v>0</v>
      </c>
      <c r="E7" s="7" t="s">
        <v>19</v>
      </c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22</v>
      </c>
      <c r="C6" s="27" t="s">
        <v>23</v>
      </c>
      <c r="D6" s="28">
        <v>100</v>
      </c>
      <c r="E6" s="29">
        <v>100</v>
      </c>
      <c r="F6" s="27" t="s">
        <v>24</v>
      </c>
      <c r="G6" s="27"/>
      <c r="H6" s="27"/>
      <c r="I6" s="27"/>
      <c r="J6" s="29">
        <v>10</v>
      </c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1" t="s">
        <v>25</v>
      </c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27</v>
      </c>
      <c r="C6" s="5"/>
      <c r="D6" s="7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Price(Base)")</f>
        <v>Avg Price(Base)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 t="str">
        <f ca="1">IFERROR(__xludf.DUMMYFUNCTION("""COMPUTED_VALUE"""),"MasterFund")</f>
        <v>MasterFund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22</v>
      </c>
      <c r="C6" s="29">
        <v>100</v>
      </c>
      <c r="D6" s="26"/>
      <c r="E6" s="27" t="s">
        <v>24</v>
      </c>
      <c r="F6" s="27" t="s">
        <v>23</v>
      </c>
      <c r="G6" s="27"/>
      <c r="H6" s="27"/>
      <c r="I6" s="27"/>
      <c r="J6" s="33" t="s">
        <v>25</v>
      </c>
      <c r="K6" s="27"/>
      <c r="L6" s="27"/>
      <c r="M6" s="27"/>
      <c r="N6" s="27"/>
      <c r="O6" s="27"/>
      <c r="P6" s="27" t="s">
        <v>29</v>
      </c>
      <c r="Q6" s="27" t="s">
        <v>23</v>
      </c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 t="s">
        <v>30</v>
      </c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 t="s">
        <v>31</v>
      </c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IFERROR(__xludf.DUMMYFUNCTION("""COMPUTED_VALUE"""),"Accured Interest")</f>
        <v>Accured Interest</v>
      </c>
      <c r="C5" s="22" t="str">
        <f ca="1">IFERROR(__xludf.DUMMYFUNCTION("""COMPUTED_VALUE"""),"Broker")</f>
        <v>Broker</v>
      </c>
      <c r="D5" s="22" t="str">
        <f ca="1">IFERROR(__xludf.DUMMYFUNCTION("""COMPUTED_VALUE"""),"Transaction Type")</f>
        <v>Transaction Type</v>
      </c>
      <c r="E5" s="22" t="str">
        <f ca="1">IFERROR(__xludf.DUMMYFUNCTION("""COMPUTED_VALUE"""),"Trade Attribute 1")</f>
        <v>Trade Attribute 1</v>
      </c>
      <c r="F5" s="23" t="str">
        <f ca="1">IFERROR(__xludf.DUMMYFUNCTION("""COMPUTED_VALUE"""),"Trade Attribute 2")</f>
        <v>Trade Attribute 2</v>
      </c>
      <c r="G5" s="22" t="str">
        <f ca="1">IFERROR(__xludf.DUMMYFUNCTION("""COMPUTED_VALUE"""),"Trade Attribute 3")</f>
        <v>Trade Attribute 3</v>
      </c>
      <c r="H5" s="22" t="str">
        <f ca="1">IFERROR(__xludf.DUMMYFUNCTION("""COMPUTED_VALUE"""),"Trade Attribute 4")</f>
        <v>Trade Attribute 4</v>
      </c>
      <c r="I5" s="22" t="str">
        <f ca="1">IFERROR(__xludf.DUMMYFUNCTION("""COMPUTED_VALUE"""),"Trade Attribute 5")</f>
        <v>Trade Attribute 5</v>
      </c>
      <c r="J5" s="22" t="str">
        <f ca="1">IFERROR(__xludf.DUMMYFUNCTION("""COMPUTED_VALUE"""),"Trade Attribute 6")</f>
        <v>Trade Attribute 6</v>
      </c>
      <c r="K5" s="22" t="str">
        <f ca="1">IFERROR(__xludf.DUMMYFUNCTION("""COMPUTED_VALUE"""),"Commission")</f>
        <v>Commission</v>
      </c>
      <c r="L5" s="22" t="str">
        <f ca="1">IFERROR(__xludf.DUMMYFUNCTION("""COMPUTED_VALUE"""),"Soft Commission")</f>
        <v>Soft Commission</v>
      </c>
      <c r="M5" s="22" t="str">
        <f ca="1">IFERROR(__xludf.DUMMYFUNCTION("""COMPUTED_VALUE"""),"Other Broker Fees")</f>
        <v>Other Broker Fees</v>
      </c>
      <c r="N5" s="22" t="str">
        <f ca="1">IFERROR(__xludf.DUMMYFUNCTION("""COMPUTED_VALUE"""),"Clearing Broker Fee")</f>
        <v>Clearing Broker Fee</v>
      </c>
      <c r="O5" s="22" t="str">
        <f ca="1">IFERROR(__xludf.DUMMYFUNCTION("""COMPUTED_VALUE"""),"Stamp Duty")</f>
        <v>Stamp Duty</v>
      </c>
      <c r="P5" s="22" t="str">
        <f ca="1">IFERROR(__xludf.DUMMYFUNCTION("""COMPUTED_VALUE"""),"AUEC Fee1")</f>
        <v>AUEC Fee1</v>
      </c>
      <c r="Q5" s="22" t="str">
        <f ca="1">IFERROR(__xludf.DUMMYFUNCTION("""COMPUTED_VALUE"""),"Tax On Commissions")</f>
        <v>Tax On Commissions</v>
      </c>
      <c r="R5" s="22" t="str">
        <f ca="1">IFERROR(__xludf.DUMMYFUNCTION("""COMPUTED_VALUE"""),"AUEC Fee2")</f>
        <v>AUEC Fee2</v>
      </c>
      <c r="S5" s="22" t="str">
        <f ca="1">IFERROR(__xludf.DUMMYFUNCTION("""COMPUTED_VALUE"""),"SEC Fee")</f>
        <v>SEC Fee</v>
      </c>
      <c r="T5" s="24" t="str">
        <f ca="1">IFERROR(__xludf.DUMMYFUNCTION("""COMPUTED_VALUE"""),"OCC Fee")</f>
        <v>OCC Fee</v>
      </c>
      <c r="U5" s="24" t="str">
        <f ca="1">IFERROR(__xludf.DUMMYFUNCTION("""COMPUTED_VALUE"""),"ORF Fee")</f>
        <v>ORF Fee</v>
      </c>
      <c r="V5" s="24" t="str">
        <f ca="1">IFERROR(__xludf.DUMMYFUNCTION("""COMPUTED_VALUE"""),"Option Premium Adjustment")</f>
        <v>Option Premium Adjustment</v>
      </c>
      <c r="W5" s="24" t="str">
        <f ca="1">IFERROR(__xludf.DUMMYFUNCTION("""COMPUTED_VALUE"""),"Change Comment")</f>
        <v>Change Comment</v>
      </c>
      <c r="X5" s="24" t="str">
        <f ca="1">IFERROR(__xludf.DUMMYFUNCTION("""COMPUTED_VALUE"""),"Avg Price(Local)")</f>
        <v>Avg Price(Local)</v>
      </c>
      <c r="Y5" s="24" t="str">
        <f ca="1">IFERROR(__xludf.DUMMYFUNCTION("""COMPUTED_VALUE"""),"Nirvana Process Date")</f>
        <v>Nirvana Process Date</v>
      </c>
      <c r="Z5" s="24" t="str">
        <f ca="1">IFERROR(__xludf.DUMMYFUNCTION("""COMPUTED_VALUE"""),"Closing Date")</f>
        <v>Closing Date</v>
      </c>
      <c r="AA5" s="24" t="str">
        <f ca="1">IFERROR(__xludf.DUMMYFUNCTION("""COMPUTED_VALUE"""),"Description")</f>
        <v>Description</v>
      </c>
      <c r="AB5" s="24" t="str">
        <f ca="1">IFERROR(__xludf.DUMMYFUNCTION("""COMPUTED_VALUE"""),"Coupon Rate")</f>
        <v>Coupon Rate</v>
      </c>
      <c r="AC5" s="24" t="str">
        <f ca="1">IFERROR(__xludf.DUMMYFUNCTION("""COMPUTED_VALUE"""),"Delta")</f>
        <v>Delta</v>
      </c>
      <c r="AD5" s="24" t="str">
        <f ca="1">IFERROR(__xludf.DUMMYFUNCTION("""COMPUTED_VALUE"""),"Symbol")</f>
        <v>Symbol</v>
      </c>
      <c r="AE5" s="24" t="str">
        <f ca="1">IFERROR(__xludf.DUMMYFUNCTION("""COMPUTED_VALUE"""),"Quantity")</f>
        <v>Quantity</v>
      </c>
      <c r="AF5" s="24" t="str">
        <f ca="1">IFERROR(__xludf.DUMMYFUNCTION("""COMPUTED_VALUE"""),"Avg Price(Base)")</f>
        <v>Avg Price(Base)</v>
      </c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/>
      <c r="C6" s="27"/>
      <c r="D6" s="26"/>
      <c r="E6" s="33" t="s">
        <v>33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 t="s">
        <v>22</v>
      </c>
      <c r="AE6" s="34">
        <v>100</v>
      </c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34</v>
      </c>
      <c r="C6" s="27" t="s">
        <v>23</v>
      </c>
      <c r="D6" s="28">
        <v>200</v>
      </c>
      <c r="E6" s="29">
        <v>200</v>
      </c>
      <c r="F6" s="27" t="s">
        <v>24</v>
      </c>
      <c r="G6" s="27"/>
      <c r="H6" s="27"/>
      <c r="I6" s="27"/>
      <c r="J6" s="29">
        <v>20</v>
      </c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1" t="s">
        <v>35</v>
      </c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36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/>
      <c r="C6" s="27"/>
      <c r="D6" s="28">
        <v>20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33" t="s">
        <v>35</v>
      </c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 t="s">
        <v>30</v>
      </c>
      <c r="AI6" s="30" t="s">
        <v>34</v>
      </c>
      <c r="AJ6" s="30" t="s">
        <v>23</v>
      </c>
      <c r="AK6" s="30" t="s">
        <v>38</v>
      </c>
      <c r="AL6" s="34">
        <v>200</v>
      </c>
      <c r="AM6" s="34">
        <v>200</v>
      </c>
      <c r="AN6" s="34">
        <v>100</v>
      </c>
      <c r="AO6" s="30"/>
      <c r="AP6" s="30"/>
      <c r="AQ6" s="30"/>
      <c r="AR6" s="30"/>
      <c r="AS6" s="30" t="s">
        <v>29</v>
      </c>
      <c r="AT6" s="30" t="s">
        <v>24</v>
      </c>
      <c r="AU6" s="30" t="s">
        <v>31</v>
      </c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/>
      <c r="C7" s="30"/>
      <c r="D7" s="35">
        <v>10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1" t="s">
        <v>25</v>
      </c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 t="s">
        <v>30</v>
      </c>
      <c r="AI7" s="30" t="s">
        <v>22</v>
      </c>
      <c r="AJ7" s="30" t="s">
        <v>23</v>
      </c>
      <c r="AK7" s="30" t="s">
        <v>38</v>
      </c>
      <c r="AL7" s="34">
        <v>100</v>
      </c>
      <c r="AM7" s="34">
        <v>100</v>
      </c>
      <c r="AN7" s="34">
        <v>100</v>
      </c>
      <c r="AO7" s="30"/>
      <c r="AP7" s="30"/>
      <c r="AQ7" s="30"/>
      <c r="AR7" s="30"/>
      <c r="AS7" s="30" t="s">
        <v>29</v>
      </c>
      <c r="AT7" s="30" t="s">
        <v>24</v>
      </c>
      <c r="AU7" s="30" t="s">
        <v>31</v>
      </c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36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22</v>
      </c>
      <c r="C6" s="27" t="s">
        <v>23</v>
      </c>
      <c r="D6" s="28">
        <v>100</v>
      </c>
      <c r="E6" s="29">
        <v>100</v>
      </c>
      <c r="F6" s="27"/>
      <c r="G6" s="27" t="s">
        <v>38</v>
      </c>
      <c r="H6" s="27"/>
      <c r="I6" s="27"/>
      <c r="J6" s="27"/>
      <c r="K6" s="27" t="s">
        <v>29</v>
      </c>
      <c r="L6" s="27" t="s">
        <v>24</v>
      </c>
      <c r="M6" s="27" t="s">
        <v>31</v>
      </c>
      <c r="N6" s="27"/>
      <c r="O6" s="27"/>
      <c r="P6" s="27"/>
      <c r="Q6" s="27"/>
      <c r="R6" s="27"/>
      <c r="S6" s="27"/>
      <c r="T6" s="30"/>
      <c r="U6" s="30"/>
      <c r="V6" s="30"/>
      <c r="W6" s="30" t="s">
        <v>30</v>
      </c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1" t="s">
        <v>25</v>
      </c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34</v>
      </c>
      <c r="C7" s="30" t="s">
        <v>23</v>
      </c>
      <c r="D7" s="35">
        <v>200</v>
      </c>
      <c r="E7" s="35">
        <v>200</v>
      </c>
      <c r="F7" s="30"/>
      <c r="G7" s="30" t="s">
        <v>38</v>
      </c>
      <c r="H7" s="30"/>
      <c r="I7" s="30"/>
      <c r="J7" s="30"/>
      <c r="K7" s="30" t="s">
        <v>29</v>
      </c>
      <c r="L7" s="30" t="s">
        <v>24</v>
      </c>
      <c r="M7" s="30" t="s">
        <v>31</v>
      </c>
      <c r="N7" s="30"/>
      <c r="O7" s="30"/>
      <c r="P7" s="30"/>
      <c r="Q7" s="30"/>
      <c r="R7" s="30"/>
      <c r="S7" s="30"/>
      <c r="T7" s="30"/>
      <c r="U7" s="30"/>
      <c r="V7" s="30"/>
      <c r="W7" s="30" t="s">
        <v>30</v>
      </c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1" t="s">
        <v>35</v>
      </c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6" t="s">
        <v>24</v>
      </c>
      <c r="C6" s="27"/>
      <c r="D6" s="37">
        <v>0</v>
      </c>
      <c r="E6" s="37">
        <v>100</v>
      </c>
      <c r="F6" s="27"/>
      <c r="G6" s="27"/>
      <c r="H6" s="37">
        <v>4</v>
      </c>
      <c r="I6" s="37">
        <v>5</v>
      </c>
      <c r="J6" s="27"/>
      <c r="K6" s="37">
        <v>10</v>
      </c>
      <c r="L6" s="37">
        <v>10</v>
      </c>
      <c r="M6" s="27"/>
      <c r="N6" s="27"/>
      <c r="O6" s="27" t="s">
        <v>29</v>
      </c>
      <c r="P6" s="27"/>
      <c r="Q6" s="27"/>
      <c r="R6" s="37">
        <v>0</v>
      </c>
      <c r="S6" s="38" t="s">
        <v>41</v>
      </c>
      <c r="T6" s="39">
        <v>0</v>
      </c>
      <c r="U6" s="39">
        <v>0</v>
      </c>
      <c r="V6" s="30"/>
      <c r="W6" s="30"/>
      <c r="X6" s="30"/>
      <c r="Y6" s="30"/>
      <c r="Z6" s="30"/>
      <c r="AA6" s="30"/>
      <c r="AB6" s="30"/>
      <c r="AC6" s="30"/>
      <c r="AD6" s="30"/>
      <c r="AE6" s="39">
        <v>100</v>
      </c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9">
        <v>1014.0006</v>
      </c>
      <c r="AU6" s="39">
        <v>1014.0006</v>
      </c>
      <c r="AV6" s="30"/>
      <c r="AW6" s="40">
        <v>0</v>
      </c>
      <c r="AX6" s="40">
        <v>0</v>
      </c>
      <c r="AY6" s="30" t="s">
        <v>31</v>
      </c>
      <c r="AZ6" s="40">
        <v>0</v>
      </c>
      <c r="BA6" s="30"/>
      <c r="BB6" s="30"/>
      <c r="BC6" s="40">
        <v>0</v>
      </c>
      <c r="BD6" s="30"/>
      <c r="BE6" s="30"/>
      <c r="BF6" s="30"/>
      <c r="BG6" s="30"/>
      <c r="BH6" s="30"/>
      <c r="BI6" s="30"/>
      <c r="BJ6" s="39">
        <v>100</v>
      </c>
      <c r="BK6" s="30"/>
      <c r="BL6" s="30"/>
      <c r="BM6" s="30"/>
      <c r="BN6" s="30"/>
      <c r="BO6" s="30" t="s">
        <v>23</v>
      </c>
      <c r="BP6" s="30"/>
      <c r="BQ6" s="30"/>
      <c r="BR6" s="30"/>
      <c r="BS6" s="30"/>
      <c r="BT6" s="41" t="s">
        <v>22</v>
      </c>
      <c r="BU6" s="30"/>
      <c r="BV6" s="30"/>
      <c r="BW6" s="30"/>
      <c r="BX6" s="30"/>
      <c r="BY6" s="42" t="s">
        <v>33</v>
      </c>
      <c r="BZ6" s="30"/>
      <c r="CA6" s="30"/>
      <c r="CB6" s="30"/>
      <c r="CC6" s="30"/>
      <c r="CD6" s="30"/>
      <c r="CE6" s="30"/>
      <c r="CF6" s="30"/>
      <c r="CG6" s="30"/>
      <c r="CH6" s="30"/>
      <c r="CI6" s="30" t="s">
        <v>23</v>
      </c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41" t="s">
        <v>24</v>
      </c>
      <c r="C7" s="30"/>
      <c r="D7" s="39">
        <v>0</v>
      </c>
      <c r="E7" s="39">
        <v>200</v>
      </c>
      <c r="F7" s="30"/>
      <c r="G7" s="30"/>
      <c r="H7" s="39">
        <v>4</v>
      </c>
      <c r="I7" s="39">
        <v>5</v>
      </c>
      <c r="J7" s="30"/>
      <c r="K7" s="39">
        <v>20</v>
      </c>
      <c r="L7" s="39">
        <v>20</v>
      </c>
      <c r="M7" s="30"/>
      <c r="N7" s="30"/>
      <c r="O7" s="30" t="s">
        <v>29</v>
      </c>
      <c r="P7" s="30"/>
      <c r="Q7" s="30"/>
      <c r="R7" s="39">
        <v>0</v>
      </c>
      <c r="S7" s="41" t="s">
        <v>41</v>
      </c>
      <c r="T7" s="39">
        <v>0</v>
      </c>
      <c r="U7" s="39">
        <v>0</v>
      </c>
      <c r="V7" s="30"/>
      <c r="W7" s="30"/>
      <c r="X7" s="30"/>
      <c r="Y7" s="30"/>
      <c r="Z7" s="30"/>
      <c r="AA7" s="30"/>
      <c r="AB7" s="30"/>
      <c r="AC7" s="30"/>
      <c r="AD7" s="30"/>
      <c r="AE7" s="39">
        <v>200</v>
      </c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9">
        <v>4014.0021999999999</v>
      </c>
      <c r="AU7" s="39">
        <v>4014.0021999999999</v>
      </c>
      <c r="AV7" s="30"/>
      <c r="AW7" s="40">
        <v>0</v>
      </c>
      <c r="AX7" s="40">
        <v>0</v>
      </c>
      <c r="AY7" s="30" t="s">
        <v>31</v>
      </c>
      <c r="AZ7" s="40">
        <v>0</v>
      </c>
      <c r="BA7" s="30"/>
      <c r="BB7" s="30"/>
      <c r="BC7" s="40">
        <v>0</v>
      </c>
      <c r="BD7" s="30"/>
      <c r="BE7" s="30"/>
      <c r="BF7" s="30"/>
      <c r="BG7" s="30"/>
      <c r="BH7" s="30"/>
      <c r="BI7" s="30"/>
      <c r="BJ7" s="39">
        <v>200</v>
      </c>
      <c r="BK7" s="30"/>
      <c r="BL7" s="30"/>
      <c r="BM7" s="30"/>
      <c r="BN7" s="30"/>
      <c r="BO7" s="30" t="s">
        <v>23</v>
      </c>
      <c r="BP7" s="30"/>
      <c r="BQ7" s="30"/>
      <c r="BR7" s="30"/>
      <c r="BS7" s="30"/>
      <c r="BT7" s="41" t="s">
        <v>34</v>
      </c>
      <c r="BU7" s="30"/>
      <c r="BV7" s="30"/>
      <c r="BW7" s="30"/>
      <c r="BX7" s="30"/>
      <c r="BY7" s="42" t="s">
        <v>35</v>
      </c>
      <c r="BZ7" s="30"/>
      <c r="CA7" s="30"/>
      <c r="CB7" s="30"/>
      <c r="CC7" s="30"/>
      <c r="CD7" s="30"/>
      <c r="CE7" s="30"/>
      <c r="CF7" s="30"/>
      <c r="CG7" s="30"/>
      <c r="CH7" s="30"/>
      <c r="CI7" s="30" t="s">
        <v>23</v>
      </c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45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>
      <c r="A6" s="25"/>
      <c r="B6" s="26"/>
      <c r="C6" s="27" t="s">
        <v>22</v>
      </c>
      <c r="D6" s="28">
        <v>100</v>
      </c>
      <c r="E6" s="27" t="s">
        <v>24</v>
      </c>
      <c r="F6" s="27"/>
      <c r="G6" s="27"/>
      <c r="H6" s="27" t="s">
        <v>44</v>
      </c>
      <c r="I6" s="27"/>
      <c r="J6" s="27"/>
      <c r="K6" s="27"/>
      <c r="L6" s="27"/>
      <c r="M6" s="27"/>
      <c r="N6" s="43">
        <v>-1000</v>
      </c>
      <c r="O6" s="27"/>
      <c r="P6" s="27"/>
      <c r="Q6" s="43">
        <v>-1000</v>
      </c>
      <c r="R6" s="27"/>
      <c r="S6" s="27"/>
      <c r="T6" s="30" t="s">
        <v>30</v>
      </c>
      <c r="U6" s="30"/>
      <c r="V6" s="30"/>
      <c r="W6" s="30"/>
      <c r="X6" s="30"/>
      <c r="Y6" s="34">
        <v>1</v>
      </c>
      <c r="Z6" s="30"/>
      <c r="AA6" s="30"/>
      <c r="AB6" s="34">
        <v>0</v>
      </c>
      <c r="AC6" s="34">
        <v>0</v>
      </c>
      <c r="AD6" s="34">
        <v>0</v>
      </c>
      <c r="AE6" s="34">
        <v>0</v>
      </c>
      <c r="AF6" s="34">
        <v>100</v>
      </c>
      <c r="AG6" s="34">
        <v>0</v>
      </c>
      <c r="AH6" s="34">
        <v>0</v>
      </c>
      <c r="AI6" s="34">
        <v>0</v>
      </c>
      <c r="AJ6" s="34">
        <v>0</v>
      </c>
      <c r="AK6" s="44">
        <v>-1000</v>
      </c>
      <c r="AL6" s="30"/>
      <c r="AM6" s="30"/>
      <c r="AN6" s="30" t="s">
        <v>23</v>
      </c>
      <c r="AO6" s="30"/>
      <c r="AP6" s="30" t="s">
        <v>44</v>
      </c>
      <c r="AQ6" s="30" t="s">
        <v>22</v>
      </c>
      <c r="AR6" s="30"/>
      <c r="AS6" s="30"/>
      <c r="AT6" s="30"/>
      <c r="AU6" s="30"/>
      <c r="AV6" s="30"/>
      <c r="AW6" s="44">
        <v>-1000</v>
      </c>
      <c r="AX6" s="34">
        <v>0</v>
      </c>
      <c r="AY6" s="34">
        <v>0</v>
      </c>
      <c r="AZ6" s="34">
        <v>0</v>
      </c>
      <c r="BA6" s="30"/>
      <c r="BB6" s="30"/>
      <c r="BC6" s="30"/>
      <c r="BD6" s="30"/>
      <c r="BE6" s="30"/>
      <c r="BF6" s="30"/>
      <c r="BG6" s="30"/>
      <c r="BH6" s="30"/>
      <c r="BI6" s="30"/>
      <c r="BJ6" s="34">
        <v>0</v>
      </c>
      <c r="BK6" s="34">
        <v>0</v>
      </c>
      <c r="BL6" s="34">
        <v>0</v>
      </c>
      <c r="BM6" s="34">
        <v>0</v>
      </c>
      <c r="BN6" s="30"/>
      <c r="BO6" s="44">
        <v>-1000</v>
      </c>
      <c r="BP6" s="34">
        <v>0</v>
      </c>
      <c r="BQ6" s="30"/>
      <c r="BR6" s="30" t="s">
        <v>29</v>
      </c>
      <c r="BS6" s="34">
        <v>0</v>
      </c>
      <c r="BT6" s="34">
        <v>0</v>
      </c>
      <c r="BU6" s="30"/>
      <c r="BV6" s="30"/>
      <c r="BW6" s="34">
        <v>0</v>
      </c>
      <c r="BX6" s="34">
        <v>0</v>
      </c>
      <c r="BY6" s="34">
        <v>0</v>
      </c>
      <c r="BZ6" s="34">
        <v>0</v>
      </c>
      <c r="CA6" s="34">
        <v>0</v>
      </c>
      <c r="CB6" s="30"/>
      <c r="CC6" s="30"/>
      <c r="CD6" s="44">
        <v>-1000</v>
      </c>
      <c r="CE6" s="30"/>
      <c r="CF6" s="30"/>
      <c r="CG6" s="44">
        <v>-1000</v>
      </c>
      <c r="CH6" s="30"/>
      <c r="CI6" s="34">
        <v>0</v>
      </c>
      <c r="CJ6" s="34">
        <v>0</v>
      </c>
      <c r="CK6" s="30"/>
      <c r="CL6" s="30"/>
      <c r="CM6" s="30"/>
      <c r="CN6" s="30"/>
      <c r="CO6" s="30"/>
      <c r="CP6" s="30"/>
      <c r="CQ6" s="30"/>
      <c r="CR6" s="30"/>
      <c r="CS6" s="34">
        <v>10</v>
      </c>
      <c r="CT6" s="30"/>
      <c r="CU6" s="30"/>
      <c r="CV6" s="30"/>
      <c r="CW6" s="30"/>
      <c r="CX6" s="30"/>
      <c r="CY6" s="30"/>
      <c r="CZ6" s="30"/>
      <c r="DA6" s="34">
        <v>0</v>
      </c>
      <c r="DB6" s="34">
        <v>0</v>
      </c>
      <c r="DC6" s="30"/>
      <c r="DD6" s="30"/>
      <c r="DE6" s="34">
        <v>0</v>
      </c>
      <c r="DF6" s="34">
        <v>0</v>
      </c>
      <c r="DG6" s="34">
        <v>0</v>
      </c>
      <c r="DH6" s="30"/>
      <c r="DI6" s="34">
        <v>0</v>
      </c>
      <c r="DJ6" s="30" t="s">
        <v>23</v>
      </c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1" t="s">
        <v>33</v>
      </c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</row>
    <row r="7" spans="1:167" ht="15.75" customHeight="1">
      <c r="A7" s="30"/>
      <c r="B7" s="30"/>
      <c r="C7" s="30" t="s">
        <v>34</v>
      </c>
      <c r="D7" s="35">
        <v>200</v>
      </c>
      <c r="E7" s="30" t="s">
        <v>24</v>
      </c>
      <c r="F7" s="30"/>
      <c r="G7" s="30"/>
      <c r="H7" s="30" t="s">
        <v>44</v>
      </c>
      <c r="I7" s="30"/>
      <c r="J7" s="30"/>
      <c r="K7" s="30"/>
      <c r="L7" s="30"/>
      <c r="M7" s="30"/>
      <c r="N7" s="44">
        <v>-4000</v>
      </c>
      <c r="O7" s="30"/>
      <c r="P7" s="30"/>
      <c r="Q7" s="44">
        <v>-4000</v>
      </c>
      <c r="R7" s="30"/>
      <c r="S7" s="30"/>
      <c r="T7" s="30" t="s">
        <v>30</v>
      </c>
      <c r="U7" s="30"/>
      <c r="V7" s="30"/>
      <c r="W7" s="30"/>
      <c r="X7" s="30"/>
      <c r="Y7" s="34">
        <v>1</v>
      </c>
      <c r="Z7" s="30"/>
      <c r="AA7" s="30"/>
      <c r="AB7" s="34">
        <v>0</v>
      </c>
      <c r="AC7" s="34">
        <v>0</v>
      </c>
      <c r="AD7" s="34">
        <v>0</v>
      </c>
      <c r="AE7" s="34">
        <v>0</v>
      </c>
      <c r="AF7" s="34">
        <v>200</v>
      </c>
      <c r="AG7" s="34">
        <v>0</v>
      </c>
      <c r="AH7" s="34">
        <v>0</v>
      </c>
      <c r="AI7" s="34">
        <v>0</v>
      </c>
      <c r="AJ7" s="34">
        <v>0</v>
      </c>
      <c r="AK7" s="44">
        <v>-4000</v>
      </c>
      <c r="AL7" s="30"/>
      <c r="AM7" s="30"/>
      <c r="AN7" s="30" t="s">
        <v>23</v>
      </c>
      <c r="AO7" s="30"/>
      <c r="AP7" s="30" t="s">
        <v>44</v>
      </c>
      <c r="AQ7" s="30" t="s">
        <v>34</v>
      </c>
      <c r="AR7" s="30"/>
      <c r="AS7" s="30"/>
      <c r="AT7" s="30"/>
      <c r="AU7" s="30"/>
      <c r="AV7" s="30"/>
      <c r="AW7" s="44">
        <v>-4000</v>
      </c>
      <c r="AX7" s="34">
        <v>0</v>
      </c>
      <c r="AY7" s="34">
        <v>0</v>
      </c>
      <c r="AZ7" s="34">
        <v>0</v>
      </c>
      <c r="BA7" s="30"/>
      <c r="BB7" s="30"/>
      <c r="BC7" s="30"/>
      <c r="BD7" s="30"/>
      <c r="BE7" s="30"/>
      <c r="BF7" s="30"/>
      <c r="BG7" s="30"/>
      <c r="BH7" s="30"/>
      <c r="BI7" s="30"/>
      <c r="BJ7" s="34">
        <v>0</v>
      </c>
      <c r="BK7" s="34">
        <v>0</v>
      </c>
      <c r="BL7" s="34">
        <v>0</v>
      </c>
      <c r="BM7" s="34">
        <v>0</v>
      </c>
      <c r="BN7" s="30"/>
      <c r="BO7" s="44">
        <v>-4000</v>
      </c>
      <c r="BP7" s="34">
        <v>0</v>
      </c>
      <c r="BQ7" s="30"/>
      <c r="BR7" s="30" t="s">
        <v>29</v>
      </c>
      <c r="BS7" s="34">
        <v>0</v>
      </c>
      <c r="BT7" s="34">
        <v>0</v>
      </c>
      <c r="BU7" s="30"/>
      <c r="BV7" s="30"/>
      <c r="BW7" s="34">
        <v>0</v>
      </c>
      <c r="BX7" s="34">
        <v>0</v>
      </c>
      <c r="BY7" s="34">
        <v>0</v>
      </c>
      <c r="BZ7" s="34">
        <v>0</v>
      </c>
      <c r="CA7" s="34">
        <v>0</v>
      </c>
      <c r="CB7" s="30"/>
      <c r="CC7" s="30"/>
      <c r="CD7" s="44">
        <v>-4000</v>
      </c>
      <c r="CE7" s="30"/>
      <c r="CF7" s="30"/>
      <c r="CG7" s="44">
        <v>-4000</v>
      </c>
      <c r="CH7" s="30"/>
      <c r="CI7" s="34">
        <v>0</v>
      </c>
      <c r="CJ7" s="34">
        <v>0</v>
      </c>
      <c r="CK7" s="30"/>
      <c r="CL7" s="30"/>
      <c r="CM7" s="30"/>
      <c r="CN7" s="30"/>
      <c r="CO7" s="30"/>
      <c r="CP7" s="30"/>
      <c r="CQ7" s="30"/>
      <c r="CR7" s="30"/>
      <c r="CS7" s="34">
        <v>20</v>
      </c>
      <c r="CT7" s="30"/>
      <c r="CU7" s="30"/>
      <c r="CV7" s="30"/>
      <c r="CW7" s="30"/>
      <c r="CX7" s="30"/>
      <c r="CY7" s="30"/>
      <c r="CZ7" s="30"/>
      <c r="DA7" s="34">
        <v>0</v>
      </c>
      <c r="DB7" s="34">
        <v>0</v>
      </c>
      <c r="DC7" s="30"/>
      <c r="DD7" s="30"/>
      <c r="DE7" s="34">
        <v>0</v>
      </c>
      <c r="DF7" s="34">
        <v>0</v>
      </c>
      <c r="DG7" s="34">
        <v>0</v>
      </c>
      <c r="DH7" s="30"/>
      <c r="DI7" s="34">
        <v>0</v>
      </c>
      <c r="DJ7" s="30" t="s">
        <v>23</v>
      </c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1" t="s">
        <v>35</v>
      </c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</row>
    <row r="8" spans="1:167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SetTradeAttributePreferences</vt:lpstr>
      <vt:lpstr>CreateDoneAwayOrder</vt:lpstr>
      <vt:lpstr>GetDataAllocation</vt:lpstr>
      <vt:lpstr>SelectAllocatedGroup</vt:lpstr>
      <vt:lpstr>EditAllocatedGrid</vt:lpstr>
      <vt:lpstr>CreateDoneAwayOrder1</vt:lpstr>
      <vt:lpstr>VerifyOrder</vt:lpstr>
      <vt:lpstr>VerifyWorkingSubs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2021-08-04T09:59:31Z</dcterms:modified>
</cp:coreProperties>
</file>