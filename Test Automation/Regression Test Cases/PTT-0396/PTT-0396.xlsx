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PTTPreference" sheetId="4" r:id="rId6"/>
    <sheet state="visible" name="ValidateSymbolTT" sheetId="5" r:id="rId7"/>
    <sheet state="visible" name="OpenQtt" sheetId="6" r:id="rId8"/>
    <sheet state="visible" name="TradeQTT" sheetId="7" r:id="rId9"/>
    <sheet state="visible" name="TradeQTT1" sheetId="8" r:id="rId10"/>
    <sheet state="visible" name="CalculatePTT" sheetId="9" r:id="rId11"/>
    <sheet state="visible" name="UseOrVerifyHotKeys" sheetId="10" r:id="rId12"/>
    <sheet state="visible" name="UseOrVerifyHotKeys1" sheetId="11" r:id="rId13"/>
    <sheet state="visible" name="VerifyPTT" sheetId="12" r:id="rId14"/>
  </sheets>
  <definedNames/>
  <calcPr/>
</workbook>
</file>

<file path=xl/sharedStrings.xml><?xml version="1.0" encoding="utf-8"?>
<sst xmlns="http://schemas.openxmlformats.org/spreadsheetml/2006/main" count="109" uniqueCount="47">
  <si>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</si>
  <si>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</si>
  <si>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</si>
  <si>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</si>
  <si>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</si>
  <si>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</si>
  <si>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</si>
  <si>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</si>
  <si>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</si>
  <si>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</si>
  <si>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</si>
  <si>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</si>
  <si>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</si>
  <si>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SetPTTPreference</t>
  </si>
  <si>
    <t>Data Format</t>
  </si>
  <si>
    <t>Input Format</t>
  </si>
  <si>
    <t>Increase</t>
  </si>
  <si>
    <t>BasisPoints</t>
  </si>
  <si>
    <t>Yes</t>
  </si>
  <si>
    <t>MasterFund</t>
  </si>
  <si>
    <t>NewMF</t>
  </si>
  <si>
    <t>TradingTicket</t>
  </si>
  <si>
    <t>ValidateSymbolTT</t>
  </si>
  <si>
    <t>AAPL</t>
  </si>
  <si>
    <t>QTT</t>
  </si>
  <si>
    <t>OpenQtt</t>
  </si>
  <si>
    <t>Save</t>
  </si>
  <si>
    <t>TradeQTT</t>
  </si>
  <si>
    <t>Nirvana6</t>
  </si>
  <si>
    <t>SAP</t>
  </si>
  <si>
    <t>Allocation1</t>
  </si>
  <si>
    <t>MS</t>
  </si>
  <si>
    <t>NASDAQ</t>
  </si>
  <si>
    <t>Day</t>
  </si>
  <si>
    <t>Market</t>
  </si>
  <si>
    <t>Live</t>
  </si>
  <si>
    <t>Green</t>
  </si>
  <si>
    <t>Nirvana7</t>
  </si>
  <si>
    <t>CalculatePTT</t>
  </si>
  <si>
    <t>Set</t>
  </si>
  <si>
    <t>Percentage</t>
  </si>
  <si>
    <t>No</t>
  </si>
  <si>
    <t>Custom Group</t>
  </si>
  <si>
    <t>TRIAL</t>
  </si>
  <si>
    <t>UseOrVerifyHotKeys</t>
  </si>
  <si>
    <t>VerifyPTT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</si>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</sst>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IFERROR(__xludf.DUMMYFUNCTION("""COMPUTED_VALUE"""),"Add/Subtract/Set")</f>
        <v>Add/Subtract/Set</v>
      </c>
      <c r="C5" s="27" t="str">
        <f>IFERROR(__xludf.DUMMYFUNCTION("""COMPUTED_VALUE"""),"Type")</f>
        <v>Type</v>
      </c>
      <c r="D5" s="27" t="str">
        <f>IFERROR(__xludf.DUMMYFUNCTION("""COMPUTED_VALUE"""),"Combined Account Total")</f>
        <v>Combined Account Total</v>
      </c>
      <c r="E5" s="27" t="str">
        <f>IFERROR(__xludf.DUMMYFUNCTION("""COMPUTED_VALUE"""),"MasterFund/Account")</f>
        <v>MasterFund/Account</v>
      </c>
      <c r="F5" s="28" t="str">
        <f>IFERROR(__xludf.DUMMYFUNCTION("""COMPUTED_VALUE"""),"Accounts")</f>
        <v>Accounts</v>
      </c>
      <c r="G5" s="27" t="str">
        <f>IFERROR(__xludf.DUMMYFUNCTION("""COMPUTED_VALUE"""),"Increase Decimal Digits")</f>
        <v>Increase Decimal Digits</v>
      </c>
      <c r="H5" s="27" t="str">
        <f>IFERROR(__xludf.DUMMYFUNCTION("""COMPUTED_VALUE"""),"ChkRemoveAccountsWithZeroNAV")</f>
        <v>ChkRemoveAccountsWithZeroNAV</v>
      </c>
      <c r="I5" s="27" t="str">
        <f>IFERROR(__xludf.DUMMYFUNCTION("""COMPUTED_VALUE"""),"Default Symbology")</f>
        <v>Default Symbology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 t="s">
        <v>19</v>
      </c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SetPTTPreference!$4:$4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>
        <v>2000.0</v>
      </c>
      <c r="E6" s="12" t="s">
        <v>30</v>
      </c>
      <c r="F6" s="12" t="s">
        <v>31</v>
      </c>
      <c r="G6" s="12" t="s">
        <v>32</v>
      </c>
      <c r="H6" s="12" t="s">
        <v>33</v>
      </c>
      <c r="I6" s="12" t="s">
        <v>34</v>
      </c>
      <c r="J6" s="12" t="s">
        <v>35</v>
      </c>
      <c r="K6" s="12" t="s">
        <v>36</v>
      </c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23</v>
      </c>
      <c r="D6" s="12">
        <v>2000.0</v>
      </c>
      <c r="E6" s="12" t="s">
        <v>30</v>
      </c>
      <c r="F6" s="12" t="s">
        <v>31</v>
      </c>
      <c r="G6" s="12" t="s">
        <v>32</v>
      </c>
      <c r="H6" s="12" t="s">
        <v>33</v>
      </c>
      <c r="I6" s="12" t="s">
        <v>34</v>
      </c>
      <c r="J6" s="12" t="s">
        <v>35</v>
      </c>
      <c r="K6" s="12" t="s">
        <v>36</v>
      </c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39</v>
      </c>
      <c r="D6" s="12" t="s">
        <v>40</v>
      </c>
      <c r="E6" s="12">
        <v>10.0</v>
      </c>
      <c r="F6" s="12">
        <v>10.0</v>
      </c>
      <c r="G6" s="12" t="s">
        <v>41</v>
      </c>
      <c r="H6" s="12" t="s">
        <v>42</v>
      </c>
      <c r="I6" s="12" t="s">
        <v>43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