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  <sheet state="visible" name="GetDailyCash1" sheetId="8" r:id="rId10"/>
    <sheet state="visible" name="UpdateMultipleDailyCash1" sheetId="9" r:id="rId11"/>
    <sheet state="visible" name="EditInterceptorFile" sheetId="10" r:id="rId12"/>
  </sheets>
  <definedNames/>
  <calcPr/>
</workbook>
</file>

<file path=xl/sharedStrings.xml><?xml version="1.0" encoding="utf-8"?>
<sst xmlns="http://schemas.openxmlformats.org/spreadsheetml/2006/main" count="87" uniqueCount="39">
  <si>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</si>
  <si>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</si>
  <si>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</si>
  <si>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</si>
  <si>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</si>
  <si>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</si>
  <si>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</si>
  <si>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</si>
  <si>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</si>
  <si>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</si>
  <si>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</si>
  <si>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</si>
  <si>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</si>
  <si>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</si>
  <si>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</si>
  <si>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</si>
  <si>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MSFT</t>
  </si>
  <si>
    <t>Sell</t>
  </si>
  <si>
    <t>Unallocated</t>
  </si>
  <si>
    <t>Yes</t>
  </si>
  <si>
    <t>DoneAway</t>
  </si>
  <si>
    <t>VerifyComplianceOrder</t>
  </si>
  <si>
    <t>Soft</t>
  </si>
  <si>
    <t>Masterfund_UnderlyingSymbol</t>
  </si>
  <si>
    <t>If Underlying Symbol equals to "AAPL" or global Nav greater than 900000, Then block the trade.</t>
  </si>
  <si>
    <t>Unallocated-MSFT</t>
  </si>
  <si>
    <t>underlyingSymbol: MSFT, globalNav: 1,000,000.00, MasterFundName: Unallocated</t>
  </si>
  <si>
    <t xml:space="preserve"> O:AAPL 13N715.00</t>
  </si>
  <si>
    <t>Sell to Open</t>
  </si>
  <si>
    <t>Unallocated-AAPL</t>
  </si>
  <si>
    <t>underlyingSymbol: AAPL, globalNav: 1,000,000.00, MasterFundName: Unallocated</t>
  </si>
  <si>
    <t>DailyValuation</t>
  </si>
  <si>
    <t>GetDailyCash</t>
  </si>
  <si>
    <t>UpdateMultipleDailyCash</t>
  </si>
  <si>
    <t>Allocation1</t>
  </si>
  <si>
    <t>USD</t>
  </si>
  <si>
    <t>Compliance</t>
  </si>
  <si>
    <t>EditInterceptorFile</t>
  </si>
  <si>
    <t>MSFT,,,,,,,,,1,,,,,,,,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</si>
</sst>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14" numFmtId="0" xfId="0" applyAlignment="1" applyBorder="1" applyFont="1">
      <alignment shrinkToFit="0" vertical="bottom" wrapText="0"/>
    </xf>
    <xf borderId="6" fillId="0" fontId="14" numFmtId="0" xfId="0" applyAlignment="1" applyBorder="1" applyFont="1">
      <alignment readingOrder="0" shrinkToFit="0" vertical="bottom" wrapText="0"/>
    </xf>
    <xf borderId="6" fillId="0" fontId="15" numFmtId="0" xfId="0" applyAlignment="1" applyBorder="1" applyFont="1">
      <alignment horizontal="right" readingOrder="0" shrinkToFit="0" vertical="bottom" wrapText="0"/>
    </xf>
    <xf borderId="6" fillId="0" fontId="14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7" fillId="6" fontId="16" numFmtId="164" xfId="0" applyAlignment="1" applyBorder="1" applyFill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5" numFmtId="14" xfId="0" applyAlignment="1" applyFont="1" applyNumberFormat="1">
      <alignment shrinkToFit="0" wrapText="0"/>
    </xf>
    <xf borderId="7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3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1000000.0</v>
      </c>
      <c r="E6" s="34"/>
      <c r="F6" s="35" t="s">
        <v>18</v>
      </c>
      <c r="G6" s="34"/>
      <c r="H6" s="34"/>
      <c r="I6" s="34"/>
      <c r="J6" s="33">
        <v>2.0</v>
      </c>
      <c r="K6" s="34"/>
      <c r="L6" s="34"/>
      <c r="M6" s="34"/>
      <c r="N6" s="36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5" t="s">
        <v>19</v>
      </c>
      <c r="AR6" s="37"/>
      <c r="AS6" s="37"/>
      <c r="AT6" s="37"/>
      <c r="AU6" s="37"/>
      <c r="AV6" s="37"/>
      <c r="AW6" s="37"/>
      <c r="AX6" s="35" t="s">
        <v>20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22</v>
      </c>
      <c r="C6" s="38" t="s">
        <v>23</v>
      </c>
      <c r="D6" s="38" t="s">
        <v>24</v>
      </c>
      <c r="E6" s="38" t="s">
        <v>25</v>
      </c>
      <c r="F6" s="38">
        <v>900000.0</v>
      </c>
      <c r="G6" s="38">
        <v>1000000.0</v>
      </c>
      <c r="H6" s="38" t="s">
        <v>26</v>
      </c>
      <c r="I6" s="39"/>
      <c r="J6" s="39"/>
      <c r="K6" s="38" t="s">
        <v>19</v>
      </c>
      <c r="L6" s="37"/>
      <c r="M6" s="35" t="s">
        <v>20</v>
      </c>
      <c r="N6" s="8"/>
      <c r="O6" s="8"/>
    </row>
    <row r="7" ht="15.75" customHeight="1">
      <c r="A7" s="8"/>
      <c r="B7" s="39"/>
      <c r="C7" s="39"/>
      <c r="D7" s="39"/>
      <c r="E7" s="39"/>
      <c r="F7" s="39"/>
      <c r="G7" s="39"/>
      <c r="H7" s="39"/>
      <c r="I7" s="39"/>
      <c r="J7" s="39"/>
      <c r="K7" s="37"/>
      <c r="L7" s="37"/>
      <c r="M7" s="37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27</v>
      </c>
      <c r="C6" s="32" t="s">
        <v>28</v>
      </c>
      <c r="D6" s="33">
        <v>1000000.0</v>
      </c>
      <c r="E6" s="34"/>
      <c r="F6" s="35" t="s">
        <v>18</v>
      </c>
      <c r="G6" s="34"/>
      <c r="H6" s="34"/>
      <c r="I6" s="34"/>
      <c r="J6" s="33">
        <v>2.0</v>
      </c>
      <c r="K6" s="34"/>
      <c r="L6" s="34"/>
      <c r="M6" s="34"/>
      <c r="N6" s="36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5" t="s">
        <v>19</v>
      </c>
      <c r="AR6" s="37"/>
      <c r="AS6" s="37"/>
      <c r="AT6" s="37"/>
      <c r="AU6" s="37"/>
      <c r="AV6" s="37"/>
      <c r="AW6" s="37"/>
      <c r="AX6" s="35" t="s">
        <v>20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22</v>
      </c>
      <c r="C6" s="38" t="s">
        <v>23</v>
      </c>
      <c r="D6" s="38" t="s">
        <v>24</v>
      </c>
      <c r="E6" s="38" t="s">
        <v>29</v>
      </c>
      <c r="F6" s="38">
        <v>900000.0</v>
      </c>
      <c r="G6" s="38">
        <v>1000000.0</v>
      </c>
      <c r="H6" s="38" t="s">
        <v>30</v>
      </c>
      <c r="I6" s="39"/>
      <c r="J6" s="39"/>
      <c r="K6" s="38" t="s">
        <v>19</v>
      </c>
      <c r="L6" s="37"/>
      <c r="M6" s="35" t="s">
        <v>20</v>
      </c>
      <c r="N6" s="8"/>
      <c r="O6" s="8"/>
    </row>
    <row r="7" ht="15.75" customHeight="1">
      <c r="A7" s="8"/>
      <c r="B7" s="39"/>
      <c r="C7" s="39"/>
      <c r="D7" s="39"/>
      <c r="E7" s="39"/>
      <c r="F7" s="39"/>
      <c r="G7" s="39"/>
      <c r="H7" s="39"/>
      <c r="I7" s="39"/>
      <c r="J7" s="39"/>
      <c r="K7" s="37"/>
      <c r="L7" s="37"/>
      <c r="M7" s="37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>
        <f t="shared" ref="B6:C6" si="1">TODAY()</f>
        <v>45960</v>
      </c>
      <c r="C6" s="40">
        <f t="shared" si="1"/>
        <v>45960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34</v>
      </c>
      <c r="C6" s="42" t="s">
        <v>35</v>
      </c>
      <c r="D6" s="43">
        <v>900000.0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EditInterceptorFile!$4:$4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