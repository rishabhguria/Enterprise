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SelectTradeOnOrderGrid1" sheetId="11" r:id="rId13"/>
    <sheet state="visible" name="AllocateFromBlotter" sheetId="12" r:id="rId14"/>
    <sheet state="visible" name="VerifyWorkingSubs" sheetId="13" r:id="rId15"/>
    <sheet state="visible" name="LoginClient" sheetId="14" r:id="rId16"/>
  </sheets>
  <definedNames/>
  <calcPr/>
</workbook>
</file>

<file path=xl/sharedStrings.xml><?xml version="1.0" encoding="utf-8"?>
<sst xmlns="http://schemas.openxmlformats.org/spreadsheetml/2006/main" count="411" uniqueCount="52">
  <si>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</si>
  <si>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</si>
  <si>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</si>
  <si>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</si>
  <si>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</si>
  <si>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</si>
  <si>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</si>
  <si>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</si>
  <si>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</si>
  <si>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</si>
  <si>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</si>
  <si>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</si>
  <si>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</si>
  <si>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</si>
  <si>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</si>
  <si>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</si>
  <si>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</si>
  <si>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</si>
  <si>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</si>
  <si>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</si>
  <si>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</si>
  <si>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</si>
  <si>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</si>
  <si>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</si>
  <si>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</si>
  <si>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</si>
  <si>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</si>
  <si>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</si>
  <si>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</si>
  <si>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</si>
  <si>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Allocation2</t>
  </si>
  <si>
    <t>VerifyWorkingSubs</t>
  </si>
  <si>
    <t/>
  </si>
  <si>
    <t>Filled</t>
  </si>
  <si>
    <t>MS</t>
  </si>
  <si>
    <t>jpearce</t>
  </si>
  <si>
    <t>MSFT US EQUITY</t>
  </si>
  <si>
    <t>Manual</t>
  </si>
  <si>
    <t>ALLOCATED</t>
  </si>
  <si>
    <t>Equity</t>
  </si>
  <si>
    <t>M</t>
  </si>
  <si>
    <t>DefaultNotes</t>
  </si>
  <si>
    <t>NONE</t>
  </si>
  <si>
    <t>USD</t>
  </si>
  <si>
    <t>Strategy Unallocated</t>
  </si>
  <si>
    <t>GCCAP1</t>
  </si>
  <si>
    <t>NASDAQ</t>
  </si>
  <si>
    <t>AAPL US EQUITY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</si>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</sst>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65" xfId="0" applyAlignment="1" applyFont="1" applyNumberFormat="1">
      <alignment readingOrder="0" shrinkToFit="0" wrapText="0"/>
    </xf>
    <xf borderId="0" fillId="0" fontId="5" numFmtId="9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2">
        <v>315.95</v>
      </c>
      <c r="E6" s="31" t="s">
        <v>17</v>
      </c>
      <c r="F6" s="30"/>
      <c r="G6" s="30"/>
      <c r="H6" s="30"/>
      <c r="I6" s="31"/>
      <c r="J6" s="31" t="s">
        <v>18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 t="s">
        <v>19</v>
      </c>
      <c r="V6" s="30" t="s">
        <v>20</v>
      </c>
      <c r="W6" s="30"/>
      <c r="X6" s="32">
        <v>315.95</v>
      </c>
      <c r="Y6" s="33">
        <f>TODAY()+2</f>
        <v>45821</v>
      </c>
      <c r="Z6" s="33">
        <f t="shared" ref="Z6:Z7" si="1">TODAY()-1</f>
        <v>45818</v>
      </c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34"/>
      <c r="B7" s="35" t="s">
        <v>21</v>
      </c>
      <c r="C7" s="32">
        <v>5000.0</v>
      </c>
      <c r="D7" s="36">
        <v>315.95</v>
      </c>
      <c r="E7" s="31" t="s">
        <v>17</v>
      </c>
      <c r="F7" s="30"/>
      <c r="G7" s="30"/>
      <c r="H7" s="30"/>
      <c r="I7" s="31"/>
      <c r="J7" s="31" t="s">
        <v>18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 t="s">
        <v>22</v>
      </c>
      <c r="V7" s="30" t="s">
        <v>20</v>
      </c>
      <c r="W7" s="30"/>
      <c r="X7" s="32">
        <v>315.95</v>
      </c>
      <c r="Y7" s="30"/>
      <c r="Z7" s="33">
        <f t="shared" si="1"/>
        <v>45818</v>
      </c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7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32</v>
      </c>
      <c r="B6" s="38" t="s">
        <v>16</v>
      </c>
      <c r="C6" s="8" t="s">
        <v>18</v>
      </c>
      <c r="D6" s="38">
        <v>5000.0</v>
      </c>
      <c r="E6" s="8">
        <v>5000.0</v>
      </c>
      <c r="F6" s="8"/>
      <c r="G6" s="8" t="s">
        <v>33</v>
      </c>
      <c r="H6" s="8">
        <v>2500.0</v>
      </c>
      <c r="I6" s="8"/>
      <c r="J6" s="8"/>
      <c r="K6" s="8" t="s">
        <v>34</v>
      </c>
      <c r="L6" s="8" t="s">
        <v>30</v>
      </c>
      <c r="M6" s="8" t="s">
        <v>20</v>
      </c>
      <c r="N6" s="8" t="s">
        <v>32</v>
      </c>
      <c r="O6" s="8"/>
      <c r="P6">
        <v>315.95</v>
      </c>
      <c r="R6" t="s">
        <v>35</v>
      </c>
      <c r="S6" t="s">
        <v>36</v>
      </c>
      <c r="U6" t="s">
        <v>37</v>
      </c>
      <c r="V6" t="s">
        <v>38</v>
      </c>
      <c r="W6" t="s">
        <v>39</v>
      </c>
      <c r="X6" t="s">
        <v>40</v>
      </c>
      <c r="Y6">
        <v>1.0</v>
      </c>
      <c r="Z6" t="s">
        <v>32</v>
      </c>
      <c r="AA6" t="s">
        <v>41</v>
      </c>
      <c r="AB6" t="s">
        <v>32</v>
      </c>
      <c r="AC6">
        <v>1579750.0</v>
      </c>
      <c r="AD6">
        <v>1579750.0</v>
      </c>
      <c r="AE6" t="s">
        <v>32</v>
      </c>
      <c r="AF6" t="s">
        <v>42</v>
      </c>
      <c r="AG6" t="s">
        <v>43</v>
      </c>
      <c r="AH6" t="s">
        <v>32</v>
      </c>
      <c r="AI6" t="s">
        <v>33</v>
      </c>
      <c r="AJ6" t="s">
        <v>44</v>
      </c>
      <c r="AR6" t="s">
        <v>45</v>
      </c>
      <c r="AT6" t="s">
        <v>32</v>
      </c>
      <c r="AU6" t="s">
        <v>16</v>
      </c>
      <c r="AV6" t="s">
        <v>46</v>
      </c>
      <c r="AX6" t="s">
        <v>32</v>
      </c>
      <c r="AY6" t="s">
        <v>32</v>
      </c>
      <c r="AZ6" t="s">
        <v>32</v>
      </c>
      <c r="BB6" t="s">
        <v>35</v>
      </c>
      <c r="BC6">
        <v>100.0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32</v>
      </c>
      <c r="B7" s="8" t="s">
        <v>21</v>
      </c>
      <c r="C7" s="8" t="s">
        <v>18</v>
      </c>
      <c r="D7" s="8">
        <v>5000.0</v>
      </c>
      <c r="E7" s="8">
        <v>5000.0</v>
      </c>
      <c r="F7" s="8"/>
      <c r="G7" s="8" t="s">
        <v>33</v>
      </c>
      <c r="H7" s="8">
        <v>2500.0</v>
      </c>
      <c r="I7" s="8"/>
      <c r="J7" s="8"/>
      <c r="K7" s="8" t="s">
        <v>34</v>
      </c>
      <c r="L7" s="8" t="s">
        <v>30</v>
      </c>
      <c r="M7" s="8" t="s">
        <v>20</v>
      </c>
      <c r="N7" s="8" t="s">
        <v>32</v>
      </c>
      <c r="O7" s="8"/>
      <c r="P7">
        <v>315.95</v>
      </c>
      <c r="R7" t="s">
        <v>35</v>
      </c>
      <c r="S7" t="s">
        <v>47</v>
      </c>
      <c r="U7" t="s">
        <v>37</v>
      </c>
      <c r="V7" t="s">
        <v>38</v>
      </c>
      <c r="W7" t="s">
        <v>39</v>
      </c>
      <c r="X7" t="s">
        <v>40</v>
      </c>
      <c r="Y7">
        <v>1.0</v>
      </c>
      <c r="Z7" t="s">
        <v>32</v>
      </c>
      <c r="AA7" t="s">
        <v>41</v>
      </c>
      <c r="AB7" t="s">
        <v>32</v>
      </c>
      <c r="AC7">
        <v>1579750.0</v>
      </c>
      <c r="AD7">
        <v>1579750.0</v>
      </c>
      <c r="AE7" t="s">
        <v>32</v>
      </c>
      <c r="AF7" t="s">
        <v>42</v>
      </c>
      <c r="AG7" t="s">
        <v>43</v>
      </c>
      <c r="AH7" t="s">
        <v>32</v>
      </c>
      <c r="AI7" t="s">
        <v>33</v>
      </c>
      <c r="AJ7" t="s">
        <v>44</v>
      </c>
      <c r="AR7" t="s">
        <v>45</v>
      </c>
      <c r="AT7" t="s">
        <v>32</v>
      </c>
      <c r="AU7" t="s">
        <v>21</v>
      </c>
      <c r="AV7" t="s">
        <v>46</v>
      </c>
      <c r="AX7" t="s">
        <v>32</v>
      </c>
      <c r="AY7" t="s">
        <v>32</v>
      </c>
      <c r="AZ7" t="s">
        <v>32</v>
      </c>
      <c r="BB7" t="s">
        <v>35</v>
      </c>
      <c r="BC7">
        <v>100.0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40"/>
      <c r="B11" s="12"/>
      <c r="C11" s="12"/>
      <c r="D11" s="12"/>
      <c r="E11" s="12"/>
      <c r="F11" s="12"/>
      <c r="G11" s="12"/>
      <c r="H11" s="12"/>
      <c r="I11" s="41"/>
      <c r="J11" s="12"/>
      <c r="K11" s="12"/>
      <c r="L11" s="12"/>
      <c r="M11" s="12"/>
      <c r="N11" s="12"/>
      <c r="O11" s="12"/>
    </row>
    <row r="12" ht="15.75" customHeight="1">
      <c r="A12" s="40"/>
      <c r="B12" s="12"/>
      <c r="C12" s="12"/>
      <c r="D12" s="12"/>
      <c r="E12" s="12"/>
      <c r="F12" s="12"/>
      <c r="G12" s="12"/>
      <c r="H12" s="12"/>
      <c r="I12" s="41"/>
      <c r="J12" s="12"/>
      <c r="K12" s="12"/>
      <c r="L12" s="12"/>
      <c r="M12" s="12"/>
      <c r="N12" s="12"/>
      <c r="O12" s="12"/>
      <c r="R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51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