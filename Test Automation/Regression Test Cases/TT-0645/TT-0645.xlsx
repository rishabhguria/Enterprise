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LoginClient" sheetId="5" r:id="rId7"/>
    <sheet state="visible" name="CreateDoneAwayOrder" sheetId="6" r:id="rId8"/>
    <sheet state="visible" name="LoginClient1" sheetId="7" r:id="rId9"/>
    <sheet state="visible" name="CreateDoneAwayOrder1" sheetId="8" r:id="rId10"/>
    <sheet state="visible" name="GetDataAllocation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<sst xmlns="http://schemas.openxmlformats.org/spreadsheetml/2006/main" count="189" uniqueCount="51">
  <si>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</si>
  <si>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</si>
  <si>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</si>
  <si>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</si>
  <si>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</si>
  <si>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</si>
  <si>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</si>
  <si>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</si>
  <si>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</si>
  <si>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</si>
  <si>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</si>
  <si>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</si>
  <si>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</si>
  <si>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</si>
  <si>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</si>
  <si>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</si>
  <si>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PranaClient</t>
  </si>
  <si>
    <t>LoginClient</t>
  </si>
  <si>
    <t>Support2</t>
  </si>
  <si>
    <t>Nirvana@1</t>
  </si>
  <si>
    <t>TradingTicket</t>
  </si>
  <si>
    <t>CreateDoneAwayOrder</t>
  </si>
  <si>
    <t>AAPL</t>
  </si>
  <si>
    <t>Buy</t>
  </si>
  <si>
    <t>Allocation3</t>
  </si>
  <si>
    <t>MS</t>
  </si>
  <si>
    <t>Day</t>
  </si>
  <si>
    <t>Sell</t>
  </si>
  <si>
    <t>Support3</t>
  </si>
  <si>
    <t>Unallocated</t>
  </si>
  <si>
    <t>Allocation</t>
  </si>
  <si>
    <t>GetDataAllocation</t>
  </si>
  <si>
    <t>Historical</t>
  </si>
  <si>
    <t>CheckUnallocatedGroups</t>
  </si>
  <si>
    <t/>
  </si>
  <si>
    <t>Equity</t>
  </si>
  <si>
    <t>AAPL US EQUITY</t>
  </si>
  <si>
    <t>NONE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</si>
  <si>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</si>
  <si>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</si>
  <si>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</si>
  <si>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</si>
  <si>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</si>
  <si>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</si>
  <si>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</si>
  <si>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</si>
  <si>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</si>
  <si>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</si>
  <si>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GCCAP1</t>
  </si>
  <si>
    <t>US</t>
  </si>
  <si>
    <t>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</si>
</sst>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IFERROR(__xludf.DUMMYFUNCTION("""COMPUTED_VALUE"""),"PortfolioManagement")</f>
        <v>PortfolioManagement</v>
      </c>
      <c r="B667" t="str">
        <f>IFERROR(__xludf.DUMMYFUNCTION("""COMPUTED_VALUE"""),"CheckCustomViewRowSummary")</f>
        <v>CheckCustomViewRowSummary</v>
      </c>
      <c r="C667" t="str">
        <f>IFERROR(__xludf.DUMMYFUNCTION("""COMPUTED_VALUE"""),"1CjkmQl63oW4X7P1uiqLyE5noU0a1IZRpdkfx87GqvKA")</f>
        <v>1CjkmQl63oW4X7P1uiqLyE5noU0a1IZRpdkfx87GqvKA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13">
        <v>100.0</v>
      </c>
      <c r="F6" s="13" t="s">
        <v>24</v>
      </c>
      <c r="G6" s="13" t="s">
        <v>25</v>
      </c>
      <c r="H6" s="13" t="s">
        <v>26</v>
      </c>
      <c r="I6" s="8"/>
      <c r="J6" s="13">
        <v>10.0</v>
      </c>
      <c r="K6" s="8"/>
      <c r="L6" s="8"/>
      <c r="M6" s="8"/>
      <c r="N6" s="32">
        <f t="shared" ref="N6:N7" si="1">today()</f>
        <v>45233</v>
      </c>
      <c r="O6" s="8"/>
    </row>
    <row r="7" ht="15.75" customHeight="1">
      <c r="A7" s="8"/>
      <c r="B7" s="13" t="s">
        <v>22</v>
      </c>
      <c r="C7" s="13" t="s">
        <v>27</v>
      </c>
      <c r="D7" s="13">
        <v>101.0</v>
      </c>
      <c r="E7" s="13">
        <v>101.0</v>
      </c>
      <c r="F7" s="13" t="s">
        <v>24</v>
      </c>
      <c r="G7" s="13" t="s">
        <v>25</v>
      </c>
      <c r="H7" s="13" t="s">
        <v>26</v>
      </c>
      <c r="I7" s="8"/>
      <c r="J7" s="13">
        <v>10.0</v>
      </c>
      <c r="K7" s="8"/>
      <c r="L7" s="8"/>
      <c r="M7" s="8"/>
      <c r="N7" s="32">
        <f t="shared" si="1"/>
        <v>45233</v>
      </c>
      <c r="O7" s="8"/>
      <c r="AZ7" s="9" t="s">
        <v>24</v>
      </c>
      <c r="BA7" s="9">
        <v>101.0</v>
      </c>
      <c r="BB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101.0</v>
      </c>
      <c r="E6" s="13">
        <v>101.0</v>
      </c>
      <c r="F6" s="13" t="s">
        <v>29</v>
      </c>
      <c r="G6" s="13" t="s">
        <v>25</v>
      </c>
      <c r="H6" s="13" t="s">
        <v>26</v>
      </c>
      <c r="I6" s="8"/>
      <c r="J6" s="13">
        <v>10.0</v>
      </c>
      <c r="K6" s="8"/>
      <c r="L6" s="8"/>
      <c r="M6" s="8"/>
      <c r="N6" s="32">
        <f>today()</f>
        <v>45233</v>
      </c>
      <c r="O6" s="8"/>
      <c r="BA6" s="9">
        <v>101.0</v>
      </c>
      <c r="BB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2">
        <f>today()-1</f>
        <v>45232</v>
      </c>
      <c r="D6" s="33">
        <f>today()</f>
        <v>45233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34</v>
      </c>
      <c r="B6" s="34" t="s">
        <v>34</v>
      </c>
      <c r="C6" s="8">
        <v>0.0</v>
      </c>
      <c r="D6" s="34">
        <v>0.0</v>
      </c>
      <c r="E6" s="8"/>
      <c r="F6" s="8" t="s">
        <v>35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36</v>
      </c>
      <c r="M6" s="8" t="s">
        <v>34</v>
      </c>
      <c r="N6" s="8" t="s">
        <v>25</v>
      </c>
      <c r="O6" s="8"/>
      <c r="P6">
        <v>3.0</v>
      </c>
      <c r="Q6">
        <v>0.0</v>
      </c>
      <c r="R6" t="s">
        <v>37</v>
      </c>
      <c r="S6" t="s">
        <v>38</v>
      </c>
      <c r="T6">
        <v>0.0</v>
      </c>
      <c r="U6">
        <v>0.0</v>
      </c>
      <c r="V6" t="s">
        <v>39</v>
      </c>
      <c r="W6">
        <v>1.0</v>
      </c>
      <c r="X6" t="s">
        <v>34</v>
      </c>
      <c r="Y6" t="s">
        <v>34</v>
      </c>
      <c r="Z6" t="s">
        <v>40</v>
      </c>
      <c r="AA6" t="s">
        <v>22</v>
      </c>
      <c r="AB6">
        <v>1.0</v>
      </c>
      <c r="AC6" t="s">
        <v>41</v>
      </c>
      <c r="AD6" t="s">
        <v>42</v>
      </c>
      <c r="AE6">
        <v>101.0</v>
      </c>
      <c r="AG6" t="s">
        <v>43</v>
      </c>
      <c r="AH6">
        <v>1.0</v>
      </c>
      <c r="AI6" t="s">
        <v>44</v>
      </c>
      <c r="AM6" t="s">
        <v>45</v>
      </c>
      <c r="AN6" t="b">
        <v>0</v>
      </c>
      <c r="AS6">
        <v>0.0</v>
      </c>
      <c r="AT6">
        <v>995.9994</v>
      </c>
      <c r="AU6">
        <v>995.9994</v>
      </c>
      <c r="AW6">
        <v>0.0</v>
      </c>
      <c r="AX6">
        <v>0.0</v>
      </c>
      <c r="AY6" t="s">
        <v>46</v>
      </c>
      <c r="AZ6">
        <v>0.0</v>
      </c>
      <c r="BC6">
        <v>0.0</v>
      </c>
      <c r="BD6" t="s">
        <v>47</v>
      </c>
      <c r="BE6">
        <v>1010.0</v>
      </c>
      <c r="BF6">
        <v>1010.0</v>
      </c>
      <c r="BJ6">
        <v>101.0</v>
      </c>
      <c r="BK6">
        <v>0.0</v>
      </c>
      <c r="BL6" t="s">
        <v>34</v>
      </c>
      <c r="BM6" t="s">
        <v>40</v>
      </c>
      <c r="BO6" t="s">
        <v>27</v>
      </c>
      <c r="BP6">
        <v>0.0</v>
      </c>
      <c r="BQ6">
        <v>0.0</v>
      </c>
      <c r="BR6">
        <v>6.0E-4</v>
      </c>
      <c r="BS6" t="s">
        <v>22</v>
      </c>
      <c r="BT6">
        <v>3.0</v>
      </c>
      <c r="BU6">
        <v>0.0</v>
      </c>
      <c r="BV6">
        <v>14.0006</v>
      </c>
      <c r="BW6">
        <v>0.0</v>
      </c>
      <c r="CE6" t="s">
        <v>48</v>
      </c>
      <c r="CF6">
        <v>2.0</v>
      </c>
      <c r="CG6" t="s">
        <v>20</v>
      </c>
      <c r="CH6" t="s">
        <v>27</v>
      </c>
      <c r="CI6">
        <v>101.0</v>
      </c>
      <c r="CJ6" t="s">
        <v>49</v>
      </c>
      <c r="CK6">
        <v>1.0</v>
      </c>
      <c r="CL6" t="s">
        <v>22</v>
      </c>
      <c r="CM6" t="s">
        <v>50</v>
      </c>
      <c r="CN6" t="s">
        <v>42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