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AutomaticClosing" sheetId="6" r:id="rId8"/>
    <sheet state="visible" name="VerifyClosedTrades" sheetId="7" r:id="rId9"/>
    <sheet state="visible" name="SelectTradeOnOrderGrid" sheetId="8" r:id="rId10"/>
    <sheet state="visible" name="ReAllocateFromBlotterByAllocate" sheetId="9" r:id="rId11"/>
    <sheet state="visible" name="VerifySubOrder" sheetId="10" r:id="rId12"/>
  </sheets>
  <definedNames/>
  <calcPr/>
</workbook>
</file>

<file path=xl/sharedStrings.xml><?xml version="1.0" encoding="utf-8"?>
<sst xmlns="http://schemas.openxmlformats.org/spreadsheetml/2006/main" count="92" uniqueCount="41">
  <si>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</si>
  <si>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</si>
  <si>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</si>
  <si>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</si>
  <si>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</si>
  <si>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</si>
  <si>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</si>
  <si>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</si>
  <si>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</si>
  <si>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</si>
  <si>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</si>
  <si>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</si>
  <si>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</si>
  <si>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</si>
  <si>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</si>
  <si>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</si>
  <si>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</si>
  <si>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</si>
  <si>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</si>
  <si>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Sell</t>
  </si>
  <si>
    <t>Closing</t>
  </si>
  <si>
    <t>GetDataClosing</t>
  </si>
  <si>
    <t>Current</t>
  </si>
  <si>
    <t>AutomaticClosing</t>
  </si>
  <si>
    <t>BTAX</t>
  </si>
  <si>
    <t>None</t>
  </si>
  <si>
    <t>Default</t>
  </si>
  <si>
    <t>VerifyClosedTrades</t>
  </si>
  <si>
    <t>Strategy Unallocated</t>
  </si>
  <si>
    <t>Long</t>
  </si>
  <si>
    <t>Equity</t>
  </si>
  <si>
    <t>Blotter</t>
  </si>
  <si>
    <t>SelectTradeOnOrderGrid</t>
  </si>
  <si>
    <t>Filled</t>
  </si>
  <si>
    <t>Market</t>
  </si>
  <si>
    <t>NASDAQ</t>
  </si>
  <si>
    <t>ReAllocateFromBlotterByAllocate</t>
  </si>
  <si>
    <t>Allocation2</t>
  </si>
  <si>
    <t>VerifySubOrder</t>
  </si>
  <si>
    <t>US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</si>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</sst>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>
        <v>120.0</v>
      </c>
      <c r="E6" s="31"/>
      <c r="F6" s="32" t="s">
        <v>18</v>
      </c>
      <c r="G6" s="31"/>
      <c r="H6" s="31"/>
      <c r="I6" s="31"/>
      <c r="J6" s="33">
        <v>15.0</v>
      </c>
      <c r="K6" s="31"/>
      <c r="L6" s="31"/>
      <c r="M6" s="31"/>
      <c r="N6" s="34">
        <f t="shared" ref="N6:N7" si="1">Today()</f>
        <v>44981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16</v>
      </c>
      <c r="C7" s="32" t="s">
        <v>19</v>
      </c>
      <c r="D7" s="33">
        <v>100.0</v>
      </c>
      <c r="E7" s="31"/>
      <c r="F7" s="32" t="s">
        <v>18</v>
      </c>
      <c r="G7" s="31"/>
      <c r="H7" s="31"/>
      <c r="I7" s="31"/>
      <c r="J7" s="33">
        <v>15.0</v>
      </c>
      <c r="K7" s="31"/>
      <c r="L7" s="31"/>
      <c r="M7" s="31"/>
      <c r="N7" s="34">
        <f t="shared" si="1"/>
        <v>44981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22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1zwv-aZp-DRCpq8bqLR0XRiyt0av-GAm0ORqbhnV-FKI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 ")</f>
        <v>CloseSSw/BuyBTO </v>
      </c>
      <c r="C5" s="28" t="str">
        <f>IFERROR(__xludf.DUMMYFUNCTION("""COMPUTED_VALUE"""),"AutoCloseStrategy")</f>
        <v>AutoCloseStrategy</v>
      </c>
      <c r="D5" s="28" t="str">
        <f>IFERROR(__xludf.DUMMYFUNCTION("""COMPUTED_VALUE"""),"Algorithm")</f>
        <v>Algorithm</v>
      </c>
      <c r="E5" s="28" t="str">
        <f>IFERROR(__xludf.DUMMYFUNCTION("""COMPUTED_VALUE"""),"SecondarySortCriteria")</f>
        <v>SecondarySortCriteria</v>
      </c>
      <c r="F5" s="29" t="str">
        <f>IFERROR(__xludf.DUMMYFUNCTION("""COMPUTED_VALUE"""),"ClosingField")</f>
        <v>ClosingField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b">
        <v>0</v>
      </c>
      <c r="C6" s="35" t="b">
        <v>1</v>
      </c>
      <c r="D6" s="31" t="s">
        <v>24</v>
      </c>
      <c r="E6" s="31" t="s">
        <v>25</v>
      </c>
      <c r="F6" s="31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 t="str">
        <f>IFERROR(__xludf.DUMMYFUNCTION("""COMPUTED_VALUE"""),"isRowCountCheck")</f>
        <v>isRowCountCheck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>
        <f>Today()</f>
        <v>44981</v>
      </c>
      <c r="D6" s="32" t="s">
        <v>18</v>
      </c>
      <c r="E6" s="32" t="s">
        <v>28</v>
      </c>
      <c r="F6" s="32" t="s">
        <v>29</v>
      </c>
      <c r="G6" s="32" t="s">
        <v>30</v>
      </c>
      <c r="H6" s="32" t="s">
        <v>16</v>
      </c>
      <c r="I6" s="33">
        <v>100.0</v>
      </c>
      <c r="J6" s="33">
        <v>15.0</v>
      </c>
      <c r="K6" s="33">
        <v>15.0</v>
      </c>
      <c r="L6" s="33"/>
      <c r="M6" s="33"/>
      <c r="N6" s="31"/>
      <c r="O6" s="31"/>
      <c r="P6" s="36"/>
      <c r="Q6" s="31"/>
      <c r="R6" s="31"/>
      <c r="S6" s="31"/>
      <c r="T6" s="37"/>
      <c r="U6" s="31"/>
      <c r="V6" s="31"/>
      <c r="W6" s="31"/>
      <c r="X6" s="38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VerifyClosedTrades!$4:$4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15.0</v>
      </c>
      <c r="C6" s="8"/>
      <c r="D6" s="13" t="s">
        <v>16</v>
      </c>
      <c r="E6" s="8"/>
      <c r="F6" s="13" t="s">
        <v>19</v>
      </c>
      <c r="G6" s="13" t="s">
        <v>33</v>
      </c>
      <c r="H6" s="13">
        <v>100.0</v>
      </c>
      <c r="I6" s="13">
        <v>100.0</v>
      </c>
      <c r="J6" s="8"/>
      <c r="K6" s="8"/>
      <c r="L6" s="8"/>
      <c r="M6" s="8"/>
      <c r="N6" s="8"/>
      <c r="O6" s="8"/>
      <c r="R6" s="9" t="s">
        <v>18</v>
      </c>
      <c r="T6" s="9" t="s">
        <v>34</v>
      </c>
      <c r="AF6" s="9" t="s">
        <v>30</v>
      </c>
      <c r="AJ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 Allocation Quantity")</f>
        <v>Target Allocation Quantity</v>
      </c>
      <c r="F5" s="29" t="str">
        <f>IFERROR(__xludf.DUMMYFUNCTION("""COMPUTED_VALUE"""),"LowerStripMessage")</f>
        <v>LowerStripMessage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13" t="s">
        <v>37</v>
      </c>
      <c r="D6" s="13">
        <v>100.0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ReAllocateFromBlotterByAllocate!$4:$4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15.0</v>
      </c>
      <c r="E6" s="8"/>
      <c r="F6" s="8"/>
      <c r="G6" s="8"/>
      <c r="H6" s="13" t="s">
        <v>35</v>
      </c>
      <c r="I6" s="8"/>
      <c r="J6" s="13" t="s">
        <v>16</v>
      </c>
      <c r="K6" s="13" t="s">
        <v>39</v>
      </c>
      <c r="L6" s="8"/>
      <c r="M6" s="8"/>
      <c r="N6" s="8"/>
      <c r="O6" s="8"/>
      <c r="AD6" s="9">
        <v>1.0</v>
      </c>
      <c r="AI6" s="9" t="s">
        <v>16</v>
      </c>
      <c r="AJ6" s="9" t="s">
        <v>19</v>
      </c>
      <c r="AK6" s="9" t="s">
        <v>33</v>
      </c>
      <c r="AL6" s="9">
        <v>100.0</v>
      </c>
      <c r="AM6" s="9">
        <v>100.0</v>
      </c>
      <c r="AQ6" s="9" t="s">
        <v>40</v>
      </c>
      <c r="AR6" s="9" t="s">
        <v>18</v>
      </c>
      <c r="AS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