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CreateStageOrder" sheetId="5" r:id="rId7"/>
    <sheet state="visible" name="MergeOrder" sheetId="6" r:id="rId8"/>
    <sheet state="visible" name="SelectTradeOnOrderGrid" sheetId="7" r:id="rId9"/>
    <sheet state="visible" name="VerifyViewAllocationOrder" sheetId="8" r:id="rId10"/>
  </sheets>
  <definedNames/>
  <calcPr/>
</workbook>
</file>

<file path=xl/sharedStrings.xml><?xml version="1.0" encoding="utf-8"?>
<sst xmlns="http://schemas.openxmlformats.org/spreadsheetml/2006/main" count="80" uniqueCount="29">
  <si>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</si>
  <si>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</si>
  <si>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</si>
  <si>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</si>
  <si>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</si>
  <si>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</si>
  <si>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</si>
  <si>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</si>
  <si>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</si>
  <si>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</si>
  <si>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</si>
  <si>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</si>
  <si>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</si>
  <si>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</si>
  <si>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</si>
  <si>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</si>
  <si>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LSCC</t>
  </si>
  <si>
    <t>Buy</t>
  </si>
  <si>
    <t>Allocation1</t>
  </si>
  <si>
    <t>MS</t>
  </si>
  <si>
    <t>Day</t>
  </si>
  <si>
    <t>Allocation2</t>
  </si>
  <si>
    <t>CreateStageOrder</t>
  </si>
  <si>
    <t>Blotter</t>
  </si>
  <si>
    <t>MergeOrder</t>
  </si>
  <si>
    <t>New</t>
  </si>
  <si>
    <t>Yes</t>
  </si>
  <si>
    <t>SelectTradeOnOrderGrid</t>
  </si>
  <si>
    <t>VerifyViewAllocationOrder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</si>
</sst>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>
        <v>100.0</v>
      </c>
      <c r="E6" s="12">
        <v>100.0</v>
      </c>
      <c r="F6" s="12" t="s">
        <v>18</v>
      </c>
      <c r="G6" s="12" t="s">
        <v>19</v>
      </c>
      <c r="H6" s="12" t="s">
        <v>20</v>
      </c>
      <c r="I6" s="8"/>
      <c r="J6" s="12">
        <v>2.0</v>
      </c>
      <c r="K6" s="8"/>
      <c r="L6" s="8"/>
      <c r="M6" s="8"/>
      <c r="N6" s="30">
        <f t="shared" ref="N6:N7" si="1">today()</f>
        <v>45532</v>
      </c>
      <c r="O6" s="8"/>
    </row>
    <row r="7" ht="15.75" customHeight="1">
      <c r="A7" s="12"/>
      <c r="B7" s="12" t="s">
        <v>16</v>
      </c>
      <c r="C7" s="12" t="s">
        <v>17</v>
      </c>
      <c r="D7" s="12">
        <v>200.0</v>
      </c>
      <c r="E7" s="12">
        <v>200.0</v>
      </c>
      <c r="F7" s="12" t="s">
        <v>21</v>
      </c>
      <c r="G7" s="12" t="s">
        <v>19</v>
      </c>
      <c r="H7" s="12" t="s">
        <v>20</v>
      </c>
      <c r="I7" s="8"/>
      <c r="J7" s="12">
        <v>2.0</v>
      </c>
      <c r="K7" s="8"/>
      <c r="L7" s="8"/>
      <c r="M7" s="8"/>
      <c r="N7" s="30">
        <f t="shared" si="1"/>
        <v>45532</v>
      </c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IFERROR(__xludf.DUMMYFUNCTION("""COMPUTED_VALUE"""),"Master Funds")</f>
        <v>Master Funds</v>
      </c>
      <c r="AS5" s="29" t="str">
        <f>IFERROR(__xludf.DUMMYFUNCTION("""COMPUTED_VALUE"""),"Rate(%)")</f>
        <v>Rate(%)</v>
      </c>
      <c r="AT5" s="29" t="str">
        <f>IFERROR(__xludf.DUMMYFUNCTION("""COMPUTED_VALUE"""),"BorrowerID")</f>
        <v>BorrowerID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>
        <v>100.0</v>
      </c>
      <c r="E6" s="12">
        <v>100.0</v>
      </c>
      <c r="F6" s="12" t="s">
        <v>18</v>
      </c>
      <c r="G6" s="12" t="s">
        <v>19</v>
      </c>
      <c r="H6" s="12" t="s">
        <v>20</v>
      </c>
      <c r="I6" s="8"/>
      <c r="J6" s="12">
        <v>2.0</v>
      </c>
      <c r="K6" s="8"/>
      <c r="L6" s="8"/>
      <c r="M6" s="8"/>
      <c r="N6" s="30">
        <f t="shared" ref="N6:N7" si="1">today()</f>
        <v>45532</v>
      </c>
      <c r="O6" s="8"/>
    </row>
    <row r="7" ht="15.75" customHeight="1">
      <c r="A7" s="12"/>
      <c r="B7" s="12" t="s">
        <v>16</v>
      </c>
      <c r="C7" s="12" t="s">
        <v>17</v>
      </c>
      <c r="D7" s="12">
        <v>200.0</v>
      </c>
      <c r="E7" s="12">
        <v>200.0</v>
      </c>
      <c r="F7" s="12" t="s">
        <v>21</v>
      </c>
      <c r="G7" s="12" t="s">
        <v>19</v>
      </c>
      <c r="H7" s="12" t="s">
        <v>20</v>
      </c>
      <c r="I7" s="8"/>
      <c r="J7" s="12">
        <v>2.0</v>
      </c>
      <c r="K7" s="8"/>
      <c r="L7" s="8"/>
      <c r="M7" s="8"/>
      <c r="N7" s="30">
        <f t="shared" si="1"/>
        <v>45532</v>
      </c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CreateStageOrder!$4:$4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IFERROR(__xludf.DUMMYFUNCTION("""COMPUTED_VALUE"""),"Allow Merge")</f>
        <v>Allow Merge</v>
      </c>
      <c r="BB5" s="29" t="str">
        <f>IFERROR(__xludf.DUMMYFUNCTION("""COMPUTED_VALUE"""),"ButtonClick")</f>
        <v>ButtonClick</v>
      </c>
      <c r="BC5" s="29" t="str">
        <f>IFERROR(__xludf.DUMMYFUNCTION("""COMPUTED_VALUE"""),"checkBox")</f>
        <v>checkBox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16</v>
      </c>
      <c r="E6" s="31"/>
      <c r="F6" s="12" t="s">
        <v>17</v>
      </c>
      <c r="G6" s="12" t="s">
        <v>25</v>
      </c>
      <c r="H6" s="12">
        <v>100.0</v>
      </c>
      <c r="I6" s="8"/>
      <c r="J6" s="8"/>
      <c r="K6" s="8"/>
      <c r="L6" s="8"/>
      <c r="M6" s="8"/>
      <c r="N6" s="8"/>
      <c r="O6" s="8"/>
      <c r="R6" s="32" t="s">
        <v>18</v>
      </c>
      <c r="BA6" s="9" t="s">
        <v>26</v>
      </c>
    </row>
    <row r="7" ht="15.75" customHeight="1">
      <c r="A7" s="8"/>
      <c r="B7" s="8"/>
      <c r="C7" s="8"/>
      <c r="D7" s="12" t="s">
        <v>16</v>
      </c>
      <c r="E7" s="31"/>
      <c r="F7" s="12" t="s">
        <v>17</v>
      </c>
      <c r="G7" s="12" t="s">
        <v>25</v>
      </c>
      <c r="H7" s="12">
        <v>200.0</v>
      </c>
      <c r="I7" s="8"/>
      <c r="J7" s="8"/>
      <c r="K7" s="8"/>
      <c r="L7" s="8"/>
      <c r="M7" s="8"/>
      <c r="N7" s="8"/>
      <c r="O7" s="8"/>
      <c r="R7" s="32" t="s">
        <v>21</v>
      </c>
      <c r="BA7" s="9" t="s">
        <v>26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6.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MergeOrder!$4:$4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16</v>
      </c>
      <c r="E6" s="31"/>
      <c r="F6" s="12" t="s">
        <v>17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IFERROR(__xludf.DUMMYFUNCTION("""COMPUTED_VALUE"""),"Allocated Quantity")</f>
        <v>Allocated Quantity</v>
      </c>
      <c r="D5" s="27" t="str">
        <f>IFERROR(__xludf.DUMMYFUNCTION("""COMPUTED_VALUE"""),"Allocation %")</f>
        <v>Allocation %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12">
        <v>100.0</v>
      </c>
      <c r="D6" s="12">
        <v>33.33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21</v>
      </c>
      <c r="C7" s="12">
        <v>200.0</v>
      </c>
      <c r="D7" s="12">
        <v>66.67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VerifyViewAllocationOrder!$4:$4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