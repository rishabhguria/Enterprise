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GetDataAllocation" sheetId="8" r:id="rId10"/>
    <sheet state="visible" name="CheckAllocatedGroups" sheetId="9" r:id="rId11"/>
    <sheet state="visible" name="Unallocate" sheetId="10" r:id="rId12"/>
    <sheet state="visible" name="SelectUnallocatedGroup" sheetId="11" r:id="rId13"/>
    <sheet state="visible" name="EnterAllocatePreference" sheetId="12" r:id="rId14"/>
    <sheet state="visible" name="CheckAllocatedGroups1" sheetId="13" r:id="rId15"/>
    <sheet state="visible" name="FetchAccountPositions" sheetId="14" r:id="rId16"/>
    <sheet state="visible" name="RefreshGridData" sheetId="15" r:id="rId17"/>
    <sheet state="visible" name="AddCash" sheetId="16" r:id="rId18"/>
    <sheet state="visible" name="RunRebalance" sheetId="17" r:id="rId19"/>
    <sheet state="visible" name="RebalanceAcrossSecurities" sheetId="18" r:id="rId20"/>
    <sheet state="visible" name="ModifyRebalance" sheetId="19" r:id="rId21"/>
    <sheet state="visible" name="VerifyGridData" sheetId="20" r:id="rId22"/>
  </sheets>
  <definedNames/>
  <calcPr/>
</workbook>
</file>

<file path=xl/sharedStrings.xml><?xml version="1.0" encoding="utf-8"?>
<sst xmlns="http://schemas.openxmlformats.org/spreadsheetml/2006/main" count="314" uniqueCount="68">
  <si>
    <t>Modules Info</t>
  </si>
  <si>
    <t>Modules</t>
  </si>
  <si>
    <t>Settings</t>
  </si>
  <si>
    <t>Module Step Setting File</t>
  </si>
  <si>
    <t>1SjPeSWwRpBugiikkQOq62Yx18jld1tXhatfH2a3lB70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</si>
  <si>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</si>
  <si>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</si>
  <si>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</si>
  <si>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</si>
  <si>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</si>
  <si>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</si>
  <si>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</si>
  <si>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</si>
  <si>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</si>
  <si>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</si>
  <si>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</si>
  <si>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</si>
  <si>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</si>
  <si>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</si>
  <si>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</si>
  <si>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</si>
  <si>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</si>
  <si>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</si>
  <si>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</si>
  <si>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Sell</t>
  </si>
  <si>
    <t>MSFT</t>
  </si>
  <si>
    <t>PricingInput</t>
  </si>
  <si>
    <t>Allocation</t>
  </si>
  <si>
    <t>GetDataAllocation</t>
  </si>
  <si>
    <t>Historical</t>
  </si>
  <si>
    <t>CheckAllocatedGroups</t>
  </si>
  <si>
    <t>Equity</t>
  </si>
  <si>
    <t>MS</t>
  </si>
  <si>
    <t>APPLE</t>
  </si>
  <si>
    <t>BrokerNotes</t>
  </si>
  <si>
    <t>NASDAQ</t>
  </si>
  <si>
    <t>M</t>
  </si>
  <si>
    <t>MICROSOFT INC</t>
  </si>
  <si>
    <t>Unallocate</t>
  </si>
  <si>
    <t>SelectUnallocatedGroup</t>
  </si>
  <si>
    <t>EnterAllocatePreference</t>
  </si>
  <si>
    <t>Calculated</t>
  </si>
  <si>
    <t>Pro-rata (NAV)</t>
  </si>
  <si>
    <t>Allocation1,Allocation3</t>
  </si>
  <si>
    <t>Multiple</t>
  </si>
  <si>
    <t>Open</t>
  </si>
  <si>
    <t>Market</t>
  </si>
  <si>
    <t>US</t>
  </si>
  <si>
    <t>Rebalancer</t>
  </si>
  <si>
    <t>FetchAccountPositions</t>
  </si>
  <si>
    <t>NewMF</t>
  </si>
  <si>
    <t>Previous Day's Positions</t>
  </si>
  <si>
    <t>Account</t>
  </si>
  <si>
    <t>Positions</t>
  </si>
  <si>
    <t>RefreshGridData</t>
  </si>
  <si>
    <t>Prices</t>
  </si>
  <si>
    <t>AddCash</t>
  </si>
  <si>
    <t>Impact NAV</t>
  </si>
  <si>
    <t>None</t>
  </si>
  <si>
    <t>RunRebalance</t>
  </si>
  <si>
    <t>Nearest Round Off</t>
  </si>
  <si>
    <t>RebalanceAcrossSecurities</t>
  </si>
  <si>
    <t>Increase</t>
  </si>
  <si>
    <t>Pro-Rata</t>
  </si>
  <si>
    <t>ModifyRebalance</t>
  </si>
  <si>
    <t>Yes</t>
  </si>
  <si>
    <t>VerifyGridData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</si>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</sst>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:ss am/pm"/>
    <numFmt numFmtId="166" formatCode="m/d/yyyy h:mm"/>
    <numFmt numFmtId="167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0" fillId="6" fontId="13" numFmtId="14" xfId="0" applyAlignment="1" applyFont="1" applyNumberForma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6" fillId="5" fontId="4" numFmtId="0" xfId="0" applyAlignment="1" applyBorder="1" applyFont="1">
      <alignment shrinkToFit="0" wrapText="0"/>
    </xf>
    <xf borderId="6" fillId="5" fontId="4" numFmtId="0" xfId="0" applyAlignment="1" applyBorder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0" fillId="0" fontId="14" numFmtId="167" xfId="0" applyAlignment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167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5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44774</v>
      </c>
      <c r="C6" s="31">
        <f t="shared" si="1"/>
        <v>44774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17</v>
      </c>
      <c r="C6" s="36" t="s">
        <v>18</v>
      </c>
      <c r="D6" s="37">
        <v>10000.0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8" t="s">
        <v>19</v>
      </c>
      <c r="C7" s="38" t="s">
        <v>18</v>
      </c>
      <c r="D7" s="39">
        <v>10000.0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36" t="s">
        <v>23</v>
      </c>
      <c r="D6" s="37">
        <v>100.0</v>
      </c>
      <c r="E6" s="40">
        <v>100.0</v>
      </c>
      <c r="F6" s="36" t="s">
        <v>17</v>
      </c>
      <c r="G6" s="32"/>
      <c r="H6" s="32"/>
      <c r="I6" s="32"/>
      <c r="J6" s="40">
        <v>10.0</v>
      </c>
      <c r="K6" s="32"/>
      <c r="L6" s="32"/>
      <c r="M6" s="32"/>
      <c r="N6" s="41">
        <f t="shared" ref="N6:N9" si="1">TODAY()-1</f>
        <v>44774</v>
      </c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8" t="s">
        <v>22</v>
      </c>
      <c r="C7" s="38" t="s">
        <v>24</v>
      </c>
      <c r="D7" s="39">
        <v>50.0</v>
      </c>
      <c r="E7" s="40">
        <v>50.0</v>
      </c>
      <c r="F7" s="36" t="s">
        <v>17</v>
      </c>
      <c r="G7" s="33"/>
      <c r="H7" s="33"/>
      <c r="I7" s="33"/>
      <c r="J7" s="39">
        <v>10.0</v>
      </c>
      <c r="K7" s="33"/>
      <c r="L7" s="33"/>
      <c r="M7" s="33"/>
      <c r="N7" s="42">
        <f t="shared" si="1"/>
        <v>44774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25</v>
      </c>
      <c r="C8" s="33" t="s">
        <v>23</v>
      </c>
      <c r="D8" s="40">
        <v>200.0</v>
      </c>
      <c r="E8" s="39">
        <v>200.0</v>
      </c>
      <c r="F8" s="38" t="s">
        <v>19</v>
      </c>
      <c r="G8" s="33"/>
      <c r="H8" s="33"/>
      <c r="I8" s="33"/>
      <c r="J8" s="39">
        <v>10.0</v>
      </c>
      <c r="K8" s="33"/>
      <c r="L8" s="33"/>
      <c r="M8" s="33"/>
      <c r="N8" s="42">
        <f t="shared" si="1"/>
        <v>44774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25</v>
      </c>
      <c r="C9" s="36" t="s">
        <v>24</v>
      </c>
      <c r="D9" s="40">
        <v>100.0</v>
      </c>
      <c r="E9" s="39">
        <v>100.0</v>
      </c>
      <c r="F9" s="38" t="s">
        <v>19</v>
      </c>
      <c r="G9" s="33"/>
      <c r="H9" s="33"/>
      <c r="I9" s="33"/>
      <c r="J9" s="39">
        <v>10.0</v>
      </c>
      <c r="K9" s="33"/>
      <c r="L9" s="33"/>
      <c r="M9" s="33"/>
      <c r="N9" s="42">
        <f t="shared" si="1"/>
        <v>44774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40">
        <v>10.0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25</v>
      </c>
      <c r="C7" s="39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29</v>
      </c>
      <c r="C6" s="43">
        <f>Today()-1</f>
        <v>44774</v>
      </c>
      <c r="D6" s="43">
        <f>Today()</f>
        <v>44775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4" t="str">
        <f>IFERROR(__xludf.DUMMYFUNCTION("""COMPUTED_VALUE"""),"Account Name")</f>
        <v>Account Name</v>
      </c>
      <c r="C5" s="44" t="str">
        <f>IFERROR(__xludf.DUMMYFUNCTION("""COMPUTED_VALUE"""),"Accrual Basis")</f>
        <v>Accrual Basis</v>
      </c>
      <c r="D5" s="44" t="str">
        <f>IFERROR(__xludf.DUMMYFUNCTION("""COMPUTED_VALUE"""),"Accrued Interest")</f>
        <v>Accrued Interest</v>
      </c>
      <c r="E5" s="44" t="str">
        <f>IFERROR(__xludf.DUMMYFUNCTION("""COMPUTED_VALUE"""),"Allocated Qty")</f>
        <v>Allocated Qty</v>
      </c>
      <c r="F5" s="45" t="str">
        <f>IFERROR(__xludf.DUMMYFUNCTION("""COMPUTED_VALUE"""),"Allocation Scheme Name")</f>
        <v>Allocation Scheme Name</v>
      </c>
      <c r="G5" s="44" t="str">
        <f>IFERROR(__xludf.DUMMYFUNCTION("""COMPUTED_VALUE"""),"Asset Category")</f>
        <v>Asset Category</v>
      </c>
      <c r="H5" s="44" t="str">
        <f>IFERROR(__xludf.DUMMYFUNCTION("""COMPUTED_VALUE"""),"AUEC Fee1")</f>
        <v>AUEC Fee1</v>
      </c>
      <c r="I5" s="44" t="str">
        <f>IFERROR(__xludf.DUMMYFUNCTION("""COMPUTED_VALUE"""),"AUEC Fee2")</f>
        <v>AUEC Fee2</v>
      </c>
      <c r="J5" s="44" t="str">
        <f>IFERROR(__xludf.DUMMYFUNCTION("""COMPUTED_VALUE"""),"AUECID")</f>
        <v>AUECID</v>
      </c>
      <c r="K5" s="44" t="str">
        <f>IFERROR(__xludf.DUMMYFUNCTION("""COMPUTED_VALUE"""),"Avg Price(Base)")</f>
        <v>Avg Price(Base)</v>
      </c>
      <c r="L5" s="44" t="str">
        <f>IFERROR(__xludf.DUMMYFUNCTION("""COMPUTED_VALUE"""),"Avg Price(Local)")</f>
        <v>Avg Price(Local)</v>
      </c>
      <c r="M5" s="44" t="str">
        <f>IFERROR(__xludf.DUMMYFUNCTION("""COMPUTED_VALUE"""),"Bloomberg")</f>
        <v>Bloomberg</v>
      </c>
      <c r="N5" s="44" t="str">
        <f>IFERROR(__xludf.DUMMYFUNCTION("""COMPUTED_VALUE"""),"Bond Type")</f>
        <v>Bond Type</v>
      </c>
      <c r="O5" s="44" t="str">
        <f>IFERROR(__xludf.DUMMYFUNCTION("""COMPUTED_VALUE"""),"Broker")</f>
        <v>Broker</v>
      </c>
      <c r="P5" s="44" t="str">
        <f>IFERROR(__xludf.DUMMYFUNCTION("""COMPUTED_VALUE"""),"Change Comment")</f>
        <v>Change Comment</v>
      </c>
      <c r="Q5" s="44" t="str">
        <f>IFERROR(__xludf.DUMMYFUNCTION("""COMPUTED_VALUE"""),"Change Type")</f>
        <v>Change Type</v>
      </c>
      <c r="R5" s="44" t="str">
        <f>IFERROR(__xludf.DUMMYFUNCTION("""COMPUTED_VALUE"""),"Clearing Broker Fee")</f>
        <v>Clearing Broker Fee</v>
      </c>
      <c r="S5" s="44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6" t="s">
        <v>17</v>
      </c>
      <c r="C6" s="47"/>
      <c r="D6" s="34"/>
      <c r="E6" s="33">
        <v>100.0</v>
      </c>
      <c r="F6" s="47"/>
      <c r="G6" s="47" t="s">
        <v>31</v>
      </c>
      <c r="H6" s="33"/>
      <c r="I6" s="33"/>
      <c r="J6" s="33"/>
      <c r="K6" s="33">
        <v>10.0</v>
      </c>
      <c r="L6" s="33">
        <v>10.0</v>
      </c>
      <c r="M6" s="47"/>
      <c r="N6" s="47"/>
      <c r="O6" s="47" t="s">
        <v>32</v>
      </c>
      <c r="P6" s="33"/>
      <c r="Q6" s="33"/>
      <c r="R6" s="33"/>
      <c r="S6" s="47"/>
      <c r="T6" s="33"/>
      <c r="U6" s="33"/>
      <c r="V6" s="47" t="s">
        <v>33</v>
      </c>
      <c r="W6" s="33"/>
      <c r="X6" s="33"/>
      <c r="Y6" s="47"/>
      <c r="Z6" s="47" t="s">
        <v>18</v>
      </c>
      <c r="AA6" s="33"/>
      <c r="AB6" s="47"/>
      <c r="AC6" s="47" t="s">
        <v>34</v>
      </c>
      <c r="AD6" s="47" t="s">
        <v>35</v>
      </c>
      <c r="AE6" s="33">
        <v>100.0</v>
      </c>
      <c r="AF6" s="33"/>
      <c r="AG6" s="48"/>
      <c r="AH6" s="47" t="s">
        <v>36</v>
      </c>
      <c r="AI6" s="33">
        <v>1.0</v>
      </c>
      <c r="AJ6" s="33"/>
      <c r="AK6" s="47"/>
      <c r="AL6" s="33"/>
      <c r="AM6" s="33"/>
      <c r="AN6" s="47"/>
      <c r="AO6" s="47"/>
      <c r="AP6" s="47"/>
      <c r="AQ6" s="33"/>
      <c r="AR6" s="47"/>
      <c r="AS6" s="33"/>
      <c r="AT6" s="49">
        <v>1014.0006</v>
      </c>
      <c r="AU6" s="49">
        <v>1014.0006</v>
      </c>
      <c r="AV6" s="50"/>
      <c r="AW6" s="33"/>
      <c r="AX6" s="33"/>
      <c r="AY6" s="47"/>
      <c r="AZ6" s="33"/>
      <c r="BA6" s="50"/>
      <c r="BB6" s="33"/>
      <c r="BC6" s="33"/>
      <c r="BD6" s="47"/>
      <c r="BE6" s="49">
        <v>1000.0</v>
      </c>
      <c r="BF6" s="49">
        <v>1000.0</v>
      </c>
      <c r="BG6" s="50"/>
      <c r="BH6" s="33"/>
      <c r="BI6" s="33"/>
      <c r="BJ6" s="33">
        <v>100.0</v>
      </c>
      <c r="BK6" s="33"/>
      <c r="BL6" s="47"/>
      <c r="BM6" s="47" t="s">
        <v>18</v>
      </c>
      <c r="BN6" s="50"/>
      <c r="BO6" s="47" t="s">
        <v>23</v>
      </c>
      <c r="BP6" s="33"/>
      <c r="BQ6" s="33"/>
      <c r="BR6" s="33"/>
      <c r="BS6" s="47"/>
      <c r="BT6" s="47" t="s">
        <v>22</v>
      </c>
      <c r="BU6" s="33">
        <v>3.0</v>
      </c>
      <c r="BV6" s="33">
        <v>0.0</v>
      </c>
      <c r="BW6" s="33">
        <v>14.0006</v>
      </c>
      <c r="BX6" s="33">
        <v>0.0</v>
      </c>
      <c r="BY6" s="33"/>
      <c r="BZ6" s="33"/>
      <c r="CA6" s="33"/>
      <c r="CB6" s="33"/>
      <c r="CC6" s="33"/>
      <c r="CD6" s="33"/>
      <c r="CE6" s="51">
        <f t="shared" ref="CE6:CE9" si="1">Today()-1</f>
        <v>44774</v>
      </c>
      <c r="CF6" s="47"/>
      <c r="CG6" s="33"/>
      <c r="CH6" s="47"/>
      <c r="CI6" s="47" t="s">
        <v>23</v>
      </c>
      <c r="CJ6" s="33">
        <v>0.0</v>
      </c>
      <c r="CK6" s="47"/>
      <c r="CL6" s="33"/>
      <c r="CM6" s="47" t="s">
        <v>22</v>
      </c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7" t="s">
        <v>17</v>
      </c>
      <c r="C7" s="47"/>
      <c r="D7" s="33"/>
      <c r="E7" s="33">
        <v>50.0</v>
      </c>
      <c r="F7" s="47"/>
      <c r="G7" s="47" t="s">
        <v>31</v>
      </c>
      <c r="H7" s="33"/>
      <c r="I7" s="33"/>
      <c r="J7" s="33"/>
      <c r="K7" s="33">
        <v>10.0</v>
      </c>
      <c r="L7" s="33">
        <v>10.0</v>
      </c>
      <c r="M7" s="47"/>
      <c r="N7" s="47"/>
      <c r="O7" s="47" t="s">
        <v>32</v>
      </c>
      <c r="P7" s="33"/>
      <c r="Q7" s="33"/>
      <c r="R7" s="33"/>
      <c r="S7" s="47"/>
      <c r="T7" s="33"/>
      <c r="U7" s="33"/>
      <c r="V7" s="47" t="s">
        <v>33</v>
      </c>
      <c r="W7" s="33"/>
      <c r="X7" s="33"/>
      <c r="Y7" s="47"/>
      <c r="Z7" s="47" t="s">
        <v>18</v>
      </c>
      <c r="AA7" s="33"/>
      <c r="AB7" s="47"/>
      <c r="AC7" s="47" t="s">
        <v>34</v>
      </c>
      <c r="AD7" s="47" t="s">
        <v>35</v>
      </c>
      <c r="AE7" s="33">
        <v>50.0</v>
      </c>
      <c r="AF7" s="33"/>
      <c r="AG7" s="48"/>
      <c r="AH7" s="47" t="s">
        <v>36</v>
      </c>
      <c r="AI7" s="33">
        <v>1.0</v>
      </c>
      <c r="AJ7" s="33"/>
      <c r="AK7" s="47"/>
      <c r="AL7" s="33"/>
      <c r="AM7" s="33"/>
      <c r="AN7" s="47"/>
      <c r="AO7" s="47"/>
      <c r="AP7" s="47"/>
      <c r="AQ7" s="33"/>
      <c r="AR7" s="47"/>
      <c r="AS7" s="33"/>
      <c r="AT7" s="33">
        <v>485.9997</v>
      </c>
      <c r="AU7" s="33">
        <v>485.9997</v>
      </c>
      <c r="AV7" s="50"/>
      <c r="AW7" s="33"/>
      <c r="AX7" s="33"/>
      <c r="AY7" s="47"/>
      <c r="AZ7" s="33"/>
      <c r="BA7" s="50"/>
      <c r="BB7" s="33"/>
      <c r="BC7" s="33"/>
      <c r="BD7" s="47"/>
      <c r="BE7" s="33">
        <v>500.0</v>
      </c>
      <c r="BF7" s="33">
        <v>500.0</v>
      </c>
      <c r="BG7" s="50"/>
      <c r="BH7" s="33"/>
      <c r="BI7" s="33"/>
      <c r="BJ7" s="33">
        <v>50.0</v>
      </c>
      <c r="BK7" s="33"/>
      <c r="BL7" s="47"/>
      <c r="BM7" s="47" t="s">
        <v>18</v>
      </c>
      <c r="BN7" s="50"/>
      <c r="BO7" s="47" t="s">
        <v>24</v>
      </c>
      <c r="BP7" s="33"/>
      <c r="BQ7" s="33"/>
      <c r="BR7" s="33"/>
      <c r="BS7" s="47"/>
      <c r="BT7" s="47" t="s">
        <v>22</v>
      </c>
      <c r="BU7" s="33">
        <v>3.0</v>
      </c>
      <c r="BV7" s="33">
        <v>0.0</v>
      </c>
      <c r="BW7" s="33">
        <v>14.0003</v>
      </c>
      <c r="BX7" s="33">
        <v>0.0</v>
      </c>
      <c r="BY7" s="33"/>
      <c r="BZ7" s="33"/>
      <c r="CA7" s="33"/>
      <c r="CB7" s="33"/>
      <c r="CC7" s="33"/>
      <c r="CD7" s="33"/>
      <c r="CE7" s="51">
        <f t="shared" si="1"/>
        <v>44774</v>
      </c>
      <c r="CF7" s="47"/>
      <c r="CG7" s="33"/>
      <c r="CH7" s="47"/>
      <c r="CI7" s="47" t="s">
        <v>24</v>
      </c>
      <c r="CJ7" s="33">
        <v>0.0</v>
      </c>
      <c r="CK7" s="47"/>
      <c r="CL7" s="33"/>
      <c r="CM7" s="47" t="s">
        <v>22</v>
      </c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7" t="s">
        <v>19</v>
      </c>
      <c r="C8" s="47"/>
      <c r="D8" s="33"/>
      <c r="E8" s="33">
        <v>200.0</v>
      </c>
      <c r="F8" s="47"/>
      <c r="G8" s="47" t="s">
        <v>31</v>
      </c>
      <c r="H8" s="33"/>
      <c r="I8" s="33"/>
      <c r="J8" s="33"/>
      <c r="K8" s="33">
        <v>10.0</v>
      </c>
      <c r="L8" s="33">
        <v>10.0</v>
      </c>
      <c r="M8" s="47"/>
      <c r="N8" s="47"/>
      <c r="O8" s="47" t="s">
        <v>32</v>
      </c>
      <c r="P8" s="33"/>
      <c r="Q8" s="33"/>
      <c r="R8" s="33"/>
      <c r="S8" s="47"/>
      <c r="T8" s="33"/>
      <c r="U8" s="33"/>
      <c r="V8" s="47" t="s">
        <v>37</v>
      </c>
      <c r="W8" s="33"/>
      <c r="X8" s="33"/>
      <c r="Y8" s="47"/>
      <c r="Z8" s="47" t="s">
        <v>18</v>
      </c>
      <c r="AA8" s="33"/>
      <c r="AB8" s="47"/>
      <c r="AC8" s="47" t="s">
        <v>34</v>
      </c>
      <c r="AD8" s="47" t="s">
        <v>35</v>
      </c>
      <c r="AE8" s="33">
        <v>200.0</v>
      </c>
      <c r="AF8" s="33"/>
      <c r="AG8" s="48"/>
      <c r="AH8" s="47" t="s">
        <v>36</v>
      </c>
      <c r="AI8" s="33">
        <v>1.0</v>
      </c>
      <c r="AJ8" s="33"/>
      <c r="AK8" s="47"/>
      <c r="AL8" s="33"/>
      <c r="AM8" s="33"/>
      <c r="AN8" s="47"/>
      <c r="AO8" s="47"/>
      <c r="AP8" s="47"/>
      <c r="AQ8" s="47"/>
      <c r="AR8" s="47"/>
      <c r="AS8" s="33"/>
      <c r="AT8" s="49">
        <v>2014.0011</v>
      </c>
      <c r="AU8" s="49">
        <v>2014.0011</v>
      </c>
      <c r="AV8" s="50"/>
      <c r="AW8" s="33"/>
      <c r="AX8" s="33"/>
      <c r="AY8" s="47"/>
      <c r="AZ8" s="33"/>
      <c r="BA8" s="50"/>
      <c r="BB8" s="33"/>
      <c r="BC8" s="33"/>
      <c r="BD8" s="47"/>
      <c r="BE8" s="49">
        <v>2000.0</v>
      </c>
      <c r="BF8" s="49">
        <v>2000.0</v>
      </c>
      <c r="BG8" s="50"/>
      <c r="BH8" s="33"/>
      <c r="BI8" s="33"/>
      <c r="BJ8" s="33">
        <v>200.0</v>
      </c>
      <c r="BK8" s="33"/>
      <c r="BL8" s="47"/>
      <c r="BM8" s="47" t="s">
        <v>18</v>
      </c>
      <c r="BN8" s="50"/>
      <c r="BO8" s="47" t="s">
        <v>23</v>
      </c>
      <c r="BP8" s="33"/>
      <c r="BQ8" s="33"/>
      <c r="BR8" s="33"/>
      <c r="BS8" s="47"/>
      <c r="BT8" s="47" t="s">
        <v>25</v>
      </c>
      <c r="BU8" s="33">
        <v>3.0</v>
      </c>
      <c r="BV8" s="33">
        <v>0.0</v>
      </c>
      <c r="BW8" s="33">
        <v>14.0011</v>
      </c>
      <c r="BX8" s="33">
        <v>0.0</v>
      </c>
      <c r="BY8" s="33"/>
      <c r="BZ8" s="33"/>
      <c r="CA8" s="33"/>
      <c r="CB8" s="33"/>
      <c r="CC8" s="33"/>
      <c r="CD8" s="33"/>
      <c r="CE8" s="51">
        <f t="shared" si="1"/>
        <v>44774</v>
      </c>
      <c r="CF8" s="47"/>
      <c r="CG8" s="33"/>
      <c r="CH8" s="47"/>
      <c r="CI8" s="47" t="s">
        <v>23</v>
      </c>
      <c r="CJ8" s="33">
        <v>0.0</v>
      </c>
      <c r="CK8" s="47"/>
      <c r="CL8" s="33"/>
      <c r="CM8" s="47" t="s">
        <v>25</v>
      </c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47" t="s">
        <v>19</v>
      </c>
      <c r="C9" s="47"/>
      <c r="D9" s="33"/>
      <c r="E9" s="33">
        <v>100.0</v>
      </c>
      <c r="F9" s="47"/>
      <c r="G9" s="47" t="s">
        <v>31</v>
      </c>
      <c r="H9" s="33"/>
      <c r="I9" s="33"/>
      <c r="J9" s="33"/>
      <c r="K9" s="33">
        <v>10.0</v>
      </c>
      <c r="L9" s="33">
        <v>10.0</v>
      </c>
      <c r="M9" s="47"/>
      <c r="N9" s="47"/>
      <c r="O9" s="47" t="s">
        <v>32</v>
      </c>
      <c r="P9" s="33"/>
      <c r="Q9" s="33"/>
      <c r="R9" s="33"/>
      <c r="S9" s="47"/>
      <c r="T9" s="33"/>
      <c r="U9" s="33"/>
      <c r="V9" s="47" t="s">
        <v>37</v>
      </c>
      <c r="W9" s="33"/>
      <c r="X9" s="33"/>
      <c r="Y9" s="47"/>
      <c r="Z9" s="47" t="s">
        <v>18</v>
      </c>
      <c r="AA9" s="33"/>
      <c r="AB9" s="47"/>
      <c r="AC9" s="47" t="s">
        <v>34</v>
      </c>
      <c r="AD9" s="47" t="s">
        <v>35</v>
      </c>
      <c r="AE9" s="33">
        <v>100.0</v>
      </c>
      <c r="AF9" s="33"/>
      <c r="AG9" s="48"/>
      <c r="AH9" s="47" t="s">
        <v>36</v>
      </c>
      <c r="AI9" s="33">
        <v>1.0</v>
      </c>
      <c r="AJ9" s="33"/>
      <c r="AK9" s="47"/>
      <c r="AL9" s="33"/>
      <c r="AM9" s="33"/>
      <c r="AN9" s="47"/>
      <c r="AO9" s="47"/>
      <c r="AP9" s="47"/>
      <c r="AQ9" s="47"/>
      <c r="AR9" s="47"/>
      <c r="AS9" s="33"/>
      <c r="AT9" s="33">
        <v>985.9994</v>
      </c>
      <c r="AU9" s="33">
        <v>985.9994</v>
      </c>
      <c r="AV9" s="50"/>
      <c r="AW9" s="33"/>
      <c r="AX9" s="33"/>
      <c r="AY9" s="47"/>
      <c r="AZ9" s="33"/>
      <c r="BA9" s="50"/>
      <c r="BB9" s="33"/>
      <c r="BC9" s="33"/>
      <c r="BD9" s="47"/>
      <c r="BE9" s="49">
        <v>1000.0</v>
      </c>
      <c r="BF9" s="49">
        <v>1000.0</v>
      </c>
      <c r="BG9" s="50"/>
      <c r="BH9" s="33"/>
      <c r="BI9" s="33"/>
      <c r="BJ9" s="33">
        <v>100.0</v>
      </c>
      <c r="BK9" s="33"/>
      <c r="BL9" s="47"/>
      <c r="BM9" s="47" t="s">
        <v>18</v>
      </c>
      <c r="BN9" s="50"/>
      <c r="BO9" s="47" t="s">
        <v>24</v>
      </c>
      <c r="BP9" s="33"/>
      <c r="BQ9" s="33"/>
      <c r="BR9" s="33"/>
      <c r="BS9" s="47"/>
      <c r="BT9" s="47" t="s">
        <v>25</v>
      </c>
      <c r="BU9" s="33">
        <v>3.0</v>
      </c>
      <c r="BV9" s="33">
        <v>0.0</v>
      </c>
      <c r="BW9" s="33">
        <v>14.0006</v>
      </c>
      <c r="BX9" s="33">
        <v>0.0</v>
      </c>
      <c r="BY9" s="33"/>
      <c r="BZ9" s="33"/>
      <c r="CA9" s="33"/>
      <c r="CB9" s="33"/>
      <c r="CC9" s="33"/>
      <c r="CD9" s="33"/>
      <c r="CE9" s="51">
        <f t="shared" si="1"/>
        <v>44774</v>
      </c>
      <c r="CF9" s="47"/>
      <c r="CG9" s="33"/>
      <c r="CH9" s="47"/>
      <c r="CI9" s="47" t="s">
        <v>24</v>
      </c>
      <c r="CJ9" s="33">
        <v>0.0</v>
      </c>
      <c r="CK9" s="47"/>
      <c r="CL9" s="33"/>
      <c r="CM9" s="47" t="s">
        <v>25</v>
      </c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s">
        <v>22</v>
      </c>
      <c r="C6" s="32">
        <v>100.0</v>
      </c>
      <c r="D6" s="11"/>
      <c r="E6" s="52" t="s">
        <v>17</v>
      </c>
      <c r="F6" s="47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22</v>
      </c>
      <c r="C7" s="33">
        <v>50.0</v>
      </c>
      <c r="D7" s="8"/>
      <c r="E7" s="47" t="s">
        <v>17</v>
      </c>
      <c r="F7" s="47" t="s">
        <v>24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25</v>
      </c>
      <c r="C8" s="33">
        <v>200.0</v>
      </c>
      <c r="D8" s="8"/>
      <c r="E8" s="47" t="s">
        <v>19</v>
      </c>
      <c r="F8" s="47" t="s">
        <v>23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25</v>
      </c>
      <c r="C9" s="33">
        <v>100.0</v>
      </c>
      <c r="D9" s="8"/>
      <c r="E9" s="47" t="s">
        <v>19</v>
      </c>
      <c r="F9" s="47" t="s">
        <v>24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s">
        <v>22</v>
      </c>
      <c r="C6" s="47" t="s">
        <v>23</v>
      </c>
      <c r="D6" s="32">
        <v>100.0</v>
      </c>
      <c r="E6" s="5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22</v>
      </c>
      <c r="C7" s="47" t="s">
        <v>24</v>
      </c>
      <c r="D7" s="3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25</v>
      </c>
      <c r="C8" s="47" t="s">
        <v>23</v>
      </c>
      <c r="D8" s="33">
        <v>200.0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25</v>
      </c>
      <c r="C9" s="47" t="s">
        <v>24</v>
      </c>
      <c r="D9" s="33">
        <v>100.0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41</v>
      </c>
      <c r="C6" s="36"/>
      <c r="D6" s="54"/>
      <c r="E6" s="32"/>
      <c r="G6" s="36"/>
      <c r="H6" s="55" t="s">
        <v>42</v>
      </c>
      <c r="I6" s="11" t="s">
        <v>43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6" t="s">
        <v>44</v>
      </c>
      <c r="C6" s="56"/>
      <c r="D6" s="57"/>
      <c r="E6" s="57">
        <v>50.0</v>
      </c>
      <c r="F6" s="56"/>
      <c r="G6" s="56" t="s">
        <v>31</v>
      </c>
      <c r="H6" s="57"/>
      <c r="I6" s="57"/>
      <c r="J6" s="57"/>
      <c r="K6" s="57">
        <v>10.0</v>
      </c>
      <c r="L6" s="57">
        <v>10.0</v>
      </c>
      <c r="M6" s="56"/>
      <c r="N6" s="56"/>
      <c r="O6" s="56" t="s">
        <v>32</v>
      </c>
      <c r="P6" s="58"/>
      <c r="Q6" s="57"/>
      <c r="R6" s="57"/>
      <c r="S6" s="56" t="s">
        <v>45</v>
      </c>
      <c r="T6" s="57"/>
      <c r="U6" s="57"/>
      <c r="V6" s="56"/>
      <c r="W6" s="57"/>
      <c r="X6" s="57"/>
      <c r="Y6" s="56"/>
      <c r="Z6" s="56" t="s">
        <v>18</v>
      </c>
      <c r="AB6" s="56"/>
      <c r="AC6" s="57"/>
      <c r="AD6" s="56" t="s">
        <v>35</v>
      </c>
      <c r="AE6" s="57">
        <v>50.0</v>
      </c>
      <c r="AG6" s="59"/>
      <c r="AH6" s="56" t="s">
        <v>36</v>
      </c>
      <c r="AI6" s="57">
        <v>1.0</v>
      </c>
      <c r="AK6" s="56"/>
      <c r="AL6" s="58"/>
      <c r="AM6" s="58"/>
      <c r="AN6" s="56"/>
      <c r="AO6" s="56"/>
      <c r="AP6" s="56"/>
      <c r="AQ6" s="58"/>
      <c r="AR6" s="56"/>
      <c r="AS6" s="57"/>
      <c r="AT6" s="57">
        <v>485.9997</v>
      </c>
      <c r="AU6" s="57">
        <v>485.9997</v>
      </c>
      <c r="AV6" s="60"/>
      <c r="AW6" s="57"/>
      <c r="AX6" s="57"/>
      <c r="AY6" s="56" t="s">
        <v>46</v>
      </c>
      <c r="AZ6" s="57"/>
      <c r="BA6" s="60"/>
      <c r="BB6" s="58"/>
      <c r="BC6" s="57"/>
      <c r="BD6" s="56"/>
      <c r="BE6" s="57">
        <v>500.0</v>
      </c>
      <c r="BF6" s="57">
        <v>500.0</v>
      </c>
      <c r="BG6" s="60"/>
      <c r="BH6" s="58"/>
      <c r="BI6" s="58"/>
      <c r="BJ6" s="57">
        <v>50.0</v>
      </c>
      <c r="BK6" s="57"/>
      <c r="BL6" s="56"/>
      <c r="BM6" s="56" t="s">
        <v>18</v>
      </c>
      <c r="BN6" s="60"/>
      <c r="BO6" s="56" t="s">
        <v>24</v>
      </c>
      <c r="BP6" s="57"/>
      <c r="BQ6" s="57"/>
      <c r="BR6" s="57"/>
      <c r="BS6" s="56"/>
      <c r="BT6" s="56" t="s">
        <v>22</v>
      </c>
      <c r="BU6" s="57">
        <v>3.0</v>
      </c>
      <c r="BV6" s="57">
        <v>0.0</v>
      </c>
      <c r="BW6" s="57">
        <v>14.0003</v>
      </c>
      <c r="BX6" s="57"/>
      <c r="BY6" s="58"/>
      <c r="BZ6" s="58"/>
      <c r="CA6" s="58"/>
      <c r="CB6" s="58"/>
      <c r="CC6" s="58"/>
      <c r="CD6" s="58"/>
      <c r="CE6" s="61">
        <f t="shared" ref="CE6:CE9" si="1">Today()-1</f>
        <v>44774</v>
      </c>
      <c r="CF6" s="56"/>
      <c r="CG6" s="57"/>
      <c r="CH6" s="56" t="s">
        <v>20</v>
      </c>
      <c r="CI6" s="56" t="s">
        <v>24</v>
      </c>
      <c r="CJ6" s="57">
        <v>0.0</v>
      </c>
      <c r="CK6" s="56" t="s">
        <v>47</v>
      </c>
      <c r="CL6" s="57"/>
      <c r="CM6" s="56" t="s">
        <v>22</v>
      </c>
    </row>
    <row r="7" ht="15.75" customHeight="1">
      <c r="A7" s="8"/>
      <c r="B7" s="56" t="s">
        <v>44</v>
      </c>
      <c r="C7" s="56"/>
      <c r="D7" s="57"/>
      <c r="E7" s="57">
        <v>200.0</v>
      </c>
      <c r="F7" s="56"/>
      <c r="G7" s="56" t="s">
        <v>31</v>
      </c>
      <c r="H7" s="57"/>
      <c r="I7" s="57"/>
      <c r="J7" s="57"/>
      <c r="K7" s="57">
        <v>10.0</v>
      </c>
      <c r="L7" s="57">
        <v>10.0</v>
      </c>
      <c r="M7" s="56"/>
      <c r="N7" s="56"/>
      <c r="O7" s="56" t="s">
        <v>32</v>
      </c>
      <c r="P7" s="58"/>
      <c r="Q7" s="57"/>
      <c r="R7" s="57"/>
      <c r="S7" s="56" t="s">
        <v>45</v>
      </c>
      <c r="T7" s="57"/>
      <c r="U7" s="57"/>
      <c r="V7" s="56"/>
      <c r="W7" s="57"/>
      <c r="X7" s="57"/>
      <c r="Y7" s="56"/>
      <c r="Z7" s="56" t="s">
        <v>18</v>
      </c>
      <c r="AB7" s="56"/>
      <c r="AC7" s="57"/>
      <c r="AD7" s="56" t="s">
        <v>35</v>
      </c>
      <c r="AE7" s="57">
        <v>200.0</v>
      </c>
      <c r="AG7" s="59"/>
      <c r="AH7" s="56" t="s">
        <v>36</v>
      </c>
      <c r="AI7" s="57">
        <v>1.0</v>
      </c>
      <c r="AK7" s="56"/>
      <c r="AL7" s="58"/>
      <c r="AM7" s="58"/>
      <c r="AN7" s="56"/>
      <c r="AO7" s="56"/>
      <c r="AP7" s="56"/>
      <c r="AQ7" s="56"/>
      <c r="AR7" s="56"/>
      <c r="AS7" s="57"/>
      <c r="AT7" s="62">
        <v>2014.0011</v>
      </c>
      <c r="AU7" s="62">
        <v>2014.0011</v>
      </c>
      <c r="AV7" s="60"/>
      <c r="AW7" s="57"/>
      <c r="AX7" s="57"/>
      <c r="AY7" s="56" t="s">
        <v>46</v>
      </c>
      <c r="AZ7" s="57"/>
      <c r="BA7" s="60"/>
      <c r="BB7" s="58"/>
      <c r="BC7" s="57"/>
      <c r="BD7" s="56"/>
      <c r="BE7" s="62">
        <v>2000.0</v>
      </c>
      <c r="BF7" s="62">
        <v>2000.0</v>
      </c>
      <c r="BG7" s="60"/>
      <c r="BH7" s="58"/>
      <c r="BI7" s="58"/>
      <c r="BJ7" s="57">
        <v>200.0</v>
      </c>
      <c r="BK7" s="57"/>
      <c r="BL7" s="56"/>
      <c r="BM7" s="56" t="s">
        <v>18</v>
      </c>
      <c r="BN7" s="60"/>
      <c r="BO7" s="56" t="s">
        <v>23</v>
      </c>
      <c r="BP7" s="57"/>
      <c r="BQ7" s="57"/>
      <c r="BR7" s="57"/>
      <c r="BS7" s="56"/>
      <c r="BT7" s="56" t="s">
        <v>25</v>
      </c>
      <c r="BU7" s="57">
        <v>3.0</v>
      </c>
      <c r="BV7" s="57">
        <v>0.0</v>
      </c>
      <c r="BW7" s="57">
        <v>14.0011</v>
      </c>
      <c r="BX7" s="57"/>
      <c r="BY7" s="58"/>
      <c r="BZ7" s="58"/>
      <c r="CA7" s="58"/>
      <c r="CB7" s="58"/>
      <c r="CC7" s="58"/>
      <c r="CD7" s="58"/>
      <c r="CE7" s="61">
        <f t="shared" si="1"/>
        <v>44774</v>
      </c>
      <c r="CF7" s="56"/>
      <c r="CG7" s="57"/>
      <c r="CH7" s="56" t="s">
        <v>20</v>
      </c>
      <c r="CI7" s="56" t="s">
        <v>23</v>
      </c>
      <c r="CJ7" s="57">
        <v>0.0</v>
      </c>
      <c r="CK7" s="56" t="s">
        <v>47</v>
      </c>
      <c r="CL7" s="57"/>
      <c r="CM7" s="56" t="s">
        <v>25</v>
      </c>
    </row>
    <row r="8" ht="15.75" customHeight="1">
      <c r="A8" s="8"/>
      <c r="B8" s="56" t="s">
        <v>44</v>
      </c>
      <c r="C8" s="56"/>
      <c r="D8" s="57"/>
      <c r="E8" s="57">
        <v>100.0</v>
      </c>
      <c r="F8" s="56"/>
      <c r="G8" s="56" t="s">
        <v>31</v>
      </c>
      <c r="H8" s="57"/>
      <c r="I8" s="57"/>
      <c r="J8" s="57"/>
      <c r="K8" s="57">
        <v>10.0</v>
      </c>
      <c r="L8" s="57">
        <v>10.0</v>
      </c>
      <c r="M8" s="56"/>
      <c r="N8" s="56"/>
      <c r="O8" s="56" t="s">
        <v>32</v>
      </c>
      <c r="P8" s="58"/>
      <c r="Q8" s="57"/>
      <c r="R8" s="57"/>
      <c r="S8" s="56" t="s">
        <v>45</v>
      </c>
      <c r="T8" s="57"/>
      <c r="U8" s="57"/>
      <c r="V8" s="56"/>
      <c r="W8" s="57"/>
      <c r="X8" s="57"/>
      <c r="Y8" s="56"/>
      <c r="Z8" s="56" t="s">
        <v>18</v>
      </c>
      <c r="AB8" s="56"/>
      <c r="AC8" s="57"/>
      <c r="AD8" s="56" t="s">
        <v>35</v>
      </c>
      <c r="AE8" s="57">
        <v>100.0</v>
      </c>
      <c r="AG8" s="59"/>
      <c r="AH8" s="56" t="s">
        <v>36</v>
      </c>
      <c r="AI8" s="57">
        <v>1.0</v>
      </c>
      <c r="AK8" s="56"/>
      <c r="AL8" s="58"/>
      <c r="AM8" s="58"/>
      <c r="AN8" s="56"/>
      <c r="AO8" s="56"/>
      <c r="AP8" s="56"/>
      <c r="AQ8" s="56"/>
      <c r="AR8" s="56"/>
      <c r="AS8" s="57"/>
      <c r="AT8" s="57">
        <v>985.9994</v>
      </c>
      <c r="AU8" s="57">
        <v>985.9994</v>
      </c>
      <c r="AV8" s="60"/>
      <c r="AW8" s="57"/>
      <c r="AX8" s="57"/>
      <c r="AY8" s="56" t="s">
        <v>46</v>
      </c>
      <c r="AZ8" s="57"/>
      <c r="BA8" s="60"/>
      <c r="BB8" s="58"/>
      <c r="BC8" s="57"/>
      <c r="BD8" s="56"/>
      <c r="BE8" s="62">
        <v>1000.0</v>
      </c>
      <c r="BF8" s="62">
        <v>1000.0</v>
      </c>
      <c r="BG8" s="60"/>
      <c r="BH8" s="58"/>
      <c r="BI8" s="58"/>
      <c r="BJ8" s="57">
        <v>100.0</v>
      </c>
      <c r="BK8" s="57"/>
      <c r="BL8" s="56"/>
      <c r="BM8" s="56" t="s">
        <v>18</v>
      </c>
      <c r="BN8" s="60"/>
      <c r="BO8" s="56" t="s">
        <v>24</v>
      </c>
      <c r="BP8" s="57"/>
      <c r="BQ8" s="57"/>
      <c r="BR8" s="57"/>
      <c r="BS8" s="56"/>
      <c r="BT8" s="56" t="s">
        <v>25</v>
      </c>
      <c r="BU8" s="57">
        <v>3.0</v>
      </c>
      <c r="BV8" s="57">
        <v>0.0</v>
      </c>
      <c r="BW8" s="57">
        <v>14.0006</v>
      </c>
      <c r="BX8" s="57"/>
      <c r="BY8" s="58"/>
      <c r="BZ8" s="58"/>
      <c r="CA8" s="58"/>
      <c r="CB8" s="58"/>
      <c r="CC8" s="58"/>
      <c r="CD8" s="58"/>
      <c r="CE8" s="61">
        <f t="shared" si="1"/>
        <v>44774</v>
      </c>
      <c r="CF8" s="56"/>
      <c r="CG8" s="57"/>
      <c r="CH8" s="56" t="s">
        <v>20</v>
      </c>
      <c r="CI8" s="56" t="s">
        <v>24</v>
      </c>
      <c r="CJ8" s="57">
        <v>0.0</v>
      </c>
      <c r="CK8" s="56" t="s">
        <v>47</v>
      </c>
      <c r="CL8" s="57"/>
      <c r="CM8" s="56" t="s">
        <v>25</v>
      </c>
    </row>
    <row r="9" ht="15.75" customHeight="1">
      <c r="A9" s="8"/>
      <c r="B9" s="56" t="s">
        <v>44</v>
      </c>
      <c r="C9" s="56"/>
      <c r="D9" s="57"/>
      <c r="E9" s="57">
        <v>100.0</v>
      </c>
      <c r="F9" s="56"/>
      <c r="G9" s="56" t="s">
        <v>31</v>
      </c>
      <c r="H9" s="57"/>
      <c r="I9" s="57"/>
      <c r="J9" s="57"/>
      <c r="K9" s="57">
        <v>10.0</v>
      </c>
      <c r="L9" s="57">
        <v>10.0</v>
      </c>
      <c r="M9" s="56"/>
      <c r="N9" s="56"/>
      <c r="O9" s="56" t="s">
        <v>32</v>
      </c>
      <c r="P9" s="58"/>
      <c r="Q9" s="57"/>
      <c r="R9" s="57"/>
      <c r="S9" s="56" t="s">
        <v>45</v>
      </c>
      <c r="T9" s="57"/>
      <c r="U9" s="57"/>
      <c r="V9" s="56"/>
      <c r="W9" s="57"/>
      <c r="X9" s="57"/>
      <c r="Y9" s="56"/>
      <c r="Z9" s="56" t="s">
        <v>18</v>
      </c>
      <c r="AB9" s="56"/>
      <c r="AC9" s="57"/>
      <c r="AD9" s="56" t="s">
        <v>35</v>
      </c>
      <c r="AE9" s="57">
        <v>100.0</v>
      </c>
      <c r="AG9" s="59"/>
      <c r="AH9" s="56" t="s">
        <v>36</v>
      </c>
      <c r="AI9" s="57">
        <v>1.0</v>
      </c>
      <c r="AK9" s="56"/>
      <c r="AL9" s="58"/>
      <c r="AM9" s="58"/>
      <c r="AN9" s="56"/>
      <c r="AO9" s="56"/>
      <c r="AP9" s="56"/>
      <c r="AQ9" s="58"/>
      <c r="AR9" s="56"/>
      <c r="AS9" s="57"/>
      <c r="AT9" s="62">
        <v>1014.0006</v>
      </c>
      <c r="AU9" s="62">
        <v>1014.0006</v>
      </c>
      <c r="AV9" s="60"/>
      <c r="AW9" s="57"/>
      <c r="AX9" s="57"/>
      <c r="AY9" s="56" t="s">
        <v>46</v>
      </c>
      <c r="AZ9" s="57"/>
      <c r="BA9" s="60"/>
      <c r="BB9" s="58"/>
      <c r="BC9" s="57"/>
      <c r="BD9" s="56"/>
      <c r="BE9" s="62">
        <v>1000.0</v>
      </c>
      <c r="BF9" s="62">
        <v>1000.0</v>
      </c>
      <c r="BG9" s="60"/>
      <c r="BH9" s="58"/>
      <c r="BI9" s="58"/>
      <c r="BJ9" s="57">
        <v>100.0</v>
      </c>
      <c r="BK9" s="57"/>
      <c r="BL9" s="56"/>
      <c r="BM9" s="56" t="s">
        <v>18</v>
      </c>
      <c r="BN9" s="60"/>
      <c r="BO9" s="56" t="s">
        <v>23</v>
      </c>
      <c r="BP9" s="57"/>
      <c r="BQ9" s="57"/>
      <c r="BR9" s="57"/>
      <c r="BS9" s="56"/>
      <c r="BT9" s="56" t="s">
        <v>22</v>
      </c>
      <c r="BU9" s="57">
        <v>3.0</v>
      </c>
      <c r="BV9" s="57">
        <v>0.0</v>
      </c>
      <c r="BW9" s="57">
        <v>14.0006</v>
      </c>
      <c r="BX9" s="57"/>
      <c r="BY9" s="58"/>
      <c r="BZ9" s="58"/>
      <c r="CA9" s="58"/>
      <c r="CB9" s="58"/>
      <c r="CC9" s="58"/>
      <c r="CD9" s="58"/>
      <c r="CE9" s="61">
        <f t="shared" si="1"/>
        <v>44774</v>
      </c>
      <c r="CF9" s="56"/>
      <c r="CG9" s="57"/>
      <c r="CH9" s="56" t="s">
        <v>20</v>
      </c>
      <c r="CI9" s="56" t="s">
        <v>23</v>
      </c>
      <c r="CJ9" s="57">
        <v>0.0</v>
      </c>
      <c r="CK9" s="56" t="s">
        <v>47</v>
      </c>
      <c r="CL9" s="57"/>
      <c r="CM9" s="56" t="s">
        <v>22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50</v>
      </c>
      <c r="C6" s="32" t="s">
        <v>51</v>
      </c>
      <c r="D6" s="30" t="s">
        <v>52</v>
      </c>
      <c r="E6" s="32" t="s">
        <v>53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IFERROR(__xludf.DUMMYFUNCTION("""COMPUTED_VALUE"""),"Refresh")</f>
        <v>Refresh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55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RefreshGridData!$4:$4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1000.0</v>
      </c>
      <c r="C6" s="32" t="s">
        <v>57</v>
      </c>
      <c r="D6" s="30" t="s">
        <v>58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3" t="s">
        <v>60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22</v>
      </c>
      <c r="C6" s="36" t="s">
        <v>62</v>
      </c>
      <c r="D6" s="64">
        <v>2.0</v>
      </c>
      <c r="E6" s="55" t="s">
        <v>63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65</v>
      </c>
      <c r="C6" s="8"/>
      <c r="D6" s="11"/>
      <c r="E6" s="5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6" t="s">
        <v>17</v>
      </c>
      <c r="D6" s="56" t="s">
        <v>22</v>
      </c>
      <c r="E6" s="56" t="s">
        <v>31</v>
      </c>
      <c r="F6" s="56"/>
      <c r="G6" s="57">
        <v>10.0</v>
      </c>
      <c r="H6" s="57">
        <v>10.0</v>
      </c>
      <c r="I6" s="57">
        <v>1.0</v>
      </c>
      <c r="J6" s="57"/>
      <c r="K6" s="57">
        <v>25.0</v>
      </c>
      <c r="L6" s="57">
        <v>250.0</v>
      </c>
      <c r="M6" s="57">
        <v>250.0</v>
      </c>
      <c r="N6" s="56"/>
      <c r="O6" s="57">
        <v>49.0</v>
      </c>
      <c r="Q6" s="57">
        <v>490.0</v>
      </c>
      <c r="R6" s="57">
        <v>24.0</v>
      </c>
      <c r="S6" s="57">
        <v>240.0</v>
      </c>
    </row>
    <row r="7" ht="15.75" customHeight="1">
      <c r="A7" s="8"/>
      <c r="B7" s="8"/>
      <c r="C7" s="56" t="s">
        <v>19</v>
      </c>
      <c r="D7" s="56" t="s">
        <v>22</v>
      </c>
      <c r="E7" s="56" t="s">
        <v>31</v>
      </c>
      <c r="F7" s="56"/>
      <c r="G7" s="57">
        <v>10.0</v>
      </c>
      <c r="H7" s="57">
        <v>10.0</v>
      </c>
      <c r="I7" s="57">
        <v>1.0</v>
      </c>
      <c r="J7" s="57"/>
      <c r="K7" s="57">
        <v>25.0</v>
      </c>
      <c r="L7" s="57">
        <v>250.0</v>
      </c>
      <c r="M7" s="57">
        <v>250.0</v>
      </c>
      <c r="N7" s="56"/>
      <c r="O7" s="57">
        <v>49.0</v>
      </c>
      <c r="Q7" s="57">
        <v>490.0</v>
      </c>
      <c r="R7" s="57">
        <v>24.0</v>
      </c>
      <c r="S7" s="57">
        <v>240.0</v>
      </c>
    </row>
    <row r="8" ht="15.75" customHeight="1">
      <c r="A8" s="8"/>
      <c r="B8" s="8"/>
      <c r="C8" s="56" t="s">
        <v>17</v>
      </c>
      <c r="D8" s="56" t="s">
        <v>25</v>
      </c>
      <c r="E8" s="56" t="s">
        <v>31</v>
      </c>
      <c r="F8" s="56"/>
      <c r="G8" s="57">
        <v>10.0</v>
      </c>
      <c r="H8" s="57">
        <v>10.0</v>
      </c>
      <c r="I8" s="57">
        <v>1.0</v>
      </c>
      <c r="J8" s="57"/>
      <c r="K8" s="57">
        <v>50.0</v>
      </c>
      <c r="L8" s="57">
        <v>500.0</v>
      </c>
      <c r="M8" s="57">
        <v>500.0</v>
      </c>
      <c r="N8" s="56"/>
      <c r="O8" s="57">
        <v>52.0</v>
      </c>
      <c r="Q8" s="57">
        <v>520.0</v>
      </c>
      <c r="R8" s="57">
        <v>2.0</v>
      </c>
      <c r="S8" s="57">
        <v>20.0</v>
      </c>
    </row>
    <row r="9" ht="15.75" customHeight="1">
      <c r="A9" s="8"/>
      <c r="B9" s="8"/>
      <c r="C9" s="56" t="s">
        <v>19</v>
      </c>
      <c r="D9" s="56" t="s">
        <v>25</v>
      </c>
      <c r="E9" s="56" t="s">
        <v>31</v>
      </c>
      <c r="F9" s="56"/>
      <c r="G9" s="57">
        <v>10.0</v>
      </c>
      <c r="H9" s="57">
        <v>10.0</v>
      </c>
      <c r="I9" s="57">
        <v>1.0</v>
      </c>
      <c r="J9" s="57"/>
      <c r="K9" s="57">
        <v>50.0</v>
      </c>
      <c r="L9" s="57">
        <v>500.0</v>
      </c>
      <c r="M9" s="57">
        <v>500.0</v>
      </c>
      <c r="N9" s="56"/>
      <c r="O9" s="57">
        <v>52.0</v>
      </c>
      <c r="Q9" s="57">
        <v>520.0</v>
      </c>
      <c r="R9" s="57">
        <v>2.0</v>
      </c>
      <c r="S9" s="57">
        <v>20.0</v>
      </c>
    </row>
    <row r="10" ht="15.75" customHeight="1">
      <c r="A10" s="8"/>
      <c r="B10" s="8"/>
      <c r="C10" s="56" t="s">
        <v>17</v>
      </c>
      <c r="D10" s="56" t="s">
        <v>67</v>
      </c>
      <c r="E10" s="56" t="s">
        <v>67</v>
      </c>
      <c r="F10" s="56"/>
      <c r="G10" s="57">
        <v>1.0</v>
      </c>
      <c r="H10" s="57">
        <v>1.0</v>
      </c>
      <c r="I10" s="57">
        <v>1.0</v>
      </c>
      <c r="J10" s="57"/>
      <c r="K10" s="57">
        <v>10000.0</v>
      </c>
      <c r="L10" s="57">
        <v>10000.0</v>
      </c>
      <c r="M10" s="57">
        <v>10000.0</v>
      </c>
      <c r="N10" s="56"/>
      <c r="O10" s="57">
        <v>10240.0</v>
      </c>
      <c r="Q10" s="57">
        <v>10240.0</v>
      </c>
      <c r="R10" s="57">
        <v>240.0</v>
      </c>
      <c r="S10" s="57">
        <v>240.0</v>
      </c>
    </row>
    <row r="11" ht="15.75" customHeight="1">
      <c r="A11" s="8"/>
      <c r="B11" s="8"/>
      <c r="C11" s="56" t="s">
        <v>19</v>
      </c>
      <c r="D11" s="56" t="s">
        <v>67</v>
      </c>
      <c r="E11" s="56" t="s">
        <v>67</v>
      </c>
      <c r="F11" s="56"/>
      <c r="G11" s="57">
        <v>1.0</v>
      </c>
      <c r="H11" s="57">
        <v>1.0</v>
      </c>
      <c r="I11" s="57">
        <v>1.0</v>
      </c>
      <c r="J11" s="57"/>
      <c r="K11" s="57">
        <v>10000.0</v>
      </c>
      <c r="L11" s="57">
        <v>10000.0</v>
      </c>
      <c r="M11" s="57">
        <v>10000.0</v>
      </c>
      <c r="N11" s="56"/>
      <c r="O11" s="57">
        <v>10240.0</v>
      </c>
      <c r="Q11" s="57">
        <v>10240.0</v>
      </c>
      <c r="R11" s="57">
        <v>240.0</v>
      </c>
      <c r="S11" s="57">
        <v>240.0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