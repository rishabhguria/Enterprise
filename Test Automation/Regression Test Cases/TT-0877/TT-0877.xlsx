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TCompliancePreference" sheetId="1" r:id="rId3"/>
    <sheet state="visible" name="CustomOrderTT" sheetId="2" r:id="rId4"/>
    <sheet state="visible" name="ActionOnPrompt" sheetId="3" r:id="rId5"/>
    <sheet state="visible" name="CustomOrderTT1" sheetId="4" r:id="rId6"/>
    <sheet state="visible" name="ActionOnPrompt1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<sst xmlns="http://schemas.openxmlformats.org/spreadsheetml/2006/main" count="269" uniqueCount="170">
  <si>
    <t>PopUpTargetQty</t>
  </si>
  <si>
    <t>PopUpNewOrder</t>
  </si>
  <si>
    <t>PopUpCXL</t>
  </si>
  <si>
    <t>PopUpReplace</t>
  </si>
  <si>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</si>
  <si>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</si>
  <si>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</si>
  <si>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</si>
  <si>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</si>
  <si>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</si>
  <si>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</si>
  <si>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</si>
  <si>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</si>
  <si>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</si>
  <si>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</si>
  <si>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</si>
  <si>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</si>
  <si>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</si>
  <si>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</si>
  <si>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</si>
  <si>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</si>
  <si>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</si>
  <si>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</si>
  <si>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</si>
  <si>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</si>
  <si>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</si>
  <si>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</si>
  <si>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</si>
  <si>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</si>
  <si>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</si>
  <si>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</si>
  <si>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</si>
  <si>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</si>
  <si>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</si>
  <si>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</si>
  <si>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</si>
  <si>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</si>
  <si>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</si>
  <si>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</si>
  <si>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</si>
  <si>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</si>
  <si>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</si>
  <si>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</si>
  <si>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</si>
  <si>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</si>
  <si>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</si>
  <si>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</si>
  <si>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</si>
  <si>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FixDisconnectionPopup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</si>
  <si>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</si>
  <si>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</si>
  <si>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</si>
  <si>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</si>
  <si>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</si>
  <si>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</si>
  <si>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</si>
  <si>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Send</t>
  </si>
  <si>
    <t>Allocation1</t>
  </si>
  <si>
    <t>Buy</t>
  </si>
  <si>
    <t>Good Till Date</t>
  </si>
  <si>
    <t>VerifyContainslblMsg</t>
  </si>
  <si>
    <t>TargetQuantity</t>
  </si>
  <si>
    <t>Continue</t>
  </si>
  <si>
    <t>Edit Order</t>
  </si>
  <si>
    <t/>
  </si>
  <si>
    <t>TargetQuantityIn</t>
  </si>
  <si>
    <t>Strategy</t>
  </si>
  <si>
    <t>FxRate</t>
  </si>
  <si>
    <t>Notes</t>
  </si>
  <si>
    <t>Broker Notes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</si>
  <si>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</si>
  <si>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</si>
  <si>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</si>
  <si>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</si>
  <si>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</si>
  <si>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</si>
  <si>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</si>
  <si>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</si>
  <si>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</si>
  <si>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</si>
  <si>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</si>
  <si>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</si>
  <si>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</si>
  <si>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</si>
  <si>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</si>
  <si>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</si>
  <si>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</si>
  <si>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</si>
  <si>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</si>
  <si>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</si>
  <si>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</si>
  <si>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</si>
  <si>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</si>
  <si>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</si>
  <si>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</si>
  <si>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</si>
  <si>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</si>
  <si>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</si>
  <si>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</si>
  <si>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</si>
  <si>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</si>
  <si>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</si>
  <si>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</si>
  <si>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</si>
  <si>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</si>
  <si>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</si>
  <si>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</si>
  <si>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</si>
  <si>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</si>
  <si>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</si>
  <si>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</si>
  <si>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</si>
  <si>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</si>
  <si>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</si>
  <si>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</si>
  <si>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</si>
  <si>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</si>
  <si>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</si>
  <si>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</si>
  <si>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</si>
  <si>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</si>
  <si>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</si>
  <si>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</si>
  <si>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</si>
  <si>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</si>
  <si>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</si>
  <si>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</si>
  <si>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</si>
  <si>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</si>
  <si>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</si>
  <si>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</si>
  <si>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</si>
  <si>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</si>
  <si>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</si>
  <si>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</si>
  <si>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</si>
  <si>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</si>
  <si>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</si>
  <si>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</si>
  <si>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</si>
  <si>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</si>
  <si>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</si>
  <si>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</si>
  <si>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</si>
  <si>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</si>
  <si>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</si>
  <si>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</si>
  <si>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</si>
  <si>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</si>
  <si>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</si>
  <si>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</si>
  <si>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</si>
  <si>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</si>
  <si>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</si>
  <si>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</si>
  <si>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</si>
  <si>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</si>
  <si>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</si>
  <si>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</si>
  <si>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</si>
  <si>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</si>
  <si>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</si>
  <si>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</si>
  <si>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</si>
  <si>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</si>
  <si>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NASDAQ</t>
  </si>
  <si>
    <t>jpearce</t>
  </si>
  <si>
    <t>US</t>
  </si>
  <si>
    <t>New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</si>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</sst>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sz val="11.0"/>
      <name val="Calibri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2" fontId="2" numFmtId="0" xfId="0" applyAlignment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2" fontId="3" numFmtId="0" xfId="0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3" fontId="6" numFmtId="0" xfId="0" applyAlignment="1" applyFill="1" applyFont="1">
      <alignment shrinkToFit="0" wrapText="0"/>
    </xf>
    <xf borderId="4" fillId="3" fontId="6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3" fontId="7" numFmtId="0" xfId="0" applyFont="1"/>
    <xf borderId="0" fillId="4" fontId="8" numFmtId="0" xfId="0" applyAlignment="1" applyFill="1" applyFont="1">
      <alignment shrinkToFit="0" wrapText="0"/>
    </xf>
    <xf borderId="0" fillId="4" fontId="9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vertical="bottom"/>
    </xf>
    <xf borderId="4" fillId="5" fontId="6" numFmtId="0" xfId="0" applyAlignment="1" applyBorder="1" applyFont="1">
      <alignment vertical="bottom"/>
    </xf>
    <xf borderId="0" fillId="5" fontId="10" numFmtId="0" xfId="0" applyAlignment="1" applyFont="1">
      <alignment vertical="bottom"/>
    </xf>
    <xf borderId="0" fillId="5" fontId="7" numFmtId="0" xfId="0" applyFont="1"/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3" numFmtId="14" xfId="0" applyFont="1" applyNumberFormat="1"/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1"/>
      <c r="B5" s="1" t="s">
        <v>0</v>
      </c>
      <c r="C5" s="1" t="s">
        <v>1</v>
      </c>
      <c r="D5" s="1" t="s">
        <v>2</v>
      </c>
      <c r="E5" s="1" t="s">
        <v>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2" t="b">
        <v>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"/>
      <c r="B1" s="4" t="s">
        <v>4</v>
      </c>
      <c r="C1" s="5"/>
      <c r="D1" s="5"/>
      <c r="E1" s="5"/>
      <c r="F1" s="5"/>
      <c r="G1" s="5"/>
      <c r="H1" s="6"/>
      <c r="I1" s="3"/>
      <c r="J1" s="3"/>
      <c r="K1" s="3"/>
      <c r="L1" s="3"/>
      <c r="M1" s="3"/>
      <c r="N1" s="3"/>
      <c r="O1" s="3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9" t="str">
        <f> VLOOKUP($E$3,'_MasterData'!B4:D1000,3,FALSE)</f>
        <v>#REF!</v>
      </c>
      <c r="K2" s="9"/>
      <c r="L2" s="8"/>
      <c r="M2" s="8"/>
      <c r="N2" s="8"/>
      <c r="O2" s="8"/>
    </row>
    <row r="3" ht="15.75" customHeight="1">
      <c r="A3" s="10"/>
      <c r="B3" s="11" t="s">
        <v>5</v>
      </c>
      <c r="C3" s="12" t="s">
        <v>6</v>
      </c>
      <c r="D3" s="11" t="s">
        <v>7</v>
      </c>
      <c r="E3" s="12" t="s">
        <v>8</v>
      </c>
      <c r="F3" s="11" t="s">
        <v>9</v>
      </c>
      <c r="G3" s="13" t="s">
        <v>10</v>
      </c>
      <c r="H3" s="11"/>
      <c r="I3" s="10"/>
      <c r="J3" s="10"/>
      <c r="K3" s="10"/>
      <c r="L3" s="10"/>
      <c r="M3" s="10"/>
      <c r="N3" s="10"/>
      <c r="O3" s="10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ht="15.0" customHeight="1">
      <c r="A4" s="15"/>
      <c r="B4" s="15" t="str">
        <f>IFERROR(__xludf.DUMMYFUNCTION("IF(C3="""","""",Transpose(IMPORTRANGE('_Settings'!$B$3,C3&amp;""!A4:A1000"")))"),"#REF!")</f>
        <v>#REF!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>
      <c r="A5" s="17"/>
      <c r="B5" s="18" t="s">
        <v>11</v>
      </c>
      <c r="C5" s="18" t="s">
        <v>12</v>
      </c>
      <c r="D5" s="18" t="s">
        <v>13</v>
      </c>
      <c r="E5" s="18" t="s">
        <v>14</v>
      </c>
      <c r="F5" s="19" t="s">
        <v>15</v>
      </c>
      <c r="G5" s="18" t="s">
        <v>16</v>
      </c>
      <c r="H5" s="18" t="s">
        <v>17</v>
      </c>
      <c r="I5" s="18" t="s">
        <v>18</v>
      </c>
      <c r="J5" s="18" t="s">
        <v>19</v>
      </c>
      <c r="K5" s="18" t="s">
        <v>20</v>
      </c>
      <c r="L5" s="18" t="s">
        <v>21</v>
      </c>
      <c r="M5" s="18" t="s">
        <v>22</v>
      </c>
      <c r="N5" s="18" t="s">
        <v>23</v>
      </c>
      <c r="O5" s="18" t="s">
        <v>24</v>
      </c>
      <c r="P5" s="18" t="s">
        <v>25</v>
      </c>
      <c r="Q5" s="18" t="s">
        <v>26</v>
      </c>
      <c r="R5" s="18" t="s">
        <v>27</v>
      </c>
      <c r="S5" s="18" t="s">
        <v>28</v>
      </c>
      <c r="T5" s="20" t="s">
        <v>29</v>
      </c>
      <c r="U5" s="20" t="s">
        <v>30</v>
      </c>
      <c r="V5" s="20" t="s">
        <v>31</v>
      </c>
      <c r="W5" s="20" t="s">
        <v>32</v>
      </c>
      <c r="X5" s="20" t="s">
        <v>33</v>
      </c>
      <c r="Y5" s="20" t="s">
        <v>34</v>
      </c>
      <c r="Z5" s="20" t="s">
        <v>35</v>
      </c>
      <c r="AA5" s="20" t="s">
        <v>36</v>
      </c>
      <c r="AB5" s="20" t="s">
        <v>37</v>
      </c>
      <c r="AC5" s="20" t="s">
        <v>38</v>
      </c>
      <c r="AD5" s="20" t="s">
        <v>39</v>
      </c>
      <c r="AE5" s="20" t="s">
        <v>40</v>
      </c>
      <c r="AF5" s="20" t="s">
        <v>41</v>
      </c>
      <c r="AG5" s="20" t="s">
        <v>42</v>
      </c>
      <c r="AH5" s="20" t="s">
        <v>43</v>
      </c>
      <c r="AI5" s="20" t="s">
        <v>44</v>
      </c>
      <c r="AJ5" s="20" t="s">
        <v>45</v>
      </c>
      <c r="AK5" s="20" t="s">
        <v>46</v>
      </c>
      <c r="AL5" s="20" t="s">
        <v>47</v>
      </c>
      <c r="AM5" s="20" t="s">
        <v>48</v>
      </c>
      <c r="AN5" s="20" t="s">
        <v>49</v>
      </c>
      <c r="AO5" s="20" t="s">
        <v>50</v>
      </c>
      <c r="AP5" s="20" t="s">
        <v>51</v>
      </c>
      <c r="AQ5" s="20" t="s">
        <v>52</v>
      </c>
      <c r="AR5" s="20" t="s">
        <v>53</v>
      </c>
      <c r="AS5" s="20" t="s">
        <v>54</v>
      </c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</row>
    <row r="6" ht="15.75" customHeight="1">
      <c r="A6" s="22"/>
      <c r="B6" s="22" t="s">
        <v>55</v>
      </c>
      <c r="C6" s="22">
        <v>100.0</v>
      </c>
      <c r="D6" s="22">
        <v>10.0</v>
      </c>
      <c r="E6" s="22" t="s">
        <v>56</v>
      </c>
      <c r="F6" s="8"/>
      <c r="G6" s="8"/>
      <c r="H6" s="8"/>
      <c r="I6" s="22" t="s">
        <v>57</v>
      </c>
      <c r="J6" s="22" t="s">
        <v>58</v>
      </c>
      <c r="K6" s="8"/>
      <c r="L6" s="8"/>
      <c r="M6" s="8"/>
      <c r="N6" s="8"/>
      <c r="O6" s="8"/>
      <c r="U6" s="23" t="s">
        <v>59</v>
      </c>
      <c r="X6" s="23">
        <v>100.0</v>
      </c>
      <c r="Y6" s="24">
        <f>today()+1</f>
        <v>45864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1"/>
      <c r="B5" s="1" t="s">
        <v>60</v>
      </c>
      <c r="C5" s="1" t="s">
        <v>61</v>
      </c>
      <c r="D5" s="1" t="s">
        <v>62</v>
      </c>
      <c r="E5" s="1" t="s">
        <v>63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 t="s">
        <v>63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 t="s">
        <v>64</v>
      </c>
      <c r="C7" s="1" t="s">
        <v>64</v>
      </c>
      <c r="D7" s="1" t="s">
        <v>64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1"/>
      <c r="B5" s="1" t="s">
        <v>11</v>
      </c>
      <c r="C5" s="1" t="s">
        <v>19</v>
      </c>
      <c r="D5" s="1" t="s">
        <v>12</v>
      </c>
      <c r="E5" s="1" t="s">
        <v>65</v>
      </c>
      <c r="F5" s="1" t="s">
        <v>18</v>
      </c>
      <c r="G5" s="1" t="s">
        <v>36</v>
      </c>
      <c r="H5" s="1" t="s">
        <v>30</v>
      </c>
      <c r="I5" s="1" t="s">
        <v>31</v>
      </c>
      <c r="J5" s="1" t="s">
        <v>13</v>
      </c>
      <c r="K5" s="1" t="s">
        <v>32</v>
      </c>
      <c r="L5" s="1" t="s">
        <v>33</v>
      </c>
      <c r="M5" s="1" t="s">
        <v>66</v>
      </c>
      <c r="N5" s="1" t="s">
        <v>35</v>
      </c>
      <c r="O5" s="1" t="s">
        <v>67</v>
      </c>
      <c r="P5" s="1" t="s">
        <v>68</v>
      </c>
      <c r="Q5" s="1" t="s">
        <v>69</v>
      </c>
      <c r="R5" s="1" t="s">
        <v>21</v>
      </c>
      <c r="S5" s="1" t="s">
        <v>22</v>
      </c>
      <c r="T5" s="1" t="s">
        <v>23</v>
      </c>
      <c r="U5" s="1" t="s">
        <v>70</v>
      </c>
      <c r="V5" s="1" t="s">
        <v>71</v>
      </c>
      <c r="W5" s="1" t="s">
        <v>72</v>
      </c>
      <c r="X5" s="1" t="s">
        <v>73</v>
      </c>
      <c r="Y5" s="1" t="s">
        <v>74</v>
      </c>
      <c r="Z5" s="1" t="s">
        <v>75</v>
      </c>
      <c r="AA5" s="1" t="s">
        <v>39</v>
      </c>
      <c r="AB5" s="1" t="s">
        <v>76</v>
      </c>
      <c r="AC5" s="1" t="s">
        <v>77</v>
      </c>
      <c r="AD5" s="1" t="s">
        <v>78</v>
      </c>
      <c r="AE5" s="1" t="s">
        <v>14</v>
      </c>
      <c r="AF5" s="1" t="s">
        <v>79</v>
      </c>
      <c r="AG5" s="1" t="s">
        <v>80</v>
      </c>
      <c r="AH5" s="1" t="s">
        <v>81</v>
      </c>
      <c r="AI5" s="1" t="s">
        <v>82</v>
      </c>
      <c r="AJ5" s="1" t="s">
        <v>83</v>
      </c>
      <c r="AK5" s="1" t="s">
        <v>84</v>
      </c>
      <c r="AL5" s="1" t="s">
        <v>85</v>
      </c>
      <c r="AM5" s="1" t="s">
        <v>86</v>
      </c>
      <c r="AN5" s="1" t="s">
        <v>87</v>
      </c>
      <c r="AO5" s="1" t="s">
        <v>88</v>
      </c>
      <c r="AP5" s="1" t="s">
        <v>89</v>
      </c>
      <c r="AQ5" s="1" t="s">
        <v>90</v>
      </c>
      <c r="AR5" s="1" t="s">
        <v>34</v>
      </c>
      <c r="AS5" s="1" t="s">
        <v>91</v>
      </c>
      <c r="AT5" s="1" t="s">
        <v>92</v>
      </c>
      <c r="AU5" s="1" t="s">
        <v>93</v>
      </c>
      <c r="AV5" s="1" t="s">
        <v>94</v>
      </c>
      <c r="AW5" s="1" t="s">
        <v>95</v>
      </c>
      <c r="AX5" s="1" t="s">
        <v>96</v>
      </c>
      <c r="AY5" s="1" t="s">
        <v>97</v>
      </c>
      <c r="AZ5" s="1" t="s">
        <v>98</v>
      </c>
      <c r="BA5" s="1" t="s">
        <v>99</v>
      </c>
      <c r="BB5" s="1" t="s">
        <v>100</v>
      </c>
      <c r="BC5" s="1" t="s">
        <v>101</v>
      </c>
      <c r="BD5" s="1" t="s">
        <v>102</v>
      </c>
      <c r="BE5" s="1" t="s">
        <v>103</v>
      </c>
      <c r="BF5" s="1" t="s">
        <v>16</v>
      </c>
    </row>
    <row r="6">
      <c r="A6" s="1"/>
      <c r="B6" s="1" t="s">
        <v>64</v>
      </c>
      <c r="C6" s="1" t="s">
        <v>64</v>
      </c>
      <c r="D6" s="1"/>
      <c r="E6" s="1" t="s">
        <v>64</v>
      </c>
      <c r="F6" s="1" t="s">
        <v>64</v>
      </c>
      <c r="G6" s="1" t="s">
        <v>64</v>
      </c>
      <c r="H6" s="1" t="s">
        <v>64</v>
      </c>
      <c r="I6" s="1" t="s">
        <v>64</v>
      </c>
      <c r="J6" s="25">
        <v>100.0</v>
      </c>
      <c r="K6" s="1" t="s">
        <v>64</v>
      </c>
      <c r="L6" s="25">
        <v>100.0</v>
      </c>
      <c r="M6" s="1" t="s">
        <v>64</v>
      </c>
      <c r="N6" s="1" t="s">
        <v>64</v>
      </c>
      <c r="O6" s="1" t="s">
        <v>64</v>
      </c>
      <c r="P6" s="1" t="s">
        <v>64</v>
      </c>
      <c r="Q6" s="1" t="s">
        <v>64</v>
      </c>
      <c r="R6" s="1" t="s">
        <v>64</v>
      </c>
      <c r="S6" s="1" t="s">
        <v>64</v>
      </c>
      <c r="T6" s="1" t="s">
        <v>64</v>
      </c>
      <c r="U6" s="1" t="s">
        <v>64</v>
      </c>
      <c r="V6" s="1" t="s">
        <v>64</v>
      </c>
      <c r="W6" s="1" t="s">
        <v>64</v>
      </c>
      <c r="X6" s="1" t="s">
        <v>64</v>
      </c>
      <c r="Y6" s="1" t="s">
        <v>64</v>
      </c>
      <c r="Z6" s="1" t="s">
        <v>64</v>
      </c>
      <c r="AA6" s="1" t="s">
        <v>64</v>
      </c>
      <c r="AB6" s="1" t="s">
        <v>64</v>
      </c>
      <c r="AC6" s="1" t="s">
        <v>64</v>
      </c>
      <c r="AD6" s="1" t="s">
        <v>64</v>
      </c>
      <c r="AE6" s="1" t="s">
        <v>56</v>
      </c>
      <c r="AF6" s="1" t="s">
        <v>64</v>
      </c>
      <c r="AG6" s="1" t="s">
        <v>64</v>
      </c>
      <c r="AH6" s="1" t="s">
        <v>64</v>
      </c>
      <c r="AI6" s="1" t="s">
        <v>64</v>
      </c>
      <c r="AJ6" s="1" t="s">
        <v>64</v>
      </c>
      <c r="AK6" s="1" t="s">
        <v>64</v>
      </c>
      <c r="AL6" s="1" t="s">
        <v>64</v>
      </c>
      <c r="AM6" s="1" t="s">
        <v>64</v>
      </c>
      <c r="AN6" s="1" t="s">
        <v>64</v>
      </c>
      <c r="AO6" s="1" t="s">
        <v>64</v>
      </c>
      <c r="AP6" s="1" t="s">
        <v>64</v>
      </c>
      <c r="AQ6" s="1" t="s">
        <v>64</v>
      </c>
      <c r="AR6" s="1"/>
      <c r="AS6" s="1" t="s">
        <v>64</v>
      </c>
      <c r="AT6" s="1" t="s">
        <v>64</v>
      </c>
      <c r="AU6" s="1" t="s">
        <v>64</v>
      </c>
      <c r="AV6" s="1" t="s">
        <v>64</v>
      </c>
      <c r="AW6" s="1" t="s">
        <v>64</v>
      </c>
      <c r="AX6" s="1" t="s">
        <v>64</v>
      </c>
      <c r="AY6" s="1" t="s">
        <v>64</v>
      </c>
      <c r="AZ6" s="1" t="s">
        <v>64</v>
      </c>
      <c r="BA6" s="1" t="s">
        <v>64</v>
      </c>
      <c r="BB6" s="1" t="s">
        <v>64</v>
      </c>
      <c r="BC6" s="1" t="s">
        <v>64</v>
      </c>
      <c r="BD6" s="1" t="s">
        <v>64</v>
      </c>
      <c r="BE6" s="1" t="s">
        <v>64</v>
      </c>
      <c r="BF6" s="2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1"/>
      <c r="B5" s="1" t="s">
        <v>60</v>
      </c>
      <c r="C5" s="1" t="s">
        <v>61</v>
      </c>
      <c r="D5" s="1" t="s">
        <v>62</v>
      </c>
      <c r="E5" s="1" t="s">
        <v>63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 t="s">
        <v>62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"/>
      <c r="B1" s="4" t="s">
        <v>4</v>
      </c>
      <c r="C1" s="5"/>
      <c r="D1" s="5"/>
      <c r="E1" s="5"/>
      <c r="F1" s="5"/>
      <c r="G1" s="5"/>
      <c r="H1" s="6"/>
      <c r="I1" s="3"/>
      <c r="J1" s="3"/>
      <c r="K1" s="3"/>
      <c r="L1" s="3"/>
      <c r="M1" s="3"/>
      <c r="N1" s="3"/>
      <c r="O1" s="3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9" t="str">
        <f> VLOOKUP($E$3,'_MasterData'!B4:D1000,3,FALSE)</f>
        <v>#REF!</v>
      </c>
      <c r="K2" s="9"/>
      <c r="L2" s="8"/>
      <c r="M2" s="8"/>
      <c r="N2" s="8"/>
      <c r="O2" s="8"/>
    </row>
    <row r="3" ht="15.75" customHeight="1">
      <c r="A3" s="10"/>
      <c r="B3" s="11" t="s">
        <v>5</v>
      </c>
      <c r="C3" s="12" t="s">
        <v>104</v>
      </c>
      <c r="D3" s="11" t="s">
        <v>7</v>
      </c>
      <c r="E3" s="12" t="s">
        <v>105</v>
      </c>
      <c r="F3" s="11" t="s">
        <v>9</v>
      </c>
      <c r="G3" s="13" t="s">
        <v>10</v>
      </c>
      <c r="H3" s="11"/>
      <c r="I3" s="10"/>
      <c r="J3" s="10"/>
      <c r="K3" s="10"/>
      <c r="L3" s="10"/>
      <c r="M3" s="10"/>
      <c r="N3" s="10"/>
      <c r="O3" s="10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ht="15.75" customHeight="1">
      <c r="A4" s="15"/>
      <c r="B4" s="15" t="str">
        <f>IFERROR(__xludf.DUMMYFUNCTION("IF(C3="""","""",Transpose(IMPORTRANGE('_Settings'!$B$3,C3&amp;""!A4:A1000"")))"),"#REF!")</f>
        <v>#REF!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>
      <c r="A5" s="17"/>
      <c r="B5" s="18" t="s">
        <v>106</v>
      </c>
      <c r="C5" s="18" t="s">
        <v>107</v>
      </c>
      <c r="D5" s="18" t="s">
        <v>108</v>
      </c>
      <c r="E5" s="18" t="s">
        <v>109</v>
      </c>
      <c r="F5" s="19" t="s">
        <v>110</v>
      </c>
      <c r="G5" s="18" t="s">
        <v>111</v>
      </c>
      <c r="H5" s="18" t="s">
        <v>39</v>
      </c>
      <c r="I5" s="18" t="s">
        <v>112</v>
      </c>
      <c r="J5" s="18" t="s">
        <v>88</v>
      </c>
      <c r="K5" s="18" t="s">
        <v>113</v>
      </c>
      <c r="L5" s="18" t="s">
        <v>114</v>
      </c>
      <c r="M5" s="18" t="s">
        <v>115</v>
      </c>
      <c r="N5" s="18" t="s">
        <v>116</v>
      </c>
      <c r="O5" s="18" t="s">
        <v>117</v>
      </c>
      <c r="P5" s="18" t="s">
        <v>118</v>
      </c>
      <c r="Q5" s="18" t="s">
        <v>119</v>
      </c>
      <c r="R5" s="18" t="s">
        <v>120</v>
      </c>
      <c r="S5" s="18" t="s">
        <v>89</v>
      </c>
      <c r="T5" s="20" t="s">
        <v>121</v>
      </c>
      <c r="U5" s="20" t="s">
        <v>122</v>
      </c>
      <c r="V5" s="20" t="s">
        <v>123</v>
      </c>
      <c r="W5" s="20" t="s">
        <v>124</v>
      </c>
      <c r="X5" s="20" t="s">
        <v>125</v>
      </c>
      <c r="Y5" s="20" t="s">
        <v>126</v>
      </c>
      <c r="Z5" s="20" t="s">
        <v>127</v>
      </c>
      <c r="AA5" s="20" t="s">
        <v>128</v>
      </c>
      <c r="AB5" s="20" t="s">
        <v>129</v>
      </c>
      <c r="AC5" s="20" t="s">
        <v>130</v>
      </c>
      <c r="AD5" s="20" t="s">
        <v>131</v>
      </c>
      <c r="AE5" s="20" t="s">
        <v>132</v>
      </c>
      <c r="AF5" s="20" t="s">
        <v>133</v>
      </c>
      <c r="AG5" s="20" t="s">
        <v>134</v>
      </c>
      <c r="AH5" s="20" t="s">
        <v>135</v>
      </c>
      <c r="AI5" s="20" t="s">
        <v>11</v>
      </c>
      <c r="AJ5" s="20" t="s">
        <v>136</v>
      </c>
      <c r="AK5" s="20" t="s">
        <v>137</v>
      </c>
      <c r="AL5" s="20" t="s">
        <v>138</v>
      </c>
      <c r="AM5" s="20" t="s">
        <v>139</v>
      </c>
      <c r="AN5" s="20" t="s">
        <v>140</v>
      </c>
      <c r="AO5" s="20" t="s">
        <v>141</v>
      </c>
      <c r="AP5" s="20" t="s">
        <v>142</v>
      </c>
      <c r="AQ5" s="20" t="s">
        <v>143</v>
      </c>
      <c r="AR5" s="20" t="s">
        <v>144</v>
      </c>
      <c r="AS5" s="20" t="s">
        <v>36</v>
      </c>
      <c r="AT5" s="20" t="s">
        <v>25</v>
      </c>
      <c r="AU5" s="20" t="s">
        <v>31</v>
      </c>
      <c r="AV5" s="20" t="s">
        <v>145</v>
      </c>
      <c r="AW5" s="20" t="s">
        <v>146</v>
      </c>
      <c r="AX5" s="20" t="s">
        <v>147</v>
      </c>
      <c r="AY5" s="20" t="s">
        <v>148</v>
      </c>
      <c r="AZ5" s="20" t="s">
        <v>149</v>
      </c>
      <c r="BA5" s="20" t="s">
        <v>150</v>
      </c>
      <c r="BB5" s="20" t="s">
        <v>151</v>
      </c>
      <c r="BC5" s="20" t="s">
        <v>152</v>
      </c>
      <c r="BD5" s="20" t="s">
        <v>153</v>
      </c>
      <c r="BE5" s="20" t="s">
        <v>154</v>
      </c>
      <c r="BF5" s="20" t="s">
        <v>155</v>
      </c>
      <c r="BG5" s="20" t="s">
        <v>156</v>
      </c>
      <c r="BH5" s="20" t="s">
        <v>30</v>
      </c>
      <c r="BI5" s="20" t="s">
        <v>157</v>
      </c>
      <c r="BJ5" s="20" t="s">
        <v>158</v>
      </c>
      <c r="BK5" s="20" t="s">
        <v>159</v>
      </c>
      <c r="BL5" s="20" t="s">
        <v>160</v>
      </c>
      <c r="BM5" s="20" t="s">
        <v>161</v>
      </c>
      <c r="BN5" s="20" t="s">
        <v>162</v>
      </c>
      <c r="BO5" s="20" t="s">
        <v>163</v>
      </c>
      <c r="BP5" s="20" t="s">
        <v>164</v>
      </c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</row>
    <row r="6" ht="15.75" customHeight="1">
      <c r="A6" s="8"/>
      <c r="B6" s="8"/>
      <c r="C6" s="8"/>
      <c r="D6" s="8"/>
      <c r="E6" s="8"/>
      <c r="F6" s="22">
        <v>100.0</v>
      </c>
      <c r="G6" s="8"/>
      <c r="H6" s="22" t="s">
        <v>165</v>
      </c>
      <c r="I6" s="23" t="s">
        <v>166</v>
      </c>
      <c r="J6" s="22" t="s">
        <v>55</v>
      </c>
      <c r="K6" s="22" t="s">
        <v>167</v>
      </c>
      <c r="L6" s="8"/>
      <c r="M6" s="8"/>
      <c r="N6" s="8"/>
      <c r="O6" s="8"/>
      <c r="AI6" s="23" t="s">
        <v>55</v>
      </c>
      <c r="AJ6" s="23" t="s">
        <v>58</v>
      </c>
      <c r="AK6" s="23" t="s">
        <v>168</v>
      </c>
      <c r="AL6" s="23">
        <v>100.0</v>
      </c>
      <c r="AS6" s="23" t="s">
        <v>169</v>
      </c>
      <c r="AT6" s="23" t="s">
        <v>57</v>
      </c>
      <c r="AU6" s="23" t="s">
        <v>33</v>
      </c>
      <c r="BA6" s="23" t="s">
        <v>166</v>
      </c>
      <c r="BG6" s="23" t="s">
        <v>6</v>
      </c>
      <c r="BH6" s="23" t="s">
        <v>59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