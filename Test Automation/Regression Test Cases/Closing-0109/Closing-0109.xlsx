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CreateDoneAwayOrder" sheetId="5" r:id="rId7"/>
    <sheet state="visible" name="GetMarkPriceData" sheetId="6" r:id="rId8"/>
    <sheet state="visible" name="UpdateMarkPrice" sheetId="7" r:id="rId9"/>
    <sheet state="visible" name="PricingInput" sheetId="8" r:id="rId10"/>
    <sheet state="visible" name="GetDataClosing" sheetId="9" r:id="rId11"/>
    <sheet state="visible" name="AutoExercise" sheetId="10" r:id="rId12"/>
    <sheet state="visible" name="VerifyExpiredSettledGrid" sheetId="11" r:id="rId13"/>
    <sheet state="visible" name="GetDataAllocation" sheetId="12" r:id="rId14"/>
    <sheet state="visible" name="CheckAllocatedGroups" sheetId="13" r:id="rId15"/>
    <sheet state="visible" name="CheckPortfolioManagement" sheetId="14" r:id="rId16"/>
    <sheet state="visible" name="UnwindClosing" sheetId="15" r:id="rId17"/>
    <sheet state="visible" name="SelectTradeUnexpiredUnsettled" sheetId="16" r:id="rId18"/>
    <sheet state="visible" name="ExerciseAssignment" sheetId="17" r:id="rId19"/>
    <sheet state="visible" name="VerifyExpiredSettledGrid1" sheetId="18" r:id="rId20"/>
    <sheet state="visible" name="CheckAllocatedGroups1" sheetId="19" r:id="rId21"/>
    <sheet state="visible" name="CheckPortfolioManagement1" sheetId="20" r:id="rId22"/>
  </sheets>
  <definedNames/>
  <calcPr/>
</workbook>
</file>

<file path=xl/sharedStrings.xml><?xml version="1.0" encoding="utf-8"?>
<sst xmlns="http://schemas.openxmlformats.org/spreadsheetml/2006/main" count="487" uniqueCount="78">
  <si>
    <t>Modules Info</t>
  </si>
  <si>
    <t>Modules</t>
  </si>
  <si>
    <t>Settings</t>
  </si>
  <si>
    <t>Module Step Setting File</t>
  </si>
  <si>
    <t>1y12nxDe0q34orOtihd3Ea3KAAd0vlIgtofcFPW3C-CM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</si>
  <si>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</si>
  <si>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</si>
  <si>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</si>
  <si>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</si>
  <si>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</si>
  <si>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</si>
  <si>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</si>
  <si>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</si>
  <si>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</si>
  <si>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</si>
  <si>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</si>
  <si>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O:XLE 10R52.00</t>
  </si>
  <si>
    <t>TradingTicket</t>
  </si>
  <si>
    <t>CreateDoneAwayOrder</t>
  </si>
  <si>
    <t>XLE</t>
  </si>
  <si>
    <t>Buy</t>
  </si>
  <si>
    <t>Allocation2</t>
  </si>
  <si>
    <t>Buy to Open</t>
  </si>
  <si>
    <t>Allocation1</t>
  </si>
  <si>
    <t>DailyValuation</t>
  </si>
  <si>
    <t>GetMarkPriceData</t>
  </si>
  <si>
    <t>UpdateMarkPrice</t>
  </si>
  <si>
    <t>PricingInput</t>
  </si>
  <si>
    <t>Closing</t>
  </si>
  <si>
    <t>GetDataClosing</t>
  </si>
  <si>
    <t>Historical</t>
  </si>
  <si>
    <t>1/1/1800</t>
  </si>
  <si>
    <t>AutoExercise</t>
  </si>
  <si>
    <t>VerifyExpiredSettledGrid</t>
  </si>
  <si>
    <t>EquityOption</t>
  </si>
  <si>
    <t>Exercise</t>
  </si>
  <si>
    <t>Short</t>
  </si>
  <si>
    <t>USD</t>
  </si>
  <si>
    <t>OPTS</t>
  </si>
  <si>
    <t>Long</t>
  </si>
  <si>
    <t>Strategy Unallocated</t>
  </si>
  <si>
    <t>US</t>
  </si>
  <si>
    <t>Allocation</t>
  </si>
  <si>
    <t>GetDataAllocation</t>
  </si>
  <si>
    <t>CheckAllocatedGroups</t>
  </si>
  <si>
    <t>Manual</t>
  </si>
  <si>
    <t>XLE US 06/19/10 P52 Equity</t>
  </si>
  <si>
    <t>MS</t>
  </si>
  <si>
    <t>Closed</t>
  </si>
  <si>
    <t>BrokerNotes</t>
  </si>
  <si>
    <t>IsExercised</t>
  </si>
  <si>
    <t>DefaultNotes</t>
  </si>
  <si>
    <t>InternalOrder</t>
  </si>
  <si>
    <t>GCCAP1</t>
  </si>
  <si>
    <t>BuytoOpen</t>
  </si>
  <si>
    <t>jpearce</t>
  </si>
  <si>
    <t>NONE</t>
  </si>
  <si>
    <t>Equity</t>
  </si>
  <si>
    <t>XLE US EQUITY</t>
  </si>
  <si>
    <t>Open</t>
  </si>
  <si>
    <t>AMEX</t>
  </si>
  <si>
    <t>Exercise/Assign</t>
  </si>
  <si>
    <t>Sell short</t>
  </si>
  <si>
    <t>None</t>
  </si>
  <si>
    <t>Sell to Close</t>
  </si>
  <si>
    <t>PortfolioManagement</t>
  </si>
  <si>
    <t>CheckPortfolioManagement</t>
  </si>
  <si>
    <t>NewMF1</t>
  </si>
  <si>
    <t>Undefined</t>
  </si>
  <si>
    <t>User Defined</t>
  </si>
  <si>
    <t>Default</t>
  </si>
  <si>
    <t>UK</t>
  </si>
  <si>
    <t>Yes</t>
  </si>
  <si>
    <t>NewMF</t>
  </si>
  <si>
    <t>FIMAT</t>
  </si>
  <si>
    <t>UnwindClosing</t>
  </si>
  <si>
    <t>SelectTradeUnexpiredUnsettled</t>
  </si>
  <si>
    <t>ExerciseAssignment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</si>
</sst>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:ss am/pm"/>
    <numFmt numFmtId="166" formatCode="m/d/yyyy h:mm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0" fillId="0" fontId="1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5" fillId="0" fontId="5" numFmtId="16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0" fontId="3" numFmtId="0" xfId="0" applyAlignment="1" applyBorder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166" xfId="0" applyAlignment="1" applyFont="1" applyNumberFormat="1">
      <alignment horizontal="right" readingOrder="0" shrinkToFit="0" vertical="bottom" wrapText="0"/>
    </xf>
    <xf borderId="0" fillId="0" fontId="3" numFmtId="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5" fillId="0" fontId="14" numFmtId="0" xfId="0" applyAlignment="1" applyBorder="1" applyFont="1">
      <alignment shrinkToFit="0" vertical="bottom" wrapText="0"/>
    </xf>
    <xf borderId="0" fillId="0" fontId="3" numFmtId="165" xfId="0" applyAlignment="1" applyFont="1" applyNumberForma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horizontal="center" vertical="bottom"/>
    </xf>
    <xf borderId="0" fillId="0" fontId="3" numFmtId="166" xfId="0" applyAlignment="1" applyFont="1" applyNumberFormat="1">
      <alignment vertical="bottom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3" xfId="0" applyAlignment="1" applyFont="1" applyNumberFormat="1">
      <alignment horizontal="right" vertical="bottom"/>
    </xf>
    <xf borderId="0" fillId="0" fontId="14" numFmtId="3" xfId="0" applyAlignment="1" applyFont="1" applyNumberFormat="1">
      <alignment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4" xfId="0" applyAlignment="1" applyFont="1" applyNumberFormat="1">
      <alignment shrinkToFit="0" vertical="bottom" wrapText="0"/>
    </xf>
    <xf borderId="0" fillId="0" fontId="14" numFmtId="166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22" Type="http://schemas.openxmlformats.org/officeDocument/2006/relationships/worksheet" Target="worksheets/sheet20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8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7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4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14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17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34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27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IFERROR(__xludf.DUMMYFUNCTION("""COMPUTED_VALUE"""),"Compliance")</f>
        <v>Compliance</v>
      </c>
      <c r="B510" t="str">
        <f>IFERROR(__xludf.DUMMYFUNCTION("""COMPUTED_VALUE"""),"RestartRuleMediator")</f>
        <v>RestartRuleMediator</v>
      </c>
      <c r="C510" t="str">
        <f>IFERROR(__xludf.DUMMYFUNCTION("""COMPUTED_VALUE"""),"18SVZSt8o151Ibqp7S3Ge-27pHb5fW7wNT71WgA_kP_8")</f>
        <v>18SVZSt8o151Ibqp7S3Ge-27pHb5fW7wNT71WgA_kP_8</v>
      </c>
    </row>
    <row r="511" ht="15.75" customHeight="1">
      <c r="A511" t="str">
        <f>IFERROR(__xludf.DUMMYFUNCTION("""COMPUTED_VALUE"""),"Compliance")</f>
        <v>Compliance</v>
      </c>
      <c r="B511" t="str">
        <f>IFERROR(__xludf.DUMMYFUNCTION("""COMPUTED_VALUE"""),"VerifyAggAccountSymbolWithNav")</f>
        <v>VerifyAggAccountSymbolWithNav</v>
      </c>
      <c r="C511" t="str">
        <f>IFERROR(__xludf.DUMMYFUNCTION("""COMPUTED_VALUE"""),"1yORtQDYWOiS9sGzwmSy3jeH1KeWbwIscJSVtvVljcqk")</f>
        <v>1yORtQDYWOiS9sGzwmSy3jeH1KeWbwIscJSVtvVljcqk</v>
      </c>
    </row>
    <row r="512" ht="15.75" customHeight="1">
      <c r="A512" t="str">
        <f>IFERROR(__xludf.DUMMYFUNCTION("""COMPUTED_VALUE"""),"Admin")</f>
        <v>Admin</v>
      </c>
      <c r="B512" t="str">
        <f>IFERROR(__xludf.DUMMYFUNCTION("""COMPUTED_VALUE"""),"SetComplianceAlert")</f>
        <v>SetComplianceAlert</v>
      </c>
      <c r="C512" t="str">
        <f>IFERROR(__xludf.DUMMYFUNCTION("""COMPUTED_VALUE"""),"1tHcWqzzT9x7_tjIYlb_jsMu7VunfhVIyqGIWGIXOrQE")</f>
        <v>1tHcWqzzT9x7_tjIYlb_jsMu7VunfhVIyqGIWGIXOrQE</v>
      </c>
    </row>
    <row r="513" ht="15.75" customHeight="1">
      <c r="A513" t="str">
        <f>IFERROR(__xludf.DUMMYFUNCTION("""COMPUTED_VALUE"""),"PortfolioManagement")</f>
        <v>PortfolioManagement</v>
      </c>
      <c r="B513" t="str">
        <f>IFERROR(__xludf.DUMMYFUNCTION("""COMPUTED_VALUE"""),"IncreasePositionFromPM")</f>
        <v>IncreasePositionFromPM</v>
      </c>
      <c r="C513" t="str">
        <f>IFERROR(__xludf.DUMMYFUNCTION("""COMPUTED_VALUE"""),"1eE569Brgsjqyathy0MKO50Wmj5QCDLuax0S-29Hix4A")</f>
        <v>1eE569Brgsjqyathy0MKO50Wmj5QCDLuax0S-29Hix4A</v>
      </c>
    </row>
    <row r="514" ht="15.75" customHeight="1">
      <c r="A514" t="str">
        <f>IFERROR(__xludf.DUMMYFUNCTION("""COMPUTED_VALUE"""),"TradingTicket")</f>
        <v>TradingTicket</v>
      </c>
      <c r="B514" t="str">
        <f>IFERROR(__xludf.DUMMYFUNCTION("""COMPUTED_VALUE"""),"SendLiveBloomberg")</f>
        <v>SendLiveBloomberg</v>
      </c>
      <c r="C514" t="str">
        <f>IFERROR(__xludf.DUMMYFUNCTION("""COMPUTED_VALUE"""),"1jm-Rrun0S1nkf5N9L0XR0cK07laQ4i2IyhTZ_88GUUQ")</f>
        <v>1jm-Rrun0S1nkf5N9L0XR0cK07laQ4i2IyhTZ_88GUUQ</v>
      </c>
    </row>
    <row r="515" ht="15.75" customHeight="1">
      <c r="A515" t="str">
        <f>IFERROR(__xludf.DUMMYFUNCTION("""COMPUTED_VALUE"""),"TradingTicket")</f>
        <v>TradingTicket</v>
      </c>
      <c r="B515" t="str">
        <f>IFERROR(__xludf.DUMMYFUNCTION("""COMPUTED_VALUE"""),"AddOptionTrade")</f>
        <v>AddOptionTrade</v>
      </c>
      <c r="C515" t="str">
        <f>IFERROR(__xludf.DUMMYFUNCTION("""COMPUTED_VALUE"""),"1S77RUpuNPEdRdFAsltgJ4BQ2n1UATWQLWerXZ4PXTkk")</f>
        <v>1S77RUpuNPEdRdFAsltgJ4BQ2n1UATWQLWerXZ4PXTkk</v>
      </c>
    </row>
    <row r="516" ht="15.75" customHeight="1">
      <c r="A516" t="str">
        <f>IFERROR(__xludf.DUMMYFUNCTION("""COMPUTED_VALUE"""),"Closing")</f>
        <v>Closing</v>
      </c>
      <c r="B516" t="str">
        <f>IFERROR(__xludf.DUMMYFUNCTION("""COMPUTED_VALUE"""),"AutoExercise")</f>
        <v>AutoExercise</v>
      </c>
      <c r="C516" t="str">
        <f>IFERROR(__xludf.DUMMYFUNCTION("""COMPUTED_VALUE"""),"1hfy0JEIqBV_drZcgmDPPTyHwSQxbE1sD97UL33FyUKI")</f>
        <v>1hfy0JEIqBV_drZcgmDPPTyHwSQxbE1sD97UL33FyUKI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IFERROR(__xludf.DUMMYFUNCTION("""COMPUTED_VALUE"""),"UpdateExpirationDate")</f>
        <v>UpdateExpirationDate</v>
      </c>
      <c r="C517" t="str">
        <f>IFERROR(__xludf.DUMMYFUNCTION("""COMPUTED_VALUE"""),"1dylWul81BFmbZVj_Z-Xiz11zLj_QrhKk5QXK_mf_uUE")</f>
        <v>1dylWul81BFmbZVj_Z-Xiz11zLj_QrhKk5QXK_mf_uUE</v>
      </c>
    </row>
    <row r="518" ht="15.75" customHeight="1">
      <c r="A518" t="str">
        <f>IFERROR(__xludf.DUMMYFUNCTION("""COMPUTED_VALUE"""),"PricingInput")</f>
        <v>PricingInput</v>
      </c>
      <c r="B518" t="str">
        <f>IFERROR(__xludf.DUMMYFUNCTION("""COMPUTED_VALUE"""),"UncheckDividendYield")</f>
        <v>UncheckDividendYield</v>
      </c>
      <c r="C518" t="str">
        <f>IFERROR(__xludf.DUMMYFUNCTION("""COMPUTED_VALUE"""),"1tE_B1MbYuONekKo2FJCjz81vOxEukuWLbDI84AvoR2Y")</f>
        <v>1tE_B1MbYuONekKo2FJCjz81vOxEukuWLbDI84AvoR2Y</v>
      </c>
    </row>
    <row r="519" ht="15.75" customHeight="1">
      <c r="A519" t="str">
        <f>IFERROR(__xludf.DUMMYFUNCTION("""COMPUTED_VALUE"""),"PranaClient")</f>
        <v>PranaClient</v>
      </c>
      <c r="B519" t="str">
        <f>IFERROR(__xludf.DUMMYFUNCTION("""COMPUTED_VALUE"""),"LoginClient")</f>
        <v>LoginClient</v>
      </c>
      <c r="C519" t="str">
        <f>IFERROR(__xludf.DUMMYFUNCTION("""COMPUTED_VALUE"""),"1q8zAoreC7MIeJDU3n8P82NH8qIhpvWC2BtDtEAyBLPg")</f>
        <v>1q8zAoreC7MIeJDU3n8P82NH8qIhpvWC2BtDtEAyBLPg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IFERROR(__xludf.DUMMYFUNCTION("""COMPUTED_VALUE"""),"ViewAllocation")</f>
        <v>ViewAllocation</v>
      </c>
      <c r="C520" t="str">
        <f>IFERROR(__xludf.DUMMYFUNCTION("""COMPUTED_VALUE"""),"1oyfT0NXu05XUQfzB3__UfSsQJxHsjU5EfujHM7zFMlY")</f>
        <v>1oyfT0NXu05XUQfzB3__UfSsQJxHsjU5EfujHM7zFMlY</v>
      </c>
    </row>
    <row r="521" ht="15.75" customHeight="1">
      <c r="A521" t="str">
        <f>IFERROR(__xludf.DUMMYFUNCTION("""COMPUTED_VALUE"""),"Admin")</f>
        <v>Admin</v>
      </c>
      <c r="B521" t="str">
        <f>IFERROR(__xludf.DUMMYFUNCTION("""COMPUTED_VALUE"""),"UpdateSecFee")</f>
        <v>UpdateSecFee</v>
      </c>
      <c r="C521" t="str">
        <f>IFERROR(__xludf.DUMMYFUNCTION("""COMPUTED_VALUE"""),"1ptHqTt8wfxoCZvvS0BozaQuRsKg0DRBnN_lMfrOuCt4")</f>
        <v>1ptHqTt8wfxoCZvvS0BozaQuRsKg0DRBnN_lMfrOuCt4</v>
      </c>
    </row>
    <row r="522" ht="15.75" customHeight="1">
      <c r="A522" t="str">
        <f>IFERROR(__xludf.DUMMYFUNCTION("""COMPUTED_VALUE"""),"Blotter")</f>
        <v>Blotter</v>
      </c>
      <c r="B522" t="str">
        <f>IFERROR(__xludf.DUMMYFUNCTION("""COMPUTED_VALUE"""),"AllocateFromBlotter")</f>
        <v>AllocateFromBlotter</v>
      </c>
      <c r="C522" t="str">
        <f>IFERROR(__xludf.DUMMYFUNCTION("""COMPUTED_VALUE"""),"1oly-GUleCLstbhsLqb5z_nrN6IcuRDzo7dau3mRro2g")</f>
        <v>1oly-GUleCLstbhsLqb5z_nrN6IcuRDzo7dau3mRro2g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IFERROR(__xludf.DUMMYFUNCTION("""COMPUTED_VALUE"""),"UpdateFee")</f>
        <v>UpdateFee</v>
      </c>
      <c r="C523" t="str">
        <f>IFERROR(__xludf.DUMMYFUNCTION("""COMPUTED_VALUE"""),"19Rcvs50oHXGL5FsIW3nGsIY2a3BShYxifQZnyCdj5YI")</f>
        <v>19Rcvs50oHXGL5FsIW3nGsIY2a3BShYxifQZnyCdj5YI</v>
      </c>
    </row>
    <row r="524" ht="15.75" customHeight="1">
      <c r="A524" t="str">
        <f>IFERROR(__xludf.DUMMYFUNCTION("""COMPUTED_VALUE"""),"Allocation")</f>
        <v>Allocation</v>
      </c>
      <c r="B524" t="str">
        <f>IFERROR(__xludf.DUMMYFUNCTION("""COMPUTED_VALUE"""),"CheckPreferences")</f>
        <v>CheckPreferences</v>
      </c>
      <c r="C524" t="str">
        <f>IFERROR(__xludf.DUMMYFUNCTION("""COMPUTED_VALUE"""),"19LWAFgtJK8TJic3Bigl3vokyu1yraGt63a_sVpP1MUU")</f>
        <v>19LWAFgtJK8TJic3Bigl3vokyu1yraGt63a_sVpP1MUU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IFERROR(__xludf.DUMMYFUNCTION("""COMPUTED_VALUE"""),"SetTTUIAdminPreferences")</f>
        <v>SetTTUIAdminPreferences</v>
      </c>
      <c r="C525" t="str">
        <f>IFERROR(__xludf.DUMMYFUNCTION("""COMPUTED_VALUE"""),"1XGzqnk2nunw7F--MNGHLzH3F0YYmIumyegAncIZZB6k")</f>
        <v>1XGzqnk2nunw7F--MNGHLzH3F0YYmIumyegAncIZZB6k</v>
      </c>
    </row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IFERROR(__xludf.DUMMYFUNCTION("""COMPUTED_VALUE"""),"UpdateSecFee")</f>
        <v>UpdateSecFee</v>
      </c>
      <c r="S4" s="25" t="str">
        <f>IFERROR(__xludf.DUMMYFUNCTION("""COMPUTED_VALUE"""),"UpdateFee")</f>
        <v>UpdateFee</v>
      </c>
      <c r="T4" s="25" t="str">
        <f>IFERROR(__xludf.DUMMYFUNCTION("""COMPUTED_VALUE"""),"SetTTUIAdminPreferences")</f>
        <v>SetTTUIAdminPreferences</v>
      </c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IFERROR(__xludf.DUMMYFUNCTION("""COMPUTED_VALUE"""),"Option")</f>
        <v>Option</v>
      </c>
      <c r="C5" s="27" t="str">
        <f>IFERROR(__xludf.DUMMYFUNCTION("""COMPUTED_VALUE"""),"Expiration Date")</f>
        <v>Expiration Date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11" t="s">
        <v>16</v>
      </c>
      <c r="C6" s="31">
        <f>today()-1</f>
        <v>44587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UpdateExpirationDate!$4:$4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1b5S4Xpp4fgZ1ez6cK92QFnVBylqz8jhwxdAyEvwDqUI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IFERROR(__xludf.DUMMYFUNCTION("""COMPUTED_VALUE"""),"ShowMasterFundOnTT")</f>
        <v>ShowMasterFundOnTT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IFERROR(__xludf.DUMMYFUNCTION("""COMPUTED_VALUE"""),"CreateDoneAway")</f>
        <v>CreateDoneAway</v>
      </c>
      <c r="AB4" s="25" t="str">
        <f>IFERROR(__xludf.DUMMYFUNCTION("""COMPUTED_VALUE"""),"CreateDoneAwayOrder")</f>
        <v>CreateDoneAwayOrder</v>
      </c>
      <c r="AC4" s="25" t="str">
        <f>IFERROR(__xludf.DUMMYFUNCTION("""COMPUTED_VALUE"""),"SendLiveBloomberg")</f>
        <v>SendLiveBloomberg</v>
      </c>
      <c r="AD4" s="25" t="str">
        <f>IFERROR(__xludf.DUMMYFUNCTION("""COMPUTED_VALUE"""),"AddOptionTrade")</f>
        <v>AddOptionTrade</v>
      </c>
      <c r="AE4" s="25" t="str">
        <f>IFERROR(__xludf.DUMMYFUNCTION("""COMPUTED_VALUE"""),"ViewAllocation")</f>
        <v>ViewAllocation</v>
      </c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IFERROR(__xludf.DUMMYFUNCTION("""COMPUTED_VALUE"""),"Rate(%)")</f>
        <v>Rate(%)</v>
      </c>
      <c r="AS5" s="29" t="str">
        <f>IFERROR(__xludf.DUMMYFUNCTION("""COMPUTED_VALUE"""),"SharesOutstandingPopUpQty")</f>
        <v>SharesOutstandingPopUpQty</v>
      </c>
      <c r="AT5" s="29" t="str">
        <f>IFERROR(__xludf.DUMMYFUNCTION("""COMPUTED_VALUE"""),"SharesOutstandingPopUp")</f>
        <v>SharesOutstandingPopUp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 t="s">
        <v>19</v>
      </c>
      <c r="C6" s="33" t="s">
        <v>20</v>
      </c>
      <c r="D6" s="36">
        <v>10.0</v>
      </c>
      <c r="E6" s="37">
        <v>10.0</v>
      </c>
      <c r="F6" s="35" t="s">
        <v>21</v>
      </c>
      <c r="G6" s="33"/>
      <c r="H6" s="33"/>
      <c r="I6" s="33"/>
      <c r="J6" s="37">
        <v>1.0</v>
      </c>
      <c r="K6" s="33"/>
      <c r="L6" s="33"/>
      <c r="M6" s="33"/>
      <c r="N6" s="31">
        <f t="shared" ref="N6:N7" si="1">today()-1</f>
        <v>44587</v>
      </c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11" t="s">
        <v>16</v>
      </c>
      <c r="C7" s="38" t="s">
        <v>22</v>
      </c>
      <c r="D7" s="39">
        <v>10.0</v>
      </c>
      <c r="E7" s="39">
        <v>10.0</v>
      </c>
      <c r="F7" s="40" t="s">
        <v>23</v>
      </c>
      <c r="G7" s="34"/>
      <c r="H7" s="34"/>
      <c r="I7" s="34"/>
      <c r="J7" s="39">
        <v>10.0</v>
      </c>
      <c r="K7" s="34"/>
      <c r="L7" s="34"/>
      <c r="M7" s="34"/>
      <c r="N7" s="41">
        <f t="shared" si="1"/>
        <v>44587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>today()-1</f>
        <v>44587</v>
      </c>
      <c r="C6" s="31">
        <f>today()</f>
        <v>44588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GetMarkPriceData!$4:$4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19</v>
      </c>
      <c r="C6" s="43">
        <v>80.0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19</v>
      </c>
      <c r="C6" s="43">
        <v>80.0</v>
      </c>
      <c r="D6" s="30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30</v>
      </c>
      <c r="C6" s="44" t="s">
        <v>31</v>
      </c>
      <c r="D6" s="31">
        <f>today()</f>
        <v>44588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5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AutoExercise!$4:$4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23</v>
      </c>
      <c r="C6" s="34" t="s">
        <v>34</v>
      </c>
      <c r="D6" s="11"/>
      <c r="E6" s="45"/>
      <c r="F6" s="39">
        <v>0.0</v>
      </c>
      <c r="G6" s="11">
        <v>10.0</v>
      </c>
      <c r="H6" s="8"/>
      <c r="I6" s="8"/>
      <c r="J6" s="46" t="s">
        <v>35</v>
      </c>
      <c r="K6" s="11" t="s">
        <v>36</v>
      </c>
      <c r="L6" s="8"/>
      <c r="M6" s="11">
        <v>-10000.0</v>
      </c>
      <c r="N6" s="8"/>
      <c r="O6" s="11">
        <v>-10000.0</v>
      </c>
      <c r="P6" s="9" t="s">
        <v>37</v>
      </c>
      <c r="R6" s="9" t="s">
        <v>38</v>
      </c>
      <c r="S6" s="9">
        <v>0.0</v>
      </c>
      <c r="T6" s="9">
        <v>10.0</v>
      </c>
      <c r="V6" s="9" t="s">
        <v>39</v>
      </c>
      <c r="W6" s="9" t="s">
        <v>39</v>
      </c>
      <c r="X6" s="9">
        <v>0.0</v>
      </c>
      <c r="Y6" s="9">
        <v>0.0</v>
      </c>
      <c r="Z6" s="38" t="s">
        <v>22</v>
      </c>
      <c r="AA6" s="34" t="s">
        <v>40</v>
      </c>
      <c r="AB6" s="11" t="s">
        <v>16</v>
      </c>
      <c r="AD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33"/>
      <c r="B8" s="33"/>
      <c r="C8" s="34"/>
      <c r="D8" s="34"/>
      <c r="E8" s="34"/>
      <c r="F8" s="39"/>
      <c r="G8" s="39"/>
      <c r="H8" s="34"/>
      <c r="I8" s="34"/>
      <c r="J8" s="46"/>
      <c r="K8" s="34"/>
      <c r="L8" s="34"/>
      <c r="M8" s="47"/>
      <c r="N8" s="34"/>
      <c r="O8" s="47"/>
      <c r="P8" s="34"/>
      <c r="Q8" s="34"/>
      <c r="R8" s="34"/>
      <c r="S8" s="47"/>
      <c r="T8" s="47"/>
      <c r="U8" s="34"/>
      <c r="V8" s="34"/>
      <c r="W8" s="34"/>
      <c r="X8" s="47"/>
      <c r="Y8" s="47"/>
      <c r="Z8" s="34"/>
      <c r="AA8" s="34"/>
      <c r="AB8" s="48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2" t="s">
        <v>30</v>
      </c>
      <c r="C6" s="44" t="s">
        <v>31</v>
      </c>
      <c r="D6" s="31">
        <f>today()</f>
        <v>44588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/>
      <c r="D6" s="50"/>
      <c r="E6" s="50">
        <v>10.0</v>
      </c>
      <c r="F6" s="49" t="s">
        <v>45</v>
      </c>
      <c r="G6" s="49" t="s">
        <v>34</v>
      </c>
      <c r="H6" s="50">
        <v>0.0</v>
      </c>
      <c r="I6" s="50">
        <v>0.0</v>
      </c>
      <c r="J6" s="50">
        <v>12.0</v>
      </c>
      <c r="K6" s="50">
        <v>10.0</v>
      </c>
      <c r="L6" s="50">
        <v>10.0</v>
      </c>
      <c r="M6" s="49" t="s">
        <v>46</v>
      </c>
      <c r="N6" s="49"/>
      <c r="O6" s="49" t="s">
        <v>47</v>
      </c>
      <c r="P6" s="51"/>
      <c r="Q6" s="50">
        <v>3.0</v>
      </c>
      <c r="R6" s="50">
        <v>0.0</v>
      </c>
      <c r="S6" s="49" t="s">
        <v>48</v>
      </c>
      <c r="T6" s="50">
        <v>0.0</v>
      </c>
      <c r="U6" s="50">
        <v>0.0</v>
      </c>
      <c r="V6" s="49"/>
      <c r="W6" s="50">
        <v>100.0</v>
      </c>
      <c r="X6" s="50"/>
      <c r="Y6" s="51"/>
      <c r="Z6" s="49" t="s">
        <v>37</v>
      </c>
      <c r="AA6" s="51"/>
      <c r="AB6" s="50">
        <v>1.0</v>
      </c>
      <c r="AC6" s="49" t="s">
        <v>49</v>
      </c>
      <c r="AD6" s="49" t="s">
        <v>38</v>
      </c>
      <c r="AE6" s="50">
        <v>10.0</v>
      </c>
      <c r="AF6" s="52"/>
      <c r="AG6" s="53"/>
      <c r="AH6" s="49"/>
      <c r="AI6" s="50">
        <v>1.0</v>
      </c>
      <c r="AJ6" s="49" t="s">
        <v>50</v>
      </c>
      <c r="AK6" s="49"/>
      <c r="AL6" s="51"/>
      <c r="AM6" s="49" t="s">
        <v>51</v>
      </c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54">
        <v>10000.0</v>
      </c>
      <c r="AU6" s="54">
        <v>10000.0</v>
      </c>
      <c r="AV6" s="55"/>
      <c r="AW6" s="50">
        <v>0.0</v>
      </c>
      <c r="AX6" s="50">
        <v>0.0</v>
      </c>
      <c r="AY6" s="49"/>
      <c r="AZ6" s="50">
        <v>0.0</v>
      </c>
      <c r="BA6" s="55"/>
      <c r="BB6" s="49"/>
      <c r="BC6" s="50">
        <v>0.0</v>
      </c>
      <c r="BD6" s="49" t="s">
        <v>52</v>
      </c>
      <c r="BE6" s="54">
        <v>10000.0</v>
      </c>
      <c r="BF6" s="54">
        <v>10000.0</v>
      </c>
      <c r="BG6" s="55"/>
      <c r="BH6" s="51"/>
      <c r="BI6" s="49"/>
      <c r="BJ6" s="50">
        <v>10.0</v>
      </c>
      <c r="BK6" s="50">
        <v>0.0</v>
      </c>
      <c r="BL6" s="51"/>
      <c r="BM6" s="49" t="s">
        <v>37</v>
      </c>
      <c r="BN6" s="55"/>
      <c r="BO6" s="49" t="s">
        <v>22</v>
      </c>
      <c r="BP6" s="50">
        <v>0.0</v>
      </c>
      <c r="BQ6" s="50">
        <v>0.0</v>
      </c>
      <c r="BR6" s="50">
        <v>0.0</v>
      </c>
      <c r="BS6" s="49" t="s">
        <v>40</v>
      </c>
      <c r="BT6" s="49" t="s">
        <v>16</v>
      </c>
      <c r="BU6" s="50">
        <v>0.0</v>
      </c>
      <c r="BV6" s="50">
        <v>0.0</v>
      </c>
      <c r="BW6" s="50">
        <v>0.0</v>
      </c>
      <c r="BX6" s="50">
        <v>0.0</v>
      </c>
      <c r="CF6" s="49" t="s">
        <v>53</v>
      </c>
      <c r="CG6" s="50">
        <v>0.0</v>
      </c>
      <c r="CH6" s="49" t="s">
        <v>17</v>
      </c>
      <c r="CI6" s="49" t="s">
        <v>54</v>
      </c>
      <c r="CJ6" s="50">
        <v>0.0</v>
      </c>
      <c r="CK6" s="49" t="s">
        <v>41</v>
      </c>
      <c r="CL6" s="50">
        <v>1.0</v>
      </c>
      <c r="CM6" s="49" t="s">
        <v>19</v>
      </c>
      <c r="CN6" s="49" t="s">
        <v>55</v>
      </c>
      <c r="CO6" s="49"/>
      <c r="CP6" s="49" t="s">
        <v>56</v>
      </c>
      <c r="CR6" s="51"/>
      <c r="CS6" s="50"/>
      <c r="CT6" s="51"/>
      <c r="CU6" s="51"/>
      <c r="CV6" s="55"/>
      <c r="CW6" s="52"/>
      <c r="CX6" s="51"/>
      <c r="CY6" s="51"/>
      <c r="CZ6" s="50"/>
      <c r="DA6" s="51"/>
      <c r="DB6" s="50"/>
      <c r="DC6" s="51"/>
      <c r="DD6" s="49"/>
    </row>
    <row r="7" ht="15.75" customHeight="1">
      <c r="A7" s="8"/>
      <c r="B7" s="49" t="s">
        <v>23</v>
      </c>
      <c r="C7" s="49"/>
      <c r="D7" s="50"/>
      <c r="E7" s="54">
        <v>1000.0</v>
      </c>
      <c r="F7" s="49" t="s">
        <v>45</v>
      </c>
      <c r="G7" s="49" t="s">
        <v>57</v>
      </c>
      <c r="H7" s="50">
        <v>0.0</v>
      </c>
      <c r="I7" s="50">
        <v>0.0</v>
      </c>
      <c r="J7" s="50">
        <v>18.0</v>
      </c>
      <c r="K7" s="50">
        <v>100.0</v>
      </c>
      <c r="L7" s="50">
        <v>100.0</v>
      </c>
      <c r="M7" s="49" t="s">
        <v>58</v>
      </c>
      <c r="N7" s="49"/>
      <c r="O7" s="49" t="s">
        <v>47</v>
      </c>
      <c r="P7" s="51"/>
      <c r="Q7" s="50">
        <v>3.0</v>
      </c>
      <c r="R7" s="50">
        <v>0.0</v>
      </c>
      <c r="S7" s="49" t="s">
        <v>59</v>
      </c>
      <c r="T7" s="50">
        <v>0.0</v>
      </c>
      <c r="U7" s="50">
        <v>0.0</v>
      </c>
      <c r="V7" s="49"/>
      <c r="W7" s="50">
        <v>1.0</v>
      </c>
      <c r="X7" s="50"/>
      <c r="Y7" s="51"/>
      <c r="Z7" s="49" t="s">
        <v>37</v>
      </c>
      <c r="AA7" s="49"/>
      <c r="AB7" s="50">
        <v>1.0</v>
      </c>
      <c r="AC7" s="51"/>
      <c r="AD7" s="49" t="s">
        <v>60</v>
      </c>
      <c r="AE7" s="54">
        <v>1000.0</v>
      </c>
      <c r="AF7" s="52"/>
      <c r="AG7" s="52"/>
      <c r="AH7" s="49"/>
      <c r="AI7" s="50">
        <v>1.0</v>
      </c>
      <c r="AJ7" s="49" t="s">
        <v>61</v>
      </c>
      <c r="AK7" s="51"/>
      <c r="AL7" s="51"/>
      <c r="AM7" s="51"/>
      <c r="AN7" s="49" t="b">
        <v>0</v>
      </c>
      <c r="AO7" s="49"/>
      <c r="AP7" s="49" t="b">
        <v>1</v>
      </c>
      <c r="AQ7" s="49" t="b">
        <v>0</v>
      </c>
      <c r="AR7" s="49" t="b">
        <v>1</v>
      </c>
      <c r="AS7" s="50"/>
      <c r="AT7" s="54">
        <v>90000.0</v>
      </c>
      <c r="AU7" s="54">
        <v>90000.0</v>
      </c>
      <c r="AV7" s="53"/>
      <c r="AW7" s="50">
        <v>0.0</v>
      </c>
      <c r="AX7" s="54">
        <v>10000.0</v>
      </c>
      <c r="AY7" s="51"/>
      <c r="AZ7" s="50">
        <v>0.0</v>
      </c>
      <c r="BA7" s="53"/>
      <c r="BB7" s="51"/>
      <c r="BC7" s="50">
        <v>0.0</v>
      </c>
      <c r="BD7" s="49" t="s">
        <v>52</v>
      </c>
      <c r="BE7" s="54">
        <v>100000.0</v>
      </c>
      <c r="BF7" s="54">
        <v>100000.0</v>
      </c>
      <c r="BG7" s="53"/>
      <c r="BH7" s="51"/>
      <c r="BI7" s="51"/>
      <c r="BJ7" s="54">
        <v>1000.0</v>
      </c>
      <c r="BK7" s="50">
        <v>0.0</v>
      </c>
      <c r="BL7" s="49"/>
      <c r="BM7" s="49" t="s">
        <v>37</v>
      </c>
      <c r="BN7" s="53"/>
      <c r="BO7" s="49" t="s">
        <v>62</v>
      </c>
      <c r="BP7" s="50">
        <v>0.0</v>
      </c>
      <c r="BQ7" s="50">
        <v>0.0</v>
      </c>
      <c r="BR7" s="50">
        <v>0.0</v>
      </c>
      <c r="BS7" s="49" t="s">
        <v>40</v>
      </c>
      <c r="BT7" s="49" t="s">
        <v>19</v>
      </c>
      <c r="BU7" s="50">
        <v>0.0</v>
      </c>
      <c r="BV7" s="50">
        <v>0.0</v>
      </c>
      <c r="BW7" s="54">
        <v>10000.0</v>
      </c>
      <c r="BX7" s="50">
        <v>0.0</v>
      </c>
      <c r="CF7" s="49" t="s">
        <v>53</v>
      </c>
      <c r="CG7" s="50">
        <v>0.0</v>
      </c>
      <c r="CH7" s="49" t="s">
        <v>28</v>
      </c>
      <c r="CI7" s="49" t="s">
        <v>35</v>
      </c>
      <c r="CJ7" s="50">
        <v>0.0</v>
      </c>
      <c r="CK7" s="49" t="s">
        <v>41</v>
      </c>
      <c r="CL7" s="50">
        <v>1.0</v>
      </c>
      <c r="CM7" s="49" t="s">
        <v>19</v>
      </c>
      <c r="CN7" s="49" t="s">
        <v>55</v>
      </c>
      <c r="CO7" s="49"/>
      <c r="CP7" s="49" t="s">
        <v>56</v>
      </c>
      <c r="CR7" s="51"/>
      <c r="CS7" s="50"/>
      <c r="CT7" s="51"/>
      <c r="CU7" s="51"/>
      <c r="CV7" s="53"/>
      <c r="CW7" s="52"/>
      <c r="CX7" s="51"/>
      <c r="CY7" s="51"/>
      <c r="CZ7" s="50"/>
      <c r="DA7" s="51"/>
      <c r="DB7" s="50"/>
      <c r="DC7" s="51"/>
      <c r="DD7" s="49"/>
    </row>
    <row r="8" ht="15.75" customHeight="1">
      <c r="A8" s="8"/>
      <c r="B8" s="49" t="s">
        <v>21</v>
      </c>
      <c r="C8" s="49"/>
      <c r="D8" s="50"/>
      <c r="E8" s="50">
        <v>10.0</v>
      </c>
      <c r="F8" s="49" t="s">
        <v>45</v>
      </c>
      <c r="G8" s="49" t="s">
        <v>57</v>
      </c>
      <c r="H8" s="50">
        <v>0.0</v>
      </c>
      <c r="I8" s="50">
        <v>0.0</v>
      </c>
      <c r="J8" s="50">
        <v>18.0</v>
      </c>
      <c r="K8" s="50">
        <v>1.0</v>
      </c>
      <c r="L8" s="50">
        <v>1.0</v>
      </c>
      <c r="M8" s="49" t="s">
        <v>58</v>
      </c>
      <c r="N8" s="49"/>
      <c r="O8" s="49" t="s">
        <v>47</v>
      </c>
      <c r="P8" s="51"/>
      <c r="Q8" s="50">
        <v>3.0</v>
      </c>
      <c r="R8" s="50">
        <v>0.0</v>
      </c>
      <c r="S8" s="49" t="s">
        <v>59</v>
      </c>
      <c r="T8" s="50">
        <v>0.0</v>
      </c>
      <c r="U8" s="50">
        <v>0.0</v>
      </c>
      <c r="V8" s="49"/>
      <c r="W8" s="50">
        <v>1.0</v>
      </c>
      <c r="X8" s="50"/>
      <c r="Y8" s="51"/>
      <c r="Z8" s="49" t="s">
        <v>37</v>
      </c>
      <c r="AA8" s="49"/>
      <c r="AB8" s="50">
        <v>1.0</v>
      </c>
      <c r="AC8" s="49" t="s">
        <v>49</v>
      </c>
      <c r="AD8" s="49" t="s">
        <v>60</v>
      </c>
      <c r="AE8" s="50">
        <v>10.0</v>
      </c>
      <c r="AF8" s="52"/>
      <c r="AG8" s="52"/>
      <c r="AH8" s="49"/>
      <c r="AI8" s="50">
        <v>1.0</v>
      </c>
      <c r="AJ8" s="49" t="s">
        <v>63</v>
      </c>
      <c r="AK8" s="51"/>
      <c r="AL8" s="51"/>
      <c r="AM8" s="49" t="s">
        <v>51</v>
      </c>
      <c r="AN8" s="49" t="b">
        <v>0</v>
      </c>
      <c r="AO8" s="49"/>
      <c r="AP8" s="49" t="b">
        <v>1</v>
      </c>
      <c r="AQ8" s="49" t="b">
        <v>0</v>
      </c>
      <c r="AR8" s="49" t="b">
        <v>1</v>
      </c>
      <c r="AS8" s="50"/>
      <c r="AT8" s="50">
        <v>10.0</v>
      </c>
      <c r="AU8" s="50">
        <v>10.0</v>
      </c>
      <c r="AV8" s="55"/>
      <c r="AW8" s="50">
        <v>0.0</v>
      </c>
      <c r="AX8" s="50">
        <v>0.0</v>
      </c>
      <c r="AY8" s="49"/>
      <c r="AZ8" s="50">
        <v>0.0</v>
      </c>
      <c r="BA8" s="55"/>
      <c r="BB8" s="51"/>
      <c r="BC8" s="50">
        <v>0.0</v>
      </c>
      <c r="BD8" s="49" t="s">
        <v>52</v>
      </c>
      <c r="BE8" s="50">
        <v>10.0</v>
      </c>
      <c r="BF8" s="50">
        <v>10.0</v>
      </c>
      <c r="BG8" s="55"/>
      <c r="BH8" s="51"/>
      <c r="BI8" s="51"/>
      <c r="BJ8" s="50">
        <v>10.0</v>
      </c>
      <c r="BK8" s="50">
        <v>0.0</v>
      </c>
      <c r="BL8" s="49"/>
      <c r="BM8" s="49" t="s">
        <v>37</v>
      </c>
      <c r="BN8" s="55"/>
      <c r="BO8" s="49" t="s">
        <v>20</v>
      </c>
      <c r="BP8" s="50">
        <v>0.0</v>
      </c>
      <c r="BQ8" s="50">
        <v>0.0</v>
      </c>
      <c r="BR8" s="50">
        <v>0.0</v>
      </c>
      <c r="BS8" s="49" t="s">
        <v>40</v>
      </c>
      <c r="BT8" s="49" t="s">
        <v>19</v>
      </c>
      <c r="BU8" s="50">
        <v>0.0</v>
      </c>
      <c r="BV8" s="50">
        <v>0.0</v>
      </c>
      <c r="BW8" s="50">
        <v>0.0</v>
      </c>
      <c r="BX8" s="50">
        <v>0.0</v>
      </c>
      <c r="CF8" s="49" t="s">
        <v>53</v>
      </c>
      <c r="CG8" s="50">
        <v>0.0</v>
      </c>
      <c r="CH8" s="49" t="s">
        <v>17</v>
      </c>
      <c r="CI8" s="49" t="s">
        <v>20</v>
      </c>
      <c r="CJ8" s="50">
        <v>0.0</v>
      </c>
      <c r="CK8" s="49" t="s">
        <v>41</v>
      </c>
      <c r="CL8" s="50">
        <v>1.0</v>
      </c>
      <c r="CM8" s="49" t="s">
        <v>19</v>
      </c>
      <c r="CN8" s="49" t="s">
        <v>55</v>
      </c>
      <c r="CO8" s="49"/>
      <c r="CP8" s="49" t="s">
        <v>56</v>
      </c>
      <c r="CR8" s="51"/>
      <c r="CS8" s="50"/>
      <c r="CT8" s="51"/>
      <c r="CU8" s="51"/>
      <c r="CV8" s="55"/>
      <c r="CW8" s="52"/>
      <c r="CX8" s="51"/>
      <c r="CY8" s="51"/>
      <c r="CZ8" s="50"/>
      <c r="DA8" s="51"/>
      <c r="DB8" s="50"/>
      <c r="DC8" s="51"/>
      <c r="DD8" s="49"/>
    </row>
    <row r="9" ht="15.75" customHeight="1">
      <c r="A9" s="8"/>
      <c r="B9" s="49" t="s">
        <v>23</v>
      </c>
      <c r="C9" s="49"/>
      <c r="D9" s="50"/>
      <c r="E9" s="50">
        <v>10.0</v>
      </c>
      <c r="F9" s="49" t="s">
        <v>45</v>
      </c>
      <c r="G9" s="49" t="s">
        <v>34</v>
      </c>
      <c r="H9" s="50">
        <v>0.0</v>
      </c>
      <c r="I9" s="50">
        <v>0.0</v>
      </c>
      <c r="J9" s="50">
        <v>12.0</v>
      </c>
      <c r="K9" s="50">
        <v>0.0</v>
      </c>
      <c r="L9" s="50">
        <v>0.0</v>
      </c>
      <c r="M9" s="49" t="s">
        <v>46</v>
      </c>
      <c r="N9" s="49"/>
      <c r="O9" s="49" t="s">
        <v>47</v>
      </c>
      <c r="P9" s="51"/>
      <c r="Q9" s="50">
        <v>3.0</v>
      </c>
      <c r="R9" s="50">
        <v>0.0</v>
      </c>
      <c r="S9" s="49" t="s">
        <v>48</v>
      </c>
      <c r="T9" s="50">
        <v>0.0</v>
      </c>
      <c r="U9" s="50">
        <v>0.0</v>
      </c>
      <c r="V9" s="49"/>
      <c r="W9" s="50">
        <v>100.0</v>
      </c>
      <c r="X9" s="50"/>
      <c r="Y9" s="51"/>
      <c r="Z9" s="49" t="s">
        <v>37</v>
      </c>
      <c r="AA9" s="51"/>
      <c r="AB9" s="50">
        <v>1.0</v>
      </c>
      <c r="AC9" s="51"/>
      <c r="AD9" s="49" t="s">
        <v>38</v>
      </c>
      <c r="AE9" s="50">
        <v>10.0</v>
      </c>
      <c r="AF9" s="52"/>
      <c r="AG9" s="53"/>
      <c r="AH9" s="49"/>
      <c r="AI9" s="50">
        <v>1.0</v>
      </c>
      <c r="AJ9" s="49" t="s">
        <v>50</v>
      </c>
      <c r="AK9" s="49"/>
      <c r="AL9" s="51"/>
      <c r="AM9" s="51"/>
      <c r="AN9" s="49" t="b">
        <v>0</v>
      </c>
      <c r="AO9" s="51"/>
      <c r="AP9" s="49" t="b">
        <v>0</v>
      </c>
      <c r="AQ9" s="49" t="b">
        <v>0</v>
      </c>
      <c r="AR9" s="49" t="b">
        <v>1</v>
      </c>
      <c r="AS9" s="50"/>
      <c r="AT9" s="54">
        <v>10000.0</v>
      </c>
      <c r="AU9" s="54">
        <v>10000.0</v>
      </c>
      <c r="AV9" s="55"/>
      <c r="AW9" s="50">
        <v>0.0</v>
      </c>
      <c r="AX9" s="54">
        <v>-10000.0</v>
      </c>
      <c r="AY9" s="49"/>
      <c r="AZ9" s="50">
        <v>0.0</v>
      </c>
      <c r="BA9" s="53"/>
      <c r="BB9" s="49"/>
      <c r="BC9" s="50">
        <v>0.0</v>
      </c>
      <c r="BD9" s="49" t="s">
        <v>52</v>
      </c>
      <c r="BE9" s="50">
        <v>0.0</v>
      </c>
      <c r="BF9" s="50">
        <v>0.0</v>
      </c>
      <c r="BG9" s="53"/>
      <c r="BH9" s="51"/>
      <c r="BI9" s="49"/>
      <c r="BJ9" s="50">
        <v>10.0</v>
      </c>
      <c r="BK9" s="50">
        <v>0.0</v>
      </c>
      <c r="BL9" s="51"/>
      <c r="BM9" s="49" t="s">
        <v>37</v>
      </c>
      <c r="BN9" s="53"/>
      <c r="BO9" s="49" t="s">
        <v>64</v>
      </c>
      <c r="BP9" s="50">
        <v>0.0</v>
      </c>
      <c r="BQ9" s="50">
        <v>0.0</v>
      </c>
      <c r="BR9" s="50">
        <v>0.0</v>
      </c>
      <c r="BS9" s="49" t="s">
        <v>40</v>
      </c>
      <c r="BT9" s="49" t="s">
        <v>16</v>
      </c>
      <c r="BU9" s="50">
        <v>0.0</v>
      </c>
      <c r="BV9" s="50">
        <v>0.0</v>
      </c>
      <c r="BW9" s="54">
        <v>-10000.0</v>
      </c>
      <c r="BX9" s="50">
        <v>0.0</v>
      </c>
      <c r="CF9" s="51"/>
      <c r="CG9" s="50">
        <v>0.0</v>
      </c>
      <c r="CH9" s="49" t="s">
        <v>28</v>
      </c>
      <c r="CI9" s="49" t="s">
        <v>35</v>
      </c>
      <c r="CJ9" s="50">
        <v>0.0</v>
      </c>
      <c r="CK9" s="49" t="s">
        <v>41</v>
      </c>
      <c r="CL9" s="50">
        <v>1.0</v>
      </c>
      <c r="CM9" s="49" t="s">
        <v>19</v>
      </c>
      <c r="CN9" s="51"/>
      <c r="CO9" s="49"/>
      <c r="CP9" s="49" t="s">
        <v>56</v>
      </c>
      <c r="CR9" s="51"/>
      <c r="CS9" s="50"/>
      <c r="CT9" s="51"/>
      <c r="CU9" s="51"/>
      <c r="CV9" s="55"/>
      <c r="CW9" s="52"/>
      <c r="CX9" s="51"/>
      <c r="CY9" s="51"/>
      <c r="CZ9" s="50"/>
      <c r="DA9" s="51"/>
      <c r="DB9" s="50"/>
      <c r="DC9" s="51"/>
      <c r="DD9" s="4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56"/>
      <c r="B12" s="57"/>
      <c r="C12" s="56"/>
      <c r="D12" s="56"/>
      <c r="E12" s="58"/>
      <c r="F12" s="57"/>
      <c r="G12" s="57"/>
      <c r="H12" s="58"/>
      <c r="I12" s="58"/>
      <c r="J12" s="58"/>
      <c r="K12" s="58"/>
      <c r="L12" s="58"/>
      <c r="M12" s="59"/>
      <c r="N12" s="57"/>
      <c r="O12" s="57"/>
      <c r="P12" s="34"/>
      <c r="Q12" s="58"/>
      <c r="R12" s="58"/>
      <c r="S12" s="57"/>
      <c r="T12" s="58"/>
      <c r="U12" s="58"/>
      <c r="V12" s="57"/>
      <c r="W12" s="58"/>
      <c r="X12" s="58"/>
      <c r="Y12" s="34"/>
      <c r="Z12" s="57"/>
      <c r="AA12" s="34"/>
      <c r="AB12" s="58"/>
      <c r="AC12" s="57"/>
      <c r="AD12" s="57"/>
      <c r="AE12" s="58"/>
      <c r="AF12" s="60"/>
      <c r="AG12" s="61"/>
      <c r="AH12" s="57"/>
      <c r="AI12" s="58"/>
      <c r="AJ12" s="57"/>
      <c r="AK12" s="57"/>
      <c r="AL12" s="34"/>
      <c r="AM12" s="57"/>
      <c r="AN12" s="62"/>
      <c r="AO12" s="34"/>
      <c r="AP12" s="62"/>
      <c r="AQ12" s="62"/>
      <c r="AR12" s="62"/>
      <c r="AS12" s="58"/>
      <c r="AT12" s="56"/>
      <c r="AU12" s="56"/>
      <c r="AV12" s="63"/>
      <c r="AW12" s="58"/>
      <c r="AX12" s="58"/>
      <c r="AY12" s="57"/>
      <c r="AZ12" s="58"/>
      <c r="BA12" s="63"/>
      <c r="BB12" s="57"/>
      <c r="BC12" s="58"/>
      <c r="BD12" s="57"/>
      <c r="BE12" s="56"/>
      <c r="BF12" s="56"/>
      <c r="BG12" s="63"/>
      <c r="BH12" s="34"/>
      <c r="BI12" s="57"/>
      <c r="BJ12" s="58"/>
      <c r="BK12" s="58"/>
      <c r="BL12" s="34"/>
      <c r="BM12" s="57"/>
      <c r="BN12" s="63"/>
      <c r="BO12" s="57"/>
      <c r="BP12" s="58"/>
      <c r="BQ12" s="58"/>
      <c r="BR12" s="58"/>
      <c r="BS12" s="57"/>
      <c r="BT12" s="57"/>
      <c r="BU12" s="58"/>
      <c r="BV12" s="58"/>
      <c r="BW12" s="58"/>
      <c r="BX12" s="58"/>
      <c r="BY12" s="34"/>
      <c r="BZ12" s="34"/>
      <c r="CA12" s="34"/>
      <c r="CB12" s="34"/>
      <c r="CC12" s="34"/>
      <c r="CD12" s="34"/>
      <c r="CE12" s="34"/>
      <c r="CF12" s="57"/>
      <c r="CG12" s="58"/>
      <c r="CH12" s="57"/>
      <c r="CI12" s="57"/>
      <c r="CJ12" s="58"/>
      <c r="CK12" s="57"/>
      <c r="CL12" s="58"/>
      <c r="CM12" s="57"/>
      <c r="CN12" s="57"/>
      <c r="CO12" s="57"/>
      <c r="CP12" s="57"/>
      <c r="CQ12" s="34"/>
      <c r="CR12" s="34"/>
      <c r="CS12" s="34"/>
      <c r="CT12" s="34"/>
      <c r="CU12" s="63"/>
      <c r="CV12" s="60"/>
      <c r="CW12" s="34"/>
      <c r="CX12" s="34"/>
      <c r="CY12" s="58"/>
      <c r="CZ12" s="34"/>
      <c r="DA12" s="58"/>
      <c r="DB12" s="34"/>
      <c r="DC12" s="57"/>
      <c r="DD12" s="34"/>
      <c r="DE12" s="34"/>
      <c r="DF12" s="34"/>
      <c r="DG12" s="34"/>
      <c r="DH12" s="34"/>
      <c r="DI12" s="34"/>
      <c r="DJ12" s="34"/>
      <c r="DK12" s="34"/>
      <c r="DL12" s="34"/>
      <c r="DM12" s="34"/>
      <c r="DN12" s="34"/>
      <c r="DO12" s="34"/>
      <c r="DP12" s="34"/>
      <c r="DQ12" s="34"/>
      <c r="DR12" s="34"/>
      <c r="DS12" s="34"/>
      <c r="DT12" s="34"/>
      <c r="DU12" s="34"/>
      <c r="DV12" s="34"/>
      <c r="DW12" s="34"/>
      <c r="DX12" s="34"/>
      <c r="DY12" s="34"/>
      <c r="DZ12" s="34"/>
      <c r="EA12" s="34"/>
      <c r="EB12" s="34"/>
      <c r="EC12" s="34"/>
      <c r="ED12" s="34"/>
      <c r="EE12" s="34"/>
      <c r="EF12" s="34"/>
      <c r="EG12" s="34"/>
      <c r="EH12" s="34"/>
      <c r="EI12" s="34"/>
      <c r="EJ12" s="34"/>
      <c r="EK12" s="34"/>
      <c r="EL12" s="34"/>
      <c r="EM12" s="34"/>
      <c r="EN12" s="34"/>
      <c r="EO12" s="34"/>
      <c r="EP12" s="34"/>
      <c r="EQ12" s="34"/>
      <c r="ER12" s="34"/>
      <c r="ES12" s="34"/>
      <c r="ET12" s="34"/>
      <c r="EU12" s="34"/>
      <c r="EV12" s="34"/>
      <c r="EW12" s="34"/>
      <c r="EX12" s="34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49" t="s">
        <v>19</v>
      </c>
      <c r="D6" s="50">
        <v>10.0</v>
      </c>
      <c r="E6" s="49" t="s">
        <v>21</v>
      </c>
      <c r="F6" s="49" t="s">
        <v>67</v>
      </c>
      <c r="G6" s="50">
        <v>1.0</v>
      </c>
      <c r="H6" s="49" t="s">
        <v>36</v>
      </c>
      <c r="I6" s="50">
        <v>800.0</v>
      </c>
      <c r="J6" s="50"/>
      <c r="K6" s="50">
        <v>800.0</v>
      </c>
      <c r="L6" s="50">
        <v>800.0</v>
      </c>
      <c r="M6" s="64">
        <v>79200.0</v>
      </c>
      <c r="N6" s="50">
        <v>0.0</v>
      </c>
      <c r="O6" s="49"/>
      <c r="P6" s="50">
        <v>80.0</v>
      </c>
      <c r="Q6" s="50">
        <v>790.0</v>
      </c>
      <c r="R6" s="49" t="s">
        <v>47</v>
      </c>
      <c r="S6" s="49" t="s">
        <v>40</v>
      </c>
      <c r="T6" s="49" t="s">
        <v>57</v>
      </c>
      <c r="U6" s="49" t="s">
        <v>41</v>
      </c>
      <c r="V6" s="49" t="s">
        <v>60</v>
      </c>
      <c r="W6" s="49" t="s">
        <v>37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800.0</v>
      </c>
      <c r="AE6" s="50">
        <v>800.0</v>
      </c>
      <c r="AF6" s="50">
        <v>10.0</v>
      </c>
      <c r="AG6" s="50">
        <v>800.0</v>
      </c>
      <c r="AH6" s="50">
        <v>800.0</v>
      </c>
      <c r="AI6" s="50">
        <v>800.0</v>
      </c>
      <c r="AJ6" s="50"/>
      <c r="AK6" s="50">
        <v>0.0</v>
      </c>
      <c r="AL6" s="50">
        <v>1.0</v>
      </c>
      <c r="AM6" s="50">
        <v>1.0</v>
      </c>
      <c r="AN6" s="49" t="s">
        <v>20</v>
      </c>
      <c r="AO6" s="51"/>
      <c r="AP6" s="49" t="s">
        <v>39</v>
      </c>
      <c r="AQ6" s="49" t="s">
        <v>19</v>
      </c>
      <c r="AR6" s="50">
        <v>80.0</v>
      </c>
      <c r="AS6" s="50">
        <v>1.0</v>
      </c>
      <c r="AT6" s="49"/>
      <c r="AU6" s="49"/>
      <c r="AV6" s="50">
        <v>1.0</v>
      </c>
      <c r="AW6" s="50">
        <v>790.0</v>
      </c>
      <c r="AX6" s="50">
        <v>0.0</v>
      </c>
      <c r="AY6" s="50">
        <v>0.0</v>
      </c>
      <c r="AZ6" s="50">
        <v>800.0</v>
      </c>
      <c r="BA6" s="50">
        <v>0.0</v>
      </c>
      <c r="BB6" s="52"/>
      <c r="BC6" s="50">
        <v>1.0</v>
      </c>
      <c r="BD6" s="50">
        <v>0.0</v>
      </c>
      <c r="BE6" s="49" t="s">
        <v>57</v>
      </c>
      <c r="BF6" s="49" t="s">
        <v>68</v>
      </c>
      <c r="BG6" s="49"/>
      <c r="BH6" s="49" t="s">
        <v>68</v>
      </c>
      <c r="BI6" s="49" t="s">
        <v>68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0">
        <v>0.0</v>
      </c>
      <c r="BP6" s="50">
        <v>0.0</v>
      </c>
      <c r="BQ6" s="49" t="s">
        <v>55</v>
      </c>
      <c r="BR6" s="49" t="s">
        <v>47</v>
      </c>
      <c r="BS6" s="50">
        <v>0.0</v>
      </c>
      <c r="BT6" s="50">
        <v>0.0</v>
      </c>
      <c r="BU6" s="49" t="s">
        <v>57</v>
      </c>
      <c r="BV6" s="50"/>
      <c r="BW6" s="50">
        <v>0.0</v>
      </c>
      <c r="BX6" s="50">
        <v>800.0</v>
      </c>
      <c r="BY6" s="50">
        <v>800.0</v>
      </c>
      <c r="BZ6" s="50">
        <v>80.0</v>
      </c>
      <c r="CA6" s="50">
        <v>80.0</v>
      </c>
      <c r="CB6" s="55"/>
      <c r="CC6" s="50">
        <v>0.0</v>
      </c>
      <c r="CD6" s="50">
        <v>0.0</v>
      </c>
      <c r="CE6" s="50">
        <v>0.0</v>
      </c>
      <c r="CF6" s="50">
        <v>0.0</v>
      </c>
      <c r="CG6" s="50">
        <v>790.0</v>
      </c>
      <c r="CH6" s="64">
        <v>7900.0</v>
      </c>
      <c r="CI6" s="50">
        <v>0.0</v>
      </c>
      <c r="CJ6" s="50">
        <v>0.0</v>
      </c>
      <c r="CK6" s="49" t="b">
        <v>0</v>
      </c>
      <c r="CL6" s="51"/>
      <c r="CM6" s="51"/>
      <c r="CN6" s="50"/>
      <c r="CO6" s="49"/>
      <c r="CP6" s="49"/>
      <c r="CQ6" s="49"/>
      <c r="CR6" s="55"/>
      <c r="CS6" s="50">
        <v>1.0</v>
      </c>
      <c r="CT6" s="51"/>
      <c r="CU6" s="51"/>
      <c r="CV6" s="51"/>
      <c r="CW6" s="51"/>
      <c r="CX6" s="51"/>
      <c r="CY6" s="49" t="s">
        <v>69</v>
      </c>
      <c r="CZ6" s="49" t="s">
        <v>70</v>
      </c>
      <c r="DA6" s="50">
        <v>800.0</v>
      </c>
      <c r="DB6" s="50"/>
      <c r="DC6" s="52"/>
      <c r="DD6" s="50">
        <v>10.0</v>
      </c>
      <c r="DE6" s="50">
        <v>0.0</v>
      </c>
      <c r="DF6" s="50">
        <v>0.0</v>
      </c>
      <c r="DG6" s="50">
        <v>0.0</v>
      </c>
      <c r="DH6" s="50">
        <v>80.0</v>
      </c>
      <c r="DI6" s="50">
        <v>0.0</v>
      </c>
      <c r="DJ6" s="49" t="s">
        <v>20</v>
      </c>
      <c r="DK6" s="50">
        <v>800.0</v>
      </c>
      <c r="DL6" s="50">
        <v>800.0</v>
      </c>
      <c r="DM6" s="50">
        <v>1.0</v>
      </c>
      <c r="DN6" s="50">
        <v>0.0</v>
      </c>
      <c r="DO6" s="49"/>
      <c r="DP6" s="49" t="s">
        <v>39</v>
      </c>
      <c r="DQ6" s="49" t="s">
        <v>68</v>
      </c>
      <c r="DR6" s="49" t="s">
        <v>71</v>
      </c>
      <c r="DS6" s="49" t="s">
        <v>68</v>
      </c>
      <c r="DT6" s="49" t="s">
        <v>68</v>
      </c>
      <c r="DU6" s="49" t="s">
        <v>68</v>
      </c>
      <c r="DV6" s="49" t="s">
        <v>68</v>
      </c>
      <c r="DW6" s="49" t="s">
        <v>68</v>
      </c>
      <c r="DX6" s="49" t="s">
        <v>68</v>
      </c>
      <c r="DY6" s="49" t="s">
        <v>68</v>
      </c>
      <c r="DZ6" s="49"/>
      <c r="EA6" s="49" t="s">
        <v>72</v>
      </c>
      <c r="EB6" s="49" t="s">
        <v>68</v>
      </c>
      <c r="EC6" s="49" t="s">
        <v>68</v>
      </c>
      <c r="ED6" s="49" t="s">
        <v>37</v>
      </c>
      <c r="EE6" s="49" t="s">
        <v>72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36</v>
      </c>
      <c r="EM6" s="64">
        <v>79200.0</v>
      </c>
      <c r="EN6" s="64">
        <v>79200.0</v>
      </c>
      <c r="EO6" s="50"/>
      <c r="EP6" s="64"/>
      <c r="EQ6" s="50">
        <v>0.0</v>
      </c>
      <c r="ER6" s="64">
        <v>79200.0</v>
      </c>
      <c r="ES6" s="64">
        <v>-79200.0</v>
      </c>
      <c r="ET6" s="50"/>
      <c r="EU6" s="50">
        <v>0.0</v>
      </c>
      <c r="EV6" s="49" t="s">
        <v>36</v>
      </c>
      <c r="EW6" s="50">
        <v>800.0</v>
      </c>
      <c r="EX6" s="49" t="b">
        <v>0</v>
      </c>
      <c r="EY6" s="49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</row>
    <row r="7" ht="15.75" customHeight="1">
      <c r="A7" s="8"/>
      <c r="B7" s="53"/>
      <c r="C7" s="49" t="s">
        <v>19</v>
      </c>
      <c r="D7" s="64">
        <v>-1000.0</v>
      </c>
      <c r="E7" s="49" t="s">
        <v>23</v>
      </c>
      <c r="F7" s="49" t="s">
        <v>73</v>
      </c>
      <c r="G7" s="50">
        <v>100.0</v>
      </c>
      <c r="H7" s="49" t="s">
        <v>36</v>
      </c>
      <c r="I7" s="64">
        <v>-80000.0</v>
      </c>
      <c r="J7" s="50"/>
      <c r="K7" s="64">
        <v>-80000.0</v>
      </c>
      <c r="L7" s="64">
        <v>80000.0</v>
      </c>
      <c r="M7" s="64">
        <v>79200.0</v>
      </c>
      <c r="N7" s="50">
        <v>0.0</v>
      </c>
      <c r="O7" s="49"/>
      <c r="P7" s="50">
        <v>80.0</v>
      </c>
      <c r="Q7" s="64">
        <v>20000.0</v>
      </c>
      <c r="R7" s="49" t="s">
        <v>74</v>
      </c>
      <c r="S7" s="49" t="s">
        <v>40</v>
      </c>
      <c r="T7" s="49" t="s">
        <v>57</v>
      </c>
      <c r="U7" s="49" t="s">
        <v>41</v>
      </c>
      <c r="V7" s="49" t="s">
        <v>60</v>
      </c>
      <c r="W7" s="49" t="s">
        <v>37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64">
        <v>-80000.0</v>
      </c>
      <c r="AE7" s="64">
        <v>-80000.0</v>
      </c>
      <c r="AF7" s="64">
        <v>-1000.0</v>
      </c>
      <c r="AG7" s="64">
        <v>-80000.0</v>
      </c>
      <c r="AH7" s="64">
        <v>-80000.0</v>
      </c>
      <c r="AI7" s="64">
        <v>-80000.0</v>
      </c>
      <c r="AJ7" s="64"/>
      <c r="AK7" s="50">
        <v>0.0</v>
      </c>
      <c r="AL7" s="50">
        <v>1.0</v>
      </c>
      <c r="AM7" s="50">
        <v>1.0</v>
      </c>
      <c r="AN7" s="49" t="s">
        <v>62</v>
      </c>
      <c r="AO7" s="51"/>
      <c r="AP7" s="49" t="s">
        <v>36</v>
      </c>
      <c r="AQ7" s="49" t="s">
        <v>19</v>
      </c>
      <c r="AR7" s="50">
        <v>80.0</v>
      </c>
      <c r="AS7" s="50">
        <v>-1.0</v>
      </c>
      <c r="AT7" s="51"/>
      <c r="AU7" s="51"/>
      <c r="AV7" s="50">
        <v>1.0</v>
      </c>
      <c r="AW7" s="64">
        <v>20000.0</v>
      </c>
      <c r="AX7" s="50">
        <v>0.0</v>
      </c>
      <c r="AY7" s="50">
        <v>0.0</v>
      </c>
      <c r="AZ7" s="64">
        <v>-80000.0</v>
      </c>
      <c r="BA7" s="50">
        <v>0.0</v>
      </c>
      <c r="BB7" s="52"/>
      <c r="BC7" s="50">
        <v>1.0</v>
      </c>
      <c r="BD7" s="50">
        <v>0.0</v>
      </c>
      <c r="BE7" s="49" t="s">
        <v>57</v>
      </c>
      <c r="BF7" s="49" t="s">
        <v>68</v>
      </c>
      <c r="BG7" s="49"/>
      <c r="BH7" s="49" t="s">
        <v>68</v>
      </c>
      <c r="BI7" s="49" t="s">
        <v>68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50">
        <v>0.0</v>
      </c>
      <c r="BP7" s="50">
        <v>0.0</v>
      </c>
      <c r="BQ7" s="49" t="s">
        <v>55</v>
      </c>
      <c r="BR7" s="49" t="s">
        <v>47</v>
      </c>
      <c r="BS7" s="50">
        <v>0.0</v>
      </c>
      <c r="BT7" s="50">
        <v>0.0</v>
      </c>
      <c r="BU7" s="49" t="s">
        <v>57</v>
      </c>
      <c r="BV7" s="50"/>
      <c r="BW7" s="50">
        <v>0.0</v>
      </c>
      <c r="BX7" s="64">
        <v>80000.0</v>
      </c>
      <c r="BY7" s="64">
        <v>80000.0</v>
      </c>
      <c r="BZ7" s="50">
        <v>80.0</v>
      </c>
      <c r="CA7" s="50">
        <v>80.0</v>
      </c>
      <c r="CB7" s="53"/>
      <c r="CC7" s="50">
        <v>0.0</v>
      </c>
      <c r="CD7" s="50">
        <v>0.0</v>
      </c>
      <c r="CE7" s="50">
        <v>0.0</v>
      </c>
      <c r="CF7" s="50">
        <v>0.0</v>
      </c>
      <c r="CG7" s="64">
        <v>20000.0</v>
      </c>
      <c r="CH7" s="50">
        <v>20.0</v>
      </c>
      <c r="CI7" s="50">
        <v>0.0</v>
      </c>
      <c r="CJ7" s="50">
        <v>0.0</v>
      </c>
      <c r="CK7" s="49" t="b">
        <v>0</v>
      </c>
      <c r="CL7" s="51"/>
      <c r="CM7" s="51"/>
      <c r="CN7" s="50"/>
      <c r="CO7" s="49"/>
      <c r="CP7" s="49"/>
      <c r="CQ7" s="49"/>
      <c r="CR7" s="53"/>
      <c r="CS7" s="50">
        <v>100.0</v>
      </c>
      <c r="CT7" s="51"/>
      <c r="CU7" s="51"/>
      <c r="CV7" s="51"/>
      <c r="CW7" s="51"/>
      <c r="CX7" s="51"/>
      <c r="CY7" s="49" t="s">
        <v>69</v>
      </c>
      <c r="CZ7" s="49" t="s">
        <v>70</v>
      </c>
      <c r="DA7" s="64">
        <v>80000.0</v>
      </c>
      <c r="DB7" s="50"/>
      <c r="DC7" s="52"/>
      <c r="DD7" s="64">
        <v>-1000.0</v>
      </c>
      <c r="DE7" s="50">
        <v>0.0</v>
      </c>
      <c r="DF7" s="50">
        <v>0.0</v>
      </c>
      <c r="DG7" s="50">
        <v>0.0</v>
      </c>
      <c r="DH7" s="50">
        <v>80.0</v>
      </c>
      <c r="DI7" s="50">
        <v>0.0</v>
      </c>
      <c r="DJ7" s="49" t="s">
        <v>35</v>
      </c>
      <c r="DK7" s="64">
        <v>-80000.0</v>
      </c>
      <c r="DL7" s="64">
        <v>-80000.0</v>
      </c>
      <c r="DM7" s="50">
        <v>1.0</v>
      </c>
      <c r="DN7" s="50">
        <v>0.0</v>
      </c>
      <c r="DO7" s="49"/>
      <c r="DP7" s="49" t="s">
        <v>36</v>
      </c>
      <c r="DQ7" s="49" t="s">
        <v>68</v>
      </c>
      <c r="DR7" s="49" t="s">
        <v>71</v>
      </c>
      <c r="DS7" s="49" t="s">
        <v>68</v>
      </c>
      <c r="DT7" s="49" t="s">
        <v>68</v>
      </c>
      <c r="DU7" s="49" t="s">
        <v>68</v>
      </c>
      <c r="DV7" s="49" t="s">
        <v>68</v>
      </c>
      <c r="DW7" s="49" t="s">
        <v>68</v>
      </c>
      <c r="DX7" s="49" t="s">
        <v>68</v>
      </c>
      <c r="DY7" s="49" t="s">
        <v>68</v>
      </c>
      <c r="DZ7" s="49"/>
      <c r="EA7" s="49" t="s">
        <v>72</v>
      </c>
      <c r="EB7" s="49" t="s">
        <v>68</v>
      </c>
      <c r="EC7" s="49" t="s">
        <v>68</v>
      </c>
      <c r="ED7" s="49" t="s">
        <v>37</v>
      </c>
      <c r="EE7" s="49" t="s">
        <v>72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36</v>
      </c>
      <c r="EM7" s="64">
        <v>79200.0</v>
      </c>
      <c r="EN7" s="64">
        <v>79200.0</v>
      </c>
      <c r="EO7" s="50"/>
      <c r="EP7" s="64"/>
      <c r="EQ7" s="50">
        <v>0.0</v>
      </c>
      <c r="ER7" s="64">
        <v>79200.0</v>
      </c>
      <c r="ES7" s="64">
        <v>-79200.0</v>
      </c>
      <c r="ET7" s="50"/>
      <c r="EU7" s="50">
        <v>0.0</v>
      </c>
      <c r="EV7" s="49" t="s">
        <v>36</v>
      </c>
      <c r="EW7" s="64">
        <v>-80000.0</v>
      </c>
      <c r="EX7" s="49" t="b">
        <v>0</v>
      </c>
      <c r="EY7" s="49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34"/>
      <c r="B9" s="61"/>
      <c r="C9" s="57"/>
      <c r="D9" s="65"/>
      <c r="E9" s="57"/>
      <c r="F9" s="57"/>
      <c r="G9" s="58"/>
      <c r="H9" s="57"/>
      <c r="I9" s="65"/>
      <c r="J9" s="58"/>
      <c r="K9" s="65"/>
      <c r="L9" s="65"/>
      <c r="M9" s="65"/>
      <c r="N9" s="65"/>
      <c r="O9" s="57"/>
      <c r="P9" s="58"/>
      <c r="Q9" s="65"/>
      <c r="R9" s="57"/>
      <c r="S9" s="57"/>
      <c r="T9" s="57"/>
      <c r="U9" s="57"/>
      <c r="V9" s="57"/>
      <c r="W9" s="57"/>
      <c r="X9" s="58"/>
      <c r="Y9" s="58"/>
      <c r="Z9" s="34"/>
      <c r="AA9" s="34"/>
      <c r="AB9" s="58"/>
      <c r="AC9" s="58"/>
      <c r="AD9" s="65"/>
      <c r="AE9" s="65"/>
      <c r="AF9" s="65"/>
      <c r="AG9" s="65"/>
      <c r="AH9" s="65"/>
      <c r="AI9" s="65"/>
      <c r="AJ9" s="65"/>
      <c r="AK9" s="65"/>
      <c r="AL9" s="58"/>
      <c r="AM9" s="58"/>
      <c r="AN9" s="57"/>
      <c r="AO9" s="34"/>
      <c r="AP9" s="57"/>
      <c r="AQ9" s="57"/>
      <c r="AR9" s="58"/>
      <c r="AS9" s="58"/>
      <c r="AT9" s="34"/>
      <c r="AU9" s="34"/>
      <c r="AV9" s="58"/>
      <c r="AW9" s="65"/>
      <c r="AX9" s="58"/>
      <c r="AY9" s="58"/>
      <c r="AZ9" s="65"/>
      <c r="BA9" s="58"/>
      <c r="BB9" s="60"/>
      <c r="BC9" s="58"/>
      <c r="BD9" s="65"/>
      <c r="BE9" s="57"/>
      <c r="BF9" s="57"/>
      <c r="BG9" s="57"/>
      <c r="BH9" s="57"/>
      <c r="BI9" s="57"/>
      <c r="BJ9" s="58"/>
      <c r="BK9" s="58"/>
      <c r="BL9" s="58"/>
      <c r="BM9" s="58"/>
      <c r="BN9" s="60"/>
      <c r="BO9" s="65"/>
      <c r="BP9" s="58"/>
      <c r="BQ9" s="57"/>
      <c r="BR9" s="57"/>
      <c r="BS9" s="58"/>
      <c r="BT9" s="58"/>
      <c r="BU9" s="57"/>
      <c r="BV9" s="58"/>
      <c r="BW9" s="58"/>
      <c r="BX9" s="65"/>
      <c r="BY9" s="65"/>
      <c r="BZ9" s="58"/>
      <c r="CA9" s="58"/>
      <c r="CB9" s="61"/>
      <c r="CC9" s="58"/>
      <c r="CD9" s="65"/>
      <c r="CE9" s="58"/>
      <c r="CF9" s="58"/>
      <c r="CG9" s="65"/>
      <c r="CH9" s="58"/>
      <c r="CI9" s="65"/>
      <c r="CJ9" s="58"/>
      <c r="CK9" s="62"/>
      <c r="CL9" s="34"/>
      <c r="CM9" s="34"/>
      <c r="CN9" s="57"/>
      <c r="CO9" s="57"/>
      <c r="CP9" s="57"/>
      <c r="CQ9" s="57"/>
      <c r="CR9" s="61"/>
      <c r="CS9" s="58"/>
      <c r="CT9" s="34"/>
      <c r="CU9" s="34"/>
      <c r="CV9" s="34"/>
      <c r="CW9" s="34"/>
      <c r="CX9" s="34"/>
      <c r="CY9" s="57"/>
      <c r="CZ9" s="57"/>
      <c r="DA9" s="65"/>
      <c r="DB9" s="58"/>
      <c r="DC9" s="60"/>
      <c r="DD9" s="65"/>
      <c r="DE9" s="58"/>
      <c r="DF9" s="58"/>
      <c r="DG9" s="58"/>
      <c r="DH9" s="58"/>
      <c r="DI9" s="58"/>
      <c r="DJ9" s="57"/>
      <c r="DK9" s="58"/>
      <c r="DL9" s="58"/>
      <c r="DM9" s="58"/>
      <c r="DN9" s="58"/>
      <c r="DO9" s="57"/>
      <c r="DP9" s="57"/>
      <c r="DQ9" s="57"/>
      <c r="DR9" s="57"/>
      <c r="DS9" s="57"/>
      <c r="DT9" s="57"/>
      <c r="DU9" s="57"/>
      <c r="DV9" s="57"/>
      <c r="DW9" s="57"/>
      <c r="DX9" s="57"/>
      <c r="DY9" s="57"/>
      <c r="DZ9" s="57"/>
      <c r="EA9" s="57"/>
      <c r="EB9" s="57"/>
      <c r="EC9" s="57"/>
      <c r="ED9" s="57"/>
      <c r="EE9" s="57"/>
      <c r="EF9" s="58"/>
      <c r="EG9" s="65"/>
      <c r="EH9" s="65"/>
      <c r="EI9" s="65"/>
      <c r="EJ9" s="58"/>
      <c r="EK9" s="58"/>
      <c r="EL9" s="57"/>
      <c r="EM9" s="65"/>
      <c r="EN9" s="65"/>
      <c r="EO9" s="58"/>
      <c r="EP9" s="65"/>
      <c r="EQ9" s="65"/>
      <c r="ER9" s="65"/>
      <c r="ES9" s="65"/>
      <c r="ET9" s="58"/>
      <c r="EU9" s="65"/>
      <c r="EV9" s="57"/>
      <c r="EW9" s="65"/>
      <c r="EX9" s="62"/>
      <c r="EY9" s="34"/>
      <c r="EZ9" s="34"/>
      <c r="FA9" s="34"/>
      <c r="FB9" s="34"/>
      <c r="FC9" s="57"/>
      <c r="FD9" s="58"/>
      <c r="FE9" s="34"/>
      <c r="FF9" s="58"/>
      <c r="FG9" s="65"/>
      <c r="FH9" s="34"/>
      <c r="FI9" s="34"/>
      <c r="FJ9" s="34"/>
      <c r="FK9" s="34"/>
      <c r="FL9" s="34"/>
      <c r="FM9" s="34"/>
      <c r="FN9" s="34"/>
      <c r="FO9" s="34"/>
      <c r="FP9" s="34"/>
      <c r="FQ9" s="3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IFERROR(__xludf.DUMMYFUNCTION("""COMPUTED_VALUE"""),"Taxlot ID")</f>
        <v>Taxlot ID</v>
      </c>
      <c r="C5" s="27" t="str">
        <f>IFERROR(__xludf.DUMMYFUNCTION("""COMPUTED_VALUE"""),"Closing Date")</f>
        <v>Closing Date</v>
      </c>
      <c r="D5" s="27" t="str">
        <f>IFERROR(__xludf.DUMMYFUNCTION("""COMPUTED_VALUE"""),"Account")</f>
        <v>Account</v>
      </c>
      <c r="E5" s="27" t="str">
        <f>IFERROR(__xludf.DUMMYFUNCTION("""COMPUTED_VALUE"""),"Strategy")</f>
        <v>Strategy</v>
      </c>
      <c r="F5" s="28" t="str">
        <f>IFERROR(__xludf.DUMMYFUNCTION("""COMPUTED_VALUE"""),"Position Type")</f>
        <v>Position Type</v>
      </c>
      <c r="G5" s="27" t="str">
        <f>IFERROR(__xludf.DUMMYFUNCTION("""COMPUTED_VALUE"""),"Asset Class")</f>
        <v>Asset Class</v>
      </c>
      <c r="H5" s="27" t="str">
        <f>IFERROR(__xludf.DUMMYFUNCTION("""COMPUTED_VALUE"""),"Symbol")</f>
        <v>Symbol</v>
      </c>
      <c r="I5" s="27" t="str">
        <f>IFERROR(__xludf.DUMMYFUNCTION("""COMPUTED_VALUE"""),"Qty Closed")</f>
        <v>Qty Closed</v>
      </c>
      <c r="J5" s="27" t="str">
        <f>IFERROR(__xludf.DUMMYFUNCTION("""COMPUTED_VALUE"""),"Opening Price")</f>
        <v>Opening Price</v>
      </c>
      <c r="K5" s="27" t="str">
        <f>IFERROR(__xludf.DUMMYFUNCTION("""COMPUTED_VALUE"""),"Closing Price")</f>
        <v>Closing Price</v>
      </c>
      <c r="L5" s="27" t="str">
        <f>IFERROR(__xludf.DUMMYFUNCTION("""COMPUTED_VALUE"""),"ClosingTotalCommissionandFees")</f>
        <v>ClosingTotalCommissionandFees</v>
      </c>
      <c r="M5" s="27" t="str">
        <f>IFERROR(__xludf.DUMMYFUNCTION("""COMPUTED_VALUE"""),"Realized PNL(C.B.)")</f>
        <v>Realized PNL(C.B.)</v>
      </c>
      <c r="N5" s="27" t="str">
        <f>IFERROR(__xludf.DUMMYFUNCTION("""COMPUTED_VALUE"""),"Exchange")</f>
        <v>Exchange</v>
      </c>
      <c r="O5" s="27" t="str">
        <f>IFERROR(__xludf.DUMMYFUNCTION("""COMPUTED_VALUE"""),"Opening Side")</f>
        <v>Opening Side</v>
      </c>
      <c r="P5" s="27" t="str">
        <f>IFERROR(__xludf.DUMMYFUNCTION("""COMPUTED_VALUE"""),"Opening Fees &amp; Commission")</f>
        <v>Opening Fees &amp; Commission</v>
      </c>
      <c r="Q5" s="27" t="str">
        <f>IFERROR(__xludf.DUMMYFUNCTION("""COMPUTED_VALUE"""),"Closing Side")</f>
        <v>Closing Side</v>
      </c>
      <c r="R5" s="27" t="str">
        <f>IFERROR(__xludf.DUMMYFUNCTION("""COMPUTED_VALUE"""),"Closing Method")</f>
        <v>Closing Method</v>
      </c>
      <c r="S5" s="27" t="str">
        <f>IFERROR(__xludf.DUMMYFUNCTION("""COMPUTED_VALUE"""),"ClosingID")</f>
        <v>ClosingID</v>
      </c>
      <c r="T5" s="29" t="str">
        <f>IFERROR(__xludf.DUMMYFUNCTION("""COMPUTED_VALUE"""),"Original Purchase Date")</f>
        <v>Original Purchase Date</v>
      </c>
      <c r="U5" s="29" t="str">
        <f>IFERROR(__xludf.DUMMYFUNCTION("""COMPUTED_VALUE"""),"Description")</f>
        <v>Description</v>
      </c>
      <c r="V5" s="29" t="str">
        <f>IFERROR(__xludf.DUMMYFUNCTION("""COMPUTED_VALUE"""),"AccountID")</f>
        <v>AccountID</v>
      </c>
      <c r="W5" s="29" t="str">
        <f>IFERROR(__xludf.DUMMYFUNCTION("""COMPUTED_VALUE"""),"IsExpired_Settled")</f>
        <v>IsExpired_Settled</v>
      </c>
      <c r="X5" s="29" t="str">
        <f>IFERROR(__xludf.DUMMYFUNCTION("""COMPUTED_VALUE"""),"Underlying")</f>
        <v>Underlying</v>
      </c>
      <c r="Y5" s="29" t="str">
        <f>IFERROR(__xludf.DUMMYFUNCTION("""COMPUTED_VALUE"""),"CurrencyID")</f>
        <v>CurrencyID</v>
      </c>
      <c r="Z5" s="29" t="str">
        <f>IFERROR(__xludf.DUMMYFUNCTION("""COMPUTED_VALUE"""),"Currency")</f>
        <v>Currency</v>
      </c>
      <c r="AA5" s="29" t="str">
        <f>IFERROR(__xludf.DUMMYFUNCTION("""COMPUTED_VALUE"""),"AUECID")</f>
        <v>AUECID</v>
      </c>
      <c r="AB5" s="29" t="str">
        <f>IFERROR(__xludf.DUMMYFUNCTION("""COMPUTED_VALUE"""),"NotionalValue")</f>
        <v>NotionalValue</v>
      </c>
      <c r="AC5" s="29" t="str">
        <f>IFERROR(__xludf.DUMMYFUNCTION("""COMPUTED_VALUE"""),"Multiplier")</f>
        <v>Multiplier</v>
      </c>
      <c r="AD5" s="29" t="str">
        <f>IFERROR(__xludf.DUMMYFUNCTION("""COMPUTED_VALUE"""),"TimeOfSaveUTC")</f>
        <v>TimeOfSaveUTC</v>
      </c>
      <c r="AE5" s="29" t="str">
        <f>IFERROR(__xludf.DUMMYFUNCTION("""COMPUTED_VALUE"""),"Closing Position Type")</f>
        <v>Closing Position Type</v>
      </c>
      <c r="AF5" s="29" t="str">
        <f>IFERROR(__xludf.DUMMYFUNCTION("""COMPUTED_VALUE"""),"Closing Mode")</f>
        <v>Closing Mode</v>
      </c>
      <c r="AG5" s="29" t="str">
        <f>IFERROR(__xludf.DUMMYFUNCTION("""COMPUTED_VALUE"""),"StrategyID")</f>
        <v>StrategyID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 t="s">
        <v>23</v>
      </c>
      <c r="E6" s="34" t="s">
        <v>40</v>
      </c>
      <c r="F6" s="8"/>
      <c r="G6" s="34" t="s">
        <v>34</v>
      </c>
      <c r="H6" s="11" t="s">
        <v>16</v>
      </c>
      <c r="I6" s="11">
        <v>10.0</v>
      </c>
      <c r="J6" s="8"/>
      <c r="K6" s="8"/>
      <c r="L6" s="8"/>
      <c r="M6" s="8"/>
      <c r="N6" s="8"/>
      <c r="O6" s="8"/>
      <c r="Q6" s="9" t="s">
        <v>64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UnwindClosing!$4:$4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IFERROR(__xludf.DUMMYFUNCTION("""COMPUTED_VALUE"""),"AccruedInterest")</f>
        <v>AccruedInterest</v>
      </c>
      <c r="D5" s="27" t="str">
        <f>IFERROR(__xludf.DUMMYFUNCTION("""COMPUTED_VALUE"""),"Analyst")</f>
        <v>Analyst</v>
      </c>
      <c r="E5" s="27" t="str">
        <f>IFERROR(__xludf.DUMMYFUNCTION("""COMPUTED_VALUE"""),"Asset Class")</f>
        <v>Asset Class</v>
      </c>
      <c r="F5" s="28" t="str">
        <f>IFERROR(__xludf.DUMMYFUNCTION("""COMPUTED_VALUE"""),"Asset Derivative")</f>
        <v>Asset Derivative</v>
      </c>
      <c r="G5" s="27" t="str">
        <f>IFERROR(__xludf.DUMMYFUNCTION("""COMPUTED_VALUE"""),"AUECID")</f>
        <v>AUECID</v>
      </c>
      <c r="H5" s="27" t="str">
        <f>IFERROR(__xludf.DUMMYFUNCTION("""COMPUTED_VALUE"""),"AUECModifiedDate")</f>
        <v>AUECModifiedDate</v>
      </c>
      <c r="I5" s="27" t="str">
        <f>IFERROR(__xludf.DUMMYFUNCTION("""COMPUTED_VALUE"""),"Average Price")</f>
        <v>Average Price</v>
      </c>
      <c r="J5" s="27" t="str">
        <f>IFERROR(__xludf.DUMMYFUNCTION("""COMPUTED_VALUE"""),"BloombergSymbol")</f>
        <v>BloombergSymbol</v>
      </c>
      <c r="K5" s="27" t="str">
        <f>IFERROR(__xludf.DUMMYFUNCTION("""COMPUTED_VALUE"""),"Broker")</f>
        <v>Broker</v>
      </c>
      <c r="L5" s="27" t="str">
        <f>IFERROR(__xludf.DUMMYFUNCTION("""COMPUTED_VALUE"""),"CalcBasis")</f>
        <v>CalcBasis</v>
      </c>
      <c r="M5" s="27" t="str">
        <f>IFERROR(__xludf.DUMMYFUNCTION("""COMPUTED_VALUE"""),"CashSettledPrice")</f>
        <v>CashSettledPrice</v>
      </c>
      <c r="N5" s="27" t="str">
        <f>IFERROR(__xludf.DUMMYFUNCTION("""COMPUTED_VALUE"""),"ChangeComment")</f>
        <v>ChangeComment</v>
      </c>
      <c r="O5" s="27" t="str">
        <f>IFERROR(__xludf.DUMMYFUNCTION("""COMPUTED_VALUE"""),"ChangeType")</f>
        <v>ChangeType</v>
      </c>
      <c r="P5" s="27" t="str">
        <f>IFERROR(__xludf.DUMMYFUNCTION("""COMPUTED_VALUE"""),"ClearingBrokerFee")</f>
        <v>ClearingBrokerFee</v>
      </c>
      <c r="Q5" s="27" t="str">
        <f>IFERROR(__xludf.DUMMYFUNCTION("""COMPUTED_VALUE"""),"ClearingFee")</f>
        <v>ClearingFee</v>
      </c>
      <c r="R5" s="27" t="str">
        <f>IFERROR(__xludf.DUMMYFUNCTION("""COMPUTED_VALUE"""),"ClosedTotalCommissionandFees")</f>
        <v>ClosedTotalCommissionandFees</v>
      </c>
      <c r="S5" s="27" t="str">
        <f>IFERROR(__xludf.DUMMYFUNCTION("""COMPUTED_VALUE"""),"ClosingAlgo")</f>
        <v>ClosingAlgo</v>
      </c>
      <c r="T5" s="29" t="str">
        <f>IFERROR(__xludf.DUMMYFUNCTION("""COMPUTED_VALUE"""),"ClosingDate")</f>
        <v>ClosingDate</v>
      </c>
      <c r="U5" s="29" t="str">
        <f>IFERROR(__xludf.DUMMYFUNCTION("""COMPUTED_VALUE"""),"ClosingStatus")</f>
        <v>ClosingStatus</v>
      </c>
      <c r="V5" s="29" t="str">
        <f>IFERROR(__xludf.DUMMYFUNCTION("""COMPUTED_VALUE"""),"Commission")</f>
        <v>Commission</v>
      </c>
      <c r="W5" s="29" t="str">
        <f>IFERROR(__xludf.DUMMYFUNCTION("""COMPUTED_VALUE"""),"CommissionAmt")</f>
        <v>CommissionAmt</v>
      </c>
      <c r="X5" s="29" t="str">
        <f>IFERROR(__xludf.DUMMYFUNCTION("""COMPUTED_VALUE"""),"CommissionRate")</f>
        <v>CommissionRate</v>
      </c>
      <c r="Y5" s="29" t="str">
        <f>IFERROR(__xludf.DUMMYFUNCTION("""COMPUTED_VALUE"""),"CompanyUserName")</f>
        <v>CompanyUserName</v>
      </c>
      <c r="Z5" s="29" t="str">
        <f>IFERROR(__xludf.DUMMYFUNCTION("""COMPUTED_VALUE"""),"ContractMultiplier")</f>
        <v>ContractMultiplier</v>
      </c>
      <c r="AA5" s="29" t="str">
        <f>IFERROR(__xludf.DUMMYFUNCTION("""COMPUTED_VALUE"""),"CountryName")</f>
        <v>CountryName</v>
      </c>
      <c r="AB5" s="29" t="str">
        <f>IFERROR(__xludf.DUMMYFUNCTION("""COMPUTED_VALUE"""),"CountryOfRisk")</f>
        <v>CountryOfRisk</v>
      </c>
      <c r="AC5" s="29" t="str">
        <f>IFERROR(__xludf.DUMMYFUNCTION("""COMPUTED_VALUE"""),"CumQty")</f>
        <v>CumQty</v>
      </c>
      <c r="AD5" s="29" t="str">
        <f>IFERROR(__xludf.DUMMYFUNCTION("""COMPUTED_VALUE"""),"CurrencyID")</f>
        <v>CurrencyID</v>
      </c>
      <c r="AE5" s="29" t="str">
        <f>IFERROR(__xludf.DUMMYFUNCTION("""COMPUTED_VALUE"""),"CurrencyName")</f>
        <v>CurrencyName</v>
      </c>
      <c r="AF5" s="29" t="str">
        <f>IFERROR(__xludf.DUMMYFUNCTION("""COMPUTED_VALUE"""),"CusipSymbol")</f>
        <v>CusipSymbol</v>
      </c>
      <c r="AG5" s="29" t="str">
        <f>IFERROR(__xludf.DUMMYFUNCTION("""COMPUTED_VALUE"""),"CustomUDA1")</f>
        <v>CustomUDA1</v>
      </c>
      <c r="AH5" s="29" t="str">
        <f>IFERROR(__xludf.DUMMYFUNCTION("""COMPUTED_VALUE"""),"CustomUDA2")</f>
        <v>CustomUDA2</v>
      </c>
      <c r="AI5" s="29" t="str">
        <f>IFERROR(__xludf.DUMMYFUNCTION("""COMPUTED_VALUE"""),"CustomUDA3")</f>
        <v>CustomUDA3</v>
      </c>
      <c r="AJ5" s="29" t="str">
        <f>IFERROR(__xludf.DUMMYFUNCTION("""COMPUTED_VALUE"""),"CustomUDA4")</f>
        <v>CustomUDA4</v>
      </c>
      <c r="AK5" s="29" t="str">
        <f>IFERROR(__xludf.DUMMYFUNCTION("""COMPUTED_VALUE"""),"CustomUDA5")</f>
        <v>CustomUDA5</v>
      </c>
      <c r="AL5" s="29" t="str">
        <f>IFERROR(__xludf.DUMMYFUNCTION("""COMPUTED_VALUE"""),"CustomUDA6")</f>
        <v>CustomUDA6</v>
      </c>
      <c r="AM5" s="29" t="str">
        <f>IFERROR(__xludf.DUMMYFUNCTION("""COMPUTED_VALUE"""),"CustomUDA7")</f>
        <v>CustomUDA7</v>
      </c>
      <c r="AN5" s="29" t="str">
        <f>IFERROR(__xludf.DUMMYFUNCTION("""COMPUTED_VALUE"""),"Delta")</f>
        <v>Delta</v>
      </c>
      <c r="AO5" s="29" t="str">
        <f>IFERROR(__xludf.DUMMYFUNCTION("""COMPUTED_VALUE"""),"Description")</f>
        <v>Description</v>
      </c>
      <c r="AP5" s="29" t="str">
        <f>IFERROR(__xludf.DUMMYFUNCTION("""COMPUTED_VALUE"""),"ExchangeName")</f>
        <v>ExchangeName</v>
      </c>
      <c r="AQ5" s="29" t="str">
        <f>IFERROR(__xludf.DUMMYFUNCTION("""COMPUTED_VALUE"""),"ExecutedQty")</f>
        <v>ExecutedQty</v>
      </c>
      <c r="AR5" s="29" t="str">
        <f>IFERROR(__xludf.DUMMYFUNCTION("""COMPUTED_VALUE"""),"ExpirationDate")</f>
        <v>ExpirationDate</v>
      </c>
      <c r="AS5" s="29" t="str">
        <f>IFERROR(__xludf.DUMMYFUNCTION("""COMPUTED_VALUE"""),"ExternalTransID")</f>
        <v>ExternalTransID</v>
      </c>
      <c r="AT5" s="29" t="str">
        <f>IFERROR(__xludf.DUMMYFUNCTION("""COMPUTED_VALUE"""),"FXConversionMethodOperator")</f>
        <v>FXConversionMethodOperator</v>
      </c>
      <c r="AU5" s="29" t="str">
        <f>IFERROR(__xludf.DUMMYFUNCTION("""COMPUTED_VALUE"""),"FXRate")</f>
        <v>FXRate</v>
      </c>
      <c r="AV5" s="29" t="str">
        <f>IFERROR(__xludf.DUMMYFUNCTION("""COMPUTED_VALUE"""),"GroupID")</f>
        <v>GroupID</v>
      </c>
      <c r="AW5" s="29" t="str">
        <f>IFERROR(__xludf.DUMMYFUNCTION("""COMPUTED_VALUE"""),"IDCOSymbol")</f>
        <v>IDCOSymbol</v>
      </c>
      <c r="AX5" s="29" t="str">
        <f>IFERROR(__xludf.DUMMYFUNCTION("""COMPUTED_VALUE"""),"InternalComments")</f>
        <v>InternalComments</v>
      </c>
      <c r="AY5" s="29" t="str">
        <f>IFERROR(__xludf.DUMMYFUNCTION("""COMPUTED_VALUE"""),"IsExerciseAtZero")</f>
        <v>IsExerciseAtZero</v>
      </c>
      <c r="AZ5" s="29" t="str">
        <f>IFERROR(__xludf.DUMMYFUNCTION("""COMPUTED_VALUE"""),"ISINSymbol")</f>
        <v>ISINSymbol</v>
      </c>
      <c r="BA5" s="29" t="str">
        <f>IFERROR(__xludf.DUMMYFUNCTION("""COMPUTED_VALUE"""),"IsNDF")</f>
        <v>IsNDF</v>
      </c>
      <c r="BB5" s="29" t="str">
        <f>IFERROR(__xludf.DUMMYFUNCTION("""COMPUTED_VALUE"""),"IsPosition")</f>
        <v>IsPosition</v>
      </c>
      <c r="BC5" s="29" t="str">
        <f>IFERROR(__xludf.DUMMYFUNCTION("""COMPUTED_VALUE"""),"IsPreAllocated")</f>
        <v>IsPreAllocated</v>
      </c>
      <c r="BD5" s="29" t="str">
        <f>IFERROR(__xludf.DUMMYFUNCTION("""COMPUTED_VALUE"""),"Issuer")</f>
        <v>Issuer</v>
      </c>
      <c r="BE5" s="29" t="str">
        <f>IFERROR(__xludf.DUMMYFUNCTION("""COMPUTED_VALUE"""),"IsSwapped")</f>
        <v>IsSwapped</v>
      </c>
      <c r="BF5" s="29" t="str">
        <f>IFERROR(__xludf.DUMMYFUNCTION("""COMPUTED_VALUE"""),"LeadCurrencyID")</f>
        <v>LeadCurrencyID</v>
      </c>
      <c r="BG5" s="29" t="str">
        <f>IFERROR(__xludf.DUMMYFUNCTION("""COMPUTED_VALUE"""),"LiquidTag")</f>
        <v>LiquidTag</v>
      </c>
      <c r="BH5" s="29" t="str">
        <f>IFERROR(__xludf.DUMMYFUNCTION("""COMPUTED_VALUE"""),"LongOrShort")</f>
        <v>LongOrShort</v>
      </c>
      <c r="BI5" s="29" t="str">
        <f>IFERROR(__xludf.DUMMYFUNCTION("""COMPUTED_VALUE"""),"LotId")</f>
        <v>LotId</v>
      </c>
      <c r="BJ5" s="29" t="str">
        <f>IFERROR(__xludf.DUMMYFUNCTION("""COMPUTED_VALUE"""),"M2MProfitLoss")</f>
        <v>M2MProfitLoss</v>
      </c>
      <c r="BK5" s="29" t="str">
        <f>IFERROR(__xludf.DUMMYFUNCTION("""COMPUTED_VALUE"""),"MarkPrice")</f>
        <v>MarkPrice</v>
      </c>
      <c r="BL5" s="29" t="str">
        <f>IFERROR(__xludf.DUMMYFUNCTION("""COMPUTED_VALUE"""),"MasterFund")</f>
        <v>MasterFund</v>
      </c>
      <c r="BM5" s="29" t="str">
        <f>IFERROR(__xludf.DUMMYFUNCTION("""COMPUTED_VALUE"""),"MiscFees")</f>
        <v>MiscFees</v>
      </c>
      <c r="BN5" s="29" t="str">
        <f>IFERROR(__xludf.DUMMYFUNCTION("""COMPUTED_VALUE"""),"NavLockStatus")</f>
        <v>NavLockStatus</v>
      </c>
      <c r="BO5" s="29" t="str">
        <f>IFERROR(__xludf.DUMMYFUNCTION("""COMPUTED_VALUE"""),"Net Notional")</f>
        <v>Net Notional</v>
      </c>
      <c r="BP5" s="29" t="str">
        <f>IFERROR(__xludf.DUMMYFUNCTION("""COMPUTED_VALUE"""),"NirvanaProcessDate")</f>
        <v>NirvanaProcessDate</v>
      </c>
      <c r="BQ5" s="29" t="str">
        <f>IFERROR(__xludf.DUMMYFUNCTION("""COMPUTED_VALUE"""),"OccFee")</f>
        <v>OccFee</v>
      </c>
      <c r="BR5" s="29" t="str">
        <f>IFERROR(__xludf.DUMMYFUNCTION("""COMPUTED_VALUE"""),"OptionPremiumAdjustment")</f>
        <v>OptionPremiumAdjustment</v>
      </c>
      <c r="BS5" s="29" t="str">
        <f>IFERROR(__xludf.DUMMYFUNCTION("""COMPUTED_VALUE"""),"OrderSideTagValue")</f>
        <v>OrderSideTagValue</v>
      </c>
      <c r="BT5" s="29" t="str">
        <f>IFERROR(__xludf.DUMMYFUNCTION("""COMPUTED_VALUE"""),"OrderType")</f>
        <v>OrderType</v>
      </c>
      <c r="BU5" s="29" t="str">
        <f>IFERROR(__xludf.DUMMYFUNCTION("""COMPUTED_VALUE"""),"OrfFee")</f>
        <v>OrfFee</v>
      </c>
      <c r="BV5" s="29" t="str">
        <f>IFERROR(__xludf.DUMMYFUNCTION("""COMPUTED_VALUE"""),"Original Side")</f>
        <v>Original Side</v>
      </c>
      <c r="BW5" s="29" t="str">
        <f>IFERROR(__xludf.DUMMYFUNCTION("""COMPUTED_VALUE"""),"OriginalPurchase Date")</f>
        <v>OriginalPurchase Date</v>
      </c>
      <c r="BX5" s="29" t="str">
        <f>IFERROR(__xludf.DUMMYFUNCTION("""COMPUTED_VALUE"""),"OSISymbol")</f>
        <v>OSISymbol</v>
      </c>
      <c r="BY5" s="29" t="str">
        <f>IFERROR(__xludf.DUMMYFUNCTION("""COMPUTED_VALUE"""),"OtherBrokerFees")</f>
        <v>OtherBrokerFees</v>
      </c>
      <c r="BZ5" s="29" t="str">
        <f>IFERROR(__xludf.DUMMYFUNCTION("""COMPUTED_VALUE"""),"ParentRowPK")</f>
        <v>ParentRowPK</v>
      </c>
      <c r="CA5" s="29" t="str">
        <f>IFERROR(__xludf.DUMMYFUNCTION("""COMPUTED_VALUE"""),"Percentage")</f>
        <v>Percentage</v>
      </c>
      <c r="CB5" s="29" t="str">
        <f>IFERROR(__xludf.DUMMYFUNCTION("""COMPUTED_VALUE"""),"PositionTag")</f>
        <v>PositionTag</v>
      </c>
      <c r="CC5" s="29" t="str">
        <f>IFERROR(__xludf.DUMMYFUNCTION("""COMPUTED_VALUE"""),"PositionType")</f>
        <v>PositionType</v>
      </c>
      <c r="CD5" s="29" t="str">
        <f>IFERROR(__xludf.DUMMYFUNCTION("""COMPUTED_VALUE"""),"Process Date")</f>
        <v>Process Date</v>
      </c>
      <c r="CE5" s="29" t="str">
        <f>IFERROR(__xludf.DUMMYFUNCTION("""COMPUTED_VALUE"""),"ProxySymbol")</f>
        <v>ProxySymbol</v>
      </c>
      <c r="CF5" s="29" t="str">
        <f>IFERROR(__xludf.DUMMYFUNCTION("""COMPUTED_VALUE"""),"PutOrCall")</f>
        <v>PutOrCall</v>
      </c>
      <c r="CG5" s="29" t="str">
        <f>IFERROR(__xludf.DUMMYFUNCTION("""COMPUTED_VALUE"""),"Quantity")</f>
        <v>Quantity</v>
      </c>
      <c r="CH5" s="29" t="str">
        <f>IFERROR(__xludf.DUMMYFUNCTION("""COMPUTED_VALUE"""),"Region")</f>
        <v>Region</v>
      </c>
      <c r="CI5" s="29" t="str">
        <f>IFERROR(__xludf.DUMMYFUNCTION("""COMPUTED_VALUE"""),"ReutersSymbol")</f>
        <v>ReutersSymbol</v>
      </c>
      <c r="CJ5" s="29" t="str">
        <f>IFERROR(__xludf.DUMMYFUNCTION("""COMPUTED_VALUE"""),"RiskCurrency")</f>
        <v>RiskCurrency</v>
      </c>
      <c r="CK5" s="29" t="str">
        <f>IFERROR(__xludf.DUMMYFUNCTION("""COMPUTED_VALUE"""),"SecFee")</f>
        <v>SecFee</v>
      </c>
      <c r="CL5" s="29" t="str">
        <f>IFERROR(__xludf.DUMMYFUNCTION("""COMPUTED_VALUE"""),"SectorName")</f>
        <v>SectorName</v>
      </c>
      <c r="CM5" s="29" t="str">
        <f>IFERROR(__xludf.DUMMYFUNCTION("""COMPUTED_VALUE"""),"Security Name")</f>
        <v>Security Name</v>
      </c>
      <c r="CN5" s="29" t="str">
        <f>IFERROR(__xludf.DUMMYFUNCTION("""COMPUTED_VALUE"""),"SecurityTypeName")</f>
        <v>SecurityTypeName</v>
      </c>
      <c r="CO5" s="29" t="str">
        <f>IFERROR(__xludf.DUMMYFUNCTION("""COMPUTED_VALUE"""),"SedolSymbol")</f>
        <v>SedolSymbol</v>
      </c>
      <c r="CP5" s="29" t="str">
        <f>IFERROR(__xludf.DUMMYFUNCTION("""COMPUTED_VALUE"""),"SettlCurrAmt")</f>
        <v>SettlCurrAmt</v>
      </c>
      <c r="CQ5" s="29" t="str">
        <f>IFERROR(__xludf.DUMMYFUNCTION("""COMPUTED_VALUE"""),"SettlCurrFxRate")</f>
        <v>SettlCurrFxRate</v>
      </c>
      <c r="CR5" s="29" t="str">
        <f>IFERROR(__xludf.DUMMYFUNCTION("""COMPUTED_VALUE"""),"SettlCurrFxRateCalc")</f>
        <v>SettlCurrFxRateCalc</v>
      </c>
      <c r="CS5" s="29" t="str">
        <f>IFERROR(__xludf.DUMMYFUNCTION("""COMPUTED_VALUE"""),"SettlCurrUnitCost")</f>
        <v>SettlCurrUnitCost</v>
      </c>
      <c r="CT5" s="29" t="str">
        <f>IFERROR(__xludf.DUMMYFUNCTION("""COMPUTED_VALUE"""),"Settlement Mode")</f>
        <v>Settlement Mode</v>
      </c>
      <c r="CU5" s="29" t="str">
        <f>IFERROR(__xludf.DUMMYFUNCTION("""COMPUTED_VALUE"""),"Settlement Qty")</f>
        <v>Settlement Qty</v>
      </c>
      <c r="CV5" s="29" t="str">
        <f>IFERROR(__xludf.DUMMYFUNCTION("""COMPUTED_VALUE"""),"SettlementCurrencyID")</f>
        <v>SettlementCurrencyID</v>
      </c>
      <c r="CW5" s="29" t="str">
        <f>IFERROR(__xludf.DUMMYFUNCTION("""COMPUTED_VALUE"""),"SettlementDate")</f>
        <v>SettlementDate</v>
      </c>
      <c r="CX5" s="29" t="str">
        <f>IFERROR(__xludf.DUMMYFUNCTION("""COMPUTED_VALUE"""),"SideMultiplier")</f>
        <v>SideMultiplier</v>
      </c>
      <c r="CY5" s="29" t="str">
        <f>IFERROR(__xludf.DUMMYFUNCTION("""COMPUTED_VALUE"""),"SoftCommission")</f>
        <v>SoftCommission</v>
      </c>
      <c r="CZ5" s="29" t="str">
        <f>IFERROR(__xludf.DUMMYFUNCTION("""COMPUTED_VALUE"""),"SoftCommissionAmt")</f>
        <v>SoftCommissionAmt</v>
      </c>
      <c r="DA5" s="29" t="str">
        <f>IFERROR(__xludf.DUMMYFUNCTION("""COMPUTED_VALUE"""),"SoftCommissionCalcBasis")</f>
        <v>SoftCommissionCalcBasis</v>
      </c>
      <c r="DB5" s="29" t="str">
        <f>IFERROR(__xludf.DUMMYFUNCTION("""COMPUTED_VALUE"""),"SoftCommissionRate")</f>
        <v>SoftCommissionRate</v>
      </c>
      <c r="DC5" s="29" t="str">
        <f>IFERROR(__xludf.DUMMYFUNCTION("""COMPUTED_VALUE"""),"StampDuty")</f>
        <v>StampDuty</v>
      </c>
      <c r="DD5" s="29" t="str">
        <f>IFERROR(__xludf.DUMMYFUNCTION("""COMPUTED_VALUE"""),"Strategy")</f>
        <v>Strategy</v>
      </c>
      <c r="DE5" s="29" t="str">
        <f>IFERROR(__xludf.DUMMYFUNCTION("""COMPUTED_VALUE"""),"Strike Price")</f>
        <v>Strike Price</v>
      </c>
      <c r="DF5" s="29" t="str">
        <f>IFERROR(__xludf.DUMMYFUNCTION("""COMPUTED_VALUE"""),"SubSectorName")</f>
        <v>SubSectorName</v>
      </c>
      <c r="DG5" s="29" t="str">
        <f>IFERROR(__xludf.DUMMYFUNCTION("""COMPUTED_VALUE"""),"SwapParameters")</f>
        <v>SwapParameters</v>
      </c>
      <c r="DH5" s="29" t="str">
        <f>IFERROR(__xludf.DUMMYFUNCTION("""COMPUTED_VALUE"""),"Symbol")</f>
        <v>Symbol</v>
      </c>
      <c r="DI5" s="29" t="str">
        <f>IFERROR(__xludf.DUMMYFUNCTION("""COMPUTED_VALUE"""),"TaxlotClosingId")</f>
        <v>TaxlotClosingId</v>
      </c>
      <c r="DJ5" s="29" t="str">
        <f>IFERROR(__xludf.DUMMYFUNCTION("""COMPUTED_VALUE"""),"TaxLotID")</f>
        <v>TaxLotID</v>
      </c>
      <c r="DK5" s="29" t="str">
        <f>IFERROR(__xludf.DUMMYFUNCTION("""COMPUTED_VALUE"""),"TaxlotPk")</f>
        <v>TaxlotPk</v>
      </c>
      <c r="DL5" s="29" t="str">
        <f>IFERROR(__xludf.DUMMYFUNCTION("""COMPUTED_VALUE"""),"TaxLotQtyToClose")</f>
        <v>TaxLotQtyToClose</v>
      </c>
      <c r="DM5" s="29" t="str">
        <f>IFERROR(__xludf.DUMMYFUNCTION("""COMPUTED_VALUE"""),"TaxonCommissions")</f>
        <v>TaxonCommissions</v>
      </c>
      <c r="DN5" s="29" t="str">
        <f>IFERROR(__xludf.DUMMYFUNCTION("""COMPUTED_VALUE"""),"TimeOfSaveUTC")</f>
        <v>TimeOfSaveUTC</v>
      </c>
      <c r="DO5" s="29" t="str">
        <f>IFERROR(__xludf.DUMMYFUNCTION("""COMPUTED_VALUE"""),"TotalCommission&amp;Fees")</f>
        <v>TotalCommission&amp;Fees</v>
      </c>
      <c r="DP5" s="29" t="str">
        <f>IFERROR(__xludf.DUMMYFUNCTION("""COMPUTED_VALUE"""),"TotalCommissionandFees")</f>
        <v>TotalCommissionandFees</v>
      </c>
      <c r="DQ5" s="29" t="str">
        <f>IFERROR(__xludf.DUMMYFUNCTION("""COMPUTED_VALUE"""),"Tradedate")</f>
        <v>Tradedate</v>
      </c>
      <c r="DR5" s="29" t="str">
        <f>IFERROR(__xludf.DUMMYFUNCTION("""COMPUTED_VALUE"""),"TradeAttribute1")</f>
        <v>TradeAttribute1</v>
      </c>
      <c r="DS5" s="29" t="str">
        <f>IFERROR(__xludf.DUMMYFUNCTION("""COMPUTED_VALUE"""),"TradeAttribute2")</f>
        <v>TradeAttribute2</v>
      </c>
      <c r="DT5" s="29" t="str">
        <f>IFERROR(__xludf.DUMMYFUNCTION("""COMPUTED_VALUE"""),"TradeAttribute3")</f>
        <v>TradeAttribute3</v>
      </c>
      <c r="DU5" s="29" t="str">
        <f>IFERROR(__xludf.DUMMYFUNCTION("""COMPUTED_VALUE"""),"TradeAttribute4")</f>
        <v>TradeAttribute4</v>
      </c>
      <c r="DV5" s="29" t="str">
        <f>IFERROR(__xludf.DUMMYFUNCTION("""COMPUTED_VALUE"""),"TradeAttribute5")</f>
        <v>TradeAttribute5</v>
      </c>
      <c r="DW5" s="29" t="str">
        <f>IFERROR(__xludf.DUMMYFUNCTION("""COMPUTED_VALUE"""),"TradeAttribute6")</f>
        <v>TradeAttribute6</v>
      </c>
      <c r="DX5" s="29" t="str">
        <f>IFERROR(__xludf.DUMMYFUNCTION("""COMPUTED_VALUE"""),"TradingAccountName")</f>
        <v>TradingAccountName</v>
      </c>
      <c r="DY5" s="29" t="str">
        <f>IFERROR(__xludf.DUMMYFUNCTION("""COMPUTED_VALUE"""),"TransactionLevy")</f>
        <v>TransactionLevy</v>
      </c>
      <c r="DZ5" s="29" t="str">
        <f>IFERROR(__xludf.DUMMYFUNCTION("""COMPUTED_VALUE"""),"TransactionType")</f>
        <v>TransactionType</v>
      </c>
      <c r="EA5" s="29" t="str">
        <f>IFERROR(__xludf.DUMMYFUNCTION("""COMPUTED_VALUE"""),"UcitsEligibleTag")</f>
        <v>UcitsEligibleTag</v>
      </c>
      <c r="EB5" s="29" t="str">
        <f>IFERROR(__xludf.DUMMYFUNCTION("""COMPUTED_VALUE"""),"UDAAsset")</f>
        <v>UDAAsset</v>
      </c>
      <c r="EC5" s="29" t="str">
        <f>IFERROR(__xludf.DUMMYFUNCTION("""COMPUTED_VALUE"""),"UnderlyingDelta")</f>
        <v>UnderlyingDelta</v>
      </c>
      <c r="ED5" s="29" t="str">
        <f>IFERROR(__xludf.DUMMYFUNCTION("""COMPUTED_VALUE"""),"UnderlyingName")</f>
        <v>UnderlyingName</v>
      </c>
      <c r="EE5" s="29" t="str">
        <f>IFERROR(__xludf.DUMMYFUNCTION("""COMPUTED_VALUE"""),"UnderlyingSymbol")</f>
        <v>UnderlyingSymbol</v>
      </c>
      <c r="EF5" s="29" t="str">
        <f>IFERROR(__xludf.DUMMYFUNCTION("""COMPUTED_VALUE"""),"UnitCost")</f>
        <v>UnitCost</v>
      </c>
      <c r="EG5" s="29" t="str">
        <f>IFERROR(__xludf.DUMMYFUNCTION("""COMPUTED_VALUE"""),"UnRealizedPNL")</f>
        <v>UnRealizedPNL</v>
      </c>
      <c r="EH5" s="29" t="str">
        <f>IFERROR(__xludf.DUMMYFUNCTION("""COMPUTED_VALUE"""),"Venue")</f>
        <v>Venue</v>
      </c>
      <c r="EI5" s="29" t="str">
        <f>IFERROR(__xludf.DUMMYFUNCTION("""COMPUTED_VALUE"""),"VsCurrencyID")</f>
        <v>VsCurrencyID</v>
      </c>
      <c r="EJ5" s="29" t="str">
        <f>IFERROR(__xludf.DUMMYFUNCTION("""COMPUTED_VALUE"""),"WorkflowState")</f>
        <v>WorkflowState</v>
      </c>
      <c r="EK5" s="29" t="str">
        <f>IFERROR(__xludf.DUMMYFUNCTION("""COMPUTED_VALUE"""),"AvgPriceBase")</f>
        <v>AvgPriceBase</v>
      </c>
      <c r="EL5" s="29" t="str">
        <f>IFERROR(__xludf.DUMMYFUNCTION("""COMPUTED_VALUE"""),"MarketCap")</f>
        <v>MarketCap</v>
      </c>
      <c r="EM5" s="29" t="str">
        <f>IFERROR(__xludf.DUMMYFUNCTION("""COMPUTED_VALUE"""),"UnitCostBase")</f>
        <v>UnitCostBase</v>
      </c>
      <c r="EN5" s="29" t="str">
        <f>IFERROR(__xludf.DUMMYFUNCTION("""COMPUTED_VALUE"""),"ITM/OTM")</f>
        <v>ITM/OTM</v>
      </c>
      <c r="EO5" s="29" t="str">
        <f>IFERROR(__xludf.DUMMYFUNCTION("""COMPUTED_VALUE"""),"Days to Expiry")</f>
        <v>Days to Expiry</v>
      </c>
      <c r="EP5" s="29" t="str">
        <f>IFERROR(__xludf.DUMMYFUNCTION("""COMPUTED_VALUE"""),"% of Underlying Price")</f>
        <v>% of Underlying Price</v>
      </c>
      <c r="EQ5" s="29" t="str">
        <f>IFERROR(__xludf.DUMMYFUNCTION("""COMPUTED_VALUE"""),"Intrinsic value")</f>
        <v>Intrinsic value</v>
      </c>
      <c r="ER5" s="29" t="str">
        <f>IFERROR(__xludf.DUMMYFUNCTION("""COMPUTED_VALUE"""),"Gain/Loss if Ex./Assign")</f>
        <v>Gain/Loss if Ex./Assign</v>
      </c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23</v>
      </c>
      <c r="C6" s="8"/>
      <c r="D6" s="11"/>
      <c r="E6" s="34" t="s">
        <v>34</v>
      </c>
      <c r="F6" s="8"/>
      <c r="G6" s="8"/>
      <c r="H6" s="8"/>
      <c r="I6" s="11">
        <v>10.0</v>
      </c>
      <c r="J6" s="8"/>
      <c r="K6" s="8"/>
      <c r="L6" s="8"/>
      <c r="M6" s="8"/>
      <c r="N6" s="8"/>
      <c r="O6" s="8"/>
      <c r="AQ6" s="9">
        <v>10.0</v>
      </c>
      <c r="BV6" s="9" t="s">
        <v>22</v>
      </c>
      <c r="CG6" s="9">
        <v>10.0</v>
      </c>
      <c r="DH6" s="11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77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IFERROR(__xludf.DUMMYFUNCTION("""COMPUTED_VALUE"""),"AccountValue")</f>
        <v>AccountValue</v>
      </c>
      <c r="D5" s="27" t="str">
        <f>IFERROR(__xludf.DUMMYFUNCTION("""COMPUTED_VALUE"""),"AccruedInterest")</f>
        <v>AccruedInterest</v>
      </c>
      <c r="E5" s="27" t="str">
        <f>IFERROR(__xludf.DUMMYFUNCTION("""COMPUTED_VALUE"""),"Asset")</f>
        <v>Asset</v>
      </c>
      <c r="F5" s="28" t="str">
        <f>IFERROR(__xludf.DUMMYFUNCTION("""COMPUTED_VALUE"""),"AUEC Fee1")</f>
        <v>AUEC Fee1</v>
      </c>
      <c r="G5" s="27" t="str">
        <f>IFERROR(__xludf.DUMMYFUNCTION("""COMPUTED_VALUE"""),"AUCE Fee2")</f>
        <v>AUCE Fee2</v>
      </c>
      <c r="H5" s="27" t="str">
        <f>IFERROR(__xludf.DUMMYFUNCTION("""COMPUTED_VALUE"""),"AUECID")</f>
        <v>AUECID</v>
      </c>
      <c r="I5" s="27" t="str">
        <f>IFERROR(__xludf.DUMMYFUNCTION("""COMPUTED_VALUE"""),"AUECLocalDateToday")</f>
        <v>AUECLocalDateToday</v>
      </c>
      <c r="J5" s="27" t="str">
        <f>IFERROR(__xludf.DUMMYFUNCTION("""COMPUTED_VALUE"""),"Average Price")</f>
        <v>Average Price</v>
      </c>
      <c r="K5" s="27" t="str">
        <f>IFERROR(__xludf.DUMMYFUNCTION("""COMPUTED_VALUE"""),"AvgPriceRealizedPL")</f>
        <v>AvgPriceRealizedPL</v>
      </c>
      <c r="L5" s="27" t="str">
        <f>IFERROR(__xludf.DUMMYFUNCTION("""COMPUTED_VALUE"""),"Broker")</f>
        <v>Broker</v>
      </c>
      <c r="M5" s="27" t="str">
        <f>IFERROR(__xludf.DUMMYFUNCTION("""COMPUTED_VALUE"""),"Clearing Broker Fee")</f>
        <v>Clearing Broker Fee</v>
      </c>
      <c r="N5" s="27" t="str">
        <f>IFERROR(__xludf.DUMMYFUNCTION("""COMPUTED_VALUE"""),"ClosedQty")</f>
        <v>ClosedQty</v>
      </c>
      <c r="O5" s="27" t="str">
        <f>IFERROR(__xludf.DUMMYFUNCTION("""COMPUTED_VALUE"""),"Commission")</f>
        <v>Commission</v>
      </c>
      <c r="P5" s="27" t="str">
        <f>IFERROR(__xludf.DUMMYFUNCTION("""COMPUTED_VALUE"""),"CostBasisRealizePNL")</f>
        <v>CostBasisRealizePNL</v>
      </c>
      <c r="Q5" s="27" t="str">
        <f>IFERROR(__xludf.DUMMYFUNCTION("""COMPUTED_VALUE"""),"Currency")</f>
        <v>Currency</v>
      </c>
      <c r="R5" s="27" t="str">
        <f>IFERROR(__xludf.DUMMYFUNCTION("""COMPUTED_VALUE"""),"Description")</f>
        <v>Description</v>
      </c>
      <c r="S5" s="27" t="str">
        <f>IFERROR(__xludf.DUMMYFUNCTION("""COMPUTED_VALUE"""),"EndDate")</f>
        <v>EndDate</v>
      </c>
      <c r="T5" s="29" t="str">
        <f>IFERROR(__xludf.DUMMYFUNCTION("""COMPUTED_VALUE"""),"ExchangeID")</f>
        <v>ExchangeID</v>
      </c>
      <c r="U5" s="29" t="str">
        <f>IFERROR(__xludf.DUMMYFUNCTION("""COMPUTED_VALUE"""),"Expiration Date")</f>
        <v>Expiration Date</v>
      </c>
      <c r="V5" s="29" t="str">
        <f>IFERROR(__xludf.DUMMYFUNCTION("""COMPUTED_VALUE"""),"ExpiredQty")</f>
        <v>ExpiredQty</v>
      </c>
      <c r="W5" s="29" t="str">
        <f>IFERROR(__xludf.DUMMYFUNCTION("""COMPUTED_VALUE"""),"ExpiredTaxlotID")</f>
        <v>ExpiredTaxlotID</v>
      </c>
      <c r="X5" s="29" t="str">
        <f>IFERROR(__xludf.DUMMYFUNCTION("""COMPUTED_VALUE"""),"FXRate")</f>
        <v>FXRate</v>
      </c>
      <c r="Y5" s="29" t="str">
        <f>IFERROR(__xludf.DUMMYFUNCTION("""COMPUTED_VALUE"""),"FXRateoperator")</f>
        <v>FXRateoperator</v>
      </c>
      <c r="Z5" s="29" t="str">
        <f>IFERROR(__xludf.DUMMYFUNCTION("""COMPUTED_VALUE"""),"ID")</f>
        <v>ID</v>
      </c>
      <c r="AA5" s="29" t="str">
        <f>IFERROR(__xludf.DUMMYFUNCTION("""COMPUTED_VALUE"""),"If Pay/Recevie Changes")</f>
        <v>If Pay/Recevie Changes</v>
      </c>
      <c r="AB5" s="29" t="str">
        <f>IFERROR(__xludf.DUMMYFUNCTION("""COMPUTED_VALUE"""),"IntPositionType")</f>
        <v>IntPositionType</v>
      </c>
      <c r="AC5" s="29" t="str">
        <f>IFERROR(__xludf.DUMMYFUNCTION("""COMPUTED_VALUE"""),"LeadCurrencyID")</f>
        <v>LeadCurrencyID</v>
      </c>
      <c r="AD5" s="29" t="str">
        <f>IFERROR(__xludf.DUMMYFUNCTION("""COMPUTED_VALUE"""),"Leveraged Factor")</f>
        <v>Leveraged Factor</v>
      </c>
      <c r="AE5" s="29" t="str">
        <f>IFERROR(__xludf.DUMMYFUNCTION("""COMPUTED_VALUE"""),"MarkPriceForMonth")</f>
        <v>MarkPriceForMonth</v>
      </c>
      <c r="AF5" s="29" t="str">
        <f>IFERROR(__xludf.DUMMYFUNCTION("""COMPUTED_VALUE"""),"MonthToDateRealizedProfit")</f>
        <v>MonthToDateRealizedProfit</v>
      </c>
      <c r="AG5" s="29" t="str">
        <f>IFERROR(__xludf.DUMMYFUNCTION("""COMPUTED_VALUE"""),"Multiplier")</f>
        <v>Multiplier</v>
      </c>
      <c r="AH5" s="29" t="str">
        <f>IFERROR(__xludf.DUMMYFUNCTION("""COMPUTED_VALUE"""),"NotionalValue")</f>
        <v>NotionalValue</v>
      </c>
      <c r="AI5" s="29" t="str">
        <f>IFERROR(__xludf.DUMMYFUNCTION("""COMPUTED_VALUE"""),"OCC Fee")</f>
        <v>OCC Fee</v>
      </c>
      <c r="AJ5" s="29" t="str">
        <f>IFERROR(__xludf.DUMMYFUNCTION("""COMPUTED_VALUE"""),"OpenQty")</f>
        <v>OpenQty</v>
      </c>
      <c r="AK5" s="29" t="str">
        <f>IFERROR(__xludf.DUMMYFUNCTION("""COMPUTED_VALUE"""),"Option Activated")</f>
        <v>Option Activated</v>
      </c>
      <c r="AL5" s="29" t="str">
        <f>IFERROR(__xludf.DUMMYFUNCTION("""COMPUTED_VALUE"""),"Option Type")</f>
        <v>Option Type</v>
      </c>
      <c r="AM5" s="29" t="str">
        <f>IFERROR(__xludf.DUMMYFUNCTION("""COMPUTED_VALUE"""),"OptionPremiumAdjustment")</f>
        <v>OptionPremiumAdjustment</v>
      </c>
      <c r="AN5" s="29" t="str">
        <f>IFERROR(__xludf.DUMMYFUNCTION("""COMPUTED_VALUE"""),"ORF Fee")</f>
        <v>ORF Fee</v>
      </c>
      <c r="AO5" s="29" t="str">
        <f>IFERROR(__xludf.DUMMYFUNCTION("""COMPUTED_VALUE"""),"Original Side")</f>
        <v>Original Side</v>
      </c>
      <c r="AP5" s="29" t="str">
        <f>IFERROR(__xludf.DUMMYFUNCTION("""COMPUTED_VALUE"""),"OriginalPurchaseDate")</f>
        <v>OriginalPurchaseDate</v>
      </c>
      <c r="AQ5" s="29" t="str">
        <f>IFERROR(__xludf.DUMMYFUNCTION("""COMPUTED_VALUE"""),"Other Broker Fees")</f>
        <v>Other Broker Fees</v>
      </c>
      <c r="AR5" s="29" t="str">
        <f>IFERROR(__xludf.DUMMYFUNCTION("""COMPUTED_VALUE"""),"ParentTradeDate")</f>
        <v>ParentTradeDate</v>
      </c>
      <c r="AS5" s="29" t="str">
        <f>IFERROR(__xludf.DUMMYFUNCTION("""COMPUTED_VALUE"""),"Pay/Recive")</f>
        <v>Pay/Recive</v>
      </c>
      <c r="AT5" s="29" t="str">
        <f>IFERROR(__xludf.DUMMYFUNCTION("""COMPUTED_VALUE"""),"PositionType")</f>
        <v>PositionType</v>
      </c>
      <c r="AU5" s="29" t="str">
        <f>IFERROR(__xludf.DUMMYFUNCTION("""COMPUTED_VALUE"""),"ProcessDate")</f>
        <v>ProcessDate</v>
      </c>
      <c r="AV5" s="29" t="str">
        <f>IFERROR(__xludf.DUMMYFUNCTION("""COMPUTED_VALUE"""),"QtyCurrency")</f>
        <v>QtyCurrency</v>
      </c>
      <c r="AW5" s="29" t="str">
        <f>IFERROR(__xludf.DUMMYFUNCTION("""COMPUTED_VALUE"""),"Quantity")</f>
        <v>Quantity</v>
      </c>
      <c r="AX5" s="29" t="str">
        <f>IFERROR(__xludf.DUMMYFUNCTION("""COMPUTED_VALUE"""),"RecordType")</f>
        <v>RecordType</v>
      </c>
      <c r="AY5" s="29" t="str">
        <f>IFERROR(__xludf.DUMMYFUNCTION("""COMPUTED_VALUE"""),"SEC Fee")</f>
        <v>SEC Fee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IFERROR(__xludf.DUMMYFUNCTION("""COMPUTED_VALUE"""),"Settlement Date")</f>
        <v>Settlement Date</v>
      </c>
      <c r="BB5" s="29" t="str">
        <f>IFERROR(__xludf.DUMMYFUNCTION("""COMPUTED_VALUE"""),"Settlement FxRate")</f>
        <v>Settlement FxRate</v>
      </c>
      <c r="BC5" s="29" t="str">
        <f>IFERROR(__xludf.DUMMYFUNCTION("""COMPUTED_VALUE"""),"Settlement FxRate Operator")</f>
        <v>Settlement FxRate Operator</v>
      </c>
      <c r="BD5" s="29" t="str">
        <f>IFERROR(__xludf.DUMMYFUNCTION("""COMPUTED_VALUE"""),"Settlement Price")</f>
        <v>Settlement Price</v>
      </c>
      <c r="BE5" s="29" t="str">
        <f>IFERROR(__xludf.DUMMYFUNCTION("""COMPUTED_VALUE"""),"Side")</f>
        <v>Side</v>
      </c>
      <c r="BF5" s="29" t="str">
        <f>IFERROR(__xludf.DUMMYFUNCTION("""COMPUTED_VALUE"""),"Soft Commission")</f>
        <v>Soft Commission</v>
      </c>
      <c r="BG5" s="29" t="str">
        <f>IFERROR(__xludf.DUMMYFUNCTION("""COMPUTED_VALUE"""),"Stamp Duty")</f>
        <v>Stamp Duty</v>
      </c>
      <c r="BH5" s="29" t="str">
        <f>IFERROR(__xludf.DUMMYFUNCTION("""COMPUTED_VALUE"""),"StartTaxlotID")</f>
        <v>StartTaxlotID</v>
      </c>
      <c r="BI5" s="29" t="str">
        <f>IFERROR(__xludf.DUMMYFUNCTION("""COMPUTED_VALUE"""),"Status")</f>
        <v>Status</v>
      </c>
      <c r="BJ5" s="29" t="str">
        <f>IFERROR(__xludf.DUMMYFUNCTION("""COMPUTED_VALUE"""),"Strategy")</f>
        <v>Strategy</v>
      </c>
      <c r="BK5" s="29" t="str">
        <f>IFERROR(__xludf.DUMMYFUNCTION("""COMPUTED_VALUE"""),"Strike Price")</f>
        <v>Strike Price</v>
      </c>
      <c r="BL5" s="29" t="str">
        <f>IFERROR(__xludf.DUMMYFUNCTION("""COMPUTED_VALUE"""),"Symbol")</f>
        <v>Symbol</v>
      </c>
      <c r="BM5" s="29" t="str">
        <f>IFERROR(__xludf.DUMMYFUNCTION("""COMPUTED_VALUE"""),"SymbolAveragePrice")</f>
        <v>SymbolAveragePrice</v>
      </c>
      <c r="BN5" s="29" t="str">
        <f>IFERROR(__xludf.DUMMYFUNCTION("""COMPUTED_VALUE"""),"Tax On Commissions")</f>
        <v>Tax On Commissions</v>
      </c>
      <c r="BO5" s="29" t="str">
        <f>IFERROR(__xludf.DUMMYFUNCTION("""COMPUTED_VALUE"""),"TaxLotClosingId")</f>
        <v>TaxLotClosingId</v>
      </c>
      <c r="BP5" s="29" t="str">
        <f>IFERROR(__xludf.DUMMYFUNCTION("""COMPUTED_VALUE"""),"Trade Date")</f>
        <v>Trade Date</v>
      </c>
      <c r="BQ5" s="29" t="str">
        <f>IFERROR(__xludf.DUMMYFUNCTION("""COMPUTED_VALUE"""),"Transaction Levy")</f>
        <v>Transaction Levy</v>
      </c>
      <c r="BR5" s="29" t="str">
        <f>IFERROR(__xludf.DUMMYFUNCTION("""COMPUTED_VALUE"""),"Transaction Type")</f>
        <v>Transaction Type</v>
      </c>
      <c r="BS5" s="29" t="str">
        <f>IFERROR(__xludf.DUMMYFUNCTION("""COMPUTED_VALUE"""),"TransactionSource")</f>
        <v>TransactionSource</v>
      </c>
      <c r="BT5" s="29" t="str">
        <f>IFERROR(__xludf.DUMMYFUNCTION("""COMPUTED_VALUE"""),"Underlying Symbol")</f>
        <v>Underlying Symbol</v>
      </c>
      <c r="BU5" s="29" t="str">
        <f>IFERROR(__xludf.DUMMYFUNCTION("""COMPUTED_VALUE"""),"UnderlyingID")</f>
        <v>UnderlyingID</v>
      </c>
      <c r="BV5" s="29" t="str">
        <f>IFERROR(__xludf.DUMMYFUNCTION("""COMPUTED_VALUE"""),"Venue")</f>
        <v>Venue</v>
      </c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/>
      <c r="C6" s="8"/>
      <c r="D6" s="11"/>
      <c r="E6" s="45"/>
      <c r="F6" s="8"/>
      <c r="G6" s="8"/>
      <c r="H6" s="8"/>
      <c r="I6" s="8"/>
      <c r="J6" s="11">
        <v>100.0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IFERROR(__xludf.DUMMYFUNCTION("IF(C3="""","""",Transpose(IMPORTRANGE('_Settings'!$B$3,C3&amp;""!A4:A1000"")))"),"SwapExpire")</f>
        <v>SwapExpire</v>
      </c>
      <c r="C4" s="24" t="str">
        <f>IFERROR(__xludf.DUMMYFUNCTION("""COMPUTED_VALUE"""),"GetDataClosing")</f>
        <v>GetDataClosing</v>
      </c>
      <c r="D4" s="24" t="str">
        <f>IFERROR(__xludf.DUMMYFUNCTION("""COMPUTED_VALUE"""),"ManualClosing")</f>
        <v>ManualClosing</v>
      </c>
      <c r="E4" s="24" t="str">
        <f>IFERROR(__xludf.DUMMYFUNCTION("""COMPUTED_VALUE"""),"AutomaticClosing")</f>
        <v>AutomaticClosing</v>
      </c>
      <c r="F4" s="24" t="str">
        <f>IFERROR(__xludf.DUMMYFUNCTION("""COMPUTED_VALUE"""),"UnwindClosing")</f>
        <v>UnwindClosing</v>
      </c>
      <c r="G4" s="24" t="str">
        <f>IFERROR(__xludf.DUMMYFUNCTION("""COMPUTED_VALUE"""),"VerifyClosedTrades")</f>
        <v>VerifyClosedTrades</v>
      </c>
      <c r="H4" s="24" t="str">
        <f>IFERROR(__xludf.DUMMYFUNCTION("""COMPUTED_VALUE"""),"VerifyLongPositionsGrid")</f>
        <v>VerifyLongPositionsGrid</v>
      </c>
      <c r="I4" s="24" t="str">
        <f>IFERROR(__xludf.DUMMYFUNCTION("""COMPUTED_VALUE"""),"VerifyShortPositionsGrid")</f>
        <v>VerifyShortPositionsGrid</v>
      </c>
      <c r="J4" s="24" t="str">
        <f>IFERROR(__xludf.DUMMYFUNCTION("""COMPUTED_VALUE"""),"SelectTradeUnexpiredUnsettled")</f>
        <v>SelectTradeUnexpiredUnsettled</v>
      </c>
      <c r="K4" s="24" t="str">
        <f>IFERROR(__xludf.DUMMYFUNCTION("""COMPUTED_VALUE"""),"CashSettlementAtCost")</f>
        <v>CashSettlementAtCost</v>
      </c>
      <c r="L4" s="24" t="str">
        <f>IFERROR(__xludf.DUMMYFUNCTION("""COMPUTED_VALUE"""),"CashSettlementAtZeroPrice")</f>
        <v>CashSettlementAtZeroPrice</v>
      </c>
      <c r="M4" s="24" t="str">
        <f>IFERROR(__xludf.DUMMYFUNCTION("""COMPUTED_VALUE"""),"CashSettlementAtClosingDtSpotPx")</f>
        <v>CashSettlementAtClosingDtSpotPx</v>
      </c>
      <c r="N4" s="24" t="str">
        <f>IFERROR(__xludf.DUMMYFUNCTION("""COMPUTED_VALUE"""),"PhysicalSettlement")</f>
        <v>PhysicalSettlement</v>
      </c>
      <c r="O4" s="24" t="str">
        <f>IFERROR(__xludf.DUMMYFUNCTION("""COMPUTED_VALUE"""),"Expire")</f>
        <v>Expire</v>
      </c>
      <c r="P4" s="25" t="str">
        <f>IFERROR(__xludf.DUMMYFUNCTION("""COMPUTED_VALUE"""),"ExerciseAssignment")</f>
        <v>ExerciseAssignment</v>
      </c>
      <c r="Q4" s="25" t="str">
        <f>IFERROR(__xludf.DUMMYFUNCTION("""COMPUTED_VALUE"""),"ExerciseAssignmentAtZero")</f>
        <v>ExerciseAssignmentAtZero</v>
      </c>
      <c r="R4" s="25" t="str">
        <f>IFERROR(__xludf.DUMMYFUNCTION("""COMPUTED_VALUE"""),"SwapExpireAndRollover")</f>
        <v>SwapExpireAndRollover</v>
      </c>
      <c r="S4" s="25" t="str">
        <f>IFERROR(__xludf.DUMMYFUNCTION("""COMPUTED_VALUE"""),"SwapExpire")</f>
        <v>SwapExpire</v>
      </c>
      <c r="T4" s="25" t="str">
        <f>IFERROR(__xludf.DUMMYFUNCTION("""COMPUTED_VALUE"""),"VerifyExpiredSettledGrid")</f>
        <v>VerifyExpiredSettledGrid</v>
      </c>
      <c r="U4" s="25" t="str">
        <f>IFERROR(__xludf.DUMMYFUNCTION("""COMPUTED_VALUE"""),"VerifyUnExpiredUnSettledGrid")</f>
        <v>VerifyUnExpiredUnSettledGrid</v>
      </c>
      <c r="V4" s="25" t="str">
        <f>IFERROR(__xludf.DUMMYFUNCTION("""COMPUTED_VALUE"""),"UnWindTradeSettlement")</f>
        <v>UnWindTradeSettlement</v>
      </c>
      <c r="W4" s="25" t="str">
        <f>IFERROR(__xludf.DUMMYFUNCTION("""COMPUTED_VALUE"""),"CloseOrder")</f>
        <v>CloseOrder</v>
      </c>
      <c r="X4" s="25" t="str">
        <f>IFERROR(__xludf.DUMMYFUNCTION("""COMPUTED_VALUE"""),"VerifyCloseOrder")</f>
        <v>VerifyCloseOrder</v>
      </c>
      <c r="Y4" s="25" t="str">
        <f>IFERROR(__xludf.DUMMYFUNCTION("""COMPUTED_VALUE"""),"UnWindCloseOrder")</f>
        <v>UnWindCloseOrder</v>
      </c>
      <c r="Z4" s="25" t="str">
        <f>IFERROR(__xludf.DUMMYFUNCTION("""COMPUTED_VALUE"""),"ClosingCleanUp")</f>
        <v>ClosingCleanUp</v>
      </c>
      <c r="AA4" s="25" t="str">
        <f>IFERROR(__xludf.DUMMYFUNCTION("""COMPUTED_VALUE"""),"CloseClosingUI")</f>
        <v>CloseClosingUI</v>
      </c>
      <c r="AB4" s="25" t="str">
        <f>IFERROR(__xludf.DUMMYFUNCTION("""COMPUTED_VALUE"""),"SetClosingPreference")</f>
        <v>SetClosingPreference</v>
      </c>
      <c r="AC4" s="25" t="str">
        <f>IFERROR(__xludf.DUMMYFUNCTION("""COMPUTED_VALUE"""),"EditTradeUnexpiredUnsettled")</f>
        <v>EditTradeUnexpiredUnsettled</v>
      </c>
      <c r="AD4" s="25" t="str">
        <f>IFERROR(__xludf.DUMMYFUNCTION("""COMPUTED_VALUE"""),"AutoExercise")</f>
        <v>AutoExercise</v>
      </c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IFERROR(__xludf.DUMMYFUNCTION("""COMPUTED_VALUE"""),"checkBox")</f>
        <v>checkBox</v>
      </c>
      <c r="E5" s="27" t="str">
        <f>IFERROR(__xludf.DUMMYFUNCTION("""COMPUTED_VALUE"""),"Close Date")</f>
        <v>Close Date</v>
      </c>
      <c r="F5" s="28" t="str">
        <f>IFERROR(__xludf.DUMMYFUNCTION("""COMPUTED_VALUE"""),"ClosedAveragePrice")</f>
        <v>ClosedAveragePrice</v>
      </c>
      <c r="G5" s="27" t="str">
        <f>IFERROR(__xludf.DUMMYFUNCTION("""COMPUTED_VALUE"""),"ClosedQty")</f>
        <v>ClosedQty</v>
      </c>
      <c r="H5" s="27" t="str">
        <f>IFERROR(__xludf.DUMMYFUNCTION("""COMPUTED_VALUE"""),"Closing Method")</f>
        <v>Closing Method</v>
      </c>
      <c r="I5" s="27" t="str">
        <f>IFERROR(__xludf.DUMMYFUNCTION("""COMPUTED_VALUE"""),"ClosingID")</f>
        <v>ClosingID</v>
      </c>
      <c r="J5" s="27" t="str">
        <f>IFERROR(__xludf.DUMMYFUNCTION("""COMPUTED_VALUE"""),"ClosingMode")</f>
        <v>ClosingMode</v>
      </c>
      <c r="K5" s="27" t="str">
        <f>IFERROR(__xludf.DUMMYFUNCTION("""COMPUTED_VALUE"""),"ClosingPositionTag")</f>
        <v>ClosingPositionTag</v>
      </c>
      <c r="L5" s="27" t="str">
        <f>IFERROR(__xludf.DUMMYFUNCTION("""COMPUTED_VALUE"""),"ClosingSide")</f>
        <v>ClosingSide</v>
      </c>
      <c r="M5" s="27" t="str">
        <f>IFERROR(__xludf.DUMMYFUNCTION("""COMPUTED_VALUE"""),"ClosingTotalCommissionandFees")</f>
        <v>ClosingTotalCommissionandFees</v>
      </c>
      <c r="N5" s="27" t="str">
        <f>IFERROR(__xludf.DUMMYFUNCTION("""COMPUTED_VALUE"""),"Column1")</f>
        <v>Column1</v>
      </c>
      <c r="O5" s="27" t="str">
        <f>IFERROR(__xludf.DUMMYFUNCTION("""COMPUTED_VALUE"""),"CostBasisGrossPNL")</f>
        <v>CostBasisGrossPNL</v>
      </c>
      <c r="P5" s="27" t="str">
        <f>IFERROR(__xludf.DUMMYFUNCTION("""COMPUTED_VALUE"""),"Currency")</f>
        <v>Currency</v>
      </c>
      <c r="Q5" s="27" t="str">
        <f>IFERROR(__xludf.DUMMYFUNCTION("""COMPUTED_VALUE"""),"CurrencyID")</f>
        <v>CurrencyID</v>
      </c>
      <c r="R5" s="27" t="str">
        <f>IFERROR(__xludf.DUMMYFUNCTION("""COMPUTED_VALUE"""),"Exchange")</f>
        <v>Exchange</v>
      </c>
      <c r="S5" s="27" t="str">
        <f>IFERROR(__xludf.DUMMYFUNCTION("""COMPUTED_VALUE"""),"NotionalChange")</f>
        <v>NotionalChange</v>
      </c>
      <c r="T5" s="29" t="str">
        <f>IFERROR(__xludf.DUMMYFUNCTION("""COMPUTED_VALUE"""),"OpenAveragePrice")</f>
        <v>OpenAveragePrice</v>
      </c>
      <c r="U5" s="29" t="str">
        <f>IFERROR(__xludf.DUMMYFUNCTION("""COMPUTED_VALUE"""),"Original Purchase Date")</f>
        <v>Original Purchase Date</v>
      </c>
      <c r="V5" s="29" t="str">
        <f>IFERROR(__xludf.DUMMYFUNCTION("""COMPUTED_VALUE"""),"Position Type")</f>
        <v>Position Type</v>
      </c>
      <c r="W5" s="29" t="str">
        <f>IFERROR(__xludf.DUMMYFUNCTION("""COMPUTED_VALUE"""),"PositionSide")</f>
        <v>PositionSide</v>
      </c>
      <c r="X5" s="29" t="str">
        <f>IFERROR(__xludf.DUMMYFUNCTION("""COMPUTED_VALUE"""),"PositionTotalCommissionandFees")</f>
        <v>PositionTotalCommissionandFees</v>
      </c>
      <c r="Y5" s="29" t="str">
        <f>IFERROR(__xludf.DUMMYFUNCTION("""COMPUTED_VALUE"""),"Realized PNL(C.B.)")</f>
        <v>Realized PNL(C.B.)</v>
      </c>
      <c r="Z5" s="29" t="str">
        <f>IFERROR(__xludf.DUMMYFUNCTION("""COMPUTED_VALUE"""),"Side")</f>
        <v>Side</v>
      </c>
      <c r="AA5" s="29" t="str">
        <f>IFERROR(__xludf.DUMMYFUNCTION("""COMPUTED_VALUE"""),"Strategy")</f>
        <v>Strategy</v>
      </c>
      <c r="AB5" s="29" t="str">
        <f>IFERROR(__xludf.DUMMYFUNCTION("""COMPUTED_VALUE"""),"Symbol")</f>
        <v>Symbol</v>
      </c>
      <c r="AC5" s="29" t="str">
        <f>IFERROR(__xludf.DUMMYFUNCTION("""COMPUTED_VALUE"""),"Taxlot ID")</f>
        <v>Taxlot ID</v>
      </c>
      <c r="AD5" s="29" t="str">
        <f>IFERROR(__xludf.DUMMYFUNCTION("""COMPUTED_VALUE"""),"UnderlyingName")</f>
        <v>UnderlyingName</v>
      </c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5" t="s">
        <v>23</v>
      </c>
      <c r="C6" s="34" t="s">
        <v>34</v>
      </c>
      <c r="D6" s="11"/>
      <c r="E6" s="45"/>
      <c r="F6" s="39">
        <v>0.0</v>
      </c>
      <c r="G6" s="11">
        <v>10.0</v>
      </c>
      <c r="H6" s="8"/>
      <c r="I6" s="8"/>
      <c r="J6" s="46" t="s">
        <v>35</v>
      </c>
      <c r="K6" s="11" t="s">
        <v>36</v>
      </c>
      <c r="L6" s="8"/>
      <c r="M6" s="11">
        <v>-10000.0</v>
      </c>
      <c r="N6" s="8"/>
      <c r="O6" s="11">
        <v>-10000.0</v>
      </c>
      <c r="P6" s="9" t="s">
        <v>37</v>
      </c>
      <c r="R6" s="9" t="s">
        <v>38</v>
      </c>
      <c r="S6" s="9">
        <v>0.0</v>
      </c>
      <c r="T6" s="9">
        <v>10.0</v>
      </c>
      <c r="V6" s="9" t="s">
        <v>39</v>
      </c>
      <c r="W6" s="9" t="s">
        <v>39</v>
      </c>
      <c r="X6" s="9">
        <v>0.0</v>
      </c>
      <c r="Y6" s="9">
        <v>0.0</v>
      </c>
      <c r="Z6" s="38" t="s">
        <v>22</v>
      </c>
      <c r="AA6" s="34" t="s">
        <v>40</v>
      </c>
      <c r="AB6" s="11" t="s">
        <v>16</v>
      </c>
      <c r="AD6" s="9" t="s">
        <v>41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VerifyExpiredSettledGrid1!$4:$4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IFERROR(__xludf.DUMMYFUNCTION("""COMPUTED_VALUE"""),"CopyCalculatedPreferenceToolbar")</f>
        <v>CopyCalculatedPreferenceToolbar</v>
      </c>
      <c r="CX4" s="25" t="str">
        <f>IFERROR(__xludf.DUMMYFUNCTION("""COMPUTED_VALUE"""),"CloseOrder")</f>
        <v>CloseOrder</v>
      </c>
      <c r="CY4" s="25" t="str">
        <f>IFERROR(__xludf.DUMMYFUNCTION("""COMPUTED_VALUE"""),"DisableChecksideForAsset")</f>
        <v>DisableChecksideForAsset</v>
      </c>
      <c r="CZ4" s="25" t="str">
        <f>IFERROR(__xludf.DUMMYFUNCTION("""COMPUTED_VALUE"""),"DisableChecksideForAccount")</f>
        <v>DisableChecksideForAccount</v>
      </c>
      <c r="DA4" s="25" t="str">
        <f>IFERROR(__xludf.DUMMYFUNCTION("""COMPUTED_VALUE"""),"DisableChecksideForCounterParty")</f>
        <v>DisableChecksideForCounterParty</v>
      </c>
      <c r="DB4" s="25" t="str">
        <f>IFERROR(__xludf.DUMMYFUNCTION("""COMPUTED_VALUE"""),"DisableCheckside")</f>
        <v>DisableCheckside</v>
      </c>
      <c r="DC4" s="25" t="str">
        <f>IFERROR(__xludf.DUMMYFUNCTION("""COMPUTED_VALUE"""),"ApplyMasterFundFilter")</f>
        <v>ApplyMasterFundFilter</v>
      </c>
      <c r="DD4" s="25" t="str">
        <f>IFERROR(__xludf.DUMMYFUNCTION("""COMPUTED_VALUE"""),"ShowMasterFundOnTT")</f>
        <v>ShowMasterFundOnTT</v>
      </c>
      <c r="DE4" s="25" t="str">
        <f>IFERROR(__xludf.DUMMYFUNCTION("""COMPUTED_VALUE"""),"ShowMasterFundAsClient")</f>
        <v>ShowMasterFundAsClient</v>
      </c>
      <c r="DF4" s="25" t="str">
        <f>IFERROR(__xludf.DUMMYFUNCTION("""COMPUTED_VALUE"""),"SetBrokerAccountMapping")</f>
        <v>SetBrokerAccountMapping</v>
      </c>
      <c r="DG4" s="25" t="str">
        <f>IFERROR(__xludf.DUMMYFUNCTION("""COMPUTED_VALUE"""),"EditUnallocatedGridWPF")</f>
        <v>EditUnallocatedGridWPF</v>
      </c>
      <c r="DH4" s="25" t="str">
        <f>IFERROR(__xludf.DUMMYFUNCTION("""COMPUTED_VALUE"""),"EditAllocatedGridWPF")</f>
        <v>EditAllocatedGridWPF</v>
      </c>
      <c r="DI4" s="25" t="str">
        <f>IFERROR(__xludf.DUMMYFUNCTION("""COMPUTED_VALUE"""),"EditAllocatedGridTaxlot")</f>
        <v>EditAllocatedGridTaxlot</v>
      </c>
      <c r="DJ4" s="25" t="str">
        <f>IFERROR(__xludf.DUMMYFUNCTION("""COMPUTED_VALUE"""),"ExpandCollapseAllocatedGrid")</f>
        <v>ExpandCollapseAllocatedGrid</v>
      </c>
      <c r="DK4" s="25" t="str">
        <f>IFERROR(__xludf.DUMMYFUNCTION("""COMPUTED_VALUE"""),"ExpandCollapseUnallocatedGrid")</f>
        <v>ExpandCollapseUnallocatedGrid</v>
      </c>
      <c r="DL4" s="25" t="str">
        <f>IFERROR(__xludf.DUMMYFUNCTION("""COMPUTED_VALUE"""),"SetTradeAttributePreferences")</f>
        <v>SetTradeAttributePreferences</v>
      </c>
      <c r="DM4" s="25" t="str">
        <f>IFERROR(__xludf.DUMMYFUNCTION("""COMPUTED_VALUE"""),"EnterCustomAllocatePreference")</f>
        <v>EnterCustomAllocatePreference</v>
      </c>
      <c r="DN4" s="25" t="str">
        <f>IFERROR(__xludf.DUMMYFUNCTION("""COMPUTED_VALUE"""),"SetAutoGroupingPreferences")</f>
        <v>SetAutoGroupingPreferences</v>
      </c>
      <c r="DO4" s="25" t="str">
        <f>IFERROR(__xludf.DUMMYFUNCTION("""COMPUTED_VALUE"""),"SetAutoGroupingAccount")</f>
        <v>SetAutoGroupingAccount</v>
      </c>
      <c r="DP4" s="25" t="str">
        <f>IFERROR(__xludf.DUMMYFUNCTION("""COMPUTED_VALUE"""),"SetAvgPriceRounding")</f>
        <v>SetAvgPriceRounding</v>
      </c>
      <c r="DQ4" s="25" t="str">
        <f>IFERROR(__xludf.DUMMYFUNCTION("""COMPUTED_VALUE"""),"IsAllocationOpen")</f>
        <v>IsAllocationOpen</v>
      </c>
      <c r="DR4" s="25" t="str">
        <f>IFERROR(__xludf.DUMMYFUNCTION("""COMPUTED_VALUE"""),"CheckPreferences")</f>
        <v>CheckPreferences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9" t="s">
        <v>23</v>
      </c>
      <c r="C6" s="49"/>
      <c r="D6" s="50"/>
      <c r="E6" s="50">
        <v>10.0</v>
      </c>
      <c r="F6" s="49" t="s">
        <v>45</v>
      </c>
      <c r="G6" s="49" t="s">
        <v>34</v>
      </c>
      <c r="H6" s="50">
        <v>0.0</v>
      </c>
      <c r="I6" s="50">
        <v>0.0</v>
      </c>
      <c r="J6" s="50">
        <v>12.0</v>
      </c>
      <c r="K6" s="50">
        <v>10.0</v>
      </c>
      <c r="L6" s="50">
        <v>10.0</v>
      </c>
      <c r="M6" s="49" t="s">
        <v>46</v>
      </c>
      <c r="N6" s="49"/>
      <c r="O6" s="49"/>
      <c r="P6" s="51"/>
      <c r="Q6" s="50">
        <v>3.0</v>
      </c>
      <c r="R6" s="50">
        <v>0.0</v>
      </c>
      <c r="S6" s="49" t="s">
        <v>48</v>
      </c>
      <c r="T6" s="50">
        <v>0.0</v>
      </c>
      <c r="U6" s="50">
        <v>0.0</v>
      </c>
      <c r="V6" s="49"/>
      <c r="W6" s="50"/>
      <c r="X6" s="50"/>
      <c r="Y6" s="51"/>
      <c r="Z6" s="49" t="s">
        <v>37</v>
      </c>
      <c r="AA6" s="51"/>
      <c r="AB6" s="50">
        <v>1.0</v>
      </c>
      <c r="AC6" s="49"/>
      <c r="AD6" s="49" t="s">
        <v>38</v>
      </c>
      <c r="AE6" s="50">
        <v>10.0</v>
      </c>
      <c r="AF6" s="52"/>
      <c r="AG6" s="53"/>
      <c r="AH6" s="49"/>
      <c r="AI6" s="50">
        <v>1.0</v>
      </c>
      <c r="AJ6" s="49"/>
      <c r="AK6" s="49"/>
      <c r="AL6" s="51"/>
      <c r="AM6" s="49"/>
      <c r="AN6" s="49" t="b">
        <v>0</v>
      </c>
      <c r="AO6" s="51"/>
      <c r="AP6" s="49" t="b">
        <v>1</v>
      </c>
      <c r="AQ6" s="49" t="b">
        <v>0</v>
      </c>
      <c r="AR6" s="49" t="b">
        <v>1</v>
      </c>
      <c r="AS6" s="50"/>
      <c r="AT6" s="54">
        <v>10000.0</v>
      </c>
      <c r="AU6" s="54">
        <v>10000.0</v>
      </c>
      <c r="AV6" s="55"/>
      <c r="AW6" s="50">
        <v>0.0</v>
      </c>
      <c r="AX6" s="50"/>
      <c r="AY6" s="49"/>
      <c r="AZ6" s="50">
        <v>0.0</v>
      </c>
      <c r="BA6" s="55"/>
      <c r="BB6" s="49"/>
      <c r="BC6" s="50">
        <v>0.0</v>
      </c>
      <c r="BD6" s="49"/>
      <c r="BE6" s="54">
        <v>10000.0</v>
      </c>
      <c r="BF6" s="54">
        <v>10000.0</v>
      </c>
      <c r="BG6" s="55"/>
      <c r="BH6" s="51"/>
      <c r="BI6" s="49"/>
      <c r="BJ6" s="50">
        <v>10.0</v>
      </c>
      <c r="BK6" s="50">
        <v>0.0</v>
      </c>
      <c r="BL6" s="51"/>
      <c r="BM6" s="49" t="s">
        <v>37</v>
      </c>
      <c r="BN6" s="55"/>
      <c r="BO6" s="49" t="s">
        <v>22</v>
      </c>
      <c r="BP6" s="50">
        <v>0.0</v>
      </c>
      <c r="BQ6" s="50">
        <v>0.0</v>
      </c>
      <c r="BR6" s="50">
        <v>0.0</v>
      </c>
      <c r="BS6" s="49" t="s">
        <v>40</v>
      </c>
      <c r="BT6" s="49" t="s">
        <v>16</v>
      </c>
      <c r="BU6" s="50">
        <v>0.0</v>
      </c>
      <c r="BV6" s="50">
        <v>0.0</v>
      </c>
      <c r="BW6" s="50">
        <v>0.0</v>
      </c>
      <c r="BX6" s="50">
        <v>0.0</v>
      </c>
      <c r="CF6" s="49" t="s">
        <v>53</v>
      </c>
      <c r="CG6" s="50">
        <v>0.0</v>
      </c>
      <c r="CH6" s="49" t="s">
        <v>17</v>
      </c>
      <c r="CI6" s="49" t="s">
        <v>54</v>
      </c>
      <c r="CJ6" s="50">
        <v>0.0</v>
      </c>
      <c r="CK6" s="49" t="s">
        <v>41</v>
      </c>
      <c r="CL6" s="50">
        <v>1.0</v>
      </c>
      <c r="CM6" s="49" t="s">
        <v>19</v>
      </c>
      <c r="CN6" s="49"/>
      <c r="CO6" s="49"/>
      <c r="CP6" s="49" t="s">
        <v>56</v>
      </c>
      <c r="CR6" s="51"/>
      <c r="CS6" s="50"/>
      <c r="CT6" s="51"/>
      <c r="CU6" s="51"/>
      <c r="CV6" s="55"/>
      <c r="CW6" s="52"/>
      <c r="CX6" s="51"/>
      <c r="CY6" s="51"/>
      <c r="CZ6" s="50"/>
      <c r="DA6" s="51"/>
      <c r="DB6" s="50"/>
      <c r="DC6" s="51"/>
      <c r="DD6" s="49"/>
    </row>
    <row r="7" ht="15.75" customHeight="1">
      <c r="A7" s="8"/>
      <c r="B7" s="49" t="s">
        <v>23</v>
      </c>
      <c r="C7" s="49"/>
      <c r="D7" s="50"/>
      <c r="E7" s="54">
        <v>1000.0</v>
      </c>
      <c r="F7" s="49" t="s">
        <v>45</v>
      </c>
      <c r="G7" s="49" t="s">
        <v>57</v>
      </c>
      <c r="H7" s="50">
        <v>0.0</v>
      </c>
      <c r="I7" s="50">
        <v>0.0</v>
      </c>
      <c r="J7" s="50">
        <v>18.0</v>
      </c>
      <c r="K7" s="50">
        <v>100.0</v>
      </c>
      <c r="L7" s="50">
        <v>100.0</v>
      </c>
      <c r="M7" s="49" t="s">
        <v>58</v>
      </c>
      <c r="N7" s="49"/>
      <c r="O7" s="49"/>
      <c r="P7" s="51"/>
      <c r="Q7" s="50">
        <v>3.0</v>
      </c>
      <c r="R7" s="50">
        <v>0.0</v>
      </c>
      <c r="S7" s="49" t="s">
        <v>59</v>
      </c>
      <c r="T7" s="50">
        <v>0.0</v>
      </c>
      <c r="U7" s="50">
        <v>0.0</v>
      </c>
      <c r="V7" s="49"/>
      <c r="W7" s="50"/>
      <c r="X7" s="50"/>
      <c r="Y7" s="51"/>
      <c r="Z7" s="49" t="s">
        <v>37</v>
      </c>
      <c r="AA7" s="49"/>
      <c r="AB7" s="50">
        <v>1.0</v>
      </c>
      <c r="AC7" s="51"/>
      <c r="AD7" s="49" t="s">
        <v>60</v>
      </c>
      <c r="AE7" s="54">
        <v>1000.0</v>
      </c>
      <c r="AF7" s="52"/>
      <c r="AG7" s="52"/>
      <c r="AH7" s="49"/>
      <c r="AI7" s="50">
        <v>1.0</v>
      </c>
      <c r="AJ7" s="49"/>
      <c r="AK7" s="51"/>
      <c r="AL7" s="51"/>
      <c r="AM7" s="51"/>
      <c r="AN7" s="49" t="b">
        <v>0</v>
      </c>
      <c r="AO7" s="49"/>
      <c r="AP7" s="49" t="b">
        <v>1</v>
      </c>
      <c r="AQ7" s="49" t="b">
        <v>0</v>
      </c>
      <c r="AR7" s="49" t="b">
        <v>1</v>
      </c>
      <c r="AS7" s="50"/>
      <c r="AT7" s="54">
        <v>90000.0</v>
      </c>
      <c r="AU7" s="54">
        <v>90000.0</v>
      </c>
      <c r="AV7" s="53"/>
      <c r="AW7" s="50">
        <v>0.0</v>
      </c>
      <c r="AX7" s="54"/>
      <c r="AY7" s="51"/>
      <c r="AZ7" s="50">
        <v>0.0</v>
      </c>
      <c r="BA7" s="53"/>
      <c r="BB7" s="51"/>
      <c r="BC7" s="50">
        <v>0.0</v>
      </c>
      <c r="BD7" s="49"/>
      <c r="BE7" s="54">
        <v>100000.0</v>
      </c>
      <c r="BF7" s="54">
        <v>100000.0</v>
      </c>
      <c r="BG7" s="53"/>
      <c r="BH7" s="51"/>
      <c r="BI7" s="51"/>
      <c r="BJ7" s="54">
        <v>1000.0</v>
      </c>
      <c r="BK7" s="50">
        <v>0.0</v>
      </c>
      <c r="BL7" s="49"/>
      <c r="BM7" s="49" t="s">
        <v>37</v>
      </c>
      <c r="BN7" s="53"/>
      <c r="BO7" s="49" t="s">
        <v>62</v>
      </c>
      <c r="BP7" s="50">
        <v>0.0</v>
      </c>
      <c r="BQ7" s="50">
        <v>0.0</v>
      </c>
      <c r="BR7" s="50">
        <v>0.0</v>
      </c>
      <c r="BS7" s="49" t="s">
        <v>40</v>
      </c>
      <c r="BT7" s="49" t="s">
        <v>19</v>
      </c>
      <c r="BU7" s="50">
        <v>0.0</v>
      </c>
      <c r="BV7" s="50">
        <v>0.0</v>
      </c>
      <c r="BW7" s="54">
        <v>10000.0</v>
      </c>
      <c r="BX7" s="50">
        <v>0.0</v>
      </c>
      <c r="CF7" s="49" t="s">
        <v>53</v>
      </c>
      <c r="CG7" s="50">
        <v>0.0</v>
      </c>
      <c r="CH7" s="49" t="s">
        <v>28</v>
      </c>
      <c r="CI7" s="49" t="s">
        <v>35</v>
      </c>
      <c r="CJ7" s="50">
        <v>0.0</v>
      </c>
      <c r="CK7" s="49" t="s">
        <v>41</v>
      </c>
      <c r="CL7" s="50">
        <v>1.0</v>
      </c>
      <c r="CM7" s="49" t="s">
        <v>19</v>
      </c>
      <c r="CN7" s="49"/>
      <c r="CO7" s="49"/>
      <c r="CP7" s="49" t="s">
        <v>56</v>
      </c>
      <c r="CR7" s="51"/>
      <c r="CS7" s="50"/>
      <c r="CT7" s="51"/>
      <c r="CU7" s="51"/>
      <c r="CV7" s="53"/>
      <c r="CW7" s="52"/>
      <c r="CX7" s="51"/>
      <c r="CY7" s="51"/>
      <c r="CZ7" s="50"/>
      <c r="DA7" s="51"/>
      <c r="DB7" s="50"/>
      <c r="DC7" s="51"/>
      <c r="DD7" s="49"/>
    </row>
    <row r="8" ht="15.75" customHeight="1">
      <c r="A8" s="8"/>
      <c r="B8" s="49" t="s">
        <v>21</v>
      </c>
      <c r="C8" s="49"/>
      <c r="D8" s="50"/>
      <c r="E8" s="50">
        <v>10.0</v>
      </c>
      <c r="F8" s="49" t="s">
        <v>45</v>
      </c>
      <c r="G8" s="49" t="s">
        <v>57</v>
      </c>
      <c r="H8" s="50">
        <v>0.0</v>
      </c>
      <c r="I8" s="50">
        <v>0.0</v>
      </c>
      <c r="J8" s="50">
        <v>18.0</v>
      </c>
      <c r="K8" s="50">
        <v>1.0</v>
      </c>
      <c r="L8" s="50">
        <v>1.0</v>
      </c>
      <c r="M8" s="49" t="s">
        <v>58</v>
      </c>
      <c r="N8" s="49"/>
      <c r="O8" s="49"/>
      <c r="P8" s="51"/>
      <c r="Q8" s="50">
        <v>3.0</v>
      </c>
      <c r="R8" s="50">
        <v>0.0</v>
      </c>
      <c r="S8" s="49" t="s">
        <v>59</v>
      </c>
      <c r="T8" s="50">
        <v>0.0</v>
      </c>
      <c r="U8" s="50">
        <v>0.0</v>
      </c>
      <c r="V8" s="49"/>
      <c r="W8" s="50"/>
      <c r="X8" s="50"/>
      <c r="Y8" s="51"/>
      <c r="Z8" s="49" t="s">
        <v>37</v>
      </c>
      <c r="AA8" s="49"/>
      <c r="AB8" s="50">
        <v>1.0</v>
      </c>
      <c r="AC8" s="49"/>
      <c r="AD8" s="49" t="s">
        <v>60</v>
      </c>
      <c r="AE8" s="50">
        <v>10.0</v>
      </c>
      <c r="AF8" s="52"/>
      <c r="AG8" s="52"/>
      <c r="AH8" s="49"/>
      <c r="AI8" s="50">
        <v>1.0</v>
      </c>
      <c r="AJ8" s="49"/>
      <c r="AK8" s="51"/>
      <c r="AL8" s="51"/>
      <c r="AM8" s="49"/>
      <c r="AN8" s="49" t="b">
        <v>0</v>
      </c>
      <c r="AO8" s="49"/>
      <c r="AP8" s="49" t="b">
        <v>1</v>
      </c>
      <c r="AQ8" s="49" t="b">
        <v>0</v>
      </c>
      <c r="AR8" s="49" t="b">
        <v>1</v>
      </c>
      <c r="AS8" s="50"/>
      <c r="AT8" s="50">
        <v>10.0</v>
      </c>
      <c r="AU8" s="50">
        <v>10.0</v>
      </c>
      <c r="AV8" s="55"/>
      <c r="AW8" s="50">
        <v>0.0</v>
      </c>
      <c r="AX8" s="50"/>
      <c r="AY8" s="49"/>
      <c r="AZ8" s="50">
        <v>0.0</v>
      </c>
      <c r="BA8" s="55"/>
      <c r="BB8" s="51"/>
      <c r="BC8" s="50">
        <v>0.0</v>
      </c>
      <c r="BD8" s="49"/>
      <c r="BE8" s="50">
        <v>10.0</v>
      </c>
      <c r="BF8" s="50">
        <v>10.0</v>
      </c>
      <c r="BG8" s="55"/>
      <c r="BH8" s="51"/>
      <c r="BI8" s="51"/>
      <c r="BJ8" s="50">
        <v>10.0</v>
      </c>
      <c r="BK8" s="50">
        <v>0.0</v>
      </c>
      <c r="BL8" s="49"/>
      <c r="BM8" s="49" t="s">
        <v>37</v>
      </c>
      <c r="BN8" s="55"/>
      <c r="BO8" s="49" t="s">
        <v>20</v>
      </c>
      <c r="BP8" s="50">
        <v>0.0</v>
      </c>
      <c r="BQ8" s="50">
        <v>0.0</v>
      </c>
      <c r="BR8" s="50">
        <v>0.0</v>
      </c>
      <c r="BS8" s="49" t="s">
        <v>40</v>
      </c>
      <c r="BT8" s="49" t="s">
        <v>19</v>
      </c>
      <c r="BU8" s="50">
        <v>0.0</v>
      </c>
      <c r="BV8" s="50">
        <v>0.0</v>
      </c>
      <c r="BW8" s="50">
        <v>0.0</v>
      </c>
      <c r="BX8" s="50">
        <v>0.0</v>
      </c>
      <c r="CF8" s="49" t="s">
        <v>53</v>
      </c>
      <c r="CG8" s="50">
        <v>0.0</v>
      </c>
      <c r="CH8" s="49" t="s">
        <v>17</v>
      </c>
      <c r="CI8" s="49" t="s">
        <v>20</v>
      </c>
      <c r="CJ8" s="50">
        <v>0.0</v>
      </c>
      <c r="CK8" s="49" t="s">
        <v>41</v>
      </c>
      <c r="CL8" s="50">
        <v>1.0</v>
      </c>
      <c r="CM8" s="49" t="s">
        <v>19</v>
      </c>
      <c r="CN8" s="49"/>
      <c r="CO8" s="49"/>
      <c r="CP8" s="49" t="s">
        <v>56</v>
      </c>
      <c r="CR8" s="51"/>
      <c r="CS8" s="50"/>
      <c r="CT8" s="51"/>
      <c r="CU8" s="51"/>
      <c r="CV8" s="55"/>
      <c r="CW8" s="52"/>
      <c r="CX8" s="51"/>
      <c r="CY8" s="51"/>
      <c r="CZ8" s="50"/>
      <c r="DA8" s="51"/>
      <c r="DB8" s="50"/>
      <c r="DC8" s="51"/>
      <c r="DD8" s="49"/>
    </row>
    <row r="9" ht="15.75" customHeight="1">
      <c r="A9" s="8"/>
      <c r="B9" s="49" t="s">
        <v>23</v>
      </c>
      <c r="C9" s="49"/>
      <c r="D9" s="50"/>
      <c r="E9" s="50">
        <v>10.0</v>
      </c>
      <c r="F9" s="49" t="s">
        <v>45</v>
      </c>
      <c r="G9" s="49" t="s">
        <v>34</v>
      </c>
      <c r="H9" s="50">
        <v>0.0</v>
      </c>
      <c r="I9" s="50">
        <v>0.0</v>
      </c>
      <c r="J9" s="50">
        <v>12.0</v>
      </c>
      <c r="K9" s="50">
        <v>0.0</v>
      </c>
      <c r="L9" s="50">
        <v>0.0</v>
      </c>
      <c r="M9" s="49" t="s">
        <v>46</v>
      </c>
      <c r="N9" s="49"/>
      <c r="O9" s="49"/>
      <c r="P9" s="51"/>
      <c r="Q9" s="50">
        <v>3.0</v>
      </c>
      <c r="R9" s="50">
        <v>0.0</v>
      </c>
      <c r="S9" s="49" t="s">
        <v>48</v>
      </c>
      <c r="T9" s="50">
        <v>0.0</v>
      </c>
      <c r="U9" s="50">
        <v>0.0</v>
      </c>
      <c r="V9" s="49"/>
      <c r="W9" s="50"/>
      <c r="X9" s="50"/>
      <c r="Y9" s="51"/>
      <c r="Z9" s="49" t="s">
        <v>37</v>
      </c>
      <c r="AA9" s="51"/>
      <c r="AB9" s="50">
        <v>1.0</v>
      </c>
      <c r="AC9" s="51"/>
      <c r="AD9" s="49" t="s">
        <v>38</v>
      </c>
      <c r="AE9" s="50">
        <v>10.0</v>
      </c>
      <c r="AF9" s="52"/>
      <c r="AG9" s="53"/>
      <c r="AH9" s="49"/>
      <c r="AI9" s="50">
        <v>1.0</v>
      </c>
      <c r="AJ9" s="49"/>
      <c r="AK9" s="49"/>
      <c r="AL9" s="51"/>
      <c r="AM9" s="51"/>
      <c r="AN9" s="49" t="b">
        <v>0</v>
      </c>
      <c r="AO9" s="51"/>
      <c r="AP9" s="49" t="b">
        <v>0</v>
      </c>
      <c r="AQ9" s="49" t="b">
        <v>0</v>
      </c>
      <c r="AR9" s="49" t="b">
        <v>1</v>
      </c>
      <c r="AS9" s="50"/>
      <c r="AT9" s="54">
        <v>10000.0</v>
      </c>
      <c r="AU9" s="54">
        <v>10000.0</v>
      </c>
      <c r="AV9" s="55"/>
      <c r="AW9" s="50">
        <v>0.0</v>
      </c>
      <c r="AX9" s="54"/>
      <c r="AY9" s="49"/>
      <c r="AZ9" s="50">
        <v>0.0</v>
      </c>
      <c r="BA9" s="53"/>
      <c r="BB9" s="49"/>
      <c r="BC9" s="50">
        <v>0.0</v>
      </c>
      <c r="BD9" s="49"/>
      <c r="BE9" s="50">
        <v>0.0</v>
      </c>
      <c r="BF9" s="50">
        <v>0.0</v>
      </c>
      <c r="BG9" s="53"/>
      <c r="BH9" s="51"/>
      <c r="BI9" s="49"/>
      <c r="BJ9" s="50">
        <v>10.0</v>
      </c>
      <c r="BK9" s="50">
        <v>0.0</v>
      </c>
      <c r="BL9" s="51"/>
      <c r="BM9" s="49" t="s">
        <v>37</v>
      </c>
      <c r="BN9" s="53"/>
      <c r="BO9" s="49" t="s">
        <v>64</v>
      </c>
      <c r="BP9" s="50">
        <v>0.0</v>
      </c>
      <c r="BQ9" s="50">
        <v>0.0</v>
      </c>
      <c r="BR9" s="50">
        <v>0.0</v>
      </c>
      <c r="BS9" s="49" t="s">
        <v>40</v>
      </c>
      <c r="BT9" s="49" t="s">
        <v>16</v>
      </c>
      <c r="BU9" s="50">
        <v>0.0</v>
      </c>
      <c r="BV9" s="50">
        <v>0.0</v>
      </c>
      <c r="BW9" s="54">
        <v>-10000.0</v>
      </c>
      <c r="BX9" s="50">
        <v>0.0</v>
      </c>
      <c r="CF9" s="51"/>
      <c r="CG9" s="50">
        <v>0.0</v>
      </c>
      <c r="CH9" s="49" t="s">
        <v>28</v>
      </c>
      <c r="CI9" s="49" t="s">
        <v>35</v>
      </c>
      <c r="CJ9" s="50">
        <v>0.0</v>
      </c>
      <c r="CK9" s="49" t="s">
        <v>41</v>
      </c>
      <c r="CL9" s="50">
        <v>1.0</v>
      </c>
      <c r="CM9" s="49" t="s">
        <v>19</v>
      </c>
      <c r="CN9" s="51"/>
      <c r="CO9" s="49"/>
      <c r="CP9" s="49" t="s">
        <v>56</v>
      </c>
      <c r="CR9" s="51"/>
      <c r="CS9" s="50"/>
      <c r="CT9" s="51"/>
      <c r="CU9" s="51"/>
      <c r="CV9" s="55"/>
      <c r="CW9" s="52"/>
      <c r="CX9" s="51"/>
      <c r="CY9" s="51"/>
      <c r="CZ9" s="50"/>
      <c r="DA9" s="51"/>
      <c r="DB9" s="50"/>
      <c r="DC9" s="51"/>
      <c r="DD9" s="49"/>
    </row>
    <row r="11" ht="15.75" customHeight="1">
      <c r="A11" s="8"/>
      <c r="B11" s="49"/>
      <c r="C11" s="49"/>
      <c r="D11" s="50"/>
      <c r="E11" s="50"/>
      <c r="F11" s="49"/>
      <c r="G11" s="49"/>
      <c r="H11" s="50"/>
      <c r="I11" s="50"/>
      <c r="J11" s="50"/>
      <c r="K11" s="50"/>
      <c r="L11" s="50"/>
      <c r="M11" s="49"/>
      <c r="N11" s="49"/>
      <c r="O11" s="49"/>
      <c r="P11" s="51"/>
      <c r="Q11" s="50"/>
      <c r="R11" s="50"/>
      <c r="S11" s="49"/>
      <c r="T11" s="50"/>
      <c r="U11" s="50"/>
      <c r="V11" s="49"/>
      <c r="W11" s="50"/>
      <c r="X11" s="50"/>
      <c r="Y11" s="51"/>
      <c r="Z11" s="49"/>
      <c r="AA11" s="51"/>
      <c r="AB11" s="50"/>
      <c r="AC11" s="49"/>
      <c r="AD11" s="49"/>
      <c r="AE11" s="50"/>
      <c r="AF11" s="52"/>
      <c r="AG11" s="53"/>
      <c r="AH11" s="49"/>
      <c r="AI11" s="49"/>
      <c r="AJ11" s="50"/>
      <c r="AK11" s="49"/>
      <c r="AL11" s="49"/>
      <c r="AM11" s="51"/>
      <c r="AN11" s="49"/>
      <c r="AO11" s="49"/>
      <c r="AP11" s="51"/>
      <c r="AQ11" s="49"/>
      <c r="AR11" s="49"/>
      <c r="AS11" s="49"/>
      <c r="AT11" s="50"/>
      <c r="AU11" s="54"/>
      <c r="AV11" s="54"/>
      <c r="AW11" s="55"/>
      <c r="AX11" s="50"/>
      <c r="AY11" s="50"/>
      <c r="AZ11" s="49"/>
      <c r="BA11" s="50"/>
      <c r="BB11" s="55"/>
      <c r="BC11" s="49"/>
      <c r="BD11" s="50"/>
      <c r="BE11" s="49"/>
      <c r="BF11" s="54"/>
      <c r="BG11" s="54"/>
      <c r="BH11" s="55"/>
      <c r="BI11" s="51"/>
      <c r="BJ11" s="49"/>
      <c r="BK11" s="50"/>
      <c r="BL11" s="50"/>
      <c r="BM11" s="51"/>
      <c r="BN11" s="49"/>
      <c r="BO11" s="55"/>
      <c r="BP11" s="49"/>
      <c r="BQ11" s="50"/>
      <c r="BR11" s="50"/>
      <c r="BS11" s="50"/>
      <c r="BT11" s="49"/>
      <c r="BU11" s="49"/>
      <c r="BV11" s="50"/>
      <c r="BW11" s="50"/>
      <c r="BX11" s="50"/>
      <c r="BY11" s="50"/>
      <c r="BZ11" s="49"/>
      <c r="CA11" s="50"/>
      <c r="CB11" s="49"/>
      <c r="CC11" s="49"/>
      <c r="CD11" s="50"/>
      <c r="CE11" s="49"/>
      <c r="CF11" s="50"/>
      <c r="CG11" s="49"/>
      <c r="CH11" s="49"/>
      <c r="CI11" s="49"/>
      <c r="CJ11" s="49"/>
      <c r="CK11" s="51"/>
      <c r="CL11" s="51"/>
      <c r="CM11" s="51"/>
      <c r="CN11" s="51"/>
      <c r="CO11" s="51"/>
      <c r="CP11" s="51"/>
      <c r="CQ11" s="51"/>
      <c r="CR11" s="51"/>
      <c r="CS11" s="50"/>
      <c r="CT11" s="51"/>
      <c r="CU11" s="51"/>
      <c r="CV11" s="55"/>
      <c r="CW11" s="52"/>
      <c r="CX11" s="51"/>
      <c r="CY11" s="51"/>
      <c r="CZ11" s="50"/>
      <c r="DA11" s="51"/>
      <c r="DB11" s="50"/>
      <c r="DC11" s="51"/>
      <c r="DD11" s="49"/>
    </row>
    <row r="12" ht="15.75" customHeight="1">
      <c r="A12" s="8"/>
      <c r="B12" s="49"/>
      <c r="C12" s="49"/>
      <c r="D12" s="50"/>
      <c r="E12" s="54"/>
      <c r="F12" s="49"/>
      <c r="G12" s="49"/>
      <c r="H12" s="50"/>
      <c r="I12" s="50"/>
      <c r="J12" s="50"/>
      <c r="K12" s="50"/>
      <c r="L12" s="50"/>
      <c r="M12" s="49"/>
      <c r="N12" s="49"/>
      <c r="O12" s="51"/>
      <c r="P12" s="51"/>
      <c r="Q12" s="50"/>
      <c r="R12" s="50"/>
      <c r="S12" s="49"/>
      <c r="T12" s="50"/>
      <c r="U12" s="50"/>
      <c r="V12" s="49"/>
      <c r="W12" s="50"/>
      <c r="X12" s="50"/>
      <c r="Y12" s="51"/>
      <c r="Z12" s="49"/>
      <c r="AA12" s="49"/>
      <c r="AB12" s="50"/>
      <c r="AC12" s="51"/>
      <c r="AD12" s="49"/>
      <c r="AE12" s="54"/>
      <c r="AF12" s="52"/>
      <c r="AG12" s="52"/>
      <c r="AH12" s="49"/>
      <c r="AI12" s="49"/>
      <c r="AJ12" s="50"/>
      <c r="AK12" s="49"/>
      <c r="AL12" s="51"/>
      <c r="AM12" s="51"/>
      <c r="AN12" s="51"/>
      <c r="AO12" s="49"/>
      <c r="AP12" s="49"/>
      <c r="AQ12" s="49"/>
      <c r="AR12" s="49"/>
      <c r="AS12" s="49"/>
      <c r="AT12" s="50"/>
      <c r="AU12" s="54"/>
      <c r="AV12" s="54"/>
      <c r="AW12" s="53"/>
      <c r="AX12" s="50"/>
      <c r="AY12" s="54"/>
      <c r="AZ12" s="51"/>
      <c r="BA12" s="50"/>
      <c r="BB12" s="53"/>
      <c r="BC12" s="51"/>
      <c r="BD12" s="50"/>
      <c r="BE12" s="49"/>
      <c r="BF12" s="54"/>
      <c r="BG12" s="54"/>
      <c r="BH12" s="53"/>
      <c r="BI12" s="51"/>
      <c r="BJ12" s="51"/>
      <c r="BK12" s="54"/>
      <c r="BL12" s="50"/>
      <c r="BM12" s="49"/>
      <c r="BN12" s="49"/>
      <c r="BO12" s="53"/>
      <c r="BP12" s="49"/>
      <c r="BQ12" s="50"/>
      <c r="BR12" s="50"/>
      <c r="BS12" s="50"/>
      <c r="BT12" s="49"/>
      <c r="BU12" s="49"/>
      <c r="BV12" s="50"/>
      <c r="BW12" s="50"/>
      <c r="BX12" s="54"/>
      <c r="BY12" s="50"/>
      <c r="BZ12" s="49"/>
      <c r="CA12" s="50"/>
      <c r="CB12" s="49"/>
      <c r="CC12" s="49"/>
      <c r="CD12" s="50"/>
      <c r="CE12" s="49"/>
      <c r="CF12" s="50"/>
      <c r="CG12" s="49"/>
      <c r="CH12" s="49"/>
      <c r="CI12" s="49"/>
      <c r="CJ12" s="49"/>
      <c r="CK12" s="51"/>
      <c r="CL12" s="51"/>
      <c r="CM12" s="51"/>
      <c r="CN12" s="51"/>
      <c r="CO12" s="51"/>
      <c r="CP12" s="51"/>
      <c r="CQ12" s="51"/>
      <c r="CR12" s="51"/>
      <c r="CS12" s="50"/>
      <c r="CT12" s="51"/>
      <c r="CU12" s="51"/>
      <c r="CV12" s="53"/>
      <c r="CW12" s="52"/>
      <c r="CX12" s="51"/>
      <c r="CY12" s="51"/>
      <c r="CZ12" s="50"/>
      <c r="DA12" s="51"/>
      <c r="DB12" s="50"/>
      <c r="DC12" s="51"/>
      <c r="DD12" s="49"/>
    </row>
    <row r="13" ht="15.75" customHeight="1">
      <c r="A13" s="8"/>
      <c r="B13" s="49"/>
      <c r="C13" s="49"/>
      <c r="D13" s="50"/>
      <c r="E13" s="50"/>
      <c r="F13" s="49"/>
      <c r="G13" s="49"/>
      <c r="H13" s="50"/>
      <c r="I13" s="50"/>
      <c r="J13" s="50"/>
      <c r="K13" s="50"/>
      <c r="L13" s="50"/>
      <c r="M13" s="49"/>
      <c r="N13" s="49"/>
      <c r="O13" s="49"/>
      <c r="P13" s="51"/>
      <c r="Q13" s="50"/>
      <c r="R13" s="50"/>
      <c r="S13" s="49"/>
      <c r="T13" s="50"/>
      <c r="U13" s="50"/>
      <c r="V13" s="49"/>
      <c r="W13" s="50"/>
      <c r="X13" s="50"/>
      <c r="Y13" s="51"/>
      <c r="Z13" s="49"/>
      <c r="AA13" s="49"/>
      <c r="AB13" s="50"/>
      <c r="AC13" s="49"/>
      <c r="AD13" s="49"/>
      <c r="AE13" s="50"/>
      <c r="AF13" s="52"/>
      <c r="AG13" s="52"/>
      <c r="AH13" s="49"/>
      <c r="AI13" s="49"/>
      <c r="AJ13" s="50"/>
      <c r="AK13" s="49"/>
      <c r="AL13" s="51"/>
      <c r="AM13" s="51"/>
      <c r="AN13" s="49"/>
      <c r="AO13" s="49"/>
      <c r="AP13" s="49"/>
      <c r="AQ13" s="49"/>
      <c r="AR13" s="49"/>
      <c r="AS13" s="49"/>
      <c r="AT13" s="50"/>
      <c r="AU13" s="50"/>
      <c r="AV13" s="50"/>
      <c r="AW13" s="55"/>
      <c r="AX13" s="50"/>
      <c r="AY13" s="50"/>
      <c r="AZ13" s="49"/>
      <c r="BA13" s="50"/>
      <c r="BB13" s="55"/>
      <c r="BC13" s="51"/>
      <c r="BD13" s="50"/>
      <c r="BE13" s="49"/>
      <c r="BF13" s="50"/>
      <c r="BG13" s="50"/>
      <c r="BH13" s="55"/>
      <c r="BI13" s="51"/>
      <c r="BJ13" s="51"/>
      <c r="BK13" s="50"/>
      <c r="BL13" s="50"/>
      <c r="BM13" s="49"/>
      <c r="BN13" s="49"/>
      <c r="BO13" s="55"/>
      <c r="BP13" s="49"/>
      <c r="BQ13" s="50"/>
      <c r="BR13" s="50"/>
      <c r="BS13" s="50"/>
      <c r="BT13" s="49"/>
      <c r="BU13" s="49"/>
      <c r="BV13" s="50"/>
      <c r="BW13" s="50"/>
      <c r="BX13" s="50"/>
      <c r="BY13" s="50"/>
      <c r="BZ13" s="49"/>
      <c r="CA13" s="50"/>
      <c r="CB13" s="49"/>
      <c r="CC13" s="49"/>
      <c r="CD13" s="50"/>
      <c r="CE13" s="49"/>
      <c r="CF13" s="50"/>
      <c r="CG13" s="49"/>
      <c r="CH13" s="49"/>
      <c r="CI13" s="49"/>
      <c r="CJ13" s="49"/>
      <c r="CK13" s="51"/>
      <c r="CL13" s="51"/>
      <c r="CM13" s="51"/>
      <c r="CN13" s="51"/>
      <c r="CO13" s="51"/>
      <c r="CP13" s="51"/>
      <c r="CQ13" s="51"/>
      <c r="CR13" s="51"/>
      <c r="CS13" s="50"/>
      <c r="CT13" s="51"/>
      <c r="CU13" s="51"/>
      <c r="CV13" s="55"/>
      <c r="CW13" s="52"/>
      <c r="CX13" s="51"/>
      <c r="CY13" s="51"/>
      <c r="CZ13" s="50"/>
      <c r="DA13" s="51"/>
      <c r="DB13" s="50"/>
      <c r="DC13" s="51"/>
      <c r="DD13" s="49"/>
    </row>
    <row r="14" ht="15.75" customHeight="1">
      <c r="A14" s="8"/>
      <c r="B14" s="49"/>
      <c r="C14" s="49"/>
      <c r="D14" s="50"/>
      <c r="E14" s="50"/>
      <c r="F14" s="49"/>
      <c r="G14" s="49"/>
      <c r="H14" s="50"/>
      <c r="I14" s="50"/>
      <c r="J14" s="50"/>
      <c r="K14" s="50"/>
      <c r="L14" s="50"/>
      <c r="M14" s="49"/>
      <c r="N14" s="49"/>
      <c r="O14" s="51"/>
      <c r="P14" s="51"/>
      <c r="Q14" s="50"/>
      <c r="R14" s="50"/>
      <c r="S14" s="49"/>
      <c r="T14" s="50"/>
      <c r="U14" s="50"/>
      <c r="V14" s="49"/>
      <c r="W14" s="50"/>
      <c r="X14" s="50"/>
      <c r="Y14" s="51"/>
      <c r="Z14" s="49"/>
      <c r="AA14" s="51"/>
      <c r="AB14" s="50"/>
      <c r="AC14" s="51"/>
      <c r="AD14" s="49"/>
      <c r="AE14" s="50"/>
      <c r="AF14" s="52"/>
      <c r="AG14" s="53"/>
      <c r="AH14" s="49"/>
      <c r="AI14" s="49"/>
      <c r="AJ14" s="50"/>
      <c r="AK14" s="49"/>
      <c r="AL14" s="49"/>
      <c r="AM14" s="51"/>
      <c r="AN14" s="51"/>
      <c r="AO14" s="49"/>
      <c r="AP14" s="51"/>
      <c r="AQ14" s="49"/>
      <c r="AR14" s="49"/>
      <c r="AS14" s="49"/>
      <c r="AT14" s="50"/>
      <c r="AU14" s="54"/>
      <c r="AV14" s="54"/>
      <c r="AW14" s="55"/>
      <c r="AX14" s="50"/>
      <c r="AY14" s="54"/>
      <c r="AZ14" s="51"/>
      <c r="BA14" s="50"/>
      <c r="BB14" s="53"/>
      <c r="BC14" s="49"/>
      <c r="BD14" s="50"/>
      <c r="BE14" s="49"/>
      <c r="BF14" s="50"/>
      <c r="BG14" s="50"/>
      <c r="BH14" s="53"/>
      <c r="BI14" s="51"/>
      <c r="BJ14" s="49"/>
      <c r="BK14" s="50"/>
      <c r="BL14" s="50"/>
      <c r="BM14" s="51"/>
      <c r="BN14" s="49"/>
      <c r="BO14" s="53"/>
      <c r="BP14" s="49"/>
      <c r="BQ14" s="50"/>
      <c r="BR14" s="50"/>
      <c r="BS14" s="50"/>
      <c r="BT14" s="49"/>
      <c r="BU14" s="49"/>
      <c r="BV14" s="50"/>
      <c r="BW14" s="50"/>
      <c r="BX14" s="54"/>
      <c r="BY14" s="50"/>
      <c r="BZ14" s="49"/>
      <c r="CA14" s="50"/>
      <c r="CB14" s="49"/>
      <c r="CC14" s="49"/>
      <c r="CD14" s="50"/>
      <c r="CE14" s="49"/>
      <c r="CF14" s="50"/>
      <c r="CG14" s="49"/>
      <c r="CH14" s="49"/>
      <c r="CI14" s="51"/>
      <c r="CJ14" s="49"/>
      <c r="CK14" s="51"/>
      <c r="CL14" s="51"/>
      <c r="CM14" s="51"/>
      <c r="CN14" s="51"/>
      <c r="CO14" s="51"/>
      <c r="CP14" s="51"/>
      <c r="CQ14" s="51"/>
      <c r="CR14" s="51"/>
      <c r="CS14" s="50"/>
      <c r="CT14" s="51"/>
      <c r="CU14" s="51"/>
      <c r="CV14" s="55"/>
      <c r="CW14" s="52"/>
      <c r="CX14" s="51"/>
      <c r="CY14" s="51"/>
      <c r="CZ14" s="50"/>
      <c r="DA14" s="51"/>
      <c r="DB14" s="50"/>
      <c r="DC14" s="51"/>
      <c r="DD14" s="49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65</v>
      </c>
      <c r="D3" s="5" t="s">
        <v>9</v>
      </c>
      <c r="E3" s="22" t="s">
        <v>66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ITM/OTM")</f>
        <v>% of ITM/OTM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55"/>
      <c r="C6" s="49" t="s">
        <v>19</v>
      </c>
      <c r="D6" s="50">
        <v>10.0</v>
      </c>
      <c r="E6" s="49" t="s">
        <v>21</v>
      </c>
      <c r="F6" s="49" t="s">
        <v>67</v>
      </c>
      <c r="G6" s="50">
        <v>1.0</v>
      </c>
      <c r="H6" s="49" t="s">
        <v>36</v>
      </c>
      <c r="I6" s="50">
        <v>800.0</v>
      </c>
      <c r="J6" s="50"/>
      <c r="K6" s="50">
        <v>800.0</v>
      </c>
      <c r="L6" s="50">
        <v>800.0</v>
      </c>
      <c r="M6" s="64">
        <v>79200.0</v>
      </c>
      <c r="N6" s="50">
        <v>0.0</v>
      </c>
      <c r="O6" s="49"/>
      <c r="P6" s="50">
        <v>80.0</v>
      </c>
      <c r="Q6" s="50">
        <v>790.0</v>
      </c>
      <c r="R6" s="49" t="s">
        <v>47</v>
      </c>
      <c r="S6" s="49" t="s">
        <v>40</v>
      </c>
      <c r="T6" s="49" t="s">
        <v>57</v>
      </c>
      <c r="U6" s="49" t="s">
        <v>41</v>
      </c>
      <c r="V6" s="49" t="s">
        <v>60</v>
      </c>
      <c r="W6" s="49" t="s">
        <v>37</v>
      </c>
      <c r="X6" s="50">
        <v>1.0</v>
      </c>
      <c r="Y6" s="50">
        <v>1.0</v>
      </c>
      <c r="Z6" s="51"/>
      <c r="AA6" s="51"/>
      <c r="AB6" s="50">
        <v>0.0</v>
      </c>
      <c r="AC6" s="50">
        <v>0.0</v>
      </c>
      <c r="AD6" s="50">
        <v>800.0</v>
      </c>
      <c r="AE6" s="50">
        <v>800.0</v>
      </c>
      <c r="AF6" s="50">
        <v>10.0</v>
      </c>
      <c r="AG6" s="50">
        <v>800.0</v>
      </c>
      <c r="AH6" s="50">
        <v>800.0</v>
      </c>
      <c r="AI6" s="50">
        <v>800.0</v>
      </c>
      <c r="AJ6" s="50"/>
      <c r="AK6" s="50">
        <v>0.0</v>
      </c>
      <c r="AL6" s="50">
        <v>1.0</v>
      </c>
      <c r="AM6" s="50">
        <v>1.0</v>
      </c>
      <c r="AN6" s="49" t="s">
        <v>20</v>
      </c>
      <c r="AO6" s="51"/>
      <c r="AP6" s="49" t="s">
        <v>39</v>
      </c>
      <c r="AQ6" s="49" t="s">
        <v>19</v>
      </c>
      <c r="AR6" s="50">
        <v>80.0</v>
      </c>
      <c r="AS6" s="50">
        <v>1.0</v>
      </c>
      <c r="AT6" s="49"/>
      <c r="AU6" s="49"/>
      <c r="AV6" s="50">
        <v>1.0</v>
      </c>
      <c r="AW6" s="50">
        <v>790.0</v>
      </c>
      <c r="AX6" s="50">
        <v>0.0</v>
      </c>
      <c r="AY6" s="50">
        <v>0.0</v>
      </c>
      <c r="AZ6" s="50">
        <v>800.0</v>
      </c>
      <c r="BA6" s="50">
        <v>0.0</v>
      </c>
      <c r="BB6" s="52"/>
      <c r="BC6" s="50">
        <v>1.0</v>
      </c>
      <c r="BD6" s="50">
        <v>0.0</v>
      </c>
      <c r="BE6" s="49" t="s">
        <v>57</v>
      </c>
      <c r="BF6" s="49" t="s">
        <v>68</v>
      </c>
      <c r="BG6" s="49"/>
      <c r="BH6" s="49" t="s">
        <v>68</v>
      </c>
      <c r="BI6" s="49" t="s">
        <v>68</v>
      </c>
      <c r="BJ6" s="50">
        <v>0.0</v>
      </c>
      <c r="BK6" s="50">
        <v>0.0</v>
      </c>
      <c r="BL6" s="50">
        <v>0.0</v>
      </c>
      <c r="BM6" s="50">
        <v>0.0</v>
      </c>
      <c r="BN6" s="52"/>
      <c r="BO6" s="50">
        <v>0.0</v>
      </c>
      <c r="BP6" s="50">
        <v>0.0</v>
      </c>
      <c r="BQ6" s="49" t="s">
        <v>55</v>
      </c>
      <c r="BR6" s="49"/>
      <c r="BS6" s="50">
        <v>0.0</v>
      </c>
      <c r="BT6" s="50">
        <v>0.0</v>
      </c>
      <c r="BU6" s="49" t="s">
        <v>57</v>
      </c>
      <c r="BV6" s="50"/>
      <c r="BW6" s="50">
        <v>0.0</v>
      </c>
      <c r="BX6" s="50">
        <v>800.0</v>
      </c>
      <c r="BY6" s="50">
        <v>800.0</v>
      </c>
      <c r="BZ6" s="50">
        <v>80.0</v>
      </c>
      <c r="CA6" s="50">
        <v>80.0</v>
      </c>
      <c r="CB6" s="55"/>
      <c r="CC6" s="50">
        <v>0.0</v>
      </c>
      <c r="CD6" s="50">
        <v>0.0</v>
      </c>
      <c r="CE6" s="50">
        <v>0.0</v>
      </c>
      <c r="CF6" s="50">
        <v>0.0</v>
      </c>
      <c r="CG6" s="50">
        <v>790.0</v>
      </c>
      <c r="CH6" s="64">
        <v>7900.0</v>
      </c>
      <c r="CI6" s="50">
        <v>0.0</v>
      </c>
      <c r="CJ6" s="50">
        <v>0.0</v>
      </c>
      <c r="CK6" s="49" t="b">
        <v>0</v>
      </c>
      <c r="CL6" s="51"/>
      <c r="CM6" s="51"/>
      <c r="CN6" s="50"/>
      <c r="CO6" s="49"/>
      <c r="CP6" s="49"/>
      <c r="CQ6" s="49"/>
      <c r="CR6" s="55"/>
      <c r="CS6" s="50">
        <v>1.0</v>
      </c>
      <c r="CT6" s="51"/>
      <c r="CU6" s="51"/>
      <c r="CV6" s="51"/>
      <c r="CW6" s="51"/>
      <c r="CX6" s="51"/>
      <c r="CY6" s="49" t="s">
        <v>69</v>
      </c>
      <c r="CZ6" s="49" t="s">
        <v>70</v>
      </c>
      <c r="DA6" s="50">
        <v>800.0</v>
      </c>
      <c r="DB6" s="50"/>
      <c r="DC6" s="52"/>
      <c r="DD6" s="50">
        <v>10.0</v>
      </c>
      <c r="DE6" s="50">
        <v>0.0</v>
      </c>
      <c r="DF6" s="50">
        <v>0.0</v>
      </c>
      <c r="DG6" s="50">
        <v>0.0</v>
      </c>
      <c r="DH6" s="50">
        <v>80.0</v>
      </c>
      <c r="DI6" s="50">
        <v>0.0</v>
      </c>
      <c r="DJ6" s="49" t="s">
        <v>20</v>
      </c>
      <c r="DK6" s="50">
        <v>800.0</v>
      </c>
      <c r="DL6" s="50">
        <v>800.0</v>
      </c>
      <c r="DM6" s="50">
        <v>1.0</v>
      </c>
      <c r="DN6" s="50">
        <v>0.0</v>
      </c>
      <c r="DO6" s="49"/>
      <c r="DP6" s="49" t="s">
        <v>39</v>
      </c>
      <c r="DQ6" s="49" t="s">
        <v>68</v>
      </c>
      <c r="DR6" s="49" t="s">
        <v>71</v>
      </c>
      <c r="DS6" s="49" t="s">
        <v>68</v>
      </c>
      <c r="DT6" s="49" t="s">
        <v>68</v>
      </c>
      <c r="DU6" s="49" t="s">
        <v>68</v>
      </c>
      <c r="DV6" s="49" t="s">
        <v>68</v>
      </c>
      <c r="DW6" s="49" t="s">
        <v>68</v>
      </c>
      <c r="DX6" s="49" t="s">
        <v>68</v>
      </c>
      <c r="DY6" s="49" t="s">
        <v>68</v>
      </c>
      <c r="DZ6" s="49"/>
      <c r="EA6" s="49" t="s">
        <v>72</v>
      </c>
      <c r="EB6" s="49" t="s">
        <v>68</v>
      </c>
      <c r="EC6" s="49" t="s">
        <v>68</v>
      </c>
      <c r="ED6" s="49" t="s">
        <v>37</v>
      </c>
      <c r="EE6" s="49" t="s">
        <v>72</v>
      </c>
      <c r="EF6" s="50">
        <v>0.0</v>
      </c>
      <c r="EG6" s="50">
        <v>0.0</v>
      </c>
      <c r="EH6" s="50">
        <v>0.0</v>
      </c>
      <c r="EI6" s="50">
        <v>0.0</v>
      </c>
      <c r="EJ6" s="50">
        <v>0.0</v>
      </c>
      <c r="EK6" s="50">
        <v>0.0</v>
      </c>
      <c r="EL6" s="49" t="s">
        <v>36</v>
      </c>
      <c r="EM6" s="64">
        <v>79200.0</v>
      </c>
      <c r="EN6" s="64">
        <v>79200.0</v>
      </c>
      <c r="EO6" s="50"/>
      <c r="EP6" s="64"/>
      <c r="EQ6" s="50">
        <v>0.0</v>
      </c>
      <c r="ER6" s="64">
        <v>79200.0</v>
      </c>
      <c r="ES6" s="64">
        <v>-79200.0</v>
      </c>
      <c r="ET6" s="50"/>
      <c r="EU6" s="50">
        <v>0.0</v>
      </c>
      <c r="EV6" s="49" t="s">
        <v>36</v>
      </c>
      <c r="EW6" s="50">
        <v>800.0</v>
      </c>
      <c r="EX6" s="49" t="b">
        <v>0</v>
      </c>
      <c r="EY6" s="49"/>
      <c r="EZ6" s="50"/>
      <c r="FA6" s="50"/>
      <c r="FB6" s="50"/>
      <c r="FC6" s="50"/>
      <c r="FD6" s="50"/>
      <c r="FE6" s="50"/>
      <c r="FF6" s="50"/>
      <c r="FG6" s="50"/>
      <c r="FH6" s="50"/>
      <c r="FI6" s="50"/>
      <c r="FJ6" s="50"/>
      <c r="FK6" s="50"/>
      <c r="FL6" s="50"/>
      <c r="FM6" s="50"/>
      <c r="FN6" s="50"/>
      <c r="FO6" s="50"/>
      <c r="FP6" s="50"/>
      <c r="FQ6" s="50"/>
    </row>
    <row r="7" ht="15.75" customHeight="1">
      <c r="A7" s="8"/>
      <c r="B7" s="53"/>
      <c r="C7" s="49" t="s">
        <v>19</v>
      </c>
      <c r="D7" s="64">
        <v>-1000.0</v>
      </c>
      <c r="E7" s="49" t="s">
        <v>23</v>
      </c>
      <c r="F7" s="49" t="s">
        <v>73</v>
      </c>
      <c r="G7" s="50">
        <v>100.0</v>
      </c>
      <c r="H7" s="49" t="s">
        <v>36</v>
      </c>
      <c r="I7" s="64">
        <v>-80000.0</v>
      </c>
      <c r="J7" s="50"/>
      <c r="K7" s="64">
        <v>-80000.0</v>
      </c>
      <c r="L7" s="64">
        <v>80000.0</v>
      </c>
      <c r="M7" s="64">
        <v>79200.0</v>
      </c>
      <c r="N7" s="50">
        <v>0.0</v>
      </c>
      <c r="O7" s="49"/>
      <c r="P7" s="50">
        <v>80.0</v>
      </c>
      <c r="Q7" s="64">
        <v>20000.0</v>
      </c>
      <c r="R7" s="49" t="s">
        <v>74</v>
      </c>
      <c r="S7" s="49" t="s">
        <v>40</v>
      </c>
      <c r="T7" s="49" t="s">
        <v>57</v>
      </c>
      <c r="U7" s="49" t="s">
        <v>41</v>
      </c>
      <c r="V7" s="49" t="s">
        <v>60</v>
      </c>
      <c r="W7" s="49" t="s">
        <v>37</v>
      </c>
      <c r="X7" s="50">
        <v>1.0</v>
      </c>
      <c r="Y7" s="50">
        <v>1.0</v>
      </c>
      <c r="Z7" s="51"/>
      <c r="AA7" s="51"/>
      <c r="AB7" s="50">
        <v>0.0</v>
      </c>
      <c r="AC7" s="50">
        <v>0.0</v>
      </c>
      <c r="AD7" s="64">
        <v>-80000.0</v>
      </c>
      <c r="AE7" s="64">
        <v>-80000.0</v>
      </c>
      <c r="AF7" s="64">
        <v>-1000.0</v>
      </c>
      <c r="AG7" s="64">
        <v>-80000.0</v>
      </c>
      <c r="AH7" s="64">
        <v>-80000.0</v>
      </c>
      <c r="AI7" s="64">
        <v>-80000.0</v>
      </c>
      <c r="AJ7" s="64"/>
      <c r="AK7" s="50">
        <v>0.0</v>
      </c>
      <c r="AL7" s="50">
        <v>1.0</v>
      </c>
      <c r="AM7" s="50">
        <v>1.0</v>
      </c>
      <c r="AN7" s="49" t="s">
        <v>62</v>
      </c>
      <c r="AO7" s="51"/>
      <c r="AP7" s="49" t="s">
        <v>36</v>
      </c>
      <c r="AQ7" s="49" t="s">
        <v>19</v>
      </c>
      <c r="AR7" s="50">
        <v>80.0</v>
      </c>
      <c r="AS7" s="50">
        <v>-1.0</v>
      </c>
      <c r="AT7" s="51"/>
      <c r="AU7" s="51"/>
      <c r="AV7" s="50">
        <v>1.0</v>
      </c>
      <c r="AW7" s="64">
        <v>20000.0</v>
      </c>
      <c r="AX7" s="50">
        <v>0.0</v>
      </c>
      <c r="AY7" s="50">
        <v>0.0</v>
      </c>
      <c r="AZ7" s="64">
        <v>-80000.0</v>
      </c>
      <c r="BA7" s="50">
        <v>0.0</v>
      </c>
      <c r="BB7" s="52"/>
      <c r="BC7" s="50">
        <v>1.0</v>
      </c>
      <c r="BD7" s="50">
        <v>0.0</v>
      </c>
      <c r="BE7" s="49" t="s">
        <v>57</v>
      </c>
      <c r="BF7" s="49" t="s">
        <v>68</v>
      </c>
      <c r="BG7" s="49"/>
      <c r="BH7" s="49" t="s">
        <v>68</v>
      </c>
      <c r="BI7" s="49" t="s">
        <v>68</v>
      </c>
      <c r="BJ7" s="50">
        <v>0.0</v>
      </c>
      <c r="BK7" s="50">
        <v>0.0</v>
      </c>
      <c r="BL7" s="50">
        <v>0.0</v>
      </c>
      <c r="BM7" s="50">
        <v>0.0</v>
      </c>
      <c r="BN7" s="52"/>
      <c r="BO7" s="50">
        <v>0.0</v>
      </c>
      <c r="BP7" s="50">
        <v>0.0</v>
      </c>
      <c r="BQ7" s="49" t="s">
        <v>55</v>
      </c>
      <c r="BR7" s="49"/>
      <c r="BS7" s="50">
        <v>0.0</v>
      </c>
      <c r="BT7" s="50">
        <v>0.0</v>
      </c>
      <c r="BU7" s="49" t="s">
        <v>57</v>
      </c>
      <c r="BV7" s="50"/>
      <c r="BW7" s="50">
        <v>0.0</v>
      </c>
      <c r="BX7" s="64">
        <v>80000.0</v>
      </c>
      <c r="BY7" s="64">
        <v>80000.0</v>
      </c>
      <c r="BZ7" s="50">
        <v>80.0</v>
      </c>
      <c r="CA7" s="50">
        <v>80.0</v>
      </c>
      <c r="CB7" s="53"/>
      <c r="CC7" s="50">
        <v>0.0</v>
      </c>
      <c r="CD7" s="50">
        <v>0.0</v>
      </c>
      <c r="CE7" s="50">
        <v>0.0</v>
      </c>
      <c r="CF7" s="50">
        <v>0.0</v>
      </c>
      <c r="CG7" s="64">
        <v>20000.0</v>
      </c>
      <c r="CH7" s="50">
        <v>20.0</v>
      </c>
      <c r="CI7" s="50">
        <v>0.0</v>
      </c>
      <c r="CJ7" s="50">
        <v>0.0</v>
      </c>
      <c r="CK7" s="49" t="b">
        <v>0</v>
      </c>
      <c r="CL7" s="51"/>
      <c r="CM7" s="51"/>
      <c r="CN7" s="50"/>
      <c r="CO7" s="49"/>
      <c r="CP7" s="49"/>
      <c r="CQ7" s="49"/>
      <c r="CR7" s="53"/>
      <c r="CS7" s="50">
        <v>100.0</v>
      </c>
      <c r="CT7" s="51"/>
      <c r="CU7" s="51"/>
      <c r="CV7" s="51"/>
      <c r="CW7" s="51"/>
      <c r="CX7" s="51"/>
      <c r="CY7" s="49" t="s">
        <v>69</v>
      </c>
      <c r="CZ7" s="49" t="s">
        <v>70</v>
      </c>
      <c r="DA7" s="64">
        <v>80000.0</v>
      </c>
      <c r="DB7" s="50"/>
      <c r="DC7" s="52"/>
      <c r="DD7" s="64">
        <v>-1000.0</v>
      </c>
      <c r="DE7" s="50">
        <v>0.0</v>
      </c>
      <c r="DF7" s="50">
        <v>0.0</v>
      </c>
      <c r="DG7" s="50">
        <v>0.0</v>
      </c>
      <c r="DH7" s="50">
        <v>80.0</v>
      </c>
      <c r="DI7" s="50">
        <v>0.0</v>
      </c>
      <c r="DJ7" s="49" t="s">
        <v>35</v>
      </c>
      <c r="DK7" s="64">
        <v>-80000.0</v>
      </c>
      <c r="DL7" s="64">
        <v>-80000.0</v>
      </c>
      <c r="DM7" s="50">
        <v>1.0</v>
      </c>
      <c r="DN7" s="50">
        <v>0.0</v>
      </c>
      <c r="DO7" s="49"/>
      <c r="DP7" s="49" t="s">
        <v>36</v>
      </c>
      <c r="DQ7" s="49" t="s">
        <v>68</v>
      </c>
      <c r="DR7" s="49" t="s">
        <v>71</v>
      </c>
      <c r="DS7" s="49" t="s">
        <v>68</v>
      </c>
      <c r="DT7" s="49" t="s">
        <v>68</v>
      </c>
      <c r="DU7" s="49" t="s">
        <v>68</v>
      </c>
      <c r="DV7" s="49" t="s">
        <v>68</v>
      </c>
      <c r="DW7" s="49" t="s">
        <v>68</v>
      </c>
      <c r="DX7" s="49" t="s">
        <v>68</v>
      </c>
      <c r="DY7" s="49" t="s">
        <v>68</v>
      </c>
      <c r="DZ7" s="49"/>
      <c r="EA7" s="49" t="s">
        <v>72</v>
      </c>
      <c r="EB7" s="49" t="s">
        <v>68</v>
      </c>
      <c r="EC7" s="49" t="s">
        <v>68</v>
      </c>
      <c r="ED7" s="49" t="s">
        <v>37</v>
      </c>
      <c r="EE7" s="49" t="s">
        <v>72</v>
      </c>
      <c r="EF7" s="50">
        <v>0.0</v>
      </c>
      <c r="EG7" s="50">
        <v>0.0</v>
      </c>
      <c r="EH7" s="50">
        <v>0.0</v>
      </c>
      <c r="EI7" s="50">
        <v>0.0</v>
      </c>
      <c r="EJ7" s="50">
        <v>0.0</v>
      </c>
      <c r="EK7" s="50">
        <v>0.0</v>
      </c>
      <c r="EL7" s="49" t="s">
        <v>36</v>
      </c>
      <c r="EM7" s="64">
        <v>79200.0</v>
      </c>
      <c r="EN7" s="64">
        <v>79200.0</v>
      </c>
      <c r="EO7" s="50"/>
      <c r="EP7" s="64"/>
      <c r="EQ7" s="50">
        <v>0.0</v>
      </c>
      <c r="ER7" s="64">
        <v>79200.0</v>
      </c>
      <c r="ES7" s="64">
        <v>-79200.0</v>
      </c>
      <c r="ET7" s="50"/>
      <c r="EU7" s="50">
        <v>0.0</v>
      </c>
      <c r="EV7" s="49" t="s">
        <v>36</v>
      </c>
      <c r="EW7" s="64">
        <v>-80000.0</v>
      </c>
      <c r="EX7" s="49" t="b">
        <v>0</v>
      </c>
      <c r="EY7" s="49"/>
      <c r="EZ7" s="50"/>
      <c r="FA7" s="50"/>
      <c r="FB7" s="50"/>
      <c r="FC7" s="50"/>
      <c r="FD7" s="50"/>
      <c r="FE7" s="50"/>
      <c r="FF7" s="50"/>
      <c r="FG7" s="50"/>
      <c r="FH7" s="50"/>
      <c r="FI7" s="50"/>
      <c r="FJ7" s="50"/>
      <c r="FK7" s="50"/>
      <c r="FL7" s="50"/>
      <c r="FM7" s="50"/>
      <c r="FN7" s="50"/>
      <c r="FO7" s="50"/>
      <c r="FP7" s="50"/>
      <c r="FQ7" s="50"/>
    </row>
    <row r="9" ht="15.75" customHeight="1">
      <c r="A9" s="8"/>
      <c r="B9" s="55"/>
      <c r="C9" s="49"/>
      <c r="D9" s="64"/>
      <c r="E9" s="49"/>
      <c r="F9" s="49"/>
      <c r="G9" s="50"/>
      <c r="H9" s="49"/>
      <c r="I9" s="50"/>
      <c r="J9" s="50"/>
      <c r="K9" s="50"/>
      <c r="L9" s="50"/>
      <c r="M9" s="64"/>
      <c r="N9" s="64"/>
      <c r="O9" s="66"/>
      <c r="P9" s="50"/>
      <c r="Q9" s="50"/>
      <c r="R9" s="49"/>
      <c r="S9" s="66"/>
      <c r="T9" s="66"/>
      <c r="U9" s="49"/>
      <c r="V9" s="49"/>
      <c r="W9" s="49"/>
      <c r="X9" s="50"/>
      <c r="Y9" s="50"/>
      <c r="Z9" s="67"/>
      <c r="AA9" s="67"/>
      <c r="AB9" s="50"/>
      <c r="AC9" s="50"/>
      <c r="AD9" s="50"/>
      <c r="AE9" s="50"/>
      <c r="AF9" s="64"/>
      <c r="AG9" s="64"/>
      <c r="AH9" s="64"/>
      <c r="AI9" s="64"/>
      <c r="AJ9" s="64"/>
      <c r="AK9" s="64"/>
      <c r="AL9" s="64"/>
      <c r="AM9" s="50"/>
      <c r="AN9" s="49"/>
      <c r="AO9" s="67"/>
      <c r="AP9" s="49"/>
      <c r="AQ9" s="49"/>
      <c r="AR9" s="50"/>
      <c r="AS9" s="50"/>
      <c r="AT9" s="49"/>
      <c r="AU9" s="49"/>
      <c r="AV9" s="50"/>
      <c r="AW9" s="50"/>
      <c r="AX9" s="64"/>
      <c r="AY9" s="50"/>
      <c r="AZ9" s="50"/>
      <c r="BA9" s="64"/>
      <c r="BB9" s="52"/>
      <c r="BC9" s="50"/>
      <c r="BD9" s="50"/>
      <c r="BE9" s="49"/>
      <c r="BF9" s="49"/>
      <c r="BG9" s="49"/>
      <c r="BH9" s="49"/>
      <c r="BI9" s="49"/>
      <c r="BJ9" s="50"/>
      <c r="BK9" s="50"/>
      <c r="BL9" s="50"/>
      <c r="BM9" s="50"/>
      <c r="BN9" s="52"/>
      <c r="BO9" s="50"/>
      <c r="BP9" s="50"/>
      <c r="BQ9" s="49"/>
      <c r="BR9" s="49"/>
      <c r="BS9" s="50"/>
      <c r="BT9" s="50"/>
      <c r="BU9" s="49"/>
      <c r="BV9" s="50"/>
      <c r="BW9" s="50"/>
      <c r="BX9" s="50"/>
      <c r="BY9" s="64"/>
      <c r="BZ9" s="64"/>
      <c r="CA9" s="64"/>
      <c r="CB9" s="55"/>
      <c r="CC9" s="50"/>
      <c r="CD9" s="50"/>
      <c r="CE9" s="50"/>
      <c r="CF9" s="50"/>
      <c r="CG9" s="50"/>
      <c r="CH9" s="64"/>
      <c r="CI9" s="64"/>
      <c r="CJ9" s="50"/>
      <c r="CK9" s="49"/>
      <c r="CL9" s="67"/>
      <c r="CM9" s="67"/>
      <c r="CN9" s="50"/>
      <c r="CO9" s="49"/>
      <c r="CP9" s="49"/>
      <c r="CQ9" s="49"/>
      <c r="CR9" s="55"/>
      <c r="CS9" s="50"/>
      <c r="CT9" s="68"/>
      <c r="CU9" s="67"/>
      <c r="CV9" s="51"/>
      <c r="CW9" s="51"/>
      <c r="CX9" s="51"/>
      <c r="CY9" s="49"/>
      <c r="CZ9" s="49"/>
      <c r="DA9" s="50"/>
      <c r="DB9" s="50"/>
      <c r="DC9" s="52"/>
      <c r="DD9" s="50"/>
      <c r="DE9" s="64"/>
      <c r="DF9" s="50"/>
      <c r="DG9" s="50"/>
      <c r="DH9" s="50"/>
      <c r="DI9" s="64"/>
      <c r="DJ9" s="49"/>
      <c r="DK9" s="50"/>
      <c r="DL9" s="50"/>
      <c r="DM9" s="50"/>
      <c r="DN9" s="50"/>
      <c r="DO9" s="49"/>
      <c r="DP9" s="66"/>
      <c r="DQ9" s="66"/>
      <c r="DR9" s="49"/>
      <c r="DS9" s="49"/>
      <c r="DT9" s="49"/>
      <c r="DU9" s="49"/>
      <c r="DV9" s="49"/>
      <c r="DW9" s="49"/>
      <c r="DX9" s="49"/>
      <c r="DY9" s="49"/>
      <c r="DZ9" s="49"/>
      <c r="EA9" s="49"/>
      <c r="EB9" s="49"/>
      <c r="EC9" s="49"/>
      <c r="ED9" s="49"/>
      <c r="EE9" s="49"/>
      <c r="EF9" s="50"/>
      <c r="EG9" s="50"/>
      <c r="EH9" s="50"/>
      <c r="EI9" s="50"/>
      <c r="EJ9" s="50"/>
      <c r="EK9" s="50"/>
      <c r="EL9" s="49"/>
      <c r="EM9" s="64"/>
      <c r="EN9" s="64"/>
      <c r="EO9" s="50"/>
      <c r="EP9" s="64"/>
      <c r="EQ9" s="50"/>
      <c r="ER9" s="64"/>
      <c r="ES9" s="64"/>
      <c r="ET9" s="50"/>
      <c r="EU9" s="50"/>
      <c r="EV9" s="66"/>
      <c r="EW9" s="64"/>
      <c r="EX9" s="66"/>
      <c r="EY9" s="49"/>
      <c r="EZ9" s="50"/>
      <c r="FA9" s="50"/>
      <c r="FB9" s="64"/>
      <c r="FC9" s="50"/>
      <c r="FD9" s="50"/>
      <c r="FE9" s="50"/>
      <c r="FF9" s="50"/>
    </row>
    <row r="10" ht="15.75" customHeight="1">
      <c r="A10" s="8"/>
      <c r="B10" s="53"/>
      <c r="C10" s="49"/>
      <c r="D10" s="64"/>
      <c r="E10" s="49"/>
      <c r="F10" s="49"/>
      <c r="G10" s="50"/>
      <c r="H10" s="49"/>
      <c r="I10" s="64"/>
      <c r="J10" s="50"/>
      <c r="K10" s="64"/>
      <c r="L10" s="64"/>
      <c r="M10" s="64"/>
      <c r="N10" s="64"/>
      <c r="O10" s="49"/>
      <c r="P10" s="50"/>
      <c r="Q10" s="64"/>
      <c r="R10" s="49"/>
      <c r="S10" s="49"/>
      <c r="T10" s="49"/>
      <c r="U10" s="49"/>
      <c r="V10" s="49"/>
      <c r="W10" s="49"/>
      <c r="X10" s="50"/>
      <c r="Y10" s="50"/>
      <c r="Z10" s="67"/>
      <c r="AA10" s="67"/>
      <c r="AB10" s="50"/>
      <c r="AC10" s="50"/>
      <c r="AD10" s="64"/>
      <c r="AE10" s="64"/>
      <c r="AF10" s="64"/>
      <c r="AG10" s="64"/>
      <c r="AH10" s="64"/>
      <c r="AI10" s="64"/>
      <c r="AJ10" s="64"/>
      <c r="AK10" s="50"/>
      <c r="AL10" s="50"/>
      <c r="AM10" s="50"/>
      <c r="AN10" s="49"/>
      <c r="AO10" s="67"/>
      <c r="AP10" s="49"/>
      <c r="AQ10" s="49"/>
      <c r="AR10" s="50"/>
      <c r="AS10" s="50"/>
      <c r="AT10" s="67"/>
      <c r="AU10" s="67"/>
      <c r="AV10" s="50"/>
      <c r="AW10" s="64"/>
      <c r="AX10" s="50"/>
      <c r="AY10" s="50"/>
      <c r="AZ10" s="64"/>
      <c r="BA10" s="50"/>
      <c r="BB10" s="52"/>
      <c r="BC10" s="50"/>
      <c r="BD10" s="50"/>
      <c r="BE10" s="49"/>
      <c r="BF10" s="49"/>
      <c r="BG10" s="49"/>
      <c r="BH10" s="49"/>
      <c r="BI10" s="49"/>
      <c r="BJ10" s="50"/>
      <c r="BK10" s="50"/>
      <c r="BL10" s="50"/>
      <c r="BM10" s="50"/>
      <c r="BN10" s="52"/>
      <c r="BO10" s="50"/>
      <c r="BP10" s="50"/>
      <c r="BQ10" s="49"/>
      <c r="BR10" s="67"/>
      <c r="BS10" s="50"/>
      <c r="BT10" s="50"/>
      <c r="BU10" s="49"/>
      <c r="BV10" s="50"/>
      <c r="BW10" s="50"/>
      <c r="BX10" s="64"/>
      <c r="BY10" s="64"/>
      <c r="BZ10" s="50"/>
      <c r="CA10" s="50"/>
      <c r="CB10" s="53"/>
      <c r="CC10" s="50"/>
      <c r="CD10" s="50"/>
      <c r="CE10" s="50"/>
      <c r="CF10" s="50"/>
      <c r="CG10" s="64"/>
      <c r="CH10" s="50"/>
      <c r="CI10" s="50"/>
      <c r="CJ10" s="64"/>
      <c r="CK10" s="49"/>
      <c r="CL10" s="67"/>
      <c r="CM10" s="67"/>
      <c r="CN10" s="50"/>
      <c r="CO10" s="49"/>
      <c r="CP10" s="49"/>
      <c r="CQ10" s="49"/>
      <c r="CR10" s="53"/>
      <c r="CS10" s="50"/>
      <c r="CT10" s="69"/>
      <c r="CU10" s="67"/>
      <c r="CV10" s="51"/>
      <c r="CW10" s="51"/>
      <c r="CX10" s="51"/>
      <c r="CY10" s="49"/>
      <c r="CZ10" s="49"/>
      <c r="DA10" s="64"/>
      <c r="DB10" s="50"/>
      <c r="DC10" s="52"/>
      <c r="DD10" s="64"/>
      <c r="DE10" s="50"/>
      <c r="DF10" s="50"/>
      <c r="DG10" s="50"/>
      <c r="DH10" s="50"/>
      <c r="DI10" s="50"/>
      <c r="DJ10" s="49"/>
      <c r="DK10" s="64"/>
      <c r="DL10" s="64"/>
      <c r="DM10" s="50"/>
      <c r="DN10" s="50"/>
      <c r="DO10" s="49"/>
      <c r="DP10" s="49"/>
      <c r="DQ10" s="49"/>
      <c r="DR10" s="49"/>
      <c r="DS10" s="49"/>
      <c r="DT10" s="49"/>
      <c r="DU10" s="49"/>
      <c r="DV10" s="49"/>
      <c r="DW10" s="49"/>
      <c r="DX10" s="49"/>
      <c r="DY10" s="49"/>
      <c r="DZ10" s="49"/>
      <c r="EA10" s="49"/>
      <c r="EB10" s="49"/>
      <c r="EC10" s="49"/>
      <c r="ED10" s="49"/>
      <c r="EE10" s="49"/>
      <c r="EF10" s="50"/>
      <c r="EG10" s="50"/>
      <c r="EH10" s="50"/>
      <c r="EI10" s="50"/>
      <c r="EJ10" s="50"/>
      <c r="EK10" s="50"/>
      <c r="EL10" s="49"/>
      <c r="EM10" s="64"/>
      <c r="EN10" s="64"/>
      <c r="EO10" s="50"/>
      <c r="EP10" s="64"/>
      <c r="EQ10" s="50"/>
      <c r="ER10" s="64"/>
      <c r="ES10" s="64"/>
      <c r="ET10" s="50"/>
      <c r="EU10" s="50"/>
      <c r="EV10" s="66"/>
      <c r="EW10" s="64"/>
      <c r="EX10" s="66"/>
      <c r="EY10" s="49"/>
      <c r="EZ10" s="50"/>
      <c r="FA10" s="50"/>
      <c r="FB10" s="50"/>
      <c r="FC10" s="50"/>
      <c r="FD10" s="50"/>
      <c r="FE10" s="50"/>
      <c r="FF10" s="50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