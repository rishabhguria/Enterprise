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<sst xmlns="http://schemas.openxmlformats.org/spreadsheetml/2006/main" count="1341" uniqueCount="91">
  <si>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</si>
  <si>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</si>
  <si>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</si>
  <si>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</si>
  <si>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</si>
  <si>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</si>
  <si>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</si>
  <si>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</si>
  <si>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</si>
  <si>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</si>
  <si>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</si>
  <si>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</si>
  <si>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</si>
  <si>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</si>
  <si>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</si>
  <si>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</si>
  <si>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</si>
  <si>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</si>
  <si>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</si>
  <si>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</si>
  <si>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</si>
  <si>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</si>
  <si>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</si>
  <si>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</si>
  <si>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AAB-TC</t>
  </si>
  <si>
    <t>Sell short</t>
  </si>
  <si>
    <t>MS</t>
  </si>
  <si>
    <t>Flat Amount</t>
  </si>
  <si>
    <t>CAD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</si>
  <si>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</si>
  <si>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</si>
  <si>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</si>
  <si>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</si>
  <si>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</si>
  <si>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</si>
  <si>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</si>
  <si>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</si>
  <si>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</si>
  <si>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</si>
  <si>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</si>
  <si>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</si>
  <si>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</si>
  <si>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</si>
  <si>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</si>
  <si>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</si>
  <si>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</si>
  <si>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D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</si>
  <si>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</si>
  <si>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</si>
  <si>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</si>
  <si>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</si>
  <si>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</si>
  <si>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</si>
  <si>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BrokerNotes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</si>
  <si>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</si>
  <si>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</si>
  <si>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</si>
  <si>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</si>
  <si>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</si>
  <si>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</si>
  <si>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</si>
  <si>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</si>
  <si>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</si>
  <si>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</si>
  <si>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CorporateAction</t>
  </si>
  <si>
    <t>OpenSpinOff</t>
  </si>
  <si>
    <t>SpinOff</t>
  </si>
  <si>
    <t>ABX-TC</t>
  </si>
  <si>
    <t>CloseAtGivenPrice</t>
  </si>
  <si>
    <t>VerifyAndApplyCorpAction</t>
  </si>
  <si>
    <t>SellShort</t>
  </si>
  <si>
    <t>Buy to Close</t>
  </si>
  <si>
    <t>BuytoClose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</si>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</sst>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5" numFmtId="164" xfId="0" applyAlignment="1" applyFont="1" applyNumberFormat="1">
      <alignment shrinkToFit="0" wrapText="0"/>
    </xf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164" xfId="0" applyAlignment="1" applyBorder="1" applyFont="1" applyNumberFormat="1">
      <alignment shrinkToFit="0" wrapText="0"/>
    </xf>
    <xf borderId="4" fillId="3" fontId="7" numFmtId="164" xfId="0" applyAlignment="1" applyBorder="1" applyFont="1" applyNumberForma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1" numFmtId="164" xfId="0" applyAlignment="1" applyFont="1" applyNumberForma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64" xfId="0" applyFont="1" applyNumberFormat="1"/>
    <xf borderId="1" fillId="2" fontId="1" numFmtId="164" xfId="0" applyAlignment="1" applyBorder="1" applyFont="1" applyNumberFormat="1">
      <alignment horizontal="center" shrinkToFit="0" wrapText="0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6" fontId="13" numFmtId="164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2" fontId="2" numFmtId="164" xfId="0" applyFont="1" applyNumberFormat="1"/>
    <xf borderId="0" fillId="3" fontId="10" numFmtId="164" xfId="0" applyFont="1" applyNumberFormat="1"/>
    <xf borderId="0" fillId="4" fontId="12" numFmtId="164" xfId="0" applyFont="1" applyNumberFormat="1"/>
    <xf borderId="0" fillId="5" fontId="10" numFmtId="164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5" fillId="0" fontId="3" numFmtId="0" xfId="0" applyAlignment="1" applyBorder="1" applyFont="1">
      <alignment readingOrder="0" vertical="bottom"/>
    </xf>
    <xf borderId="0" fillId="2" fontId="1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shrinkToFit="0" wrapText="0"/>
    </xf>
    <xf borderId="0" fillId="3" fontId="4" numFmtId="164" xfId="0" applyAlignment="1" applyFont="1" applyNumberFormat="1">
      <alignment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0" fillId="7" fontId="13" numFmtId="164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7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6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13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5"/>
      <c r="B6" s="35"/>
      <c r="C6" s="36" t="s">
        <v>16</v>
      </c>
      <c r="D6" s="37">
        <v>43871.0</v>
      </c>
      <c r="E6" s="37">
        <v>43875.0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IFERROR(__xludf.DUMMYFUNCTION("""COMPUTED_VALUE"""),"Account")</f>
        <v>Account</v>
      </c>
      <c r="D5" s="31" t="str">
        <f>IFERROR(__xludf.DUMMYFUNCTION("""COMPUTED_VALUE"""),"Symbol")</f>
        <v>Symbol</v>
      </c>
      <c r="E5" s="31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1" t="str">
        <f>IFERROR(__xludf.DUMMYFUNCTION("""COMPUTED_VALUE"""),"Account Side")</f>
        <v>Account Side</v>
      </c>
      <c r="H5" s="31" t="str">
        <f>IFERROR(__xludf.DUMMYFUNCTION("""COMPUTED_VALUE"""),"DR")</f>
        <v>DR</v>
      </c>
      <c r="I5" s="31" t="str">
        <f>IFERROR(__xludf.DUMMYFUNCTION("""COMPUTED_VALUE"""),"CR")</f>
        <v>CR</v>
      </c>
      <c r="J5" s="31" t="str">
        <f>IFERROR(__xludf.DUMMYFUNCTION("""COMPUTED_VALUE"""),"Fx Rate")</f>
        <v>Fx Rate</v>
      </c>
      <c r="K5" s="31" t="str">
        <f>IFERROR(__xludf.DUMMYFUNCTION("""COMPUTED_VALUE"""),"FX Conversion Method Operator")</f>
        <v>FX Conversion Method Operator</v>
      </c>
      <c r="L5" s="31" t="str">
        <f>IFERROR(__xludf.DUMMYFUNCTION("""COMPUTED_VALUE"""),"Description")</f>
        <v>Description</v>
      </c>
      <c r="M5" s="31" t="str">
        <f>IFERROR(__xludf.DUMMYFUNCTION("""COMPUTED_VALUE"""),"Modify Date")</f>
        <v>Modify Date</v>
      </c>
      <c r="N5" s="31" t="str">
        <f>IFERROR(__xludf.DUMMYFUNCTION("""COMPUTED_VALUE"""),"Entry Date")</f>
        <v>Entry Date</v>
      </c>
      <c r="O5" s="31" t="str">
        <f>IFERROR(__xludf.DUMMYFUNCTION("""COMPUTED_VALUE"""),"User")</f>
        <v>User</v>
      </c>
      <c r="P5" s="31" t="str">
        <f>IFERROR(__xludf.DUMMYFUNCTION("""COMPUTED_VALUE"""),"TransactionSource")</f>
        <v>TransactionSource</v>
      </c>
      <c r="Q5" s="31" t="str">
        <f>IFERROR(__xludf.DUMMYFUNCTION("""COMPUTED_VALUE"""),"Base Currency")</f>
        <v>Base Currency</v>
      </c>
      <c r="R5" s="31" t="str">
        <f>IFERROR(__xludf.DUMMYFUNCTION("""COMPUTED_VALUE"""),"DR (Base)")</f>
        <v>DR (Base)</v>
      </c>
      <c r="S5" s="31" t="str">
        <f>IFERROR(__xludf.DUMMYFUNCTION("""COMPUTED_VALUE"""),"CR (Base)")</f>
        <v>CR (Base)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5"/>
      <c r="B6" s="37">
        <v>43871.0</v>
      </c>
      <c r="C6" s="36" t="s">
        <v>16</v>
      </c>
      <c r="D6" s="35"/>
      <c r="E6" s="36" t="s">
        <v>18</v>
      </c>
      <c r="F6" s="36" t="s">
        <v>19</v>
      </c>
      <c r="G6" s="36"/>
      <c r="H6" s="41">
        <v>500000.0</v>
      </c>
      <c r="I6" s="36"/>
      <c r="J6" s="41">
        <v>1.0</v>
      </c>
      <c r="K6" s="36" t="s">
        <v>20</v>
      </c>
      <c r="L6" s="36"/>
      <c r="M6" s="36"/>
      <c r="N6" s="36"/>
      <c r="O6" s="36"/>
      <c r="P6" s="36"/>
      <c r="Q6" s="36"/>
      <c r="R6" s="41">
        <v>500000.0</v>
      </c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2">
        <v>43871.0</v>
      </c>
      <c r="C7" s="38" t="s">
        <v>16</v>
      </c>
      <c r="D7" s="38"/>
      <c r="E7" s="36" t="s">
        <v>18</v>
      </c>
      <c r="F7" s="43" t="s">
        <v>21</v>
      </c>
      <c r="G7" s="38"/>
      <c r="H7" s="38"/>
      <c r="I7" s="44">
        <v>500000.0</v>
      </c>
      <c r="J7" s="44">
        <v>1.0</v>
      </c>
      <c r="K7" s="38" t="s">
        <v>20</v>
      </c>
      <c r="L7" s="38"/>
      <c r="M7" s="38"/>
      <c r="N7" s="38"/>
      <c r="O7" s="38"/>
      <c r="P7" s="38"/>
      <c r="Q7" s="38"/>
      <c r="R7" s="38"/>
      <c r="S7" s="44">
        <v>500000.0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2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</row>
    <row r="28" ht="15.75" customHeight="1">
      <c r="B28" s="39"/>
    </row>
    <row r="29" ht="15.75" customHeight="1">
      <c r="B29" s="39"/>
    </row>
    <row r="30" ht="15.75" customHeight="1">
      <c r="B30" s="39"/>
    </row>
    <row r="31" ht="15.75" customHeight="1">
      <c r="B31" s="39"/>
    </row>
    <row r="32" ht="15.75" customHeight="1">
      <c r="B32" s="39"/>
    </row>
    <row r="33" ht="15.75" customHeight="1">
      <c r="B33" s="39"/>
    </row>
    <row r="34" ht="15.75" customHeight="1">
      <c r="B34" s="39"/>
    </row>
    <row r="35" ht="15.75" customHeight="1">
      <c r="B35" s="39"/>
    </row>
    <row r="36" ht="15.75" customHeight="1">
      <c r="B36" s="39"/>
    </row>
    <row r="37" ht="15.75" customHeight="1">
      <c r="B37" s="39"/>
    </row>
    <row r="38" ht="15.75" customHeight="1">
      <c r="B38" s="39"/>
    </row>
    <row r="39" ht="15.75" customHeight="1">
      <c r="B39" s="39"/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tr">
        <f>IFERROR(__xludf.DUMMYFUNCTION("""COMPUTED_VALUE"""),"EnterDetailsOnTT")</f>
        <v>EnterDetailsOnTT</v>
      </c>
      <c r="D4" s="27" t="str">
        <f>IFERROR(__xludf.DUMMYFUNCTION("""COMPUTED_VALUE"""),"ValidateSymbolTT")</f>
        <v>ValidateSymbolTT</v>
      </c>
      <c r="E4" s="27" t="str">
        <f>IFERROR(__xludf.DUMMYFUNCTION("""COMPUTED_VALUE"""),"VerifyDataTT")</f>
        <v>VerifyDataTT</v>
      </c>
      <c r="F4" s="27" t="str">
        <f>IFERROR(__xludf.DUMMYFUNCTION("""COMPUTED_VALUE"""),"SetUIPreferencesTT")</f>
        <v>SetUIPreferencesTT</v>
      </c>
      <c r="G4" s="27" t="str">
        <f>IFERROR(__xludf.DUMMYFUNCTION("""COMPUTED_VALUE"""),"SetBrokerWisePreferencesTT")</f>
        <v>SetBrokerWisePreferencesTT</v>
      </c>
      <c r="H4" s="27" t="str">
        <f>IFERROR(__xludf.DUMMYFUNCTION("""COMPUTED_VALUE"""),"TradeNewSub")</f>
        <v>TradeNewSub</v>
      </c>
      <c r="I4" s="27" t="str">
        <f>IFERROR(__xludf.DUMMYFUNCTION("""COMPUTED_VALUE"""),"CreateStageOrder")</f>
        <v>CreateStageOrder</v>
      </c>
      <c r="J4" s="27" t="str">
        <f>IFERROR(__xludf.DUMMYFUNCTION("""COMPUTED_VALUE"""),"CreateReplaceOrder")</f>
        <v>CreateReplaceOrder</v>
      </c>
      <c r="K4" s="27" t="str">
        <f>IFERROR(__xludf.DUMMYFUNCTION("""COMPUTED_VALUE"""),"SetGeneralPreference")</f>
        <v>SetGeneralPreference</v>
      </c>
      <c r="L4" s="27" t="str">
        <f>IFERROR(__xludf.DUMMYFUNCTION("""COMPUTED_VALUE"""),"CreateDoneAwayOrder")</f>
        <v>CreateDoneAwayOrder</v>
      </c>
      <c r="M4" s="27" t="str">
        <f>IFERROR(__xludf.DUMMYFUNCTION("""COMPUTED_VALUE"""),"CreateNewSubOrder")</f>
        <v>CreateNewSubOrder</v>
      </c>
      <c r="N4" s="27" t="str">
        <f>IFERROR(__xludf.DUMMYFUNCTION("""COMPUTED_VALUE"""),"TradeBloomberg")</f>
        <v>TradeBloomberg</v>
      </c>
      <c r="O4" s="27" t="str">
        <f>IFERROR(__xludf.DUMMYFUNCTION("""COMPUTED_VALUE"""),"ClickSymbolLookup")</f>
        <v>ClickSymbolLookup</v>
      </c>
      <c r="P4" s="29" t="str">
        <f>IFERROR(__xludf.DUMMYFUNCTION("""COMPUTED_VALUE"""),"VerifyTT")</f>
        <v>VerifyTT</v>
      </c>
      <c r="Q4" s="29" t="str">
        <f>IFERROR(__xludf.DUMMYFUNCTION("""COMPUTED_VALUE"""),"CreateLiveOrder")</f>
        <v>CreateLiveOrder</v>
      </c>
      <c r="R4" s="29" t="str">
        <f>IFERROR(__xludf.DUMMYFUNCTION("""COMPUTED_VALUE"""),"ShowMasterFundOnTT")</f>
        <v>ShowMasterFundOnTT</v>
      </c>
      <c r="S4" s="29" t="str">
        <f>IFERROR(__xludf.DUMMYFUNCTION("""COMPUTED_VALUE"""),"UpdateMasterFundOnTT")</f>
        <v>UpdateMasterFundOnTT</v>
      </c>
      <c r="T4" s="29" t="str">
        <f>IFERROR(__xludf.DUMMYFUNCTION("""COMPUTED_VALUE"""),"SetTTCompliancePreference")</f>
        <v>SetTTCompliancePreference</v>
      </c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IFERROR(__xludf.DUMMYFUNCTION("""COMPUTED_VALUE"""),"Order Side")</f>
        <v>Order Side</v>
      </c>
      <c r="D5" s="31" t="str">
        <f>IFERROR(__xludf.DUMMYFUNCTION("""COMPUTED_VALUE"""),"Quantity")</f>
        <v>Quantity</v>
      </c>
      <c r="E5" s="31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1" t="str">
        <f>IFERROR(__xludf.DUMMYFUNCTION("""COMPUTED_VALUE"""),"Broker")</f>
        <v>Broker</v>
      </c>
      <c r="H5" s="31" t="str">
        <f>IFERROR(__xludf.DUMMYFUNCTION("""COMPUTED_VALUE"""),"TIF")</f>
        <v>TIF</v>
      </c>
      <c r="I5" s="31" t="str">
        <f>IFERROR(__xludf.DUMMYFUNCTION("""COMPUTED_VALUE"""),"Order Type")</f>
        <v>Order Type</v>
      </c>
      <c r="J5" s="31" t="str">
        <f>IFERROR(__xludf.DUMMYFUNCTION("""COMPUTED_VALUE"""),"Price")</f>
        <v>Price</v>
      </c>
      <c r="K5" s="31" t="str">
        <f>IFERROR(__xludf.DUMMYFUNCTION("""COMPUTED_VALUE"""),"Stop")</f>
        <v>Stop</v>
      </c>
      <c r="L5" s="31" t="str">
        <f>IFERROR(__xludf.DUMMYFUNCTION("""COMPUTED_VALUE"""),"Limit")</f>
        <v>Limit</v>
      </c>
      <c r="M5" s="31" t="str">
        <f>IFERROR(__xludf.DUMMYFUNCTION("""COMPUTED_VALUE"""),"Strategy")</f>
        <v>Strategy</v>
      </c>
      <c r="N5" s="31" t="str">
        <f>IFERROR(__xludf.DUMMYFUNCTION("""COMPUTED_VALUE"""),"Trade Date")</f>
        <v>Trade Date</v>
      </c>
      <c r="O5" s="31" t="str">
        <f>IFERROR(__xludf.DUMMYFUNCTION("""COMPUTED_VALUE"""),"FxRate")</f>
        <v>FxRate</v>
      </c>
      <c r="P5" s="31" t="str">
        <f>IFERROR(__xludf.DUMMYFUNCTION("""COMPUTED_VALUE"""),"Notes")</f>
        <v>Notes</v>
      </c>
      <c r="Q5" s="31" t="str">
        <f>IFERROR(__xludf.DUMMYFUNCTION("""COMPUTED_VALUE"""),"Broker Notes")</f>
        <v>Broker Notes</v>
      </c>
      <c r="R5" s="31" t="str">
        <f>IFERROR(__xludf.DUMMYFUNCTION("""COMPUTED_VALUE"""),"CommissionBasis")</f>
        <v>CommissionBasis</v>
      </c>
      <c r="S5" s="31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5"/>
      <c r="B6" s="35" t="s">
        <v>24</v>
      </c>
      <c r="C6" s="45" t="s">
        <v>25</v>
      </c>
      <c r="D6" s="46">
        <v>105.0</v>
      </c>
      <c r="E6" s="41">
        <v>105.0</v>
      </c>
      <c r="F6" s="36"/>
      <c r="G6" s="36" t="s">
        <v>26</v>
      </c>
      <c r="H6" s="36"/>
      <c r="I6" s="36"/>
      <c r="J6" s="41">
        <v>70.0</v>
      </c>
      <c r="K6" s="36"/>
      <c r="L6" s="36"/>
      <c r="M6" s="36"/>
      <c r="N6" s="37">
        <v>43871.0</v>
      </c>
      <c r="O6" s="47">
        <v>1.1</v>
      </c>
      <c r="P6" s="36"/>
      <c r="Q6" s="36"/>
      <c r="R6" s="36" t="s">
        <v>27</v>
      </c>
      <c r="S6" s="47">
        <v>2.5</v>
      </c>
      <c r="T6" s="38" t="s">
        <v>27</v>
      </c>
      <c r="U6" s="48">
        <v>7.5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49" t="s">
        <v>28</v>
      </c>
      <c r="AG6" s="38"/>
      <c r="AH6" s="38"/>
      <c r="AI6" s="38"/>
      <c r="AJ6" s="38"/>
      <c r="AK6" s="38" t="s">
        <v>16</v>
      </c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30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Date")</f>
        <v>Copy Date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7">
        <v>43871.0</v>
      </c>
      <c r="C6" s="37">
        <v>43871.0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IFERROR(__xludf.DUMMYFUNCTION("""COMPUTED_VALUE"""),"From Currency")</f>
        <v>From Currency</v>
      </c>
      <c r="C5" s="31" t="str">
        <f>IFERROR(__xludf.DUMMYFUNCTION("""COMPUTED_VALUE"""),"To Currency")</f>
        <v>To Currency</v>
      </c>
      <c r="D5" s="31" t="str">
        <f>IFERROR(__xludf.DUMMYFUNCTION("""COMPUTED_VALUE"""),"Symbol")</f>
        <v>Symbol</v>
      </c>
      <c r="E5" s="31" t="str">
        <f>IFERROR(__xludf.DUMMYFUNCTION("""COMPUTED_VALUE"""),"Price")</f>
        <v>Price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5"/>
      <c r="B6" s="51" t="s">
        <v>18</v>
      </c>
      <c r="C6" s="52" t="s">
        <v>28</v>
      </c>
      <c r="D6" s="35"/>
      <c r="E6" s="41">
        <v>1.5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32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 ")</f>
        <v>Copy Date 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7">
        <v>43871.0</v>
      </c>
      <c r="C6" s="37">
        <v>43871.0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 t="s">
        <v>24</v>
      </c>
      <c r="C6" s="41">
        <v>75.0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34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43871.0</v>
      </c>
      <c r="E6" s="37">
        <v>43871.0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3" t="s">
        <v>35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IFERROR(__xludf.DUMMYFUNCTION("""COMPUTED_VALUE"""),"Balances as on date")</f>
        <v>Balances as on date</v>
      </c>
      <c r="E5" s="31" t="str">
        <f>IFERROR(__xludf.DUMMYFUNCTION("""COMPUTED_VALUE"""),"IsRunRevalOnGetAccountBalances")</f>
        <v>IsRunRevalOnGetAccountBalances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43871.0</v>
      </c>
      <c r="E6" s="53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>
      <c r="D31" s="39"/>
    </row>
    <row r="32" ht="15.75" customHeight="1">
      <c r="D32" s="39"/>
    </row>
    <row r="33" ht="15.75" customHeight="1">
      <c r="D33" s="39"/>
    </row>
    <row r="34" ht="15.75" customHeight="1">
      <c r="D34" s="39"/>
    </row>
    <row r="35" ht="15.75" customHeight="1">
      <c r="D35" s="39"/>
    </row>
    <row r="36" ht="15.75" customHeight="1">
      <c r="D36" s="39"/>
    </row>
    <row r="37" ht="15.75" customHeight="1">
      <c r="D37" s="39"/>
    </row>
    <row r="38" ht="15.75" customHeight="1">
      <c r="D38" s="39"/>
    </row>
    <row r="39" ht="15.75" customHeight="1">
      <c r="D39" s="39"/>
    </row>
    <row r="40" ht="15.75" customHeight="1"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>
      <c r="D45" s="39"/>
    </row>
    <row r="46" ht="15.75" customHeight="1">
      <c r="D46" s="39"/>
    </row>
    <row r="47" ht="15.75" customHeight="1">
      <c r="D47" s="39"/>
    </row>
    <row r="48" ht="15.75" customHeight="1">
      <c r="D48" s="39"/>
    </row>
    <row r="49" ht="15.75" customHeight="1">
      <c r="D49" s="39"/>
    </row>
    <row r="50" ht="15.75" customHeight="1">
      <c r="D50" s="39"/>
    </row>
    <row r="51" ht="15.75" customHeight="1">
      <c r="D51" s="39"/>
    </row>
    <row r="52" ht="15.75" customHeight="1">
      <c r="D52" s="39"/>
    </row>
    <row r="53" ht="15.75" customHeight="1">
      <c r="D53" s="39"/>
    </row>
    <row r="54" ht="15.75" customHeight="1">
      <c r="D54" s="39"/>
    </row>
    <row r="55" ht="15.75" customHeight="1">
      <c r="D55" s="39"/>
    </row>
    <row r="56" ht="15.75" customHeight="1">
      <c r="D56" s="39"/>
    </row>
    <row r="57" ht="15.75" customHeight="1">
      <c r="D57" s="39"/>
    </row>
    <row r="58" ht="15.75" customHeight="1">
      <c r="D58" s="39"/>
    </row>
    <row r="59" ht="15.75" customHeight="1">
      <c r="D59" s="39"/>
    </row>
    <row r="60" ht="15.75" customHeight="1">
      <c r="D60" s="39"/>
    </row>
    <row r="61" ht="15.75" customHeight="1">
      <c r="D61" s="39"/>
    </row>
    <row r="62" ht="15.75" customHeight="1">
      <c r="D62" s="39"/>
    </row>
    <row r="63" ht="15.75" customHeight="1">
      <c r="D63" s="39"/>
    </row>
    <row r="64" ht="15.75" customHeight="1">
      <c r="D64" s="39"/>
    </row>
    <row r="65" ht="15.75" customHeight="1">
      <c r="D65" s="39"/>
    </row>
    <row r="66" ht="15.75" customHeight="1">
      <c r="D66" s="39"/>
    </row>
    <row r="67" ht="15.75" customHeight="1">
      <c r="D67" s="39"/>
    </row>
    <row r="68" ht="15.75" customHeight="1">
      <c r="D68" s="39"/>
    </row>
    <row r="69" ht="15.75" customHeight="1">
      <c r="D69" s="39"/>
    </row>
    <row r="70" ht="15.75" customHeight="1">
      <c r="D70" s="39"/>
    </row>
    <row r="71" ht="15.75" customHeight="1">
      <c r="D71" s="39"/>
    </row>
    <row r="72" ht="15.75" customHeight="1">
      <c r="D72" s="39"/>
    </row>
    <row r="73" ht="15.75" customHeight="1">
      <c r="D73" s="39"/>
    </row>
    <row r="74" ht="15.75" customHeight="1">
      <c r="D74" s="39"/>
    </row>
    <row r="75" ht="15.75" customHeight="1">
      <c r="D75" s="39"/>
    </row>
    <row r="76" ht="15.75" customHeight="1">
      <c r="D76" s="39"/>
    </row>
    <row r="77" ht="15.75" customHeight="1">
      <c r="D77" s="39"/>
    </row>
    <row r="78" ht="15.75" customHeight="1">
      <c r="D78" s="39"/>
    </row>
    <row r="79" ht="15.75" customHeight="1">
      <c r="D79" s="39"/>
    </row>
    <row r="80" ht="15.75" customHeight="1">
      <c r="D80" s="39"/>
    </row>
    <row r="81" ht="15.75" customHeight="1">
      <c r="D81" s="39"/>
    </row>
    <row r="82" ht="15.75" customHeight="1">
      <c r="D82" s="39"/>
    </row>
    <row r="83" ht="15.75" customHeight="1">
      <c r="D83" s="39"/>
    </row>
    <row r="84" ht="15.75" customHeight="1">
      <c r="D84" s="39"/>
    </row>
    <row r="85" ht="15.75" customHeight="1">
      <c r="D85" s="39"/>
    </row>
    <row r="86" ht="15.75" customHeight="1">
      <c r="D86" s="39"/>
    </row>
    <row r="87" ht="15.75" customHeight="1">
      <c r="D87" s="39"/>
    </row>
    <row r="88" ht="15.75" customHeight="1">
      <c r="D88" s="39"/>
    </row>
    <row r="89" ht="15.75" customHeight="1">
      <c r="D89" s="39"/>
    </row>
    <row r="90" ht="15.75" customHeight="1">
      <c r="D90" s="39"/>
    </row>
    <row r="91" ht="15.75" customHeight="1">
      <c r="D91" s="39"/>
    </row>
    <row r="92" ht="15.75" customHeight="1">
      <c r="D92" s="39"/>
    </row>
    <row r="93" ht="15.75" customHeight="1">
      <c r="D93" s="39"/>
    </row>
    <row r="94" ht="15.75" customHeight="1">
      <c r="D94" s="39"/>
    </row>
    <row r="95" ht="15.75" customHeight="1">
      <c r="D95" s="39"/>
    </row>
    <row r="96" ht="15.75" customHeight="1">
      <c r="D96" s="39"/>
    </row>
    <row r="97" ht="15.75" customHeight="1">
      <c r="D97" s="39"/>
    </row>
    <row r="98" ht="15.75" customHeight="1">
      <c r="D98" s="39"/>
    </row>
    <row r="99" ht="15.75" customHeight="1">
      <c r="D99" s="39"/>
    </row>
    <row r="100" ht="15.75" customHeight="1">
      <c r="D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30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Date")</f>
        <v>Copy Date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7">
        <v>43872.0</v>
      </c>
      <c r="C6" s="37">
        <v>43872.0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IFERROR(__xludf.DUMMYFUNCTION("""COMPUTED_VALUE"""),"From Currency")</f>
        <v>From Currency</v>
      </c>
      <c r="C5" s="31" t="str">
        <f>IFERROR(__xludf.DUMMYFUNCTION("""COMPUTED_VALUE"""),"To Currency")</f>
        <v>To Currency</v>
      </c>
      <c r="D5" s="31" t="str">
        <f>IFERROR(__xludf.DUMMYFUNCTION("""COMPUTED_VALUE"""),"Symbol")</f>
        <v>Symbol</v>
      </c>
      <c r="E5" s="31" t="str">
        <f>IFERROR(__xludf.DUMMYFUNCTION("""COMPUTED_VALUE"""),"Price")</f>
        <v>Price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5"/>
      <c r="B6" s="54" t="s">
        <v>18</v>
      </c>
      <c r="C6" s="54" t="s">
        <v>28</v>
      </c>
      <c r="D6" s="51"/>
      <c r="E6" s="41">
        <v>2.0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32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 ")</f>
        <v>Copy Date 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7">
        <v>43872.0</v>
      </c>
      <c r="C6" s="37">
        <v>43872.0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5"/>
      <c r="B6" s="35" t="s">
        <v>24</v>
      </c>
      <c r="C6" s="55">
        <v>80.0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34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6"/>
      <c r="B6" s="57"/>
      <c r="C6" s="57" t="s">
        <v>16</v>
      </c>
      <c r="D6" s="37">
        <v>43872.0</v>
      </c>
      <c r="E6" s="37">
        <v>43872.0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3" t="s">
        <v>35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IFERROR(__xludf.DUMMYFUNCTION("""COMPUTED_VALUE"""),"Balances as on date")</f>
        <v>Balances as on date</v>
      </c>
      <c r="E5" s="31" t="str">
        <f>IFERROR(__xludf.DUMMYFUNCTION("""COMPUTED_VALUE"""),"IsRunRevalOnGetAccountBalances")</f>
        <v>IsRunRevalOnGetAccountBalances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43872.0</v>
      </c>
      <c r="E6" s="53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>
      <c r="D31" s="39"/>
    </row>
    <row r="32" ht="15.75" customHeight="1">
      <c r="D32" s="39"/>
    </row>
    <row r="33" ht="15.75" customHeight="1">
      <c r="D33" s="39"/>
    </row>
    <row r="34" ht="15.75" customHeight="1">
      <c r="D34" s="39"/>
    </row>
    <row r="35" ht="15.75" customHeight="1">
      <c r="D35" s="39"/>
    </row>
    <row r="36" ht="15.75" customHeight="1">
      <c r="D36" s="39"/>
    </row>
    <row r="37" ht="15.75" customHeight="1">
      <c r="D37" s="39"/>
    </row>
    <row r="38" ht="15.75" customHeight="1">
      <c r="D38" s="39"/>
    </row>
    <row r="39" ht="15.75" customHeight="1">
      <c r="D39" s="39"/>
    </row>
    <row r="40" ht="15.75" customHeight="1"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>
      <c r="D45" s="39"/>
    </row>
    <row r="46" ht="15.75" customHeight="1">
      <c r="D46" s="39"/>
    </row>
    <row r="47" ht="15.75" customHeight="1">
      <c r="D47" s="39"/>
    </row>
    <row r="48" ht="15.75" customHeight="1">
      <c r="D48" s="39"/>
    </row>
    <row r="49" ht="15.75" customHeight="1">
      <c r="D49" s="39"/>
    </row>
    <row r="50" ht="15.75" customHeight="1">
      <c r="D50" s="39"/>
    </row>
    <row r="51" ht="15.75" customHeight="1">
      <c r="D51" s="39"/>
    </row>
    <row r="52" ht="15.75" customHeight="1">
      <c r="D52" s="39"/>
    </row>
    <row r="53" ht="15.75" customHeight="1">
      <c r="D53" s="39"/>
    </row>
    <row r="54" ht="15.75" customHeight="1">
      <c r="D54" s="39"/>
    </row>
    <row r="55" ht="15.75" customHeight="1">
      <c r="D55" s="39"/>
    </row>
    <row r="56" ht="15.75" customHeight="1">
      <c r="D56" s="39"/>
    </row>
    <row r="57" ht="15.75" customHeight="1">
      <c r="D57" s="39"/>
    </row>
    <row r="58" ht="15.75" customHeight="1">
      <c r="D58" s="39"/>
    </row>
    <row r="59" ht="15.75" customHeight="1">
      <c r="D59" s="39"/>
    </row>
    <row r="60" ht="15.75" customHeight="1">
      <c r="D60" s="39"/>
    </row>
    <row r="61" ht="15.75" customHeight="1">
      <c r="D61" s="39"/>
    </row>
    <row r="62" ht="15.75" customHeight="1">
      <c r="D62" s="39"/>
    </row>
    <row r="63" ht="15.75" customHeight="1">
      <c r="D63" s="39"/>
    </row>
    <row r="64" ht="15.75" customHeight="1">
      <c r="D64" s="39"/>
    </row>
    <row r="65" ht="15.75" customHeight="1">
      <c r="D65" s="39"/>
    </row>
    <row r="66" ht="15.75" customHeight="1">
      <c r="D66" s="39"/>
    </row>
    <row r="67" ht="15.75" customHeight="1">
      <c r="D67" s="39"/>
    </row>
    <row r="68" ht="15.75" customHeight="1">
      <c r="D68" s="39"/>
    </row>
    <row r="69" ht="15.75" customHeight="1">
      <c r="D69" s="39"/>
    </row>
    <row r="70" ht="15.75" customHeight="1">
      <c r="D70" s="39"/>
    </row>
    <row r="71" ht="15.75" customHeight="1">
      <c r="D71" s="39"/>
    </row>
    <row r="72" ht="15.75" customHeight="1">
      <c r="D72" s="39"/>
    </row>
    <row r="73" ht="15.75" customHeight="1">
      <c r="D73" s="39"/>
    </row>
    <row r="74" ht="15.75" customHeight="1">
      <c r="D74" s="39"/>
    </row>
    <row r="75" ht="15.75" customHeight="1">
      <c r="D75" s="39"/>
    </row>
    <row r="76" ht="15.75" customHeight="1">
      <c r="D76" s="39"/>
    </row>
    <row r="77" ht="15.75" customHeight="1">
      <c r="D77" s="39"/>
    </row>
    <row r="78" ht="15.75" customHeight="1">
      <c r="D78" s="39"/>
    </row>
    <row r="79" ht="15.75" customHeight="1">
      <c r="D79" s="39"/>
    </row>
    <row r="80" ht="15.75" customHeight="1">
      <c r="D80" s="39"/>
    </row>
    <row r="81" ht="15.75" customHeight="1">
      <c r="D81" s="39"/>
    </row>
    <row r="82" ht="15.75" customHeight="1">
      <c r="D82" s="39"/>
    </row>
    <row r="83" ht="15.75" customHeight="1">
      <c r="D83" s="39"/>
    </row>
    <row r="84" ht="15.75" customHeight="1">
      <c r="D84" s="39"/>
    </row>
    <row r="85" ht="15.75" customHeight="1">
      <c r="D85" s="39"/>
    </row>
    <row r="86" ht="15.75" customHeight="1">
      <c r="D86" s="39"/>
    </row>
    <row r="87" ht="15.75" customHeight="1">
      <c r="D87" s="39"/>
    </row>
    <row r="88" ht="15.75" customHeight="1">
      <c r="D88" s="39"/>
    </row>
    <row r="89" ht="15.75" customHeight="1">
      <c r="D89" s="39"/>
    </row>
    <row r="90" ht="15.75" customHeight="1">
      <c r="D90" s="39"/>
    </row>
    <row r="91" ht="15.75" customHeight="1">
      <c r="D91" s="39"/>
    </row>
    <row r="92" ht="15.75" customHeight="1">
      <c r="D92" s="39"/>
    </row>
    <row r="93" ht="15.75" customHeight="1">
      <c r="D93" s="39"/>
    </row>
    <row r="94" ht="15.75" customHeight="1">
      <c r="D94" s="39"/>
    </row>
    <row r="95" ht="15.75" customHeight="1">
      <c r="D95" s="39"/>
    </row>
    <row r="96" ht="15.75" customHeight="1">
      <c r="D96" s="39"/>
    </row>
    <row r="97" ht="15.75" customHeight="1">
      <c r="D97" s="39"/>
    </row>
    <row r="98" ht="15.75" customHeight="1">
      <c r="D98" s="39"/>
    </row>
    <row r="99" ht="15.75" customHeight="1">
      <c r="D99" s="39"/>
    </row>
    <row r="100" ht="15.75" customHeight="1">
      <c r="D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43871.0</v>
      </c>
      <c r="E6" s="37">
        <v>43872.0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IFERROR(__xludf.DUMMYFUNCTION("""COMPUTED_VALUE"""),"Account")</f>
        <v>Account</v>
      </c>
      <c r="D5" s="31" t="str">
        <f>IFERROR(__xludf.DUMMYFUNCTION("""COMPUTED_VALUE"""),"Symbol")</f>
        <v>Symbol</v>
      </c>
      <c r="E5" s="31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1" t="str">
        <f>IFERROR(__xludf.DUMMYFUNCTION("""COMPUTED_VALUE"""),"DR")</f>
        <v>DR</v>
      </c>
      <c r="H5" s="31" t="str">
        <f>IFERROR(__xludf.DUMMYFUNCTION("""COMPUTED_VALUE"""),"CR")</f>
        <v>CR</v>
      </c>
      <c r="I5" s="31" t="str">
        <f>IFERROR(__xludf.DUMMYFUNCTION("""COMPUTED_VALUE"""),"Modify Date")</f>
        <v>Modify Date</v>
      </c>
      <c r="J5" s="31" t="str">
        <f>IFERROR(__xludf.DUMMYFUNCTION("""COMPUTED_VALUE"""),"Entry Date")</f>
        <v>Entry Date</v>
      </c>
      <c r="K5" s="31" t="str">
        <f>IFERROR(__xludf.DUMMYFUNCTION("""COMPUTED_VALUE"""),"User")</f>
        <v>User</v>
      </c>
      <c r="L5" s="31" t="str">
        <f>IFERROR(__xludf.DUMMYFUNCTION("""COMPUTED_VALUE"""),"Fx Rate")</f>
        <v>Fx Rate</v>
      </c>
      <c r="M5" s="31" t="str">
        <f>IFERROR(__xludf.DUMMYFUNCTION("""COMPUTED_VALUE"""),"FX Conversion Method Operator")</f>
        <v>FX Conversion Method Operator</v>
      </c>
      <c r="N5" s="31" t="str">
        <f>IFERROR(__xludf.DUMMYFUNCTION("""COMPUTED_VALUE"""),"Account Side")</f>
        <v>Account Side</v>
      </c>
      <c r="O5" s="31" t="str">
        <f>IFERROR(__xludf.DUMMYFUNCTION("""COMPUTED_VALUE"""),"TransactionSource")</f>
        <v>TransactionSource</v>
      </c>
      <c r="P5" s="31" t="str">
        <f>IFERROR(__xludf.DUMMYFUNCTION("""COMPUTED_VALUE"""),"Base Currency")</f>
        <v>Base Currency</v>
      </c>
      <c r="Q5" s="31" t="str">
        <f>IFERROR(__xludf.DUMMYFUNCTION("""COMPUTED_VALUE"""),"Description")</f>
        <v>Description</v>
      </c>
      <c r="R5" s="31" t="str">
        <f>IFERROR(__xludf.DUMMYFUNCTION("""COMPUTED_VALUE"""),"DR (Base)")</f>
        <v>DR (Base)</v>
      </c>
      <c r="S5" s="31" t="str">
        <f>IFERROR(__xludf.DUMMYFUNCTION("""COMPUTED_VALUE"""),"CR (Base)")</f>
        <v>CR (Base)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58">
        <v>43871.0</v>
      </c>
      <c r="C6" s="59" t="s">
        <v>16</v>
      </c>
      <c r="D6" s="59" t="s">
        <v>24</v>
      </c>
      <c r="E6" s="59" t="s">
        <v>28</v>
      </c>
      <c r="F6" s="59" t="s">
        <v>38</v>
      </c>
      <c r="G6" s="60">
        <v>535.0</v>
      </c>
      <c r="H6" s="61">
        <v>0.0</v>
      </c>
      <c r="I6" s="8"/>
      <c r="J6" s="8"/>
      <c r="K6" s="8"/>
      <c r="L6" s="60">
        <v>0.666666667</v>
      </c>
      <c r="M6" s="59" t="s">
        <v>20</v>
      </c>
      <c r="N6" s="59" t="s">
        <v>39</v>
      </c>
      <c r="O6" s="59" t="s">
        <v>40</v>
      </c>
      <c r="P6" s="59" t="s">
        <v>18</v>
      </c>
      <c r="Q6" s="59" t="s">
        <v>41</v>
      </c>
      <c r="R6" s="60">
        <v>356.6666667</v>
      </c>
      <c r="S6" s="60">
        <v>0.0</v>
      </c>
    </row>
    <row r="7" ht="15.75" customHeight="1">
      <c r="A7" s="8"/>
      <c r="B7" s="58">
        <v>43871.0</v>
      </c>
      <c r="C7" s="59" t="s">
        <v>16</v>
      </c>
      <c r="D7" s="59" t="s">
        <v>24</v>
      </c>
      <c r="E7" s="59" t="s">
        <v>28</v>
      </c>
      <c r="F7" s="62" t="s">
        <v>42</v>
      </c>
      <c r="G7" s="63">
        <v>0.0</v>
      </c>
      <c r="H7" s="64">
        <v>535.0</v>
      </c>
      <c r="I7" s="8"/>
      <c r="J7" s="8"/>
      <c r="K7" s="8"/>
      <c r="L7" s="64">
        <v>0.666666667</v>
      </c>
      <c r="M7" s="62" t="s">
        <v>20</v>
      </c>
      <c r="N7" s="62" t="s">
        <v>43</v>
      </c>
      <c r="O7" s="62" t="s">
        <v>40</v>
      </c>
      <c r="P7" s="62" t="s">
        <v>18</v>
      </c>
      <c r="Q7" s="59" t="s">
        <v>41</v>
      </c>
      <c r="R7" s="64">
        <v>0.0</v>
      </c>
      <c r="S7" s="64">
        <v>356.6666667</v>
      </c>
    </row>
    <row r="8" ht="15.75" customHeight="1">
      <c r="A8" s="8"/>
      <c r="B8" s="58">
        <v>43871.0</v>
      </c>
      <c r="C8" s="59" t="s">
        <v>16</v>
      </c>
      <c r="D8" s="59" t="s">
        <v>28</v>
      </c>
      <c r="E8" s="59" t="s">
        <v>18</v>
      </c>
      <c r="F8" s="59" t="s">
        <v>42</v>
      </c>
      <c r="G8" s="60">
        <v>1779.4</v>
      </c>
      <c r="H8" s="61">
        <v>0.0</v>
      </c>
      <c r="I8" s="8"/>
      <c r="J8" s="8"/>
      <c r="K8" s="8"/>
      <c r="L8" s="60">
        <v>1.0</v>
      </c>
      <c r="M8" s="59" t="s">
        <v>20</v>
      </c>
      <c r="N8" s="59" t="s">
        <v>39</v>
      </c>
      <c r="O8" s="59" t="s">
        <v>40</v>
      </c>
      <c r="P8" s="59" t="s">
        <v>18</v>
      </c>
      <c r="Q8" s="59" t="s">
        <v>41</v>
      </c>
      <c r="R8" s="60">
        <v>1779.4</v>
      </c>
      <c r="S8" s="60">
        <v>0.0</v>
      </c>
    </row>
    <row r="9" ht="15.75" customHeight="1">
      <c r="A9" s="8"/>
      <c r="B9" s="58">
        <v>43871.0</v>
      </c>
      <c r="C9" s="59" t="s">
        <v>16</v>
      </c>
      <c r="D9" s="59" t="s">
        <v>28</v>
      </c>
      <c r="E9" s="59" t="s">
        <v>18</v>
      </c>
      <c r="F9" s="62" t="s">
        <v>38</v>
      </c>
      <c r="G9" s="63">
        <v>0.0</v>
      </c>
      <c r="H9" s="64">
        <v>1779.4</v>
      </c>
      <c r="I9" s="8"/>
      <c r="J9" s="8"/>
      <c r="K9" s="8"/>
      <c r="L9" s="64">
        <v>1.0</v>
      </c>
      <c r="M9" s="62" t="s">
        <v>20</v>
      </c>
      <c r="N9" s="62" t="s">
        <v>43</v>
      </c>
      <c r="O9" s="62" t="s">
        <v>40</v>
      </c>
      <c r="P9" s="62" t="s">
        <v>18</v>
      </c>
      <c r="Q9" s="59" t="s">
        <v>41</v>
      </c>
      <c r="R9" s="64">
        <v>0.0</v>
      </c>
      <c r="S9" s="64">
        <v>1779.4</v>
      </c>
    </row>
    <row r="10" ht="15.75" customHeight="1">
      <c r="A10" s="8"/>
      <c r="B10" s="58">
        <v>43872.0</v>
      </c>
      <c r="C10" s="59" t="s">
        <v>16</v>
      </c>
      <c r="D10" s="59" t="s">
        <v>24</v>
      </c>
      <c r="E10" s="59" t="s">
        <v>28</v>
      </c>
      <c r="F10" s="59" t="s">
        <v>38</v>
      </c>
      <c r="G10" s="60">
        <v>1060.0</v>
      </c>
      <c r="H10" s="61">
        <v>0.0</v>
      </c>
      <c r="I10" s="8"/>
      <c r="J10" s="8"/>
      <c r="K10" s="8"/>
      <c r="L10" s="60">
        <v>0.5</v>
      </c>
      <c r="M10" s="59" t="s">
        <v>20</v>
      </c>
      <c r="N10" s="59" t="s">
        <v>39</v>
      </c>
      <c r="O10" s="59" t="s">
        <v>40</v>
      </c>
      <c r="P10" s="59" t="s">
        <v>18</v>
      </c>
      <c r="Q10" s="59" t="s">
        <v>41</v>
      </c>
      <c r="R10" s="60">
        <v>530.0</v>
      </c>
      <c r="S10" s="60">
        <v>0.0</v>
      </c>
    </row>
    <row r="11" ht="15.75" customHeight="1">
      <c r="A11" s="8"/>
      <c r="B11" s="58">
        <v>43872.0</v>
      </c>
      <c r="C11" s="59" t="s">
        <v>16</v>
      </c>
      <c r="D11" s="59" t="s">
        <v>24</v>
      </c>
      <c r="E11" s="59" t="s">
        <v>28</v>
      </c>
      <c r="F11" s="62" t="s">
        <v>42</v>
      </c>
      <c r="G11" s="63">
        <v>0.0</v>
      </c>
      <c r="H11" s="64">
        <v>1060.0</v>
      </c>
      <c r="I11" s="8"/>
      <c r="J11" s="8"/>
      <c r="K11" s="8"/>
      <c r="L11" s="64">
        <v>0.5</v>
      </c>
      <c r="M11" s="62" t="s">
        <v>20</v>
      </c>
      <c r="N11" s="62" t="s">
        <v>43</v>
      </c>
      <c r="O11" s="62" t="s">
        <v>40</v>
      </c>
      <c r="P11" s="62" t="s">
        <v>18</v>
      </c>
      <c r="Q11" s="59" t="s">
        <v>41</v>
      </c>
      <c r="R11" s="64">
        <v>0.0</v>
      </c>
      <c r="S11" s="64">
        <v>530.0</v>
      </c>
    </row>
    <row r="12" ht="15.75" customHeight="1">
      <c r="A12" s="8"/>
      <c r="B12" s="58">
        <v>43872.0</v>
      </c>
      <c r="C12" s="59" t="s">
        <v>16</v>
      </c>
      <c r="D12" s="59" t="s">
        <v>28</v>
      </c>
      <c r="E12" s="59" t="s">
        <v>18</v>
      </c>
      <c r="F12" s="59" t="s">
        <v>42</v>
      </c>
      <c r="G12" s="60">
        <v>3002.73</v>
      </c>
      <c r="H12" s="61">
        <v>0.0</v>
      </c>
      <c r="I12" s="8"/>
      <c r="J12" s="8"/>
      <c r="K12" s="8"/>
      <c r="L12" s="60">
        <v>1.0</v>
      </c>
      <c r="M12" s="59" t="s">
        <v>20</v>
      </c>
      <c r="N12" s="59" t="s">
        <v>39</v>
      </c>
      <c r="O12" s="59" t="s">
        <v>40</v>
      </c>
      <c r="P12" s="59" t="s">
        <v>18</v>
      </c>
      <c r="Q12" s="59" t="s">
        <v>41</v>
      </c>
      <c r="R12" s="60">
        <v>3002.73</v>
      </c>
      <c r="S12" s="60">
        <v>0.0</v>
      </c>
    </row>
    <row r="13" ht="15.75" customHeight="1">
      <c r="A13" s="8"/>
      <c r="B13" s="58">
        <v>43872.0</v>
      </c>
      <c r="C13" s="59" t="s">
        <v>16</v>
      </c>
      <c r="D13" s="59" t="s">
        <v>28</v>
      </c>
      <c r="E13" s="59" t="s">
        <v>18</v>
      </c>
      <c r="F13" s="62" t="s">
        <v>38</v>
      </c>
      <c r="G13" s="63">
        <v>0.0</v>
      </c>
      <c r="H13" s="64">
        <v>3002.73</v>
      </c>
      <c r="I13" s="8"/>
      <c r="J13" s="8"/>
      <c r="K13" s="8"/>
      <c r="L13" s="64">
        <v>1.0</v>
      </c>
      <c r="M13" s="62" t="s">
        <v>20</v>
      </c>
      <c r="N13" s="62" t="s">
        <v>43</v>
      </c>
      <c r="O13" s="62" t="s">
        <v>40</v>
      </c>
      <c r="P13" s="62" t="s">
        <v>18</v>
      </c>
      <c r="Q13" s="59" t="s">
        <v>41</v>
      </c>
      <c r="R13" s="64">
        <v>0.0</v>
      </c>
      <c r="S13" s="64">
        <v>3002.73</v>
      </c>
    </row>
    <row r="14" ht="15.75" customHeight="1">
      <c r="A14" s="8"/>
      <c r="B14" s="58">
        <v>43872.0</v>
      </c>
      <c r="C14" s="59" t="s">
        <v>16</v>
      </c>
      <c r="D14" s="59" t="s">
        <v>24</v>
      </c>
      <c r="E14" s="59" t="s">
        <v>28</v>
      </c>
      <c r="F14" s="59" t="s">
        <v>42</v>
      </c>
      <c r="G14" s="60">
        <v>535.0</v>
      </c>
      <c r="H14" s="61">
        <v>0.0</v>
      </c>
      <c r="I14" s="8"/>
      <c r="J14" s="8"/>
      <c r="K14" s="8"/>
      <c r="L14" s="60">
        <v>0.666666667</v>
      </c>
      <c r="M14" s="59" t="s">
        <v>20</v>
      </c>
      <c r="N14" s="59" t="s">
        <v>39</v>
      </c>
      <c r="O14" s="59" t="s">
        <v>40</v>
      </c>
      <c r="P14" s="59" t="s">
        <v>18</v>
      </c>
      <c r="Q14" s="59" t="s">
        <v>44</v>
      </c>
      <c r="R14" s="60">
        <v>356.6666667</v>
      </c>
      <c r="S14" s="60">
        <v>0.0</v>
      </c>
    </row>
    <row r="15" ht="15.75" customHeight="1">
      <c r="A15" s="8"/>
      <c r="B15" s="58">
        <v>43872.0</v>
      </c>
      <c r="C15" s="59" t="s">
        <v>16</v>
      </c>
      <c r="D15" s="59" t="s">
        <v>24</v>
      </c>
      <c r="E15" s="59" t="s">
        <v>28</v>
      </c>
      <c r="F15" s="62" t="s">
        <v>38</v>
      </c>
      <c r="G15" s="63">
        <v>0.0</v>
      </c>
      <c r="H15" s="64">
        <v>535.0</v>
      </c>
      <c r="I15" s="8"/>
      <c r="J15" s="8"/>
      <c r="K15" s="8"/>
      <c r="L15" s="64">
        <v>0.666666667</v>
      </c>
      <c r="M15" s="62" t="s">
        <v>20</v>
      </c>
      <c r="N15" s="62" t="s">
        <v>43</v>
      </c>
      <c r="O15" s="62" t="s">
        <v>40</v>
      </c>
      <c r="P15" s="62" t="s">
        <v>18</v>
      </c>
      <c r="Q15" s="59" t="s">
        <v>44</v>
      </c>
      <c r="R15" s="64">
        <v>0.0</v>
      </c>
      <c r="S15" s="64">
        <v>356.6666667</v>
      </c>
    </row>
    <row r="16" ht="15.75" customHeight="1">
      <c r="A16" s="8"/>
      <c r="B16" s="58">
        <v>43872.0</v>
      </c>
      <c r="C16" s="59" t="s">
        <v>16</v>
      </c>
      <c r="D16" s="59" t="s">
        <v>28</v>
      </c>
      <c r="E16" s="59" t="s">
        <v>18</v>
      </c>
      <c r="F16" s="59" t="s">
        <v>38</v>
      </c>
      <c r="G16" s="60">
        <v>1779.4</v>
      </c>
      <c r="H16" s="61">
        <v>0.0</v>
      </c>
      <c r="I16" s="8"/>
      <c r="J16" s="8"/>
      <c r="K16" s="8"/>
      <c r="L16" s="60">
        <v>1.0</v>
      </c>
      <c r="M16" s="59" t="s">
        <v>20</v>
      </c>
      <c r="N16" s="59" t="s">
        <v>39</v>
      </c>
      <c r="O16" s="59" t="s">
        <v>40</v>
      </c>
      <c r="P16" s="59" t="s">
        <v>18</v>
      </c>
      <c r="Q16" s="59" t="s">
        <v>44</v>
      </c>
      <c r="R16" s="60">
        <v>1779.4</v>
      </c>
      <c r="S16" s="60">
        <v>0.0</v>
      </c>
    </row>
    <row r="17" ht="15.75" customHeight="1">
      <c r="A17" s="8"/>
      <c r="B17" s="58">
        <v>43872.0</v>
      </c>
      <c r="C17" s="59" t="s">
        <v>16</v>
      </c>
      <c r="D17" s="59" t="s">
        <v>28</v>
      </c>
      <c r="E17" s="59" t="s">
        <v>18</v>
      </c>
      <c r="F17" s="62" t="s">
        <v>42</v>
      </c>
      <c r="G17" s="63">
        <v>0.0</v>
      </c>
      <c r="H17" s="64">
        <v>1779.4</v>
      </c>
      <c r="I17" s="8"/>
      <c r="J17" s="8"/>
      <c r="K17" s="8"/>
      <c r="L17" s="64">
        <v>1.0</v>
      </c>
      <c r="M17" s="62" t="s">
        <v>20</v>
      </c>
      <c r="N17" s="62" t="s">
        <v>43</v>
      </c>
      <c r="O17" s="62" t="s">
        <v>40</v>
      </c>
      <c r="P17" s="62" t="s">
        <v>18</v>
      </c>
      <c r="Q17" s="59" t="s">
        <v>44</v>
      </c>
      <c r="R17" s="64">
        <v>0.0</v>
      </c>
      <c r="S17" s="64">
        <v>1779.4</v>
      </c>
    </row>
    <row r="18" ht="15.75" customHeight="1">
      <c r="A18" s="8"/>
      <c r="B18" s="65">
        <v>43871.0</v>
      </c>
      <c r="C18" s="59" t="s">
        <v>16</v>
      </c>
      <c r="D18" s="59" t="s">
        <v>24</v>
      </c>
      <c r="E18" s="59" t="s">
        <v>28</v>
      </c>
      <c r="F18" s="59" t="s">
        <v>45</v>
      </c>
      <c r="G18" s="60">
        <v>7340.0</v>
      </c>
      <c r="H18" s="61">
        <v>0.0</v>
      </c>
      <c r="I18" s="8"/>
      <c r="J18" s="8"/>
      <c r="K18" s="8"/>
      <c r="L18" s="60">
        <v>1.1</v>
      </c>
      <c r="M18" s="59" t="s">
        <v>46</v>
      </c>
      <c r="N18" s="59" t="s">
        <v>39</v>
      </c>
      <c r="O18" s="59" t="s">
        <v>40</v>
      </c>
      <c r="P18" s="59" t="s">
        <v>18</v>
      </c>
      <c r="Q18" s="59" t="s">
        <v>47</v>
      </c>
      <c r="R18" s="60">
        <v>6672.727273</v>
      </c>
      <c r="S18" s="60">
        <v>0.0</v>
      </c>
    </row>
    <row r="19" ht="15.75" customHeight="1">
      <c r="A19" s="8"/>
      <c r="B19" s="65">
        <v>43871.0</v>
      </c>
      <c r="C19" s="59" t="s">
        <v>16</v>
      </c>
      <c r="D19" s="59" t="s">
        <v>24</v>
      </c>
      <c r="E19" s="59" t="s">
        <v>28</v>
      </c>
      <c r="F19" s="62" t="s">
        <v>19</v>
      </c>
      <c r="G19" s="63">
        <v>0.0</v>
      </c>
      <c r="H19" s="64">
        <v>7340.0</v>
      </c>
      <c r="I19" s="8"/>
      <c r="J19" s="8"/>
      <c r="K19" s="8"/>
      <c r="L19" s="64">
        <v>1.1</v>
      </c>
      <c r="M19" s="62" t="s">
        <v>46</v>
      </c>
      <c r="N19" s="62" t="s">
        <v>43</v>
      </c>
      <c r="O19" s="62" t="s">
        <v>40</v>
      </c>
      <c r="P19" s="62" t="s">
        <v>18</v>
      </c>
      <c r="Q19" s="59" t="s">
        <v>47</v>
      </c>
      <c r="R19" s="64">
        <v>0.0</v>
      </c>
      <c r="S19" s="64">
        <v>6672.727273</v>
      </c>
    </row>
    <row r="20" ht="15.75" customHeight="1">
      <c r="A20" s="8"/>
      <c r="B20" s="65">
        <v>43871.0</v>
      </c>
      <c r="C20" s="59" t="s">
        <v>16</v>
      </c>
      <c r="D20" s="59" t="s">
        <v>24</v>
      </c>
      <c r="E20" s="59" t="s">
        <v>28</v>
      </c>
      <c r="F20" s="59" t="s">
        <v>19</v>
      </c>
      <c r="G20" s="60">
        <v>7340.0</v>
      </c>
      <c r="H20" s="61">
        <v>0.0</v>
      </c>
      <c r="I20" s="8"/>
      <c r="J20" s="8"/>
      <c r="K20" s="8"/>
      <c r="L20" s="60">
        <v>0.666666667</v>
      </c>
      <c r="M20" s="59" t="s">
        <v>20</v>
      </c>
      <c r="N20" s="59" t="s">
        <v>39</v>
      </c>
      <c r="O20" s="59" t="s">
        <v>40</v>
      </c>
      <c r="P20" s="59" t="s">
        <v>18</v>
      </c>
      <c r="Q20" s="59" t="s">
        <v>48</v>
      </c>
      <c r="R20" s="60">
        <v>4893.333333</v>
      </c>
      <c r="S20" s="60">
        <v>0.0</v>
      </c>
    </row>
    <row r="21" ht="15.75" customHeight="1">
      <c r="A21" s="8"/>
      <c r="B21" s="65">
        <v>43871.0</v>
      </c>
      <c r="C21" s="59" t="s">
        <v>16</v>
      </c>
      <c r="D21" s="59" t="s">
        <v>24</v>
      </c>
      <c r="E21" s="59" t="s">
        <v>28</v>
      </c>
      <c r="F21" s="62" t="s">
        <v>45</v>
      </c>
      <c r="G21" s="63">
        <v>0.0</v>
      </c>
      <c r="H21" s="64">
        <v>7340.0</v>
      </c>
      <c r="I21" s="8"/>
      <c r="J21" s="8"/>
      <c r="K21" s="8"/>
      <c r="L21" s="64">
        <v>0.666666667</v>
      </c>
      <c r="M21" s="62" t="s">
        <v>20</v>
      </c>
      <c r="N21" s="62" t="s">
        <v>43</v>
      </c>
      <c r="O21" s="62" t="s">
        <v>40</v>
      </c>
      <c r="P21" s="62" t="s">
        <v>18</v>
      </c>
      <c r="Q21" s="59" t="s">
        <v>48</v>
      </c>
      <c r="R21" s="64">
        <v>0.0</v>
      </c>
      <c r="S21" s="64">
        <v>4893.333333</v>
      </c>
    </row>
    <row r="22" ht="15.75" customHeight="1">
      <c r="A22" s="8"/>
      <c r="B22" s="58">
        <v>43872.0</v>
      </c>
      <c r="C22" s="59" t="s">
        <v>16</v>
      </c>
      <c r="D22" s="59" t="s">
        <v>28</v>
      </c>
      <c r="E22" s="59" t="s">
        <v>28</v>
      </c>
      <c r="F22" s="59" t="s">
        <v>19</v>
      </c>
      <c r="G22" s="60">
        <v>7340.0</v>
      </c>
      <c r="H22" s="61">
        <v>0.0</v>
      </c>
      <c r="I22" s="8"/>
      <c r="J22" s="8"/>
      <c r="K22" s="8"/>
      <c r="L22" s="60">
        <v>0.5</v>
      </c>
      <c r="M22" s="59" t="s">
        <v>20</v>
      </c>
      <c r="N22" s="59" t="s">
        <v>39</v>
      </c>
      <c r="O22" s="59" t="s">
        <v>40</v>
      </c>
      <c r="P22" s="59" t="s">
        <v>18</v>
      </c>
      <c r="Q22" s="59" t="s">
        <v>49</v>
      </c>
      <c r="R22" s="60">
        <v>3670.0</v>
      </c>
      <c r="S22" s="60">
        <v>0.0</v>
      </c>
    </row>
    <row r="23" ht="15.75" customHeight="1">
      <c r="A23" s="8"/>
      <c r="B23" s="58">
        <v>43872.0</v>
      </c>
      <c r="C23" s="59" t="s">
        <v>16</v>
      </c>
      <c r="D23" s="59" t="s">
        <v>28</v>
      </c>
      <c r="E23" s="59" t="s">
        <v>28</v>
      </c>
      <c r="F23" s="62" t="s">
        <v>45</v>
      </c>
      <c r="G23" s="63">
        <v>0.0</v>
      </c>
      <c r="H23" s="64">
        <v>7340.0</v>
      </c>
      <c r="I23" s="8"/>
      <c r="J23" s="8"/>
      <c r="K23" s="8"/>
      <c r="L23" s="64">
        <v>0.5</v>
      </c>
      <c r="M23" s="62" t="s">
        <v>20</v>
      </c>
      <c r="N23" s="62" t="s">
        <v>43</v>
      </c>
      <c r="O23" s="62" t="s">
        <v>40</v>
      </c>
      <c r="P23" s="62" t="s">
        <v>18</v>
      </c>
      <c r="Q23" s="59" t="s">
        <v>49</v>
      </c>
      <c r="R23" s="64">
        <v>0.0</v>
      </c>
      <c r="S23" s="64">
        <v>3670.0</v>
      </c>
    </row>
    <row r="24" ht="15.75" customHeight="1">
      <c r="A24" s="8"/>
      <c r="B24" s="58">
        <v>43872.0</v>
      </c>
      <c r="C24" s="59" t="s">
        <v>16</v>
      </c>
      <c r="D24" s="59" t="s">
        <v>28</v>
      </c>
      <c r="E24" s="59" t="s">
        <v>28</v>
      </c>
      <c r="F24" s="59" t="s">
        <v>45</v>
      </c>
      <c r="G24" s="60">
        <v>7340.0</v>
      </c>
      <c r="H24" s="61">
        <v>0.0</v>
      </c>
      <c r="I24" s="8"/>
      <c r="J24" s="8"/>
      <c r="K24" s="8"/>
      <c r="L24" s="60">
        <v>0.666666667</v>
      </c>
      <c r="M24" s="59" t="s">
        <v>20</v>
      </c>
      <c r="N24" s="59" t="s">
        <v>39</v>
      </c>
      <c r="O24" s="59" t="s">
        <v>40</v>
      </c>
      <c r="P24" s="59" t="s">
        <v>18</v>
      </c>
      <c r="Q24" s="59" t="s">
        <v>50</v>
      </c>
      <c r="R24" s="60">
        <v>4893.333333</v>
      </c>
      <c r="S24" s="60">
        <v>0.0</v>
      </c>
    </row>
    <row r="25" ht="15.75" customHeight="1">
      <c r="A25" s="8"/>
      <c r="B25" s="58">
        <v>43872.0</v>
      </c>
      <c r="C25" s="59" t="s">
        <v>16</v>
      </c>
      <c r="D25" s="59" t="s">
        <v>28</v>
      </c>
      <c r="E25" s="59" t="s">
        <v>28</v>
      </c>
      <c r="F25" s="62" t="s">
        <v>19</v>
      </c>
      <c r="G25" s="63">
        <v>0.0</v>
      </c>
      <c r="H25" s="64">
        <v>7340.0</v>
      </c>
      <c r="I25" s="8"/>
      <c r="J25" s="8"/>
      <c r="K25" s="8"/>
      <c r="L25" s="64">
        <v>0.666666667</v>
      </c>
      <c r="M25" s="62" t="s">
        <v>20</v>
      </c>
      <c r="N25" s="62" t="s">
        <v>43</v>
      </c>
      <c r="O25" s="62" t="s">
        <v>40</v>
      </c>
      <c r="P25" s="62" t="s">
        <v>18</v>
      </c>
      <c r="Q25" s="59" t="s">
        <v>50</v>
      </c>
      <c r="R25" s="64">
        <v>0.0</v>
      </c>
      <c r="S25" s="64">
        <v>4893.333333</v>
      </c>
    </row>
    <row r="26" ht="15.75" customHeight="1">
      <c r="A26" s="8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</row>
    <row r="28" ht="15.75" customHeight="1">
      <c r="B28" s="39"/>
    </row>
    <row r="29" ht="15.75" customHeight="1">
      <c r="B29" s="39"/>
    </row>
    <row r="30" ht="15.75" customHeight="1">
      <c r="B30" s="39"/>
    </row>
    <row r="31" ht="15.75" customHeight="1">
      <c r="B31" s="39"/>
    </row>
    <row r="32" ht="15.75" customHeight="1">
      <c r="B32" s="39"/>
    </row>
    <row r="33" ht="15.75" customHeight="1">
      <c r="B33" s="39"/>
    </row>
    <row r="34" ht="15.75" customHeight="1">
      <c r="B34" s="39"/>
    </row>
    <row r="35" ht="15.75" customHeight="1">
      <c r="B35" s="39"/>
    </row>
    <row r="36" ht="15.75" customHeight="1">
      <c r="B36" s="39"/>
    </row>
    <row r="37" ht="15.75" customHeight="1">
      <c r="B37" s="39"/>
    </row>
    <row r="38" ht="15.75" customHeight="1">
      <c r="B38" s="39"/>
    </row>
    <row r="39" ht="15.75" customHeight="1">
      <c r="B39" s="39"/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IFERROR(__xludf.DUMMYFUNCTION("""COMPUTED_VALUE"""),"Modify Date")</f>
        <v>Modify Date</v>
      </c>
      <c r="D5" s="31" t="str">
        <f>IFERROR(__xludf.DUMMYFUNCTION("""COMPUTED_VALUE"""),"Entry Date")</f>
        <v>Entry Date</v>
      </c>
      <c r="E5" s="31" t="str">
        <f>IFERROR(__xludf.DUMMYFUNCTION("""COMPUTED_VALUE"""),"DR")</f>
        <v>DR</v>
      </c>
      <c r="F5" s="33" t="str">
        <f>IFERROR(__xludf.DUMMYFUNCTION("""COMPUTED_VALUE"""),"CR")</f>
        <v>CR</v>
      </c>
      <c r="G5" s="31" t="str">
        <f>IFERROR(__xludf.DUMMYFUNCTION("""COMPUTED_VALUE"""),"Fx Rate")</f>
        <v>Fx Rate</v>
      </c>
      <c r="H5" s="31" t="str">
        <f>IFERROR(__xludf.DUMMYFUNCTION("""COMPUTED_VALUE"""),"FX Conversion Method Operator")</f>
        <v>FX Conversion Method Operator</v>
      </c>
      <c r="I5" s="31" t="str">
        <f>IFERROR(__xludf.DUMMYFUNCTION("""COMPUTED_VALUE"""),"Account Side")</f>
        <v>Account Side</v>
      </c>
      <c r="J5" s="31" t="str">
        <f>IFERROR(__xludf.DUMMYFUNCTION("""COMPUTED_VALUE"""),"TransactionSource")</f>
        <v>TransactionSource</v>
      </c>
      <c r="K5" s="31" t="str">
        <f>IFERROR(__xludf.DUMMYFUNCTION("""COMPUTED_VALUE"""),"Currency")</f>
        <v>Currency</v>
      </c>
      <c r="L5" s="31" t="str">
        <f>IFERROR(__xludf.DUMMYFUNCTION("""COMPUTED_VALUE"""),"Base Currency")</f>
        <v>Base Currency</v>
      </c>
      <c r="M5" s="31" t="str">
        <f>IFERROR(__xludf.DUMMYFUNCTION("""COMPUTED_VALUE"""),"Symbol")</f>
        <v>Symbol</v>
      </c>
      <c r="N5" s="31" t="str">
        <f>IFERROR(__xludf.DUMMYFUNCTION("""COMPUTED_VALUE"""),"Description")</f>
        <v>Description</v>
      </c>
      <c r="O5" s="31" t="str">
        <f>IFERROR(__xludf.DUMMYFUNCTION("""COMPUTED_VALUE"""),"DR (Base)")</f>
        <v>DR (Base)</v>
      </c>
      <c r="P5" s="31" t="str">
        <f>IFERROR(__xludf.DUMMYFUNCTION("""COMPUTED_VALUE"""),"CR (Base)")</f>
        <v>CR (Base)</v>
      </c>
      <c r="Q5" s="31" t="str">
        <f>IFERROR(__xludf.DUMMYFUNCTION("""COMPUTED_VALUE"""),"Cash Sub-Account")</f>
        <v>Cash Sub-Account</v>
      </c>
      <c r="R5" s="31" t="str">
        <f>IFERROR(__xludf.DUMMYFUNCTION("""COMPUTED_VALUE"""),"Account")</f>
        <v>Account</v>
      </c>
      <c r="S5" s="31" t="str">
        <f>IFERROR(__xludf.DUMMYFUNCTION("""COMPUTED_VALUE"""),"TaxLotId")</f>
        <v>TaxLotId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65">
        <v>43871.0</v>
      </c>
      <c r="C6" s="66"/>
      <c r="D6" s="66"/>
      <c r="E6" s="60">
        <v>10.0</v>
      </c>
      <c r="F6" s="61">
        <v>0.0</v>
      </c>
      <c r="G6" s="60">
        <v>1.1</v>
      </c>
      <c r="H6" s="59" t="s">
        <v>46</v>
      </c>
      <c r="I6" s="59" t="s">
        <v>39</v>
      </c>
      <c r="J6" s="59" t="s">
        <v>52</v>
      </c>
      <c r="K6" s="59" t="s">
        <v>28</v>
      </c>
      <c r="L6" s="59" t="s">
        <v>18</v>
      </c>
      <c r="M6" s="59" t="s">
        <v>24</v>
      </c>
      <c r="N6" s="59" t="s">
        <v>53</v>
      </c>
      <c r="O6" s="60">
        <v>9.090909091</v>
      </c>
      <c r="P6" s="60">
        <v>0.0</v>
      </c>
      <c r="Q6" s="59" t="s">
        <v>54</v>
      </c>
      <c r="R6" s="59" t="s">
        <v>16</v>
      </c>
    </row>
    <row r="7" ht="15.75" customHeight="1">
      <c r="A7" s="8"/>
      <c r="B7" s="65">
        <v>43871.0</v>
      </c>
      <c r="C7" s="67"/>
      <c r="D7" s="67"/>
      <c r="E7" s="63">
        <v>0.0</v>
      </c>
      <c r="F7" s="64">
        <v>10.0</v>
      </c>
      <c r="G7" s="64">
        <v>1.1</v>
      </c>
      <c r="H7" s="62" t="s">
        <v>46</v>
      </c>
      <c r="I7" s="62" t="s">
        <v>43</v>
      </c>
      <c r="J7" s="62" t="s">
        <v>52</v>
      </c>
      <c r="K7" s="59" t="s">
        <v>28</v>
      </c>
      <c r="L7" s="62" t="s">
        <v>18</v>
      </c>
      <c r="M7" s="59" t="s">
        <v>24</v>
      </c>
      <c r="N7" s="59" t="s">
        <v>53</v>
      </c>
      <c r="O7" s="64">
        <v>0.0</v>
      </c>
      <c r="P7" s="64">
        <v>9.090909091</v>
      </c>
      <c r="Q7" s="62" t="s">
        <v>19</v>
      </c>
      <c r="R7" s="59" t="s">
        <v>16</v>
      </c>
    </row>
    <row r="8" ht="15.75" customHeight="1">
      <c r="A8" s="8"/>
      <c r="B8" s="65">
        <v>43871.0</v>
      </c>
      <c r="C8" s="66"/>
      <c r="D8" s="66"/>
      <c r="E8" s="60">
        <v>7350.0</v>
      </c>
      <c r="F8" s="61">
        <v>0.0</v>
      </c>
      <c r="G8" s="60">
        <v>1.1</v>
      </c>
      <c r="H8" s="59" t="s">
        <v>46</v>
      </c>
      <c r="I8" s="59" t="s">
        <v>39</v>
      </c>
      <c r="J8" s="59" t="s">
        <v>52</v>
      </c>
      <c r="K8" s="59" t="s">
        <v>28</v>
      </c>
      <c r="L8" s="59" t="s">
        <v>18</v>
      </c>
      <c r="M8" s="59" t="s">
        <v>24</v>
      </c>
      <c r="N8" s="59" t="s">
        <v>53</v>
      </c>
      <c r="O8" s="60">
        <v>6681.818182</v>
      </c>
      <c r="P8" s="60">
        <v>0.0</v>
      </c>
      <c r="Q8" s="59" t="s">
        <v>19</v>
      </c>
      <c r="R8" s="59" t="s">
        <v>16</v>
      </c>
    </row>
    <row r="9" ht="15.75" customHeight="1">
      <c r="A9" s="8"/>
      <c r="B9" s="65">
        <v>43871.0</v>
      </c>
      <c r="C9" s="67"/>
      <c r="D9" s="67"/>
      <c r="E9" s="63">
        <v>0.0</v>
      </c>
      <c r="F9" s="64">
        <v>7350.0</v>
      </c>
      <c r="G9" s="64">
        <v>1.1</v>
      </c>
      <c r="H9" s="62" t="s">
        <v>46</v>
      </c>
      <c r="I9" s="62" t="s">
        <v>43</v>
      </c>
      <c r="J9" s="62" t="s">
        <v>52</v>
      </c>
      <c r="K9" s="59" t="s">
        <v>28</v>
      </c>
      <c r="L9" s="62" t="s">
        <v>18</v>
      </c>
      <c r="M9" s="59" t="s">
        <v>24</v>
      </c>
      <c r="N9" s="59" t="s">
        <v>53</v>
      </c>
      <c r="O9" s="64">
        <v>0.0</v>
      </c>
      <c r="P9" s="64">
        <v>6681.818182</v>
      </c>
      <c r="Q9" s="62" t="s">
        <v>54</v>
      </c>
      <c r="R9" s="59" t="s">
        <v>16</v>
      </c>
    </row>
    <row r="10" ht="15.75" customHeight="1">
      <c r="A10" s="8"/>
      <c r="B10" s="2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</row>
    <row r="28" ht="15.75" customHeight="1">
      <c r="B28" s="39"/>
    </row>
    <row r="29" ht="15.75" customHeight="1">
      <c r="B29" s="39"/>
    </row>
    <row r="30" ht="15.75" customHeight="1">
      <c r="B30" s="39"/>
    </row>
    <row r="31" ht="15.75" customHeight="1">
      <c r="B31" s="39"/>
    </row>
    <row r="32" ht="15.75" customHeight="1">
      <c r="B32" s="39"/>
    </row>
    <row r="33" ht="15.75" customHeight="1">
      <c r="B33" s="39"/>
    </row>
    <row r="34" ht="15.75" customHeight="1">
      <c r="B34" s="39"/>
    </row>
    <row r="35" ht="15.75" customHeight="1">
      <c r="B35" s="39"/>
    </row>
    <row r="36" ht="15.75" customHeight="1">
      <c r="B36" s="39"/>
    </row>
    <row r="37" ht="15.75" customHeight="1">
      <c r="B37" s="39"/>
    </row>
    <row r="38" ht="15.75" customHeight="1">
      <c r="B38" s="39"/>
    </row>
    <row r="39" ht="15.75" customHeight="1">
      <c r="B39" s="39"/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55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IFERROR(__xludf.DUMMYFUNCTION("""COMPUTED_VALUE"""),"From")</f>
        <v>From</v>
      </c>
      <c r="E5" s="32" t="str">
        <f>IFERROR(__xludf.DUMMYFUNCTION("""COMPUTED_VALUE"""),"To")</f>
        <v>To</v>
      </c>
      <c r="F5" s="33" t="str">
        <f>IFERROR(__xludf.DUMMYFUNCTION("""COMPUTED_VALUE"""),"SettlementDate")</f>
        <v>SettlementDate</v>
      </c>
      <c r="G5" s="31" t="str">
        <f>IFERROR(__xludf.DUMMYFUNCTION("""COMPUTED_VALUE"""),"TradeDate")</f>
        <v>TradeDate</v>
      </c>
      <c r="H5" s="31" t="str">
        <f>IFERROR(__xludf.DUMMYFUNCTION("""COMPUTED_VALUE"""),"All")</f>
        <v>All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43871.0</v>
      </c>
      <c r="E6" s="37">
        <v>43872.0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20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8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  <c r="AE2" s="39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69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70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IFERROR(__xludf.DUMMYFUNCTION("""COMPUTED_VALUE"""),"Activity Source")</f>
        <v>Activity Source</v>
      </c>
      <c r="D5" s="31" t="str">
        <f>IFERROR(__xludf.DUMMYFUNCTION("""COMPUTED_VALUE"""),"ActivityType")</f>
        <v>ActivityType</v>
      </c>
      <c r="E5" s="31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31" t="str">
        <f>IFERROR(__xludf.DUMMYFUNCTION("""COMPUTED_VALUE"""),"AUEC Fee2")</f>
        <v>AUEC Fee2</v>
      </c>
      <c r="H5" s="31" t="str">
        <f>IFERROR(__xludf.DUMMYFUNCTION("""COMPUTED_VALUE"""),"Balance Type")</f>
        <v>Balance Type</v>
      </c>
      <c r="I5" s="31" t="str">
        <f>IFERROR(__xludf.DUMMYFUNCTION("""COMPUTED_VALUE"""),"Clearing Broker Fees")</f>
        <v>Clearing Broker Fees</v>
      </c>
      <c r="J5" s="31" t="str">
        <f>IFERROR(__xludf.DUMMYFUNCTION("""COMPUTED_VALUE"""),"Commission")</f>
        <v>Commission</v>
      </c>
      <c r="K5" s="31" t="str">
        <f>IFERROR(__xludf.DUMMYFUNCTION("""COMPUTED_VALUE"""),"Currency")</f>
        <v>Currency</v>
      </c>
      <c r="L5" s="31" t="str">
        <f>IFERROR(__xludf.DUMMYFUNCTION("""COMPUTED_VALUE"""),"Description")</f>
        <v>Description</v>
      </c>
      <c r="M5" s="31" t="str">
        <f>IFERROR(__xludf.DUMMYFUNCTION("""COMPUTED_VALUE"""),"Entry Date")</f>
        <v>Entry Date</v>
      </c>
      <c r="N5" s="31" t="str">
        <f>IFERROR(__xludf.DUMMYFUNCTION("""COMPUTED_VALUE"""),"FX Conversion Method Operator")</f>
        <v>FX Conversion Method Operator</v>
      </c>
      <c r="O5" s="31" t="str">
        <f>IFERROR(__xludf.DUMMYFUNCTION("""COMPUTED_VALUE"""),"Fx Rate")</f>
        <v>Fx Rate</v>
      </c>
      <c r="P5" s="31" t="str">
        <f>IFERROR(__xludf.DUMMYFUNCTION("""COMPUTED_VALUE"""),"Lead Currency")</f>
        <v>Lead Currency</v>
      </c>
      <c r="Q5" s="31" t="str">
        <f>IFERROR(__xludf.DUMMYFUNCTION("""COMPUTED_VALUE"""),"Modify date")</f>
        <v>Modify date</v>
      </c>
      <c r="R5" s="31" t="str">
        <f>IFERROR(__xludf.DUMMYFUNCTION("""COMPUTED_VALUE"""),"OCC Fee")</f>
        <v>OCC Fee</v>
      </c>
      <c r="S5" s="31" t="str">
        <f>IFERROR(__xludf.DUMMYFUNCTION("""COMPUTED_VALUE"""),"OptionPremiumAdjustment")</f>
        <v>OptionPremiumAdjustment</v>
      </c>
      <c r="T5" s="34" t="str">
        <f>IFERROR(__xludf.DUMMYFUNCTION("""COMPUTED_VALUE"""),"ORF Fee")</f>
        <v>ORF Fee</v>
      </c>
      <c r="U5" s="34" t="str">
        <f>IFERROR(__xludf.DUMMYFUNCTION("""COMPUTED_VALUE"""),"Other Broker Fees")</f>
        <v>Other Broker Fees</v>
      </c>
      <c r="V5" s="34" t="str">
        <f>IFERROR(__xludf.DUMMYFUNCTION("""COMPUTED_VALUE"""),"Quantity")</f>
        <v>Quantity</v>
      </c>
      <c r="W5" s="34" t="str">
        <f>IFERROR(__xludf.DUMMYFUNCTION("""COMPUTED_VALUE"""),"SEC Fee")</f>
        <v>SEC Fee</v>
      </c>
      <c r="X5" s="34" t="str">
        <f>IFERROR(__xludf.DUMMYFUNCTION("""COMPUTED_VALUE"""),"Settlement Currency")</f>
        <v>Settlement Currency</v>
      </c>
      <c r="Y5" s="34" t="str">
        <f>IFERROR(__xludf.DUMMYFUNCTION("""COMPUTED_VALUE"""),"Settlement Date")</f>
        <v>Settlement Date</v>
      </c>
      <c r="Z5" s="34" t="str">
        <f>IFERROR(__xludf.DUMMYFUNCTION("""COMPUTED_VALUE"""),"Soft Commission")</f>
        <v>Soft Commission</v>
      </c>
      <c r="AA5" s="34" t="str">
        <f>IFERROR(__xludf.DUMMYFUNCTION("""COMPUTED_VALUE"""),"Stamp Duty")</f>
        <v>Stamp Duty</v>
      </c>
      <c r="AB5" s="34" t="str">
        <f>IFERROR(__xludf.DUMMYFUNCTION("""COMPUTED_VALUE"""),"Symbol")</f>
        <v>Symbol</v>
      </c>
      <c r="AC5" s="34" t="str">
        <f>IFERROR(__xludf.DUMMYFUNCTION("""COMPUTED_VALUE"""),"Tax On Commissions")</f>
        <v>Tax On Commissions</v>
      </c>
      <c r="AD5" s="34" t="str">
        <f>IFERROR(__xludf.DUMMYFUNCTION("""COMPUTED_VALUE"""),"Total Commissions")</f>
        <v>Total Commissions</v>
      </c>
      <c r="AE5" s="71" t="str">
        <f>IFERROR(__xludf.DUMMYFUNCTION("""COMPUTED_VALUE"""),"Trade Date")</f>
        <v>Trade Date</v>
      </c>
      <c r="AF5" s="34" t="str">
        <f>IFERROR(__xludf.DUMMYFUNCTION("""COMPUTED_VALUE"""),"Transaction Levy")</f>
        <v>Transaction Levy</v>
      </c>
      <c r="AG5" s="34" t="str">
        <f>IFERROR(__xludf.DUMMYFUNCTION("""COMPUTED_VALUE"""),"Transaction Source")</f>
        <v>Transaction Source</v>
      </c>
      <c r="AH5" s="34" t="str">
        <f>IFERROR(__xludf.DUMMYFUNCTION("""COMPUTED_VALUE"""),"User")</f>
        <v>User</v>
      </c>
      <c r="AI5" s="34" t="str">
        <f>IFERROR(__xludf.DUMMYFUNCTION("""COMPUTED_VALUE"""),"Vs Currency")</f>
        <v>Vs Currency</v>
      </c>
      <c r="AJ5" s="34" t="str">
        <f>IFERROR(__xludf.DUMMYFUNCTION("""COMPUTED_VALUE"""),"SettlCurrencyID")</f>
        <v>SettlCurrencyID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59" t="s">
        <v>16</v>
      </c>
      <c r="C6" s="59" t="s">
        <v>40</v>
      </c>
      <c r="D6" s="59" t="s">
        <v>57</v>
      </c>
      <c r="E6" s="60">
        <v>-535.0</v>
      </c>
      <c r="F6" s="60">
        <v>0.0</v>
      </c>
      <c r="G6" s="60">
        <v>0.0</v>
      </c>
      <c r="H6" s="59" t="s">
        <v>58</v>
      </c>
      <c r="I6" s="60">
        <v>0.0</v>
      </c>
      <c r="J6" s="60">
        <v>0.0</v>
      </c>
      <c r="K6" s="59" t="s">
        <v>28</v>
      </c>
      <c r="L6" s="59" t="s">
        <v>41</v>
      </c>
      <c r="M6" s="8"/>
      <c r="N6" s="59" t="s">
        <v>20</v>
      </c>
      <c r="O6" s="60">
        <v>0.666666667</v>
      </c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72"/>
      <c r="Z6" s="60">
        <v>0.0</v>
      </c>
      <c r="AA6" s="60">
        <v>0.0</v>
      </c>
      <c r="AB6" s="59" t="s">
        <v>24</v>
      </c>
      <c r="AC6" s="60">
        <v>0.0</v>
      </c>
      <c r="AD6" s="60">
        <v>0.0</v>
      </c>
      <c r="AE6" s="58">
        <v>43871.0</v>
      </c>
      <c r="AF6" s="60">
        <v>0.0</v>
      </c>
      <c r="AG6" s="73" t="s">
        <v>40</v>
      </c>
    </row>
    <row r="7" ht="15.75" customHeight="1">
      <c r="A7" s="8"/>
      <c r="B7" s="74" t="s">
        <v>16</v>
      </c>
      <c r="C7" s="74" t="s">
        <v>40</v>
      </c>
      <c r="D7" s="74" t="s">
        <v>57</v>
      </c>
      <c r="E7" s="75">
        <v>1779.4</v>
      </c>
      <c r="F7" s="75">
        <v>0.0</v>
      </c>
      <c r="G7" s="75">
        <v>0.0</v>
      </c>
      <c r="H7" s="74" t="s">
        <v>58</v>
      </c>
      <c r="I7" s="75">
        <v>0.0</v>
      </c>
      <c r="J7" s="75">
        <v>0.0</v>
      </c>
      <c r="K7" s="74" t="s">
        <v>18</v>
      </c>
      <c r="L7" s="74" t="s">
        <v>41</v>
      </c>
      <c r="M7" s="8"/>
      <c r="N7" s="74" t="s">
        <v>20</v>
      </c>
      <c r="O7" s="75">
        <v>1.0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6"/>
      <c r="Z7" s="75">
        <v>0.0</v>
      </c>
      <c r="AA7" s="75">
        <v>0.0</v>
      </c>
      <c r="AB7" s="74" t="s">
        <v>28</v>
      </c>
      <c r="AC7" s="75">
        <v>0.0</v>
      </c>
      <c r="AD7" s="75">
        <v>0.0</v>
      </c>
      <c r="AE7" s="77">
        <v>43871.0</v>
      </c>
      <c r="AF7" s="75">
        <v>0.0</v>
      </c>
      <c r="AG7" s="78" t="s">
        <v>40</v>
      </c>
    </row>
    <row r="8" ht="15.75" customHeight="1">
      <c r="A8" s="8"/>
      <c r="B8" s="59" t="s">
        <v>16</v>
      </c>
      <c r="C8" s="59" t="s">
        <v>59</v>
      </c>
      <c r="D8" s="59" t="s">
        <v>60</v>
      </c>
      <c r="E8" s="60">
        <v>500000.0</v>
      </c>
      <c r="F8" s="60">
        <v>0.0</v>
      </c>
      <c r="G8" s="60">
        <v>0.0</v>
      </c>
      <c r="H8" s="59" t="s">
        <v>58</v>
      </c>
      <c r="I8" s="60">
        <v>0.0</v>
      </c>
      <c r="J8" s="60">
        <v>0.0</v>
      </c>
      <c r="K8" s="59" t="s">
        <v>18</v>
      </c>
      <c r="L8" s="72"/>
      <c r="M8" s="8"/>
      <c r="N8" s="59" t="s">
        <v>20</v>
      </c>
      <c r="O8" s="60">
        <v>1.0</v>
      </c>
      <c r="R8" s="60">
        <v>0.0</v>
      </c>
      <c r="S8" s="60">
        <v>0.0</v>
      </c>
      <c r="T8" s="60">
        <v>0.0</v>
      </c>
      <c r="U8" s="60">
        <v>0.0</v>
      </c>
      <c r="V8" s="60">
        <v>0.0</v>
      </c>
      <c r="W8" s="60">
        <v>0.0</v>
      </c>
      <c r="X8" s="72"/>
      <c r="Z8" s="60">
        <v>0.0</v>
      </c>
      <c r="AA8" s="60">
        <v>0.0</v>
      </c>
      <c r="AB8" s="72"/>
      <c r="AC8" s="60">
        <v>0.0</v>
      </c>
      <c r="AD8" s="60">
        <v>0.0</v>
      </c>
      <c r="AE8" s="58">
        <v>43871.0</v>
      </c>
      <c r="AF8" s="60">
        <v>0.0</v>
      </c>
      <c r="AG8" s="73" t="s">
        <v>61</v>
      </c>
    </row>
    <row r="9" ht="15.75" customHeight="1">
      <c r="A9" s="8"/>
      <c r="B9" s="74" t="s">
        <v>16</v>
      </c>
      <c r="C9" s="74" t="s">
        <v>40</v>
      </c>
      <c r="D9" s="74" t="s">
        <v>62</v>
      </c>
      <c r="E9" s="75">
        <v>-7340.0</v>
      </c>
      <c r="F9" s="75">
        <v>0.0</v>
      </c>
      <c r="G9" s="75">
        <v>0.0</v>
      </c>
      <c r="H9" s="74" t="s">
        <v>58</v>
      </c>
      <c r="I9" s="75">
        <v>0.0</v>
      </c>
      <c r="J9" s="75">
        <v>0.0</v>
      </c>
      <c r="K9" s="74" t="s">
        <v>28</v>
      </c>
      <c r="L9" s="74" t="s">
        <v>47</v>
      </c>
      <c r="M9" s="8"/>
      <c r="N9" s="74" t="s">
        <v>46</v>
      </c>
      <c r="O9" s="75">
        <v>1.1</v>
      </c>
      <c r="R9" s="75">
        <v>0.0</v>
      </c>
      <c r="S9" s="75">
        <v>0.0</v>
      </c>
      <c r="T9" s="75">
        <v>0.0</v>
      </c>
      <c r="U9" s="75">
        <v>0.0</v>
      </c>
      <c r="V9" s="75">
        <v>0.0</v>
      </c>
      <c r="W9" s="75">
        <v>0.0</v>
      </c>
      <c r="X9" s="76"/>
      <c r="Z9" s="75">
        <v>0.0</v>
      </c>
      <c r="AA9" s="75">
        <v>0.0</v>
      </c>
      <c r="AB9" s="74" t="s">
        <v>24</v>
      </c>
      <c r="AC9" s="75">
        <v>0.0</v>
      </c>
      <c r="AD9" s="75">
        <v>0.0</v>
      </c>
      <c r="AE9" s="79">
        <v>43871.0</v>
      </c>
      <c r="AF9" s="75">
        <v>0.0</v>
      </c>
      <c r="AG9" s="78" t="s">
        <v>40</v>
      </c>
    </row>
    <row r="10" ht="15.75" customHeight="1">
      <c r="A10" s="8"/>
      <c r="B10" s="59" t="s">
        <v>16</v>
      </c>
      <c r="C10" s="59" t="s">
        <v>40</v>
      </c>
      <c r="D10" s="59" t="s">
        <v>62</v>
      </c>
      <c r="E10" s="60">
        <v>7340.0</v>
      </c>
      <c r="F10" s="60">
        <v>0.0</v>
      </c>
      <c r="G10" s="60">
        <v>0.0</v>
      </c>
      <c r="H10" s="59" t="s">
        <v>58</v>
      </c>
      <c r="I10" s="60">
        <v>0.0</v>
      </c>
      <c r="J10" s="60">
        <v>0.0</v>
      </c>
      <c r="K10" s="59" t="s">
        <v>28</v>
      </c>
      <c r="L10" s="59" t="s">
        <v>48</v>
      </c>
      <c r="M10" s="8"/>
      <c r="N10" s="59" t="s">
        <v>20</v>
      </c>
      <c r="O10" s="60">
        <v>0.666666667</v>
      </c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72"/>
      <c r="Z10" s="60">
        <v>0.0</v>
      </c>
      <c r="AA10" s="60">
        <v>0.0</v>
      </c>
      <c r="AB10" s="59" t="s">
        <v>24</v>
      </c>
      <c r="AC10" s="60">
        <v>0.0</v>
      </c>
      <c r="AD10" s="60">
        <v>0.0</v>
      </c>
      <c r="AE10" s="65">
        <v>43871.0</v>
      </c>
      <c r="AF10" s="60">
        <v>0.0</v>
      </c>
      <c r="AG10" s="73" t="s">
        <v>40</v>
      </c>
    </row>
    <row r="11" ht="15.75" customHeight="1">
      <c r="A11" s="8"/>
      <c r="B11" s="74" t="s">
        <v>16</v>
      </c>
      <c r="C11" s="74" t="s">
        <v>52</v>
      </c>
      <c r="D11" s="74" t="s">
        <v>63</v>
      </c>
      <c r="E11" s="75">
        <v>7340.0</v>
      </c>
      <c r="F11" s="75">
        <v>0.0</v>
      </c>
      <c r="G11" s="75">
        <v>0.0</v>
      </c>
      <c r="H11" s="74" t="s">
        <v>58</v>
      </c>
      <c r="I11" s="75">
        <v>0.0</v>
      </c>
      <c r="J11" s="75">
        <v>2.5</v>
      </c>
      <c r="K11" s="74" t="s">
        <v>28</v>
      </c>
      <c r="L11" s="74" t="s">
        <v>53</v>
      </c>
      <c r="M11" s="8"/>
      <c r="N11" s="74" t="s">
        <v>46</v>
      </c>
      <c r="O11" s="75">
        <v>1.1</v>
      </c>
      <c r="R11" s="75">
        <v>0.0</v>
      </c>
      <c r="S11" s="75">
        <v>0.0</v>
      </c>
      <c r="T11" s="75">
        <v>0.0</v>
      </c>
      <c r="U11" s="75">
        <v>0.0</v>
      </c>
      <c r="V11" s="75">
        <v>105.0</v>
      </c>
      <c r="W11" s="75">
        <v>0.0</v>
      </c>
      <c r="X11" s="78" t="s">
        <v>28</v>
      </c>
      <c r="Z11" s="75">
        <v>7.5</v>
      </c>
      <c r="AA11" s="75">
        <v>0.0</v>
      </c>
      <c r="AB11" s="74" t="s">
        <v>24</v>
      </c>
      <c r="AC11" s="75">
        <v>0.0</v>
      </c>
      <c r="AD11" s="75">
        <v>10.0</v>
      </c>
      <c r="AE11" s="79">
        <v>43871.0</v>
      </c>
      <c r="AF11" s="75">
        <v>0.0</v>
      </c>
      <c r="AG11" s="78" t="s">
        <v>52</v>
      </c>
    </row>
    <row r="12" ht="15.75" customHeight="1">
      <c r="A12" s="8"/>
      <c r="B12" s="59" t="s">
        <v>16</v>
      </c>
      <c r="C12" s="59" t="s">
        <v>40</v>
      </c>
      <c r="D12" s="59" t="s">
        <v>62</v>
      </c>
      <c r="E12" s="60">
        <v>7340.0</v>
      </c>
      <c r="F12" s="60">
        <v>0.0</v>
      </c>
      <c r="G12" s="60">
        <v>0.0</v>
      </c>
      <c r="H12" s="59" t="s">
        <v>58</v>
      </c>
      <c r="I12" s="60">
        <v>0.0</v>
      </c>
      <c r="J12" s="60">
        <v>0.0</v>
      </c>
      <c r="K12" s="59" t="s">
        <v>28</v>
      </c>
      <c r="L12" s="59" t="s">
        <v>49</v>
      </c>
      <c r="M12" s="8"/>
      <c r="N12" s="59" t="s">
        <v>20</v>
      </c>
      <c r="O12" s="60">
        <v>0.5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72"/>
      <c r="Z12" s="60">
        <v>0.0</v>
      </c>
      <c r="AA12" s="60">
        <v>0.0</v>
      </c>
      <c r="AB12" s="59" t="s">
        <v>28</v>
      </c>
      <c r="AC12" s="60">
        <v>0.0</v>
      </c>
      <c r="AD12" s="60">
        <v>0.0</v>
      </c>
      <c r="AE12" s="58">
        <v>43872.0</v>
      </c>
      <c r="AF12" s="60">
        <v>0.0</v>
      </c>
      <c r="AG12" s="73" t="s">
        <v>40</v>
      </c>
    </row>
    <row r="13" ht="15.75" customHeight="1">
      <c r="A13" s="8"/>
      <c r="B13" s="74" t="s">
        <v>16</v>
      </c>
      <c r="C13" s="74" t="s">
        <v>40</v>
      </c>
      <c r="D13" s="74" t="s">
        <v>62</v>
      </c>
      <c r="E13" s="75">
        <v>-7340.0</v>
      </c>
      <c r="F13" s="75">
        <v>0.0</v>
      </c>
      <c r="G13" s="75">
        <v>0.0</v>
      </c>
      <c r="H13" s="74" t="s">
        <v>58</v>
      </c>
      <c r="I13" s="75">
        <v>0.0</v>
      </c>
      <c r="J13" s="75">
        <v>0.0</v>
      </c>
      <c r="K13" s="74" t="s">
        <v>28</v>
      </c>
      <c r="L13" s="74" t="s">
        <v>50</v>
      </c>
      <c r="M13" s="8"/>
      <c r="N13" s="74" t="s">
        <v>20</v>
      </c>
      <c r="O13" s="75">
        <v>0.666666667</v>
      </c>
      <c r="R13" s="75">
        <v>0.0</v>
      </c>
      <c r="S13" s="75">
        <v>0.0</v>
      </c>
      <c r="T13" s="75">
        <v>0.0</v>
      </c>
      <c r="U13" s="75">
        <v>0.0</v>
      </c>
      <c r="V13" s="75">
        <v>0.0</v>
      </c>
      <c r="W13" s="75">
        <v>0.0</v>
      </c>
      <c r="X13" s="76"/>
      <c r="Z13" s="75">
        <v>0.0</v>
      </c>
      <c r="AA13" s="75">
        <v>0.0</v>
      </c>
      <c r="AB13" s="74" t="s">
        <v>28</v>
      </c>
      <c r="AC13" s="75">
        <v>0.0</v>
      </c>
      <c r="AD13" s="75">
        <v>0.0</v>
      </c>
      <c r="AE13" s="77">
        <v>43872.0</v>
      </c>
      <c r="AF13" s="75">
        <v>0.0</v>
      </c>
      <c r="AG13" s="78" t="s">
        <v>40</v>
      </c>
    </row>
    <row r="14" ht="15.75" customHeight="1">
      <c r="A14" s="8"/>
      <c r="B14" s="59" t="s">
        <v>16</v>
      </c>
      <c r="C14" s="59" t="s">
        <v>40</v>
      </c>
      <c r="D14" s="59" t="s">
        <v>57</v>
      </c>
      <c r="E14" s="60">
        <v>-1060.0</v>
      </c>
      <c r="F14" s="60">
        <v>0.0</v>
      </c>
      <c r="G14" s="60">
        <v>0.0</v>
      </c>
      <c r="H14" s="59" t="s">
        <v>58</v>
      </c>
      <c r="I14" s="60">
        <v>0.0</v>
      </c>
      <c r="J14" s="60">
        <v>0.0</v>
      </c>
      <c r="K14" s="59" t="s">
        <v>28</v>
      </c>
      <c r="L14" s="59" t="s">
        <v>41</v>
      </c>
      <c r="M14" s="8"/>
      <c r="N14" s="59" t="s">
        <v>20</v>
      </c>
      <c r="O14" s="60">
        <v>0.5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72"/>
      <c r="Z14" s="60">
        <v>0.0</v>
      </c>
      <c r="AA14" s="60">
        <v>0.0</v>
      </c>
      <c r="AB14" s="59" t="s">
        <v>24</v>
      </c>
      <c r="AC14" s="60">
        <v>0.0</v>
      </c>
      <c r="AD14" s="60">
        <v>0.0</v>
      </c>
      <c r="AE14" s="58">
        <v>43872.0</v>
      </c>
      <c r="AF14" s="60">
        <v>0.0</v>
      </c>
      <c r="AG14" s="73" t="s">
        <v>40</v>
      </c>
    </row>
    <row r="15" ht="15.75" customHeight="1">
      <c r="A15" s="8"/>
      <c r="B15" s="74" t="s">
        <v>16</v>
      </c>
      <c r="C15" s="74" t="s">
        <v>40</v>
      </c>
      <c r="D15" s="74" t="s">
        <v>57</v>
      </c>
      <c r="E15" s="75">
        <v>3002.73</v>
      </c>
      <c r="F15" s="75">
        <v>0.0</v>
      </c>
      <c r="G15" s="75">
        <v>0.0</v>
      </c>
      <c r="H15" s="74" t="s">
        <v>58</v>
      </c>
      <c r="I15" s="75">
        <v>0.0</v>
      </c>
      <c r="J15" s="75">
        <v>0.0</v>
      </c>
      <c r="K15" s="74" t="s">
        <v>18</v>
      </c>
      <c r="L15" s="74" t="s">
        <v>41</v>
      </c>
      <c r="M15" s="8"/>
      <c r="N15" s="74" t="s">
        <v>20</v>
      </c>
      <c r="O15" s="75">
        <v>1.0</v>
      </c>
      <c r="R15" s="75">
        <v>0.0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6"/>
      <c r="Z15" s="75">
        <v>0.0</v>
      </c>
      <c r="AA15" s="75">
        <v>0.0</v>
      </c>
      <c r="AB15" s="74" t="s">
        <v>28</v>
      </c>
      <c r="AC15" s="75">
        <v>0.0</v>
      </c>
      <c r="AD15" s="75">
        <v>0.0</v>
      </c>
      <c r="AE15" s="77">
        <v>43872.0</v>
      </c>
      <c r="AF15" s="75">
        <v>0.0</v>
      </c>
      <c r="AG15" s="78" t="s">
        <v>40</v>
      </c>
    </row>
    <row r="16" ht="15.75" customHeight="1">
      <c r="A16" s="8"/>
      <c r="B16" s="59" t="s">
        <v>16</v>
      </c>
      <c r="C16" s="59" t="s">
        <v>40</v>
      </c>
      <c r="D16" s="59" t="s">
        <v>57</v>
      </c>
      <c r="E16" s="60">
        <v>535.0</v>
      </c>
      <c r="F16" s="60">
        <v>0.0</v>
      </c>
      <c r="G16" s="60">
        <v>0.0</v>
      </c>
      <c r="H16" s="59" t="s">
        <v>58</v>
      </c>
      <c r="I16" s="60">
        <v>0.0</v>
      </c>
      <c r="J16" s="60">
        <v>0.0</v>
      </c>
      <c r="K16" s="59" t="s">
        <v>28</v>
      </c>
      <c r="L16" s="59" t="s">
        <v>44</v>
      </c>
      <c r="M16" s="8"/>
      <c r="N16" s="59" t="s">
        <v>20</v>
      </c>
      <c r="O16" s="60">
        <v>0.666666667</v>
      </c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72"/>
      <c r="Z16" s="60">
        <v>0.0</v>
      </c>
      <c r="AA16" s="60">
        <v>0.0</v>
      </c>
      <c r="AB16" s="59" t="s">
        <v>24</v>
      </c>
      <c r="AC16" s="60">
        <v>0.0</v>
      </c>
      <c r="AD16" s="60">
        <v>0.0</v>
      </c>
      <c r="AE16" s="58">
        <v>43872.0</v>
      </c>
      <c r="AF16" s="60">
        <v>0.0</v>
      </c>
      <c r="AG16" s="73" t="s">
        <v>40</v>
      </c>
    </row>
    <row r="17" ht="15.75" customHeight="1">
      <c r="A17" s="8"/>
      <c r="B17" s="74" t="s">
        <v>16</v>
      </c>
      <c r="C17" s="74" t="s">
        <v>40</v>
      </c>
      <c r="D17" s="74" t="s">
        <v>57</v>
      </c>
      <c r="E17" s="75">
        <v>-1779.4</v>
      </c>
      <c r="F17" s="75">
        <v>0.0</v>
      </c>
      <c r="G17" s="75">
        <v>0.0</v>
      </c>
      <c r="H17" s="74" t="s">
        <v>58</v>
      </c>
      <c r="I17" s="75">
        <v>0.0</v>
      </c>
      <c r="J17" s="75">
        <v>0.0</v>
      </c>
      <c r="K17" s="74" t="s">
        <v>18</v>
      </c>
      <c r="L17" s="74" t="s">
        <v>44</v>
      </c>
      <c r="M17" s="8"/>
      <c r="N17" s="74" t="s">
        <v>20</v>
      </c>
      <c r="O17" s="75">
        <v>1.0</v>
      </c>
      <c r="R17" s="75">
        <v>0.0</v>
      </c>
      <c r="S17" s="75">
        <v>0.0</v>
      </c>
      <c r="T17" s="75">
        <v>0.0</v>
      </c>
      <c r="U17" s="75">
        <v>0.0</v>
      </c>
      <c r="V17" s="75">
        <v>0.0</v>
      </c>
      <c r="W17" s="75">
        <v>0.0</v>
      </c>
      <c r="X17" s="76"/>
      <c r="Z17" s="75">
        <v>0.0</v>
      </c>
      <c r="AA17" s="75">
        <v>0.0</v>
      </c>
      <c r="AB17" s="74" t="s">
        <v>28</v>
      </c>
      <c r="AC17" s="75">
        <v>0.0</v>
      </c>
      <c r="AD17" s="75">
        <v>0.0</v>
      </c>
      <c r="AE17" s="77">
        <v>43872.0</v>
      </c>
      <c r="AF17" s="75">
        <v>0.0</v>
      </c>
      <c r="AG17" s="78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E18" s="3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3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E20" s="3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3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3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E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E24" s="3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E25" s="39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E26" s="39"/>
    </row>
    <row r="27" ht="15.75" customHeight="1">
      <c r="AE27" s="39"/>
    </row>
    <row r="28" ht="15.75" customHeight="1">
      <c r="AE28" s="39"/>
    </row>
    <row r="29" ht="15.75" customHeight="1">
      <c r="AE29" s="39"/>
    </row>
    <row r="30" ht="15.75" customHeight="1">
      <c r="AE30" s="39"/>
    </row>
    <row r="31" ht="15.75" customHeight="1">
      <c r="AE31" s="39"/>
    </row>
    <row r="32" ht="15.75" customHeight="1">
      <c r="AE32" s="39"/>
    </row>
    <row r="33" ht="15.75" customHeight="1">
      <c r="AE33" s="39"/>
    </row>
    <row r="34" ht="15.75" customHeight="1">
      <c r="AE34" s="39"/>
    </row>
    <row r="35" ht="15.75" customHeight="1">
      <c r="AE35" s="39"/>
    </row>
    <row r="36" ht="15.75" customHeight="1">
      <c r="AE36" s="39"/>
    </row>
    <row r="37" ht="15.75" customHeight="1">
      <c r="AE37" s="39"/>
    </row>
    <row r="38" ht="15.75" customHeight="1">
      <c r="AE38" s="39"/>
    </row>
    <row r="39" ht="15.75" customHeight="1">
      <c r="AE39" s="39"/>
    </row>
    <row r="40" ht="15.75" customHeight="1">
      <c r="AE40" s="39"/>
    </row>
    <row r="41" ht="15.75" customHeight="1">
      <c r="AE41" s="39"/>
    </row>
    <row r="42" ht="15.75" customHeight="1">
      <c r="AE42" s="39"/>
    </row>
    <row r="43" ht="15.75" customHeight="1">
      <c r="AE43" s="39"/>
    </row>
    <row r="44" ht="15.75" customHeight="1">
      <c r="AE44" s="39"/>
    </row>
    <row r="45" ht="15.75" customHeight="1">
      <c r="AE45" s="39"/>
    </row>
    <row r="46" ht="15.75" customHeight="1">
      <c r="AE46" s="39"/>
    </row>
    <row r="47" ht="15.75" customHeight="1">
      <c r="AE47" s="39"/>
    </row>
    <row r="48" ht="15.75" customHeight="1">
      <c r="AE48" s="39"/>
    </row>
    <row r="49" ht="15.75" customHeight="1">
      <c r="AE49" s="39"/>
    </row>
    <row r="50" ht="15.75" customHeight="1">
      <c r="AE50" s="39"/>
    </row>
    <row r="51" ht="15.75" customHeight="1">
      <c r="AE51" s="39"/>
    </row>
    <row r="52" ht="15.75" customHeight="1">
      <c r="AE52" s="39"/>
    </row>
    <row r="53" ht="15.75" customHeight="1">
      <c r="AE53" s="39"/>
    </row>
    <row r="54" ht="15.75" customHeight="1">
      <c r="AE54" s="39"/>
    </row>
    <row r="55" ht="15.75" customHeight="1">
      <c r="AE55" s="39"/>
    </row>
    <row r="56" ht="15.75" customHeight="1">
      <c r="AE56" s="39"/>
    </row>
    <row r="57" ht="15.75" customHeight="1">
      <c r="AE57" s="39"/>
    </row>
    <row r="58" ht="15.75" customHeight="1">
      <c r="AE58" s="39"/>
    </row>
    <row r="59" ht="15.75" customHeight="1">
      <c r="AE59" s="39"/>
    </row>
    <row r="60" ht="15.75" customHeight="1">
      <c r="AE60" s="39"/>
    </row>
    <row r="61" ht="15.75" customHeight="1">
      <c r="AE61" s="39"/>
    </row>
    <row r="62" ht="15.75" customHeight="1">
      <c r="AE62" s="39"/>
    </row>
    <row r="63" ht="15.75" customHeight="1">
      <c r="AE63" s="39"/>
    </row>
    <row r="64" ht="15.75" customHeight="1">
      <c r="AE64" s="39"/>
    </row>
    <row r="65" ht="15.75" customHeight="1">
      <c r="AE65" s="39"/>
    </row>
    <row r="66" ht="15.75" customHeight="1">
      <c r="AE66" s="39"/>
    </row>
    <row r="67" ht="15.75" customHeight="1">
      <c r="AE67" s="39"/>
    </row>
    <row r="68" ht="15.75" customHeight="1">
      <c r="AE68" s="39"/>
    </row>
    <row r="69" ht="15.75" customHeight="1">
      <c r="AE69" s="39"/>
    </row>
    <row r="70" ht="15.75" customHeight="1">
      <c r="AE70" s="39"/>
    </row>
    <row r="71" ht="15.75" customHeight="1">
      <c r="AE71" s="39"/>
    </row>
    <row r="72" ht="15.75" customHeight="1">
      <c r="AE72" s="39"/>
    </row>
    <row r="73" ht="15.75" customHeight="1">
      <c r="AE73" s="39"/>
    </row>
    <row r="74" ht="15.75" customHeight="1">
      <c r="AE74" s="39"/>
    </row>
    <row r="75" ht="15.75" customHeight="1">
      <c r="AE75" s="39"/>
    </row>
    <row r="76" ht="15.75" customHeight="1">
      <c r="AE76" s="39"/>
    </row>
    <row r="77" ht="15.75" customHeight="1">
      <c r="AE77" s="39"/>
    </row>
    <row r="78" ht="15.75" customHeight="1">
      <c r="AE78" s="39"/>
    </row>
    <row r="79" ht="15.75" customHeight="1">
      <c r="AE79" s="39"/>
    </row>
    <row r="80" ht="15.75" customHeight="1">
      <c r="AE80" s="39"/>
    </row>
    <row r="81" ht="15.75" customHeight="1">
      <c r="AE81" s="39"/>
    </row>
    <row r="82" ht="15.75" customHeight="1">
      <c r="AE82" s="39"/>
    </row>
    <row r="83" ht="15.75" customHeight="1">
      <c r="AE83" s="39"/>
    </row>
    <row r="84" ht="15.75" customHeight="1">
      <c r="AE84" s="39"/>
    </row>
    <row r="85" ht="15.75" customHeight="1">
      <c r="AE85" s="39"/>
    </row>
    <row r="86" ht="15.75" customHeight="1">
      <c r="AE86" s="39"/>
    </row>
    <row r="87" ht="15.75" customHeight="1">
      <c r="AE87" s="39"/>
    </row>
    <row r="88" ht="15.75" customHeight="1">
      <c r="AE88" s="39"/>
    </row>
    <row r="89" ht="15.75" customHeight="1">
      <c r="AE89" s="39"/>
    </row>
    <row r="90" ht="15.75" customHeight="1">
      <c r="AE90" s="39"/>
    </row>
    <row r="91" ht="15.75" customHeight="1">
      <c r="AE91" s="39"/>
    </row>
    <row r="92" ht="15.75" customHeight="1">
      <c r="AE92" s="39"/>
    </row>
    <row r="93" ht="15.75" customHeight="1">
      <c r="AE93" s="39"/>
    </row>
    <row r="94" ht="15.75" customHeight="1">
      <c r="AE94" s="39"/>
    </row>
    <row r="95" ht="15.75" customHeight="1">
      <c r="AE95" s="39"/>
    </row>
    <row r="96" ht="15.75" customHeight="1">
      <c r="AE96" s="39"/>
    </row>
    <row r="97" ht="15.75" customHeight="1">
      <c r="AE97" s="39"/>
    </row>
    <row r="98" ht="15.75" customHeight="1">
      <c r="AE98" s="39"/>
    </row>
    <row r="99" ht="15.75" customHeight="1">
      <c r="AE99" s="39"/>
    </row>
    <row r="100" ht="15.75" customHeight="1">
      <c r="A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IFERROR(__xludf.DUMMYFUNCTION("IF(C3="""","""",Transpose(IMPORTRANGE('_Settings'!$B$3,C3&amp;""!A4:A1000"")))"),"CorporateAction")</f>
        <v>CorporateAction</v>
      </c>
      <c r="C4" s="27" t="str">
        <f>IFERROR(__xludf.DUMMYFUNCTION("""COMPUTED_VALUE"""),"CleanUp")</f>
        <v>CleanUp</v>
      </c>
      <c r="D4" s="27" t="str">
        <f>IFERROR(__xludf.DUMMYFUNCTION("""COMPUTED_VALUE"""),"CashDividend")</f>
        <v>CashDividend</v>
      </c>
      <c r="E4" s="27" t="str">
        <f>IFERROR(__xludf.DUMMYFUNCTION("""COMPUTED_VALUE"""),"Exchange")</f>
        <v>Exchange</v>
      </c>
      <c r="F4" s="27" t="str">
        <f>IFERROR(__xludf.DUMMYFUNCTION("""COMPUTED_VALUE"""),"Merger")</f>
        <v>Merger</v>
      </c>
      <c r="G4" s="27" t="str">
        <f>IFERROR(__xludf.DUMMYFUNCTION("""COMPUTED_VALUE"""),"NameChange")</f>
        <v>NameChange</v>
      </c>
      <c r="H4" s="27" t="str">
        <f>IFERROR(__xludf.DUMMYFUNCTION("""COMPUTED_VALUE"""),"SpinOff")</f>
        <v>SpinOff</v>
      </c>
      <c r="I4" s="27" t="str">
        <f>IFERROR(__xludf.DUMMYFUNCTION("""COMPUTED_VALUE"""),"Split")</f>
        <v>Split</v>
      </c>
      <c r="J4" s="27" t="str">
        <f>IFERROR(__xludf.DUMMYFUNCTION("""COMPUTED_VALUE"""),"StockDividend")</f>
        <v>StockDividend</v>
      </c>
      <c r="K4" s="27" t="str">
        <f>IFERROR(__xludf.DUMMYFUNCTION("""COMPUTED_VALUE"""),"OpenSpinOff")</f>
        <v>OpenSpinOff</v>
      </c>
      <c r="L4" s="27" t="str">
        <f>IFERROR(__xludf.DUMMYFUNCTION("""COMPUTED_VALUE"""),"SpinOff")</f>
        <v>SpinOff</v>
      </c>
      <c r="M4" s="27" t="str">
        <f>IFERROR(__xludf.DUMMYFUNCTION("""COMPUTED_VALUE"""),"VerifySpinOffGrid")</f>
        <v>VerifySpinOffGrid</v>
      </c>
      <c r="N4" s="27" t="str">
        <f>IFERROR(__xludf.DUMMYFUNCTION("""COMPUTED_VALUE"""),"SaveCorporateAction")</f>
        <v>SaveCorporateAction</v>
      </c>
      <c r="O4" s="27" t="str">
        <f>IFERROR(__xludf.DUMMYFUNCTION("""COMPUTED_VALUE"""),"VerifyAndSaveCorpAction")</f>
        <v>VerifyAndSaveCorpAction</v>
      </c>
      <c r="P4" s="29" t="str">
        <f>IFERROR(__xludf.DUMMYFUNCTION("""COMPUTED_VALUE"""),"VerifyAndApplyCorpAction")</f>
        <v>VerifyAndApplyCorpAction</v>
      </c>
      <c r="Q4" s="29" t="str">
        <f>IFERROR(__xludf.DUMMYFUNCTION("""COMPUTED_VALUE"""),"CorporateAction")</f>
        <v>CorporateAction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IFERROR(__xludf.DUMMYFUNCTION("""COMPUTED_VALUE"""),"Corporate Action")</f>
        <v>Corporate Action</v>
      </c>
      <c r="C5" s="31" t="str">
        <f>IFERROR(__xludf.DUMMYFUNCTION("""COMPUTED_VALUE"""),"Account Filter")</f>
        <v>Account Filter</v>
      </c>
      <c r="D5" s="31" t="str">
        <f>IFERROR(__xludf.DUMMYFUNCTION("""COMPUTED_VALUE"""),"Counter Party")</f>
        <v>Counter Party</v>
      </c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35"/>
      <c r="B6" s="35" t="s">
        <v>66</v>
      </c>
      <c r="C6" s="36" t="s">
        <v>16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IFERROR(__xludf.DUMMYFUNCTION("IF(C3="""","""",Transpose(IMPORTRANGE('_Settings'!$B$3,C3&amp;""!A4:A1000"")))"),"CorporateAction")</f>
        <v>CorporateAction</v>
      </c>
      <c r="C4" s="27" t="str">
        <f>IFERROR(__xludf.DUMMYFUNCTION("""COMPUTED_VALUE"""),"CleanUp")</f>
        <v>CleanUp</v>
      </c>
      <c r="D4" s="27" t="str">
        <f>IFERROR(__xludf.DUMMYFUNCTION("""COMPUTED_VALUE"""),"CashDividend")</f>
        <v>CashDividend</v>
      </c>
      <c r="E4" s="27" t="str">
        <f>IFERROR(__xludf.DUMMYFUNCTION("""COMPUTED_VALUE"""),"Exchange")</f>
        <v>Exchange</v>
      </c>
      <c r="F4" s="27" t="str">
        <f>IFERROR(__xludf.DUMMYFUNCTION("""COMPUTED_VALUE"""),"Merger")</f>
        <v>Merger</v>
      </c>
      <c r="G4" s="27" t="str">
        <f>IFERROR(__xludf.DUMMYFUNCTION("""COMPUTED_VALUE"""),"NameChange")</f>
        <v>NameChange</v>
      </c>
      <c r="H4" s="27" t="str">
        <f>IFERROR(__xludf.DUMMYFUNCTION("""COMPUTED_VALUE"""),"SpinOff")</f>
        <v>SpinOff</v>
      </c>
      <c r="I4" s="27" t="str">
        <f>IFERROR(__xludf.DUMMYFUNCTION("""COMPUTED_VALUE"""),"Split")</f>
        <v>Split</v>
      </c>
      <c r="J4" s="27" t="str">
        <f>IFERROR(__xludf.DUMMYFUNCTION("""COMPUTED_VALUE"""),"StockDividend")</f>
        <v>StockDividend</v>
      </c>
      <c r="K4" s="27" t="str">
        <f>IFERROR(__xludf.DUMMYFUNCTION("""COMPUTED_VALUE"""),"OpenSpinOff")</f>
        <v>OpenSpinOff</v>
      </c>
      <c r="L4" s="27" t="str">
        <f>IFERROR(__xludf.DUMMYFUNCTION("""COMPUTED_VALUE"""),"SpinOff")</f>
        <v>SpinOff</v>
      </c>
      <c r="M4" s="27" t="str">
        <f>IFERROR(__xludf.DUMMYFUNCTION("""COMPUTED_VALUE"""),"VerifySpinOffGrid")</f>
        <v>VerifySpinOffGrid</v>
      </c>
      <c r="N4" s="27" t="str">
        <f>IFERROR(__xludf.DUMMYFUNCTION("""COMPUTED_VALUE"""),"SaveCorporateAction")</f>
        <v>SaveCorporateAction</v>
      </c>
      <c r="O4" s="27" t="str">
        <f>IFERROR(__xludf.DUMMYFUNCTION("""COMPUTED_VALUE"""),"VerifyAndSaveCorpAction")</f>
        <v>VerifyAndSaveCorpAction</v>
      </c>
      <c r="P4" s="29" t="str">
        <f>IFERROR(__xludf.DUMMYFUNCTION("""COMPUTED_VALUE"""),"VerifyAndApplyCorpAction")</f>
        <v>VerifyAndApplyCorpAction</v>
      </c>
      <c r="Q4" s="29" t="str">
        <f>IFERROR(__xludf.DUMMYFUNCTION("""COMPUTED_VALUE"""),"CorporateAction")</f>
        <v>CorporateAction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IFERROR(__xludf.DUMMYFUNCTION("""COMPUTED_VALUE"""),"Effective Date")</f>
        <v>Effective Date</v>
      </c>
      <c r="C5" s="31" t="str">
        <f>IFERROR(__xludf.DUMMYFUNCTION("""COMPUTED_VALUE"""),"Company Name")</f>
        <v>Company Name</v>
      </c>
      <c r="D5" s="31" t="str">
        <f>IFERROR(__xludf.DUMMYFUNCTION("""COMPUTED_VALUE"""),"New Company Name")</f>
        <v>New Company Name</v>
      </c>
      <c r="E5" s="31" t="str">
        <f>IFERROR(__xludf.DUMMYFUNCTION("""COMPUTED_VALUE"""),"Original Symbol")</f>
        <v>Original Symbol</v>
      </c>
      <c r="F5" s="33" t="str">
        <f>IFERROR(__xludf.DUMMYFUNCTION("""COMPUTED_VALUE"""),"Symbology")</f>
        <v>Symbology</v>
      </c>
      <c r="G5" s="31" t="str">
        <f>IFERROR(__xludf.DUMMYFUNCTION("""COMPUTED_VALUE"""),"New Symbol")</f>
        <v>New Symbol</v>
      </c>
      <c r="H5" s="31" t="str">
        <f>IFERROR(__xludf.DUMMYFUNCTION("""COMPUTED_VALUE"""),"Original Security Qty Ratio")</f>
        <v>Original Security Qty Ratio</v>
      </c>
      <c r="I5" s="31" t="str">
        <f>IFERROR(__xludf.DUMMYFUNCTION("""COMPUTED_VALUE"""),"New Security Qty Ratio")</f>
        <v>New Security Qty Ratio</v>
      </c>
      <c r="J5" s="31" t="str">
        <f>IFERROR(__xludf.DUMMYFUNCTION("""COMPUTED_VALUE"""),"Adjustment Factor")</f>
        <v>Adjustment Factor</v>
      </c>
      <c r="K5" s="31" t="str">
        <f>IFERROR(__xludf.DUMMYFUNCTION("""COMPUTED_VALUE"""),"Fractional Qty PX")</f>
        <v>Fractional Qty PX</v>
      </c>
      <c r="L5" s="31" t="str">
        <f>IFERROR(__xludf.DUMMYFUNCTION("""COMPUTED_VALUE"""),"Quantity Factor")</f>
        <v>Quantity Factor</v>
      </c>
      <c r="M5" s="31" t="str">
        <f>IFERROR(__xludf.DUMMYFUNCTION("""COMPUTED_VALUE"""),"Cash in lieu")</f>
        <v>Cash in lieu</v>
      </c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7">
        <v>43873.0</v>
      </c>
      <c r="C6" s="36"/>
      <c r="D6" s="35"/>
      <c r="E6" s="36" t="s">
        <v>24</v>
      </c>
      <c r="F6" s="36"/>
      <c r="G6" s="36" t="s">
        <v>67</v>
      </c>
      <c r="H6" s="41">
        <v>1.0</v>
      </c>
      <c r="I6" s="41">
        <v>0.33</v>
      </c>
      <c r="J6" s="41">
        <v>0.625</v>
      </c>
      <c r="K6" s="36"/>
      <c r="L6" s="36"/>
      <c r="M6" s="80" t="s">
        <v>68</v>
      </c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" width="14.43"/>
    <col customWidth="1" min="16" max="16" width="19.14"/>
    <col customWidth="1" min="17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81"/>
      <c r="J1" s="81"/>
      <c r="K1" s="81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20"/>
      <c r="J2" s="82" t="str">
        <f> VLOOKUP($E$3,'_MasterData'!B4:D1000,3,FALSE)</f>
        <v>#N/A</v>
      </c>
      <c r="K2" s="82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69</v>
      </c>
      <c r="F3" s="5" t="s">
        <v>14</v>
      </c>
      <c r="G3" s="13" t="s">
        <v>15</v>
      </c>
      <c r="H3" s="5"/>
      <c r="I3" s="83"/>
      <c r="J3" s="83"/>
      <c r="K3" s="83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IFERROR(__xludf.DUMMYFUNCTION("IF(C3="""","""",Transpose(IMPORTRANGE('_Settings'!$B$3,C3&amp;""!A4:A1000"")))"),"CorporateAction")</f>
        <v>CorporateAction</v>
      </c>
      <c r="C4" s="27" t="str">
        <f>IFERROR(__xludf.DUMMYFUNCTION("""COMPUTED_VALUE"""),"CleanUp")</f>
        <v>CleanUp</v>
      </c>
      <c r="D4" s="27" t="str">
        <f>IFERROR(__xludf.DUMMYFUNCTION("""COMPUTED_VALUE"""),"CashDividend")</f>
        <v>CashDividend</v>
      </c>
      <c r="E4" s="27" t="str">
        <f>IFERROR(__xludf.DUMMYFUNCTION("""COMPUTED_VALUE"""),"Exchange")</f>
        <v>Exchange</v>
      </c>
      <c r="F4" s="27" t="str">
        <f>IFERROR(__xludf.DUMMYFUNCTION("""COMPUTED_VALUE"""),"Merger")</f>
        <v>Merger</v>
      </c>
      <c r="G4" s="27" t="str">
        <f>IFERROR(__xludf.DUMMYFUNCTION("""COMPUTED_VALUE"""),"NameChange")</f>
        <v>NameChange</v>
      </c>
      <c r="H4" s="27" t="str">
        <f>IFERROR(__xludf.DUMMYFUNCTION("""COMPUTED_VALUE"""),"SpinOff")</f>
        <v>SpinOff</v>
      </c>
      <c r="I4" s="28" t="str">
        <f>IFERROR(__xludf.DUMMYFUNCTION("""COMPUTED_VALUE"""),"Split")</f>
        <v>Split</v>
      </c>
      <c r="J4" s="28" t="str">
        <f>IFERROR(__xludf.DUMMYFUNCTION("""COMPUTED_VALUE"""),"StockDividend")</f>
        <v>StockDividend</v>
      </c>
      <c r="K4" s="28" t="str">
        <f>IFERROR(__xludf.DUMMYFUNCTION("""COMPUTED_VALUE"""),"OpenSpinOff")</f>
        <v>OpenSpinOff</v>
      </c>
      <c r="L4" s="27" t="str">
        <f>IFERROR(__xludf.DUMMYFUNCTION("""COMPUTED_VALUE"""),"SpinOff")</f>
        <v>SpinOff</v>
      </c>
      <c r="M4" s="27" t="str">
        <f>IFERROR(__xludf.DUMMYFUNCTION("""COMPUTED_VALUE"""),"VerifySpinOffGrid")</f>
        <v>VerifySpinOffGrid</v>
      </c>
      <c r="N4" s="27" t="str">
        <f>IFERROR(__xludf.DUMMYFUNCTION("""COMPUTED_VALUE"""),"SaveCorporateAction")</f>
        <v>SaveCorporateAction</v>
      </c>
      <c r="O4" s="27" t="str">
        <f>IFERROR(__xludf.DUMMYFUNCTION("""COMPUTED_VALUE"""),"VerifyAndSaveCorpAction")</f>
        <v>VerifyAndSaveCorpAction</v>
      </c>
      <c r="P4" s="29" t="str">
        <f>IFERROR(__xludf.DUMMYFUNCTION("""COMPUTED_VALUE"""),"VerifyAndApplyCorpAction")</f>
        <v>VerifyAndApplyCorpAction</v>
      </c>
      <c r="Q4" s="29" t="str">
        <f>IFERROR(__xludf.DUMMYFUNCTION("""COMPUTED_VALUE"""),"CorporateAction")</f>
        <v>CorporateAction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IFERROR(__xludf.DUMMYFUNCTION("""COMPUTED_VALUE"""),"Currency")</f>
        <v>Currency</v>
      </c>
      <c r="D5" s="31" t="str">
        <f>IFERROR(__xludf.DUMMYFUNCTION("""COMPUTED_VALUE"""),"Side")</f>
        <v>Side</v>
      </c>
      <c r="E5" s="31" t="str">
        <f>IFERROR(__xludf.DUMMYFUNCTION("""COMPUTED_VALUE"""),"Account")</f>
        <v>Account</v>
      </c>
      <c r="F5" s="33" t="str">
        <f>IFERROR(__xludf.DUMMYFUNCTION("""COMPUTED_VALUE"""),"Unit Cost")</f>
        <v>Unit Cost</v>
      </c>
      <c r="G5" s="31" t="str">
        <f>IFERROR(__xludf.DUMMYFUNCTION("""COMPUTED_VALUE"""),"Open Qty")</f>
        <v>Open Qty</v>
      </c>
      <c r="H5" s="31" t="str">
        <f>IFERROR(__xludf.DUMMYFUNCTION("""COMPUTED_VALUE"""),"Open Total Commission and Fees")</f>
        <v>Open Total Commission and Fees</v>
      </c>
      <c r="I5" s="32" t="str">
        <f>IFERROR(__xludf.DUMMYFUNCTION("""COMPUTED_VALUE"""),"Trade Date")</f>
        <v>Trade Date</v>
      </c>
      <c r="J5" s="32" t="str">
        <f>IFERROR(__xludf.DUMMYFUNCTION("""COMPUTED_VALUE"""),"Process Date")</f>
        <v>Process Date</v>
      </c>
      <c r="K5" s="32" t="str">
        <f>IFERROR(__xludf.DUMMYFUNCTION("""COMPUTED_VALUE"""),"Original Open Date")</f>
        <v>Original Open Date</v>
      </c>
      <c r="L5" s="31" t="str">
        <f>IFERROR(__xludf.DUMMYFUNCTION("""COMPUTED_VALUE"""),"Settlement Date")</f>
        <v>Settlement Date</v>
      </c>
      <c r="M5" s="31" t="str">
        <f>IFERROR(__xludf.DUMMYFUNCTION("""COMPUTED_VALUE"""),"Broker")</f>
        <v>Broker</v>
      </c>
      <c r="N5" s="31" t="str">
        <f>IFERROR(__xludf.DUMMYFUNCTION("""COMPUTED_VALUE"""),"Fx Rate")</f>
        <v>Fx Rate</v>
      </c>
      <c r="O5" s="31" t="str">
        <f>IFERROR(__xludf.DUMMYFUNCTION("""COMPUTED_VALUE"""),"FX Conversion Operator")</f>
        <v>FX Conversion Operator</v>
      </c>
      <c r="P5" s="31" t="str">
        <f>IFERROR(__xludf.DUMMYFUNCTION("""COMPUTED_VALUE"""),"Average Price")</f>
        <v>Average Price</v>
      </c>
      <c r="Q5" s="31" t="str">
        <f>IFERROR(__xludf.DUMMYFUNCTION("""COMPUTED_VALUE"""),"Notional Value (Local)")</f>
        <v>Notional Value (Local)</v>
      </c>
      <c r="R5" s="31" t="str">
        <f>IFERROR(__xludf.DUMMYFUNCTION("""COMPUTED_VALUE"""),"Notional Value (Base)")</f>
        <v>Notional Value (Base)</v>
      </c>
      <c r="S5" s="31" t="str">
        <f>IFERROR(__xludf.DUMMYFUNCTION("""COMPUTED_VALUE"""),"Transaction Type")</f>
        <v>Transaction Type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84" t="s">
        <v>24</v>
      </c>
      <c r="C6" s="84" t="s">
        <v>28</v>
      </c>
      <c r="D6" s="84" t="s">
        <v>25</v>
      </c>
      <c r="E6" s="84" t="s">
        <v>16</v>
      </c>
      <c r="F6" s="85">
        <v>70.0</v>
      </c>
      <c r="G6" s="85">
        <v>105.0</v>
      </c>
      <c r="H6" s="85">
        <v>10.0</v>
      </c>
      <c r="I6" s="86">
        <v>43871.0</v>
      </c>
      <c r="J6" s="86">
        <v>43871.0</v>
      </c>
      <c r="K6" s="86">
        <v>43871.0</v>
      </c>
      <c r="L6" s="87"/>
      <c r="M6" s="84"/>
      <c r="N6" s="85">
        <v>0.909090909</v>
      </c>
      <c r="O6" s="84" t="s">
        <v>20</v>
      </c>
      <c r="P6" s="85">
        <v>0.0</v>
      </c>
      <c r="Q6" s="85">
        <v>7340.0</v>
      </c>
      <c r="R6" s="85">
        <v>6672.727273</v>
      </c>
      <c r="S6" s="84" t="s">
        <v>70</v>
      </c>
    </row>
    <row r="7" ht="15.75" customHeight="1">
      <c r="A7" s="8"/>
      <c r="B7" s="84" t="s">
        <v>24</v>
      </c>
      <c r="C7" s="84" t="s">
        <v>28</v>
      </c>
      <c r="D7" s="84" t="s">
        <v>71</v>
      </c>
      <c r="E7" s="84" t="s">
        <v>16</v>
      </c>
      <c r="F7" s="85">
        <v>69.9047619</v>
      </c>
      <c r="G7" s="85">
        <v>105.0</v>
      </c>
      <c r="H7" s="85">
        <v>0.0</v>
      </c>
      <c r="I7" s="86">
        <v>43873.0</v>
      </c>
      <c r="J7" s="86">
        <v>43873.0</v>
      </c>
      <c r="K7" s="86">
        <v>43873.0</v>
      </c>
      <c r="L7" s="87"/>
      <c r="M7" s="88"/>
      <c r="N7" s="85">
        <v>0.909090909</v>
      </c>
      <c r="O7" s="84" t="s">
        <v>20</v>
      </c>
      <c r="P7" s="85">
        <v>0.0</v>
      </c>
      <c r="Q7" s="85">
        <v>7340.0</v>
      </c>
      <c r="R7" s="85">
        <v>6672.727273</v>
      </c>
      <c r="S7" s="84" t="s">
        <v>72</v>
      </c>
    </row>
    <row r="8" ht="15.75" customHeight="1">
      <c r="A8" s="8"/>
      <c r="B8" s="84" t="s">
        <v>24</v>
      </c>
      <c r="C8" s="84" t="s">
        <v>28</v>
      </c>
      <c r="D8" s="84" t="s">
        <v>25</v>
      </c>
      <c r="E8" s="84" t="s">
        <v>16</v>
      </c>
      <c r="F8" s="85">
        <v>43.69047619</v>
      </c>
      <c r="G8" s="85">
        <v>105.0</v>
      </c>
      <c r="H8" s="85">
        <v>0.0</v>
      </c>
      <c r="I8" s="86">
        <v>43873.0</v>
      </c>
      <c r="J8" s="86">
        <v>43873.0</v>
      </c>
      <c r="K8" s="86">
        <v>43871.0</v>
      </c>
      <c r="L8" s="87"/>
      <c r="M8" s="88"/>
      <c r="N8" s="85">
        <v>0.909090909</v>
      </c>
      <c r="O8" s="84" t="s">
        <v>20</v>
      </c>
      <c r="P8" s="85">
        <v>70.0</v>
      </c>
      <c r="Q8" s="85">
        <v>4587.5</v>
      </c>
      <c r="R8" s="85">
        <v>4170.454545</v>
      </c>
      <c r="S8" s="84" t="s">
        <v>70</v>
      </c>
    </row>
    <row r="9" ht="15.75" customHeight="1">
      <c r="A9" s="8"/>
      <c r="B9" s="84" t="s">
        <v>67</v>
      </c>
      <c r="C9" s="84" t="s">
        <v>28</v>
      </c>
      <c r="D9" s="84" t="s">
        <v>25</v>
      </c>
      <c r="E9" s="84" t="s">
        <v>16</v>
      </c>
      <c r="F9" s="85">
        <v>80.95588235</v>
      </c>
      <c r="G9" s="85">
        <v>34.0</v>
      </c>
      <c r="H9" s="85">
        <v>0.0</v>
      </c>
      <c r="I9" s="86">
        <v>43873.0</v>
      </c>
      <c r="J9" s="86">
        <v>43873.0</v>
      </c>
      <c r="K9" s="86">
        <v>43871.0</v>
      </c>
      <c r="L9" s="87"/>
      <c r="M9" s="88"/>
      <c r="N9" s="85">
        <v>0.909090909</v>
      </c>
      <c r="O9" s="84" t="s">
        <v>20</v>
      </c>
      <c r="P9" s="85">
        <v>79.43722944</v>
      </c>
      <c r="Q9" s="85">
        <v>2752.5</v>
      </c>
      <c r="R9" s="85">
        <v>2502.272727</v>
      </c>
      <c r="S9" s="84" t="s">
        <v>70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20"/>
      <c r="J10" s="20"/>
      <c r="K10" s="20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20"/>
      <c r="J11" s="20"/>
      <c r="K11" s="20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20"/>
      <c r="J12" s="20"/>
      <c r="K12" s="20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20"/>
      <c r="J13" s="20"/>
      <c r="K13" s="20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20"/>
      <c r="J14" s="20"/>
      <c r="K14" s="20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20"/>
      <c r="J15" s="20"/>
      <c r="K15" s="20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20"/>
      <c r="J16" s="20"/>
      <c r="K16" s="20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20"/>
      <c r="J17" s="20"/>
      <c r="K17" s="20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20"/>
      <c r="J18" s="20"/>
      <c r="K18" s="20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20"/>
      <c r="J19" s="20"/>
      <c r="K19" s="20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20"/>
      <c r="J20" s="20"/>
      <c r="K20" s="20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20"/>
      <c r="J21" s="20"/>
      <c r="K21" s="20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20"/>
      <c r="J22" s="20"/>
      <c r="K22" s="20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20"/>
      <c r="J23" s="20"/>
      <c r="K23" s="20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20"/>
      <c r="J24" s="20"/>
      <c r="K24" s="20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20"/>
      <c r="J25" s="20"/>
      <c r="K25" s="20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20"/>
      <c r="J26" s="20"/>
      <c r="K26" s="20"/>
      <c r="L26" s="8"/>
      <c r="M26" s="8"/>
      <c r="N26" s="8"/>
      <c r="O26" s="8"/>
    </row>
    <row r="27" ht="15.75" customHeight="1">
      <c r="I27" s="39"/>
      <c r="J27" s="39"/>
      <c r="K27" s="39"/>
    </row>
    <row r="28" ht="15.75" customHeight="1">
      <c r="I28" s="39"/>
      <c r="J28" s="39"/>
      <c r="K28" s="39"/>
    </row>
    <row r="29" ht="15.75" customHeight="1">
      <c r="I29" s="39"/>
      <c r="J29" s="39"/>
      <c r="K29" s="39"/>
    </row>
    <row r="30" ht="15.75" customHeight="1">
      <c r="I30" s="39"/>
      <c r="J30" s="39"/>
      <c r="K30" s="39"/>
    </row>
    <row r="31" ht="15.75" customHeight="1">
      <c r="I31" s="39"/>
      <c r="J31" s="39"/>
      <c r="K31" s="39"/>
    </row>
    <row r="32" ht="15.75" customHeight="1">
      <c r="I32" s="39"/>
      <c r="J32" s="39"/>
      <c r="K32" s="39"/>
    </row>
    <row r="33" ht="15.75" customHeight="1">
      <c r="I33" s="39"/>
      <c r="J33" s="39"/>
      <c r="K33" s="39"/>
    </row>
    <row r="34" ht="15.75" customHeight="1">
      <c r="I34" s="39"/>
      <c r="J34" s="39"/>
      <c r="K34" s="39"/>
    </row>
    <row r="35" ht="15.75" customHeight="1">
      <c r="I35" s="39"/>
      <c r="J35" s="39"/>
      <c r="K35" s="39"/>
    </row>
    <row r="36" ht="15.75" customHeight="1">
      <c r="I36" s="39"/>
      <c r="J36" s="39"/>
      <c r="K36" s="39"/>
    </row>
    <row r="37" ht="15.75" customHeight="1">
      <c r="I37" s="39"/>
      <c r="J37" s="39"/>
      <c r="K37" s="39"/>
    </row>
    <row r="38" ht="15.75" customHeight="1">
      <c r="I38" s="39"/>
      <c r="J38" s="39"/>
      <c r="K38" s="39"/>
    </row>
    <row r="39" ht="15.75" customHeight="1">
      <c r="I39" s="39"/>
      <c r="J39" s="39"/>
      <c r="K39" s="39"/>
    </row>
    <row r="40" ht="15.75" customHeight="1">
      <c r="I40" s="39"/>
      <c r="J40" s="39"/>
      <c r="K40" s="39"/>
    </row>
    <row r="41" ht="15.75" customHeight="1">
      <c r="I41" s="39"/>
      <c r="J41" s="39"/>
      <c r="K41" s="39"/>
    </row>
    <row r="42" ht="15.75" customHeight="1">
      <c r="I42" s="39"/>
      <c r="J42" s="39"/>
      <c r="K42" s="39"/>
    </row>
    <row r="43" ht="15.75" customHeight="1">
      <c r="I43" s="39"/>
      <c r="J43" s="39"/>
      <c r="K43" s="39"/>
    </row>
    <row r="44" ht="15.75" customHeight="1">
      <c r="I44" s="39"/>
      <c r="J44" s="39"/>
      <c r="K44" s="39"/>
    </row>
    <row r="45" ht="15.75" customHeight="1">
      <c r="I45" s="39"/>
      <c r="J45" s="39"/>
      <c r="K45" s="39"/>
    </row>
    <row r="46" ht="15.75" customHeight="1">
      <c r="I46" s="39"/>
      <c r="J46" s="39"/>
      <c r="K46" s="39"/>
    </row>
    <row r="47" ht="15.75" customHeight="1">
      <c r="I47" s="39"/>
      <c r="J47" s="39"/>
      <c r="K47" s="39"/>
    </row>
    <row r="48" ht="15.75" customHeight="1">
      <c r="I48" s="39"/>
      <c r="J48" s="39"/>
      <c r="K48" s="39"/>
    </row>
    <row r="49" ht="15.75" customHeight="1">
      <c r="I49" s="39"/>
      <c r="J49" s="39"/>
      <c r="K49" s="39"/>
    </row>
    <row r="50" ht="15.75" customHeight="1">
      <c r="I50" s="39"/>
      <c r="J50" s="39"/>
      <c r="K50" s="39"/>
    </row>
    <row r="51" ht="15.75" customHeight="1">
      <c r="I51" s="39"/>
      <c r="J51" s="39"/>
      <c r="K51" s="39"/>
    </row>
    <row r="52" ht="15.75" customHeight="1">
      <c r="I52" s="39"/>
      <c r="J52" s="39"/>
      <c r="K52" s="39"/>
    </row>
    <row r="53" ht="15.75" customHeight="1">
      <c r="I53" s="39"/>
      <c r="J53" s="39"/>
      <c r="K53" s="39"/>
    </row>
    <row r="54" ht="15.75" customHeight="1">
      <c r="I54" s="39"/>
      <c r="J54" s="39"/>
      <c r="K54" s="39"/>
    </row>
    <row r="55" ht="15.75" customHeight="1">
      <c r="I55" s="39"/>
      <c r="J55" s="39"/>
      <c r="K55" s="39"/>
    </row>
    <row r="56" ht="15.75" customHeight="1">
      <c r="I56" s="39"/>
      <c r="J56" s="39"/>
      <c r="K56" s="39"/>
    </row>
    <row r="57" ht="15.75" customHeight="1">
      <c r="I57" s="39"/>
      <c r="J57" s="39"/>
      <c r="K57" s="39"/>
    </row>
    <row r="58" ht="15.75" customHeight="1">
      <c r="I58" s="39"/>
      <c r="J58" s="39"/>
      <c r="K58" s="39"/>
    </row>
    <row r="59" ht="15.75" customHeight="1">
      <c r="I59" s="39"/>
      <c r="J59" s="39"/>
      <c r="K59" s="39"/>
    </row>
    <row r="60" ht="15.75" customHeight="1">
      <c r="I60" s="39"/>
      <c r="J60" s="39"/>
      <c r="K60" s="39"/>
    </row>
    <row r="61" ht="15.75" customHeight="1">
      <c r="I61" s="39"/>
      <c r="J61" s="39"/>
      <c r="K61" s="39"/>
    </row>
    <row r="62" ht="15.75" customHeight="1">
      <c r="I62" s="39"/>
      <c r="J62" s="39"/>
      <c r="K62" s="39"/>
    </row>
    <row r="63" ht="15.75" customHeight="1">
      <c r="I63" s="39"/>
      <c r="J63" s="39"/>
      <c r="K63" s="39"/>
    </row>
    <row r="64" ht="15.75" customHeight="1">
      <c r="I64" s="39"/>
      <c r="J64" s="39"/>
      <c r="K64" s="39"/>
    </row>
    <row r="65" ht="15.75" customHeight="1">
      <c r="I65" s="39"/>
      <c r="J65" s="39"/>
      <c r="K65" s="39"/>
    </row>
    <row r="66" ht="15.75" customHeight="1">
      <c r="I66" s="39"/>
      <c r="J66" s="39"/>
      <c r="K66" s="39"/>
    </row>
    <row r="67" ht="15.75" customHeight="1">
      <c r="I67" s="39"/>
      <c r="J67" s="39"/>
      <c r="K67" s="39"/>
    </row>
    <row r="68" ht="15.75" customHeight="1">
      <c r="I68" s="39"/>
      <c r="J68" s="39"/>
      <c r="K68" s="39"/>
    </row>
    <row r="69" ht="15.75" customHeight="1">
      <c r="I69" s="39"/>
      <c r="J69" s="39"/>
      <c r="K69" s="39"/>
    </row>
    <row r="70" ht="15.75" customHeight="1">
      <c r="I70" s="39"/>
      <c r="J70" s="39"/>
      <c r="K70" s="39"/>
    </row>
    <row r="71" ht="15.75" customHeight="1">
      <c r="I71" s="39"/>
      <c r="J71" s="39"/>
      <c r="K71" s="39"/>
    </row>
    <row r="72" ht="15.75" customHeight="1">
      <c r="I72" s="39"/>
      <c r="J72" s="39"/>
      <c r="K72" s="39"/>
    </row>
    <row r="73" ht="15.75" customHeight="1">
      <c r="I73" s="39"/>
      <c r="J73" s="39"/>
      <c r="K73" s="39"/>
    </row>
    <row r="74" ht="15.75" customHeight="1">
      <c r="I74" s="39"/>
      <c r="J74" s="39"/>
      <c r="K74" s="39"/>
    </row>
    <row r="75" ht="15.75" customHeight="1">
      <c r="I75" s="39"/>
      <c r="J75" s="39"/>
      <c r="K75" s="39"/>
    </row>
    <row r="76" ht="15.75" customHeight="1">
      <c r="I76" s="39"/>
      <c r="J76" s="39"/>
      <c r="K76" s="39"/>
    </row>
    <row r="77" ht="15.75" customHeight="1">
      <c r="I77" s="39"/>
      <c r="J77" s="39"/>
      <c r="K77" s="39"/>
    </row>
    <row r="78" ht="15.75" customHeight="1">
      <c r="I78" s="39"/>
      <c r="J78" s="39"/>
      <c r="K78" s="39"/>
    </row>
    <row r="79" ht="15.75" customHeight="1">
      <c r="I79" s="39"/>
      <c r="J79" s="39"/>
      <c r="K79" s="39"/>
    </row>
    <row r="80" ht="15.75" customHeight="1">
      <c r="I80" s="39"/>
      <c r="J80" s="39"/>
      <c r="K80" s="39"/>
    </row>
    <row r="81" ht="15.75" customHeight="1">
      <c r="I81" s="39"/>
      <c r="J81" s="39"/>
      <c r="K81" s="39"/>
    </row>
    <row r="82" ht="15.75" customHeight="1">
      <c r="I82" s="39"/>
      <c r="J82" s="39"/>
      <c r="K82" s="39"/>
    </row>
    <row r="83" ht="15.75" customHeight="1">
      <c r="I83" s="39"/>
      <c r="J83" s="39"/>
      <c r="K83" s="39"/>
    </row>
    <row r="84" ht="15.75" customHeight="1">
      <c r="I84" s="39"/>
      <c r="J84" s="39"/>
      <c r="K84" s="39"/>
    </row>
    <row r="85" ht="15.75" customHeight="1">
      <c r="I85" s="39"/>
      <c r="J85" s="39"/>
      <c r="K85" s="39"/>
    </row>
    <row r="86" ht="15.75" customHeight="1">
      <c r="I86" s="39"/>
      <c r="J86" s="39"/>
      <c r="K86" s="39"/>
    </row>
    <row r="87" ht="15.75" customHeight="1">
      <c r="I87" s="39"/>
      <c r="J87" s="39"/>
      <c r="K87" s="39"/>
    </row>
    <row r="88" ht="15.75" customHeight="1">
      <c r="I88" s="39"/>
      <c r="J88" s="39"/>
      <c r="K88" s="39"/>
    </row>
    <row r="89" ht="15.75" customHeight="1">
      <c r="I89" s="39"/>
      <c r="J89" s="39"/>
      <c r="K89" s="39"/>
    </row>
    <row r="90" ht="15.75" customHeight="1">
      <c r="I90" s="39"/>
      <c r="J90" s="39"/>
      <c r="K90" s="39"/>
    </row>
    <row r="91" ht="15.75" customHeight="1">
      <c r="I91" s="39"/>
      <c r="J91" s="39"/>
      <c r="K91" s="39"/>
    </row>
    <row r="92" ht="15.75" customHeight="1">
      <c r="I92" s="39"/>
      <c r="J92" s="39"/>
      <c r="K92" s="39"/>
    </row>
    <row r="93" ht="15.75" customHeight="1">
      <c r="I93" s="39"/>
      <c r="J93" s="39"/>
      <c r="K93" s="39"/>
    </row>
    <row r="94" ht="15.75" customHeight="1">
      <c r="I94" s="39"/>
      <c r="J94" s="39"/>
      <c r="K94" s="39"/>
    </row>
    <row r="95" ht="15.75" customHeight="1">
      <c r="I95" s="39"/>
      <c r="J95" s="39"/>
      <c r="K95" s="39"/>
    </row>
    <row r="96" ht="15.75" customHeight="1">
      <c r="I96" s="39"/>
      <c r="J96" s="39"/>
      <c r="K96" s="39"/>
    </row>
    <row r="97" ht="15.75" customHeight="1">
      <c r="I97" s="39"/>
      <c r="J97" s="39"/>
      <c r="K97" s="39"/>
    </row>
    <row r="98" ht="15.75" customHeight="1">
      <c r="I98" s="39"/>
      <c r="J98" s="39"/>
      <c r="K98" s="39"/>
    </row>
    <row r="99" ht="15.75" customHeight="1">
      <c r="I99" s="39"/>
      <c r="J99" s="39"/>
      <c r="K99" s="39"/>
    </row>
    <row r="100" ht="15.75" customHeight="1">
      <c r="I100" s="39"/>
      <c r="J100" s="39"/>
      <c r="K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30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Date")</f>
        <v>Copy Date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37">
        <v>43873.0</v>
      </c>
      <c r="C6" s="37">
        <v>43873.0</v>
      </c>
      <c r="D6" s="11"/>
      <c r="E6" s="8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IFERROR(__xludf.DUMMYFUNCTION("""COMPUTED_VALUE"""),"From Currency")</f>
        <v>From Currency</v>
      </c>
      <c r="C5" s="31" t="str">
        <f>IFERROR(__xludf.DUMMYFUNCTION("""COMPUTED_VALUE"""),"To Currency")</f>
        <v>To Currency</v>
      </c>
      <c r="D5" s="31" t="str">
        <f>IFERROR(__xludf.DUMMYFUNCTION("""COMPUTED_VALUE"""),"Symbol")</f>
        <v>Symbol</v>
      </c>
      <c r="E5" s="31" t="str">
        <f>IFERROR(__xludf.DUMMYFUNCTION("""COMPUTED_VALUE"""),"Price")</f>
        <v>Price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 t="s">
        <v>18</v>
      </c>
      <c r="C6" s="36" t="s">
        <v>28</v>
      </c>
      <c r="D6" s="35"/>
      <c r="E6" s="41">
        <v>2.5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29</v>
      </c>
      <c r="D3" s="5" t="s">
        <v>9</v>
      </c>
      <c r="E3" s="23" t="s">
        <v>32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IFERROR(__xludf.DUMMYFUNCTION("IF(C3="""","""",Transpose(IMPORTRANGE('_Settings'!$B$3,C3&amp;""!A4:A1000"")))"),"UpdateBeta")</f>
        <v>UpdateBeta</v>
      </c>
      <c r="C4" s="28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IFERROR(__xludf.DUMMYFUNCTION("""COMPUTED_VALUE"""),"Select Date")</f>
        <v>Select Date</v>
      </c>
      <c r="C5" s="32" t="str">
        <f>IFERROR(__xludf.DUMMYFUNCTION("""COMPUTED_VALUE"""),"Copy Date ")</f>
        <v>Copy Date 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7">
        <v>43873.0</v>
      </c>
      <c r="C6" s="37">
        <v>43873.0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20"/>
      <c r="C7" s="20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20"/>
      <c r="C8" s="2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20"/>
      <c r="C9" s="2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20"/>
      <c r="C10" s="2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20"/>
      <c r="C11" s="2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20"/>
      <c r="C12" s="2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20"/>
      <c r="C13" s="2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20"/>
      <c r="C14" s="2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20"/>
      <c r="C15" s="20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20"/>
      <c r="C16" s="2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20"/>
      <c r="C21" s="2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20"/>
      <c r="C22" s="2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20"/>
      <c r="C23" s="2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20"/>
      <c r="C24" s="2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20"/>
      <c r="C25" s="2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20"/>
      <c r="C26" s="2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39"/>
      <c r="C27" s="39"/>
    </row>
    <row r="28" ht="15.75" customHeight="1">
      <c r="B28" s="39"/>
      <c r="C28" s="39"/>
    </row>
    <row r="29" ht="15.75" customHeight="1">
      <c r="B29" s="39"/>
      <c r="C29" s="39"/>
    </row>
    <row r="30" ht="15.75" customHeight="1">
      <c r="B30" s="39"/>
      <c r="C30" s="39"/>
    </row>
    <row r="31" ht="15.75" customHeight="1">
      <c r="B31" s="39"/>
      <c r="C31" s="39"/>
    </row>
    <row r="32" ht="15.75" customHeight="1">
      <c r="B32" s="39"/>
      <c r="C32" s="39"/>
    </row>
    <row r="33" ht="15.75" customHeight="1">
      <c r="B33" s="39"/>
      <c r="C33" s="39"/>
    </row>
    <row r="34" ht="15.75" customHeight="1">
      <c r="B34" s="39"/>
      <c r="C34" s="39"/>
    </row>
    <row r="35" ht="15.75" customHeight="1">
      <c r="B35" s="39"/>
      <c r="C35" s="39"/>
    </row>
    <row r="36" ht="15.75" customHeight="1">
      <c r="B36" s="39"/>
      <c r="C36" s="39"/>
    </row>
    <row r="37" ht="15.75" customHeight="1">
      <c r="B37" s="39"/>
      <c r="C37" s="39"/>
    </row>
    <row r="38" ht="15.75" customHeight="1">
      <c r="B38" s="39"/>
      <c r="C38" s="39"/>
    </row>
    <row r="39" ht="15.75" customHeight="1">
      <c r="B39" s="39"/>
      <c r="C39" s="39"/>
    </row>
    <row r="40" ht="15.75" customHeight="1">
      <c r="B40" s="39"/>
      <c r="C40" s="39"/>
    </row>
    <row r="41" ht="15.75" customHeight="1">
      <c r="B41" s="39"/>
      <c r="C41" s="39"/>
    </row>
    <row r="42" ht="15.75" customHeight="1">
      <c r="B42" s="39"/>
      <c r="C42" s="39"/>
    </row>
    <row r="43" ht="15.75" customHeight="1">
      <c r="B43" s="39"/>
      <c r="C43" s="39"/>
    </row>
    <row r="44" ht="15.75" customHeight="1">
      <c r="B44" s="39"/>
      <c r="C44" s="39"/>
    </row>
    <row r="45" ht="15.75" customHeight="1">
      <c r="B45" s="39"/>
      <c r="C45" s="39"/>
    </row>
    <row r="46" ht="15.75" customHeight="1">
      <c r="B46" s="39"/>
      <c r="C46" s="39"/>
    </row>
    <row r="47" ht="15.75" customHeight="1">
      <c r="B47" s="39"/>
      <c r="C47" s="39"/>
    </row>
    <row r="48" ht="15.75" customHeight="1">
      <c r="B48" s="39"/>
      <c r="C48" s="39"/>
    </row>
    <row r="49" ht="15.75" customHeight="1">
      <c r="B49" s="39"/>
      <c r="C49" s="39"/>
    </row>
    <row r="50" ht="15.75" customHeight="1">
      <c r="B50" s="39"/>
      <c r="C50" s="39"/>
    </row>
    <row r="51" ht="15.75" customHeight="1">
      <c r="B51" s="39"/>
      <c r="C51" s="39"/>
    </row>
    <row r="52" ht="15.75" customHeight="1">
      <c r="B52" s="39"/>
      <c r="C52" s="39"/>
    </row>
    <row r="53" ht="15.75" customHeight="1">
      <c r="B53" s="39"/>
      <c r="C53" s="39"/>
    </row>
    <row r="54" ht="15.75" customHeight="1">
      <c r="B54" s="39"/>
      <c r="C54" s="39"/>
    </row>
    <row r="55" ht="15.75" customHeight="1">
      <c r="B55" s="39"/>
      <c r="C55" s="39"/>
    </row>
    <row r="56" ht="15.75" customHeight="1">
      <c r="B56" s="39"/>
      <c r="C56" s="39"/>
    </row>
    <row r="57" ht="15.75" customHeight="1">
      <c r="B57" s="39"/>
      <c r="C57" s="39"/>
    </row>
    <row r="58" ht="15.75" customHeight="1">
      <c r="B58" s="39"/>
      <c r="C58" s="39"/>
    </row>
    <row r="59" ht="15.75" customHeight="1">
      <c r="B59" s="39"/>
      <c r="C59" s="39"/>
    </row>
    <row r="60" ht="15.75" customHeight="1">
      <c r="B60" s="39"/>
      <c r="C60" s="39"/>
    </row>
    <row r="61" ht="15.75" customHeight="1">
      <c r="B61" s="39"/>
      <c r="C61" s="39"/>
    </row>
    <row r="62" ht="15.75" customHeight="1">
      <c r="B62" s="39"/>
      <c r="C62" s="39"/>
    </row>
    <row r="63" ht="15.75" customHeight="1">
      <c r="B63" s="39"/>
      <c r="C63" s="39"/>
    </row>
    <row r="64" ht="15.75" customHeight="1">
      <c r="B64" s="39"/>
      <c r="C64" s="39"/>
    </row>
    <row r="65" ht="15.75" customHeight="1">
      <c r="B65" s="39"/>
      <c r="C65" s="39"/>
    </row>
    <row r="66" ht="15.75" customHeight="1">
      <c r="B66" s="39"/>
      <c r="C66" s="39"/>
    </row>
    <row r="67" ht="15.75" customHeight="1">
      <c r="B67" s="39"/>
      <c r="C67" s="39"/>
    </row>
    <row r="68" ht="15.75" customHeight="1">
      <c r="B68" s="39"/>
      <c r="C68" s="39"/>
    </row>
    <row r="69" ht="15.75" customHeight="1">
      <c r="B69" s="39"/>
      <c r="C69" s="39"/>
    </row>
    <row r="70" ht="15.75" customHeight="1">
      <c r="B70" s="39"/>
      <c r="C70" s="39"/>
    </row>
    <row r="71" ht="15.75" customHeight="1">
      <c r="B71" s="39"/>
      <c r="C71" s="39"/>
    </row>
    <row r="72" ht="15.75" customHeight="1">
      <c r="B72" s="39"/>
      <c r="C72" s="39"/>
    </row>
    <row r="73" ht="15.75" customHeight="1">
      <c r="B73" s="39"/>
      <c r="C73" s="39"/>
    </row>
    <row r="74" ht="15.75" customHeight="1">
      <c r="B74" s="39"/>
      <c r="C74" s="39"/>
    </row>
    <row r="75" ht="15.75" customHeight="1">
      <c r="B75" s="39"/>
      <c r="C75" s="39"/>
    </row>
    <row r="76" ht="15.75" customHeight="1">
      <c r="B76" s="39"/>
      <c r="C76" s="39"/>
    </row>
    <row r="77" ht="15.75" customHeight="1">
      <c r="B77" s="39"/>
      <c r="C77" s="39"/>
    </row>
    <row r="78" ht="15.75" customHeight="1">
      <c r="B78" s="39"/>
      <c r="C78" s="39"/>
    </row>
    <row r="79" ht="15.75" customHeight="1">
      <c r="B79" s="39"/>
      <c r="C79" s="39"/>
    </row>
    <row r="80" ht="15.75" customHeight="1">
      <c r="B80" s="39"/>
      <c r="C80" s="39"/>
    </row>
    <row r="81" ht="15.75" customHeight="1">
      <c r="B81" s="39"/>
      <c r="C81" s="39"/>
    </row>
    <row r="82" ht="15.75" customHeight="1">
      <c r="B82" s="39"/>
      <c r="C82" s="39"/>
    </row>
    <row r="83" ht="15.75" customHeight="1">
      <c r="B83" s="39"/>
      <c r="C83" s="39"/>
    </row>
    <row r="84" ht="15.75" customHeight="1">
      <c r="B84" s="39"/>
      <c r="C84" s="39"/>
    </row>
    <row r="85" ht="15.75" customHeight="1">
      <c r="B85" s="39"/>
      <c r="C85" s="39"/>
    </row>
    <row r="86" ht="15.75" customHeight="1">
      <c r="B86" s="39"/>
      <c r="C86" s="39"/>
    </row>
    <row r="87" ht="15.75" customHeight="1">
      <c r="B87" s="39"/>
      <c r="C87" s="39"/>
    </row>
    <row r="88" ht="15.75" customHeight="1">
      <c r="B88" s="39"/>
      <c r="C88" s="39"/>
    </row>
    <row r="89" ht="15.75" customHeight="1">
      <c r="B89" s="39"/>
      <c r="C89" s="39"/>
    </row>
    <row r="90" ht="15.75" customHeight="1">
      <c r="B90" s="39"/>
      <c r="C90" s="39"/>
    </row>
    <row r="91" ht="15.75" customHeight="1">
      <c r="B91" s="39"/>
      <c r="C91" s="39"/>
    </row>
    <row r="92" ht="15.75" customHeight="1">
      <c r="B92" s="39"/>
      <c r="C92" s="39"/>
    </row>
    <row r="93" ht="15.75" customHeight="1">
      <c r="B93" s="39"/>
      <c r="C93" s="39"/>
    </row>
    <row r="94" ht="15.75" customHeight="1">
      <c r="B94" s="39"/>
      <c r="C94" s="39"/>
    </row>
    <row r="95" ht="15.75" customHeight="1">
      <c r="B95" s="39"/>
      <c r="C95" s="39"/>
    </row>
    <row r="96" ht="15.75" customHeight="1">
      <c r="B96" s="39"/>
      <c r="C96" s="39"/>
    </row>
    <row r="97" ht="15.75" customHeight="1">
      <c r="B97" s="39"/>
      <c r="C97" s="39"/>
    </row>
    <row r="98" ht="15.75" customHeight="1">
      <c r="B98" s="39"/>
      <c r="C98" s="39"/>
    </row>
    <row r="99" ht="15.75" customHeight="1">
      <c r="B99" s="39"/>
      <c r="C99" s="39"/>
    </row>
    <row r="100" ht="15.75" customHeight="1">
      <c r="B100" s="39"/>
      <c r="C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tr">
        <f>IFERROR(__xludf.DUMMYFUNCTION("""COMPUTED_VALUE"""),"UpdateDailyCash")</f>
        <v>UpdateDailyCash</v>
      </c>
      <c r="D4" s="27" t="str">
        <f>IFERROR(__xludf.DUMMYFUNCTION("""COMPUTED_VALUE"""),"UpdateForexConversion")</f>
        <v>UpdateForexConversion</v>
      </c>
      <c r="E4" s="27" t="str">
        <f>IFERROR(__xludf.DUMMYFUNCTION("""COMPUTED_VALUE"""),"UpdateMarkPrice")</f>
        <v>UpdateMarkPrice</v>
      </c>
      <c r="F4" s="27" t="str">
        <f>IFERROR(__xludf.DUMMYFUNCTION("""COMPUTED_VALUE"""),"CleanUp")</f>
        <v>CleanUp</v>
      </c>
      <c r="G4" s="27" t="str">
        <f>IFERROR(__xludf.DUMMYFUNCTION("""COMPUTED_VALUE"""),"GetMarkPriceData")</f>
        <v>GetMarkPriceData</v>
      </c>
      <c r="H4" s="27" t="str">
        <f>IFERROR(__xludf.DUMMYFUNCTION("""COMPUTED_VALUE"""),"GetForwardPoints")</f>
        <v>GetForwardPoints</v>
      </c>
      <c r="I4" s="27" t="str">
        <f>IFERROR(__xludf.DUMMYFUNCTION("""COMPUTED_VALUE"""),"UpdateForwardPoints")</f>
        <v>UpdateForwardPoints</v>
      </c>
      <c r="J4" s="27" t="str">
        <f>IFERROR(__xludf.DUMMYFUNCTION("""COMPUTED_VALUE"""),"GetForexConversion")</f>
        <v>GetForexConversion</v>
      </c>
      <c r="K4" s="27" t="str">
        <f>IFERROR(__xludf.DUMMYFUNCTION("""COMPUTED_VALUE"""),"DeleteNAV")</f>
        <v>DeleteNAV</v>
      </c>
      <c r="L4" s="27" t="str">
        <f>IFERROR(__xludf.DUMMYFUNCTION("""COMPUTED_VALUE"""),"GetDailyCash")</f>
        <v>GetDailyCash</v>
      </c>
      <c r="M4" s="27" t="str">
        <f>IFERROR(__xludf.DUMMYFUNCTION("""COMPUTED_VALUE"""),"GetDailyBeta")</f>
        <v>GetDailyBeta</v>
      </c>
      <c r="N4" s="27" t="str">
        <f>IFERROR(__xludf.DUMMYFUNCTION("""COMPUTED_VALUE"""),"GetDailyVolatility")</f>
        <v>GetDailyVolatility</v>
      </c>
      <c r="O4" s="27" t="str">
        <f>IFERROR(__xludf.DUMMYFUNCTION("""COMPUTED_VALUE"""),"GetDailyDividendYield")</f>
        <v>GetDailyDividendYield</v>
      </c>
      <c r="P4" s="29" t="str">
        <f>IFERROR(__xludf.DUMMYFUNCTION("""COMPUTED_VALUE"""),"GetDailyTradingVolume")</f>
        <v>GetDailyTradingVolume</v>
      </c>
      <c r="Q4" s="29" t="str">
        <f>IFERROR(__xludf.DUMMYFUNCTION("""COMPUTED_VALUE"""),"GetDailyOutstandings")</f>
        <v>GetDailyOutstandings</v>
      </c>
      <c r="R4" s="29" t="str">
        <f>IFERROR(__xludf.DUMMYFUNCTION("""COMPUTED_VALUE"""),"GetDailyDelta")</f>
        <v>GetDailyDelta</v>
      </c>
      <c r="S4" s="29" t="str">
        <f>IFERROR(__xludf.DUMMYFUNCTION("""COMPUTED_VALUE"""),"UpdateDailyVolatility")</f>
        <v>UpdateDailyVolatility</v>
      </c>
      <c r="T4" s="29" t="str">
        <f>IFERROR(__xludf.DUMMYFUNCTION("""COMPUTED_VALUE"""),"UpdateDividendYield")</f>
        <v>UpdateDividendYield</v>
      </c>
      <c r="U4" s="29" t="str">
        <f>IFERROR(__xludf.DUMMYFUNCTION("""COMPUTED_VALUE"""),"UpdateTradingVolume")</f>
        <v>UpdateTradingVolume</v>
      </c>
      <c r="V4" s="29" t="str">
        <f>IFERROR(__xludf.DUMMYFUNCTION("""COMPUTED_VALUE"""),"UpdateDailyDelta")</f>
        <v>UpdateDailyDelta</v>
      </c>
      <c r="W4" s="29" t="str">
        <f>IFERROR(__xludf.DUMMYFUNCTION("""COMPUTED_VALUE"""),"UpdateDailyOutstandings")</f>
        <v>UpdateDailyOutstandings</v>
      </c>
      <c r="X4" s="29" t="str">
        <f>IFERROR(__xludf.DUMMYFUNCTION("""COMPUTED_VALUE"""),"UpdateBeta")</f>
        <v>UpdateBeta</v>
      </c>
      <c r="Y4" s="29" t="str">
        <f>IFERROR(__xludf.DUMMYFUNCTION("""COMPUTED_VALUE"""),"UpdateNAV")</f>
        <v>UpdateNAV</v>
      </c>
      <c r="Z4" s="29" t="str">
        <f>IFERROR(__xludf.DUMMYFUNCTION("""COMPUTED_VALUE"""),"UpdateDailyCash")</f>
        <v>UpdateDailyCash</v>
      </c>
      <c r="AA4" s="29" t="str">
        <f>IFERROR(__xludf.DUMMYFUNCTION("""COMPUTED_VALUE"""),"UpdateDailyCreditLimt")</f>
        <v>UpdateDailyCreditLimt</v>
      </c>
      <c r="AB4" s="29" t="str">
        <f>IFERROR(__xludf.DUMMYFUNCTION("""COMPUTED_VALUE"""),"RemoveDailyCreditLimit")</f>
        <v>RemoveDailyCreditLimit</v>
      </c>
      <c r="AC4" s="29" t="str">
        <f>IFERROR(__xludf.DUMMYFUNCTION("""COMPUTED_VALUE"""),"RemoveDailyCash")</f>
        <v>RemoveDailyCash</v>
      </c>
      <c r="AD4" s="29" t="str">
        <f>IFERROR(__xludf.DUMMYFUNCTION("""COMPUTED_VALUE"""),"RemoveNAV")</f>
        <v>RemoveNAV</v>
      </c>
      <c r="AE4" s="29" t="str">
        <f>IFERROR(__xludf.DUMMYFUNCTION("""COMPUTED_VALUE"""),"UpdateForexConversionMonthly")</f>
        <v>UpdateForexConversionMonthly</v>
      </c>
      <c r="AF4" s="29" t="str">
        <f>IFERROR(__xludf.DUMMYFUNCTION("""COMPUTED_VALUE"""),"UpdateMarkPriceMonthly")</f>
        <v>UpdateMarkPriceMonthly</v>
      </c>
      <c r="AG4" s="29" t="str">
        <f>IFERROR(__xludf.DUMMYFUNCTION("""COMPUTED_VALUE"""),"VerifyDailyCash")</f>
        <v>VerifyDailyCash</v>
      </c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IFERROR(__xludf.DUMMYFUNCTION("""COMPUTED_VALUE"""),"Symbol")</f>
        <v>Symbol</v>
      </c>
      <c r="C5" s="31" t="str">
        <f>IFERROR(__xludf.DUMMYFUNCTION("""COMPUTED_VALUE"""),"Price")</f>
        <v>Price</v>
      </c>
      <c r="D5" s="31"/>
      <c r="E5" s="31"/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 t="s">
        <v>24</v>
      </c>
      <c r="C6" s="55">
        <v>85.0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67</v>
      </c>
      <c r="C7" s="44">
        <v>100.0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3" t="s">
        <v>35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IFERROR(__xludf.DUMMYFUNCTION("""COMPUTED_VALUE"""),"Balances as on date")</f>
        <v>Balances as on date</v>
      </c>
      <c r="E5" s="31" t="str">
        <f>IFERROR(__xludf.DUMMYFUNCTION("""COMPUTED_VALUE"""),"IsRunRevalOnGetAccountBalances")</f>
        <v>IsRunRevalOnGetAccountBalances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43873.0</v>
      </c>
      <c r="E6" s="53" t="b">
        <v>1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</row>
    <row r="28" ht="15.75" customHeight="1">
      <c r="D28" s="39"/>
    </row>
    <row r="29" ht="15.75" customHeight="1">
      <c r="D29" s="39"/>
    </row>
    <row r="30" ht="15.75" customHeight="1">
      <c r="D30" s="39"/>
    </row>
    <row r="31" ht="15.75" customHeight="1">
      <c r="D31" s="39"/>
    </row>
    <row r="32" ht="15.75" customHeight="1">
      <c r="D32" s="39"/>
    </row>
    <row r="33" ht="15.75" customHeight="1">
      <c r="D33" s="39"/>
    </row>
    <row r="34" ht="15.75" customHeight="1">
      <c r="D34" s="39"/>
    </row>
    <row r="35" ht="15.75" customHeight="1">
      <c r="D35" s="39"/>
    </row>
    <row r="36" ht="15.75" customHeight="1">
      <c r="D36" s="39"/>
    </row>
    <row r="37" ht="15.75" customHeight="1">
      <c r="D37" s="39"/>
    </row>
    <row r="38" ht="15.75" customHeight="1">
      <c r="D38" s="39"/>
    </row>
    <row r="39" ht="15.75" customHeight="1">
      <c r="D39" s="39"/>
    </row>
    <row r="40" ht="15.75" customHeight="1">
      <c r="D40" s="39"/>
    </row>
    <row r="41" ht="15.75" customHeight="1">
      <c r="D41" s="39"/>
    </row>
    <row r="42" ht="15.75" customHeight="1">
      <c r="D42" s="39"/>
    </row>
    <row r="43" ht="15.75" customHeight="1">
      <c r="D43" s="39"/>
    </row>
    <row r="44" ht="15.75" customHeight="1">
      <c r="D44" s="39"/>
    </row>
    <row r="45" ht="15.75" customHeight="1">
      <c r="D45" s="39"/>
    </row>
    <row r="46" ht="15.75" customHeight="1">
      <c r="D46" s="39"/>
    </row>
    <row r="47" ht="15.75" customHeight="1">
      <c r="D47" s="39"/>
    </row>
    <row r="48" ht="15.75" customHeight="1">
      <c r="D48" s="39"/>
    </row>
    <row r="49" ht="15.75" customHeight="1">
      <c r="D49" s="39"/>
    </row>
    <row r="50" ht="15.75" customHeight="1">
      <c r="D50" s="39"/>
    </row>
    <row r="51" ht="15.75" customHeight="1">
      <c r="D51" s="39"/>
    </row>
    <row r="52" ht="15.75" customHeight="1">
      <c r="D52" s="39"/>
    </row>
    <row r="53" ht="15.75" customHeight="1">
      <c r="D53" s="39"/>
    </row>
    <row r="54" ht="15.75" customHeight="1">
      <c r="D54" s="39"/>
    </row>
    <row r="55" ht="15.75" customHeight="1">
      <c r="D55" s="39"/>
    </row>
    <row r="56" ht="15.75" customHeight="1">
      <c r="D56" s="39"/>
    </row>
    <row r="57" ht="15.75" customHeight="1">
      <c r="D57" s="39"/>
    </row>
    <row r="58" ht="15.75" customHeight="1">
      <c r="D58" s="39"/>
    </row>
    <row r="59" ht="15.75" customHeight="1">
      <c r="D59" s="39"/>
    </row>
    <row r="60" ht="15.75" customHeight="1">
      <c r="D60" s="39"/>
    </row>
    <row r="61" ht="15.75" customHeight="1">
      <c r="D61" s="39"/>
    </row>
    <row r="62" ht="15.75" customHeight="1">
      <c r="D62" s="39"/>
    </row>
    <row r="63" ht="15.75" customHeight="1">
      <c r="D63" s="39"/>
    </row>
    <row r="64" ht="15.75" customHeight="1">
      <c r="D64" s="39"/>
    </row>
    <row r="65" ht="15.75" customHeight="1">
      <c r="D65" s="39"/>
    </row>
    <row r="66" ht="15.75" customHeight="1">
      <c r="D66" s="39"/>
    </row>
    <row r="67" ht="15.75" customHeight="1">
      <c r="D67" s="39"/>
    </row>
    <row r="68" ht="15.75" customHeight="1">
      <c r="D68" s="39"/>
    </row>
    <row r="69" ht="15.75" customHeight="1">
      <c r="D69" s="39"/>
    </row>
    <row r="70" ht="15.75" customHeight="1">
      <c r="D70" s="39"/>
    </row>
    <row r="71" ht="15.75" customHeight="1">
      <c r="D71" s="39"/>
    </row>
    <row r="72" ht="15.75" customHeight="1">
      <c r="D72" s="39"/>
    </row>
    <row r="73" ht="15.75" customHeight="1">
      <c r="D73" s="39"/>
    </row>
    <row r="74" ht="15.75" customHeight="1">
      <c r="D74" s="39"/>
    </row>
    <row r="75" ht="15.75" customHeight="1">
      <c r="D75" s="39"/>
    </row>
    <row r="76" ht="15.75" customHeight="1">
      <c r="D76" s="39"/>
    </row>
    <row r="77" ht="15.75" customHeight="1">
      <c r="D77" s="39"/>
    </row>
    <row r="78" ht="15.75" customHeight="1">
      <c r="D78" s="39"/>
    </row>
    <row r="79" ht="15.75" customHeight="1">
      <c r="D79" s="39"/>
    </row>
    <row r="80" ht="15.75" customHeight="1">
      <c r="D80" s="39"/>
    </row>
    <row r="81" ht="15.75" customHeight="1">
      <c r="D81" s="39"/>
    </row>
    <row r="82" ht="15.75" customHeight="1">
      <c r="D82" s="39"/>
    </row>
    <row r="83" ht="15.75" customHeight="1">
      <c r="D83" s="39"/>
    </row>
    <row r="84" ht="15.75" customHeight="1">
      <c r="D84" s="39"/>
    </row>
    <row r="85" ht="15.75" customHeight="1">
      <c r="D85" s="39"/>
    </row>
    <row r="86" ht="15.75" customHeight="1">
      <c r="D86" s="39"/>
    </row>
    <row r="87" ht="15.75" customHeight="1">
      <c r="D87" s="39"/>
    </row>
    <row r="88" ht="15.75" customHeight="1">
      <c r="D88" s="39"/>
    </row>
    <row r="89" ht="15.75" customHeight="1">
      <c r="D89" s="39"/>
    </row>
    <row r="90" ht="15.75" customHeight="1">
      <c r="D90" s="39"/>
    </row>
    <row r="91" ht="15.75" customHeight="1">
      <c r="D91" s="39"/>
    </row>
    <row r="92" ht="15.75" customHeight="1">
      <c r="D92" s="39"/>
    </row>
    <row r="93" ht="15.75" customHeight="1">
      <c r="D93" s="39"/>
    </row>
    <row r="94" ht="15.75" customHeight="1">
      <c r="D94" s="39"/>
    </row>
    <row r="95" ht="15.75" customHeight="1">
      <c r="D95" s="39"/>
    </row>
    <row r="96" ht="15.75" customHeight="1">
      <c r="D96" s="39"/>
    </row>
    <row r="97" ht="15.75" customHeight="1">
      <c r="D97" s="39"/>
    </row>
    <row r="98" ht="15.75" customHeight="1">
      <c r="D98" s="39"/>
    </row>
    <row r="99" ht="15.75" customHeight="1">
      <c r="D99" s="39"/>
    </row>
    <row r="100" ht="15.75" customHeight="1">
      <c r="D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36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 Date")</f>
        <v>From Date</v>
      </c>
      <c r="E5" s="32" t="str">
        <f>IFERROR(__xludf.DUMMYFUNCTION("""COMPUTED_VALUE"""),"To Date")</f>
        <v>To Date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43871.0</v>
      </c>
      <c r="E6" s="37">
        <v>43873.0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1" t="str">
        <f>IFERROR(__xludf.DUMMYFUNCTION("""COMPUTED_VALUE"""),"Account")</f>
        <v>Account</v>
      </c>
      <c r="D5" s="31" t="str">
        <f>IFERROR(__xludf.DUMMYFUNCTION("""COMPUTED_VALUE"""),"Symbol")</f>
        <v>Symbol</v>
      </c>
      <c r="E5" s="31" t="str">
        <f>IFERROR(__xludf.DUMMYFUNCTION("""COMPUTED_VALUE"""),"Currency")</f>
        <v>Currency</v>
      </c>
      <c r="F5" s="33" t="str">
        <f>IFERROR(__xludf.DUMMYFUNCTION("""COMPUTED_VALUE"""),"Cash Sub-Account")</f>
        <v>Cash Sub-Account</v>
      </c>
      <c r="G5" s="31" t="str">
        <f>IFERROR(__xludf.DUMMYFUNCTION("""COMPUTED_VALUE"""),"DR")</f>
        <v>DR</v>
      </c>
      <c r="H5" s="31" t="str">
        <f>IFERROR(__xludf.DUMMYFUNCTION("""COMPUTED_VALUE"""),"CR")</f>
        <v>CR</v>
      </c>
      <c r="I5" s="31" t="str">
        <f>IFERROR(__xludf.DUMMYFUNCTION("""COMPUTED_VALUE"""),"Modify Date")</f>
        <v>Modify Date</v>
      </c>
      <c r="J5" s="31" t="str">
        <f>IFERROR(__xludf.DUMMYFUNCTION("""COMPUTED_VALUE"""),"Entry Date")</f>
        <v>Entry Date</v>
      </c>
      <c r="K5" s="31" t="str">
        <f>IFERROR(__xludf.DUMMYFUNCTION("""COMPUTED_VALUE"""),"User")</f>
        <v>User</v>
      </c>
      <c r="L5" s="31" t="str">
        <f>IFERROR(__xludf.DUMMYFUNCTION("""COMPUTED_VALUE"""),"Fx Rate")</f>
        <v>Fx Rate</v>
      </c>
      <c r="M5" s="31" t="str">
        <f>IFERROR(__xludf.DUMMYFUNCTION("""COMPUTED_VALUE"""),"FX Conversion Method Operator")</f>
        <v>FX Conversion Method Operator</v>
      </c>
      <c r="N5" s="31" t="str">
        <f>IFERROR(__xludf.DUMMYFUNCTION("""COMPUTED_VALUE"""),"Account Side")</f>
        <v>Account Side</v>
      </c>
      <c r="O5" s="31" t="str">
        <f>IFERROR(__xludf.DUMMYFUNCTION("""COMPUTED_VALUE"""),"TransactionSource")</f>
        <v>TransactionSource</v>
      </c>
      <c r="P5" s="31" t="str">
        <f>IFERROR(__xludf.DUMMYFUNCTION("""COMPUTED_VALUE"""),"Base Currency")</f>
        <v>Base Currency</v>
      </c>
      <c r="Q5" s="31" t="str">
        <f>IFERROR(__xludf.DUMMYFUNCTION("""COMPUTED_VALUE"""),"Description")</f>
        <v>Description</v>
      </c>
      <c r="R5" s="31" t="str">
        <f>IFERROR(__xludf.DUMMYFUNCTION("""COMPUTED_VALUE"""),"DR (Base)")</f>
        <v>DR (Base)</v>
      </c>
      <c r="S5" s="31" t="str">
        <f>IFERROR(__xludf.DUMMYFUNCTION("""COMPUTED_VALUE"""),"CR (Base)")</f>
        <v>CR (Base)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65">
        <v>43871.0</v>
      </c>
      <c r="C6" s="59" t="s">
        <v>16</v>
      </c>
      <c r="D6" s="59" t="s">
        <v>24</v>
      </c>
      <c r="E6" s="59" t="s">
        <v>28</v>
      </c>
      <c r="F6" s="59" t="s">
        <v>45</v>
      </c>
      <c r="G6" s="60">
        <v>7340.0</v>
      </c>
      <c r="H6" s="61">
        <v>0.0</v>
      </c>
      <c r="I6" s="8"/>
      <c r="J6" s="8"/>
      <c r="K6" s="8"/>
      <c r="L6" s="60">
        <v>1.1</v>
      </c>
      <c r="M6" s="59" t="s">
        <v>46</v>
      </c>
      <c r="N6" s="59" t="s">
        <v>39</v>
      </c>
      <c r="O6" s="59" t="s">
        <v>40</v>
      </c>
      <c r="P6" s="59" t="s">
        <v>18</v>
      </c>
      <c r="Q6" s="59" t="s">
        <v>47</v>
      </c>
      <c r="R6" s="60">
        <v>6672.727273</v>
      </c>
      <c r="S6" s="60">
        <v>0.0</v>
      </c>
    </row>
    <row r="7" ht="15.75" customHeight="1">
      <c r="A7" s="8"/>
      <c r="B7" s="65">
        <v>43871.0</v>
      </c>
      <c r="C7" s="59" t="s">
        <v>16</v>
      </c>
      <c r="D7" s="59" t="s">
        <v>24</v>
      </c>
      <c r="E7" s="59" t="s">
        <v>28</v>
      </c>
      <c r="F7" s="62" t="s">
        <v>19</v>
      </c>
      <c r="G7" s="63">
        <v>0.0</v>
      </c>
      <c r="H7" s="64">
        <v>7340.0</v>
      </c>
      <c r="I7" s="8"/>
      <c r="J7" s="8"/>
      <c r="K7" s="8"/>
      <c r="L7" s="64">
        <v>1.1</v>
      </c>
      <c r="M7" s="62" t="s">
        <v>46</v>
      </c>
      <c r="N7" s="62" t="s">
        <v>43</v>
      </c>
      <c r="O7" s="62" t="s">
        <v>40</v>
      </c>
      <c r="P7" s="62" t="s">
        <v>18</v>
      </c>
      <c r="Q7" s="59" t="s">
        <v>47</v>
      </c>
      <c r="R7" s="64">
        <v>0.0</v>
      </c>
      <c r="S7" s="64">
        <v>6672.727273</v>
      </c>
    </row>
    <row r="8" ht="15.75" customHeight="1">
      <c r="A8" s="8"/>
      <c r="B8" s="65">
        <v>43871.0</v>
      </c>
      <c r="C8" s="59" t="s">
        <v>16</v>
      </c>
      <c r="D8" s="59" t="s">
        <v>24</v>
      </c>
      <c r="E8" s="59" t="s">
        <v>28</v>
      </c>
      <c r="F8" s="59" t="s">
        <v>19</v>
      </c>
      <c r="G8" s="60">
        <v>7340.0</v>
      </c>
      <c r="H8" s="61">
        <v>0.0</v>
      </c>
      <c r="I8" s="8"/>
      <c r="J8" s="8"/>
      <c r="K8" s="8"/>
      <c r="L8" s="60">
        <v>0.666666667</v>
      </c>
      <c r="M8" s="59" t="s">
        <v>20</v>
      </c>
      <c r="N8" s="59" t="s">
        <v>39</v>
      </c>
      <c r="O8" s="59" t="s">
        <v>40</v>
      </c>
      <c r="P8" s="59" t="s">
        <v>18</v>
      </c>
      <c r="Q8" s="59" t="s">
        <v>48</v>
      </c>
      <c r="R8" s="60">
        <v>4893.333333</v>
      </c>
      <c r="S8" s="60">
        <v>0.0</v>
      </c>
    </row>
    <row r="9" ht="15.75" customHeight="1">
      <c r="A9" s="8"/>
      <c r="B9" s="65">
        <v>43871.0</v>
      </c>
      <c r="C9" s="59" t="s">
        <v>16</v>
      </c>
      <c r="D9" s="59" t="s">
        <v>24</v>
      </c>
      <c r="E9" s="59" t="s">
        <v>28</v>
      </c>
      <c r="F9" s="62" t="s">
        <v>45</v>
      </c>
      <c r="G9" s="63">
        <v>0.0</v>
      </c>
      <c r="H9" s="64">
        <v>7340.0</v>
      </c>
      <c r="I9" s="8"/>
      <c r="J9" s="8"/>
      <c r="K9" s="8"/>
      <c r="L9" s="64">
        <v>0.666666667</v>
      </c>
      <c r="M9" s="62" t="s">
        <v>20</v>
      </c>
      <c r="N9" s="62" t="s">
        <v>43</v>
      </c>
      <c r="O9" s="62" t="s">
        <v>40</v>
      </c>
      <c r="P9" s="62" t="s">
        <v>18</v>
      </c>
      <c r="Q9" s="59" t="s">
        <v>48</v>
      </c>
      <c r="R9" s="64">
        <v>0.0</v>
      </c>
      <c r="S9" s="64">
        <v>4893.333333</v>
      </c>
    </row>
    <row r="10" ht="15.75" customHeight="1">
      <c r="A10" s="8"/>
      <c r="B10" s="58">
        <v>43872.0</v>
      </c>
      <c r="C10" s="59" t="s">
        <v>16</v>
      </c>
      <c r="D10" s="59" t="s">
        <v>24</v>
      </c>
      <c r="E10" s="59" t="s">
        <v>28</v>
      </c>
      <c r="F10" s="59" t="s">
        <v>38</v>
      </c>
      <c r="G10" s="60">
        <v>1060.0</v>
      </c>
      <c r="H10" s="61">
        <v>0.0</v>
      </c>
      <c r="I10" s="8"/>
      <c r="J10" s="8"/>
      <c r="K10" s="8"/>
      <c r="L10" s="60">
        <v>0.5</v>
      </c>
      <c r="M10" s="59" t="s">
        <v>20</v>
      </c>
      <c r="N10" s="59" t="s">
        <v>39</v>
      </c>
      <c r="O10" s="59" t="s">
        <v>40</v>
      </c>
      <c r="P10" s="59" t="s">
        <v>18</v>
      </c>
      <c r="Q10" s="59" t="s">
        <v>41</v>
      </c>
      <c r="R10" s="60">
        <v>530.0</v>
      </c>
      <c r="S10" s="60">
        <v>0.0</v>
      </c>
    </row>
    <row r="11" ht="15.75" customHeight="1">
      <c r="A11" s="8"/>
      <c r="B11" s="58">
        <v>43872.0</v>
      </c>
      <c r="C11" s="59" t="s">
        <v>16</v>
      </c>
      <c r="D11" s="59" t="s">
        <v>24</v>
      </c>
      <c r="E11" s="59" t="s">
        <v>28</v>
      </c>
      <c r="F11" s="62" t="s">
        <v>42</v>
      </c>
      <c r="G11" s="63">
        <v>0.0</v>
      </c>
      <c r="H11" s="64">
        <v>1060.0</v>
      </c>
      <c r="I11" s="8"/>
      <c r="J11" s="8"/>
      <c r="K11" s="8"/>
      <c r="L11" s="64">
        <v>0.5</v>
      </c>
      <c r="M11" s="62" t="s">
        <v>20</v>
      </c>
      <c r="N11" s="62" t="s">
        <v>43</v>
      </c>
      <c r="O11" s="62" t="s">
        <v>40</v>
      </c>
      <c r="P11" s="62" t="s">
        <v>18</v>
      </c>
      <c r="Q11" s="59" t="s">
        <v>41</v>
      </c>
      <c r="R11" s="64">
        <v>0.0</v>
      </c>
      <c r="S11" s="64">
        <v>530.0</v>
      </c>
    </row>
    <row r="12" ht="15.75" customHeight="1">
      <c r="A12" s="8"/>
      <c r="B12" s="58">
        <v>43872.0</v>
      </c>
      <c r="C12" s="59" t="s">
        <v>16</v>
      </c>
      <c r="D12" s="59" t="s">
        <v>28</v>
      </c>
      <c r="E12" s="59" t="s">
        <v>18</v>
      </c>
      <c r="F12" s="59" t="s">
        <v>42</v>
      </c>
      <c r="G12" s="60">
        <v>3002.73</v>
      </c>
      <c r="H12" s="61">
        <v>0.0</v>
      </c>
      <c r="I12" s="8"/>
      <c r="J12" s="8"/>
      <c r="K12" s="8"/>
      <c r="L12" s="60">
        <v>1.0</v>
      </c>
      <c r="M12" s="59" t="s">
        <v>20</v>
      </c>
      <c r="N12" s="59" t="s">
        <v>39</v>
      </c>
      <c r="O12" s="59" t="s">
        <v>40</v>
      </c>
      <c r="P12" s="59" t="s">
        <v>18</v>
      </c>
      <c r="Q12" s="59" t="s">
        <v>41</v>
      </c>
      <c r="R12" s="60">
        <v>3002.73</v>
      </c>
      <c r="S12" s="60">
        <v>0.0</v>
      </c>
    </row>
    <row r="13" ht="15.75" customHeight="1">
      <c r="A13" s="8"/>
      <c r="B13" s="58">
        <v>43872.0</v>
      </c>
      <c r="C13" s="59" t="s">
        <v>16</v>
      </c>
      <c r="D13" s="59" t="s">
        <v>28</v>
      </c>
      <c r="E13" s="59" t="s">
        <v>18</v>
      </c>
      <c r="F13" s="62" t="s">
        <v>38</v>
      </c>
      <c r="G13" s="63">
        <v>0.0</v>
      </c>
      <c r="H13" s="64">
        <v>3002.73</v>
      </c>
      <c r="I13" s="8"/>
      <c r="J13" s="8"/>
      <c r="K13" s="8"/>
      <c r="L13" s="64">
        <v>1.0</v>
      </c>
      <c r="M13" s="62" t="s">
        <v>20</v>
      </c>
      <c r="N13" s="62" t="s">
        <v>43</v>
      </c>
      <c r="O13" s="62" t="s">
        <v>40</v>
      </c>
      <c r="P13" s="62" t="s">
        <v>18</v>
      </c>
      <c r="Q13" s="59" t="s">
        <v>41</v>
      </c>
      <c r="R13" s="64">
        <v>0.0</v>
      </c>
      <c r="S13" s="64">
        <v>3002.73</v>
      </c>
    </row>
    <row r="14" ht="15.75" customHeight="1">
      <c r="A14" s="8"/>
      <c r="B14" s="58">
        <v>43872.0</v>
      </c>
      <c r="C14" s="59" t="s">
        <v>16</v>
      </c>
      <c r="D14" s="59" t="s">
        <v>24</v>
      </c>
      <c r="E14" s="59" t="s">
        <v>28</v>
      </c>
      <c r="F14" s="59" t="s">
        <v>42</v>
      </c>
      <c r="G14" s="60">
        <v>535.0</v>
      </c>
      <c r="H14" s="61">
        <v>0.0</v>
      </c>
      <c r="I14" s="8"/>
      <c r="J14" s="8"/>
      <c r="K14" s="8"/>
      <c r="L14" s="60">
        <v>0.666666667</v>
      </c>
      <c r="M14" s="59" t="s">
        <v>20</v>
      </c>
      <c r="N14" s="59" t="s">
        <v>39</v>
      </c>
      <c r="O14" s="59" t="s">
        <v>40</v>
      </c>
      <c r="P14" s="59" t="s">
        <v>18</v>
      </c>
      <c r="Q14" s="59" t="s">
        <v>44</v>
      </c>
      <c r="R14" s="60">
        <v>356.6666667</v>
      </c>
      <c r="S14" s="60">
        <v>0.0</v>
      </c>
    </row>
    <row r="15" ht="15.75" customHeight="1">
      <c r="A15" s="8"/>
      <c r="B15" s="58">
        <v>43872.0</v>
      </c>
      <c r="C15" s="59" t="s">
        <v>16</v>
      </c>
      <c r="D15" s="59" t="s">
        <v>24</v>
      </c>
      <c r="E15" s="59" t="s">
        <v>28</v>
      </c>
      <c r="F15" s="62" t="s">
        <v>38</v>
      </c>
      <c r="G15" s="63">
        <v>0.0</v>
      </c>
      <c r="H15" s="64">
        <v>535.0</v>
      </c>
      <c r="I15" s="8"/>
      <c r="J15" s="8"/>
      <c r="K15" s="8"/>
      <c r="L15" s="64">
        <v>0.666666667</v>
      </c>
      <c r="M15" s="62" t="s">
        <v>20</v>
      </c>
      <c r="N15" s="62" t="s">
        <v>43</v>
      </c>
      <c r="O15" s="62" t="s">
        <v>40</v>
      </c>
      <c r="P15" s="62" t="s">
        <v>18</v>
      </c>
      <c r="Q15" s="59" t="s">
        <v>44</v>
      </c>
      <c r="R15" s="64">
        <v>0.0</v>
      </c>
      <c r="S15" s="64">
        <v>356.6666667</v>
      </c>
    </row>
    <row r="16" ht="15.75" customHeight="1">
      <c r="A16" s="8"/>
      <c r="B16" s="58">
        <v>43872.0</v>
      </c>
      <c r="C16" s="59" t="s">
        <v>16</v>
      </c>
      <c r="D16" s="59" t="s">
        <v>28</v>
      </c>
      <c r="E16" s="59" t="s">
        <v>18</v>
      </c>
      <c r="F16" s="59" t="s">
        <v>38</v>
      </c>
      <c r="G16" s="60">
        <v>1779.4</v>
      </c>
      <c r="H16" s="61">
        <v>0.0</v>
      </c>
      <c r="I16" s="8"/>
      <c r="J16" s="8"/>
      <c r="K16" s="8"/>
      <c r="L16" s="60">
        <v>1.0</v>
      </c>
      <c r="M16" s="59" t="s">
        <v>20</v>
      </c>
      <c r="N16" s="59" t="s">
        <v>39</v>
      </c>
      <c r="O16" s="59" t="s">
        <v>40</v>
      </c>
      <c r="P16" s="59" t="s">
        <v>18</v>
      </c>
      <c r="Q16" s="59" t="s">
        <v>44</v>
      </c>
      <c r="R16" s="60">
        <v>1779.4</v>
      </c>
      <c r="S16" s="60">
        <v>0.0</v>
      </c>
    </row>
    <row r="17" ht="15.75" customHeight="1">
      <c r="A17" s="8"/>
      <c r="B17" s="58">
        <v>43872.0</v>
      </c>
      <c r="C17" s="59" t="s">
        <v>16</v>
      </c>
      <c r="D17" s="59" t="s">
        <v>28</v>
      </c>
      <c r="E17" s="59" t="s">
        <v>18</v>
      </c>
      <c r="F17" s="62" t="s">
        <v>42</v>
      </c>
      <c r="G17" s="63">
        <v>0.0</v>
      </c>
      <c r="H17" s="64">
        <v>1779.4</v>
      </c>
      <c r="I17" s="8"/>
      <c r="J17" s="8"/>
      <c r="K17" s="8"/>
      <c r="L17" s="64">
        <v>1.0</v>
      </c>
      <c r="M17" s="62" t="s">
        <v>20</v>
      </c>
      <c r="N17" s="62" t="s">
        <v>43</v>
      </c>
      <c r="O17" s="62" t="s">
        <v>40</v>
      </c>
      <c r="P17" s="62" t="s">
        <v>18</v>
      </c>
      <c r="Q17" s="59" t="s">
        <v>44</v>
      </c>
      <c r="R17" s="64">
        <v>0.0</v>
      </c>
      <c r="S17" s="64">
        <v>1779.4</v>
      </c>
    </row>
    <row r="18" ht="15.75" customHeight="1">
      <c r="A18" s="8"/>
      <c r="B18" s="58">
        <v>43873.0</v>
      </c>
      <c r="C18" s="59" t="s">
        <v>16</v>
      </c>
      <c r="D18" s="59" t="s">
        <v>24</v>
      </c>
      <c r="E18" s="59" t="s">
        <v>28</v>
      </c>
      <c r="F18" s="59" t="s">
        <v>38</v>
      </c>
      <c r="G18" s="60">
        <v>4337.5</v>
      </c>
      <c r="H18" s="61">
        <v>0.0</v>
      </c>
      <c r="I18" s="8"/>
      <c r="J18" s="8"/>
      <c r="K18" s="8"/>
      <c r="L18" s="60">
        <v>0.4</v>
      </c>
      <c r="M18" s="59" t="s">
        <v>20</v>
      </c>
      <c r="N18" s="59" t="s">
        <v>39</v>
      </c>
      <c r="O18" s="59" t="s">
        <v>40</v>
      </c>
      <c r="P18" s="59" t="s">
        <v>18</v>
      </c>
      <c r="Q18" s="59" t="s">
        <v>41</v>
      </c>
      <c r="R18" s="60">
        <v>1735.0</v>
      </c>
      <c r="S18" s="60">
        <v>0.0</v>
      </c>
    </row>
    <row r="19" ht="15.75" customHeight="1">
      <c r="A19" s="8"/>
      <c r="B19" s="58">
        <v>43873.0</v>
      </c>
      <c r="C19" s="59" t="s">
        <v>16</v>
      </c>
      <c r="D19" s="59" t="s">
        <v>24</v>
      </c>
      <c r="E19" s="59" t="s">
        <v>28</v>
      </c>
      <c r="F19" s="62" t="s">
        <v>42</v>
      </c>
      <c r="G19" s="63">
        <v>0.0</v>
      </c>
      <c r="H19" s="64">
        <v>4337.5</v>
      </c>
      <c r="I19" s="8"/>
      <c r="J19" s="8"/>
      <c r="K19" s="8"/>
      <c r="L19" s="64">
        <v>0.4</v>
      </c>
      <c r="M19" s="62" t="s">
        <v>20</v>
      </c>
      <c r="N19" s="62" t="s">
        <v>43</v>
      </c>
      <c r="O19" s="62" t="s">
        <v>40</v>
      </c>
      <c r="P19" s="62" t="s">
        <v>18</v>
      </c>
      <c r="Q19" s="59" t="s">
        <v>41</v>
      </c>
      <c r="R19" s="64">
        <v>0.0</v>
      </c>
      <c r="S19" s="64">
        <v>1735.0</v>
      </c>
    </row>
    <row r="20" ht="15.75" customHeight="1">
      <c r="A20" s="8"/>
      <c r="B20" s="58">
        <v>43873.0</v>
      </c>
      <c r="C20" s="59" t="s">
        <v>16</v>
      </c>
      <c r="D20" s="59" t="s">
        <v>67</v>
      </c>
      <c r="E20" s="59" t="s">
        <v>28</v>
      </c>
      <c r="F20" s="59" t="s">
        <v>38</v>
      </c>
      <c r="G20" s="60">
        <v>647.5</v>
      </c>
      <c r="H20" s="61">
        <v>0.0</v>
      </c>
      <c r="I20" s="8"/>
      <c r="J20" s="8"/>
      <c r="K20" s="8"/>
      <c r="L20" s="60">
        <v>0.4</v>
      </c>
      <c r="M20" s="59" t="s">
        <v>20</v>
      </c>
      <c r="N20" s="59" t="s">
        <v>39</v>
      </c>
      <c r="O20" s="59" t="s">
        <v>40</v>
      </c>
      <c r="P20" s="59" t="s">
        <v>18</v>
      </c>
      <c r="Q20" s="59" t="s">
        <v>41</v>
      </c>
      <c r="R20" s="60">
        <v>259.0</v>
      </c>
      <c r="S20" s="60">
        <v>0.0</v>
      </c>
    </row>
    <row r="21" ht="15.75" customHeight="1">
      <c r="A21" s="8"/>
      <c r="B21" s="58">
        <v>43873.0</v>
      </c>
      <c r="C21" s="59" t="s">
        <v>16</v>
      </c>
      <c r="D21" s="59" t="s">
        <v>67</v>
      </c>
      <c r="E21" s="59" t="s">
        <v>28</v>
      </c>
      <c r="F21" s="62" t="s">
        <v>42</v>
      </c>
      <c r="G21" s="63">
        <v>0.0</v>
      </c>
      <c r="H21" s="64">
        <v>647.5</v>
      </c>
      <c r="I21" s="8"/>
      <c r="J21" s="8"/>
      <c r="K21" s="8"/>
      <c r="L21" s="64">
        <v>0.4</v>
      </c>
      <c r="M21" s="62" t="s">
        <v>20</v>
      </c>
      <c r="N21" s="62" t="s">
        <v>43</v>
      </c>
      <c r="O21" s="62" t="s">
        <v>40</v>
      </c>
      <c r="P21" s="62" t="s">
        <v>18</v>
      </c>
      <c r="Q21" s="59" t="s">
        <v>41</v>
      </c>
      <c r="R21" s="64">
        <v>0.0</v>
      </c>
      <c r="S21" s="64">
        <v>259.0</v>
      </c>
    </row>
    <row r="22" ht="15.75" customHeight="1">
      <c r="A22" s="8"/>
      <c r="B22" s="58">
        <v>43873.0</v>
      </c>
      <c r="C22" s="59" t="s">
        <v>16</v>
      </c>
      <c r="D22" s="59" t="s">
        <v>28</v>
      </c>
      <c r="E22" s="59" t="s">
        <v>18</v>
      </c>
      <c r="F22" s="59" t="s">
        <v>42</v>
      </c>
      <c r="G22" s="60">
        <v>3736.72</v>
      </c>
      <c r="H22" s="61">
        <v>0.0</v>
      </c>
      <c r="I22" s="8"/>
      <c r="J22" s="8"/>
      <c r="K22" s="8"/>
      <c r="L22" s="60">
        <v>1.0</v>
      </c>
      <c r="M22" s="59" t="s">
        <v>20</v>
      </c>
      <c r="N22" s="59" t="s">
        <v>39</v>
      </c>
      <c r="O22" s="59" t="s">
        <v>40</v>
      </c>
      <c r="P22" s="59" t="s">
        <v>18</v>
      </c>
      <c r="Q22" s="59" t="s">
        <v>41</v>
      </c>
      <c r="R22" s="60">
        <v>3736.72</v>
      </c>
      <c r="S22" s="60">
        <v>0.0</v>
      </c>
    </row>
    <row r="23" ht="15.75" customHeight="1">
      <c r="A23" s="8"/>
      <c r="B23" s="58">
        <v>43873.0</v>
      </c>
      <c r="C23" s="59" t="s">
        <v>16</v>
      </c>
      <c r="D23" s="59" t="s">
        <v>28</v>
      </c>
      <c r="E23" s="59" t="s">
        <v>18</v>
      </c>
      <c r="F23" s="62" t="s">
        <v>38</v>
      </c>
      <c r="G23" s="63">
        <v>0.0</v>
      </c>
      <c r="H23" s="64">
        <v>3736.72</v>
      </c>
      <c r="I23" s="8"/>
      <c r="J23" s="8"/>
      <c r="K23" s="8"/>
      <c r="L23" s="64">
        <v>1.0</v>
      </c>
      <c r="M23" s="62" t="s">
        <v>20</v>
      </c>
      <c r="N23" s="62" t="s">
        <v>43</v>
      </c>
      <c r="O23" s="62" t="s">
        <v>40</v>
      </c>
      <c r="P23" s="62" t="s">
        <v>18</v>
      </c>
      <c r="Q23" s="59" t="s">
        <v>41</v>
      </c>
      <c r="R23" s="64">
        <v>0.0</v>
      </c>
      <c r="S23" s="64">
        <v>3736.72</v>
      </c>
    </row>
    <row r="24" ht="15.75" customHeight="1">
      <c r="A24" s="8"/>
      <c r="B24" s="58">
        <v>43873.0</v>
      </c>
      <c r="C24" s="59" t="s">
        <v>16</v>
      </c>
      <c r="D24" s="59" t="s">
        <v>24</v>
      </c>
      <c r="E24" s="59" t="s">
        <v>28</v>
      </c>
      <c r="F24" s="59" t="s">
        <v>42</v>
      </c>
      <c r="G24" s="60">
        <v>1060.0</v>
      </c>
      <c r="H24" s="61">
        <v>0.0</v>
      </c>
      <c r="I24" s="8"/>
      <c r="J24" s="8"/>
      <c r="K24" s="8"/>
      <c r="L24" s="60">
        <v>0.5</v>
      </c>
      <c r="M24" s="59" t="s">
        <v>20</v>
      </c>
      <c r="N24" s="59" t="s">
        <v>39</v>
      </c>
      <c r="O24" s="59" t="s">
        <v>40</v>
      </c>
      <c r="P24" s="59" t="s">
        <v>18</v>
      </c>
      <c r="Q24" s="59" t="s">
        <v>44</v>
      </c>
      <c r="R24" s="60">
        <v>530.0</v>
      </c>
      <c r="S24" s="60">
        <v>0.0</v>
      </c>
    </row>
    <row r="25" ht="15.75" customHeight="1">
      <c r="A25" s="8"/>
      <c r="B25" s="58">
        <v>43873.0</v>
      </c>
      <c r="C25" s="59" t="s">
        <v>16</v>
      </c>
      <c r="D25" s="59" t="s">
        <v>24</v>
      </c>
      <c r="E25" s="59" t="s">
        <v>28</v>
      </c>
      <c r="F25" s="62" t="s">
        <v>38</v>
      </c>
      <c r="G25" s="63">
        <v>0.0</v>
      </c>
      <c r="H25" s="64">
        <v>1060.0</v>
      </c>
      <c r="I25" s="8"/>
      <c r="J25" s="8"/>
      <c r="K25" s="8"/>
      <c r="L25" s="64">
        <v>0.5</v>
      </c>
      <c r="M25" s="62" t="s">
        <v>20</v>
      </c>
      <c r="N25" s="62" t="s">
        <v>43</v>
      </c>
      <c r="O25" s="62" t="s">
        <v>40</v>
      </c>
      <c r="P25" s="62" t="s">
        <v>18</v>
      </c>
      <c r="Q25" s="59" t="s">
        <v>44</v>
      </c>
      <c r="R25" s="64">
        <v>0.0</v>
      </c>
      <c r="S25" s="64">
        <v>530.0</v>
      </c>
    </row>
    <row r="26" ht="15.75" customHeight="1">
      <c r="A26" s="8"/>
      <c r="B26" s="58">
        <v>43873.0</v>
      </c>
      <c r="C26" s="59" t="s">
        <v>16</v>
      </c>
      <c r="D26" s="59" t="s">
        <v>28</v>
      </c>
      <c r="E26" s="59" t="s">
        <v>18</v>
      </c>
      <c r="F26" s="59" t="s">
        <v>38</v>
      </c>
      <c r="G26" s="60">
        <v>3002.73</v>
      </c>
      <c r="H26" s="61">
        <v>0.0</v>
      </c>
      <c r="I26" s="8"/>
      <c r="J26" s="8"/>
      <c r="K26" s="8"/>
      <c r="L26" s="60">
        <v>1.0</v>
      </c>
      <c r="M26" s="59" t="s">
        <v>20</v>
      </c>
      <c r="N26" s="59" t="s">
        <v>39</v>
      </c>
      <c r="O26" s="59" t="s">
        <v>40</v>
      </c>
      <c r="P26" s="59" t="s">
        <v>18</v>
      </c>
      <c r="Q26" s="59" t="s">
        <v>44</v>
      </c>
      <c r="R26" s="60">
        <v>3002.73</v>
      </c>
      <c r="S26" s="60">
        <v>0.0</v>
      </c>
    </row>
    <row r="27" ht="15.75" customHeight="1">
      <c r="B27" s="58">
        <v>43873.0</v>
      </c>
      <c r="C27" s="59" t="s">
        <v>16</v>
      </c>
      <c r="D27" s="59" t="s">
        <v>28</v>
      </c>
      <c r="E27" s="59" t="s">
        <v>18</v>
      </c>
      <c r="F27" s="62" t="s">
        <v>42</v>
      </c>
      <c r="G27" s="63">
        <v>0.0</v>
      </c>
      <c r="H27" s="64">
        <v>3002.73</v>
      </c>
      <c r="L27" s="64">
        <v>1.0</v>
      </c>
      <c r="M27" s="62" t="s">
        <v>20</v>
      </c>
      <c r="N27" s="62" t="s">
        <v>43</v>
      </c>
      <c r="O27" s="62" t="s">
        <v>40</v>
      </c>
      <c r="P27" s="62" t="s">
        <v>18</v>
      </c>
      <c r="Q27" s="59" t="s">
        <v>44</v>
      </c>
      <c r="R27" s="64">
        <v>0.0</v>
      </c>
      <c r="S27" s="64">
        <v>3002.73</v>
      </c>
    </row>
    <row r="28" ht="15.75" customHeight="1">
      <c r="B28" s="58">
        <v>43871.0</v>
      </c>
      <c r="C28" s="59" t="s">
        <v>16</v>
      </c>
      <c r="D28" s="59" t="s">
        <v>24</v>
      </c>
      <c r="E28" s="59" t="s">
        <v>28</v>
      </c>
      <c r="F28" s="59" t="s">
        <v>38</v>
      </c>
      <c r="G28" s="60">
        <v>535.0</v>
      </c>
      <c r="H28" s="61">
        <v>0.0</v>
      </c>
      <c r="L28" s="60">
        <v>0.666666667</v>
      </c>
      <c r="M28" s="59" t="s">
        <v>20</v>
      </c>
      <c r="N28" s="59" t="s">
        <v>39</v>
      </c>
      <c r="O28" s="59" t="s">
        <v>40</v>
      </c>
      <c r="P28" s="59" t="s">
        <v>18</v>
      </c>
      <c r="Q28" s="59" t="s">
        <v>41</v>
      </c>
      <c r="R28" s="60">
        <v>356.6666667</v>
      </c>
      <c r="S28" s="60">
        <v>0.0</v>
      </c>
    </row>
    <row r="29" ht="15.75" customHeight="1">
      <c r="B29" s="58">
        <v>43871.0</v>
      </c>
      <c r="C29" s="59" t="s">
        <v>16</v>
      </c>
      <c r="D29" s="59" t="s">
        <v>24</v>
      </c>
      <c r="E29" s="59" t="s">
        <v>28</v>
      </c>
      <c r="F29" s="62" t="s">
        <v>42</v>
      </c>
      <c r="G29" s="63">
        <v>0.0</v>
      </c>
      <c r="H29" s="64">
        <v>535.0</v>
      </c>
      <c r="L29" s="64">
        <v>0.666666667</v>
      </c>
      <c r="M29" s="62" t="s">
        <v>20</v>
      </c>
      <c r="N29" s="62" t="s">
        <v>43</v>
      </c>
      <c r="O29" s="62" t="s">
        <v>40</v>
      </c>
      <c r="P29" s="62" t="s">
        <v>18</v>
      </c>
      <c r="Q29" s="59" t="s">
        <v>41</v>
      </c>
      <c r="R29" s="64">
        <v>0.0</v>
      </c>
      <c r="S29" s="64">
        <v>356.6666667</v>
      </c>
    </row>
    <row r="30" ht="15.75" customHeight="1">
      <c r="B30" s="58">
        <v>43871.0</v>
      </c>
      <c r="C30" s="59" t="s">
        <v>16</v>
      </c>
      <c r="D30" s="59" t="s">
        <v>28</v>
      </c>
      <c r="E30" s="59" t="s">
        <v>18</v>
      </c>
      <c r="F30" s="59" t="s">
        <v>42</v>
      </c>
      <c r="G30" s="60">
        <v>1779.4</v>
      </c>
      <c r="H30" s="61">
        <v>0.0</v>
      </c>
      <c r="L30" s="60">
        <v>1.0</v>
      </c>
      <c r="M30" s="59" t="s">
        <v>20</v>
      </c>
      <c r="N30" s="59" t="s">
        <v>39</v>
      </c>
      <c r="O30" s="59" t="s">
        <v>40</v>
      </c>
      <c r="P30" s="59" t="s">
        <v>18</v>
      </c>
      <c r="Q30" s="59" t="s">
        <v>41</v>
      </c>
      <c r="R30" s="60">
        <v>1779.4</v>
      </c>
      <c r="S30" s="60">
        <v>0.0</v>
      </c>
    </row>
    <row r="31" ht="15.75" customHeight="1">
      <c r="B31" s="58">
        <v>43871.0</v>
      </c>
      <c r="C31" s="59" t="s">
        <v>16</v>
      </c>
      <c r="D31" s="59" t="s">
        <v>28</v>
      </c>
      <c r="E31" s="59" t="s">
        <v>18</v>
      </c>
      <c r="F31" s="62" t="s">
        <v>38</v>
      </c>
      <c r="G31" s="63">
        <v>0.0</v>
      </c>
      <c r="H31" s="64">
        <v>1779.4</v>
      </c>
      <c r="L31" s="64">
        <v>1.0</v>
      </c>
      <c r="M31" s="62" t="s">
        <v>20</v>
      </c>
      <c r="N31" s="62" t="s">
        <v>43</v>
      </c>
      <c r="O31" s="62" t="s">
        <v>40</v>
      </c>
      <c r="P31" s="62" t="s">
        <v>18</v>
      </c>
      <c r="Q31" s="59" t="s">
        <v>41</v>
      </c>
      <c r="R31" s="64">
        <v>0.0</v>
      </c>
      <c r="S31" s="64">
        <v>1779.4</v>
      </c>
    </row>
    <row r="32" ht="15.75" customHeight="1">
      <c r="B32" s="58">
        <v>43872.0</v>
      </c>
      <c r="C32" s="59" t="s">
        <v>16</v>
      </c>
      <c r="D32" s="59" t="s">
        <v>28</v>
      </c>
      <c r="E32" s="59" t="s">
        <v>28</v>
      </c>
      <c r="F32" s="59" t="s">
        <v>19</v>
      </c>
      <c r="G32" s="60">
        <v>7340.0</v>
      </c>
      <c r="H32" s="61">
        <v>0.0</v>
      </c>
      <c r="L32" s="60">
        <v>0.5</v>
      </c>
      <c r="M32" s="59" t="s">
        <v>20</v>
      </c>
      <c r="N32" s="59" t="s">
        <v>39</v>
      </c>
      <c r="O32" s="59" t="s">
        <v>40</v>
      </c>
      <c r="P32" s="59" t="s">
        <v>18</v>
      </c>
      <c r="Q32" s="59" t="s">
        <v>49</v>
      </c>
      <c r="R32" s="60">
        <v>3670.0</v>
      </c>
      <c r="S32" s="60">
        <v>0.0</v>
      </c>
    </row>
    <row r="33" ht="15.75" customHeight="1">
      <c r="B33" s="58">
        <v>43872.0</v>
      </c>
      <c r="C33" s="59" t="s">
        <v>16</v>
      </c>
      <c r="D33" s="59" t="s">
        <v>28</v>
      </c>
      <c r="E33" s="59" t="s">
        <v>28</v>
      </c>
      <c r="F33" s="62" t="s">
        <v>45</v>
      </c>
      <c r="G33" s="63">
        <v>0.0</v>
      </c>
      <c r="H33" s="64">
        <v>7340.0</v>
      </c>
      <c r="L33" s="64">
        <v>0.5</v>
      </c>
      <c r="M33" s="62" t="s">
        <v>20</v>
      </c>
      <c r="N33" s="62" t="s">
        <v>43</v>
      </c>
      <c r="O33" s="62" t="s">
        <v>40</v>
      </c>
      <c r="P33" s="62" t="s">
        <v>18</v>
      </c>
      <c r="Q33" s="59" t="s">
        <v>49</v>
      </c>
      <c r="R33" s="64">
        <v>0.0</v>
      </c>
      <c r="S33" s="64">
        <v>3670.0</v>
      </c>
    </row>
    <row r="34" ht="15.75" customHeight="1">
      <c r="B34" s="58">
        <v>43872.0</v>
      </c>
      <c r="C34" s="59" t="s">
        <v>16</v>
      </c>
      <c r="D34" s="59" t="s">
        <v>28</v>
      </c>
      <c r="E34" s="59" t="s">
        <v>28</v>
      </c>
      <c r="F34" s="59" t="s">
        <v>45</v>
      </c>
      <c r="G34" s="60">
        <v>7340.0</v>
      </c>
      <c r="H34" s="61">
        <v>0.0</v>
      </c>
      <c r="L34" s="60">
        <v>0.666666667</v>
      </c>
      <c r="M34" s="59" t="s">
        <v>20</v>
      </c>
      <c r="N34" s="59" t="s">
        <v>39</v>
      </c>
      <c r="O34" s="59" t="s">
        <v>40</v>
      </c>
      <c r="P34" s="59" t="s">
        <v>18</v>
      </c>
      <c r="Q34" s="59" t="s">
        <v>50</v>
      </c>
      <c r="R34" s="60">
        <v>4893.333333</v>
      </c>
      <c r="S34" s="60">
        <v>0.0</v>
      </c>
    </row>
    <row r="35" ht="15.75" customHeight="1">
      <c r="B35" s="58">
        <v>43872.0</v>
      </c>
      <c r="C35" s="59" t="s">
        <v>16</v>
      </c>
      <c r="D35" s="59" t="s">
        <v>28</v>
      </c>
      <c r="E35" s="59" t="s">
        <v>28</v>
      </c>
      <c r="F35" s="62" t="s">
        <v>19</v>
      </c>
      <c r="G35" s="63">
        <v>0.0</v>
      </c>
      <c r="H35" s="64">
        <v>7340.0</v>
      </c>
      <c r="L35" s="64">
        <v>0.666666667</v>
      </c>
      <c r="M35" s="62" t="s">
        <v>20</v>
      </c>
      <c r="N35" s="62" t="s">
        <v>43</v>
      </c>
      <c r="O35" s="62" t="s">
        <v>40</v>
      </c>
      <c r="P35" s="62" t="s">
        <v>18</v>
      </c>
      <c r="Q35" s="59" t="s">
        <v>50</v>
      </c>
      <c r="R35" s="64">
        <v>0.0</v>
      </c>
      <c r="S35" s="64">
        <v>4893.333333</v>
      </c>
    </row>
    <row r="36" ht="15.75" customHeight="1">
      <c r="B36" s="58">
        <v>43873.0</v>
      </c>
      <c r="C36" s="59" t="s">
        <v>16</v>
      </c>
      <c r="D36" s="59" t="s">
        <v>28</v>
      </c>
      <c r="E36" s="59" t="s">
        <v>28</v>
      </c>
      <c r="F36" s="59" t="s">
        <v>19</v>
      </c>
      <c r="G36" s="60">
        <v>7340.0</v>
      </c>
      <c r="H36" s="61">
        <v>0.0</v>
      </c>
      <c r="L36" s="60">
        <v>0.4</v>
      </c>
      <c r="M36" s="59" t="s">
        <v>20</v>
      </c>
      <c r="N36" s="59" t="s">
        <v>39</v>
      </c>
      <c r="O36" s="59" t="s">
        <v>40</v>
      </c>
      <c r="P36" s="59" t="s">
        <v>18</v>
      </c>
      <c r="Q36" s="59" t="s">
        <v>49</v>
      </c>
      <c r="R36" s="60">
        <v>2936.0</v>
      </c>
      <c r="S36" s="60">
        <v>0.0</v>
      </c>
    </row>
    <row r="37" ht="15.75" customHeight="1">
      <c r="B37" s="58">
        <v>43873.0</v>
      </c>
      <c r="C37" s="59" t="s">
        <v>16</v>
      </c>
      <c r="D37" s="59" t="s">
        <v>28</v>
      </c>
      <c r="E37" s="59" t="s">
        <v>28</v>
      </c>
      <c r="F37" s="62" t="s">
        <v>45</v>
      </c>
      <c r="G37" s="63">
        <v>0.0</v>
      </c>
      <c r="H37" s="64">
        <v>7340.0</v>
      </c>
      <c r="L37" s="64">
        <v>0.4</v>
      </c>
      <c r="M37" s="62" t="s">
        <v>20</v>
      </c>
      <c r="N37" s="62" t="s">
        <v>43</v>
      </c>
      <c r="O37" s="62" t="s">
        <v>40</v>
      </c>
      <c r="P37" s="62" t="s">
        <v>18</v>
      </c>
      <c r="Q37" s="59" t="s">
        <v>49</v>
      </c>
      <c r="R37" s="64">
        <v>0.0</v>
      </c>
      <c r="S37" s="64">
        <v>2936.0</v>
      </c>
    </row>
    <row r="38" ht="15.75" customHeight="1">
      <c r="B38" s="58">
        <v>43873.0</v>
      </c>
      <c r="C38" s="59" t="s">
        <v>16</v>
      </c>
      <c r="D38" s="59" t="s">
        <v>28</v>
      </c>
      <c r="E38" s="59" t="s">
        <v>28</v>
      </c>
      <c r="F38" s="59" t="s">
        <v>45</v>
      </c>
      <c r="G38" s="60">
        <v>7340.0</v>
      </c>
      <c r="H38" s="61">
        <v>0.0</v>
      </c>
      <c r="L38" s="60">
        <v>0.5</v>
      </c>
      <c r="M38" s="59" t="s">
        <v>20</v>
      </c>
      <c r="N38" s="59" t="s">
        <v>39</v>
      </c>
      <c r="O38" s="59" t="s">
        <v>40</v>
      </c>
      <c r="P38" s="59" t="s">
        <v>18</v>
      </c>
      <c r="Q38" s="59" t="s">
        <v>50</v>
      </c>
      <c r="R38" s="60">
        <v>3670.0</v>
      </c>
      <c r="S38" s="60">
        <v>0.0</v>
      </c>
    </row>
    <row r="39" ht="15.75" customHeight="1">
      <c r="B39" s="58">
        <v>43873.0</v>
      </c>
      <c r="C39" s="59" t="s">
        <v>16</v>
      </c>
      <c r="D39" s="59" t="s">
        <v>28</v>
      </c>
      <c r="E39" s="59" t="s">
        <v>28</v>
      </c>
      <c r="F39" s="62" t="s">
        <v>19</v>
      </c>
      <c r="G39" s="63">
        <v>0.0</v>
      </c>
      <c r="H39" s="64">
        <v>7340.0</v>
      </c>
      <c r="L39" s="64">
        <v>0.5</v>
      </c>
      <c r="M39" s="62" t="s">
        <v>20</v>
      </c>
      <c r="N39" s="62" t="s">
        <v>43</v>
      </c>
      <c r="O39" s="62" t="s">
        <v>40</v>
      </c>
      <c r="P39" s="62" t="s">
        <v>18</v>
      </c>
      <c r="Q39" s="59" t="s">
        <v>50</v>
      </c>
      <c r="R39" s="64">
        <v>0.0</v>
      </c>
      <c r="S39" s="64">
        <v>3670.0</v>
      </c>
    </row>
    <row r="40" ht="15.75" customHeight="1">
      <c r="B40" s="39"/>
    </row>
    <row r="41" ht="15.75" customHeight="1">
      <c r="B41" s="39"/>
    </row>
    <row r="42" ht="15.75" customHeight="1">
      <c r="B42" s="39"/>
    </row>
    <row r="43" ht="15.75" customHeight="1">
      <c r="B43" s="39"/>
    </row>
    <row r="44" ht="15.75" customHeight="1">
      <c r="B44" s="39"/>
    </row>
    <row r="45" ht="15.75" customHeight="1">
      <c r="B45" s="39"/>
    </row>
    <row r="46" ht="15.75" customHeight="1">
      <c r="B46" s="39"/>
    </row>
    <row r="47" ht="15.75" customHeight="1">
      <c r="B47" s="39"/>
    </row>
    <row r="48" ht="15.75" customHeight="1">
      <c r="B48" s="39"/>
    </row>
    <row r="49" ht="15.75" customHeight="1">
      <c r="B49" s="39"/>
    </row>
    <row r="50" ht="15.75" customHeight="1">
      <c r="B50" s="39"/>
    </row>
    <row r="51" ht="15.75" customHeight="1">
      <c r="B51" s="39"/>
    </row>
    <row r="52" ht="15.75" customHeight="1">
      <c r="B52" s="39"/>
    </row>
    <row r="53" ht="15.75" customHeight="1">
      <c r="B53" s="39"/>
    </row>
    <row r="54" ht="15.75" customHeight="1">
      <c r="B54" s="39"/>
    </row>
    <row r="55" ht="15.75" customHeight="1">
      <c r="B55" s="39"/>
    </row>
    <row r="56" ht="15.75" customHeight="1">
      <c r="B56" s="39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>
      <c r="B61" s="39"/>
    </row>
    <row r="62" ht="15.75" customHeight="1">
      <c r="B62" s="39"/>
    </row>
    <row r="63" ht="15.75" customHeight="1">
      <c r="B63" s="39"/>
    </row>
    <row r="64" ht="15.75" customHeight="1">
      <c r="B64" s="39"/>
    </row>
    <row r="65" ht="15.75" customHeight="1">
      <c r="B65" s="39"/>
    </row>
    <row r="66" ht="15.75" customHeight="1">
      <c r="B66" s="39"/>
    </row>
    <row r="67" ht="15.75" customHeight="1">
      <c r="B67" s="39"/>
    </row>
    <row r="68" ht="15.75" customHeight="1">
      <c r="B68" s="39"/>
    </row>
    <row r="69" ht="15.75" customHeight="1">
      <c r="B69" s="39"/>
    </row>
    <row r="70" ht="15.75" customHeight="1">
      <c r="B70" s="39"/>
    </row>
    <row r="71" ht="15.75" customHeight="1">
      <c r="B71" s="39"/>
    </row>
    <row r="72" ht="15.75" customHeight="1">
      <c r="B72" s="39"/>
    </row>
    <row r="73" ht="15.75" customHeight="1">
      <c r="B73" s="39"/>
    </row>
    <row r="74" ht="15.75" customHeight="1">
      <c r="B74" s="39"/>
    </row>
    <row r="75" ht="15.75" customHeight="1">
      <c r="B75" s="39"/>
    </row>
    <row r="76" ht="15.75" customHeight="1">
      <c r="B76" s="39"/>
    </row>
    <row r="77" ht="15.75" customHeight="1">
      <c r="B77" s="39"/>
    </row>
    <row r="78" ht="15.75" customHeight="1">
      <c r="B78" s="39"/>
    </row>
    <row r="79" ht="15.75" customHeight="1">
      <c r="B79" s="39"/>
    </row>
    <row r="80" ht="15.75" customHeight="1">
      <c r="B80" s="39"/>
    </row>
    <row r="81" ht="15.75" customHeight="1">
      <c r="B81" s="39"/>
    </row>
    <row r="82" ht="15.75" customHeight="1">
      <c r="B82" s="39"/>
    </row>
    <row r="83" ht="15.75" customHeight="1">
      <c r="B83" s="39"/>
    </row>
    <row r="84" ht="15.75" customHeight="1">
      <c r="B84" s="39"/>
    </row>
    <row r="85" ht="15.75" customHeight="1">
      <c r="B85" s="39"/>
    </row>
    <row r="86" ht="15.75" customHeight="1">
      <c r="B86" s="39"/>
    </row>
    <row r="87" ht="15.75" customHeight="1">
      <c r="B87" s="39"/>
    </row>
    <row r="88" ht="15.75" customHeight="1">
      <c r="B88" s="39"/>
    </row>
    <row r="89" ht="15.75" customHeight="1">
      <c r="B89" s="39"/>
    </row>
    <row r="90" ht="15.75" customHeight="1">
      <c r="B90" s="39"/>
    </row>
    <row r="91" ht="15.75" customHeight="1">
      <c r="B91" s="39"/>
    </row>
    <row r="92" ht="15.75" customHeight="1">
      <c r="B92" s="39"/>
    </row>
    <row r="93" ht="15.75" customHeight="1">
      <c r="B93" s="39"/>
    </row>
    <row r="94" ht="15.75" customHeight="1">
      <c r="B94" s="39"/>
    </row>
    <row r="95" ht="15.75" customHeight="1">
      <c r="B95" s="39"/>
    </row>
    <row r="96" ht="15.75" customHeight="1">
      <c r="B96" s="39"/>
    </row>
    <row r="97" ht="15.75" customHeight="1">
      <c r="B97" s="39"/>
    </row>
    <row r="98" ht="15.75" customHeight="1">
      <c r="B98" s="39"/>
    </row>
    <row r="99" ht="15.75" customHeight="1">
      <c r="B99" s="39"/>
    </row>
    <row r="100" ht="15.75" customHeight="1">
      <c r="B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40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20"/>
      <c r="C2" s="20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24" t="s">
        <v>8</v>
      </c>
      <c r="C3" s="25" t="s">
        <v>12</v>
      </c>
      <c r="D3" s="24" t="s">
        <v>9</v>
      </c>
      <c r="E3" s="23" t="s">
        <v>51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8" t="str">
        <f>IFERROR(__xludf.DUMMYFUNCTION("IF(C3="""","""",Transpose(IMPORTRANGE('_Settings'!$B$3,C3&amp;""!A4:A1000"")))"),"GetDataCash")</f>
        <v>GetDataCash</v>
      </c>
      <c r="C4" s="28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IFERROR(__xludf.DUMMYFUNCTION("""COMPUTED_VALUE"""),"Date")</f>
        <v>Date</v>
      </c>
      <c r="C5" s="32" t="str">
        <f>IFERROR(__xludf.DUMMYFUNCTION("""COMPUTED_VALUE"""),"Modify Date")</f>
        <v>Modify Date</v>
      </c>
      <c r="D5" s="32" t="str">
        <f>IFERROR(__xludf.DUMMYFUNCTION("""COMPUTED_VALUE"""),"Entry Date")</f>
        <v>Entry Date</v>
      </c>
      <c r="E5" s="31" t="str">
        <f>IFERROR(__xludf.DUMMYFUNCTION("""COMPUTED_VALUE"""),"DR")</f>
        <v>DR</v>
      </c>
      <c r="F5" s="33" t="str">
        <f>IFERROR(__xludf.DUMMYFUNCTION("""COMPUTED_VALUE"""),"CR")</f>
        <v>CR</v>
      </c>
      <c r="G5" s="31" t="str">
        <f>IFERROR(__xludf.DUMMYFUNCTION("""COMPUTED_VALUE"""),"Fx Rate")</f>
        <v>Fx Rate</v>
      </c>
      <c r="H5" s="31" t="str">
        <f>IFERROR(__xludf.DUMMYFUNCTION("""COMPUTED_VALUE"""),"FX Conversion Method Operator")</f>
        <v>FX Conversion Method Operator</v>
      </c>
      <c r="I5" s="31" t="str">
        <f>IFERROR(__xludf.DUMMYFUNCTION("""COMPUTED_VALUE"""),"Account Side")</f>
        <v>Account Side</v>
      </c>
      <c r="J5" s="31" t="str">
        <f>IFERROR(__xludf.DUMMYFUNCTION("""COMPUTED_VALUE"""),"TransactionSource")</f>
        <v>TransactionSource</v>
      </c>
      <c r="K5" s="31" t="str">
        <f>IFERROR(__xludf.DUMMYFUNCTION("""COMPUTED_VALUE"""),"Currency")</f>
        <v>Currency</v>
      </c>
      <c r="L5" s="31" t="str">
        <f>IFERROR(__xludf.DUMMYFUNCTION("""COMPUTED_VALUE"""),"Base Currency")</f>
        <v>Base Currency</v>
      </c>
      <c r="M5" s="31" t="str">
        <f>IFERROR(__xludf.DUMMYFUNCTION("""COMPUTED_VALUE"""),"Symbol")</f>
        <v>Symbol</v>
      </c>
      <c r="N5" s="31" t="str">
        <f>IFERROR(__xludf.DUMMYFUNCTION("""COMPUTED_VALUE"""),"Description")</f>
        <v>Description</v>
      </c>
      <c r="O5" s="31" t="str">
        <f>IFERROR(__xludf.DUMMYFUNCTION("""COMPUTED_VALUE"""),"DR (Base)")</f>
        <v>DR (Base)</v>
      </c>
      <c r="P5" s="31" t="str">
        <f>IFERROR(__xludf.DUMMYFUNCTION("""COMPUTED_VALUE"""),"CR (Base)")</f>
        <v>CR (Base)</v>
      </c>
      <c r="Q5" s="31" t="str">
        <f>IFERROR(__xludf.DUMMYFUNCTION("""COMPUTED_VALUE"""),"Cash Sub-Account")</f>
        <v>Cash Sub-Account</v>
      </c>
      <c r="R5" s="31" t="str">
        <f>IFERROR(__xludf.DUMMYFUNCTION("""COMPUTED_VALUE"""),"Account")</f>
        <v>Account</v>
      </c>
      <c r="S5" s="31" t="str">
        <f>IFERROR(__xludf.DUMMYFUNCTION("""COMPUTED_VALUE"""),"TaxLotId")</f>
        <v>TaxLotId</v>
      </c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65">
        <v>43871.0</v>
      </c>
      <c r="C6" s="58"/>
      <c r="D6" s="65">
        <v>43871.0</v>
      </c>
      <c r="E6" s="60">
        <v>10.0</v>
      </c>
      <c r="F6" s="61">
        <v>0.0</v>
      </c>
      <c r="G6" s="60">
        <v>1.1</v>
      </c>
      <c r="H6" s="59" t="s">
        <v>46</v>
      </c>
      <c r="I6" s="59" t="s">
        <v>39</v>
      </c>
      <c r="J6" s="59" t="s">
        <v>52</v>
      </c>
      <c r="K6" s="59" t="s">
        <v>28</v>
      </c>
      <c r="L6" s="59" t="s">
        <v>18</v>
      </c>
      <c r="M6" s="59" t="s">
        <v>24</v>
      </c>
      <c r="N6" s="59" t="s">
        <v>53</v>
      </c>
      <c r="O6" s="60">
        <v>9.090909091</v>
      </c>
      <c r="P6" s="60">
        <v>0.0</v>
      </c>
      <c r="Q6" s="59" t="s">
        <v>54</v>
      </c>
      <c r="R6" s="59" t="s">
        <v>16</v>
      </c>
    </row>
    <row r="7" ht="15.75" customHeight="1">
      <c r="A7" s="8"/>
      <c r="B7" s="65">
        <v>43871.0</v>
      </c>
      <c r="C7" s="90"/>
      <c r="D7" s="91">
        <v>43871.0</v>
      </c>
      <c r="E7" s="63">
        <v>0.0</v>
      </c>
      <c r="F7" s="64">
        <v>10.0</v>
      </c>
      <c r="G7" s="64">
        <v>1.1</v>
      </c>
      <c r="H7" s="62" t="s">
        <v>46</v>
      </c>
      <c r="I7" s="62" t="s">
        <v>43</v>
      </c>
      <c r="J7" s="62" t="s">
        <v>52</v>
      </c>
      <c r="K7" s="59" t="s">
        <v>28</v>
      </c>
      <c r="L7" s="62" t="s">
        <v>18</v>
      </c>
      <c r="M7" s="59" t="s">
        <v>24</v>
      </c>
      <c r="N7" s="59" t="s">
        <v>53</v>
      </c>
      <c r="O7" s="64">
        <v>0.0</v>
      </c>
      <c r="P7" s="64">
        <v>9.090909091</v>
      </c>
      <c r="Q7" s="62" t="s">
        <v>19</v>
      </c>
      <c r="R7" s="59" t="s">
        <v>16</v>
      </c>
    </row>
    <row r="8" ht="15.75" customHeight="1">
      <c r="A8" s="8"/>
      <c r="B8" s="65">
        <v>43871.0</v>
      </c>
      <c r="C8" s="58"/>
      <c r="D8" s="65">
        <v>43871.0</v>
      </c>
      <c r="E8" s="60">
        <v>7350.0</v>
      </c>
      <c r="F8" s="61">
        <v>0.0</v>
      </c>
      <c r="G8" s="60">
        <v>1.1</v>
      </c>
      <c r="H8" s="59" t="s">
        <v>46</v>
      </c>
      <c r="I8" s="59" t="s">
        <v>39</v>
      </c>
      <c r="J8" s="59" t="s">
        <v>52</v>
      </c>
      <c r="K8" s="59" t="s">
        <v>28</v>
      </c>
      <c r="L8" s="59" t="s">
        <v>18</v>
      </c>
      <c r="M8" s="59" t="s">
        <v>24</v>
      </c>
      <c r="N8" s="59" t="s">
        <v>53</v>
      </c>
      <c r="O8" s="60">
        <v>6681.818182</v>
      </c>
      <c r="P8" s="60">
        <v>0.0</v>
      </c>
      <c r="Q8" s="59" t="s">
        <v>19</v>
      </c>
      <c r="R8" s="59" t="s">
        <v>16</v>
      </c>
    </row>
    <row r="9" ht="15.75" customHeight="1">
      <c r="A9" s="8"/>
      <c r="B9" s="65">
        <v>43871.0</v>
      </c>
      <c r="C9" s="90"/>
      <c r="D9" s="91">
        <v>43871.0</v>
      </c>
      <c r="E9" s="63">
        <v>0.0</v>
      </c>
      <c r="F9" s="64">
        <v>7350.0</v>
      </c>
      <c r="G9" s="64">
        <v>1.1</v>
      </c>
      <c r="H9" s="62" t="s">
        <v>46</v>
      </c>
      <c r="I9" s="62" t="s">
        <v>43</v>
      </c>
      <c r="J9" s="62" t="s">
        <v>52</v>
      </c>
      <c r="K9" s="59" t="s">
        <v>28</v>
      </c>
      <c r="L9" s="62" t="s">
        <v>18</v>
      </c>
      <c r="M9" s="59" t="s">
        <v>24</v>
      </c>
      <c r="N9" s="59" t="s">
        <v>53</v>
      </c>
      <c r="O9" s="64">
        <v>0.0</v>
      </c>
      <c r="P9" s="64">
        <v>6681.818182</v>
      </c>
      <c r="Q9" s="62" t="s">
        <v>54</v>
      </c>
      <c r="R9" s="59" t="s">
        <v>16</v>
      </c>
    </row>
    <row r="10" ht="15.75" customHeight="1">
      <c r="A10" s="8"/>
      <c r="B10" s="58">
        <v>43873.0</v>
      </c>
      <c r="C10" s="58"/>
      <c r="D10" s="58">
        <v>43873.0</v>
      </c>
      <c r="E10" s="60">
        <v>7340.0</v>
      </c>
      <c r="F10" s="61">
        <v>0.0</v>
      </c>
      <c r="G10" s="60">
        <v>0.909090909</v>
      </c>
      <c r="H10" s="59" t="s">
        <v>20</v>
      </c>
      <c r="I10" s="59" t="s">
        <v>39</v>
      </c>
      <c r="J10" s="59" t="s">
        <v>52</v>
      </c>
      <c r="K10" s="59" t="s">
        <v>28</v>
      </c>
      <c r="L10" s="59" t="s">
        <v>18</v>
      </c>
      <c r="M10" s="59" t="s">
        <v>24</v>
      </c>
      <c r="N10" s="59" t="s">
        <v>53</v>
      </c>
      <c r="O10" s="60">
        <v>6672.727273</v>
      </c>
      <c r="P10" s="60">
        <v>0.0</v>
      </c>
      <c r="Q10" s="59" t="s">
        <v>54</v>
      </c>
      <c r="R10" s="59" t="s">
        <v>16</v>
      </c>
    </row>
    <row r="11" ht="15.75" customHeight="1">
      <c r="A11" s="8"/>
      <c r="B11" s="58">
        <v>43873.0</v>
      </c>
      <c r="C11" s="90"/>
      <c r="D11" s="90">
        <v>43873.0</v>
      </c>
      <c r="E11" s="63">
        <v>0.0</v>
      </c>
      <c r="F11" s="64">
        <v>7340.0</v>
      </c>
      <c r="G11" s="64">
        <v>0.909090909</v>
      </c>
      <c r="H11" s="62" t="s">
        <v>20</v>
      </c>
      <c r="I11" s="62" t="s">
        <v>43</v>
      </c>
      <c r="J11" s="62" t="s">
        <v>52</v>
      </c>
      <c r="K11" s="59" t="s">
        <v>28</v>
      </c>
      <c r="L11" s="62" t="s">
        <v>18</v>
      </c>
      <c r="M11" s="59" t="s">
        <v>24</v>
      </c>
      <c r="N11" s="59" t="s">
        <v>53</v>
      </c>
      <c r="O11" s="64">
        <v>0.0</v>
      </c>
      <c r="P11" s="64">
        <v>6672.727273</v>
      </c>
      <c r="Q11" s="62" t="s">
        <v>19</v>
      </c>
      <c r="R11" s="59" t="s">
        <v>16</v>
      </c>
    </row>
    <row r="12" ht="15.75" customHeight="1">
      <c r="A12" s="8"/>
      <c r="B12" s="58">
        <v>43873.0</v>
      </c>
      <c r="C12" s="58"/>
      <c r="D12" s="58">
        <v>43873.0</v>
      </c>
      <c r="E12" s="60">
        <v>4587.5</v>
      </c>
      <c r="F12" s="61">
        <v>0.0</v>
      </c>
      <c r="G12" s="60">
        <v>0.909090909</v>
      </c>
      <c r="H12" s="59" t="s">
        <v>20</v>
      </c>
      <c r="I12" s="59" t="s">
        <v>39</v>
      </c>
      <c r="J12" s="62" t="s">
        <v>52</v>
      </c>
      <c r="K12" s="59" t="s">
        <v>28</v>
      </c>
      <c r="L12" s="59" t="s">
        <v>18</v>
      </c>
      <c r="M12" s="59" t="s">
        <v>24</v>
      </c>
      <c r="N12" s="59" t="s">
        <v>53</v>
      </c>
      <c r="O12" s="60">
        <v>4170.454545</v>
      </c>
      <c r="P12" s="60">
        <v>0.0</v>
      </c>
      <c r="Q12" s="59" t="s">
        <v>19</v>
      </c>
      <c r="R12" s="59" t="s">
        <v>16</v>
      </c>
    </row>
    <row r="13" ht="15.75" customHeight="1">
      <c r="A13" s="8"/>
      <c r="B13" s="58">
        <v>43873.0</v>
      </c>
      <c r="C13" s="90"/>
      <c r="D13" s="90">
        <v>43873.0</v>
      </c>
      <c r="E13" s="63">
        <v>0.0</v>
      </c>
      <c r="F13" s="64">
        <v>4587.5</v>
      </c>
      <c r="G13" s="64">
        <v>0.909090909</v>
      </c>
      <c r="H13" s="62" t="s">
        <v>20</v>
      </c>
      <c r="I13" s="62" t="s">
        <v>43</v>
      </c>
      <c r="J13" s="62" t="s">
        <v>52</v>
      </c>
      <c r="K13" s="59" t="s">
        <v>28</v>
      </c>
      <c r="L13" s="62" t="s">
        <v>18</v>
      </c>
      <c r="M13" s="59" t="s">
        <v>24</v>
      </c>
      <c r="N13" s="59" t="s">
        <v>53</v>
      </c>
      <c r="O13" s="64">
        <v>0.0</v>
      </c>
      <c r="P13" s="64">
        <v>4170.454545</v>
      </c>
      <c r="Q13" s="62" t="s">
        <v>54</v>
      </c>
      <c r="R13" s="59" t="s">
        <v>16</v>
      </c>
    </row>
    <row r="14" ht="15.75" customHeight="1">
      <c r="A14" s="8"/>
      <c r="B14" s="58">
        <v>43873.0</v>
      </c>
      <c r="C14" s="58"/>
      <c r="D14" s="58">
        <v>43873.0</v>
      </c>
      <c r="E14" s="60">
        <v>2752.5</v>
      </c>
      <c r="F14" s="61">
        <v>0.0</v>
      </c>
      <c r="G14" s="60">
        <v>0.909090909</v>
      </c>
      <c r="H14" s="59" t="s">
        <v>20</v>
      </c>
      <c r="I14" s="59" t="s">
        <v>39</v>
      </c>
      <c r="J14" s="62" t="s">
        <v>52</v>
      </c>
      <c r="K14" s="59" t="s">
        <v>28</v>
      </c>
      <c r="L14" s="59" t="s">
        <v>18</v>
      </c>
      <c r="M14" s="59" t="s">
        <v>67</v>
      </c>
      <c r="N14" s="59" t="s">
        <v>53</v>
      </c>
      <c r="O14" s="60">
        <v>2502.272727</v>
      </c>
      <c r="P14" s="60">
        <v>0.0</v>
      </c>
      <c r="Q14" s="59" t="s">
        <v>19</v>
      </c>
      <c r="R14" s="59" t="s">
        <v>16</v>
      </c>
    </row>
    <row r="15" ht="15.75" customHeight="1">
      <c r="A15" s="8"/>
      <c r="B15" s="58">
        <v>43873.0</v>
      </c>
      <c r="C15" s="90"/>
      <c r="D15" s="90">
        <v>43873.0</v>
      </c>
      <c r="E15" s="63">
        <v>0.0</v>
      </c>
      <c r="F15" s="64">
        <v>2752.5</v>
      </c>
      <c r="G15" s="64">
        <v>0.909090909</v>
      </c>
      <c r="H15" s="62" t="s">
        <v>20</v>
      </c>
      <c r="I15" s="62" t="s">
        <v>43</v>
      </c>
      <c r="J15" s="62" t="s">
        <v>52</v>
      </c>
      <c r="K15" s="59" t="s">
        <v>28</v>
      </c>
      <c r="L15" s="62" t="s">
        <v>18</v>
      </c>
      <c r="M15" s="59" t="s">
        <v>67</v>
      </c>
      <c r="N15" s="59" t="s">
        <v>53</v>
      </c>
      <c r="O15" s="64">
        <v>0.0</v>
      </c>
      <c r="P15" s="64">
        <v>2502.272727</v>
      </c>
      <c r="Q15" s="62" t="s">
        <v>54</v>
      </c>
      <c r="R15" s="59" t="s">
        <v>16</v>
      </c>
    </row>
    <row r="16" ht="15.75" customHeight="1">
      <c r="A16" s="8"/>
      <c r="B16" s="20"/>
      <c r="C16" s="20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20"/>
      <c r="C17" s="20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20"/>
      <c r="C18" s="20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20"/>
      <c r="C19" s="20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20"/>
      <c r="C20" s="20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B21" s="39"/>
      <c r="C21" s="39"/>
      <c r="D21" s="39"/>
    </row>
    <row r="22" ht="15.75" customHeight="1">
      <c r="B22" s="39"/>
      <c r="C22" s="39"/>
      <c r="D22" s="39"/>
    </row>
    <row r="23" ht="15.75" customHeight="1">
      <c r="B23" s="39"/>
      <c r="C23" s="39"/>
      <c r="D23" s="39"/>
    </row>
    <row r="24" ht="15.75" customHeight="1">
      <c r="B24" s="39"/>
      <c r="C24" s="39"/>
      <c r="D24" s="39"/>
    </row>
    <row r="25" ht="15.75" customHeight="1">
      <c r="B25" s="39"/>
      <c r="C25" s="39"/>
      <c r="D25" s="39"/>
    </row>
    <row r="26" ht="15.75" customHeight="1">
      <c r="B26" s="39"/>
      <c r="C26" s="39"/>
      <c r="D26" s="39"/>
    </row>
    <row r="27" ht="15.75" customHeight="1">
      <c r="B27" s="39"/>
      <c r="C27" s="39"/>
      <c r="D27" s="39"/>
    </row>
    <row r="28" ht="15.75" customHeight="1">
      <c r="B28" s="39"/>
      <c r="C28" s="39"/>
      <c r="D28" s="39"/>
    </row>
    <row r="29" ht="15.75" customHeight="1">
      <c r="B29" s="39"/>
      <c r="C29" s="39"/>
      <c r="D29" s="39"/>
    </row>
    <row r="30" ht="15.75" customHeight="1">
      <c r="B30" s="39"/>
      <c r="C30" s="39"/>
      <c r="D30" s="39"/>
    </row>
    <row r="31" ht="15.75" customHeight="1">
      <c r="B31" s="39"/>
      <c r="C31" s="39"/>
      <c r="D31" s="39"/>
    </row>
    <row r="32" ht="15.75" customHeight="1">
      <c r="B32" s="39"/>
      <c r="C32" s="39"/>
      <c r="D32" s="39"/>
    </row>
    <row r="33" ht="15.75" customHeight="1">
      <c r="B33" s="39"/>
      <c r="C33" s="39"/>
      <c r="D33" s="39"/>
    </row>
    <row r="34" ht="15.75" customHeight="1">
      <c r="B34" s="39"/>
      <c r="C34" s="39"/>
      <c r="D34" s="39"/>
    </row>
    <row r="35" ht="15.75" customHeight="1">
      <c r="B35" s="39"/>
      <c r="C35" s="39"/>
      <c r="D35" s="39"/>
    </row>
    <row r="36" ht="15.75" customHeight="1">
      <c r="B36" s="39"/>
      <c r="C36" s="39"/>
      <c r="D36" s="39"/>
    </row>
    <row r="37" ht="15.75" customHeight="1">
      <c r="B37" s="39"/>
      <c r="C37" s="39"/>
      <c r="D37" s="39"/>
    </row>
    <row r="38" ht="15.75" customHeight="1">
      <c r="B38" s="39"/>
      <c r="C38" s="39"/>
      <c r="D38" s="39"/>
    </row>
    <row r="39" ht="15.75" customHeight="1">
      <c r="B39" s="39"/>
      <c r="C39" s="39"/>
      <c r="D39" s="39"/>
    </row>
    <row r="40" ht="15.75" customHeight="1">
      <c r="B40" s="39"/>
      <c r="C40" s="39"/>
      <c r="D40" s="39"/>
    </row>
    <row r="41" ht="15.75" customHeight="1">
      <c r="B41" s="39"/>
      <c r="C41" s="39"/>
      <c r="D41" s="39"/>
    </row>
    <row r="42" ht="15.75" customHeight="1">
      <c r="B42" s="39"/>
      <c r="C42" s="39"/>
      <c r="D42" s="39"/>
    </row>
    <row r="43" ht="15.75" customHeight="1">
      <c r="B43" s="39"/>
      <c r="C43" s="39"/>
      <c r="D43" s="39"/>
    </row>
    <row r="44" ht="15.75" customHeight="1">
      <c r="B44" s="39"/>
      <c r="C44" s="39"/>
      <c r="D44" s="39"/>
    </row>
    <row r="45" ht="15.75" customHeight="1">
      <c r="B45" s="39"/>
      <c r="C45" s="39"/>
      <c r="D45" s="39"/>
    </row>
    <row r="46" ht="15.75" customHeight="1">
      <c r="B46" s="39"/>
      <c r="C46" s="39"/>
      <c r="D46" s="39"/>
    </row>
    <row r="47" ht="15.75" customHeight="1">
      <c r="B47" s="39"/>
      <c r="C47" s="39"/>
      <c r="D47" s="39"/>
    </row>
    <row r="48" ht="15.75" customHeight="1">
      <c r="B48" s="39"/>
      <c r="C48" s="39"/>
      <c r="D48" s="39"/>
    </row>
    <row r="49" ht="15.75" customHeight="1">
      <c r="B49" s="39"/>
      <c r="C49" s="39"/>
      <c r="D49" s="39"/>
    </row>
    <row r="50" ht="15.75" customHeight="1">
      <c r="B50" s="39"/>
      <c r="C50" s="39"/>
      <c r="D50" s="39"/>
    </row>
    <row r="51" ht="15.75" customHeight="1">
      <c r="B51" s="39"/>
      <c r="C51" s="39"/>
      <c r="D51" s="39"/>
    </row>
    <row r="52" ht="15.75" customHeight="1">
      <c r="B52" s="39"/>
      <c r="C52" s="39"/>
      <c r="D52" s="39"/>
    </row>
    <row r="53" ht="15.75" customHeight="1">
      <c r="B53" s="39"/>
      <c r="C53" s="39"/>
      <c r="D53" s="39"/>
    </row>
    <row r="54" ht="15.75" customHeight="1">
      <c r="B54" s="39"/>
      <c r="C54" s="39"/>
      <c r="D54" s="39"/>
    </row>
    <row r="55" ht="15.75" customHeight="1">
      <c r="B55" s="39"/>
      <c r="C55" s="39"/>
      <c r="D55" s="39"/>
    </row>
    <row r="56" ht="15.75" customHeight="1">
      <c r="B56" s="39"/>
      <c r="C56" s="39"/>
      <c r="D56" s="39"/>
    </row>
    <row r="57" ht="15.75" customHeight="1">
      <c r="B57" s="39"/>
      <c r="C57" s="39"/>
      <c r="D57" s="39"/>
    </row>
    <row r="58" ht="15.75" customHeight="1">
      <c r="B58" s="39"/>
      <c r="C58" s="39"/>
      <c r="D58" s="39"/>
    </row>
    <row r="59" ht="15.75" customHeight="1">
      <c r="B59" s="39"/>
      <c r="C59" s="39"/>
      <c r="D59" s="39"/>
    </row>
    <row r="60" ht="15.75" customHeight="1">
      <c r="B60" s="39"/>
      <c r="C60" s="39"/>
      <c r="D60" s="39"/>
    </row>
    <row r="61" ht="15.75" customHeight="1">
      <c r="B61" s="39"/>
      <c r="C61" s="39"/>
      <c r="D61" s="39"/>
    </row>
    <row r="62" ht="15.75" customHeight="1">
      <c r="B62" s="39"/>
      <c r="C62" s="39"/>
      <c r="D62" s="39"/>
    </row>
    <row r="63" ht="15.75" customHeight="1">
      <c r="B63" s="39"/>
      <c r="C63" s="39"/>
      <c r="D63" s="39"/>
    </row>
    <row r="64" ht="15.75" customHeight="1">
      <c r="B64" s="39"/>
      <c r="C64" s="39"/>
      <c r="D64" s="39"/>
    </row>
    <row r="65" ht="15.75" customHeight="1">
      <c r="B65" s="39"/>
      <c r="C65" s="39"/>
      <c r="D65" s="39"/>
    </row>
    <row r="66" ht="15.75" customHeight="1">
      <c r="B66" s="39"/>
      <c r="C66" s="39"/>
      <c r="D66" s="39"/>
    </row>
    <row r="67" ht="15.75" customHeight="1">
      <c r="B67" s="39"/>
      <c r="C67" s="39"/>
      <c r="D67" s="39"/>
    </row>
    <row r="68" ht="15.75" customHeight="1">
      <c r="B68" s="39"/>
      <c r="C68" s="39"/>
      <c r="D68" s="39"/>
    </row>
    <row r="69" ht="15.75" customHeight="1">
      <c r="B69" s="39"/>
      <c r="C69" s="39"/>
      <c r="D69" s="39"/>
    </row>
    <row r="70" ht="15.75" customHeight="1">
      <c r="B70" s="39"/>
      <c r="C70" s="39"/>
      <c r="D70" s="39"/>
    </row>
    <row r="71" ht="15.75" customHeight="1">
      <c r="B71" s="39"/>
      <c r="C71" s="39"/>
      <c r="D71" s="39"/>
    </row>
    <row r="72" ht="15.75" customHeight="1">
      <c r="B72" s="39"/>
      <c r="C72" s="39"/>
      <c r="D72" s="39"/>
    </row>
    <row r="73" ht="15.75" customHeight="1">
      <c r="B73" s="39"/>
      <c r="C73" s="39"/>
      <c r="D73" s="39"/>
    </row>
    <row r="74" ht="15.75" customHeight="1">
      <c r="B74" s="39"/>
      <c r="C74" s="39"/>
      <c r="D74" s="39"/>
    </row>
    <row r="75" ht="15.75" customHeight="1">
      <c r="B75" s="39"/>
      <c r="C75" s="39"/>
      <c r="D75" s="39"/>
    </row>
    <row r="76" ht="15.75" customHeight="1">
      <c r="B76" s="39"/>
      <c r="C76" s="39"/>
      <c r="D76" s="39"/>
    </row>
    <row r="77" ht="15.75" customHeight="1">
      <c r="B77" s="39"/>
      <c r="C77" s="39"/>
      <c r="D77" s="39"/>
    </row>
    <row r="78" ht="15.75" customHeight="1">
      <c r="B78" s="39"/>
      <c r="C78" s="39"/>
      <c r="D78" s="39"/>
    </row>
    <row r="79" ht="15.75" customHeight="1">
      <c r="B79" s="39"/>
      <c r="C79" s="39"/>
      <c r="D79" s="39"/>
    </row>
    <row r="80" ht="15.75" customHeight="1">
      <c r="B80" s="39"/>
      <c r="C80" s="39"/>
      <c r="D80" s="39"/>
    </row>
    <row r="81" ht="15.75" customHeight="1">
      <c r="B81" s="39"/>
      <c r="C81" s="39"/>
      <c r="D81" s="39"/>
    </row>
    <row r="82" ht="15.75" customHeight="1">
      <c r="B82" s="39"/>
      <c r="C82" s="39"/>
      <c r="D82" s="39"/>
    </row>
    <row r="83" ht="15.75" customHeight="1">
      <c r="B83" s="39"/>
      <c r="C83" s="39"/>
      <c r="D83" s="39"/>
    </row>
    <row r="84" ht="15.75" customHeight="1">
      <c r="B84" s="39"/>
      <c r="C84" s="39"/>
      <c r="D84" s="39"/>
    </row>
    <row r="85" ht="15.75" customHeight="1">
      <c r="B85" s="39"/>
      <c r="C85" s="39"/>
      <c r="D85" s="39"/>
    </row>
    <row r="86" ht="15.75" customHeight="1">
      <c r="B86" s="39"/>
      <c r="C86" s="39"/>
      <c r="D86" s="39"/>
    </row>
    <row r="87" ht="15.75" customHeight="1">
      <c r="B87" s="39"/>
      <c r="C87" s="39"/>
      <c r="D87" s="39"/>
    </row>
    <row r="88" ht="15.75" customHeight="1">
      <c r="B88" s="39"/>
      <c r="C88" s="39"/>
      <c r="D88" s="39"/>
    </row>
    <row r="89" ht="15.75" customHeight="1">
      <c r="B89" s="39"/>
      <c r="C89" s="39"/>
      <c r="D89" s="39"/>
    </row>
    <row r="90" ht="15.75" customHeight="1">
      <c r="B90" s="39"/>
      <c r="C90" s="39"/>
      <c r="D90" s="39"/>
    </row>
    <row r="91" ht="15.75" customHeight="1">
      <c r="B91" s="39"/>
      <c r="C91" s="39"/>
      <c r="D91" s="39"/>
    </row>
    <row r="92" ht="15.75" customHeight="1">
      <c r="B92" s="39"/>
      <c r="C92" s="39"/>
      <c r="D92" s="39"/>
    </row>
    <row r="93" ht="15.75" customHeight="1">
      <c r="B93" s="39"/>
      <c r="C93" s="39"/>
      <c r="D93" s="39"/>
    </row>
    <row r="94" ht="15.75" customHeight="1">
      <c r="B94" s="39"/>
      <c r="C94" s="39"/>
      <c r="D94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20"/>
      <c r="E2" s="20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24" t="s">
        <v>9</v>
      </c>
      <c r="E3" s="25" t="s">
        <v>55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8" t="str">
        <f>IFERROR(__xludf.DUMMYFUNCTION("""COMPUTED_VALUE"""),"EnterNonTradingTransaction")</f>
        <v>EnterNonTradingTransaction</v>
      </c>
      <c r="E4" s="28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29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IFERROR(__xludf.DUMMYFUNCTION("""COMPUTED_VALUE"""),"MasterFund")</f>
        <v>MasterFund</v>
      </c>
      <c r="C5" s="31" t="str">
        <f>IFERROR(__xludf.DUMMYFUNCTION("""COMPUTED_VALUE"""),"Accounts")</f>
        <v>Accounts</v>
      </c>
      <c r="D5" s="32" t="str">
        <f>IFERROR(__xludf.DUMMYFUNCTION("""COMPUTED_VALUE"""),"From")</f>
        <v>From</v>
      </c>
      <c r="E5" s="32" t="str">
        <f>IFERROR(__xludf.DUMMYFUNCTION("""COMPUTED_VALUE"""),"To")</f>
        <v>To</v>
      </c>
      <c r="F5" s="33" t="str">
        <f>IFERROR(__xludf.DUMMYFUNCTION("""COMPUTED_VALUE"""),"SettlementDate")</f>
        <v>SettlementDate</v>
      </c>
      <c r="G5" s="31" t="str">
        <f>IFERROR(__xludf.DUMMYFUNCTION("""COMPUTED_VALUE"""),"TradeDate")</f>
        <v>TradeDate</v>
      </c>
      <c r="H5" s="31" t="str">
        <f>IFERROR(__xludf.DUMMYFUNCTION("""COMPUTED_VALUE"""),"All")</f>
        <v>All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/>
      <c r="C6" s="36" t="s">
        <v>16</v>
      </c>
      <c r="D6" s="37">
        <v>43871.0</v>
      </c>
      <c r="E6" s="37">
        <v>43873.0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20"/>
      <c r="E7" s="2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20"/>
      <c r="E8" s="20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20"/>
      <c r="E9" s="20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20"/>
      <c r="E10" s="20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20"/>
      <c r="E11" s="20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20"/>
      <c r="E12" s="20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20"/>
      <c r="E13" s="20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20"/>
      <c r="E14" s="20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20"/>
      <c r="E15" s="20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20"/>
      <c r="E16" s="20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20"/>
      <c r="E17" s="20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20"/>
      <c r="E18" s="20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20"/>
      <c r="E19" s="20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20"/>
      <c r="E20" s="20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20"/>
      <c r="E21" s="20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20"/>
      <c r="E22" s="20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20"/>
      <c r="E23" s="20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20"/>
      <c r="E24" s="20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20"/>
      <c r="E25" s="20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20"/>
      <c r="E26" s="20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39"/>
      <c r="E27" s="39"/>
    </row>
    <row r="28" ht="15.75" customHeight="1">
      <c r="D28" s="39"/>
      <c r="E28" s="39"/>
    </row>
    <row r="29" ht="15.75" customHeight="1">
      <c r="D29" s="39"/>
      <c r="E29" s="39"/>
    </row>
    <row r="30" ht="15.75" customHeight="1">
      <c r="D30" s="39"/>
      <c r="E30" s="39"/>
    </row>
    <row r="31" ht="15.75" customHeight="1">
      <c r="D31" s="39"/>
      <c r="E31" s="39"/>
    </row>
    <row r="32" ht="15.75" customHeight="1">
      <c r="D32" s="39"/>
      <c r="E32" s="39"/>
    </row>
    <row r="33" ht="15.75" customHeight="1">
      <c r="D33" s="39"/>
      <c r="E33" s="39"/>
    </row>
    <row r="34" ht="15.75" customHeight="1">
      <c r="D34" s="39"/>
      <c r="E34" s="39"/>
    </row>
    <row r="35" ht="15.75" customHeight="1">
      <c r="D35" s="39"/>
      <c r="E35" s="39"/>
    </row>
    <row r="36" ht="15.75" customHeight="1">
      <c r="D36" s="39"/>
      <c r="E36" s="39"/>
    </row>
    <row r="37" ht="15.75" customHeight="1">
      <c r="D37" s="39"/>
      <c r="E37" s="39"/>
    </row>
    <row r="38" ht="15.75" customHeight="1">
      <c r="D38" s="39"/>
      <c r="E38" s="39"/>
    </row>
    <row r="39" ht="15.75" customHeight="1">
      <c r="D39" s="39"/>
      <c r="E39" s="39"/>
    </row>
    <row r="40" ht="15.75" customHeight="1">
      <c r="D40" s="39"/>
      <c r="E40" s="39"/>
    </row>
    <row r="41" ht="15.75" customHeight="1">
      <c r="D41" s="39"/>
      <c r="E41" s="39"/>
    </row>
    <row r="42" ht="15.75" customHeight="1">
      <c r="D42" s="39"/>
      <c r="E42" s="39"/>
    </row>
    <row r="43" ht="15.75" customHeight="1">
      <c r="D43" s="39"/>
      <c r="E43" s="39"/>
    </row>
    <row r="44" ht="15.75" customHeight="1">
      <c r="D44" s="39"/>
      <c r="E44" s="39"/>
    </row>
    <row r="45" ht="15.75" customHeight="1">
      <c r="D45" s="39"/>
      <c r="E45" s="39"/>
    </row>
    <row r="46" ht="15.75" customHeight="1">
      <c r="D46" s="39"/>
      <c r="E46" s="39"/>
    </row>
    <row r="47" ht="15.75" customHeight="1">
      <c r="D47" s="39"/>
      <c r="E47" s="39"/>
    </row>
    <row r="48" ht="15.75" customHeight="1">
      <c r="D48" s="39"/>
      <c r="E48" s="39"/>
    </row>
    <row r="49" ht="15.75" customHeight="1">
      <c r="D49" s="39"/>
      <c r="E49" s="39"/>
    </row>
    <row r="50" ht="15.75" customHeight="1">
      <c r="D50" s="39"/>
      <c r="E50" s="39"/>
    </row>
    <row r="51" ht="15.75" customHeight="1">
      <c r="D51" s="39"/>
      <c r="E51" s="39"/>
    </row>
    <row r="52" ht="15.75" customHeight="1">
      <c r="D52" s="39"/>
      <c r="E52" s="39"/>
    </row>
    <row r="53" ht="15.75" customHeight="1">
      <c r="D53" s="39"/>
      <c r="E53" s="39"/>
    </row>
    <row r="54" ht="15.75" customHeight="1">
      <c r="D54" s="39"/>
      <c r="E54" s="39"/>
    </row>
    <row r="55" ht="15.75" customHeight="1">
      <c r="D55" s="39"/>
      <c r="E55" s="39"/>
    </row>
    <row r="56" ht="15.75" customHeight="1">
      <c r="D56" s="39"/>
      <c r="E56" s="39"/>
    </row>
    <row r="57" ht="15.75" customHeight="1">
      <c r="D57" s="39"/>
      <c r="E57" s="39"/>
    </row>
    <row r="58" ht="15.75" customHeight="1">
      <c r="D58" s="39"/>
      <c r="E58" s="39"/>
    </row>
    <row r="59" ht="15.75" customHeight="1">
      <c r="D59" s="39"/>
      <c r="E59" s="39"/>
    </row>
    <row r="60" ht="15.75" customHeight="1">
      <c r="D60" s="39"/>
      <c r="E60" s="39"/>
    </row>
    <row r="61" ht="15.75" customHeight="1">
      <c r="D61" s="39"/>
      <c r="E61" s="39"/>
    </row>
    <row r="62" ht="15.75" customHeight="1">
      <c r="D62" s="39"/>
      <c r="E62" s="39"/>
    </row>
    <row r="63" ht="15.75" customHeight="1">
      <c r="D63" s="39"/>
      <c r="E63" s="39"/>
    </row>
    <row r="64" ht="15.75" customHeight="1">
      <c r="D64" s="39"/>
      <c r="E64" s="39"/>
    </row>
    <row r="65" ht="15.75" customHeight="1">
      <c r="D65" s="39"/>
      <c r="E65" s="39"/>
    </row>
    <row r="66" ht="15.75" customHeight="1">
      <c r="D66" s="39"/>
      <c r="E66" s="39"/>
    </row>
    <row r="67" ht="15.75" customHeight="1">
      <c r="D67" s="39"/>
      <c r="E67" s="39"/>
    </row>
    <row r="68" ht="15.75" customHeight="1">
      <c r="D68" s="39"/>
      <c r="E68" s="39"/>
    </row>
    <row r="69" ht="15.75" customHeight="1">
      <c r="D69" s="39"/>
      <c r="E69" s="39"/>
    </row>
    <row r="70" ht="15.75" customHeight="1">
      <c r="D70" s="39"/>
      <c r="E70" s="39"/>
    </row>
    <row r="71" ht="15.75" customHeight="1">
      <c r="D71" s="39"/>
      <c r="E71" s="39"/>
    </row>
    <row r="72" ht="15.75" customHeight="1">
      <c r="D72" s="39"/>
      <c r="E72" s="39"/>
    </row>
    <row r="73" ht="15.75" customHeight="1">
      <c r="D73" s="39"/>
      <c r="E73" s="39"/>
    </row>
    <row r="74" ht="15.75" customHeight="1">
      <c r="D74" s="39"/>
      <c r="E74" s="39"/>
    </row>
    <row r="75" ht="15.75" customHeight="1">
      <c r="D75" s="39"/>
      <c r="E75" s="39"/>
    </row>
    <row r="76" ht="15.75" customHeight="1">
      <c r="D76" s="39"/>
      <c r="E76" s="39"/>
    </row>
    <row r="77" ht="15.75" customHeight="1">
      <c r="D77" s="39"/>
      <c r="E77" s="39"/>
    </row>
    <row r="78" ht="15.75" customHeight="1">
      <c r="D78" s="39"/>
      <c r="E78" s="39"/>
    </row>
    <row r="79" ht="15.75" customHeight="1">
      <c r="D79" s="39"/>
      <c r="E79" s="39"/>
    </row>
    <row r="80" ht="15.75" customHeight="1">
      <c r="D80" s="39"/>
      <c r="E80" s="39"/>
    </row>
    <row r="81" ht="15.75" customHeight="1">
      <c r="D81" s="39"/>
      <c r="E81" s="39"/>
    </row>
    <row r="82" ht="15.75" customHeight="1">
      <c r="D82" s="39"/>
      <c r="E82" s="39"/>
    </row>
    <row r="83" ht="15.75" customHeight="1">
      <c r="D83" s="39"/>
      <c r="E83" s="39"/>
    </row>
    <row r="84" ht="15.75" customHeight="1">
      <c r="D84" s="39"/>
      <c r="E84" s="39"/>
    </row>
    <row r="85" ht="15.75" customHeight="1">
      <c r="D85" s="39"/>
      <c r="E85" s="39"/>
    </row>
    <row r="86" ht="15.75" customHeight="1">
      <c r="D86" s="39"/>
      <c r="E86" s="39"/>
    </row>
    <row r="87" ht="15.75" customHeight="1">
      <c r="D87" s="39"/>
      <c r="E87" s="39"/>
    </row>
    <row r="88" ht="15.75" customHeight="1">
      <c r="D88" s="39"/>
      <c r="E88" s="39"/>
    </row>
    <row r="89" ht="15.75" customHeight="1">
      <c r="D89" s="39"/>
      <c r="E89" s="39"/>
    </row>
    <row r="90" ht="15.75" customHeight="1">
      <c r="D90" s="39"/>
      <c r="E90" s="39"/>
    </row>
    <row r="91" ht="15.75" customHeight="1">
      <c r="D91" s="39"/>
      <c r="E91" s="39"/>
    </row>
    <row r="92" ht="15.75" customHeight="1">
      <c r="D92" s="39"/>
      <c r="E92" s="39"/>
    </row>
    <row r="93" ht="15.75" customHeight="1">
      <c r="D93" s="39"/>
      <c r="E93" s="39"/>
    </row>
    <row r="94" ht="15.75" customHeight="1">
      <c r="D94" s="39"/>
      <c r="E94" s="39"/>
    </row>
    <row r="95" ht="15.75" customHeight="1">
      <c r="D95" s="39"/>
      <c r="E95" s="39"/>
    </row>
    <row r="96" ht="15.75" customHeight="1">
      <c r="D96" s="39"/>
      <c r="E96" s="39"/>
    </row>
    <row r="97" ht="15.75" customHeight="1">
      <c r="D97" s="39"/>
      <c r="E97" s="39"/>
    </row>
    <row r="98" ht="15.75" customHeight="1">
      <c r="D98" s="39"/>
      <c r="E98" s="39"/>
    </row>
    <row r="99" ht="15.75" customHeight="1">
      <c r="D99" s="39"/>
      <c r="E99" s="39"/>
    </row>
    <row r="100" ht="15.75" customHeight="1">
      <c r="D100" s="39"/>
      <c r="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8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  <c r="AE2" s="39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69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IFERROR(__xludf.DUMMYFUNCTION("IF(C3="""","""",Transpose(IMPORTRANGE('_Settings'!$B$3,C3&amp;""!A4:A1000"")))"),"GetDataCash")</f>
        <v>GetDataCash</v>
      </c>
      <c r="C4" s="27" t="str">
        <f>IFERROR(__xludf.DUMMYFUNCTION("""COMPUTED_VALUE"""),"EnterCashDividends")</f>
        <v>EnterCashDividends</v>
      </c>
      <c r="D4" s="27" t="str">
        <f>IFERROR(__xludf.DUMMYFUNCTION("""COMPUTED_VALUE"""),"EnterNonTradingTransaction")</f>
        <v>EnterNonTradingTransaction</v>
      </c>
      <c r="E4" s="27" t="str">
        <f>IFERROR(__xludf.DUMMYFUNCTION("""COMPUTED_VALUE"""),"VerifyCash")</f>
        <v>VerifyCash</v>
      </c>
      <c r="F4" s="27" t="str">
        <f>IFERROR(__xludf.DUMMYFUNCTION("""COMPUTED_VALUE"""),"VerifyActivity")</f>
        <v>VerifyActivity</v>
      </c>
      <c r="G4" s="27" t="str">
        <f>IFERROR(__xludf.DUMMYFUNCTION("""COMPUTED_VALUE"""),"VerifyTradingTransaction")</f>
        <v>VerifyTradingTransaction</v>
      </c>
      <c r="H4" s="27" t="str">
        <f>IFERROR(__xludf.DUMMYFUNCTION("""COMPUTED_VALUE"""),"VerifyRevaluationData")</f>
        <v>VerifyRevaluationData</v>
      </c>
      <c r="I4" s="27" t="str">
        <f>IFERROR(__xludf.DUMMYFUNCTION("""COMPUTED_VALUE"""),"GetTradingTransaction")</f>
        <v>GetTradingTransaction</v>
      </c>
      <c r="J4" s="27" t="str">
        <f>IFERROR(__xludf.DUMMYFUNCTION("""COMPUTED_VALUE"""),"GetActivityData")</f>
        <v>GetActivityData</v>
      </c>
      <c r="K4" s="27" t="str">
        <f>IFERROR(__xludf.DUMMYFUNCTION("""COMPUTED_VALUE"""),"GetRevaluationData")</f>
        <v>GetRevaluationData</v>
      </c>
      <c r="L4" s="27" t="str">
        <f>IFERROR(__xludf.DUMMYFUNCTION("""COMPUTED_VALUE"""),"GetAccountDetails")</f>
        <v>GetAccountDetails</v>
      </c>
      <c r="M4" s="27" t="str">
        <f>IFERROR(__xludf.DUMMYFUNCTION("""COMPUTED_VALUE"""),"GetNonTradingTransaction")</f>
        <v>GetNonTradingTransaction</v>
      </c>
      <c r="N4" s="27" t="str">
        <f>IFERROR(__xludf.DUMMYFUNCTION("""COMPUTED_VALUE"""),"GetDividendData")</f>
        <v>GetDividendData</v>
      </c>
      <c r="O4" s="27" t="str">
        <f>IFERROR(__xludf.DUMMYFUNCTION("""COMPUTED_VALUE"""),"VerifyNonTradingTransaction")</f>
        <v>VerifyNonTradingTransaction</v>
      </c>
      <c r="P4" s="29" t="str">
        <f>IFERROR(__xludf.DUMMYFUNCTION("""COMPUTED_VALUE"""),"VerifyDividend")</f>
        <v>VerifyDividend</v>
      </c>
      <c r="Q4" s="29" t="str">
        <f>IFERROR(__xludf.DUMMYFUNCTION("""COMPUTED_VALUE"""),"GetOpeningBalanceData")</f>
        <v>GetOpeningBalanceData</v>
      </c>
      <c r="R4" s="29" t="str">
        <f>IFERROR(__xludf.DUMMYFUNCTION("""COMPUTED_VALUE"""),"GetAccountBalance")</f>
        <v>GetAccountBalance</v>
      </c>
      <c r="S4" s="29" t="str">
        <f>IFERROR(__xludf.DUMMYFUNCTION("""COMPUTED_VALUE"""),"SelectNonTradingTransaction")</f>
        <v>SelectNonTradingTransaction</v>
      </c>
      <c r="T4" s="29" t="str">
        <f>IFERROR(__xludf.DUMMYFUNCTION("""COMPUTED_VALUE"""),"SelectNonTradingTranItem")</f>
        <v>SelectNonTradingTranItem</v>
      </c>
      <c r="U4" s="29" t="str">
        <f>IFERROR(__xludf.DUMMYFUNCTION("""COMPUTED_VALUE"""),"DeleteNonTradingTransaction")</f>
        <v>DeleteNonTradingTransaction</v>
      </c>
      <c r="V4" s="29" t="str">
        <f>IFERROR(__xludf.DUMMYFUNCTION("""COMPUTED_VALUE"""),"DeleteNonTradingTranItem")</f>
        <v>DeleteNonTradingTranItem</v>
      </c>
      <c r="W4" s="29" t="str">
        <f>IFERROR(__xludf.DUMMYFUNCTION("""COMPUTED_VALUE"""),"AddNonTradingTransaction")</f>
        <v>AddNonTradingTransaction</v>
      </c>
      <c r="X4" s="29" t="str">
        <f>IFERROR(__xludf.DUMMYFUNCTION("""COMPUTED_VALUE"""),"AddNonTradingTranItem")</f>
        <v>AddNonTradingTranItem</v>
      </c>
      <c r="Y4" s="29" t="str">
        <f>IFERROR(__xludf.DUMMYFUNCTION("""COMPUTED_VALUE"""),"VerifyOpeningBalanceData")</f>
        <v>VerifyOpeningBalanceData</v>
      </c>
      <c r="Z4" s="29" t="str">
        <f>IFERROR(__xludf.DUMMYFUNCTION("""COMPUTED_VALUE"""),"SelectOpeningBalanceTransaction")</f>
        <v>SelectOpeningBalanceTransaction</v>
      </c>
      <c r="AA4" s="29" t="str">
        <f>IFERROR(__xludf.DUMMYFUNCTION("""COMPUTED_VALUE"""),"SelectOpeningBalanceTranItem")</f>
        <v>SelectOpeningBalanceTranItem</v>
      </c>
      <c r="AB4" s="29" t="str">
        <f>IFERROR(__xludf.DUMMYFUNCTION("""COMPUTED_VALUE"""),"EditNonTradingTransaction")</f>
        <v>EditNonTradingTransaction</v>
      </c>
      <c r="AC4" s="29" t="str">
        <f>IFERROR(__xludf.DUMMYFUNCTION("""COMPUTED_VALUE"""),"EditNonTradingTranItem")</f>
        <v>EditNonTradingTranItem</v>
      </c>
      <c r="AD4" s="29" t="str">
        <f>IFERROR(__xludf.DUMMYFUNCTION("""COMPUTED_VALUE"""),"DeleteOpeningBalanceTransaction")</f>
        <v>DeleteOpeningBalanceTransaction</v>
      </c>
      <c r="AE4" s="70" t="str">
        <f>IFERROR(__xludf.DUMMYFUNCTION("""COMPUTED_VALUE"""),"DeleteOpeningBalanceTranItem")</f>
        <v>DeleteOpeningBalanceTranItem</v>
      </c>
      <c r="AF4" s="29" t="str">
        <f>IFERROR(__xludf.DUMMYFUNCTION("""COMPUTED_VALUE"""),"GetDayEndCash")</f>
        <v>GetDayEndCash</v>
      </c>
      <c r="AG4" s="29" t="str">
        <f>IFERROR(__xludf.DUMMYFUNCTION("""COMPUTED_VALUE"""),"VerifyDayEndCash")</f>
        <v>VerifyDayEndCash</v>
      </c>
      <c r="AH4" s="29" t="str">
        <f>IFERROR(__xludf.DUMMYFUNCTION("""COMPUTED_VALUE"""),"RunRevaluation")</f>
        <v>RunRevaluation</v>
      </c>
      <c r="AI4" s="29" t="str">
        <f>IFERROR(__xludf.DUMMYFUNCTION("""COMPUTED_VALUE"""),"CalculateDayEndCash")</f>
        <v>CalculateDayEndCash</v>
      </c>
      <c r="AJ4" s="29" t="str">
        <f>IFERROR(__xludf.DUMMYFUNCTION("""COMPUTED_VALUE"""),"GetCashTransaction")</f>
        <v>GetCashTransaction</v>
      </c>
      <c r="AK4" s="29" t="str">
        <f>IFERROR(__xludf.DUMMYFUNCTION("""COMPUTED_VALUE"""),"SelectCashTransaction")</f>
        <v>SelectCashTransaction</v>
      </c>
      <c r="AL4" s="29" t="str">
        <f>IFERROR(__xludf.DUMMYFUNCTION("""COMPUTED_VALUE"""),"DeleteCashTransaction")</f>
        <v>DeleteCashTransaction</v>
      </c>
      <c r="AM4" s="29" t="str">
        <f>IFERROR(__xludf.DUMMYFUNCTION("""COMPUTED_VALUE"""),"EditCashTransaction")</f>
        <v>EditCashTransaction</v>
      </c>
      <c r="AN4" s="29" t="str">
        <f>IFERROR(__xludf.DUMMYFUNCTION("""COMPUTED_VALUE"""),"AddCashTransaction")</f>
        <v>AddCashTransaction</v>
      </c>
      <c r="AO4" s="29" t="str">
        <f>IFERROR(__xludf.DUMMYFUNCTION("""COMPUTED_VALUE"""),"AddOpeningBalanceTransaction")</f>
        <v>AddOpeningBalanceTransaction</v>
      </c>
      <c r="AP4" s="29" t="str">
        <f>IFERROR(__xludf.DUMMYFUNCTION("""COMPUTED_VALUE"""),"AddOpeningBalanceTranItem")</f>
        <v>AddOpeningBalanceTranItem</v>
      </c>
      <c r="AQ4" s="29" t="str">
        <f>IFERROR(__xludf.DUMMYFUNCTION("""COMPUTED_VALUE"""),"GetDailyCalculationsData")</f>
        <v>GetDailyCalculationsData</v>
      </c>
      <c r="AR4" s="29" t="str">
        <f>IFERROR(__xludf.DUMMYFUNCTION("""COMPUTED_VALUE"""),"CalculateDailyCalculations")</f>
        <v>CalculateDailyCalculations</v>
      </c>
      <c r="AS4" s="29" t="str">
        <f>IFERROR(__xludf.DUMMYFUNCTION("""COMPUTED_VALUE"""),"EditOpeningBalanceTransaction")</f>
        <v>EditOpeningBalanceTransaction</v>
      </c>
      <c r="AT4" s="29" t="str">
        <f>IFERROR(__xludf.DUMMYFUNCTION("""COMPUTED_VALUE"""),"EditOpeningBalanceTranItem")</f>
        <v>EditOpeningBalanceTranItem</v>
      </c>
      <c r="AU4" s="29" t="str">
        <f>IFERROR(__xludf.DUMMYFUNCTION("""COMPUTED_VALUE"""),"VerifyDailyCalTransactions")</f>
        <v>VerifyDailyCalTransactions</v>
      </c>
      <c r="AV4" s="29" t="str">
        <f>IFERROR(__xludf.DUMMYFUNCTION("""COMPUTED_VALUE"""),"CloseGeneralLedger")</f>
        <v>CloseGeneralLedger</v>
      </c>
      <c r="AW4" s="29" t="str">
        <f>IFERROR(__xludf.DUMMYFUNCTION("""COMPUTED_VALUE"""),"VerifyAccountDetails")</f>
        <v>VerifyAccountDetails</v>
      </c>
      <c r="AX4" s="29" t="str">
        <f>IFERROR(__xludf.DUMMYFUNCTION("""COMPUTED_VALUE"""),"SaveTransaction")</f>
        <v>SaveTransaction</v>
      </c>
      <c r="AY4" s="29" t="str">
        <f>IFERROR(__xludf.DUMMYFUNCTION("""COMPUTED_VALUE"""),"VerifyCashTransaction")</f>
        <v>VerifyCashTransaction</v>
      </c>
      <c r="AZ4" s="29" t="str">
        <f>IFERROR(__xludf.DUMMYFUNCTION("""COMPUTED_VALUE"""),"CalculateDayEndCash")</f>
        <v>CalculateDayEndCash</v>
      </c>
      <c r="BA4" s="29" t="str">
        <f>IFERROR(__xludf.DUMMYFUNCTION("""COMPUTED_VALUE"""),"CalculateDayEndCash")</f>
        <v>CalculateDayEndCash</v>
      </c>
      <c r="BB4" s="29" t="str">
        <f>IFERROR(__xludf.DUMMYFUNCTION("""COMPUTED_VALUE"""),"VerifyOpeningBalanceData")</f>
        <v>VerifyOpeningBalanceData</v>
      </c>
      <c r="BC4" s="29" t="str">
        <f>IFERROR(__xludf.DUMMYFUNCTION("""COMPUTED_VALUE"""),"VerifyAccountBalances")</f>
        <v>VerifyAccountBalances</v>
      </c>
      <c r="BD4" s="29" t="str">
        <f>IFERROR(__xludf.DUMMYFUNCTION("""COMPUTED_VALUE"""),"AddMultipleOpeningBalTranItem")</f>
        <v>AddMultipleOpeningBalTranItem</v>
      </c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IFERROR(__xludf.DUMMYFUNCTION("""COMPUTED_VALUE"""),"Activity Source")</f>
        <v>Activity Source</v>
      </c>
      <c r="D5" s="31" t="str">
        <f>IFERROR(__xludf.DUMMYFUNCTION("""COMPUTED_VALUE"""),"ActivityType")</f>
        <v>ActivityType</v>
      </c>
      <c r="E5" s="31" t="str">
        <f>IFERROR(__xludf.DUMMYFUNCTION("""COMPUTED_VALUE"""),"Net Amount(Local)")</f>
        <v>Net Amount(Local)</v>
      </c>
      <c r="F5" s="33" t="str">
        <f>IFERROR(__xludf.DUMMYFUNCTION("""COMPUTED_VALUE"""),"AUEC Fee1")</f>
        <v>AUEC Fee1</v>
      </c>
      <c r="G5" s="31" t="str">
        <f>IFERROR(__xludf.DUMMYFUNCTION("""COMPUTED_VALUE"""),"AUEC Fee2")</f>
        <v>AUEC Fee2</v>
      </c>
      <c r="H5" s="31" t="str">
        <f>IFERROR(__xludf.DUMMYFUNCTION("""COMPUTED_VALUE"""),"Balance Type")</f>
        <v>Balance Type</v>
      </c>
      <c r="I5" s="31" t="str">
        <f>IFERROR(__xludf.DUMMYFUNCTION("""COMPUTED_VALUE"""),"Clearing Broker Fees")</f>
        <v>Clearing Broker Fees</v>
      </c>
      <c r="J5" s="31" t="str">
        <f>IFERROR(__xludf.DUMMYFUNCTION("""COMPUTED_VALUE"""),"Commission")</f>
        <v>Commission</v>
      </c>
      <c r="K5" s="31" t="str">
        <f>IFERROR(__xludf.DUMMYFUNCTION("""COMPUTED_VALUE"""),"Currency")</f>
        <v>Currency</v>
      </c>
      <c r="L5" s="31" t="str">
        <f>IFERROR(__xludf.DUMMYFUNCTION("""COMPUTED_VALUE"""),"Description")</f>
        <v>Description</v>
      </c>
      <c r="M5" s="31" t="str">
        <f>IFERROR(__xludf.DUMMYFUNCTION("""COMPUTED_VALUE"""),"Entry Date")</f>
        <v>Entry Date</v>
      </c>
      <c r="N5" s="31" t="str">
        <f>IFERROR(__xludf.DUMMYFUNCTION("""COMPUTED_VALUE"""),"FX Conversion Method Operator")</f>
        <v>FX Conversion Method Operator</v>
      </c>
      <c r="O5" s="31" t="str">
        <f>IFERROR(__xludf.DUMMYFUNCTION("""COMPUTED_VALUE"""),"Fx Rate")</f>
        <v>Fx Rate</v>
      </c>
      <c r="P5" s="31" t="str">
        <f>IFERROR(__xludf.DUMMYFUNCTION("""COMPUTED_VALUE"""),"Lead Currency")</f>
        <v>Lead Currency</v>
      </c>
      <c r="Q5" s="31" t="str">
        <f>IFERROR(__xludf.DUMMYFUNCTION("""COMPUTED_VALUE"""),"Modify date")</f>
        <v>Modify date</v>
      </c>
      <c r="R5" s="31" t="str">
        <f>IFERROR(__xludf.DUMMYFUNCTION("""COMPUTED_VALUE"""),"OCC Fee")</f>
        <v>OCC Fee</v>
      </c>
      <c r="S5" s="31" t="str">
        <f>IFERROR(__xludf.DUMMYFUNCTION("""COMPUTED_VALUE"""),"OptionPremiumAdjustment")</f>
        <v>OptionPremiumAdjustment</v>
      </c>
      <c r="T5" s="34" t="str">
        <f>IFERROR(__xludf.DUMMYFUNCTION("""COMPUTED_VALUE"""),"ORF Fee")</f>
        <v>ORF Fee</v>
      </c>
      <c r="U5" s="34" t="str">
        <f>IFERROR(__xludf.DUMMYFUNCTION("""COMPUTED_VALUE"""),"Other Broker Fees")</f>
        <v>Other Broker Fees</v>
      </c>
      <c r="V5" s="34" t="str">
        <f>IFERROR(__xludf.DUMMYFUNCTION("""COMPUTED_VALUE"""),"Quantity")</f>
        <v>Quantity</v>
      </c>
      <c r="W5" s="34" t="str">
        <f>IFERROR(__xludf.DUMMYFUNCTION("""COMPUTED_VALUE"""),"SEC Fee")</f>
        <v>SEC Fee</v>
      </c>
      <c r="X5" s="34" t="str">
        <f>IFERROR(__xludf.DUMMYFUNCTION("""COMPUTED_VALUE"""),"Settlement Currency")</f>
        <v>Settlement Currency</v>
      </c>
      <c r="Y5" s="34" t="str">
        <f>IFERROR(__xludf.DUMMYFUNCTION("""COMPUTED_VALUE"""),"Settlement Date")</f>
        <v>Settlement Date</v>
      </c>
      <c r="Z5" s="34" t="str">
        <f>IFERROR(__xludf.DUMMYFUNCTION("""COMPUTED_VALUE"""),"Soft Commission")</f>
        <v>Soft Commission</v>
      </c>
      <c r="AA5" s="34" t="str">
        <f>IFERROR(__xludf.DUMMYFUNCTION("""COMPUTED_VALUE"""),"Stamp Duty")</f>
        <v>Stamp Duty</v>
      </c>
      <c r="AB5" s="34" t="str">
        <f>IFERROR(__xludf.DUMMYFUNCTION("""COMPUTED_VALUE"""),"Symbol")</f>
        <v>Symbol</v>
      </c>
      <c r="AC5" s="34" t="str">
        <f>IFERROR(__xludf.DUMMYFUNCTION("""COMPUTED_VALUE"""),"Tax On Commissions")</f>
        <v>Tax On Commissions</v>
      </c>
      <c r="AD5" s="34" t="str">
        <f>IFERROR(__xludf.DUMMYFUNCTION("""COMPUTED_VALUE"""),"Total Commissions")</f>
        <v>Total Commissions</v>
      </c>
      <c r="AE5" s="71" t="str">
        <f>IFERROR(__xludf.DUMMYFUNCTION("""COMPUTED_VALUE"""),"Trade Date")</f>
        <v>Trade Date</v>
      </c>
      <c r="AF5" s="34" t="str">
        <f>IFERROR(__xludf.DUMMYFUNCTION("""COMPUTED_VALUE"""),"Transaction Levy")</f>
        <v>Transaction Levy</v>
      </c>
      <c r="AG5" s="34" t="str">
        <f>IFERROR(__xludf.DUMMYFUNCTION("""COMPUTED_VALUE"""),"Transaction Source")</f>
        <v>Transaction Source</v>
      </c>
      <c r="AH5" s="34" t="str">
        <f>IFERROR(__xludf.DUMMYFUNCTION("""COMPUTED_VALUE"""),"User")</f>
        <v>User</v>
      </c>
      <c r="AI5" s="34" t="str">
        <f>IFERROR(__xludf.DUMMYFUNCTION("""COMPUTED_VALUE"""),"Vs Currency")</f>
        <v>Vs Currency</v>
      </c>
      <c r="AJ5" s="34" t="str">
        <f>IFERROR(__xludf.DUMMYFUNCTION("""COMPUTED_VALUE"""),"SettlCurrencyID")</f>
        <v>SettlCurrencyID</v>
      </c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59" t="s">
        <v>16</v>
      </c>
      <c r="C6" s="59" t="s">
        <v>40</v>
      </c>
      <c r="D6" s="59" t="s">
        <v>57</v>
      </c>
      <c r="E6" s="60">
        <v>-535.0</v>
      </c>
      <c r="F6" s="60">
        <v>0.0</v>
      </c>
      <c r="G6" s="60">
        <v>0.0</v>
      </c>
      <c r="H6" s="59" t="s">
        <v>58</v>
      </c>
      <c r="I6" s="60">
        <v>0.0</v>
      </c>
      <c r="J6" s="60">
        <v>0.0</v>
      </c>
      <c r="K6" s="59" t="s">
        <v>28</v>
      </c>
      <c r="L6" s="59" t="s">
        <v>41</v>
      </c>
      <c r="M6" s="8"/>
      <c r="N6" s="59" t="s">
        <v>20</v>
      </c>
      <c r="O6" s="60">
        <v>0.666666667</v>
      </c>
      <c r="R6" s="60">
        <v>0.0</v>
      </c>
      <c r="S6" s="60">
        <v>0.0</v>
      </c>
      <c r="T6" s="60">
        <v>0.0</v>
      </c>
      <c r="U6" s="60">
        <v>0.0</v>
      </c>
      <c r="V6" s="60">
        <v>0.0</v>
      </c>
      <c r="W6" s="60">
        <v>0.0</v>
      </c>
      <c r="X6" s="72"/>
      <c r="Z6" s="60">
        <v>0.0</v>
      </c>
      <c r="AA6" s="60">
        <v>0.0</v>
      </c>
      <c r="AB6" s="59" t="s">
        <v>24</v>
      </c>
      <c r="AC6" s="60">
        <v>0.0</v>
      </c>
      <c r="AD6" s="60">
        <v>0.0</v>
      </c>
      <c r="AE6" s="58">
        <v>43871.0</v>
      </c>
      <c r="AF6" s="60">
        <v>0.0</v>
      </c>
      <c r="AG6" s="73" t="s">
        <v>40</v>
      </c>
    </row>
    <row r="7" ht="15.75" customHeight="1">
      <c r="A7" s="8"/>
      <c r="B7" s="74" t="s">
        <v>16</v>
      </c>
      <c r="C7" s="74" t="s">
        <v>40</v>
      </c>
      <c r="D7" s="74" t="s">
        <v>57</v>
      </c>
      <c r="E7" s="75">
        <v>1779.4</v>
      </c>
      <c r="F7" s="75">
        <v>0.0</v>
      </c>
      <c r="G7" s="75">
        <v>0.0</v>
      </c>
      <c r="H7" s="74" t="s">
        <v>58</v>
      </c>
      <c r="I7" s="75">
        <v>0.0</v>
      </c>
      <c r="J7" s="75">
        <v>0.0</v>
      </c>
      <c r="K7" s="74" t="s">
        <v>18</v>
      </c>
      <c r="L7" s="74" t="s">
        <v>41</v>
      </c>
      <c r="M7" s="8"/>
      <c r="N7" s="74" t="s">
        <v>20</v>
      </c>
      <c r="O7" s="75">
        <v>1.0</v>
      </c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6"/>
      <c r="Z7" s="75">
        <v>0.0</v>
      </c>
      <c r="AA7" s="75">
        <v>0.0</v>
      </c>
      <c r="AB7" s="74" t="s">
        <v>28</v>
      </c>
      <c r="AC7" s="75">
        <v>0.0</v>
      </c>
      <c r="AD7" s="75">
        <v>0.0</v>
      </c>
      <c r="AE7" s="77">
        <v>43871.0</v>
      </c>
      <c r="AF7" s="75">
        <v>0.0</v>
      </c>
      <c r="AG7" s="78" t="s">
        <v>40</v>
      </c>
    </row>
    <row r="8" ht="15.75" customHeight="1">
      <c r="A8" s="8"/>
      <c r="B8" s="59" t="s">
        <v>16</v>
      </c>
      <c r="C8" s="59" t="s">
        <v>59</v>
      </c>
      <c r="D8" s="59" t="s">
        <v>60</v>
      </c>
      <c r="E8" s="60">
        <v>500000.0</v>
      </c>
      <c r="F8" s="60">
        <v>0.0</v>
      </c>
      <c r="G8" s="60">
        <v>0.0</v>
      </c>
      <c r="H8" s="59" t="s">
        <v>58</v>
      </c>
      <c r="I8" s="60">
        <v>0.0</v>
      </c>
      <c r="J8" s="60">
        <v>0.0</v>
      </c>
      <c r="K8" s="59" t="s">
        <v>18</v>
      </c>
      <c r="L8" s="72"/>
      <c r="M8" s="8"/>
      <c r="N8" s="59" t="s">
        <v>20</v>
      </c>
      <c r="O8" s="60">
        <v>1.0</v>
      </c>
      <c r="R8" s="60">
        <v>0.0</v>
      </c>
      <c r="S8" s="60">
        <v>0.0</v>
      </c>
      <c r="T8" s="60">
        <v>0.0</v>
      </c>
      <c r="U8" s="60">
        <v>0.0</v>
      </c>
      <c r="V8" s="60">
        <v>0.0</v>
      </c>
      <c r="W8" s="60">
        <v>0.0</v>
      </c>
      <c r="X8" s="72"/>
      <c r="Z8" s="60">
        <v>0.0</v>
      </c>
      <c r="AA8" s="60">
        <v>0.0</v>
      </c>
      <c r="AB8" s="72"/>
      <c r="AC8" s="60">
        <v>0.0</v>
      </c>
      <c r="AD8" s="60">
        <v>0.0</v>
      </c>
      <c r="AE8" s="58">
        <v>43871.0</v>
      </c>
      <c r="AF8" s="60">
        <v>0.0</v>
      </c>
      <c r="AG8" s="73" t="s">
        <v>61</v>
      </c>
    </row>
    <row r="9" ht="15.75" customHeight="1">
      <c r="A9" s="8"/>
      <c r="B9" s="74" t="s">
        <v>16</v>
      </c>
      <c r="C9" s="74" t="s">
        <v>40</v>
      </c>
      <c r="D9" s="74" t="s">
        <v>62</v>
      </c>
      <c r="E9" s="75">
        <v>-7340.0</v>
      </c>
      <c r="F9" s="75">
        <v>0.0</v>
      </c>
      <c r="G9" s="75">
        <v>0.0</v>
      </c>
      <c r="H9" s="74" t="s">
        <v>58</v>
      </c>
      <c r="I9" s="75">
        <v>0.0</v>
      </c>
      <c r="J9" s="75">
        <v>0.0</v>
      </c>
      <c r="K9" s="74" t="s">
        <v>28</v>
      </c>
      <c r="L9" s="74" t="s">
        <v>47</v>
      </c>
      <c r="M9" s="8"/>
      <c r="N9" s="74" t="s">
        <v>46</v>
      </c>
      <c r="O9" s="75">
        <v>1.1</v>
      </c>
      <c r="R9" s="75">
        <v>0.0</v>
      </c>
      <c r="S9" s="75">
        <v>0.0</v>
      </c>
      <c r="T9" s="75">
        <v>0.0</v>
      </c>
      <c r="U9" s="75">
        <v>0.0</v>
      </c>
      <c r="V9" s="75">
        <v>0.0</v>
      </c>
      <c r="W9" s="75">
        <v>0.0</v>
      </c>
      <c r="X9" s="76"/>
      <c r="Z9" s="75">
        <v>0.0</v>
      </c>
      <c r="AA9" s="75">
        <v>0.0</v>
      </c>
      <c r="AB9" s="74" t="s">
        <v>24</v>
      </c>
      <c r="AC9" s="75">
        <v>0.0</v>
      </c>
      <c r="AD9" s="75">
        <v>0.0</v>
      </c>
      <c r="AE9" s="79">
        <v>43871.0</v>
      </c>
      <c r="AF9" s="75">
        <v>0.0</v>
      </c>
      <c r="AG9" s="78" t="s">
        <v>40</v>
      </c>
    </row>
    <row r="10" ht="15.75" customHeight="1">
      <c r="A10" s="8"/>
      <c r="B10" s="59" t="s">
        <v>16</v>
      </c>
      <c r="C10" s="59" t="s">
        <v>40</v>
      </c>
      <c r="D10" s="59" t="s">
        <v>62</v>
      </c>
      <c r="E10" s="60">
        <v>7340.0</v>
      </c>
      <c r="F10" s="60">
        <v>0.0</v>
      </c>
      <c r="G10" s="60">
        <v>0.0</v>
      </c>
      <c r="H10" s="59" t="s">
        <v>58</v>
      </c>
      <c r="I10" s="60">
        <v>0.0</v>
      </c>
      <c r="J10" s="60">
        <v>0.0</v>
      </c>
      <c r="K10" s="59" t="s">
        <v>28</v>
      </c>
      <c r="L10" s="59" t="s">
        <v>48</v>
      </c>
      <c r="M10" s="8"/>
      <c r="N10" s="59" t="s">
        <v>20</v>
      </c>
      <c r="O10" s="60">
        <v>0.666666667</v>
      </c>
      <c r="R10" s="60">
        <v>0.0</v>
      </c>
      <c r="S10" s="60">
        <v>0.0</v>
      </c>
      <c r="T10" s="60">
        <v>0.0</v>
      </c>
      <c r="U10" s="60">
        <v>0.0</v>
      </c>
      <c r="V10" s="60">
        <v>0.0</v>
      </c>
      <c r="W10" s="60">
        <v>0.0</v>
      </c>
      <c r="X10" s="72"/>
      <c r="Z10" s="60">
        <v>0.0</v>
      </c>
      <c r="AA10" s="60">
        <v>0.0</v>
      </c>
      <c r="AB10" s="59" t="s">
        <v>24</v>
      </c>
      <c r="AC10" s="60">
        <v>0.0</v>
      </c>
      <c r="AD10" s="60">
        <v>0.0</v>
      </c>
      <c r="AE10" s="65">
        <v>43871.0</v>
      </c>
      <c r="AF10" s="60">
        <v>0.0</v>
      </c>
      <c r="AG10" s="73" t="s">
        <v>40</v>
      </c>
    </row>
    <row r="11" ht="15.75" customHeight="1">
      <c r="A11" s="8"/>
      <c r="B11" s="74" t="s">
        <v>16</v>
      </c>
      <c r="C11" s="74" t="s">
        <v>52</v>
      </c>
      <c r="D11" s="74" t="s">
        <v>63</v>
      </c>
      <c r="E11" s="75">
        <v>7340.0</v>
      </c>
      <c r="F11" s="75">
        <v>0.0</v>
      </c>
      <c r="G11" s="75">
        <v>0.0</v>
      </c>
      <c r="H11" s="74" t="s">
        <v>58</v>
      </c>
      <c r="I11" s="75">
        <v>0.0</v>
      </c>
      <c r="J11" s="75">
        <v>2.5</v>
      </c>
      <c r="K11" s="74" t="s">
        <v>28</v>
      </c>
      <c r="L11" s="74" t="s">
        <v>53</v>
      </c>
      <c r="M11" s="8"/>
      <c r="N11" s="74" t="s">
        <v>46</v>
      </c>
      <c r="O11" s="75">
        <v>1.1</v>
      </c>
      <c r="R11" s="75">
        <v>0.0</v>
      </c>
      <c r="S11" s="75">
        <v>0.0</v>
      </c>
      <c r="T11" s="75">
        <v>0.0</v>
      </c>
      <c r="U11" s="75">
        <v>0.0</v>
      </c>
      <c r="V11" s="75">
        <v>105.0</v>
      </c>
      <c r="W11" s="75">
        <v>0.0</v>
      </c>
      <c r="X11" s="78" t="s">
        <v>28</v>
      </c>
      <c r="Z11" s="75">
        <v>7.5</v>
      </c>
      <c r="AA11" s="75">
        <v>0.0</v>
      </c>
      <c r="AB11" s="74" t="s">
        <v>24</v>
      </c>
      <c r="AC11" s="75">
        <v>0.0</v>
      </c>
      <c r="AD11" s="75">
        <v>10.0</v>
      </c>
      <c r="AE11" s="79">
        <v>43871.0</v>
      </c>
      <c r="AF11" s="75">
        <v>0.0</v>
      </c>
      <c r="AG11" s="78" t="s">
        <v>52</v>
      </c>
    </row>
    <row r="12" ht="15.75" customHeight="1">
      <c r="A12" s="8"/>
      <c r="B12" s="59" t="s">
        <v>16</v>
      </c>
      <c r="C12" s="59" t="s">
        <v>40</v>
      </c>
      <c r="D12" s="59" t="s">
        <v>62</v>
      </c>
      <c r="E12" s="60">
        <v>7340.0</v>
      </c>
      <c r="F12" s="60">
        <v>0.0</v>
      </c>
      <c r="G12" s="60">
        <v>0.0</v>
      </c>
      <c r="H12" s="59" t="s">
        <v>58</v>
      </c>
      <c r="I12" s="60">
        <v>0.0</v>
      </c>
      <c r="J12" s="60">
        <v>0.0</v>
      </c>
      <c r="K12" s="59" t="s">
        <v>28</v>
      </c>
      <c r="L12" s="59" t="s">
        <v>49</v>
      </c>
      <c r="M12" s="8"/>
      <c r="N12" s="59" t="s">
        <v>20</v>
      </c>
      <c r="O12" s="60">
        <v>0.5</v>
      </c>
      <c r="R12" s="60">
        <v>0.0</v>
      </c>
      <c r="S12" s="60">
        <v>0.0</v>
      </c>
      <c r="T12" s="60">
        <v>0.0</v>
      </c>
      <c r="U12" s="60">
        <v>0.0</v>
      </c>
      <c r="V12" s="60">
        <v>0.0</v>
      </c>
      <c r="W12" s="60">
        <v>0.0</v>
      </c>
      <c r="X12" s="72"/>
      <c r="Z12" s="60">
        <v>0.0</v>
      </c>
      <c r="AA12" s="60">
        <v>0.0</v>
      </c>
      <c r="AB12" s="59" t="s">
        <v>28</v>
      </c>
      <c r="AC12" s="60">
        <v>0.0</v>
      </c>
      <c r="AD12" s="60">
        <v>0.0</v>
      </c>
      <c r="AE12" s="58">
        <v>43872.0</v>
      </c>
      <c r="AF12" s="60">
        <v>0.0</v>
      </c>
      <c r="AG12" s="73" t="s">
        <v>40</v>
      </c>
    </row>
    <row r="13" ht="15.75" customHeight="1">
      <c r="A13" s="8"/>
      <c r="B13" s="74" t="s">
        <v>16</v>
      </c>
      <c r="C13" s="74" t="s">
        <v>40</v>
      </c>
      <c r="D13" s="74" t="s">
        <v>62</v>
      </c>
      <c r="E13" s="75">
        <v>-7340.0</v>
      </c>
      <c r="F13" s="75">
        <v>0.0</v>
      </c>
      <c r="G13" s="75">
        <v>0.0</v>
      </c>
      <c r="H13" s="74" t="s">
        <v>58</v>
      </c>
      <c r="I13" s="75">
        <v>0.0</v>
      </c>
      <c r="J13" s="75">
        <v>0.0</v>
      </c>
      <c r="K13" s="74" t="s">
        <v>28</v>
      </c>
      <c r="L13" s="74" t="s">
        <v>50</v>
      </c>
      <c r="M13" s="8"/>
      <c r="N13" s="74" t="s">
        <v>20</v>
      </c>
      <c r="O13" s="75">
        <v>0.666666667</v>
      </c>
      <c r="R13" s="75">
        <v>0.0</v>
      </c>
      <c r="S13" s="75">
        <v>0.0</v>
      </c>
      <c r="T13" s="75">
        <v>0.0</v>
      </c>
      <c r="U13" s="75">
        <v>0.0</v>
      </c>
      <c r="V13" s="75">
        <v>0.0</v>
      </c>
      <c r="W13" s="75">
        <v>0.0</v>
      </c>
      <c r="X13" s="76"/>
      <c r="Z13" s="75">
        <v>0.0</v>
      </c>
      <c r="AA13" s="75">
        <v>0.0</v>
      </c>
      <c r="AB13" s="74" t="s">
        <v>28</v>
      </c>
      <c r="AC13" s="75">
        <v>0.0</v>
      </c>
      <c r="AD13" s="75">
        <v>0.0</v>
      </c>
      <c r="AE13" s="77">
        <v>43872.0</v>
      </c>
      <c r="AF13" s="75">
        <v>0.0</v>
      </c>
      <c r="AG13" s="78" t="s">
        <v>40</v>
      </c>
    </row>
    <row r="14" ht="15.75" customHeight="1">
      <c r="A14" s="8"/>
      <c r="B14" s="59" t="s">
        <v>16</v>
      </c>
      <c r="C14" s="59" t="s">
        <v>40</v>
      </c>
      <c r="D14" s="59" t="s">
        <v>57</v>
      </c>
      <c r="E14" s="60">
        <v>-1060.0</v>
      </c>
      <c r="F14" s="60">
        <v>0.0</v>
      </c>
      <c r="G14" s="60">
        <v>0.0</v>
      </c>
      <c r="H14" s="59" t="s">
        <v>58</v>
      </c>
      <c r="I14" s="60">
        <v>0.0</v>
      </c>
      <c r="J14" s="60">
        <v>0.0</v>
      </c>
      <c r="K14" s="59" t="s">
        <v>28</v>
      </c>
      <c r="L14" s="59" t="s">
        <v>41</v>
      </c>
      <c r="M14" s="8"/>
      <c r="N14" s="59" t="s">
        <v>20</v>
      </c>
      <c r="O14" s="60">
        <v>0.5</v>
      </c>
      <c r="R14" s="60">
        <v>0.0</v>
      </c>
      <c r="S14" s="60">
        <v>0.0</v>
      </c>
      <c r="T14" s="60">
        <v>0.0</v>
      </c>
      <c r="U14" s="60">
        <v>0.0</v>
      </c>
      <c r="V14" s="60">
        <v>0.0</v>
      </c>
      <c r="W14" s="60">
        <v>0.0</v>
      </c>
      <c r="X14" s="72"/>
      <c r="Z14" s="60">
        <v>0.0</v>
      </c>
      <c r="AA14" s="60">
        <v>0.0</v>
      </c>
      <c r="AB14" s="59" t="s">
        <v>24</v>
      </c>
      <c r="AC14" s="60">
        <v>0.0</v>
      </c>
      <c r="AD14" s="60">
        <v>0.0</v>
      </c>
      <c r="AE14" s="58">
        <v>43872.0</v>
      </c>
      <c r="AF14" s="60">
        <v>0.0</v>
      </c>
      <c r="AG14" s="73" t="s">
        <v>40</v>
      </c>
    </row>
    <row r="15" ht="15.75" customHeight="1">
      <c r="A15" s="8"/>
      <c r="B15" s="74" t="s">
        <v>16</v>
      </c>
      <c r="C15" s="74" t="s">
        <v>40</v>
      </c>
      <c r="D15" s="74" t="s">
        <v>57</v>
      </c>
      <c r="E15" s="75">
        <v>3002.73</v>
      </c>
      <c r="F15" s="75">
        <v>0.0</v>
      </c>
      <c r="G15" s="75">
        <v>0.0</v>
      </c>
      <c r="H15" s="74" t="s">
        <v>58</v>
      </c>
      <c r="I15" s="75">
        <v>0.0</v>
      </c>
      <c r="J15" s="75">
        <v>0.0</v>
      </c>
      <c r="K15" s="74" t="s">
        <v>18</v>
      </c>
      <c r="L15" s="74" t="s">
        <v>41</v>
      </c>
      <c r="M15" s="8"/>
      <c r="N15" s="74" t="s">
        <v>20</v>
      </c>
      <c r="O15" s="75">
        <v>1.0</v>
      </c>
      <c r="R15" s="75">
        <v>0.0</v>
      </c>
      <c r="S15" s="75">
        <v>0.0</v>
      </c>
      <c r="T15" s="75">
        <v>0.0</v>
      </c>
      <c r="U15" s="75">
        <v>0.0</v>
      </c>
      <c r="V15" s="75">
        <v>0.0</v>
      </c>
      <c r="W15" s="75">
        <v>0.0</v>
      </c>
      <c r="X15" s="76"/>
      <c r="Z15" s="75">
        <v>0.0</v>
      </c>
      <c r="AA15" s="75">
        <v>0.0</v>
      </c>
      <c r="AB15" s="74" t="s">
        <v>28</v>
      </c>
      <c r="AC15" s="75">
        <v>0.0</v>
      </c>
      <c r="AD15" s="75">
        <v>0.0</v>
      </c>
      <c r="AE15" s="77">
        <v>43872.0</v>
      </c>
      <c r="AF15" s="75">
        <v>0.0</v>
      </c>
      <c r="AG15" s="78" t="s">
        <v>40</v>
      </c>
    </row>
    <row r="16" ht="15.75" customHeight="1">
      <c r="A16" s="8"/>
      <c r="B16" s="59" t="s">
        <v>16</v>
      </c>
      <c r="C16" s="59" t="s">
        <v>40</v>
      </c>
      <c r="D16" s="59" t="s">
        <v>57</v>
      </c>
      <c r="E16" s="60">
        <v>535.0</v>
      </c>
      <c r="F16" s="60">
        <v>0.0</v>
      </c>
      <c r="G16" s="60">
        <v>0.0</v>
      </c>
      <c r="H16" s="59" t="s">
        <v>58</v>
      </c>
      <c r="I16" s="60">
        <v>0.0</v>
      </c>
      <c r="J16" s="60">
        <v>0.0</v>
      </c>
      <c r="K16" s="59" t="s">
        <v>28</v>
      </c>
      <c r="L16" s="59" t="s">
        <v>44</v>
      </c>
      <c r="M16" s="8"/>
      <c r="N16" s="59" t="s">
        <v>20</v>
      </c>
      <c r="O16" s="60">
        <v>0.666666667</v>
      </c>
      <c r="R16" s="60">
        <v>0.0</v>
      </c>
      <c r="S16" s="60">
        <v>0.0</v>
      </c>
      <c r="T16" s="60">
        <v>0.0</v>
      </c>
      <c r="U16" s="60">
        <v>0.0</v>
      </c>
      <c r="V16" s="60">
        <v>0.0</v>
      </c>
      <c r="W16" s="60">
        <v>0.0</v>
      </c>
      <c r="X16" s="72"/>
      <c r="Z16" s="60">
        <v>0.0</v>
      </c>
      <c r="AA16" s="60">
        <v>0.0</v>
      </c>
      <c r="AB16" s="59" t="s">
        <v>24</v>
      </c>
      <c r="AC16" s="60">
        <v>0.0</v>
      </c>
      <c r="AD16" s="60">
        <v>0.0</v>
      </c>
      <c r="AE16" s="58">
        <v>43872.0</v>
      </c>
      <c r="AF16" s="60">
        <v>0.0</v>
      </c>
      <c r="AG16" s="73" t="s">
        <v>40</v>
      </c>
    </row>
    <row r="17" ht="15.75" customHeight="1">
      <c r="A17" s="8"/>
      <c r="B17" s="74" t="s">
        <v>16</v>
      </c>
      <c r="C17" s="74" t="s">
        <v>40</v>
      </c>
      <c r="D17" s="74" t="s">
        <v>57</v>
      </c>
      <c r="E17" s="75">
        <v>-1779.4</v>
      </c>
      <c r="F17" s="75">
        <v>0.0</v>
      </c>
      <c r="G17" s="75">
        <v>0.0</v>
      </c>
      <c r="H17" s="74" t="s">
        <v>58</v>
      </c>
      <c r="I17" s="75">
        <v>0.0</v>
      </c>
      <c r="J17" s="75">
        <v>0.0</v>
      </c>
      <c r="K17" s="74" t="s">
        <v>18</v>
      </c>
      <c r="L17" s="74" t="s">
        <v>44</v>
      </c>
      <c r="M17" s="8"/>
      <c r="N17" s="74" t="s">
        <v>20</v>
      </c>
      <c r="O17" s="75">
        <v>1.0</v>
      </c>
      <c r="R17" s="75">
        <v>0.0</v>
      </c>
      <c r="S17" s="75">
        <v>0.0</v>
      </c>
      <c r="T17" s="75">
        <v>0.0</v>
      </c>
      <c r="U17" s="75">
        <v>0.0</v>
      </c>
      <c r="V17" s="75">
        <v>0.0</v>
      </c>
      <c r="W17" s="75">
        <v>0.0</v>
      </c>
      <c r="X17" s="76"/>
      <c r="Z17" s="75">
        <v>0.0</v>
      </c>
      <c r="AA17" s="75">
        <v>0.0</v>
      </c>
      <c r="AB17" s="74" t="s">
        <v>28</v>
      </c>
      <c r="AC17" s="75">
        <v>0.0</v>
      </c>
      <c r="AD17" s="75">
        <v>0.0</v>
      </c>
      <c r="AE17" s="77">
        <v>43872.0</v>
      </c>
      <c r="AF17" s="75">
        <v>0.0</v>
      </c>
      <c r="AG17" s="78" t="s">
        <v>40</v>
      </c>
    </row>
    <row r="18" ht="15.75" customHeight="1">
      <c r="A18" s="8"/>
      <c r="B18" s="59" t="s">
        <v>16</v>
      </c>
      <c r="C18" s="59" t="s">
        <v>40</v>
      </c>
      <c r="D18" s="59" t="s">
        <v>57</v>
      </c>
      <c r="E18" s="60">
        <v>-4337.5</v>
      </c>
      <c r="F18" s="60">
        <v>0.0</v>
      </c>
      <c r="G18" s="60">
        <v>0.0</v>
      </c>
      <c r="H18" s="59" t="s">
        <v>58</v>
      </c>
      <c r="I18" s="60">
        <v>0.0</v>
      </c>
      <c r="J18" s="60">
        <v>0.0</v>
      </c>
      <c r="K18" s="59" t="s">
        <v>28</v>
      </c>
      <c r="L18" s="59" t="s">
        <v>41</v>
      </c>
      <c r="M18" s="8"/>
      <c r="N18" s="59" t="s">
        <v>20</v>
      </c>
      <c r="O18" s="60">
        <v>0.4</v>
      </c>
      <c r="R18" s="60">
        <v>0.0</v>
      </c>
      <c r="S18" s="60">
        <v>0.0</v>
      </c>
      <c r="T18" s="60">
        <v>0.0</v>
      </c>
      <c r="U18" s="60">
        <v>0.0</v>
      </c>
      <c r="V18" s="60">
        <v>0.0</v>
      </c>
      <c r="W18" s="60">
        <v>0.0</v>
      </c>
      <c r="X18" s="72"/>
      <c r="Z18" s="60">
        <v>0.0</v>
      </c>
      <c r="AA18" s="60">
        <v>0.0</v>
      </c>
      <c r="AB18" s="59" t="s">
        <v>24</v>
      </c>
      <c r="AC18" s="60">
        <v>0.0</v>
      </c>
      <c r="AD18" s="60">
        <v>0.0</v>
      </c>
      <c r="AE18" s="58">
        <v>43873.0</v>
      </c>
      <c r="AF18" s="60">
        <v>0.0</v>
      </c>
      <c r="AG18" s="73" t="s">
        <v>40</v>
      </c>
    </row>
    <row r="19" ht="15.75" customHeight="1">
      <c r="A19" s="8"/>
      <c r="B19" s="74" t="s">
        <v>16</v>
      </c>
      <c r="C19" s="74" t="s">
        <v>40</v>
      </c>
      <c r="D19" s="74" t="s">
        <v>57</v>
      </c>
      <c r="E19" s="75">
        <v>-647.5</v>
      </c>
      <c r="F19" s="75">
        <v>0.0</v>
      </c>
      <c r="G19" s="75">
        <v>0.0</v>
      </c>
      <c r="H19" s="74" t="s">
        <v>58</v>
      </c>
      <c r="I19" s="75">
        <v>0.0</v>
      </c>
      <c r="J19" s="75">
        <v>0.0</v>
      </c>
      <c r="K19" s="74" t="s">
        <v>28</v>
      </c>
      <c r="L19" s="74" t="s">
        <v>41</v>
      </c>
      <c r="M19" s="8"/>
      <c r="N19" s="74" t="s">
        <v>20</v>
      </c>
      <c r="O19" s="75">
        <v>0.4</v>
      </c>
      <c r="R19" s="75">
        <v>0.0</v>
      </c>
      <c r="S19" s="75">
        <v>0.0</v>
      </c>
      <c r="T19" s="75">
        <v>0.0</v>
      </c>
      <c r="U19" s="75">
        <v>0.0</v>
      </c>
      <c r="V19" s="75">
        <v>0.0</v>
      </c>
      <c r="W19" s="75">
        <v>0.0</v>
      </c>
      <c r="X19" s="76"/>
      <c r="Z19" s="75">
        <v>0.0</v>
      </c>
      <c r="AA19" s="75">
        <v>0.0</v>
      </c>
      <c r="AB19" s="74" t="s">
        <v>67</v>
      </c>
      <c r="AC19" s="75">
        <v>0.0</v>
      </c>
      <c r="AD19" s="75">
        <v>0.0</v>
      </c>
      <c r="AE19" s="77">
        <v>43873.0</v>
      </c>
      <c r="AF19" s="75">
        <v>0.0</v>
      </c>
      <c r="AG19" s="78" t="s">
        <v>40</v>
      </c>
    </row>
    <row r="20" ht="15.75" customHeight="1">
      <c r="A20" s="8"/>
      <c r="B20" s="59" t="s">
        <v>16</v>
      </c>
      <c r="C20" s="59" t="s">
        <v>40</v>
      </c>
      <c r="D20" s="59" t="s">
        <v>57</v>
      </c>
      <c r="E20" s="60">
        <v>3736.72</v>
      </c>
      <c r="F20" s="60">
        <v>0.0</v>
      </c>
      <c r="G20" s="60">
        <v>0.0</v>
      </c>
      <c r="H20" s="59" t="s">
        <v>58</v>
      </c>
      <c r="I20" s="60">
        <v>0.0</v>
      </c>
      <c r="J20" s="60">
        <v>0.0</v>
      </c>
      <c r="K20" s="59" t="s">
        <v>18</v>
      </c>
      <c r="L20" s="59" t="s">
        <v>41</v>
      </c>
      <c r="M20" s="8"/>
      <c r="N20" s="59" t="s">
        <v>20</v>
      </c>
      <c r="O20" s="60">
        <v>1.0</v>
      </c>
      <c r="R20" s="60">
        <v>0.0</v>
      </c>
      <c r="S20" s="60">
        <v>0.0</v>
      </c>
      <c r="T20" s="60">
        <v>0.0</v>
      </c>
      <c r="U20" s="60">
        <v>0.0</v>
      </c>
      <c r="V20" s="60">
        <v>0.0</v>
      </c>
      <c r="W20" s="60">
        <v>0.0</v>
      </c>
      <c r="X20" s="72"/>
      <c r="Z20" s="60">
        <v>0.0</v>
      </c>
      <c r="AA20" s="60">
        <v>0.0</v>
      </c>
      <c r="AB20" s="59" t="s">
        <v>28</v>
      </c>
      <c r="AC20" s="60">
        <v>0.0</v>
      </c>
      <c r="AD20" s="60">
        <v>0.0</v>
      </c>
      <c r="AE20" s="58">
        <v>43873.0</v>
      </c>
      <c r="AF20" s="60">
        <v>0.0</v>
      </c>
      <c r="AG20" s="73" t="s">
        <v>40</v>
      </c>
    </row>
    <row r="21" ht="15.75" customHeight="1">
      <c r="A21" s="8"/>
      <c r="B21" s="74" t="s">
        <v>16</v>
      </c>
      <c r="C21" s="74" t="s">
        <v>40</v>
      </c>
      <c r="D21" s="74" t="s">
        <v>57</v>
      </c>
      <c r="E21" s="75">
        <v>1060.0</v>
      </c>
      <c r="F21" s="75">
        <v>0.0</v>
      </c>
      <c r="G21" s="75">
        <v>0.0</v>
      </c>
      <c r="H21" s="74" t="s">
        <v>58</v>
      </c>
      <c r="I21" s="75">
        <v>0.0</v>
      </c>
      <c r="J21" s="75">
        <v>0.0</v>
      </c>
      <c r="K21" s="74" t="s">
        <v>28</v>
      </c>
      <c r="L21" s="74" t="s">
        <v>44</v>
      </c>
      <c r="M21" s="8"/>
      <c r="N21" s="74" t="s">
        <v>20</v>
      </c>
      <c r="O21" s="75">
        <v>0.5</v>
      </c>
      <c r="R21" s="75">
        <v>0.0</v>
      </c>
      <c r="S21" s="75">
        <v>0.0</v>
      </c>
      <c r="T21" s="75">
        <v>0.0</v>
      </c>
      <c r="U21" s="75">
        <v>0.0</v>
      </c>
      <c r="V21" s="75">
        <v>0.0</v>
      </c>
      <c r="W21" s="75">
        <v>0.0</v>
      </c>
      <c r="X21" s="76"/>
      <c r="Z21" s="75">
        <v>0.0</v>
      </c>
      <c r="AA21" s="75">
        <v>0.0</v>
      </c>
      <c r="AB21" s="74" t="s">
        <v>24</v>
      </c>
      <c r="AC21" s="75">
        <v>0.0</v>
      </c>
      <c r="AD21" s="75">
        <v>0.0</v>
      </c>
      <c r="AE21" s="77">
        <v>43873.0</v>
      </c>
      <c r="AF21" s="75">
        <v>0.0</v>
      </c>
      <c r="AG21" s="78" t="s">
        <v>40</v>
      </c>
    </row>
    <row r="22" ht="15.75" customHeight="1">
      <c r="A22" s="8"/>
      <c r="B22" s="59" t="s">
        <v>16</v>
      </c>
      <c r="C22" s="59" t="s">
        <v>40</v>
      </c>
      <c r="D22" s="59" t="s">
        <v>57</v>
      </c>
      <c r="E22" s="60">
        <v>-3002.73</v>
      </c>
      <c r="F22" s="60">
        <v>0.0</v>
      </c>
      <c r="G22" s="60">
        <v>0.0</v>
      </c>
      <c r="H22" s="59" t="s">
        <v>58</v>
      </c>
      <c r="I22" s="60">
        <v>0.0</v>
      </c>
      <c r="J22" s="60">
        <v>0.0</v>
      </c>
      <c r="K22" s="59" t="s">
        <v>18</v>
      </c>
      <c r="L22" s="59" t="s">
        <v>44</v>
      </c>
      <c r="M22" s="8"/>
      <c r="N22" s="59" t="s">
        <v>20</v>
      </c>
      <c r="O22" s="60">
        <v>1.0</v>
      </c>
      <c r="R22" s="60">
        <v>0.0</v>
      </c>
      <c r="S22" s="60">
        <v>0.0</v>
      </c>
      <c r="T22" s="60">
        <v>0.0</v>
      </c>
      <c r="U22" s="60">
        <v>0.0</v>
      </c>
      <c r="V22" s="60">
        <v>0.0</v>
      </c>
      <c r="W22" s="60">
        <v>0.0</v>
      </c>
      <c r="X22" s="72"/>
      <c r="Z22" s="60">
        <v>0.0</v>
      </c>
      <c r="AA22" s="60">
        <v>0.0</v>
      </c>
      <c r="AB22" s="59" t="s">
        <v>28</v>
      </c>
      <c r="AC22" s="60">
        <v>0.0</v>
      </c>
      <c r="AD22" s="60">
        <v>0.0</v>
      </c>
      <c r="AE22" s="58">
        <v>43873.0</v>
      </c>
      <c r="AF22" s="60">
        <v>0.0</v>
      </c>
      <c r="AG22" s="73" t="s">
        <v>40</v>
      </c>
    </row>
    <row r="23" ht="15.75" customHeight="1">
      <c r="A23" s="8"/>
      <c r="B23" s="74" t="s">
        <v>16</v>
      </c>
      <c r="C23" s="74" t="s">
        <v>40</v>
      </c>
      <c r="D23" s="74" t="s">
        <v>62</v>
      </c>
      <c r="E23" s="75">
        <v>7340.0</v>
      </c>
      <c r="F23" s="75">
        <v>0.0</v>
      </c>
      <c r="G23" s="75">
        <v>0.0</v>
      </c>
      <c r="H23" s="74" t="s">
        <v>58</v>
      </c>
      <c r="I23" s="75">
        <v>0.0</v>
      </c>
      <c r="J23" s="75">
        <v>0.0</v>
      </c>
      <c r="K23" s="74" t="s">
        <v>28</v>
      </c>
      <c r="L23" s="74" t="s">
        <v>49</v>
      </c>
      <c r="M23" s="8"/>
      <c r="N23" s="74" t="s">
        <v>20</v>
      </c>
      <c r="O23" s="75">
        <v>0.4</v>
      </c>
      <c r="R23" s="75">
        <v>0.0</v>
      </c>
      <c r="S23" s="75">
        <v>0.0</v>
      </c>
      <c r="T23" s="75">
        <v>0.0</v>
      </c>
      <c r="U23" s="75">
        <v>0.0</v>
      </c>
      <c r="V23" s="75">
        <v>0.0</v>
      </c>
      <c r="W23" s="75">
        <v>0.0</v>
      </c>
      <c r="X23" s="76"/>
      <c r="Z23" s="75">
        <v>0.0</v>
      </c>
      <c r="AA23" s="75">
        <v>0.0</v>
      </c>
      <c r="AB23" s="74" t="s">
        <v>28</v>
      </c>
      <c r="AC23" s="75">
        <v>0.0</v>
      </c>
      <c r="AD23" s="75">
        <v>0.0</v>
      </c>
      <c r="AE23" s="77">
        <v>43873.0</v>
      </c>
      <c r="AF23" s="75">
        <v>0.0</v>
      </c>
      <c r="AG23" s="78" t="s">
        <v>40</v>
      </c>
    </row>
    <row r="24" ht="15.75" customHeight="1">
      <c r="A24" s="8"/>
      <c r="B24" s="59" t="s">
        <v>16</v>
      </c>
      <c r="C24" s="59" t="s">
        <v>40</v>
      </c>
      <c r="D24" s="59" t="s">
        <v>62</v>
      </c>
      <c r="E24" s="60">
        <v>-7340.0</v>
      </c>
      <c r="F24" s="60">
        <v>0.0</v>
      </c>
      <c r="G24" s="60">
        <v>0.0</v>
      </c>
      <c r="H24" s="59" t="s">
        <v>58</v>
      </c>
      <c r="I24" s="60">
        <v>0.0</v>
      </c>
      <c r="J24" s="60">
        <v>0.0</v>
      </c>
      <c r="K24" s="59" t="s">
        <v>28</v>
      </c>
      <c r="L24" s="59" t="s">
        <v>50</v>
      </c>
      <c r="M24" s="8"/>
      <c r="N24" s="59" t="s">
        <v>20</v>
      </c>
      <c r="O24" s="60">
        <v>0.5</v>
      </c>
      <c r="R24" s="60">
        <v>0.0</v>
      </c>
      <c r="S24" s="60">
        <v>0.0</v>
      </c>
      <c r="T24" s="60">
        <v>0.0</v>
      </c>
      <c r="U24" s="60">
        <v>0.0</v>
      </c>
      <c r="V24" s="60">
        <v>0.0</v>
      </c>
      <c r="W24" s="60">
        <v>0.0</v>
      </c>
      <c r="X24" s="72"/>
      <c r="Z24" s="60">
        <v>0.0</v>
      </c>
      <c r="AA24" s="60">
        <v>0.0</v>
      </c>
      <c r="AB24" s="59" t="s">
        <v>28</v>
      </c>
      <c r="AC24" s="60">
        <v>0.0</v>
      </c>
      <c r="AD24" s="60">
        <v>0.0</v>
      </c>
      <c r="AE24" s="58">
        <v>43873.0</v>
      </c>
      <c r="AF24" s="60">
        <v>0.0</v>
      </c>
      <c r="AG24" s="73" t="s">
        <v>40</v>
      </c>
    </row>
    <row r="25" ht="15.75" customHeight="1">
      <c r="A25" s="8"/>
      <c r="B25" s="74" t="s">
        <v>16</v>
      </c>
      <c r="C25" s="74" t="s">
        <v>52</v>
      </c>
      <c r="D25" s="74" t="s">
        <v>63</v>
      </c>
      <c r="E25" s="75">
        <v>-7340.0</v>
      </c>
      <c r="F25" s="75">
        <v>0.0</v>
      </c>
      <c r="G25" s="75">
        <v>0.0</v>
      </c>
      <c r="H25" s="74" t="s">
        <v>58</v>
      </c>
      <c r="I25" s="75">
        <v>0.0</v>
      </c>
      <c r="J25" s="75">
        <v>0.0</v>
      </c>
      <c r="K25" s="74" t="s">
        <v>28</v>
      </c>
      <c r="L25" s="74" t="s">
        <v>53</v>
      </c>
      <c r="M25" s="8"/>
      <c r="N25" s="74" t="s">
        <v>20</v>
      </c>
      <c r="O25" s="75">
        <v>0.909090909</v>
      </c>
      <c r="R25" s="75">
        <v>0.0</v>
      </c>
      <c r="S25" s="75">
        <v>0.0</v>
      </c>
      <c r="T25" s="75">
        <v>0.0</v>
      </c>
      <c r="U25" s="75">
        <v>0.0</v>
      </c>
      <c r="V25" s="75">
        <v>105.0</v>
      </c>
      <c r="W25" s="75">
        <v>0.0</v>
      </c>
      <c r="X25" s="78" t="s">
        <v>28</v>
      </c>
      <c r="Z25" s="75">
        <v>0.0</v>
      </c>
      <c r="AA25" s="75">
        <v>0.0</v>
      </c>
      <c r="AB25" s="74" t="s">
        <v>24</v>
      </c>
      <c r="AC25" s="75">
        <v>0.0</v>
      </c>
      <c r="AD25" s="75">
        <v>0.0</v>
      </c>
      <c r="AE25" s="77">
        <v>43873.0</v>
      </c>
      <c r="AF25" s="75">
        <v>0.0</v>
      </c>
      <c r="AG25" s="78" t="s">
        <v>52</v>
      </c>
    </row>
    <row r="26" ht="15.75" customHeight="1">
      <c r="A26" s="8"/>
      <c r="B26" s="59" t="s">
        <v>16</v>
      </c>
      <c r="C26" s="59" t="s">
        <v>52</v>
      </c>
      <c r="D26" s="59" t="s">
        <v>63</v>
      </c>
      <c r="E26" s="60">
        <v>4587.5</v>
      </c>
      <c r="F26" s="60">
        <v>0.0</v>
      </c>
      <c r="G26" s="60">
        <v>0.0</v>
      </c>
      <c r="H26" s="59" t="s">
        <v>58</v>
      </c>
      <c r="I26" s="60">
        <v>0.0</v>
      </c>
      <c r="J26" s="60">
        <v>0.0</v>
      </c>
      <c r="K26" s="59" t="s">
        <v>28</v>
      </c>
      <c r="L26" s="59" t="s">
        <v>53</v>
      </c>
      <c r="M26" s="8"/>
      <c r="N26" s="59" t="s">
        <v>20</v>
      </c>
      <c r="O26" s="60">
        <v>0.909090909</v>
      </c>
      <c r="R26" s="60">
        <v>0.0</v>
      </c>
      <c r="S26" s="60">
        <v>0.0</v>
      </c>
      <c r="T26" s="60">
        <v>0.0</v>
      </c>
      <c r="U26" s="60">
        <v>0.0</v>
      </c>
      <c r="V26" s="60">
        <v>105.0</v>
      </c>
      <c r="W26" s="60">
        <v>0.0</v>
      </c>
      <c r="X26" s="78" t="s">
        <v>28</v>
      </c>
      <c r="Z26" s="60">
        <v>0.0</v>
      </c>
      <c r="AA26" s="60">
        <v>0.0</v>
      </c>
      <c r="AB26" s="59" t="s">
        <v>24</v>
      </c>
      <c r="AC26" s="60">
        <v>0.0</v>
      </c>
      <c r="AD26" s="60">
        <v>0.0</v>
      </c>
      <c r="AE26" s="58">
        <v>43873.0</v>
      </c>
      <c r="AF26" s="60">
        <v>0.0</v>
      </c>
      <c r="AG26" s="73" t="s">
        <v>52</v>
      </c>
    </row>
    <row r="27" ht="15.75" customHeight="1">
      <c r="B27" s="74" t="s">
        <v>16</v>
      </c>
      <c r="C27" s="74" t="s">
        <v>52</v>
      </c>
      <c r="D27" s="74" t="s">
        <v>63</v>
      </c>
      <c r="E27" s="75">
        <v>2752.5</v>
      </c>
      <c r="F27" s="75">
        <v>0.0</v>
      </c>
      <c r="G27" s="75">
        <v>0.0</v>
      </c>
      <c r="H27" s="74" t="s">
        <v>58</v>
      </c>
      <c r="I27" s="75">
        <v>0.0</v>
      </c>
      <c r="J27" s="75">
        <v>0.0</v>
      </c>
      <c r="K27" s="74" t="s">
        <v>28</v>
      </c>
      <c r="L27" s="74" t="s">
        <v>53</v>
      </c>
      <c r="N27" s="74" t="s">
        <v>20</v>
      </c>
      <c r="O27" s="75">
        <v>0.909090909</v>
      </c>
      <c r="R27" s="75">
        <v>0.0</v>
      </c>
      <c r="S27" s="75">
        <v>0.0</v>
      </c>
      <c r="T27" s="75">
        <v>0.0</v>
      </c>
      <c r="U27" s="75">
        <v>0.0</v>
      </c>
      <c r="V27" s="75">
        <v>34.0</v>
      </c>
      <c r="W27" s="75">
        <v>0.0</v>
      </c>
      <c r="X27" s="78" t="s">
        <v>28</v>
      </c>
      <c r="Z27" s="75">
        <v>0.0</v>
      </c>
      <c r="AA27" s="75">
        <v>0.0</v>
      </c>
      <c r="AB27" s="74" t="s">
        <v>67</v>
      </c>
      <c r="AC27" s="75">
        <v>0.0</v>
      </c>
      <c r="AD27" s="75">
        <v>0.0</v>
      </c>
      <c r="AE27" s="77">
        <v>43873.0</v>
      </c>
      <c r="AF27" s="75">
        <v>0.0</v>
      </c>
      <c r="AG27" s="78" t="s">
        <v>52</v>
      </c>
    </row>
    <row r="28" ht="15.75" customHeight="1">
      <c r="B28" s="59" t="s">
        <v>16</v>
      </c>
      <c r="C28" s="59" t="s">
        <v>59</v>
      </c>
      <c r="D28" s="92" t="s">
        <v>73</v>
      </c>
      <c r="E28" s="60">
        <v>0.0</v>
      </c>
      <c r="F28" s="60">
        <v>0.0</v>
      </c>
      <c r="G28" s="60">
        <v>0.0</v>
      </c>
      <c r="H28" s="59" t="s">
        <v>58</v>
      </c>
      <c r="I28" s="60">
        <v>0.0</v>
      </c>
      <c r="J28" s="60">
        <v>0.0</v>
      </c>
      <c r="K28" s="59" t="s">
        <v>28</v>
      </c>
      <c r="L28" s="59" t="s">
        <v>74</v>
      </c>
      <c r="N28" s="59" t="s">
        <v>20</v>
      </c>
      <c r="O28" s="60">
        <v>0.909090909</v>
      </c>
      <c r="R28" s="60">
        <v>0.0</v>
      </c>
      <c r="S28" s="60">
        <v>0.0</v>
      </c>
      <c r="T28" s="60">
        <v>0.0</v>
      </c>
      <c r="U28" s="60">
        <v>0.0</v>
      </c>
      <c r="V28" s="60">
        <v>0.0</v>
      </c>
      <c r="W28" s="60">
        <v>0.0</v>
      </c>
      <c r="X28" s="72"/>
      <c r="Z28" s="60">
        <v>0.0</v>
      </c>
      <c r="AA28" s="60">
        <v>0.0</v>
      </c>
      <c r="AB28" s="59" t="s">
        <v>67</v>
      </c>
      <c r="AC28" s="60">
        <v>0.0</v>
      </c>
      <c r="AD28" s="60">
        <v>0.0</v>
      </c>
      <c r="AE28" s="58">
        <v>43873.0</v>
      </c>
      <c r="AF28" s="60">
        <v>0.0</v>
      </c>
      <c r="AG28" s="73" t="s">
        <v>61</v>
      </c>
    </row>
    <row r="29" ht="15.75" customHeight="1">
      <c r="AE29" s="39"/>
    </row>
    <row r="30" ht="15.75" customHeight="1">
      <c r="AE30" s="39"/>
    </row>
    <row r="31" ht="15.75" customHeight="1">
      <c r="AE31" s="39"/>
    </row>
    <row r="32" ht="15.75" customHeight="1">
      <c r="AE32" s="39"/>
    </row>
    <row r="33" ht="15.75" customHeight="1">
      <c r="AE33" s="39"/>
    </row>
    <row r="34" ht="15.75" customHeight="1">
      <c r="AE34" s="39"/>
    </row>
    <row r="35" ht="15.75" customHeight="1">
      <c r="AE35" s="39"/>
    </row>
    <row r="36" ht="15.75" customHeight="1">
      <c r="AE36" s="39"/>
    </row>
    <row r="37" ht="15.75" customHeight="1">
      <c r="AE37" s="39"/>
    </row>
    <row r="38" ht="15.75" customHeight="1">
      <c r="AE38" s="39"/>
    </row>
    <row r="39" ht="15.75" customHeight="1">
      <c r="AE39" s="39"/>
    </row>
    <row r="40" ht="15.75" customHeight="1">
      <c r="AE40" s="39"/>
    </row>
    <row r="41" ht="15.75" customHeight="1">
      <c r="AE41" s="39"/>
    </row>
    <row r="42" ht="15.75" customHeight="1">
      <c r="AE42" s="39"/>
    </row>
    <row r="43" ht="15.75" customHeight="1">
      <c r="AE43" s="39"/>
    </row>
    <row r="44" ht="15.75" customHeight="1">
      <c r="AE44" s="39"/>
    </row>
    <row r="45" ht="15.75" customHeight="1">
      <c r="AE45" s="39"/>
    </row>
    <row r="46" ht="15.75" customHeight="1">
      <c r="AE46" s="39"/>
    </row>
    <row r="47" ht="15.75" customHeight="1">
      <c r="AE47" s="39"/>
    </row>
    <row r="48" ht="15.75" customHeight="1">
      <c r="AE48" s="39"/>
    </row>
    <row r="49" ht="15.75" customHeight="1">
      <c r="AE49" s="39"/>
    </row>
    <row r="50" ht="15.75" customHeight="1">
      <c r="AE50" s="39"/>
    </row>
    <row r="51" ht="15.75" customHeight="1">
      <c r="AE51" s="39"/>
    </row>
    <row r="52" ht="15.75" customHeight="1">
      <c r="AE52" s="39"/>
    </row>
    <row r="53" ht="15.75" customHeight="1">
      <c r="AE53" s="39"/>
    </row>
    <row r="54" ht="15.75" customHeight="1">
      <c r="AE54" s="39"/>
    </row>
    <row r="55" ht="15.75" customHeight="1">
      <c r="AE55" s="39"/>
    </row>
    <row r="56" ht="15.75" customHeight="1">
      <c r="AE56" s="39"/>
    </row>
    <row r="57" ht="15.75" customHeight="1">
      <c r="AE57" s="39"/>
    </row>
    <row r="58" ht="15.75" customHeight="1">
      <c r="AE58" s="39"/>
    </row>
    <row r="59" ht="15.75" customHeight="1">
      <c r="AE59" s="39"/>
    </row>
    <row r="60" ht="15.75" customHeight="1">
      <c r="AE60" s="39"/>
    </row>
    <row r="61" ht="15.75" customHeight="1">
      <c r="AE61" s="39"/>
    </row>
    <row r="62" ht="15.75" customHeight="1">
      <c r="AE62" s="39"/>
    </row>
    <row r="63" ht="15.75" customHeight="1">
      <c r="AE63" s="39"/>
    </row>
    <row r="64" ht="15.75" customHeight="1">
      <c r="AE64" s="39"/>
    </row>
    <row r="65" ht="15.75" customHeight="1">
      <c r="AE65" s="39"/>
    </row>
    <row r="66" ht="15.75" customHeight="1">
      <c r="AE66" s="39"/>
    </row>
    <row r="67" ht="15.75" customHeight="1">
      <c r="AE67" s="39"/>
    </row>
    <row r="68" ht="15.75" customHeight="1">
      <c r="AE68" s="39"/>
    </row>
    <row r="69" ht="15.75" customHeight="1">
      <c r="AE69" s="39"/>
    </row>
    <row r="70" ht="15.75" customHeight="1">
      <c r="AE70" s="39"/>
    </row>
    <row r="71" ht="15.75" customHeight="1">
      <c r="AE71" s="39"/>
    </row>
    <row r="72" ht="15.75" customHeight="1">
      <c r="AE72" s="39"/>
    </row>
    <row r="73" ht="15.75" customHeight="1">
      <c r="AE73" s="39"/>
    </row>
    <row r="74" ht="15.75" customHeight="1">
      <c r="AE74" s="39"/>
    </row>
    <row r="75" ht="15.75" customHeight="1">
      <c r="AE75" s="39"/>
    </row>
    <row r="76" ht="15.75" customHeight="1">
      <c r="AE76" s="39"/>
    </row>
    <row r="77" ht="15.75" customHeight="1">
      <c r="AE77" s="39"/>
    </row>
    <row r="78" ht="15.75" customHeight="1">
      <c r="AE78" s="39"/>
    </row>
    <row r="79" ht="15.75" customHeight="1">
      <c r="AE79" s="39"/>
    </row>
    <row r="80" ht="15.75" customHeight="1">
      <c r="AE80" s="39"/>
    </row>
    <row r="81" ht="15.75" customHeight="1">
      <c r="AE81" s="39"/>
    </row>
    <row r="82" ht="15.75" customHeight="1">
      <c r="AE82" s="39"/>
    </row>
    <row r="83" ht="15.75" customHeight="1">
      <c r="AE83" s="39"/>
    </row>
    <row r="84" ht="15.75" customHeight="1">
      <c r="AE84" s="39"/>
    </row>
    <row r="85" ht="15.75" customHeight="1">
      <c r="AE85" s="39"/>
    </row>
    <row r="86" ht="15.75" customHeight="1">
      <c r="AE86" s="39"/>
    </row>
    <row r="87" ht="15.75" customHeight="1">
      <c r="AE87" s="39"/>
    </row>
    <row r="88" ht="15.75" customHeight="1">
      <c r="AE88" s="39"/>
    </row>
    <row r="89" ht="15.75" customHeight="1">
      <c r="AE89" s="39"/>
    </row>
    <row r="90" ht="15.75" customHeight="1">
      <c r="AE90" s="39"/>
    </row>
    <row r="91" ht="15.75" customHeight="1">
      <c r="AE91" s="39"/>
    </row>
    <row r="92" ht="15.75" customHeight="1">
      <c r="AE92" s="39"/>
    </row>
    <row r="93" ht="15.75" customHeight="1">
      <c r="AE93" s="39"/>
    </row>
    <row r="94" ht="15.75" customHeight="1">
      <c r="AE94" s="39"/>
    </row>
    <row r="95" ht="15.75" customHeight="1">
      <c r="AE95" s="39"/>
    </row>
    <row r="96" ht="15.75" customHeight="1">
      <c r="AE96" s="39"/>
    </row>
    <row r="97" ht="15.75" customHeight="1">
      <c r="AE97" s="39"/>
    </row>
    <row r="98" ht="15.75" customHeight="1">
      <c r="AE98" s="39"/>
    </row>
    <row r="99" ht="15.75" customHeight="1">
      <c r="AE99" s="39"/>
    </row>
    <row r="100" ht="15.75" customHeight="1">
      <c r="A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20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5" t="s">
        <v>75</v>
      </c>
      <c r="D3" s="24" t="s">
        <v>9</v>
      </c>
      <c r="E3" s="23" t="s">
        <v>76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8" t="str">
        <f>IFERROR(__xludf.DUMMYFUNCTION("""COMPUTED_VALUE"""),"GetDataClosing")</f>
        <v>GetDataClosing</v>
      </c>
      <c r="D4" s="28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7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29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1" t="str">
        <f>IFERROR(__xludf.DUMMYFUNCTION("""COMPUTED_VALUE"""),"Account Filter")</f>
        <v>Account Filter</v>
      </c>
      <c r="F5" s="3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 t="s">
        <v>77</v>
      </c>
      <c r="C6" s="37">
        <v>43871.0</v>
      </c>
      <c r="D6" s="37">
        <v>43873.0</v>
      </c>
      <c r="E6" s="36" t="s">
        <v>16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20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20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20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20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20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20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20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20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20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20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20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20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20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20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20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20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20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20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20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20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C27" s="39"/>
      <c r="D27" s="39"/>
    </row>
    <row r="28" ht="15.75" customHeight="1">
      <c r="C28" s="39"/>
      <c r="D28" s="39"/>
    </row>
    <row r="29" ht="15.75" customHeight="1">
      <c r="C29" s="39"/>
      <c r="D29" s="39"/>
    </row>
    <row r="30" ht="15.75" customHeight="1">
      <c r="C30" s="39"/>
      <c r="D30" s="39"/>
    </row>
    <row r="31" ht="15.75" customHeight="1">
      <c r="C31" s="39"/>
      <c r="D31" s="39"/>
    </row>
    <row r="32" ht="15.75" customHeight="1">
      <c r="C32" s="39"/>
      <c r="D32" s="39"/>
    </row>
    <row r="33" ht="15.75" customHeight="1">
      <c r="C33" s="39"/>
      <c r="D33" s="39"/>
    </row>
    <row r="34" ht="15.75" customHeight="1">
      <c r="C34" s="39"/>
      <c r="D34" s="39"/>
    </row>
    <row r="35" ht="15.75" customHeight="1">
      <c r="C35" s="39"/>
      <c r="D35" s="39"/>
    </row>
    <row r="36" ht="15.75" customHeight="1">
      <c r="C36" s="39"/>
      <c r="D36" s="39"/>
    </row>
    <row r="37" ht="15.75" customHeight="1">
      <c r="C37" s="39"/>
      <c r="D37" s="39"/>
    </row>
    <row r="38" ht="15.75" customHeight="1">
      <c r="C38" s="39"/>
      <c r="D38" s="39"/>
    </row>
    <row r="39" ht="15.75" customHeight="1">
      <c r="C39" s="39"/>
      <c r="D39" s="39"/>
    </row>
    <row r="40" ht="15.75" customHeight="1">
      <c r="C40" s="39"/>
      <c r="D40" s="39"/>
    </row>
    <row r="41" ht="15.75" customHeight="1">
      <c r="C41" s="39"/>
      <c r="D41" s="39"/>
    </row>
    <row r="42" ht="15.75" customHeight="1">
      <c r="C42" s="39"/>
      <c r="D42" s="39"/>
    </row>
    <row r="43" ht="15.75" customHeight="1">
      <c r="C43" s="39"/>
      <c r="D43" s="39"/>
    </row>
    <row r="44" ht="15.75" customHeight="1">
      <c r="C44" s="39"/>
      <c r="D44" s="39"/>
    </row>
    <row r="45" ht="15.75" customHeight="1">
      <c r="C45" s="39"/>
      <c r="D45" s="39"/>
    </row>
    <row r="46" ht="15.75" customHeight="1">
      <c r="C46" s="39"/>
      <c r="D46" s="39"/>
    </row>
    <row r="47" ht="15.75" customHeight="1">
      <c r="C47" s="39"/>
      <c r="D47" s="39"/>
    </row>
    <row r="48" ht="15.75" customHeight="1">
      <c r="C48" s="39"/>
      <c r="D48" s="39"/>
    </row>
    <row r="49" ht="15.75" customHeight="1">
      <c r="C49" s="39"/>
      <c r="D49" s="39"/>
    </row>
    <row r="50" ht="15.75" customHeight="1">
      <c r="C50" s="39"/>
      <c r="D50" s="39"/>
    </row>
    <row r="51" ht="15.75" customHeight="1">
      <c r="C51" s="39"/>
      <c r="D51" s="39"/>
    </row>
    <row r="52" ht="15.75" customHeight="1">
      <c r="C52" s="39"/>
      <c r="D52" s="39"/>
    </row>
    <row r="53" ht="15.75" customHeight="1">
      <c r="C53" s="39"/>
      <c r="D53" s="39"/>
    </row>
    <row r="54" ht="15.75" customHeight="1">
      <c r="C54" s="39"/>
      <c r="D54" s="39"/>
    </row>
    <row r="55" ht="15.75" customHeight="1">
      <c r="C55" s="39"/>
      <c r="D55" s="39"/>
    </row>
    <row r="56" ht="15.75" customHeight="1">
      <c r="C56" s="39"/>
      <c r="D56" s="39"/>
    </row>
    <row r="57" ht="15.75" customHeight="1">
      <c r="C57" s="39"/>
      <c r="D57" s="39"/>
    </row>
    <row r="58" ht="15.75" customHeight="1">
      <c r="C58" s="39"/>
      <c r="D58" s="39"/>
    </row>
    <row r="59" ht="15.75" customHeight="1">
      <c r="C59" s="39"/>
      <c r="D59" s="39"/>
    </row>
    <row r="60" ht="15.75" customHeight="1">
      <c r="C60" s="39"/>
      <c r="D60" s="39"/>
    </row>
    <row r="61" ht="15.75" customHeight="1">
      <c r="C61" s="39"/>
      <c r="D61" s="39"/>
    </row>
    <row r="62" ht="15.75" customHeight="1">
      <c r="C62" s="39"/>
      <c r="D62" s="39"/>
    </row>
    <row r="63" ht="15.75" customHeight="1">
      <c r="C63" s="39"/>
      <c r="D63" s="39"/>
    </row>
    <row r="64" ht="15.75" customHeight="1">
      <c r="C64" s="39"/>
      <c r="D64" s="39"/>
    </row>
    <row r="65" ht="15.75" customHeight="1">
      <c r="C65" s="39"/>
      <c r="D65" s="39"/>
    </row>
    <row r="66" ht="15.75" customHeight="1">
      <c r="C66" s="39"/>
      <c r="D66" s="39"/>
    </row>
    <row r="67" ht="15.75" customHeight="1">
      <c r="C67" s="39"/>
      <c r="D67" s="39"/>
    </row>
    <row r="68" ht="15.75" customHeight="1">
      <c r="C68" s="39"/>
      <c r="D68" s="39"/>
    </row>
    <row r="69" ht="15.75" customHeight="1">
      <c r="C69" s="39"/>
      <c r="D69" s="39"/>
    </row>
    <row r="70" ht="15.75" customHeight="1">
      <c r="C70" s="39"/>
      <c r="D70" s="39"/>
    </row>
    <row r="71" ht="15.75" customHeight="1">
      <c r="C71" s="39"/>
      <c r="D71" s="39"/>
    </row>
    <row r="72" ht="15.75" customHeight="1">
      <c r="C72" s="39"/>
      <c r="D72" s="39"/>
    </row>
    <row r="73" ht="15.75" customHeight="1">
      <c r="C73" s="39"/>
      <c r="D73" s="39"/>
    </row>
    <row r="74" ht="15.75" customHeight="1">
      <c r="C74" s="39"/>
      <c r="D74" s="39"/>
    </row>
    <row r="75" ht="15.75" customHeight="1">
      <c r="C75" s="39"/>
      <c r="D75" s="39"/>
    </row>
    <row r="76" ht="15.75" customHeight="1">
      <c r="C76" s="39"/>
      <c r="D76" s="39"/>
    </row>
    <row r="77" ht="15.75" customHeight="1">
      <c r="C77" s="39"/>
      <c r="D77" s="39"/>
    </row>
    <row r="78" ht="15.75" customHeight="1">
      <c r="C78" s="39"/>
      <c r="D78" s="39"/>
    </row>
    <row r="79" ht="15.75" customHeight="1">
      <c r="C79" s="39"/>
      <c r="D79" s="39"/>
    </row>
    <row r="80" ht="15.75" customHeight="1">
      <c r="C80" s="39"/>
      <c r="D80" s="39"/>
    </row>
    <row r="81" ht="15.75" customHeight="1">
      <c r="C81" s="39"/>
      <c r="D81" s="39"/>
    </row>
    <row r="82" ht="15.75" customHeight="1">
      <c r="C82" s="39"/>
      <c r="D82" s="39"/>
    </row>
    <row r="83" ht="15.75" customHeight="1">
      <c r="C83" s="39"/>
      <c r="D83" s="39"/>
    </row>
    <row r="84" ht="15.75" customHeight="1">
      <c r="C84" s="39"/>
      <c r="D84" s="39"/>
    </row>
    <row r="85" ht="15.75" customHeight="1">
      <c r="C85" s="39"/>
      <c r="D85" s="39"/>
    </row>
    <row r="86" ht="15.75" customHeight="1">
      <c r="C86" s="39"/>
      <c r="D86" s="39"/>
    </row>
    <row r="87" ht="15.75" customHeight="1">
      <c r="C87" s="39"/>
      <c r="D87" s="39"/>
    </row>
    <row r="88" ht="15.75" customHeight="1">
      <c r="C88" s="39"/>
      <c r="D88" s="39"/>
    </row>
    <row r="89" ht="15.75" customHeight="1">
      <c r="C89" s="39"/>
      <c r="D89" s="39"/>
    </row>
    <row r="90" ht="15.75" customHeight="1">
      <c r="C90" s="39"/>
      <c r="D90" s="39"/>
    </row>
    <row r="91" ht="15.75" customHeight="1">
      <c r="C91" s="39"/>
      <c r="D91" s="39"/>
    </row>
    <row r="92" ht="15.75" customHeight="1">
      <c r="C92" s="39"/>
      <c r="D92" s="39"/>
    </row>
    <row r="93" ht="15.75" customHeight="1">
      <c r="C93" s="39"/>
      <c r="D93" s="39"/>
    </row>
    <row r="94" ht="15.75" customHeight="1">
      <c r="C94" s="39"/>
      <c r="D94" s="39"/>
    </row>
    <row r="95" ht="15.75" customHeight="1">
      <c r="C95" s="39"/>
      <c r="D95" s="39"/>
    </row>
    <row r="96" ht="15.75" customHeight="1">
      <c r="C96" s="39"/>
      <c r="D96" s="39"/>
    </row>
    <row r="97" ht="15.75" customHeight="1">
      <c r="C97" s="39"/>
      <c r="D97" s="39"/>
    </row>
    <row r="98" ht="15.75" customHeight="1">
      <c r="C98" s="39"/>
      <c r="D98" s="39"/>
    </row>
    <row r="99" ht="15.75" customHeight="1">
      <c r="C99" s="39"/>
      <c r="D99" s="39"/>
    </row>
    <row r="100" ht="15.75" customHeight="1">
      <c r="C100" s="39"/>
      <c r="D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81"/>
      <c r="K1" s="18"/>
      <c r="L1" s="18"/>
      <c r="M1" s="18"/>
      <c r="N1" s="18"/>
      <c r="O1" s="18"/>
      <c r="P1" s="19"/>
      <c r="Q1" s="19"/>
      <c r="R1" s="19"/>
      <c r="S1" s="19"/>
      <c r="T1" s="19"/>
      <c r="U1" s="68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2" t="str">
        <f> VLOOKUP($E$3,'_MasterData'!B4:D1000,3,FALSE)</f>
        <v>#N/A</v>
      </c>
      <c r="K2" s="21"/>
      <c r="L2" s="8"/>
      <c r="M2" s="8"/>
      <c r="N2" s="8"/>
      <c r="O2" s="8"/>
      <c r="U2" s="39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78</v>
      </c>
      <c r="F3" s="5" t="s">
        <v>14</v>
      </c>
      <c r="G3" s="13" t="s">
        <v>15</v>
      </c>
      <c r="H3" s="5"/>
      <c r="I3" s="22"/>
      <c r="J3" s="83"/>
      <c r="K3" s="22"/>
      <c r="L3" s="22"/>
      <c r="M3" s="22"/>
      <c r="N3" s="22"/>
      <c r="O3" s="22"/>
      <c r="P3" s="26"/>
      <c r="Q3" s="26"/>
      <c r="R3" s="26"/>
      <c r="S3" s="26"/>
      <c r="T3" s="26"/>
      <c r="U3" s="69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IFERROR(__xludf.DUMMYFUNCTION("IF(C3="""","""",Transpose(IMPORTRANGE('_Settings'!$B$3,C3&amp;""!A4:A1000"")))"),"SwapExpire")</f>
        <v>SwapExpire</v>
      </c>
      <c r="C4" s="27" t="str">
        <f>IFERROR(__xludf.DUMMYFUNCTION("""COMPUTED_VALUE"""),"GetDataClosing")</f>
        <v>GetDataClosing</v>
      </c>
      <c r="D4" s="27" t="str">
        <f>IFERROR(__xludf.DUMMYFUNCTION("""COMPUTED_VALUE"""),"ManualClosing")</f>
        <v>ManualClosing</v>
      </c>
      <c r="E4" s="27" t="str">
        <f>IFERROR(__xludf.DUMMYFUNCTION("""COMPUTED_VALUE"""),"AutomaticClosing")</f>
        <v>AutomaticClosing</v>
      </c>
      <c r="F4" s="27" t="str">
        <f>IFERROR(__xludf.DUMMYFUNCTION("""COMPUTED_VALUE"""),"UnwindClosing")</f>
        <v>UnwindClosing</v>
      </c>
      <c r="G4" s="27" t="str">
        <f>IFERROR(__xludf.DUMMYFUNCTION("""COMPUTED_VALUE"""),"VerifyClosedTrades")</f>
        <v>VerifyClosedTrades</v>
      </c>
      <c r="H4" s="27" t="str">
        <f>IFERROR(__xludf.DUMMYFUNCTION("""COMPUTED_VALUE"""),"VerifyLongPositionsGrid")</f>
        <v>VerifyLongPositionsGrid</v>
      </c>
      <c r="I4" s="27" t="str">
        <f>IFERROR(__xludf.DUMMYFUNCTION("""COMPUTED_VALUE"""),"VerifyShortPositionsGrid")</f>
        <v>VerifyShortPositionsGrid</v>
      </c>
      <c r="J4" s="28" t="str">
        <f>IFERROR(__xludf.DUMMYFUNCTION("""COMPUTED_VALUE"""),"SelectTradeUnexpiredUnsettled")</f>
        <v>SelectTradeUnexpiredUnsettled</v>
      </c>
      <c r="K4" s="27" t="str">
        <f>IFERROR(__xludf.DUMMYFUNCTION("""COMPUTED_VALUE"""),"CashSettlementAtCost")</f>
        <v>CashSettlementAtCost</v>
      </c>
      <c r="L4" s="27" t="str">
        <f>IFERROR(__xludf.DUMMYFUNCTION("""COMPUTED_VALUE"""),"CashSettlementAtZeroPrice")</f>
        <v>CashSettlementAtZeroPrice</v>
      </c>
      <c r="M4" s="27" t="str">
        <f>IFERROR(__xludf.DUMMYFUNCTION("""COMPUTED_VALUE"""),"CashSettlementAtClosingDtSpotPx")</f>
        <v>CashSettlementAtClosingDtSpotPx</v>
      </c>
      <c r="N4" s="27" t="str">
        <f>IFERROR(__xludf.DUMMYFUNCTION("""COMPUTED_VALUE"""),"PhysicalSettlement")</f>
        <v>PhysicalSettlement</v>
      </c>
      <c r="O4" s="27" t="str">
        <f>IFERROR(__xludf.DUMMYFUNCTION("""COMPUTED_VALUE"""),"Expire")</f>
        <v>Expire</v>
      </c>
      <c r="P4" s="29" t="str">
        <f>IFERROR(__xludf.DUMMYFUNCTION("""COMPUTED_VALUE"""),"ExerciseAssignment")</f>
        <v>ExerciseAssignment</v>
      </c>
      <c r="Q4" s="29" t="str">
        <f>IFERROR(__xludf.DUMMYFUNCTION("""COMPUTED_VALUE"""),"ExerciseAssignmentAtZero")</f>
        <v>ExerciseAssignmentAtZero</v>
      </c>
      <c r="R4" s="29" t="str">
        <f>IFERROR(__xludf.DUMMYFUNCTION("""COMPUTED_VALUE"""),"SwapExpireAndRollover")</f>
        <v>SwapExpireAndRollover</v>
      </c>
      <c r="S4" s="29" t="str">
        <f>IFERROR(__xludf.DUMMYFUNCTION("""COMPUTED_VALUE"""),"SwapExpire")</f>
        <v>SwapExpire</v>
      </c>
      <c r="T4" s="29" t="str">
        <f>IFERROR(__xludf.DUMMYFUNCTION("""COMPUTED_VALUE"""),"VerifyExpiredSettledGrid")</f>
        <v>VerifyExpiredSettledGrid</v>
      </c>
      <c r="U4" s="70" t="str">
        <f>IFERROR(__xludf.DUMMYFUNCTION("""COMPUTED_VALUE"""),"VerifyUnExpiredUnSettledGrid")</f>
        <v>VerifyUnExpiredUnSettledGrid</v>
      </c>
      <c r="V4" s="29" t="str">
        <f>IFERROR(__xludf.DUMMYFUNCTION("""COMPUTED_VALUE"""),"UnWindTradeSettlement")</f>
        <v>UnWindTradeSettlement</v>
      </c>
      <c r="W4" s="29" t="str">
        <f>IFERROR(__xludf.DUMMYFUNCTION("""COMPUTED_VALUE"""),"CloseOrder")</f>
        <v>CloseOrder</v>
      </c>
      <c r="X4" s="29" t="str">
        <f>IFERROR(__xludf.DUMMYFUNCTION("""COMPUTED_VALUE"""),"VerifyCloseOrder")</f>
        <v>VerifyCloseOrder</v>
      </c>
      <c r="Y4" s="29" t="str">
        <f>IFERROR(__xludf.DUMMYFUNCTION("""COMPUTED_VALUE"""),"UnWindCloseOrder")</f>
        <v>UnWindCloseOrder</v>
      </c>
      <c r="Z4" s="29" t="str">
        <f>IFERROR(__xludf.DUMMYFUNCTION("""COMPUTED_VALUE"""),"ClosingCleanUp")</f>
        <v>ClosingCleanUp</v>
      </c>
      <c r="AA4" s="29" t="str">
        <f>IFERROR(__xludf.DUMMYFUNCTION("""COMPUTED_VALUE"""),"CloseClosingUI")</f>
        <v>CloseClosingUI</v>
      </c>
      <c r="AB4" s="29" t="str">
        <f>IFERROR(__xludf.DUMMYFUNCTION("""COMPUTED_VALUE"""),"SetClosingPreference")</f>
        <v>SetClosingPreference</v>
      </c>
      <c r="AC4" s="29" t="str">
        <f>IFERROR(__xludf.DUMMYFUNCTION("""COMPUTED_VALUE"""),"EditTradeUnexpiredUnsettled")</f>
        <v>EditTradeUnexpiredUnsettled</v>
      </c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IFERROR(__xludf.DUMMYFUNCTION("""COMPUTED_VALUE"""),"Account")</f>
        <v>Account</v>
      </c>
      <c r="C5" s="31" t="str">
        <f>IFERROR(__xludf.DUMMYFUNCTION("""COMPUTED_VALUE"""),"Asset Class")</f>
        <v>Asset Class</v>
      </c>
      <c r="D5" s="31" t="str">
        <f>IFERROR(__xludf.DUMMYFUNCTION("""COMPUTED_VALUE"""),"AUECID")</f>
        <v>AUECID</v>
      </c>
      <c r="E5" s="31" t="str">
        <f>IFERROR(__xludf.DUMMYFUNCTION("""COMPUTED_VALUE"""),"ExternalTransId")</f>
        <v>ExternalTransId</v>
      </c>
      <c r="F5" s="33" t="str">
        <f>IFERROR(__xludf.DUMMYFUNCTION("""COMPUTED_VALUE"""),"IsSwapped")</f>
        <v>IsSwapped</v>
      </c>
      <c r="G5" s="31" t="str">
        <f>IFERROR(__xludf.DUMMYFUNCTION("""COMPUTED_VALUE"""),"LotId")</f>
        <v>LotId</v>
      </c>
      <c r="H5" s="31" t="str">
        <f>IFERROR(__xludf.DUMMYFUNCTION("""COMPUTED_VALUE"""),"Net Notional")</f>
        <v>Net Notional</v>
      </c>
      <c r="I5" s="31" t="str">
        <f>IFERROR(__xludf.DUMMYFUNCTION("""COMPUTED_VALUE"""),"Opening Price")</f>
        <v>Opening Price</v>
      </c>
      <c r="J5" s="32" t="str">
        <f>IFERROR(__xludf.DUMMYFUNCTION("""COMPUTED_VALUE"""),"Original Purchase Date")</f>
        <v>Original Purchase Date</v>
      </c>
      <c r="K5" s="31" t="str">
        <f>IFERROR(__xludf.DUMMYFUNCTION("""COMPUTED_VALUE"""),"PositionTag")</f>
        <v>PositionTag</v>
      </c>
      <c r="L5" s="31" t="str">
        <f>IFERROR(__xludf.DUMMYFUNCTION("""COMPUTED_VALUE"""),"Process Date")</f>
        <v>Process Date</v>
      </c>
      <c r="M5" s="31" t="str">
        <f>IFERROR(__xludf.DUMMYFUNCTION("""COMPUTED_VALUE"""),"Quantity")</f>
        <v>Quantity</v>
      </c>
      <c r="N5" s="31" t="str">
        <f>IFERROR(__xludf.DUMMYFUNCTION("""COMPUTED_VALUE"""),"Security Name")</f>
        <v>Security Name</v>
      </c>
      <c r="O5" s="31" t="str">
        <f>IFERROR(__xludf.DUMMYFUNCTION("""COMPUTED_VALUE"""),"Settlement Currency")</f>
        <v>Settlement Currency</v>
      </c>
      <c r="P5" s="31" t="str">
        <f>IFERROR(__xludf.DUMMYFUNCTION("""COMPUTED_VALUE"""),"Side")</f>
        <v>Side</v>
      </c>
      <c r="Q5" s="31" t="str">
        <f>IFERROR(__xludf.DUMMYFUNCTION("""COMPUTED_VALUE"""),"Strategy")</f>
        <v>Strategy</v>
      </c>
      <c r="R5" s="31" t="str">
        <f>IFERROR(__xludf.DUMMYFUNCTION("""COMPUTED_VALUE"""),"Symbol")</f>
        <v>Symbol</v>
      </c>
      <c r="S5" s="31" t="str">
        <f>IFERROR(__xludf.DUMMYFUNCTION("""COMPUTED_VALUE"""),"Taxlot ID")</f>
        <v>Taxlot ID</v>
      </c>
      <c r="T5" s="34" t="str">
        <f>IFERROR(__xludf.DUMMYFUNCTION("""COMPUTED_VALUE"""),"Total Fees and Commission")</f>
        <v>Total Fees and Commission</v>
      </c>
      <c r="U5" s="71" t="str">
        <f>IFERROR(__xludf.DUMMYFUNCTION("""COMPUTED_VALUE"""),"Trade Date")</f>
        <v>Trade Date</v>
      </c>
      <c r="V5" s="34" t="str">
        <f>IFERROR(__xludf.DUMMYFUNCTION("""COMPUTED_VALUE"""),"Transaction Type")</f>
        <v>Transaction Type</v>
      </c>
      <c r="W5" s="34" t="str">
        <f>IFERROR(__xludf.DUMMYFUNCTION("""COMPUTED_VALUE"""),"UnderlyingName")</f>
        <v>UnderlyingName</v>
      </c>
      <c r="X5" s="34" t="str">
        <f>IFERROR(__xludf.DUMMYFUNCTION("""COMPUTED_VALUE"""),"UnitCost")</f>
        <v>UnitCost</v>
      </c>
      <c r="Y5" s="34" t="str">
        <f>IFERROR(__xludf.DUMMYFUNCTION("""COMPUTED_VALUE"""),"Unit Cost(Base)")</f>
        <v>Unit Cost(Base)</v>
      </c>
      <c r="Z5" s="34" t="str">
        <f>IFERROR(__xludf.DUMMYFUNCTION("""COMPUTED_VALUE"""),"AvgPriceBase")</f>
        <v>AvgPriceBase</v>
      </c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84" t="s">
        <v>16</v>
      </c>
      <c r="C6" s="84" t="s">
        <v>79</v>
      </c>
      <c r="D6" s="11"/>
      <c r="E6" s="89"/>
      <c r="F6" s="8"/>
      <c r="G6" s="8"/>
      <c r="H6" s="85">
        <v>4587.5</v>
      </c>
      <c r="I6" s="85">
        <v>43.69047619</v>
      </c>
      <c r="J6" s="86">
        <v>43871.0</v>
      </c>
      <c r="K6" s="8"/>
      <c r="L6" s="8"/>
      <c r="M6" s="85">
        <v>105.0</v>
      </c>
      <c r="N6" s="84" t="s">
        <v>80</v>
      </c>
      <c r="O6" s="8"/>
      <c r="P6" s="84" t="s">
        <v>25</v>
      </c>
      <c r="Q6" s="84" t="s">
        <v>81</v>
      </c>
      <c r="R6" s="84" t="s">
        <v>24</v>
      </c>
      <c r="T6" s="85">
        <v>0.0</v>
      </c>
      <c r="U6" s="86">
        <v>43873.0</v>
      </c>
      <c r="V6" s="93" t="s">
        <v>25</v>
      </c>
      <c r="W6" s="84" t="s">
        <v>82</v>
      </c>
      <c r="X6" s="85">
        <v>43.69047619</v>
      </c>
      <c r="Y6" s="85">
        <v>39.71861472</v>
      </c>
      <c r="Z6" s="85">
        <v>39.71861472</v>
      </c>
    </row>
    <row r="7" ht="15.75" customHeight="1">
      <c r="A7" s="8"/>
      <c r="B7" s="84" t="s">
        <v>16</v>
      </c>
      <c r="C7" s="84" t="s">
        <v>79</v>
      </c>
      <c r="D7" s="8"/>
      <c r="E7" s="8"/>
      <c r="F7" s="8"/>
      <c r="G7" s="8"/>
      <c r="H7" s="85">
        <v>2752.5</v>
      </c>
      <c r="I7" s="85">
        <v>80.95588235</v>
      </c>
      <c r="J7" s="86">
        <v>43871.0</v>
      </c>
      <c r="K7" s="8"/>
      <c r="L7" s="8"/>
      <c r="M7" s="85">
        <v>34.0</v>
      </c>
      <c r="N7" s="84" t="s">
        <v>83</v>
      </c>
      <c r="O7" s="8"/>
      <c r="P7" s="84" t="s">
        <v>25</v>
      </c>
      <c r="Q7" s="84" t="s">
        <v>81</v>
      </c>
      <c r="R7" s="84" t="s">
        <v>67</v>
      </c>
      <c r="T7" s="85">
        <v>0.0</v>
      </c>
      <c r="U7" s="86">
        <v>43873.0</v>
      </c>
      <c r="V7" s="93" t="s">
        <v>25</v>
      </c>
      <c r="W7" s="84" t="s">
        <v>82</v>
      </c>
      <c r="X7" s="85">
        <v>80.95588235</v>
      </c>
      <c r="Y7" s="85">
        <v>73.59625668</v>
      </c>
      <c r="Z7" s="85">
        <v>73.59625668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20"/>
      <c r="K8" s="8"/>
      <c r="L8" s="8"/>
      <c r="M8" s="8"/>
      <c r="N8" s="8"/>
      <c r="O8" s="8"/>
      <c r="U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20"/>
      <c r="K9" s="8"/>
      <c r="L9" s="8"/>
      <c r="M9" s="8"/>
      <c r="N9" s="8"/>
      <c r="O9" s="8"/>
      <c r="U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20"/>
      <c r="K10" s="8"/>
      <c r="L10" s="8"/>
      <c r="M10" s="8"/>
      <c r="N10" s="8"/>
      <c r="O10" s="8"/>
      <c r="U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20"/>
      <c r="K11" s="8"/>
      <c r="L11" s="8"/>
      <c r="M11" s="8"/>
      <c r="N11" s="8"/>
      <c r="O11" s="8"/>
      <c r="U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20"/>
      <c r="K12" s="8"/>
      <c r="L12" s="8"/>
      <c r="M12" s="8"/>
      <c r="N12" s="8"/>
      <c r="O12" s="8"/>
      <c r="U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20"/>
      <c r="K13" s="8"/>
      <c r="L13" s="8"/>
      <c r="M13" s="8"/>
      <c r="N13" s="8"/>
      <c r="O13" s="8"/>
      <c r="U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20"/>
      <c r="K14" s="8"/>
      <c r="L14" s="8"/>
      <c r="M14" s="8"/>
      <c r="N14" s="8"/>
      <c r="O14" s="8"/>
      <c r="U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20"/>
      <c r="K15" s="8"/>
      <c r="L15" s="8"/>
      <c r="M15" s="8"/>
      <c r="N15" s="8"/>
      <c r="O15" s="8"/>
      <c r="U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20"/>
      <c r="K16" s="8"/>
      <c r="L16" s="8"/>
      <c r="M16" s="8"/>
      <c r="N16" s="8"/>
      <c r="O16" s="8"/>
      <c r="U16" s="3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20"/>
      <c r="K17" s="8"/>
      <c r="L17" s="8"/>
      <c r="M17" s="8"/>
      <c r="N17" s="8"/>
      <c r="O17" s="8"/>
      <c r="U17" s="3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20"/>
      <c r="K18" s="8"/>
      <c r="L18" s="8"/>
      <c r="M18" s="8"/>
      <c r="N18" s="8"/>
      <c r="O18" s="8"/>
      <c r="U18" s="3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20"/>
      <c r="K19" s="8"/>
      <c r="L19" s="8"/>
      <c r="M19" s="8"/>
      <c r="N19" s="8"/>
      <c r="O19" s="8"/>
      <c r="U19" s="3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20"/>
      <c r="K20" s="8"/>
      <c r="L20" s="8"/>
      <c r="M20" s="8"/>
      <c r="N20" s="8"/>
      <c r="O20" s="8"/>
      <c r="U20" s="3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20"/>
      <c r="K21" s="8"/>
      <c r="L21" s="8"/>
      <c r="M21" s="8"/>
      <c r="N21" s="8"/>
      <c r="O21" s="8"/>
      <c r="U21" s="3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20"/>
      <c r="K22" s="8"/>
      <c r="L22" s="8"/>
      <c r="M22" s="8"/>
      <c r="N22" s="8"/>
      <c r="O22" s="8"/>
      <c r="U22" s="3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20"/>
      <c r="K23" s="8"/>
      <c r="L23" s="8"/>
      <c r="M23" s="8"/>
      <c r="N23" s="8"/>
      <c r="O23" s="8"/>
      <c r="U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20"/>
      <c r="K24" s="8"/>
      <c r="L24" s="8"/>
      <c r="M24" s="8"/>
      <c r="N24" s="8"/>
      <c r="O24" s="8"/>
      <c r="U24" s="3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20"/>
      <c r="K25" s="8"/>
      <c r="L25" s="8"/>
      <c r="M25" s="8"/>
      <c r="N25" s="8"/>
      <c r="O25" s="8"/>
      <c r="U25" s="39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20"/>
      <c r="K26" s="8"/>
      <c r="L26" s="8"/>
      <c r="M26" s="8"/>
      <c r="N26" s="8"/>
      <c r="O26" s="8"/>
      <c r="U26" s="39"/>
    </row>
    <row r="27" ht="15.75" customHeight="1">
      <c r="J27" s="39"/>
      <c r="U27" s="39"/>
    </row>
    <row r="28" ht="15.75" customHeight="1">
      <c r="J28" s="39"/>
      <c r="U28" s="39"/>
    </row>
    <row r="29" ht="15.75" customHeight="1">
      <c r="J29" s="39"/>
      <c r="U29" s="39"/>
    </row>
    <row r="30" ht="15.75" customHeight="1">
      <c r="J30" s="39"/>
      <c r="U30" s="39"/>
    </row>
    <row r="31" ht="15.75" customHeight="1">
      <c r="J31" s="39"/>
      <c r="U31" s="39"/>
    </row>
    <row r="32" ht="15.75" customHeight="1">
      <c r="J32" s="39"/>
      <c r="U32" s="39"/>
    </row>
    <row r="33" ht="15.75" customHeight="1">
      <c r="J33" s="39"/>
      <c r="U33" s="39"/>
    </row>
    <row r="34" ht="15.75" customHeight="1">
      <c r="J34" s="39"/>
      <c r="U34" s="39"/>
    </row>
    <row r="35" ht="15.75" customHeight="1">
      <c r="J35" s="39"/>
      <c r="U35" s="39"/>
    </row>
    <row r="36" ht="15.75" customHeight="1">
      <c r="J36" s="39"/>
      <c r="U36" s="39"/>
    </row>
    <row r="37" ht="15.75" customHeight="1">
      <c r="J37" s="39"/>
      <c r="U37" s="39"/>
    </row>
    <row r="38" ht="15.75" customHeight="1">
      <c r="J38" s="39"/>
      <c r="U38" s="39"/>
    </row>
    <row r="39" ht="15.75" customHeight="1">
      <c r="J39" s="39"/>
      <c r="U39" s="39"/>
    </row>
    <row r="40" ht="15.75" customHeight="1">
      <c r="J40" s="39"/>
      <c r="U40" s="39"/>
    </row>
    <row r="41" ht="15.75" customHeight="1">
      <c r="J41" s="39"/>
      <c r="U41" s="39"/>
    </row>
    <row r="42" ht="15.75" customHeight="1">
      <c r="J42" s="39"/>
      <c r="U42" s="39"/>
    </row>
    <row r="43" ht="15.75" customHeight="1">
      <c r="J43" s="39"/>
      <c r="U43" s="39"/>
    </row>
    <row r="44" ht="15.75" customHeight="1">
      <c r="J44" s="39"/>
      <c r="U44" s="39"/>
    </row>
    <row r="45" ht="15.75" customHeight="1">
      <c r="J45" s="39"/>
      <c r="U45" s="39"/>
    </row>
    <row r="46" ht="15.75" customHeight="1">
      <c r="J46" s="39"/>
      <c r="U46" s="39"/>
    </row>
    <row r="47" ht="15.75" customHeight="1">
      <c r="J47" s="39"/>
      <c r="U47" s="39"/>
    </row>
    <row r="48" ht="15.75" customHeight="1">
      <c r="J48" s="39"/>
      <c r="U48" s="39"/>
    </row>
    <row r="49" ht="15.75" customHeight="1">
      <c r="J49" s="39"/>
      <c r="U49" s="39"/>
    </row>
    <row r="50" ht="15.75" customHeight="1">
      <c r="J50" s="39"/>
      <c r="U50" s="39"/>
    </row>
    <row r="51" ht="15.75" customHeight="1">
      <c r="J51" s="39"/>
      <c r="U51" s="39"/>
    </row>
    <row r="52" ht="15.75" customHeight="1">
      <c r="J52" s="39"/>
      <c r="U52" s="39"/>
    </row>
    <row r="53" ht="15.75" customHeight="1">
      <c r="J53" s="39"/>
      <c r="U53" s="39"/>
    </row>
    <row r="54" ht="15.75" customHeight="1">
      <c r="J54" s="39"/>
      <c r="U54" s="39"/>
    </row>
    <row r="55" ht="15.75" customHeight="1">
      <c r="J55" s="39"/>
      <c r="U55" s="39"/>
    </row>
    <row r="56" ht="15.75" customHeight="1">
      <c r="J56" s="39"/>
      <c r="U56" s="39"/>
    </row>
    <row r="57" ht="15.75" customHeight="1">
      <c r="J57" s="39"/>
      <c r="U57" s="39"/>
    </row>
    <row r="58" ht="15.75" customHeight="1">
      <c r="J58" s="39"/>
      <c r="U58" s="39"/>
    </row>
    <row r="59" ht="15.75" customHeight="1">
      <c r="J59" s="39"/>
      <c r="U59" s="39"/>
    </row>
    <row r="60" ht="15.75" customHeight="1">
      <c r="J60" s="39"/>
      <c r="U60" s="39"/>
    </row>
    <row r="61" ht="15.75" customHeight="1">
      <c r="J61" s="39"/>
      <c r="U61" s="39"/>
    </row>
    <row r="62" ht="15.75" customHeight="1">
      <c r="J62" s="39"/>
      <c r="U62" s="39"/>
    </row>
    <row r="63" ht="15.75" customHeight="1">
      <c r="J63" s="39"/>
      <c r="U63" s="39"/>
    </row>
    <row r="64" ht="15.75" customHeight="1">
      <c r="J64" s="39"/>
      <c r="U64" s="39"/>
    </row>
    <row r="65" ht="15.75" customHeight="1">
      <c r="J65" s="39"/>
      <c r="U65" s="39"/>
    </row>
    <row r="66" ht="15.75" customHeight="1">
      <c r="J66" s="39"/>
      <c r="U66" s="39"/>
    </row>
    <row r="67" ht="15.75" customHeight="1">
      <c r="J67" s="39"/>
      <c r="U67" s="39"/>
    </row>
    <row r="68" ht="15.75" customHeight="1">
      <c r="J68" s="39"/>
      <c r="U68" s="39"/>
    </row>
    <row r="69" ht="15.75" customHeight="1">
      <c r="J69" s="39"/>
      <c r="U69" s="39"/>
    </row>
    <row r="70" ht="15.75" customHeight="1">
      <c r="J70" s="39"/>
      <c r="U70" s="39"/>
    </row>
    <row r="71" ht="15.75" customHeight="1">
      <c r="J71" s="39"/>
      <c r="U71" s="39"/>
    </row>
    <row r="72" ht="15.75" customHeight="1">
      <c r="J72" s="39"/>
      <c r="U72" s="39"/>
    </row>
    <row r="73" ht="15.75" customHeight="1">
      <c r="J73" s="39"/>
      <c r="U73" s="39"/>
    </row>
    <row r="74" ht="15.75" customHeight="1">
      <c r="J74" s="39"/>
      <c r="U74" s="39"/>
    </row>
    <row r="75" ht="15.75" customHeight="1">
      <c r="J75" s="39"/>
      <c r="U75" s="39"/>
    </row>
    <row r="76" ht="15.75" customHeight="1">
      <c r="J76" s="39"/>
      <c r="U76" s="39"/>
    </row>
    <row r="77" ht="15.75" customHeight="1">
      <c r="J77" s="39"/>
      <c r="U77" s="39"/>
    </row>
    <row r="78" ht="15.75" customHeight="1">
      <c r="J78" s="39"/>
      <c r="U78" s="39"/>
    </row>
    <row r="79" ht="15.75" customHeight="1">
      <c r="J79" s="39"/>
      <c r="U79" s="39"/>
    </row>
    <row r="80" ht="15.75" customHeight="1">
      <c r="J80" s="39"/>
      <c r="U80" s="39"/>
    </row>
    <row r="81" ht="15.75" customHeight="1">
      <c r="J81" s="39"/>
      <c r="U81" s="39"/>
    </row>
    <row r="82" ht="15.75" customHeight="1">
      <c r="J82" s="39"/>
      <c r="U82" s="39"/>
    </row>
    <row r="83" ht="15.75" customHeight="1">
      <c r="J83" s="39"/>
      <c r="U83" s="39"/>
    </row>
    <row r="84" ht="15.75" customHeight="1">
      <c r="J84" s="39"/>
      <c r="U84" s="39"/>
    </row>
    <row r="85" ht="15.75" customHeight="1">
      <c r="J85" s="39"/>
      <c r="U85" s="39"/>
    </row>
    <row r="86" ht="15.75" customHeight="1">
      <c r="J86" s="39"/>
      <c r="U86" s="39"/>
    </row>
    <row r="87" ht="15.75" customHeight="1">
      <c r="J87" s="39"/>
      <c r="U87" s="39"/>
    </row>
    <row r="88" ht="15.75" customHeight="1">
      <c r="J88" s="39"/>
      <c r="U88" s="39"/>
    </row>
    <row r="89" ht="15.75" customHeight="1">
      <c r="J89" s="39"/>
      <c r="U89" s="39"/>
    </row>
    <row r="90" ht="15.75" customHeight="1">
      <c r="J90" s="39"/>
      <c r="U90" s="39"/>
    </row>
    <row r="91" ht="15.75" customHeight="1">
      <c r="J91" s="39"/>
      <c r="U91" s="39"/>
    </row>
    <row r="92" ht="15.75" customHeight="1">
      <c r="J92" s="39"/>
      <c r="U92" s="39"/>
    </row>
    <row r="93" ht="15.75" customHeight="1">
      <c r="J93" s="39"/>
      <c r="U93" s="39"/>
    </row>
    <row r="94" ht="15.75" customHeight="1">
      <c r="J94" s="39"/>
      <c r="U94" s="39"/>
    </row>
    <row r="95" ht="15.75" customHeight="1">
      <c r="J95" s="39"/>
      <c r="U95" s="39"/>
    </row>
    <row r="96" ht="15.75" customHeight="1">
      <c r="J96" s="39"/>
      <c r="U96" s="39"/>
    </row>
    <row r="97" ht="15.75" customHeight="1">
      <c r="J97" s="39"/>
      <c r="U97" s="39"/>
    </row>
    <row r="98" ht="15.75" customHeight="1">
      <c r="J98" s="39"/>
      <c r="U98" s="39"/>
    </row>
    <row r="99" ht="15.75" customHeight="1">
      <c r="J99" s="39"/>
      <c r="U99" s="39"/>
    </row>
    <row r="100" ht="15.75" customHeight="1">
      <c r="J100" s="39"/>
      <c r="U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20"/>
      <c r="D2" s="20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5" t="s">
        <v>84</v>
      </c>
      <c r="D3" s="24" t="s">
        <v>9</v>
      </c>
      <c r="E3" s="23" t="s">
        <v>85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8" t="str">
        <f>IFERROR(__xludf.DUMMYFUNCTION("""COMPUTED_VALUE"""),"CheckAllocatedGroups")</f>
        <v>CheckAllocatedGroups</v>
      </c>
      <c r="D4" s="28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9" t="str">
        <f>IFERROR(__xludf.DUMMYFUNCTION("""COMPUTED_VALUE"""),"RenameTradeAttributes")</f>
        <v>RenameTradeAttributes</v>
      </c>
      <c r="Q4" s="29" t="str">
        <f>IFERROR(__xludf.DUMMYFUNCTION("""COMPUTED_VALUE"""),"SetGroupingRules")</f>
        <v>SetGroupingRules</v>
      </c>
      <c r="R4" s="29" t="str">
        <f>IFERROR(__xludf.DUMMYFUNCTION("""COMPUTED_VALUE"""),"SetMasterFundRatio")</f>
        <v>SetMasterFundRatio</v>
      </c>
      <c r="S4" s="29" t="str">
        <f>IFERROR(__xludf.DUMMYFUNCTION("""COMPUTED_VALUE"""),"CheckFixedPreference")</f>
        <v>CheckFixedPreference</v>
      </c>
      <c r="T4" s="29" t="str">
        <f>IFERROR(__xludf.DUMMYFUNCTION("""COMPUTED_VALUE"""),"GetFixedPreference")</f>
        <v>GetFixedPreference</v>
      </c>
      <c r="U4" s="29" t="str">
        <f>IFERROR(__xludf.DUMMYFUNCTION("""COMPUTED_VALUE"""),"AddCalculatedPreferences")</f>
        <v>AddCalculatedPreferences</v>
      </c>
      <c r="V4" s="29" t="str">
        <f>IFERROR(__xludf.DUMMYFUNCTION("""COMPUTED_VALUE"""),"BulkChangeCalculatedPreferences")</f>
        <v>BulkChangeCalculatedPreferences</v>
      </c>
      <c r="W4" s="29" t="str">
        <f>IFERROR(__xludf.DUMMYFUNCTION("""COMPUTED_VALUE"""),"DeleteCalculatedPreferences")</f>
        <v>DeleteCalculatedPreferences</v>
      </c>
      <c r="X4" s="29" t="str">
        <f>IFERROR(__xludf.DUMMYFUNCTION("""COMPUTED_VALUE"""),"RenameCalculatedPreferences")</f>
        <v>RenameCalculatedPreferences</v>
      </c>
      <c r="Y4" s="29" t="str">
        <f>IFERROR(__xludf.DUMMYFUNCTION("""COMPUTED_VALUE"""),"CopyCalculatedPreferences")</f>
        <v>CopyCalculatedPreferences</v>
      </c>
      <c r="Z4" s="29" t="str">
        <f>IFERROR(__xludf.DUMMYFUNCTION("""COMPUTED_VALUE"""),"RunAutoGroup")</f>
        <v>RunAutoGroup</v>
      </c>
      <c r="AA4" s="29" t="str">
        <f>IFERROR(__xludf.DUMMYFUNCTION("""COMPUTED_VALUE"""),"BookOrUpdateSwap")</f>
        <v>BookOrUpdateSwap</v>
      </c>
      <c r="AB4" s="29" t="str">
        <f>IFERROR(__xludf.DUMMYFUNCTION("""COMPUTED_VALUE"""),"RunProrata")</f>
        <v>RunProrata</v>
      </c>
      <c r="AC4" s="29" t="str">
        <f>IFERROR(__xludf.DUMMYFUNCTION("""COMPUTED_VALUE"""),"SetDefaultRuleCalculatedPref")</f>
        <v>SetDefaultRuleCalculatedPref</v>
      </c>
      <c r="AD4" s="29" t="str">
        <f>IFERROR(__xludf.DUMMYFUNCTION("""COMPUTED_VALUE"""),"SetAccountValueCalculatedPref")</f>
        <v>SetAccountValueCalculatedPref</v>
      </c>
      <c r="AE4" s="29" t="str">
        <f>IFERROR(__xludf.DUMMYFUNCTION("""COMPUTED_VALUE"""),"TradeAttributeBulkChangeGroups")</f>
        <v>TradeAttributeBulkChangeGroups</v>
      </c>
      <c r="AF4" s="29" t="str">
        <f>IFERROR(__xludf.DUMMYFUNCTION("""COMPUTED_VALUE"""),"TradeAttributeBulkChangeTaxlots")</f>
        <v>TradeAttributeBulkChangeTaxlots</v>
      </c>
      <c r="AG4" s="29" t="str">
        <f>IFERROR(__xludf.DUMMYFUNCTION("""COMPUTED_VALUE"""),"AddCalculatedPreferenceToolbar")</f>
        <v>AddCalculatedPreferenceToolbar</v>
      </c>
      <c r="AH4" s="29" t="str">
        <f>IFERROR(__xludf.DUMMYFUNCTION("""COMPUTED_VALUE"""),"SetStrategyValueCalculatedPref")</f>
        <v>SetStrategyValueCalculatedPref</v>
      </c>
      <c r="AI4" s="29" t="str">
        <f>IFERROR(__xludf.DUMMYFUNCTION("""COMPUTED_VALUE"""),"ApplyBulkUpdateOnTaxlots")</f>
        <v>ApplyBulkUpdateOnTaxlots</v>
      </c>
      <c r="AJ4" s="29" t="str">
        <f>IFERROR(__xludf.DUMMYFUNCTION("""COMPUTED_VALUE"""),"CommissionBulkChangeOnGroups")</f>
        <v>CommissionBulkChangeOnGroups</v>
      </c>
      <c r="AK4" s="29" t="str">
        <f>IFERROR(__xludf.DUMMYFUNCTION("""COMPUTED_VALUE"""),"CommissionBulkChangeOnTaxlots")</f>
        <v>CommissionBulkChangeOnTaxlots</v>
      </c>
      <c r="AL4" s="29" t="str">
        <f>IFERROR(__xludf.DUMMYFUNCTION("""COMPUTED_VALUE"""),"SelectUnallocatedGroup")</f>
        <v>SelectUnallocatedGroup</v>
      </c>
      <c r="AM4" s="29" t="str">
        <f>IFERROR(__xludf.DUMMYFUNCTION("""COMPUTED_VALUE"""),"EnterAccountValuesToAllocate")</f>
        <v>EnterAccountValuesToAllocate</v>
      </c>
      <c r="AN4" s="29" t="str">
        <f>IFERROR(__xludf.DUMMYFUNCTION("""COMPUTED_VALUE"""),"EnterAllocatePreference")</f>
        <v>EnterAllocatePreference</v>
      </c>
      <c r="AO4" s="29" t="str">
        <f>IFERROR(__xludf.DUMMYFUNCTION("""COMPUTED_VALUE"""),"EnterStrategyValuesToAllocate")</f>
        <v>EnterStrategyValuesToAllocate</v>
      </c>
      <c r="AP4" s="29" t="str">
        <f>IFERROR(__xludf.DUMMYFUNCTION("""COMPUTED_VALUE"""),"CopyCalculatedPreferenceToolbar")</f>
        <v>CopyCalculatedPreferenceToolbar</v>
      </c>
      <c r="AQ4" s="29" t="str">
        <f>IFERROR(__xludf.DUMMYFUNCTION("""COMPUTED_VALUE"""),"SetGeneralRuleCalculatedPref")</f>
        <v>SetGeneralRuleCalculatedPref</v>
      </c>
      <c r="AR4" s="29" t="str">
        <f>IFERROR(__xludf.DUMMYFUNCTION("""COMPUTED_VALUE"""),"ExportAllCalculatedPreferences")</f>
        <v>ExportAllCalculatedPreferences</v>
      </c>
      <c r="AS4" s="29" t="str">
        <f>IFERROR(__xludf.DUMMYFUNCTION("""COMPUTED_VALUE"""),"SaveCalculatedPreferences")</f>
        <v>SaveCalculatedPreferences</v>
      </c>
      <c r="AT4" s="29" t="str">
        <f>IFERROR(__xludf.DUMMYFUNCTION("""COMPUTED_VALUE"""),"CloseCalculatedPreferences")</f>
        <v>CloseCalculatedPreferences</v>
      </c>
      <c r="AU4" s="29" t="str">
        <f>IFERROR(__xludf.DUMMYFUNCTION("""COMPUTED_VALUE"""),"ExportCalculatedPreference")</f>
        <v>ExportCalculatedPreference</v>
      </c>
      <c r="AV4" s="29" t="str">
        <f>IFERROR(__xludf.DUMMYFUNCTION("""COMPUTED_VALUE"""),"ImportCalculatedPreferences")</f>
        <v>ImportCalculatedPreferences</v>
      </c>
      <c r="AW4" s="29" t="str">
        <f>IFERROR(__xludf.DUMMYFUNCTION("""COMPUTED_VALUE"""),"OpenAuditTrailUnallocatedGroup")</f>
        <v>OpenAuditTrailUnallocatedGroup</v>
      </c>
      <c r="AX4" s="29" t="str">
        <f>IFERROR(__xludf.DUMMYFUNCTION("""COMPUTED_VALUE"""),"DeleteCalculatedPreferencesTool")</f>
        <v>DeleteCalculatedPreferencesTool</v>
      </c>
      <c r="AY4" s="29" t="str">
        <f>IFERROR(__xludf.DUMMYFUNCTION("""COMPUTED_VALUE"""),"ImportCalculatedPreferencesTool")</f>
        <v>ImportCalculatedPreferencesTool</v>
      </c>
      <c r="AZ4" s="29" t="str">
        <f>IFERROR(__xludf.DUMMYFUNCTION("""COMPUTED_VALUE"""),"ExportAllCalculatedPreferTool")</f>
        <v>ExportAllCalculatedPreferTool</v>
      </c>
      <c r="BA4" s="29" t="str">
        <f>IFERROR(__xludf.DUMMYFUNCTION("""COMPUTED_VALUE"""),"OpenAuditTrailAllocatedGroup")</f>
        <v>OpenAuditTrailAllocatedGroup</v>
      </c>
      <c r="BB4" s="29" t="str">
        <f>IFERROR(__xludf.DUMMYFUNCTION("""COMPUTED_VALUE"""),"OpenSymbolLookupUnallocateGroup")</f>
        <v>OpenSymbolLookupUnallocateGroup</v>
      </c>
      <c r="BC4" s="29" t="str">
        <f>IFERROR(__xludf.DUMMYFUNCTION("""COMPUTED_VALUE"""),"OpenSymbolLookupAllocatedGroup")</f>
        <v>OpenSymbolLookupAllocatedGroup</v>
      </c>
      <c r="BD4" s="29" t="str">
        <f>IFERROR(__xludf.DUMMYFUNCTION("""COMPUTED_VALUE"""),"DeleteFixedPreference")</f>
        <v>DeleteFixedPreference</v>
      </c>
      <c r="BE4" s="29" t="str">
        <f>IFERROR(__xludf.DUMMYFUNCTION("""COMPUTED_VALUE"""),"EditAllocatedGroupSidePanel")</f>
        <v>EditAllocatedGroupSidePanel</v>
      </c>
      <c r="BF4" s="29" t="str">
        <f>IFERROR(__xludf.DUMMYFUNCTION("""COMPUTED_VALUE"""),"CheckUnallocatedGroups")</f>
        <v>CheckUnallocatedGroups</v>
      </c>
      <c r="BG4" s="29" t="str">
        <f>IFERROR(__xludf.DUMMYFUNCTION("""COMPUTED_VALUE"""),"SetGeneralPreferences")</f>
        <v>SetGeneralPreferences</v>
      </c>
      <c r="BH4" s="29" t="str">
        <f>IFERROR(__xludf.DUMMYFUNCTION("""COMPUTED_VALUE"""),"GroupTrades")</f>
        <v>GroupTrades</v>
      </c>
      <c r="BI4" s="29" t="str">
        <f>IFERROR(__xludf.DUMMYFUNCTION("""COMPUTED_VALUE"""),"UngroupTrades")</f>
        <v>UngroupTrades</v>
      </c>
      <c r="BJ4" s="29" t="str">
        <f>IFERROR(__xludf.DUMMYFUNCTION("""COMPUTED_VALUE"""),"DeleteGroup")</f>
        <v>DeleteGroup</v>
      </c>
      <c r="BK4" s="29" t="str">
        <f>IFERROR(__xludf.DUMMYFUNCTION("""COMPUTED_VALUE"""),"CloseOrder")</f>
        <v>CloseOrder</v>
      </c>
      <c r="BL4" s="29" t="str">
        <f>IFERROR(__xludf.DUMMYFUNCTION("""COMPUTED_VALUE"""),"Unallocate")</f>
        <v>Unallocate</v>
      </c>
      <c r="BM4" s="29" t="str">
        <f>IFERROR(__xludf.DUMMYFUNCTION("""COMPUTED_VALUE"""),"CloseAllocation")</f>
        <v>CloseAllocation</v>
      </c>
      <c r="BN4" s="29" t="str">
        <f>IFERROR(__xludf.DUMMYFUNCTION("""COMPUTED_VALUE"""),"UpdateGRAccountValue")</f>
        <v>UpdateGRAccountValue</v>
      </c>
      <c r="BO4" s="29" t="str">
        <f>IFERROR(__xludf.DUMMYFUNCTION("""COMPUTED_VALUE"""),"UpdateGRStrategyValue")</f>
        <v>UpdateGRStrategyValue</v>
      </c>
      <c r="BP4" s="29" t="str">
        <f>IFERROR(__xludf.DUMMYFUNCTION("""COMPUTED_VALUE"""),"UpdateGRDefaultRule")</f>
        <v>UpdateGRDefaultRule</v>
      </c>
      <c r="BQ4" s="29" t="str">
        <f>IFERROR(__xludf.DUMMYFUNCTION("""COMPUTED_VALUE"""),"UpdateGeneralRulePref")</f>
        <v>UpdateGeneralRulePref</v>
      </c>
      <c r="BR4" s="29" t="str">
        <f>IFERROR(__xludf.DUMMYFUNCTION("""COMPUTED_VALUE"""),"ModifyGRPreferenceValues")</f>
        <v>ModifyGRPreferenceValues</v>
      </c>
      <c r="BS4" s="29" t="str">
        <f>IFERROR(__xludf.DUMMYFUNCTION("""COMPUTED_VALUE"""),"AddMFPreferences")</f>
        <v>AddMFPreferences</v>
      </c>
      <c r="BT4" s="29" t="str">
        <f>IFERROR(__xludf.DUMMYFUNCTION("""COMPUTED_VALUE"""),"AddMFPreferenceToolbar")</f>
        <v>AddMFPreferenceToolbar</v>
      </c>
      <c r="BU4" s="29" t="str">
        <f>IFERROR(__xludf.DUMMYFUNCTION("""COMPUTED_VALUE"""),"DeleteMFPreferences")</f>
        <v>DeleteMFPreferences</v>
      </c>
      <c r="BV4" s="29" t="str">
        <f>IFERROR(__xludf.DUMMYFUNCTION("""COMPUTED_VALUE"""),"DeleteMFPreferenceToolbar")</f>
        <v>DeleteMFPreferenceToolbar</v>
      </c>
      <c r="BW4" s="29" t="str">
        <f>IFERROR(__xludf.DUMMYFUNCTION("""COMPUTED_VALUE"""),"RenameMFPreferences")</f>
        <v>RenameMFPreferences</v>
      </c>
      <c r="BX4" s="29" t="str">
        <f>IFERROR(__xludf.DUMMYFUNCTION("""COMPUTED_VALUE"""),"SaveCloseMFPreference")</f>
        <v>SaveCloseMFPreference</v>
      </c>
      <c r="BY4" s="29" t="str">
        <f>IFERROR(__xludf.DUMMYFUNCTION("""COMPUTED_VALUE"""),"SetMFPrefAccountValues")</f>
        <v>SetMFPrefAccountValues</v>
      </c>
      <c r="BZ4" s="29" t="str">
        <f>IFERROR(__xludf.DUMMYFUNCTION("""COMPUTED_VALUE"""),"ModifyMFPrefGeneralRuleValues")</f>
        <v>ModifyMFPrefGeneralRuleValues</v>
      </c>
      <c r="CA4" s="29" t="str">
        <f>IFERROR(__xludf.DUMMYFUNCTION("""COMPUTED_VALUE"""),"SetMFPrefStrategyValues")</f>
        <v>SetMFPrefStrategyValues</v>
      </c>
      <c r="CB4" s="29" t="str">
        <f>IFERROR(__xludf.DUMMYFUNCTION("""COMPUTED_VALUE"""),"SetMFPrefGeneralRule")</f>
        <v>SetMFPrefGeneralRule</v>
      </c>
      <c r="CC4" s="29" t="str">
        <f>IFERROR(__xludf.DUMMYFUNCTION("""COMPUTED_VALUE"""),"SetMFPrefFundDistribution")</f>
        <v>SetMFPrefFundDistribution</v>
      </c>
      <c r="CD4" s="29" t="str">
        <f>IFERROR(__xludf.DUMMYFUNCTION("""COMPUTED_VALUE"""),"SetMFPreferencesDefaultRule")</f>
        <v>SetMFPreferencesDefaultRule</v>
      </c>
      <c r="CE4" s="29" t="str">
        <f>IFERROR(__xludf.DUMMYFUNCTION("""COMPUTED_VALUE"""),"SetMFPrefFundDefaultRule")</f>
        <v>SetMFPrefFundDefaultRule</v>
      </c>
      <c r="CF4" s="29" t="str">
        <f>IFERROR(__xludf.DUMMYFUNCTION("""COMPUTED_VALUE"""),"ClearPrefetchFilters")</f>
        <v>ClearPrefetchFilters</v>
      </c>
      <c r="CG4" s="29" t="str">
        <f>IFERROR(__xludf.DUMMYFUNCTION("""COMPUTED_VALUE"""),"ExpandCollapseAllUnallocated")</f>
        <v>ExpandCollapseAllUnallocated</v>
      </c>
      <c r="CH4" s="29" t="str">
        <f>IFERROR(__xludf.DUMMYFUNCTION("""COMPUTED_VALUE"""),"ExpandCollapseAllAllocated")</f>
        <v>ExpandCollapseAllAllocated</v>
      </c>
      <c r="CI4" s="29" t="str">
        <f>IFERROR(__xludf.DUMMYFUNCTION("""COMPUTED_VALUE"""),"GenerateCashTransaction")</f>
        <v>GenerateCashTransaction</v>
      </c>
      <c r="CJ4" s="29" t="str">
        <f>IFERROR(__xludf.DUMMYFUNCTION("""COMPUTED_VALUE"""),"SaveAllocation")</f>
        <v>SaveAllocation</v>
      </c>
      <c r="CK4" s="29" t="str">
        <f>IFERROR(__xludf.DUMMYFUNCTION("""COMPUTED_VALUE"""),"UnallocateWithOutSave")</f>
        <v>UnallocateWithOutSave</v>
      </c>
      <c r="CL4" s="29" t="str">
        <f>IFERROR(__xludf.DUMMYFUNCTION("""COMPUTED_VALUE"""),"EditUnallocatedGrid")</f>
        <v>EditUnallocatedGrid</v>
      </c>
      <c r="CM4" s="29" t="str">
        <f>IFERROR(__xludf.DUMMYFUNCTION("""COMPUTED_VALUE"""),"EditAllocatedGrid")</f>
        <v>EditAllocatedGrid</v>
      </c>
      <c r="CN4" s="29" t="str">
        <f>IFERROR(__xludf.DUMMYFUNCTION("""COMPUTED_VALUE"""),"SaveLayoutAllocatedGrid")</f>
        <v>SaveLayoutAllocatedGrid</v>
      </c>
      <c r="CO4" s="29" t="str">
        <f>IFERROR(__xludf.DUMMYFUNCTION("""COMPUTED_VALUE"""),"SaveLayoutUnallocatedGrid")</f>
        <v>SaveLayoutUnallocatedGrid</v>
      </c>
      <c r="CP4" s="29" t="str">
        <f>IFERROR(__xludf.DUMMYFUNCTION("""COMPUTED_VALUE"""),"SaveLayoutAllocationUI")</f>
        <v>SaveLayoutAllocationUI</v>
      </c>
      <c r="CQ4" s="29" t="str">
        <f>IFERROR(__xludf.DUMMYFUNCTION("""COMPUTED_VALUE"""),"ClearFiltersAllocatedGrid")</f>
        <v>ClearFiltersAllocatedGrid</v>
      </c>
      <c r="CR4" s="29" t="str">
        <f>IFERROR(__xludf.DUMMYFUNCTION("""COMPUTED_VALUE"""),"ClearFiltersUnallocatedGrid")</f>
        <v>ClearFiltersUnallocatedGrid</v>
      </c>
      <c r="CS4" s="29" t="str">
        <f>IFERROR(__xludf.DUMMYFUNCTION("""COMPUTED_VALUE"""),"VerifyLayoutAllocatedGrid")</f>
        <v>VerifyLayoutAllocatedGrid</v>
      </c>
      <c r="CT4" s="29" t="str">
        <f>IFERROR(__xludf.DUMMYFUNCTION("""COMPUTED_VALUE"""),"VerifyLayoutUnallocatedGrid")</f>
        <v>VerifyLayoutUnallocatedGrid</v>
      </c>
      <c r="CU4" s="29" t="str">
        <f>IFERROR(__xludf.DUMMYFUNCTION("""COMPUTED_VALUE"""),"CleanUp")</f>
        <v>CleanUp</v>
      </c>
      <c r="CV4" s="29" t="str">
        <f>IFERROR(__xludf.DUMMYFUNCTION("""COMPUTED_VALUE"""),"CheckAllocatedTaxlots")</f>
        <v>CheckAllocatedTaxlots</v>
      </c>
      <c r="CW4" s="29" t="str">
        <f>IFERROR(__xludf.DUMMYFUNCTION("""COMPUTED_VALUE"""),"CopyCalculatedPreferenceToolbar")</f>
        <v>CopyCalculatedPreferenceToolbar</v>
      </c>
      <c r="CX4" s="29" t="str">
        <f>IFERROR(__xludf.DUMMYFUNCTION("""COMPUTED_VALUE"""),"CloseOrder")</f>
        <v>CloseOrder</v>
      </c>
      <c r="CY4" s="29" t="str">
        <f>IFERROR(__xludf.DUMMYFUNCTION("""COMPUTED_VALUE"""),"DisableChecksideForAsset")</f>
        <v>DisableChecksideForAsset</v>
      </c>
      <c r="CZ4" s="29" t="str">
        <f>IFERROR(__xludf.DUMMYFUNCTION("""COMPUTED_VALUE"""),"DisableChecksideForAccount")</f>
        <v>DisableChecksideForAccount</v>
      </c>
      <c r="DA4" s="29" t="str">
        <f>IFERROR(__xludf.DUMMYFUNCTION("""COMPUTED_VALUE"""),"DisableChecksideForCounterParty")</f>
        <v>DisableChecksideForCounterParty</v>
      </c>
      <c r="DB4" s="29" t="str">
        <f>IFERROR(__xludf.DUMMYFUNCTION("""COMPUTED_VALUE"""),"DisableCheckside")</f>
        <v>DisableCheckside</v>
      </c>
      <c r="DC4" s="29" t="str">
        <f>IFERROR(__xludf.DUMMYFUNCTION("""COMPUTED_VALUE"""),"ApplyMasterFundFilter")</f>
        <v>ApplyMasterFundFilter</v>
      </c>
      <c r="DD4" s="29" t="str">
        <f>IFERROR(__xludf.DUMMYFUNCTION("""COMPUTED_VALUE"""),"ShowMasterFundOnTT")</f>
        <v>ShowMasterFundOnTT</v>
      </c>
      <c r="DE4" s="29" t="str">
        <f>IFERROR(__xludf.DUMMYFUNCTION("""COMPUTED_VALUE"""),"ShowMasterFundAsClient")</f>
        <v>ShowMasterFundAsClient</v>
      </c>
      <c r="DF4" s="29" t="str">
        <f>IFERROR(__xludf.DUMMYFUNCTION("""COMPUTED_VALUE"""),"SetBrokerAccountMapping")</f>
        <v>SetBrokerAccountMapping</v>
      </c>
      <c r="DG4" s="29" t="str">
        <f>IFERROR(__xludf.DUMMYFUNCTION("""COMPUTED_VALUE"""),"EditUnallocatedGridWPF")</f>
        <v>EditUnallocatedGridWPF</v>
      </c>
      <c r="DH4" s="29" t="str">
        <f>IFERROR(__xludf.DUMMYFUNCTION("""COMPUTED_VALUE"""),"EditAllocatedGridWPF")</f>
        <v>EditAllocatedGridWPF</v>
      </c>
      <c r="DI4" s="29" t="str">
        <f>IFERROR(__xludf.DUMMYFUNCTION("""COMPUTED_VALUE"""),"EditAllocatedGridTaxlot")</f>
        <v>EditAllocatedGridTaxlot</v>
      </c>
      <c r="DJ4" s="29" t="str">
        <f>IFERROR(__xludf.DUMMYFUNCTION("""COMPUTED_VALUE"""),"ExpandCollapseAllocatedGrid")</f>
        <v>ExpandCollapseAllocatedGrid</v>
      </c>
      <c r="DK4" s="29" t="str">
        <f>IFERROR(__xludf.DUMMYFUNCTION("""COMPUTED_VALUE"""),"ExpandCollapseUnallocatedGrid")</f>
        <v>ExpandCollapseUnallocatedGrid</v>
      </c>
      <c r="DL4" s="29" t="str">
        <f>IFERROR(__xludf.DUMMYFUNCTION("""COMPUTED_VALUE"""),"SetTradeAttributePreferences")</f>
        <v>SetTradeAttributePreferences</v>
      </c>
      <c r="DM4" s="29" t="str">
        <f>IFERROR(__xludf.DUMMYFUNCTION("""COMPUTED_VALUE"""),"EnterCustomAllocatePreference")</f>
        <v>EnterCustomAllocatePreference</v>
      </c>
      <c r="DN4" s="29" t="str">
        <f>IFERROR(__xludf.DUMMYFUNCTION("""COMPUTED_VALUE"""),"SetAutoGroupingPreferences")</f>
        <v>SetAutoGroupingPreferences</v>
      </c>
      <c r="DO4" s="29" t="str">
        <f>IFERROR(__xludf.DUMMYFUNCTION("""COMPUTED_VALUE"""),"SetAutoGroupingAccount")</f>
        <v>SetAutoGroupingAccount</v>
      </c>
      <c r="DP4" s="29" t="str">
        <f>IFERROR(__xludf.DUMMYFUNCTION("""COMPUTED_VALUE"""),"SetAvgPriceRounding")</f>
        <v>SetAvgPriceRounding</v>
      </c>
      <c r="DQ4" s="29" t="str">
        <f>IFERROR(__xludf.DUMMYFUNCTION("""COMPUTED_VALUE"""),"IsAllocationOpen")</f>
        <v>IsAllocationOpen</v>
      </c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1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31" t="str">
        <f>IFERROR(__xludf.DUMMYFUNCTION("""COMPUTED_VALUE"""),"Asset")</f>
        <v>Asset</v>
      </c>
      <c r="H5" s="31" t="str">
        <f>IFERROR(__xludf.DUMMYFUNCTION("""COMPUTED_VALUE"""),"Side")</f>
        <v>Side</v>
      </c>
      <c r="I5" s="31" t="str">
        <f>IFERROR(__xludf.DUMMYFUNCTION("""COMPUTED_VALUE"""),"Account")</f>
        <v>Account</v>
      </c>
      <c r="J5" s="31" t="str">
        <f>IFERROR(__xludf.DUMMYFUNCTION("""COMPUTED_VALUE"""),"Broker")</f>
        <v>Broker</v>
      </c>
      <c r="K5" s="31" t="str">
        <f>IFERROR(__xludf.DUMMYFUNCTION("""COMPUTED_VALUE"""),"Currency")</f>
        <v>Currency</v>
      </c>
      <c r="L5" s="31" t="str">
        <f>IFERROR(__xludf.DUMMYFUNCTION("""COMPUTED_VALUE"""),"Exchange")</f>
        <v>Exchange</v>
      </c>
      <c r="M5" s="31" t="str">
        <f>IFERROR(__xludf.DUMMYFUNCTION("""COMPUTED_VALUE"""),"StrategyName")</f>
        <v>StrategyName</v>
      </c>
      <c r="N5" s="31" t="str">
        <f>IFERROR(__xludf.DUMMYFUNCTION("""COMPUTED_VALUE"""),"Underlying")</f>
        <v>Underlying</v>
      </c>
      <c r="O5" s="31" t="str">
        <f>IFERROR(__xludf.DUMMYFUNCTION("""COMPUTED_VALUE"""),"Venue")</f>
        <v>Venue</v>
      </c>
      <c r="P5" s="31" t="str">
        <f>IFERROR(__xludf.DUMMYFUNCTION("""COMPUTED_VALUE"""),"TradingAccount")</f>
        <v>TradingAccount</v>
      </c>
      <c r="Q5" s="31" t="str">
        <f>IFERROR(__xludf.DUMMYFUNCTION("""COMPUTED_VALUE"""),"PreAllocated")</f>
        <v>PreAllocated</v>
      </c>
      <c r="R5" s="31" t="str">
        <f>IFERROR(__xludf.DUMMYFUNCTION("""COMPUTED_VALUE"""),"ManualGroup")</f>
        <v>ManualGroup</v>
      </c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50"/>
      <c r="B6" s="35" t="s">
        <v>77</v>
      </c>
      <c r="C6" s="37">
        <v>43871.0</v>
      </c>
      <c r="D6" s="37">
        <v>43873.0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20"/>
      <c r="D7" s="20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20"/>
      <c r="D8" s="20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20"/>
      <c r="D9" s="20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20"/>
      <c r="D10" s="2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20"/>
      <c r="D11" s="20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20"/>
      <c r="D12" s="20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20"/>
      <c r="D13" s="2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20"/>
      <c r="D14" s="20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20"/>
      <c r="D15" s="2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20"/>
      <c r="D16" s="20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20"/>
      <c r="D17" s="20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20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20"/>
      <c r="D19" s="20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20"/>
      <c r="D20" s="2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20"/>
      <c r="D21" s="2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20"/>
      <c r="D22" s="2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20"/>
      <c r="D23" s="2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20"/>
      <c r="D24" s="2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20"/>
      <c r="D25" s="2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20"/>
      <c r="D26" s="2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C27" s="39"/>
      <c r="D27" s="39"/>
    </row>
    <row r="28" ht="15.75" customHeight="1">
      <c r="C28" s="39"/>
      <c r="D28" s="39"/>
    </row>
    <row r="29" ht="15.75" customHeight="1">
      <c r="C29" s="39"/>
      <c r="D29" s="39"/>
    </row>
    <row r="30" ht="15.75" customHeight="1">
      <c r="C30" s="39"/>
      <c r="D30" s="39"/>
    </row>
    <row r="31" ht="15.75" customHeight="1">
      <c r="C31" s="39"/>
      <c r="D31" s="39"/>
    </row>
    <row r="32" ht="15.75" customHeight="1">
      <c r="C32" s="39"/>
      <c r="D32" s="39"/>
    </row>
    <row r="33" ht="15.75" customHeight="1">
      <c r="C33" s="39"/>
      <c r="D33" s="39"/>
    </row>
    <row r="34" ht="15.75" customHeight="1">
      <c r="C34" s="39"/>
      <c r="D34" s="39"/>
    </row>
    <row r="35" ht="15.75" customHeight="1">
      <c r="C35" s="39"/>
      <c r="D35" s="39"/>
    </row>
    <row r="36" ht="15.75" customHeight="1">
      <c r="C36" s="39"/>
      <c r="D36" s="39"/>
    </row>
    <row r="37" ht="15.75" customHeight="1">
      <c r="C37" s="39"/>
      <c r="D37" s="39"/>
    </row>
    <row r="38" ht="15.75" customHeight="1">
      <c r="C38" s="39"/>
      <c r="D38" s="39"/>
    </row>
    <row r="39" ht="15.75" customHeight="1">
      <c r="C39" s="39"/>
      <c r="D39" s="39"/>
    </row>
    <row r="40" ht="15.75" customHeight="1">
      <c r="C40" s="39"/>
      <c r="D40" s="39"/>
    </row>
    <row r="41" ht="15.75" customHeight="1">
      <c r="C41" s="39"/>
      <c r="D41" s="39"/>
    </row>
    <row r="42" ht="15.75" customHeight="1">
      <c r="C42" s="39"/>
      <c r="D42" s="39"/>
    </row>
    <row r="43" ht="15.75" customHeight="1">
      <c r="C43" s="39"/>
      <c r="D43" s="39"/>
    </row>
    <row r="44" ht="15.75" customHeight="1">
      <c r="C44" s="39"/>
      <c r="D44" s="39"/>
    </row>
    <row r="45" ht="15.75" customHeight="1">
      <c r="C45" s="39"/>
      <c r="D45" s="39"/>
    </row>
    <row r="46" ht="15.75" customHeight="1">
      <c r="C46" s="39"/>
      <c r="D46" s="39"/>
    </row>
    <row r="47" ht="15.75" customHeight="1">
      <c r="C47" s="39"/>
      <c r="D47" s="39"/>
    </row>
    <row r="48" ht="15.75" customHeight="1">
      <c r="C48" s="39"/>
      <c r="D48" s="39"/>
    </row>
    <row r="49" ht="15.75" customHeight="1">
      <c r="C49" s="39"/>
      <c r="D49" s="39"/>
    </row>
    <row r="50" ht="15.75" customHeight="1">
      <c r="C50" s="39"/>
      <c r="D50" s="39"/>
    </row>
    <row r="51" ht="15.75" customHeight="1">
      <c r="C51" s="39"/>
      <c r="D51" s="39"/>
    </row>
    <row r="52" ht="15.75" customHeight="1">
      <c r="C52" s="39"/>
      <c r="D52" s="39"/>
    </row>
    <row r="53" ht="15.75" customHeight="1">
      <c r="C53" s="39"/>
      <c r="D53" s="39"/>
    </row>
    <row r="54" ht="15.75" customHeight="1">
      <c r="C54" s="39"/>
      <c r="D54" s="39"/>
    </row>
    <row r="55" ht="15.75" customHeight="1">
      <c r="C55" s="39"/>
      <c r="D55" s="39"/>
    </row>
    <row r="56" ht="15.75" customHeight="1">
      <c r="C56" s="39"/>
      <c r="D56" s="39"/>
    </row>
    <row r="57" ht="15.75" customHeight="1">
      <c r="C57" s="39"/>
      <c r="D57" s="39"/>
    </row>
    <row r="58" ht="15.75" customHeight="1">
      <c r="C58" s="39"/>
      <c r="D58" s="39"/>
    </row>
    <row r="59" ht="15.75" customHeight="1">
      <c r="C59" s="39"/>
      <c r="D59" s="39"/>
    </row>
    <row r="60" ht="15.75" customHeight="1">
      <c r="C60" s="39"/>
      <c r="D60" s="39"/>
    </row>
    <row r="61" ht="15.75" customHeight="1">
      <c r="C61" s="39"/>
      <c r="D61" s="39"/>
    </row>
    <row r="62" ht="15.75" customHeight="1">
      <c r="C62" s="39"/>
      <c r="D62" s="39"/>
    </row>
    <row r="63" ht="15.75" customHeight="1">
      <c r="C63" s="39"/>
      <c r="D63" s="39"/>
    </row>
    <row r="64" ht="15.75" customHeight="1">
      <c r="C64" s="39"/>
      <c r="D64" s="39"/>
    </row>
    <row r="65" ht="15.75" customHeight="1">
      <c r="C65" s="39"/>
      <c r="D65" s="39"/>
    </row>
    <row r="66" ht="15.75" customHeight="1">
      <c r="C66" s="39"/>
      <c r="D66" s="39"/>
    </row>
    <row r="67" ht="15.75" customHeight="1">
      <c r="C67" s="39"/>
      <c r="D67" s="39"/>
    </row>
    <row r="68" ht="15.75" customHeight="1">
      <c r="C68" s="39"/>
      <c r="D68" s="39"/>
    </row>
    <row r="69" ht="15.75" customHeight="1">
      <c r="C69" s="39"/>
      <c r="D69" s="39"/>
    </row>
    <row r="70" ht="15.75" customHeight="1">
      <c r="C70" s="39"/>
      <c r="D70" s="39"/>
    </row>
    <row r="71" ht="15.75" customHeight="1">
      <c r="C71" s="39"/>
      <c r="D71" s="39"/>
    </row>
    <row r="72" ht="15.75" customHeight="1">
      <c r="C72" s="39"/>
      <c r="D72" s="39"/>
    </row>
    <row r="73" ht="15.75" customHeight="1">
      <c r="C73" s="39"/>
      <c r="D73" s="39"/>
    </row>
    <row r="74" ht="15.75" customHeight="1">
      <c r="C74" s="39"/>
      <c r="D74" s="39"/>
    </row>
    <row r="75" ht="15.75" customHeight="1">
      <c r="C75" s="39"/>
      <c r="D75" s="39"/>
    </row>
    <row r="76" ht="15.75" customHeight="1">
      <c r="C76" s="39"/>
      <c r="D76" s="39"/>
    </row>
    <row r="77" ht="15.75" customHeight="1">
      <c r="C77" s="39"/>
      <c r="D77" s="39"/>
    </row>
    <row r="78" ht="15.75" customHeight="1">
      <c r="C78" s="39"/>
      <c r="D78" s="39"/>
    </row>
    <row r="79" ht="15.75" customHeight="1">
      <c r="C79" s="39"/>
      <c r="D79" s="39"/>
    </row>
    <row r="80" ht="15.75" customHeight="1">
      <c r="C80" s="39"/>
      <c r="D80" s="39"/>
    </row>
    <row r="81" ht="15.75" customHeight="1">
      <c r="C81" s="39"/>
      <c r="D81" s="39"/>
    </row>
    <row r="82" ht="15.75" customHeight="1">
      <c r="C82" s="39"/>
      <c r="D82" s="39"/>
    </row>
    <row r="83" ht="15.75" customHeight="1">
      <c r="C83" s="39"/>
      <c r="D83" s="39"/>
    </row>
    <row r="84" ht="15.75" customHeight="1">
      <c r="C84" s="39"/>
      <c r="D84" s="39"/>
    </row>
    <row r="85" ht="15.75" customHeight="1">
      <c r="C85" s="39"/>
      <c r="D85" s="39"/>
    </row>
    <row r="86" ht="15.75" customHeight="1">
      <c r="C86" s="39"/>
      <c r="D86" s="39"/>
    </row>
    <row r="87" ht="15.75" customHeight="1">
      <c r="C87" s="39"/>
      <c r="D87" s="39"/>
    </row>
    <row r="88" ht="15.75" customHeight="1">
      <c r="C88" s="39"/>
      <c r="D88" s="39"/>
    </row>
    <row r="89" ht="15.75" customHeight="1">
      <c r="C89" s="39"/>
      <c r="D89" s="39"/>
    </row>
    <row r="90" ht="15.75" customHeight="1">
      <c r="C90" s="39"/>
      <c r="D90" s="39"/>
    </row>
    <row r="91" ht="15.75" customHeight="1">
      <c r="C91" s="39"/>
      <c r="D91" s="39"/>
    </row>
    <row r="92" ht="15.75" customHeight="1">
      <c r="C92" s="39"/>
      <c r="D92" s="39"/>
    </row>
    <row r="93" ht="15.75" customHeight="1">
      <c r="C93" s="39"/>
      <c r="D93" s="39"/>
    </row>
    <row r="94" ht="15.75" customHeight="1">
      <c r="C94" s="39"/>
      <c r="D94" s="39"/>
    </row>
    <row r="95" ht="15.75" customHeight="1">
      <c r="C95" s="39"/>
      <c r="D95" s="39"/>
    </row>
    <row r="96" ht="15.75" customHeight="1">
      <c r="C96" s="39"/>
      <c r="D96" s="39"/>
    </row>
    <row r="97" ht="15.75" customHeight="1">
      <c r="C97" s="39"/>
      <c r="D97" s="39"/>
    </row>
    <row r="98" ht="15.75" customHeight="1">
      <c r="C98" s="39"/>
      <c r="D98" s="39"/>
    </row>
    <row r="99" ht="15.75" customHeight="1">
      <c r="C99" s="39"/>
      <c r="D99" s="39"/>
    </row>
    <row r="100" ht="15.75" customHeight="1">
      <c r="C100" s="39"/>
      <c r="D100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68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  <c r="CE2" s="39"/>
    </row>
    <row r="3" ht="15.75" customHeight="1">
      <c r="A3" s="22"/>
      <c r="B3" s="5" t="s">
        <v>8</v>
      </c>
      <c r="C3" s="23" t="s">
        <v>84</v>
      </c>
      <c r="D3" s="5" t="s">
        <v>9</v>
      </c>
      <c r="E3" s="23" t="s">
        <v>86</v>
      </c>
      <c r="F3" s="5" t="s">
        <v>14</v>
      </c>
      <c r="G3" s="13" t="s">
        <v>15</v>
      </c>
      <c r="H3" s="5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69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tr">
        <f>IFERROR(__xludf.DUMMYFUNCTION("""COMPUTED_VALUE"""),"CheckAllocatedGroups")</f>
        <v>CheckAllocatedGroups</v>
      </c>
      <c r="D4" s="27" t="str">
        <f>IFERROR(__xludf.DUMMYFUNCTION("""COMPUTED_VALUE"""),"Unallocate")</f>
        <v>Unallocate</v>
      </c>
      <c r="E4" s="27" t="str">
        <f>IFERROR(__xludf.DUMMYFUNCTION("""COMPUTED_VALUE"""),"GetDataAllocation")</f>
        <v>GetDataAllocation</v>
      </c>
      <c r="F4" s="27" t="str">
        <f>IFERROR(__xludf.DUMMYFUNCTION("""COMPUTED_VALUE"""),"SelectAllocatedGroup")</f>
        <v>SelectAllocatedGroup</v>
      </c>
      <c r="G4" s="27" t="str">
        <f>IFERROR(__xludf.DUMMYFUNCTION("""COMPUTED_VALUE"""),"EditTradesAllocated")</f>
        <v>EditTradesAllocated</v>
      </c>
      <c r="H4" s="27" t="str">
        <f>IFERROR(__xludf.DUMMYFUNCTION("""COMPUTED_VALUE"""),"EditTradesUnallocated")</f>
        <v>EditTradesUnallocated</v>
      </c>
      <c r="I4" s="27" t="str">
        <f>IFERROR(__xludf.DUMMYFUNCTION("""COMPUTED_VALUE"""),"Reallocate")</f>
        <v>Reallocate</v>
      </c>
      <c r="J4" s="27" t="str">
        <f>IFERROR(__xludf.DUMMYFUNCTION("""COMPUTED_VALUE"""),"EditUnallocatedGroupSidePanel")</f>
        <v>EditUnallocatedGroupSidePanel</v>
      </c>
      <c r="K4" s="27" t="str">
        <f>IFERROR(__xludf.DUMMYFUNCTION("""COMPUTED_VALUE"""),"TradeAttributeBulkChange")</f>
        <v>TradeAttributeBulkChange</v>
      </c>
      <c r="L4" s="27" t="str">
        <f>IFERROR(__xludf.DUMMYFUNCTION("""COMPUTED_VALUE"""),"ApplyBulkUpdateOnGroups")</f>
        <v>ApplyBulkUpdateOnGroups</v>
      </c>
      <c r="M4" s="27" t="str">
        <f>IFERROR(__xludf.DUMMYFUNCTION("""COMPUTED_VALUE"""),"ApplyPrefetchFilters")</f>
        <v>ApplyPrefetchFilters</v>
      </c>
      <c r="N4" s="27" t="str">
        <f>IFERROR(__xludf.DUMMYFUNCTION("""COMPUTED_VALUE"""),"GeneralPreferencesDefaultRule")</f>
        <v>GeneralPreferencesDefaultRule</v>
      </c>
      <c r="O4" s="27" t="str">
        <f>IFERROR(__xludf.DUMMYFUNCTION("""COMPUTED_VALUE"""),"GeneralPrefCompanyUserWise")</f>
        <v>GeneralPrefCompanyUserWise</v>
      </c>
      <c r="P4" s="29" t="str">
        <f>IFERROR(__xludf.DUMMYFUNCTION("""COMPUTED_VALUE"""),"RenameTradeAttributes")</f>
        <v>RenameTradeAttributes</v>
      </c>
      <c r="Q4" s="29" t="str">
        <f>IFERROR(__xludf.DUMMYFUNCTION("""COMPUTED_VALUE"""),"SetGroupingRules")</f>
        <v>SetGroupingRules</v>
      </c>
      <c r="R4" s="29" t="str">
        <f>IFERROR(__xludf.DUMMYFUNCTION("""COMPUTED_VALUE"""),"SetMasterFundRatio")</f>
        <v>SetMasterFundRatio</v>
      </c>
      <c r="S4" s="29" t="str">
        <f>IFERROR(__xludf.DUMMYFUNCTION("""COMPUTED_VALUE"""),"CheckFixedPreference")</f>
        <v>CheckFixedPreference</v>
      </c>
      <c r="T4" s="29" t="str">
        <f>IFERROR(__xludf.DUMMYFUNCTION("""COMPUTED_VALUE"""),"GetFixedPreference")</f>
        <v>GetFixedPreference</v>
      </c>
      <c r="U4" s="29" t="str">
        <f>IFERROR(__xludf.DUMMYFUNCTION("""COMPUTED_VALUE"""),"AddCalculatedPreferences")</f>
        <v>AddCalculatedPreferences</v>
      </c>
      <c r="V4" s="29" t="str">
        <f>IFERROR(__xludf.DUMMYFUNCTION("""COMPUTED_VALUE"""),"BulkChangeCalculatedPreferences")</f>
        <v>BulkChangeCalculatedPreferences</v>
      </c>
      <c r="W4" s="29" t="str">
        <f>IFERROR(__xludf.DUMMYFUNCTION("""COMPUTED_VALUE"""),"DeleteCalculatedPreferences")</f>
        <v>DeleteCalculatedPreferences</v>
      </c>
      <c r="X4" s="29" t="str">
        <f>IFERROR(__xludf.DUMMYFUNCTION("""COMPUTED_VALUE"""),"RenameCalculatedPreferences")</f>
        <v>RenameCalculatedPreferences</v>
      </c>
      <c r="Y4" s="29" t="str">
        <f>IFERROR(__xludf.DUMMYFUNCTION("""COMPUTED_VALUE"""),"CopyCalculatedPreferences")</f>
        <v>CopyCalculatedPreferences</v>
      </c>
      <c r="Z4" s="29" t="str">
        <f>IFERROR(__xludf.DUMMYFUNCTION("""COMPUTED_VALUE"""),"RunAutoGroup")</f>
        <v>RunAutoGroup</v>
      </c>
      <c r="AA4" s="29" t="str">
        <f>IFERROR(__xludf.DUMMYFUNCTION("""COMPUTED_VALUE"""),"BookOrUpdateSwap")</f>
        <v>BookOrUpdateSwap</v>
      </c>
      <c r="AB4" s="29" t="str">
        <f>IFERROR(__xludf.DUMMYFUNCTION("""COMPUTED_VALUE"""),"RunProrata")</f>
        <v>RunProrata</v>
      </c>
      <c r="AC4" s="29" t="str">
        <f>IFERROR(__xludf.DUMMYFUNCTION("""COMPUTED_VALUE"""),"SetDefaultRuleCalculatedPref")</f>
        <v>SetDefaultRuleCalculatedPref</v>
      </c>
      <c r="AD4" s="29" t="str">
        <f>IFERROR(__xludf.DUMMYFUNCTION("""COMPUTED_VALUE"""),"SetAccountValueCalculatedPref")</f>
        <v>SetAccountValueCalculatedPref</v>
      </c>
      <c r="AE4" s="29" t="str">
        <f>IFERROR(__xludf.DUMMYFUNCTION("""COMPUTED_VALUE"""),"TradeAttributeBulkChangeGroups")</f>
        <v>TradeAttributeBulkChangeGroups</v>
      </c>
      <c r="AF4" s="29" t="str">
        <f>IFERROR(__xludf.DUMMYFUNCTION("""COMPUTED_VALUE"""),"TradeAttributeBulkChangeTaxlots")</f>
        <v>TradeAttributeBulkChangeTaxlots</v>
      </c>
      <c r="AG4" s="29" t="str">
        <f>IFERROR(__xludf.DUMMYFUNCTION("""COMPUTED_VALUE"""),"AddCalculatedPreferenceToolbar")</f>
        <v>AddCalculatedPreferenceToolbar</v>
      </c>
      <c r="AH4" s="29" t="str">
        <f>IFERROR(__xludf.DUMMYFUNCTION("""COMPUTED_VALUE"""),"SetStrategyValueCalculatedPref")</f>
        <v>SetStrategyValueCalculatedPref</v>
      </c>
      <c r="AI4" s="29" t="str">
        <f>IFERROR(__xludf.DUMMYFUNCTION("""COMPUTED_VALUE"""),"ApplyBulkUpdateOnTaxlots")</f>
        <v>ApplyBulkUpdateOnTaxlots</v>
      </c>
      <c r="AJ4" s="29" t="str">
        <f>IFERROR(__xludf.DUMMYFUNCTION("""COMPUTED_VALUE"""),"CommissionBulkChangeOnGroups")</f>
        <v>CommissionBulkChangeOnGroups</v>
      </c>
      <c r="AK4" s="29" t="str">
        <f>IFERROR(__xludf.DUMMYFUNCTION("""COMPUTED_VALUE"""),"CommissionBulkChangeOnTaxlots")</f>
        <v>CommissionBulkChangeOnTaxlots</v>
      </c>
      <c r="AL4" s="29" t="str">
        <f>IFERROR(__xludf.DUMMYFUNCTION("""COMPUTED_VALUE"""),"SelectUnallocatedGroup")</f>
        <v>SelectUnallocatedGroup</v>
      </c>
      <c r="AM4" s="29" t="str">
        <f>IFERROR(__xludf.DUMMYFUNCTION("""COMPUTED_VALUE"""),"EnterAccountValuesToAllocate")</f>
        <v>EnterAccountValuesToAllocate</v>
      </c>
      <c r="AN4" s="29" t="str">
        <f>IFERROR(__xludf.DUMMYFUNCTION("""COMPUTED_VALUE"""),"EnterAllocatePreference")</f>
        <v>EnterAllocatePreference</v>
      </c>
      <c r="AO4" s="29" t="str">
        <f>IFERROR(__xludf.DUMMYFUNCTION("""COMPUTED_VALUE"""),"EnterStrategyValuesToAllocate")</f>
        <v>EnterStrategyValuesToAllocate</v>
      </c>
      <c r="AP4" s="29" t="str">
        <f>IFERROR(__xludf.DUMMYFUNCTION("""COMPUTED_VALUE"""),"CopyCalculatedPreferenceToolbar")</f>
        <v>CopyCalculatedPreferenceToolbar</v>
      </c>
      <c r="AQ4" s="29" t="str">
        <f>IFERROR(__xludf.DUMMYFUNCTION("""COMPUTED_VALUE"""),"SetGeneralRuleCalculatedPref")</f>
        <v>SetGeneralRuleCalculatedPref</v>
      </c>
      <c r="AR4" s="29" t="str">
        <f>IFERROR(__xludf.DUMMYFUNCTION("""COMPUTED_VALUE"""),"ExportAllCalculatedPreferences")</f>
        <v>ExportAllCalculatedPreferences</v>
      </c>
      <c r="AS4" s="29" t="str">
        <f>IFERROR(__xludf.DUMMYFUNCTION("""COMPUTED_VALUE"""),"SaveCalculatedPreferences")</f>
        <v>SaveCalculatedPreferences</v>
      </c>
      <c r="AT4" s="29" t="str">
        <f>IFERROR(__xludf.DUMMYFUNCTION("""COMPUTED_VALUE"""),"CloseCalculatedPreferences")</f>
        <v>CloseCalculatedPreferences</v>
      </c>
      <c r="AU4" s="29" t="str">
        <f>IFERROR(__xludf.DUMMYFUNCTION("""COMPUTED_VALUE"""),"ExportCalculatedPreference")</f>
        <v>ExportCalculatedPreference</v>
      </c>
      <c r="AV4" s="29" t="str">
        <f>IFERROR(__xludf.DUMMYFUNCTION("""COMPUTED_VALUE"""),"ImportCalculatedPreferences")</f>
        <v>ImportCalculatedPreferences</v>
      </c>
      <c r="AW4" s="29" t="str">
        <f>IFERROR(__xludf.DUMMYFUNCTION("""COMPUTED_VALUE"""),"OpenAuditTrailUnallocatedGroup")</f>
        <v>OpenAuditTrailUnallocatedGroup</v>
      </c>
      <c r="AX4" s="29" t="str">
        <f>IFERROR(__xludf.DUMMYFUNCTION("""COMPUTED_VALUE"""),"DeleteCalculatedPreferencesTool")</f>
        <v>DeleteCalculatedPreferencesTool</v>
      </c>
      <c r="AY4" s="29" t="str">
        <f>IFERROR(__xludf.DUMMYFUNCTION("""COMPUTED_VALUE"""),"ImportCalculatedPreferencesTool")</f>
        <v>ImportCalculatedPreferencesTool</v>
      </c>
      <c r="AZ4" s="29" t="str">
        <f>IFERROR(__xludf.DUMMYFUNCTION("""COMPUTED_VALUE"""),"ExportAllCalculatedPreferTool")</f>
        <v>ExportAllCalculatedPreferTool</v>
      </c>
      <c r="BA4" s="29" t="str">
        <f>IFERROR(__xludf.DUMMYFUNCTION("""COMPUTED_VALUE"""),"OpenAuditTrailAllocatedGroup")</f>
        <v>OpenAuditTrailAllocatedGroup</v>
      </c>
      <c r="BB4" s="29" t="str">
        <f>IFERROR(__xludf.DUMMYFUNCTION("""COMPUTED_VALUE"""),"OpenSymbolLookupUnallocateGroup")</f>
        <v>OpenSymbolLookupUnallocateGroup</v>
      </c>
      <c r="BC4" s="29" t="str">
        <f>IFERROR(__xludf.DUMMYFUNCTION("""COMPUTED_VALUE"""),"OpenSymbolLookupAllocatedGroup")</f>
        <v>OpenSymbolLookupAllocatedGroup</v>
      </c>
      <c r="BD4" s="29" t="str">
        <f>IFERROR(__xludf.DUMMYFUNCTION("""COMPUTED_VALUE"""),"DeleteFixedPreference")</f>
        <v>DeleteFixedPreference</v>
      </c>
      <c r="BE4" s="29" t="str">
        <f>IFERROR(__xludf.DUMMYFUNCTION("""COMPUTED_VALUE"""),"EditAllocatedGroupSidePanel")</f>
        <v>EditAllocatedGroupSidePanel</v>
      </c>
      <c r="BF4" s="29" t="str">
        <f>IFERROR(__xludf.DUMMYFUNCTION("""COMPUTED_VALUE"""),"CheckUnallocatedGroups")</f>
        <v>CheckUnallocatedGroups</v>
      </c>
      <c r="BG4" s="29" t="str">
        <f>IFERROR(__xludf.DUMMYFUNCTION("""COMPUTED_VALUE"""),"SetGeneralPreferences")</f>
        <v>SetGeneralPreferences</v>
      </c>
      <c r="BH4" s="29" t="str">
        <f>IFERROR(__xludf.DUMMYFUNCTION("""COMPUTED_VALUE"""),"GroupTrades")</f>
        <v>GroupTrades</v>
      </c>
      <c r="BI4" s="29" t="str">
        <f>IFERROR(__xludf.DUMMYFUNCTION("""COMPUTED_VALUE"""),"UngroupTrades")</f>
        <v>UngroupTrades</v>
      </c>
      <c r="BJ4" s="29" t="str">
        <f>IFERROR(__xludf.DUMMYFUNCTION("""COMPUTED_VALUE"""),"DeleteGroup")</f>
        <v>DeleteGroup</v>
      </c>
      <c r="BK4" s="29" t="str">
        <f>IFERROR(__xludf.DUMMYFUNCTION("""COMPUTED_VALUE"""),"CloseOrder")</f>
        <v>CloseOrder</v>
      </c>
      <c r="BL4" s="29" t="str">
        <f>IFERROR(__xludf.DUMMYFUNCTION("""COMPUTED_VALUE"""),"Unallocate")</f>
        <v>Unallocate</v>
      </c>
      <c r="BM4" s="29" t="str">
        <f>IFERROR(__xludf.DUMMYFUNCTION("""COMPUTED_VALUE"""),"CloseAllocation")</f>
        <v>CloseAllocation</v>
      </c>
      <c r="BN4" s="29" t="str">
        <f>IFERROR(__xludf.DUMMYFUNCTION("""COMPUTED_VALUE"""),"UpdateGRAccountValue")</f>
        <v>UpdateGRAccountValue</v>
      </c>
      <c r="BO4" s="29" t="str">
        <f>IFERROR(__xludf.DUMMYFUNCTION("""COMPUTED_VALUE"""),"UpdateGRStrategyValue")</f>
        <v>UpdateGRStrategyValue</v>
      </c>
      <c r="BP4" s="29" t="str">
        <f>IFERROR(__xludf.DUMMYFUNCTION("""COMPUTED_VALUE"""),"UpdateGRDefaultRule")</f>
        <v>UpdateGRDefaultRule</v>
      </c>
      <c r="BQ4" s="29" t="str">
        <f>IFERROR(__xludf.DUMMYFUNCTION("""COMPUTED_VALUE"""),"UpdateGeneralRulePref")</f>
        <v>UpdateGeneralRulePref</v>
      </c>
      <c r="BR4" s="29" t="str">
        <f>IFERROR(__xludf.DUMMYFUNCTION("""COMPUTED_VALUE"""),"ModifyGRPreferenceValues")</f>
        <v>ModifyGRPreferenceValues</v>
      </c>
      <c r="BS4" s="29" t="str">
        <f>IFERROR(__xludf.DUMMYFUNCTION("""COMPUTED_VALUE"""),"AddMFPreferences")</f>
        <v>AddMFPreferences</v>
      </c>
      <c r="BT4" s="29" t="str">
        <f>IFERROR(__xludf.DUMMYFUNCTION("""COMPUTED_VALUE"""),"AddMFPreferenceToolbar")</f>
        <v>AddMFPreferenceToolbar</v>
      </c>
      <c r="BU4" s="29" t="str">
        <f>IFERROR(__xludf.DUMMYFUNCTION("""COMPUTED_VALUE"""),"DeleteMFPreferences")</f>
        <v>DeleteMFPreferences</v>
      </c>
      <c r="BV4" s="29" t="str">
        <f>IFERROR(__xludf.DUMMYFUNCTION("""COMPUTED_VALUE"""),"DeleteMFPreferenceToolbar")</f>
        <v>DeleteMFPreferenceToolbar</v>
      </c>
      <c r="BW4" s="29" t="str">
        <f>IFERROR(__xludf.DUMMYFUNCTION("""COMPUTED_VALUE"""),"RenameMFPreferences")</f>
        <v>RenameMFPreferences</v>
      </c>
      <c r="BX4" s="29" t="str">
        <f>IFERROR(__xludf.DUMMYFUNCTION("""COMPUTED_VALUE"""),"SaveCloseMFPreference")</f>
        <v>SaveCloseMFPreference</v>
      </c>
      <c r="BY4" s="29" t="str">
        <f>IFERROR(__xludf.DUMMYFUNCTION("""COMPUTED_VALUE"""),"SetMFPrefAccountValues")</f>
        <v>SetMFPrefAccountValues</v>
      </c>
      <c r="BZ4" s="29" t="str">
        <f>IFERROR(__xludf.DUMMYFUNCTION("""COMPUTED_VALUE"""),"ModifyMFPrefGeneralRuleValues")</f>
        <v>ModifyMFPrefGeneralRuleValues</v>
      </c>
      <c r="CA4" s="29" t="str">
        <f>IFERROR(__xludf.DUMMYFUNCTION("""COMPUTED_VALUE"""),"SetMFPrefStrategyValues")</f>
        <v>SetMFPrefStrategyValues</v>
      </c>
      <c r="CB4" s="29" t="str">
        <f>IFERROR(__xludf.DUMMYFUNCTION("""COMPUTED_VALUE"""),"SetMFPrefGeneralRule")</f>
        <v>SetMFPrefGeneralRule</v>
      </c>
      <c r="CC4" s="29" t="str">
        <f>IFERROR(__xludf.DUMMYFUNCTION("""COMPUTED_VALUE"""),"SetMFPrefFundDistribution")</f>
        <v>SetMFPrefFundDistribution</v>
      </c>
      <c r="CD4" s="29" t="str">
        <f>IFERROR(__xludf.DUMMYFUNCTION("""COMPUTED_VALUE"""),"SetMFPreferencesDefaultRule")</f>
        <v>SetMFPreferencesDefaultRule</v>
      </c>
      <c r="CE4" s="70" t="str">
        <f>IFERROR(__xludf.DUMMYFUNCTION("""COMPUTED_VALUE"""),"SetMFPrefFundDefaultRule")</f>
        <v>SetMFPrefFundDefaultRule</v>
      </c>
      <c r="CF4" s="29" t="str">
        <f>IFERROR(__xludf.DUMMYFUNCTION("""COMPUTED_VALUE"""),"ClearPrefetchFilters")</f>
        <v>ClearPrefetchFilters</v>
      </c>
      <c r="CG4" s="29" t="str">
        <f>IFERROR(__xludf.DUMMYFUNCTION("""COMPUTED_VALUE"""),"ExpandCollapseAllUnallocated")</f>
        <v>ExpandCollapseAllUnallocated</v>
      </c>
      <c r="CH4" s="29" t="str">
        <f>IFERROR(__xludf.DUMMYFUNCTION("""COMPUTED_VALUE"""),"ExpandCollapseAllAllocated")</f>
        <v>ExpandCollapseAllAllocated</v>
      </c>
      <c r="CI4" s="29" t="str">
        <f>IFERROR(__xludf.DUMMYFUNCTION("""COMPUTED_VALUE"""),"GenerateCashTransaction")</f>
        <v>GenerateCashTransaction</v>
      </c>
      <c r="CJ4" s="29" t="str">
        <f>IFERROR(__xludf.DUMMYFUNCTION("""COMPUTED_VALUE"""),"SaveAllocation")</f>
        <v>SaveAllocation</v>
      </c>
      <c r="CK4" s="29" t="str">
        <f>IFERROR(__xludf.DUMMYFUNCTION("""COMPUTED_VALUE"""),"UnallocateWithOutSave")</f>
        <v>UnallocateWithOutSave</v>
      </c>
      <c r="CL4" s="29" t="str">
        <f>IFERROR(__xludf.DUMMYFUNCTION("""COMPUTED_VALUE"""),"EditUnallocatedGrid")</f>
        <v>EditUnallocatedGrid</v>
      </c>
      <c r="CM4" s="29" t="str">
        <f>IFERROR(__xludf.DUMMYFUNCTION("""COMPUTED_VALUE"""),"EditAllocatedGrid")</f>
        <v>EditAllocatedGrid</v>
      </c>
      <c r="CN4" s="29" t="str">
        <f>IFERROR(__xludf.DUMMYFUNCTION("""COMPUTED_VALUE"""),"SaveLayoutAllocatedGrid")</f>
        <v>SaveLayoutAllocatedGrid</v>
      </c>
      <c r="CO4" s="29" t="str">
        <f>IFERROR(__xludf.DUMMYFUNCTION("""COMPUTED_VALUE"""),"SaveLayoutUnallocatedGrid")</f>
        <v>SaveLayoutUnallocatedGrid</v>
      </c>
      <c r="CP4" s="29" t="str">
        <f>IFERROR(__xludf.DUMMYFUNCTION("""COMPUTED_VALUE"""),"SaveLayoutAllocationUI")</f>
        <v>SaveLayoutAllocationUI</v>
      </c>
      <c r="CQ4" s="29" t="str">
        <f>IFERROR(__xludf.DUMMYFUNCTION("""COMPUTED_VALUE"""),"ClearFiltersAllocatedGrid")</f>
        <v>ClearFiltersAllocatedGrid</v>
      </c>
      <c r="CR4" s="29" t="str">
        <f>IFERROR(__xludf.DUMMYFUNCTION("""COMPUTED_VALUE"""),"ClearFiltersUnallocatedGrid")</f>
        <v>ClearFiltersUnallocatedGrid</v>
      </c>
      <c r="CS4" s="29" t="str">
        <f>IFERROR(__xludf.DUMMYFUNCTION("""COMPUTED_VALUE"""),"VerifyLayoutAllocatedGrid")</f>
        <v>VerifyLayoutAllocatedGrid</v>
      </c>
      <c r="CT4" s="29" t="str">
        <f>IFERROR(__xludf.DUMMYFUNCTION("""COMPUTED_VALUE"""),"VerifyLayoutUnallocatedGrid")</f>
        <v>VerifyLayoutUnallocatedGrid</v>
      </c>
      <c r="CU4" s="29" t="str">
        <f>IFERROR(__xludf.DUMMYFUNCTION("""COMPUTED_VALUE"""),"CleanUp")</f>
        <v>CleanUp</v>
      </c>
      <c r="CV4" s="29" t="str">
        <f>IFERROR(__xludf.DUMMYFUNCTION("""COMPUTED_VALUE"""),"CheckAllocatedTaxlots")</f>
        <v>CheckAllocatedTaxlots</v>
      </c>
      <c r="CW4" s="29" t="str">
        <f>IFERROR(__xludf.DUMMYFUNCTION("""COMPUTED_VALUE"""),"CopyCalculatedPreferenceToolbar")</f>
        <v>CopyCalculatedPreferenceToolbar</v>
      </c>
      <c r="CX4" s="29" t="str">
        <f>IFERROR(__xludf.DUMMYFUNCTION("""COMPUTED_VALUE"""),"CloseOrder")</f>
        <v>CloseOrder</v>
      </c>
      <c r="CY4" s="29" t="str">
        <f>IFERROR(__xludf.DUMMYFUNCTION("""COMPUTED_VALUE"""),"DisableChecksideForAsset")</f>
        <v>DisableChecksideForAsset</v>
      </c>
      <c r="CZ4" s="29" t="str">
        <f>IFERROR(__xludf.DUMMYFUNCTION("""COMPUTED_VALUE"""),"DisableChecksideForAccount")</f>
        <v>DisableChecksideForAccount</v>
      </c>
      <c r="DA4" s="29" t="str">
        <f>IFERROR(__xludf.DUMMYFUNCTION("""COMPUTED_VALUE"""),"DisableChecksideForCounterParty")</f>
        <v>DisableChecksideForCounterParty</v>
      </c>
      <c r="DB4" s="29" t="str">
        <f>IFERROR(__xludf.DUMMYFUNCTION("""COMPUTED_VALUE"""),"DisableCheckside")</f>
        <v>DisableCheckside</v>
      </c>
      <c r="DC4" s="29" t="str">
        <f>IFERROR(__xludf.DUMMYFUNCTION("""COMPUTED_VALUE"""),"ApplyMasterFundFilter")</f>
        <v>ApplyMasterFundFilter</v>
      </c>
      <c r="DD4" s="29" t="str">
        <f>IFERROR(__xludf.DUMMYFUNCTION("""COMPUTED_VALUE"""),"ShowMasterFundOnTT")</f>
        <v>ShowMasterFundOnTT</v>
      </c>
      <c r="DE4" s="29" t="str">
        <f>IFERROR(__xludf.DUMMYFUNCTION("""COMPUTED_VALUE"""),"ShowMasterFundAsClient")</f>
        <v>ShowMasterFundAsClient</v>
      </c>
      <c r="DF4" s="29" t="str">
        <f>IFERROR(__xludf.DUMMYFUNCTION("""COMPUTED_VALUE"""),"SetBrokerAccountMapping")</f>
        <v>SetBrokerAccountMapping</v>
      </c>
      <c r="DG4" s="29" t="str">
        <f>IFERROR(__xludf.DUMMYFUNCTION("""COMPUTED_VALUE"""),"EditUnallocatedGridWPF")</f>
        <v>EditUnallocatedGridWPF</v>
      </c>
      <c r="DH4" s="29" t="str">
        <f>IFERROR(__xludf.DUMMYFUNCTION("""COMPUTED_VALUE"""),"EditAllocatedGridWPF")</f>
        <v>EditAllocatedGridWPF</v>
      </c>
      <c r="DI4" s="29" t="str">
        <f>IFERROR(__xludf.DUMMYFUNCTION("""COMPUTED_VALUE"""),"EditAllocatedGridTaxlot")</f>
        <v>EditAllocatedGridTaxlot</v>
      </c>
      <c r="DJ4" s="29" t="str">
        <f>IFERROR(__xludf.DUMMYFUNCTION("""COMPUTED_VALUE"""),"ExpandCollapseAllocatedGrid")</f>
        <v>ExpandCollapseAllocatedGrid</v>
      </c>
      <c r="DK4" s="29" t="str">
        <f>IFERROR(__xludf.DUMMYFUNCTION("""COMPUTED_VALUE"""),"ExpandCollapseUnallocatedGrid")</f>
        <v>ExpandCollapseUnallocatedGrid</v>
      </c>
      <c r="DL4" s="29" t="str">
        <f>IFERROR(__xludf.DUMMYFUNCTION("""COMPUTED_VALUE"""),"SetTradeAttributePreferences")</f>
        <v>SetTradeAttributePreferences</v>
      </c>
      <c r="DM4" s="29" t="str">
        <f>IFERROR(__xludf.DUMMYFUNCTION("""COMPUTED_VALUE"""),"EnterCustomAllocatePreference")</f>
        <v>EnterCustomAllocatePreference</v>
      </c>
      <c r="DN4" s="29" t="str">
        <f>IFERROR(__xludf.DUMMYFUNCTION("""COMPUTED_VALUE"""),"SetAutoGroupingPreferences")</f>
        <v>SetAutoGroupingPreferences</v>
      </c>
      <c r="DO4" s="29" t="str">
        <f>IFERROR(__xludf.DUMMYFUNCTION("""COMPUTED_VALUE"""),"SetAutoGroupingAccount")</f>
        <v>SetAutoGroupingAccount</v>
      </c>
      <c r="DP4" s="29" t="str">
        <f>IFERROR(__xludf.DUMMYFUNCTION("""COMPUTED_VALUE"""),"SetAvgPriceRounding")</f>
        <v>SetAvgPriceRounding</v>
      </c>
      <c r="DQ4" s="29" t="str">
        <f>IFERROR(__xludf.DUMMYFUNCTION("""COMPUTED_VALUE"""),"IsAllocationOpen")</f>
        <v>IsAllocationOpen</v>
      </c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</row>
    <row r="5" ht="15.75" customHeight="1">
      <c r="A5" s="30" t="str">
        <f>IFERROR(__xludf.DUMMYFUNCTION("TRANSPOSE(IMPORTRANGE(VLOOKUP($E$3,IMPORTRANGE('_Settings'!$B$3,$C$3&amp;""!A4:B1000""),2,FALSE),$G$3&amp;""!A4:A1000""))"),"")</f>
        <v/>
      </c>
      <c r="B5" s="31" t="str">
        <f>IFERROR(__xludf.DUMMYFUNCTION("""COMPUTED_VALUE"""),"Account Name")</f>
        <v>Account Name</v>
      </c>
      <c r="C5" s="31" t="str">
        <f>IFERROR(__xludf.DUMMYFUNCTION("""COMPUTED_VALUE"""),"Accrual Basis")</f>
        <v>Accrual Basis</v>
      </c>
      <c r="D5" s="31" t="str">
        <f>IFERROR(__xludf.DUMMYFUNCTION("""COMPUTED_VALUE"""),"Accrued Interest")</f>
        <v>Accrued Interest</v>
      </c>
      <c r="E5" s="31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1" t="str">
        <f>IFERROR(__xludf.DUMMYFUNCTION("""COMPUTED_VALUE"""),"Asset Category")</f>
        <v>Asset Category</v>
      </c>
      <c r="H5" s="31" t="str">
        <f>IFERROR(__xludf.DUMMYFUNCTION("""COMPUTED_VALUE"""),"AUEC Fee1")</f>
        <v>AUEC Fee1</v>
      </c>
      <c r="I5" s="31" t="str">
        <f>IFERROR(__xludf.DUMMYFUNCTION("""COMPUTED_VALUE"""),"AUEC Fee2")</f>
        <v>AUEC Fee2</v>
      </c>
      <c r="J5" s="31" t="str">
        <f>IFERROR(__xludf.DUMMYFUNCTION("""COMPUTED_VALUE"""),"AUECID")</f>
        <v>AUECID</v>
      </c>
      <c r="K5" s="31" t="str">
        <f>IFERROR(__xludf.DUMMYFUNCTION("""COMPUTED_VALUE"""),"Avg Price(Base)")</f>
        <v>Avg Price(Base)</v>
      </c>
      <c r="L5" s="31" t="str">
        <f>IFERROR(__xludf.DUMMYFUNCTION("""COMPUTED_VALUE"""),"Avg Price(Local)")</f>
        <v>Avg Price(Local)</v>
      </c>
      <c r="M5" s="31" t="str">
        <f>IFERROR(__xludf.DUMMYFUNCTION("""COMPUTED_VALUE"""),"Bloomberg")</f>
        <v>Bloomberg</v>
      </c>
      <c r="N5" s="31" t="str">
        <f>IFERROR(__xludf.DUMMYFUNCTION("""COMPUTED_VALUE"""),"Bond Type")</f>
        <v>Bond Type</v>
      </c>
      <c r="O5" s="31" t="str">
        <f>IFERROR(__xludf.DUMMYFUNCTION("""COMPUTED_VALUE"""),"Broker")</f>
        <v>Broker</v>
      </c>
      <c r="P5" s="31" t="str">
        <f>IFERROR(__xludf.DUMMYFUNCTION("""COMPUTED_VALUE"""),"Change Comment")</f>
        <v>Change Comment</v>
      </c>
      <c r="Q5" s="31" t="str">
        <f>IFERROR(__xludf.DUMMYFUNCTION("""COMPUTED_VALUE"""),"Change Type")</f>
        <v>Change Type</v>
      </c>
      <c r="R5" s="31" t="str">
        <f>IFERROR(__xludf.DUMMYFUNCTION("""COMPUTED_VALUE"""),"Clearing Broker Fee")</f>
        <v>Clearing Broker Fee</v>
      </c>
      <c r="S5" s="31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IFERROR(__xludf.DUMMYFUNCTION("""COMPUTED_VALUE"""),"IsManualGroup")</f>
        <v>IsManualGroup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71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IFERROR(__xludf.DUMMYFUNCTION("""COMPUTED_VALUE"""),"Client")</f>
        <v>Client</v>
      </c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1"/>
      <c r="B6" s="94" t="s">
        <v>16</v>
      </c>
      <c r="C6" s="8"/>
      <c r="D6" s="11"/>
      <c r="E6" s="95">
        <v>105.0</v>
      </c>
      <c r="F6" s="8"/>
      <c r="G6" s="94" t="s">
        <v>79</v>
      </c>
      <c r="H6" s="95">
        <v>0.0</v>
      </c>
      <c r="I6" s="95">
        <v>0.0</v>
      </c>
      <c r="J6" s="8"/>
      <c r="K6" s="95">
        <v>63.6363636363636</v>
      </c>
      <c r="L6" s="95">
        <v>70.0</v>
      </c>
      <c r="M6" s="8"/>
      <c r="N6" s="8"/>
      <c r="O6" s="8"/>
      <c r="R6" s="95">
        <v>0.0</v>
      </c>
      <c r="S6" s="94" t="s">
        <v>87</v>
      </c>
      <c r="T6" s="95">
        <v>2.5</v>
      </c>
      <c r="U6" s="95">
        <v>0.023809523809524</v>
      </c>
      <c r="V6" s="94" t="s">
        <v>80</v>
      </c>
      <c r="AD6" s="94" t="s">
        <v>88</v>
      </c>
      <c r="AE6" s="95">
        <v>105.0</v>
      </c>
      <c r="AH6" s="94" t="s">
        <v>46</v>
      </c>
      <c r="AI6" s="95">
        <v>1.1</v>
      </c>
      <c r="AJ6" s="94" t="s">
        <v>64</v>
      </c>
      <c r="AT6" s="96">
        <v>6672.72727272727</v>
      </c>
      <c r="AU6" s="96">
        <v>7340.0</v>
      </c>
      <c r="AW6" s="95">
        <v>0.0</v>
      </c>
      <c r="AX6" s="95">
        <v>0.0</v>
      </c>
      <c r="AY6" s="94" t="s">
        <v>89</v>
      </c>
      <c r="AZ6" s="95">
        <v>0.0</v>
      </c>
      <c r="BC6" s="95">
        <v>0.0</v>
      </c>
      <c r="BD6" s="94"/>
      <c r="BE6" s="96">
        <v>6681.81818181818</v>
      </c>
      <c r="BF6" s="96">
        <v>7350.0</v>
      </c>
      <c r="BJ6" s="95">
        <v>105.0</v>
      </c>
      <c r="BK6" s="95">
        <v>0.0</v>
      </c>
      <c r="BL6" s="97"/>
      <c r="BM6" s="78" t="s">
        <v>28</v>
      </c>
      <c r="BO6" s="94" t="s">
        <v>25</v>
      </c>
      <c r="BP6" s="95">
        <v>7.5</v>
      </c>
      <c r="BQ6" s="95">
        <v>0.071428571428571</v>
      </c>
      <c r="BR6" s="95">
        <v>0.0</v>
      </c>
      <c r="BS6" s="94"/>
      <c r="BT6" s="94" t="s">
        <v>24</v>
      </c>
      <c r="BU6" s="95">
        <v>0.0</v>
      </c>
      <c r="BV6" s="95">
        <v>10.0</v>
      </c>
      <c r="BW6" s="95">
        <v>10.0</v>
      </c>
      <c r="BX6" s="95">
        <v>0.095238095238095</v>
      </c>
      <c r="CE6" s="98">
        <v>43871.0</v>
      </c>
      <c r="CH6" s="94" t="s">
        <v>22</v>
      </c>
      <c r="CI6" s="94" t="s">
        <v>70</v>
      </c>
      <c r="CJ6" s="95">
        <v>0.0</v>
      </c>
      <c r="CK6" s="94" t="s">
        <v>82</v>
      </c>
      <c r="CM6" s="94" t="s">
        <v>24</v>
      </c>
    </row>
    <row r="7" ht="15.75" customHeight="1">
      <c r="A7" s="8"/>
      <c r="B7" s="94" t="s">
        <v>16</v>
      </c>
      <c r="C7" s="8"/>
      <c r="D7" s="8"/>
      <c r="E7" s="95">
        <v>105.0</v>
      </c>
      <c r="F7" s="8"/>
      <c r="G7" s="94" t="s">
        <v>79</v>
      </c>
      <c r="H7" s="95">
        <v>0.0</v>
      </c>
      <c r="I7" s="95">
        <v>0.0</v>
      </c>
      <c r="J7" s="8"/>
      <c r="K7" s="95">
        <v>63.5497835497835</v>
      </c>
      <c r="L7" s="95">
        <v>69.9047619047619</v>
      </c>
      <c r="M7" s="8"/>
      <c r="N7" s="8"/>
      <c r="O7" s="8"/>
      <c r="R7" s="95">
        <v>0.0</v>
      </c>
      <c r="S7" s="94" t="s">
        <v>87</v>
      </c>
      <c r="T7" s="95">
        <v>0.0</v>
      </c>
      <c r="U7" s="95">
        <v>0.0</v>
      </c>
      <c r="V7" s="94" t="s">
        <v>80</v>
      </c>
      <c r="AD7" s="94" t="s">
        <v>88</v>
      </c>
      <c r="AE7" s="95">
        <v>105.0</v>
      </c>
      <c r="AH7" s="94" t="s">
        <v>20</v>
      </c>
      <c r="AI7" s="95">
        <v>0.909090909090909</v>
      </c>
      <c r="AJ7" s="94" t="s">
        <v>64</v>
      </c>
      <c r="AT7" s="96">
        <v>6672.72727272727</v>
      </c>
      <c r="AU7" s="96">
        <v>7340.0</v>
      </c>
      <c r="AW7" s="95">
        <v>0.0</v>
      </c>
      <c r="AX7" s="95">
        <v>0.0</v>
      </c>
      <c r="AY7" s="94" t="s">
        <v>89</v>
      </c>
      <c r="AZ7" s="95">
        <v>0.0</v>
      </c>
      <c r="BC7" s="95">
        <v>0.0</v>
      </c>
      <c r="BD7" s="94"/>
      <c r="BE7" s="96">
        <v>6672.72727272727</v>
      </c>
      <c r="BF7" s="96">
        <v>7340.0</v>
      </c>
      <c r="BJ7" s="95">
        <v>105.0</v>
      </c>
      <c r="BK7" s="95">
        <v>0.0</v>
      </c>
      <c r="BL7" s="97"/>
      <c r="BM7" s="78" t="s">
        <v>28</v>
      </c>
      <c r="BO7" s="94" t="s">
        <v>71</v>
      </c>
      <c r="BP7" s="95">
        <v>0.0</v>
      </c>
      <c r="BQ7" s="95">
        <v>0.0</v>
      </c>
      <c r="BR7" s="95">
        <v>0.0</v>
      </c>
      <c r="BS7" s="94"/>
      <c r="BT7" s="94" t="s">
        <v>24</v>
      </c>
      <c r="BU7" s="95">
        <v>0.0</v>
      </c>
      <c r="BV7" s="95">
        <v>0.0</v>
      </c>
      <c r="BW7" s="95">
        <v>0.0</v>
      </c>
      <c r="BX7" s="95">
        <v>0.0</v>
      </c>
      <c r="CE7" s="98">
        <v>43873.0</v>
      </c>
      <c r="CH7" s="94" t="s">
        <v>90</v>
      </c>
      <c r="CI7" s="94" t="s">
        <v>72</v>
      </c>
      <c r="CJ7" s="95">
        <v>0.0</v>
      </c>
      <c r="CK7" s="94" t="s">
        <v>82</v>
      </c>
      <c r="CM7" s="94" t="s">
        <v>24</v>
      </c>
    </row>
    <row r="8" ht="15.75" customHeight="1">
      <c r="A8" s="8"/>
      <c r="B8" s="94" t="s">
        <v>16</v>
      </c>
      <c r="C8" s="8"/>
      <c r="D8" s="8"/>
      <c r="E8" s="95">
        <v>105.0</v>
      </c>
      <c r="F8" s="8"/>
      <c r="G8" s="94" t="s">
        <v>79</v>
      </c>
      <c r="H8" s="95">
        <v>0.0</v>
      </c>
      <c r="I8" s="95">
        <v>0.0</v>
      </c>
      <c r="J8" s="8"/>
      <c r="K8" s="95">
        <v>39.7186147186147</v>
      </c>
      <c r="L8" s="95">
        <v>43.6904761904762</v>
      </c>
      <c r="M8" s="8"/>
      <c r="N8" s="8"/>
      <c r="O8" s="8"/>
      <c r="R8" s="95">
        <v>0.0</v>
      </c>
      <c r="S8" s="94" t="s">
        <v>87</v>
      </c>
      <c r="T8" s="95">
        <v>0.0</v>
      </c>
      <c r="U8" s="95">
        <v>0.0</v>
      </c>
      <c r="V8" s="94" t="s">
        <v>80</v>
      </c>
      <c r="AD8" s="94" t="s">
        <v>88</v>
      </c>
      <c r="AE8" s="95">
        <v>105.0</v>
      </c>
      <c r="AH8" s="94" t="s">
        <v>20</v>
      </c>
      <c r="AI8" s="95">
        <v>0.909090909090909</v>
      </c>
      <c r="AJ8" s="94" t="s">
        <v>64</v>
      </c>
      <c r="AT8" s="96">
        <v>4170.45454545455</v>
      </c>
      <c r="AU8" s="96">
        <v>4587.5</v>
      </c>
      <c r="AW8" s="95">
        <v>0.0</v>
      </c>
      <c r="AX8" s="95">
        <v>0.0</v>
      </c>
      <c r="AY8" s="94" t="s">
        <v>89</v>
      </c>
      <c r="AZ8" s="95">
        <v>0.0</v>
      </c>
      <c r="BC8" s="95">
        <v>0.0</v>
      </c>
      <c r="BD8" s="94"/>
      <c r="BE8" s="96">
        <v>4170.45454545455</v>
      </c>
      <c r="BF8" s="96">
        <v>4587.5</v>
      </c>
      <c r="BJ8" s="95">
        <v>105.0</v>
      </c>
      <c r="BK8" s="95">
        <v>0.0</v>
      </c>
      <c r="BL8" s="97"/>
      <c r="BM8" s="78" t="s">
        <v>28</v>
      </c>
      <c r="BO8" s="94" t="s">
        <v>25</v>
      </c>
      <c r="BP8" s="95">
        <v>0.0</v>
      </c>
      <c r="BQ8" s="95">
        <v>0.0</v>
      </c>
      <c r="BR8" s="95">
        <v>0.0</v>
      </c>
      <c r="BS8" s="94"/>
      <c r="BT8" s="94" t="s">
        <v>24</v>
      </c>
      <c r="BU8" s="95">
        <v>0.0</v>
      </c>
      <c r="BV8" s="95">
        <v>0.0</v>
      </c>
      <c r="BW8" s="95">
        <v>0.0</v>
      </c>
      <c r="BX8" s="95">
        <v>0.0</v>
      </c>
      <c r="CE8" s="98">
        <v>43873.0</v>
      </c>
      <c r="CH8" s="94" t="s">
        <v>90</v>
      </c>
      <c r="CI8" s="94" t="s">
        <v>70</v>
      </c>
      <c r="CJ8" s="95">
        <v>0.0</v>
      </c>
      <c r="CK8" s="94" t="s">
        <v>82</v>
      </c>
      <c r="CM8" s="94" t="s">
        <v>24</v>
      </c>
    </row>
    <row r="9" ht="15.75" customHeight="1">
      <c r="A9" s="8"/>
      <c r="B9" s="94" t="s">
        <v>16</v>
      </c>
      <c r="C9" s="8"/>
      <c r="D9" s="8"/>
      <c r="E9" s="95">
        <v>34.0</v>
      </c>
      <c r="F9" s="8"/>
      <c r="G9" s="94" t="s">
        <v>79</v>
      </c>
      <c r="H9" s="95">
        <v>0.0</v>
      </c>
      <c r="I9" s="95">
        <v>0.0</v>
      </c>
      <c r="J9" s="8"/>
      <c r="K9" s="95">
        <v>73.596256684492</v>
      </c>
      <c r="L9" s="95">
        <v>80.9558823529412</v>
      </c>
      <c r="M9" s="8"/>
      <c r="N9" s="8"/>
      <c r="O9" s="8"/>
      <c r="R9" s="95">
        <v>0.0</v>
      </c>
      <c r="S9" s="94" t="s">
        <v>87</v>
      </c>
      <c r="T9" s="95">
        <v>0.0</v>
      </c>
      <c r="U9" s="95">
        <v>0.0</v>
      </c>
      <c r="V9" s="94" t="s">
        <v>83</v>
      </c>
      <c r="AD9" s="94" t="s">
        <v>88</v>
      </c>
      <c r="AE9" s="95">
        <v>34.0</v>
      </c>
      <c r="AH9" s="94" t="s">
        <v>20</v>
      </c>
      <c r="AI9" s="95">
        <v>0.909090909090909</v>
      </c>
      <c r="AJ9" s="94" t="s">
        <v>64</v>
      </c>
      <c r="AT9" s="96">
        <v>2502.27272727273</v>
      </c>
      <c r="AU9" s="96">
        <v>2752.5</v>
      </c>
      <c r="AW9" s="95">
        <v>0.0</v>
      </c>
      <c r="AX9" s="95">
        <v>0.0</v>
      </c>
      <c r="AY9" s="94" t="s">
        <v>89</v>
      </c>
      <c r="AZ9" s="95">
        <v>0.0</v>
      </c>
      <c r="BC9" s="95">
        <v>0.0</v>
      </c>
      <c r="BD9" s="94"/>
      <c r="BE9" s="96">
        <v>2502.27272727273</v>
      </c>
      <c r="BF9" s="96">
        <v>2752.5</v>
      </c>
      <c r="BJ9" s="95">
        <v>34.0</v>
      </c>
      <c r="BK9" s="95">
        <v>0.0</v>
      </c>
      <c r="BL9" s="94"/>
      <c r="BM9" s="78" t="s">
        <v>28</v>
      </c>
      <c r="BO9" s="94" t="s">
        <v>25</v>
      </c>
      <c r="BP9" s="95">
        <v>0.0</v>
      </c>
      <c r="BQ9" s="95">
        <v>0.0</v>
      </c>
      <c r="BR9" s="95">
        <v>0.0</v>
      </c>
      <c r="BS9" s="94"/>
      <c r="BT9" s="94" t="s">
        <v>67</v>
      </c>
      <c r="BU9" s="95">
        <v>0.0</v>
      </c>
      <c r="BV9" s="95">
        <v>0.0</v>
      </c>
      <c r="BW9" s="95">
        <v>0.0</v>
      </c>
      <c r="BX9" s="95">
        <v>0.0</v>
      </c>
      <c r="CE9" s="98">
        <v>43873.0</v>
      </c>
      <c r="CH9" s="94" t="s">
        <v>90</v>
      </c>
      <c r="CI9" s="94" t="s">
        <v>70</v>
      </c>
      <c r="CJ9" s="95">
        <v>0.0</v>
      </c>
      <c r="CK9" s="94" t="s">
        <v>82</v>
      </c>
      <c r="CM9" s="94" t="s">
        <v>67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E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E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CE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CE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CE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CE15" s="3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CE16" s="3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CE17" s="3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CE18" s="3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CE19" s="3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CE20" s="3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CE21" s="3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CE22" s="3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CE23" s="39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CE24" s="39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CE25" s="39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CE26" s="39"/>
    </row>
    <row r="27" ht="15.75" customHeight="1">
      <c r="CE27" s="39"/>
    </row>
    <row r="28" ht="15.75" customHeight="1">
      <c r="CE28" s="39"/>
    </row>
    <row r="29" ht="15.75" customHeight="1">
      <c r="CE29" s="39"/>
    </row>
    <row r="30" ht="15.75" customHeight="1">
      <c r="CE30" s="39"/>
    </row>
    <row r="31" ht="15.75" customHeight="1">
      <c r="CE31" s="39"/>
    </row>
    <row r="32" ht="15.75" customHeight="1">
      <c r="CE32" s="39"/>
    </row>
    <row r="33" ht="15.75" customHeight="1">
      <c r="CE33" s="39"/>
    </row>
    <row r="34" ht="15.75" customHeight="1">
      <c r="CE34" s="39"/>
    </row>
    <row r="35" ht="15.75" customHeight="1">
      <c r="CE35" s="39"/>
    </row>
    <row r="36" ht="15.75" customHeight="1">
      <c r="CE36" s="39"/>
    </row>
    <row r="37" ht="15.75" customHeight="1">
      <c r="CE37" s="39"/>
    </row>
    <row r="38" ht="15.75" customHeight="1">
      <c r="CE38" s="39"/>
    </row>
    <row r="39" ht="15.75" customHeight="1">
      <c r="CE39" s="39"/>
    </row>
    <row r="40" ht="15.75" customHeight="1">
      <c r="CE40" s="39"/>
    </row>
    <row r="41" ht="15.75" customHeight="1">
      <c r="CE41" s="39"/>
    </row>
    <row r="42" ht="15.75" customHeight="1">
      <c r="CE42" s="39"/>
    </row>
    <row r="43" ht="15.75" customHeight="1">
      <c r="CE43" s="39"/>
    </row>
    <row r="44" ht="15.75" customHeight="1">
      <c r="CE44" s="39"/>
    </row>
    <row r="45" ht="15.75" customHeight="1">
      <c r="CE45" s="39"/>
    </row>
    <row r="46" ht="15.75" customHeight="1">
      <c r="CE46" s="39"/>
    </row>
    <row r="47" ht="15.75" customHeight="1">
      <c r="CE47" s="39"/>
    </row>
    <row r="48" ht="15.75" customHeight="1">
      <c r="CE48" s="39"/>
    </row>
    <row r="49" ht="15.75" customHeight="1">
      <c r="CE49" s="39"/>
    </row>
    <row r="50" ht="15.75" customHeight="1">
      <c r="CE50" s="39"/>
    </row>
    <row r="51" ht="15.75" customHeight="1">
      <c r="CE51" s="39"/>
    </row>
    <row r="52" ht="15.75" customHeight="1">
      <c r="CE52" s="39"/>
    </row>
    <row r="53" ht="15.75" customHeight="1">
      <c r="CE53" s="39"/>
    </row>
    <row r="54" ht="15.75" customHeight="1">
      <c r="CE54" s="39"/>
    </row>
    <row r="55" ht="15.75" customHeight="1">
      <c r="CE55" s="39"/>
    </row>
    <row r="56" ht="15.75" customHeight="1">
      <c r="CE56" s="39"/>
    </row>
    <row r="57" ht="15.75" customHeight="1">
      <c r="CE57" s="39"/>
    </row>
    <row r="58" ht="15.75" customHeight="1">
      <c r="CE58" s="39"/>
    </row>
    <row r="59" ht="15.75" customHeight="1">
      <c r="CE59" s="39"/>
    </row>
    <row r="60" ht="15.75" customHeight="1">
      <c r="CE60" s="39"/>
    </row>
    <row r="61" ht="15.75" customHeight="1">
      <c r="CE61" s="39"/>
    </row>
    <row r="62" ht="15.75" customHeight="1">
      <c r="CE62" s="39"/>
    </row>
    <row r="63" ht="15.75" customHeight="1">
      <c r="CE63" s="39"/>
    </row>
    <row r="64" ht="15.75" customHeight="1">
      <c r="CE64" s="39"/>
    </row>
    <row r="65" ht="15.75" customHeight="1">
      <c r="CE65" s="39"/>
    </row>
    <row r="66" ht="15.75" customHeight="1">
      <c r="CE66" s="39"/>
    </row>
    <row r="67" ht="15.75" customHeight="1">
      <c r="CE67" s="39"/>
    </row>
    <row r="68" ht="15.75" customHeight="1">
      <c r="CE68" s="39"/>
    </row>
    <row r="69" ht="15.75" customHeight="1">
      <c r="CE69" s="39"/>
    </row>
    <row r="70" ht="15.75" customHeight="1">
      <c r="CE70" s="39"/>
    </row>
    <row r="71" ht="15.75" customHeight="1">
      <c r="CE71" s="39"/>
    </row>
    <row r="72" ht="15.75" customHeight="1">
      <c r="CE72" s="39"/>
    </row>
    <row r="73" ht="15.75" customHeight="1">
      <c r="CE73" s="39"/>
    </row>
    <row r="74" ht="15.75" customHeight="1">
      <c r="CE74" s="39"/>
    </row>
    <row r="75" ht="15.75" customHeight="1">
      <c r="CE75" s="39"/>
    </row>
    <row r="76" ht="15.75" customHeight="1">
      <c r="CE76" s="39"/>
    </row>
    <row r="77" ht="15.75" customHeight="1">
      <c r="CE77" s="39"/>
    </row>
    <row r="78" ht="15.75" customHeight="1">
      <c r="CE78" s="39"/>
    </row>
    <row r="79" ht="15.75" customHeight="1">
      <c r="CE79" s="39"/>
    </row>
    <row r="80" ht="15.75" customHeight="1">
      <c r="CE80" s="39"/>
    </row>
    <row r="81" ht="15.75" customHeight="1">
      <c r="CE81" s="39"/>
    </row>
    <row r="82" ht="15.75" customHeight="1">
      <c r="CE82" s="39"/>
    </row>
    <row r="83" ht="15.75" customHeight="1">
      <c r="CE83" s="39"/>
    </row>
    <row r="84" ht="15.75" customHeight="1">
      <c r="CE84" s="39"/>
    </row>
    <row r="85" ht="15.75" customHeight="1">
      <c r="CE85" s="39"/>
    </row>
    <row r="86" ht="15.75" customHeight="1">
      <c r="CE86" s="39"/>
    </row>
    <row r="87" ht="15.75" customHeight="1">
      <c r="CE87" s="39"/>
    </row>
    <row r="88" ht="15.75" customHeight="1">
      <c r="CE88" s="39"/>
    </row>
    <row r="89" ht="15.75" customHeight="1">
      <c r="CE89" s="39"/>
    </row>
    <row r="90" ht="15.75" customHeight="1">
      <c r="CE90" s="39"/>
    </row>
    <row r="91" ht="15.75" customHeight="1">
      <c r="CE91" s="39"/>
    </row>
    <row r="92" ht="15.75" customHeight="1">
      <c r="CE92" s="39"/>
    </row>
    <row r="93" ht="15.75" customHeight="1">
      <c r="CE93" s="39"/>
    </row>
    <row r="94" ht="15.75" customHeight="1">
      <c r="CE94" s="39"/>
    </row>
    <row r="95" ht="15.75" customHeight="1">
      <c r="CE95" s="39"/>
    </row>
    <row r="96" ht="15.75" customHeight="1">
      <c r="CE96" s="39"/>
    </row>
    <row r="97" ht="15.75" customHeight="1">
      <c r="CE97" s="39"/>
    </row>
    <row r="98" ht="15.75" customHeight="1">
      <c r="CE98" s="39"/>
    </row>
    <row r="99" ht="15.75" customHeight="1">
      <c r="CE99" s="39"/>
    </row>
    <row r="100" ht="15.75" customHeight="1">
      <c r="CE100" s="39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