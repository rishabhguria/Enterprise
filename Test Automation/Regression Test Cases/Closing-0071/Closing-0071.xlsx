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DataAllocation" sheetId="5" r:id="rId7"/>
    <sheet state="visible" name="CheckAllocatedGroups" sheetId="6" r:id="rId8"/>
    <sheet state="visible" name="CheckPortfolioManagement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ManualClosing" sheetId="11" r:id="rId13"/>
    <sheet state="visible" name="VerifyClosedTrades" sheetId="12" r:id="rId14"/>
  </sheets>
  <definedNames/>
  <calcPr/>
</workbook>
</file>

<file path=xl/sharedStrings.xml><?xml version="1.0" encoding="utf-8"?>
<sst xmlns="http://schemas.openxmlformats.org/spreadsheetml/2006/main" count="163" uniqueCount="43">
  <si>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</si>
  <si>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</si>
  <si>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</si>
  <si>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</si>
  <si>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</si>
  <si>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</si>
  <si>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</si>
  <si>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</si>
  <si>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</si>
  <si>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</si>
  <si>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</si>
  <si>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</si>
  <si>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</si>
  <si>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</si>
  <si>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</si>
  <si>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MSFT</t>
  </si>
  <si>
    <t>Allocation1</t>
  </si>
  <si>
    <t>Buy</t>
  </si>
  <si>
    <t>APPL</t>
  </si>
  <si>
    <t>Allocation2</t>
  </si>
  <si>
    <t>Sell</t>
  </si>
  <si>
    <t>Allocation</t>
  </si>
  <si>
    <t>GetDataAllocation</t>
  </si>
  <si>
    <t>Current</t>
  </si>
  <si>
    <t>CheckAllocatedGroups</t>
  </si>
  <si>
    <t>Equity</t>
  </si>
  <si>
    <t>USD</t>
  </si>
  <si>
    <t>NASDAQ</t>
  </si>
  <si>
    <t>US</t>
  </si>
  <si>
    <t>jpearce</t>
  </si>
  <si>
    <t>PortfolioManagement</t>
  </si>
  <si>
    <t>CheckPortfolioManagement</t>
  </si>
  <si>
    <t>Long</t>
  </si>
  <si>
    <t>Closing</t>
  </si>
  <si>
    <t>GetDataClosing</t>
  </si>
  <si>
    <t>VerifyLongPositionsGrid</t>
  </si>
  <si>
    <t>VerifyShortPositionsGrid</t>
  </si>
  <si>
    <t xml:space="preserve">
</t>
  </si>
  <si>
    <t>ManualClosing</t>
  </si>
  <si>
    <t>VerifyClosedTrades</t>
  </si>
  <si>
    <t>MANUAL</t>
  </si>
  <si>
    <t>Short</t>
  </si>
  <si>
    <t>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</si>
</sst>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s">
        <v>16</v>
      </c>
      <c r="D6" s="11" t="s">
        <v>17</v>
      </c>
      <c r="E6" s="30">
        <v>1000.0</v>
      </c>
      <c r="F6" s="8"/>
      <c r="G6" s="11">
        <v>100.0</v>
      </c>
      <c r="H6" s="8"/>
      <c r="I6" s="31">
        <f t="shared" ref="I6:I8" si="1">TODAY()</f>
        <v>45755</v>
      </c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19</v>
      </c>
      <c r="D7" s="11" t="s">
        <v>17</v>
      </c>
      <c r="E7" s="11">
        <v>500.0</v>
      </c>
      <c r="F7" s="8"/>
      <c r="G7" s="11">
        <v>75.0</v>
      </c>
      <c r="H7" s="8"/>
      <c r="I7" s="31">
        <f t="shared" si="1"/>
        <v>45755</v>
      </c>
      <c r="J7" s="8"/>
      <c r="K7" s="8"/>
      <c r="L7" s="8"/>
      <c r="M7" s="8"/>
      <c r="N7" s="8"/>
      <c r="O7" s="8"/>
    </row>
    <row r="8" ht="15.75" customHeight="1">
      <c r="A8" s="8"/>
      <c r="B8" s="11" t="s">
        <v>15</v>
      </c>
      <c r="C8" s="11" t="s">
        <v>16</v>
      </c>
      <c r="D8" s="11" t="s">
        <v>20</v>
      </c>
      <c r="E8" s="11">
        <v>400.0</v>
      </c>
      <c r="F8" s="8"/>
      <c r="G8" s="11">
        <v>100.0</v>
      </c>
      <c r="H8" s="8"/>
      <c r="I8" s="31">
        <f t="shared" si="1"/>
        <v>45755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  <col customWidth="1" min="31" max="31" width="20.25"/>
    <col customWidth="1" min="32" max="56" width="12.63"/>
    <col customWidth="1" min="57" max="57" width="18.13"/>
    <col customWidth="1" min="58" max="58" width="16.13"/>
    <col customWidth="1" min="59" max="59" width="17.13"/>
    <col customWidth="1" min="6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11">
        <v>400.0</v>
      </c>
      <c r="F6" s="8"/>
      <c r="G6" s="11" t="s">
        <v>25</v>
      </c>
      <c r="H6" s="8"/>
      <c r="I6" s="8"/>
      <c r="J6" s="11">
        <v>1.0</v>
      </c>
      <c r="K6" s="8"/>
      <c r="L6" s="11">
        <v>100.0</v>
      </c>
      <c r="M6" s="11"/>
      <c r="N6" s="8"/>
      <c r="O6" s="8"/>
      <c r="Q6" s="9">
        <v>3.0</v>
      </c>
      <c r="Z6" s="9" t="s">
        <v>26</v>
      </c>
      <c r="AD6" s="9" t="s">
        <v>27</v>
      </c>
      <c r="AE6" s="9">
        <v>400.0</v>
      </c>
      <c r="AI6" s="9">
        <v>1.0</v>
      </c>
      <c r="AT6" s="32">
        <v>40000.0</v>
      </c>
      <c r="AU6" s="32">
        <v>40000.0</v>
      </c>
      <c r="BE6" s="32">
        <v>40000.0</v>
      </c>
      <c r="BF6" s="32">
        <v>40000.0</v>
      </c>
      <c r="BG6" s="33"/>
      <c r="BM6" s="9" t="s">
        <v>26</v>
      </c>
      <c r="BO6" s="9" t="s">
        <v>20</v>
      </c>
      <c r="BT6" s="9" t="s">
        <v>15</v>
      </c>
      <c r="CE6" s="34"/>
      <c r="CK6" s="9" t="s">
        <v>28</v>
      </c>
      <c r="CN6" s="9" t="s">
        <v>29</v>
      </c>
      <c r="CR6" s="9"/>
    </row>
    <row r="7" ht="15.75" customHeight="1">
      <c r="A7" s="8"/>
      <c r="B7" s="11" t="s">
        <v>19</v>
      </c>
      <c r="C7" s="8"/>
      <c r="D7" s="8"/>
      <c r="E7" s="11">
        <v>500.0</v>
      </c>
      <c r="F7" s="8"/>
      <c r="G7" s="11" t="s">
        <v>25</v>
      </c>
      <c r="H7" s="8"/>
      <c r="I7" s="8"/>
      <c r="J7" s="11">
        <v>1.0</v>
      </c>
      <c r="K7" s="8"/>
      <c r="L7" s="11">
        <v>75.0</v>
      </c>
      <c r="M7" s="11"/>
      <c r="N7" s="8"/>
      <c r="O7" s="8"/>
      <c r="Q7" s="9">
        <v>3.0</v>
      </c>
      <c r="Z7" s="9" t="s">
        <v>26</v>
      </c>
      <c r="AD7" s="9" t="s">
        <v>27</v>
      </c>
      <c r="AE7" s="9">
        <v>500.0</v>
      </c>
      <c r="AI7" s="9">
        <v>1.0</v>
      </c>
      <c r="AT7" s="32">
        <v>37500.0</v>
      </c>
      <c r="AU7" s="32">
        <v>37500.0</v>
      </c>
      <c r="BE7" s="32">
        <v>37500.0</v>
      </c>
      <c r="BF7" s="32">
        <v>37500.0</v>
      </c>
      <c r="BG7" s="33"/>
      <c r="BM7" s="9" t="s">
        <v>26</v>
      </c>
      <c r="BO7" s="9" t="s">
        <v>17</v>
      </c>
      <c r="BT7" s="9" t="s">
        <v>18</v>
      </c>
      <c r="CE7" s="34"/>
      <c r="CK7" s="9" t="s">
        <v>28</v>
      </c>
      <c r="CN7" s="9" t="s">
        <v>29</v>
      </c>
      <c r="CR7" s="9"/>
    </row>
    <row r="8" ht="15.75" customHeight="1">
      <c r="A8" s="8"/>
      <c r="B8" s="11" t="s">
        <v>16</v>
      </c>
      <c r="C8" s="8"/>
      <c r="D8" s="8"/>
      <c r="E8" s="11">
        <v>1000.0</v>
      </c>
      <c r="F8" s="8"/>
      <c r="G8" s="11" t="s">
        <v>25</v>
      </c>
      <c r="H8" s="8"/>
      <c r="I8" s="8"/>
      <c r="J8" s="11">
        <v>1.0</v>
      </c>
      <c r="K8" s="8"/>
      <c r="L8" s="11">
        <v>100.0</v>
      </c>
      <c r="M8" s="11"/>
      <c r="N8" s="8"/>
      <c r="O8" s="8"/>
      <c r="Q8" s="9">
        <v>3.0</v>
      </c>
      <c r="Z8" s="9" t="s">
        <v>26</v>
      </c>
      <c r="AD8" s="9" t="s">
        <v>27</v>
      </c>
      <c r="AE8" s="32">
        <v>1000.0</v>
      </c>
      <c r="AI8" s="9">
        <v>1.0</v>
      </c>
      <c r="AT8" s="32">
        <v>100000.0</v>
      </c>
      <c r="AU8" s="32">
        <v>100000.0</v>
      </c>
      <c r="BE8" s="32">
        <v>100000.0</v>
      </c>
      <c r="BF8" s="32">
        <v>100000.0</v>
      </c>
      <c r="BG8" s="9"/>
      <c r="BM8" s="9" t="s">
        <v>26</v>
      </c>
      <c r="BO8" s="9" t="s">
        <v>17</v>
      </c>
      <c r="BT8" s="9" t="s">
        <v>15</v>
      </c>
      <c r="CE8" s="34"/>
      <c r="CK8" s="9" t="s">
        <v>28</v>
      </c>
      <c r="CN8" s="9" t="s">
        <v>29</v>
      </c>
      <c r="CR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</row>
    <row r="6" ht="15.75" customHeight="1">
      <c r="A6" s="11"/>
      <c r="B6" s="11"/>
      <c r="C6" s="11" t="s">
        <v>15</v>
      </c>
      <c r="D6" s="11">
        <v>-400.0</v>
      </c>
      <c r="E6" s="11" t="s">
        <v>16</v>
      </c>
      <c r="F6" s="8"/>
      <c r="G6" s="8"/>
      <c r="H6" s="11" t="s">
        <v>32</v>
      </c>
      <c r="I6" s="8"/>
      <c r="J6" s="8"/>
      <c r="K6" s="8"/>
      <c r="L6" s="8"/>
      <c r="M6" s="8"/>
      <c r="N6" s="8"/>
      <c r="O6" s="8"/>
      <c r="T6" s="9" t="s">
        <v>25</v>
      </c>
      <c r="AN6" s="9" t="s">
        <v>20</v>
      </c>
    </row>
    <row r="7" ht="15.75" customHeight="1">
      <c r="A7" s="8"/>
      <c r="B7" s="8"/>
      <c r="C7" s="11" t="s">
        <v>15</v>
      </c>
      <c r="D7" s="11">
        <v>1000.0</v>
      </c>
      <c r="E7" s="11" t="s">
        <v>16</v>
      </c>
      <c r="F7" s="8"/>
      <c r="G7" s="8"/>
      <c r="H7" s="11" t="s">
        <v>32</v>
      </c>
      <c r="I7" s="8"/>
      <c r="J7" s="8"/>
      <c r="K7" s="8"/>
      <c r="L7" s="8"/>
      <c r="M7" s="8"/>
      <c r="N7" s="8"/>
      <c r="O7" s="8"/>
      <c r="T7" s="9" t="s">
        <v>25</v>
      </c>
      <c r="AN7" s="9" t="s">
        <v>17</v>
      </c>
    </row>
    <row r="8" ht="15.75" customHeight="1">
      <c r="A8" s="8"/>
      <c r="B8" s="8"/>
      <c r="C8" s="11" t="s">
        <v>18</v>
      </c>
      <c r="D8" s="11">
        <v>500.0</v>
      </c>
      <c r="E8" s="11" t="s">
        <v>19</v>
      </c>
      <c r="F8" s="8"/>
      <c r="G8" s="8"/>
      <c r="H8" s="11" t="s">
        <v>32</v>
      </c>
      <c r="I8" s="8"/>
      <c r="J8" s="8"/>
      <c r="K8" s="8"/>
      <c r="L8" s="8"/>
      <c r="M8" s="8"/>
      <c r="N8" s="8"/>
      <c r="O8" s="8"/>
      <c r="T8" s="9" t="s">
        <v>25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25</v>
      </c>
      <c r="D6" s="11"/>
      <c r="E6" s="30"/>
      <c r="F6" s="8"/>
      <c r="G6" s="8"/>
      <c r="H6" s="11">
        <v>100000.0</v>
      </c>
      <c r="I6" s="11">
        <v>100.0</v>
      </c>
      <c r="J6" s="35"/>
      <c r="K6" s="8"/>
      <c r="L6" s="8"/>
      <c r="M6" s="11">
        <v>1000.0</v>
      </c>
      <c r="N6" s="8"/>
      <c r="O6" s="11" t="s">
        <v>26</v>
      </c>
      <c r="P6" s="9" t="s">
        <v>17</v>
      </c>
      <c r="R6" s="9" t="s">
        <v>15</v>
      </c>
      <c r="U6" s="36"/>
      <c r="X6" s="9">
        <v>100.0</v>
      </c>
      <c r="Y6" s="9">
        <v>100.0</v>
      </c>
      <c r="Z6" s="9">
        <v>100.0</v>
      </c>
    </row>
    <row r="7" ht="15.75" customHeight="1">
      <c r="A7" s="8"/>
      <c r="B7" s="11" t="s">
        <v>19</v>
      </c>
      <c r="C7" s="11" t="s">
        <v>25</v>
      </c>
      <c r="D7" s="8"/>
      <c r="E7" s="8"/>
      <c r="F7" s="8"/>
      <c r="G7" s="8"/>
      <c r="H7" s="11">
        <v>37500.0</v>
      </c>
      <c r="I7" s="11">
        <v>75.0</v>
      </c>
      <c r="J7" s="35"/>
      <c r="K7" s="8"/>
      <c r="L7" s="8"/>
      <c r="M7" s="11">
        <v>500.0</v>
      </c>
      <c r="N7" s="8"/>
      <c r="O7" s="11" t="s">
        <v>26</v>
      </c>
      <c r="P7" s="9" t="s">
        <v>17</v>
      </c>
      <c r="R7" s="9" t="s">
        <v>18</v>
      </c>
      <c r="U7" s="36"/>
      <c r="X7" s="9">
        <v>75.0</v>
      </c>
      <c r="Y7" s="9">
        <v>75.0</v>
      </c>
      <c r="Z7" s="9">
        <v>75.0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6.5" customHeight="1">
      <c r="A6" s="11"/>
      <c r="B6" s="11" t="s">
        <v>16</v>
      </c>
      <c r="C6" s="11" t="s">
        <v>25</v>
      </c>
      <c r="D6" s="11"/>
      <c r="E6" s="30"/>
      <c r="F6" s="8"/>
      <c r="G6" s="8"/>
      <c r="H6" s="11">
        <v>40000.0</v>
      </c>
      <c r="I6" s="11">
        <v>100.0</v>
      </c>
      <c r="J6" s="35"/>
      <c r="K6" s="8"/>
      <c r="L6" s="8"/>
      <c r="M6" s="11">
        <v>400.0</v>
      </c>
      <c r="N6" s="8"/>
      <c r="O6" s="11" t="s">
        <v>26</v>
      </c>
      <c r="P6" s="9" t="s">
        <v>20</v>
      </c>
      <c r="R6" s="9" t="s">
        <v>15</v>
      </c>
      <c r="U6" s="9" t="s">
        <v>37</v>
      </c>
      <c r="X6" s="9">
        <v>100.0</v>
      </c>
      <c r="Y6" s="9">
        <v>100.0</v>
      </c>
      <c r="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7" width="12.63"/>
    <col customWidth="1" min="38" max="38" width="16.25"/>
    <col customWidth="1" min="3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16</v>
      </c>
      <c r="E6" s="11" t="s">
        <v>25</v>
      </c>
      <c r="F6" s="8"/>
      <c r="G6" s="8"/>
      <c r="H6" s="8"/>
      <c r="I6" s="8"/>
      <c r="J6" s="11">
        <v>100000.0</v>
      </c>
      <c r="K6" s="11">
        <v>100.0</v>
      </c>
      <c r="L6" s="8"/>
      <c r="M6" s="8"/>
      <c r="N6" s="8"/>
      <c r="O6" s="11">
        <v>1000.0</v>
      </c>
      <c r="V6" s="9" t="s">
        <v>17</v>
      </c>
      <c r="X6" s="9" t="s">
        <v>15</v>
      </c>
      <c r="AE6" s="9" t="s">
        <v>16</v>
      </c>
      <c r="AF6" s="9" t="s">
        <v>25</v>
      </c>
      <c r="AK6" s="9">
        <v>40000.0</v>
      </c>
      <c r="AL6" s="9">
        <v>100.0</v>
      </c>
      <c r="AP6" s="9">
        <v>400.0</v>
      </c>
      <c r="AW6" s="9" t="s">
        <v>20</v>
      </c>
      <c r="AY6" s="9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  <col customWidth="1" min="31" max="31" width="17.38"/>
    <col customWidth="1" min="3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>
        <f>TODAY()</f>
        <v>45755</v>
      </c>
      <c r="D6" s="11" t="s">
        <v>16</v>
      </c>
      <c r="E6" s="30"/>
      <c r="F6" s="11" t="s">
        <v>32</v>
      </c>
      <c r="G6" s="11" t="s">
        <v>25</v>
      </c>
      <c r="H6" s="11" t="s">
        <v>15</v>
      </c>
      <c r="I6" s="11">
        <v>400.0</v>
      </c>
      <c r="J6" s="11">
        <v>100.0</v>
      </c>
      <c r="K6" s="11">
        <v>100.0</v>
      </c>
      <c r="L6" s="8"/>
      <c r="M6" s="8"/>
      <c r="N6" s="11" t="s">
        <v>27</v>
      </c>
      <c r="O6" s="11" t="s">
        <v>32</v>
      </c>
      <c r="Q6" s="9" t="s">
        <v>20</v>
      </c>
      <c r="R6" s="9" t="s">
        <v>40</v>
      </c>
      <c r="X6" s="9" t="s">
        <v>28</v>
      </c>
      <c r="Z6" s="9" t="s">
        <v>26</v>
      </c>
      <c r="AE6" s="9" t="s">
        <v>41</v>
      </c>
      <c r="AF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