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ReplaceSubOrder" sheetId="12" r:id="rId14"/>
    <sheet state="visible" name="CustomOrderTT1" sheetId="13" r:id="rId15"/>
    <sheet state="visible" name="SelectTradeOnOrderGrid1" sheetId="14" r:id="rId16"/>
    <sheet state="visible" name="ReplaceSubOrder1" sheetId="15" r:id="rId17"/>
    <sheet state="visible" name="CustomOrderTT2" sheetId="16" r:id="rId18"/>
    <sheet state="visible" name="TransferToUserOrder" sheetId="17" r:id="rId19"/>
    <sheet state="visible" name="CheckAllocatedGroups" sheetId="18" r:id="rId20"/>
    <sheet state="visible" name="CheckAllocatedTaxlots" sheetId="19" r:id="rId21"/>
  </sheets>
  <definedNames/>
  <calcPr/>
</workbook>
</file>

<file path=xl/sharedStrings.xml><?xml version="1.0" encoding="utf-8"?>
<sst xmlns="http://schemas.openxmlformats.org/spreadsheetml/2006/main" count="653" uniqueCount="61">
  <si>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</si>
  <si>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</si>
  <si>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</si>
  <si>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</si>
  <si>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</si>
  <si>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</si>
  <si>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</si>
  <si>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</si>
  <si>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</si>
  <si>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</si>
  <si>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</si>
  <si>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</si>
  <si>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</si>
  <si>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</si>
  <si>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</si>
  <si>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</si>
  <si>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</si>
  <si>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</si>
  <si>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</si>
  <si>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</si>
  <si>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</si>
  <si>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</si>
  <si>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</si>
  <si>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</si>
  <si>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</si>
  <si>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</si>
  <si>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</si>
  <si>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</si>
  <si>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</si>
  <si>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TransferToUserOrder</t>
  </si>
  <si>
    <t>jgulbrandsen</t>
  </si>
  <si>
    <t>Yes</t>
  </si>
  <si>
    <t>Allocation</t>
  </si>
  <si>
    <t>CheckAllocatedGroups</t>
  </si>
  <si>
    <t/>
  </si>
  <si>
    <t>Allocation1</t>
  </si>
  <si>
    <t>Actual_365</t>
  </si>
  <si>
    <t>Manual</t>
  </si>
  <si>
    <t>Equity</t>
  </si>
  <si>
    <t>ASX US EQUITY</t>
  </si>
  <si>
    <t>Treasury</t>
  </si>
  <si>
    <t>MS</t>
  </si>
  <si>
    <t>Open</t>
  </si>
  <si>
    <t>ADV SEMICND SP.ADR</t>
  </si>
  <si>
    <t>USD</t>
  </si>
  <si>
    <t>00756M404</t>
  </si>
  <si>
    <t>BrokerNotes</t>
  </si>
  <si>
    <t>NYSE</t>
  </si>
  <si>
    <t>M</t>
  </si>
  <si>
    <t>None</t>
  </si>
  <si>
    <t>DefaultNotes</t>
  </si>
  <si>
    <t>US00756M4042</t>
  </si>
  <si>
    <t>Limit</t>
  </si>
  <si>
    <t>InternalOrder</t>
  </si>
  <si>
    <t>Strategy Unallocated</t>
  </si>
  <si>
    <t>GCCAP1</t>
  </si>
  <si>
    <t>US</t>
  </si>
  <si>
    <t>NASDAQ</t>
  </si>
  <si>
    <t>NONE</t>
  </si>
  <si>
    <t>NewMF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</si>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</sst>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2" numFmtId="14" xfId="0" applyFont="1" applyNumberFormat="1"/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0"/>
      <c r="E6" s="33" t="s">
        <v>17</v>
      </c>
      <c r="F6" s="34"/>
      <c r="G6" s="34"/>
      <c r="H6" s="34"/>
      <c r="I6" s="34"/>
      <c r="J6" s="33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/>
      <c r="W6" s="34"/>
      <c r="X6" s="35">
        <v>100.0</v>
      </c>
      <c r="Y6" s="36">
        <f>TODAY()+2</f>
        <v>45302</v>
      </c>
      <c r="Z6" s="36">
        <f t="shared" ref="Z6:Z7" si="1">TODAY()-1</f>
        <v>45299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16</v>
      </c>
      <c r="C7" s="32">
        <v>1001.0</v>
      </c>
      <c r="D7" s="34"/>
      <c r="E7" s="33" t="s">
        <v>17</v>
      </c>
      <c r="F7" s="34"/>
      <c r="G7" s="34"/>
      <c r="H7" s="34"/>
      <c r="I7" s="34"/>
      <c r="J7" s="33" t="s">
        <v>18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20</v>
      </c>
      <c r="V7" s="34"/>
      <c r="W7" s="34"/>
      <c r="X7" s="35">
        <v>100.0</v>
      </c>
      <c r="Y7" s="34"/>
      <c r="Z7" s="36">
        <f t="shared" si="1"/>
        <v>45299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8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8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1200.0</v>
      </c>
      <c r="D6" s="12"/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12">
        <v>1001.0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1201.0</v>
      </c>
      <c r="D6" s="12"/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19</v>
      </c>
      <c r="Y6" s="39">
        <f>TODAY()+2</f>
        <v>45302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 t="s">
        <v>18</v>
      </c>
      <c r="AK6" s="34"/>
      <c r="AL6" s="40">
        <v>1200.0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30</v>
      </c>
      <c r="AY6" s="34"/>
      <c r="AZ6" s="34" t="s">
        <v>31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16</v>
      </c>
      <c r="AJ7" s="34" t="s">
        <v>18</v>
      </c>
      <c r="AK7" s="34"/>
      <c r="AL7" s="40">
        <v>1201.0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 t="s">
        <v>30</v>
      </c>
      <c r="AY7" s="34"/>
      <c r="AZ7" s="34" t="s">
        <v>31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34</v>
      </c>
      <c r="B6" s="41" t="s">
        <v>35</v>
      </c>
      <c r="C6" s="8" t="s">
        <v>36</v>
      </c>
      <c r="D6" s="41"/>
      <c r="E6" s="8">
        <v>500.0</v>
      </c>
      <c r="F6" s="8" t="s">
        <v>37</v>
      </c>
      <c r="G6" s="8" t="s">
        <v>38</v>
      </c>
      <c r="H6" s="8">
        <v>54.0</v>
      </c>
      <c r="I6" s="8"/>
      <c r="J6" s="8">
        <v>15.0</v>
      </c>
      <c r="K6" s="8">
        <v>12.0</v>
      </c>
      <c r="L6" s="8">
        <v>12.0</v>
      </c>
      <c r="M6" s="8" t="s">
        <v>39</v>
      </c>
      <c r="N6" s="8" t="s">
        <v>40</v>
      </c>
      <c r="O6" s="8" t="s">
        <v>41</v>
      </c>
      <c r="Q6">
        <v>3.0</v>
      </c>
      <c r="S6" t="s">
        <v>42</v>
      </c>
      <c r="V6" t="s">
        <v>43</v>
      </c>
      <c r="W6">
        <v>1.0</v>
      </c>
      <c r="Y6" t="s">
        <v>34</v>
      </c>
      <c r="Z6" t="s">
        <v>44</v>
      </c>
      <c r="AA6" t="s">
        <v>45</v>
      </c>
      <c r="AB6">
        <v>1.0</v>
      </c>
      <c r="AC6" t="s">
        <v>46</v>
      </c>
      <c r="AD6" t="s">
        <v>47</v>
      </c>
      <c r="AE6">
        <v>500.0</v>
      </c>
      <c r="AF6" t="s">
        <v>34</v>
      </c>
      <c r="AH6" t="s">
        <v>48</v>
      </c>
      <c r="AI6">
        <v>1.0</v>
      </c>
      <c r="AJ6" t="s">
        <v>49</v>
      </c>
      <c r="AM6" t="s">
        <v>50</v>
      </c>
      <c r="AN6" t="b">
        <v>0</v>
      </c>
      <c r="AO6" t="s">
        <v>51</v>
      </c>
      <c r="AP6" t="b">
        <v>0</v>
      </c>
      <c r="AQ6" t="b">
        <v>0</v>
      </c>
      <c r="AR6" t="b">
        <v>1</v>
      </c>
      <c r="AT6">
        <v>6056.05</v>
      </c>
      <c r="AU6">
        <v>6056.05</v>
      </c>
      <c r="AY6" t="s">
        <v>52</v>
      </c>
      <c r="BD6" t="s">
        <v>53</v>
      </c>
      <c r="BE6">
        <v>6000.0</v>
      </c>
      <c r="BF6">
        <v>6000.0</v>
      </c>
      <c r="BJ6">
        <v>1200.0</v>
      </c>
      <c r="BL6" t="s">
        <v>34</v>
      </c>
      <c r="BM6" t="s">
        <v>44</v>
      </c>
      <c r="BO6" t="s">
        <v>18</v>
      </c>
      <c r="BR6">
        <v>1.05</v>
      </c>
      <c r="BS6" t="s">
        <v>54</v>
      </c>
      <c r="BT6" t="s">
        <v>16</v>
      </c>
      <c r="BU6">
        <v>1.0</v>
      </c>
      <c r="BW6">
        <v>56.05</v>
      </c>
      <c r="CF6" t="s">
        <v>55</v>
      </c>
      <c r="CH6" t="s">
        <v>12</v>
      </c>
      <c r="CI6" t="s">
        <v>18</v>
      </c>
      <c r="CK6" t="s">
        <v>56</v>
      </c>
      <c r="CL6">
        <v>1.0</v>
      </c>
      <c r="CM6" t="s">
        <v>16</v>
      </c>
      <c r="CN6" t="s">
        <v>30</v>
      </c>
      <c r="CO6" t="s">
        <v>57</v>
      </c>
      <c r="CP6" t="s">
        <v>58</v>
      </c>
      <c r="CS6" t="s">
        <v>34</v>
      </c>
      <c r="CX6" t="s">
        <v>59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34</v>
      </c>
      <c r="B7" s="8" t="s">
        <v>35</v>
      </c>
      <c r="C7" s="8" t="s">
        <v>36</v>
      </c>
      <c r="D7" s="8"/>
      <c r="E7" s="8">
        <v>500.0</v>
      </c>
      <c r="F7" s="8" t="s">
        <v>37</v>
      </c>
      <c r="G7" s="8" t="s">
        <v>38</v>
      </c>
      <c r="H7" s="8">
        <v>54.0</v>
      </c>
      <c r="I7" s="8"/>
      <c r="J7" s="8">
        <v>15.0</v>
      </c>
      <c r="K7" s="8">
        <v>12.0</v>
      </c>
      <c r="L7" s="8">
        <v>12.0</v>
      </c>
      <c r="M7" s="8" t="s">
        <v>39</v>
      </c>
      <c r="N7" s="8" t="s">
        <v>40</v>
      </c>
      <c r="O7" s="8" t="s">
        <v>41</v>
      </c>
      <c r="Q7">
        <v>3.0</v>
      </c>
      <c r="S7" t="s">
        <v>42</v>
      </c>
      <c r="V7" t="s">
        <v>43</v>
      </c>
      <c r="W7">
        <v>1.0</v>
      </c>
      <c r="Y7" t="s">
        <v>34</v>
      </c>
      <c r="Z7" t="s">
        <v>44</v>
      </c>
      <c r="AA7" t="s">
        <v>45</v>
      </c>
      <c r="AB7">
        <v>1.0</v>
      </c>
      <c r="AC7" t="s">
        <v>46</v>
      </c>
      <c r="AD7" t="s">
        <v>47</v>
      </c>
      <c r="AE7">
        <v>500.0</v>
      </c>
      <c r="AF7" t="s">
        <v>34</v>
      </c>
      <c r="AH7" t="s">
        <v>48</v>
      </c>
      <c r="AI7">
        <v>1.0</v>
      </c>
      <c r="AJ7" t="s">
        <v>49</v>
      </c>
      <c r="AM7" t="s">
        <v>50</v>
      </c>
      <c r="AN7" t="b">
        <v>0</v>
      </c>
      <c r="AO7" t="s">
        <v>51</v>
      </c>
      <c r="AP7" t="b">
        <v>0</v>
      </c>
      <c r="AQ7" t="b">
        <v>0</v>
      </c>
      <c r="AR7" t="b">
        <v>1</v>
      </c>
      <c r="AT7">
        <v>6056.05</v>
      </c>
      <c r="AU7">
        <v>6056.05</v>
      </c>
      <c r="AY7" t="s">
        <v>52</v>
      </c>
      <c r="BD7" t="s">
        <v>53</v>
      </c>
      <c r="BE7">
        <v>6000.0</v>
      </c>
      <c r="BF7">
        <v>6000.0</v>
      </c>
      <c r="BJ7">
        <v>1201.0</v>
      </c>
      <c r="BL7" t="s">
        <v>34</v>
      </c>
      <c r="BM7" t="s">
        <v>44</v>
      </c>
      <c r="BO7" t="s">
        <v>18</v>
      </c>
      <c r="BR7">
        <v>1.05</v>
      </c>
      <c r="BS7" t="s">
        <v>54</v>
      </c>
      <c r="BT7" t="s">
        <v>16</v>
      </c>
      <c r="BU7">
        <v>1.0</v>
      </c>
      <c r="BW7">
        <v>56.05</v>
      </c>
      <c r="CF7" t="s">
        <v>55</v>
      </c>
      <c r="CH7" t="s">
        <v>12</v>
      </c>
      <c r="CI7" t="s">
        <v>18</v>
      </c>
      <c r="CK7" t="s">
        <v>56</v>
      </c>
      <c r="CL7">
        <v>1.0</v>
      </c>
      <c r="CM7" t="s">
        <v>16</v>
      </c>
      <c r="CN7" t="s">
        <v>30</v>
      </c>
      <c r="CO7" t="s">
        <v>57</v>
      </c>
      <c r="CP7" t="s">
        <v>58</v>
      </c>
      <c r="CS7" t="s">
        <v>34</v>
      </c>
      <c r="CX7" t="s">
        <v>59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34</v>
      </c>
      <c r="B6" s="41">
        <v>6056.05</v>
      </c>
      <c r="C6" s="8">
        <v>6056.05</v>
      </c>
      <c r="D6" s="41">
        <v>6000.0</v>
      </c>
      <c r="E6" s="8">
        <v>6000.0</v>
      </c>
      <c r="F6" s="8" t="s">
        <v>48</v>
      </c>
      <c r="G6" s="8"/>
      <c r="H6" s="8" t="s">
        <v>44</v>
      </c>
      <c r="I6" s="8"/>
      <c r="J6" s="8"/>
      <c r="K6" s="8"/>
      <c r="L6" s="8"/>
      <c r="M6" s="8"/>
      <c r="N6" s="8"/>
      <c r="O6" s="8" t="s">
        <v>35</v>
      </c>
      <c r="P6" t="s">
        <v>54</v>
      </c>
      <c r="Q6">
        <v>100.0</v>
      </c>
      <c r="R6">
        <v>500.0</v>
      </c>
      <c r="W6">
        <v>1.05</v>
      </c>
      <c r="Y6">
        <v>54.0</v>
      </c>
      <c r="Z6">
        <v>1.0</v>
      </c>
      <c r="AF6" t="s">
        <v>42</v>
      </c>
      <c r="AI6">
        <v>12.0</v>
      </c>
      <c r="AK6">
        <v>1.0</v>
      </c>
      <c r="AL6">
        <v>3.0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34</v>
      </c>
      <c r="B7" s="8">
        <v>6056.05</v>
      </c>
      <c r="C7" s="8">
        <v>6056.05</v>
      </c>
      <c r="D7" s="8">
        <v>6000.0</v>
      </c>
      <c r="E7" s="8">
        <v>6000.0</v>
      </c>
      <c r="F7" s="8" t="s">
        <v>48</v>
      </c>
      <c r="G7" s="8"/>
      <c r="H7" s="8" t="s">
        <v>44</v>
      </c>
      <c r="I7" s="8"/>
      <c r="J7" s="8"/>
      <c r="K7" s="8"/>
      <c r="L7" s="8"/>
      <c r="M7" s="8"/>
      <c r="N7" s="8"/>
      <c r="O7" s="8" t="s">
        <v>35</v>
      </c>
      <c r="P7" t="s">
        <v>54</v>
      </c>
      <c r="Q7">
        <v>100.0</v>
      </c>
      <c r="R7">
        <v>500.0</v>
      </c>
      <c r="W7">
        <v>1.05</v>
      </c>
      <c r="Y7">
        <v>54.0</v>
      </c>
      <c r="Z7">
        <v>1.0</v>
      </c>
      <c r="AF7" t="s">
        <v>42</v>
      </c>
      <c r="AI7">
        <v>12.0</v>
      </c>
      <c r="AK7">
        <v>1.0</v>
      </c>
      <c r="AL7">
        <v>3.0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