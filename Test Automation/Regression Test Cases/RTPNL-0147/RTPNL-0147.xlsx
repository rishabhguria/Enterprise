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AddWidget2" sheetId="8" r:id="rId10"/>
    <sheet state="visible" name="VerifyToastMessage" sheetId="9" r:id="rId11"/>
    <sheet state="visible" name="CreateGroupingWidget1" sheetId="10" r:id="rId12"/>
    <sheet state="visible" name="AddWidget1" sheetId="11" r:id="rId13"/>
    <sheet state="visible" name="CreateGroupingWidget2" sheetId="12" r:id="rId14"/>
    <sheet state="visible" name="VerifyColumns" sheetId="13" r:id="rId15"/>
    <sheet state="visible" name="VerifyL1L2PanelRTPNL" sheetId="14" r:id="rId16"/>
    <sheet state="visible" name="CloseRTPNL" sheetId="15" r:id="rId17"/>
    <sheet state="visible" name="OpenRTPNL1" sheetId="16" r:id="rId18"/>
  </sheets>
  <definedNames/>
  <calcPr/>
</workbook>
</file>

<file path=xl/sharedStrings.xml><?xml version="1.0" encoding="utf-8"?>
<sst xmlns="http://schemas.openxmlformats.org/spreadsheetml/2006/main" count="134" uniqueCount="41">
  <si>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</si>
  <si>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</si>
  <si>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</si>
  <si>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</si>
  <si>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</si>
  <si>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</si>
  <si>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</si>
  <si>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</si>
  <si>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</si>
  <si>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</si>
  <si>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</si>
  <si>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</si>
  <si>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</si>
  <si>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</si>
  <si>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</si>
  <si>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</si>
  <si>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</si>
  <si>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</si>
  <si>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</si>
  <si>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</si>
  <si>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</si>
  <si>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</si>
  <si>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</si>
  <si>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</si>
  <si>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 xml:space="preserve">    AcctSym</t>
  </si>
  <si>
    <t>Grouping</t>
  </si>
  <si>
    <t>Symbol</t>
  </si>
  <si>
    <t>CreateGroupingWidget</t>
  </si>
  <si>
    <t>Day P&amp;L (Base)</t>
  </si>
  <si>
    <t>Create</t>
  </si>
  <si>
    <t>AcctSym</t>
  </si>
  <si>
    <t>OpenFin</t>
  </si>
  <si>
    <t>VerifyToastMessage</t>
  </si>
  <si>
    <t>Title already exists. Please update with a different title.</t>
  </si>
  <si>
    <t>Back</t>
  </si>
  <si>
    <t>AcctSym1</t>
  </si>
  <si>
    <t>VerifyColumns</t>
  </si>
  <si>
    <t>VerifyL1L2PanelRTPNL</t>
  </si>
  <si>
    <t>CloseRTPNL</t>
  </si>
  <si>
    <t>Nirvana,yash</t>
  </si>
  <si>
    <t>Discard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</si>
</sst>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32" t="s">
        <v>22</v>
      </c>
      <c r="D6" s="33"/>
      <c r="E6" s="3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22</v>
      </c>
      <c r="C6" s="35" t="s">
        <v>24</v>
      </c>
      <c r="D6" s="33"/>
      <c r="E6" s="32" t="s">
        <v>25</v>
      </c>
      <c r="F6" s="32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IFERROR(__xludf.DUMMYFUNCTION("""COMPUTED_VALUE"""),"Chip 1")</f>
        <v>Chip 1</v>
      </c>
      <c r="C5" s="28" t="str">
        <f>IFERROR(__xludf.DUMMYFUNCTION("""COMPUTED_VALUE"""),"Chip 2")</f>
        <v>Chip 2</v>
      </c>
      <c r="D5" s="28" t="str">
        <f>IFERROR(__xludf.DUMMYFUNCTION("""COMPUTED_VALUE"""),"Chip 3")</f>
        <v>Chip 3</v>
      </c>
      <c r="E5" s="28" t="str">
        <f>IFERROR(__xludf.DUMMYFUNCTION("""COMPUTED_VALUE"""),"MakeColumFavourite")</f>
        <v>MakeColumFavourite</v>
      </c>
      <c r="F5" s="29" t="str">
        <f>IFERROR(__xludf.DUMMYFUNCTION("""COMPUTED_VALUE"""),"MakeColumnUnfavourite")</f>
        <v>MakeColumnUnfavourite</v>
      </c>
      <c r="G5" s="28" t="str">
        <f>IFERROR(__xludf.DUMMYFUNCTION("""COMPUTED_VALUE"""),"ColumnsToAdd")</f>
        <v>ColumnsToAdd</v>
      </c>
      <c r="H5" s="28" t="str">
        <f>IFERROR(__xludf.DUMMYFUNCTION("""COMPUTED_VALUE"""),"Verify Chip Values")</f>
        <v>Verify Chip Values</v>
      </c>
      <c r="I5" s="28" t="str">
        <f>IFERROR(__xludf.DUMMYFUNCTION("""COMPUTED_VALUE"""),"NextAction")</f>
        <v>NextAction</v>
      </c>
      <c r="J5" s="28" t="str">
        <f>IFERROR(__xludf.DUMMYFUNCTION("""COMPUTED_VALUE"""),"VerifyActionButtonVisibility")</f>
        <v>VerifyActionButtonVisibility</v>
      </c>
      <c r="K5" s="28" t="str">
        <f>IFERROR(__xludf.DUMMYFUNCTION("""COMPUTED_VALUE"""),"FlashButton")</f>
        <v>FlashButton</v>
      </c>
      <c r="L5" s="28" t="str">
        <f>IFERROR(__xludf.DUMMYFUNCTION("""COMPUTED_VALUE"""),"ColumnsToCheckForFlash")</f>
        <v>ColumnsToCheckForFlash</v>
      </c>
      <c r="M5" s="28" t="str">
        <f>IFERROR(__xludf.DUMMYFUNCTION("""COMPUTED_VALUE"""),"LinkWidgetColor")</f>
        <v>LinkWidgetColor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7"/>
      <c r="F6" s="8"/>
      <c r="G6" s="13" t="s">
        <v>28</v>
      </c>
      <c r="H6" s="8"/>
      <c r="I6" s="3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22</v>
      </c>
      <c r="C6" s="35" t="s">
        <v>30</v>
      </c>
      <c r="D6" s="33"/>
      <c r="E6" s="32" t="s">
        <v>25</v>
      </c>
      <c r="F6" s="32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IFERROR(__xludf.DUMMYFUNCTION("""COMPUTED_VALUE"""),"Chip 1")</f>
        <v>Chip 1</v>
      </c>
      <c r="C5" s="28" t="str">
        <f>IFERROR(__xludf.DUMMYFUNCTION("""COMPUTED_VALUE"""),"Chip 2")</f>
        <v>Chip 2</v>
      </c>
      <c r="D5" s="28" t="str">
        <f>IFERROR(__xludf.DUMMYFUNCTION("""COMPUTED_VALUE"""),"Chip 3")</f>
        <v>Chip 3</v>
      </c>
      <c r="E5" s="28" t="str">
        <f>IFERROR(__xludf.DUMMYFUNCTION("""COMPUTED_VALUE"""),"MakeColumFavourite")</f>
        <v>MakeColumFavourite</v>
      </c>
      <c r="F5" s="29" t="str">
        <f>IFERROR(__xludf.DUMMYFUNCTION("""COMPUTED_VALUE"""),"MakeColumnUnfavourite")</f>
        <v>MakeColumnUnfavourite</v>
      </c>
      <c r="G5" s="28" t="str">
        <f>IFERROR(__xludf.DUMMYFUNCTION("""COMPUTED_VALUE"""),"ColumnsToAdd")</f>
        <v>ColumnsToAdd</v>
      </c>
      <c r="H5" s="28" t="str">
        <f>IFERROR(__xludf.DUMMYFUNCTION("""COMPUTED_VALUE"""),"Verify Chip Values")</f>
        <v>Verify Chip Values</v>
      </c>
      <c r="I5" s="28" t="str">
        <f>IFERROR(__xludf.DUMMYFUNCTION("""COMPUTED_VALUE"""),"NextAction")</f>
        <v>NextAction</v>
      </c>
      <c r="J5" s="28" t="str">
        <f>IFERROR(__xludf.DUMMYFUNCTION("""COMPUTED_VALUE"""),"VerifyActionButtonVisibility")</f>
        <v>VerifyActionButtonVisibility</v>
      </c>
      <c r="K5" s="28" t="str">
        <f>IFERROR(__xludf.DUMMYFUNCTION("""COMPUTED_VALUE"""),"FlashButton")</f>
        <v>FlashButton</v>
      </c>
      <c r="L5" s="28" t="str">
        <f>IFERROR(__xludf.DUMMYFUNCTION("""COMPUTED_VALUE"""),"ColumnsToCheckForFlash")</f>
        <v>ColumnsToCheckForFlash</v>
      </c>
      <c r="M5" s="28" t="str">
        <f>IFERROR(__xludf.DUMMYFUNCTION("""COMPUTED_VALUE"""),"LinkWidgetColor")</f>
        <v>LinkWidgetColor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13" t="s">
        <v>34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22</v>
      </c>
      <c r="C6" s="35" t="s">
        <v>35</v>
      </c>
      <c r="D6" s="33"/>
      <c r="E6" s="32" t="s">
        <v>25</v>
      </c>
      <c r="F6" s="32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IFERROR(__xludf.DUMMYFUNCTION("""COMPUTED_VALUE"""),"Chip 1")</f>
        <v>Chip 1</v>
      </c>
      <c r="C5" s="28" t="str">
        <f>IFERROR(__xludf.DUMMYFUNCTION("""COMPUTED_VALUE"""),"Chip 2")</f>
        <v>Chip 2</v>
      </c>
      <c r="D5" s="28" t="str">
        <f>IFERROR(__xludf.DUMMYFUNCTION("""COMPUTED_VALUE"""),"Chip 3")</f>
        <v>Chip 3</v>
      </c>
      <c r="E5" s="28" t="str">
        <f>IFERROR(__xludf.DUMMYFUNCTION("""COMPUTED_VALUE"""),"MakeColumFavourite")</f>
        <v>MakeColumFavourite</v>
      </c>
      <c r="F5" s="29" t="str">
        <f>IFERROR(__xludf.DUMMYFUNCTION("""COMPUTED_VALUE"""),"MakeColumnUnfavourite")</f>
        <v>MakeColumnUnfavourite</v>
      </c>
      <c r="G5" s="28" t="str">
        <f>IFERROR(__xludf.DUMMYFUNCTION("""COMPUTED_VALUE"""),"ColumnsToAdd")</f>
        <v>ColumnsToAdd</v>
      </c>
      <c r="H5" s="28" t="str">
        <f>IFERROR(__xludf.DUMMYFUNCTION("""COMPUTED_VALUE"""),"Verify Chip Values")</f>
        <v>Verify Chip Values</v>
      </c>
      <c r="I5" s="28" t="str">
        <f>IFERROR(__xludf.DUMMYFUNCTION("""COMPUTED_VALUE"""),"NextAction")</f>
        <v>NextAction</v>
      </c>
      <c r="J5" s="28" t="str">
        <f>IFERROR(__xludf.DUMMYFUNCTION("""COMPUTED_VALUE"""),"VerifyActionButtonVisibility")</f>
        <v>VerifyActionButtonVisibility</v>
      </c>
      <c r="K5" s="28" t="str">
        <f>IFERROR(__xludf.DUMMYFUNCTION("""COMPUTED_VALUE"""),"FlashButton")</f>
        <v>FlashButton</v>
      </c>
      <c r="L5" s="28" t="str">
        <f>IFERROR(__xludf.DUMMYFUNCTION("""COMPUTED_VALUE"""),"ColumnsToCheckForFlash")</f>
        <v>ColumnsToCheckForFlash</v>
      </c>
      <c r="M5" s="28" t="str">
        <f>IFERROR(__xludf.DUMMYFUNCTION("""COMPUTED_VALUE"""),"LinkWidgetColor")</f>
        <v>LinkWidgetColor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7"/>
      <c r="F6" s="8"/>
      <c r="G6" s="13" t="s">
        <v>28</v>
      </c>
      <c r="H6" s="8"/>
      <c r="I6" s="3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 t="str">
        <f>IFERROR(__xludf.DUMMYFUNCTION("""COMPUTED_VALUE"""),"ColumnToVerify")</f>
        <v>ColumnToVerify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9" t="s">
        <v>28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IFERROR(__xludf.DUMMYFUNCTION("""COMPUTED_VALUE"""),"IsL1isVisible")</f>
        <v>IsL1isVisible</v>
      </c>
      <c r="D5" s="28" t="str">
        <f>IFERROR(__xludf.DUMMYFUNCTION("""COMPUTED_VALUE"""),"IsL2isVisible")</f>
        <v>IsL2isVisible</v>
      </c>
      <c r="E5" s="28" t="str">
        <f>IFERROR(__xludf.DUMMYFUNCTION("""COMPUTED_VALUE"""),"ClickOnL1")</f>
        <v>ClickOnL1</v>
      </c>
      <c r="F5" s="29" t="str">
        <f>IFERROR(__xludf.DUMMYFUNCTION("""COMPUTED_VALUE"""),"ClickOnL2")</f>
        <v>ClickOnL2</v>
      </c>
      <c r="G5" s="28" t="str">
        <f>IFERROR(__xludf.DUMMYFUNCTION("""COMPUTED_VALUE"""),"L1State")</f>
        <v>L1State</v>
      </c>
      <c r="H5" s="28" t="str">
        <f>IFERROR(__xludf.DUMMYFUNCTION("""COMPUTED_VALUE"""),"L2State")</f>
        <v>L2State</v>
      </c>
      <c r="I5" s="28" t="str">
        <f>IFERROR(__xludf.DUMMYFUNCTION("""COMPUTED_VALUE"""),"L1Label")</f>
        <v>L1Label</v>
      </c>
      <c r="J5" s="28" t="str">
        <f>IFERROR(__xludf.DUMMYFUNCTION("""COMPUTED_VALUE"""),"L2Label")</f>
        <v>L2Label</v>
      </c>
      <c r="K5" s="28" t="str">
        <f>IFERROR(__xludf.DUMMYFUNCTION("""COMPUTED_VALUE"""),"WidgetName")</f>
        <v>WidgetName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8"/>
      <c r="D6" s="13"/>
      <c r="E6" s="37"/>
      <c r="F6" s="8"/>
      <c r="G6" s="8"/>
      <c r="H6" s="8"/>
      <c r="I6" s="8"/>
      <c r="J6" s="8"/>
      <c r="K6" s="35" t="s">
        <v>35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IFERROR(__xludf.DUMMYFUNCTION("""COMPUTED_VALUE"""),"VerifyPopUpText")</f>
        <v>VerifyPopUpText</v>
      </c>
      <c r="D5" s="28" t="str">
        <f>IFERROR(__xludf.DUMMYFUNCTION("""COMPUTED_VALUE"""),"ActionOnPopUp")</f>
        <v>ActionOnPopUp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39</v>
      </c>
      <c r="C6" s="36"/>
      <c r="D6" s="31" t="s">
        <v>40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