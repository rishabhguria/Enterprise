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ClosingPreference" sheetId="4" r:id="rId6"/>
    <sheet name="CreateDoneAwayOrder" sheetId="5" r:id="rId7"/>
    <sheet name="GetMarkPriceData" sheetId="6" r:id="rId8"/>
    <sheet name="UpdateMarkPrice" sheetId="7" r:id="rId9"/>
    <sheet name="GetDataClosing" sheetId="8" r:id="rId10"/>
    <sheet name="SelectTradeUnexpiredUnsettled" sheetId="9" r:id="rId11"/>
    <sheet name="ExerciseAssignmentWithOutSave" sheetId="10" r:id="rId12"/>
    <sheet name="SelectCreateTransactions" sheetId="11" r:id="rId13"/>
    <sheet name="EditClosingTransactions" sheetId="12" r:id="rId14"/>
    <sheet name="SelectCreateTransactions1" sheetId="13" r:id="rId15"/>
    <sheet name="EditClosingTransactions1" sheetId="14" r:id="rId16"/>
    <sheet name="GetDataAllocation" sheetId="15" r:id="rId17"/>
    <sheet name="CheckAllocatedGroups" sheetId="16" r:id="rId18"/>
    <sheet name="CheckAllocatedTaxlots" sheetId="17" r:id="rId19"/>
    <sheet name="CheckPortfolioManagement" sheetId="18" r:id="rId20"/>
  </sheets>
  <calcPr fullCalcOnLoad="1"/>
</workbook>
</file>

<file path=xl/sharedStrings.xml><?xml version="1.0" encoding="utf-8"?>
<sst xmlns="http://schemas.openxmlformats.org/spreadsheetml/2006/main" count="57" uniqueCount="57">
  <si>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</si>
  <si>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</si>
  <si>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</si>
  <si>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</si>
  <si>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</si>
  <si>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</si>
  <si>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</si>
  <si>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</si>
  <si>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</si>
  <si>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</si>
  <si>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</si>
  <si>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</si>
  <si>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</si>
  <si>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</si>
  <si>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</si>
  <si>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</si>
  <si>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</si>
  <si>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</si>
  <si>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</si>
  <si>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</si>
  <si>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</si>
  <si>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 xml:space="preserve"> O:AAPL 23E100.00D30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</si>
  <si>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</si>
  <si>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</si>
  <si>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</si>
  <si>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</si>
  <si>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</si>
  <si>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</si>
  <si>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</si>
  <si>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</si>
  <si>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</si>
  <si>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</si>
  <si>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ExerciseAssignmentWithOutSave</t>
  </si>
  <si>
    <t>SelectCreateTransactions</t>
  </si>
  <si>
    <t>Equity</t>
  </si>
  <si>
    <t>Buy to Close</t>
  </si>
  <si>
    <t>Strategy Unallocated</t>
  </si>
  <si>
    <t>EditClosingTransactions</t>
  </si>
  <si>
    <t>Buy</t>
  </si>
  <si>
    <t>Allocation</t>
  </si>
  <si>
    <t>GetDataAllocation</t>
  </si>
  <si>
    <t>CheckAllocatedGroups</t>
  </si>
  <si>
    <t>Manual</t>
  </si>
  <si>
    <t>Open</t>
  </si>
  <si>
    <t>USD</t>
  </si>
  <si>
    <t>Closed</t>
  </si>
  <si>
    <t>O:AAPL 23E100.00D30</t>
  </si>
  <si>
    <t>Sell to Close</t>
  </si>
  <si>
    <t>CheckAllocatedTaxlots</t>
  </si>
  <si>
    <t>M</t>
  </si>
  <si>
    <t>D</t>
  </si>
  <si>
    <t>PortfolioManagement</t>
  </si>
  <si>
    <t>CheckPortfolioManagement</t>
  </si>
  <si>
    <t>NewMF</t>
  </si>
  <si>
    <t>US</t>
  </si>
  <si>
    <t>NASDAQ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</si>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</sst>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numFmtId="14" applyNumberFormat="1" fontId="5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3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  <xf numFmtId="3" applyNumberFormat="1" fontId="14" applyFont="1" fillId="0" applyFill="1" borderId="0" applyBorder="1" xfId="0">
      <alignment horizontal="right"/>
    </xf>
    <xf fontId="14" applyFont="1" fillId="0" applyFill="1" borderId="0" applyBorder="1" xfId="0"/>
    <xf numFmtId="3" applyNumberFormat="1" fontId="14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1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IFERROR(__xludf.DUMMYFUNCTION("""COMPUTED_VALUE"""),"1abQG9opjIiMJB8svr0o-Eb_RJr16g0niK_nuaKS7qpc")</f>
        <v>1abQG9opjIiMJB8svr0o-Eb_RJr16g0niK_nuaKS7qpc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IFERROR(__xludf.DUMMYFUNCTION("""COMPUTED_VALUE"""),"NavImpactingComponent")</f>
        <v>NavImpactingComponent</v>
      </c>
      <c r="C647" s="0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3" t="b">
        <v>1</v>
      </c>
      <c r="F6" s="32"/>
      <c r="G6" s="32"/>
      <c r="H6" s="32"/>
      <c r="I6" s="32"/>
      <c r="J6" s="33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21.2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</v>
      </c>
      <c r="E6" s="34"/>
      <c r="F6" s="13" t="s">
        <v>20</v>
      </c>
      <c r="G6" s="8"/>
      <c r="H6" s="8"/>
      <c r="I6" s="8"/>
      <c r="J6" s="13">
        <v>1</v>
      </c>
      <c r="K6" s="8"/>
      <c r="L6" s="8"/>
      <c r="M6" s="8"/>
      <c r="N6" s="35">
        <f>TODAY()-1</f>
        <v>45154</v>
      </c>
      <c r="O6" s="8"/>
    </row>
    <row r="7" ht="15.75" customHeight="1">
      <c r="A7" s="8"/>
      <c r="B7" s="9" t="s">
        <v>21</v>
      </c>
      <c r="C7" s="13" t="s">
        <v>22</v>
      </c>
      <c r="D7" s="13">
        <v>10</v>
      </c>
      <c r="E7" s="8"/>
      <c r="F7" s="13" t="s">
        <v>20</v>
      </c>
      <c r="G7" s="8"/>
      <c r="H7" s="8"/>
      <c r="I7" s="8"/>
      <c r="J7" s="13">
        <v>10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45154</v>
      </c>
      <c r="C6" s="36">
        <f>today()</f>
        <v>45155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7">
        <v>120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27</v>
      </c>
      <c r="C6" s="39" t="s">
        <v>28</v>
      </c>
      <c r="D6" s="39">
        <f>TODAY()</f>
        <v>45155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20</v>
      </c>
      <c r="C6" s="32"/>
      <c r="D6" s="31"/>
      <c r="E6" s="32" t="s">
        <v>30</v>
      </c>
      <c r="F6" s="32"/>
      <c r="G6" s="32"/>
      <c r="H6" s="32"/>
      <c r="I6" s="37">
        <v>10</v>
      </c>
      <c r="J6" s="32"/>
      <c r="K6" s="40" t="s">
        <v>31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41">
        <v>10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40" t="s">
        <v>22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9" t="s">
        <v>21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ExerciseAssignmentWithOutSave!$4:$4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/>
      <c r="D6" s="31"/>
      <c r="E6" s="32" t="s">
        <v>34</v>
      </c>
      <c r="F6" s="32"/>
      <c r="G6" s="32"/>
      <c r="H6" s="32"/>
      <c r="I6" s="32"/>
      <c r="J6" s="32"/>
      <c r="K6" s="32"/>
      <c r="L6" s="32" t="s">
        <v>31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42" t="s">
        <v>35</v>
      </c>
      <c r="AP6" s="32"/>
      <c r="AQ6" s="32"/>
      <c r="AR6" s="32"/>
      <c r="AS6" s="32"/>
      <c r="AT6" s="32"/>
      <c r="AU6" s="32"/>
      <c r="AV6" s="32"/>
      <c r="AW6" s="43">
        <v>100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44" t="s">
        <v>36</v>
      </c>
      <c r="BK6" s="32"/>
      <c r="BL6" s="32" t="s">
        <v>18</v>
      </c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SelectCreateTransactions!$4:$4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IFERROR(__xludf.DUMMYFUNCTION("""COMPUTED_VALUE"""),"Asset")</f>
        <v>Asset</v>
      </c>
      <c r="E5" s="28" t="str">
        <f>IFERROR(__xludf.DUMMYFUNCTION("""COMPUTED_VALUE"""),"AUEC Fee1")</f>
        <v>AUEC Fee1</v>
      </c>
      <c r="F5" s="29" t="str">
        <f>IFERROR(__xludf.DUMMYFUNCTION("""COMPUTED_VALUE"""),"Average Price")</f>
        <v>Average Price</v>
      </c>
      <c r="G5" s="28" t="str">
        <f>IFERROR(__xludf.DUMMYFUNCTION("""COMPUTED_VALUE"""),"Broker")</f>
        <v>Broker</v>
      </c>
      <c r="H5" s="28" t="str">
        <f>IFERROR(__xludf.DUMMYFUNCTION("""COMPUTED_VALUE"""),"Clearing Broker Fees")</f>
        <v>Clearing Broker Fees</v>
      </c>
      <c r="I5" s="28" t="str">
        <f>IFERROR(__xludf.DUMMYFUNCTION("""COMPUTED_VALUE"""),"Commission")</f>
        <v>Commission</v>
      </c>
      <c r="J5" s="28" t="str">
        <f>IFERROR(__xludf.DUMMYFUNCTION("""COMPUTED_VALUE"""),"Currency")</f>
        <v>Currency</v>
      </c>
      <c r="K5" s="28" t="str">
        <f>IFERROR(__xludf.DUMMYFUNCTION("""COMPUTED_VALUE"""),"Description")</f>
        <v>Description</v>
      </c>
      <c r="L5" s="28" t="str">
        <f>IFERROR(__xludf.DUMMYFUNCTION("""COMPUTED_VALUE"""),"Expiration Date")</f>
        <v>Expiration Date</v>
      </c>
      <c r="M5" s="28" t="str">
        <f>IFERROR(__xludf.DUMMYFUNCTION("""COMPUTED_VALUE"""),"FX Rate")</f>
        <v>FX Rate</v>
      </c>
      <c r="N5" s="28" t="str">
        <f>IFERROR(__xludf.DUMMYFUNCTION("""COMPUTED_VALUE"""),"FX Rate Operator")</f>
        <v>FX Rate Operator</v>
      </c>
      <c r="O5" s="28" t="str">
        <f>IFERROR(__xludf.DUMMYFUNCTION("""COMPUTED_VALUE"""),"If Pay/Receive Changes")</f>
        <v>If Pay/Receive Changes</v>
      </c>
      <c r="P5" s="28" t="str">
        <f>IFERROR(__xludf.DUMMYFUNCTION("""COMPUTED_VALUE"""),"Leveraged Factor")</f>
        <v>Leveraged Factor</v>
      </c>
      <c r="Q5" s="28" t="str">
        <f>IFERROR(__xludf.DUMMYFUNCTION("""COMPUTED_VALUE"""),"Multiplier")</f>
        <v>Multiplier</v>
      </c>
      <c r="R5" s="28" t="str">
        <f>IFERROR(__xludf.DUMMYFUNCTION("""COMPUTED_VALUE"""),"OCC Fee")</f>
        <v>OCC Fee</v>
      </c>
      <c r="S5" s="28" t="str">
        <f>IFERROR(__xludf.DUMMYFUNCTION("""COMPUTED_VALUE"""),"Option Activated")</f>
        <v>Option Activated</v>
      </c>
      <c r="T5" s="30" t="str">
        <f>IFERROR(__xludf.DUMMYFUNCTION("""COMPUTED_VALUE"""),"Option Type")</f>
        <v>Option Type</v>
      </c>
      <c r="U5" s="30" t="str">
        <f>IFERROR(__xludf.DUMMYFUNCTION("""COMPUTED_VALUE"""),"OptionPremiumAdjustment")</f>
        <v>OptionPremiumAdjustment</v>
      </c>
      <c r="V5" s="30" t="str">
        <f>IFERROR(__xludf.DUMMYFUNCTION("""COMPUTED_VALUE"""),"ORF Fee")</f>
        <v>ORF Fee</v>
      </c>
      <c r="W5" s="30" t="str">
        <f>IFERROR(__xludf.DUMMYFUNCTION("""COMPUTED_VALUE"""),"Original Side")</f>
        <v>Original Side</v>
      </c>
      <c r="X5" s="30" t="str">
        <f>IFERROR(__xludf.DUMMYFUNCTION("""COMPUTED_VALUE"""),"OriginalPurchaseDate")</f>
        <v>OriginalPurchaseDate</v>
      </c>
      <c r="Y5" s="30" t="str">
        <f>IFERROR(__xludf.DUMMYFUNCTION("""COMPUTED_VALUE"""),"Other Broker Fees")</f>
        <v>Other Broker Fees</v>
      </c>
      <c r="Z5" s="30" t="str">
        <f>IFERROR(__xludf.DUMMYFUNCTION("""COMPUTED_VALUE"""),"ParentTradeDate")</f>
        <v>ParentTradeDate</v>
      </c>
      <c r="AA5" s="30" t="str">
        <f>IFERROR(__xludf.DUMMYFUNCTION("""COMPUTED_VALUE"""),"Pay/Receive")</f>
        <v>Pay/Receive</v>
      </c>
      <c r="AB5" s="30" t="str">
        <f>IFERROR(__xludf.DUMMYFUNCTION("""COMPUTED_VALUE"""),"ProcessDate")</f>
        <v>ProcessDate</v>
      </c>
      <c r="AC5" s="30" t="str">
        <f>IFERROR(__xludf.DUMMYFUNCTION("""COMPUTED_VALUE"""),"Quantity")</f>
        <v>Quantity</v>
      </c>
      <c r="AD5" s="30" t="str">
        <f>IFERROR(__xludf.DUMMYFUNCTION("""COMPUTED_VALUE"""),"SEC Fee")</f>
        <v>SEC Fee</v>
      </c>
      <c r="AE5" s="30" t="str">
        <f>IFERROR(__xludf.DUMMYFUNCTION("""COMPUTED_VALUE"""),"Settlement Currency")</f>
        <v>Settlement Currency</v>
      </c>
      <c r="AF5" s="30" t="str">
        <f>IFERROR(__xludf.DUMMYFUNCTION("""COMPUTED_VALUE"""),"Settlement Date")</f>
        <v>Settlement Date</v>
      </c>
      <c r="AG5" s="30" t="str">
        <f>IFERROR(__xludf.DUMMYFUNCTION("""COMPUTED_VALUE"""),"Settlement FxRate")</f>
        <v>Settlement FxRate</v>
      </c>
      <c r="AH5" s="30" t="str">
        <f>IFERROR(__xludf.DUMMYFUNCTION("""COMPUTED_VALUE"""),"Settlement FxRate Operator")</f>
        <v>Settlement FxRate Operator</v>
      </c>
      <c r="AI5" s="30" t="str">
        <f>IFERROR(__xludf.DUMMYFUNCTION("""COMPUTED_VALUE"""),"Settlement Price")</f>
        <v>Settlement Price</v>
      </c>
      <c r="AJ5" s="30" t="str">
        <f>IFERROR(__xludf.DUMMYFUNCTION("""COMPUTED_VALUE"""),"Soft Commission")</f>
        <v>Soft Commission</v>
      </c>
      <c r="AK5" s="30" t="str">
        <f>IFERROR(__xludf.DUMMYFUNCTION("""COMPUTED_VALUE"""),"Stamp Duty")</f>
        <v>Stamp Duty</v>
      </c>
      <c r="AL5" s="30" t="str">
        <f>IFERROR(__xludf.DUMMYFUNCTION("""COMPUTED_VALUE"""),"Strategy")</f>
        <v>Strategy</v>
      </c>
      <c r="AM5" s="30" t="str">
        <f>IFERROR(__xludf.DUMMYFUNCTION("""COMPUTED_VALUE"""),"Strike Price")</f>
        <v>Strike Price</v>
      </c>
      <c r="AN5" s="30" t="str">
        <f>IFERROR(__xludf.DUMMYFUNCTION("""COMPUTED_VALUE"""),"Symbol")</f>
        <v>Symbol</v>
      </c>
      <c r="AO5" s="30" t="str">
        <f>IFERROR(__xludf.DUMMYFUNCTION("""COMPUTED_VALUE"""),"Tax On Commissions")</f>
        <v>Tax On Commissions</v>
      </c>
      <c r="AP5" s="30" t="str">
        <f>IFERROR(__xludf.DUMMYFUNCTION("""COMPUTED_VALUE"""),"Trade Date")</f>
        <v>Trade Date</v>
      </c>
      <c r="AQ5" s="30" t="str">
        <f>IFERROR(__xludf.DUMMYFUNCTION("""COMPUTED_VALUE"""),"Transaction Levy")</f>
        <v>Transaction Levy</v>
      </c>
      <c r="AR5" s="30" t="str">
        <f>IFERROR(__xludf.DUMMYFUNCTION("""COMPUTED_VALUE"""),"Transaction Type")</f>
        <v>Transaction Type</v>
      </c>
      <c r="AS5" s="30" t="str">
        <f>IFERROR(__xludf.DUMMYFUNCTION("""COMPUTED_VALUE"""),"Underlying Symbol")</f>
        <v>Underlying Symbol</v>
      </c>
      <c r="AT5" s="30" t="str">
        <f>IFERROR(__xludf.DUMMYFUNCTION("""COMPUTED_VALUE"""),"Venue")</f>
        <v>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42" t="s">
        <v>35</v>
      </c>
      <c r="X6" s="32"/>
      <c r="Y6" s="32"/>
      <c r="Z6" s="32"/>
      <c r="AA6" s="32"/>
      <c r="AB6" s="32"/>
      <c r="AC6" s="43">
        <v>1000</v>
      </c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EditClosingTransactions!$4:$4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/>
      <c r="D6" s="31"/>
      <c r="E6" s="32" t="s">
        <v>34</v>
      </c>
      <c r="F6" s="32"/>
      <c r="G6" s="32"/>
      <c r="H6" s="32"/>
      <c r="I6" s="32"/>
      <c r="J6" s="32"/>
      <c r="K6" s="32"/>
      <c r="L6" s="32" t="s">
        <v>31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 t="s">
        <v>38</v>
      </c>
      <c r="AP6" s="32"/>
      <c r="AQ6" s="32"/>
      <c r="AR6" s="32"/>
      <c r="AS6" s="32"/>
      <c r="AT6" s="32"/>
      <c r="AU6" s="32"/>
      <c r="AV6" s="32"/>
      <c r="AW6" s="43">
        <v>900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44" t="s">
        <v>36</v>
      </c>
      <c r="BK6" s="32"/>
      <c r="BL6" s="32" t="s">
        <v>18</v>
      </c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SelectCreateTransactions1!$4:$4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IFERROR(__xludf.DUMMYFUNCTION("""COMPUTED_VALUE"""),"Asset")</f>
        <v>Asset</v>
      </c>
      <c r="E5" s="28" t="str">
        <f>IFERROR(__xludf.DUMMYFUNCTION("""COMPUTED_VALUE"""),"AUEC Fee1")</f>
        <v>AUEC Fee1</v>
      </c>
      <c r="F5" s="29" t="str">
        <f>IFERROR(__xludf.DUMMYFUNCTION("""COMPUTED_VALUE"""),"Average Price")</f>
        <v>Average Price</v>
      </c>
      <c r="G5" s="28" t="str">
        <f>IFERROR(__xludf.DUMMYFUNCTION("""COMPUTED_VALUE"""),"Broker")</f>
        <v>Broker</v>
      </c>
      <c r="H5" s="28" t="str">
        <f>IFERROR(__xludf.DUMMYFUNCTION("""COMPUTED_VALUE"""),"Clearing Broker Fees")</f>
        <v>Clearing Broker Fees</v>
      </c>
      <c r="I5" s="28" t="str">
        <f>IFERROR(__xludf.DUMMYFUNCTION("""COMPUTED_VALUE"""),"Commission")</f>
        <v>Commission</v>
      </c>
      <c r="J5" s="28" t="str">
        <f>IFERROR(__xludf.DUMMYFUNCTION("""COMPUTED_VALUE"""),"Currency")</f>
        <v>Currency</v>
      </c>
      <c r="K5" s="28" t="str">
        <f>IFERROR(__xludf.DUMMYFUNCTION("""COMPUTED_VALUE"""),"Description")</f>
        <v>Description</v>
      </c>
      <c r="L5" s="28" t="str">
        <f>IFERROR(__xludf.DUMMYFUNCTION("""COMPUTED_VALUE"""),"Expiration Date")</f>
        <v>Expiration Date</v>
      </c>
      <c r="M5" s="28" t="str">
        <f>IFERROR(__xludf.DUMMYFUNCTION("""COMPUTED_VALUE"""),"FX Rate")</f>
        <v>FX Rate</v>
      </c>
      <c r="N5" s="28" t="str">
        <f>IFERROR(__xludf.DUMMYFUNCTION("""COMPUTED_VALUE"""),"FX Rate Operator")</f>
        <v>FX Rate Operator</v>
      </c>
      <c r="O5" s="28" t="str">
        <f>IFERROR(__xludf.DUMMYFUNCTION("""COMPUTED_VALUE"""),"If Pay/Receive Changes")</f>
        <v>If Pay/Receive Changes</v>
      </c>
      <c r="P5" s="28" t="str">
        <f>IFERROR(__xludf.DUMMYFUNCTION("""COMPUTED_VALUE"""),"Leveraged Factor")</f>
        <v>Leveraged Factor</v>
      </c>
      <c r="Q5" s="28" t="str">
        <f>IFERROR(__xludf.DUMMYFUNCTION("""COMPUTED_VALUE"""),"Multiplier")</f>
        <v>Multiplier</v>
      </c>
      <c r="R5" s="28" t="str">
        <f>IFERROR(__xludf.DUMMYFUNCTION("""COMPUTED_VALUE"""),"OCC Fee")</f>
        <v>OCC Fee</v>
      </c>
      <c r="S5" s="28" t="str">
        <f>IFERROR(__xludf.DUMMYFUNCTION("""COMPUTED_VALUE"""),"Option Activated")</f>
        <v>Option Activated</v>
      </c>
      <c r="T5" s="30" t="str">
        <f>IFERROR(__xludf.DUMMYFUNCTION("""COMPUTED_VALUE"""),"Option Type")</f>
        <v>Option Type</v>
      </c>
      <c r="U5" s="30" t="str">
        <f>IFERROR(__xludf.DUMMYFUNCTION("""COMPUTED_VALUE"""),"OptionPremiumAdjustment")</f>
        <v>OptionPremiumAdjustment</v>
      </c>
      <c r="V5" s="30" t="str">
        <f>IFERROR(__xludf.DUMMYFUNCTION("""COMPUTED_VALUE"""),"ORF Fee")</f>
        <v>ORF Fee</v>
      </c>
      <c r="W5" s="30" t="str">
        <f>IFERROR(__xludf.DUMMYFUNCTION("""COMPUTED_VALUE"""),"Original Side")</f>
        <v>Original Side</v>
      </c>
      <c r="X5" s="30" t="str">
        <f>IFERROR(__xludf.DUMMYFUNCTION("""COMPUTED_VALUE"""),"OriginalPurchaseDate")</f>
        <v>OriginalPurchaseDate</v>
      </c>
      <c r="Y5" s="30" t="str">
        <f>IFERROR(__xludf.DUMMYFUNCTION("""COMPUTED_VALUE"""),"Other Broker Fees")</f>
        <v>Other Broker Fees</v>
      </c>
      <c r="Z5" s="30" t="str">
        <f>IFERROR(__xludf.DUMMYFUNCTION("""COMPUTED_VALUE"""),"ParentTradeDate")</f>
        <v>ParentTradeDate</v>
      </c>
      <c r="AA5" s="30" t="str">
        <f>IFERROR(__xludf.DUMMYFUNCTION("""COMPUTED_VALUE"""),"Pay/Receive")</f>
        <v>Pay/Receive</v>
      </c>
      <c r="AB5" s="30" t="str">
        <f>IFERROR(__xludf.DUMMYFUNCTION("""COMPUTED_VALUE"""),"ProcessDate")</f>
        <v>ProcessDate</v>
      </c>
      <c r="AC5" s="30" t="str">
        <f>IFERROR(__xludf.DUMMYFUNCTION("""COMPUTED_VALUE"""),"Quantity")</f>
        <v>Quantity</v>
      </c>
      <c r="AD5" s="30" t="str">
        <f>IFERROR(__xludf.DUMMYFUNCTION("""COMPUTED_VALUE"""),"SEC Fee")</f>
        <v>SEC Fee</v>
      </c>
      <c r="AE5" s="30" t="str">
        <f>IFERROR(__xludf.DUMMYFUNCTION("""COMPUTED_VALUE"""),"Settlement Currency")</f>
        <v>Settlement Currency</v>
      </c>
      <c r="AF5" s="30" t="str">
        <f>IFERROR(__xludf.DUMMYFUNCTION("""COMPUTED_VALUE"""),"Settlement Date")</f>
        <v>Settlement Date</v>
      </c>
      <c r="AG5" s="30" t="str">
        <f>IFERROR(__xludf.DUMMYFUNCTION("""COMPUTED_VALUE"""),"Settlement FxRate")</f>
        <v>Settlement FxRate</v>
      </c>
      <c r="AH5" s="30" t="str">
        <f>IFERROR(__xludf.DUMMYFUNCTION("""COMPUTED_VALUE"""),"Settlement FxRate Operator")</f>
        <v>Settlement FxRate Operator</v>
      </c>
      <c r="AI5" s="30" t="str">
        <f>IFERROR(__xludf.DUMMYFUNCTION("""COMPUTED_VALUE"""),"Settlement Price")</f>
        <v>Settlement Price</v>
      </c>
      <c r="AJ5" s="30" t="str">
        <f>IFERROR(__xludf.DUMMYFUNCTION("""COMPUTED_VALUE"""),"Soft Commission")</f>
        <v>Soft Commission</v>
      </c>
      <c r="AK5" s="30" t="str">
        <f>IFERROR(__xludf.DUMMYFUNCTION("""COMPUTED_VALUE"""),"Stamp Duty")</f>
        <v>Stamp Duty</v>
      </c>
      <c r="AL5" s="30" t="str">
        <f>IFERROR(__xludf.DUMMYFUNCTION("""COMPUTED_VALUE"""),"Strategy")</f>
        <v>Strategy</v>
      </c>
      <c r="AM5" s="30" t="str">
        <f>IFERROR(__xludf.DUMMYFUNCTION("""COMPUTED_VALUE"""),"Strike Price")</f>
        <v>Strike Price</v>
      </c>
      <c r="AN5" s="30" t="str">
        <f>IFERROR(__xludf.DUMMYFUNCTION("""COMPUTED_VALUE"""),"Symbol")</f>
        <v>Symbol</v>
      </c>
      <c r="AO5" s="30" t="str">
        <f>IFERROR(__xludf.DUMMYFUNCTION("""COMPUTED_VALUE"""),"Tax On Commissions")</f>
        <v>Tax On Commissions</v>
      </c>
      <c r="AP5" s="30" t="str">
        <f>IFERROR(__xludf.DUMMYFUNCTION("""COMPUTED_VALUE"""),"Trade Date")</f>
        <v>Trade Date</v>
      </c>
      <c r="AQ5" s="30" t="str">
        <f>IFERROR(__xludf.DUMMYFUNCTION("""COMPUTED_VALUE"""),"Transaction Levy")</f>
        <v>Transaction Levy</v>
      </c>
      <c r="AR5" s="30" t="str">
        <f>IFERROR(__xludf.DUMMYFUNCTION("""COMPUTED_VALUE"""),"Transaction Type")</f>
        <v>Transaction Type</v>
      </c>
      <c r="AS5" s="30" t="str">
        <f>IFERROR(__xludf.DUMMYFUNCTION("""COMPUTED_VALUE"""),"Underlying Symbol")</f>
        <v>Underlying Symbol</v>
      </c>
      <c r="AT5" s="30" t="str">
        <f>IFERROR(__xludf.DUMMYFUNCTION("""COMPUTED_VALUE"""),"Venue")</f>
        <v>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43">
        <v>0</v>
      </c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EditClosingTransactions1!$4:$4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27</v>
      </c>
      <c r="C6" s="39" t="s">
        <v>28</v>
      </c>
      <c r="D6" s="39">
        <f>TODAY()</f>
        <v>45155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20</v>
      </c>
      <c r="C6" s="8"/>
      <c r="D6" s="13"/>
      <c r="E6" s="46">
        <v>100</v>
      </c>
      <c r="F6" s="45" t="s">
        <v>42</v>
      </c>
      <c r="G6" s="45" t="s">
        <v>34</v>
      </c>
      <c r="H6" s="8"/>
      <c r="I6" s="8"/>
      <c r="J6" s="8"/>
      <c r="K6" s="8"/>
      <c r="L6" s="8"/>
      <c r="M6" s="8"/>
      <c r="N6" s="8"/>
      <c r="O6" s="45" t="s">
        <v>31</v>
      </c>
      <c r="S6" s="45" t="s">
        <v>43</v>
      </c>
      <c r="Z6" s="45" t="s">
        <v>44</v>
      </c>
      <c r="AE6" s="46">
        <v>100</v>
      </c>
      <c r="BJ6" s="46">
        <v>100</v>
      </c>
      <c r="BO6" s="45" t="s">
        <v>19</v>
      </c>
      <c r="BT6" s="45" t="s">
        <v>18</v>
      </c>
    </row>
    <row r="7" ht="15.75" customHeight="1">
      <c r="A7" s="8"/>
      <c r="B7" s="45" t="s">
        <v>20</v>
      </c>
      <c r="C7" s="8"/>
      <c r="D7" s="8"/>
      <c r="E7" s="46">
        <v>10</v>
      </c>
      <c r="F7" s="45" t="s">
        <v>42</v>
      </c>
      <c r="G7" s="45" t="s">
        <v>30</v>
      </c>
      <c r="H7" s="8"/>
      <c r="I7" s="8"/>
      <c r="J7" s="8"/>
      <c r="K7" s="8"/>
      <c r="L7" s="8"/>
      <c r="M7" s="8"/>
      <c r="N7" s="8"/>
      <c r="O7" s="45" t="s">
        <v>31</v>
      </c>
      <c r="S7" s="45" t="s">
        <v>45</v>
      </c>
      <c r="Z7" s="45" t="s">
        <v>44</v>
      </c>
      <c r="AE7" s="46">
        <v>10</v>
      </c>
      <c r="BJ7" s="46">
        <v>10</v>
      </c>
      <c r="BO7" s="45" t="s">
        <v>22</v>
      </c>
      <c r="BT7" s="45" t="s">
        <v>46</v>
      </c>
    </row>
    <row r="8" ht="15.75" customHeight="1">
      <c r="A8" s="8"/>
      <c r="B8" s="45" t="s">
        <v>20</v>
      </c>
      <c r="C8" s="8"/>
      <c r="D8" s="8"/>
      <c r="E8" s="46">
        <v>10</v>
      </c>
      <c r="F8" s="45" t="s">
        <v>42</v>
      </c>
      <c r="G8" s="45" t="s">
        <v>30</v>
      </c>
      <c r="H8" s="8"/>
      <c r="I8" s="8"/>
      <c r="J8" s="8"/>
      <c r="K8" s="8"/>
      <c r="L8" s="8"/>
      <c r="M8" s="8"/>
      <c r="N8" s="8"/>
      <c r="O8" s="45" t="s">
        <v>31</v>
      </c>
      <c r="S8" s="45" t="s">
        <v>45</v>
      </c>
      <c r="Z8" s="45" t="s">
        <v>44</v>
      </c>
      <c r="AE8" s="46">
        <v>10</v>
      </c>
      <c r="BJ8" s="46">
        <v>10</v>
      </c>
      <c r="BO8" s="45" t="s">
        <v>47</v>
      </c>
      <c r="BT8" s="45" t="s">
        <v>46</v>
      </c>
    </row>
    <row r="9" ht="15.75" customHeight="1">
      <c r="A9" s="8"/>
      <c r="B9" s="45" t="s">
        <v>20</v>
      </c>
      <c r="C9" s="8"/>
      <c r="D9" s="8"/>
      <c r="E9" s="47">
        <v>100</v>
      </c>
      <c r="F9" s="45" t="s">
        <v>42</v>
      </c>
      <c r="G9" s="45" t="s">
        <v>34</v>
      </c>
      <c r="H9" s="8"/>
      <c r="I9" s="8"/>
      <c r="J9" s="8"/>
      <c r="K9" s="8"/>
      <c r="L9" s="8"/>
      <c r="M9" s="8"/>
      <c r="N9" s="8"/>
      <c r="O9" s="45" t="s">
        <v>31</v>
      </c>
      <c r="S9" s="45" t="s">
        <v>43</v>
      </c>
      <c r="Z9" s="45" t="s">
        <v>44</v>
      </c>
      <c r="AE9" s="46">
        <v>100</v>
      </c>
      <c r="BJ9" s="47">
        <v>100</v>
      </c>
      <c r="BO9" s="45" t="s">
        <v>35</v>
      </c>
      <c r="BT9" s="45" t="s">
        <v>18</v>
      </c>
    </row>
    <row r="10" ht="15.75" customHeight="1">
      <c r="A10" s="8"/>
      <c r="B10" s="45" t="s">
        <v>20</v>
      </c>
      <c r="C10" s="8"/>
      <c r="D10" s="8"/>
      <c r="E10" s="46">
        <v>900</v>
      </c>
      <c r="F10" s="45" t="s">
        <v>42</v>
      </c>
      <c r="G10" s="45" t="s">
        <v>34</v>
      </c>
      <c r="H10" s="8"/>
      <c r="I10" s="8"/>
      <c r="J10" s="8"/>
      <c r="K10" s="8"/>
      <c r="L10" s="8"/>
      <c r="M10" s="8"/>
      <c r="N10" s="8"/>
      <c r="O10" s="45" t="s">
        <v>31</v>
      </c>
      <c r="S10" s="45" t="s">
        <v>43</v>
      </c>
      <c r="Z10" s="45" t="s">
        <v>44</v>
      </c>
      <c r="AE10" s="46">
        <v>900</v>
      </c>
      <c r="BJ10" s="46">
        <v>900</v>
      </c>
      <c r="BO10" s="45" t="s">
        <v>38</v>
      </c>
      <c r="BT10" s="45" t="s">
        <v>18</v>
      </c>
    </row>
    <row r="11" ht="15.75" customHeight="1">
      <c r="A11" s="8"/>
      <c r="B11" s="48"/>
      <c r="C11" s="8"/>
      <c r="D11" s="8"/>
      <c r="E11" s="48"/>
      <c r="F11" s="48"/>
      <c r="G11" s="48"/>
      <c r="H11" s="8"/>
      <c r="I11" s="8"/>
      <c r="J11" s="8"/>
      <c r="K11" s="8"/>
      <c r="L11" s="8"/>
      <c r="M11" s="8"/>
      <c r="N11" s="8"/>
      <c r="S11" s="48"/>
      <c r="AE11" s="48"/>
      <c r="BJ11" s="48"/>
      <c r="BO11" s="48"/>
      <c r="BT11" s="48"/>
    </row>
    <row r="12" ht="15.75" customHeight="1">
      <c r="A12" s="8"/>
      <c r="B12" s="4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4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45" t="s">
        <v>49</v>
      </c>
      <c r="G6" s="8"/>
      <c r="H6" s="45" t="s">
        <v>44</v>
      </c>
      <c r="I6" s="8"/>
      <c r="J6" s="8"/>
      <c r="K6" s="8"/>
      <c r="L6" s="8"/>
      <c r="M6" s="8"/>
      <c r="N6" s="8"/>
      <c r="O6" s="45" t="s">
        <v>20</v>
      </c>
      <c r="P6" s="45" t="s">
        <v>36</v>
      </c>
      <c r="Q6" s="46">
        <v>100</v>
      </c>
      <c r="R6" s="46">
        <v>100</v>
      </c>
      <c r="AF6" s="45" t="s">
        <v>43</v>
      </c>
    </row>
    <row r="7" ht="15.75" customHeight="1">
      <c r="A7" s="8"/>
      <c r="B7" s="8"/>
      <c r="C7" s="8"/>
      <c r="D7" s="8"/>
      <c r="E7" s="8"/>
      <c r="F7" s="45" t="s">
        <v>49</v>
      </c>
      <c r="G7" s="8"/>
      <c r="H7" s="45" t="s">
        <v>44</v>
      </c>
      <c r="I7" s="8"/>
      <c r="J7" s="8"/>
      <c r="K7" s="8"/>
      <c r="L7" s="8"/>
      <c r="M7" s="8"/>
      <c r="N7" s="8"/>
      <c r="O7" s="45" t="s">
        <v>20</v>
      </c>
      <c r="P7" s="45" t="s">
        <v>36</v>
      </c>
      <c r="Q7" s="46">
        <v>100</v>
      </c>
      <c r="R7" s="46">
        <v>10</v>
      </c>
      <c r="AF7" s="45" t="s">
        <v>45</v>
      </c>
    </row>
    <row r="8" ht="15.75" customHeight="1">
      <c r="A8" s="8"/>
      <c r="B8" s="8"/>
      <c r="C8" s="8"/>
      <c r="D8" s="8"/>
      <c r="E8" s="8"/>
      <c r="F8" s="45" t="s">
        <v>49</v>
      </c>
      <c r="G8" s="8"/>
      <c r="H8" s="45" t="s">
        <v>44</v>
      </c>
      <c r="I8" s="8"/>
      <c r="J8" s="8"/>
      <c r="K8" s="8"/>
      <c r="L8" s="8"/>
      <c r="M8" s="8"/>
      <c r="N8" s="8"/>
      <c r="O8" s="45" t="s">
        <v>20</v>
      </c>
      <c r="P8" s="45" t="s">
        <v>36</v>
      </c>
      <c r="Q8" s="46">
        <v>100</v>
      </c>
      <c r="R8" s="46">
        <v>10</v>
      </c>
      <c r="AF8" s="45" t="s">
        <v>45</v>
      </c>
    </row>
    <row r="9" ht="15.75" customHeight="1">
      <c r="A9" s="8"/>
      <c r="B9" s="8"/>
      <c r="C9" s="8"/>
      <c r="D9" s="8"/>
      <c r="E9" s="8"/>
      <c r="F9" s="45" t="s">
        <v>50</v>
      </c>
      <c r="G9" s="8"/>
      <c r="H9" s="45" t="s">
        <v>44</v>
      </c>
      <c r="I9" s="8"/>
      <c r="J9" s="8"/>
      <c r="K9" s="8"/>
      <c r="L9" s="8"/>
      <c r="M9" s="8"/>
      <c r="N9" s="8"/>
      <c r="O9" s="45" t="s">
        <v>20</v>
      </c>
      <c r="P9" s="45" t="s">
        <v>36</v>
      </c>
      <c r="Q9" s="46">
        <v>100</v>
      </c>
      <c r="R9" s="47">
        <v>100</v>
      </c>
      <c r="AF9" s="45" t="s">
        <v>43</v>
      </c>
    </row>
    <row r="10" ht="15.75" customHeight="1">
      <c r="A10" s="8"/>
      <c r="B10" s="8"/>
      <c r="C10" s="8"/>
      <c r="D10" s="8"/>
      <c r="E10" s="8"/>
      <c r="F10" s="45" t="s">
        <v>49</v>
      </c>
      <c r="G10" s="8"/>
      <c r="H10" s="45" t="s">
        <v>44</v>
      </c>
      <c r="I10" s="8"/>
      <c r="J10" s="8"/>
      <c r="K10" s="8"/>
      <c r="L10" s="8"/>
      <c r="M10" s="8"/>
      <c r="N10" s="8"/>
      <c r="O10" s="45" t="s">
        <v>20</v>
      </c>
      <c r="P10" s="45" t="s">
        <v>36</v>
      </c>
      <c r="Q10" s="46">
        <v>100</v>
      </c>
      <c r="R10" s="46">
        <v>900</v>
      </c>
      <c r="AF10" s="45" t="s">
        <v>43</v>
      </c>
    </row>
    <row r="11" ht="15.75" customHeight="1">
      <c r="A11" s="8"/>
      <c r="B11" s="8"/>
      <c r="C11" s="8"/>
      <c r="D11" s="8"/>
      <c r="E11" s="8"/>
      <c r="F11" s="48"/>
      <c r="G11" s="8"/>
      <c r="H11" s="48"/>
      <c r="I11" s="8"/>
      <c r="J11" s="8"/>
      <c r="K11" s="8"/>
      <c r="L11" s="8"/>
      <c r="M11" s="8"/>
      <c r="N11" s="8"/>
      <c r="O11" s="48"/>
      <c r="P11" s="48"/>
      <c r="Q11" s="48"/>
      <c r="R11" s="48"/>
      <c r="AF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18</v>
      </c>
      <c r="D6" s="46">
        <v>-100</v>
      </c>
      <c r="E6" s="45" t="s">
        <v>20</v>
      </c>
      <c r="F6" s="45" t="s">
        <v>53</v>
      </c>
      <c r="G6" s="46">
        <v>1</v>
      </c>
      <c r="H6" s="45"/>
      <c r="I6" s="8"/>
      <c r="J6" s="8"/>
      <c r="K6" s="8"/>
      <c r="L6" s="8"/>
      <c r="M6" s="8"/>
      <c r="N6" s="8"/>
      <c r="O6" s="8"/>
      <c r="R6" s="45"/>
      <c r="S6" s="45"/>
      <c r="T6" s="45"/>
      <c r="U6" s="45" t="s">
        <v>54</v>
      </c>
      <c r="V6" s="45" t="s">
        <v>55</v>
      </c>
      <c r="W6" s="45" t="s">
        <v>44</v>
      </c>
      <c r="AN6" s="45" t="s">
        <v>19</v>
      </c>
    </row>
    <row r="7" ht="15.75" customHeight="1">
      <c r="A7" s="8"/>
      <c r="B7" s="8"/>
      <c r="C7" s="45" t="s">
        <v>46</v>
      </c>
      <c r="D7" s="46">
        <v>10</v>
      </c>
      <c r="E7" s="45" t="s">
        <v>20</v>
      </c>
      <c r="F7" s="45" t="s">
        <v>53</v>
      </c>
      <c r="G7" s="46">
        <v>10</v>
      </c>
      <c r="H7" s="45"/>
      <c r="I7" s="8"/>
      <c r="J7" s="8"/>
      <c r="K7" s="8"/>
      <c r="L7" s="8"/>
      <c r="M7" s="8"/>
      <c r="N7" s="8"/>
      <c r="O7" s="8"/>
      <c r="R7" s="45"/>
      <c r="S7" s="45"/>
      <c r="T7" s="45"/>
      <c r="U7" s="45" t="s">
        <v>54</v>
      </c>
      <c r="V7" s="45" t="s">
        <v>56</v>
      </c>
      <c r="W7" s="45" t="s">
        <v>44</v>
      </c>
      <c r="AN7" s="45" t="s">
        <v>22</v>
      </c>
    </row>
    <row r="8" ht="15.75" customHeight="1">
      <c r="A8" s="8"/>
      <c r="B8" s="8"/>
      <c r="C8" s="45" t="s">
        <v>46</v>
      </c>
      <c r="D8" s="46">
        <v>-10</v>
      </c>
      <c r="E8" s="45" t="s">
        <v>20</v>
      </c>
      <c r="F8" s="45" t="s">
        <v>53</v>
      </c>
      <c r="G8" s="46">
        <v>0</v>
      </c>
      <c r="H8" s="45"/>
      <c r="I8" s="8"/>
      <c r="J8" s="8"/>
      <c r="K8" s="8"/>
      <c r="L8" s="8"/>
      <c r="M8" s="8"/>
      <c r="N8" s="8"/>
      <c r="O8" s="8"/>
      <c r="R8" s="45"/>
      <c r="S8" s="45"/>
      <c r="T8" s="45"/>
      <c r="U8" s="45" t="s">
        <v>54</v>
      </c>
      <c r="V8" s="45" t="s">
        <v>56</v>
      </c>
      <c r="W8" s="45" t="s">
        <v>44</v>
      </c>
      <c r="AN8" s="45" t="s">
        <v>47</v>
      </c>
    </row>
    <row r="9" ht="15.75" customHeight="1">
      <c r="A9" s="8"/>
      <c r="B9" s="8"/>
      <c r="C9" s="45" t="s">
        <v>18</v>
      </c>
      <c r="D9" s="49">
        <v>100</v>
      </c>
      <c r="E9" s="45" t="s">
        <v>20</v>
      </c>
      <c r="F9" s="45" t="s">
        <v>53</v>
      </c>
      <c r="G9" s="46">
        <v>100</v>
      </c>
      <c r="H9" s="45"/>
      <c r="I9" s="8"/>
      <c r="J9" s="8"/>
      <c r="K9" s="8"/>
      <c r="L9" s="8"/>
      <c r="M9" s="8"/>
      <c r="N9" s="8"/>
      <c r="O9" s="8"/>
      <c r="R9" s="45"/>
      <c r="S9" s="45"/>
      <c r="T9" s="45"/>
      <c r="U9" s="45" t="s">
        <v>54</v>
      </c>
      <c r="V9" s="45" t="s">
        <v>55</v>
      </c>
      <c r="W9" s="45" t="s">
        <v>44</v>
      </c>
      <c r="AN9" s="45" t="s">
        <v>35</v>
      </c>
    </row>
    <row r="10" ht="15.75" customHeight="1">
      <c r="A10" s="8"/>
      <c r="B10" s="8"/>
      <c r="C10" s="45" t="s">
        <v>18</v>
      </c>
      <c r="D10" s="46">
        <v>900</v>
      </c>
      <c r="E10" s="45" t="s">
        <v>20</v>
      </c>
      <c r="F10" s="45" t="s">
        <v>53</v>
      </c>
      <c r="G10" s="46">
        <v>100</v>
      </c>
      <c r="H10" s="45"/>
      <c r="I10" s="8"/>
      <c r="J10" s="8"/>
      <c r="K10" s="8"/>
      <c r="L10" s="8"/>
      <c r="M10" s="8"/>
      <c r="N10" s="8"/>
      <c r="O10" s="8"/>
      <c r="R10" s="50"/>
      <c r="S10" s="50"/>
      <c r="T10" s="50"/>
      <c r="U10" s="45" t="s">
        <v>54</v>
      </c>
      <c r="V10" s="45" t="s">
        <v>55</v>
      </c>
      <c r="W10" s="45" t="s">
        <v>44</v>
      </c>
      <c r="AN10" s="45" t="s">
        <v>38</v>
      </c>
    </row>
    <row r="11" ht="15.75" customHeight="1">
      <c r="A11" s="8"/>
      <c r="B11" s="8"/>
      <c r="C11" s="50"/>
      <c r="D11" s="50"/>
      <c r="E11" s="50"/>
      <c r="F11" s="50"/>
      <c r="G11" s="50"/>
      <c r="H11" s="45"/>
      <c r="I11" s="8"/>
      <c r="J11" s="8"/>
      <c r="K11" s="8"/>
      <c r="L11" s="8"/>
      <c r="M11" s="8"/>
      <c r="N11" s="8"/>
      <c r="O11" s="8"/>
      <c r="R11" s="45"/>
      <c r="S11" s="45"/>
      <c r="T11" s="45"/>
      <c r="U11" s="50"/>
      <c r="V11" s="50"/>
      <c r="W11" s="50"/>
      <c r="AN11" s="50"/>
    </row>
    <row r="12" ht="15.75" customHeight="1">
      <c r="A12" s="8"/>
      <c r="B12" s="8"/>
      <c r="C12" s="50"/>
      <c r="D12" s="51"/>
      <c r="E12" s="50"/>
      <c r="F12" s="50"/>
      <c r="G12" s="46"/>
      <c r="H12" s="45"/>
      <c r="I12" s="8"/>
      <c r="J12" s="8"/>
      <c r="K12" s="8"/>
      <c r="L12" s="8"/>
      <c r="M12" s="8"/>
      <c r="N12" s="8"/>
      <c r="O12" s="8"/>
      <c r="R12" s="45"/>
      <c r="S12" s="45"/>
      <c r="T12" s="45"/>
      <c r="U12" s="45"/>
      <c r="V12" s="45"/>
      <c r="W12" s="45"/>
      <c r="AN12" s="45"/>
    </row>
    <row r="13" ht="15.75" customHeight="1">
      <c r="A13" s="8"/>
      <c r="B13" s="8"/>
      <c r="C13" s="48"/>
      <c r="D13" s="48"/>
      <c r="E13" s="48"/>
      <c r="F13" s="48"/>
      <c r="G13" s="48"/>
      <c r="H13" s="48"/>
      <c r="I13" s="8"/>
      <c r="J13" s="8"/>
      <c r="K13" s="8"/>
      <c r="L13" s="8"/>
      <c r="M13" s="8"/>
      <c r="N13" s="8"/>
      <c r="O13" s="8"/>
      <c r="R13" s="48"/>
      <c r="S13" s="48"/>
      <c r="T13" s="48"/>
      <c r="U13" s="48"/>
      <c r="V13" s="48"/>
      <c r="W13" s="48"/>
      <c r="AN13" s="4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