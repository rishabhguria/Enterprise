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ustomOrderTT" sheetId="4" r:id="rId6"/>
    <sheet state="visible" name="EditOrder" sheetId="5" r:id="rId7"/>
    <sheet state="visible" name="VerifyTT" sheetId="6" r:id="rId8"/>
    <sheet state="visible" name="TradeNewSubOrder" sheetId="7" r:id="rId9"/>
    <sheet state="visible" name="ReloadOrderFromBlotter" sheetId="8" r:id="rId10"/>
    <sheet state="visible" name="ReloadOrderFromSubOrder" sheetId="9" r:id="rId11"/>
    <sheet state="visible" name="SelectTradeOnOrderGrid" sheetId="10" r:id="rId12"/>
    <sheet state="visible" name="ReloadOrderFromWorkingSubs" sheetId="11" r:id="rId13"/>
    <sheet state="visible" name="OpenRTPNL" sheetId="12" r:id="rId14"/>
    <sheet state="visible" name="IncreaseOrUnwindPositionRTPNL" sheetId="13" r:id="rId15"/>
    <sheet state="visible" name="VerifyTT1" sheetId="14" r:id="rId16"/>
  </sheets>
  <definedNames/>
  <calcPr/>
</workbook>
</file>

<file path=xl/sharedStrings.xml><?xml version="1.0" encoding="utf-8"?>
<sst xmlns="http://schemas.openxmlformats.org/spreadsheetml/2006/main" count="112" uniqueCount="37">
  <si>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</si>
  <si>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</si>
  <si>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</si>
  <si>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</si>
  <si>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</si>
  <si>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</si>
  <si>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</si>
  <si>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</si>
  <si>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</si>
  <si>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</si>
  <si>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</si>
  <si>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</si>
  <si>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</si>
  <si>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CustomOrderTT</t>
  </si>
  <si>
    <t>Data Format</t>
  </si>
  <si>
    <t>Input Format</t>
  </si>
  <si>
    <t>O:MSFT 12K31.00</t>
  </si>
  <si>
    <t>DoneAway</t>
  </si>
  <si>
    <t>Buy to Open</t>
  </si>
  <si>
    <t>O:AAPL 13N715.00</t>
  </si>
  <si>
    <t>CreateOrder</t>
  </si>
  <si>
    <t>Blotter</t>
  </si>
  <si>
    <t>EditOrder</t>
  </si>
  <si>
    <t>Filled</t>
  </si>
  <si>
    <t>VerifyTT</t>
  </si>
  <si>
    <t>NASDAQ</t>
  </si>
  <si>
    <t>TradeNewSubOrder</t>
  </si>
  <si>
    <t>New</t>
  </si>
  <si>
    <t>ReloadOrderFromBlotter</t>
  </si>
  <si>
    <t>SelectTradeOnOrderGrid</t>
  </si>
  <si>
    <t>ReloadOrderFromWorkingSubs</t>
  </si>
  <si>
    <t>RTPNL</t>
  </si>
  <si>
    <t>OpenRTPNL</t>
  </si>
  <si>
    <t>Nirvana,PM</t>
  </si>
  <si>
    <t>RealTimeSymAccountMonitor</t>
  </si>
  <si>
    <t>IncreaseOrUnwindPositionRTPNL</t>
  </si>
  <si>
    <t>Increase Position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</si>
</sst>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000000"/>
      <name val="Arial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horizontal="left"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readingOrder="0" shrinkToFit="0" wrapText="0"/>
    </xf>
    <xf borderId="0" fillId="0" fontId="14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9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IFERROR(__xludf.DUMMYFUNCTION("""COMPUTED_VALUE"""),"Quantity")</f>
        <v>Quantity</v>
      </c>
      <c r="D5" s="28" t="str">
        <f>IFERROR(__xludf.DUMMYFUNCTION("""COMPUTED_VALUE"""),"Price")</f>
        <v>Price</v>
      </c>
      <c r="E5" s="28" t="str">
        <f>IFERROR(__xludf.DUMMYFUNCTION("""COMPUTED_VALUE"""),"Order type button")</f>
        <v>Order type button</v>
      </c>
      <c r="F5" s="29" t="str">
        <f>IFERROR(__xludf.DUMMYFUNCTION("""COMPUTED_VALUE"""),"SharesOutstandingPopUp")</f>
        <v>SharesOutstandingPopUp</v>
      </c>
      <c r="G5" s="28" t="str">
        <f>IFERROR(__xludf.DUMMYFUNCTION("""COMPUTED_VALUE"""),"TT_Open")</f>
        <v>TT_Open</v>
      </c>
      <c r="H5" s="28" t="str">
        <f>IFERROR(__xludf.DUMMYFUNCTION("""COMPUTED_VALUE"""),"SharesOutstandingPopUpQty")</f>
        <v>SharesOutstandingPopUpQty</v>
      </c>
      <c r="I5" s="28" t="str">
        <f>IFERROR(__xludf.DUMMYFUNCTION("""COMPUTED_VALUE"""),"AllocationMethod")</f>
        <v>AllocationMethod</v>
      </c>
      <c r="J5" s="28" t="str">
        <f>IFERROR(__xludf.DUMMYFUNCTION("""COMPUTED_VALUE"""),"Order Side")</f>
        <v>Order Side</v>
      </c>
      <c r="K5" s="28" t="str">
        <f>IFERROR(__xludf.DUMMYFUNCTION("""COMPUTED_VALUE"""),"DB_Check")</f>
        <v>DB_Check</v>
      </c>
      <c r="L5" s="28" t="str">
        <f>IFERROR(__xludf.DUMMYFUNCTION("""COMPUTED_VALUE"""),"CommissionBasis")</f>
        <v>CommissionBasis</v>
      </c>
      <c r="M5" s="28" t="str">
        <f>IFERROR(__xludf.DUMMYFUNCTION("""COMPUTED_VALUE"""),"CommissionRate")</f>
        <v>CommissionRate</v>
      </c>
      <c r="N5" s="28" t="str">
        <f>IFERROR(__xludf.DUMMYFUNCTION("""COMPUTED_VALUE"""),"SoftBasis")</f>
        <v>SoftBasis</v>
      </c>
      <c r="O5" s="28" t="str">
        <f>IFERROR(__xludf.DUMMYFUNCTION("""COMPUTED_VALUE"""),"SoftRate")</f>
        <v>SoftRate</v>
      </c>
      <c r="P5" s="28" t="str">
        <f>IFERROR(__xludf.DUMMYFUNCTION("""COMPUTED_VALUE"""),"Account")</f>
        <v>Account</v>
      </c>
      <c r="Q5" s="28" t="str">
        <f>IFERROR(__xludf.DUMMYFUNCTION("""COMPUTED_VALUE"""),"Account %")</f>
        <v>Account %</v>
      </c>
      <c r="R5" s="28" t="str">
        <f>IFERROR(__xludf.DUMMYFUNCTION("""COMPUTED_VALUE"""),"VerifySuggestions")</f>
        <v>VerifySuggestions</v>
      </c>
      <c r="S5" s="28" t="str">
        <f>IFERROR(__xludf.DUMMYFUNCTION("""COMPUTED_VALUE"""),"SymbolToPickFromSuggesstions")</f>
        <v>SymbolToPickFromSuggesstions</v>
      </c>
      <c r="T5" s="30" t="str">
        <f>IFERROR(__xludf.DUMMYFUNCTION("""COMPUTED_VALUE"""),"TypedSymbolAvailableOnSuggestion")</f>
        <v>TypedSymbolAvailableOnSuggestion</v>
      </c>
      <c r="U5" s="30" t="str">
        <f>IFERROR(__xludf.DUMMYFUNCTION("""COMPUTED_VALUE"""),"TIF")</f>
        <v>TIF</v>
      </c>
      <c r="V5" s="30" t="str">
        <f>IFERROR(__xludf.DUMMYFUNCTION("""COMPUTED_VALUE"""),"Order Type")</f>
        <v>Order Type</v>
      </c>
      <c r="W5" s="30" t="str">
        <f>IFERROR(__xludf.DUMMYFUNCTION("""COMPUTED_VALUE"""),"Stop")</f>
        <v>Stop</v>
      </c>
      <c r="X5" s="30" t="str">
        <f>IFERROR(__xludf.DUMMYFUNCTION("""COMPUTED_VALUE"""),"Limit")</f>
        <v>Limit</v>
      </c>
      <c r="Y5" s="30" t="str">
        <f>IFERROR(__xludf.DUMMYFUNCTION("""COMPUTED_VALUE"""),"Expiration Date")</f>
        <v>Expiration Date</v>
      </c>
      <c r="Z5" s="30" t="str">
        <f>IFERROR(__xludf.DUMMYFUNCTION("""COMPUTED_VALUE"""),"Trade Date")</f>
        <v>Trade Date</v>
      </c>
      <c r="AA5" s="30" t="str">
        <f>IFERROR(__xludf.DUMMYFUNCTION("""COMPUTED_VALUE"""),"Broker")</f>
        <v>Broker</v>
      </c>
      <c r="AB5" s="30" t="str">
        <f>IFERROR(__xludf.DUMMYFUNCTION("""COMPUTED_VALUE"""),"Padlock Visiblity")</f>
        <v>Padlock Visiblity</v>
      </c>
      <c r="AC5" s="30" t="str">
        <f>IFERROR(__xludf.DUMMYFUNCTION("""COMPUTED_VALUE"""),"Padlock Unlock")</f>
        <v>Padlock Unlock</v>
      </c>
      <c r="AD5" s="30" t="str">
        <f>IFERROR(__xludf.DUMMYFUNCTION("""COMPUTED_VALUE"""),"Venue")</f>
        <v>Venue</v>
      </c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13">
        <v>120.0</v>
      </c>
      <c r="D6" s="13">
        <v>100.0</v>
      </c>
      <c r="E6" s="13" t="s">
        <v>17</v>
      </c>
      <c r="F6" s="8"/>
      <c r="G6" s="8"/>
      <c r="H6" s="8"/>
      <c r="I6" s="8"/>
      <c r="J6" s="13" t="s">
        <v>18</v>
      </c>
      <c r="K6" s="8"/>
      <c r="L6" s="8"/>
      <c r="M6" s="8"/>
      <c r="N6" s="8"/>
      <c r="O6" s="8"/>
    </row>
    <row r="7" ht="15.75" customHeight="1">
      <c r="A7" s="8"/>
      <c r="B7" s="13" t="s">
        <v>19</v>
      </c>
      <c r="C7" s="13">
        <v>120.0</v>
      </c>
      <c r="D7" s="13">
        <v>100.0</v>
      </c>
      <c r="E7" s="13" t="s">
        <v>20</v>
      </c>
      <c r="F7" s="8"/>
      <c r="G7" s="8"/>
      <c r="H7" s="8"/>
      <c r="I7" s="8"/>
      <c r="J7" s="13" t="s">
        <v>18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CustomOrderTT!$4:$4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16</v>
      </c>
      <c r="AK6" s="9" t="s">
        <v>23</v>
      </c>
      <c r="AL6" s="13">
        <v>120.0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 t="str">
        <f>IFERROR(__xludf.DUMMYFUNCTION("""COMPUTED_VALUE"""),"OptionTradingThroughSecurity")</f>
        <v>OptionTradingThroughSecurity</v>
      </c>
      <c r="AM4" s="26" t="str">
        <f>IFERROR(__xludf.DUMMYFUNCTION("""COMPUTED_VALUE"""),"CreateTradeWithAlgoBroker")</f>
        <v>CreateTradeWithAlgoBroker</v>
      </c>
      <c r="AN4" s="26" t="str">
        <f>IFERROR(__xludf.DUMMYFUNCTION("""COMPUTED_VALUE"""),"VerifyOrderSide")</f>
        <v>VerifyOrderSide</v>
      </c>
      <c r="AO4" s="26" t="str">
        <f>IFERROR(__xludf.DUMMYFUNCTION("""COMPUTED_VALUE"""),"CreateOrEditSymbolTT")</f>
        <v>CreateOrEditSymbolTT</v>
      </c>
      <c r="AP4" s="26" t="str">
        <f>IFERROR(__xludf.DUMMYFUNCTION("""COMPUTED_VALUE"""),"VerifyTTNavLockPopup")</f>
        <v>VerifyTTNavLockPopup</v>
      </c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  <c r="AB6" s="9" t="s">
        <v>25</v>
      </c>
      <c r="AP6" s="9">
        <v>1200000.0</v>
      </c>
      <c r="AQ6" s="9">
        <v>1200000.0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19</v>
      </c>
      <c r="AK6" s="9" t="s">
        <v>27</v>
      </c>
      <c r="AL6" s="13">
        <v>120.0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TradeNewSubOrder!$4:$4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16</v>
      </c>
      <c r="AK6" s="9" t="s">
        <v>23</v>
      </c>
      <c r="AL6" s="13">
        <v>120.0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ReloadOrderFromBlotter!$4:$4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AI6" s="13" t="s">
        <v>16</v>
      </c>
      <c r="AK6" s="9" t="s">
        <v>23</v>
      </c>
      <c r="AL6" s="13">
        <v>120.0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ReloadOrderFromSubOrder!$4:$4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IFERROR(__xludf.DUMMYFUNCTION("""COMPUTED_VALUE"""),"Target Qty")</f>
        <v>Target Qty</v>
      </c>
      <c r="I5" s="28" t="str">
        <f>IFERROR(__xludf.DUMMYFUNCTION("""COMPUTED_VALUE"""),"Total Executed Qty")</f>
        <v>Total Executed Qty</v>
      </c>
      <c r="J5" s="28" t="str">
        <f>IFERROR(__xludf.DUMMYFUNCTION("""COMPUTED_VALUE"""),"% Executed")</f>
        <v>% Executed</v>
      </c>
      <c r="K5" s="28" t="str">
        <f>IFERROR(__xludf.DUMMYFUNCTION("""COMPUTED_VALUE"""),"Day Executed Qty")</f>
        <v>Day Executed Qty</v>
      </c>
      <c r="L5" s="28" t="str">
        <f>IFERROR(__xludf.DUMMYFUNCTION("""COMPUTED_VALUE"""),"Uncommitted Qty")</f>
        <v>Uncommitted Qty</v>
      </c>
      <c r="M5" s="28" t="str">
        <f>IFERROR(__xludf.DUMMYFUNCTION("""COMPUTED_VALUE"""),"Limit Price")</f>
        <v>Limit Price</v>
      </c>
      <c r="N5" s="28" t="str">
        <f>IFERROR(__xludf.DUMMYFUNCTION("""COMPUTED_VALUE"""),"Last Fill Price (Local)")</f>
        <v>Last Fill Price (Local)</v>
      </c>
      <c r="O5" s="28" t="str">
        <f>IFERROR(__xludf.DUMMYFUNCTION("""COMPUTED_VALUE"""),"Stop Price")</f>
        <v>Stop Price</v>
      </c>
      <c r="P5" s="28" t="str">
        <f>IFERROR(__xludf.DUMMYFUNCTION("""COMPUTED_VALUE"""),"Avg Fill Price (Local)")</f>
        <v>Avg Fill Price (Local)</v>
      </c>
      <c r="Q5" s="28" t="str">
        <f>IFERROR(__xludf.DUMMYFUNCTION("""COMPUTED_VALUE"""),"Broker")</f>
        <v>Broker</v>
      </c>
      <c r="R5" s="28" t="str">
        <f>IFERROR(__xludf.DUMMYFUNCTION("""COMPUTED_VALUE"""),"Account")</f>
        <v>Account</v>
      </c>
      <c r="S5" s="28" t="str">
        <f>IFERROR(__xludf.DUMMYFUNCTION("""COMPUTED_VALUE"""),"OrderID")</f>
        <v>OrderID</v>
      </c>
      <c r="T5" s="30" t="str">
        <f>IFERROR(__xludf.DUMMYFUNCTION("""COMPUTED_VALUE"""),"Order Type")</f>
        <v>Order Type</v>
      </c>
      <c r="U5" s="30" t="str">
        <f>IFERROR(__xludf.DUMMYFUNCTION("""COMPUTED_VALUE"""),"Principal Amount (Local)")</f>
        <v>Principal Amount (Local)</v>
      </c>
      <c r="V5" s="30" t="str">
        <f>IFERROR(__xludf.DUMMYFUNCTION("""COMPUTED_VALUE"""),"Principal Amount (Base)")</f>
        <v>Principal Amount (Base)</v>
      </c>
      <c r="W5" s="30" t="str">
        <f>IFERROR(__xludf.DUMMYFUNCTION("""COMPUTED_VALUE"""),"Peg")</f>
        <v>Peg</v>
      </c>
      <c r="X5" s="30" t="str">
        <f>IFERROR(__xludf.DUMMYFUNCTION("""COMPUTED_VALUE"""),"ParentClOrderID")</f>
        <v>ParentClOrderID</v>
      </c>
      <c r="Y5" s="30" t="str">
        <f>IFERROR(__xludf.DUMMYFUNCTION("""COMPUTED_VALUE"""),"Strike Price")</f>
        <v>Strike Price</v>
      </c>
      <c r="Z5" s="30" t="str">
        <f>IFERROR(__xludf.DUMMYFUNCTION("""COMPUTED_VALUE"""),"Last Shares")</f>
        <v>Last Shares</v>
      </c>
      <c r="AA5" s="30" t="str">
        <f>IFERROR(__xludf.DUMMYFUNCTION("""COMPUTED_VALUE"""),"Working Qty")</f>
        <v>Working Qty</v>
      </c>
      <c r="AB5" s="30" t="str">
        <f>IFERROR(__xludf.DUMMYFUNCTION("""COMPUTED_VALUE"""),"Bloomberg Symbol")</f>
        <v>Bloomberg Symbol</v>
      </c>
      <c r="AC5" s="30" t="str">
        <f>IFERROR(__xludf.DUMMYFUNCTION("""COMPUTED_VALUE"""),"Imported File Name")</f>
        <v>Imported File Name</v>
      </c>
      <c r="AD5" s="30" t="str">
        <f>IFERROR(__xludf.DUMMYFUNCTION("""COMPUTED_VALUE"""),"Master Fund")</f>
        <v>Master Fund</v>
      </c>
      <c r="AE5" s="30" t="str">
        <f>IFERROR(__xludf.DUMMYFUNCTION("""COMPUTED_VALUE"""),"Day Average Price")</f>
        <v>Day Average Price</v>
      </c>
      <c r="AF5" s="30" t="str">
        <f>IFERROR(__xludf.DUMMYFUNCTION("""COMPUTED_VALUE"""),"Asset Class")</f>
        <v>Asset Class</v>
      </c>
      <c r="AG5" s="30" t="str">
        <f>IFERROR(__xludf.DUMMYFUNCTION("""COMPUTED_VALUE"""),"Underlying Country")</f>
        <v>Underlying Country</v>
      </c>
      <c r="AH5" s="30" t="str">
        <f>IFERROR(__xludf.DUMMYFUNCTION("""COMPUTED_VALUE"""),"Trader")</f>
        <v>Trader</v>
      </c>
      <c r="AI5" s="30" t="str">
        <f>IFERROR(__xludf.DUMMYFUNCTION("""COMPUTED_VALUE"""),"User")</f>
        <v>User</v>
      </c>
      <c r="AJ5" s="30" t="str">
        <f>IFERROR(__xludf.DUMMYFUNCTION("""COMPUTED_VALUE"""),"Venue")</f>
        <v>Venue</v>
      </c>
      <c r="AK5" s="30" t="str">
        <f>IFERROR(__xludf.DUMMYFUNCTION("""COMPUTED_VALUE"""),"Settlement Currency")</f>
        <v>Settlement Currency</v>
      </c>
      <c r="AL5" s="30" t="str">
        <f>IFERROR(__xludf.DUMMYFUNCTION("""COMPUTED_VALUE"""),"FX Conversion Operator")</f>
        <v>FX Conversion Operator</v>
      </c>
      <c r="AM5" s="30" t="str">
        <f>IFERROR(__xludf.DUMMYFUNCTION("""COMPUTED_VALUE"""),"Process Date")</f>
        <v>Process Date</v>
      </c>
      <c r="AN5" s="30" t="str">
        <f>IFERROR(__xludf.DUMMYFUNCTION("""COMPUTED_VALUE"""),"Underlying Symbol")</f>
        <v>Underlying Symbol</v>
      </c>
      <c r="AO5" s="30" t="str">
        <f>IFERROR(__xludf.DUMMYFUNCTION("""COMPUTED_VALUE"""),"Put/Call")</f>
        <v>Put/Call</v>
      </c>
      <c r="AP5" s="30" t="str">
        <f>IFERROR(__xludf.DUMMYFUNCTION("""COMPUTED_VALUE"""),"FX Rate")</f>
        <v>FX Rate</v>
      </c>
      <c r="AQ5" s="30" t="str">
        <f>IFERROR(__xludf.DUMMYFUNCTION("""COMPUTED_VALUE"""),"Trade Attribute 1")</f>
        <v>Trade Attribute 1</v>
      </c>
      <c r="AR5" s="30" t="str">
        <f>IFERROR(__xludf.DUMMYFUNCTION("""COMPUTED_VALUE"""),"Trade Attribute 2")</f>
        <v>Trade Attribute 2</v>
      </c>
      <c r="AS5" s="30" t="str">
        <f>IFERROR(__xludf.DUMMYFUNCTION("""COMPUTED_VALUE"""),"Trade Attribute 3")</f>
        <v>Trade Attribute 3</v>
      </c>
      <c r="AT5" s="30" t="str">
        <f>IFERROR(__xludf.DUMMYFUNCTION("""COMPUTED_VALUE"""),"Trade Attribute 4")</f>
        <v>Trade Attribute 4</v>
      </c>
      <c r="AU5" s="30" t="str">
        <f>IFERROR(__xludf.DUMMYFUNCTION("""COMPUTED_VALUE"""),"Trade Attribute 5")</f>
        <v>Trade Attribute 5</v>
      </c>
      <c r="AV5" s="30" t="str">
        <f>IFERROR(__xludf.DUMMYFUNCTION("""COMPUTED_VALUE"""),"Trade Attribute 6")</f>
        <v>Trade Attribute 6</v>
      </c>
      <c r="AW5" s="30" t="str">
        <f>IFERROR(__xludf.DUMMYFUNCTION("""COMPUTED_VALUE"""),"Internal Comments")</f>
        <v>Internal Comments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F6" s="9" t="s">
        <v>23</v>
      </c>
      <c r="H6" s="13">
        <v>120.0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SelectTradeOnOrderGrid!$4:$4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 t="str">
        <f>IFERROR(__xludf.DUMMYFUNCTION("""COMPUTED_VALUE"""),"AddOrRemoveColumnFromBlotter")</f>
        <v>AddOrRemoveColumnFromBlotter</v>
      </c>
      <c r="CD4" s="26" t="str">
        <f>IFERROR(__xludf.DUMMYFUNCTION("""COMPUTED_VALUE"""),"ApplyFilterOnBlotter")</f>
        <v>ApplyFilterOnBlotter</v>
      </c>
      <c r="CE4" s="26" t="str">
        <f>IFERROR(__xludf.DUMMYFUNCTION("""COMPUTED_VALUE"""),"SortGridOnBlotter")</f>
        <v>SortGridOnBlotter</v>
      </c>
      <c r="CF4" s="26" t="str">
        <f>IFERROR(__xludf.DUMMYFUNCTION("""COMPUTED_VALUE"""),"VerifyDataIndexWise")</f>
        <v>VerifyDataIndexWise</v>
      </c>
      <c r="CG4" s="26" t="str">
        <f>IFERROR(__xludf.DUMMYFUNCTION("""COMPUTED_VALUE"""),"ReplaceFillsOnBlotter")</f>
        <v>ReplaceFillsOnBlotter</v>
      </c>
      <c r="CH4" s="26" t="str">
        <f>IFERROR(__xludf.DUMMYFUNCTION("""COMPUTED_VALUE"""),"ReplaceFillsOnBlotter")</f>
        <v>ReplaceFillsOnBlotter</v>
      </c>
      <c r="CI4" s="26" t="str">
        <f>IFERROR(__xludf.DUMMYFUNCTION("""COMPUTED_VALUE"""),"SaveLayoutBlotter")</f>
        <v>SaveLayoutBlotter</v>
      </c>
      <c r="CJ4" s="26" t="str">
        <f>IFERROR(__xludf.DUMMYFUNCTION("""COMPUTED_VALUE"""),"VerifyBlotterNavLockPopup")</f>
        <v>VerifyBlotterNavLockPopup</v>
      </c>
      <c r="CK4" s="26" t="str">
        <f>IFERROR(__xludf.DUMMYFUNCTION("""COMPUTED_VALUE"""),"CustomTabActions")</f>
        <v>CustomTabActions</v>
      </c>
      <c r="CL4" s="26" t="str">
        <f>IFERROR(__xludf.DUMMYFUNCTION("""COMPUTED_VALUE"""),"VerifyAllocationWindow")</f>
        <v>VerifyAllocationWindow</v>
      </c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IFERROR(__xludf.DUMMYFUNCTION("""COMPUTED_VALUE"""),"Avg Fill Price (Base)")</f>
        <v>Avg Fill Price (Base)</v>
      </c>
      <c r="C5" s="28" t="str">
        <f>IFERROR(__xludf.DUMMYFUNCTION("""COMPUTED_VALUE"""),"Transaction Time")</f>
        <v>Transaction Time</v>
      </c>
      <c r="D5" s="28" t="str">
        <f>IFERROR(__xludf.DUMMYFUNCTION("""COMPUTED_VALUE"""),"Symbol")</f>
        <v>Symbol</v>
      </c>
      <c r="E5" s="28" t="str">
        <f>IFERROR(__xludf.DUMMYFUNCTION("""COMPUTED_VALUE"""),"Algo")</f>
        <v>Algo</v>
      </c>
      <c r="F5" s="29" t="str">
        <f>IFERROR(__xludf.DUMMYFUNCTION("""COMPUTED_VALUE"""),"Side")</f>
        <v>Side</v>
      </c>
      <c r="G5" s="28" t="str">
        <f>IFERROR(__xludf.DUMMYFUNCTION("""COMPUTED_VALUE"""),"Status")</f>
        <v>Status</v>
      </c>
      <c r="H5" s="28" t="str">
        <f>IFERROR(__xludf.DUMMYFUNCTION("""COMPUTED_VALUE"""),"Quantity")</f>
        <v>Quantity</v>
      </c>
      <c r="I5" s="28" t="str">
        <f>IFERROR(__xludf.DUMMYFUNCTION("""COMPUTED_VALUE"""),"Executed Qty")</f>
        <v>Executed Qty</v>
      </c>
      <c r="J5" s="28" t="str">
        <f>IFERROR(__xludf.DUMMYFUNCTION("""COMPUTED_VALUE"""),"Limit Price")</f>
        <v>Limit Price</v>
      </c>
      <c r="K5" s="28" t="str">
        <f>IFERROR(__xludf.DUMMYFUNCTION("""COMPUTED_VALUE"""),"Last Fill Price (Local)")</f>
        <v>Last Fill Price (Local)</v>
      </c>
      <c r="L5" s="28" t="str">
        <f>IFERROR(__xludf.DUMMYFUNCTION("""COMPUTED_VALUE"""),"Stop Price")</f>
        <v>Stop Price</v>
      </c>
      <c r="M5" s="28" t="str">
        <f>IFERROR(__xludf.DUMMYFUNCTION("""COMPUTED_VALUE"""),"Avg Fill Price (Local)")</f>
        <v>Avg Fill Price (Local)</v>
      </c>
      <c r="N5" s="28" t="str">
        <f>IFERROR(__xludf.DUMMYFUNCTION("""COMPUTED_VALUE"""),"Broker")</f>
        <v>Broker</v>
      </c>
      <c r="O5" s="28" t="str">
        <f>IFERROR(__xludf.DUMMYFUNCTION("""COMPUTED_VALUE"""),"Account")</f>
        <v>Account</v>
      </c>
      <c r="P5" s="28" t="str">
        <f>IFERROR(__xludf.DUMMYFUNCTION("""COMPUTED_VALUE"""),"OrderID")</f>
        <v>OrderID</v>
      </c>
      <c r="Q5" s="28" t="str">
        <f>IFERROR(__xludf.DUMMYFUNCTION("""COMPUTED_VALUE"""),"Order Type")</f>
        <v>Order Type</v>
      </c>
      <c r="R5" s="28" t="str">
        <f>IFERROR(__xludf.DUMMYFUNCTION("""COMPUTED_VALUE"""),"Principal Amount (Local)")</f>
        <v>Principal Amount (Local)</v>
      </c>
      <c r="S5" s="28" t="str">
        <f>IFERROR(__xludf.DUMMYFUNCTION("""COMPUTED_VALUE"""),"Principal Amount (Base)")</f>
        <v>Principal Amount (Base)</v>
      </c>
      <c r="T5" s="30" t="str">
        <f>IFERROR(__xludf.DUMMYFUNCTION("""COMPUTED_VALUE"""),"Peg")</f>
        <v>Peg</v>
      </c>
      <c r="U5" s="30" t="str">
        <f>IFERROR(__xludf.DUMMYFUNCTION("""COMPUTED_VALUE"""),"ParentClOrderID")</f>
        <v>ParentClOrderID</v>
      </c>
      <c r="V5" s="30" t="str">
        <f>IFERROR(__xludf.DUMMYFUNCTION("""COMPUTED_VALUE"""),"Strike Price")</f>
        <v>Strike Price</v>
      </c>
      <c r="W5" s="30" t="str">
        <f>IFERROR(__xludf.DUMMYFUNCTION("""COMPUTED_VALUE"""),"Last Shares")</f>
        <v>Last Shares</v>
      </c>
      <c r="X5" s="30" t="str">
        <f>IFERROR(__xludf.DUMMYFUNCTION("""COMPUTED_VALUE"""),"Working Qty")</f>
        <v>Working Qty</v>
      </c>
      <c r="Y5" s="30" t="str">
        <f>IFERROR(__xludf.DUMMYFUNCTION("""COMPUTED_VALUE"""),"Bloomberg Symbol")</f>
        <v>Bloomberg Symbol</v>
      </c>
      <c r="Z5" s="30" t="str">
        <f>IFERROR(__xludf.DUMMYFUNCTION("""COMPUTED_VALUE"""),"Imported File Name")</f>
        <v>Imported File Name</v>
      </c>
      <c r="AA5" s="30" t="str">
        <f>IFERROR(__xludf.DUMMYFUNCTION("""COMPUTED_VALUE"""),"Master Fund")</f>
        <v>Master Fund</v>
      </c>
      <c r="AB5" s="30" t="str">
        <f>IFERROR(__xludf.DUMMYFUNCTION("""COMPUTED_VALUE"""),"Asset Class")</f>
        <v>Asset Class</v>
      </c>
      <c r="AC5" s="30" t="str">
        <f>IFERROR(__xludf.DUMMYFUNCTION("""COMPUTED_VALUE"""),"Underlying Country")</f>
        <v>Underlying Country</v>
      </c>
      <c r="AD5" s="30" t="str">
        <f>IFERROR(__xludf.DUMMYFUNCTION("""COMPUTED_VALUE"""),"Trader")</f>
        <v>Trader</v>
      </c>
      <c r="AE5" s="30" t="str">
        <f>IFERROR(__xludf.DUMMYFUNCTION("""COMPUTED_VALUE"""),"User")</f>
        <v>User</v>
      </c>
      <c r="AF5" s="30" t="str">
        <f>IFERROR(__xludf.DUMMYFUNCTION("""COMPUTED_VALUE"""),"Venue")</f>
        <v>Venue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IFERROR(__xludf.DUMMYFUNCTION("""COMPUTED_VALUE"""),"Process Date")</f>
        <v>Process Date</v>
      </c>
      <c r="AJ5" s="30" t="str">
        <f>IFERROR(__xludf.DUMMYFUNCTION("""COMPUTED_VALUE"""),"Underlying Symbol")</f>
        <v>Underlying Symbol</v>
      </c>
      <c r="AK5" s="30" t="str">
        <f>IFERROR(__xludf.DUMMYFUNCTION("""COMPUTED_VALUE"""),"Put/Call")</f>
        <v>Put/Call</v>
      </c>
      <c r="AL5" s="30" t="str">
        <f>IFERROR(__xludf.DUMMYFUNCTION("""COMPUTED_VALUE"""),"FX Rate")</f>
        <v>FX Rate</v>
      </c>
      <c r="AM5" s="30" t="str">
        <f>IFERROR(__xludf.DUMMYFUNCTION("""COMPUTED_VALUE"""),"Trade Attribute 1")</f>
        <v>Trade Attribute 1</v>
      </c>
      <c r="AN5" s="30" t="str">
        <f>IFERROR(__xludf.DUMMYFUNCTION("""COMPUTED_VALUE"""),"Trade Attribute 2")</f>
        <v>Trade Attribute 2</v>
      </c>
      <c r="AO5" s="30" t="str">
        <f>IFERROR(__xludf.DUMMYFUNCTION("""COMPUTED_VALUE"""),"Trade Attribute 3")</f>
        <v>Trade Attribute 3</v>
      </c>
      <c r="AP5" s="30" t="str">
        <f>IFERROR(__xludf.DUMMYFUNCTION("""COMPUTED_VALUE"""),"Trade Attribute 4")</f>
        <v>Trade Attribute 4</v>
      </c>
      <c r="AQ5" s="30" t="str">
        <f>IFERROR(__xludf.DUMMYFUNCTION("""COMPUTED_VALUE"""),"Trade Attribute 5")</f>
        <v>Trade Attribute 5</v>
      </c>
      <c r="AR5" s="30" t="str">
        <f>IFERROR(__xludf.DUMMYFUNCTION("""COMPUTED_VALUE"""),"Trade Attribute 6")</f>
        <v>Trade Attribute 6</v>
      </c>
      <c r="AS5" s="30" t="str">
        <f>IFERROR(__xludf.DUMMYFUNCTION("""COMPUTED_VALUE"""),"Internal Comments")</f>
        <v>Internal Comments</v>
      </c>
      <c r="AT5" s="30" t="str">
        <f>IFERROR(__xludf.DUMMYFUNCTION("""COMPUTED_VALUE"""),"Allocation Scheme Name")</f>
        <v>Allocation Scheme Name</v>
      </c>
      <c r="AU5" s="30" t="str">
        <f>IFERROR(__xludf.DUMMYFUNCTION("""COMPUTED_VALUE"""),"Status (With Rollover)")</f>
        <v>Status (With Rollover)</v>
      </c>
      <c r="AV5" s="30" t="str">
        <f>IFERROR(__xludf.DUMMYFUNCTION("""COMPUTED_VALUE"""),"Source")</f>
        <v>Source</v>
      </c>
      <c r="AW5" s="30" t="str">
        <f>IFERROR(__xludf.DUMMYFUNCTION("""COMPUTED_VALUE"""),"Strategy")</f>
        <v>Strategy</v>
      </c>
      <c r="AX5" s="30" t="str">
        <f>IFERROR(__xludf.DUMMYFUNCTION("""COMPUTED_VALUE"""),"Unexecuted Qty")</f>
        <v>Unexecuted Qty</v>
      </c>
      <c r="AY5" s="30" t="str">
        <f>IFERROR(__xludf.DUMMYFUNCTION("""COMPUTED_VALUE"""),"Allocation Status")</f>
        <v>Allocation Status</v>
      </c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 t="s">
        <v>16</v>
      </c>
      <c r="G6" s="9" t="s">
        <v>23</v>
      </c>
      <c r="H6" s="13">
        <v>120.0</v>
      </c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ReloadOrderFromWorkingSubs!$4:$4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IFERROR(__xludf.DUMMYFUNCTION("""COMPUTED_VALUE"""),"OpenWindow")</f>
        <v>OpenWindow</v>
      </c>
      <c r="C5" s="28" t="str">
        <f>IFERROR(__xludf.DUMMYFUNCTION("""COMPUTED_VALUE"""),"TabName")</f>
        <v>TabName</v>
      </c>
      <c r="D5" s="28" t="str">
        <f>IFERROR(__xludf.DUMMYFUNCTION("""COMPUTED_VALUE"""),"Description")</f>
        <v>Description</v>
      </c>
      <c r="E5" s="28" t="str">
        <f>IFERROR(__xludf.DUMMYFUNCTION("""COMPUTED_VALUE"""),"Save?")</f>
        <v>Save?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33</v>
      </c>
      <c r="C6" s="32" t="s">
        <v>34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OpenRTPNL!$4:$4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31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IFERROR(__xludf.DUMMYFUNCTION("IF(C3="""","""",Transpose(IMPORTRANGE('_Settings'!$B$3,C3&amp;""!A4:A1000"")))"),"CheckSummaryDashboard")</f>
        <v>CheckSummaryDashboard</v>
      </c>
      <c r="C4" s="25" t="str">
        <f>IFERROR(__xludf.DUMMYFUNCTION("""COMPUTED_VALUE"""),"CheckFundLevelAggregation")</f>
        <v>CheckFundLevelAggregation</v>
      </c>
      <c r="D4" s="25" t="str">
        <f>IFERROR(__xludf.DUMMYFUNCTION("""COMPUTED_VALUE"""),"CheckAccountLevelAggregation")</f>
        <v>CheckAccountLevelAggregation</v>
      </c>
      <c r="E4" s="25" t="str">
        <f>IFERROR(__xludf.DUMMYFUNCTION("""COMPUTED_VALUE"""),"CheckSymbolLevelAggregation")</f>
        <v>CheckSymbolLevelAggregation</v>
      </c>
      <c r="F4" s="25" t="str">
        <f>IFERROR(__xludf.DUMMYFUNCTION("""COMPUTED_VALUE"""),"CheckRealTimeSymbolFundMonitor")</f>
        <v>CheckRealTimeSymbolFundMonitor</v>
      </c>
      <c r="G4" s="25" t="str">
        <f>IFERROR(__xludf.DUMMYFUNCTION("""COMPUTED_VALUE"""),"CheckRealTimeSymAccountMonitor")</f>
        <v>CheckRealTimeSymAccountMonitor</v>
      </c>
      <c r="H4" s="25" t="str">
        <f>IFERROR(__xludf.DUMMYFUNCTION("""COMPUTED_VALUE"""),"CreateDashBoard")</f>
        <v>CreateDashBoard</v>
      </c>
      <c r="I4" s="25" t="str">
        <f>IFERROR(__xludf.DUMMYFUNCTION("""COMPUTED_VALUE"""),"UpdateDashboardName")</f>
        <v>UpdateDashboardName</v>
      </c>
      <c r="J4" s="25" t="str">
        <f>IFERROR(__xludf.DUMMYFUNCTION("""COMPUTED_VALUE"""),"AddWidget")</f>
        <v>AddWidget</v>
      </c>
      <c r="K4" s="25" t="str">
        <f>IFERROR(__xludf.DUMMYFUNCTION("""COMPUTED_VALUE"""),"CheckDashboardWidgetTitle")</f>
        <v>CheckDashboardWidgetTitle</v>
      </c>
      <c r="L4" s="25" t="str">
        <f>IFERROR(__xludf.DUMMYFUNCTION("""COMPUTED_VALUE"""),"updateWidget")</f>
        <v>updateWidget</v>
      </c>
      <c r="M4" s="25" t="str">
        <f>IFERROR(__xludf.DUMMYFUNCTION("""COMPUTED_VALUE"""),"OpenRTPNL")</f>
        <v>OpenRTPNL</v>
      </c>
      <c r="N4" s="25" t="str">
        <f>IFERROR(__xludf.DUMMYFUNCTION("""COMPUTED_VALUE"""),"LinkDashboardTabs")</f>
        <v>LinkDashboardTabs</v>
      </c>
      <c r="O4" s="25" t="str">
        <f>IFERROR(__xludf.DUMMYFUNCTION("""COMPUTED_VALUE"""),"SelectDashboardTabRow")</f>
        <v>SelectDashboardTabRow</v>
      </c>
      <c r="P4" s="26" t="str">
        <f>IFERROR(__xludf.DUMMYFUNCTION("""COMPUTED_VALUE"""),"SelectRowAtFLAggregation")</f>
        <v>SelectRowAtFLAggregation</v>
      </c>
      <c r="Q4" s="26" t="str">
        <f>IFERROR(__xludf.DUMMYFUNCTION("""COMPUTED_VALUE"""),"SelectRowAtALAggregation")</f>
        <v>SelectRowAtALAggregation</v>
      </c>
      <c r="R4" s="26" t="str">
        <f>IFERROR(__xludf.DUMMYFUNCTION("""COMPUTED_VALUE"""),"SelectRowAtSLAggregation")</f>
        <v>SelectRowAtSLAggregation</v>
      </c>
      <c r="S4" s="26" t="str">
        <f>IFERROR(__xludf.DUMMYFUNCTION("""COMPUTED_VALUE"""),"SelectRowAtRTSFundMonitor")</f>
        <v>SelectRowAtRTSFundMonitor</v>
      </c>
      <c r="T4" s="26" t="str">
        <f>IFERROR(__xludf.DUMMYFUNCTION("""COMPUTED_VALUE"""),"SelectRowAtRTSAccountMonitor")</f>
        <v>SelectRowAtRTSAccountMonitor</v>
      </c>
      <c r="U4" s="26" t="str">
        <f>IFERROR(__xludf.DUMMYFUNCTION("""COMPUTED_VALUE"""),"FilterOnPMGrid")</f>
        <v>FilterOnPMGrid</v>
      </c>
      <c r="V4" s="26" t="str">
        <f>IFERROR(__xludf.DUMMYFUNCTION("""COMPUTED_VALUE"""),"SortOnPMGrid")</f>
        <v>SortOnPMGrid</v>
      </c>
      <c r="W4" s="26" t="str">
        <f>IFERROR(__xludf.DUMMYFUNCTION("""COMPUTED_VALUE"""),"ExtractTabOutsidePMDashboard")</f>
        <v>ExtractTabOutsidePMDashboard</v>
      </c>
      <c r="X4" s="26" t="str">
        <f>IFERROR(__xludf.DUMMYFUNCTION("""COMPUTED_VALUE"""),"SortRTSFM")</f>
        <v>SortRTSFM</v>
      </c>
      <c r="Y4" s="26" t="str">
        <f>IFERROR(__xludf.DUMMYFUNCTION("""COMPUTED_VALUE"""),"SortSLA")</f>
        <v>SortSLA</v>
      </c>
      <c r="Z4" s="26" t="str">
        <f>IFERROR(__xludf.DUMMYFUNCTION("""COMPUTED_VALUE"""),"SortFLA")</f>
        <v>SortFLA</v>
      </c>
      <c r="AA4" s="26" t="str">
        <f>IFERROR(__xludf.DUMMYFUNCTION("""COMPUTED_VALUE"""),"SortALA")</f>
        <v>SortALA</v>
      </c>
      <c r="AB4" s="26" t="str">
        <f>IFERROR(__xludf.DUMMYFUNCTION("""COMPUTED_VALUE"""),"FilterSLA")</f>
        <v>FilterSLA</v>
      </c>
      <c r="AC4" s="26" t="str">
        <f>IFERROR(__xludf.DUMMYFUNCTION("""COMPUTED_VALUE"""),"FilterRTSFM")</f>
        <v>FilterRTSFM</v>
      </c>
      <c r="AD4" s="26" t="str">
        <f>IFERROR(__xludf.DUMMYFUNCTION("""COMPUTED_VALUE"""),"FilterALA")</f>
        <v>FilterALA</v>
      </c>
      <c r="AE4" s="26" t="str">
        <f>IFERROR(__xludf.DUMMYFUNCTION("""COMPUTED_VALUE"""),"FilterFLA")</f>
        <v>FilterFLA</v>
      </c>
      <c r="AF4" s="26" t="str">
        <f>IFERROR(__xludf.DUMMYFUNCTION("""COMPUTED_VALUE"""),"SortRTSAM")</f>
        <v>SortRTSAM</v>
      </c>
      <c r="AG4" s="26" t="str">
        <f>IFERROR(__xludf.DUMMYFUNCTION("""COMPUTED_VALUE"""),"FilterRTSAM")</f>
        <v>FilterRTSAM</v>
      </c>
      <c r="AH4" s="26" t="str">
        <f>IFERROR(__xludf.DUMMYFUNCTION("""COMPUTED_VALUE"""),"SortRTSAM")</f>
        <v>SortRTSAM</v>
      </c>
      <c r="AI4" s="26" t="str">
        <f>IFERROR(__xludf.DUMMYFUNCTION("""COMPUTED_VALUE"""),"IncreaseOrUnwindPositionRTPNL")</f>
        <v>IncreaseOrUnwindPositionRTPNL</v>
      </c>
      <c r="AJ4" s="26" t="str">
        <f>IFERROR(__xludf.DUMMYFUNCTION("""COMPUTED_VALUE"""),"SavePage")</f>
        <v>SavePage</v>
      </c>
      <c r="AK4" s="26" t="str">
        <f>IFERROR(__xludf.DUMMYFUNCTION("""COMPUTED_VALUE"""),"CloseRTPNL")</f>
        <v>CloseRTPNL</v>
      </c>
      <c r="AL4" s="26" t="str">
        <f>IFERROR(__xludf.DUMMYFUNCTION("""COMPUTED_VALUE"""),"VerifyColumns")</f>
        <v>VerifyColumns</v>
      </c>
      <c r="AM4" s="26" t="str">
        <f>IFERROR(__xludf.DUMMYFUNCTION("""COMPUTED_VALUE"""),"ConfigureWidget")</f>
        <v>ConfigureWidget</v>
      </c>
      <c r="AN4" s="26" t="str">
        <f>IFERROR(__xludf.DUMMYFUNCTION("""COMPUTED_VALUE"""),"ChangeWidgetView")</f>
        <v>ChangeWidgetView</v>
      </c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IFERROR(__xludf.DUMMYFUNCTION("""COMPUTED_VALUE"""),"Security Name")</f>
        <v>Security Name</v>
      </c>
      <c r="D5" s="28" t="str">
        <f>IFERROR(__xludf.DUMMYFUNCTION("""COMPUTED_VALUE"""),"Fund")</f>
        <v>Fund</v>
      </c>
      <c r="E5" s="28" t="str">
        <f>IFERROR(__xludf.DUMMYFUNCTION("""COMPUTED_VALUE"""),"Account")</f>
        <v>Account</v>
      </c>
      <c r="F5" s="29" t="str">
        <f>IFERROR(__xludf.DUMMYFUNCTION("""COMPUTED_VALUE"""),"Asset Class")</f>
        <v>Asset Class</v>
      </c>
      <c r="G5" s="28" t="str">
        <f>IFERROR(__xludf.DUMMYFUNCTION("""COMPUTED_VALUE"""),"Position")</f>
        <v>Position</v>
      </c>
      <c r="H5" s="28" t="str">
        <f>IFERROR(__xludf.DUMMYFUNCTION("""COMPUTED_VALUE"""),"Position Side")</f>
        <v>Position Side</v>
      </c>
      <c r="I5" s="28" t="str">
        <f>IFERROR(__xludf.DUMMYFUNCTION("""COMPUTED_VALUE"""),"Px Selected Feed (Local)")</f>
        <v>Px Selected Feed (Local)</v>
      </c>
      <c r="J5" s="28" t="str">
        <f>IFERROR(__xludf.DUMMYFUNCTION("""COMPUTED_VALUE"""),"Px Selected Feed (Base)")</f>
        <v>Px Selected Feed (Base)</v>
      </c>
      <c r="K5" s="28" t="str">
        <f>IFERROR(__xludf.DUMMYFUNCTION("""COMPUTED_VALUE"""),"Market Value (Base)")</f>
        <v>Market Value (Base)</v>
      </c>
      <c r="L5" s="28" t="str">
        <f>IFERROR(__xludf.DUMMYFUNCTION("""COMPUTED_VALUE"""),"% Net Market Value (Base)")</f>
        <v>% Net Market Value (Base)</v>
      </c>
      <c r="M5" s="28" t="str">
        <f>IFERROR(__xludf.DUMMYFUNCTION("""COMPUTED_VALUE"""),"Cost Basis P&amp;L (Base)")</f>
        <v>Cost Basis P&amp;L (Base)</v>
      </c>
      <c r="N5" s="28" t="str">
        <f>IFERROR(__xludf.DUMMYFUNCTION("""COMPUTED_VALUE"""),"% Gain/Loss Cost")</f>
        <v>% Gain/Loss Cost</v>
      </c>
      <c r="O5" s="28" t="str">
        <f>IFERROR(__xludf.DUMMYFUNCTION("""COMPUTED_VALUE"""),"Day P&amp;L (Base)")</f>
        <v>Day P&amp;L (Base)</v>
      </c>
      <c r="P5" s="28" t="str">
        <f>IFERROR(__xludf.DUMMYFUNCTION("""COMPUTED_VALUE"""),"% Gain/Loss Day")</f>
        <v>% Gain/Loss Day</v>
      </c>
      <c r="Q5" s="28" t="str">
        <f>IFERROR(__xludf.DUMMYFUNCTION("""COMPUTED_VALUE"""),"Exposure (Base)")</f>
        <v>Exposure (Base)</v>
      </c>
      <c r="R5" s="28" t="str">
        <f>IFERROR(__xludf.DUMMYFUNCTION("""COMPUTED_VALUE"""),"% Exposure (Base)")</f>
        <v>% Exposure (Base)</v>
      </c>
      <c r="S5" s="28" t="str">
        <f>IFERROR(__xludf.DUMMYFUNCTION("""COMPUTED_VALUE"""),"Live Feed Provider Ticker")</f>
        <v>Live Feed Provider Ticker</v>
      </c>
      <c r="T5" s="30" t="str">
        <f>IFERROR(__xludf.DUMMYFUNCTION("""COMPUTED_VALUE"""),"PositionAction")</f>
        <v>PositionAction</v>
      </c>
      <c r="U5" s="30" t="str">
        <f>IFERROR(__xludf.DUMMYFUNCTION("""COMPUTED_VALUE"""),"VerifyOptionsList")</f>
        <v>VerifyOptionsList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8"/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  <c r="T6" s="9" t="s">
        <v>36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IncreaseOrUnwindPositionRTPNL!$4:$4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IFERROR(__xludf.DUMMYFUNCTION("IF(C3="""","""",Transpose(IMPORTRANGE('_Settings'!$B$3,C3&amp;""!A4:A1000"")))"),"Loading...")</f>
        <v>Loading...</v>
      </c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IFERROR(__xludf.DUMMYFUNCTION("""COMPUTED_VALUE"""),"MasterFund")</f>
        <v>MasterFund</v>
      </c>
      <c r="AG5" s="30" t="str">
        <f>IFERROR(__xludf.DUMMYFUNCTION("""COMPUTED_VALUE"""),"RoundLotStrip")</f>
        <v>RoundLotStrip</v>
      </c>
      <c r="AH5" s="30" t="str">
        <f>IFERROR(__xludf.DUMMYFUNCTION("""COMPUTED_VALUE"""),"Round Lots")</f>
        <v>Round Lots</v>
      </c>
      <c r="AI5" s="30" t="str">
        <f>IFERROR(__xludf.DUMMYFUNCTION("""COMPUTED_VALUE"""),"Button_Status")</f>
        <v>Button_Status</v>
      </c>
      <c r="AJ5" s="30" t="str">
        <f>IFERROR(__xludf.DUMMYFUNCTION("""COMPUTED_VALUE"""),"Position")</f>
        <v>Position</v>
      </c>
      <c r="AK5" s="30" t="str">
        <f>IFERROR(__xludf.DUMMYFUNCTION("""COMPUTED_VALUE"""),"Symbol Name")</f>
        <v>Symbol Name</v>
      </c>
      <c r="AL5" s="30" t="str">
        <f>IFERROR(__xludf.DUMMYFUNCTION("""COMPUTED_VALUE"""),"Last")</f>
        <v>Last</v>
      </c>
      <c r="AM5" s="30" t="str">
        <f>IFERROR(__xludf.DUMMYFUNCTION("""COMPUTED_VALUE"""),"Change")</f>
        <v>Change</v>
      </c>
      <c r="AN5" s="30" t="str">
        <f>IFERROR(__xludf.DUMMYFUNCTION("""COMPUTED_VALUE"""),"Bid")</f>
        <v>Bid</v>
      </c>
      <c r="AO5" s="30" t="str">
        <f>IFERROR(__xludf.DUMMYFUNCTION("""COMPUTED_VALUE"""),"Ask")</f>
        <v>Ask</v>
      </c>
      <c r="AP5" s="30" t="str">
        <f>IFERROR(__xludf.DUMMYFUNCTION("""COMPUTED_VALUE"""),"Notional(Base)")</f>
        <v>Notional(Base)</v>
      </c>
      <c r="AQ5" s="30" t="str">
        <f>IFERROR(__xludf.DUMMYFUNCTION("""COMPUTED_VALUE"""),"Notional(Local)")</f>
        <v>Notional(Local)</v>
      </c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>
        <v>120.0</v>
      </c>
      <c r="E6" s="31"/>
      <c r="F6" s="8"/>
      <c r="G6" s="8"/>
      <c r="H6" s="8"/>
      <c r="I6" s="8"/>
      <c r="J6" s="13">
        <v>100.0</v>
      </c>
      <c r="K6" s="8"/>
      <c r="L6" s="8"/>
      <c r="M6" s="8"/>
      <c r="N6" s="8"/>
      <c r="O6" s="8"/>
      <c r="AB6" s="9" t="s">
        <v>25</v>
      </c>
      <c r="AP6" s="9">
        <v>1200000.0</v>
      </c>
      <c r="AQ6" s="9">
        <v>1200000.0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VerifyTT1!$4:$4</formula1>
    </dataValidation>
  </dataValidations>
  <drawing r:id="rId1"/>
</worksheet>
</file>