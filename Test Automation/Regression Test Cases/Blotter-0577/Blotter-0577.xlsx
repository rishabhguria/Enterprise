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CreateDoneAwayOrder" sheetId="4" r:id="rId6"/>
    <sheet state="visible" name="VerifyWorkingSubs" sheetId="5" r:id="rId7"/>
    <sheet state="visible" name="VerifyWorkingSubs1" sheetId="6" r:id="rId8"/>
    <sheet state="visible" name="VerifySubOrder" sheetId="7" r:id="rId9"/>
  </sheets>
  <definedNames/>
  <calcPr/>
</workbook>
</file>

<file path=xl/sharedStrings.xml><?xml version="1.0" encoding="utf-8"?>
<sst xmlns="http://schemas.openxmlformats.org/spreadsheetml/2006/main" count="48" uniqueCount="22">
  <si>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</si>
  <si>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</si>
  <si>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</si>
  <si>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</si>
  <si>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</si>
  <si>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</si>
  <si>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</si>
  <si>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</si>
  <si>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</si>
  <si>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</si>
  <si>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</si>
  <si>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</si>
  <si>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TradingTicket</t>
  </si>
  <si>
    <t>CreateDoneAwayOrder</t>
  </si>
  <si>
    <t>Data Format</t>
  </si>
  <si>
    <t>Input Format</t>
  </si>
  <si>
    <t>AAPL</t>
  </si>
  <si>
    <t>Buy</t>
  </si>
  <si>
    <t>Blotter</t>
  </si>
  <si>
    <t>VerifyWorkingSubs</t>
  </si>
  <si>
    <t>AAPL US EQUITY</t>
  </si>
  <si>
    <t>VerifySubOrder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</si>
</sst>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9.0"/>
      <color rgb="FFFF8000"/>
      <name val="&quot;Segoe UI&quot;"/>
    </font>
  </fonts>
  <fills count="7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  <fill>
      <patternFill patternType="solid">
        <fgColor rgb="FFE7E8E9"/>
        <bgColor rgb="FFE7E8E9"/>
      </patternFill>
    </fill>
  </fills>
  <borders count="6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5" fillId="6" fontId="13" numFmtId="0" xfId="0" applyAlignment="1" applyBorder="1" applyFill="1" applyFont="1">
      <alignment horizontal="right" readingOrder="0" shrinkToFit="0" vertical="top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2.png"/><Relationship Id="rId2" Type="http://schemas.openxmlformats.org/officeDocument/2006/relationships/image" Target="../media/image5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IFERROR(__xludf.DUMMYFUNCTION("""COMPUTED_VALUE"""),"CheckRealTImeSymbolAccountMonitor")</f>
        <v>CheckRealTImeSymbolAccountMonitor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IFERROR(__xludf.DUMMYFUNCTION("IF(C3="""","""",Transpose(IMPORTRANGE('_Settings'!$B$3,C3&amp;""!A4:A1000"")))"),"OpenTTFromPST")</f>
        <v>OpenTTFromPST</v>
      </c>
      <c r="C4" s="24" t="str">
        <f>IFERROR(__xludf.DUMMYFUNCTION("""COMPUTED_VALUE"""),"EnterDetailsOnTT")</f>
        <v>EnterDetailsOnTT</v>
      </c>
      <c r="D4" s="24" t="str">
        <f>IFERROR(__xludf.DUMMYFUNCTION("""COMPUTED_VALUE"""),"ValidateSymbolTT")</f>
        <v>ValidateSymbolTT</v>
      </c>
      <c r="E4" s="24" t="str">
        <f>IFERROR(__xludf.DUMMYFUNCTION("""COMPUTED_VALUE"""),"VerifyDataTT")</f>
        <v>VerifyDataTT</v>
      </c>
      <c r="F4" s="24" t="str">
        <f>IFERROR(__xludf.DUMMYFUNCTION("""COMPUTED_VALUE"""),"SetUIPreferencesTT")</f>
        <v>SetUIPreferencesTT</v>
      </c>
      <c r="G4" s="24" t="str">
        <f>IFERROR(__xludf.DUMMYFUNCTION("""COMPUTED_VALUE"""),"SetBrokerWisePreferencesTT")</f>
        <v>SetBrokerWisePreferencesTT</v>
      </c>
      <c r="H4" s="24" t="str">
        <f>IFERROR(__xludf.DUMMYFUNCTION("""COMPUTED_VALUE"""),"VerifyComplianceOrder")</f>
        <v>VerifyComplianceOrder</v>
      </c>
      <c r="I4" s="24" t="str">
        <f>IFERROR(__xludf.DUMMYFUNCTION("""COMPUTED_VALUE"""),"TradeNewSub")</f>
        <v>TradeNewSub</v>
      </c>
      <c r="J4" s="24" t="str">
        <f>IFERROR(__xludf.DUMMYFUNCTION("""COMPUTED_VALUE"""),"CreateStageOrder")</f>
        <v>CreateStageOrder</v>
      </c>
      <c r="K4" s="24" t="str">
        <f>IFERROR(__xludf.DUMMYFUNCTION("""COMPUTED_VALUE"""),"CreateReplaceOrder")</f>
        <v>CreateReplaceOrder</v>
      </c>
      <c r="L4" s="24" t="str">
        <f>IFERROR(__xludf.DUMMYFUNCTION("""COMPUTED_VALUE"""),"SetGeneralPreference")</f>
        <v>SetGeneralPreference</v>
      </c>
      <c r="M4" s="24" t="str">
        <f>IFERROR(__xludf.DUMMYFUNCTION("""COMPUTED_VALUE"""),"CreateNewSubOrder")</f>
        <v>CreateNewSubOrder</v>
      </c>
      <c r="N4" s="24" t="str">
        <f>IFERROR(__xludf.DUMMYFUNCTION("""COMPUTED_VALUE"""),"TradeBloomberg")</f>
        <v>TradeBloomberg</v>
      </c>
      <c r="O4" s="24" t="str">
        <f>IFERROR(__xludf.DUMMYFUNCTION("""COMPUTED_VALUE"""),"ClickSymbolLookup")</f>
        <v>ClickSymbolLookup</v>
      </c>
      <c r="P4" s="25" t="str">
        <f>IFERROR(__xludf.DUMMYFUNCTION("""COMPUTED_VALUE"""),"VerifyTT")</f>
        <v>VerifyTT</v>
      </c>
      <c r="Q4" s="25" t="str">
        <f>IFERROR(__xludf.DUMMYFUNCTION("""COMPUTED_VALUE"""),"CreateLiveOrder")</f>
        <v>CreateLiveOrder</v>
      </c>
      <c r="R4" s="25" t="str">
        <f>IFERROR(__xludf.DUMMYFUNCTION("""COMPUTED_VALUE"""),"UpdateMasterFundOnTT")</f>
        <v>UpdateMasterFundOnTT</v>
      </c>
      <c r="S4" s="25" t="str">
        <f>IFERROR(__xludf.DUMMYFUNCTION("""COMPUTED_VALUE"""),"SetTTCompliancePreference")</f>
        <v>SetTTCompliancePreference</v>
      </c>
      <c r="T4" s="25" t="str">
        <f>IFERROR(__xludf.DUMMYFUNCTION("""COMPUTED_VALUE"""),"ImportSymbol")</f>
        <v>ImportSymbol</v>
      </c>
      <c r="U4" s="25" t="str">
        <f>IFERROR(__xludf.DUMMYFUNCTION("""COMPUTED_VALUE"""),"ExportSymbolFromRAList")</f>
        <v>ExportSymbolFromRAList</v>
      </c>
      <c r="V4" s="25" t="str">
        <f>IFERROR(__xludf.DUMMYFUNCTION("""COMPUTED_VALUE"""),"CheckPendingNewOrderAlert")</f>
        <v>CheckPendingNewOrderAlert</v>
      </c>
      <c r="W4" s="25" t="str">
        <f>IFERROR(__xludf.DUMMYFUNCTION("""COMPUTED_VALUE"""),"AddSymbolOnRAList")</f>
        <v>AddSymbolOnRAList</v>
      </c>
      <c r="X4" s="25" t="str">
        <f>IFERROR(__xludf.DUMMYFUNCTION("""COMPUTED_VALUE"""),"DeleteSymbolListFromRA")</f>
        <v>DeleteSymbolListFromRA</v>
      </c>
      <c r="Y4" s="25" t="str">
        <f>IFERROR(__xludf.DUMMYFUNCTION("""COMPUTED_VALUE"""),"RemoveSymbolFromRAList")</f>
        <v>RemoveSymbolFromRAList</v>
      </c>
      <c r="Z4" s="25" t="str">
        <f>IFERROR(__xludf.DUMMYFUNCTION("""COMPUTED_VALUE"""),"ToggleBlombergOnRA")</f>
        <v>ToggleBlombergOnRA</v>
      </c>
      <c r="AA4" s="25" t="str">
        <f>IFERROR(__xludf.DUMMYFUNCTION("""COMPUTED_VALUE"""),"CreateDoneAwayOrder")</f>
        <v>CreateDoneAwayOrder</v>
      </c>
      <c r="AB4" s="25" t="str">
        <f>IFERROR(__xludf.DUMMYFUNCTION("""COMPUTED_VALUE"""),"CreateComplianceOrder")</f>
        <v>CreateComplianceOrder</v>
      </c>
      <c r="AC4" s="25" t="str">
        <f>IFERROR(__xludf.DUMMYFUNCTION("""COMPUTED_VALUE"""),"AddOptionTrade")</f>
        <v>AddOptionTrade</v>
      </c>
      <c r="AD4" s="25" t="str">
        <f>IFERROR(__xludf.DUMMYFUNCTION("""COMPUTED_VALUE"""),"SendLiveBloomberg")</f>
        <v>SendLiveBloomberg</v>
      </c>
      <c r="AE4" s="25" t="str">
        <f>IFERROR(__xludf.DUMMYFUNCTION("""COMPUTED_VALUE"""),"ViewAllocation")</f>
        <v>ViewAllocation</v>
      </c>
      <c r="AF4" s="25" t="str">
        <f>IFERROR(__xludf.DUMMYFUNCTION("""COMPUTED_VALUE"""),"CreateReplaceLiveOrder")</f>
        <v>CreateReplaceLiveOrder</v>
      </c>
      <c r="AG4" s="25" t="str">
        <f>IFERROR(__xludf.DUMMYFUNCTION("""COMPUTED_VALUE"""),"CreateNewSubLiveOrder")</f>
        <v>CreateNewSubLiveOrder</v>
      </c>
      <c r="AH4" s="25" t="str">
        <f>IFERROR(__xludf.DUMMYFUNCTION("""COMPUTED_VALUE"""),"VerifyBasketExport")</f>
        <v>VerifyBasketExport</v>
      </c>
      <c r="AI4" s="25" t="str">
        <f>IFERROR(__xludf.DUMMYFUNCTION("""COMPUTED_VALUE"""),"VerifyCustomAllocationonTT")</f>
        <v>VerifyCustomAllocationonTT</v>
      </c>
      <c r="AJ4" s="25" t="str">
        <f>IFERROR(__xludf.DUMMYFUNCTION("""COMPUTED_VALUE"""),"CustomOrderTT")</f>
        <v>CustomOrderTT</v>
      </c>
      <c r="AK4" s="25" t="str">
        <f>IFERROR(__xludf.DUMMYFUNCTION("""COMPUTED_VALUE"""),"CheckStepSheet")</f>
        <v>CheckStepSheet</v>
      </c>
      <c r="AL4" s="25" t="str">
        <f>IFERROR(__xludf.DUMMYFUNCTION("""COMPUTED_VALUE"""),"OptionTradingThroughSecurity")</f>
        <v>OptionTradingThroughSecurity</v>
      </c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IFERROR(__xludf.DUMMYFUNCTION("""COMPUTED_VALUE"""),"Order Side")</f>
        <v>Order Side</v>
      </c>
      <c r="D5" s="27" t="str">
        <f>IFERROR(__xludf.DUMMYFUNCTION("""COMPUTED_VALUE"""),"Quantity")</f>
        <v>Quantity</v>
      </c>
      <c r="E5" s="27" t="str">
        <f>IFERROR(__xludf.DUMMYFUNCTION("""COMPUTED_VALUE"""),"TargetQuantityIn")</f>
        <v>TargetQuantityIn</v>
      </c>
      <c r="F5" s="28" t="str">
        <f>IFERROR(__xludf.DUMMYFUNCTION("""COMPUTED_VALUE"""),"AllocationMethod")</f>
        <v>AllocationMethod</v>
      </c>
      <c r="G5" s="27" t="str">
        <f>IFERROR(__xludf.DUMMYFUNCTION("""COMPUTED_VALUE"""),"Broker")</f>
        <v>Broker</v>
      </c>
      <c r="H5" s="27" t="str">
        <f>IFERROR(__xludf.DUMMYFUNCTION("""COMPUTED_VALUE"""),"TIF")</f>
        <v>TIF</v>
      </c>
      <c r="I5" s="27" t="str">
        <f>IFERROR(__xludf.DUMMYFUNCTION("""COMPUTED_VALUE"""),"Order Type")</f>
        <v>Order Type</v>
      </c>
      <c r="J5" s="27" t="str">
        <f>IFERROR(__xludf.DUMMYFUNCTION("""COMPUTED_VALUE"""),"Price")</f>
        <v>Price</v>
      </c>
      <c r="K5" s="27" t="str">
        <f>IFERROR(__xludf.DUMMYFUNCTION("""COMPUTED_VALUE"""),"Stop")</f>
        <v>Stop</v>
      </c>
      <c r="L5" s="27" t="str">
        <f>IFERROR(__xludf.DUMMYFUNCTION("""COMPUTED_VALUE"""),"Limit")</f>
        <v>Limit</v>
      </c>
      <c r="M5" s="27" t="str">
        <f>IFERROR(__xludf.DUMMYFUNCTION("""COMPUTED_VALUE"""),"Strategy")</f>
        <v>Strategy</v>
      </c>
      <c r="N5" s="27" t="str">
        <f>IFERROR(__xludf.DUMMYFUNCTION("""COMPUTED_VALUE"""),"Trade Date")</f>
        <v>Trade Date</v>
      </c>
      <c r="O5" s="27" t="str">
        <f>IFERROR(__xludf.DUMMYFUNCTION("""COMPUTED_VALUE"""),"FxRate")</f>
        <v>FxRate</v>
      </c>
      <c r="P5" s="27" t="str">
        <f>IFERROR(__xludf.DUMMYFUNCTION("""COMPUTED_VALUE"""),"Notes")</f>
        <v>Notes</v>
      </c>
      <c r="Q5" s="27" t="str">
        <f>IFERROR(__xludf.DUMMYFUNCTION("""COMPUTED_VALUE"""),"Broker Notes")</f>
        <v>Broker Notes</v>
      </c>
      <c r="R5" s="27" t="str">
        <f>IFERROR(__xludf.DUMMYFUNCTION("""COMPUTED_VALUE"""),"CommissionBasis")</f>
        <v>CommissionBasis</v>
      </c>
      <c r="S5" s="27" t="str">
        <f>IFERROR(__xludf.DUMMYFUNCTION("""COMPUTED_VALUE"""),"CommissionRate")</f>
        <v>CommissionRate</v>
      </c>
      <c r="T5" s="29" t="str">
        <f>IFERROR(__xludf.DUMMYFUNCTION("""COMPUTED_VALUE"""),"SoftBasis")</f>
        <v>SoftBasis</v>
      </c>
      <c r="U5" s="29" t="str">
        <f>IFERROR(__xludf.DUMMYFUNCTION("""COMPUTED_VALUE"""),"SoftRate")</f>
        <v>SoftRate</v>
      </c>
      <c r="V5" s="29" t="str">
        <f>IFERROR(__xludf.DUMMYFUNCTION("""COMPUTED_VALUE"""),"TradeAttribute1")</f>
        <v>TradeAttribute1</v>
      </c>
      <c r="W5" s="29" t="str">
        <f>IFERROR(__xludf.DUMMYFUNCTION("""COMPUTED_VALUE"""),"TradeAttribute2")</f>
        <v>TradeAttribute2</v>
      </c>
      <c r="X5" s="29" t="str">
        <f>IFERROR(__xludf.DUMMYFUNCTION("""COMPUTED_VALUE"""),"TradeAttribute3")</f>
        <v>TradeAttribute3</v>
      </c>
      <c r="Y5" s="29" t="str">
        <f>IFERROR(__xludf.DUMMYFUNCTION("""COMPUTED_VALUE"""),"TradeAttribute4")</f>
        <v>TradeAttribute4</v>
      </c>
      <c r="Z5" s="29" t="str">
        <f>IFERROR(__xludf.DUMMYFUNCTION("""COMPUTED_VALUE"""),"TradeAttribute5")</f>
        <v>TradeAttribute5</v>
      </c>
      <c r="AA5" s="29" t="str">
        <f>IFERROR(__xludf.DUMMYFUNCTION("""COMPUTED_VALUE"""),"TradeAttribute6")</f>
        <v>TradeAttribute6</v>
      </c>
      <c r="AB5" s="29" t="str">
        <f>IFERROR(__xludf.DUMMYFUNCTION("""COMPUTED_VALUE"""),"Venue")</f>
        <v>Venue</v>
      </c>
      <c r="AC5" s="29" t="str">
        <f>IFERROR(__xludf.DUMMYFUNCTION("""COMPUTED_VALUE"""),"ExecutionInstructions")</f>
        <v>ExecutionInstructions</v>
      </c>
      <c r="AD5" s="29" t="str">
        <f>IFERROR(__xludf.DUMMYFUNCTION("""COMPUTED_VALUE"""),"HandlingInstructions")</f>
        <v>HandlingInstructions</v>
      </c>
      <c r="AE5" s="29" t="str">
        <f>IFERROR(__xludf.DUMMYFUNCTION("""COMPUTED_VALUE"""),"Trader")</f>
        <v>Trader</v>
      </c>
      <c r="AF5" s="29" t="str">
        <f>IFERROR(__xludf.DUMMYFUNCTION("""COMPUTED_VALUE"""),"SettlementCurrency")</f>
        <v>SettlementCurrency</v>
      </c>
      <c r="AG5" s="29" t="str">
        <f>IFERROR(__xludf.DUMMYFUNCTION("""COMPUTED_VALUE"""),"SettlementFXRate")</f>
        <v>SettlementFXRate</v>
      </c>
      <c r="AH5" s="29" t="str">
        <f>IFERROR(__xludf.DUMMYFUNCTION("""COMPUTED_VALUE"""),"SettlementAmount")</f>
        <v>SettlementAmount</v>
      </c>
      <c r="AI5" s="29" t="str">
        <f>IFERROR(__xludf.DUMMYFUNCTION("""COMPUTED_VALUE"""),"SettlementFXOperator")</f>
        <v>SettlementFXOperator</v>
      </c>
      <c r="AJ5" s="29" t="str">
        <f>IFERROR(__xludf.DUMMYFUNCTION("""COMPUTED_VALUE"""),"SettleByBroker")</f>
        <v>SettleByBroker</v>
      </c>
      <c r="AK5" s="29" t="str">
        <f>IFERROR(__xludf.DUMMYFUNCTION("""COMPUTED_VALUE"""),"Account")</f>
        <v>Account</v>
      </c>
      <c r="AL5" s="29" t="str">
        <f>IFERROR(__xludf.DUMMYFUNCTION("""COMPUTED_VALUE"""),"Account %")</f>
        <v>Account %</v>
      </c>
      <c r="AM5" s="29" t="str">
        <f>IFERROR(__xludf.DUMMYFUNCTION("""COMPUTED_VALUE"""),"Deal In")</f>
        <v>Deal In</v>
      </c>
      <c r="AN5" s="29" t="str">
        <f>IFERROR(__xludf.DUMMYFUNCTION("""COMPUTED_VALUE"""),"ChkBoxBookAsSwap")</f>
        <v>ChkBoxBookAsSwap</v>
      </c>
      <c r="AO5" s="29" t="str">
        <f>IFERROR(__xludf.DUMMYFUNCTION("""COMPUTED_VALUE"""),"PopUpQuantity")</f>
        <v>PopUpQuantity</v>
      </c>
      <c r="AP5" s="29" t="str">
        <f>IFERROR(__xludf.DUMMYFUNCTION("""COMPUTED_VALUE"""),"ShortLocate")</f>
        <v>ShortLocate</v>
      </c>
      <c r="AQ5" s="29" t="str">
        <f>IFERROR(__xludf.DUMMYFUNCTION("""COMPUTED_VALUE"""),"AllowTrade")</f>
        <v>AllowTrade</v>
      </c>
      <c r="AR5" s="29" t="str">
        <f>IFERROR(__xludf.DUMMYFUNCTION("""COMPUTED_VALUE"""),"SharesOutstandingPopUpQty")</f>
        <v>SharesOutstandingPopUpQty</v>
      </c>
      <c r="AS5" s="29" t="str">
        <f>IFERROR(__xludf.DUMMYFUNCTION("""COMPUTED_VALUE"""),"SharesOutstandingPopUp")</f>
        <v>SharesOutstandingPopUp</v>
      </c>
      <c r="AT5" s="29" t="str">
        <f>IFERROR(__xludf.DUMMYFUNCTION("""COMPUTED_VALUE"""),"ResAllowedListPopUp")</f>
        <v>ResAllowedListPopUp</v>
      </c>
      <c r="AU5" s="29" t="str">
        <f>IFERROR(__xludf.DUMMYFUNCTION("""COMPUTED_VALUE"""),"Rate(%)")</f>
        <v>Rate(%)</v>
      </c>
      <c r="AV5" s="29" t="str">
        <f>IFERROR(__xludf.DUMMYFUNCTION("""COMPUTED_VALUE"""),"Interest Rate")</f>
        <v>Interest Rate</v>
      </c>
      <c r="AW5" s="29" t="str">
        <f>IFERROR(__xludf.DUMMYFUNCTION("""COMPUTED_VALUE"""),"SelectAlgoStrategy")</f>
        <v>SelectAlgoStrategy</v>
      </c>
      <c r="AX5" s="29" t="str">
        <f>IFERROR(__xludf.DUMMYFUNCTION("""COMPUTED_VALUE"""),"Increase/Decrease Quantity")</f>
        <v>Increase/Decrease Quantity</v>
      </c>
      <c r="AY5" s="29" t="str">
        <f>IFERROR(__xludf.DUMMYFUNCTION("""COMPUTED_VALUE"""),"Master Funds")</f>
        <v>Master Funds</v>
      </c>
      <c r="AZ5" s="29" t="str">
        <f>IFERROR(__xludf.DUMMYFUNCTION("""COMPUTED_VALUE"""),"TRVAccountName")</f>
        <v>TRVAccountName</v>
      </c>
      <c r="BA5" s="29" t="str">
        <f>IFERROR(__xludf.DUMMYFUNCTION("""COMPUTED_VALUE"""),"TRVTradeQuantity")</f>
        <v>TRVTradeQuantity</v>
      </c>
      <c r="BB5" s="29" t="str">
        <f>IFERROR(__xludf.DUMMYFUNCTION("""COMPUTED_VALUE"""),"TRVCurrentPosition")</f>
        <v>TRVCurrentPosition</v>
      </c>
      <c r="BC5" s="29" t="str">
        <f>IFERROR(__xludf.DUMMYFUNCTION("""COMPUTED_VALUE"""),"TRVNav")</f>
        <v>TRVNav</v>
      </c>
      <c r="BD5" s="29" t="str">
        <f>IFERROR(__xludf.DUMMYFUNCTION("""COMPUTED_VALUE"""),"Account QTY")</f>
        <v>Account QTY</v>
      </c>
      <c r="BE5" s="29" t="str">
        <f>IFERROR(__xludf.DUMMYFUNCTION("""COMPUTED_VALUE"""),"DoneAwayClickOnNO")</f>
        <v>DoneAwayClickOnNO</v>
      </c>
      <c r="BF5" s="29" t="str">
        <f>IFERROR(__xludf.DUMMYFUNCTION("""COMPUTED_VALUE"""),"HotbuttonQty")</f>
        <v>HotbuttonQty</v>
      </c>
      <c r="BG5" s="29" t="str">
        <f>IFERROR(__xludf.DUMMYFUNCTION("""COMPUTED_VALUE"""),"HotButtonPrice")</f>
        <v>HotButtonPrice</v>
      </c>
      <c r="BH5" s="29" t="str">
        <f>IFERROR(__xludf.DUMMYFUNCTION("""COMPUTED_VALUE"""),"HotButtonLimit")</f>
        <v>HotButtonLimit</v>
      </c>
      <c r="BI5" s="29" t="str">
        <f>IFERROR(__xludf.DUMMYFUNCTION("""COMPUTED_VALUE"""),"HotButtonStop")</f>
        <v>HotButtonStop</v>
      </c>
      <c r="BJ5" s="29" t="str">
        <f>IFERROR(__xludf.DUMMYFUNCTION("""COMPUTED_VALUE"""),"Broker PadLock")</f>
        <v>Broker PadLock</v>
      </c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9" t="s">
        <v>17</v>
      </c>
      <c r="D6" s="12">
        <v>25.0</v>
      </c>
      <c r="F6" s="8"/>
      <c r="G6" s="8"/>
      <c r="H6" s="8"/>
      <c r="I6" s="8"/>
      <c r="J6" s="12">
        <v>5.0</v>
      </c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CreateDoneAwayOrder!$4:$4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3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19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IFERROR(__xludf.DUMMYFUNCTION("""COMPUTED_VALUE"""),"Symbol")</f>
        <v>Symbol</v>
      </c>
      <c r="C5" s="27" t="str">
        <f>IFERROR(__xludf.DUMMYFUNCTION("""COMPUTED_VALUE"""),"Side")</f>
        <v>Side</v>
      </c>
      <c r="D5" s="27" t="str">
        <f>IFERROR(__xludf.DUMMYFUNCTION("""COMPUTED_VALUE"""),"Quantity")</f>
        <v>Quantity</v>
      </c>
      <c r="E5" s="27" t="str">
        <f>IFERROR(__xludf.DUMMYFUNCTION("""COMPUTED_VALUE"""),"Executed Qty")</f>
        <v>Executed Qty</v>
      </c>
      <c r="F5" s="28" t="str">
        <f>IFERROR(__xludf.DUMMYFUNCTION("""COMPUTED_VALUE"""),"Unexecuted Qty")</f>
        <v>Unexecuted Qty</v>
      </c>
      <c r="G5" s="27" t="str">
        <f>IFERROR(__xludf.DUMMYFUNCTION("""COMPUTED_VALUE"""),"Status")</f>
        <v>Status</v>
      </c>
      <c r="H5" s="27" t="str">
        <f>IFERROR(__xludf.DUMMYFUNCTION("""COMPUTED_VALUE"""),"Last Shares")</f>
        <v>Last Shares</v>
      </c>
      <c r="I5" s="27" t="str">
        <f>IFERROR(__xludf.DUMMYFUNCTION("""COMPUTED_VALUE"""),"Last Fill Price (Local)")</f>
        <v>Last Fill Price (Local)</v>
      </c>
      <c r="J5" s="27" t="str">
        <f>IFERROR(__xludf.DUMMYFUNCTION("""COMPUTED_VALUE"""),"Avg Fill Price (Local)")</f>
        <v>Avg Fill Price (Local)</v>
      </c>
      <c r="K5" s="27" t="str">
        <f>IFERROR(__xludf.DUMMYFUNCTION("""COMPUTED_VALUE"""),"Broker")</f>
        <v>Broker</v>
      </c>
      <c r="L5" s="27" t="str">
        <f>IFERROR(__xludf.DUMMYFUNCTION("""COMPUTED_VALUE"""),"Account")</f>
        <v>Account</v>
      </c>
      <c r="M5" s="27" t="str">
        <f>IFERROR(__xludf.DUMMYFUNCTION("""COMPUTED_VALUE"""),"Order Type")</f>
        <v>Order Type</v>
      </c>
      <c r="N5" s="27" t="str">
        <f>IFERROR(__xludf.DUMMYFUNCTION("""COMPUTED_VALUE"""),"OrderStatus")</f>
        <v>OrderStatus</v>
      </c>
      <c r="O5" s="27" t="str">
        <f>IFERROR(__xludf.DUMMYFUNCTION("""COMPUTED_VALUE"""),"Avg Fill Price (Base)")</f>
        <v>Avg Fill Price (Base)</v>
      </c>
      <c r="P5" s="27" t="str">
        <f>IFERROR(__xludf.DUMMYFUNCTION("""COMPUTED_VALUE"""),"Limit Price")</f>
        <v>Limit Price</v>
      </c>
      <c r="Q5" s="27" t="str">
        <f>IFERROR(__xludf.DUMMYFUNCTION("""COMPUTED_VALUE"""),"Stop Price")</f>
        <v>Stop Price</v>
      </c>
      <c r="R5" s="27" t="str">
        <f>IFERROR(__xludf.DUMMYFUNCTION("""COMPUTED_VALUE"""),"Actual User")</f>
        <v>Actual User</v>
      </c>
      <c r="S5" s="27" t="str">
        <f>IFERROR(__xludf.DUMMYFUNCTION("""COMPUTED_VALUE"""),"Bloomberg Symbol")</f>
        <v>Bloomberg Symbol</v>
      </c>
      <c r="T5" s="29" t="str">
        <f>IFERROR(__xludf.DUMMYFUNCTION("""COMPUTED_VALUE"""),"Algo")</f>
        <v>Algo</v>
      </c>
      <c r="U5" s="29" t="str">
        <f>IFERROR(__xludf.DUMMYFUNCTION("""COMPUTED_VALUE"""),"Allocation Scheme Name")</f>
        <v>Allocation Scheme Name</v>
      </c>
      <c r="V5" s="29" t="str">
        <f>IFERROR(__xludf.DUMMYFUNCTION("""COMPUTED_VALUE"""),"Allocation Status")</f>
        <v>Allocation Status</v>
      </c>
      <c r="W5" s="29" t="str">
        <f>IFERROR(__xludf.DUMMYFUNCTION("""COMPUTED_VALUE"""),"Asset Class")</f>
        <v>Asset Class</v>
      </c>
      <c r="X5" s="29" t="str">
        <f>IFERROR(__xludf.DUMMYFUNCTION("""COMPUTED_VALUE"""),"FX Conversion Operator")</f>
        <v>FX Conversion Operator</v>
      </c>
      <c r="Y5" s="29" t="str">
        <f>IFERROR(__xludf.DUMMYFUNCTION("""COMPUTED_VALUE"""),"FX Rate")</f>
        <v>FX Rate</v>
      </c>
      <c r="Z5" s="29" t="str">
        <f>IFERROR(__xludf.DUMMYFUNCTION("""COMPUTED_VALUE"""),"Imported File Name")</f>
        <v>Imported File Name</v>
      </c>
      <c r="AA5" s="29" t="str">
        <f>IFERROR(__xludf.DUMMYFUNCTION("""COMPUTED_VALUE"""),"Internal Comments")</f>
        <v>Internal Comments</v>
      </c>
      <c r="AB5" s="29" t="str">
        <f>IFERROR(__xludf.DUMMYFUNCTION("""COMPUTED_VALUE"""),"Peg")</f>
        <v>Peg</v>
      </c>
      <c r="AC5" s="29" t="str">
        <f>IFERROR(__xludf.DUMMYFUNCTION("""COMPUTED_VALUE"""),"Principal Amount (Base)")</f>
        <v>Principal Amount (Base)</v>
      </c>
      <c r="AD5" s="29" t="str">
        <f>IFERROR(__xludf.DUMMYFUNCTION("""COMPUTED_VALUE"""),"Principal Amount (Local)")</f>
        <v>Principal Amount (Local)</v>
      </c>
      <c r="AE5" s="29" t="str">
        <f>IFERROR(__xludf.DUMMYFUNCTION("""COMPUTED_VALUE"""),"Process Date")</f>
        <v>Process Date</v>
      </c>
      <c r="AF5" s="29" t="str">
        <f>IFERROR(__xludf.DUMMYFUNCTION("""COMPUTED_VALUE"""),"Put/Call")</f>
        <v>Put/Call</v>
      </c>
      <c r="AG5" s="29" t="str">
        <f>IFERROR(__xludf.DUMMYFUNCTION("""COMPUTED_VALUE"""),"Settlement Currency")</f>
        <v>Settlement Currency</v>
      </c>
      <c r="AH5" s="29" t="str">
        <f>IFERROR(__xludf.DUMMYFUNCTION("""COMPUTED_VALUE"""),"Source")</f>
        <v>Source</v>
      </c>
      <c r="AI5" s="29" t="str">
        <f>IFERROR(__xludf.DUMMYFUNCTION("""COMPUTED_VALUE"""),"Status (With Rollover)")</f>
        <v>Status (With Rollover)</v>
      </c>
      <c r="AJ5" s="29" t="str">
        <f>IFERROR(__xludf.DUMMYFUNCTION("""COMPUTED_VALUE"""),"Strategy")</f>
        <v>Strategy</v>
      </c>
      <c r="AK5" s="29" t="str">
        <f>IFERROR(__xludf.DUMMYFUNCTION("""COMPUTED_VALUE"""),"Strike Price")</f>
        <v>Strike Price</v>
      </c>
      <c r="AL5" s="29" t="str">
        <f>IFERROR(__xludf.DUMMYFUNCTION("""COMPUTED_VALUE"""),"Trade Attribute 1")</f>
        <v>Trade Attribute 1</v>
      </c>
      <c r="AM5" s="29" t="str">
        <f>IFERROR(__xludf.DUMMYFUNCTION("""COMPUTED_VALUE"""),"Trade Attribute 2")</f>
        <v>Trade Attribute 2</v>
      </c>
      <c r="AN5" s="29" t="str">
        <f>IFERROR(__xludf.DUMMYFUNCTION("""COMPUTED_VALUE"""),"Trade Attribute 3")</f>
        <v>Trade Attribute 3</v>
      </c>
      <c r="AO5" s="29" t="str">
        <f>IFERROR(__xludf.DUMMYFUNCTION("""COMPUTED_VALUE"""),"Trade Attribute 4")</f>
        <v>Trade Attribute 4</v>
      </c>
      <c r="AP5" s="29" t="str">
        <f>IFERROR(__xludf.DUMMYFUNCTION("""COMPUTED_VALUE"""),"Trade Attribute 5")</f>
        <v>Trade Attribute 5</v>
      </c>
      <c r="AQ5" s="29" t="str">
        <f>IFERROR(__xludf.DUMMYFUNCTION("""COMPUTED_VALUE"""),"Trade Attribute 6")</f>
        <v>Trade Attribute 6</v>
      </c>
      <c r="AR5" s="29" t="str">
        <f>IFERROR(__xludf.DUMMYFUNCTION("""COMPUTED_VALUE"""),"Trader")</f>
        <v>Trader</v>
      </c>
      <c r="AS5" s="29" t="str">
        <f>IFERROR(__xludf.DUMMYFUNCTION("""COMPUTED_VALUE"""),"Transaction Time")</f>
        <v>Transaction Time</v>
      </c>
      <c r="AT5" s="29" t="str">
        <f>IFERROR(__xludf.DUMMYFUNCTION("""COMPUTED_VALUE"""),"Underlying Country")</f>
        <v>Underlying Country</v>
      </c>
      <c r="AU5" s="29" t="str">
        <f>IFERROR(__xludf.DUMMYFUNCTION("""COMPUTED_VALUE"""),"Underlying Symbol")</f>
        <v>Underlying Symbol</v>
      </c>
      <c r="AV5" s="29" t="str">
        <f>IFERROR(__xludf.DUMMYFUNCTION("""COMPUTED_VALUE"""),"Venue")</f>
        <v>Venue</v>
      </c>
      <c r="AW5" s="29" t="str">
        <f>IFERROR(__xludf.DUMMYFUNCTION("""COMPUTED_VALUE"""),"Working Qty")</f>
        <v>Working Qty</v>
      </c>
      <c r="AX5" s="29" t="str">
        <f>IFERROR(__xludf.DUMMYFUNCTION("""COMPUTED_VALUE"""),"Client")</f>
        <v>Client</v>
      </c>
      <c r="AY5" s="29" t="str">
        <f>IFERROR(__xludf.DUMMYFUNCTION("""COMPUTED_VALUE"""),"OrderID")</f>
        <v>OrderID</v>
      </c>
      <c r="AZ5" s="29" t="str">
        <f>IFERROR(__xludf.DUMMYFUNCTION("""COMPUTED_VALUE"""),"ParentClOrderID")</f>
        <v>ParentClOrderID</v>
      </c>
      <c r="BA5" s="29" t="str">
        <f>IFERROR(__xludf.DUMMYFUNCTION("""COMPUTED_VALUE"""),"Master Fund")</f>
        <v>Master Fund</v>
      </c>
      <c r="BB5" s="29" t="str">
        <f>IFERROR(__xludf.DUMMYFUNCTION("""COMPUTED_VALUE"""),"Current User")</f>
        <v>Current User</v>
      </c>
      <c r="BC5" s="29" t="str">
        <f>IFERROR(__xludf.DUMMYFUNCTION("""COMPUTED_VALUE"""),"% Completed")</f>
        <v>% Completed</v>
      </c>
      <c r="BD5" s="29" t="str">
        <f>IFERROR(__xludf.DUMMYFUNCTION("""COMPUTED_VALUE"""),"isRowCountCheck")</f>
        <v>isRowCountCheck</v>
      </c>
      <c r="BE5" s="29" t="str">
        <f>IFERROR(__xludf.DUMMYFUNCTION("""COMPUTED_VALUE"""),"MandatoryColumn")</f>
        <v>MandatoryColumn</v>
      </c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  <c r="S6" s="31" t="s">
        <v>20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VerifyWorkingSubs1!$4:$4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18</v>
      </c>
      <c r="D3" s="5" t="s">
        <v>9</v>
      </c>
      <c r="E3" s="22" t="s">
        <v>21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IFERROR(__xludf.DUMMYFUNCTION("IF(C3="""","""",Transpose(IMPORTRANGE('_Settings'!$B$3,C3&amp;""!A4:A1000"")))"),"ReplaceFillsOnBlotter")</f>
        <v>ReplaceFillsOnBlotter</v>
      </c>
      <c r="C4" s="24" t="str">
        <f>IFERROR(__xludf.DUMMYFUNCTION("""COMPUTED_VALUE"""),"CheckBlotter")</f>
        <v>CheckBlotter</v>
      </c>
      <c r="D4" s="24" t="str">
        <f>IFERROR(__xludf.DUMMYFUNCTION("""COMPUTED_VALUE"""),"BlotterFunctionalities")</f>
        <v>BlotterFunctionalities</v>
      </c>
      <c r="E4" s="24" t="str">
        <f>IFERROR(__xludf.DUMMYFUNCTION("""COMPUTED_VALUE"""),"TransferToUserWorkingSubs")</f>
        <v>TransferToUserWorkingSubs</v>
      </c>
      <c r="F4" s="24" t="str">
        <f>IFERROR(__xludf.DUMMYFUNCTION("""COMPUTED_VALUE"""),"CancelWorkingSubs")</f>
        <v>CancelWorkingSubs</v>
      </c>
      <c r="G4" s="24" t="str">
        <f>IFERROR(__xludf.DUMMYFUNCTION("""COMPUTED_VALUE"""),"ReplaceWorkingSubs")</f>
        <v>ReplaceWorkingSubs</v>
      </c>
      <c r="H4" s="24" t="str">
        <f>IFERROR(__xludf.DUMMYFUNCTION("""COMPUTED_VALUE"""),"ViewAllocationDetailsWorkingSub")</f>
        <v>ViewAllocationDetailsWorkingSub</v>
      </c>
      <c r="I4" s="24" t="str">
        <f>IFERROR(__xludf.DUMMYFUNCTION("""COMPUTED_VALUE"""),"SelectTradeOnOrderGrid")</f>
        <v>SelectTradeOnOrderGrid</v>
      </c>
      <c r="J4" s="24" t="str">
        <f>IFERROR(__xludf.DUMMYFUNCTION("""COMPUTED_VALUE"""),"ShowDetailsForAlgoTradeSubOrder")</f>
        <v>ShowDetailsForAlgoTradeSubOrder</v>
      </c>
      <c r="K4" s="24" t="str">
        <f>IFERROR(__xludf.DUMMYFUNCTION("""COMPUTED_VALUE"""),"SelectTradeOrderBlotter")</f>
        <v>SelectTradeOrderBlotter</v>
      </c>
      <c r="L4" s="24" t="str">
        <f>IFERROR(__xludf.DUMMYFUNCTION("""COMPUTED_VALUE"""),"AddFillsWorkingSubs")</f>
        <v>AddFillsWorkingSubs</v>
      </c>
      <c r="M4" s="24" t="str">
        <f>IFERROR(__xludf.DUMMYFUNCTION("""COMPUTED_VALUE"""),"EditAddFillsDetails")</f>
        <v>EditAddFillsDetails</v>
      </c>
      <c r="N4" s="24" t="str">
        <f>IFERROR(__xludf.DUMMYFUNCTION("""COMPUTED_VALUE"""),"ShowDetailsForAlgoTradeWorkingSubs")</f>
        <v>ShowDetailsForAlgoTradeWorkingSubs</v>
      </c>
      <c r="O4" s="24" t="str">
        <f>IFERROR(__xludf.DUMMYFUNCTION("""COMPUTED_VALUE"""),"VerifyWorkingSubs")</f>
        <v>VerifyWorkingSubs</v>
      </c>
      <c r="P4" s="25" t="str">
        <f>IFERROR(__xludf.DUMMYFUNCTION("""COMPUTED_VALUE"""),"TransferToUserOrder")</f>
        <v>TransferToUserOrder</v>
      </c>
      <c r="Q4" s="25" t="str">
        <f>IFERROR(__xludf.DUMMYFUNCTION("""COMPUTED_VALUE"""),"EditOrder")</f>
        <v>EditOrder</v>
      </c>
      <c r="R4" s="25" t="str">
        <f>IFERROR(__xludf.DUMMYFUNCTION("""COMPUTED_VALUE"""),"SelectTradeSubOrderBlotter")</f>
        <v>SelectTradeSubOrderBlotter</v>
      </c>
      <c r="S4" s="25" t="str">
        <f>IFERROR(__xludf.DUMMYFUNCTION("""COMPUTED_VALUE"""),"VerifyOrder")</f>
        <v>VerifyOrder</v>
      </c>
      <c r="T4" s="25" t="str">
        <f>IFERROR(__xludf.DUMMYFUNCTION("""COMPUTED_VALUE"""),"VerifySubOrder")</f>
        <v>VerifySubOrder</v>
      </c>
      <c r="U4" s="25" t="str">
        <f>IFERROR(__xludf.DUMMYFUNCTION("""COMPUTED_VALUE"""),"RemoveSelectedOrders")</f>
        <v>RemoveSelectedOrders</v>
      </c>
      <c r="V4" s="25" t="str">
        <f>IFERROR(__xludf.DUMMYFUNCTION("""COMPUTED_VALUE"""),"CancelAllSelectedSubs")</f>
        <v>CancelAllSelectedSubs</v>
      </c>
      <c r="W4" s="25" t="str">
        <f>IFERROR(__xludf.DUMMYFUNCTION("""COMPUTED_VALUE"""),"MultiTradingTicket")</f>
        <v>MultiTradingTicket</v>
      </c>
      <c r="X4" s="25" t="str">
        <f>IFERROR(__xludf.DUMMYFUNCTION("""COMPUTED_VALUE"""),"AuditTrailOrderBlotter")</f>
        <v>AuditTrailOrderBlotter</v>
      </c>
      <c r="Y4" s="25" t="str">
        <f>IFERROR(__xludf.DUMMYFUNCTION("""COMPUTED_VALUE"""),"TradeNewSubOrder")</f>
        <v>TradeNewSubOrder</v>
      </c>
      <c r="Z4" s="25" t="str">
        <f>IFERROR(__xludf.DUMMYFUNCTION("""COMPUTED_VALUE"""),"RemoveStageOrder")</f>
        <v>RemoveStageOrder</v>
      </c>
      <c r="AA4" s="25" t="str">
        <f>IFERROR(__xludf.DUMMYFUNCTION("""COMPUTED_VALUE"""),"TransferToUserSubOrder")</f>
        <v>TransferToUserSubOrder</v>
      </c>
      <c r="AB4" s="25" t="str">
        <f>IFERROR(__xludf.DUMMYFUNCTION("""COMPUTED_VALUE"""),"DetailsForAlgoTradeOrder")</f>
        <v>DetailsForAlgoTradeOrder</v>
      </c>
      <c r="AC4" s="25" t="str">
        <f>IFERROR(__xludf.DUMMYFUNCTION("""COMPUTED_VALUE"""),"AddFillsSubOrder")</f>
        <v>AddFillsSubOrder</v>
      </c>
      <c r="AD4" s="25" t="str">
        <f>IFERROR(__xludf.DUMMYFUNCTION("""COMPUTED_VALUE"""),"ViewAllocationDetailsSubOrder")</f>
        <v>ViewAllocationDetailsSubOrder</v>
      </c>
      <c r="AE4" s="25" t="str">
        <f>IFERROR(__xludf.DUMMYFUNCTION("""COMPUTED_VALUE"""),"CancelAllSubs")</f>
        <v>CancelAllSubs</v>
      </c>
      <c r="AF4" s="25" t="str">
        <f>IFERROR(__xludf.DUMMYFUNCTION("""COMPUTED_VALUE"""),"CancelSubOrder")</f>
        <v>CancelSubOrder</v>
      </c>
      <c r="AG4" s="25" t="str">
        <f>IFERROR(__xludf.DUMMYFUNCTION("""COMPUTED_VALUE"""),"EditStageOrder")</f>
        <v>EditStageOrder</v>
      </c>
      <c r="AH4" s="25" t="str">
        <f>IFERROR(__xludf.DUMMYFUNCTION("""COMPUTED_VALUE"""),"ReplaceSubOrder")</f>
        <v>ReplaceSubOrder</v>
      </c>
      <c r="AI4" s="25" t="str">
        <f>IFERROR(__xludf.DUMMYFUNCTION("""COMPUTED_VALUE"""),"SelectTradeWorkingSubsBlotter")</f>
        <v>SelectTradeWorkingSubsBlotter</v>
      </c>
      <c r="AJ4" s="25" t="str">
        <f>IFERROR(__xludf.DUMMYFUNCTION("""COMPUTED_VALUE"""),"VerifyAlgoDetails")</f>
        <v>VerifyAlgoDetails</v>
      </c>
      <c r="AK4" s="25" t="str">
        <f>IFERROR(__xludf.DUMMYFUNCTION("""COMPUTED_VALUE"""),"VerifyTransferToUserOrder")</f>
        <v>VerifyTransferToUserOrder</v>
      </c>
      <c r="AL4" s="25" t="str">
        <f>IFERROR(__xludf.DUMMYFUNCTION("""COMPUTED_VALUE"""),"VerifyTransferToUserSubOdr")</f>
        <v>VerifyTransferToUserSubOdr</v>
      </c>
      <c r="AM4" s="25" t="str">
        <f>IFERROR(__xludf.DUMMYFUNCTION("""COMPUTED_VALUE"""),"VerifyTransferToUserWorkSub")</f>
        <v>VerifyTransferToUserWorkSub</v>
      </c>
      <c r="AN4" s="25" t="str">
        <f>IFERROR(__xludf.DUMMYFUNCTION("""COMPUTED_VALUE"""),"SaveLayoutOrderGrid")</f>
        <v>SaveLayoutOrderGrid</v>
      </c>
      <c r="AO4" s="25" t="str">
        <f>IFERROR(__xludf.DUMMYFUNCTION("""COMPUTED_VALUE"""),"ReplaceStageOrder")</f>
        <v>ReplaceStageOrder</v>
      </c>
      <c r="AP4" s="25" t="str">
        <f>IFERROR(__xludf.DUMMYFUNCTION("""COMPUTED_VALUE"""),"MultiTradingTicketFromBlotter")</f>
        <v>MultiTradingTicketFromBlotter</v>
      </c>
      <c r="AQ4" s="25" t="str">
        <f>IFERROR(__xludf.DUMMYFUNCTION("""COMPUTED_VALUE"""),"VerifyViewAllocationDetails")</f>
        <v>VerifyViewAllocationDetails</v>
      </c>
      <c r="AR4" s="25" t="str">
        <f>IFERROR(__xludf.DUMMYFUNCTION("""COMPUTED_VALUE"""),"GoToAllocation")</f>
        <v>GoToAllocation</v>
      </c>
      <c r="AS4" s="25" t="str">
        <f>IFERROR(__xludf.DUMMYFUNCTION("""COMPUTED_VALUE"""),"VerifyRollover")</f>
        <v>VerifyRollover</v>
      </c>
      <c r="AT4" s="25" t="str">
        <f>IFERROR(__xludf.DUMMYFUNCTION("""COMPUTED_VALUE"""),"VerifySubOrderAfterRollover")</f>
        <v>VerifySubOrderAfterRollover</v>
      </c>
      <c r="AU4" s="25" t="str">
        <f>IFERROR(__xludf.DUMMYFUNCTION("""COMPUTED_VALUE"""),"OpenBlotter")</f>
        <v>OpenBlotter</v>
      </c>
      <c r="AV4" s="25" t="str">
        <f>IFERROR(__xludf.DUMMYFUNCTION("""COMPUTED_VALUE"""),"RemoveManualExecution")</f>
        <v>RemoveManualExecution</v>
      </c>
      <c r="AW4" s="25" t="str">
        <f>IFERROR(__xludf.DUMMYFUNCTION("""COMPUTED_VALUE"""),"RemoveExecutionWorkingSubs")</f>
        <v>RemoveExecutionWorkingSubs</v>
      </c>
      <c r="AX4" s="25" t="str">
        <f>IFERROR(__xludf.DUMMYFUNCTION("""COMPUTED_VALUE"""),"GetExecutionReportOrders")</f>
        <v>GetExecutionReportOrders</v>
      </c>
      <c r="AY4" s="25" t="str">
        <f>IFERROR(__xludf.DUMMYFUNCTION("""COMPUTED_VALUE"""),"GetExecutionReportDetails")</f>
        <v>GetExecutionReportDetails</v>
      </c>
      <c r="AZ4" s="25" t="str">
        <f>IFERROR(__xludf.DUMMYFUNCTION("""COMPUTED_VALUE"""),"ExportExecutionReportData")</f>
        <v>ExportExecutionReportData</v>
      </c>
      <c r="BA4" s="25" t="str">
        <f>IFERROR(__xludf.DUMMYFUNCTION("""COMPUTED_VALUE"""),"VerifyExecutionReport")</f>
        <v>VerifyExecutionReport</v>
      </c>
      <c r="BB4" s="25" t="str">
        <f>IFERROR(__xludf.DUMMYFUNCTION("""COMPUTED_VALUE"""),"BlotterExecutionReportSnapshot")</f>
        <v>BlotterExecutionReportSnapshot</v>
      </c>
      <c r="BC4" s="25" t="str">
        <f>IFERROR(__xludf.DUMMYFUNCTION("""COMPUTED_VALUE"""),"MultipleTradeTransferToUser")</f>
        <v>MultipleTradeTransferToUser</v>
      </c>
      <c r="BD4" s="25" t="str">
        <f>IFERROR(__xludf.DUMMYFUNCTION("""COMPUTED_VALUE"""),"ReloadOrderFromBlotter")</f>
        <v>ReloadOrderFromBlotter</v>
      </c>
      <c r="BE4" s="25" t="str">
        <f>IFERROR(__xludf.DUMMYFUNCTION("""COMPUTED_VALUE"""),"ReloadOrderFromSubOrder")</f>
        <v>ReloadOrderFromSubOrder</v>
      </c>
      <c r="BF4" s="25" t="str">
        <f>IFERROR(__xludf.DUMMYFUNCTION("""COMPUTED_VALUE"""),"ReloadOrderFromWorkingSubs")</f>
        <v>ReloadOrderFromWorkingSubs</v>
      </c>
      <c r="BG4" s="25" t="str">
        <f>IFERROR(__xludf.DUMMYFUNCTION("""COMPUTED_VALUE"""),"SelectFills")</f>
        <v>SelectFills</v>
      </c>
      <c r="BH4" s="25" t="str">
        <f>IFERROR(__xludf.DUMMYFUNCTION("""COMPUTED_VALUE"""),"ModifyFills")</f>
        <v>ModifyFills</v>
      </c>
      <c r="BI4" s="25" t="str">
        <f>IFERROR(__xludf.DUMMYFUNCTION("""COMPUTED_VALUE"""),"AllocateFromBlotter")</f>
        <v>AllocateFromBlotter</v>
      </c>
      <c r="BJ4" s="25" t="str">
        <f>IFERROR(__xludf.DUMMYFUNCTION("""COMPUTED_VALUE"""),"ViewPTTAllocationDetails")</f>
        <v>ViewPTTAllocationDetails</v>
      </c>
      <c r="BK4" s="25" t="str">
        <f>IFERROR(__xludf.DUMMYFUNCTION("""COMPUTED_VALUE"""),"MergeOrder")</f>
        <v>MergeOrder</v>
      </c>
      <c r="BL4" s="25" t="str">
        <f>IFERROR(__xludf.DUMMYFUNCTION("""COMPUTED_VALUE"""),"VerifyMergeOrder")</f>
        <v>VerifyMergeOrder</v>
      </c>
      <c r="BM4" s="25" t="str">
        <f>IFERROR(__xludf.DUMMYFUNCTION("""COMPUTED_VALUE"""),"AddTabBlotter")</f>
        <v>AddTabBlotter</v>
      </c>
      <c r="BN4" s="25" t="str">
        <f>IFERROR(__xludf.DUMMYFUNCTION("""COMPUTED_VALUE"""),"VerifyLowerStripBlotterUI")</f>
        <v>VerifyLowerStripBlotterUI</v>
      </c>
      <c r="BO4" s="25" t="str">
        <f>IFERROR(__xludf.DUMMYFUNCTION("""COMPUTED_VALUE"""),"SaveOrRemoveInSummaryTab")</f>
        <v>SaveOrRemoveInSummaryTab</v>
      </c>
      <c r="BP4" s="25" t="str">
        <f>IFERROR(__xludf.DUMMYFUNCTION("""COMPUTED_VALUE"""),"SaveOrRemoveInWorkingSubsTab")</f>
        <v>SaveOrRemoveInWorkingSubsTab</v>
      </c>
      <c r="BQ4" s="25" t="str">
        <f>IFERROR(__xludf.DUMMYFUNCTION("""COMPUTED_VALUE"""),"SelectCheckBoxOnOrderGrid")</f>
        <v>SelectCheckBoxOnOrderGrid</v>
      </c>
      <c r="BR4" s="25" t="str">
        <f>IFERROR(__xludf.DUMMYFUNCTION("""COMPUTED_VALUE"""),"ReAllocateFromBlotterByAllocate")</f>
        <v>ReAllocateFromBlotterByAllocate</v>
      </c>
      <c r="BS4" s="25" t="str">
        <f>IFERROR(__xludf.DUMMYFUNCTION("""COMPUTED_VALUE"""),"RemoveOrderFromCustomTab")</f>
        <v>RemoveOrderFromCustomTab</v>
      </c>
      <c r="BT4" s="25" t="str">
        <f>IFERROR(__xludf.DUMMYFUNCTION("""COMPUTED_VALUE"""),"ReloadFromSummary")</f>
        <v>ReloadFromSummary</v>
      </c>
      <c r="BU4" s="25" t="str">
        <f>IFERROR(__xludf.DUMMYFUNCTION("""COMPUTED_VALUE"""),"AllocateFromWorkingSubsBlotter")</f>
        <v>AllocateFromWorkingSubsBlotter</v>
      </c>
      <c r="BV4" s="25" t="str">
        <f>IFERROR(__xludf.DUMMYFUNCTION("""COMPUTED_VALUE"""),"EditOrderForMTT")</f>
        <v>EditOrderForMTT</v>
      </c>
      <c r="BW4" s="25" t="str">
        <f>IFERROR(__xludf.DUMMYFUNCTION("""COMPUTED_VALUE"""),"VerifyCustomTabs")</f>
        <v>VerifyCustomTabs</v>
      </c>
      <c r="BX4" s="25" t="str">
        <f>IFERROR(__xludf.DUMMYFUNCTION("""COMPUTED_VALUE"""),"SelectCheckBoxOnCustomTab")</f>
        <v>SelectCheckBoxOnCustomTab</v>
      </c>
      <c r="BY4" s="25" t="str">
        <f>IFERROR(__xludf.DUMMYFUNCTION("""COMPUTED_VALUE"""),"UploadStageOrder")</f>
        <v>UploadStageOrder</v>
      </c>
      <c r="BZ4" s="25" t="str">
        <f>IFERROR(__xludf.DUMMYFUNCTION("""COMPUTED_VALUE"""),"RefreshBlotter")</f>
        <v>RefreshBlotter</v>
      </c>
      <c r="CA4" s="25" t="str">
        <f>IFERROR(__xludf.DUMMYFUNCTION("""COMPUTED_VALUE"""),"CancelFromSummary")</f>
        <v>CancelFromSummary</v>
      </c>
      <c r="CB4" s="25" t="str">
        <f>IFERROR(__xludf.DUMMYFUNCTION("""COMPUTED_VALUE"""),"VerifyAuditTrail")</f>
        <v>VerifyAuditTrail</v>
      </c>
      <c r="CC4" s="25" t="str">
        <f>IFERROR(__xludf.DUMMYFUNCTION("""COMPUTED_VALUE"""),"AddOrRemoveColumnFromBlotter")</f>
        <v>AddOrRemoveColumnFromBlotter</v>
      </c>
      <c r="CD4" s="25" t="str">
        <f>IFERROR(__xludf.DUMMYFUNCTION("""COMPUTED_VALUE"""),"ApplyFilterOnBlotter")</f>
        <v>ApplyFilterOnBlotter</v>
      </c>
      <c r="CE4" s="25" t="str">
        <f>IFERROR(__xludf.DUMMYFUNCTION("""COMPUTED_VALUE"""),"SortGridOnBlotter")</f>
        <v>SortGridOnBlotter</v>
      </c>
      <c r="CF4" s="25" t="str">
        <f>IFERROR(__xludf.DUMMYFUNCTION("""COMPUTED_VALUE"""),"VerifyDataIndexWise")</f>
        <v>VerifyDataIndexWise</v>
      </c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IFERROR(__xludf.DUMMYFUNCTION("""COMPUTED_VALUE"""),"Transaction Time")</f>
        <v>Transaction Time</v>
      </c>
      <c r="C5" s="27" t="str">
        <f>IFERROR(__xludf.DUMMYFUNCTION("""COMPUTED_VALUE"""),"Algo")</f>
        <v>Algo</v>
      </c>
      <c r="D5" s="27" t="str">
        <f>IFERROR(__xludf.DUMMYFUNCTION("""COMPUTED_VALUE"""),"Avg Fill Price (Base)")</f>
        <v>Avg Fill Price (Base)</v>
      </c>
      <c r="E5" s="27" t="str">
        <f>IFERROR(__xludf.DUMMYFUNCTION("""COMPUTED_VALUE"""),"Bloomberg Symbol")</f>
        <v>Bloomberg Symbol</v>
      </c>
      <c r="F5" s="28" t="str">
        <f>IFERROR(__xludf.DUMMYFUNCTION("""COMPUTED_VALUE"""),"Limit Price")</f>
        <v>Limit Price</v>
      </c>
      <c r="G5" s="27" t="str">
        <f>IFERROR(__xludf.DUMMYFUNCTION("""COMPUTED_VALUE"""),"Working Qty")</f>
        <v>Working Qty</v>
      </c>
      <c r="H5" s="27" t="str">
        <f>IFERROR(__xludf.DUMMYFUNCTION("""COMPUTED_VALUE"""),"Venue")</f>
        <v>Venue</v>
      </c>
      <c r="I5" s="27" t="str">
        <f>IFERROR(__xludf.DUMMYFUNCTION("""COMPUTED_VALUE"""),"Current User")</f>
        <v>Current User</v>
      </c>
      <c r="J5" s="27" t="str">
        <f>IFERROR(__xludf.DUMMYFUNCTION("""COMPUTED_VALUE"""),"Underlying Symbol")</f>
        <v>Underlying Symbol</v>
      </c>
      <c r="K5" s="27" t="str">
        <f>IFERROR(__xludf.DUMMYFUNCTION("""COMPUTED_VALUE"""),"Underlying Country")</f>
        <v>Underlying Country</v>
      </c>
      <c r="L5" s="27" t="str">
        <f>IFERROR(__xludf.DUMMYFUNCTION("""COMPUTED_VALUE"""),"Trader")</f>
        <v>Trader</v>
      </c>
      <c r="M5" s="27" t="str">
        <f>IFERROR(__xludf.DUMMYFUNCTION("""COMPUTED_VALUE"""),"Trade Attribute 6")</f>
        <v>Trade Attribute 6</v>
      </c>
      <c r="N5" s="27" t="str">
        <f>IFERROR(__xludf.DUMMYFUNCTION("""COMPUTED_VALUE"""),"Trade Attribute 5")</f>
        <v>Trade Attribute 5</v>
      </c>
      <c r="O5" s="27" t="str">
        <f>IFERROR(__xludf.DUMMYFUNCTION("""COMPUTED_VALUE"""),"Trade Attribute 4")</f>
        <v>Trade Attribute 4</v>
      </c>
      <c r="P5" s="27" t="str">
        <f>IFERROR(__xludf.DUMMYFUNCTION("""COMPUTED_VALUE"""),"Trade Attribute 3")</f>
        <v>Trade Attribute 3</v>
      </c>
      <c r="Q5" s="27" t="str">
        <f>IFERROR(__xludf.DUMMYFUNCTION("""COMPUTED_VALUE"""),"Trade Attribute 2")</f>
        <v>Trade Attribute 2</v>
      </c>
      <c r="R5" s="27" t="str">
        <f>IFERROR(__xludf.DUMMYFUNCTION("""COMPUTED_VALUE"""),"Trade Attribute 1")</f>
        <v>Trade Attribute 1</v>
      </c>
      <c r="S5" s="27" t="str">
        <f>IFERROR(__xludf.DUMMYFUNCTION("""COMPUTED_VALUE"""),"Strike Price")</f>
        <v>Strike Price</v>
      </c>
      <c r="T5" s="29" t="str">
        <f>IFERROR(__xludf.DUMMYFUNCTION("""COMPUTED_VALUE"""),"Stop Price")</f>
        <v>Stop Price</v>
      </c>
      <c r="U5" s="29" t="str">
        <f>IFERROR(__xludf.DUMMYFUNCTION("""COMPUTED_VALUE"""),"Settlement Currency")</f>
        <v>Settlement Currency</v>
      </c>
      <c r="V5" s="29" t="str">
        <f>IFERROR(__xludf.DUMMYFUNCTION("""COMPUTED_VALUE"""),"Put/Call")</f>
        <v>Put/Call</v>
      </c>
      <c r="W5" s="29" t="str">
        <f>IFERROR(__xludf.DUMMYFUNCTION("""COMPUTED_VALUE"""),"Process Date")</f>
        <v>Process Date</v>
      </c>
      <c r="X5" s="29" t="str">
        <f>IFERROR(__xludf.DUMMYFUNCTION("""COMPUTED_VALUE"""),"Peg")</f>
        <v>Peg</v>
      </c>
      <c r="Y5" s="29" t="str">
        <f>IFERROR(__xludf.DUMMYFUNCTION("""COMPUTED_VALUE"""),"ParentClOrderID")</f>
        <v>ParentClOrderID</v>
      </c>
      <c r="Z5" s="29" t="str">
        <f>IFERROR(__xludf.DUMMYFUNCTION("""COMPUTED_VALUE"""),"OrderID")</f>
        <v>OrderID</v>
      </c>
      <c r="AA5" s="29" t="str">
        <f>IFERROR(__xludf.DUMMYFUNCTION("""COMPUTED_VALUE"""),"Master Fund")</f>
        <v>Master Fund</v>
      </c>
      <c r="AB5" s="29" t="str">
        <f>IFERROR(__xludf.DUMMYFUNCTION("""COMPUTED_VALUE"""),"Last Shares")</f>
        <v>Last Shares</v>
      </c>
      <c r="AC5" s="29" t="str">
        <f>IFERROR(__xludf.DUMMYFUNCTION("""COMPUTED_VALUE"""),"Internal Comments")</f>
        <v>Internal Comments</v>
      </c>
      <c r="AD5" s="29" t="str">
        <f>IFERROR(__xludf.DUMMYFUNCTION("""COMPUTED_VALUE"""),"FX Rate")</f>
        <v>FX Rate</v>
      </c>
      <c r="AE5" s="29" t="str">
        <f>IFERROR(__xludf.DUMMYFUNCTION("""COMPUTED_VALUE"""),"Imported File Name")</f>
        <v>Imported File Name</v>
      </c>
      <c r="AF5" s="29" t="str">
        <f>IFERROR(__xludf.DUMMYFUNCTION("""COMPUTED_VALUE"""),"FX Conversion Operator")</f>
        <v>FX Conversion Operator</v>
      </c>
      <c r="AG5" s="29" t="str">
        <f>IFERROR(__xludf.DUMMYFUNCTION("""COMPUTED_VALUE"""),"Day Average Price")</f>
        <v>Day Average Price</v>
      </c>
      <c r="AH5" s="29" t="str">
        <f>IFERROR(__xludf.DUMMYFUNCTION("""COMPUTED_VALUE"""),"Asset Class")</f>
        <v>Asset Class</v>
      </c>
      <c r="AI5" s="29" t="str">
        <f>IFERROR(__xludf.DUMMYFUNCTION("""COMPUTED_VALUE"""),"Symbol")</f>
        <v>Symbol</v>
      </c>
      <c r="AJ5" s="29" t="str">
        <f>IFERROR(__xludf.DUMMYFUNCTION("""COMPUTED_VALUE"""),"Side")</f>
        <v>Side</v>
      </c>
      <c r="AK5" s="29" t="str">
        <f>IFERROR(__xludf.DUMMYFUNCTION("""COMPUTED_VALUE"""),"Status")</f>
        <v>Status</v>
      </c>
      <c r="AL5" s="29" t="str">
        <f>IFERROR(__xludf.DUMMYFUNCTION("""COMPUTED_VALUE"""),"Quantity")</f>
        <v>Quantity</v>
      </c>
      <c r="AM5" s="29" t="str">
        <f>IFERROR(__xludf.DUMMYFUNCTION("""COMPUTED_VALUE"""),"Executed Qty")</f>
        <v>Executed Qty</v>
      </c>
      <c r="AN5" s="29" t="str">
        <f>IFERROR(__xludf.DUMMYFUNCTION("""COMPUTED_VALUE"""),"Day Executed Qty")</f>
        <v>Day Executed Qty</v>
      </c>
      <c r="AO5" s="29" t="str">
        <f>IFERROR(__xludf.DUMMYFUNCTION("""COMPUTED_VALUE"""),"Last Fill Price (Local)")</f>
        <v>Last Fill Price (Local)</v>
      </c>
      <c r="AP5" s="29" t="str">
        <f>IFERROR(__xludf.DUMMYFUNCTION("""COMPUTED_VALUE"""),"Avg Fill Price (Local)")</f>
        <v>Avg Fill Price (Local)</v>
      </c>
      <c r="AQ5" s="29" t="str">
        <f>IFERROR(__xludf.DUMMYFUNCTION("""COMPUTED_VALUE"""),"Broker")</f>
        <v>Broker</v>
      </c>
      <c r="AR5" s="29" t="str">
        <f>IFERROR(__xludf.DUMMYFUNCTION("""COMPUTED_VALUE"""),"Account")</f>
        <v>Account</v>
      </c>
      <c r="AS5" s="29" t="str">
        <f>IFERROR(__xludf.DUMMYFUNCTION("""COMPUTED_VALUE"""),"Order Type")</f>
        <v>Order Type</v>
      </c>
      <c r="AT5" s="29" t="str">
        <f>IFERROR(__xludf.DUMMYFUNCTION("""COMPUTED_VALUE"""),"Principal Amount (Local)")</f>
        <v>Principal Amount (Local)</v>
      </c>
      <c r="AU5" s="29" t="str">
        <f>IFERROR(__xludf.DUMMYFUNCTION("""COMPUTED_VALUE"""),"Principal Amount (Base)")</f>
        <v>Principal Amount (Base)</v>
      </c>
      <c r="AV5" s="29" t="str">
        <f>IFERROR(__xludf.DUMMYFUNCTION("""COMPUTED_VALUE"""),"Allocation Scheme Name")</f>
        <v>Allocation Scheme Name</v>
      </c>
      <c r="AW5" s="29" t="str">
        <f>IFERROR(__xludf.DUMMYFUNCTION("""COMPUTED_VALUE"""),"Status (With Rollover)")</f>
        <v>Status (With Rollover)</v>
      </c>
      <c r="AX5" s="29" t="str">
        <f>IFERROR(__xludf.DUMMYFUNCTION("""COMPUTED_VALUE"""),"Unexecuted Qty")</f>
        <v>Unexecuted Qty</v>
      </c>
      <c r="AY5" s="29" t="str">
        <f>IFERROR(__xludf.DUMMYFUNCTION("""COMPUTED_VALUE"""),"Strategy")</f>
        <v>Strategy</v>
      </c>
      <c r="AZ5" s="29" t="str">
        <f>IFERROR(__xludf.DUMMYFUNCTION("""COMPUTED_VALUE"""),"Actual User")</f>
        <v>Actual User</v>
      </c>
      <c r="BA5" s="29" t="str">
        <f>IFERROR(__xludf.DUMMYFUNCTION("""COMPUTED_VALUE"""),"% Completed")</f>
        <v>% Completed</v>
      </c>
      <c r="BB5" s="29" t="str">
        <f>IFERROR(__xludf.DUMMYFUNCTION("""COMPUTED_VALUE"""),"MandatoryColumn")</f>
        <v>MandatoryColumn</v>
      </c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1" t="s">
        <v>20</v>
      </c>
      <c r="F6" s="8"/>
      <c r="G6" s="8"/>
      <c r="H6" s="8"/>
      <c r="I6" s="8"/>
      <c r="J6" s="12" t="s">
        <v>16</v>
      </c>
      <c r="K6" s="8"/>
      <c r="L6" s="8"/>
      <c r="M6" s="8"/>
      <c r="N6" s="8"/>
      <c r="O6" s="8"/>
      <c r="AI6" s="12" t="s">
        <v>16</v>
      </c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VerifySubOrder!$4:$4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