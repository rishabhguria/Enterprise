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ustomOrderTT" sheetId="4" r:id="rId6"/>
    <sheet state="visible" name="TradeNewSubOrder" sheetId="5" r:id="rId7"/>
    <sheet state="visible" name="CreateComplianceOrder" sheetId="6" r:id="rId8"/>
    <sheet state="visible" name="OpenModuleFromDock" sheetId="7" r:id="rId9"/>
    <sheet state="visible" name="CheckOpenFinWindowName" sheetId="8" r:id="rId10"/>
    <sheet state="visible" name="VerifyComplianceOrder" sheetId="9" r:id="rId11"/>
    <sheet state="visible" name="LockUnlockModule" sheetId="10" r:id="rId12"/>
    <sheet state="visible" name="TradeNewSubOrder1" sheetId="11" r:id="rId13"/>
    <sheet state="visible" name="CheckOpenFinWindowName1" sheetId="12" r:id="rId14"/>
  </sheets>
  <definedNames/>
  <calcPr/>
</workbook>
</file>

<file path=xl/sharedStrings.xml><?xml version="1.0" encoding="utf-8"?>
<sst xmlns="http://schemas.openxmlformats.org/spreadsheetml/2006/main" count="234" uniqueCount="119">
  <si>
    <t>Modules Info</t>
  </si>
  <si>
    <t>Modules</t>
  </si>
  <si>
    <t>Settings</t>
  </si>
  <si>
    <t>Module Step Setting File</t>
  </si>
  <si>
    <t>1FzWTLghJOFjrGmCEN5rFkuzctvHiAo4TNjRi7fOzwlg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</si>
  <si>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</si>
  <si>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</si>
  <si>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</si>
  <si>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</si>
  <si>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</si>
  <si>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</si>
  <si>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</si>
  <si>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</si>
  <si>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CreateDoneAwayOrder</t>
  </si>
  <si>
    <t>Data Format</t>
  </si>
  <si>
    <t>Input Format</t>
  </si>
  <si>
    <t>Symbol</t>
  </si>
  <si>
    <t>Quantity</t>
  </si>
  <si>
    <t>Price</t>
  </si>
  <si>
    <t>Order type button</t>
  </si>
  <si>
    <t>SharesOutstandingPopUp</t>
  </si>
  <si>
    <t>TT_Open</t>
  </si>
  <si>
    <t>SharesOutstandingPopUpQty</t>
  </si>
  <si>
    <t>AllocationMethod</t>
  </si>
  <si>
    <t>Order Side</t>
  </si>
  <si>
    <t>DB_Check</t>
  </si>
  <si>
    <t>CommissionBasis</t>
  </si>
  <si>
    <t>CommissionRate</t>
  </si>
  <si>
    <t>SoftBasis</t>
  </si>
  <si>
    <t>SoftRate</t>
  </si>
  <si>
    <t>Account</t>
  </si>
  <si>
    <t>Account %</t>
  </si>
  <si>
    <t>VerifySuggestions</t>
  </si>
  <si>
    <t>SymbolToPickFromSuggesstions</t>
  </si>
  <si>
    <t>TypedSymbolAvailableOnSuggestion</t>
  </si>
  <si>
    <t>TIF</t>
  </si>
  <si>
    <t>Order Type</t>
  </si>
  <si>
    <t>Stop</t>
  </si>
  <si>
    <t>Limit</t>
  </si>
  <si>
    <t>Expiration Date</t>
  </si>
  <si>
    <t>Trade Date</t>
  </si>
  <si>
    <t>Broker</t>
  </si>
  <si>
    <t>Padlock Visiblity</t>
  </si>
  <si>
    <t>Padlock Unlock</t>
  </si>
  <si>
    <t>Venue</t>
  </si>
  <si>
    <t>Fx Rate</t>
  </si>
  <si>
    <t>Fx Operator</t>
  </si>
  <si>
    <t>PendingApprovalPopUp</t>
  </si>
  <si>
    <t>TradeBy</t>
  </si>
  <si>
    <t>BookAsSwap</t>
  </si>
  <si>
    <t>RoundLot</t>
  </si>
  <si>
    <t>Increment</t>
  </si>
  <si>
    <t>Decrement</t>
  </si>
  <si>
    <t>AAPL</t>
  </si>
  <si>
    <t>CreateOrder</t>
  </si>
  <si>
    <t>KO</t>
  </si>
  <si>
    <t>Blotter</t>
  </si>
  <si>
    <t>EnterDetailsOnTT</t>
  </si>
  <si>
    <t>Transaction Time</t>
  </si>
  <si>
    <t>Algo</t>
  </si>
  <si>
    <t>Avg Fill Price (Base)</t>
  </si>
  <si>
    <t>Bloomberg Symbol</t>
  </si>
  <si>
    <t>Limit Price</t>
  </si>
  <si>
    <t>Working Qty</t>
  </si>
  <si>
    <t>User</t>
  </si>
  <si>
    <t>Underlying Symbol</t>
  </si>
  <si>
    <t>Underlying Country</t>
  </si>
  <si>
    <t>Trader</t>
  </si>
  <si>
    <t>Trade Attribute 6</t>
  </si>
  <si>
    <t>Trade Attribute 5</t>
  </si>
  <si>
    <t>Trade Attribute 4</t>
  </si>
  <si>
    <t>Trade Attribute 3</t>
  </si>
  <si>
    <t>Trade Attribute 1</t>
  </si>
  <si>
    <t>Trade Attribute 2</t>
  </si>
  <si>
    <t>Strike Price</t>
  </si>
  <si>
    <t>Stop Price</t>
  </si>
  <si>
    <t>Settlement Currency</t>
  </si>
  <si>
    <t>Put/Call</t>
  </si>
  <si>
    <t>Process Date</t>
  </si>
  <si>
    <t>Peg</t>
  </si>
  <si>
    <t>ParentClOrderID</t>
  </si>
  <si>
    <t>OrderID</t>
  </si>
  <si>
    <t>Master Fund</t>
  </si>
  <si>
    <t>Last Shares</t>
  </si>
  <si>
    <t>Internal Comments</t>
  </si>
  <si>
    <t>FX Rate</t>
  </si>
  <si>
    <t>Imported File Name</t>
  </si>
  <si>
    <t>FX Conversion Operator</t>
  </si>
  <si>
    <t>Day Average Price</t>
  </si>
  <si>
    <t>Asset Class</t>
  </si>
  <si>
    <t>Side</t>
  </si>
  <si>
    <t>Status</t>
  </si>
  <si>
    <t>Target Qty</t>
  </si>
  <si>
    <t>Total Executed Qty</t>
  </si>
  <si>
    <t>% Executed</t>
  </si>
  <si>
    <t>Day Executed Qty</t>
  </si>
  <si>
    <t>Uncommitted Qty</t>
  </si>
  <si>
    <t>Last Fill Price (Local)</t>
  </si>
  <si>
    <t>Avg Fill Price (Local)</t>
  </si>
  <si>
    <t>Principal Amount (Local)</t>
  </si>
  <si>
    <t>Principal Amount (Base)</t>
  </si>
  <si>
    <t>Allocation Scheme Name</t>
  </si>
  <si>
    <t>Status (With Rollover)</t>
  </si>
  <si>
    <t>Start of Day Qty</t>
  </si>
  <si>
    <t>Leaves</t>
  </si>
  <si>
    <t>AAPl</t>
  </si>
  <si>
    <t>Buy</t>
  </si>
  <si>
    <t>CreateComplianceOrder</t>
  </si>
  <si>
    <t>DoneAway</t>
  </si>
  <si>
    <t>OpenFin</t>
  </si>
  <si>
    <t>OpenModuleFromDock</t>
  </si>
  <si>
    <t>Trading Ticket</t>
  </si>
  <si>
    <t>CheckOpenFinWindowName</t>
  </si>
  <si>
    <t>Pre-Trade Compliance Results</t>
  </si>
  <si>
    <t>VerifyComplianceOrder</t>
  </si>
  <si>
    <t>Soft</t>
  </si>
  <si>
    <t>Yes</t>
  </si>
  <si>
    <t>LockUnlockModule</t>
  </si>
  <si>
    <t>KO - Trading Ticket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</si>
</sst>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5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color rgb="FFFFFFFF"/>
      <name val="Arial"/>
    </font>
    <font>
      <sz val="9.0"/>
      <color rgb="FF202124"/>
      <name val="Consolas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3" numFmtId="0" xfId="0" applyAlignment="1" applyFill="1" applyFont="1">
      <alignment vertical="bottom"/>
    </xf>
    <xf borderId="4" fillId="5" fontId="4" numFmtId="0" xfId="0" applyAlignment="1" applyBorder="1" applyFont="1">
      <alignment vertical="bottom"/>
    </xf>
    <xf borderId="4" fillId="5" fontId="4" numFmtId="0" xfId="0" applyAlignment="1" applyBorder="1" applyFont="1">
      <alignment vertical="bottom"/>
    </xf>
    <xf borderId="0" fillId="5" fontId="13" numFmtId="0" xfId="0" applyAlignment="1" applyFont="1">
      <alignment vertical="bottom"/>
    </xf>
    <xf borderId="0" fillId="4" fontId="11" numFmtId="0" xfId="0" applyAlignment="1" applyFont="1">
      <alignment readingOrder="0" shrinkToFit="0" wrapText="0"/>
    </xf>
    <xf borderId="0" fillId="5" fontId="4" numFmtId="0" xfId="0" applyAlignment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Alignment="1" applyFont="1">
      <alignment readingOrder="0"/>
    </xf>
    <xf borderId="0" fillId="5" fontId="10" numFmtId="0" xfId="0" applyFont="1"/>
    <xf borderId="0" fillId="0" fontId="5" numFmtId="0" xfId="0" applyAlignment="1" applyFont="1">
      <alignment readingOrder="0" shrinkToFit="0" wrapText="0"/>
    </xf>
    <xf borderId="4" fillId="5" fontId="4" numFmtId="0" xfId="0" applyAlignment="1" applyBorder="1" applyFont="1">
      <alignment shrinkToFit="0" wrapText="0"/>
    </xf>
    <xf borderId="0" fillId="0" fontId="14" numFmtId="0" xfId="0" applyAlignment="1" applyFont="1">
      <alignment vertical="bottom"/>
    </xf>
    <xf borderId="0" fillId="0" fontId="5" numFmtId="0" xfId="0" applyAlignment="1" applyFont="1">
      <alignment horizontal="center" vertical="bottom"/>
    </xf>
    <xf borderId="0" fillId="0" fontId="5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4" Type="http://schemas.openxmlformats.org/officeDocument/2006/relationships/worksheet" Target="worksheets/sheet1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8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8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8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8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8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8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8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8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8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IFERROR(__xludf.DUMMYFUNCTION("""COMPUTED_VALUE"""),"17hQQja2JxgHYc91C7e_NxNoHLA89SiPSSBCEIFHCoTk")</f>
        <v>17hQQja2JxgHYc91C7e_NxNoHLA89SiPSSBCEIFHCoTk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IFERROR(__xludf.DUMMYFUNCTION("""COMPUTED_VALUE"""),"1oej4n4PC8RE49pB4-TiWxTqbDPyninh9e03DcCsTU80")</f>
        <v>1oej4n4PC8RE49pB4-TiWxTqbDPyninh9e03DcCsTU80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IFERROR(__xludf.DUMMYFUNCTION("""COMPUTED_VALUE"""),"1BjEK9SjmwTVcJQlKgIyoRBoSojE0atclJ6aMY8PF1jE")</f>
        <v>1BjEK9SjmwTVcJQlKgIyoRBoSojE0atclJ6aMY8PF1jE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IFERROR(__xludf.DUMMYFUNCTION("""COMPUTED_VALUE"""),"1JPNg6N_aHFo0NZlm39jWJJlz8ViAI_cUwOgfEVMqNZo")</f>
        <v>1JPNg6N_aHFo0NZlm39jWJJlz8ViAI_cUwOgfEVMqNZo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IFERROR(__xludf.DUMMYFUNCTION("""COMPUTED_VALUE"""),"1U-4IfRlC3qUMRnRVCAR_hKALXnY1sI4xOCfuq1PlavE")</f>
        <v>1U-4IfRlC3qUMRnRVCAR_hKALXnY1sI4xOCfuq1PlavE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IFERROR(__xludf.DUMMYFUNCTION("""COMPUTED_VALUE"""),"1NkVqjZCVIerQf2X0Yf6GK2jVSYfVa7-CmnPWggeHwJc")</f>
        <v>1NkVqjZCVIerQf2X0Yf6GK2jVSYfVa7-CmnPWggeHwJc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IFERROR(__xludf.DUMMYFUNCTION("""COMPUTED_VALUE"""),"1OM-qeNQLbTj-z40xd1iUyj7uo5BNzUJKKmvtT-Ue5R0")</f>
        <v>1OM-qeNQLbTj-z40xd1iUyj7uo5BNzUJKKmvtT-Ue5R0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IFERROR(__xludf.DUMMYFUNCTION("""COMPUTED_VALUE"""),"1X_J7xIcQSksjlzFZ-krkjWcnyPAEj1k98zuXOUONhS8")</f>
        <v>1X_J7xIcQSksjlzFZ-krkjWcnyPAEj1k98zuXOUONhS8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IFERROR(__xludf.DUMMYFUNCTION("""COMPUTED_VALUE"""),"1rJRRqJlBOAI1DmechO49htg_P97-G5pNyuROFY03c_0")</f>
        <v>1rJRRqJlBOAI1DmechO49htg_P97-G5pNyuROFY03c_0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IFERROR(__xludf.DUMMYFUNCTION("""COMPUTED_VALUE"""),"1XzjmPmpB7IMcyzPSsbgmFfzjE_zIKdjrk0mUoMFhNZc")</f>
        <v>1XzjmPmpB7IMcyzPSsbgmFfzjE_zIKdjrk0mUoMFhNZc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IFERROR(__xludf.DUMMYFUNCTION("""COMPUTED_VALUE"""),"Rebalancer")</f>
        <v>Rebalancer</v>
      </c>
      <c r="B788" t="str">
        <f>IFERROR(__xludf.DUMMYFUNCTION("""COMPUTED_VALUE"""),"VerifyTradeListSummary")</f>
        <v>VerifyTradeListSummary</v>
      </c>
      <c r="C788" t="str">
        <f>IFERROR(__xludf.DUMMYFUNCTION("""COMPUTED_VALUE"""),"1CwPtInR_Cy6ir39KI9yaXfAvolUGYsOGbIOnZabie0c")</f>
        <v>1CwPtInR_Cy6ir39KI9yaXfAvolUGYsOGbIOnZabie0c</v>
      </c>
    </row>
    <row r="789" ht="15.75" customHeight="1">
      <c r="A789" t="str">
        <f>IFERROR(__xludf.DUMMYFUNCTION("""COMPUTED_VALUE"""),"Rebalancer")</f>
        <v>Rebalancer</v>
      </c>
      <c r="B789" t="str">
        <f>IFERROR(__xludf.DUMMYFUNCTION("""COMPUTED_VALUE"""),"ActionOnTBSListSummary")</f>
        <v>ActionOnTBSListSummary</v>
      </c>
      <c r="C789" t="str">
        <f>IFERROR(__xludf.DUMMYFUNCTION("""COMPUTED_VALUE"""),"1vMPSqBpJ7zBb4rZw_ytaphDX8K_jcboQlLc6plZtllU")</f>
        <v>1vMPSqBpJ7zBb4rZw_ytaphDX8K_jcboQlLc6plZtllU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IFERROR(__xludf.DUMMYFUNCTION("""COMPUTED_VALUE"""),"VerifyTLOSideSummary")</f>
        <v>VerifyTLOSideSummary</v>
      </c>
      <c r="C790" t="str">
        <f>IFERROR(__xludf.DUMMYFUNCTION("""COMPUTED_VALUE"""),"1asJHjZ4EwQuMXHEFjolwYeO59Mt4d11wf4mCyD98JMw")</f>
        <v>1asJHjZ4EwQuMXHEFjolwYeO59Mt4d11wf4mCyD98JMw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IFERROR(__xludf.DUMMYFUNCTION("""COMPUTED_VALUE"""),"SelectAndVerifyTradeList")</f>
        <v>SelectAndVerifyTradeList</v>
      </c>
      <c r="C791" t="str">
        <f>IFERROR(__xludf.DUMMYFUNCTION("""COMPUTED_VALUE"""),"1fXJG--hBH0hPvU7g5jtXyZnD1GiwJXfYX9HdEyhGyGs")</f>
        <v>1fXJG--hBH0hPvU7g5jtXyZnD1GiwJXfYX9HdEyhGyGs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IFERROR(__xludf.DUMMYFUNCTION("""COMPUTED_VALUE"""),"ActionOnTradeBuySellListView")</f>
        <v>ActionOnTradeBuySellListView</v>
      </c>
      <c r="C792" t="str">
        <f>IFERROR(__xludf.DUMMYFUNCTION("""COMPUTED_VALUE"""),"1xeJEpkdxtbik3vPUTkxALkXsnL-Vl5dF07PBUoheM3k")</f>
        <v>1xeJEpkdxtbik3vPUTkxALkXsnL-Vl5dF07PBUoheM3k</v>
      </c>
    </row>
    <row r="793" ht="15.75" customHeight="1">
      <c r="A793" t="str">
        <f>IFERROR(__xludf.DUMMYFUNCTION("""COMPUTED_VALUE"""),"PTT")</f>
        <v>PTT</v>
      </c>
      <c r="B793" t="str">
        <f>IFERROR(__xludf.DUMMYFUNCTION("""COMPUTED_VALUE"""),"OperationsonPTT")</f>
        <v>OperationsonPTT</v>
      </c>
      <c r="C793" t="str">
        <f>IFERROR(__xludf.DUMMYFUNCTION("""COMPUTED_VALUE"""),"1J40rCXEDilLEF_x0Wkeeg1lwGfejucV1VSY9UcyeSlw")</f>
        <v>1J40rCXEDilLEF_x0Wkeeg1lwGfejucV1VSY9UcyeSlw</v>
      </c>
    </row>
    <row r="794" ht="15.75" customHeight="1">
      <c r="A794" t="str">
        <f>IFERROR(__xludf.DUMMYFUNCTION("""COMPUTED_VALUE"""),"PricingInput")</f>
        <v>PricingInput</v>
      </c>
      <c r="B794" t="str">
        <f>IFERROR(__xludf.DUMMYFUNCTION("""COMPUTED_VALUE"""),"UpdatePricingInput")</f>
        <v>UpdatePricingInput</v>
      </c>
      <c r="C794" t="str">
        <f>IFERROR(__xludf.DUMMYFUNCTION("""COMPUTED_VALUE"""),"1CG9iYOkRKzlGEsKh7QuEyMdGRQea_W4KDWwlnjE2BdE")</f>
        <v>1CG9iYOkRKzlGEsKh7QuEyMdGRQea_W4KDWwlnjE2BdE</v>
      </c>
    </row>
    <row r="795" ht="15.75" customHeight="1">
      <c r="A795" t="str">
        <f>IFERROR(__xludf.DUMMYFUNCTION("""COMPUTED_VALUE"""),"Rebalancer")</f>
        <v>Rebalancer</v>
      </c>
      <c r="B795" t="str">
        <f>IFERROR(__xludf.DUMMYFUNCTION("""COMPUTED_VALUE"""),"ImportOnRB")</f>
        <v>ImportOnRB</v>
      </c>
      <c r="C795" t="str">
        <f>IFERROR(__xludf.DUMMYFUNCTION("""COMPUTED_VALUE"""),"1EntkiGIsU6aSZPpMKhixdhGFyyVCmlI1jMgvbCFq3oM")</f>
        <v>1EntkiGIsU6aSZPpMKhixdhGFyyVCmlI1jMgvbCFq3oM</v>
      </c>
    </row>
    <row r="796" ht="15.75" customHeight="1">
      <c r="A796" t="str">
        <f>IFERROR(__xludf.DUMMYFUNCTION("""COMPUTED_VALUE"""),"Rebalancer")</f>
        <v>Rebalancer</v>
      </c>
      <c r="B796" t="str">
        <f>IFERROR(__xludf.DUMMYFUNCTION("""COMPUTED_VALUE"""),"ActionOnRSAImportGrid")</f>
        <v>ActionOnRSAImportGrid</v>
      </c>
      <c r="C796" t="str">
        <f>IFERROR(__xludf.DUMMYFUNCTION("""COMPUTED_VALUE"""),"1qyFUqeWV7-Gy2PHnDNHGdUCBuvTKxxZhflKe9pguJEE")</f>
        <v>1qyFUqeWV7-Gy2PHnDNHGdUCBuvTKxxZhflKe9pguJEE</v>
      </c>
    </row>
    <row r="797" ht="15.75" customHeight="1">
      <c r="A797" t="str">
        <f>IFERROR(__xludf.DUMMYFUNCTION("""COMPUTED_VALUE"""),"Rebalancer")</f>
        <v>Rebalancer</v>
      </c>
      <c r="B797" t="str">
        <f>IFERROR(__xludf.DUMMYFUNCTION("""COMPUTED_VALUE"""),"VerifyImportGridRBForInvalidSec")</f>
        <v>VerifyImportGridRBForInvalidSec</v>
      </c>
      <c r="C797" t="str">
        <f>IFERROR(__xludf.DUMMYFUNCTION("""COMPUTED_VALUE"""),"13tlfzcOYlxn2sOASC-JNdqZmR9A1Cesa2Ah5348pLN8")</f>
        <v>13tlfzcOYlxn2sOASC-JNdqZmR9A1Cesa2Ah5348pLN8</v>
      </c>
    </row>
    <row r="798" ht="15.75" customHeight="1">
      <c r="A798" t="str">
        <f>IFERROR(__xludf.DUMMYFUNCTION("""COMPUTED_VALUE"""),"Rebalancer")</f>
        <v>Rebalancer</v>
      </c>
      <c r="B798" t="str">
        <f>IFERROR(__xludf.DUMMYFUNCTION("""COMPUTED_VALUE"""),"VerifyImportGridRBForValidSec")</f>
        <v>VerifyImportGridRBForValidSec</v>
      </c>
      <c r="C798" t="str">
        <f>IFERROR(__xludf.DUMMYFUNCTION("""COMPUTED_VALUE"""),"1KiLapuRaYEZfokVV1TZf8gTWNe8d9PblbpJsN983CaI")</f>
        <v>1KiLapuRaYEZfokVV1TZf8gTWNe8d9PblbpJsN983CaI</v>
      </c>
    </row>
    <row r="799" ht="15.75" customHeight="1">
      <c r="A799" t="str">
        <f>IFERROR(__xludf.DUMMYFUNCTION("""COMPUTED_VALUE"""),"Import")</f>
        <v>Import</v>
      </c>
      <c r="B799" t="str">
        <f>IFERROR(__xludf.DUMMYFUNCTION("""COMPUTED_VALUE"""),"ActionOnImport")</f>
        <v>ActionOnImport</v>
      </c>
      <c r="C799" t="str">
        <f>IFERROR(__xludf.DUMMYFUNCTION("""COMPUTED_VALUE"""),"1YM2boQt7BrzysPpsUbIqt27cfA6-btDPEZntG5NhBUc")</f>
        <v>1YM2boQt7BrzysPpsUbIqt27cfA6-btDPEZntG5NhBUc</v>
      </c>
    </row>
    <row r="800" ht="15.75" customHeight="1">
      <c r="A800" t="str">
        <f>IFERROR(__xludf.DUMMYFUNCTION("""COMPUTED_VALUE"""),"Import")</f>
        <v>Import</v>
      </c>
      <c r="B800" t="str">
        <f>IFERROR(__xludf.DUMMYFUNCTION("""COMPUTED_VALUE"""),"ValidateImportPositions")</f>
        <v>ValidateImportPositions</v>
      </c>
      <c r="C800" t="str">
        <f>IFERROR(__xludf.DUMMYFUNCTION("""COMPUTED_VALUE"""),"1ApMxUfr4smtwBJX_cppynzY1M99QXnDpTRjevjraQtA")</f>
        <v>1ApMxUfr4smtwBJX_cppynzY1M99QXnDpTRjevjraQtA</v>
      </c>
    </row>
    <row r="801" ht="15.75" customHeight="1">
      <c r="A801" t="str">
        <f>IFERROR(__xludf.DUMMYFUNCTION("""COMPUTED_VALUE"""),"DailyValuation")</f>
        <v>DailyValuation</v>
      </c>
      <c r="B801" t="str">
        <f>IFERROR(__xludf.DUMMYFUNCTION("""COMPUTED_VALUE"""),"UpdateMPAndFC")</f>
        <v>UpdateMPAndFC</v>
      </c>
      <c r="C801" t="str">
        <f>IFERROR(__xludf.DUMMYFUNCTION("""COMPUTED_VALUE"""),"1UCNfZng94LprScqCmSKImRjCwiKlLQU_e1kY1tum91I")</f>
        <v>1UCNfZng94LprScqCmSKImRjCwiKlLQU_e1kY1tum91I</v>
      </c>
    </row>
    <row r="802" ht="15.75" customHeight="1">
      <c r="A802" t="str">
        <f>IFERROR(__xludf.DUMMYFUNCTION("""COMPUTED_VALUE"""),"DailyValuation")</f>
        <v>DailyValuation</v>
      </c>
      <c r="B802" t="str">
        <f>IFERROR(__xludf.DUMMYFUNCTION("""COMPUTED_VALUE"""),"SelectDateAtMPFC")</f>
        <v>SelectDateAtMPFC</v>
      </c>
      <c r="C802" t="str">
        <f>IFERROR(__xludf.DUMMYFUNCTION("""COMPUTED_VALUE"""),"1DnCg9cxYbA4JZCrUA-hItngQmbhhFuxexdkPS0iagg8")</f>
        <v>1DnCg9cxYbA4JZCrUA-hItngQmbhhFuxexdkPS0iagg8</v>
      </c>
    </row>
    <row r="803" ht="15.75" customHeight="1">
      <c r="A803" t="str">
        <f>IFERROR(__xludf.DUMMYFUNCTION("""COMPUTED_VALUE"""),"Watchlist")</f>
        <v>Watchlist</v>
      </c>
      <c r="B803" t="str">
        <f>IFERROR(__xludf.DUMMYFUNCTION("""COMPUTED_VALUE"""),"SelectTradeWatchlist")</f>
        <v>SelectTradeWatchlist</v>
      </c>
      <c r="C803" t="str">
        <f>IFERROR(__xludf.DUMMYFUNCTION("""COMPUTED_VALUE"""),"1Wa9Q7PE7i3bZr_mTOkYG22qcEixSMbydeuL2lnyNfB0")</f>
        <v>1Wa9Q7PE7i3bZr_mTOkYG22qcEixSMbydeuL2lnyNfB0</v>
      </c>
    </row>
    <row r="804" ht="15.75" customHeight="1">
      <c r="A804" t="str">
        <f>IFERROR(__xludf.DUMMYFUNCTION("""COMPUTED_VALUE"""),"Watchlist")</f>
        <v>Watchlist</v>
      </c>
      <c r="B804" t="str">
        <f>IFERROR(__xludf.DUMMYFUNCTION("""COMPUTED_VALUE"""),"ActionOnWatchlist")</f>
        <v>ActionOnWatchlist</v>
      </c>
      <c r="C804" t="str">
        <f>IFERROR(__xludf.DUMMYFUNCTION("""COMPUTED_VALUE"""),"1Ex0VPpmT3E0nbSBahi-24Pfuba4HTTVDqcm5UWIEUUw")</f>
        <v>1Ex0VPpmT3E0nbSBahi-24Pfuba4HTTVDqcm5UWIEUUw</v>
      </c>
    </row>
    <row r="805" ht="15.75" customHeight="1">
      <c r="A805" t="str">
        <f>IFERROR(__xludf.DUMMYFUNCTION("""COMPUTED_VALUE"""),"Allocation")</f>
        <v>Allocation</v>
      </c>
      <c r="B805" t="str">
        <f>IFERROR(__xludf.DUMMYFUNCTION("""COMPUTED_VALUE"""),"OperationsonAllocation")</f>
        <v>OperationsonAllocation</v>
      </c>
      <c r="C805" t="str">
        <f>IFERROR(__xludf.DUMMYFUNCTION("""COMPUTED_VALUE"""),"1Ef_CfqtvCC0SoupZq61OQuLBg_r-ocFfZ5dScRXCuD4")</f>
        <v>1Ef_CfqtvCC0SoupZq61OQuLBg_r-ocFfZ5dScRXCuD4</v>
      </c>
    </row>
    <row r="806" ht="15.75" customHeight="1">
      <c r="A806" t="str">
        <f>IFERROR(__xludf.DUMMYFUNCTION("""COMPUTED_VALUE"""),"PTT")</f>
        <v>PTT</v>
      </c>
      <c r="B806" t="str">
        <f>IFERROR(__xludf.DUMMYFUNCTION("""COMPUTED_VALUE"""),"VerifyTradeSummary")</f>
        <v>VerifyTradeSummary</v>
      </c>
      <c r="C806" t="str">
        <f>IFERROR(__xludf.DUMMYFUNCTION("""COMPUTED_VALUE"""),"1QKYeLTANHsRzTEgySasZ8-Hipb9o0WkonYSctIWDvTQ")</f>
        <v>1QKYeLTANHsRzTEgySasZ8-Hipb9o0WkonYSctIWDvTQ</v>
      </c>
    </row>
    <row r="807" ht="15.75" customHeight="1">
      <c r="A807" t="str">
        <f>IFERROR(__xludf.DUMMYFUNCTION("""COMPUTED_VALUE"""),"Blotter")</f>
        <v>Blotter</v>
      </c>
      <c r="B807" t="str">
        <f>IFERROR(__xludf.DUMMYFUNCTION("""COMPUTED_VALUE"""),"SelectTradeOnBlotter")</f>
        <v>SelectTradeOnBlotter</v>
      </c>
      <c r="C807" t="str">
        <f>IFERROR(__xludf.DUMMYFUNCTION("""COMPUTED_VALUE"""),"1DUwxSUq_47EK60XmK3LOdCXa1fkWqWJE9bLuGS3ccv412")</f>
        <v>1DUwxSUq_47EK60XmK3LOdCXa1fkWqWJE9bLuGS3ccv412</v>
      </c>
    </row>
    <row r="808" ht="15.75" customHeight="1">
      <c r="A808" t="str">
        <f>IFERROR(__xludf.DUMMYFUNCTION("""COMPUTED_VALUE"""),"Blotter")</f>
        <v>Blotter</v>
      </c>
      <c r="B808" t="str">
        <f>IFERROR(__xludf.DUMMYFUNCTION("""COMPUTED_VALUE"""),"SelectTradeSummary")</f>
        <v>SelectTradeSummary</v>
      </c>
      <c r="C808" t="str">
        <f>IFERROR(__xludf.DUMMYFUNCTION("""COMPUTED_VALUE"""),"1DUwxSUq_47EK60XmK3LOdCXa1fkWqWJE9bLuGS3ccv412")</f>
        <v>1DUwxSUq_47EK60XmK3LOdCXa1fkWqWJE9bLuGS3ccv412</v>
      </c>
    </row>
    <row r="809" ht="15.75" customHeight="1">
      <c r="A809" t="str">
        <f>IFERROR(__xludf.DUMMYFUNCTION("""COMPUTED_VALUE"""),"Blotter")</f>
        <v>Blotter</v>
      </c>
      <c r="B809" t="str">
        <f>IFERROR(__xludf.DUMMYFUNCTION("""COMPUTED_VALUE"""),"MergeOrderMessage")</f>
        <v>MergeOrderMessage</v>
      </c>
      <c r="C809" t="str">
        <f>IFERROR(__xludf.DUMMYFUNCTION("""COMPUTED_VALUE"""),"1DUwxSUq_47EK60XmK3LOdCXa1fkWqWJE9bLuGS3ccv412")</f>
        <v>1DUwxSUq_47EK60XmK3LOdCXa1fkWqWJE9bLuGS3ccv412</v>
      </c>
    </row>
    <row r="810" ht="15.75" customHeight="1">
      <c r="A810" t="str">
        <f>IFERROR(__xludf.DUMMYFUNCTION("""COMPUTED_VALUE"""),"Blotter")</f>
        <v>Blotter</v>
      </c>
      <c r="B810" t="str">
        <f>IFERROR(__xludf.DUMMYFUNCTION("""COMPUTED_VALUE"""),"SwitchTabBlotter")</f>
        <v>SwitchTabBlotter</v>
      </c>
      <c r="C810" t="str">
        <f>IFERROR(__xludf.DUMMYFUNCTION("""COMPUTED_VALUE"""),"1DUwxSUq_47EK60XmK3LOdCXa1fkWqWJE9bLuGS3ccv412")</f>
        <v>1DUwxSUq_47EK60XmK3LOdCXa1fkWqWJE9bLuGS3ccv412</v>
      </c>
    </row>
    <row r="811" ht="15.75" customHeight="1">
      <c r="A811" t="str">
        <f>IFERROR(__xludf.DUMMYFUNCTION("""COMPUTED_VALUE"""),"Blotter")</f>
        <v>Blotter</v>
      </c>
      <c r="B811" t="str">
        <f>IFERROR(__xludf.DUMMYFUNCTION("""COMPUTED_VALUE"""),"AddTab")</f>
        <v>AddTab</v>
      </c>
      <c r="C811" t="str">
        <f>IFERROR(__xludf.DUMMYFUNCTION("""COMPUTED_VALUE"""),"1DUwxSUq_47EK60XmK3LOdCXa1fkWqWJE9bLuGS3ccv412")</f>
        <v>1DUwxSUq_47EK60XmK3LOdCXa1fkWqWJE9bLuGS3ccv412</v>
      </c>
    </row>
    <row r="812" ht="15.75" customHeight="1">
      <c r="A812" t="str">
        <f>IFERROR(__xludf.DUMMYFUNCTION("""COMPUTED_VALUE"""),"Blotter")</f>
        <v>Blotter</v>
      </c>
      <c r="B812" t="str">
        <f>IFERROR(__xludf.DUMMYFUNCTION("""COMPUTED_VALUE"""),"UploadStageOrders")</f>
        <v>UploadStageOrders</v>
      </c>
      <c r="C812" t="str">
        <f>IFERROR(__xludf.DUMMYFUNCTION("""COMPUTED_VALUE"""),"1DUwxSUq_47EK60XmK3LOdCXa1fkWqWJE9bLuGS3ccv412")</f>
        <v>1DUwxSUq_47EK60XmK3LOdCXa1fkWqWJE9bLuGS3ccv412</v>
      </c>
    </row>
    <row r="813" ht="15.75" customHeight="1">
      <c r="A813" t="str">
        <f>IFERROR(__xludf.DUMMYFUNCTION("""COMPUTED_VALUE"""),"Unknown")</f>
        <v>Unknown</v>
      </c>
      <c r="B813" t="str">
        <f>IFERROR(__xludf.DUMMYFUNCTION("""COMPUTED_VALUE"""),"NirvanaDialogueBoxHandler")</f>
        <v>NirvanaDialogueBoxHandler</v>
      </c>
      <c r="C813" t="str">
        <f>IFERROR(__xludf.DUMMYFUNCTION("""COMPUTED_VALUE"""),"1DUwxSUq_47EK60XmK3LOdCXa1fkWqWJE9bLuGS3ccv412")</f>
        <v>1DUwxSUq_47EK60XmK3LOdCXa1fkWqWJE9bLuGS3ccv412</v>
      </c>
    </row>
    <row r="814" ht="15.75" customHeight="1">
      <c r="A814" t="str">
        <f>IFERROR(__xludf.DUMMYFUNCTION("""COMPUTED_VALUE"""),"Blotter")</f>
        <v>Blotter</v>
      </c>
      <c r="B814" t="str">
        <f>IFERROR(__xludf.DUMMYFUNCTION("""COMPUTED_VALUE"""),"AddTabToFav")</f>
        <v>AddTabToFav</v>
      </c>
      <c r="C814" t="str">
        <f>IFERROR(__xludf.DUMMYFUNCTION("""COMPUTED_VALUE"""),"1Hrblc1gk4JIYboQ1lGHgl7HatAXp5amAl9mS58vzT-0")</f>
        <v>1Hrblc1gk4JIYboQ1lGHgl7HatAXp5amAl9mS58vzT-0</v>
      </c>
    </row>
    <row r="815" ht="15.75" customHeight="1">
      <c r="A815" t="str">
        <f>IFERROR(__xludf.DUMMYFUNCTION("""COMPUTED_VALUE"""),"PTT")</f>
        <v>PTT</v>
      </c>
      <c r="B815" t="str">
        <f>IFERROR(__xludf.DUMMYFUNCTION("""COMPUTED_VALUE"""),"VerifyAllocationDetails")</f>
        <v>VerifyAllocationDetails</v>
      </c>
      <c r="C815" t="str">
        <f>IFERROR(__xludf.DUMMYFUNCTION("""COMPUTED_VALUE"""),"1DUwxSUq_47EK60XmK3LOdCXa1fkWqWJE9bLuGS3ccv412")</f>
        <v>1DUwxSUq_47EK60XmK3LOdCXa1fkWqWJE9bLuGS3ccv412</v>
      </c>
    </row>
    <row r="816" ht="15.75" customHeight="1">
      <c r="A816" t="str">
        <f>IFERROR(__xludf.DUMMYFUNCTION("""COMPUTED_VALUE"""),"Unknown")</f>
        <v>Unknown</v>
      </c>
      <c r="B816" t="str">
        <f>IFERROR(__xludf.DUMMYFUNCTION("""COMPUTED_VALUE"""),"WindowAction")</f>
        <v>WindowAction</v>
      </c>
      <c r="C816" t="str">
        <f>IFERROR(__xludf.DUMMYFUNCTION("""COMPUTED_VALUE"""),"1DUwxSUq_47EK60XmK3LOdCXa1fkWqWJE9bLuGS3ccv412")</f>
        <v>1DUwxSUq_47EK60XmK3LOdCXa1fkWqWJE9bLuGS3ccv412</v>
      </c>
    </row>
    <row r="817" ht="15.75" customHeight="1">
      <c r="A817" t="str">
        <f>IFERROR(__xludf.DUMMYFUNCTION("""COMPUTED_VALUE"""),"PTT")</f>
        <v>PTT</v>
      </c>
      <c r="B817" t="str">
        <f>IFERROR(__xludf.DUMMYFUNCTION("""COMPUTED_VALUE"""),"VerifyAllocationDetailsSam")</f>
        <v>VerifyAllocationDetailsSam</v>
      </c>
      <c r="C817" t="str">
        <f>IFERROR(__xludf.DUMMYFUNCTION("""COMPUTED_VALUE"""),"1DUwxSUq_47EK60XmK3LOdCXa1fkWqWJE9bLuGS3ccv412")</f>
        <v>1DUwxSUq_47EK60XmK3LOdCXa1fkWqWJE9bLuGS3ccv412</v>
      </c>
    </row>
    <row r="818" ht="15.75" customHeight="1">
      <c r="A818" t="str">
        <f>IFERROR(__xludf.DUMMYFUNCTION("""COMPUTED_VALUE"""),"Blotter")</f>
        <v>Blotter</v>
      </c>
      <c r="B818" t="str">
        <f>IFERROR(__xludf.DUMMYFUNCTION("""COMPUTED_VALUE"""),"VerifyExpandedBR")</f>
        <v>VerifyExpandedBR</v>
      </c>
      <c r="C818" t="str">
        <f>IFERROR(__xludf.DUMMYFUNCTION("""COMPUTED_VALUE"""),"1DUwxSUq_47EK60XmK3LOdCXa1fkWqWJE9bLuGS3ccv412")</f>
        <v>1DUwxSUq_47EK60XmK3LOdCXa1fkWqWJE9bLuGS3ccv412</v>
      </c>
    </row>
    <row r="819" ht="15.75" customHeight="1">
      <c r="A819" t="str">
        <f>IFERROR(__xludf.DUMMYFUNCTION("""COMPUTED_VALUE"""),"Unknown")</f>
        <v>Unknown</v>
      </c>
      <c r="B819" t="str">
        <f>IFERROR(__xludf.DUMMYFUNCTION("""COMPUTED_VALUE"""),"CheckModStatus")</f>
        <v>CheckModStatus</v>
      </c>
      <c r="C819" t="str">
        <f>IFERROR(__xludf.DUMMYFUNCTION("""COMPUTED_VALUE"""),"1S0obfxcw-fBa8_NHZx6E2ddpXBy262moOyglnQyX8XA")</f>
        <v>1S0obfxcw-fBa8_NHZx6E2ddpXBy262moOyglnQyX8XA</v>
      </c>
    </row>
    <row r="820" ht="15.75" customHeight="1">
      <c r="A820" t="str">
        <f>IFERROR(__xludf.DUMMYFUNCTION("""COMPUTED_VALUE"""),"Allocation")</f>
        <v>Allocation</v>
      </c>
      <c r="B820" t="str">
        <f>IFERROR(__xludf.DUMMYFUNCTION("""COMPUTED_VALUE"""),"ActionOnGroupBox")</f>
        <v>ActionOnGroupBox</v>
      </c>
      <c r="C820" t="str">
        <f>IFERROR(__xludf.DUMMYFUNCTION("""COMPUTED_VALUE"""),"1DUwxSUq_47EK60XmK3LOdCXa1fkWqWJE9bLuGS3ccv412")</f>
        <v>1DUwxSUq_47EK60XmK3LOdCXa1fkWqWJE9bLuGS3ccv412</v>
      </c>
    </row>
    <row r="821" ht="15.75" customHeight="1">
      <c r="A821" t="str">
        <f>IFERROR(__xludf.DUMMYFUNCTION("""COMPUTED_VALUE"""),"Rebalancer")</f>
        <v>Rebalancer</v>
      </c>
      <c r="B821" t="str">
        <f>IFERROR(__xludf.DUMMYFUNCTION("""COMPUTED_VALUE"""),"CreateOrViewMP")</f>
        <v>CreateOrViewMP</v>
      </c>
      <c r="C821" t="str">
        <f>IFERROR(__xludf.DUMMYFUNCTION("""COMPUTED_VALUE"""),"1DUwxSUq_47EK60XmK3LOdCXa1fkWqWJE9bLuGS3ccv412")</f>
        <v>1DUwxSUq_47EK60XmK3LOdCXa1fkWqWJE9bLuGS3ccv412</v>
      </c>
    </row>
    <row r="822" ht="15.75" customHeight="1">
      <c r="A822" t="str">
        <f>IFERROR(__xludf.DUMMYFUNCTION("""COMPUTED_VALUE"""),"Rebalancer")</f>
        <v>Rebalancer</v>
      </c>
      <c r="B822" t="str">
        <f>IFERROR(__xludf.DUMMYFUNCTION("""COMPUTED_VALUE"""),"SwitchTabRB")</f>
        <v>SwitchTabRB</v>
      </c>
      <c r="C822" t="str">
        <f>IFERROR(__xludf.DUMMYFUNCTION("""COMPUTED_VALUE"""),"1DUwxSUq_47EK60XmK3LOdCXa1fkWqWJE9bLuGS3ccv412")</f>
        <v>1DUwxSUq_47EK60XmK3LOdCXa1fkWqWJE9bLuGS3ccv412</v>
      </c>
    </row>
    <row r="823" ht="15.75" customHeight="1">
      <c r="A823" t="str">
        <f>IFERROR(__xludf.DUMMYFUNCTION("""COMPUTED_VALUE"""),"Allocation")</f>
        <v>Allocation</v>
      </c>
      <c r="B823" t="str">
        <f>IFERROR(__xludf.DUMMYFUNCTION("""COMPUTED_VALUE"""),"SelectAllTradesAllocation")</f>
        <v>SelectAllTradesAllocation</v>
      </c>
      <c r="C823" t="str">
        <f>IFERROR(__xludf.DUMMYFUNCTION("""COMPUTED_VALUE"""),"1DUwxSUq_47EK60XmK3LOdCXa1fkWqWJE9bLuGS3ccv412")</f>
        <v>1DUwxSUq_47EK60XmK3LOdCXa1fkWqWJE9bLuGS3ccv412</v>
      </c>
    </row>
    <row r="824" ht="15.75" customHeight="1">
      <c r="A824" t="str">
        <f>IFERROR(__xludf.DUMMYFUNCTION("""COMPUTED_VALUE"""),"Allocation")</f>
        <v>Allocation</v>
      </c>
      <c r="B824" t="str">
        <f>IFERROR(__xludf.DUMMYFUNCTION("""COMPUTED_VALUE"""),"SetFundDistribution")</f>
        <v>SetFundDistribution</v>
      </c>
      <c r="C824" t="str">
        <f>IFERROR(__xludf.DUMMYFUNCTION("""COMPUTED_VALUE"""),"1DUwxSUq_47EK60XmK3LOdCXa1fkWqWJE9bLuGS3ccv412")</f>
        <v>1DUwxSUq_47EK60XmK3LOdCXa1fkWqWJE9bLuGS3ccv412</v>
      </c>
    </row>
    <row r="825" ht="15.75" customHeight="1">
      <c r="A825" t="str">
        <f>IFERROR(__xludf.DUMMYFUNCTION("""COMPUTED_VALUE"""),"Allocation")</f>
        <v>Allocation</v>
      </c>
      <c r="B825" t="str">
        <f>IFERROR(__xludf.DUMMYFUNCTION("""COMPUTED_VALUE"""),"OperationsonAllocation")</f>
        <v>OperationsonAllocation</v>
      </c>
      <c r="C825" t="str">
        <f>IFERROR(__xludf.DUMMYFUNCTION("""COMPUTED_VALUE"""),"1DUwxSUq_47EK60XmK3LOdCXa1fkWqWJE9bLuGS3ccv412")</f>
        <v>1DUwxSUq_47EK60XmK3LOdCXa1fkWqWJE9bLuGS3ccv412</v>
      </c>
    </row>
    <row r="826" ht="15.75" customHeight="1">
      <c r="A826" t="str">
        <f>IFERROR(__xludf.DUMMYFUNCTION("""COMPUTED_VALUE"""),"Rebalancer")</f>
        <v>Rebalancer</v>
      </c>
      <c r="B826" t="str">
        <f>IFERROR(__xludf.DUMMYFUNCTION("""COMPUTED_VALUE"""),"SelectModelPortfolio")</f>
        <v>SelectModelPortfolio</v>
      </c>
      <c r="C826" t="str">
        <f>IFERROR(__xludf.DUMMYFUNCTION("""COMPUTED_VALUE"""),"1DUwxSUq_47EK60XmK3LOdCXa1fkWqWJE9bLuGS3ccv412")</f>
        <v>1DUwxSUq_47EK60XmK3LOdCXa1fkWqWJE9bLuGS3ccv412</v>
      </c>
    </row>
    <row r="827" ht="15.75" customHeight="1">
      <c r="A827" t="str">
        <f>IFERROR(__xludf.DUMMYFUNCTION("""COMPUTED_VALUE"""),"Rebalancer")</f>
        <v>Rebalancer</v>
      </c>
      <c r="B827" t="str">
        <f>IFERROR(__xludf.DUMMYFUNCTION("""COMPUTED_VALUE"""),"OperationsonMPRB")</f>
        <v>OperationsonMPRB</v>
      </c>
      <c r="C827" t="str">
        <f>IFERROR(__xludf.DUMMYFUNCTION("""COMPUTED_VALUE"""),"1DUwxSUq_47EK60XmK3LOdCXa1fkWqWJE9bLuGS3ccv412")</f>
        <v>1DUwxSUq_47EK60XmK3LOdCXa1fkWqWJE9bLuGS3ccv412</v>
      </c>
    </row>
    <row r="828" ht="15.75" customHeight="1">
      <c r="A828" t="str">
        <f>IFERROR(__xludf.DUMMYFUNCTION("""COMPUTED_VALUE"""),"Rebalancer")</f>
        <v>Rebalancer</v>
      </c>
      <c r="B828" t="str">
        <f>IFERROR(__xludf.DUMMYFUNCTION("""COMPUTED_VALUE"""),"VerifyMPRB")</f>
        <v>VerifyMPRB</v>
      </c>
      <c r="C828" t="str">
        <f>IFERROR(__xludf.DUMMYFUNCTION("""COMPUTED_VALUE"""),"1DUwxSUq_47EK60XmK3LOdCXa1fkWqWJE9bLuGS3ccv412")</f>
        <v>1DUwxSUq_47EK60XmK3LOdCXa1fkWqWJE9bLuGS3ccv412</v>
      </c>
    </row>
    <row r="829" ht="15.75" customHeight="1">
      <c r="A829" t="str">
        <f>IFERROR(__xludf.DUMMYFUNCTION("""COMPUTED_VALUE"""),"Admin")</f>
        <v>Admin</v>
      </c>
      <c r="B829" t="str">
        <f>IFERROR(__xludf.DUMMYFUNCTION("""COMPUTED_VALUE"""),"BasketPermission")</f>
        <v>BasketPermission</v>
      </c>
      <c r="C829" t="str">
        <f>IFERROR(__xludf.DUMMYFUNCTION("""COMPUTED_VALUE"""),"17IDG53HtzAOlp_4FIV5uGfLm-MbCR9NktUckecZQFVU")</f>
        <v>17IDG53HtzAOlp_4FIV5uGfLm-MbCR9NktUckecZQFVU</v>
      </c>
    </row>
    <row r="830" ht="15.75" customHeight="1">
      <c r="A830" t="str">
        <f>IFERROR(__xludf.DUMMYFUNCTION("""COMPUTED_VALUE"""),"Rebalancer")</f>
        <v>Rebalancer</v>
      </c>
      <c r="B830" t="str">
        <f>IFERROR(__xludf.DUMMYFUNCTION("""COMPUTED_VALUE"""),"ActiononCustomGroup")</f>
        <v>ActiononCustomGroup</v>
      </c>
      <c r="C830" t="str">
        <f>IFERROR(__xludf.DUMMYFUNCTION("""COMPUTED_VALUE"""),"1DUwxSUq_47EK60XmK3LOdCXa1fkWqWJE9bLuGS3ccv412")</f>
        <v>1DUwxSUq_47EK60XmK3LOdCXa1fkWqWJE9bLuGS3ccv412</v>
      </c>
    </row>
    <row r="831" ht="15.75" customHeight="1">
      <c r="A831" t="str">
        <f>IFERROR(__xludf.DUMMYFUNCTION("""COMPUTED_VALUE"""),"Rebalancer")</f>
        <v>Rebalancer</v>
      </c>
      <c r="B831" t="str">
        <f>IFERROR(__xludf.DUMMYFUNCTION("""COMPUTED_VALUE"""),"SelectCustomGroups")</f>
        <v>SelectCustomGroups</v>
      </c>
      <c r="C831" t="str">
        <f>IFERROR(__xludf.DUMMYFUNCTION("""COMPUTED_VALUE"""),"1DUwxSUq_47EK60XmK3LOdCXa1fkWqWJE9bLuGS3ccv412")</f>
        <v>1DUwxSUq_47EK60XmK3LOdCXa1fkWqWJE9bLuGS3ccv412</v>
      </c>
    </row>
    <row r="832" ht="15.75" customHeight="1">
      <c r="A832" t="str">
        <f>IFERROR(__xludf.DUMMYFUNCTION("""COMPUTED_VALUE"""),"Rebalancer")</f>
        <v>Rebalancer</v>
      </c>
      <c r="B832" t="str">
        <f>IFERROR(__xludf.DUMMYFUNCTION("""COMPUTED_VALUE"""),"SelectAssignedAccounts")</f>
        <v>SelectAssignedAccounts</v>
      </c>
      <c r="C832" t="str">
        <f>IFERROR(__xludf.DUMMYFUNCTION("""COMPUTED_VALUE"""),"1DUwxSUq_47EK60XmK3LOdCXa1fkWqWJE9bLuGS3ccv412")</f>
        <v>1DUwxSUq_47EK60XmK3LOdCXa1fkWqWJE9bLuGS3ccv412</v>
      </c>
    </row>
    <row r="833" ht="15.75" customHeight="1">
      <c r="A833" t="str">
        <f>IFERROR(__xludf.DUMMYFUNCTION("""COMPUTED_VALUE"""),"Rebalancer")</f>
        <v>Rebalancer</v>
      </c>
      <c r="B833" t="str">
        <f>IFERROR(__xludf.DUMMYFUNCTION("""COMPUTED_VALUE"""),"SelectUnAssignedAccounts")</f>
        <v>SelectUnAssignedAccounts</v>
      </c>
      <c r="C833" t="str">
        <f>IFERROR(__xludf.DUMMYFUNCTION("""COMPUTED_VALUE"""),"1DUwxSUq_47EK60XmK3LOdCXa1fkWqWJE9bLuGS3ccv412")</f>
        <v>1DUwxSUq_47EK60XmK3LOdCXa1fkWqWJE9bLuGS3ccv412</v>
      </c>
    </row>
    <row r="834" ht="15.75" customHeight="1">
      <c r="A834" t="str">
        <f>IFERROR(__xludf.DUMMYFUNCTION("""COMPUTED_VALUE"""),"Rebalancer")</f>
        <v>Rebalancer</v>
      </c>
      <c r="B834" t="str">
        <f>IFERROR(__xludf.DUMMYFUNCTION("""COMPUTED_VALUE"""),"VerifyCustomGroups")</f>
        <v>VerifyCustomGroups</v>
      </c>
      <c r="C834" t="str">
        <f>IFERROR(__xludf.DUMMYFUNCTION("""COMPUTED_VALUE"""),"1DUwxSUq_47EK60XmK3LOdCXa1fkWqWJE9bLuGS3ccv412")</f>
        <v>1DUwxSUq_47EK60XmK3LOdCXa1fkWqWJE9bLuGS3ccv412</v>
      </c>
    </row>
    <row r="835" ht="15.75" customHeight="1">
      <c r="A835" t="str">
        <f>IFERROR(__xludf.DUMMYFUNCTION("""COMPUTED_VALUE"""),"Rebalancer")</f>
        <v>Rebalancer</v>
      </c>
      <c r="B835" t="str">
        <f>IFERROR(__xludf.DUMMYFUNCTION("""COMPUTED_VALUE"""),"VerifyAssignedAccounts")</f>
        <v>VerifyAssignedAccounts</v>
      </c>
      <c r="C835" t="str">
        <f>IFERROR(__xludf.DUMMYFUNCTION("""COMPUTED_VALUE"""),"1DUwxSUq_47EK60XmK3LOdCXa1fkWqWJE9bLuGS3ccv412")</f>
        <v>1DUwxSUq_47EK60XmK3LOdCXa1fkWqWJE9bLuGS3ccv412</v>
      </c>
    </row>
    <row r="836" ht="15.75" customHeight="1">
      <c r="A836" t="str">
        <f>IFERROR(__xludf.DUMMYFUNCTION("""COMPUTED_VALUE"""),"Rebalancer")</f>
        <v>Rebalancer</v>
      </c>
      <c r="B836" t="str">
        <f>IFERROR(__xludf.DUMMYFUNCTION("""COMPUTED_VALUE"""),"VerifyUnAssignedAccounts")</f>
        <v>VerifyUnAssignedAccounts</v>
      </c>
      <c r="C836" t="str">
        <f>IFERROR(__xludf.DUMMYFUNCTION("""COMPUTED_VALUE"""),"1DUwxSUq_47EK60XmK3LOdCXa1fkWqWJE9bLuGS3ccv412")</f>
        <v>1DUwxSUq_47EK60XmK3LOdCXa1fkWqWJE9bLuGS3ccv412</v>
      </c>
    </row>
    <row r="837" ht="15.75" customHeight="1">
      <c r="A837" t="str">
        <f>IFERROR(__xludf.DUMMYFUNCTION("""COMPUTED_VALUE"""),"Allocation")</f>
        <v>Allocation</v>
      </c>
      <c r="B837" t="str">
        <f>IFERROR(__xludf.DUMMYFUNCTION("""COMPUTED_VALUE"""),"VerifyAllocationStatusBar")</f>
        <v>VerifyAllocationStatusBar</v>
      </c>
      <c r="C837" t="str">
        <f>IFERROR(__xludf.DUMMYFUNCTION("""COMPUTED_VALUE"""),"1xGSEHe1MiU9TD2PSlKIl96W7bOhlWvmTLQB")</f>
        <v>1xGSEHe1MiU9TD2PSlKIl96W7bOhlWvmTLQB</v>
      </c>
    </row>
    <row r="838" ht="15.75" customHeight="1">
      <c r="A838" t="str">
        <f>IFERROR(__xludf.DUMMYFUNCTION("""COMPUTED_VALUE"""),"Rebalancer")</f>
        <v>Rebalancer</v>
      </c>
      <c r="B838" t="str">
        <f>IFERROR(__xludf.DUMMYFUNCTION("""COMPUTED_VALUE"""),"ActiononRebalance")</f>
        <v>ActiononRebalance</v>
      </c>
      <c r="C838" t="str">
        <f>IFERROR(__xludf.DUMMYFUNCTION("""COMPUTED_VALUE"""),"1DUwxSUq_47EK60XmK3LOdCXa1fkWqWJE9bLuGS3ccv412")</f>
        <v>1DUwxSUq_47EK60XmK3LOdCXa1fkWqWJE9bLuGS3ccv412</v>
      </c>
    </row>
    <row r="839" ht="15.75" customHeight="1">
      <c r="A839" t="str">
        <f>IFERROR(__xludf.DUMMYFUNCTION("""COMPUTED_VALUE"""),"MultiTradingTicket")</f>
        <v>MultiTradingTicket</v>
      </c>
      <c r="B839" t="str">
        <f>IFERROR(__xludf.DUMMYFUNCTION("""COMPUTED_VALUE"""),"BulkUpdateonMTT ")</f>
        <v>BulkUpdateonMTT </v>
      </c>
      <c r="C839" t="str">
        <f>IFERROR(__xludf.DUMMYFUNCTION("""COMPUTED_VALUE"""),"1DUwxSUq_47EK60XmK3LOdCXa1fkWqWJE9bLuGS3ccv412")</f>
        <v>1DUwxSUq_47EK60XmK3LOdCXa1fkWqWJE9bLuGS3ccv412</v>
      </c>
    </row>
    <row r="840" ht="15.75" customHeight="1">
      <c r="A840" t="str">
        <f>IFERROR(__xludf.DUMMYFUNCTION("""COMPUTED_VALUE"""),"MultiTradingTicket")</f>
        <v>MultiTradingTicket</v>
      </c>
      <c r="B840" t="str">
        <f>IFERROR(__xludf.DUMMYFUNCTION("""COMPUTED_VALUE"""),"CustomOrderMTT")</f>
        <v>CustomOrderMTT</v>
      </c>
      <c r="C840" t="str">
        <f>IFERROR(__xludf.DUMMYFUNCTION("""COMPUTED_VALUE"""),"1DUwxSUq_47EK60XmK3LOdCXa1fkWqWJE9bLuGS3ccv412")</f>
        <v>1DUwxSUq_47EK60XmK3LOdCXa1fkWqWJE9bLuGS3ccv412</v>
      </c>
    </row>
    <row r="841" ht="15.75" customHeight="1">
      <c r="A841" t="str">
        <f>IFERROR(__xludf.DUMMYFUNCTION("""COMPUTED_VALUE"""),"Rebalancer")</f>
        <v>Rebalancer</v>
      </c>
      <c r="B841" t="str">
        <f>IFERROR(__xludf.DUMMYFUNCTION("""COMPUTED_VALUE"""),"MoveToAssignedList")</f>
        <v>MoveToAssignedList</v>
      </c>
      <c r="C841" t="str">
        <f>IFERROR(__xludf.DUMMYFUNCTION("""COMPUTED_VALUE"""),"1DUwxSUq_47EK60XmK3LOdCXa1fkWqWJE9bLuGS3ccv412")</f>
        <v>1DUwxSUq_47EK60XmK3LOdCXa1fkWqWJE9bLuGS3ccv412</v>
      </c>
    </row>
    <row r="842" ht="15.75" customHeight="1">
      <c r="A842" t="str">
        <f>IFERROR(__xludf.DUMMYFUNCTION("""COMPUTED_VALUE"""),"TradingTicket")</f>
        <v>TradingTicket</v>
      </c>
      <c r="B842" t="str">
        <f>IFERROR(__xludf.DUMMYFUNCTION("""COMPUTED_VALUE"""),"ActionOnPrompt")</f>
        <v>ActionOnPrompt</v>
      </c>
      <c r="C842" t="str">
        <f>IFERROR(__xludf.DUMMYFUNCTION("""COMPUTED_VALUE"""),"1DUwxSUq_47EK60XmK3LOdCXa1fkWqWJE9bLuGS3ccv412")</f>
        <v>1DUwxSUq_47EK60XmK3LOdCXa1fkWqWJE9bLuGS3ccv412</v>
      </c>
    </row>
    <row r="843" ht="15.75" customHeight="1">
      <c r="A843" t="str">
        <f>IFERROR(__xludf.DUMMYFUNCTION("""COMPUTED_VALUE"""),"Rebalancer")</f>
        <v>Rebalancer</v>
      </c>
      <c r="B843" t="str">
        <f>IFERROR(__xludf.DUMMYFUNCTION("""COMPUTED_VALUE"""),"VerifyRBStatusBar")</f>
        <v>VerifyRBStatusBar</v>
      </c>
      <c r="C843" t="str">
        <f>IFERROR(__xludf.DUMMYFUNCTION("""COMPUTED_VALUE"""),"1DUwxSUq_47EK60XmK3LOdCXa1fkWqWJE9bLuGS3ccv412")</f>
        <v>1DUwxSUq_47EK60XmK3LOdCXa1fkWqWJE9bLuGS3ccv412</v>
      </c>
    </row>
    <row r="844" ht="15.75" customHeight="1">
      <c r="A844" t="str">
        <f>IFERROR(__xludf.DUMMYFUNCTION("""COMPUTED_VALUE"""),"MultiTradingTicket")</f>
        <v>MultiTradingTicket</v>
      </c>
      <c r="B844" t="str">
        <f>IFERROR(__xludf.DUMMYFUNCTION("""COMPUTED_VALUE"""),"SelectAllMTT")</f>
        <v>SelectAllMTT</v>
      </c>
      <c r="C844" t="str">
        <f>IFERROR(__xludf.DUMMYFUNCTION("""COMPUTED_VALUE"""),"1DUwxSUq_47EK60XmK3LOdCXa1fkWqWJE9bLuGS3ccv412")</f>
        <v>1DUwxSUq_47EK60XmK3LOdCXa1fkWqWJE9bLuGS3ccv412</v>
      </c>
    </row>
    <row r="845" ht="15.75" customHeight="1">
      <c r="A845" t="str">
        <f>IFERROR(__xludf.DUMMYFUNCTION("""COMPUTED_VALUE"""),"MultiTradingTicket")</f>
        <v>MultiTradingTicket</v>
      </c>
      <c r="B845" t="str">
        <f>IFERROR(__xludf.DUMMYFUNCTION("""COMPUTED_VALUE"""),"SelectTradesMTT")</f>
        <v>SelectTradesMTT</v>
      </c>
      <c r="C845" t="str">
        <f>IFERROR(__xludf.DUMMYFUNCTION("""COMPUTED_VALUE"""),"1DUwxSUq_47EK60XmK3LOdCXa1fkWqWJE9bLuGS3ccv412")</f>
        <v>1DUwxSUq_47EK60XmK3LOdCXa1fkWqWJE9bLuGS3ccv412</v>
      </c>
    </row>
    <row r="846" ht="15.75" customHeight="1">
      <c r="A846" t="str">
        <f>IFERROR(__xludf.DUMMYFUNCTION("""COMPUTED_VALUE"""),"MultiTradingTicket")</f>
        <v>MultiTradingTicket</v>
      </c>
      <c r="B846" t="str">
        <f>IFERROR(__xludf.DUMMYFUNCTION("""COMPUTED_VALUE"""),"OperationonMTT")</f>
        <v>OperationonMTT</v>
      </c>
      <c r="C846" t="str">
        <f>IFERROR(__xludf.DUMMYFUNCTION("""COMPUTED_VALUE"""),"1DUwxSUq_47EK60XmK3LOdCXa1fkWqWJE9bLuGS3ccv412")</f>
        <v>1DUwxSUq_47EK60XmK3LOdCXa1fkWqWJE9bLuGS3ccv412</v>
      </c>
    </row>
    <row r="847" ht="15.75" customHeight="1">
      <c r="A847" t="str">
        <f>IFERROR(__xludf.DUMMYFUNCTION("""COMPUTED_VALUE"""),"Allocation")</f>
        <v>Allocation</v>
      </c>
      <c r="B847" t="str">
        <f>IFERROR(__xludf.DUMMYFUNCTION("""COMPUTED_VALUE"""),"VerifyExpansionIndicator")</f>
        <v>VerifyExpansionIndicator</v>
      </c>
      <c r="C847" t="str">
        <f>IFERROR(__xludf.DUMMYFUNCTION("""COMPUTED_VALUE"""),"1DUwxSUq_47EK60XmK3LOdCXa1fkWqWJE9bLuGS3ccv412")</f>
        <v>1DUwxSUq_47EK60XmK3LOdCXa1fkWqWJE9bLuGS3ccv412</v>
      </c>
    </row>
    <row r="848" ht="15.75" customHeight="1">
      <c r="A848" t="str">
        <f>IFERROR(__xludf.DUMMYFUNCTION("""COMPUTED_VALUE"""),"PTT")</f>
        <v>PTT</v>
      </c>
      <c r="B848" t="str">
        <f>IFERROR(__xludf.DUMMYFUNCTION("""COMPUTED_VALUE"""),"VerifyPTTUI")</f>
        <v>VerifyPTTUI</v>
      </c>
      <c r="C848" t="str">
        <f>IFERROR(__xludf.DUMMYFUNCTION("""COMPUTED_VALUE"""),"1DUwxSUq_47EK60XmK3LOdCXa1fkWqWJE9bLuGS3ccv412")</f>
        <v>1DUwxSUq_47EK60XmK3LOdCXa1fkWqWJE9bLuGS3ccv412</v>
      </c>
    </row>
    <row r="849" ht="15.75" customHeight="1">
      <c r="A849" t="str">
        <f>IFERROR(__xludf.DUMMYFUNCTION("""COMPUTED_VALUE"""),"PranaClient")</f>
        <v>PranaClient</v>
      </c>
      <c r="B849" t="str">
        <f>IFERROR(__xludf.DUMMYFUNCTION("""COMPUTED_VALUE"""),"OpenModule")</f>
        <v>OpenModule</v>
      </c>
      <c r="C849" t="str">
        <f>IFERROR(__xludf.DUMMYFUNCTION("""COMPUTED_VALUE"""),"1L-UVWUTPBRTuEZmbLDReT0I7a0h7ABWiidO4dyyCx34")</f>
        <v>1L-UVWUTPBRTuEZmbLDReT0I7a0h7ABWiidO4dyyCx34</v>
      </c>
    </row>
    <row r="850" ht="15.75" customHeight="1">
      <c r="A850" t="str">
        <f>IFERROR(__xludf.DUMMYFUNCTION("""COMPUTED_VALUE"""),"Unknown")</f>
        <v>Unknown</v>
      </c>
      <c r="B850" t="str">
        <f>IFERROR(__xludf.DUMMYFUNCTION("""COMPUTED_VALUE"""),"CheckWindow")</f>
        <v>CheckWindow</v>
      </c>
      <c r="C850" t="str">
        <f>IFERROR(__xludf.DUMMYFUNCTION("""COMPUTED_VALUE"""),"1DUwxSUq_47EK60XmK3LOdCXa1fkWqWJE9bLuGS3ccv412")</f>
        <v>1DUwxSUq_47EK60XmK3LOdCXa1fkWqWJE9bLuGS3ccv412</v>
      </c>
    </row>
    <row r="851" ht="15.75" customHeight="1">
      <c r="A851" t="str">
        <f>IFERROR(__xludf.DUMMYFUNCTION("""COMPUTED_VALUE"""),"TradingTicket")</f>
        <v>TradingTicket</v>
      </c>
      <c r="B851" t="str">
        <f>IFERROR(__xludf.DUMMYFUNCTION("""COMPUTED_VALUE"""),"VerifyExecutionType")</f>
        <v>VerifyExecutionType</v>
      </c>
      <c r="C851" t="str">
        <f>IFERROR(__xludf.DUMMYFUNCTION("""COMPUTED_VALUE"""),"1GeLKG0YL6nDFQYX8NohWSG0yonppxuSHWgOuwLzEWwI")</f>
        <v>1GeLKG0YL6nDFQYX8NohWSG0yonppxuSHWgOuwLzEWwI</v>
      </c>
    </row>
    <row r="852" ht="15.75" customHeight="1">
      <c r="A852" t="str">
        <f>IFERROR(__xludf.DUMMYFUNCTION("""COMPUTED_VALUE"""),"Blotter")</f>
        <v>Blotter</v>
      </c>
      <c r="B852" t="str">
        <f>IFERROR(__xludf.DUMMYFUNCTION("""COMPUTED_VALUE"""),"VerifyBlotter")</f>
        <v>VerifyBlotter</v>
      </c>
      <c r="C852" t="str">
        <f>IFERROR(__xludf.DUMMYFUNCTION("""COMPUTED_VALUE"""),"1DUwxSUq_47EK60XmK3LOdCXa1fkWqWJE9bLuGS3ccv412")</f>
        <v>1DUwxSUq_47EK60XmK3LOdCXa1fkWqWJE9bLuGS3ccv412</v>
      </c>
    </row>
    <row r="853" ht="15.75" customHeight="1">
      <c r="A853" t="str">
        <f>IFERROR(__xludf.DUMMYFUNCTION("""COMPUTED_VALUE"""),"OpenFin")</f>
        <v>OpenFin</v>
      </c>
      <c r="B853" t="str">
        <f>IFERROR(__xludf.DUMMYFUNCTION("""COMPUTED_VALUE"""),"VerifyNotification")</f>
        <v>VerifyNotification</v>
      </c>
      <c r="C853" t="str">
        <f>IFERROR(__xludf.DUMMYFUNCTION("""COMPUTED_VALUE"""),"1rm7dGZ4-j6MPtyiMlJDHnZgIjnFk8Hv19VRPaPCgUMY")</f>
        <v>1rm7dGZ4-j6MPtyiMlJDHnZgIjnFk8Hv19VRPaPCgUMY</v>
      </c>
    </row>
    <row r="854" ht="15.75" customHeight="1">
      <c r="A854" t="str">
        <f>IFERROR(__xludf.DUMMYFUNCTION("""COMPUTED_VALUE"""),"TradingTicket")</f>
        <v>TradingTicket</v>
      </c>
      <c r="B854" t="str">
        <f>IFERROR(__xludf.DUMMYFUNCTION("""COMPUTED_VALUE"""),"VerifyPopupAlignment")</f>
        <v>VerifyPopupAlignment</v>
      </c>
      <c r="C854" t="str">
        <f>IFERROR(__xludf.DUMMYFUNCTION("""COMPUTED_VALUE"""),"1PAyxzLHPOj64pXbS5W7uBsuT035g_GlIT1xXUjFNRUk")</f>
        <v>1PAyxzLHPOj64pXbS5W7uBsuT035g_GlIT1xXUjFNRUk</v>
      </c>
    </row>
    <row r="855" ht="15.75" customHeight="1">
      <c r="A855" t="str">
        <f>IFERROR(__xludf.DUMMYFUNCTION("""COMPUTED_VALUE"""),"TradingTicket")</f>
        <v>TradingTicket</v>
      </c>
      <c r="B855" t="str">
        <f>IFERROR(__xludf.DUMMYFUNCTION("""COMPUTED_VALUE"""),"SelectET")</f>
        <v>SelectET</v>
      </c>
      <c r="C855" t="str">
        <f>IFERROR(__xludf.DUMMYFUNCTION("""COMPUTED_VALUE"""),"1Tpuk-xqnvfBtaWXtAffyW0Chu9RCysO1V7PE2wbI7Xk")</f>
        <v>1Tpuk-xqnvfBtaWXtAffyW0Chu9RCysO1V7PE2wbI7Xk</v>
      </c>
    </row>
    <row r="856" ht="15.75" customHeight="1">
      <c r="A856" t="str">
        <f>IFERROR(__xludf.DUMMYFUNCTION("""COMPUTED_VALUE"""),"Blotter")</f>
        <v>Blotter</v>
      </c>
      <c r="B856" t="str">
        <f>IFERROR(__xludf.DUMMYFUNCTION("""COMPUTED_VALUE"""),"AddColumnsToGrid")</f>
        <v>AddColumnsToGrid</v>
      </c>
      <c r="C856" t="str">
        <f>IFERROR(__xludf.DUMMYFUNCTION("""COMPUTED_VALUE"""),"1Gs1xU4gMYORlTreZaEK39cVUrhrtk_8wZfgLySBA8Us")</f>
        <v>1Gs1xU4gMYORlTreZaEK39cVUrhrtk_8wZfgLySBA8Us</v>
      </c>
    </row>
    <row r="857" ht="15.75" customHeight="1">
      <c r="A857" t="str">
        <f>IFERROR(__xludf.DUMMYFUNCTION("""COMPUTED_VALUE"""),"RTPNL")</f>
        <v>RTPNL</v>
      </c>
      <c r="B857" t="str">
        <f>IFERROR(__xludf.DUMMYFUNCTION("""COMPUTED_VALUE"""),"Grouping")</f>
        <v>Grouping</v>
      </c>
      <c r="C857" t="str">
        <f>IFERROR(__xludf.DUMMYFUNCTION("""COMPUTED_VALUE"""),"1FNoxwXRCCjvm8HYhDo2XZGdWYdZNzY2Jh0ibkuVHNWo")</f>
        <v>1FNoxwXRCCjvm8HYhDo2XZGdWYdZNzY2Jh0ibkuVHNWo</v>
      </c>
    </row>
    <row r="858" ht="15.75" customHeight="1">
      <c r="A858" t="str">
        <f>IFERROR(__xludf.DUMMYFUNCTION("""COMPUTED_VALUE"""),"Blotter")</f>
        <v>Blotter</v>
      </c>
      <c r="B858" t="str">
        <f>IFERROR(__xludf.DUMMYFUNCTION("""COMPUTED_VALUE"""),"RollOverContextMenu")</f>
        <v>RollOverContextMenu</v>
      </c>
      <c r="C858" t="str">
        <f>IFERROR(__xludf.DUMMYFUNCTION("""COMPUTED_VALUE"""),"1d45ieJRLC6DQ7t19pclAZz5EI6hBsZ5_VdNJYb3VsNc")</f>
        <v>1d45ieJRLC6DQ7t19pclAZz5EI6hBsZ5_VdNJYb3VsNc</v>
      </c>
    </row>
    <row r="859" ht="15.75" customHeight="1">
      <c r="A859" t="str">
        <f>IFERROR(__xludf.DUMMYFUNCTION("""COMPUTED_VALUE"""),"Unknown")</f>
        <v>Unknown</v>
      </c>
      <c r="B859" t="str">
        <f>IFERROR(__xludf.DUMMYFUNCTION("""COMPUTED_VALUE"""),"VerifyFatFingerTR")</f>
        <v>VerifyFatFingerTR</v>
      </c>
      <c r="C859" t="str">
        <f>IFERROR(__xludf.DUMMYFUNCTION("""COMPUTED_VALUE"""),"1DUwxSUq_47EK60XmK3LOdCXa1fkWqWJE9bLuGS3ccv412")</f>
        <v>1DUwxSUq_47EK60XmK3LOdCXa1fkWqWJE9bLuGS3ccv412</v>
      </c>
    </row>
    <row r="860" ht="15.75" customHeight="1">
      <c r="A860" t="str">
        <f>IFERROR(__xludf.DUMMYFUNCTION("""COMPUTED_VALUE"""),"Unknown")</f>
        <v>Unknown</v>
      </c>
      <c r="B860" t="str">
        <f>IFERROR(__xludf.DUMMYFUNCTION("""COMPUTED_VALUE"""),"VerifyOverBuySellTR")</f>
        <v>VerifyOverBuySellTR</v>
      </c>
      <c r="C860" t="str">
        <f>IFERROR(__xludf.DUMMYFUNCTION("""COMPUTED_VALUE"""),"1DUwxSUq_47EK60XmK3LOdCXa1fkWqWJE9bLuGS3ccv412")</f>
        <v>1DUwxSUq_47EK60XmK3LOdCXa1fkWqWJE9bLuGS3ccv412</v>
      </c>
    </row>
    <row r="861" ht="15.75" customHeight="1">
      <c r="A861" t="str">
        <f>IFERROR(__xludf.DUMMYFUNCTION("""COMPUTED_VALUE"""),"PTT")</f>
        <v>PTT</v>
      </c>
      <c r="B861" t="str">
        <f>IFERROR(__xludf.DUMMYFUNCTION("""COMPUTED_VALUE"""),"RefreshCalculation")</f>
        <v>RefreshCalculation</v>
      </c>
    </row>
    <row r="862" ht="15.75" customHeight="1">
      <c r="A862" t="str">
        <f>IFERROR(__xludf.DUMMYFUNCTION("""COMPUTED_VALUE"""),"Rebalancer")</f>
        <v>Rebalancer</v>
      </c>
      <c r="B862" t="str">
        <f>IFERROR(__xludf.DUMMYFUNCTION("""COMPUTED_VALUE"""),"AddCustomCashFlow")</f>
        <v>AddCustomCashFlow</v>
      </c>
      <c r="C862" t="str">
        <f>IFERROR(__xludf.DUMMYFUNCTION("""COMPUTED_VALUE"""),"1DUwxSUq_47EK60XmK3LOdCXa1fkWqWJE9bLuGS3ccv412")</f>
        <v>1DUwxSUq_47EK60XmK3LOdCXa1fkWqWJE9bLuGS3ccv412</v>
      </c>
    </row>
    <row r="863" ht="15.75" customHeight="1">
      <c r="A863" t="str">
        <f>IFERROR(__xludf.DUMMYFUNCTION("""COMPUTED_VALUE"""),"Rebalancer")</f>
        <v>Rebalancer</v>
      </c>
      <c r="B863" t="str">
        <f>IFERROR(__xludf.DUMMYFUNCTION("""COMPUTED_VALUE"""),"ActionOnCustomCashFlow")</f>
        <v>ActionOnCustomCashFlow</v>
      </c>
      <c r="C863" t="str">
        <f>IFERROR(__xludf.DUMMYFUNCTION("""COMPUTED_VALUE"""),"1DUwxSUq_47EK60XmK3LOdCXa1fkWqWJE9bLuGS3ccv412")</f>
        <v>1DUwxSUq_47EK60XmK3LOdCXa1fkWqWJE9bLuGS3ccv412</v>
      </c>
    </row>
    <row r="864" ht="15.75" customHeight="1">
      <c r="A864" t="str">
        <f>IFERROR(__xludf.DUMMYFUNCTION("""COMPUTED_VALUE"""),"Rebalancer")</f>
        <v>Rebalancer</v>
      </c>
      <c r="B864" t="str">
        <f>IFERROR(__xludf.DUMMYFUNCTION("""COMPUTED_VALUE"""),"RemoveAllSecurities")</f>
        <v>RemoveAllSecurities</v>
      </c>
      <c r="C864" t="str">
        <f>IFERROR(__xludf.DUMMYFUNCTION("""COMPUTED_VALUE"""),"1DUwxSUq_47EK60XmK3LOdCXa1fkWqWJE9bLuGS3ccv412")</f>
        <v>1DUwxSUq_47EK60XmK3LOdCXa1fkWqWJE9bLuGS3ccv412</v>
      </c>
    </row>
    <row r="865" ht="15.75" customHeight="1">
      <c r="A865" t="str">
        <f>IFERROR(__xludf.DUMMYFUNCTION("""COMPUTED_VALUE"""),"Rebalancer")</f>
        <v>Rebalancer</v>
      </c>
      <c r="B865" t="str">
        <f>IFERROR(__xludf.DUMMYFUNCTION("""COMPUTED_VALUE"""),"RebalanceTradingRules")</f>
        <v>RebalanceTradingRules</v>
      </c>
      <c r="C865" t="str">
        <f>IFERROR(__xludf.DUMMYFUNCTION("""COMPUTED_VALUE"""),"1DUwxSUq_47EK60XmK3LOdCXa1fkWqWJE9bLuGS3ccv412")</f>
        <v>1DUwxSUq_47EK60XmK3LOdCXa1fkWqWJE9bLuGS3ccv412</v>
      </c>
    </row>
    <row r="866" ht="15.75" customHeight="1">
      <c r="A866" t="str">
        <f>IFERROR(__xludf.DUMMYFUNCTION("""COMPUTED_VALUE"""),"Rebalancer")</f>
        <v>Rebalancer</v>
      </c>
      <c r="B866" t="str">
        <f>IFERROR(__xludf.DUMMYFUNCTION("""COMPUTED_VALUE"""),"UpdateRBPreferences")</f>
        <v>UpdateRBPreferences</v>
      </c>
      <c r="C866" t="str">
        <f>IFERROR(__xludf.DUMMYFUNCTION("""COMPUTED_VALUE"""),"1DUwxSUq_47EK60XmK3LOdCXa1fkWqWJE9bLuGS3ccv412")</f>
        <v>1DUwxSUq_47EK60XmK3LOdCXa1fkWqWJE9bLuGS3ccv412</v>
      </c>
    </row>
    <row r="867" ht="15.75" customHeight="1">
      <c r="A867" t="str">
        <f>IFERROR(__xludf.DUMMYFUNCTION("""COMPUTED_VALUE"""),"Rebalancer")</f>
        <v>Rebalancer</v>
      </c>
      <c r="B867" t="str">
        <f>IFERROR(__xludf.DUMMYFUNCTION("""COMPUTED_VALUE"""),"RecalculateNIC")</f>
        <v>RecalculateNIC</v>
      </c>
      <c r="C867" t="str">
        <f>IFERROR(__xludf.DUMMYFUNCTION("""COMPUTED_VALUE"""),"1DUwxSUq_47EK60XmK3LOdCXa1fkWqWJE9bLuGS3ccv412")</f>
        <v>1DUwxSUq_47EK60XmK3LOdCXa1fkWqWJE9bLuGS3ccv412</v>
      </c>
    </row>
    <row r="868" ht="15.75" customHeight="1">
      <c r="A868" t="str">
        <f>IFERROR(__xludf.DUMMYFUNCTION("""COMPUTED_VALUE"""),"Blotter")</f>
        <v>Blotter</v>
      </c>
      <c r="B868" t="str">
        <f>IFERROR(__xludf.DUMMYFUNCTION("""COMPUTED_VALUE"""),"BookAsSwap")</f>
        <v>BookAsSwap</v>
      </c>
      <c r="C868" t="str">
        <f>IFERROR(__xludf.DUMMYFUNCTION("""COMPUTED_VALUE"""),"1tnkP5eD3WH53SXu2O-MWk6774J7b5ihwlD7r9dGtpiY")</f>
        <v>1tnkP5eD3WH53SXu2O-MWk6774J7b5ihwlD7r9dGtpiY</v>
      </c>
    </row>
    <row r="869" ht="15.75" customHeight="1">
      <c r="A869" t="str">
        <f>IFERROR(__xludf.DUMMYFUNCTION("""COMPUTED_VALUE"""),"QTT")</f>
        <v>QTT</v>
      </c>
      <c r="B869" t="str">
        <f>IFERROR(__xludf.DUMMYFUNCTION("""COMPUTED_VALUE"""),"VerifyQTT")</f>
        <v>VerifyQTT</v>
      </c>
      <c r="C869" t="str">
        <f>IFERROR(__xludf.DUMMYFUNCTION("""COMPUTED_VALUE"""),"1bs3VigXRg4VZR5W48lKm11EcEjEpmUCnBNDHffPRbIQ")</f>
        <v>1bs3VigXRg4VZR5W48lKm11EcEjEpmUCnBNDHffPRbIQ</v>
      </c>
    </row>
    <row r="870" ht="15.75" customHeight="1">
      <c r="A870" t="str">
        <f>IFERROR(__xludf.DUMMYFUNCTION("""COMPUTED_VALUE"""),"Rebalancer")</f>
        <v>Rebalancer</v>
      </c>
      <c r="B870" t="str">
        <f>IFERROR(__xludf.DUMMYFUNCTION("""COMPUTED_VALUE"""),"OperationsOnNIC")</f>
        <v>OperationsOnNIC</v>
      </c>
      <c r="C870" t="str">
        <f>IFERROR(__xludf.DUMMYFUNCTION("""COMPUTED_VALUE"""),"1DUwxSUq_47EK60XmK3LOdCXa1fkWqWJE9bLuGS3ccv412")</f>
        <v>1DUwxSUq_47EK60XmK3LOdCXa1fkWqWJE9bLuGS3ccv412</v>
      </c>
    </row>
    <row r="871" ht="15.75" customHeight="1">
      <c r="A871" t="str">
        <f>IFERROR(__xludf.DUMMYFUNCTION("""COMPUTED_VALUE"""),"Rebalancer")</f>
        <v>Rebalancer</v>
      </c>
      <c r="B871" t="str">
        <f>IFERROR(__xludf.DUMMYFUNCTION("""COMPUTED_VALUE"""),"DataPrefGridOperation")</f>
        <v>DataPrefGridOperation</v>
      </c>
      <c r="C871" t="str">
        <f>IFERROR(__xludf.DUMMYFUNCTION("""COMPUTED_VALUE"""),"1DUwxSUq_47EK60XmK3LOdCXa1fkWqWJE9bLuGS3ccv412")</f>
        <v>1DUwxSUq_47EK60XmK3LOdCXa1fkWqWJE9bLuGS3ccv412</v>
      </c>
    </row>
    <row r="872" ht="15.75" customHeight="1">
      <c r="A872" t="str">
        <f>IFERROR(__xludf.DUMMYFUNCTION("""COMPUTED_VALUE"""),"Rebalancer")</f>
        <v>Rebalancer</v>
      </c>
      <c r="B872" t="str">
        <f>IFERROR(__xludf.DUMMYFUNCTION("""COMPUTED_VALUE"""),"VerifyExpanderBarButton")</f>
        <v>VerifyExpanderBarButton</v>
      </c>
      <c r="C872" t="str">
        <f>IFERROR(__xludf.DUMMYFUNCTION("""COMPUTED_VALUE"""),"1DUwxSUq_47EK60XmK3LOdCXa1fkWqWJE9bLuGS3ccv412")</f>
        <v>1DUwxSUq_47EK60XmK3LOdCXa1fkWqWJE9bLuGS3ccv412</v>
      </c>
    </row>
    <row r="873" ht="15.75" customHeight="1">
      <c r="A873" t="str">
        <f>IFERROR(__xludf.DUMMYFUNCTION("""COMPUTED_VALUE"""),"Rebalancer")</f>
        <v>Rebalancer</v>
      </c>
      <c r="B873" t="str">
        <f>IFERROR(__xludf.DUMMYFUNCTION("""COMPUTED_VALUE"""),"RAS")</f>
        <v>RAS</v>
      </c>
      <c r="C873" t="str">
        <f>IFERROR(__xludf.DUMMYFUNCTION("""COMPUTED_VALUE"""),"1DUwxSUq_47EK60XmK3LOdCXa1fkWqWJE9bLuGS3ccv412")</f>
        <v>1DUwxSUq_47EK60XmK3LOdCXa1fkWqWJE9bLuGS3ccv412</v>
      </c>
    </row>
    <row r="874" ht="15.75" customHeight="1">
      <c r="A874" t="str">
        <f>IFERROR(__xludf.DUMMYFUNCTION("""COMPUTED_VALUE"""),"Blotter")</f>
        <v>Blotter</v>
      </c>
      <c r="B874" t="str">
        <f>IFERROR(__xludf.DUMMYFUNCTION("""COMPUTED_VALUE"""),"ActionOnFloatingWindow")</f>
        <v>ActionOnFloatingWindow</v>
      </c>
      <c r="C874" t="str">
        <f>IFERROR(__xludf.DUMMYFUNCTION("""COMPUTED_VALUE"""),"1tFNUPT3PXgCKRnnehGwo6OF7EhLu13UJ8Elfq83HArE")</f>
        <v>1tFNUPT3PXgCKRnnehGwo6OF7EhLu13UJ8Elfq83HArE</v>
      </c>
    </row>
    <row r="875" ht="15.75" customHeight="1">
      <c r="A875" t="str">
        <f>IFERROR(__xludf.DUMMYFUNCTION("""COMPUTED_VALUE"""),"PTT")</f>
        <v>PTT</v>
      </c>
      <c r="B875" t="str">
        <f>IFERROR(__xludf.DUMMYFUNCTION("""COMPUTED_VALUE"""),"PTTDashBoard")</f>
        <v>PTTDashBoard</v>
      </c>
      <c r="C875" t="str">
        <f>IFERROR(__xludf.DUMMYFUNCTION("""COMPUTED_VALUE"""),"1DUwxSUq_47EK60XmK3LOdCXa1fkWqWJE9bLuGS3ccv412")</f>
        <v>1DUwxSUq_47EK60XmK3LOdCXa1fkWqWJE9bLuGS3ccv412</v>
      </c>
    </row>
    <row r="876" ht="15.75" customHeight="1">
      <c r="A876" t="str">
        <f>IFERROR(__xludf.DUMMYFUNCTION("""COMPUTED_VALUE"""),"OpenFin")</f>
        <v>OpenFin</v>
      </c>
      <c r="B876" t="str">
        <f>IFERROR(__xludf.DUMMYFUNCTION("""COMPUTED_VALUE"""),"LockUnlockModule")</f>
        <v>LockUnlockModule</v>
      </c>
      <c r="C876" t="str">
        <f>IFERROR(__xludf.DUMMYFUNCTION("""COMPUTED_VALUE"""),"179D0kPRO8f_KLxd7hs6seM9XGxpL-u1rhIhNgFVePsQ")</f>
        <v>179D0kPRO8f_KLxd7hs6seM9XGxpL-u1rhIhNgFVePsQ</v>
      </c>
    </row>
    <row r="877" ht="15.75" customHeight="1">
      <c r="A877" t="str">
        <f>IFERROR(__xludf.DUMMYFUNCTION("""COMPUTED_VALUE"""),"OpenFin")</f>
        <v>OpenFin</v>
      </c>
      <c r="B877" t="str">
        <f>IFERROR(__xludf.DUMMYFUNCTION("""COMPUTED_VALUE"""),"OpenModuleFromDock")</f>
        <v>OpenModuleFromDock</v>
      </c>
      <c r="C877" t="str">
        <f>IFERROR(__xludf.DUMMYFUNCTION("""COMPUTED_VALUE"""),"1IdmD7l42pWNjFNVt_7UwbOO7y5tDxaXr7tE60c9ETLw")</f>
        <v>1IdmD7l42pWNjFNVt_7UwbOO7y5tDxaXr7tE60c9ETLw</v>
      </c>
    </row>
    <row r="878" ht="15.75" customHeight="1">
      <c r="A878" t="str">
        <f>IFERROR(__xludf.DUMMYFUNCTION("""COMPUTED_VALUE"""),"Rebalancer")</f>
        <v>Rebalancer</v>
      </c>
      <c r="B878" t="str">
        <f>IFERROR(__xludf.DUMMYFUNCTION("""COMPUTED_VALUE"""),"ActionOnCFI")</f>
        <v>ActionOnCFI</v>
      </c>
      <c r="C878" t="str">
        <f>IFERROR(__xludf.DUMMYFUNCTION("""COMPUTED_VALUE"""),"1DUwxSUq_47EK60XmK3LOdCXa1fkWqWJE9bLuGS3ccv412")</f>
        <v>1DUwxSUq_47EK60XmK3LOdCXa1fkWqWJE9bLuGS3ccv412</v>
      </c>
    </row>
    <row r="879" ht="15.75" customHeight="1">
      <c r="A879" t="str">
        <f>IFERROR(__xludf.DUMMYFUNCTION("""COMPUTED_VALUE"""),"Rebalancer")</f>
        <v>Rebalancer</v>
      </c>
      <c r="B879" t="str">
        <f>IFERROR(__xludf.DUMMYFUNCTION("""COMPUTED_VALUE"""),"VerifyCFI")</f>
        <v>VerifyCFI</v>
      </c>
      <c r="C879" t="str">
        <f>IFERROR(__xludf.DUMMYFUNCTION("""COMPUTED_VALUE"""),"1DUwxSUq_47EK60XmK3LOdCXa1fkWqWJE9bLuGS3ccv412")</f>
        <v>1DUwxSUq_47EK60XmK3LOdCXa1fkWqWJE9bLuGS3ccv412</v>
      </c>
    </row>
    <row r="880" ht="15.75" customHeight="1">
      <c r="A880" t="str">
        <f>IFERROR(__xludf.DUMMYFUNCTION("""COMPUTED_VALUE"""),"Blotter")</f>
        <v>Blotter</v>
      </c>
      <c r="B880" t="str">
        <f>IFERROR(__xludf.DUMMYFUNCTION("""COMPUTED_VALUE"""),"EnableOrVerifyHotButton")</f>
        <v>EnableOrVerifyHotButton</v>
      </c>
      <c r="C880" t="str">
        <f>IFERROR(__xludf.DUMMYFUNCTION("""COMPUTED_VALUE"""),"1wa8x9d9kPOHEp49mT2DEW0cyjjOClvAgixk1H2w-Tos")</f>
        <v>1wa8x9d9kPOHEp49mT2DEW0cyjjOClvAgixk1H2w-Tos</v>
      </c>
    </row>
    <row r="881" ht="15.75" customHeight="1">
      <c r="A881" t="str">
        <f>IFERROR(__xludf.DUMMYFUNCTION("""COMPUTED_VALUE"""),"TradeServer")</f>
        <v>TradeServer</v>
      </c>
      <c r="B881" t="str">
        <f>IFERROR(__xludf.DUMMYFUNCTION("""COMPUTED_VALUE"""),"RestartServerOnly")</f>
        <v>RestartServerOnly</v>
      </c>
      <c r="C881" t="str">
        <f>IFERROR(__xludf.DUMMYFUNCTION("""COMPUTED_VALUE"""),"Undefined")</f>
        <v>Undefined</v>
      </c>
    </row>
    <row r="882" ht="15.75" customHeight="1">
      <c r="A882" t="str">
        <f>IFERROR(__xludf.DUMMYFUNCTION("""COMPUTED_VALUE"""),"Rebalancer")</f>
        <v>Rebalancer</v>
      </c>
      <c r="B882" t="str">
        <f>IFERROR(__xludf.DUMMYFUNCTION("""COMPUTED_VALUE"""),"ActionOnCFI")</f>
        <v>ActionOnCFI</v>
      </c>
      <c r="C882" t="str">
        <f>IFERROR(__xludf.DUMMYFUNCTION("""COMPUTED_VALUE"""),"1DUwxSUq_47EK60XmK3LOdCXa1fkWqWJE9bLuGS3ccv412")</f>
        <v>1DUwxSUq_47EK60XmK3LOdCXa1fkWqWJE9bLuGS3ccv412</v>
      </c>
    </row>
    <row r="883" ht="15.75" customHeight="1">
      <c r="A883" t="str">
        <f>IFERROR(__xludf.DUMMYFUNCTION("""COMPUTED_VALUE"""),"Rebalancer")</f>
        <v>Rebalancer</v>
      </c>
      <c r="B883" t="str">
        <f>IFERROR(__xludf.DUMMYFUNCTION("""COMPUTED_VALUE"""),"VerifyCFI")</f>
        <v>VerifyCFI</v>
      </c>
      <c r="C883" t="str">
        <f>IFERROR(__xludf.DUMMYFUNCTION("""COMPUTED_VALUE"""),"1DUwxSUq_47EK60XmK3LOdCXa1fkWqWJE9bLuGS3ccv412")</f>
        <v>1DUwxSUq_47EK60XmK3LOdCXa1fkWqWJE9bLuGS3ccv412</v>
      </c>
    </row>
    <row r="884" ht="15.75" customHeight="1">
      <c r="A884" t="str">
        <f>IFERROR(__xludf.DUMMYFUNCTION("""COMPUTED_VALUE"""),"Rebalancer")</f>
        <v>Rebalancer</v>
      </c>
      <c r="B884" t="str">
        <f>IFERROR(__xludf.DUMMYFUNCTION("""COMPUTED_VALUE"""),"VerifyDelRASGrid")</f>
        <v>VerifyDelRASGrid</v>
      </c>
      <c r="C884" t="str">
        <f>IFERROR(__xludf.DUMMYFUNCTION("""COMPUTED_VALUE"""),"1DUwxSUq_47EK60XmK3LOdCXa1fkWqWJE9bLuGS3ccv412")</f>
        <v>1DUwxSUq_47EK60XmK3LOdCXa1fkWqWJE9bLuGS3ccv412</v>
      </c>
    </row>
    <row r="885" ht="15.75" customHeight="1">
      <c r="A885" t="str">
        <f>IFERROR(__xludf.DUMMYFUNCTION("""COMPUTED_VALUE"""),"Allocation")</f>
        <v>Allocation</v>
      </c>
      <c r="B885" t="str">
        <f>IFERROR(__xludf.DUMMYFUNCTION("""COMPUTED_VALUE"""),"ActionOnUPW")</f>
        <v>ActionOnUPW</v>
      </c>
      <c r="C885" t="str">
        <f>IFERROR(__xludf.DUMMYFUNCTION("""COMPUTED_VALUE"""),"1DUwxSUq_47EK60XmK3LOdCXa1fkWqWJE9bLuGS3ccv413")</f>
        <v>1DUwxSUq_47EK60XmK3LOdCXa1fkWqWJE9bLuGS3ccv413</v>
      </c>
    </row>
    <row r="886" ht="15.75" customHeight="1">
      <c r="A886" t="str">
        <f>IFERROR(__xludf.DUMMYFUNCTION("""COMPUTED_VALUE"""),"Allocation")</f>
        <v>Allocation</v>
      </c>
      <c r="B886" t="str">
        <f>IFERROR(__xludf.DUMMYFUNCTION("""COMPUTED_VALUE"""),"DefaultRuleUPW")</f>
        <v>DefaultRuleUPW</v>
      </c>
      <c r="C886" t="str">
        <f>IFERROR(__xludf.DUMMYFUNCTION("""COMPUTED_VALUE"""),"1DUwxSUq_47EK60XmK3LOdCXa1fkWqWJE9bLuGS3ccv414")</f>
        <v>1DUwxSUq_47EK60XmK3LOdCXa1fkWqWJE9bLuGS3ccv414</v>
      </c>
    </row>
    <row r="887" ht="15.75" customHeight="1">
      <c r="A887" t="str">
        <f>IFERROR(__xludf.DUMMYFUNCTION("""COMPUTED_VALUE"""),"Allocation")</f>
        <v>Allocation</v>
      </c>
      <c r="B887" t="str">
        <f>IFERROR(__xludf.DUMMYFUNCTION("""COMPUTED_VALUE"""),"AccountStrategyUPW")</f>
        <v>AccountStrategyUPW</v>
      </c>
      <c r="C887" t="str">
        <f>IFERROR(__xludf.DUMMYFUNCTION("""COMPUTED_VALUE"""),"1DUwxSUq_47EK60XmK3LOdCXa1fkWqWJE9bLuGS3ccv415")</f>
        <v>1DUwxSUq_47EK60XmK3LOdCXa1fkWqWJE9bLuGS3ccv415</v>
      </c>
    </row>
    <row r="888" ht="15.75" customHeight="1">
      <c r="A888" t="str">
        <f>IFERROR(__xludf.DUMMYFUNCTION("""COMPUTED_VALUE"""),"Allocation")</f>
        <v>Allocation</v>
      </c>
      <c r="B888" t="str">
        <f>IFERROR(__xludf.DUMMYFUNCTION("""COMPUTED_VALUE"""),"ActionOnCalPref")</f>
        <v>ActionOnCalPref</v>
      </c>
      <c r="C888" t="str">
        <f>IFERROR(__xludf.DUMMYFUNCTION("""COMPUTED_VALUE"""),"1DUwxSUq_47EK60XmK3LOdCXa1fkWqWJE9bLuGS3ccv416")</f>
        <v>1DUwxSUq_47EK60XmK3LOdCXa1fkWqWJE9bLuGS3ccv416</v>
      </c>
    </row>
    <row r="889" ht="15.75" customHeight="1">
      <c r="A889" t="str">
        <f>IFERROR(__xludf.DUMMYFUNCTION("""COMPUTED_VALUE"""),"Allocation")</f>
        <v>Allocation</v>
      </c>
      <c r="B889" t="str">
        <f>IFERROR(__xludf.DUMMYFUNCTION("""COMPUTED_VALUE"""),"SetMFDefaultRule")</f>
        <v>SetMFDefaultRule</v>
      </c>
      <c r="C889" t="str">
        <f>IFERROR(__xludf.DUMMYFUNCTION("""COMPUTED_VALUE"""),"1DUwxSUq_47EK60XmK3LOdCXa1fkWqWJE9bLuGS3ccv417")</f>
        <v>1DUwxSUq_47EK60XmK3LOdCXa1fkWqWJE9bLuGS3ccv417</v>
      </c>
    </row>
    <row r="890" ht="15.75" customHeight="1">
      <c r="A890" t="str">
        <f>IFERROR(__xludf.DUMMYFUNCTION("""COMPUTED_VALUE"""),"Allocation")</f>
        <v>Allocation</v>
      </c>
      <c r="B890" t="str">
        <f>IFERROR(__xludf.DUMMYFUNCTION("""COMPUTED_VALUE"""),"ActionOnPrefWindow")</f>
        <v>ActionOnPrefWindow</v>
      </c>
      <c r="C890" t="str">
        <f>IFERROR(__xludf.DUMMYFUNCTION("""COMPUTED_VALUE"""),"1DUwxSUq_47EK60XmK3LOdCXa1fkWqWJE9bLuGS3ccv418")</f>
        <v>1DUwxSUq_47EK60XmK3LOdCXa1fkWqWJE9bLuGS3ccv418</v>
      </c>
    </row>
    <row r="891" ht="15.75" customHeight="1">
      <c r="A891" t="str">
        <f>IFERROR(__xludf.DUMMYFUNCTION("""COMPUTED_VALUE"""),"Allocation")</f>
        <v>Allocation</v>
      </c>
      <c r="B891" t="str">
        <f>IFERROR(__xludf.DUMMYFUNCTION("""COMPUTED_VALUE"""),"GetFixedPrefScheme")</f>
        <v>GetFixedPrefScheme</v>
      </c>
      <c r="C891" t="str">
        <f>IFERROR(__xludf.DUMMYFUNCTION("""COMPUTED_VALUE"""),"1DUwxSUq_47EK60XmK3LOdCXa1fkWqWJE9bLuGS3ccv419")</f>
        <v>1DUwxSUq_47EK60XmK3LOdCXa1fkWqWJE9bLuGS3ccv419</v>
      </c>
    </row>
    <row r="892" ht="15.75" customHeight="1">
      <c r="A892" t="str">
        <f>IFERROR(__xludf.DUMMYFUNCTION("""COMPUTED_VALUE"""),"Allocation")</f>
        <v>Allocation</v>
      </c>
      <c r="B892" t="str">
        <f>IFERROR(__xludf.DUMMYFUNCTION("""COMPUTED_VALUE"""),"VerifyFixedPref")</f>
        <v>VerifyFixedPref</v>
      </c>
      <c r="C892" t="str">
        <f>IFERROR(__xludf.DUMMYFUNCTION("""COMPUTED_VALUE"""),"1DUwxSUq_47EK60XmK3LOdCXa1fkWqWJE9bLuGS3ccv420")</f>
        <v>1DUwxSUq_47EK60XmK3LOdCXa1fkWqWJE9bLuGS3ccv420</v>
      </c>
    </row>
    <row r="893" ht="15.75" customHeight="1">
      <c r="A893" t="str">
        <f>IFERROR(__xludf.DUMMYFUNCTION("""COMPUTED_VALUE"""),"Allocation")</f>
        <v>Allocation</v>
      </c>
      <c r="B893" t="str">
        <f>IFERROR(__xludf.DUMMYFUNCTION("""COMPUTED_VALUE"""),"ActionOnToolBar")</f>
        <v>ActionOnToolBar</v>
      </c>
      <c r="C893" t="str">
        <f>IFERROR(__xludf.DUMMYFUNCTION("""COMPUTED_VALUE"""),"1DUwxSUq_47EK60XmK3LOdCXa1fkWqWJE9bLuGS3ccv421")</f>
        <v>1DUwxSUq_47EK60XmK3LOdCXa1fkWqWJE9bLuGS3ccv421</v>
      </c>
    </row>
    <row r="894" ht="15.75" customHeight="1">
      <c r="A894" t="str">
        <f>IFERROR(__xludf.DUMMYFUNCTION("""COMPUTED_VALUE"""),"Rebalancer")</f>
        <v>Rebalancer</v>
      </c>
      <c r="B894" t="str">
        <f>IFERROR(__xludf.DUMMYFUNCTION("""COMPUTED_VALUE"""),"VerifyCustomGroupModel")</f>
        <v>VerifyCustomGroupModel</v>
      </c>
      <c r="C894" t="str">
        <f>IFERROR(__xludf.DUMMYFUNCTION("""COMPUTED_VALUE"""),"1DUwxSUq_47EK60XmK3LOdCXa1fkWqWJE9bLuGS3ccv422")</f>
        <v>1DUwxSUq_47EK60XmK3LOdCXa1fkWqWJE9bLuGS3ccv422</v>
      </c>
    </row>
    <row r="895" ht="15.75" customHeight="1">
      <c r="A895" t="str">
        <f>IFERROR(__xludf.DUMMYFUNCTION("""COMPUTED_VALUE"""),"Blotter")</f>
        <v>Blotter</v>
      </c>
      <c r="B895" t="str">
        <f>IFERROR(__xludf.DUMMYFUNCTION("""COMPUTED_VALUE"""),"VerifyFilterUiRC")</f>
        <v>VerifyFilterUiRC</v>
      </c>
      <c r="C895" t="str">
        <f>IFERROR(__xludf.DUMMYFUNCTION("""COMPUTED_VALUE"""),"1QQZEZqPXfPnxfNID2a3__xw8RnEAn77igg5Q32S3Sm0")</f>
        <v>1QQZEZqPXfPnxfNID2a3__xw8RnEAn77igg5Q32S3Sm0</v>
      </c>
    </row>
    <row r="896" ht="15.75" customHeight="1">
      <c r="A896" t="str">
        <f>IFERROR(__xludf.DUMMYFUNCTION("""COMPUTED_VALUE"""),"TradingTicket")</f>
        <v>TradingTicket</v>
      </c>
      <c r="B896" t="str">
        <f>IFERROR(__xludf.DUMMYFUNCTION("""COMPUTED_VALUE"""),"SymbolSuggestionVerify")</f>
        <v>SymbolSuggestionVerify</v>
      </c>
      <c r="C896" t="str">
        <f>IFERROR(__xludf.DUMMYFUNCTION("""COMPUTED_VALUE"""),"14aTeLjmUbS-nhaQwjtZAMGxdQ5DS6UsBjE5OTWN-LQU")</f>
        <v>14aTeLjmUbS-nhaQwjtZAMGxdQ5DS6UsBjE5OTWN-LQU</v>
      </c>
    </row>
    <row r="897" ht="15.75" customHeight="1">
      <c r="A897" t="str">
        <f>IFERROR(__xludf.DUMMYFUNCTION("""COMPUTED_VALUE"""),"PreferencesMain")</f>
        <v>PreferencesMain</v>
      </c>
      <c r="B897" t="str">
        <f>IFERROR(__xludf.DUMMYFUNCTION("""COMPUTED_VALUE"""),"UpdatePTTPref")</f>
        <v>UpdatePTTPref</v>
      </c>
      <c r="C897" t="str">
        <f>IFERROR(__xludf.DUMMYFUNCTION("""COMPUTED_VALUE"""),"14aTeLjmUbS-nhaQwjtZAMGxdQ5DS6UsBjE5OTWN-LQU")</f>
        <v>14aTeLjmUbS-nhaQwjtZAMGxdQ5DS6UsBjE5OTWN-LQU</v>
      </c>
    </row>
    <row r="898" ht="15.75" customHeight="1">
      <c r="A898" t="str">
        <f>IFERROR(__xludf.DUMMYFUNCTION("""COMPUTED_VALUE"""),"PreferencesMain")</f>
        <v>PreferencesMain</v>
      </c>
      <c r="B898" t="str">
        <f>IFERROR(__xludf.DUMMYFUNCTION("""COMPUTED_VALUE"""),"ActionOnPreferencesMain")</f>
        <v>ActionOnPreferencesMain</v>
      </c>
      <c r="C898" t="str">
        <f>IFERROR(__xludf.DUMMYFUNCTION("""COMPUTED_VALUE"""),"14aTeLjmUbS-nhaQwjtZAMGxdQ5DS6UsBjE5OTWN-LQU")</f>
        <v>14aTeLjmUbS-nhaQwjtZAMGxdQ5DS6UsBjE5OTWN-LQU</v>
      </c>
    </row>
    <row r="899" ht="15.75" customHeight="1">
      <c r="A899" t="str">
        <f>IFERROR(__xludf.DUMMYFUNCTION("""COMPUTED_VALUE"""),"PreferencesMain")</f>
        <v>PreferencesMain</v>
      </c>
      <c r="B899" t="str">
        <f>IFERROR(__xludf.DUMMYFUNCTION("""COMPUTED_VALUE"""),"VerifyUpdategrdAccountFactor")</f>
        <v>VerifyUpdategrdAccountFactor</v>
      </c>
      <c r="C899" t="str">
        <f>IFERROR(__xludf.DUMMYFUNCTION("""COMPUTED_VALUE"""),"14aTeLjmUbS-nhaQwjtZAMGxdQ5DS6UsBjE5OTWN-LQU")</f>
        <v>14aTeLjmUbS-nhaQwjtZAMGxdQ5DS6UsBjE5OTWN-LQU</v>
      </c>
    </row>
    <row r="900" ht="15.75" customHeight="1">
      <c r="A900" t="str">
        <f>IFERROR(__xludf.DUMMYFUNCTION("""COMPUTED_VALUE"""),"PreferencesMain")</f>
        <v>PreferencesMain</v>
      </c>
      <c r="B900" t="str">
        <f>IFERROR(__xludf.DUMMYFUNCTION("""COMPUTED_VALUE"""),"VerifyUpdategrdMFA")</f>
        <v>VerifyUpdategrdMFA</v>
      </c>
      <c r="C900" t="str">
        <f>IFERROR(__xludf.DUMMYFUNCTION("""COMPUTED_VALUE"""),"14aTeLjmUbS-nhaQwjtZAMGxdQ5DS6UsBjE5OTWN-LQU")</f>
        <v>14aTeLjmUbS-nhaQwjtZAMGxdQ5DS6UsBjE5OTWN-LQU</v>
      </c>
    </row>
    <row r="901" ht="15.75" customHeight="1">
      <c r="A901" t="str">
        <f>IFERROR(__xludf.DUMMYFUNCTION("""COMPUTED_VALUE"""),"PreferencesMain")</f>
        <v>PreferencesMain</v>
      </c>
      <c r="B901" t="str">
        <f>IFERROR(__xludf.DUMMYFUNCTION("""COMPUTED_VALUE"""),"SwitchTabMFA")</f>
        <v>SwitchTabMFA</v>
      </c>
      <c r="C901" t="str">
        <f>IFERROR(__xludf.DUMMYFUNCTION("""COMPUTED_VALUE"""),"14aTeLjmUbS-nhaQwjtZAMGxdQ5DS6UsBjE5OTWN-LQU")</f>
        <v>14aTeLjmUbS-nhaQwjtZAMGxdQ5DS6UsBjE5OTWN-LQU</v>
      </c>
    </row>
    <row r="902" ht="15.75" customHeight="1">
      <c r="A902" t="str">
        <f>IFERROR(__xludf.DUMMYFUNCTION("""COMPUTED_VALUE"""),"PreferencesMain")</f>
        <v>PreferencesMain</v>
      </c>
      <c r="B902" t="str">
        <f>IFERROR(__xludf.DUMMYFUNCTION("""COMPUTED_VALUE"""),"UpdateBlotterPref")</f>
        <v>UpdateBlotterPref</v>
      </c>
      <c r="C902" t="str">
        <f>IFERROR(__xludf.DUMMYFUNCTION("""COMPUTED_VALUE"""),"14aTeLjmUbS-nhaQwjtZAMGxdQ5DS6UsBjE5OTWN-LQU")</f>
        <v>14aTeLjmUbS-nhaQwjtZAMGxdQ5DS6UsBjE5OTWN-LQU</v>
      </c>
    </row>
    <row r="903" ht="15.75" customHeight="1">
      <c r="A903" t="str">
        <f>IFERROR(__xludf.DUMMYFUNCTION("""COMPUTED_VALUE"""),"PreferencesMain")</f>
        <v>PreferencesMain</v>
      </c>
      <c r="B903" t="str">
        <f>IFERROR(__xludf.DUMMYFUNCTION("""COMPUTED_VALUE"""),"UpdatePMPref")</f>
        <v>UpdatePMPref</v>
      </c>
      <c r="C903" t="str">
        <f>IFERROR(__xludf.DUMMYFUNCTION("""COMPUTED_VALUE"""),"14aTeLjmUbS-nhaQwjtZAMGxdQ5DS6UsBjE5OTWN-LQU")</f>
        <v>14aTeLjmUbS-nhaQwjtZAMGxdQ5DS6UsBjE5OTWN-LQU</v>
      </c>
    </row>
    <row r="904" ht="15.75" customHeight="1">
      <c r="A904" t="str">
        <f>IFERROR(__xludf.DUMMYFUNCTION("""COMPUTED_VALUE"""),"PreferencesMain")</f>
        <v>PreferencesMain</v>
      </c>
      <c r="B904" t="str">
        <f>IFERROR(__xludf.DUMMYFUNCTION("""COMPUTED_VALUE"""),"UpdateGenPref")</f>
        <v>UpdateGenPref</v>
      </c>
      <c r="C904" t="str">
        <f>IFERROR(__xludf.DUMMYFUNCTION("""COMPUTED_VALUE"""),"14aTeLjmUbS-nhaQwjtZAMGxdQ5DS6UsBjE5OTWN-LQU")</f>
        <v>14aTeLjmUbS-nhaQwjtZAMGxdQ5DS6UsBjE5OTWN-LQU</v>
      </c>
    </row>
    <row r="905" ht="15.75" customHeight="1">
      <c r="A905" t="str">
        <f>IFERROR(__xludf.DUMMYFUNCTION("""COMPUTED_VALUE"""),"PreferencesMain")</f>
        <v>PreferencesMain</v>
      </c>
      <c r="B905" t="str">
        <f>IFERROR(__xludf.DUMMYFUNCTION("""COMPUTED_VALUE"""),"VerifyUpdateAssetSide")</f>
        <v>VerifyUpdateAssetSide</v>
      </c>
      <c r="C905" t="str">
        <f>IFERROR(__xludf.DUMMYFUNCTION("""COMPUTED_VALUE"""),"14aTeLjmUbS-nhaQwjtZAMGxdQ5DS6UsBjE5OTWN-LQU")</f>
        <v>14aTeLjmUbS-nhaQwjtZAMGxdQ5DS6UsBjE5OTWN-LQU</v>
      </c>
    </row>
    <row r="906" ht="15.75" customHeight="1">
      <c r="A906" t="str">
        <f>IFERROR(__xludf.DUMMYFUNCTION("""COMPUTED_VALUE"""),"PreferencesMain")</f>
        <v>PreferencesMain</v>
      </c>
      <c r="B906" t="str">
        <f>IFERROR(__xludf.DUMMYFUNCTION("""COMPUTED_VALUE"""),"SwicthTabPref")</f>
        <v>SwicthTabPref</v>
      </c>
      <c r="C906" t="str">
        <f>IFERROR(__xludf.DUMMYFUNCTION("""COMPUTED_VALUE"""),"14aTeLjmUbS-nhaQwjtZAMGxdQ5DS6UsBjE5OTWN-LQU")</f>
        <v>14aTeLjmUbS-nhaQwjtZAMGxdQ5DS6UsBjE5OTWN-LQU</v>
      </c>
    </row>
    <row r="907" ht="15.75" customHeight="1">
      <c r="A907" t="str">
        <f>IFERROR(__xludf.DUMMYFUNCTION("""COMPUTED_VALUE"""),"PreferencesMain")</f>
        <v>PreferencesMain</v>
      </c>
      <c r="B907" t="str">
        <f>IFERROR(__xludf.DUMMYFUNCTION("""COMPUTED_VALUE"""),"TTDefaultSelection")</f>
        <v>TTDefaultSelection</v>
      </c>
      <c r="C907" t="str">
        <f>IFERROR(__xludf.DUMMYFUNCTION("""COMPUTED_VALUE"""),"14aTeLjmUbS-nhaQwjtZAMGxdQ5DS6UsBjE5OTWN-LQU")</f>
        <v>14aTeLjmUbS-nhaQwjtZAMGxdQ5DS6UsBjE5OTWN-LQU</v>
      </c>
    </row>
    <row r="908" ht="15.75" customHeight="1">
      <c r="A908" t="str">
        <f>IFERROR(__xludf.DUMMYFUNCTION("""COMPUTED_VALUE"""),"PreferencesMain")</f>
        <v>PreferencesMain</v>
      </c>
      <c r="B908" t="str">
        <f>IFERROR(__xludf.DUMMYFUNCTION("""COMPUTED_VALUE"""),"TTNumSelection")</f>
        <v>TTNumSelection</v>
      </c>
      <c r="C908" t="str">
        <f>IFERROR(__xludf.DUMMYFUNCTION("""COMPUTED_VALUE"""),"14aTeLjmUbS-nhaQwjtZAMGxdQ5DS6UsBjE5OTWN-LQU")</f>
        <v>14aTeLjmUbS-nhaQwjtZAMGxdQ5DS6UsBjE5OTWN-LQU</v>
      </c>
    </row>
    <row r="909" ht="15.75" customHeight="1">
      <c r="A909" t="str">
        <f>IFERROR(__xludf.DUMMYFUNCTION("""COMPUTED_VALUE"""),"PreferencesMain")</f>
        <v>PreferencesMain</v>
      </c>
      <c r="B909" t="str">
        <f>IFERROR(__xludf.DUMMYFUNCTION("""COMPUTED_VALUE"""),"TTConfirmationPopUps")</f>
        <v>TTConfirmationPopUps</v>
      </c>
      <c r="C909" t="str">
        <f>IFERROR(__xludf.DUMMYFUNCTION("""COMPUTED_VALUE"""),"14aTeLjmUbS-nhaQwjtZAMGxdQ5DS6UsBjE5OTWN-LQU")</f>
        <v>14aTeLjmUbS-nhaQwjtZAMGxdQ5DS6UsBjE5OTWN-LQU</v>
      </c>
    </row>
    <row r="910" ht="15.75" customHeight="1">
      <c r="A910" t="str">
        <f>IFERROR(__xludf.DUMMYFUNCTION("""COMPUTED_VALUE"""),"PreferencesMain")</f>
        <v>PreferencesMain</v>
      </c>
      <c r="B910" t="str">
        <f>IFERROR(__xludf.DUMMYFUNCTION("""COMPUTED_VALUE"""),"VerifyUpdateBrokerPref")</f>
        <v>VerifyUpdateBrokerPref</v>
      </c>
      <c r="C910" t="str">
        <f>IFERROR(__xludf.DUMMYFUNCTION("""COMPUTED_VALUE"""),"14aTeLjmUbS-nhaQwjtZAMGxdQ5DS6UsBjE5OTWN-LQU")</f>
        <v>14aTeLjmUbS-nhaQwjtZAMGxdQ5DS6UsBjE5OTWN-LQU</v>
      </c>
    </row>
    <row r="911" ht="15.75" customHeight="1">
      <c r="A911" t="str">
        <f>IFERROR(__xludf.DUMMYFUNCTION("""COMPUTED_VALUE"""),"PreferencesMain")</f>
        <v>PreferencesMain</v>
      </c>
      <c r="B911" t="str">
        <f>IFERROR(__xludf.DUMMYFUNCTION("""COMPUTED_VALUE"""),"TTGeneralPref")</f>
        <v>TTGeneralPref</v>
      </c>
      <c r="C911" t="str">
        <f>IFERROR(__xludf.DUMMYFUNCTION("""COMPUTED_VALUE"""),"14aTeLjmUbS-nhaQwjtZAMGxdQ5DS6UsBjE5OTWN-LQU")</f>
        <v>14aTeLjmUbS-nhaQwjtZAMGxdQ5DS6UsBjE5OTWN-LQU</v>
      </c>
    </row>
    <row r="912" ht="15.75" customHeight="1">
      <c r="A912" t="str">
        <f>IFERROR(__xludf.DUMMYFUNCTION("""COMPUTED_VALUE"""),"PreferencesMain")</f>
        <v>PreferencesMain</v>
      </c>
      <c r="B912" t="str">
        <f>IFERROR(__xludf.DUMMYFUNCTION("""COMPUTED_VALUE"""),"UpdateClosingPref")</f>
        <v>UpdateClosingPref</v>
      </c>
      <c r="C912" t="str">
        <f>IFERROR(__xludf.DUMMYFUNCTION("""COMPUTED_VALUE"""),"14aTeLjmUbS-nhaQwjtZAMGxdQ5DS6UsBjE5OTWN-LQU")</f>
        <v>14aTeLjmUbS-nhaQwjtZAMGxdQ5DS6UsBjE5OTWN-LQU</v>
      </c>
    </row>
    <row r="913" ht="15.75" customHeight="1">
      <c r="A913" t="str">
        <f>IFERROR(__xludf.DUMMYFUNCTION("""COMPUTED_VALUE"""),"Allocation")</f>
        <v>Allocation</v>
      </c>
      <c r="B913" t="str">
        <f>IFERROR(__xludf.DUMMYFUNCTION("""COMPUTED_VALUE"""),"VerifyEditAttRenaming")</f>
        <v>VerifyEditAttRenaming</v>
      </c>
      <c r="C913" t="str">
        <f>IFERROR(__xludf.DUMMYFUNCTION("""COMPUTED_VALUE"""),"14aTeLjmUbS-nhaQwjtZAMGxdQ5DS6UsBjE5OTWN-LQU")</f>
        <v>14aTeLjmUbS-nhaQwjtZAMGxdQ5DS6UsBjE5OTWN-LQU</v>
      </c>
    </row>
    <row r="914" ht="15.75" customHeight="1">
      <c r="A914" t="str">
        <f>IFERROR(__xludf.DUMMYFUNCTION("""COMPUTED_VALUE"""),"Rebalancer")</f>
        <v>Rebalancer</v>
      </c>
      <c r="B914" t="str">
        <f>IFERROR(__xludf.DUMMYFUNCTION("""COMPUTED_VALUE"""),"VerifyTradeList")</f>
        <v>VerifyTradeList</v>
      </c>
      <c r="C914" t="str">
        <f>IFERROR(__xludf.DUMMYFUNCTION("""COMPUTED_VALUE"""),"14aTeLjmUbS-nhaQwjtZAMGxdQ5DS6UsBjE5OTWN-LQU")</f>
        <v>14aTeLjmUbS-nhaQwjtZAMGxdQ5DS6UsBjE5OTWN-LQU</v>
      </c>
    </row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 t="str">
        <f>IFERROR(__xludf.DUMMYFUNCTION("""COMPUTED_VALUE"""),"SymbolSuggestionVerify")</f>
        <v>SymbolSuggestionVerify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/>
      <c r="B5" s="27" t="s">
        <v>16</v>
      </c>
      <c r="C5" s="27" t="s">
        <v>17</v>
      </c>
      <c r="D5" s="27" t="s">
        <v>18</v>
      </c>
      <c r="E5" s="27" t="s">
        <v>19</v>
      </c>
      <c r="F5" s="28" t="s">
        <v>20</v>
      </c>
      <c r="G5" s="27" t="s">
        <v>21</v>
      </c>
      <c r="H5" s="27" t="s">
        <v>22</v>
      </c>
      <c r="I5" s="27" t="s">
        <v>23</v>
      </c>
      <c r="J5" s="27" t="s">
        <v>24</v>
      </c>
      <c r="K5" s="27" t="s">
        <v>25</v>
      </c>
      <c r="L5" s="27" t="s">
        <v>26</v>
      </c>
      <c r="M5" s="27" t="s">
        <v>27</v>
      </c>
      <c r="N5" s="27" t="s">
        <v>28</v>
      </c>
      <c r="O5" s="27" t="s">
        <v>29</v>
      </c>
      <c r="P5" s="27" t="s">
        <v>30</v>
      </c>
      <c r="Q5" s="27" t="s">
        <v>31</v>
      </c>
      <c r="R5" s="27" t="s">
        <v>32</v>
      </c>
      <c r="S5" s="27" t="s">
        <v>33</v>
      </c>
      <c r="T5" s="29" t="s">
        <v>34</v>
      </c>
      <c r="U5" s="29" t="s">
        <v>35</v>
      </c>
      <c r="V5" s="29" t="s">
        <v>36</v>
      </c>
      <c r="W5" s="29" t="s">
        <v>37</v>
      </c>
      <c r="X5" s="29" t="s">
        <v>38</v>
      </c>
      <c r="Y5" s="29" t="s">
        <v>39</v>
      </c>
      <c r="Z5" s="29" t="s">
        <v>40</v>
      </c>
      <c r="AA5" s="29" t="s">
        <v>41</v>
      </c>
      <c r="AB5" s="29" t="s">
        <v>42</v>
      </c>
      <c r="AC5" s="29" t="s">
        <v>43</v>
      </c>
      <c r="AD5" s="29" t="s">
        <v>44</v>
      </c>
      <c r="AE5" s="29" t="s">
        <v>45</v>
      </c>
      <c r="AF5" s="29" t="s">
        <v>46</v>
      </c>
      <c r="AG5" s="29" t="s">
        <v>47</v>
      </c>
      <c r="AH5" s="29" t="s">
        <v>48</v>
      </c>
      <c r="AI5" s="29" t="s">
        <v>49</v>
      </c>
      <c r="AJ5" s="29" t="s">
        <v>50</v>
      </c>
      <c r="AK5" s="29" t="s">
        <v>51</v>
      </c>
      <c r="AL5" s="29" t="s">
        <v>52</v>
      </c>
      <c r="AM5" s="26"/>
      <c r="AN5" s="26"/>
      <c r="AO5" s="26"/>
      <c r="AP5" s="26"/>
      <c r="AQ5" s="26"/>
      <c r="AR5" s="26"/>
      <c r="AS5" s="26"/>
      <c r="AT5" s="26"/>
      <c r="AU5" s="26"/>
      <c r="AV5" s="26"/>
      <c r="AW5" s="26"/>
      <c r="AX5" s="26"/>
      <c r="AY5" s="26"/>
      <c r="AZ5" s="26"/>
      <c r="BA5" s="26"/>
      <c r="BB5" s="26"/>
      <c r="BC5" s="26"/>
      <c r="BD5" s="26"/>
      <c r="BE5" s="26"/>
      <c r="BF5" s="26"/>
      <c r="BG5" s="26"/>
      <c r="BH5" s="26"/>
      <c r="BI5" s="26"/>
      <c r="BJ5" s="26"/>
      <c r="BK5" s="26"/>
      <c r="BL5" s="26"/>
      <c r="BM5" s="26"/>
      <c r="BN5" s="26"/>
      <c r="BO5" s="26"/>
      <c r="BP5" s="26"/>
      <c r="BQ5" s="26"/>
      <c r="BR5" s="26"/>
      <c r="BS5" s="26"/>
      <c r="BT5" s="26"/>
      <c r="BU5" s="26"/>
      <c r="BV5" s="26"/>
      <c r="BW5" s="26"/>
      <c r="BX5" s="26"/>
      <c r="BY5" s="26"/>
      <c r="BZ5" s="26"/>
      <c r="CA5" s="26"/>
      <c r="CB5" s="26"/>
      <c r="CC5" s="26"/>
      <c r="CD5" s="26"/>
      <c r="CE5" s="26"/>
      <c r="CF5" s="26"/>
      <c r="CG5" s="26"/>
      <c r="CH5" s="26"/>
      <c r="CI5" s="26"/>
      <c r="CJ5" s="26"/>
      <c r="CK5" s="26"/>
      <c r="CL5" s="26"/>
      <c r="CM5" s="26"/>
      <c r="CN5" s="26"/>
      <c r="CO5" s="26"/>
      <c r="CP5" s="26"/>
      <c r="CQ5" s="26"/>
      <c r="CR5" s="26"/>
      <c r="CS5" s="26"/>
      <c r="CT5" s="26"/>
      <c r="CU5" s="26"/>
      <c r="CV5" s="26"/>
      <c r="CW5" s="26"/>
      <c r="CX5" s="26"/>
      <c r="CY5" s="26"/>
      <c r="CZ5" s="26"/>
      <c r="DA5" s="26"/>
      <c r="DB5" s="26"/>
      <c r="DC5" s="26"/>
      <c r="DD5" s="26"/>
      <c r="DE5" s="26"/>
      <c r="DF5" s="26"/>
      <c r="DG5" s="26"/>
      <c r="DH5" s="26"/>
      <c r="DI5" s="26"/>
      <c r="DJ5" s="26"/>
      <c r="DK5" s="26"/>
      <c r="DL5" s="26"/>
      <c r="DM5" s="26"/>
      <c r="DN5" s="26"/>
      <c r="DO5" s="26"/>
      <c r="DP5" s="26"/>
      <c r="DQ5" s="26"/>
      <c r="DR5" s="26"/>
      <c r="DS5" s="26"/>
      <c r="DT5" s="26"/>
      <c r="DU5" s="26"/>
      <c r="DV5" s="26"/>
      <c r="DW5" s="26"/>
      <c r="DX5" s="26"/>
      <c r="DY5" s="26"/>
      <c r="DZ5" s="26"/>
      <c r="EA5" s="26"/>
      <c r="EB5" s="26"/>
      <c r="EC5" s="26"/>
      <c r="ED5" s="26"/>
      <c r="EE5" s="26"/>
      <c r="EF5" s="26"/>
      <c r="EG5" s="26"/>
      <c r="EH5" s="26"/>
      <c r="EI5" s="26"/>
      <c r="EJ5" s="26"/>
      <c r="EK5" s="26"/>
      <c r="EL5" s="26"/>
      <c r="EM5" s="26"/>
      <c r="EN5" s="26"/>
      <c r="EO5" s="26"/>
      <c r="EP5" s="26"/>
      <c r="EQ5" s="26"/>
      <c r="ER5" s="26"/>
      <c r="ES5" s="26"/>
      <c r="ET5" s="26"/>
      <c r="EU5" s="26"/>
      <c r="EV5" s="26"/>
      <c r="EW5" s="26"/>
      <c r="EX5" s="26"/>
    </row>
    <row r="6" ht="15.75" customHeight="1">
      <c r="A6" s="12"/>
      <c r="B6" s="12" t="s">
        <v>53</v>
      </c>
      <c r="C6" s="12">
        <v>100.0</v>
      </c>
      <c r="D6" s="12">
        <v>20.0</v>
      </c>
      <c r="E6" s="12" t="s">
        <v>54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2" t="s">
        <v>55</v>
      </c>
      <c r="C7" s="12">
        <v>100.0</v>
      </c>
      <c r="D7" s="12">
        <v>20.0</v>
      </c>
      <c r="E7" s="12" t="s">
        <v>54</v>
      </c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CustomOrderTT!$4:$4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56</v>
      </c>
      <c r="D3" s="5" t="s">
        <v>9</v>
      </c>
      <c r="E3" s="22"/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IFERROR(__xludf.DUMMYFUNCTION("IF(C3="""","""",Transpose(IMPORTRANGE('_Settings'!$B$3,C3&amp;""!A4:A1000"")))"),"#REF!")</f>
        <v>#REF!</v>
      </c>
      <c r="C4" s="30" t="s">
        <v>57</v>
      </c>
      <c r="D4" s="24"/>
      <c r="E4" s="24"/>
      <c r="F4" s="24"/>
      <c r="G4" s="24"/>
      <c r="H4" s="24"/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31"/>
      <c r="B5" s="32" t="s">
        <v>58</v>
      </c>
      <c r="C5" s="32" t="s">
        <v>59</v>
      </c>
      <c r="D5" s="32" t="s">
        <v>60</v>
      </c>
      <c r="E5" s="32" t="s">
        <v>61</v>
      </c>
      <c r="F5" s="32" t="s">
        <v>62</v>
      </c>
      <c r="G5" s="32" t="s">
        <v>63</v>
      </c>
      <c r="H5" s="32" t="s">
        <v>44</v>
      </c>
      <c r="I5" s="32" t="s">
        <v>64</v>
      </c>
      <c r="J5" s="32" t="s">
        <v>65</v>
      </c>
      <c r="K5" s="32" t="s">
        <v>66</v>
      </c>
      <c r="L5" s="32" t="s">
        <v>67</v>
      </c>
      <c r="M5" s="32" t="s">
        <v>68</v>
      </c>
      <c r="N5" s="32" t="s">
        <v>69</v>
      </c>
      <c r="O5" s="32" t="s">
        <v>70</v>
      </c>
      <c r="P5" s="32" t="s">
        <v>71</v>
      </c>
      <c r="Q5" s="32" t="s">
        <v>72</v>
      </c>
      <c r="R5" s="32" t="s">
        <v>73</v>
      </c>
      <c r="S5" s="32" t="s">
        <v>74</v>
      </c>
      <c r="T5" s="33" t="s">
        <v>75</v>
      </c>
      <c r="U5" s="33" t="s">
        <v>76</v>
      </c>
      <c r="V5" s="33" t="s">
        <v>77</v>
      </c>
      <c r="W5" s="33" t="s">
        <v>78</v>
      </c>
      <c r="X5" s="33" t="s">
        <v>79</v>
      </c>
      <c r="Y5" s="33" t="s">
        <v>80</v>
      </c>
      <c r="Z5" s="33" t="s">
        <v>81</v>
      </c>
      <c r="AA5" s="33" t="s">
        <v>82</v>
      </c>
      <c r="AB5" s="33" t="s">
        <v>83</v>
      </c>
      <c r="AC5" s="33" t="s">
        <v>84</v>
      </c>
      <c r="AD5" s="33" t="s">
        <v>85</v>
      </c>
      <c r="AE5" s="33" t="s">
        <v>86</v>
      </c>
      <c r="AF5" s="33" t="s">
        <v>87</v>
      </c>
      <c r="AG5" s="33" t="s">
        <v>88</v>
      </c>
      <c r="AH5" s="33" t="s">
        <v>89</v>
      </c>
      <c r="AI5" s="33" t="s">
        <v>16</v>
      </c>
      <c r="AJ5" s="33" t="s">
        <v>90</v>
      </c>
      <c r="AK5" s="33" t="s">
        <v>91</v>
      </c>
      <c r="AL5" s="33" t="s">
        <v>92</v>
      </c>
      <c r="AM5" s="33" t="s">
        <v>93</v>
      </c>
      <c r="AN5" s="33" t="s">
        <v>94</v>
      </c>
      <c r="AO5" s="33" t="s">
        <v>95</v>
      </c>
      <c r="AP5" s="33" t="s">
        <v>96</v>
      </c>
      <c r="AQ5" s="33" t="s">
        <v>97</v>
      </c>
      <c r="AR5" s="33" t="s">
        <v>98</v>
      </c>
      <c r="AS5" s="33" t="s">
        <v>41</v>
      </c>
      <c r="AT5" s="33" t="s">
        <v>30</v>
      </c>
      <c r="AU5" s="33" t="s">
        <v>36</v>
      </c>
      <c r="AV5" s="33" t="s">
        <v>99</v>
      </c>
      <c r="AW5" s="33" t="s">
        <v>100</v>
      </c>
      <c r="AX5" s="33" t="s">
        <v>101</v>
      </c>
      <c r="AY5" s="33" t="s">
        <v>102</v>
      </c>
      <c r="AZ5" s="33" t="s">
        <v>103</v>
      </c>
      <c r="BA5" s="33" t="s">
        <v>104</v>
      </c>
      <c r="BB5" s="34"/>
      <c r="BC5" s="34"/>
      <c r="BD5" s="34"/>
      <c r="BE5" s="34"/>
      <c r="BF5" s="34"/>
      <c r="BG5" s="34"/>
      <c r="BH5" s="34"/>
      <c r="BI5" s="34"/>
      <c r="BJ5" s="34"/>
      <c r="BK5" s="34"/>
      <c r="BL5" s="34"/>
      <c r="BM5" s="34"/>
      <c r="BN5" s="34"/>
      <c r="BO5" s="34"/>
      <c r="BP5" s="34"/>
      <c r="BQ5" s="34"/>
      <c r="BR5" s="34"/>
      <c r="BS5" s="34"/>
      <c r="BT5" s="34"/>
      <c r="BU5" s="34"/>
      <c r="BV5" s="34"/>
      <c r="BW5" s="34"/>
      <c r="BX5" s="34"/>
      <c r="BY5" s="34"/>
      <c r="BZ5" s="34"/>
      <c r="CA5" s="34"/>
      <c r="CB5" s="34"/>
      <c r="CC5" s="34"/>
      <c r="CD5" s="34"/>
      <c r="CE5" s="34"/>
      <c r="CF5" s="34"/>
      <c r="CG5" s="34"/>
      <c r="CH5" s="34"/>
      <c r="CI5" s="34"/>
      <c r="CJ5" s="34"/>
      <c r="CK5" s="34"/>
      <c r="CL5" s="34"/>
      <c r="CM5" s="34"/>
      <c r="CN5" s="34"/>
      <c r="CO5" s="34"/>
      <c r="CP5" s="34"/>
      <c r="CQ5" s="34"/>
      <c r="CR5" s="34"/>
      <c r="CS5" s="34"/>
      <c r="CT5" s="34"/>
      <c r="CU5" s="34"/>
      <c r="CV5" s="34"/>
      <c r="CW5" s="34"/>
      <c r="CX5" s="34"/>
      <c r="CY5" s="34"/>
      <c r="CZ5" s="34"/>
      <c r="DA5" s="34"/>
      <c r="DB5" s="34"/>
      <c r="DC5" s="34"/>
      <c r="DD5" s="34"/>
      <c r="DE5" s="34"/>
      <c r="DF5" s="34"/>
      <c r="DG5" s="34"/>
      <c r="DH5" s="34"/>
      <c r="DI5" s="34"/>
      <c r="DJ5" s="34"/>
      <c r="DK5" s="34"/>
      <c r="DL5" s="34"/>
      <c r="DM5" s="34"/>
      <c r="DN5" s="34"/>
      <c r="DO5" s="34"/>
      <c r="DP5" s="34"/>
      <c r="DQ5" s="34"/>
      <c r="DR5" s="34"/>
      <c r="DS5" s="34"/>
      <c r="DT5" s="34"/>
      <c r="DU5" s="34"/>
      <c r="DV5" s="34"/>
      <c r="DW5" s="34"/>
      <c r="DX5" s="34"/>
      <c r="DY5" s="34"/>
      <c r="DZ5" s="34"/>
      <c r="EA5" s="34"/>
      <c r="EB5" s="34"/>
      <c r="EC5" s="34"/>
      <c r="ED5" s="34"/>
      <c r="EE5" s="34"/>
      <c r="EF5" s="34"/>
      <c r="EG5" s="34"/>
      <c r="EH5" s="34"/>
      <c r="EI5" s="34"/>
      <c r="EJ5" s="34"/>
      <c r="EK5" s="34"/>
      <c r="EL5" s="34"/>
      <c r="EM5" s="34"/>
      <c r="EN5" s="34"/>
      <c r="EO5" s="34"/>
      <c r="EP5" s="34"/>
      <c r="EQ5" s="34"/>
      <c r="ER5" s="34"/>
      <c r="ES5" s="34"/>
      <c r="ET5" s="34"/>
      <c r="EU5" s="34"/>
      <c r="EV5" s="34"/>
      <c r="EW5" s="34"/>
      <c r="EX5" s="34"/>
    </row>
    <row r="6" ht="15.75" customHeight="1">
      <c r="A6" s="12"/>
      <c r="B6" s="12"/>
      <c r="C6" s="8"/>
      <c r="D6" s="12"/>
      <c r="E6" s="35"/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105</v>
      </c>
      <c r="AJ6" s="9" t="s">
        <v>106</v>
      </c>
      <c r="AL6" s="9">
        <v>100.0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TradeNewSubOrder!$4:$4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107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 t="str">
        <f>IFERROR(__xludf.DUMMYFUNCTION("""COMPUTED_VALUE"""),"SymbolSuggestionVerify")</f>
        <v>SymbolSuggestionVerify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31" t="str">
        <f>IFERROR(__xludf.DUMMYFUNCTION("TRANSPOSE(IMPORTRANGE(VLOOKUP($E$3,IMPORTRANGE('_Settings'!$B$3,$C$3&amp;""!A4:B1000""),2,FALSE),$G$3&amp;""!A4:A1000""))"),"")</f>
        <v/>
      </c>
      <c r="B5" s="36" t="str">
        <f>IFERROR(__xludf.DUMMYFUNCTION("""COMPUTED_VALUE"""),"Symbol")</f>
        <v>Symbol</v>
      </c>
      <c r="C5" s="36" t="str">
        <f>IFERROR(__xludf.DUMMYFUNCTION("""COMPUTED_VALUE"""),"Order Side")</f>
        <v>Order Side</v>
      </c>
      <c r="D5" s="36" t="str">
        <f>IFERROR(__xludf.DUMMYFUNCTION("""COMPUTED_VALUE"""),"Quantity")</f>
        <v>Quantity</v>
      </c>
      <c r="E5" s="36" t="str">
        <f>IFERROR(__xludf.DUMMYFUNCTION("""COMPUTED_VALUE"""),"TargetQuantityIn")</f>
        <v>TargetQuantityIn</v>
      </c>
      <c r="F5" s="32" t="str">
        <f>IFERROR(__xludf.DUMMYFUNCTION("""COMPUTED_VALUE"""),"AllocationMethod")</f>
        <v>AllocationMethod</v>
      </c>
      <c r="G5" s="36" t="str">
        <f>IFERROR(__xludf.DUMMYFUNCTION("""COMPUTED_VALUE"""),"Broker")</f>
        <v>Broker</v>
      </c>
      <c r="H5" s="36" t="str">
        <f>IFERROR(__xludf.DUMMYFUNCTION("""COMPUTED_VALUE"""),"TIF")</f>
        <v>TIF</v>
      </c>
      <c r="I5" s="36" t="str">
        <f>IFERROR(__xludf.DUMMYFUNCTION("""COMPUTED_VALUE"""),"Order Type")</f>
        <v>Order Type</v>
      </c>
      <c r="J5" s="36" t="str">
        <f>IFERROR(__xludf.DUMMYFUNCTION("""COMPUTED_VALUE"""),"Price")</f>
        <v>Price</v>
      </c>
      <c r="K5" s="36" t="str">
        <f>IFERROR(__xludf.DUMMYFUNCTION("""COMPUTED_VALUE"""),"Stop")</f>
        <v>Stop</v>
      </c>
      <c r="L5" s="36" t="str">
        <f>IFERROR(__xludf.DUMMYFUNCTION("""COMPUTED_VALUE"""),"Limit")</f>
        <v>Limit</v>
      </c>
      <c r="M5" s="36" t="str">
        <f>IFERROR(__xludf.DUMMYFUNCTION("""COMPUTED_VALUE"""),"Strategy")</f>
        <v>Strategy</v>
      </c>
      <c r="N5" s="36" t="str">
        <f>IFERROR(__xludf.DUMMYFUNCTION("""COMPUTED_VALUE"""),"Trade Date")</f>
        <v>Trade Date</v>
      </c>
      <c r="O5" s="36" t="str">
        <f>IFERROR(__xludf.DUMMYFUNCTION("""COMPUTED_VALUE"""),"FxRate")</f>
        <v>FxRate</v>
      </c>
      <c r="P5" s="36" t="str">
        <f>IFERROR(__xludf.DUMMYFUNCTION("""COMPUTED_VALUE"""),"Notes")</f>
        <v>Notes</v>
      </c>
      <c r="Q5" s="36" t="str">
        <f>IFERROR(__xludf.DUMMYFUNCTION("""COMPUTED_VALUE"""),"Broker Notes")</f>
        <v>Broker Notes</v>
      </c>
      <c r="R5" s="36" t="str">
        <f>IFERROR(__xludf.DUMMYFUNCTION("""COMPUTED_VALUE"""),"CommissionBasis")</f>
        <v>CommissionBasis</v>
      </c>
      <c r="S5" s="36" t="str">
        <f>IFERROR(__xludf.DUMMYFUNCTION("""COMPUTED_VALUE"""),"CommissionRate")</f>
        <v>CommissionRate</v>
      </c>
      <c r="T5" s="34" t="str">
        <f>IFERROR(__xludf.DUMMYFUNCTION("""COMPUTED_VALUE"""),"SoftBasis")</f>
        <v>SoftBasis</v>
      </c>
      <c r="U5" s="34" t="str">
        <f>IFERROR(__xludf.DUMMYFUNCTION("""COMPUTED_VALUE"""),"SoftRate")</f>
        <v>SoftRate</v>
      </c>
      <c r="V5" s="34" t="str">
        <f>IFERROR(__xludf.DUMMYFUNCTION("""COMPUTED_VALUE"""),"TradeAttribute1")</f>
        <v>TradeAttribute1</v>
      </c>
      <c r="W5" s="34" t="str">
        <f>IFERROR(__xludf.DUMMYFUNCTION("""COMPUTED_VALUE"""),"TradeAttribute2")</f>
        <v>TradeAttribute2</v>
      </c>
      <c r="X5" s="34" t="str">
        <f>IFERROR(__xludf.DUMMYFUNCTION("""COMPUTED_VALUE"""),"TradeAttribute3")</f>
        <v>TradeAttribute3</v>
      </c>
      <c r="Y5" s="34" t="str">
        <f>IFERROR(__xludf.DUMMYFUNCTION("""COMPUTED_VALUE"""),"TradeAttribute4")</f>
        <v>TradeAttribute4</v>
      </c>
      <c r="Z5" s="34" t="str">
        <f>IFERROR(__xludf.DUMMYFUNCTION("""COMPUTED_VALUE"""),"TradeAttribute5")</f>
        <v>TradeAttribute5</v>
      </c>
      <c r="AA5" s="34" t="str">
        <f>IFERROR(__xludf.DUMMYFUNCTION("""COMPUTED_VALUE"""),"TradeAttribute6")</f>
        <v>TradeAttribute6</v>
      </c>
      <c r="AB5" s="34" t="str">
        <f>IFERROR(__xludf.DUMMYFUNCTION("""COMPUTED_VALUE"""),"Venue")</f>
        <v>Venue</v>
      </c>
      <c r="AC5" s="34" t="str">
        <f>IFERROR(__xludf.DUMMYFUNCTION("""COMPUTED_VALUE"""),"ExecutionInstructions")</f>
        <v>ExecutionInstructions</v>
      </c>
      <c r="AD5" s="34" t="str">
        <f>IFERROR(__xludf.DUMMYFUNCTION("""COMPUTED_VALUE"""),"HandlingInstructions")</f>
        <v>HandlingInstructions</v>
      </c>
      <c r="AE5" s="34" t="str">
        <f>IFERROR(__xludf.DUMMYFUNCTION("""COMPUTED_VALUE"""),"Trader")</f>
        <v>Trader</v>
      </c>
      <c r="AF5" s="34" t="str">
        <f>IFERROR(__xludf.DUMMYFUNCTION("""COMPUTED_VALUE"""),"SettlementCurrency")</f>
        <v>SettlementCurrency</v>
      </c>
      <c r="AG5" s="34" t="str">
        <f>IFERROR(__xludf.DUMMYFUNCTION("""COMPUTED_VALUE"""),"SettlementFXRate")</f>
        <v>SettlementFXRate</v>
      </c>
      <c r="AH5" s="34" t="str">
        <f>IFERROR(__xludf.DUMMYFUNCTION("""COMPUTED_VALUE"""),"SettlementAmount")</f>
        <v>SettlementAmount</v>
      </c>
      <c r="AI5" s="34" t="str">
        <f>IFERROR(__xludf.DUMMYFUNCTION("""COMPUTED_VALUE"""),"SettlementFXOperator")</f>
        <v>SettlementFXOperator</v>
      </c>
      <c r="AJ5" s="34" t="str">
        <f>IFERROR(__xludf.DUMMYFUNCTION("""COMPUTED_VALUE"""),"SettleByBroker")</f>
        <v>SettleByBroker</v>
      </c>
      <c r="AK5" s="34" t="str">
        <f>IFERROR(__xludf.DUMMYFUNCTION("""COMPUTED_VALUE"""),"Account")</f>
        <v>Account</v>
      </c>
      <c r="AL5" s="34" t="str">
        <f>IFERROR(__xludf.DUMMYFUNCTION("""COMPUTED_VALUE"""),"Account %")</f>
        <v>Account %</v>
      </c>
      <c r="AM5" s="34" t="str">
        <f>IFERROR(__xludf.DUMMYFUNCTION("""COMPUTED_VALUE"""),"Deal In")</f>
        <v>Deal In</v>
      </c>
      <c r="AN5" s="34" t="str">
        <f>IFERROR(__xludf.DUMMYFUNCTION("""COMPUTED_VALUE"""),"ChkBoxBookAsSwap")</f>
        <v>ChkBoxBookAsSwap</v>
      </c>
      <c r="AO5" s="34" t="str">
        <f>IFERROR(__xludf.DUMMYFUNCTION("""COMPUTED_VALUE"""),"PopUpQuantity")</f>
        <v>PopUpQuantity</v>
      </c>
      <c r="AP5" s="34" t="str">
        <f>IFERROR(__xludf.DUMMYFUNCTION("""COMPUTED_VALUE"""),"ShortLocate")</f>
        <v>ShortLocate</v>
      </c>
      <c r="AQ5" s="34" t="str">
        <f>IFERROR(__xludf.DUMMYFUNCTION("""COMPUTED_VALUE"""),"AllowTrade")</f>
        <v>AllowTrade</v>
      </c>
      <c r="AR5" s="34" t="str">
        <f>IFERROR(__xludf.DUMMYFUNCTION("""COMPUTED_VALUE"""),"SharesOutstandingPopUpQty")</f>
        <v>SharesOutstandingPopUpQty</v>
      </c>
      <c r="AS5" s="34" t="str">
        <f>IFERROR(__xludf.DUMMYFUNCTION("""COMPUTED_VALUE"""),"SharesOutstandingPopUp")</f>
        <v>SharesOutstandingPopUp</v>
      </c>
      <c r="AT5" s="34" t="str">
        <f>IFERROR(__xludf.DUMMYFUNCTION("""COMPUTED_VALUE"""),"ResAllowedListPopUp")</f>
        <v>ResAllowedListPopUp</v>
      </c>
      <c r="AU5" s="34" t="str">
        <f>IFERROR(__xludf.DUMMYFUNCTION("""COMPUTED_VALUE"""),"Rate(%)")</f>
        <v>Rate(%)</v>
      </c>
      <c r="AV5" s="34" t="str">
        <f>IFERROR(__xludf.DUMMYFUNCTION("""COMPUTED_VALUE"""),"Interest Rate")</f>
        <v>Interest Rate</v>
      </c>
      <c r="AW5" s="34" t="str">
        <f>IFERROR(__xludf.DUMMYFUNCTION("""COMPUTED_VALUE"""),"SelectAlgoStrategy")</f>
        <v>SelectAlgoStrategy</v>
      </c>
      <c r="AX5" s="34" t="str">
        <f>IFERROR(__xludf.DUMMYFUNCTION("""COMPUTED_VALUE"""),"Button")</f>
        <v>Button</v>
      </c>
      <c r="AY5" s="34" t="str">
        <f>IFERROR(__xludf.DUMMYFUNCTION("""COMPUTED_VALUE"""),"EditOrder")</f>
        <v>EditOrder</v>
      </c>
      <c r="AZ5" s="34"/>
      <c r="BA5" s="34"/>
      <c r="BB5" s="34"/>
      <c r="BC5" s="34"/>
      <c r="BD5" s="34"/>
      <c r="BE5" s="34"/>
      <c r="BF5" s="34"/>
      <c r="BG5" s="34"/>
      <c r="BH5" s="34"/>
      <c r="BI5" s="34"/>
      <c r="BJ5" s="34"/>
      <c r="BK5" s="34"/>
      <c r="BL5" s="34"/>
      <c r="BM5" s="34"/>
      <c r="BN5" s="34"/>
      <c r="BO5" s="34"/>
      <c r="BP5" s="34"/>
      <c r="BQ5" s="34"/>
      <c r="BR5" s="34"/>
      <c r="BS5" s="34"/>
      <c r="BT5" s="34"/>
      <c r="BU5" s="34"/>
      <c r="BV5" s="34"/>
      <c r="BW5" s="34"/>
      <c r="BX5" s="34"/>
      <c r="BY5" s="34"/>
      <c r="BZ5" s="34"/>
      <c r="CA5" s="34"/>
      <c r="CB5" s="34"/>
      <c r="CC5" s="34"/>
      <c r="CD5" s="34"/>
      <c r="CE5" s="34"/>
      <c r="CF5" s="34"/>
      <c r="CG5" s="34"/>
      <c r="CH5" s="34"/>
      <c r="CI5" s="34"/>
      <c r="CJ5" s="34"/>
      <c r="CK5" s="34"/>
      <c r="CL5" s="34"/>
      <c r="CM5" s="34"/>
      <c r="CN5" s="34"/>
      <c r="CO5" s="34"/>
      <c r="CP5" s="34"/>
      <c r="CQ5" s="34"/>
      <c r="CR5" s="34"/>
      <c r="CS5" s="34"/>
      <c r="CT5" s="34"/>
      <c r="CU5" s="34"/>
      <c r="CV5" s="34"/>
      <c r="CW5" s="34"/>
      <c r="CX5" s="34"/>
      <c r="CY5" s="34"/>
      <c r="CZ5" s="34"/>
      <c r="DA5" s="34"/>
      <c r="DB5" s="34"/>
      <c r="DC5" s="34"/>
      <c r="DD5" s="34"/>
      <c r="DE5" s="34"/>
      <c r="DF5" s="34"/>
      <c r="DG5" s="34"/>
      <c r="DH5" s="34"/>
      <c r="DI5" s="34"/>
      <c r="DJ5" s="34"/>
      <c r="DK5" s="34"/>
      <c r="DL5" s="34"/>
      <c r="DM5" s="34"/>
      <c r="DN5" s="34"/>
      <c r="DO5" s="34"/>
      <c r="DP5" s="34"/>
      <c r="DQ5" s="34"/>
      <c r="DR5" s="34"/>
      <c r="DS5" s="34"/>
      <c r="DT5" s="34"/>
      <c r="DU5" s="34"/>
      <c r="DV5" s="34"/>
      <c r="DW5" s="34"/>
      <c r="DX5" s="34"/>
      <c r="DY5" s="34"/>
      <c r="DZ5" s="34"/>
      <c r="EA5" s="34"/>
      <c r="EB5" s="34"/>
      <c r="EC5" s="34"/>
      <c r="ED5" s="34"/>
      <c r="EE5" s="34"/>
      <c r="EF5" s="34"/>
      <c r="EG5" s="34"/>
      <c r="EH5" s="34"/>
      <c r="EI5" s="34"/>
      <c r="EJ5" s="34"/>
      <c r="EK5" s="34"/>
      <c r="EL5" s="34"/>
      <c r="EM5" s="34"/>
      <c r="EN5" s="34"/>
      <c r="EO5" s="34"/>
      <c r="EP5" s="34"/>
      <c r="EQ5" s="34"/>
      <c r="ER5" s="34"/>
      <c r="ES5" s="34"/>
      <c r="ET5" s="34"/>
      <c r="EU5" s="34"/>
      <c r="EV5" s="34"/>
      <c r="EW5" s="34"/>
      <c r="EX5" s="34"/>
    </row>
    <row r="6" ht="15.75" customHeight="1">
      <c r="A6" s="12"/>
      <c r="B6" s="12" t="s">
        <v>53</v>
      </c>
      <c r="C6" s="12" t="s">
        <v>106</v>
      </c>
      <c r="D6" s="12">
        <v>100.0</v>
      </c>
      <c r="E6" s="35"/>
      <c r="F6" s="8"/>
      <c r="G6" s="8"/>
      <c r="H6" s="8"/>
      <c r="I6" s="8"/>
      <c r="J6" s="12">
        <v>10.0</v>
      </c>
      <c r="K6" s="8"/>
      <c r="L6" s="8"/>
      <c r="M6" s="8"/>
      <c r="N6" s="8"/>
      <c r="O6" s="8"/>
      <c r="AX6" s="9" t="s">
        <v>108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CreateComplianceOrder!$4:$4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109</v>
      </c>
      <c r="D3" s="5" t="s">
        <v>9</v>
      </c>
      <c r="E3" s="22" t="s">
        <v>110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IFERROR(__xludf.DUMMYFUNCTION("IF(C3="""","""",Transpose(IMPORTRANGE('_Settings'!$B$3,C3&amp;""!A4:A1000"")))"),"CheckOpenFinWindowName")</f>
        <v>CheckOpenFinWindowName</v>
      </c>
      <c r="C4" s="24" t="str">
        <f>IFERROR(__xludf.DUMMYFUNCTION("""COMPUTED_VALUE"""),"OpenWindowFromSearch")</f>
        <v>OpenWindowFromSearch</v>
      </c>
      <c r="D4" s="24" t="str">
        <f>IFERROR(__xludf.DUMMYFUNCTION("""COMPUTED_VALUE"""),"VerifyColour")</f>
        <v>VerifyColour</v>
      </c>
      <c r="E4" s="24" t="str">
        <f>IFERROR(__xludf.DUMMYFUNCTION("""COMPUTED_VALUE"""),"OpenReleaseClient")</f>
        <v>OpenReleaseClient</v>
      </c>
      <c r="F4" s="24" t="str">
        <f>IFERROR(__xludf.DUMMYFUNCTION("""COMPUTED_VALUE"""),"ActionOnPageFromSearch")</f>
        <v>ActionOnPageFromSearch</v>
      </c>
      <c r="G4" s="24" t="str">
        <f>IFERROR(__xludf.DUMMYFUNCTION("""COMPUTED_VALUE"""),"SavePageView")</f>
        <v>SavePageView</v>
      </c>
      <c r="H4" s="24" t="str">
        <f>IFERROR(__xludf.DUMMYFUNCTION("""COMPUTED_VALUE"""),"ChangeThemeOnModule")</f>
        <v>ChangeThemeOnModule</v>
      </c>
      <c r="I4" s="24" t="str">
        <f>IFERROR(__xludf.DUMMYFUNCTION("""COMPUTED_VALUE"""),"CloseService")</f>
        <v>CloseService</v>
      </c>
      <c r="J4" s="24" t="str">
        <f>IFERROR(__xludf.DUMMYFUNCTION("""COMPUTED_VALUE"""),"LogOutSamsara")</f>
        <v>LogOutSamsara</v>
      </c>
      <c r="K4" s="24" t="str">
        <f>IFERROR(__xludf.DUMMYFUNCTION("""COMPUTED_VALUE"""),"ResizeEnsure")</f>
        <v>ResizeEnsure</v>
      </c>
      <c r="L4" s="24" t="str">
        <f>IFERROR(__xludf.DUMMYFUNCTION("""COMPUTED_VALUE"""),"VerifyNotification")</f>
        <v>VerifyNotification</v>
      </c>
      <c r="M4" s="24" t="str">
        <f>IFERROR(__xludf.DUMMYFUNCTION("""COMPUTED_VALUE"""),"LockUnlockModule")</f>
        <v>LockUnlockModule</v>
      </c>
      <c r="N4" s="24" t="str">
        <f>IFERROR(__xludf.DUMMYFUNCTION("""COMPUTED_VALUE"""),"OpenModuleFromDock")</f>
        <v>OpenModuleFromDock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31" t="str">
        <f>IFERROR(__xludf.DUMMYFUNCTION("TRANSPOSE(IMPORTRANGE(VLOOKUP($E$3,IMPORTRANGE('_Settings'!$B$3,$C$3&amp;""!A4:B1000""),2,FALSE),$G$3&amp;""!A4:A1000""))"),"")</f>
        <v/>
      </c>
      <c r="B5" s="36" t="str">
        <f>IFERROR(__xludf.DUMMYFUNCTION("""COMPUTED_VALUE"""),"OpenWindow")</f>
        <v>OpenWindow</v>
      </c>
      <c r="C5" s="36"/>
      <c r="D5" s="36"/>
      <c r="E5" s="36"/>
      <c r="F5" s="32"/>
      <c r="G5" s="36"/>
      <c r="H5" s="36"/>
      <c r="I5" s="36"/>
      <c r="J5" s="36"/>
      <c r="K5" s="36"/>
      <c r="L5" s="36"/>
      <c r="M5" s="36"/>
      <c r="N5" s="36"/>
      <c r="O5" s="36"/>
      <c r="P5" s="36"/>
      <c r="Q5" s="36"/>
      <c r="R5" s="36"/>
      <c r="S5" s="36"/>
      <c r="T5" s="34"/>
      <c r="U5" s="34"/>
      <c r="V5" s="34"/>
      <c r="W5" s="34"/>
      <c r="X5" s="34"/>
      <c r="Y5" s="34"/>
      <c r="Z5" s="34"/>
      <c r="AA5" s="34"/>
      <c r="AB5" s="34"/>
      <c r="AC5" s="34"/>
      <c r="AD5" s="34"/>
      <c r="AE5" s="34"/>
      <c r="AF5" s="34"/>
      <c r="AG5" s="34"/>
      <c r="AH5" s="34"/>
      <c r="AI5" s="34"/>
      <c r="AJ5" s="34"/>
      <c r="AK5" s="34"/>
      <c r="AL5" s="34"/>
      <c r="AM5" s="34"/>
      <c r="AN5" s="34"/>
      <c r="AO5" s="34"/>
      <c r="AP5" s="34"/>
      <c r="AQ5" s="34"/>
      <c r="AR5" s="34"/>
      <c r="AS5" s="34"/>
      <c r="AT5" s="34"/>
      <c r="AU5" s="34"/>
      <c r="AV5" s="34"/>
      <c r="AW5" s="34"/>
      <c r="AX5" s="34"/>
      <c r="AY5" s="34"/>
      <c r="AZ5" s="34"/>
      <c r="BA5" s="34"/>
      <c r="BB5" s="34"/>
      <c r="BC5" s="34"/>
      <c r="BD5" s="34"/>
      <c r="BE5" s="34"/>
      <c r="BF5" s="34"/>
      <c r="BG5" s="34"/>
      <c r="BH5" s="34"/>
      <c r="BI5" s="34"/>
      <c r="BJ5" s="34"/>
      <c r="BK5" s="34"/>
      <c r="BL5" s="34"/>
      <c r="BM5" s="34"/>
      <c r="BN5" s="34"/>
      <c r="BO5" s="34"/>
      <c r="BP5" s="34"/>
      <c r="BQ5" s="34"/>
      <c r="BR5" s="34"/>
      <c r="BS5" s="34"/>
      <c r="BT5" s="34"/>
      <c r="BU5" s="34"/>
      <c r="BV5" s="34"/>
      <c r="BW5" s="34"/>
      <c r="BX5" s="34"/>
      <c r="BY5" s="34"/>
      <c r="BZ5" s="34"/>
      <c r="CA5" s="34"/>
      <c r="CB5" s="34"/>
      <c r="CC5" s="34"/>
      <c r="CD5" s="34"/>
      <c r="CE5" s="34"/>
      <c r="CF5" s="34"/>
      <c r="CG5" s="34"/>
      <c r="CH5" s="34"/>
      <c r="CI5" s="34"/>
      <c r="CJ5" s="34"/>
      <c r="CK5" s="34"/>
      <c r="CL5" s="34"/>
      <c r="CM5" s="34"/>
      <c r="CN5" s="34"/>
      <c r="CO5" s="34"/>
      <c r="CP5" s="34"/>
      <c r="CQ5" s="34"/>
      <c r="CR5" s="34"/>
      <c r="CS5" s="34"/>
      <c r="CT5" s="34"/>
      <c r="CU5" s="34"/>
      <c r="CV5" s="34"/>
      <c r="CW5" s="34"/>
      <c r="CX5" s="34"/>
      <c r="CY5" s="34"/>
      <c r="CZ5" s="34"/>
      <c r="DA5" s="34"/>
      <c r="DB5" s="34"/>
      <c r="DC5" s="34"/>
      <c r="DD5" s="34"/>
      <c r="DE5" s="34"/>
      <c r="DF5" s="34"/>
      <c r="DG5" s="34"/>
      <c r="DH5" s="34"/>
      <c r="DI5" s="34"/>
      <c r="DJ5" s="34"/>
      <c r="DK5" s="34"/>
      <c r="DL5" s="34"/>
      <c r="DM5" s="34"/>
      <c r="DN5" s="34"/>
      <c r="DO5" s="34"/>
      <c r="DP5" s="34"/>
      <c r="DQ5" s="34"/>
      <c r="DR5" s="34"/>
      <c r="DS5" s="34"/>
      <c r="DT5" s="34"/>
      <c r="DU5" s="34"/>
      <c r="DV5" s="34"/>
      <c r="DW5" s="34"/>
      <c r="DX5" s="34"/>
      <c r="DY5" s="34"/>
      <c r="DZ5" s="34"/>
      <c r="EA5" s="34"/>
      <c r="EB5" s="34"/>
      <c r="EC5" s="34"/>
      <c r="ED5" s="34"/>
      <c r="EE5" s="34"/>
      <c r="EF5" s="34"/>
      <c r="EG5" s="34"/>
      <c r="EH5" s="34"/>
      <c r="EI5" s="34"/>
      <c r="EJ5" s="34"/>
      <c r="EK5" s="34"/>
      <c r="EL5" s="34"/>
      <c r="EM5" s="34"/>
      <c r="EN5" s="34"/>
      <c r="EO5" s="34"/>
      <c r="EP5" s="34"/>
      <c r="EQ5" s="34"/>
      <c r="ER5" s="34"/>
      <c r="ES5" s="34"/>
      <c r="ET5" s="34"/>
      <c r="EU5" s="34"/>
      <c r="EV5" s="34"/>
      <c r="EW5" s="34"/>
      <c r="EX5" s="34"/>
    </row>
    <row r="6" ht="15.75" customHeight="1">
      <c r="A6" s="12"/>
      <c r="B6" s="12" t="s">
        <v>111</v>
      </c>
      <c r="C6" s="8"/>
      <c r="D6" s="12"/>
      <c r="E6" s="35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OpenModuleFromDock!$4:$4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109</v>
      </c>
      <c r="D3" s="5" t="s">
        <v>9</v>
      </c>
      <c r="E3" s="22" t="s">
        <v>112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IFERROR(__xludf.DUMMYFUNCTION("IF(C3="""","""",Transpose(IMPORTRANGE('_Settings'!$B$3,C3&amp;""!A4:A1000"")))"),"CheckOpenFinWindowName")</f>
        <v>CheckOpenFinWindowName</v>
      </c>
      <c r="C4" s="24" t="str">
        <f>IFERROR(__xludf.DUMMYFUNCTION("""COMPUTED_VALUE"""),"OpenWindowFromSearch")</f>
        <v>OpenWindowFromSearch</v>
      </c>
      <c r="D4" s="24" t="str">
        <f>IFERROR(__xludf.DUMMYFUNCTION("""COMPUTED_VALUE"""),"VerifyColour")</f>
        <v>VerifyColour</v>
      </c>
      <c r="E4" s="24" t="str">
        <f>IFERROR(__xludf.DUMMYFUNCTION("""COMPUTED_VALUE"""),"OpenReleaseClient")</f>
        <v>OpenReleaseClient</v>
      </c>
      <c r="F4" s="24" t="str">
        <f>IFERROR(__xludf.DUMMYFUNCTION("""COMPUTED_VALUE"""),"ActionOnPageFromSearch")</f>
        <v>ActionOnPageFromSearch</v>
      </c>
      <c r="G4" s="24" t="str">
        <f>IFERROR(__xludf.DUMMYFUNCTION("""COMPUTED_VALUE"""),"SavePageView")</f>
        <v>SavePageView</v>
      </c>
      <c r="H4" s="24" t="str">
        <f>IFERROR(__xludf.DUMMYFUNCTION("""COMPUTED_VALUE"""),"ChangeThemeOnModule")</f>
        <v>ChangeThemeOnModule</v>
      </c>
      <c r="I4" s="24" t="str">
        <f>IFERROR(__xludf.DUMMYFUNCTION("""COMPUTED_VALUE"""),"CloseService")</f>
        <v>CloseService</v>
      </c>
      <c r="J4" s="24" t="str">
        <f>IFERROR(__xludf.DUMMYFUNCTION("""COMPUTED_VALUE"""),"LogOutSamsara")</f>
        <v>LogOutSamsara</v>
      </c>
      <c r="K4" s="24" t="str">
        <f>IFERROR(__xludf.DUMMYFUNCTION("""COMPUTED_VALUE"""),"ResizeEnsure")</f>
        <v>ResizeEnsure</v>
      </c>
      <c r="L4" s="24" t="str">
        <f>IFERROR(__xludf.DUMMYFUNCTION("""COMPUTED_VALUE"""),"VerifyNotification")</f>
        <v>VerifyNotification</v>
      </c>
      <c r="M4" s="24" t="str">
        <f>IFERROR(__xludf.DUMMYFUNCTION("""COMPUTED_VALUE"""),"LockUnlockModule")</f>
        <v>LockUnlockModule</v>
      </c>
      <c r="N4" s="24" t="str">
        <f>IFERROR(__xludf.DUMMYFUNCTION("""COMPUTED_VALUE"""),"OpenModuleFromDock")</f>
        <v>OpenModuleFromDock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31" t="str">
        <f>IFERROR(__xludf.DUMMYFUNCTION("TRANSPOSE(IMPORTRANGE(VLOOKUP($E$3,IMPORTRANGE('_Settings'!$B$3,$C$3&amp;""!A4:B1000""),2,FALSE),$G$3&amp;""!A4:A1000""))"),"")</f>
        <v/>
      </c>
      <c r="B5" s="36" t="str">
        <f>IFERROR(__xludf.DUMMYFUNCTION("""COMPUTED_VALUE"""),"WindowName")</f>
        <v>WindowName</v>
      </c>
      <c r="C5" s="36" t="str">
        <f>IFERROR(__xludf.DUMMYFUNCTION("""COMPUTED_VALUE"""),"WindowPresentOrNot")</f>
        <v>WindowPresentOrNot</v>
      </c>
      <c r="D5" s="36"/>
      <c r="E5" s="36"/>
      <c r="F5" s="32"/>
      <c r="G5" s="36"/>
      <c r="H5" s="36"/>
      <c r="I5" s="36"/>
      <c r="J5" s="36"/>
      <c r="K5" s="36"/>
      <c r="L5" s="36"/>
      <c r="M5" s="36"/>
      <c r="N5" s="36"/>
      <c r="O5" s="36"/>
      <c r="P5" s="36"/>
      <c r="Q5" s="36"/>
      <c r="R5" s="36"/>
      <c r="S5" s="36"/>
      <c r="T5" s="34"/>
      <c r="U5" s="34"/>
      <c r="V5" s="34"/>
      <c r="W5" s="34"/>
      <c r="X5" s="34"/>
      <c r="Y5" s="34"/>
      <c r="Z5" s="34"/>
      <c r="AA5" s="34"/>
      <c r="AB5" s="34"/>
      <c r="AC5" s="34"/>
      <c r="AD5" s="34"/>
      <c r="AE5" s="34"/>
      <c r="AF5" s="34"/>
      <c r="AG5" s="34"/>
      <c r="AH5" s="34"/>
      <c r="AI5" s="34"/>
      <c r="AJ5" s="34"/>
      <c r="AK5" s="34"/>
      <c r="AL5" s="34"/>
      <c r="AM5" s="34"/>
      <c r="AN5" s="34"/>
      <c r="AO5" s="34"/>
      <c r="AP5" s="34"/>
      <c r="AQ5" s="34"/>
      <c r="AR5" s="34"/>
      <c r="AS5" s="34"/>
      <c r="AT5" s="34"/>
      <c r="AU5" s="34"/>
      <c r="AV5" s="34"/>
      <c r="AW5" s="34"/>
      <c r="AX5" s="34"/>
      <c r="AY5" s="34"/>
      <c r="AZ5" s="34"/>
      <c r="BA5" s="34"/>
      <c r="BB5" s="34"/>
      <c r="BC5" s="34"/>
      <c r="BD5" s="34"/>
      <c r="BE5" s="34"/>
      <c r="BF5" s="34"/>
      <c r="BG5" s="34"/>
      <c r="BH5" s="34"/>
      <c r="BI5" s="34"/>
      <c r="BJ5" s="34"/>
      <c r="BK5" s="34"/>
      <c r="BL5" s="34"/>
      <c r="BM5" s="34"/>
      <c r="BN5" s="34"/>
      <c r="BO5" s="34"/>
      <c r="BP5" s="34"/>
      <c r="BQ5" s="34"/>
      <c r="BR5" s="34"/>
      <c r="BS5" s="34"/>
      <c r="BT5" s="34"/>
      <c r="BU5" s="34"/>
      <c r="BV5" s="34"/>
      <c r="BW5" s="34"/>
      <c r="BX5" s="34"/>
      <c r="BY5" s="34"/>
      <c r="BZ5" s="34"/>
      <c r="CA5" s="34"/>
      <c r="CB5" s="34"/>
      <c r="CC5" s="34"/>
      <c r="CD5" s="34"/>
      <c r="CE5" s="34"/>
      <c r="CF5" s="34"/>
      <c r="CG5" s="34"/>
      <c r="CH5" s="34"/>
      <c r="CI5" s="34"/>
      <c r="CJ5" s="34"/>
      <c r="CK5" s="34"/>
      <c r="CL5" s="34"/>
      <c r="CM5" s="34"/>
      <c r="CN5" s="34"/>
      <c r="CO5" s="34"/>
      <c r="CP5" s="34"/>
      <c r="CQ5" s="34"/>
      <c r="CR5" s="34"/>
      <c r="CS5" s="34"/>
      <c r="CT5" s="34"/>
      <c r="CU5" s="34"/>
      <c r="CV5" s="34"/>
      <c r="CW5" s="34"/>
      <c r="CX5" s="34"/>
      <c r="CY5" s="34"/>
      <c r="CZ5" s="34"/>
      <c r="DA5" s="34"/>
      <c r="DB5" s="34"/>
      <c r="DC5" s="34"/>
      <c r="DD5" s="34"/>
      <c r="DE5" s="34"/>
      <c r="DF5" s="34"/>
      <c r="DG5" s="34"/>
      <c r="DH5" s="34"/>
      <c r="DI5" s="34"/>
      <c r="DJ5" s="34"/>
      <c r="DK5" s="34"/>
      <c r="DL5" s="34"/>
      <c r="DM5" s="34"/>
      <c r="DN5" s="34"/>
      <c r="DO5" s="34"/>
      <c r="DP5" s="34"/>
      <c r="DQ5" s="34"/>
      <c r="DR5" s="34"/>
      <c r="DS5" s="34"/>
      <c r="DT5" s="34"/>
      <c r="DU5" s="34"/>
      <c r="DV5" s="34"/>
      <c r="DW5" s="34"/>
      <c r="DX5" s="34"/>
      <c r="DY5" s="34"/>
      <c r="DZ5" s="34"/>
      <c r="EA5" s="34"/>
      <c r="EB5" s="34"/>
      <c r="EC5" s="34"/>
      <c r="ED5" s="34"/>
      <c r="EE5" s="34"/>
      <c r="EF5" s="34"/>
      <c r="EG5" s="34"/>
      <c r="EH5" s="34"/>
      <c r="EI5" s="34"/>
      <c r="EJ5" s="34"/>
      <c r="EK5" s="34"/>
      <c r="EL5" s="34"/>
      <c r="EM5" s="34"/>
      <c r="EN5" s="34"/>
      <c r="EO5" s="34"/>
      <c r="EP5" s="34"/>
      <c r="EQ5" s="34"/>
      <c r="ER5" s="34"/>
      <c r="ES5" s="34"/>
      <c r="ET5" s="34"/>
      <c r="EU5" s="34"/>
      <c r="EV5" s="34"/>
      <c r="EW5" s="34"/>
      <c r="EX5" s="34"/>
    </row>
    <row r="6" ht="15.75" customHeight="1">
      <c r="A6" s="12"/>
      <c r="B6" s="37" t="s">
        <v>113</v>
      </c>
      <c r="C6" s="38" t="b">
        <v>1</v>
      </c>
      <c r="D6" s="12"/>
      <c r="E6" s="35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9" t="s">
        <v>111</v>
      </c>
      <c r="C7" s="38" t="b">
        <v>0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CheckOpenFinWindowName!$4:$4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114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 t="str">
        <f>IFERROR(__xludf.DUMMYFUNCTION("""COMPUTED_VALUE"""),"SymbolSuggestionVerify")</f>
        <v>SymbolSuggestionVerify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31" t="str">
        <f>IFERROR(__xludf.DUMMYFUNCTION("TRANSPOSE(IMPORTRANGE(VLOOKUP($E$3,IMPORTRANGE('_Settings'!$B$3,$C$3&amp;""!A4:B1000""),2,FALSE),$G$3&amp;""!A4:A1000""))"),"")</f>
        <v/>
      </c>
      <c r="B5" s="36" t="str">
        <f>IFERROR(__xludf.DUMMYFUNCTION("""COMPUTED_VALUE"""),"Alert Type")</f>
        <v>Alert Type</v>
      </c>
      <c r="C5" s="36" t="str">
        <f>IFERROR(__xludf.DUMMYFUNCTION("""COMPUTED_VALUE"""),"Rule Name")</f>
        <v>Rule Name</v>
      </c>
      <c r="D5" s="36" t="str">
        <f>IFERROR(__xludf.DUMMYFUNCTION("""COMPUTED_VALUE"""),"Description of Rule")</f>
        <v>Description of Rule</v>
      </c>
      <c r="E5" s="36" t="str">
        <f>IFERROR(__xludf.DUMMYFUNCTION("""COMPUTED_VALUE"""),"Dimensions")</f>
        <v>Dimensions</v>
      </c>
      <c r="F5" s="32" t="str">
        <f>IFERROR(__xludf.DUMMYFUNCTION("""COMPUTED_VALUE"""),"Threshold")</f>
        <v>Threshold</v>
      </c>
      <c r="G5" s="36" t="str">
        <f>IFERROR(__xludf.DUMMYFUNCTION("""COMPUTED_VALUE"""),"Actual Result")</f>
        <v>Actual Result</v>
      </c>
      <c r="H5" s="36" t="str">
        <f>IFERROR(__xludf.DUMMYFUNCTION("""COMPUTED_VALUE"""),"Comments")</f>
        <v>Comments</v>
      </c>
      <c r="I5" s="36" t="str">
        <f>IFERROR(__xludf.DUMMYFUNCTION("""COMPUTED_VALUE"""),"User Notes")</f>
        <v>User Notes</v>
      </c>
      <c r="J5" s="36" t="str">
        <f>IFERROR(__xludf.DUMMYFUNCTION("""COMPUTED_VALUE"""),"Write UserNote")</f>
        <v>Write UserNote</v>
      </c>
      <c r="K5" s="36" t="str">
        <f>IFERROR(__xludf.DUMMYFUNCTION("""COMPUTED_VALUE"""),"AllowTrade")</f>
        <v>AllowTrade</v>
      </c>
      <c r="L5" s="36" t="str">
        <f>IFERROR(__xludf.DUMMYFUNCTION("""COMPUTED_VALUE"""),"ClickonMultiple")</f>
        <v>ClickonMultiple</v>
      </c>
      <c r="M5" s="36" t="str">
        <f>IFERROR(__xludf.DUMMYFUNCTION("""COMPUTED_VALUE"""),"Trade")</f>
        <v>Trade</v>
      </c>
      <c r="N5" s="36" t="str">
        <f>IFERROR(__xludf.DUMMYFUNCTION("""COMPUTED_VALUE"""),"PendingApprovalPopUp")</f>
        <v>PendingApprovalPopUp</v>
      </c>
      <c r="O5" s="36" t="str">
        <f>IFERROR(__xludf.DUMMYFUNCTION("""COMPUTED_VALUE"""),"VerifyExportState")</f>
        <v>VerifyExportState</v>
      </c>
      <c r="P5" s="36"/>
      <c r="Q5" s="36"/>
      <c r="R5" s="36"/>
      <c r="S5" s="36"/>
      <c r="T5" s="34"/>
      <c r="U5" s="34"/>
      <c r="V5" s="34"/>
      <c r="W5" s="34"/>
      <c r="X5" s="34"/>
      <c r="Y5" s="34"/>
      <c r="Z5" s="34"/>
      <c r="AA5" s="34"/>
      <c r="AB5" s="34"/>
      <c r="AC5" s="34"/>
      <c r="AD5" s="34"/>
      <c r="AE5" s="34"/>
      <c r="AF5" s="34"/>
      <c r="AG5" s="34"/>
      <c r="AH5" s="34"/>
      <c r="AI5" s="34"/>
      <c r="AJ5" s="34"/>
      <c r="AK5" s="34"/>
      <c r="AL5" s="34"/>
      <c r="AM5" s="34"/>
      <c r="AN5" s="34"/>
      <c r="AO5" s="34"/>
      <c r="AP5" s="34"/>
      <c r="AQ5" s="34"/>
      <c r="AR5" s="34"/>
      <c r="AS5" s="34"/>
      <c r="AT5" s="34"/>
      <c r="AU5" s="34"/>
      <c r="AV5" s="34"/>
      <c r="AW5" s="34"/>
      <c r="AX5" s="34"/>
      <c r="AY5" s="34"/>
      <c r="AZ5" s="34"/>
      <c r="BA5" s="34"/>
      <c r="BB5" s="34"/>
      <c r="BC5" s="34"/>
      <c r="BD5" s="34"/>
      <c r="BE5" s="34"/>
      <c r="BF5" s="34"/>
      <c r="BG5" s="34"/>
      <c r="BH5" s="34"/>
      <c r="BI5" s="34"/>
      <c r="BJ5" s="34"/>
      <c r="BK5" s="34"/>
      <c r="BL5" s="34"/>
      <c r="BM5" s="34"/>
      <c r="BN5" s="34"/>
      <c r="BO5" s="34"/>
      <c r="BP5" s="34"/>
      <c r="BQ5" s="34"/>
      <c r="BR5" s="34"/>
      <c r="BS5" s="34"/>
      <c r="BT5" s="34"/>
      <c r="BU5" s="34"/>
      <c r="BV5" s="34"/>
      <c r="BW5" s="34"/>
      <c r="BX5" s="34"/>
      <c r="BY5" s="34"/>
      <c r="BZ5" s="34"/>
      <c r="CA5" s="34"/>
      <c r="CB5" s="34"/>
      <c r="CC5" s="34"/>
      <c r="CD5" s="34"/>
      <c r="CE5" s="34"/>
      <c r="CF5" s="34"/>
      <c r="CG5" s="34"/>
      <c r="CH5" s="34"/>
      <c r="CI5" s="34"/>
      <c r="CJ5" s="34"/>
      <c r="CK5" s="34"/>
      <c r="CL5" s="34"/>
      <c r="CM5" s="34"/>
      <c r="CN5" s="34"/>
      <c r="CO5" s="34"/>
      <c r="CP5" s="34"/>
      <c r="CQ5" s="34"/>
      <c r="CR5" s="34"/>
      <c r="CS5" s="34"/>
      <c r="CT5" s="34"/>
      <c r="CU5" s="34"/>
      <c r="CV5" s="34"/>
      <c r="CW5" s="34"/>
      <c r="CX5" s="34"/>
      <c r="CY5" s="34"/>
      <c r="CZ5" s="34"/>
      <c r="DA5" s="34"/>
      <c r="DB5" s="34"/>
      <c r="DC5" s="34"/>
      <c r="DD5" s="34"/>
      <c r="DE5" s="34"/>
      <c r="DF5" s="34"/>
      <c r="DG5" s="34"/>
      <c r="DH5" s="34"/>
      <c r="DI5" s="34"/>
      <c r="DJ5" s="34"/>
      <c r="DK5" s="34"/>
      <c r="DL5" s="34"/>
      <c r="DM5" s="34"/>
      <c r="DN5" s="34"/>
      <c r="DO5" s="34"/>
      <c r="DP5" s="34"/>
      <c r="DQ5" s="34"/>
      <c r="DR5" s="34"/>
      <c r="DS5" s="34"/>
      <c r="DT5" s="34"/>
      <c r="DU5" s="34"/>
      <c r="DV5" s="34"/>
      <c r="DW5" s="34"/>
      <c r="DX5" s="34"/>
      <c r="DY5" s="34"/>
      <c r="DZ5" s="34"/>
      <c r="EA5" s="34"/>
      <c r="EB5" s="34"/>
      <c r="EC5" s="34"/>
      <c r="ED5" s="34"/>
      <c r="EE5" s="34"/>
      <c r="EF5" s="34"/>
      <c r="EG5" s="34"/>
      <c r="EH5" s="34"/>
      <c r="EI5" s="34"/>
      <c r="EJ5" s="34"/>
      <c r="EK5" s="34"/>
      <c r="EL5" s="34"/>
      <c r="EM5" s="34"/>
      <c r="EN5" s="34"/>
      <c r="EO5" s="34"/>
      <c r="EP5" s="34"/>
      <c r="EQ5" s="34"/>
      <c r="ER5" s="34"/>
      <c r="ES5" s="34"/>
      <c r="ET5" s="34"/>
      <c r="EU5" s="34"/>
      <c r="EV5" s="34"/>
      <c r="EW5" s="34"/>
      <c r="EX5" s="34"/>
    </row>
    <row r="6" ht="15.75" customHeight="1">
      <c r="A6" s="12"/>
      <c r="B6" s="12" t="s">
        <v>115</v>
      </c>
      <c r="C6" s="8"/>
      <c r="D6" s="12"/>
      <c r="E6" s="35"/>
      <c r="F6" s="8"/>
      <c r="G6" s="8"/>
      <c r="H6" s="8"/>
      <c r="I6" s="8"/>
      <c r="J6" s="8"/>
      <c r="K6" s="12" t="s">
        <v>116</v>
      </c>
      <c r="L6" s="8"/>
      <c r="M6" s="12" t="s">
        <v>108</v>
      </c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VerifyComplianceOrder!$4:$4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109</v>
      </c>
      <c r="D3" s="5" t="s">
        <v>9</v>
      </c>
      <c r="E3" s="22" t="s">
        <v>117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IFERROR(__xludf.DUMMYFUNCTION("IF(C3="""","""",Transpose(IMPORTRANGE('_Settings'!$B$3,C3&amp;""!A4:A1000"")))"),"CheckOpenFinWindowName")</f>
        <v>CheckOpenFinWindowName</v>
      </c>
      <c r="C4" s="24" t="str">
        <f>IFERROR(__xludf.DUMMYFUNCTION("""COMPUTED_VALUE"""),"OpenWindowFromSearch")</f>
        <v>OpenWindowFromSearch</v>
      </c>
      <c r="D4" s="24" t="str">
        <f>IFERROR(__xludf.DUMMYFUNCTION("""COMPUTED_VALUE"""),"VerifyColour")</f>
        <v>VerifyColour</v>
      </c>
      <c r="E4" s="24" t="str">
        <f>IFERROR(__xludf.DUMMYFUNCTION("""COMPUTED_VALUE"""),"OpenReleaseClient")</f>
        <v>OpenReleaseClient</v>
      </c>
      <c r="F4" s="24" t="str">
        <f>IFERROR(__xludf.DUMMYFUNCTION("""COMPUTED_VALUE"""),"ActionOnPageFromSearch")</f>
        <v>ActionOnPageFromSearch</v>
      </c>
      <c r="G4" s="24" t="str">
        <f>IFERROR(__xludf.DUMMYFUNCTION("""COMPUTED_VALUE"""),"SavePageView")</f>
        <v>SavePageView</v>
      </c>
      <c r="H4" s="24" t="str">
        <f>IFERROR(__xludf.DUMMYFUNCTION("""COMPUTED_VALUE"""),"ChangeThemeOnModule")</f>
        <v>ChangeThemeOnModule</v>
      </c>
      <c r="I4" s="24" t="str">
        <f>IFERROR(__xludf.DUMMYFUNCTION("""COMPUTED_VALUE"""),"CloseService")</f>
        <v>CloseService</v>
      </c>
      <c r="J4" s="24" t="str">
        <f>IFERROR(__xludf.DUMMYFUNCTION("""COMPUTED_VALUE"""),"LogOutSamsara")</f>
        <v>LogOutSamsara</v>
      </c>
      <c r="K4" s="24" t="str">
        <f>IFERROR(__xludf.DUMMYFUNCTION("""COMPUTED_VALUE"""),"ResizeEnsure")</f>
        <v>ResizeEnsure</v>
      </c>
      <c r="L4" s="24" t="str">
        <f>IFERROR(__xludf.DUMMYFUNCTION("""COMPUTED_VALUE"""),"VerifyNotification")</f>
        <v>VerifyNotification</v>
      </c>
      <c r="M4" s="24" t="str">
        <f>IFERROR(__xludf.DUMMYFUNCTION("""COMPUTED_VALUE"""),"LockUnlockModule")</f>
        <v>LockUnlockModule</v>
      </c>
      <c r="N4" s="24" t="str">
        <f>IFERROR(__xludf.DUMMYFUNCTION("""COMPUTED_VALUE"""),"OpenModuleFromDock")</f>
        <v>OpenModuleFromDock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31" t="str">
        <f>IFERROR(__xludf.DUMMYFUNCTION("TRANSPOSE(IMPORTRANGE(VLOOKUP($E$3,IMPORTRANGE('_Settings'!$B$3,$C$3&amp;""!A4:B1000""),2,FALSE),$G$3&amp;""!A4:A1000""))"),"")</f>
        <v/>
      </c>
      <c r="B5" s="36" t="str">
        <f>IFERROR(__xludf.DUMMYFUNCTION("""COMPUTED_VALUE"""),"OpenWindow")</f>
        <v>OpenWindow</v>
      </c>
      <c r="C5" s="36"/>
      <c r="D5" s="36"/>
      <c r="E5" s="36"/>
      <c r="F5" s="32"/>
      <c r="G5" s="36"/>
      <c r="H5" s="36"/>
      <c r="I5" s="36"/>
      <c r="J5" s="36"/>
      <c r="K5" s="36"/>
      <c r="L5" s="36"/>
      <c r="M5" s="36"/>
      <c r="N5" s="36"/>
      <c r="O5" s="36"/>
      <c r="P5" s="36"/>
      <c r="Q5" s="36"/>
      <c r="R5" s="36"/>
      <c r="S5" s="36"/>
      <c r="T5" s="34"/>
      <c r="U5" s="34"/>
      <c r="V5" s="34"/>
      <c r="W5" s="34"/>
      <c r="X5" s="34"/>
      <c r="Y5" s="34"/>
      <c r="Z5" s="34"/>
      <c r="AA5" s="34"/>
      <c r="AB5" s="34"/>
      <c r="AC5" s="34"/>
      <c r="AD5" s="34"/>
      <c r="AE5" s="34"/>
      <c r="AF5" s="34"/>
      <c r="AG5" s="34"/>
      <c r="AH5" s="34"/>
      <c r="AI5" s="34"/>
      <c r="AJ5" s="34"/>
      <c r="AK5" s="34"/>
      <c r="AL5" s="34"/>
      <c r="AM5" s="34"/>
      <c r="AN5" s="34"/>
      <c r="AO5" s="34"/>
      <c r="AP5" s="34"/>
      <c r="AQ5" s="34"/>
      <c r="AR5" s="34"/>
      <c r="AS5" s="34"/>
      <c r="AT5" s="34"/>
      <c r="AU5" s="34"/>
      <c r="AV5" s="34"/>
      <c r="AW5" s="34"/>
      <c r="AX5" s="34"/>
      <c r="AY5" s="34"/>
      <c r="AZ5" s="34"/>
      <c r="BA5" s="34"/>
      <c r="BB5" s="34"/>
      <c r="BC5" s="34"/>
      <c r="BD5" s="34"/>
      <c r="BE5" s="34"/>
      <c r="BF5" s="34"/>
      <c r="BG5" s="34"/>
      <c r="BH5" s="34"/>
      <c r="BI5" s="34"/>
      <c r="BJ5" s="34"/>
      <c r="BK5" s="34"/>
      <c r="BL5" s="34"/>
      <c r="BM5" s="34"/>
      <c r="BN5" s="34"/>
      <c r="BO5" s="34"/>
      <c r="BP5" s="34"/>
      <c r="BQ5" s="34"/>
      <c r="BR5" s="34"/>
      <c r="BS5" s="34"/>
      <c r="BT5" s="34"/>
      <c r="BU5" s="34"/>
      <c r="BV5" s="34"/>
      <c r="BW5" s="34"/>
      <c r="BX5" s="34"/>
      <c r="BY5" s="34"/>
      <c r="BZ5" s="34"/>
      <c r="CA5" s="34"/>
      <c r="CB5" s="34"/>
      <c r="CC5" s="34"/>
      <c r="CD5" s="34"/>
      <c r="CE5" s="34"/>
      <c r="CF5" s="34"/>
      <c r="CG5" s="34"/>
      <c r="CH5" s="34"/>
      <c r="CI5" s="34"/>
      <c r="CJ5" s="34"/>
      <c r="CK5" s="34"/>
      <c r="CL5" s="34"/>
      <c r="CM5" s="34"/>
      <c r="CN5" s="34"/>
      <c r="CO5" s="34"/>
      <c r="CP5" s="34"/>
      <c r="CQ5" s="34"/>
      <c r="CR5" s="34"/>
      <c r="CS5" s="34"/>
      <c r="CT5" s="34"/>
      <c r="CU5" s="34"/>
      <c r="CV5" s="34"/>
      <c r="CW5" s="34"/>
      <c r="CX5" s="34"/>
      <c r="CY5" s="34"/>
      <c r="CZ5" s="34"/>
      <c r="DA5" s="34"/>
      <c r="DB5" s="34"/>
      <c r="DC5" s="34"/>
      <c r="DD5" s="34"/>
      <c r="DE5" s="34"/>
      <c r="DF5" s="34"/>
      <c r="DG5" s="34"/>
      <c r="DH5" s="34"/>
      <c r="DI5" s="34"/>
      <c r="DJ5" s="34"/>
      <c r="DK5" s="34"/>
      <c r="DL5" s="34"/>
      <c r="DM5" s="34"/>
      <c r="DN5" s="34"/>
      <c r="DO5" s="34"/>
      <c r="DP5" s="34"/>
      <c r="DQ5" s="34"/>
      <c r="DR5" s="34"/>
      <c r="DS5" s="34"/>
      <c r="DT5" s="34"/>
      <c r="DU5" s="34"/>
      <c r="DV5" s="34"/>
      <c r="DW5" s="34"/>
      <c r="DX5" s="34"/>
      <c r="DY5" s="34"/>
      <c r="DZ5" s="34"/>
      <c r="EA5" s="34"/>
      <c r="EB5" s="34"/>
      <c r="EC5" s="34"/>
      <c r="ED5" s="34"/>
      <c r="EE5" s="34"/>
      <c r="EF5" s="34"/>
      <c r="EG5" s="34"/>
      <c r="EH5" s="34"/>
      <c r="EI5" s="34"/>
      <c r="EJ5" s="34"/>
      <c r="EK5" s="34"/>
      <c r="EL5" s="34"/>
      <c r="EM5" s="34"/>
      <c r="EN5" s="34"/>
      <c r="EO5" s="34"/>
      <c r="EP5" s="34"/>
      <c r="EQ5" s="34"/>
      <c r="ER5" s="34"/>
      <c r="ES5" s="34"/>
      <c r="ET5" s="34"/>
      <c r="EU5" s="34"/>
      <c r="EV5" s="34"/>
      <c r="EW5" s="34"/>
      <c r="EX5" s="34"/>
    </row>
    <row r="6" ht="15.75" customHeight="1">
      <c r="A6" s="12"/>
      <c r="B6" s="9" t="s">
        <v>111</v>
      </c>
      <c r="C6" s="8"/>
      <c r="D6" s="12"/>
      <c r="E6" s="35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LockUnlockModule!$4:$4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 t="str">
        <f>IFERROR(__xludf.DUMMYFUNCTION("""COMPUTED_VALUE"""),"SymbolSuggestionVerify")</f>
        <v>SymbolSuggestionVerify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31"/>
      <c r="B5" s="32" t="s">
        <v>58</v>
      </c>
      <c r="C5" s="32" t="s">
        <v>59</v>
      </c>
      <c r="D5" s="32" t="s">
        <v>60</v>
      </c>
      <c r="E5" s="32" t="s">
        <v>61</v>
      </c>
      <c r="F5" s="32" t="s">
        <v>62</v>
      </c>
      <c r="G5" s="32" t="s">
        <v>63</v>
      </c>
      <c r="H5" s="32" t="s">
        <v>44</v>
      </c>
      <c r="I5" s="32" t="s">
        <v>64</v>
      </c>
      <c r="J5" s="32" t="s">
        <v>65</v>
      </c>
      <c r="K5" s="32" t="s">
        <v>66</v>
      </c>
      <c r="L5" s="32" t="s">
        <v>67</v>
      </c>
      <c r="M5" s="32" t="s">
        <v>68</v>
      </c>
      <c r="N5" s="32" t="s">
        <v>69</v>
      </c>
      <c r="O5" s="32" t="s">
        <v>70</v>
      </c>
      <c r="P5" s="32" t="s">
        <v>71</v>
      </c>
      <c r="Q5" s="32" t="s">
        <v>72</v>
      </c>
      <c r="R5" s="32" t="s">
        <v>73</v>
      </c>
      <c r="S5" s="32" t="s">
        <v>74</v>
      </c>
      <c r="T5" s="33" t="s">
        <v>75</v>
      </c>
      <c r="U5" s="33" t="s">
        <v>76</v>
      </c>
      <c r="V5" s="33" t="s">
        <v>77</v>
      </c>
      <c r="W5" s="33" t="s">
        <v>78</v>
      </c>
      <c r="X5" s="33" t="s">
        <v>79</v>
      </c>
      <c r="Y5" s="33" t="s">
        <v>80</v>
      </c>
      <c r="Z5" s="33" t="s">
        <v>81</v>
      </c>
      <c r="AA5" s="33" t="s">
        <v>82</v>
      </c>
      <c r="AB5" s="33" t="s">
        <v>83</v>
      </c>
      <c r="AC5" s="33" t="s">
        <v>84</v>
      </c>
      <c r="AD5" s="33" t="s">
        <v>85</v>
      </c>
      <c r="AE5" s="33" t="s">
        <v>86</v>
      </c>
      <c r="AF5" s="33" t="s">
        <v>87</v>
      </c>
      <c r="AG5" s="33" t="s">
        <v>88</v>
      </c>
      <c r="AH5" s="33" t="s">
        <v>89</v>
      </c>
      <c r="AI5" s="33" t="s">
        <v>16</v>
      </c>
      <c r="AJ5" s="33" t="s">
        <v>90</v>
      </c>
      <c r="AK5" s="33" t="s">
        <v>91</v>
      </c>
      <c r="AL5" s="33" t="s">
        <v>92</v>
      </c>
      <c r="AM5" s="33" t="s">
        <v>93</v>
      </c>
      <c r="AN5" s="33" t="s">
        <v>94</v>
      </c>
      <c r="AO5" s="33" t="s">
        <v>95</v>
      </c>
      <c r="AP5" s="33" t="s">
        <v>96</v>
      </c>
      <c r="AQ5" s="33" t="s">
        <v>97</v>
      </c>
      <c r="AR5" s="33" t="s">
        <v>98</v>
      </c>
      <c r="AS5" s="33" t="s">
        <v>41</v>
      </c>
      <c r="AT5" s="33" t="s">
        <v>30</v>
      </c>
      <c r="AU5" s="33" t="s">
        <v>36</v>
      </c>
      <c r="AV5" s="33" t="s">
        <v>99</v>
      </c>
      <c r="AW5" s="33" t="s">
        <v>100</v>
      </c>
      <c r="AX5" s="33" t="s">
        <v>101</v>
      </c>
      <c r="AY5" s="33" t="s">
        <v>102</v>
      </c>
      <c r="AZ5" s="33" t="s">
        <v>103</v>
      </c>
      <c r="BA5" s="33" t="s">
        <v>104</v>
      </c>
      <c r="BB5" s="34"/>
      <c r="BC5" s="34"/>
      <c r="BD5" s="34"/>
      <c r="BE5" s="34"/>
      <c r="BF5" s="34"/>
      <c r="BG5" s="34"/>
      <c r="BH5" s="34"/>
      <c r="BI5" s="34"/>
      <c r="BJ5" s="34"/>
      <c r="BK5" s="34"/>
      <c r="BL5" s="34"/>
      <c r="BM5" s="34"/>
      <c r="BN5" s="34"/>
      <c r="BO5" s="34"/>
      <c r="BP5" s="34"/>
      <c r="BQ5" s="34"/>
      <c r="BR5" s="34"/>
      <c r="BS5" s="34"/>
      <c r="BT5" s="34"/>
      <c r="BU5" s="34"/>
      <c r="BV5" s="34"/>
      <c r="BW5" s="34"/>
      <c r="BX5" s="34"/>
      <c r="BY5" s="34"/>
      <c r="BZ5" s="34"/>
      <c r="CA5" s="34"/>
      <c r="CB5" s="34"/>
      <c r="CC5" s="34"/>
      <c r="CD5" s="34"/>
      <c r="CE5" s="34"/>
      <c r="CF5" s="34"/>
      <c r="CG5" s="34"/>
      <c r="CH5" s="34"/>
      <c r="CI5" s="34"/>
      <c r="CJ5" s="34"/>
      <c r="CK5" s="34"/>
      <c r="CL5" s="34"/>
      <c r="CM5" s="34"/>
      <c r="CN5" s="34"/>
      <c r="CO5" s="34"/>
      <c r="CP5" s="34"/>
      <c r="CQ5" s="34"/>
      <c r="CR5" s="34"/>
      <c r="CS5" s="34"/>
      <c r="CT5" s="34"/>
      <c r="CU5" s="34"/>
      <c r="CV5" s="34"/>
      <c r="CW5" s="34"/>
      <c r="CX5" s="34"/>
      <c r="CY5" s="34"/>
      <c r="CZ5" s="34"/>
      <c r="DA5" s="34"/>
      <c r="DB5" s="34"/>
      <c r="DC5" s="34"/>
      <c r="DD5" s="34"/>
      <c r="DE5" s="34"/>
      <c r="DF5" s="34"/>
      <c r="DG5" s="34"/>
      <c r="DH5" s="34"/>
      <c r="DI5" s="34"/>
      <c r="DJ5" s="34"/>
      <c r="DK5" s="34"/>
      <c r="DL5" s="34"/>
      <c r="DM5" s="34"/>
      <c r="DN5" s="34"/>
      <c r="DO5" s="34"/>
      <c r="DP5" s="34"/>
      <c r="DQ5" s="34"/>
      <c r="DR5" s="34"/>
      <c r="DS5" s="34"/>
      <c r="DT5" s="34"/>
      <c r="DU5" s="34"/>
      <c r="DV5" s="34"/>
      <c r="DW5" s="34"/>
      <c r="DX5" s="34"/>
      <c r="DY5" s="34"/>
      <c r="DZ5" s="34"/>
      <c r="EA5" s="34"/>
      <c r="EB5" s="34"/>
      <c r="EC5" s="34"/>
      <c r="ED5" s="34"/>
      <c r="EE5" s="34"/>
      <c r="EF5" s="34"/>
      <c r="EG5" s="34"/>
      <c r="EH5" s="34"/>
      <c r="EI5" s="34"/>
      <c r="EJ5" s="34"/>
      <c r="EK5" s="34"/>
      <c r="EL5" s="34"/>
      <c r="EM5" s="34"/>
      <c r="EN5" s="34"/>
      <c r="EO5" s="34"/>
      <c r="EP5" s="34"/>
      <c r="EQ5" s="34"/>
      <c r="ER5" s="34"/>
      <c r="ES5" s="34"/>
      <c r="ET5" s="34"/>
      <c r="EU5" s="34"/>
      <c r="EV5" s="34"/>
      <c r="EW5" s="34"/>
      <c r="EX5" s="34"/>
    </row>
    <row r="6" ht="15.75" customHeight="1">
      <c r="A6" s="12"/>
      <c r="B6" s="12"/>
      <c r="C6" s="8"/>
      <c r="D6" s="12"/>
      <c r="E6" s="35"/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55</v>
      </c>
      <c r="AJ6" s="9" t="s">
        <v>106</v>
      </c>
      <c r="AL6" s="9">
        <v>100.0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TradeNewSubOrder1!$4:$4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109</v>
      </c>
      <c r="D3" s="5" t="s">
        <v>9</v>
      </c>
      <c r="E3" s="22" t="s">
        <v>112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IFERROR(__xludf.DUMMYFUNCTION("IF(C3="""","""",Transpose(IMPORTRANGE('_Settings'!$B$3,C3&amp;""!A4:A1000"")))"),"CheckOpenFinWindowName")</f>
        <v>CheckOpenFinWindowName</v>
      </c>
      <c r="C4" s="24" t="str">
        <f>IFERROR(__xludf.DUMMYFUNCTION("""COMPUTED_VALUE"""),"OpenWindowFromSearch")</f>
        <v>OpenWindowFromSearch</v>
      </c>
      <c r="D4" s="24" t="str">
        <f>IFERROR(__xludf.DUMMYFUNCTION("""COMPUTED_VALUE"""),"VerifyColour")</f>
        <v>VerifyColour</v>
      </c>
      <c r="E4" s="24" t="str">
        <f>IFERROR(__xludf.DUMMYFUNCTION("""COMPUTED_VALUE"""),"OpenReleaseClient")</f>
        <v>OpenReleaseClient</v>
      </c>
      <c r="F4" s="24" t="str">
        <f>IFERROR(__xludf.DUMMYFUNCTION("""COMPUTED_VALUE"""),"ActionOnPageFromSearch")</f>
        <v>ActionOnPageFromSearch</v>
      </c>
      <c r="G4" s="24" t="str">
        <f>IFERROR(__xludf.DUMMYFUNCTION("""COMPUTED_VALUE"""),"SavePageView")</f>
        <v>SavePageView</v>
      </c>
      <c r="H4" s="24" t="str">
        <f>IFERROR(__xludf.DUMMYFUNCTION("""COMPUTED_VALUE"""),"ChangeThemeOnModule")</f>
        <v>ChangeThemeOnModule</v>
      </c>
      <c r="I4" s="24" t="str">
        <f>IFERROR(__xludf.DUMMYFUNCTION("""COMPUTED_VALUE"""),"CloseService")</f>
        <v>CloseService</v>
      </c>
      <c r="J4" s="24" t="str">
        <f>IFERROR(__xludf.DUMMYFUNCTION("""COMPUTED_VALUE"""),"LogOutSamsara")</f>
        <v>LogOutSamsara</v>
      </c>
      <c r="K4" s="24" t="str">
        <f>IFERROR(__xludf.DUMMYFUNCTION("""COMPUTED_VALUE"""),"ResizeEnsure")</f>
        <v>ResizeEnsure</v>
      </c>
      <c r="L4" s="24" t="str">
        <f>IFERROR(__xludf.DUMMYFUNCTION("""COMPUTED_VALUE"""),"VerifyNotification")</f>
        <v>VerifyNotification</v>
      </c>
      <c r="M4" s="24" t="str">
        <f>IFERROR(__xludf.DUMMYFUNCTION("""COMPUTED_VALUE"""),"LockUnlockModule")</f>
        <v>LockUnlockModule</v>
      </c>
      <c r="N4" s="24" t="str">
        <f>IFERROR(__xludf.DUMMYFUNCTION("""COMPUTED_VALUE"""),"OpenModuleFromDock")</f>
        <v>OpenModuleFromDock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31" t="str">
        <f>IFERROR(__xludf.DUMMYFUNCTION("TRANSPOSE(IMPORTRANGE(VLOOKUP($E$3,IMPORTRANGE('_Settings'!$B$3,$C$3&amp;""!A4:B1000""),2,FALSE),$G$3&amp;""!A4:A1000""))"),"")</f>
        <v/>
      </c>
      <c r="B5" s="36" t="str">
        <f>IFERROR(__xludf.DUMMYFUNCTION("""COMPUTED_VALUE"""),"WindowName")</f>
        <v>WindowName</v>
      </c>
      <c r="C5" s="36" t="str">
        <f>IFERROR(__xludf.DUMMYFUNCTION("""COMPUTED_VALUE"""),"WindowPresentOrNot")</f>
        <v>WindowPresentOrNot</v>
      </c>
      <c r="D5" s="36"/>
      <c r="E5" s="36"/>
      <c r="F5" s="32"/>
      <c r="G5" s="36"/>
      <c r="H5" s="36"/>
      <c r="I5" s="36"/>
      <c r="J5" s="36"/>
      <c r="K5" s="36"/>
      <c r="L5" s="36"/>
      <c r="M5" s="36"/>
      <c r="N5" s="36"/>
      <c r="O5" s="36"/>
      <c r="P5" s="36"/>
      <c r="Q5" s="36"/>
      <c r="R5" s="36"/>
      <c r="S5" s="36"/>
      <c r="T5" s="34"/>
      <c r="U5" s="34"/>
      <c r="V5" s="34"/>
      <c r="W5" s="34"/>
      <c r="X5" s="34"/>
      <c r="Y5" s="34"/>
      <c r="Z5" s="34"/>
      <c r="AA5" s="34"/>
      <c r="AB5" s="34"/>
      <c r="AC5" s="34"/>
      <c r="AD5" s="34"/>
      <c r="AE5" s="34"/>
      <c r="AF5" s="34"/>
      <c r="AG5" s="34"/>
      <c r="AH5" s="34"/>
      <c r="AI5" s="34"/>
      <c r="AJ5" s="34"/>
      <c r="AK5" s="34"/>
      <c r="AL5" s="34"/>
      <c r="AM5" s="34"/>
      <c r="AN5" s="34"/>
      <c r="AO5" s="34"/>
      <c r="AP5" s="34"/>
      <c r="AQ5" s="34"/>
      <c r="AR5" s="34"/>
      <c r="AS5" s="34"/>
      <c r="AT5" s="34"/>
      <c r="AU5" s="34"/>
      <c r="AV5" s="34"/>
      <c r="AW5" s="34"/>
      <c r="AX5" s="34"/>
      <c r="AY5" s="34"/>
      <c r="AZ5" s="34"/>
      <c r="BA5" s="34"/>
      <c r="BB5" s="34"/>
      <c r="BC5" s="34"/>
      <c r="BD5" s="34"/>
      <c r="BE5" s="34"/>
      <c r="BF5" s="34"/>
      <c r="BG5" s="34"/>
      <c r="BH5" s="34"/>
      <c r="BI5" s="34"/>
      <c r="BJ5" s="34"/>
      <c r="BK5" s="34"/>
      <c r="BL5" s="34"/>
      <c r="BM5" s="34"/>
      <c r="BN5" s="34"/>
      <c r="BO5" s="34"/>
      <c r="BP5" s="34"/>
      <c r="BQ5" s="34"/>
      <c r="BR5" s="34"/>
      <c r="BS5" s="34"/>
      <c r="BT5" s="34"/>
      <c r="BU5" s="34"/>
      <c r="BV5" s="34"/>
      <c r="BW5" s="34"/>
      <c r="BX5" s="34"/>
      <c r="BY5" s="34"/>
      <c r="BZ5" s="34"/>
      <c r="CA5" s="34"/>
      <c r="CB5" s="34"/>
      <c r="CC5" s="34"/>
      <c r="CD5" s="34"/>
      <c r="CE5" s="34"/>
      <c r="CF5" s="34"/>
      <c r="CG5" s="34"/>
      <c r="CH5" s="34"/>
      <c r="CI5" s="34"/>
      <c r="CJ5" s="34"/>
      <c r="CK5" s="34"/>
      <c r="CL5" s="34"/>
      <c r="CM5" s="34"/>
      <c r="CN5" s="34"/>
      <c r="CO5" s="34"/>
      <c r="CP5" s="34"/>
      <c r="CQ5" s="34"/>
      <c r="CR5" s="34"/>
      <c r="CS5" s="34"/>
      <c r="CT5" s="34"/>
      <c r="CU5" s="34"/>
      <c r="CV5" s="34"/>
      <c r="CW5" s="34"/>
      <c r="CX5" s="34"/>
      <c r="CY5" s="34"/>
      <c r="CZ5" s="34"/>
      <c r="DA5" s="34"/>
      <c r="DB5" s="34"/>
      <c r="DC5" s="34"/>
      <c r="DD5" s="34"/>
      <c r="DE5" s="34"/>
      <c r="DF5" s="34"/>
      <c r="DG5" s="34"/>
      <c r="DH5" s="34"/>
      <c r="DI5" s="34"/>
      <c r="DJ5" s="34"/>
      <c r="DK5" s="34"/>
      <c r="DL5" s="34"/>
      <c r="DM5" s="34"/>
      <c r="DN5" s="34"/>
      <c r="DO5" s="34"/>
      <c r="DP5" s="34"/>
      <c r="DQ5" s="34"/>
      <c r="DR5" s="34"/>
      <c r="DS5" s="34"/>
      <c r="DT5" s="34"/>
      <c r="DU5" s="34"/>
      <c r="DV5" s="34"/>
      <c r="DW5" s="34"/>
      <c r="DX5" s="34"/>
      <c r="DY5" s="34"/>
      <c r="DZ5" s="34"/>
      <c r="EA5" s="34"/>
      <c r="EB5" s="34"/>
      <c r="EC5" s="34"/>
      <c r="ED5" s="34"/>
      <c r="EE5" s="34"/>
      <c r="EF5" s="34"/>
      <c r="EG5" s="34"/>
      <c r="EH5" s="34"/>
      <c r="EI5" s="34"/>
      <c r="EJ5" s="34"/>
      <c r="EK5" s="34"/>
      <c r="EL5" s="34"/>
      <c r="EM5" s="34"/>
      <c r="EN5" s="34"/>
      <c r="EO5" s="34"/>
      <c r="EP5" s="34"/>
      <c r="EQ5" s="34"/>
      <c r="ER5" s="34"/>
      <c r="ES5" s="34"/>
      <c r="ET5" s="34"/>
      <c r="EU5" s="34"/>
      <c r="EV5" s="34"/>
      <c r="EW5" s="34"/>
      <c r="EX5" s="34"/>
    </row>
    <row r="6" ht="15.75" customHeight="1">
      <c r="A6" s="12"/>
      <c r="B6" s="12" t="s">
        <v>118</v>
      </c>
      <c r="C6" s="12" t="b">
        <v>0</v>
      </c>
      <c r="D6" s="12"/>
      <c r="E6" s="35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CheckOpenFinWindowName1!$4:$4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