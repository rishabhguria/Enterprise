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RestartClient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ExerciseAssignment" sheetId="11" r:id="rId13"/>
    <sheet state="visible" name="GetDataAllocation" sheetId="12" r:id="rId14"/>
    <sheet state="visible" name="CheckPortfolioManagement" sheetId="13" r:id="rId15"/>
    <sheet state="visible" name="Copy of Data_conflict94277444" sheetId="14" r:id="rId16"/>
    <sheet state="visible" name="CheckAllocatedGroups" sheetId="15" r:id="rId17"/>
    <sheet state="visible" name="SelectTradeUnexpiredUnsettled" sheetId="16" r:id="rId18"/>
    <sheet state="visible" name="CleanUp" sheetId="17" r:id="rId19"/>
    <sheet state="visible" name="ClosingCleanUp" sheetId="18" r:id="rId20"/>
  </sheets>
  <definedNames/>
  <calcPr/>
</workbook>
</file>

<file path=xl/sharedStrings.xml><?xml version="1.0" encoding="utf-8"?>
<sst xmlns="http://schemas.openxmlformats.org/spreadsheetml/2006/main" count="349" uniqueCount="57">
  <si>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</si>
  <si>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</si>
  <si>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</si>
  <si>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</si>
  <si>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</si>
  <si>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</si>
  <si>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</si>
  <si>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</si>
  <si>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</si>
  <si>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</si>
  <si>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</si>
  <si>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</si>
  <si>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</si>
  <si>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</si>
  <si>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</si>
  <si>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</si>
  <si>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</si>
  <si>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TradingTicket</t>
  </si>
  <si>
    <t>CreateDoneAwayOrder</t>
  </si>
  <si>
    <t>msft</t>
  </si>
  <si>
    <t>buy</t>
  </si>
  <si>
    <t>Closing</t>
  </si>
  <si>
    <t>SetClosingPreference</t>
  </si>
  <si>
    <t>BTAX</t>
  </si>
  <si>
    <t>AAPL</t>
  </si>
  <si>
    <t>Buy</t>
  </si>
  <si>
    <t>Allocation1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</si>
  <si>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</si>
  <si>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</si>
  <si>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</si>
  <si>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</si>
  <si>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</si>
  <si>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</si>
  <si>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</si>
  <si>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</si>
  <si>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</si>
  <si>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ExerciseAssignment</t>
  </si>
  <si>
    <t>Allocation</t>
  </si>
  <si>
    <t>GetDataAllocation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</si>
  <si>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</si>
  <si>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</si>
  <si>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</si>
  <si>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</si>
  <si>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</si>
  <si>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</si>
  <si>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</si>
  <si>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</si>
  <si>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</si>
  <si>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</si>
  <si>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>USD</t>
  </si>
  <si>
    <t>MS</t>
  </si>
  <si>
    <t>EquityOption</t>
  </si>
  <si>
    <t>OPTS</t>
  </si>
  <si>
    <t>PUT</t>
  </si>
  <si>
    <t>Buy to Close</t>
  </si>
  <si>
    <t>CheckAllocatedGroups</t>
  </si>
  <si>
    <t>SelectTradeUnexpiredUnsettled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</si>
</sst>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31">
        <f>TODAY()+2</f>
        <v>45072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 t="s">
        <v>20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 t="s">
        <v>23</v>
      </c>
      <c r="D6" s="33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5" t="s">
        <v>24</v>
      </c>
      <c r="C6" s="35" t="s">
        <v>25</v>
      </c>
      <c r="D6" s="36">
        <v>1100.0</v>
      </c>
      <c r="E6" s="36">
        <v>1100.0</v>
      </c>
      <c r="F6" s="35" t="s">
        <v>26</v>
      </c>
      <c r="G6" s="33"/>
      <c r="H6" s="33"/>
      <c r="I6" s="33"/>
      <c r="J6" s="36">
        <v>1.0</v>
      </c>
      <c r="K6" s="33"/>
      <c r="L6" s="33"/>
      <c r="M6" s="33"/>
      <c r="N6" s="31">
        <f>TODAY()-10</f>
        <v>45060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5" t="s">
        <v>27</v>
      </c>
      <c r="D7" s="36">
        <v>10.0</v>
      </c>
      <c r="E7" s="36">
        <v>10.0</v>
      </c>
      <c r="F7" s="35" t="s">
        <v>26</v>
      </c>
      <c r="G7" s="33"/>
      <c r="H7" s="33"/>
      <c r="I7" s="33"/>
      <c r="J7" s="36">
        <v>10.0</v>
      </c>
      <c r="K7" s="33"/>
      <c r="L7" s="33"/>
      <c r="M7" s="33"/>
      <c r="N7" s="31">
        <f t="shared" ref="N7:N9" si="1">TODAY()-15</f>
        <v>45055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5" t="s">
        <v>27</v>
      </c>
      <c r="D8" s="36">
        <v>10.0</v>
      </c>
      <c r="E8" s="36">
        <v>10.0</v>
      </c>
      <c r="F8" s="35" t="s">
        <v>26</v>
      </c>
      <c r="G8" s="33" t="s">
        <v>28</v>
      </c>
      <c r="H8" s="33"/>
      <c r="I8" s="33"/>
      <c r="J8" s="36">
        <v>10.0</v>
      </c>
      <c r="K8" s="33"/>
      <c r="L8" s="33"/>
      <c r="M8" s="33"/>
      <c r="N8" s="31">
        <f t="shared" si="1"/>
        <v>45055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5" t="s">
        <v>27</v>
      </c>
      <c r="D9" s="36">
        <v>10.0</v>
      </c>
      <c r="E9" s="36">
        <v>10.0</v>
      </c>
      <c r="F9" s="35" t="s">
        <v>26</v>
      </c>
      <c r="G9" s="33"/>
      <c r="H9" s="33"/>
      <c r="I9" s="33"/>
      <c r="J9" s="36">
        <v>10.0</v>
      </c>
      <c r="K9" s="33"/>
      <c r="L9" s="33"/>
      <c r="M9" s="35" t="s">
        <v>29</v>
      </c>
      <c r="N9" s="31">
        <f t="shared" si="1"/>
        <v>45055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45069</v>
      </c>
      <c r="C6" s="31">
        <f>today()</f>
        <v>45070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24</v>
      </c>
      <c r="C6" s="36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34</v>
      </c>
      <c r="C6" s="31" t="s">
        <v>35</v>
      </c>
      <c r="D6" s="31">
        <f>TODAY()</f>
        <v>45070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34</v>
      </c>
      <c r="C6" s="31" t="s">
        <v>35</v>
      </c>
      <c r="D6" s="31">
        <f>TODAY()</f>
        <v>45070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24</v>
      </c>
      <c r="D6" s="8">
        <v>1100.0</v>
      </c>
      <c r="E6" s="8" t="s">
        <v>26</v>
      </c>
      <c r="F6" s="8" t="s">
        <v>41</v>
      </c>
      <c r="G6" s="8"/>
      <c r="H6" s="8" t="s">
        <v>42</v>
      </c>
      <c r="I6" s="8"/>
      <c r="J6" s="8"/>
      <c r="K6" s="8"/>
      <c r="L6" s="8"/>
      <c r="M6" s="8"/>
      <c r="N6" s="8"/>
      <c r="O6" s="8" t="s">
        <v>43</v>
      </c>
      <c r="R6" t="s">
        <v>44</v>
      </c>
      <c r="S6" t="s">
        <v>45</v>
      </c>
      <c r="T6" t="s">
        <v>46</v>
      </c>
      <c r="U6" t="s">
        <v>47</v>
      </c>
      <c r="V6" t="s">
        <v>48</v>
      </c>
      <c r="W6" t="s">
        <v>49</v>
      </c>
      <c r="AN6" t="s">
        <v>25</v>
      </c>
      <c r="AP6" t="s">
        <v>42</v>
      </c>
      <c r="AQ6" t="s">
        <v>24</v>
      </c>
      <c r="BR6" t="s">
        <v>50</v>
      </c>
      <c r="BU6" t="s">
        <v>46</v>
      </c>
    </row>
    <row r="7" ht="15.75" customHeight="1">
      <c r="A7" s="8"/>
      <c r="B7" s="8"/>
      <c r="C7" s="8" t="s">
        <v>16</v>
      </c>
      <c r="D7" s="8">
        <v>-10.0</v>
      </c>
      <c r="E7" s="8" t="s">
        <v>26</v>
      </c>
      <c r="F7" s="8" t="s">
        <v>41</v>
      </c>
      <c r="G7" s="8"/>
      <c r="H7" s="8" t="s">
        <v>29</v>
      </c>
      <c r="I7" s="8"/>
      <c r="J7" s="8"/>
      <c r="K7" s="8"/>
      <c r="L7" s="8"/>
      <c r="M7" s="8"/>
      <c r="N7" s="8"/>
      <c r="O7" s="8" t="s">
        <v>16</v>
      </c>
      <c r="R7" t="s">
        <v>44</v>
      </c>
      <c r="S7" t="s">
        <v>45</v>
      </c>
      <c r="T7" t="s">
        <v>51</v>
      </c>
      <c r="U7" t="s">
        <v>47</v>
      </c>
      <c r="V7" t="s">
        <v>52</v>
      </c>
      <c r="W7" t="s">
        <v>49</v>
      </c>
      <c r="AN7" t="s">
        <v>27</v>
      </c>
      <c r="AP7" t="s">
        <v>42</v>
      </c>
      <c r="AQ7" t="s">
        <v>24</v>
      </c>
      <c r="BR7" t="s">
        <v>50</v>
      </c>
      <c r="BU7" t="s">
        <v>53</v>
      </c>
    </row>
    <row r="8" ht="15.75" customHeight="1">
      <c r="A8" s="8"/>
      <c r="B8" s="8"/>
      <c r="C8" s="8" t="s">
        <v>16</v>
      </c>
      <c r="D8" s="8">
        <v>-10.0</v>
      </c>
      <c r="E8" s="8" t="s">
        <v>26</v>
      </c>
      <c r="F8" s="8" t="s">
        <v>41</v>
      </c>
      <c r="G8" s="8"/>
      <c r="H8" s="8" t="s">
        <v>29</v>
      </c>
      <c r="I8" s="8"/>
      <c r="J8" s="8"/>
      <c r="K8" s="8"/>
      <c r="L8" s="8"/>
      <c r="M8" s="8"/>
      <c r="N8" s="8"/>
      <c r="O8" s="8" t="s">
        <v>16</v>
      </c>
      <c r="R8" t="s">
        <v>44</v>
      </c>
      <c r="S8" t="s">
        <v>45</v>
      </c>
      <c r="T8" t="s">
        <v>51</v>
      </c>
      <c r="U8" t="s">
        <v>47</v>
      </c>
      <c r="V8" t="s">
        <v>52</v>
      </c>
      <c r="W8" t="s">
        <v>49</v>
      </c>
      <c r="AN8" t="s">
        <v>27</v>
      </c>
      <c r="AP8" t="s">
        <v>42</v>
      </c>
      <c r="AQ8" t="s">
        <v>24</v>
      </c>
      <c r="BR8" t="s">
        <v>28</v>
      </c>
      <c r="BU8" t="s">
        <v>53</v>
      </c>
    </row>
    <row r="9" ht="15.75" customHeight="1">
      <c r="A9" s="8"/>
      <c r="B9" s="8"/>
      <c r="C9" s="8" t="s">
        <v>16</v>
      </c>
      <c r="D9" s="8">
        <v>-10.0</v>
      </c>
      <c r="E9" s="8" t="s">
        <v>26</v>
      </c>
      <c r="F9" s="8" t="s">
        <v>41</v>
      </c>
      <c r="G9" s="8"/>
      <c r="H9" s="8" t="s">
        <v>29</v>
      </c>
      <c r="I9" s="8"/>
      <c r="J9" s="8"/>
      <c r="K9" s="8"/>
      <c r="L9" s="8"/>
      <c r="M9" s="8"/>
      <c r="N9" s="8"/>
      <c r="O9" s="8" t="s">
        <v>16</v>
      </c>
      <c r="R9" t="s">
        <v>44</v>
      </c>
      <c r="S9" t="s">
        <v>29</v>
      </c>
      <c r="T9" t="s">
        <v>51</v>
      </c>
      <c r="U9" t="s">
        <v>47</v>
      </c>
      <c r="V9" t="s">
        <v>52</v>
      </c>
      <c r="W9" t="s">
        <v>49</v>
      </c>
      <c r="AN9" t="s">
        <v>27</v>
      </c>
      <c r="AP9" t="s">
        <v>42</v>
      </c>
      <c r="AQ9" t="s">
        <v>24</v>
      </c>
      <c r="BR9" t="s">
        <v>50</v>
      </c>
      <c r="BU9" t="s">
        <v>53</v>
      </c>
    </row>
    <row r="10" ht="15.75" customHeight="1">
      <c r="A10" s="8"/>
      <c r="B10" s="8"/>
      <c r="C10" s="8" t="s">
        <v>16</v>
      </c>
      <c r="D10" s="8">
        <v>10.0</v>
      </c>
      <c r="E10" s="8" t="s">
        <v>26</v>
      </c>
      <c r="F10" s="8" t="s">
        <v>41</v>
      </c>
      <c r="G10" s="8"/>
      <c r="H10" s="8" t="s">
        <v>29</v>
      </c>
      <c r="I10" s="8"/>
      <c r="J10" s="8"/>
      <c r="K10" s="8"/>
      <c r="L10" s="8"/>
      <c r="M10" s="8"/>
      <c r="N10" s="8"/>
      <c r="O10" s="8" t="s">
        <v>16</v>
      </c>
      <c r="R10" t="s">
        <v>44</v>
      </c>
      <c r="S10" t="s">
        <v>45</v>
      </c>
      <c r="T10" t="s">
        <v>51</v>
      </c>
      <c r="U10" t="s">
        <v>47</v>
      </c>
      <c r="V10" t="s">
        <v>52</v>
      </c>
      <c r="W10" t="s">
        <v>49</v>
      </c>
      <c r="AN10" t="s">
        <v>54</v>
      </c>
      <c r="AP10" t="s">
        <v>42</v>
      </c>
      <c r="AQ10" t="s">
        <v>24</v>
      </c>
      <c r="BR10" t="s">
        <v>50</v>
      </c>
      <c r="BU10" t="s">
        <v>53</v>
      </c>
    </row>
    <row r="11" ht="15.75" customHeight="1">
      <c r="A11" s="8"/>
      <c r="B11" s="8"/>
      <c r="C11" s="8" t="s">
        <v>16</v>
      </c>
      <c r="D11" s="8">
        <v>10.0</v>
      </c>
      <c r="E11" s="8" t="s">
        <v>26</v>
      </c>
      <c r="F11" s="8" t="s">
        <v>41</v>
      </c>
      <c r="G11" s="8"/>
      <c r="H11" s="8" t="s">
        <v>29</v>
      </c>
      <c r="I11" s="8"/>
      <c r="J11" s="8"/>
      <c r="K11" s="8"/>
      <c r="L11" s="8"/>
      <c r="M11" s="8"/>
      <c r="N11" s="8"/>
      <c r="O11" s="8" t="s">
        <v>16</v>
      </c>
      <c r="R11" t="s">
        <v>44</v>
      </c>
      <c r="S11" t="s">
        <v>45</v>
      </c>
      <c r="T11" t="s">
        <v>51</v>
      </c>
      <c r="U11" t="s">
        <v>47</v>
      </c>
      <c r="V11" t="s">
        <v>52</v>
      </c>
      <c r="W11" t="s">
        <v>49</v>
      </c>
      <c r="AN11" t="s">
        <v>54</v>
      </c>
      <c r="AP11" t="s">
        <v>42</v>
      </c>
      <c r="AQ11" t="s">
        <v>24</v>
      </c>
      <c r="BR11" t="s">
        <v>28</v>
      </c>
      <c r="BU11" t="s">
        <v>53</v>
      </c>
    </row>
    <row r="12" ht="15.75" customHeight="1">
      <c r="A12" s="8"/>
      <c r="B12" s="8"/>
      <c r="C12" s="8" t="s">
        <v>16</v>
      </c>
      <c r="D12" s="8">
        <v>10.0</v>
      </c>
      <c r="E12" s="8" t="s">
        <v>26</v>
      </c>
      <c r="F12" s="8" t="s">
        <v>41</v>
      </c>
      <c r="G12" s="8"/>
      <c r="H12" s="8" t="s">
        <v>29</v>
      </c>
      <c r="I12" s="8"/>
      <c r="J12" s="8"/>
      <c r="K12" s="8"/>
      <c r="L12" s="8"/>
      <c r="M12" s="8"/>
      <c r="N12" s="8"/>
      <c r="O12" s="8" t="s">
        <v>16</v>
      </c>
      <c r="R12" t="s">
        <v>44</v>
      </c>
      <c r="S12" t="s">
        <v>29</v>
      </c>
      <c r="T12" t="s">
        <v>51</v>
      </c>
      <c r="U12" t="s">
        <v>47</v>
      </c>
      <c r="V12" t="s">
        <v>52</v>
      </c>
      <c r="W12" t="s">
        <v>49</v>
      </c>
      <c r="AN12" t="s">
        <v>54</v>
      </c>
      <c r="AP12" t="s">
        <v>42</v>
      </c>
      <c r="AQ12" t="s">
        <v>24</v>
      </c>
      <c r="BR12" t="s">
        <v>50</v>
      </c>
      <c r="BU12" t="s">
        <v>53</v>
      </c>
    </row>
    <row r="13" ht="15.75" customHeight="1">
      <c r="A13" s="8"/>
      <c r="B13" s="8"/>
      <c r="C13" s="8" t="s">
        <v>24</v>
      </c>
      <c r="D13" s="8">
        <v>1000.0</v>
      </c>
      <c r="E13" s="8" t="s">
        <v>26</v>
      </c>
      <c r="F13" s="8" t="s">
        <v>41</v>
      </c>
      <c r="G13" s="8"/>
      <c r="H13" s="8" t="s">
        <v>42</v>
      </c>
      <c r="I13" s="8"/>
      <c r="J13" s="8"/>
      <c r="K13" s="8"/>
      <c r="L13" s="8"/>
      <c r="M13" s="8"/>
      <c r="N13" s="8"/>
      <c r="O13" s="8" t="s">
        <v>43</v>
      </c>
      <c r="R13" t="s">
        <v>44</v>
      </c>
      <c r="S13" t="s">
        <v>29</v>
      </c>
      <c r="T13" t="s">
        <v>46</v>
      </c>
      <c r="U13" t="s">
        <v>47</v>
      </c>
      <c r="V13" t="s">
        <v>48</v>
      </c>
      <c r="W13" t="s">
        <v>49</v>
      </c>
      <c r="AN13" t="s">
        <v>25</v>
      </c>
      <c r="AP13" t="s">
        <v>42</v>
      </c>
      <c r="AQ13" t="s">
        <v>24</v>
      </c>
      <c r="BR13" t="s">
        <v>50</v>
      </c>
      <c r="BU13" t="s">
        <v>46</v>
      </c>
    </row>
    <row r="14" ht="15.75" customHeight="1">
      <c r="A14" s="8"/>
      <c r="B14" s="8"/>
      <c r="C14" s="8" t="s">
        <v>24</v>
      </c>
      <c r="D14" s="8">
        <v>1000.0</v>
      </c>
      <c r="E14" s="8" t="s">
        <v>26</v>
      </c>
      <c r="F14" s="8" t="s">
        <v>41</v>
      </c>
      <c r="G14" s="8"/>
      <c r="H14" s="8" t="s">
        <v>42</v>
      </c>
      <c r="I14" s="8"/>
      <c r="J14" s="8"/>
      <c r="K14" s="8"/>
      <c r="L14" s="8"/>
      <c r="M14" s="8"/>
      <c r="N14" s="8"/>
      <c r="O14" s="8" t="s">
        <v>43</v>
      </c>
      <c r="R14" t="s">
        <v>44</v>
      </c>
      <c r="S14" t="s">
        <v>45</v>
      </c>
      <c r="T14" t="s">
        <v>46</v>
      </c>
      <c r="U14" t="s">
        <v>47</v>
      </c>
      <c r="V14" t="s">
        <v>48</v>
      </c>
      <c r="W14" t="s">
        <v>49</v>
      </c>
      <c r="AN14" t="s">
        <v>25</v>
      </c>
      <c r="AP14" t="s">
        <v>42</v>
      </c>
      <c r="AQ14" t="s">
        <v>24</v>
      </c>
      <c r="BR14" t="s">
        <v>28</v>
      </c>
      <c r="BU14" t="s">
        <v>46</v>
      </c>
    </row>
    <row r="15" ht="15.75" customHeight="1">
      <c r="A15" s="8"/>
      <c r="B15" s="8"/>
      <c r="C15" s="8" t="s">
        <v>24</v>
      </c>
      <c r="D15" s="8">
        <v>1000.0</v>
      </c>
      <c r="E15" s="8" t="s">
        <v>26</v>
      </c>
      <c r="F15" s="8" t="s">
        <v>41</v>
      </c>
      <c r="G15" s="8"/>
      <c r="H15" s="8" t="s">
        <v>42</v>
      </c>
      <c r="I15" s="8"/>
      <c r="J15" s="8"/>
      <c r="K15" s="8"/>
      <c r="L15" s="8"/>
      <c r="M15" s="8"/>
      <c r="N15" s="8"/>
      <c r="O15" s="8" t="s">
        <v>43</v>
      </c>
      <c r="R15" t="s">
        <v>44</v>
      </c>
      <c r="S15" t="s">
        <v>45</v>
      </c>
      <c r="T15" t="s">
        <v>46</v>
      </c>
      <c r="U15" t="s">
        <v>47</v>
      </c>
      <c r="V15" t="s">
        <v>48</v>
      </c>
      <c r="W15" t="s">
        <v>49</v>
      </c>
      <c r="AN15" t="s">
        <v>25</v>
      </c>
      <c r="AP15" t="s">
        <v>42</v>
      </c>
      <c r="AQ15" t="s">
        <v>24</v>
      </c>
      <c r="AR15">
        <v>0.0</v>
      </c>
      <c r="BR15" t="s">
        <v>50</v>
      </c>
      <c r="BU15" t="s">
        <v>46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 t="s">
        <v>20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Data_conflict94277444'!$4:$4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8"/>
      <c r="D6" s="8"/>
      <c r="E6" s="37">
        <v>1100.0</v>
      </c>
      <c r="F6" s="8"/>
      <c r="G6" s="8"/>
      <c r="H6" s="8"/>
      <c r="I6" s="8"/>
      <c r="J6" s="8"/>
      <c r="K6" s="8"/>
      <c r="L6" s="8"/>
      <c r="M6" s="8"/>
      <c r="N6" s="8"/>
      <c r="O6" s="8"/>
      <c r="BJ6" s="38">
        <v>1100.0</v>
      </c>
      <c r="BO6" s="9" t="s">
        <v>25</v>
      </c>
      <c r="BT6" s="9" t="s">
        <v>24</v>
      </c>
    </row>
    <row r="7" ht="15.75" customHeight="1">
      <c r="A7" s="8"/>
      <c r="B7" s="13" t="s">
        <v>26</v>
      </c>
      <c r="C7" s="8"/>
      <c r="D7" s="8"/>
      <c r="E7" s="13">
        <v>10.0</v>
      </c>
      <c r="F7" s="8"/>
      <c r="G7" s="8"/>
      <c r="H7" s="8"/>
      <c r="I7" s="8"/>
      <c r="J7" s="8"/>
      <c r="K7" s="8"/>
      <c r="L7" s="8"/>
      <c r="M7" s="8"/>
      <c r="N7" s="8"/>
      <c r="O7" s="8"/>
      <c r="BJ7" s="9">
        <v>10.0</v>
      </c>
      <c r="BO7" s="9" t="s">
        <v>27</v>
      </c>
      <c r="BT7" s="9" t="s">
        <v>16</v>
      </c>
    </row>
    <row r="8" ht="15.75" customHeight="1">
      <c r="A8" s="8"/>
      <c r="B8" s="13" t="s">
        <v>26</v>
      </c>
      <c r="C8" s="8"/>
      <c r="D8" s="8"/>
      <c r="E8" s="13">
        <v>10.0</v>
      </c>
      <c r="F8" s="8"/>
      <c r="G8" s="8"/>
      <c r="H8" s="8"/>
      <c r="I8" s="8"/>
      <c r="J8" s="8"/>
      <c r="K8" s="8"/>
      <c r="L8" s="8"/>
      <c r="M8" s="8"/>
      <c r="N8" s="8"/>
      <c r="O8" s="8"/>
      <c r="BJ8" s="9">
        <v>10.0</v>
      </c>
      <c r="BO8" s="9" t="s">
        <v>27</v>
      </c>
      <c r="BT8" s="9" t="s">
        <v>16</v>
      </c>
    </row>
    <row r="9" ht="15.75" customHeight="1">
      <c r="A9" s="8"/>
      <c r="B9" s="13" t="s">
        <v>26</v>
      </c>
      <c r="C9" s="8"/>
      <c r="D9" s="8"/>
      <c r="E9" s="13">
        <v>10.0</v>
      </c>
      <c r="F9" s="8"/>
      <c r="G9" s="8"/>
      <c r="H9" s="8"/>
      <c r="I9" s="8"/>
      <c r="J9" s="8"/>
      <c r="K9" s="8"/>
      <c r="L9" s="8"/>
      <c r="M9" s="8"/>
      <c r="N9" s="8"/>
      <c r="O9" s="8"/>
      <c r="BJ9" s="9">
        <v>10.0</v>
      </c>
      <c r="BO9" s="9" t="s">
        <v>27</v>
      </c>
      <c r="BT9" s="9" t="s">
        <v>16</v>
      </c>
    </row>
    <row r="10" ht="15.75" customHeight="1">
      <c r="A10" s="8"/>
      <c r="B10" s="13" t="s">
        <v>26</v>
      </c>
      <c r="C10" s="8"/>
      <c r="D10" s="8"/>
      <c r="E10" s="13">
        <v>10.0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BJ10" s="9">
        <v>10.0</v>
      </c>
      <c r="BO10" s="9" t="s">
        <v>54</v>
      </c>
      <c r="BT10" s="9" t="s">
        <v>16</v>
      </c>
    </row>
    <row r="11" ht="15.75" customHeight="1">
      <c r="A11" s="8"/>
      <c r="B11" s="13" t="s">
        <v>26</v>
      </c>
      <c r="C11" s="8"/>
      <c r="D11" s="8"/>
      <c r="E11" s="13">
        <v>10.0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BJ11" s="9">
        <v>10.0</v>
      </c>
      <c r="BO11" s="9" t="s">
        <v>54</v>
      </c>
      <c r="BT11" s="9" t="s">
        <v>16</v>
      </c>
    </row>
    <row r="12" ht="15.75" customHeight="1">
      <c r="A12" s="8"/>
      <c r="B12" s="13" t="s">
        <v>26</v>
      </c>
      <c r="C12" s="8"/>
      <c r="D12" s="8"/>
      <c r="E12" s="13">
        <v>10.0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BJ12" s="9">
        <v>10.0</v>
      </c>
      <c r="BO12" s="9" t="s">
        <v>54</v>
      </c>
      <c r="BT12" s="9" t="s">
        <v>16</v>
      </c>
    </row>
    <row r="13" ht="15.75" customHeight="1">
      <c r="A13" s="8"/>
      <c r="B13" s="13" t="s">
        <v>26</v>
      </c>
      <c r="C13" s="8"/>
      <c r="D13" s="8"/>
      <c r="E13" s="37">
        <v>1000.0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BJ13" s="38">
        <v>1000.0</v>
      </c>
      <c r="BO13" s="9" t="s">
        <v>25</v>
      </c>
      <c r="BT13" s="9" t="s">
        <v>24</v>
      </c>
    </row>
    <row r="14" ht="15.75" customHeight="1">
      <c r="A14" s="8"/>
      <c r="B14" s="13" t="s">
        <v>26</v>
      </c>
      <c r="C14" s="8"/>
      <c r="D14" s="8"/>
      <c r="E14" s="37">
        <v>1000.0</v>
      </c>
      <c r="F14" s="8"/>
      <c r="G14" s="8"/>
      <c r="H14" s="8"/>
      <c r="I14" s="8"/>
      <c r="J14" s="8"/>
      <c r="K14" s="8"/>
      <c r="L14" s="8"/>
      <c r="M14" s="8"/>
      <c r="N14" s="8"/>
      <c r="O14" s="8"/>
      <c r="BJ14" s="38">
        <v>1000.0</v>
      </c>
      <c r="BO14" s="9" t="s">
        <v>25</v>
      </c>
      <c r="BT14" s="9" t="s">
        <v>24</v>
      </c>
    </row>
    <row r="15" ht="15.75" customHeight="1">
      <c r="B15" s="9" t="s">
        <v>26</v>
      </c>
      <c r="E15" s="38">
        <v>1000.0</v>
      </c>
      <c r="BJ15" s="38">
        <v>1000.0</v>
      </c>
      <c r="BO15" s="9" t="s">
        <v>25</v>
      </c>
      <c r="BT15" s="9" t="s">
        <v>24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35" t="s">
        <v>26</v>
      </c>
      <c r="C6" s="33"/>
      <c r="D6" s="33"/>
      <c r="E6" s="35" t="s">
        <v>51</v>
      </c>
      <c r="F6" s="33"/>
      <c r="G6" s="33"/>
      <c r="H6" s="33"/>
      <c r="I6" s="36">
        <v>10.0</v>
      </c>
      <c r="J6" s="33"/>
      <c r="K6" s="33" t="s">
        <v>50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9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5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9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0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26</v>
      </c>
      <c r="C7" s="33"/>
      <c r="D7" s="33"/>
      <c r="E7" s="35" t="s">
        <v>51</v>
      </c>
      <c r="F7" s="33"/>
      <c r="G7" s="33"/>
      <c r="H7" s="33"/>
      <c r="I7" s="36">
        <v>10.0</v>
      </c>
      <c r="J7" s="33"/>
      <c r="K7" s="33" t="s">
        <v>28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9">
        <v>10.0</v>
      </c>
      <c r="AR7" s="41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5" t="s">
        <v>27</v>
      </c>
      <c r="BW7" s="33"/>
      <c r="BX7" s="33"/>
      <c r="BY7" s="33"/>
      <c r="BZ7" s="33"/>
      <c r="CA7" s="33"/>
      <c r="CB7" s="33"/>
      <c r="CC7" s="33"/>
      <c r="CD7" s="42"/>
      <c r="CE7" s="33"/>
      <c r="CF7" s="33"/>
      <c r="CG7" s="39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0" t="s">
        <v>16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26</v>
      </c>
      <c r="C8" s="33"/>
      <c r="D8" s="33"/>
      <c r="E8" s="35" t="s">
        <v>51</v>
      </c>
      <c r="F8" s="33"/>
      <c r="G8" s="33"/>
      <c r="H8" s="33"/>
      <c r="I8" s="36">
        <v>10.0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9">
        <v>10.0</v>
      </c>
      <c r="AR8" s="41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5" t="s">
        <v>27</v>
      </c>
      <c r="BW8" s="33"/>
      <c r="BX8" s="33"/>
      <c r="BY8" s="33"/>
      <c r="BZ8" s="33"/>
      <c r="CA8" s="33"/>
      <c r="CB8" s="33"/>
      <c r="CC8" s="33"/>
      <c r="CD8" s="42"/>
      <c r="CE8" s="33"/>
      <c r="CF8" s="33"/>
      <c r="CG8" s="39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5" t="s">
        <v>29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 t="s">
        <v>20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 t="s">
        <v>20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ClosingCleanUp!$4:$4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