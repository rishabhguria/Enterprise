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UpdateRoundLot" sheetId="4" r:id="rId6"/>
    <sheet state="visible" name="CreateDoneAwayOrder" sheetId="5" r:id="rId7"/>
    <sheet state="visible" name="PricingInput" sheetId="6" r:id="rId8"/>
    <sheet state="visible" name="GetForexConversion" sheetId="7" r:id="rId9"/>
    <sheet state="visible" name="UpdateForexConversion" sheetId="8" r:id="rId10"/>
    <sheet state="visible" name="GetDailyCash" sheetId="9" r:id="rId11"/>
    <sheet state="visible" name="UpdateMultipleDailyCash" sheetId="10" r:id="rId12"/>
    <sheet state="visible" name="CalculatePTT" sheetId="11" r:id="rId13"/>
    <sheet state="visible" name="VerifyPTT" sheetId="12" r:id="rId14"/>
    <sheet state="visible" name="CreateOrderPTT" sheetId="13" r:id="rId15"/>
    <sheet state="visible" name="CalculatePTT1" sheetId="14" r:id="rId16"/>
    <sheet state="visible" name="VerifyPTT1" sheetId="15" r:id="rId17"/>
    <sheet state="visible" name="CreateOrderPTT1" sheetId="16" r:id="rId18"/>
    <sheet state="visible" name="VerifyOrder" sheetId="17" r:id="rId19"/>
  </sheets>
  <definedNames/>
  <calcPr/>
</workbook>
</file>

<file path=xl/sharedStrings.xml><?xml version="1.0" encoding="utf-8"?>
<sst xmlns="http://schemas.openxmlformats.org/spreadsheetml/2006/main" count="244" uniqueCount="53">
  <si>
    <t>Modules Info</t>
  </si>
  <si>
    <t>Modules</t>
  </si>
  <si>
    <t>Settings</t>
  </si>
  <si>
    <t>Module Step Setting File</t>
  </si>
  <si>
    <t>1s8Tugp9tltXlrflnMpJQZAK_8xohzWlqShomllKwg98</t>
  </si>
  <si>
    <t>Master Data Settings File</t>
  </si>
  <si>
    <t>16ToEbuvGu5ULnNFKOMTFrT9KWOcXxJTnSbDbsSXIfZo</t>
  </si>
  <si>
    <t>Master Data Info</t>
  </si>
  <si>
    <t>Module</t>
  </si>
  <si>
    <t>Step</t>
  </si>
  <si>
    <t>Master Data Sheet</t>
  </si>
  <si>
    <t>Data</t>
  </si>
  <si>
    <t>Admin</t>
  </si>
  <si>
    <t>UpdateRoundLot</t>
  </si>
  <si>
    <t>Data Format</t>
  </si>
  <si>
    <t>Input Format</t>
  </si>
  <si>
    <t>AAPL</t>
  </si>
  <si>
    <t>IBM</t>
  </si>
  <si>
    <t>FRU-TC</t>
  </si>
  <si>
    <t>O:AAPL 13N715.00</t>
  </si>
  <si>
    <t>ND H9</t>
  </si>
  <si>
    <t>Door</t>
  </si>
  <si>
    <t>TradingTicket</t>
  </si>
  <si>
    <t>CreateDoneAwayOrder</t>
  </si>
  <si>
    <t>Buy</t>
  </si>
  <si>
    <t>Allocation1</t>
  </si>
  <si>
    <t>Allocation3</t>
  </si>
  <si>
    <t>DOOR</t>
  </si>
  <si>
    <t>Allocation2</t>
  </si>
  <si>
    <t>Allocation4</t>
  </si>
  <si>
    <t>PricingInput</t>
  </si>
  <si>
    <t>DailyValuation</t>
  </si>
  <si>
    <t>GetForexConversion</t>
  </si>
  <si>
    <t>UpdateForexConversion</t>
  </si>
  <si>
    <t>USD</t>
  </si>
  <si>
    <t>CAD</t>
  </si>
  <si>
    <t>CAD A0-FX</t>
  </si>
  <si>
    <t>GetDailyCash</t>
  </si>
  <si>
    <t>UpdateMultipleDailyCash</t>
  </si>
  <si>
    <t>PTT</t>
  </si>
  <si>
    <t>CalculatePTT</t>
  </si>
  <si>
    <t>Set</t>
  </si>
  <si>
    <t>Percentage</t>
  </si>
  <si>
    <t>Yes</t>
  </si>
  <si>
    <t>MasterFund</t>
  </si>
  <si>
    <t>NewMF,NewMF1</t>
  </si>
  <si>
    <t>VerifyPTT</t>
  </si>
  <si>
    <t>CreateOrderPTT</t>
  </si>
  <si>
    <t>Blotter</t>
  </si>
  <si>
    <t>VerifyOrder</t>
  </si>
  <si>
    <t>New</t>
  </si>
  <si>
    <t>Multiple</t>
  </si>
  <si>
    <t>Market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</si>
</sst>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5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color rgb="FF000000"/>
      <name val="Arial"/>
    </font>
    <font>
      <sz val="11.0"/>
      <color rgb="FF000000"/>
      <name val="Calibri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4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5" numFmtId="0" xfId="0" applyAlignment="1" applyFont="1">
      <alignment readingOrder="0" shrinkToFit="0" vertical="bottom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3" numFmtId="0" xfId="0" applyAlignment="1" applyFont="1">
      <alignment vertical="bottom"/>
    </xf>
    <xf borderId="0" fillId="0" fontId="5" numFmtId="0" xfId="0" applyAlignment="1" applyFont="1">
      <alignment horizontal="right" readingOrder="0" vertical="bottom"/>
    </xf>
    <xf borderId="0" fillId="0" fontId="5" numFmtId="0" xfId="0" applyAlignment="1" applyFont="1">
      <alignment readingOrder="0" shrinkToFit="0" wrapText="0"/>
    </xf>
    <xf borderId="0" fillId="0" fontId="3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horizontal="right" vertical="bottom"/>
    </xf>
    <xf borderId="0" fillId="6" fontId="13" numFmtId="0" xfId="0" applyAlignment="1" applyFill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14" xfId="0" applyAlignment="1" applyFont="1" applyNumberFormat="1">
      <alignment horizontal="right" vertical="bottom"/>
    </xf>
    <xf borderId="0" fillId="0" fontId="5" numFmtId="3" xfId="0" applyAlignment="1" applyFont="1" applyNumberFormat="1">
      <alignment horizontal="right" vertical="bottom"/>
    </xf>
    <xf borderId="0" fillId="0" fontId="3" numFmtId="0" xfId="0" applyAlignment="1" applyFont="1">
      <alignment readingOrder="0" vertical="bottom"/>
    </xf>
    <xf borderId="0" fillId="0" fontId="3" numFmtId="0" xfId="0" applyAlignment="1" applyFont="1">
      <alignment horizontal="right" vertical="bottom"/>
    </xf>
    <xf borderId="0" fillId="0" fontId="14" numFmtId="0" xfId="0" applyAlignment="1" applyFont="1">
      <alignment horizontal="right" readingOrder="0" shrinkToFit="0" vertical="bottom" wrapText="0"/>
    </xf>
    <xf borderId="0" fillId="0" fontId="3" numFmtId="0" xfId="0" applyAlignment="1" applyFont="1">
      <alignment horizontal="right" vertical="bottom"/>
    </xf>
    <xf borderId="0" fillId="0" fontId="3" numFmtId="0" xfId="0" applyAlignment="1" applyFont="1">
      <alignment horizontal="right" readingOrder="0" vertical="bottom"/>
    </xf>
    <xf borderId="0" fillId="0" fontId="14" numFmtId="3" xfId="0" applyAlignment="1" applyFont="1" applyNumberFormat="1">
      <alignment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19" Type="http://schemas.openxmlformats.org/officeDocument/2006/relationships/worksheet" Target="worksheets/sheet17.xml"/><Relationship Id="rId6" Type="http://schemas.openxmlformats.org/officeDocument/2006/relationships/worksheet" Target="worksheets/sheet4.xml"/><Relationship Id="rId18" Type="http://schemas.openxmlformats.org/officeDocument/2006/relationships/worksheet" Target="worksheets/sheet16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IFERROR(__xludf.DUMMYFUNCTION("""COMPUTED_VALUE"""),"17_QBMicEOUihB2C-6dtz1DG3VfJj05Sk118TBLigcGQ")</f>
        <v>17_QBMicEOUihB2C-6dtz1DG3VfJj05Sk118TBLigcGQ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IFERROR(__xludf.DUMMYFUNCTION("""COMPUTED_VALUE"""),"1hVcm2AM6tpl7LAL1inbzLF7lPKrzoS8Hf_xEf0r0QvU")</f>
        <v>1hVcm2AM6tpl7LAL1inbzLF7lPKrzoS8Hf_xEf0r0QvU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IFERROR(__xludf.DUMMYFUNCTION("""COMPUTED_VALUE"""),"1xln1FAf_biSADXIchn7RxBiBbGXPZU2Qmiafzz63n_s")</f>
        <v>1xln1FAf_biSADXIchn7RxBiBbGXPZU2Qmiafzz63n_s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IFERROR(__xludf.DUMMYFUNCTION("""COMPUTED_VALUE"""),"1ZJZn5gs7a2MhaEr-ryFvr-6l8Lrpw49ZtdxRjUmj2lE")</f>
        <v>1ZJZn5gs7a2MhaEr-ryFvr-6l8Lrpw49ZtdxRjUmj2lE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IFERROR(__xludf.DUMMYFUNCTION("""COMPUTED_VALUE"""),"1OCGMVOHt03_eCmO7qiby_rf8bEME9TovKxz3Ntf7vgg")</f>
        <v>1OCGMVOHt03_eCmO7qiby_rf8bEME9TovKxz3Ntf7vgg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IFERROR(__xludf.DUMMYFUNCTION("""COMPUTED_VALUE"""),"11MUm_Wks-ynsuzwq0ucx9YCmN_Dlux4joQTI9V_vxSQ")</f>
        <v>11MUm_Wks-ynsuzwq0ucx9YCmN_Dlux4joQTI9V_vxSQ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IFERROR(__xludf.DUMMYFUNCTION("""COMPUTED_VALUE"""),"1HibVHHcuFf3loa0fNI6zJwXL0glRkLz9BQwFMwolEWs")</f>
        <v>1HibVHHcuFf3loa0fNI6zJwXL0glRkLz9BQwFMwolEWs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IFERROR(__xludf.DUMMYFUNCTION("""COMPUTED_VALUE"""),"1v_MUqtv78nxjsN8Cecn_LuQEABNjfo6irXnL4E327-E")</f>
        <v>1v_MUqtv78nxjsN8Cecn_LuQEABNjfo6irXnL4E327-E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IFERROR(__xludf.DUMMYFUNCTION("""COMPUTED_VALUE"""),"175-JCUqdn62shwwTBrtayS4sAfQdJI1es-MdB_afiEU")</f>
        <v>175-JCUqdn62shwwTBrtayS4sAfQdJI1es-MdB_afiEU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IFERROR(__xludf.DUMMYFUNCTION("""COMPUTED_VALUE"""),"17eDimySFNF45ncJKZNMN1WafcCPlObqPuWpiaELn4XI")</f>
        <v>17eDimySFNF45ncJKZNMN1WafcCPlObqPuWpiaELn4XI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IFERROR(__xludf.DUMMYFUNCTION("""COMPUTED_VALUE"""),"1Pfyi8724AHHPSpjL28hJwa2o4mQbLhWDX3ERQDqoMjM")</f>
        <v>1Pfyi8724AHHPSpjL28hJwa2o4mQbLhWDX3ERQDqoMjM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IFERROR(__xludf.DUMMYFUNCTION("""COMPUTED_VALUE"""),"1YVs2pxOwqxSOoRvY-L6RFBNX-V1Iq7YCTlJJjcZGOrk")</f>
        <v>1YVs2pxOwqxSOoRvY-L6RFBNX-V1Iq7YCTlJJjcZGOrk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IFERROR(__xludf.DUMMYFUNCTION("""COMPUTED_VALUE"""),"1B8hcujE70thHD0YsedA4IBNf7vn0AyfU4JVfJ_wJt20")</f>
        <v>1B8hcujE70thHD0YsedA4IBNf7vn0AyfU4JVfJ_wJt20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IFERROR(__xludf.DUMMYFUNCTION("""COMPUTED_VALUE"""),"1-W-RmffTnEi0hw7mazbNadwwiSRGoy1wrw8PHkuofYY")</f>
        <v>1-W-RmffTnEi0hw7mazbNadwwiSRGoy1wrw8PHkuofYY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IFERROR(__xludf.DUMMYFUNCTION("""COMPUTED_VALUE"""),"1esoF-RnVyz6ko5JWW7n-M62RtAdH_oBEGryr3tVxBD0")</f>
        <v>1esoF-RnVyz6ko5JWW7n-M62RtAdH_oBEGryr3tVxBD0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IFERROR(__xludf.DUMMYFUNCTION("""COMPUTED_VALUE"""),"1e5P2Fpj6vybIn_paB2b7Fy1UWvvzM_QLBcFFEnG_Sog")</f>
        <v>1e5P2Fpj6vybIn_paB2b7Fy1UWvvzM_QLBcFFEnG_Sog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IFERROR(__xludf.DUMMYFUNCTION("""COMPUTED_VALUE"""),"17wP7K35BVS-mcToVvypH9kFnKwLPjhX5cgZessf5L3U")</f>
        <v>17wP7K35BVS-mcToVvypH9kFnKwLPjhX5cgZessf5L3U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IFERROR(__xludf.DUMMYFUNCTION("""COMPUTED_VALUE"""),"14fBzMwZFv3kXajtvfsFDb74bfuT5M1NdlH7jjFGFJtc")</f>
        <v>14fBzMwZFv3kXajtvfsFDb74bfuT5M1NdlH7jjFGFJtc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IFERROR(__xludf.DUMMYFUNCTION("""COMPUTED_VALUE"""),"1MhtifEhyzplKiAJ2B7ZBGDQykTLhDMrJnLNmWidmDfo")</f>
        <v>1MhtifEhyzplKiAJ2B7ZBGDQykTLhDMrJnLNmWidmDfo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IFERROR(__xludf.DUMMYFUNCTION("""COMPUTED_VALUE"""),"14ykotElrdKk_65x7FoOo3uy_l0cCpWTItQ6NjoPCFto")</f>
        <v>14ykotElrdKk_65x7FoOo3uy_l0cCpWTItQ6NjoPCFto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IFERROR(__xludf.DUMMYFUNCTION("""COMPUTED_VALUE"""),"16g9Kf7Sel1N9rpDdDYebIoVnUvEmGkdOIDvOEX1x5rs")</f>
        <v>16g9Kf7Sel1N9rpDdDYebIoVnUvEmGkdOIDvOEX1x5rs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IFERROR(__xludf.DUMMYFUNCTION("""COMPUTED_VALUE"""),"1dCUqkFToxbHWLcuEsup6xul17t7dk0JWXjsF_NqJWLs")</f>
        <v>1dCUqkFToxbHWLcuEsup6xul17t7dk0JWXjsF_NqJWLs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IFERROR(__xludf.DUMMYFUNCTION("""COMPUTED_VALUE"""),"1WrLR2m07rC0_5QRVRBEKQH-92mAfrcXJUuuIwELno2g")</f>
        <v>1WrLR2m07rC0_5QRVRBEKQH-92mAfrcXJUuuIwELno2g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IFERROR(__xludf.DUMMYFUNCTION("""COMPUTED_VALUE"""),"1QWSkwx0bAWzpqMe84BsrfOocoNHimoDayzIkgCxRsqc")</f>
        <v>1QWSkwx0bAWzpqMe84BsrfOocoNHimoDayzIkgCxRsqc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IFERROR(__xludf.DUMMYFUNCTION("""COMPUTED_VALUE"""),"16EMowOhNWCoGHg3C_AEEGTB-3SXFMg5x63-S3irnai0")</f>
        <v>16EMowOhNWCoGHg3C_AEEGTB-3SXFMg5x63-S3irnai0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IFERROR(__xludf.DUMMYFUNCTION("""COMPUTED_VALUE"""),"1q9dRSKiXfUcfgc5w_m-vMSRuUWcHC5mxzB_SFqqFzJk")</f>
        <v>1q9dRSKiXfUcfgc5w_m-vMSRuUWcHC5mxzB_SFqqFzJk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IFERROR(__xludf.DUMMYFUNCTION("""COMPUTED_VALUE"""),"1lP1jJVwyLgSReroORPW2qHMX-c1ylMBmX8jxb7m4wfI")</f>
        <v>1lP1jJVwyLgSReroORPW2qHMX-c1ylMBmX8jxb7m4wfI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IFERROR(__xludf.DUMMYFUNCTION("""COMPUTED_VALUE"""),"1Ws0Hw39H3ULaKM5Cl_p6p-caLwRm8T0L43ngVqjHMnM")</f>
        <v>1Ws0Hw39H3ULaKM5Cl_p6p-caLwRm8T0L43ngVqjHMnM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IFERROR(__xludf.DUMMYFUNCTION("""COMPUTED_VALUE"""),"18ZefsYffctRJZetWSPUYeTMEPqefQ72fJ-dT_WrQO6E")</f>
        <v>18ZefsYffctRJZetWSPUYeTMEPqefQ72fJ-dT_WrQO6E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IFERROR(__xludf.DUMMYFUNCTION("""COMPUTED_VALUE"""),"1dif0H2pSx6MyuJJaFo3yMy9Wk3FCmwjhqFUYJ2ddE_U")</f>
        <v>1dif0H2pSx6MyuJJaFo3yMy9Wk3FCmwjhqFUYJ2ddE_U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IFERROR(__xludf.DUMMYFUNCTION("""COMPUTED_VALUE"""),"1yyYt9T19EoP8LoCWHfuC6030yvu3xeuFdL76BzHEg-w")</f>
        <v>1yyYt9T19EoP8LoCWHfuC6030yvu3xeuFdL76BzHEg-w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IFERROR(__xludf.DUMMYFUNCTION("""COMPUTED_VALUE"""),"1-SreZbHyvz7X_TGL08NUF6ikYZjDM0DO-x6S09OeQQ8")</f>
        <v>1-SreZbHyvz7X_TGL08NUF6ikYZjDM0DO-x6S09OeQQ8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IFERROR(__xludf.DUMMYFUNCTION("""COMPUTED_VALUE"""),"1HZrcr_WdBT1EQ4GhHDXyM17ms7JDfsPpIGlJKkgrmq8")</f>
        <v>1HZrcr_WdBT1EQ4GhHDXyM17ms7JDfsPpIGlJKkgrmq8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IFERROR(__xludf.DUMMYFUNCTION("""COMPUTED_VALUE"""),"1cffrrRSmuiuoUyakOnIguFzrQ7nNvPrbSqLosFmTWwE")</f>
        <v>1cffrrRSmuiuoUyakOnIguFzrQ7nNvPrbSqLosFmTWwE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IFERROR(__xludf.DUMMYFUNCTION("""COMPUTED_VALUE"""),"1ZfIgMPS9NpuMtE47suVwo-kA1KXMaKf-ADsjK3-OiFk")</f>
        <v>1ZfIgMPS9NpuMtE47suVwo-kA1KXMaKf-ADsjK3-OiFk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IFERROR(__xludf.DUMMYFUNCTION("""COMPUTED_VALUE"""),"1lg0qbs6p5xqUSr7LDug4K3vG1m9N739nMZUVLjObX4A")</f>
        <v>1lg0qbs6p5xqUSr7LDug4K3vG1m9N739nMZUVLjObX4A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IFERROR(__xludf.DUMMYFUNCTION("""COMPUTED_VALUE"""),"1jAOYY9bW9KnKph1c40HVkfDUBh6ICZ5j3laR_Nfw-EY")</f>
        <v>1jAOYY9bW9KnKph1c40HVkfDUBh6ICZ5j3laR_Nfw-EY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IFERROR(__xludf.DUMMYFUNCTION("""COMPUTED_VALUE"""),"1A0xAaBFDf7biWsKuUhbcuji1EhTqQ4YA19pe1eIhgPQ")</f>
        <v>1A0xAaBFDf7biWsKuUhbcuji1EhTqQ4YA19pe1eIhgPQ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IFERROR(__xludf.DUMMYFUNCTION("""COMPUTED_VALUE"""),"1AjthyKZG60SFOO_oG5D4uAVdcMlvnmNeOIBuZzfu9Zc")</f>
        <v>1AjthyKZG60SFOO_oG5D4uAVdcMlvnmNeOIBuZzfu9Zc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IFERROR(__xludf.DUMMYFUNCTION("""COMPUTED_VALUE"""),"1hwVNf3Bz_kRxkr47npaHLD4RFYfHlCWjpAVEp3p0Tv0")</f>
        <v>1hwVNf3Bz_kRxkr47npaHLD4RFYfHlCWjpAVEp3p0Tv0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IFERROR(__xludf.DUMMYFUNCTION("""COMPUTED_VALUE"""),"1YNyk8pT-yjAygOSu8ntnhSz0mlyLVTKf5ZElZkGlRAk")</f>
        <v>1YNyk8pT-yjAygOSu8ntnhSz0mlyLVTKf5ZElZkGlRAk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IFERROR(__xludf.DUMMYFUNCTION("""COMPUTED_VALUE"""),"1e_Wdtbtw83ryT5L0L8pewVQPI8LIJvnU1qbvQEuQTWA")</f>
        <v>1e_Wdtbtw83ryT5L0L8pewVQPI8LIJvnU1qbvQEuQTWA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IFERROR(__xludf.DUMMYFUNCTION("""COMPUTED_VALUE"""),"1s-2AvOwlucwT40O8TI72EGsH95mesUqNXS7T87p_cjk")</f>
        <v>1s-2AvOwlucwT40O8TI72EGsH95mesUqNXS7T87p_cjk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IFERROR(__xludf.DUMMYFUNCTION("""COMPUTED_VALUE"""),"12NHD4_EIq5g0C_fIQVy3RpmKC95ayNQ1iXyceR4Wo-I")</f>
        <v>12NHD4_EIq5g0C_fIQVy3RpmKC95ayNQ1iXyceR4Wo-I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IFERROR(__xludf.DUMMYFUNCTION("""COMPUTED_VALUE"""),"1MmUcBXbxfb38HOE1cHEKyuIz8n3EosbGD7Apj5fCCyI")</f>
        <v>1MmUcBXbxfb38HOE1cHEKyuIz8n3EosbGD7Apj5fCCyI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IFERROR(__xludf.DUMMYFUNCTION("""COMPUTED_VALUE"""),"1I3vKgbFVmpKcE4CquiIjVUNQQng6mCvIX8Nb6O3tYSM")</f>
        <v>1I3vKgbFVmpKcE4CquiIjVUNQQng6mCvIX8Nb6O3tYSM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IFERROR(__xludf.DUMMYFUNCTION("""COMPUTED_VALUE"""),"1X1pt4p00mNPwCJcz91pYRbRgzeh7fysIjHER0IOdjZc")</f>
        <v>1X1pt4p00mNPwCJcz91pYRbRgzeh7fysIjHER0IOdjZc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IFERROR(__xludf.DUMMYFUNCTION("""COMPUTED_VALUE"""),"1EXHDEnb-AqeKckyKJ2AQIPPFYOz1qJ0NXgdSnRlwd_8")</f>
        <v>1EXHDEnb-AqeKckyKJ2AQIPPFYOz1qJ0NXgdSnRlwd_8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IFERROR(__xludf.DUMMYFUNCTION("""COMPUTED_VALUE"""),"1NbR7ZH2mQ_UhhsVJW1kvt8h2b6ar1yEiIRP11pLNMCA")</f>
        <v>1NbR7ZH2mQ_UhhsVJW1kvt8h2b6ar1yEiIRP11pLNMCA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IFERROR(__xludf.DUMMYFUNCTION("""COMPUTED_VALUE"""),"1X6zGMIbPMGDNJBFVyEbhy8JzB-DF3VL8Ecx1KZsTvww")</f>
        <v>1X6zGMIbPMGDNJBFVyEbhy8JzB-DF3VL8Ecx1KZsTvww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IFERROR(__xludf.DUMMYFUNCTION("""COMPUTED_VALUE"""),"1DwoiiMTfEI25sIuSyzjcNHieJZZSgvmRbbztMJektzw")</f>
        <v>1DwoiiMTfEI25sIuSyzjcNHieJZZSgvmRbbztMJektzw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IFERROR(__xludf.DUMMYFUNCTION("""COMPUTED_VALUE"""),"10Wi9aLWsES9e12Jsk7J5zbAdCX0LcFslEPqxr6NuGao")</f>
        <v>10Wi9aLWsES9e12Jsk7J5zbAdCX0LcFslEPqxr6NuGao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IFERROR(__xludf.DUMMYFUNCTION("""COMPUTED_VALUE"""),"1BpgmUI6OY9ROYfJW7yhtd3v_H2DoCND4DfDkif1fTnE")</f>
        <v>1BpgmUI6OY9ROYfJW7yhtd3v_H2DoCND4DfDkif1fTnE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IFERROR(__xludf.DUMMYFUNCTION("""COMPUTED_VALUE"""),"1A4Zcxi0xYN4fi6cUaxJyYATjWcFN9ph5TOCiIwYlDx4")</f>
        <v>1A4Zcxi0xYN4fi6cUaxJyYATjWcFN9ph5TOCiIwYlDx4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IFERROR(__xludf.DUMMYFUNCTION("""COMPUTED_VALUE"""),"1d74faC5HiET8v5WuA0k4mDVxwUlRgwb7jwKIuaw0hrA")</f>
        <v>1d74faC5HiET8v5WuA0k4mDVxwUlRgwb7jwKIuaw0hrA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IFERROR(__xludf.DUMMYFUNCTION("""COMPUTED_VALUE"""),"1DAAkn_hOGEgqSEZMlHZCgTAE2AkAscU0wBpmiODj7LM")</f>
        <v>1DAAkn_hOGEgqSEZMlHZCgTAE2AkAscU0wBpmiODj7LM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IFERROR(__xludf.DUMMYFUNCTION("""COMPUTED_VALUE"""),"1AaR_RyCJodiVQTw2a8Tr7ixTHn3k5JcJErdCIP0TnWU")</f>
        <v>1AaR_RyCJodiVQTw2a8Tr7ixTHn3k5JcJErdCIP0TnWU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IFERROR(__xludf.DUMMYFUNCTION("""COMPUTED_VALUE"""),"1Bn5ufuuddBVWtP0XJckkEgs1Q8qPNBXf3Q3UoOlAdmo")</f>
        <v>1Bn5ufuuddBVWtP0XJckkEgs1Q8qPNBXf3Q3UoOlAdmo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IFERROR(__xludf.DUMMYFUNCTION("""COMPUTED_VALUE"""),"1oScszM1N5AICz6efQqqcZ9rMBX6viS3Dv4Ye34RXN78")</f>
        <v>1oScszM1N5AICz6efQqqcZ9rMBX6viS3Dv4Ye34RXN78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IFERROR(__xludf.DUMMYFUNCTION("""COMPUTED_VALUE"""),"1DfGmIk1AC9u6iD7HJ5eoIhkH2zXKH6qkYG72ke3Qm8s")</f>
        <v>1DfGmIk1AC9u6iD7HJ5eoIhkH2zXKH6qkYG72ke3Qm8s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IFERROR(__xludf.DUMMYFUNCTION("""COMPUTED_VALUE"""),"1camqMJj9T6DujVoKWjLCRM_t5c9Gjas2RvonTiEIeqc")</f>
        <v>1camqMJj9T6DujVoKWjLCRM_t5c9Gjas2RvonTiEIeqc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IFERROR(__xludf.DUMMYFUNCTION("""COMPUTED_VALUE"""),"15eV6FwmLzaX2dpXX8JvKiyeHioNqbWSErNbij1TUs3U")</f>
        <v>15eV6FwmLzaX2dpXX8JvKiyeHioNqbWSErNbij1TUs3U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IFERROR(__xludf.DUMMYFUNCTION("""COMPUTED_VALUE"""),"1WGyYC9JD2kkJ7R-DfYfXWJbxk7gGthQxpZL5FZDts-Y")</f>
        <v>1WGyYC9JD2kkJ7R-DfYfXWJbxk7gGthQxpZL5FZDts-Y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IFERROR(__xludf.DUMMYFUNCTION("""COMPUTED_VALUE"""),"1-1uFNoTRPBEA8enYV9Nnn2-zdmLXS4X3BoS5v7Ex68Q")</f>
        <v>1-1uFNoTRPBEA8enYV9Nnn2-zdmLXS4X3BoS5v7Ex68Q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IFERROR(__xludf.DUMMYFUNCTION("""COMPUTED_VALUE"""),"1NuKdFiqCo2nzr6TUap0D2JZ2tFl3idlS8OadDR3jAoA")</f>
        <v>1NuKdFiqCo2nzr6TUap0D2JZ2tFl3idlS8OadDR3jAoA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IFERROR(__xludf.DUMMYFUNCTION("""COMPUTED_VALUE"""),"1gDmo_2KemfqbOwUv5B7uMrGycNq8KZk_nAt9ZH3GqFc")</f>
        <v>1gDmo_2KemfqbOwUv5B7uMrGycNq8KZk_nAt9ZH3GqFc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IFERROR(__xludf.DUMMYFUNCTION("""COMPUTED_VALUE"""),"1Wlib1X9xwZWLV6LdliEcdluK6uREPBsHMLu5IpRcpNU")</f>
        <v>1Wlib1X9xwZWLV6LdliEcdluK6uREPBsHMLu5IpRcpNU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IFERROR(__xludf.DUMMYFUNCTION("""COMPUTED_VALUE"""),"1qKU4yNOCU3BJyg8bfwbgEKR_FyiCXmF0ZgLSrokFASY")</f>
        <v>1qKU4yNOCU3BJyg8bfwbgEKR_FyiCXmF0ZgLSrokFASY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IFERROR(__xludf.DUMMYFUNCTION("""COMPUTED_VALUE"""),"15PfVFcRxvxjCBZUN8HsjX4ev7xsG4SuA5Qr4_S-nChE")</f>
        <v>15PfVFcRxvxjCBZUN8HsjX4ev7xsG4SuA5Qr4_S-nChE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IFERROR(__xludf.DUMMYFUNCTION("""COMPUTED_VALUE"""),"1NJR9Eau1YPKGjqptQlj-xOtU0oQWuvCcy7rkAGtHcZA")</f>
        <v>1NJR9Eau1YPKGjqptQlj-xOtU0oQWuvCcy7rkAGtHcZA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IFERROR(__xludf.DUMMYFUNCTION("""COMPUTED_VALUE"""),"1EHMEdWsFpQ0HfA-coFHRdEbzb5WxuVvH3P-rBPp9ylI")</f>
        <v>1EHMEdWsFpQ0HfA-coFHRdEbzb5WxuVvH3P-rBPp9ylI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IFERROR(__xludf.DUMMYFUNCTION("""COMPUTED_VALUE"""),"1RevbrhSlj1b6tvF2zO-7JRLXGmCZ8Amkw_CKqIoz_f4")</f>
        <v>1RevbrhSlj1b6tvF2zO-7JRLXGmCZ8Amkw_CKqIoz_f4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IFERROR(__xludf.DUMMYFUNCTION("""COMPUTED_VALUE"""),"1MSOnvrmTBiNZezoksqc-GDtZpuomkT2J8b0SHsautEA")</f>
        <v>1MSOnvrmTBiNZezoksqc-GDtZpuomkT2J8b0SHsautEA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IFERROR(__xludf.DUMMYFUNCTION("""COMPUTED_VALUE"""),"109Go2V2YwfSKfHYvonDAK1uj_VR1VOufaT_bCzMIvzo")</f>
        <v>109Go2V2YwfSKfHYvonDAK1uj_VR1VOufaT_bCzMIvzo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IFERROR(__xludf.DUMMYFUNCTION("""COMPUTED_VALUE"""),"1Ln-U03mETPrqNnkYuxQ6h11p3QV_Z1JnLi1E4j-w3NA")</f>
        <v>1Ln-U03mETPrqNnkYuxQ6h11p3QV_Z1JnLi1E4j-w3NA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IFERROR(__xludf.DUMMYFUNCTION("""COMPUTED_VALUE"""),"1XKiYhfC16nqn0tutfxlX4Z1y5h_i5-gFnMM1Bf2O5tQ")</f>
        <v>1XKiYhfC16nqn0tutfxlX4Z1y5h_i5-gFnMM1Bf2O5tQ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IFERROR(__xludf.DUMMYFUNCTION("""COMPUTED_VALUE"""),"1rGT3yXke_M8OcDUPaTifbDDANsxMS_IVwXClwqyIWkk")</f>
        <v>1rGT3yXke_M8OcDUPaTifbDDANsxMS_IVwXClwqyIWkk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IFERROR(__xludf.DUMMYFUNCTION("""COMPUTED_VALUE"""),"1aUOpv7tAA0Tsw-vGOZVTd6Huv3VM_XnIj2_z2iXivNw")</f>
        <v>1aUOpv7tAA0Tsw-vGOZVTd6Huv3VM_XnIj2_z2iXivNw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IFERROR(__xludf.DUMMYFUNCTION("""COMPUTED_VALUE"""),"18EbIbeJ3rxi7HxmLURD_Cvf8ojc3lGGfTxVrpwYiWl0")</f>
        <v>18EbIbeJ3rxi7HxmLURD_Cvf8ojc3lGGfTxVrpwYiWl0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IFERROR(__xludf.DUMMYFUNCTION("""COMPUTED_VALUE"""),"1Falj7RLDHYNIdqRp7f6PqgSPQ2YuSu2fiBV79INXS5w")</f>
        <v>1Falj7RLDHYNIdqRp7f6PqgSPQ2YuSu2fiBV79INXS5w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IFERROR(__xludf.DUMMYFUNCTION("""COMPUTED_VALUE"""),"1_JOfNQ-ZrOdSeM3rD-_yZHrf2uNlO2rttEJ1uHh18Xc")</f>
        <v>1_JOfNQ-ZrOdSeM3rD-_yZHrf2uNlO2rttEJ1uHh18Xc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IFERROR(__xludf.DUMMYFUNCTION("""COMPUTED_VALUE"""),"1x2kiQWm0s39VQr6bQ-OVrzt3FcLQTY2DLkVd69g27u0")</f>
        <v>1x2kiQWm0s39VQr6bQ-OVrzt3FcLQTY2DLkVd69g27u0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IFERROR(__xludf.DUMMYFUNCTION("""COMPUTED_VALUE"""),"1lFN67Trddb_gO0N5EMToTpn1Xc1W8qN9I2LPO6sj00c")</f>
        <v>1lFN67Trddb_gO0N5EMToTpn1Xc1W8qN9I2LPO6sj00c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IFERROR(__xludf.DUMMYFUNCTION("""COMPUTED_VALUE"""),"1iBu56wQyfSyw3QYU3BXabV7ZYAC_HtWKcOfyFdtHsbQ")</f>
        <v>1iBu56wQyfSyw3QYU3BXabV7ZYAC_HtWKcOfyFdtHsbQ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IFERROR(__xludf.DUMMYFUNCTION("""COMPUTED_VALUE"""),"1LUyDKHoCZOWXqpzm3WjlGPHceDFNX86Y30-jd1ZjMuc")</f>
        <v>1LUyDKHoCZOWXqpzm3WjlGPHceDFNX86Y30-jd1ZjMuc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IFERROR(__xludf.DUMMYFUNCTION("""COMPUTED_VALUE"""),"1zrbru5N141eVCqtHIZr12j2foO7MIasWPLZK3i5Q1Vo")</f>
        <v>1zrbru5N141eVCqtHIZr12j2foO7MIasWPLZK3i5Q1Vo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IFERROR(__xludf.DUMMYFUNCTION("""COMPUTED_VALUE"""),"1Sy9_GuITxTVwRhLFyTVa06wA5il658xOrEEqX_satKM")</f>
        <v>1Sy9_GuITxTVwRhLFyTVa06wA5il658xOrEEqX_satKM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IFERROR(__xludf.DUMMYFUNCTION("""COMPUTED_VALUE"""),"1HmbyBzi3LJNAYcYyEuR5dCc7c2551Lq78DrEgBDWmlQ")</f>
        <v>1HmbyBzi3LJNAYcYyEuR5dCc7c2551Lq78DrEgBDWmlQ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IFERROR(__xludf.DUMMYFUNCTION("""COMPUTED_VALUE"""),"1qZ0PLkGqvsAvGy_byCEHcoZ5j19-2TqZ7lUj_ZMWp2Y")</f>
        <v>1qZ0PLkGqvsAvGy_byCEHcoZ5j19-2TqZ7lUj_ZMWp2Y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IFERROR(__xludf.DUMMYFUNCTION("""COMPUTED_VALUE"""),"183aFv-FjM5kO1GZzBKJEnefZpvKTD2al_8jxj57A74I")</f>
        <v>183aFv-FjM5kO1GZzBKJEnefZpvKTD2al_8jxj57A74I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IFERROR(__xludf.DUMMYFUNCTION("""COMPUTED_VALUE"""),"1zvUXhUtasv68F_5jqPPfi5PZjybFsZtVFeNt7Wcbak0")</f>
        <v>1zvUXhUtasv68F_5jqPPfi5PZjybFsZtVFeNt7Wcbak0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IFERROR(__xludf.DUMMYFUNCTION("""COMPUTED_VALUE"""),"13JxrHcuIEL34cY8bWhcwkysiatDmxBrbggzvueoDRpA")</f>
        <v>13JxrHcuIEL34cY8bWhcwkysiatDmxBrbggzvueoDRpA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IFERROR(__xludf.DUMMYFUNCTION("""COMPUTED_VALUE"""),"1ueJPlmKs0VCty9rqy3bof7OwkTE6pIF5M06JcL_bc-8")</f>
        <v>1ueJPlmKs0VCty9rqy3bof7OwkTE6pIF5M06JcL_bc-8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IFERROR(__xludf.DUMMYFUNCTION("""COMPUTED_VALUE"""),"1yuc7DZkXEgHVIHU4UmYY87IPbtWqR3MjoIMrjfrGfas")</f>
        <v>1yuc7DZkXEgHVIHU4UmYY87IPbtWqR3MjoIMrjfrGfas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IFERROR(__xludf.DUMMYFUNCTION("""COMPUTED_VALUE"""),"19BOmuUEhcyH_577PjpNKNdTn_MisNEkIkn9rDB9B_WM")</f>
        <v>19BOmuUEhcyH_577PjpNKNdTn_MisNEkIkn9rDB9B_WM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IFERROR(__xludf.DUMMYFUNCTION("""COMPUTED_VALUE"""),"1rYld2OwIVg_rNpqCSkF4qBjswgUc0VyMTMBp_Fby-BQ")</f>
        <v>1rYld2OwIVg_rNpqCSkF4qBjswgUc0VyMTMBp_Fby-BQ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IFERROR(__xludf.DUMMYFUNCTION("""COMPUTED_VALUE"""),"156kazERWxtkEF970K6P2WK7faWBTZ-C0sOqejHpzIx4")</f>
        <v>156kazERWxtkEF970K6P2WK7faWBTZ-C0sOqejHpzIx4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IFERROR(__xludf.DUMMYFUNCTION("""COMPUTED_VALUE"""),"1iEACuwmKMC6ArJAAAaSMwW0omralf4T3B9CCBWEN4rI")</f>
        <v>1iEACuwmKMC6ArJAAAaSMwW0omralf4T3B9CCBWEN4rI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IFERROR(__xludf.DUMMYFUNCTION("""COMPUTED_VALUE"""),"1wykeQebkUjjXVgIljYXtFNMq64V4Q7hecCH_Nwn9t-8")</f>
        <v>1wykeQebkUjjXVgIljYXtFNMq64V4Q7hecCH_Nwn9t-8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IFERROR(__xludf.DUMMYFUNCTION("""COMPUTED_VALUE"""),"1kSDMTHsH0NdwDZXP8SX7lbTFzx3hjjjUfAhRUG8vOtM")</f>
        <v>1kSDMTHsH0NdwDZXP8SX7lbTFzx3hjjjUfAhRUG8vOtM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IFERROR(__xludf.DUMMYFUNCTION("""COMPUTED_VALUE"""),"19ZFvXx_RoHoOsSB6TeydqIKZBiC2XS1c5e_oEpNdp1c")</f>
        <v>19ZFvXx_RoHoOsSB6TeydqIKZBiC2XS1c5e_oEpNdp1c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IFERROR(__xludf.DUMMYFUNCTION("""COMPUTED_VALUE"""),"1bImpGl2YZz3w_D5Fl_EkwuQUAufBZpjwndJVqWd_JNs")</f>
        <v>1bImpGl2YZz3w_D5Fl_EkwuQUAufBZpjwndJVqWd_JNs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IFERROR(__xludf.DUMMYFUNCTION("""COMPUTED_VALUE"""),"1akCKlMIVAD1ZKQkcud9brqjjb1oKR18AWsFwWat-RD4")</f>
        <v>1akCKlMIVAD1ZKQkcud9brqjjb1oKR18AWsFwWat-RD4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IFERROR(__xludf.DUMMYFUNCTION("""COMPUTED_VALUE"""),"1651Q6t8B_K2B_3NiVnMG8yw2HgQ1FHfSIxFGnGFWArM")</f>
        <v>1651Q6t8B_K2B_3NiVnMG8yw2HgQ1FHfSIxFGnGFWArM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IFERROR(__xludf.DUMMYFUNCTION("""COMPUTED_VALUE"""),"1uXPSsuhLCXvRYEK8X7lvRfV-oeKYWAM5Q5YKhAktY1k")</f>
        <v>1uXPSsuhLCXvRYEK8X7lvRfV-oeKYWAM5Q5YKhAktY1k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IFERROR(__xludf.DUMMYFUNCTION("""COMPUTED_VALUE"""),"udefined")</f>
        <v>udefined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IFERROR(__xludf.DUMMYFUNCTION("""COMPUTED_VALUE"""),"1I1BEPw4MXvOJiKqrL7gZCYickKmcFPcTWcI3aTuykAM")</f>
        <v>1I1BEPw4MXvOJiKqrL7gZCYickKmcFPcTWcI3aTuykAM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IFERROR(__xludf.DUMMYFUNCTION("""COMPUTED_VALUE"""),"1-8gtRm7KdwXxY17qAqiHpJVHZ2RNImft-xqX_LrF1dc")</f>
        <v>1-8gtRm7KdwXxY17qAqiHpJVHZ2RNImft-xqX_LrF1dc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IFERROR(__xludf.DUMMYFUNCTION("""COMPUTED_VALUE"""),"19pPwXNzv9n5s3VxqHrFkTa5-sTx9CsDdmcEpXBg_h-E")</f>
        <v>19pPwXNzv9n5s3VxqHrFkTa5-sTx9CsDdmcEpXBg_h-E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IFERROR(__xludf.DUMMYFUNCTION("""COMPUTED_VALUE"""),"1CUK_ZAXi6kJC96I3_00exdznJ4Oeo2U-xkOPfNnEZ8M")</f>
        <v>1CUK_ZAXi6kJC96I3_00exdznJ4Oeo2U-xkOPfNnEZ8M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IFERROR(__xludf.DUMMYFUNCTION("""COMPUTED_VALUE"""),"1Fh4UjwxY8P8SUCZ4If7xTCvJ-n5eluHKowOpmnufius")</f>
        <v>1Fh4UjwxY8P8SUCZ4If7xTCvJ-n5eluHKowOpmnufius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IFERROR(__xludf.DUMMYFUNCTION("""COMPUTED_VALUE"""),"19CQJlgjKT5Lwtf6Dbm862WLoOU4cUuDcsuWNOK_3KM0")</f>
        <v>19CQJlgjKT5Lwtf6Dbm862WLoOU4cUuDcsuWNOK_3KM0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IFERROR(__xludf.DUMMYFUNCTION("""COMPUTED_VALUE"""),"1ALtyniAAP6ahYROdYlvK0FprtGuU8NbeHdecFNpHnow")</f>
        <v>1ALtyniAAP6ahYROdYlvK0FprtGuU8NbeHdecFNpHnow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IFERROR(__xludf.DUMMYFUNCTION("""COMPUTED_VALUE"""),"1hhoDSGwPzwNc_Ry_yrM3PRgBE8omobwG-cC28I4a8E4")</f>
        <v>1hhoDSGwPzwNc_Ry_yrM3PRgBE8omobwG-cC28I4a8E4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IFERROR(__xludf.DUMMYFUNCTION("""COMPUTED_VALUE"""),"1WzMWGdAjFGlmoqlWMu9CkwyjPz5rsP4p9iM2TrdSYAg")</f>
        <v>1WzMWGdAjFGlmoqlWMu9CkwyjPz5rsP4p9iM2TrdSYAg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IFERROR(__xludf.DUMMYFUNCTION("""COMPUTED_VALUE"""),"162Te7eWeyaqrl5jT2DPhynk193PZ4hkFEO4DJKzrLfY")</f>
        <v>162Te7eWeyaqrl5jT2DPhynk193PZ4hkFEO4DJKzrLfY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IFERROR(__xludf.DUMMYFUNCTION("""COMPUTED_VALUE"""),"146-eh2wv-YJ49kR7Vy_mnqUYnl9sBIflrTQV86OVEs4")</f>
        <v>146-eh2wv-YJ49kR7Vy_mnqUYnl9sBIflrTQV86OVEs4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IFERROR(__xludf.DUMMYFUNCTION("""COMPUTED_VALUE"""),"1mMQYKI9Rq6DghoV4QOgsQKOk1BLLKkoJGiMO3Pw1Btg")</f>
        <v>1mMQYKI9Rq6DghoV4QOgsQKOk1BLLKkoJGiMO3Pw1Btg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IFERROR(__xludf.DUMMYFUNCTION("""COMPUTED_VALUE"""),"1F034atMzxswvWV7pPfWfg9ZIq9rYRAjVEefWj9gTyQ0")</f>
        <v>1F034atMzxswvWV7pPfWfg9ZIq9rYRAjVEefWj9gTyQ0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IFERROR(__xludf.DUMMYFUNCTION("""COMPUTED_VALUE"""),"1PeaZgjNk8-BscnMVhu7EP0Uzyt8QTKcKu7GDaccohos")</f>
        <v>1PeaZgjNk8-BscnMVhu7EP0Uzyt8QTKcKu7GDaccohos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IFERROR(__xludf.DUMMYFUNCTION("""COMPUTED_VALUE"""),"1OH-wAFF1VTun24XmawHlbGMs8NMsZ4gsFJ8tDgp1nf0")</f>
        <v>1OH-wAFF1VTun24XmawHlbGMs8NMsZ4gsFJ8tDgp1nf0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IFERROR(__xludf.DUMMYFUNCTION("""COMPUTED_VALUE"""),"1G8HIOu40_hEJG25rfuFgS_G3uI_qoZIqaByaKZkVX_8")</f>
        <v>1G8HIOu40_hEJG25rfuFgS_G3uI_qoZIqaByaKZkVX_8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IFERROR(__xludf.DUMMYFUNCTION("""COMPUTED_VALUE"""),"1XLfQF5jY1GeCeWu1dE9N6E-lCCAKF16dNYVxt4k-9SQ")</f>
        <v>1XLfQF5jY1GeCeWu1dE9N6E-lCCAKF16dNYVxt4k-9SQ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IFERROR(__xludf.DUMMYFUNCTION("""COMPUTED_VALUE"""),"1gT2hqZeR3HgAGbNHrjwN8GmMPivOMw3R0wwaTW-99qE")</f>
        <v>1gT2hqZeR3HgAGbNHrjwN8GmMPivOMw3R0wwaTW-99qE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IFERROR(__xludf.DUMMYFUNCTION("""COMPUTED_VALUE"""),"1DIHr63KqB-VKKsxO2wiLpMaw8FAcbACS3u1E1Ucz8xg")</f>
        <v>1DIHr63KqB-VKKsxO2wiLpMaw8FAcbACS3u1E1Ucz8xg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IFERROR(__xludf.DUMMYFUNCTION("""COMPUTED_VALUE"""),"12aieBZMCqRWerKf-xThc6PG3oj2Rm2oAyptjWtEwUgs")</f>
        <v>12aieBZMCqRWerKf-xThc6PG3oj2Rm2oAyptjWtEwUgs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IFERROR(__xludf.DUMMYFUNCTION("""COMPUTED_VALUE"""),"1PujhuHm_Ni9-h5rvdjQ0PChoeQgEf8ApNJCHwrLFWyo")</f>
        <v>1PujhuHm_Ni9-h5rvdjQ0PChoeQgEf8ApNJCHwrLFWyo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IFERROR(__xludf.DUMMYFUNCTION("""COMPUTED_VALUE"""),"1LCM4yYwJP8UcMl_W1k3gqYt4JkfaRT3lrxr1JZGE0dM")</f>
        <v>1LCM4yYwJP8UcMl_W1k3gqYt4JkfaRT3lrxr1JZGE0dM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IFERROR(__xludf.DUMMYFUNCTION("""COMPUTED_VALUE"""),"1RWF2vERO_DfivxtOLg-qwAs6YxUWhjTevj3Q2ApUh5U")</f>
        <v>1RWF2vERO_DfivxtOLg-qwAs6YxUWhjTevj3Q2ApUh5U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IFERROR(__xludf.DUMMYFUNCTION("""COMPUTED_VALUE"""),"1ttF9_OgGg0I0s5BgdggXAjal4yM9TMHLF5f7X_OjoEQ")</f>
        <v>1ttF9_OgGg0I0s5BgdggXAjal4yM9TMHLF5f7X_OjoEQ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IFERROR(__xludf.DUMMYFUNCTION("""COMPUTED_VALUE"""),"16ipwj8pbJt24RtrNN8bsR1AZllKtUVKCGm7OpBdellA")</f>
        <v>16ipwj8pbJt24RtrNN8bsR1AZllKtUVKCGm7OpBdellA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IFERROR(__xludf.DUMMYFUNCTION("""COMPUTED_VALUE"""),"1REdqPHZcn4KjjichOPdYyfZ9PNOGx-yj5JIu39q3F0M")</f>
        <v>1REdqPHZcn4KjjichOPdYyfZ9PNOGx-yj5JIu39q3F0M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IFERROR(__xludf.DUMMYFUNCTION("""COMPUTED_VALUE"""),"10sXWgGgwNLwtfX1Izn43lW5IWP07nYKkOgaq4wnul1o")</f>
        <v>10sXWgGgwNLwtfX1Izn43lW5IWP07nYKkOgaq4wnul1o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IFERROR(__xludf.DUMMYFUNCTION("""COMPUTED_VALUE"""),"1C1s1dZvfkap4gEVdqoyWEefNpGlTxSjB80YjX3dhMEY")</f>
        <v>1C1s1dZvfkap4gEVdqoyWEefNpGlTxSjB80YjX3dhMEY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IFERROR(__xludf.DUMMYFUNCTION("""COMPUTED_VALUE"""),"1OPvnSFT_UcRWLGqoiNFpgkKfrE_GpmFrGf5oa5NFQbI")</f>
        <v>1OPvnSFT_UcRWLGqoiNFpgkKfrE_GpmFrGf5oa5NFQbI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IFERROR(__xludf.DUMMYFUNCTION("""COMPUTED_VALUE"""),"1qnQIRYilqvNrQbduql5shmM4EKluNEJzN-F5EGvjhzc")</f>
        <v>1qnQIRYilqvNrQbduql5shmM4EKluNEJzN-F5EGvjhzc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IFERROR(__xludf.DUMMYFUNCTION("""COMPUTED_VALUE"""),"1xRsjH1dcas95tYR5xbXxJWOuz4qSQltdNVA7-kAD9_U")</f>
        <v>1xRsjH1dcas95tYR5xbXxJWOuz4qSQltdNVA7-kAD9_U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IFERROR(__xludf.DUMMYFUNCTION("""COMPUTED_VALUE"""),"1dtaca-dYNMx68u2lPJtT-3SViaJ76nx1xP860PAe9O0")</f>
        <v>1dtaca-dYNMx68u2lPJtT-3SViaJ76nx1xP860PAe9O0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IFERROR(__xludf.DUMMYFUNCTION("""COMPUTED_VALUE"""),"1LqTlqz6ZfT46HKwdIZ9c8a7aoq67zGcpdX6bfGQABC8")</f>
        <v>1LqTlqz6ZfT46HKwdIZ9c8a7aoq67zGcpdX6bfGQABC8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IFERROR(__xludf.DUMMYFUNCTION("""COMPUTED_VALUE"""),"17NCXtORBQGdjGYNhahTMN3GSh7mEEiivMzuhqXyJikc")</f>
        <v>17NCXtORBQGdjGYNhahTMN3GSh7mEEiivMzuhqXyJikc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IFERROR(__xludf.DUMMYFUNCTION("""COMPUTED_VALUE"""),"1aymZC-yz-Pr8sJFx-ScFtHoADtIbKIjEJUYy_cNJvT8")</f>
        <v>1aymZC-yz-Pr8sJFx-ScFtHoADtIbKIjEJUYy_cNJvT8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IFERROR(__xludf.DUMMYFUNCTION("""COMPUTED_VALUE"""),"1xZZW2LMilqZbN_SkzEV1JqOH-IFtsJukrfBTBGYTcF4")</f>
        <v>1xZZW2LMilqZbN_SkzEV1JqOH-IFtsJukrfBTBGYTcF4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IFERROR(__xludf.DUMMYFUNCTION("""COMPUTED_VALUE"""),"1VU_8LrBFmn3xYuy2dig4kP2zAm2ach8NXEt3fHHR9UY")</f>
        <v>1VU_8LrBFmn3xYuy2dig4kP2zAm2ach8NXEt3fHHR9UY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IFERROR(__xludf.DUMMYFUNCTION("""COMPUTED_VALUE"""),"1p1Ooj_bnGAhvfN4FINxkIOeO3DupwY8P6ELvUAHEriE")</f>
        <v>1p1Ooj_bnGAhvfN4FINxkIOeO3DupwY8P6ELvUAHEriE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IFERROR(__xludf.DUMMYFUNCTION("""COMPUTED_VALUE"""),"1spreJhh5qxmL8zMnI0JR2xnqRsk3_D2LLfmQUs6czpE")</f>
        <v>1spreJhh5qxmL8zMnI0JR2xnqRsk3_D2LLfmQUs6czpE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IFERROR(__xludf.DUMMYFUNCTION("""COMPUTED_VALUE"""),"1tkOwJ5iAMKkvaeCTlOGhcNpoFYbV8oVuu2VWMSIlHcg")</f>
        <v>1tkOwJ5iAMKkvaeCTlOGhcNpoFYbV8oVuu2VWMSIlHcg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IFERROR(__xludf.DUMMYFUNCTION("""COMPUTED_VALUE"""),"1Y0k7om8CfyJDAVaQny6RJM2FOaczI_9_CeMmKLHXEPs")</f>
        <v>1Y0k7om8CfyJDAVaQny6RJM2FOaczI_9_CeMmKLHXEPs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IFERROR(__xludf.DUMMYFUNCTION("""COMPUTED_VALUE"""),"1Zf1vOB3JXSBJLqOKJFUHHcDurDxRn5wJ-0Dscz38M_0")</f>
        <v>1Zf1vOB3JXSBJLqOKJFUHHcDurDxRn5wJ-0Dscz38M_0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IFERROR(__xludf.DUMMYFUNCTION("""COMPUTED_VALUE"""),"1cE4Njh1GV5ltDh3an8b9LC6j3j2CFoqyxA71Ppa6r6Q")</f>
        <v>1cE4Njh1GV5ltDh3an8b9LC6j3j2CFoqyxA71Ppa6r6Q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IFERROR(__xludf.DUMMYFUNCTION("""COMPUTED_VALUE"""),"1jzfiPUeEshd-5NkNUXsy-7PEcse4TglcSbsrp_Dc8HU")</f>
        <v>1jzfiPUeEshd-5NkNUXsy-7PEcse4TglcSbsrp_Dc8HU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IFERROR(__xludf.DUMMYFUNCTION("""COMPUTED_VALUE"""),"1euE_u3GY1blYYXNf6RKZVwdD8spyRt853jsUlIwTOw0")</f>
        <v>1euE_u3GY1blYYXNf6RKZVwdD8spyRt853jsUlIwTOw0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IFERROR(__xludf.DUMMYFUNCTION("""COMPUTED_VALUE"""),"10xkvvILLWxjyviOPnf_WK9ROWAqVGeSQkCOEpeJmvUg")</f>
        <v>10xkvvILLWxjyviOPnf_WK9ROWAqVGeSQkCOEpeJmvUg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IFERROR(__xludf.DUMMYFUNCTION("""COMPUTED_VALUE"""),"1P5R2FYDlwHaxxt12yp5VDCc9rtTrQYox51Q8B9lAEwE")</f>
        <v>1P5R2FYDlwHaxxt12yp5VDCc9rtTrQYox51Q8B9lAEwE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IFERROR(__xludf.DUMMYFUNCTION("""COMPUTED_VALUE"""),"1dWiU5yiJ45sV3M7GzO2U5fuFeWx4uZYWFc3g69wicCM")</f>
        <v>1dWiU5yiJ45sV3M7GzO2U5fuFeWx4uZYWFc3g69wicCM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IFERROR(__xludf.DUMMYFUNCTION("""COMPUTED_VALUE"""),"10Fv19cOj3bnosZSwoQYrQSqzJX3hkCYv9DMeIiNaNJU")</f>
        <v>10Fv19cOj3bnosZSwoQYrQSqzJX3hkCYv9DMeIiNaNJU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IFERROR(__xludf.DUMMYFUNCTION("""COMPUTED_VALUE"""),"15-OVgVqDG2Em79pxq7YJDAL6-d6MUtFGTzENqQCiVMc")</f>
        <v>15-OVgVqDG2Em79pxq7YJDAL6-d6MUtFGTzENqQCiVMc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IFERROR(__xludf.DUMMYFUNCTION("""COMPUTED_VALUE"""),"1ck3szsOznKcX8uczcNnuD3FUMd9fJohIehaAkka70h8")</f>
        <v>1ck3szsOznKcX8uczcNnuD3FUMd9fJohIehaAkka70h8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IFERROR(__xludf.DUMMYFUNCTION("""COMPUTED_VALUE"""),"1MT54QWk68ppoZlAmPewiWRHmLvfcjAI7PC5aw2W3UVo")</f>
        <v>1MT54QWk68ppoZlAmPewiWRHmLvfcjAI7PC5aw2W3UVo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IFERROR(__xludf.DUMMYFUNCTION("""COMPUTED_VALUE"""),"1Lkr5MAwp3hErcyNYcw1_ShXvs11WPRHNEssVy9zfi_w")</f>
        <v>1Lkr5MAwp3hErcyNYcw1_ShXvs11WPRHNEssVy9zfi_w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IFERROR(__xludf.DUMMYFUNCTION("""COMPUTED_VALUE"""),"1gWsZu6P8fdTeLcSwKqEpKs23oukXfrI2NnDFhQJ5SL8")</f>
        <v>1gWsZu6P8fdTeLcSwKqEpKs23oukXfrI2NnDFhQJ5SL8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IFERROR(__xludf.DUMMYFUNCTION("""COMPUTED_VALUE"""),"1iCsiy6EsAlpJ4AhDasW2XCUMA8sqkhY1YKL6VFO-mik")</f>
        <v>1iCsiy6EsAlpJ4AhDasW2XCUMA8sqkhY1YKL6VFO-mik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IFERROR(__xludf.DUMMYFUNCTION("""COMPUTED_VALUE"""),"1p5zM_6V1jp6W72AjDncDlcjNCGEydWFHE9Q6C7_UNJs")</f>
        <v>1p5zM_6V1jp6W72AjDncDlcjNCGEydWFHE9Q6C7_UNJs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IFERROR(__xludf.DUMMYFUNCTION("""COMPUTED_VALUE"""),"1Fj5RI9KJs9fyvxlJ-x5CLX7Me-Y8JRBPLaKMbkGbJP4")</f>
        <v>1Fj5RI9KJs9fyvxlJ-x5CLX7Me-Y8JRBPLaKMbkGbJP4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IFERROR(__xludf.DUMMYFUNCTION("""COMPUTED_VALUE"""),"1UJAijL5ov_iwtuasZZT7bxW5X_n9tcQvSAdHL9noFr4")</f>
        <v>1UJAijL5ov_iwtuasZZT7bxW5X_n9tcQvSAdHL9noFr4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IFERROR(__xludf.DUMMYFUNCTION("""COMPUTED_VALUE"""),"1n9BXSuRyrVvzLYXquxBPqlqIEEVaTzV-_x_w3e-i5Ls")</f>
        <v>1n9BXSuRyrVvzLYXquxBPqlqIEEVaTzV-_x_w3e-i5Ls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IFERROR(__xludf.DUMMYFUNCTION("""COMPUTED_VALUE"""),"1YeFHGDFK4nbHi9Rs47h9AAx2lalv9HhsD69zV3csGy8")</f>
        <v>1YeFHGDFK4nbHi9Rs47h9AAx2lalv9HhsD69zV3csGy8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IFERROR(__xludf.DUMMYFUNCTION("""COMPUTED_VALUE"""),"1MiGrZTSXutmd7cujyYNd0UqnGibLOPyRrnLMgP4Sr6o")</f>
        <v>1MiGrZTSXutmd7cujyYNd0UqnGibLOPyRrnLMgP4Sr6o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IFERROR(__xludf.DUMMYFUNCTION("""COMPUTED_VALUE"""),"13YvpTYbNmo3NThVihGZE2Kw0PUae2MHq-qjJOu3wxvU")</f>
        <v>13YvpTYbNmo3NThVihGZE2Kw0PUae2MHq-qjJOu3wxvU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IFERROR(__xludf.DUMMYFUNCTION("""COMPUTED_VALUE"""),"1KKxuPcmDmDXhFUPaCFFbPF6RwxycCavtqm7S16KEg5Y")</f>
        <v>1KKxuPcmDmDXhFUPaCFFbPF6RwxycCavtqm7S16KEg5Y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IFERROR(__xludf.DUMMYFUNCTION("""COMPUTED_VALUE"""),"17Zycs069RWng1ieYt4n6O_NZ6ceVd43tU8G9g0-fN8I")</f>
        <v>17Zycs069RWng1ieYt4n6O_NZ6ceVd43tU8G9g0-fN8I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IFERROR(__xludf.DUMMYFUNCTION("""COMPUTED_VALUE"""),"1j0MZKaTBHe2pQDFZ05nHEEGvfvlI52Alywtq5yhH70s")</f>
        <v>1j0MZKaTBHe2pQDFZ05nHEEGvfvlI52Alywtq5yhH70s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IFERROR(__xludf.DUMMYFUNCTION("""COMPUTED_VALUE"""),"1oKO0dtODYJio_gXq_EzmSE6Q2rkYTxWRmQ7IN0CHRa4")</f>
        <v>1oKO0dtODYJio_gXq_EzmSE6Q2rkYTxWRmQ7IN0CHRa4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IFERROR(__xludf.DUMMYFUNCTION("""COMPUTED_VALUE"""),"18W3DK31N2RdU0CYRRdvWw5nNRe3GaSCO0hU0sxw-H4U")</f>
        <v>18W3DK31N2RdU0CYRRdvWw5nNRe3GaSCO0hU0sxw-H4U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IFERROR(__xludf.DUMMYFUNCTION("""COMPUTED_VALUE"""),"175lBA_MAWFmudJaoBeId0gWkm7igxqbkXeb1PtlSDoA")</f>
        <v>175lBA_MAWFmudJaoBeId0gWkm7igxqbkXeb1PtlSDoA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IFERROR(__xludf.DUMMYFUNCTION("""COMPUTED_VALUE"""),"1sQKTr-JDOFjue2JmgR8y8eR2IEjTDxZjM1tRp8rfVZ4")</f>
        <v>1sQKTr-JDOFjue2JmgR8y8eR2IEjTDxZjM1tRp8rfVZ4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IFERROR(__xludf.DUMMYFUNCTION("""COMPUTED_VALUE"""),"18LZI70z0zRkOHzZ-aFNo6pUkePW7ThyhbXRWqCIG-N8")</f>
        <v>18LZI70z0zRkOHzZ-aFNo6pUkePW7ThyhbXRWqCIG-N8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IFERROR(__xludf.DUMMYFUNCTION("""COMPUTED_VALUE"""),"1gQFPTtbtlQbHtL6Y-Dbb7k0ZWw6IOVgkyG0cQHk3P1k")</f>
        <v>1gQFPTtbtlQbHtL6Y-Dbb7k0ZWw6IOVgkyG0cQHk3P1k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IFERROR(__xludf.DUMMYFUNCTION("""COMPUTED_VALUE"""),"1P2ZvDCpcJTPA7yutZIal5f3PGC6e6_xYvPjsIIfGwno")</f>
        <v>1P2ZvDCpcJTPA7yutZIal5f3PGC6e6_xYvPjsIIfGwno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IFERROR(__xludf.DUMMYFUNCTION("""COMPUTED_VALUE"""),"1DVVPwFtUbivhOmLl_-Ke87upmLsIjYCmPCpyqQQL7GE")</f>
        <v>1DVVPwFtUbivhOmLl_-Ke87upmLsIjYCmPCpyqQQL7GE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IFERROR(__xludf.DUMMYFUNCTION("""COMPUTED_VALUE"""),"14uwsyYP_hNAmpjAa9P4MPLYLein3u1E10CkcVdFlJ-s")</f>
        <v>14uwsyYP_hNAmpjAa9P4MPLYLein3u1E10CkcVdFlJ-s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IFERROR(__xludf.DUMMYFUNCTION("""COMPUTED_VALUE"""),"13QtG3gZH45PkqubENv0lSqP68CbF05IB4dM27NtKl3o")</f>
        <v>13QtG3gZH45PkqubENv0lSqP68CbF05IB4dM27NtKl3o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IFERROR(__xludf.DUMMYFUNCTION("""COMPUTED_VALUE"""),"18xh-lBAS89YQ--EIjTatfp-D1Kwq9U4UxJNZyYDZGtc")</f>
        <v>18xh-lBAS89YQ--EIjTatfp-D1Kwq9U4UxJNZyYDZGtc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IFERROR(__xludf.DUMMYFUNCTION("""COMPUTED_VALUE"""),"1U4wXJzuxI444D3KBBkErR3jujPNFIeOXqzTcjs7uFk4")</f>
        <v>1U4wXJzuxI444D3KBBkErR3jujPNFIeOXqzTcjs7uFk4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IFERROR(__xludf.DUMMYFUNCTION("""COMPUTED_VALUE"""),"1EvVjoTD032TySfzJXw9gVNA5t-mn99j3tqeMXnXxoLo")</f>
        <v>1EvVjoTD032TySfzJXw9gVNA5t-mn99j3tqeMXnXxoLo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IFERROR(__xludf.DUMMYFUNCTION("""COMPUTED_VALUE"""),"1uo0qBFSjypCkvQFFO_xyPzzor9bEFiGOx2kCB7eZtc0")</f>
        <v>1uo0qBFSjypCkvQFFO_xyPzzor9bEFiGOx2kCB7eZtc0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IFERROR(__xludf.DUMMYFUNCTION("""COMPUTED_VALUE"""),"15lt-nTUfSNjgvlEflxa4N8HdBSjUq2aSfcorYolBUAs")</f>
        <v>15lt-nTUfSNjgvlEflxa4N8HdBSjUq2aSfcorYolBUAs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IFERROR(__xludf.DUMMYFUNCTION("""COMPUTED_VALUE"""),"1DH8m8i4Qq1FRMeP1xeY5NPN2003TNy7bMleHo7w9vpI")</f>
        <v>1DH8m8i4Qq1FRMeP1xeY5NPN2003TNy7bMleHo7w9vpI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IFERROR(__xludf.DUMMYFUNCTION("""COMPUTED_VALUE"""),"1bYjRsTDybpFVpmrR8hrMTWz443Y9xS0smrogdLmz8jU")</f>
        <v>1bYjRsTDybpFVpmrR8hrMTWz443Y9xS0smrogdLmz8jU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IFERROR(__xludf.DUMMYFUNCTION("""COMPUTED_VALUE"""),"1Aog2FKNXledg-NmWJRe94eWJeWxyZa9CMG3_TwF2hSA")</f>
        <v>1Aog2FKNXledg-NmWJRe94eWJeWxyZa9CMG3_TwF2hSA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IFERROR(__xludf.DUMMYFUNCTION("""COMPUTED_VALUE"""),"1Q75ZXDUBIQ-EYCXJzcayoOZnyEvR7Te7R6YiiBrn4Fw")</f>
        <v>1Q75ZXDUBIQ-EYCXJzcayoOZnyEvR7Te7R6YiiBrn4Fw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IFERROR(__xludf.DUMMYFUNCTION("""COMPUTED_VALUE"""),"17VYB1TUXW6ptwR8v_a2tyrxMyJYSdLT3E20OaTqLis4")</f>
        <v>17VYB1TUXW6ptwR8v_a2tyrxMyJYSdLT3E20OaTqLis4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IFERROR(__xludf.DUMMYFUNCTION("""COMPUTED_VALUE"""),"1zuz4WFM4veTzlIk0hPFaED7NShVVtV3M3H96aH707tk")</f>
        <v>1zuz4WFM4veTzlIk0hPFaED7NShVVtV3M3H96aH707tk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IFERROR(__xludf.DUMMYFUNCTION("""COMPUTED_VALUE"""),"1_GQFckcT00jBYdR7a8rSRFHMJjWiv0KEDGAeJ-jcKKE")</f>
        <v>1_GQFckcT00jBYdR7a8rSRFHMJjWiv0KEDGAeJ-jcKKE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IFERROR(__xludf.DUMMYFUNCTION("""COMPUTED_VALUE"""),"1KXa8gITpSjwlX1JvvOAW0jDfGIy5UnQx3sJN6gJrcBg")</f>
        <v>1KXa8gITpSjwlX1JvvOAW0jDfGIy5UnQx3sJN6gJrcBg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IFERROR(__xludf.DUMMYFUNCTION("""COMPUTED_VALUE"""),"1jB8z3I5yMthH4XtX4HbKhklvniCAeFbyrWTpzZ9XKvc")</f>
        <v>1jB8z3I5yMthH4XtX4HbKhklvniCAeFbyrWTpzZ9XKvc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IFERROR(__xludf.DUMMYFUNCTION("""COMPUTED_VALUE"""),"1fq83kzKCDhFT0Fi9dgsfQKMuNpAc3v4gV1Qbsldz3h8")</f>
        <v>1fq83kzKCDhFT0Fi9dgsfQKMuNpAc3v4gV1Qbsldz3h8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IFERROR(__xludf.DUMMYFUNCTION("""COMPUTED_VALUE"""),"1JYODO_uKPLBSeaxw5rmQVcUuWB2imU7o869smQvOuxU")</f>
        <v>1JYODO_uKPLBSeaxw5rmQVcUuWB2imU7o869smQvOuxU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IFERROR(__xludf.DUMMYFUNCTION("""COMPUTED_VALUE"""),"1weOZeHVOJsLyIZM3dZs2ACjYrRO49tWQkWIQsAU8fTE")</f>
        <v>1weOZeHVOJsLyIZM3dZs2ACjYrRO49tWQkWIQsAU8fTE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IFERROR(__xludf.DUMMYFUNCTION("""COMPUTED_VALUE"""),"1ZESR_kMepfUvTmpE2qynJgfXoxake4l0VcC4pNO8LzA")</f>
        <v>1ZESR_kMepfUvTmpE2qynJgfXoxake4l0VcC4pNO8LzA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IFERROR(__xludf.DUMMYFUNCTION("""COMPUTED_VALUE"""),"1r0PvMKr873S1yfp9cHKySnwrldippMPMVoZdf43rqK8")</f>
        <v>1r0PvMKr873S1yfp9cHKySnwrldippMPMVoZdf43rqK8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IFERROR(__xludf.DUMMYFUNCTION("""COMPUTED_VALUE"""),"1SnAbZP1_-LHY3PpvSSjTJMIbe_8gsQXRLKEyiUygPg4")</f>
        <v>1SnAbZP1_-LHY3PpvSSjTJMIbe_8gsQXRLKEyiUygPg4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IFERROR(__xludf.DUMMYFUNCTION("""COMPUTED_VALUE"""),"1fXCOGRVd7ctz9NiTkQBLLoiX3nSlZKgoic2xkW0v684")</f>
        <v>1fXCOGRVd7ctz9NiTkQBLLoiX3nSlZKgoic2xkW0v684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IFERROR(__xludf.DUMMYFUNCTION("""COMPUTED_VALUE"""),"1V4YXKd8h8921rDajwTrmF9IS6TyYiIfoXghpclUszxk")</f>
        <v>1V4YXKd8h8921rDajwTrmF9IS6TyYiIfoXghpclUszxk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IFERROR(__xludf.DUMMYFUNCTION("""COMPUTED_VALUE"""),"11Fj2b-qpUUOR9FXVXVEd8W6NpSSLN1xH3ue_KLVLUXE")</f>
        <v>11Fj2b-qpUUOR9FXVXVEd8W6NpSSLN1xH3ue_KLVLUXE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IFERROR(__xludf.DUMMYFUNCTION("""COMPUTED_VALUE"""),"1fWFBM-fAcfCHGLGmZ05e7b-33SZ0WHV69e-2UjgnGew")</f>
        <v>1fWFBM-fAcfCHGLGmZ05e7b-33SZ0WHV69e-2UjgnGew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IFERROR(__xludf.DUMMYFUNCTION("""COMPUTED_VALUE"""),"1ukV644mYAZQ5cCmM_xHU1TlCSxw7YhF_op2JRldIO1Y")</f>
        <v>1ukV644mYAZQ5cCmM_xHU1TlCSxw7YhF_op2JRldIO1Y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IFERROR(__xludf.DUMMYFUNCTION("""COMPUTED_VALUE"""),"1ejWWHYHX79GNeqnpEIv1pY3fHEtH3w2SxCklunau7pU")</f>
        <v>1ejWWHYHX79GNeqnpEIv1pY3fHEtH3w2SxCklunau7pU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IFERROR(__xludf.DUMMYFUNCTION("""COMPUTED_VALUE"""),"1C9nr9UaSw19k3RlZOh6C32ihCaOsw9e8EzB5exzVqdI")</f>
        <v>1C9nr9UaSw19k3RlZOh6C32ihCaOsw9e8EzB5exzVqdI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IFERROR(__xludf.DUMMYFUNCTION("""COMPUTED_VALUE"""),"1zpJ5COKg0t3DKjAupe3b9VWJWwFOshN0jcUXXcmwOCY")</f>
        <v>1zpJ5COKg0t3DKjAupe3b9VWJWwFOshN0jcUXXcmwOCY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IFERROR(__xludf.DUMMYFUNCTION("""COMPUTED_VALUE"""),"1BRf1AxKf-ZXo6cETDcf1qs9hsphlkZWn3nC_UQ8uulE")</f>
        <v>1BRf1AxKf-ZXo6cETDcf1qs9hsphlkZWn3nC_UQ8uulE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IFERROR(__xludf.DUMMYFUNCTION("""COMPUTED_VALUE"""),"1Z1Ooq9Bs8nqmf2xqnglXRlccDJnbGAIOB06M9ekj2rs")</f>
        <v>1Z1Ooq9Bs8nqmf2xqnglXRlccDJnbGAIOB06M9ekj2rs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IFERROR(__xludf.DUMMYFUNCTION("""COMPUTED_VALUE"""),"1g2BlDzMuPLqY5xVnCrcfbtfe9kWQV3CgE6JfSKlxSzg")</f>
        <v>1g2BlDzMuPLqY5xVnCrcfbtfe9kWQV3CgE6JfSKlxSzg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IFERROR(__xludf.DUMMYFUNCTION("""COMPUTED_VALUE"""),"1desQWnGI98GIc1vxX0YFAvK6eM6Up2OfO7mDBlu8DyE")</f>
        <v>1desQWnGI98GIc1vxX0YFAvK6eM6Up2OfO7mDBlu8DyE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IFERROR(__xludf.DUMMYFUNCTION("""COMPUTED_VALUE"""),"1VWFe_7Bzpo4sOh0lngtoR43fbAhailkC7sT-1MShuLo")</f>
        <v>1VWFe_7Bzpo4sOh0lngtoR43fbAhailkC7sT-1MShuLo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IFERROR(__xludf.DUMMYFUNCTION("""COMPUTED_VALUE"""),"1DQNjGNN_8R1Id_RNxpiXZmk1V3qnXnTg-7JWhtLHIOM")</f>
        <v>1DQNjGNN_8R1Id_RNxpiXZmk1V3qnXnTg-7JWhtLHIOM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IFERROR(__xludf.DUMMYFUNCTION("""COMPUTED_VALUE"""),"1UCVBiqZ-hQHZCTT2TvmNRmPPUYAp6soMftJvf3IJb-U")</f>
        <v>1UCVBiqZ-hQHZCTT2TvmNRmPPUYAp6soMftJvf3IJb-U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IFERROR(__xludf.DUMMYFUNCTION("""COMPUTED_VALUE"""),"1Wys20XtOSKAzbhZ6D_ru6oNOCYqcpyBFkLMGVYyy2WM")</f>
        <v>1Wys20XtOSKAzbhZ6D_ru6oNOCYqcpyBFkLMGVYyy2WM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IFERROR(__xludf.DUMMYFUNCTION("""COMPUTED_VALUE"""),"1OH-wAFF1VTun24XmawHlbGMs8NMsZ4gsFJ8tDgp1nf0")</f>
        <v>1OH-wAFF1VTun24XmawHlbGMs8NMsZ4gsFJ8tDgp1nf0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IFERROR(__xludf.DUMMYFUNCTION("""COMPUTED_VALUE"""),"1u62Kj38ddSce6mjA7g4i_1lPA5fUScW985zdMGo3BYA")</f>
        <v>1u62Kj38ddSce6mjA7g4i_1lPA5fUScW985zdMGo3BYA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IFERROR(__xludf.DUMMYFUNCTION("""COMPUTED_VALUE"""),"1G__9tJvjvOtaGer3XqVAzGCQYG07hudOPpD60H34Zy8")</f>
        <v>1G__9tJvjvOtaGer3XqVAzGCQYG07hudOPpD60H34Zy8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IFERROR(__xludf.DUMMYFUNCTION("""COMPUTED_VALUE"""),"1-9bwCgsl5N95i-RvKiMEwupZhEFD-V_V4UhaUwW08HM")</f>
        <v>1-9bwCgsl5N95i-RvKiMEwupZhEFD-V_V4UhaUwW08HM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IFERROR(__xludf.DUMMYFUNCTION("""COMPUTED_VALUE"""),"1VvSSs3QJ14ONF-H8UJY0IQjVFEXjPDyORsnnG-MIOVQ")</f>
        <v>1VvSSs3QJ14ONF-H8UJY0IQjVFEXjPDyORsnnG-MIOVQ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IFERROR(__xludf.DUMMYFUNCTION("""COMPUTED_VALUE"""),"1VpvDYDtLzzQKU6zRrnt43oSdSe1jDGhYuKyFkWXgl0M")</f>
        <v>1VpvDYDtLzzQKU6zRrnt43oSdSe1jDGhYuKyFkWXgl0M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IFERROR(__xludf.DUMMYFUNCTION("""COMPUTED_VALUE"""),"1xwDU0wEY5ygG38Ymyteoy-b7VhKEgDgPur5SneK5DOc")</f>
        <v>1xwDU0wEY5ygG38Ymyteoy-b7VhKEgDgPur5SneK5DOc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IFERROR(__xludf.DUMMYFUNCTION("""COMPUTED_VALUE"""),"1rhbgybK8UToNxMXDOZxwk3lnAdVPNaXMj69toF42Xwo")</f>
        <v>1rhbgybK8UToNxMXDOZxwk3lnAdVPNaXMj69toF42Xwo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IFERROR(__xludf.DUMMYFUNCTION("""COMPUTED_VALUE"""),"11yE3pKzcv-wtNP-iR3X7bRfy6MLIOsu-qcNla8FkfvE")</f>
        <v>11yE3pKzcv-wtNP-iR3X7bRfy6MLIOsu-qcNla8FkfvE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IFERROR(__xludf.DUMMYFUNCTION("""COMPUTED_VALUE"""),"1RGxd6BFK5bdonfIWcSSPdrNFPAQirhzZqSCkmKziVHc")</f>
        <v>1RGxd6BFK5bdonfIWcSSPdrNFPAQirhzZqSCkmKziVHc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IFERROR(__xludf.DUMMYFUNCTION("""COMPUTED_VALUE"""),"185FY-wExfE4jMT_4yTVjOUr49VHzbH6ICdX9HndSaTM")</f>
        <v>185FY-wExfE4jMT_4yTVjOUr49VHzbH6ICdX9HndSaTM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IFERROR(__xludf.DUMMYFUNCTION("""COMPUTED_VALUE"""),"1JQ1sH3BSkeS63QmSdGmR2uX_wHxLSUJdkAtqU0BIVl4")</f>
        <v>1JQ1sH3BSkeS63QmSdGmR2uX_wHxLSUJdkAtqU0BIVl4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IFERROR(__xludf.DUMMYFUNCTION("""COMPUTED_VALUE"""),"1e5P2Fpj6vybIn_paB2b7Fy1UWvvzM_QLBcFFEnG_Sog")</f>
        <v>1e5P2Fpj6vybIn_paB2b7Fy1UWvvzM_QLBcFFEnG_Sog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IFERROR(__xludf.DUMMYFUNCTION("""COMPUTED_VALUE"""),"1Hl-bDiK5QR2zP8Xl8o2qKBLjoh6RGDS1UZGDYAqP4oQ")</f>
        <v>1Hl-bDiK5QR2zP8Xl8o2qKBLjoh6RGDS1UZGDYAqP4oQ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IFERROR(__xludf.DUMMYFUNCTION("""COMPUTED_VALUE"""),"17wP7K35BVS-mcToVvypH9kFnKwLPjhX5cgZessf5L3U")</f>
        <v>17wP7K35BVS-mcToVvypH9kFnKwLPjhX5cgZessf5L3U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IFERROR(__xludf.DUMMYFUNCTION("""COMPUTED_VALUE"""),"1-ih35UufsuBdP0hoxZ-4l-12Rq-zYst8RspaOVUizJc")</f>
        <v>1-ih35UufsuBdP0hoxZ-4l-12Rq-zYst8RspaOVUizJc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IFERROR(__xludf.DUMMYFUNCTION("""COMPUTED_VALUE"""),"1xyZdNq5NSQNp450_Gc1FWk1hVNNJBJwHxsqN70MtZLU")</f>
        <v>1xyZdNq5NSQNp450_Gc1FWk1hVNNJBJwHxsqN70MtZLU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IFERROR(__xludf.DUMMYFUNCTION("""COMPUTED_VALUE"""),"1EvfgveHhX8XFzsj7Fy7Yi6C9pY-aewJRJyPh3yuRejY")</f>
        <v>1EvfgveHhX8XFzsj7Fy7Yi6C9pY-aewJRJyPh3yuRejY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IFERROR(__xludf.DUMMYFUNCTION("""COMPUTED_VALUE"""),"1k7xJ6kz4kMqQWK18SURBsIq7RJIBYbtYRz2nKI4obIs")</f>
        <v>1k7xJ6kz4kMqQWK18SURBsIq7RJIBYbtYRz2nKI4obIs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IFERROR(__xludf.DUMMYFUNCTION("""COMPUTED_VALUE"""),"1h4gMGiy1GVAsiDN_3s7laxEQ8QIiMM11jjlepyiWEFw")</f>
        <v>1h4gMGiy1GVAsiDN_3s7laxEQ8QIiMM11jjlepyiWEFw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IFERROR(__xludf.DUMMYFUNCTION("""COMPUTED_VALUE"""),"1555eBTfW3pZgygX6zpaPQiMcmfrnNsubsj7N0H4mAzE")</f>
        <v>1555eBTfW3pZgygX6zpaPQiMcmfrnNsubsj7N0H4mAzE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IFERROR(__xludf.DUMMYFUNCTION("""COMPUTED_VALUE"""),"13SBB21Z9FVCuAXFJukuoDKtIn_jkAQg7H8URkrwJeeI")</f>
        <v>13SBB21Z9FVCuAXFJukuoDKtIn_jkAQg7H8URkrwJeeI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IFERROR(__xludf.DUMMYFUNCTION("""COMPUTED_VALUE"""),"1QYD14pNRFunvjaSxygVhv7DYj8TvS2fjXDJc9Zg9Mw8")</f>
        <v>1QYD14pNRFunvjaSxygVhv7DYj8TvS2fjXDJc9Zg9Mw8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IFERROR(__xludf.DUMMYFUNCTION("""COMPUTED_VALUE"""),"1b8x6RjtQjtXxwQEPvkKbxuNrqT2um8DTratJi6LLMkE")</f>
        <v>1b8x6RjtQjtXxwQEPvkKbxuNrqT2um8DTratJi6LLMkE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IFERROR(__xludf.DUMMYFUNCTION("""COMPUTED_VALUE"""),"18ZLKMuYELpFF8igusiA1YPM1roRHrNcfmsVVoNq6h6s")</f>
        <v>18ZLKMuYELpFF8igusiA1YPM1roRHrNcfmsVVoNq6h6s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IFERROR(__xludf.DUMMYFUNCTION("""COMPUTED_VALUE"""),"1wguu6CJ1W1WXxjb_KxnFlOegfYbfanXuyO-oZAt2m7U")</f>
        <v>1wguu6CJ1W1WXxjb_KxnFlOegfYbfanXuyO-oZAt2m7U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IFERROR(__xludf.DUMMYFUNCTION("""COMPUTED_VALUE"""),"1o-FBBuQHxjtFK6FrVr69erSNvwKFefznt7EpoR-TUMo")</f>
        <v>1o-FBBuQHxjtFK6FrVr69erSNvwKFefznt7EpoR-TUMo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IFERROR(__xludf.DUMMYFUNCTION("""COMPUTED_VALUE"""),"1NPaQ5SsIbAw-Qf-hqCpOtIXsinQoikQedLQjmpcEf2w")</f>
        <v>1NPaQ5SsIbAw-Qf-hqCpOtIXsinQoikQedLQjmpcEf2w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IFERROR(__xludf.DUMMYFUNCTION("""COMPUTED_VALUE"""),"1oRJt2apb45iHCVxOMoKsVCBE0tayi72K_dpkArgaYNI")</f>
        <v>1oRJt2apb45iHCVxOMoKsVCBE0tayi72K_dpkArgaYNI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IFERROR(__xludf.DUMMYFUNCTION("""COMPUTED_VALUE"""),"1agqTy8ODsUfNuR8A2GzGp3_Gb5oKxa04ZxPCTZ4jQEE")</f>
        <v>1agqTy8ODsUfNuR8A2GzGp3_Gb5oKxa04ZxPCTZ4jQEE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IFERROR(__xludf.DUMMYFUNCTION("""COMPUTED_VALUE"""),"1bxIll2-_r6nIdBU5BDupSdTWZM-4ZIgSxN2lDwPlyV0")</f>
        <v>1bxIll2-_r6nIdBU5BDupSdTWZM-4ZIgSxN2lDwPlyV0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IFERROR(__xludf.DUMMYFUNCTION("""COMPUTED_VALUE"""),"1VbNnoezmSIsbkZrumDKpPBQV7dd2w_tXh_5KZD1fS1g")</f>
        <v>1VbNnoezmSIsbkZrumDKpPBQV7dd2w_tXh_5KZD1fS1g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IFERROR(__xludf.DUMMYFUNCTION("""COMPUTED_VALUE"""),"1nlzyKt77FsFAQVk5JnD-eRJd0GhkFyyq22Np46z4LBQ")</f>
        <v>1nlzyKt77FsFAQVk5JnD-eRJd0GhkFyyq22Np46z4LBQ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IFERROR(__xludf.DUMMYFUNCTION("""COMPUTED_VALUE"""),"10dzEbmMqSEFoyEQpGvfRBGkGUrZT9nMgCEU9mLlrjXc")</f>
        <v>10dzEbmMqSEFoyEQpGvfRBGkGUrZT9nMgCEU9mLlrjXc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IFERROR(__xludf.DUMMYFUNCTION("""COMPUTED_VALUE"""),"1VOlCmP3Y6dCjaGw4PDv0maNOawXXEBX0OR5bMVlm-Rg")</f>
        <v>1VOlCmP3Y6dCjaGw4PDv0maNOawXXEBX0OR5bMVlm-Rg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IFERROR(__xludf.DUMMYFUNCTION("""COMPUTED_VALUE"""),"1QiPkyR6XoPva-Y8Gr2o5tuIKxzA8YGA-Bi26TT3QwUM")</f>
        <v>1QiPkyR6XoPva-Y8Gr2o5tuIKxzA8YGA-Bi26TT3QwUM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IFERROR(__xludf.DUMMYFUNCTION("""COMPUTED_VALUE"""),"1_H_v-FL2GL1VYRQfF102TJK8lcPuFLC2dcFfpVsrOyA")</f>
        <v>1_H_v-FL2GL1VYRQfF102TJK8lcPuFLC2dcFfpVsrOyA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IFERROR(__xludf.DUMMYFUNCTION("""COMPUTED_VALUE"""),"1_FK3luW0u1bVUl_-uuhjD3pjwJIEAlKxRSV9t7lDgUU")</f>
        <v>1_FK3luW0u1bVUl_-uuhjD3pjwJIEAlKxRSV9t7lDgUU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IFERROR(__xludf.DUMMYFUNCTION("""COMPUTED_VALUE"""),"12dAzLg9OkaQ3A4alK8t63FnQc47Y0DtLXmwjEZn8CSw")</f>
        <v>12dAzLg9OkaQ3A4alK8t63FnQc47Y0DtLXmwjEZn8CSw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IFERROR(__xludf.DUMMYFUNCTION("""COMPUTED_VALUE"""),"19v7mgj_xrXR2b9J5hjpqub6H625ytQdJy5zpbsnIFH4")</f>
        <v>19v7mgj_xrXR2b9J5hjpqub6H625ytQdJy5zpbsnIFH4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IFERROR(__xludf.DUMMYFUNCTION("""COMPUTED_VALUE"""),"1ZIFQW7-ZFHpYjXIplTSB3w5c7JkPAmMEZWZbDpwxjZo")</f>
        <v>1ZIFQW7-ZFHpYjXIplTSB3w5c7JkPAmMEZWZbDpwxjZo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IFERROR(__xludf.DUMMYFUNCTION("""COMPUTED_VALUE"""),"1JjHe2mZGs8SAE4eN3h87nS9KazhAoVJpI6j0AX_oubY")</f>
        <v>1JjHe2mZGs8SAE4eN3h87nS9KazhAoVJpI6j0AX_oubY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IFERROR(__xludf.DUMMYFUNCTION("""COMPUTED_VALUE"""),"1ykZ4MIm4DO4OhMcn3zzi6zmFtHasVXbVlOjaDs3-tq4")</f>
        <v>1ykZ4MIm4DO4OhMcn3zzi6zmFtHasVXbVlOjaDs3-tq4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IFERROR(__xludf.DUMMYFUNCTION("""COMPUTED_VALUE"""),"16apla3tEdh0I55JbktufeygtzLD6sU2RLBlpNGPo6jU")</f>
        <v>16apla3tEdh0I55JbktufeygtzLD6sU2RLBlpNGPo6jU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IFERROR(__xludf.DUMMYFUNCTION("""COMPUTED_VALUE"""),"1XPVuFci2z8Xs5bHgq7R4GP5O-nMmceuB3GqwX3XUbMs")</f>
        <v>1XPVuFci2z8Xs5bHgq7R4GP5O-nMmceuB3GqwX3XUbMs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IFERROR(__xludf.DUMMYFUNCTION("""COMPUTED_VALUE"""),"1ykMuKT7G3fZay84WDR96P4BQAMkqahw_GnQUsNX6CUs")</f>
        <v>1ykMuKT7G3fZay84WDR96P4BQAMkqahw_GnQUsNX6CUs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IFERROR(__xludf.DUMMYFUNCTION("""COMPUTED_VALUE"""),"12Jx4NXByLH6uo6cPIxdMtXDCyjjQWME89tyeXROMOEI")</f>
        <v>12Jx4NXByLH6uo6cPIxdMtXDCyjjQWME89tyeXROMOEI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IFERROR(__xludf.DUMMYFUNCTION("""COMPUTED_VALUE"""),"15lHiiD5KNoqjZ_E7zX2pdw18IuAiYsL-UDVc6jfQ3XA")</f>
        <v>15lHiiD5KNoqjZ_E7zX2pdw18IuAiYsL-UDVc6jfQ3XA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IFERROR(__xludf.DUMMYFUNCTION("""COMPUTED_VALUE"""),"1ziZg3lBx_aPu8TPjMl_etXMuscnllJoJ-hKOa19ozD8")</f>
        <v>1ziZg3lBx_aPu8TPjMl_etXMuscnllJoJ-hKOa19ozD8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IFERROR(__xludf.DUMMYFUNCTION("""COMPUTED_VALUE"""),"1deZMQypRUScM3WPe16oDMBJHXNPOEE6OdOQVZzCgqlg")</f>
        <v>1deZMQypRUScM3WPe16oDMBJHXNPOEE6OdOQVZzCgqlg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IFERROR(__xludf.DUMMYFUNCTION("""COMPUTED_VALUE"""),"1m8KITORxMaLAk_kTE9RoRrZGpX_RqAvqHaJaPvAMN1k")</f>
        <v>1m8KITORxMaLAk_kTE9RoRrZGpX_RqAvqHaJaPvAMN1k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IFERROR(__xludf.DUMMYFUNCTION("""COMPUTED_VALUE"""),"1pBql_NGTQ6e2Tp98WnKsZdd2-EmEgzai_fwgSes2nfA")</f>
        <v>1pBql_NGTQ6e2Tp98WnKsZdd2-EmEgzai_fwgSes2nfA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IFERROR(__xludf.DUMMYFUNCTION("""COMPUTED_VALUE"""),"1el2vWtad5wFUgZD-G2vhj_JEQpXWHjJ20TsLR5e5LPs")</f>
        <v>1el2vWtad5wFUgZD-G2vhj_JEQpXWHjJ20TsLR5e5LPs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IFERROR(__xludf.DUMMYFUNCTION("""COMPUTED_VALUE"""),"1gOBL7LK5RLxmH5-hs1IHMpTADwDAYXAONJ6KgNVLtDs")</f>
        <v>1gOBL7LK5RLxmH5-hs1IHMpTADwDAYXAONJ6KgNVLtDs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IFERROR(__xludf.DUMMYFUNCTION("""COMPUTED_VALUE"""),"1yg-Xv6suVFcIrKHhZALMgS9t4msvFsDbvs7wNuoGR3I")</f>
        <v>1yg-Xv6suVFcIrKHhZALMgS9t4msvFsDbvs7wNuoGR3I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IFERROR(__xludf.DUMMYFUNCTION("""COMPUTED_VALUE"""),"1-cH_lnOgKQ1kVk7m6ulPrC1FoXeCqZ4vubHVYxrwQpk")</f>
        <v>1-cH_lnOgKQ1kVk7m6ulPrC1FoXeCqZ4vubHVYxrwQpk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IFERROR(__xludf.DUMMYFUNCTION("""COMPUTED_VALUE"""),"14mYs8ZnER2nYec1-jsXJ6oDp-Vw4B_Jq1BBaYBTraJQ")</f>
        <v>14mYs8ZnER2nYec1-jsXJ6oDp-Vw4B_Jq1BBaYBTraJQ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IFERROR(__xludf.DUMMYFUNCTION("""COMPUTED_VALUE"""),"1p2gNYBHk_zK7IVosy1KF26530YQABTpkgHuzRoHEtrE")</f>
        <v>1p2gNYBHk_zK7IVosy1KF26530YQABTpkgHuzRoHEtrE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IFERROR(__xludf.DUMMYFUNCTION("""COMPUTED_VALUE"""),"1-fTs6_RktuYpTbjZRrT_FVnPuHToyVZ28RezlVOilDQ")</f>
        <v>1-fTs6_RktuYpTbjZRrT_FVnPuHToyVZ28RezlVOilDQ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IFERROR(__xludf.DUMMYFUNCTION("""COMPUTED_VALUE"""),"1fsW3FLBLQSnAB1FTWbZOYZ1c8y_T0pXdchJoJKojQ5U")</f>
        <v>1fsW3FLBLQSnAB1FTWbZOYZ1c8y_T0pXdchJoJKojQ5U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IFERROR(__xludf.DUMMYFUNCTION("""COMPUTED_VALUE"""),"1RdLSqhBlKnI7H96oYs9VsGECGlykHpR2OqPkN9FwCpA")</f>
        <v>1RdLSqhBlKnI7H96oYs9VsGECGlykHpR2OqPkN9FwCpA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IFERROR(__xludf.DUMMYFUNCTION("""COMPUTED_VALUE"""),"1IJ0ITE6kAXc0SGfd95PYFTvX-K-fjbi9rjfbaVF_8_o")</f>
        <v>1IJ0ITE6kAXc0SGfd95PYFTvX-K-fjbi9rjfbaVF_8_o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IFERROR(__xludf.DUMMYFUNCTION("""COMPUTED_VALUE"""),"1JXgefFxiOZYiu3nvqHgqGC5961DevvA1p-zE8Q1gFmQ")</f>
        <v>1JXgefFxiOZYiu3nvqHgqGC5961DevvA1p-zE8Q1gFmQ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IFERROR(__xludf.DUMMYFUNCTION("""COMPUTED_VALUE"""),"1FaRUR8eAdOKdosN0J6gNT494O3LIUjOW6UENL8-QaqI")</f>
        <v>1FaRUR8eAdOKdosN0J6gNT494O3LIUjOW6UENL8-QaqI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IFERROR(__xludf.DUMMYFUNCTION("""COMPUTED_VALUE"""),"1aTAOxKd-OKfDMtOkbD2qjNA7heK3JaL80oWOPJWR-m4")</f>
        <v>1aTAOxKd-OKfDMtOkbD2qjNA7heK3JaL80oWOPJWR-m4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IFERROR(__xludf.DUMMYFUNCTION("""COMPUTED_VALUE"""),"1iC5h3lmVz1lkFi3hXF5Nay_GLbs1D6oy7-RHYXL-GIo")</f>
        <v>1iC5h3lmVz1lkFi3hXF5Nay_GLbs1D6oy7-RHYXL-GIo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IFERROR(__xludf.DUMMYFUNCTION("""COMPUTED_VALUE"""),"1aaU_cMiBcryIk1mv61Bk8nzw1uuGyeojYzruzun4vn4")</f>
        <v>1aaU_cMiBcryIk1mv61Bk8nzw1uuGyeojYzruzun4vn4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IFERROR(__xludf.DUMMYFUNCTION("""COMPUTED_VALUE"""),"15Ue38beZCcRwHWaVV0RfQpiUhL8BQtHdJOWFk8Vn8nU")</f>
        <v>15Ue38beZCcRwHWaVV0RfQpiUhL8BQtHdJOWFk8Vn8nU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IFERROR(__xludf.DUMMYFUNCTION("""COMPUTED_VALUE"""),"17KJQ2JG3exSQFsCEREc0fo3OlCzwQ87QrIrxDvJOTL0")</f>
        <v>17KJQ2JG3exSQFsCEREc0fo3OlCzwQ87QrIrxDvJOTL0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IFERROR(__xludf.DUMMYFUNCTION("""COMPUTED_VALUE"""),"1BBuNgcMvzUvD-gZVr3XXF6T3_SSkXRMD323rt_wpPKQ")</f>
        <v>1BBuNgcMvzUvD-gZVr3XXF6T3_SSkXRMD323rt_wpPKQ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IFERROR(__xludf.DUMMYFUNCTION("""COMPUTED_VALUE"""),"1MPicLh4_cRx3ynhn68KNyk7US2TRsT--AJ1FJ5xfra0")</f>
        <v>1MPicLh4_cRx3ynhn68KNyk7US2TRsT--AJ1FJ5xfra0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IFERROR(__xludf.DUMMYFUNCTION("""COMPUTED_VALUE"""),"1zJpo_fvgHnAOKIroxu4Yg4YOEDG9ihIiNdRpdZkyouY")</f>
        <v>1zJpo_fvgHnAOKIroxu4Yg4YOEDG9ihIiNdRpdZkyouY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IFERROR(__xludf.DUMMYFUNCTION("""COMPUTED_VALUE"""),"1rclWjN3ooT5nL8wJDLv7VJcrOapNKjyFsXn1lWIijgU")</f>
        <v>1rclWjN3ooT5nL8wJDLv7VJcrOapNKjyFsXn1lWIijgU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IFERROR(__xludf.DUMMYFUNCTION("""COMPUTED_VALUE"""),"1eVMpcX298QLEFSZ68GvnaqAVsPnc1_WsBBr6lGLL_xk")</f>
        <v>1eVMpcX298QLEFSZ68GvnaqAVsPnc1_WsBBr6lGLL_xk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IFERROR(__xludf.DUMMYFUNCTION("""COMPUTED_VALUE"""),"1G7aw6OsfKe48YJ4wZlpaiwUF7EyEmGjzKmTHSnLwsjM")</f>
        <v>1G7aw6OsfKe48YJ4wZlpaiwUF7EyEmGjzKmTHSnLwsjM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IFERROR(__xludf.DUMMYFUNCTION("""COMPUTED_VALUE"""),"1YDZT2-LkX-MtNExlMwysopJtKzIHr8GDRqmX7oNqceY")</f>
        <v>1YDZT2-LkX-MtNExlMwysopJtKzIHr8GDRqmX7oNqceY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IFERROR(__xludf.DUMMYFUNCTION("""COMPUTED_VALUE"""),"1M7t0Pc0QArtvID6fnn4iOri5a5SS5W6RhUNxDg4qxyM")</f>
        <v>1M7t0Pc0QArtvID6fnn4iOri5a5SS5W6RhUNxDg4qxyM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IFERROR(__xludf.DUMMYFUNCTION("""COMPUTED_VALUE"""),"13piHoSaVK7A8I4KAXLsA5Men3ngoqvqpTG-lZD_1KUo")</f>
        <v>13piHoSaVK7A8I4KAXLsA5Men3ngoqvqpTG-lZD_1KUo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IFERROR(__xludf.DUMMYFUNCTION("""COMPUTED_VALUE"""),"1k8C-LBwz3GlNV3C5E3QvzqBFewYG5vG9ugiipS-_zD4")</f>
        <v>1k8C-LBwz3GlNV3C5E3QvzqBFewYG5vG9ugiipS-_zD4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IFERROR(__xludf.DUMMYFUNCTION("""COMPUTED_VALUE"""),"1ncl7te4f_dGYzCuZzxcRCwr4yZrX3tLKvh23s23mlUQ")</f>
        <v>1ncl7te4f_dGYzCuZzxcRCwr4yZrX3tLKvh23s23mlUQ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IFERROR(__xludf.DUMMYFUNCTION("""COMPUTED_VALUE"""),"1vAN2zxByVTbuFRgUg-THlwpw7k28QMwQHGoxf_n8Ges")</f>
        <v>1vAN2zxByVTbuFRgUg-THlwpw7k28QMwQHGoxf_n8Ges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IFERROR(__xludf.DUMMYFUNCTION("""COMPUTED_VALUE"""),"1oTTQbLhHic8oL_svmQ0qdjBVLpJCcQnyu-u9b8rHbtE")</f>
        <v>1oTTQbLhHic8oL_svmQ0qdjBVLpJCcQnyu-u9b8rHbtE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IFERROR(__xludf.DUMMYFUNCTION("""COMPUTED_VALUE"""),"1Eg48tr0_jcvY-tLu_SbsvR2u64NRBp2N6ZODjJbPWF0")</f>
        <v>1Eg48tr0_jcvY-tLu_SbsvR2u64NRBp2N6ZODjJbPWF0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IFERROR(__xludf.DUMMYFUNCTION("""COMPUTED_VALUE"""),"1jumsAa4jYebpWTdXyCrsYPMpgMy3AAAb0E6m3pq9zfQ")</f>
        <v>1jumsAa4jYebpWTdXyCrsYPMpgMy3AAAb0E6m3pq9zfQ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IFERROR(__xludf.DUMMYFUNCTION("""COMPUTED_VALUE"""),"1IWThU1tr1c83LHshXuPtQhnsEDrVfBxHlVdCTs3_gI0")</f>
        <v>1IWThU1tr1c83LHshXuPtQhnsEDrVfBxHlVdCTs3_gI0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IFERROR(__xludf.DUMMYFUNCTION("""COMPUTED_VALUE"""),"18YN65KpXjKBHvfHbcTAJVt8VQ29ANoekyOrzV_UinlU")</f>
        <v>18YN65KpXjKBHvfHbcTAJVt8VQ29ANoekyOrzV_UinlU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IFERROR(__xludf.DUMMYFUNCTION("""COMPUTED_VALUE"""),"1aAKrLLBUkdPmY-u1TvvBjiwsLoIqEjpaZv0vuuwgDXc")</f>
        <v>1aAKrLLBUkdPmY-u1TvvBjiwsLoIqEjpaZv0vuuwgDXc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IFERROR(__xludf.DUMMYFUNCTION("""COMPUTED_VALUE"""),"1STRhvXDmA77-EUfXkerb9M6KavHQa6ufPlKbKQFnacs")</f>
        <v>1STRhvXDmA77-EUfXkerb9M6KavHQa6ufPlKbKQFnacs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IFERROR(__xludf.DUMMYFUNCTION("""COMPUTED_VALUE"""),"1eQ3bSd8sNOPS2QEo6_h1dSmrCHItkDjuQE6HDsmi2A4")</f>
        <v>1eQ3bSd8sNOPS2QEo6_h1dSmrCHItkDjuQE6HDsmi2A4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IFERROR(__xludf.DUMMYFUNCTION("""COMPUTED_VALUE"""),"12FTcBcbaShH13w8bkrZeiFv_kNMJJP9FHGmxLKHRaus")</f>
        <v>12FTcBcbaShH13w8bkrZeiFv_kNMJJP9FHGmxLKHRaus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IFERROR(__xludf.DUMMYFUNCTION("""COMPUTED_VALUE"""),"1CwPykEk7zMYYVBkEvkTfslvYso3Klr69YGyT7h7jC8g")</f>
        <v>1CwPykEk7zMYYVBkEvkTfslvYso3Klr69YGyT7h7jC8g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IFERROR(__xludf.DUMMYFUNCTION("""COMPUTED_VALUE"""),"1yX-FUpbSMuYg2jkSUK8wa37Ri2EzHCqLAyUV1GkKGxQ")</f>
        <v>1yX-FUpbSMuYg2jkSUK8wa37Ri2EzHCqLAyUV1GkKGxQ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IFERROR(__xludf.DUMMYFUNCTION("""COMPUTED_VALUE"""),"1AUGavKEtSuKHgAjuYtsiF071G0-SoUFfzD6Y42IYV7g")</f>
        <v>1AUGavKEtSuKHgAjuYtsiF071G0-SoUFfzD6Y42IYV7g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IFERROR(__xludf.DUMMYFUNCTION("""COMPUTED_VALUE"""),"1bdWChE4lhNkRFvBKdaIRusR869a1vAjS5u0gpQB83gg")</f>
        <v>1bdWChE4lhNkRFvBKdaIRusR869a1vAjS5u0gpQB83gg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IFERROR(__xludf.DUMMYFUNCTION("""COMPUTED_VALUE"""),"1wpP_Any4jtABxcsXGPSKAO7xmt0PgI3SAKvkYdj0XNk")</f>
        <v>1wpP_Any4jtABxcsXGPSKAO7xmt0PgI3SAKvkYdj0XNk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IFERROR(__xludf.DUMMYFUNCTION("""COMPUTED_VALUE"""),"1YqC1JbdGvSDN-uKdsTx8E6wcPDlCy33jsQ4uTHe1Ea0")</f>
        <v>1YqC1JbdGvSDN-uKdsTx8E6wcPDlCy33jsQ4uTHe1Ea0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IFERROR(__xludf.DUMMYFUNCTION("""COMPUTED_VALUE"""),"1BgKv-LW3Zj48Qo2Ee7DjbP2A-k7zRQ6Y25DwtcXod04")</f>
        <v>1BgKv-LW3Zj48Qo2Ee7DjbP2A-k7zRQ6Y25DwtcXod04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IFERROR(__xludf.DUMMYFUNCTION("""COMPUTED_VALUE"""),"1Bhq-a_LzI2roHS4ah4FyrUJ2yYXN7T16HEPh2paEGp8")</f>
        <v>1Bhq-a_LzI2roHS4ah4FyrUJ2yYXN7T16HEPh2paEGp8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IFERROR(__xludf.DUMMYFUNCTION("""COMPUTED_VALUE"""),"1y0uDmVZUA0KssyJ6ayaDJLLsFJ-XstBpZASkuWd6Kvw")</f>
        <v>1y0uDmVZUA0KssyJ6ayaDJLLsFJ-XstBpZASkuWd6Kvw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IFERROR(__xludf.DUMMYFUNCTION("""COMPUTED_VALUE"""),"1wA9--G72aVEWqaqmqr86HqJaqyM523Pt40dw38mxM0I")</f>
        <v>1wA9--G72aVEWqaqmqr86HqJaqyM523Pt40dw38mxM0I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IFERROR(__xludf.DUMMYFUNCTION("""COMPUTED_VALUE"""),"1z0feEuKarwoE0a0VhYLSs24xA2zNHnyVITHLS2bPy7c")</f>
        <v>1z0feEuKarwoE0a0VhYLSs24xA2zNHnyVITHLS2bPy7c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IFERROR(__xludf.DUMMYFUNCTION("""COMPUTED_VALUE"""),"1xCLqu3szSvwk7DiskB14PZD-kHv3CU4mXgzWmrhfoTU")</f>
        <v>1xCLqu3szSvwk7DiskB14PZD-kHv3CU4mXgzWmrhfoTU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IFERROR(__xludf.DUMMYFUNCTION("""COMPUTED_VALUE"""),"1G_Uk8JTVlSprGyR-gsarPm44MVSB-m__w9gx5dz8g3s")</f>
        <v>1G_Uk8JTVlSprGyR-gsarPm44MVSB-m__w9gx5dz8g3s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IFERROR(__xludf.DUMMYFUNCTION("""COMPUTED_VALUE"""),"1b8KJ45vuNWv0h-8vF72b3PqTJGjKgmQdgVHyXoLISM8")</f>
        <v>1b8KJ45vuNWv0h-8vF72b3PqTJGjKgmQdgVHyXoLISM8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IFERROR(__xludf.DUMMYFUNCTION("""COMPUTED_VALUE"""),"1jbQw_xeWwzEkaaG_HDlLasp2Ti0S1Fb7R8MXW7PQWjY")</f>
        <v>1jbQw_xeWwzEkaaG_HDlLasp2Ti0S1Fb7R8MXW7PQWjY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IFERROR(__xludf.DUMMYFUNCTION("""COMPUTED_VALUE"""),"1tpmrgkVmPSPSg99RKo6LwLAhQ8M3eONGctKXc_537qE")</f>
        <v>1tpmrgkVmPSPSg99RKo6LwLAhQ8M3eONGctKXc_537qE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IFERROR(__xludf.DUMMYFUNCTION("""COMPUTED_VALUE"""),"1Ps79IPxJ5FGHg7xZORovz5nFqA4B-gG5zxYXyju8o0Y")</f>
        <v>1Ps79IPxJ5FGHg7xZORovz5nFqA4B-gG5zxYXyju8o0Y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IFERROR(__xludf.DUMMYFUNCTION("""COMPUTED_VALUE"""),"1MKg6U1zZlssS3MzoDjqF0yoSDf9NnReKcSlKOdmPSa0")</f>
        <v>1MKg6U1zZlssS3MzoDjqF0yoSDf9NnReKcSlKOdmPSa0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IFERROR(__xludf.DUMMYFUNCTION("""COMPUTED_VALUE"""),"13uphyNpV-lIcdnnRCDD0ufiubKQK77lTDMmRb4aZUH8")</f>
        <v>13uphyNpV-lIcdnnRCDD0ufiubKQK77lTDMmRb4aZUH8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IFERROR(__xludf.DUMMYFUNCTION("""COMPUTED_VALUE"""),"1G7Ye63Sk3lyG-vcaryo0GGGqUkzHGGzGt2O3FNdECro")</f>
        <v>1G7Ye63Sk3lyG-vcaryo0GGGqUkzHGGzGt2O3FNdECro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IFERROR(__xludf.DUMMYFUNCTION("""COMPUTED_VALUE"""),"1X9ZLs6zkOiyry8bzRkBLkxA8dDiRH1dhu8licsT5kTk")</f>
        <v>1X9ZLs6zkOiyry8bzRkBLkxA8dDiRH1dhu8licsT5kTk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IFERROR(__xludf.DUMMYFUNCTION("""COMPUTED_VALUE"""),"1eZXt6er6ekDW3vEUci-S-LNDowWjzf-SH9znUNtFyzg")</f>
        <v>1eZXt6er6ekDW3vEUci-S-LNDowWjzf-SH9znUNtFyzg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IFERROR(__xludf.DUMMYFUNCTION("""COMPUTED_VALUE"""),"1Z7OOAb9FwPIKp3RjfxeFrnTdJVfMLbCrmS-3obeYxxg")</f>
        <v>1Z7OOAb9FwPIKp3RjfxeFrnTdJVfMLbCrmS-3obeYxxg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IFERROR(__xludf.DUMMYFUNCTION("""COMPUTED_VALUE"""),"18xmdZqLW5pnA6FkxzF2PF2hG7bGqwTKhy-Mn_UAyi2w")</f>
        <v>18xmdZqLW5pnA6FkxzF2PF2hG7bGqwTKhy-Mn_UAyi2w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IFERROR(__xludf.DUMMYFUNCTION("""COMPUTED_VALUE"""),"1KwYK5wCdNK4x9Nb2ODpwqlIRF15bF5lm33yF-rE0E88")</f>
        <v>1KwYK5wCdNK4x9Nb2ODpwqlIRF15bF5lm33yF-rE0E88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IFERROR(__xludf.DUMMYFUNCTION("""COMPUTED_VALUE"""),"1EYkSaFCb1-cfMdhGTqVQ93F1B1fAGibLJGFBaO4IKK8")</f>
        <v>1EYkSaFCb1-cfMdhGTqVQ93F1B1fAGibLJGFBaO4IKK8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IFERROR(__xludf.DUMMYFUNCTION("""COMPUTED_VALUE"""),"1NTrrGa3uWN4TviPU6osMMGTU2_Pzk0cTaF7B9fuF1Zc")</f>
        <v>1NTrrGa3uWN4TviPU6osMMGTU2_Pzk0cTaF7B9fuF1Zc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IFERROR(__xludf.DUMMYFUNCTION("""COMPUTED_VALUE"""),"1Jz-1DjEIXVhNWL1-97QH77oH1Zaxtvi3jXe39t48nXM")</f>
        <v>1Jz-1DjEIXVhNWL1-97QH77oH1Zaxtvi3jXe39t48nXM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IFERROR(__xludf.DUMMYFUNCTION("""COMPUTED_VALUE"""),"1_BAhdKmc47MhjFQ82axBd5g9A4h_olwLQzwkxxBFlSA")</f>
        <v>1_BAhdKmc47MhjFQ82axBd5g9A4h_olwLQzwkxxBFlSA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IFERROR(__xludf.DUMMYFUNCTION("""COMPUTED_VALUE"""),"1NLRYNwnDa02qeea2mvWlimsdnr_FnF-9zA3yQfPGpNk")</f>
        <v>1NLRYNwnDa02qeea2mvWlimsdnr_FnF-9zA3yQfPGpNk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IFERROR(__xludf.DUMMYFUNCTION("""COMPUTED_VALUE"""),"19w_Ks_xSuyS2DhQ4ueygTaw8a-fX6Zv_NRtSNtkeJcw")</f>
        <v>19w_Ks_xSuyS2DhQ4ueygTaw8a-fX6Zv_NRtSNtkeJcw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IFERROR(__xludf.DUMMYFUNCTION("""COMPUTED_VALUE"""),"1UYQAxEz0yKJ_n6eK0MJTVwXlv21-STgSHETQUy3An8w")</f>
        <v>1UYQAxEz0yKJ_n6eK0MJTVwXlv21-STgSHETQUy3An8w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IFERROR(__xludf.DUMMYFUNCTION("""COMPUTED_VALUE"""),"1dKfTnjNHlB-imf6ZI2iECsJdz-r-aLBTFIKoPO_nLU8")</f>
        <v>1dKfTnjNHlB-imf6ZI2iECsJdz-r-aLBTFIKoPO_nLU8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IFERROR(__xludf.DUMMYFUNCTION("""COMPUTED_VALUE"""),"17wpuicUWWz3ldMURoDLDbJRohRCnjcpTGhocntZfKsc")</f>
        <v>17wpuicUWWz3ldMURoDLDbJRohRCnjcpTGhocntZfKsc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IFERROR(__xludf.DUMMYFUNCTION("""COMPUTED_VALUE"""),"1QfJsdf4NGj4Dj0YIxbSTXTjhynFG2X_qswbZp4VEBo4")</f>
        <v>1QfJsdf4NGj4Dj0YIxbSTXTjhynFG2X_qswbZp4VEBo4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IFERROR(__xludf.DUMMYFUNCTION("""COMPUTED_VALUE"""),"10ZNA5DvAU__HVHWvyAxsJMI8GemQ7y3ryoI2yFrCc5s")</f>
        <v>10ZNA5DvAU__HVHWvyAxsJMI8GemQ7y3ryoI2yFrCc5s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IFERROR(__xludf.DUMMYFUNCTION("""COMPUTED_VALUE"""),"10ZNA5DvAU__HVHWvyAxsJMI8GemQ7y3ryoI2yFrCc5s")</f>
        <v>10ZNA5DvAU__HVHWvyAxsJMI8GemQ7y3ryoI2yFrCc5s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IFERROR(__xludf.DUMMYFUNCTION("""COMPUTED_VALUE"""),"18xmdZqLW5pnA6FkxzF2PF2hG7bGqwTKhy-Mn_UAyi2w")</f>
        <v>18xmdZqLW5pnA6FkxzF2PF2hG7bGqwTKhy-Mn_UAyi2w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IFERROR(__xludf.DUMMYFUNCTION("""COMPUTED_VALUE"""),"15sEcD0nSlwM0bIlhN_Z36hpeQYWbVL5d5AK5kVqm1m8")</f>
        <v>15sEcD0nSlwM0bIlhN_Z36hpeQYWbVL5d5AK5kVqm1m8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IFERROR(__xludf.DUMMYFUNCTION("""COMPUTED_VALUE"""),"18xmdZqLW5pnA6FkxzF2PF2hG7bGqwTKhy-Mn_UAyi2w")</f>
        <v>18xmdZqLW5pnA6FkxzF2PF2hG7bGqwTKhy-Mn_UAyi2w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IFERROR(__xludf.DUMMYFUNCTION("""COMPUTED_VALUE"""),"1eShiZeHy6PMki2w9zAroJwtcU8DJAD3rGlyetDKwNsQ")</f>
        <v>1eShiZeHy6PMki2w9zAroJwtcU8DJAD3rGlyetDKwNsQ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IFERROR(__xludf.DUMMYFUNCTION("""COMPUTED_VALUE"""),"1--BWTsPeHeaUWrFxnJJ4Hxg1RMHz7TMg9PNL6IG--bQ")</f>
        <v>1--BWTsPeHeaUWrFxnJJ4Hxg1RMHz7TMg9PNL6IG--bQ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IFERROR(__xludf.DUMMYFUNCTION("""COMPUTED_VALUE"""),"1XcSN66s5Sbt3BBDBESO_MzCX19JEubK7C7JEhc1P6Dg")</f>
        <v>1XcSN66s5Sbt3BBDBESO_MzCX19JEubK7C7JEhc1P6Dg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IFERROR(__xludf.DUMMYFUNCTION("""COMPUTED_VALUE"""),"1Hsk7z4Hl0qfkVqTQ-ho4nDmWzTS7QuBrYDmVZp2fyfU")</f>
        <v>1Hsk7z4Hl0qfkVqTQ-ho4nDmWzTS7QuBrYDmVZp2fyfU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IFERROR(__xludf.DUMMYFUNCTION("""COMPUTED_VALUE"""),"1kZ0HZFDzYAoCBydDBtPNqvOI-eyPeqVxEOYYndrkOKY")</f>
        <v>1kZ0HZFDzYAoCBydDBtPNqvOI-eyPeqVxEOYYndrkOKY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IFERROR(__xludf.DUMMYFUNCTION("""COMPUTED_VALUE"""),"1PYDvpEzlMfU1DsvGlSfmKshHxHyMHpl_Zb58SSDakb8")</f>
        <v>1PYDvpEzlMfU1DsvGlSfmKshHxHyMHpl_Zb58SSDakb8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IFERROR(__xludf.DUMMYFUNCTION("""COMPUTED_VALUE"""),"1BSYsEdSr5l-I5sAQCemY7on9jtB0DtPCLs2HLnBoJZg")</f>
        <v>1BSYsEdSr5l-I5sAQCemY7on9jtB0DtPCLs2HLnBoJZg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IFERROR(__xludf.DUMMYFUNCTION("""COMPUTED_VALUE"""),"1hNVL_9rohzJyQa5EIHV8rQ2ZdKRg2l1Nr18JL_Ngi3I")</f>
        <v>1hNVL_9rohzJyQa5EIHV8rQ2ZdKRg2l1Nr18JL_Ngi3I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IFERROR(__xludf.DUMMYFUNCTION("""COMPUTED_VALUE"""),"1cNt_QPH0xThwJY57mw3JMlkf6u0xY_Xhs2hcsg54wKs")</f>
        <v>1cNt_QPH0xThwJY57mw3JMlkf6u0xY_Xhs2hcsg54wKs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IFERROR(__xludf.DUMMYFUNCTION("""COMPUTED_VALUE"""),"1kgv7MgVOFU-SgqnnvM5c1KY2c35xLXsCrPpr7YcOqvA")</f>
        <v>1kgv7MgVOFU-SgqnnvM5c1KY2c35xLXsCrPpr7YcOqvA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IFERROR(__xludf.DUMMYFUNCTION("""COMPUTED_VALUE"""),"1BFMeTTBAJUjY8UWwoGYx5d_suxQqoXCu2AtVXDs2DI8")</f>
        <v>1BFMeTTBAJUjY8UWwoGYx5d_suxQqoXCu2AtVXDs2DI8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IFERROR(__xludf.DUMMYFUNCTION("""COMPUTED_VALUE"""),"1CJZHfIxDvKYXPM4TcwOIjmKY8kzg4_zJFRj4pZloBg0")</f>
        <v>1CJZHfIxDvKYXPM4TcwOIjmKY8kzg4_zJFRj4pZloBg0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IFERROR(__xludf.DUMMYFUNCTION("""COMPUTED_VALUE"""),"1Ec0_nwlu5YKn069vknmktkFStzY4YdPEFRwMqViwG-k")</f>
        <v>1Ec0_nwlu5YKn069vknmktkFStzY4YdPEFRwMqViwG-k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IFERROR(__xludf.DUMMYFUNCTION("""COMPUTED_VALUE"""),"1Y8No6h6-FS0LbyDQM9oxk7_oi9yfsEmLLN_JqCjSctE")</f>
        <v>1Y8No6h6-FS0LbyDQM9oxk7_oi9yfsEmLLN_JqCjSctE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IFERROR(__xludf.DUMMYFUNCTION("""COMPUTED_VALUE"""),"10BNZLMtk4R3em8SD0JoDVdQl_KjTinG0m3lpnUVi1yw")</f>
        <v>10BNZLMtk4R3em8SD0JoDVdQl_KjTinG0m3lpnUVi1yw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IFERROR(__xludf.DUMMYFUNCTION("""COMPUTED_VALUE"""),"1OWSBdhy6y8XGJ0saWSWhIG9VTKIREEL_6c14b5Suo8s")</f>
        <v>1OWSBdhy6y8XGJ0saWSWhIG9VTKIREEL_6c14b5Suo8s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IFERROR(__xludf.DUMMYFUNCTION("""COMPUTED_VALUE"""),"1j62jfW0WnlPy6Si0tJH2NI89M1AlLAIFxvhoySEfcNA")</f>
        <v>1j62jfW0WnlPy6Si0tJH2NI89M1AlLAIFxvhoySEfcNA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IFERROR(__xludf.DUMMYFUNCTION("""COMPUTED_VALUE"""),"158ncYv4nrRTdIlbdo-uLB8DY1ry-hI-c6RfJgNpNLRc")</f>
        <v>158ncYv4nrRTdIlbdo-uLB8DY1ry-hI-c6RfJgNpNLRc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IFERROR(__xludf.DUMMYFUNCTION("""COMPUTED_VALUE"""),"1oMi0q843iNKIPgczycexiZ4cleEBD7cCoDEyD8lNclE")</f>
        <v>1oMi0q843iNKIPgczycexiZ4cleEBD7cCoDEyD8lNclE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IFERROR(__xludf.DUMMYFUNCTION("""COMPUTED_VALUE"""),"124Iufd2K3SWQjqbZ8ImMaHsn7IVbVolzLSUNj2xuCag")</f>
        <v>124Iufd2K3SWQjqbZ8ImMaHsn7IVbVolzLSUNj2xuCag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IFERROR(__xludf.DUMMYFUNCTION("""COMPUTED_VALUE"""),"17RhtcYRrs_YN-vBidOyMUbbAxKnGeQ-2JIt8vs9rE5o")</f>
        <v>17RhtcYRrs_YN-vBidOyMUbbAxKnGeQ-2JIt8vs9rE5o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IFERROR(__xludf.DUMMYFUNCTION("""COMPUTED_VALUE"""),"1ZfIgMPS9NpuMtE47suVwo-kA1KXMaKf-ADsjK3-OiFk")</f>
        <v>1ZfIgMPS9NpuMtE47suVwo-kA1KXMaKf-ADsjK3-OiFk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IFERROR(__xludf.DUMMYFUNCTION("""COMPUTED_VALUE"""),"18YSGcykX6msu9uJFtoPx85HXHvQ-faE6GL1h89yp0fE")</f>
        <v>18YSGcykX6msu9uJFtoPx85HXHvQ-faE6GL1h89yp0fE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IFERROR(__xludf.DUMMYFUNCTION("""COMPUTED_VALUE"""),"1Bhq-a_LzI2roHS4ah4FyrUJ2yYXN7T16HEPh2paEGp8")</f>
        <v>1Bhq-a_LzI2roHS4ah4FyrUJ2yYXN7T16HEPh2paEGp8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IFERROR(__xludf.DUMMYFUNCTION("""COMPUTED_VALUE"""),"1KiJe0t8f-Z3sMbprzhIS2_jGwhE9yeai46VmZqqyF84")</f>
        <v>1KiJe0t8f-Z3sMbprzhIS2_jGwhE9yeai46VmZqqyF84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IFERROR(__xludf.DUMMYFUNCTION("""COMPUTED_VALUE"""),"1ZMM3Z5j3worIFB7Wt8pYTm9vtKAiVyUiBNGIHZsfUVU")</f>
        <v>1ZMM3Z5j3worIFB7Wt8pYTm9vtKAiVyUiBNGIHZsfUVU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IFERROR(__xludf.DUMMYFUNCTION("""COMPUTED_VALUE"""),"1fwDymVh1YPwRLS0OVzxhYbkeKbRpUl4prFO7SRyV_hA")</f>
        <v>1fwDymVh1YPwRLS0OVzxhYbkeKbRpUl4prFO7SRyV_hA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IFERROR(__xludf.DUMMYFUNCTION("""COMPUTED_VALUE"""),"1bam3UDAybELVmpnYwPQATi99nl9DpQ99A7IjE7vdsi8")</f>
        <v>1bam3UDAybELVmpnYwPQATi99nl9DpQ99A7IjE7vdsi8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IFERROR(__xludf.DUMMYFUNCTION("""COMPUTED_VALUE"""),"1xJ7gTQfVMeCflKCHTwKYrNQ-Tcf0AYboaATXwHNAslk")</f>
        <v>1xJ7gTQfVMeCflKCHTwKYrNQ-Tcf0AYboaATXwHNAslk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IFERROR(__xludf.DUMMYFUNCTION("""COMPUTED_VALUE"""),"1WdCxXHsuQ3erH24MGTT104a5o2YheSROQebMeF3i0aI")</f>
        <v>1WdCxXHsuQ3erH24MGTT104a5o2YheSROQebMeF3i0aI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IFERROR(__xludf.DUMMYFUNCTION("""COMPUTED_VALUE"""),"1mzIrOwvcItayEPOo8vkoJjbp-8LXKnxtwTCnJwa9U1I")</f>
        <v>1mzIrOwvcItayEPOo8vkoJjbp-8LXKnxtwTCnJwa9U1I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IFERROR(__xludf.DUMMYFUNCTION("""COMPUTED_VALUE"""),"1F667DrtuHoi_ARxvwFQFtVaH_enXQYmaIslDLTijxlk")</f>
        <v>1F667DrtuHoi_ARxvwFQFtVaH_enXQYmaIslDLTijxlk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IFERROR(__xludf.DUMMYFUNCTION("""COMPUTED_VALUE"""),"1daWmaCLtl5-u8RrR38duUYZoUwwRdmQNmQUk-UFSbh8")</f>
        <v>1daWmaCLtl5-u8RrR38duUYZoUwwRdmQNmQUk-UFSbh8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IFERROR(__xludf.DUMMYFUNCTION("""COMPUTED_VALUE"""),"1gPMin1udTRZeqwLV9tSHt5nU8vpqc3NVx2Q0Tg0-p7Y")</f>
        <v>1gPMin1udTRZeqwLV9tSHt5nU8vpqc3NVx2Q0Tg0-p7Y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IFERROR(__xludf.DUMMYFUNCTION("""COMPUTED_VALUE"""),"12-zLeaphbhmHtw8rRK5ThIs7me8PklDclwlNwfPbXK4")</f>
        <v>12-zLeaphbhmHtw8rRK5ThIs7me8PklDclwlNwfPbXK4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IFERROR(__xludf.DUMMYFUNCTION("""COMPUTED_VALUE"""),"1PQwArcRUuaOQiz5S2jeaenwj9qNZTWgzfhAlHT-Pd1E")</f>
        <v>1PQwArcRUuaOQiz5S2jeaenwj9qNZTWgzfhAlHT-Pd1E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IFERROR(__xludf.DUMMYFUNCTION("""COMPUTED_VALUE"""),"18KFx8YJjXeehMrsrxPVrAlsqv5cDNM4sL10WRca5NKM")</f>
        <v>18KFx8YJjXeehMrsrxPVrAlsqv5cDNM4sL10WRca5NKM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IFERROR(__xludf.DUMMYFUNCTION("""COMPUTED_VALUE"""),"1rmMKHzR6LMbriTLpSwsWo5h7qfkUwKO5MIi-cWWx8-k")</f>
        <v>1rmMKHzR6LMbriTLpSwsWo5h7qfkUwKO5MIi-cWWx8-k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IFERROR(__xludf.DUMMYFUNCTION("""COMPUTED_VALUE"""),"1QwZRlBhhx0osi-B1PdxvO3P3W3BAXkDzM2yrJmnO__c")</f>
        <v>1QwZRlBhhx0osi-B1PdxvO3P3W3BAXkDzM2yrJmnO__c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IFERROR(__xludf.DUMMYFUNCTION("""COMPUTED_VALUE"""),"146PST8sP3dOm_SLLf4EP05WMQk8v95fnGk_VMEIiZeQ")</f>
        <v>146PST8sP3dOm_SLLf4EP05WMQk8v95fnGk_VMEIiZeQ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IFERROR(__xludf.DUMMYFUNCTION("""COMPUTED_VALUE"""),"17MMLrGtrNy7Qk2KDYSM_5mxeBqL4fj27RTyoqb753r4")</f>
        <v>17MMLrGtrNy7Qk2KDYSM_5mxeBqL4fj27RTyoqb753r4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IFERROR(__xludf.DUMMYFUNCTION("""COMPUTED_VALUE"""),"12YzpBbctXJ7tt5Rs3yVMyYiFexSCsLCSFZxRmOTGAnA")</f>
        <v>12YzpBbctXJ7tt5Rs3yVMyYiFexSCsLCSFZxRmOTGAnA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IFERROR(__xludf.DUMMYFUNCTION("""COMPUTED_VALUE"""),"11h9NAV7B59X8ff2awrMfG6bGhrk-CohPIDGmN5O1Z0s")</f>
        <v>11h9NAV7B59X8ff2awrMfG6bGhrk-CohPIDGmN5O1Z0s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IFERROR(__xludf.DUMMYFUNCTION("""COMPUTED_VALUE"""),"1NIGFq7xyMD3dCAzBn7Aybj88-zVYS-uQkEl_uOTRFLk")</f>
        <v>1NIGFq7xyMD3dCAzBn7Aybj88-zVYS-uQkEl_uOTRFLk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IFERROR(__xludf.DUMMYFUNCTION("""COMPUTED_VALUE"""),"1uyEgk_IU7WhZZ2gCVbVNLBNZhgXB_2p-G9ibtBRvqYE")</f>
        <v>1uyEgk_IU7WhZZ2gCVbVNLBNZhgXB_2p-G9ibtBRvqYE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IFERROR(__xludf.DUMMYFUNCTION("""COMPUTED_VALUE"""),"15GaszFrxEJPxL05WiuB3JgAc-7Uig-iyDZRrmgpAvyQ")</f>
        <v>15GaszFrxEJPxL05WiuB3JgAc-7Uig-iyDZRrmgpAvyQ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IFERROR(__xludf.DUMMYFUNCTION("""COMPUTED_VALUE"""),"1H3NF3ekEB_jtnQ6nAPayaHaGtx_2kLuKvJ9qyzd2I2I")</f>
        <v>1H3NF3ekEB_jtnQ6nAPayaHaGtx_2kLuKvJ9qyzd2I2I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IFERROR(__xludf.DUMMYFUNCTION("""COMPUTED_VALUE"""),"1sBgTfLxjF-eLDEQovNIQXxVdy87Sx0Cb24sVDh10pXM")</f>
        <v>1sBgTfLxjF-eLDEQovNIQXxVdy87Sx0Cb24sVDh10pXM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IFERROR(__xludf.DUMMYFUNCTION("""COMPUTED_VALUE"""),"1n-h3PT-RQ62N_5RLlf__-_nBt6pX6gTeokAqyHCUydw")</f>
        <v>1n-h3PT-RQ62N_5RLlf__-_nBt6pX6gTeokAqyHCUydw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IFERROR(__xludf.DUMMYFUNCTION("""COMPUTED_VALUE"""),"1bL3Mc9ko2ABUfRaygcH05a75HlVgOJoZg1ZR8VFCx2s")</f>
        <v>1bL3Mc9ko2ABUfRaygcH05a75HlVgOJoZg1ZR8VFCx2s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IFERROR(__xludf.DUMMYFUNCTION("""COMPUTED_VALUE"""),"1p3N5fuIHZooLiXra7t901Un-5BX1Dub2GwRau5xmnzY")</f>
        <v>1p3N5fuIHZooLiXra7t901Un-5BX1Dub2GwRau5xmnzY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IFERROR(__xludf.DUMMYFUNCTION("""COMPUTED_VALUE"""),"1g8yHX3NgTZ69qR9sJuH4OwZDcdDQ4zNzTUIz8i9c8Wc")</f>
        <v>1g8yHX3NgTZ69qR9sJuH4OwZDcdDQ4zNzTUIz8i9c8Wc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IFERROR(__xludf.DUMMYFUNCTION("""COMPUTED_VALUE"""),"1YmNAq8VlKqlQdZW8Qb-4HKEvna5uWGWWZ257kBzZ3g8")</f>
        <v>1YmNAq8VlKqlQdZW8Qb-4HKEvna5uWGWWZ257kBzZ3g8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IFERROR(__xludf.DUMMYFUNCTION("""COMPUTED_VALUE"""),"1aoefQ2rn_ekQSQ5w1OA5dDn-kkC5Mhjygz9lUK_INpw")</f>
        <v>1aoefQ2rn_ekQSQ5w1OA5dDn-kkC5Mhjygz9lUK_INpw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IFERROR(__xludf.DUMMYFUNCTION("""COMPUTED_VALUE"""),"1zLKKBGrkdJnOK0je8SVf7FNy8N74M1Y58Ijeg4-2PoM")</f>
        <v>1zLKKBGrkdJnOK0je8SVf7FNy8N74M1Y58Ijeg4-2PoM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IFERROR(__xludf.DUMMYFUNCTION("""COMPUTED_VALUE"""),"1yl-Ggnzc6WlzcJkjk53PzqzifLSUFBSUWedGjO2j1sI")</f>
        <v>1yl-Ggnzc6WlzcJkjk53PzqzifLSUFBSUWedGjO2j1sI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IFERROR(__xludf.DUMMYFUNCTION("""COMPUTED_VALUE"""),"1BioDAFgRK9uBg8Ftw35Xfp5pj4WxwmmYzwIJBuO-DwQ")</f>
        <v>1BioDAFgRK9uBg8Ftw35Xfp5pj4WxwmmYzwIJBuO-DwQ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IFERROR(__xludf.DUMMYFUNCTION("""COMPUTED_VALUE"""),"16Qb8L4YsI0WqV4SeARzc48bRpwR2V4Z0MV8OYoCFGhk")</f>
        <v>16Qb8L4YsI0WqV4SeARzc48bRpwR2V4Z0MV8OYoCFGhk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IFERROR(__xludf.DUMMYFUNCTION("""COMPUTED_VALUE"""),"1DTWgrx0dU8hFuUe5pmBqyj4Lg5WTlhIj6qkrNZ9ICjk")</f>
        <v>1DTWgrx0dU8hFuUe5pmBqyj4Lg5WTlhIj6qkrNZ9ICjk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IFERROR(__xludf.DUMMYFUNCTION("""COMPUTED_VALUE"""),"15i1dY6hiW1m4QYwSjhx4JAOW2WLNuZU-m8pp-a1afIc")</f>
        <v>15i1dY6hiW1m4QYwSjhx4JAOW2WLNuZU-m8pp-a1afIc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IFERROR(__xludf.DUMMYFUNCTION("""COMPUTED_VALUE"""),"1FoMj8Y6YQKmNanRt2lm2Bh_abv6-z3QHsKHrSZf0fzk")</f>
        <v>1FoMj8Y6YQKmNanRt2lm2Bh_abv6-z3QHsKHrSZf0fzk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IFERROR(__xludf.DUMMYFUNCTION("""COMPUTED_VALUE"""),"1kJHggZBmha8GLtaL5ZV_B3BS4Gwe7Lz8xw9VxE7dOZo")</f>
        <v>1kJHggZBmha8GLtaL5ZV_B3BS4Gwe7Lz8xw9VxE7dOZo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IFERROR(__xludf.DUMMYFUNCTION("""COMPUTED_VALUE"""),"1oXhOfdNQe4jyRJ2C0rhWTdFRGTIOV39EEnimfabEDfg")</f>
        <v>1oXhOfdNQe4jyRJ2C0rhWTdFRGTIOV39EEnimfabEDfg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IFERROR(__xludf.DUMMYFUNCTION("""COMPUTED_VALUE"""),"1oCioVWRpfyuyVxfO16G2yJ720gXGkma0qGlK4ZyrYg4")</f>
        <v>1oCioVWRpfyuyVxfO16G2yJ720gXGkma0qGlK4ZyrYg4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IFERROR(__xludf.DUMMYFUNCTION("""COMPUTED_VALUE"""),"10uiIcQww3gObeTuZg8B6hz4zaM4MJICGafz7PPnEHAs")</f>
        <v>10uiIcQww3gObeTuZg8B6hz4zaM4MJICGafz7PPnEHAs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IFERROR(__xludf.DUMMYFUNCTION("""COMPUTED_VALUE"""),"18Q05MSktNTIHVgTsRKNrAGtMDLi69cwqazVhf_5vGUs")</f>
        <v>18Q05MSktNTIHVgTsRKNrAGtMDLi69cwqazVhf_5vGUs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IFERROR(__xludf.DUMMYFUNCTION("""COMPUTED_VALUE"""),"1lE_cU-tlZ7oe5H_dwFeCKyUTo0QAax5WNCxb0aT0h3k")</f>
        <v>1lE_cU-tlZ7oe5H_dwFeCKyUTo0QAax5WNCxb0aT0h3k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IFERROR(__xludf.DUMMYFUNCTION("""COMPUTED_VALUE"""),"1d_eucCmN5G9f8_NiLaxsLdEikfWW-iKoCQ7vev7O0zU")</f>
        <v>1d_eucCmN5G9f8_NiLaxsLdEikfWW-iKoCQ7vev7O0zU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IFERROR(__xludf.DUMMYFUNCTION("""COMPUTED_VALUE"""),"1o5yFjfxSDwUZg4TV7tpFK_WjNSoNTnfL0wboLVCUm1c")</f>
        <v>1o5yFjfxSDwUZg4TV7tpFK_WjNSoNTnfL0wboLVCUm1c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IFERROR(__xludf.DUMMYFUNCTION("""COMPUTED_VALUE"""),"1bucapBjYv7lpkviHI-0ZpKwEa06hE9XLTYxCAkiqv1Y")</f>
        <v>1bucapBjYv7lpkviHI-0ZpKwEa06hE9XLTYxCAkiqv1Y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IFERROR(__xludf.DUMMYFUNCTION("""COMPUTED_VALUE"""),"1wpKxeuT5ngykDq8oxD8v-gkl_lDsqPEk3FXZl1BBGNU")</f>
        <v>1wpKxeuT5ngykDq8oxD8v-gkl_lDsqPEk3FXZl1BBGNU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IFERROR(__xludf.DUMMYFUNCTION("""COMPUTED_VALUE"""),"188Cj5Oajs1RWZqRf1bLDBac-8Msm8v6wy-DudfpzAZU")</f>
        <v>188Cj5Oajs1RWZqRf1bLDBac-8Msm8v6wy-DudfpzAZU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IFERROR(__xludf.DUMMYFUNCTION("""COMPUTED_VALUE"""),"1QjBxJ-nrJcTpAkTasi94_sVisBgMGti7OMQXSW2qseQ")</f>
        <v>1QjBxJ-nrJcTpAkTasi94_sVisBgMGti7OMQXSW2qseQ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IFERROR(__xludf.DUMMYFUNCTION("""COMPUTED_VALUE"""),"1AQwPv2q79wcTa3HlFCQkHG7umwMKlkwPJ1HUBORVfsc")</f>
        <v>1AQwPv2q79wcTa3HlFCQkHG7umwMKlkwPJ1HUBORVfsc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IFERROR(__xludf.DUMMYFUNCTION("""COMPUTED_VALUE"""),"1HyQP4Vrh5_w30EPDJEhjFufpoV-ySJfmHbrzDDK_XLA")</f>
        <v>1HyQP4Vrh5_w30EPDJEhjFufpoV-ySJfmHbrzDDK_XLA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IFERROR(__xludf.DUMMYFUNCTION("""COMPUTED_VALUE"""),"1-86nRBAwVMofYmwMdMDgXGJGcmif9ZGSu6dQcsjk8mA")</f>
        <v>1-86nRBAwVMofYmwMdMDgXGJGcmif9ZGSu6dQcsjk8mA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IFERROR(__xludf.DUMMYFUNCTION("""COMPUTED_VALUE"""),"1Te-cBRFv_FKkvhELasch4HdUPvbgmGvyaL6GSm8rfJ8")</f>
        <v>1Te-cBRFv_FKkvhELasch4HdUPvbgmGvyaL6GSm8rfJ8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IFERROR(__xludf.DUMMYFUNCTION("""COMPUTED_VALUE"""),"1dJTHiT90Stsu7bgBQnfHKxlF7IvmTIhNFC2w3EdJlw0")</f>
        <v>1dJTHiT90Stsu7bgBQnfHKxlF7IvmTIhNFC2w3EdJlw0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IFERROR(__xludf.DUMMYFUNCTION("""COMPUTED_VALUE"""),"1euGFLIds_3eA9FuJ69reigrp7frEDEtKK3dBvh99T0k")</f>
        <v>1euGFLIds_3eA9FuJ69reigrp7frEDEtKK3dBvh99T0k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IFERROR(__xludf.DUMMYFUNCTION("""COMPUTED_VALUE"""),"1wafvyb438EvqeluBWDpXJE8X9Q8gOn3Ijw3caT3wgio")</f>
        <v>1wafvyb438EvqeluBWDpXJE8X9Q8gOn3Ijw3caT3wgio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IFERROR(__xludf.DUMMYFUNCTION("""COMPUTED_VALUE"""),"1l4Egceegv_mDnvE4M_HcBbuAgQh8NhlmPu_10KloWAg")</f>
        <v>1l4Egceegv_mDnvE4M_HcBbuAgQh8NhlmPu_10KloWAg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IFERROR(__xludf.DUMMYFUNCTION("""COMPUTED_VALUE"""),"18PF0rNHvoiKp_FuUlo8mthi46lV23xFlAq576GQRdnk")</f>
        <v>18PF0rNHvoiKp_FuUlo8mthi46lV23xFlAq576GQRdnk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IFERROR(__xludf.DUMMYFUNCTION("""COMPUTED_VALUE"""),"19Yxtc0mG-kYgx9XiMj2EmICwIzmI7MHhVW5H8sXjfqc")</f>
        <v>19Yxtc0mG-kYgx9XiMj2EmICwIzmI7MHhVW5H8sXjfqc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IFERROR(__xludf.DUMMYFUNCTION("""COMPUTED_VALUE"""),"1leOcJPhSPuUZuc26liYTUkBEgS0ZkyPgfsQ2q70vYYU")</f>
        <v>1leOcJPhSPuUZuc26liYTUkBEgS0ZkyPgfsQ2q70vYYU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IFERROR(__xludf.DUMMYFUNCTION("""COMPUTED_VALUE"""),"1EV6M1kdYbGffiAWDGUsHZDUm9EMHjyVnQif2Bq_w5YQ")</f>
        <v>1EV6M1kdYbGffiAWDGUsHZDUm9EMHjyVnQif2Bq_w5YQ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IFERROR(__xludf.DUMMYFUNCTION("""COMPUTED_VALUE"""),"1NWy1tNLHXUklTVeScryRsYAkdc5-LJ3oDBhQkv8WT8M")</f>
        <v>1NWy1tNLHXUklTVeScryRsYAkdc5-LJ3oDBhQkv8WT8M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IFERROR(__xludf.DUMMYFUNCTION("""COMPUTED_VALUE"""),"1bVPxA0zNj_p7pg9E8mTgLU7yGIrp_WO7jQMtzLb9etg")</f>
        <v>1bVPxA0zNj_p7pg9E8mTgLU7yGIrp_WO7jQMtzLb9etg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IFERROR(__xludf.DUMMYFUNCTION("""COMPUTED_VALUE"""),"1pI0OFiaN7-udDb32hud9I-wifPd3OsRMQPJXWrVRGYE")</f>
        <v>1pI0OFiaN7-udDb32hud9I-wifPd3OsRMQPJXWrVRGYE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IFERROR(__xludf.DUMMYFUNCTION("""COMPUTED_VALUE"""),"1MR0CqV87GTUrjVmW-u4lucv_hu_DKW9AesdoirhhPoE")</f>
        <v>1MR0CqV87GTUrjVmW-u4lucv_hu_DKW9AesdoirhhPoE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IFERROR(__xludf.DUMMYFUNCTION("""COMPUTED_VALUE"""),"1VZd-w4B9IFs_jtM2q4yseIyXmK7riLhK8i1YlvU3OJ4")</f>
        <v>1VZd-w4B9IFs_jtM2q4yseIyXmK7riLhK8i1YlvU3OJ4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IFERROR(__xludf.DUMMYFUNCTION("""COMPUTED_VALUE"""),"1kyDKqBSEYxIlVdn2RdP-ZHnw5fK3SeBCqbpEqQfktbQ")</f>
        <v>1kyDKqBSEYxIlVdn2RdP-ZHnw5fK3SeBCqbpEqQfktbQ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IFERROR(__xludf.DUMMYFUNCTION("""COMPUTED_VALUE"""),"1dFUyUk6aFrwRW0TKRMWTlK9vFTp49OVXBqXSHz95DkI")</f>
        <v>1dFUyUk6aFrwRW0TKRMWTlK9vFTp49OVXBqXSHz95DkI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IFERROR(__xludf.DUMMYFUNCTION("""COMPUTED_VALUE"""),"1-xB5jbzgNDsYwxNItM2igLx6ybosKhYJDG45Cf1B00s")</f>
        <v>1-xB5jbzgNDsYwxNItM2igLx6ybosKhYJDG45Cf1B00s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IFERROR(__xludf.DUMMYFUNCTION("""COMPUTED_VALUE"""),"1j3XobpWhCBX14E7l14SxsGfD41uorXKq0Dzi78xEAl0")</f>
        <v>1j3XobpWhCBX14E7l14SxsGfD41uorXKq0Dzi78xEAl0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IFERROR(__xludf.DUMMYFUNCTION("""COMPUTED_VALUE"""),"1CGteHSn0TR35mDibHM_mvLDac-OHhb53IYGxYOU4O8c")</f>
        <v>1CGteHSn0TR35mDibHM_mvLDac-OHhb53IYGxYOU4O8c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IFERROR(__xludf.DUMMYFUNCTION("""COMPUTED_VALUE"""),"1N8yfRgpk29yJ2RajAJrKlhzej1Vm_fg2kmJVyjXLrvg")</f>
        <v>1N8yfRgpk29yJ2RajAJrKlhzej1Vm_fg2kmJVyjXLrvg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IFERROR(__xludf.DUMMYFUNCTION("""COMPUTED_VALUE"""),"1cUNtTiujid_O-E1ZKZwAgG6FILaEpJPyU8e7KNenYXI")</f>
        <v>1cUNtTiujid_O-E1ZKZwAgG6FILaEpJPyU8e7KNenYXI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IFERROR(__xludf.DUMMYFUNCTION("""COMPUTED_VALUE"""),"1WxElTsVLEdnCe639nqI7szGn5lHG-xxKjGMKw890Nxs")</f>
        <v>1WxElTsVLEdnCe639nqI7szGn5lHG-xxKjGMKw890Nxs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IFERROR(__xludf.DUMMYFUNCTION("""COMPUTED_VALUE"""),"1gMSDalyxsP_enjWpKNvUKpnf9DVP87AgNzPibA-eyb0")</f>
        <v>1gMSDalyxsP_enjWpKNvUKpnf9DVP87AgNzPibA-eyb0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IFERROR(__xludf.DUMMYFUNCTION("""COMPUTED_VALUE"""),"1XgMq7YXIsXKsvwpomSkKrDlipk4Y-ffMAHhllAES020")</f>
        <v>1XgMq7YXIsXKsvwpomSkKrDlipk4Y-ffMAHhllAES020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IFERROR(__xludf.DUMMYFUNCTION("""COMPUTED_VALUE"""),"1Ovwt1TBMu4eX_5xPIErUMp0szT3pOQv-xpOMc_u8oTQ")</f>
        <v>1Ovwt1TBMu4eX_5xPIErUMp0szT3pOQv-xpOMc_u8oTQ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IFERROR(__xludf.DUMMYFUNCTION("""COMPUTED_VALUE"""),"1MffewIlf1S9vLrAIh3aiDyNp7gGbrYIPJ5afHeDrnVY")</f>
        <v>1MffewIlf1S9vLrAIh3aiDyNp7gGbrYIPJ5afHeDrnVY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IFERROR(__xludf.DUMMYFUNCTION("""COMPUTED_VALUE"""),"1g5KDLoyLmVz3yEiZzqea5rWpYDsJy0U5SKzio29JwFw")</f>
        <v>1g5KDLoyLmVz3yEiZzqea5rWpYDsJy0U5SKzio29JwFw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IFERROR(__xludf.DUMMYFUNCTION("""COMPUTED_VALUE"""),"1OmAaisxsenYaDlJ4dEuvm14OJefiALIjp5WHk5BiW4M")</f>
        <v>1OmAaisxsenYaDlJ4dEuvm14OJefiALIjp5WHk5BiW4M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IFERROR(__xludf.DUMMYFUNCTION("""COMPUTED_VALUE"""),"1u5co1GxTETT-t-Y-D0bp3gH4_470l1tV19b2Ge9cabM")</f>
        <v>1u5co1GxTETT-t-Y-D0bp3gH4_470l1tV19b2Ge9cabM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IFERROR(__xludf.DUMMYFUNCTION("""COMPUTED_VALUE"""),"1Q0qEAvdybmeczJnkPdgP8k0_TaW0HOeRFexMckMR-18")</f>
        <v>1Q0qEAvdybmeczJnkPdgP8k0_TaW0HOeRFexMckMR-18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IFERROR(__xludf.DUMMYFUNCTION("""COMPUTED_VALUE"""),"1_wE7yP7PUnttaLCmZoDnxxzk_PFNSFCOma_pC4ViU6E")</f>
        <v>1_wE7yP7PUnttaLCmZoDnxxzk_PFNSFCOma_pC4ViU6E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IFERROR(__xludf.DUMMYFUNCTION("""COMPUTED_VALUE"""),"1JxgHW7rNshltHJ_tYhcbx1WTeF-Ge0ipf7IzTYHWuGc")</f>
        <v>1JxgHW7rNshltHJ_tYhcbx1WTeF-Ge0ipf7IzTYHWuGc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IFERROR(__xludf.DUMMYFUNCTION("""COMPUTED_VALUE"""),"1EfN5-n0Flku86UC55Hrfb0fwDOOr0WS_pPckzAO-Nuk")</f>
        <v>1EfN5-n0Flku86UC55Hrfb0fwDOOr0WS_pPckzAO-Nuk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IFERROR(__xludf.DUMMYFUNCTION("""COMPUTED_VALUE"""),"1rtkxweRxmt7T-ctvx_6DrnlqP57bpTIP6Ieul7_mP6A")</f>
        <v>1rtkxweRxmt7T-ctvx_6DrnlqP57bpTIP6Ieul7_mP6A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IFERROR(__xludf.DUMMYFUNCTION("""COMPUTED_VALUE"""),"1bYrBAoKW9vS-yV7iY_o_bSeBsS4YGKCqurg8f5zUrJ8")</f>
        <v>1bYrBAoKW9vS-yV7iY_o_bSeBsS4YGKCqurg8f5zUrJ8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IFERROR(__xludf.DUMMYFUNCTION("""COMPUTED_VALUE"""),"1jh-uMffIi0EiSv0QmaxSeDY5pD0Bo-YUzVPlNlIB5sk")</f>
        <v>1jh-uMffIi0EiSv0QmaxSeDY5pD0Bo-YUzVPlNlIB5sk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IFERROR(__xludf.DUMMYFUNCTION("""COMPUTED_VALUE"""),"18prvJHsrb-rcZzLiFugnRouMTG2v1w23-4XsA6vdq28")</f>
        <v>18prvJHsrb-rcZzLiFugnRouMTG2v1w23-4XsA6vdq28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IFERROR(__xludf.DUMMYFUNCTION("""COMPUTED_VALUE"""),"10Qkq27hhdOEj1Wsc8HDmoaYNRjZvZz3hYs_g-o2srD4")</f>
        <v>10Qkq27hhdOEj1Wsc8HDmoaYNRjZvZz3hYs_g-o2srD4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IFERROR(__xludf.DUMMYFUNCTION("""COMPUTED_VALUE"""),"12JlWbwTibBQxTu6k-LfAtZm3Ge3zv_5pTxfwGMUw41Y")</f>
        <v>12JlWbwTibBQxTu6k-LfAtZm3Ge3zv_5pTxfwGMUw41Y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IFERROR(__xludf.DUMMYFUNCTION("""COMPUTED_VALUE"""),"1y-8IjqY0F-JaHDEQlN0WPEnzbLFvyaXbrTNH8_TVTks")</f>
        <v>1y-8IjqY0F-JaHDEQlN0WPEnzbLFvyaXbrTNH8_TVTks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IFERROR(__xludf.DUMMYFUNCTION("""COMPUTED_VALUE"""),"1nR5JdSa_bHe_xGX50gs4EzgjOu_OvNU3Jr03lpqD0xw")</f>
        <v>1nR5JdSa_bHe_xGX50gs4EzgjOu_OvNU3Jr03lpqD0xw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IFERROR(__xludf.DUMMYFUNCTION("""COMPUTED_VALUE"""),"1y76YUxz2PJo3dkDwBM0DtU6wDkbeltscHEvWIbis6PU")</f>
        <v>1y76YUxz2PJo3dkDwBM0DtU6wDkbeltscHEvWIbis6PU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IFERROR(__xludf.DUMMYFUNCTION("""COMPUTED_VALUE"""),"1yt7YEJD5SbOmQGT4lGjpllft89GAxVsEpZGz0MjiwoE")</f>
        <v>1yt7YEJD5SbOmQGT4lGjpllft89GAxVsEpZGz0MjiwoE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IFERROR(__xludf.DUMMYFUNCTION("""COMPUTED_VALUE"""),"1NAb2WMfxxO3WY8IHkZpmM2CEoQJdLSaSUKkJGXbMhpM")</f>
        <v>1NAb2WMfxxO3WY8IHkZpmM2CEoQJdLSaSUKkJGXbMhpM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IFERROR(__xludf.DUMMYFUNCTION("""COMPUTED_VALUE"""),"1jzzm_gfQ-iQdhfat681yxboDYvsF3ICqvTE6xBuUuPw")</f>
        <v>1jzzm_gfQ-iQdhfat681yxboDYvsF3ICqvTE6xBuUuPw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IFERROR(__xludf.DUMMYFUNCTION("""COMPUTED_VALUE"""),"1QDVVpmU4OpSVy0QKxTmM6zg2QX4-s7c-SloWYxSfj2I")</f>
        <v>1QDVVpmU4OpSVy0QKxTmM6zg2QX4-s7c-SloWYxSfj2I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IFERROR(__xludf.DUMMYFUNCTION("""COMPUTED_VALUE"""),"1r_n-pmrLMgF_C8aeuNDr7tWOA0Y7GBcfWpC4prA7BYY")</f>
        <v>1r_n-pmrLMgF_C8aeuNDr7tWOA0Y7GBcfWpC4prA7BYY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IFERROR(__xludf.DUMMYFUNCTION("""COMPUTED_VALUE"""),"1CpQZAB4vlNmqvzO989xcBSpzc0NPLej2NvhLbdUyWTQ")</f>
        <v>1CpQZAB4vlNmqvzO989xcBSpzc0NPLej2NvhLbdUyWTQ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IFERROR(__xludf.DUMMYFUNCTION("""COMPUTED_VALUE"""),"14X5jPuAG23EQhbOfO3DylrVujon3mSElP-txsSkRnA8")</f>
        <v>14X5jPuAG23EQhbOfO3DylrVujon3mSElP-txsSkRnA8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IFERROR(__xludf.DUMMYFUNCTION("""COMPUTED_VALUE"""),"1Nhl_j0HYixYX2VQ1rak-5gFIBhJ4VoCwaftlalTj1bk")</f>
        <v>1Nhl_j0HYixYX2VQ1rak-5gFIBhJ4VoCwaftlalTj1bk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IFERROR(__xludf.DUMMYFUNCTION("""COMPUTED_VALUE"""),"18edwL6Y0tYzP2zrxa0QRcpYxjVV6krJxukXjossj_MM")</f>
        <v>18edwL6Y0tYzP2zrxa0QRcpYxjVV6krJxukXjossj_MM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IFERROR(__xludf.DUMMYFUNCTION("""COMPUTED_VALUE"""),"1rXpxTwvAlfhYJ9c_7pzI4e6qsq11B1glzjELJaxdM78")</f>
        <v>1rXpxTwvAlfhYJ9c_7pzI4e6qsq11B1glzjELJaxdM78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IFERROR(__xludf.DUMMYFUNCTION("""COMPUTED_VALUE"""),"1Ysz8uKnxRqT6F3_Q057BzV3ZZSVUtxBeQC04LlklMkA")</f>
        <v>1Ysz8uKnxRqT6F3_Q057BzV3ZZSVUtxBeQC04LlklMkA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IFERROR(__xludf.DUMMYFUNCTION("""COMPUTED_VALUE"""),"1Lo2aHDGLaNwTN4R8-xwG0BQ40lg7UQinHAGEpxz69js")</f>
        <v>1Lo2aHDGLaNwTN4R8-xwG0BQ40lg7UQinHAGEpxz69js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IFERROR(__xludf.DUMMYFUNCTION("""COMPUTED_VALUE"""),"1U6qgMqp1MPriWKxHsZuuHuHlmM-rJxqIxG5W7SUpFSg")</f>
        <v>1U6qgMqp1MPriWKxHsZuuHuHlmM-rJxqIxG5W7SUpFSg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IFERROR(__xludf.DUMMYFUNCTION("""COMPUTED_VALUE"""),"1PYf32wTc6i8YjkRz-Q53X6MYDiD5LoHyy9NsZwpOwGc")</f>
        <v>1PYf32wTc6i8YjkRz-Q53X6MYDiD5LoHyy9NsZwpOwGc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IFERROR(__xludf.DUMMYFUNCTION("""COMPUTED_VALUE"""),"1pOKwC5QSnI6pl7_3wm6G9qkekDDtucmNIY_GKVMbs0M")</f>
        <v>1pOKwC5QSnI6pl7_3wm6G9qkekDDtucmNIY_GKVMbs0M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IFERROR(__xludf.DUMMYFUNCTION("""COMPUTED_VALUE"""),"1931c1Bd7mkuw8ktAOnJ1wXHqdWYL0uX2gQ9uIP2NnkI")</f>
        <v>1931c1Bd7mkuw8ktAOnJ1wXHqdWYL0uX2gQ9uIP2NnkI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IFERROR(__xludf.DUMMYFUNCTION("""COMPUTED_VALUE"""),"1nr3BA7Flp5cWiyNKfvlxJQEbl_IdNqrIInUcX8x159M")</f>
        <v>1nr3BA7Flp5cWiyNKfvlxJQEbl_IdNqrIInUcX8x159M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IFERROR(__xludf.DUMMYFUNCTION("""COMPUTED_VALUE"""),"1Jhbk5bZEf1nNxzsfiuLvF70SiNRDu-1THAWzNNwbi4Y")</f>
        <v>1Jhbk5bZEf1nNxzsfiuLvF70SiNRDu-1THAWzNNwbi4Y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IFERROR(__xludf.DUMMYFUNCTION("""COMPUTED_VALUE"""),"162dD8bZg-298j6PezrW145xv1_C6x4Isd0rGv85ZCII")</f>
        <v>162dD8bZg-298j6PezrW145xv1_C6x4Isd0rGv85ZCII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IFERROR(__xludf.DUMMYFUNCTION("""COMPUTED_VALUE"""),"1dZ1FWxsWVvPQ6jyA-ksyvErraF0tisehi5j1I2FOkRw")</f>
        <v>1dZ1FWxsWVvPQ6jyA-ksyvErraF0tisehi5j1I2FOkRw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IFERROR(__xludf.DUMMYFUNCTION("""COMPUTED_VALUE"""),"11jhyREfVfPzaKHLxIklzEiVpo7QOG5knwgpEA7Hkzto")</f>
        <v>11jhyREfVfPzaKHLxIklzEiVpo7QOG5knwgpEA7Hkzto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IFERROR(__xludf.DUMMYFUNCTION("""COMPUTED_VALUE"""),"12x8yk-qXOBJRoW8RyxDDfI4tsK-lzo85opA2CvzjQoA")</f>
        <v>12x8yk-qXOBJRoW8RyxDDfI4tsK-lzo85opA2CvzjQoA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IFERROR(__xludf.DUMMYFUNCTION("""COMPUTED_VALUE"""),"1KTgBgigwVrlQbk-675Krfsd2QqH49pqRvlWifYUtQ5g")</f>
        <v>1KTgBgigwVrlQbk-675Krfsd2QqH49pqRvlWifYUtQ5g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IFERROR(__xludf.DUMMYFUNCTION("""COMPUTED_VALUE"""),"1a8denPrrrZ6CU7m_5pyvuX8v3Z1WPbnkCQZRqkPZEj8")</f>
        <v>1a8denPrrrZ6CU7m_5pyvuX8v3Z1WPbnkCQZRqkPZEj8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IFERROR(__xludf.DUMMYFUNCTION("""COMPUTED_VALUE"""),"1Qy10BJ2vPY3GZqXNi1sf4HN4-VBeDTN2tZbIrlL9_tM")</f>
        <v>1Qy10BJ2vPY3GZqXNi1sf4HN4-VBeDTN2tZbIrlL9_tM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IFERROR(__xludf.DUMMYFUNCTION("""COMPUTED_VALUE"""),"1VkyCG4QZGXFJyz0uDReEN_PMiHJtUbU9MzJ18dR7djs")</f>
        <v>1VkyCG4QZGXFJyz0uDReEN_PMiHJtUbU9MzJ18dR7djs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IFERROR(__xludf.DUMMYFUNCTION("""COMPUTED_VALUE"""),"1xln3IHIAQBsFIP_BTRt6nFOFbhoLbe-sRdYWCguKd7k")</f>
        <v>1xln3IHIAQBsFIP_BTRt6nFOFbhoLbe-sRdYWCguKd7k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IFERROR(__xludf.DUMMYFUNCTION("""COMPUTED_VALUE"""),"1zk0UoVrMV0oINBkU2tXEcmh42lo2poOp5V2voemUQOc")</f>
        <v>1zk0UoVrMV0oINBkU2tXEcmh42lo2poOp5V2voemUQOc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IFERROR(__xludf.DUMMYFUNCTION("""COMPUTED_VALUE"""),"1YDY4PrQHIwjAVV7ZS5FxsT9X35VMSfx9lUFZ6KS0TT4")</f>
        <v>1YDY4PrQHIwjAVV7ZS5FxsT9X35VMSfx9lUFZ6KS0TT4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IFERROR(__xludf.DUMMYFUNCTION("""COMPUTED_VALUE"""),"1m5emwEeVJWl1_OB8Nsr7sbSKCTBM_edzEbP7vtPiImU")</f>
        <v>1m5emwEeVJWl1_OB8Nsr7sbSKCTBM_edzEbP7vtPiImU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IFERROR(__xludf.DUMMYFUNCTION("""COMPUTED_VALUE"""),"1siER4KgCo3rya7jG6bOEOQMJ5jolS_sgeWzVIaXVnOA")</f>
        <v>1siER4KgCo3rya7jG6bOEOQMJ5jolS_sgeWzVIaXVnOA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IFERROR(__xludf.DUMMYFUNCTION("""COMPUTED_VALUE"""),"17O0fiItP8De4QvAabOMWsJRuFVwYQ4vcaWY9LIrA4AM")</f>
        <v>17O0fiItP8De4QvAabOMWsJRuFVwYQ4vcaWY9LIrA4AM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IFERROR(__xludf.DUMMYFUNCTION("""COMPUTED_VALUE"""),"1KmDGWLo9fXILo47E7QiLk8PcgyXyPWDYLSmlv1U7OEI")</f>
        <v>1KmDGWLo9fXILo47E7QiLk8PcgyXyPWDYLSmlv1U7OEI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IFERROR(__xludf.DUMMYFUNCTION("""COMPUTED_VALUE"""),"1kjhDPh6h17F_qQ5SR_vaGjeQJ54-Cnj0LAluw9XRR9E")</f>
        <v>1kjhDPh6h17F_qQ5SR_vaGjeQJ54-Cnj0LAluw9XRR9E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IFERROR(__xludf.DUMMYFUNCTION("""COMPUTED_VALUE"""),"LoginClient")</f>
        <v>LoginClient</v>
      </c>
      <c r="C542" t="str">
        <f>IFERROR(__xludf.DUMMYFUNCTION("""COMPUTED_VALUE"""),"1oOEnrCswh1E2gMB7QLb7Kzwn1g_U9MdoUM8ZuU4xpqM")</f>
        <v>1oOEnrCswh1E2gMB7QLb7Kzwn1g_U9MdoUM8ZuU4xpqM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IFERROR(__xludf.DUMMYFUNCTION("""COMPUTED_VALUE"""),"1GFVJ-sKAde1ojd0Fe4n6uFMFg_t5ihjSGwIRBDNxnSQ")</f>
        <v>1GFVJ-sKAde1ojd0Fe4n6uFMFg_t5ihjSGwIRBDNxnSQ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IFERROR(__xludf.DUMMYFUNCTION("""COMPUTED_VALUE"""),"1fZ_P02eEi4GavSkUo3cpan_Jh4xz0OQjidMUwzCMms8")</f>
        <v>1fZ_P02eEi4GavSkUo3cpan_Jh4xz0OQjidMUwzCMms8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IFERROR(__xludf.DUMMYFUNCTION("""COMPUTED_VALUE"""),"1XGzqnk2nunw7F--MNGHLzH3F0YYmIumyegAncIZZB6k")</f>
        <v>1XGzqnk2nunw7F--MNGHLzH3F0YYmIumyegAncIZZB6k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IFERROR(__xludf.DUMMYFUNCTION("""COMPUTED_VALUE"""),"1QufyUdyJ0hiResW8bLzTI1qcoXAtWh2TTAg4KNj2kv4")</f>
        <v>1QufyUdyJ0hiResW8bLzTI1qcoXAtWh2TTAg4KNj2kv4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IFERROR(__xludf.DUMMYFUNCTION("""COMPUTED_VALUE"""),"1qQcdc8yQuKhwDznJZ6pFksOXC_DRFeEcZJNoYabCqoo")</f>
        <v>1qQcdc8yQuKhwDznJZ6pFksOXC_DRFeEcZJNoYabCqoo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IFERROR(__xludf.DUMMYFUNCTION("""COMPUTED_VALUE"""),"165ONyZgtypA9enxNYG1RIGJ0QQBpn60s9uk-ZFwfAQI")</f>
        <v>165ONyZgtypA9enxNYG1RIGJ0QQBpn60s9uk-ZFwfAQI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IFERROR(__xludf.DUMMYFUNCTION("""COMPUTED_VALUE"""),"1dO0ymjm2QUZjeMDVWKonhU6YqesW2cr7p8PLsR8JxaA")</f>
        <v>1dO0ymjm2QUZjeMDVWKonhU6YqesW2cr7p8PLsR8JxaA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IFERROR(__xludf.DUMMYFUNCTION("""COMPUTED_VALUE"""),"1elBNb12z0vBYbY9P3ZtJ0q2SWz7SHF34zwW-QQZxQH0")</f>
        <v>1elBNb12z0vBYbY9P3ZtJ0q2SWz7SHF34zwW-QQZxQH0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IFERROR(__xludf.DUMMYFUNCTION("""COMPUTED_VALUE"""),"1ZmcENUuCOmbgT4qA2jopXrJlm_NQ2yxiHmw457oO6Ks")</f>
        <v>1ZmcENUuCOmbgT4qA2jopXrJlm_NQ2yxiHmw457oO6Ks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IFERROR(__xludf.DUMMYFUNCTION("""COMPUTED_VALUE"""),"1kB5ouEy35PLGrGH3P7q6zhj1lAakSOshbaFfRSxUYuI")</f>
        <v>1kB5ouEy35PLGrGH3P7q6zhj1lAakSOshbaFfRSxUYuI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IFERROR(__xludf.DUMMYFUNCTION("""COMPUTED_VALUE"""),"1cWbQrLhcx-DBTt83fk27awIMhSdKtj7wh0dnffqkyEg")</f>
        <v>1cWbQrLhcx-DBTt83fk27awIMhSdKtj7wh0dnffqkyEg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IFERROR(__xludf.DUMMYFUNCTION("""COMPUTED_VALUE"""),"1atfQajSO79BpNABHuWDu-qwEpzSPXeTPKhLrVf3qAJQ")</f>
        <v>1atfQajSO79BpNABHuWDu-qwEpzSPXeTPKhLrVf3qAJQ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IFERROR(__xludf.DUMMYFUNCTION("""COMPUTED_VALUE"""),"1ynZmQFpgGOcXlnL_2G1gIugXpfbDTFt91dNyM50VdQI")</f>
        <v>1ynZmQFpgGOcXlnL_2G1gIugXpfbDTFt91dNyM50VdQI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IFERROR(__xludf.DUMMYFUNCTION("""COMPUTED_VALUE"""),"1iWCPXe0tXJ4PIDbwGLtBOVNSJ2s7YN4z8ZTJcr0Wuw4")</f>
        <v>1iWCPXe0tXJ4PIDbwGLtBOVNSJ2s7YN4z8ZTJcr0Wuw4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IFERROR(__xludf.DUMMYFUNCTION("""COMPUTED_VALUE"""),"1fz65nnl1EeQopbyOQst6wzPdLRIHU1-7mjW2sgFXCAo")</f>
        <v>1fz65nnl1EeQopbyOQst6wzPdLRIHU1-7mjW2sgFXCAo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IFERROR(__xludf.DUMMYFUNCTION("""COMPUTED_VALUE"""),"1I1mDhfrVnKfVAYMK9kcg_A-0IZoCrTMjPsHzeC_QRU8")</f>
        <v>1I1mDhfrVnKfVAYMK9kcg_A-0IZoCrTMjPsHzeC_QRU8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IFERROR(__xludf.DUMMYFUNCTION("""COMPUTED_VALUE"""),"1oly-GUleCLstbhsLqb5z_nrN6IcuRDzo7dau3mRro2g")</f>
        <v>1oly-GUleCLstbhsLqb5z_nrN6IcuRDzo7dau3mRro2g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IFERROR(__xludf.DUMMYFUNCTION("""COMPUTED_VALUE"""),"19Rcvs50oHXGL5FsIW3nGsIY2a3BShYxifQZnyCdj5YI")</f>
        <v>19Rcvs50oHXGL5FsIW3nGsIY2a3BShYxifQZnyCdj5YI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IFERROR(__xludf.DUMMYFUNCTION("""COMPUTED_VALUE"""),"1bAgsLuM31eH3FHZF-8cUfrnOajQpP_RsuaUUeL6eYHU")</f>
        <v>1bAgsLuM31eH3FHZF-8cUfrnOajQpP_RsuaUUeL6eYHU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IFERROR(__xludf.DUMMYFUNCTION("""COMPUTED_VALUE"""),"19LWAFgtJK8TJic3Bigl3vokyu1yraGt63a_sVpP1MUU")</f>
        <v>19LWAFgtJK8TJic3Bigl3vokyu1yraGt63a_sVpP1MUU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IFERROR(__xludf.DUMMYFUNCTION("""COMPUTED_VALUE"""),"1WKdqwN3CzS__R4r-J0QXkrMVzdcNg8eJuijQ4dJIXSU")</f>
        <v>1WKdqwN3CzS__R4r-J0QXkrMVzdcNg8eJuijQ4dJIXSU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IFERROR(__xludf.DUMMYFUNCTION("""COMPUTED_VALUE"""),"1TMvyzuvaXNvx9qH4tERqEMaAM8IhUKVHedPNcqMqnso")</f>
        <v>1TMvyzuvaXNvx9qH4tERqEMaAM8IhUKVHedPNcqMqnso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IFERROR(__xludf.DUMMYFUNCTION("""COMPUTED_VALUE"""),"1-CEopEQMGMoXLU6RCzJz5EPF9dIkT0gUSqvavHcsYis")</f>
        <v>1-CEopEQMGMoXLU6RCzJz5EPF9dIkT0gUSqvavHcsYis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IFERROR(__xludf.DUMMYFUNCTION("""COMPUTED_VALUE"""),"1T8QT8BlZU5hSthOscwYVMb0pI8jbsslQ3q_iqR9NEvo")</f>
        <v>1T8QT8BlZU5hSthOscwYVMb0pI8jbsslQ3q_iqR9NEvo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IFERROR(__xludf.DUMMYFUNCTION("""COMPUTED_VALUE"""),"1_n2-hA1ZHyO0Vk19SbEjEAgktcqBciHeshI2fRJE9_c")</f>
        <v>1_n2-hA1ZHyO0Vk19SbEjEAgktcqBciHeshI2fRJE9_c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IFERROR(__xludf.DUMMYFUNCTION("""COMPUTED_VALUE"""),"1k7fmIQoUvoS3gScp7H0vdlqboqJE2NBh67-wxIIzjXI")</f>
        <v>1k7fmIQoUvoS3gScp7H0vdlqboqJE2NBh67-wxIIzjXI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IFERROR(__xludf.DUMMYFUNCTION("""COMPUTED_VALUE"""),"127jo001wzv8UVwRReX1UnxrYxQVoXUcKy8RlV0rBbzE")</f>
        <v>127jo001wzv8UVwRReX1UnxrYxQVoXUcKy8RlV0rBbzE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IFERROR(__xludf.DUMMYFUNCTION("""COMPUTED_VALUE"""),"1vUO7n9j897nT7StAOKwNOzllgpbb7S3kVwYUOxEdD1Y")</f>
        <v>1vUO7n9j897nT7StAOKwNOzllgpbb7S3kVwYUOxEdD1Y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IFERROR(__xludf.DUMMYFUNCTION("""COMPUTED_VALUE"""),"12zWky2LmOXrqIXPltYfxypKjuQf3ZHGv1mz-xQGxKTQ")</f>
        <v>12zWky2LmOXrqIXPltYfxypKjuQf3ZHGv1mz-xQGxKTQ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IFERROR(__xludf.DUMMYFUNCTION("""COMPUTED_VALUE"""),"1KoA0Wc5hAar-q0SNiFxHZv5O7_6Ub43E0Baobavff04")</f>
        <v>1KoA0Wc5hAar-q0SNiFxHZv5O7_6Ub43E0Baobavff04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IFERROR(__xludf.DUMMYFUNCTION("""COMPUTED_VALUE"""),"1vVUSxh3aheqbZRQq-3oJhAe8OKjNysk1JPVf_W8f5l0")</f>
        <v>1vVUSxh3aheqbZRQq-3oJhAe8OKjNysk1JPVf_W8f5l0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IFERROR(__xludf.DUMMYFUNCTION("""COMPUTED_VALUE"""),"1X5YzKAgrVFRed11iGwwlj-Wh1wAD0gvmGSkTbMQqBao")</f>
        <v>1X5YzKAgrVFRed11iGwwlj-Wh1wAD0gvmGSkTbMQqBao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IFERROR(__xludf.DUMMYFUNCTION("""COMPUTED_VALUE"""),"10cAOM3qnGaWW44q9z21WEIOpJdPIAth5hr8jecUfG6A")</f>
        <v>10cAOM3qnGaWW44q9z21WEIOpJdPIAth5hr8jecUfG6A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IFERROR(__xludf.DUMMYFUNCTION("""COMPUTED_VALUE"""),"11V4DM1OMXH_V53PIsUZCW0QthHjB-hG0fn99Yo8Ry2c")</f>
        <v>11V4DM1OMXH_V53PIsUZCW0QthHjB-hG0fn99Yo8Ry2c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IFERROR(__xludf.DUMMYFUNCTION("""COMPUTED_VALUE"""),"1PD9u3XtwrJXt2fU5ghvPjJ7SpxcIKIIWrKF4YF7wZdo")</f>
        <v>1PD9u3XtwrJXt2fU5ghvPjJ7SpxcIKIIWrKF4YF7wZdo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IFERROR(__xludf.DUMMYFUNCTION("""COMPUTED_VALUE"""),"1zS4ALOAI4Qv9-imwrJ3P0juiFH5-Vvf_4yLE3c_77ww")</f>
        <v>1zS4ALOAI4Qv9-imwrJ3P0juiFH5-Vvf_4yLE3c_77ww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IFERROR(__xludf.DUMMYFUNCTION("""COMPUTED_VALUE"""),"1cf7V2VglYQWMxr9jI82Z1YFUP_Ufd3RrESoDhAX5nFQ")</f>
        <v>1cf7V2VglYQWMxr9jI82Z1YFUP_Ufd3RrESoDhAX5nFQ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IFERROR(__xludf.DUMMYFUNCTION("""COMPUTED_VALUE"""),"1pw8K3dcvVISd7jxODSx2U2PTzTKu53dxX_05mlkByK4")</f>
        <v>1pw8K3dcvVISd7jxODSx2U2PTzTKu53dxX_05mlkByK4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IFERROR(__xludf.DUMMYFUNCTION("""COMPUTED_VALUE"""),"1PqRBZQJtY5Oa2Uxs4vSRclsIlxPwyMvlrr2UUTSIb3Y")</f>
        <v>1PqRBZQJtY5Oa2Uxs4vSRclsIlxPwyMvlrr2UUTSIb3Y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IFERROR(__xludf.DUMMYFUNCTION("""COMPUTED_VALUE"""),"1gMSDalyxsP_enjWpKNvUKpnf9DVP87AgNzPibA-eyb0")</f>
        <v>1gMSDalyxsP_enjWpKNvUKpnf9DVP87AgNzPibA-eyb0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IFERROR(__xludf.DUMMYFUNCTION("""COMPUTED_VALUE"""),"1A9WP5K6T6_O4S-M78Jx1SEqevonRbthbPCskWXVzxtk")</f>
        <v>1A9WP5K6T6_O4S-M78Jx1SEqevonRbthbPCskWXVzxtk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IFERROR(__xludf.DUMMYFUNCTION("""COMPUTED_VALUE"""),"1W0sVWSXhitgjuC6P5w0kTp7TvFL-kAol4gyIX8lhd5w")</f>
        <v>1W0sVWSXhitgjuC6P5w0kTp7TvFL-kAol4gyIX8lhd5w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IFERROR(__xludf.DUMMYFUNCTION("""COMPUTED_VALUE"""),"1FAh4CFdlozjSlNDU3BUeaQu_1zckRBcWM8KQooONyxs")</f>
        <v>1FAh4CFdlozjSlNDU3BUeaQu_1zckRBcWM8KQooONyxs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IFERROR(__xludf.DUMMYFUNCTION("""COMPUTED_VALUE"""),"1F219wmX8xrFPgma8cjoUCm7q9nq-W9yFK7PTO5OggJw")</f>
        <v>1F219wmX8xrFPgma8cjoUCm7q9nq-W9yFK7PTO5OggJw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IFERROR(__xludf.DUMMYFUNCTION("""COMPUTED_VALUE"""),"1D5Y3RzzSSQaYL3n3QrXxry0SwVaG4gnMSCxFKtFszpQ")</f>
        <v>1D5Y3RzzSSQaYL3n3QrXxry0SwVaG4gnMSCxFKtFszpQ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IFERROR(__xludf.DUMMYFUNCTION("""COMPUTED_VALUE"""),"10HWI9Cc8RvROS5VcoYWQCiNm-ZMIi9mZRyugdSdwfao")</f>
        <v>10HWI9Cc8RvROS5VcoYWQCiNm-ZMIi9mZRyugdSdwfao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IFERROR(__xludf.DUMMYFUNCTION("""COMPUTED_VALUE"""),"16YNILloso-DtMjrvuLs9jjsIzEmPQxnFXrCt8yvHUNE")</f>
        <v>16YNILloso-DtMjrvuLs9jjsIzEmPQxnFXrCt8yvHUNE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IFERROR(__xludf.DUMMYFUNCTION("""COMPUTED_VALUE"""),"1uQiuSREeRIwO_nEU84cMzm9OFSYVLHU2rgcEaefXb2k")</f>
        <v>1uQiuSREeRIwO_nEU84cMzm9OFSYVLHU2rgcEaefXb2k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IFERROR(__xludf.DUMMYFUNCTION("""COMPUTED_VALUE"""),"1FKL2NTRmBSyITx5pyk6zHOKymU28NwrQwSuVbW4gNRg")</f>
        <v>1FKL2NTRmBSyITx5pyk6zHOKymU28NwrQwSuVbW4gNRg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IFERROR(__xludf.DUMMYFUNCTION("""COMPUTED_VALUE"""),"1nyCMJS4IH1BLXnFOr_FNoPH4XmaOIGdVjSJuJpNi2c8")</f>
        <v>1nyCMJS4IH1BLXnFOr_FNoPH4XmaOIGdVjSJuJpNi2c8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IFERROR(__xludf.DUMMYFUNCTION("""COMPUTED_VALUE"""),"1byaZalr_XhOG3LaxY-Riu8lHwQSFb098xHll__tkAtA")</f>
        <v>1byaZalr_XhOG3LaxY-Riu8lHwQSFb098xHll__tkAtA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IFERROR(__xludf.DUMMYFUNCTION("""COMPUTED_VALUE"""),"15PdvqcWBSttYjbzGBns1O_5cUV2nEVZ4r1YEe7ucwPs")</f>
        <v>15PdvqcWBSttYjbzGBns1O_5cUV2nEVZ4r1YEe7ucwPs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IFERROR(__xludf.DUMMYFUNCTION("""COMPUTED_VALUE"""),"197cwp2DCQ4L0B-G5b7CZAwGsgFZuiUTyD_BSwtc9wHA")</f>
        <v>197cwp2DCQ4L0B-G5b7CZAwGsgFZuiUTyD_BSwtc9wHA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IFERROR(__xludf.DUMMYFUNCTION("""COMPUTED_VALUE"""),"18fTZZkhP8PVk2zb3669RCgVH7l1lj74KOPGo3kRsFwA")</f>
        <v>18fTZZkhP8PVk2zb3669RCgVH7l1lj74KOPGo3kRsFwA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IFERROR(__xludf.DUMMYFUNCTION("""COMPUTED_VALUE"""),"1kM_UfqpK0PaHEHY4-JNdVXj1fPgIjBfWABlDaWsTh6o")</f>
        <v>1kM_UfqpK0PaHEHY4-JNdVXj1fPgIjBfWABlDaWsTh6o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IFERROR(__xludf.DUMMYFUNCTION("""COMPUTED_VALUE"""),"1kTWoOsrKD_0f_MBstD0yl6ly3CmvswKmK8GYKJUaSJY")</f>
        <v>1kTWoOsrKD_0f_MBstD0yl6ly3CmvswKmK8GYKJUaSJY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IFERROR(__xludf.DUMMYFUNCTION("""COMPUTED_VALUE"""),"1w_R8_0C8pikIkKOjwqbblpApJ-NG3VoHrCDrW9YJ19Q")</f>
        <v>1w_R8_0C8pikIkKOjwqbblpApJ-NG3VoHrCDrW9YJ19Q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IFERROR(__xludf.DUMMYFUNCTION("""COMPUTED_VALUE"""),"1OUvamqdyFx8lXmHmR7JvJB9QtTJaxdBrHx0MlmVl9Gg")</f>
        <v>1OUvamqdyFx8lXmHmR7JvJB9QtTJaxdBrHx0MlmVl9Gg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IFERROR(__xludf.DUMMYFUNCTION("""COMPUTED_VALUE"""),"1ld4yJ22N6V7SOVjhVfKW9T1vMKTLDo6OxunLct_fLjI")</f>
        <v>1ld4yJ22N6V7SOVjhVfKW9T1vMKTLDo6OxunLct_fLjI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IFERROR(__xludf.DUMMYFUNCTION("""COMPUTED_VALUE"""),"1kM4im1jNG_hRRV6_1iX1KA8Gs_JYY3Hf4okWtTP02Do")</f>
        <v>1kM4im1jNG_hRRV6_1iX1KA8Gs_JYY3Hf4okWtTP02Do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IFERROR(__xludf.DUMMYFUNCTION("""COMPUTED_VALUE"""),"1y-sTWmoC_H1YDpnZGfQbhkY373SoIrYiLpMuGNBQ0Sg")</f>
        <v>1y-sTWmoC_H1YDpnZGfQbhkY373SoIrYiLpMuGNBQ0Sg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IFERROR(__xludf.DUMMYFUNCTION("""COMPUTED_VALUE"""),"11YtQ09JiPm_fxJbDxXEHFdwP8lXJA1EhSMiSMDI8-Mg")</f>
        <v>11YtQ09JiPm_fxJbDxXEHFdwP8lXJA1EhSMiSMDI8-Mg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IFERROR(__xludf.DUMMYFUNCTION("""COMPUTED_VALUE"""),"1R7f7syAvacBKywwhkXcXMcTmDvkomvyufkmtFJu4Zdw")</f>
        <v>1R7f7syAvacBKywwhkXcXMcTmDvkomvyufkmtFJu4Zdw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IFERROR(__xludf.DUMMYFUNCTION("""COMPUTED_VALUE"""),"1vAo56cQ5ngyfTbfrFWBvoHQRIF0cTJr0hScLG2DuLgI")</f>
        <v>1vAo56cQ5ngyfTbfrFWBvoHQRIF0cTJr0hScLG2DuLgI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IFERROR(__xludf.DUMMYFUNCTION("""COMPUTED_VALUE"""),"1lEizmaJ1dbPlCGjdjYS2EVdP54oAQCWFB_ER2lqO9kQ")</f>
        <v>1lEizmaJ1dbPlCGjdjYS2EVdP54oAQCWFB_ER2lqO9kQ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IFERROR(__xludf.DUMMYFUNCTION("""COMPUTED_VALUE"""),"1AlyH1p5l22rwlHL--PsF-nI7tUEh6x4P1Rtm4CIoMM8")</f>
        <v>1AlyH1p5l22rwlHL--PsF-nI7tUEh6x4P1Rtm4CIoMM8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IFERROR(__xludf.DUMMYFUNCTION("""COMPUTED_VALUE"""),"1bS7JG2B52mCXGDZJejq5Pp8qTEn73efGmX5qKmaHFAI")</f>
        <v>1bS7JG2B52mCXGDZJejq5Pp8qTEn73efGmX5qKmaHFAI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IFERROR(__xludf.DUMMYFUNCTION("""COMPUTED_VALUE"""),"19T3Ip9Ag9oh_4E_0q4NRbzAn0DDkiZg1BwITA3HmUNQ")</f>
        <v>19T3Ip9Ag9oh_4E_0q4NRbzAn0DDkiZg1BwITA3HmUNQ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IFERROR(__xludf.DUMMYFUNCTION("""COMPUTED_VALUE"""),"1bJNniaZjxf79auZhh3SEyweKOO8AuCuCtRbzkni2UY0")</f>
        <v>1bJNniaZjxf79auZhh3SEyweKOO8AuCuCtRbzkni2UY0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IFERROR(__xludf.DUMMYFUNCTION("""COMPUTED_VALUE"""),"1pLjxOOSstcP9sjwtrHb5MPDjdncwkEw6pM4-Z2FTcMM")</f>
        <v>1pLjxOOSstcP9sjwtrHb5MPDjdncwkEw6pM4-Z2FTcMM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IFERROR(__xludf.DUMMYFUNCTION("""COMPUTED_VALUE"""),"1mc1s4SmA1y4VP6gk13_0zQWH3SwcgqbvUdYJgmA50Uk")</f>
        <v>1mc1s4SmA1y4VP6gk13_0zQWH3SwcgqbvUdYJgmA50Uk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IFERROR(__xludf.DUMMYFUNCTION("""COMPUTED_VALUE"""),"1ywzFM2r--rfbRBBhj8dWR_174n0GJlN_5lVk5fP-EiQ")</f>
        <v>1ywzFM2r--rfbRBBhj8dWR_174n0GJlN_5lVk5fP-EiQ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IFERROR(__xludf.DUMMYFUNCTION("""COMPUTED_VALUE"""),"1l5FAkKhuW5nlw2IdKTrGdt79R2Zz2AccmJfeG28b9-U")</f>
        <v>1l5FAkKhuW5nlw2IdKTrGdt79R2Zz2AccmJfeG28b9-U</v>
      </c>
    </row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Data!A4:L1000"")"),"TradingTicket")</f>
        <v>TradingTicket</v>
      </c>
      <c r="B4" t="str">
        <f>IFERROR(__xludf.DUMMYFUNCTION("""COMPUTED_VALUE"""),"TradeUsingTT")</f>
        <v>TradeUsingTT</v>
      </c>
      <c r="C4" t="str">
        <f>IFERROR(__xludf.DUMMYFUNCTION("""COMPUTED_VALUE"""),"TTTrades")</f>
        <v>TTTrades</v>
      </c>
      <c r="D4" t="str">
        <f>IFERROR(__xludf.DUMMYFUNCTION("""COMPUTED_VALUE"""),"1Q0knOJ8odySzW9kzE5w8PdOc44G2QBZUfKg5ZvUx-xw")</f>
        <v>1Q0knOJ8odySzW9kzE5w8PdOc44G2QBZUfKg5ZvUx-xw</v>
      </c>
    </row>
    <row r="5">
      <c r="A5" t="str">
        <f>IFERROR(__xludf.DUMMYFUNCTION("""COMPUTED_VALUE"""),"Allocation")</f>
        <v>Allocation</v>
      </c>
      <c r="B5" t="str">
        <f>IFERROR(__xludf.DUMMYFUNCTION("""COMPUTED_VALUE"""),"SelectAllocatedGroup")</f>
        <v>SelectAllocatedGroup</v>
      </c>
      <c r="C5" t="str">
        <f>IFERROR(__xludf.DUMMYFUNCTION("""COMPUTED_VALUE"""),"TradesForAllocation")</f>
        <v>TradesForAllocation</v>
      </c>
      <c r="D5" t="str">
        <f>IFERROR(__xludf.DUMMYFUNCTION("""COMPUTED_VALUE"""),"1-RJhOo2E5PhyqaiMEjsPi8RpfYBuiSqE9fj_-bRpkKw")</f>
        <v>1-RJhOo2E5PhyqaiMEjsPi8RpfYBuiSqE9fj_-bRpkKw</v>
      </c>
    </row>
    <row r="6">
      <c r="A6" t="str">
        <f>IFERROR(__xludf.DUMMYFUNCTION("""COMPUTED_VALUE"""),"Allocation")</f>
        <v>Allocation</v>
      </c>
      <c r="B6" t="str">
        <f>IFERROR(__xludf.DUMMYFUNCTION("""COMPUTED_VALUE"""),"SelectUnallocatedGroup")</f>
        <v>SelectUnallocatedGroup</v>
      </c>
      <c r="C6" t="str">
        <f>IFERROR(__xludf.DUMMYFUNCTION("""COMPUTED_VALUE"""),"TradesForAllocation")</f>
        <v>TradesForAllocation</v>
      </c>
      <c r="D6" t="str">
        <f>IFERROR(__xludf.DUMMYFUNCTION("""COMPUTED_VALUE"""),"1-RJhOo2E5PhyqaiMEjsPi8RpfYBuiSqE9fj_-bRpkKw")</f>
        <v>1-RJhOo2E5PhyqaiMEjsPi8RpfYBuiSqE9fj_-bRpkKw</v>
      </c>
    </row>
    <row r="7">
      <c r="A7" t="str">
        <f>IFERROR(__xludf.DUMMYFUNCTION("""COMPUTED_VALUE"""),"TradingTicket")</f>
        <v>TradingTicket</v>
      </c>
      <c r="B7" t="str">
        <f>IFERROR(__xludf.DUMMYFUNCTION("""COMPUTED_VALUE"""),"CreateDoneAwayOrder")</f>
        <v>CreateDoneAwayOrder</v>
      </c>
      <c r="C7" t="str">
        <f>IFERROR(__xludf.DUMMYFUNCTION("""COMPUTED_VALUE"""),"TTInput")</f>
        <v>TTInput</v>
      </c>
      <c r="D7" t="str">
        <f>IFERROR(__xludf.DUMMYFUNCTION("""COMPUTED_VALUE"""),"1b5S4Xpp4fgZ1ez6cK92QFnVBylqz8jhwxdAyEvwDqUI")</f>
        <v>1b5S4Xpp4fgZ1ez6cK92QFnVBylqz8jhwxdAyEvwDqUI</v>
      </c>
    </row>
    <row r="8">
      <c r="A8" t="str">
        <f>IFERROR(__xludf.DUMMYFUNCTION("""COMPUTED_VALUE"""),"Allocation")</f>
        <v>Allocation</v>
      </c>
      <c r="B8" t="str">
        <f>IFERROR(__xludf.DUMMYFUNCTION("""COMPUTED_VALUE"""),"SetGroupingRules")</f>
        <v>SetGroupingRules</v>
      </c>
      <c r="C8" t="str">
        <f>IFERROR(__xludf.DUMMYFUNCTION("""COMPUTED_VALUE"""),"GroupingRules")</f>
        <v>GroupingRules</v>
      </c>
      <c r="D8" t="str">
        <f>IFERROR(__xludf.DUMMYFUNCTION("""COMPUTED_VALUE"""),"1oiITP7kpTv6Zgm5fpjzHWhIjzPRoRqS_CIZxqoxWRkA")</f>
        <v>1oiITP7kpTv6Zgm5fpjzHWhIjzPRoRqS_CIZxqoxWRkA</v>
      </c>
    </row>
    <row r="9">
      <c r="A9" t="str">
        <f>IFERROR(__xludf.DUMMYFUNCTION("""COMPUTED_VALUE"""),"Allocation")</f>
        <v>Allocation</v>
      </c>
      <c r="B9" t="str">
        <f>IFERROR(__xludf.DUMMYFUNCTION("""COMPUTED_VALUE"""),"CheckUnallocatedGroups")</f>
        <v>CheckUnallocatedGroups</v>
      </c>
      <c r="C9" t="str">
        <f>IFERROR(__xludf.DUMMYFUNCTION("""COMPUTED_VALUE"""),"UnallocatedGroupCheck")</f>
        <v>UnallocatedGroupCheck</v>
      </c>
      <c r="D9" t="str">
        <f>IFERROR(__xludf.DUMMYFUNCTION("""COMPUTED_VALUE"""),"1c7aP-E18Fb8lEVGiXac03BLoNVdUNRzodD2Xjn-9pzU")</f>
        <v>1c7aP-E18Fb8lEVGiXac03BLoNVdUNRzodD2Xjn-9pzU</v>
      </c>
    </row>
    <row r="10">
      <c r="A10" t="str">
        <f>IFERROR(__xludf.DUMMYFUNCTION("""COMPUTED_VALUE"""),"GeneralLedger")</f>
        <v>GeneralLedger</v>
      </c>
      <c r="B10" t="str">
        <f>IFERROR(__xludf.DUMMYFUNCTION("""COMPUTED_VALUE"""),"GetTradingTransaction")</f>
        <v>GetTradingTransaction</v>
      </c>
      <c r="C10" t="str">
        <f>IFERROR(__xludf.DUMMYFUNCTION("""COMPUTED_VALUE"""),"GetTradingTransaction")</f>
        <v>GetTradingTransaction</v>
      </c>
      <c r="D10" t="str">
        <f>IFERROR(__xludf.DUMMYFUNCTION("""COMPUTED_VALUE"""),"1IuJkgEDoDUSnmXhZVZdA_x-3VnlMPyzRsUMpf_eRTTQ")</f>
        <v>1IuJkgEDoDUSnmXhZVZdA_x-3VnlMPyzRsUMpf_eRTTQ</v>
      </c>
    </row>
    <row r="11">
      <c r="A11" t="str">
        <f>IFERROR(__xludf.DUMMYFUNCTION("""COMPUTED_VALUE"""),"TradingTicket")</f>
        <v>TradingTicket</v>
      </c>
      <c r="B11" t="str">
        <f>IFERROR(__xludf.DUMMYFUNCTION("""COMPUTED_VALUE"""),"CreateDoneAwayOrder")</f>
        <v>CreateDoneAwayOrder</v>
      </c>
      <c r="C11" t="str">
        <f>IFERROR(__xludf.DUMMYFUNCTION("""COMPUTED_VALUE"""),"CreateDoneAwayOrder")</f>
        <v>CreateDoneAwayOrder</v>
      </c>
      <c r="D11" t="str">
        <f>IFERROR(__xludf.DUMMYFUNCTION("""COMPUTED_VALUE"""),"1Wybl1BX2sjPWI0uYzeN6KZO-tnk3-pf5NWNrZR7m_8I")</f>
        <v>1Wybl1BX2sjPWI0uYzeN6KZO-tnk3-pf5NWNrZR7m_8I</v>
      </c>
    </row>
    <row r="12">
      <c r="A12" t="str">
        <f>IFERROR(__xludf.DUMMYFUNCTION("""COMPUTED_VALUE"""),"Allocation")</f>
        <v>Allocation</v>
      </c>
      <c r="B12" t="str">
        <f>IFERROR(__xludf.DUMMYFUNCTION("""COMPUTED_VALUE"""),"GeneralPreferencesDefaultRule")</f>
        <v>GeneralPreferencesDefaultRule</v>
      </c>
      <c r="C12" t="str">
        <f>IFERROR(__xludf.DUMMYFUNCTION("""COMPUTED_VALUE"""),"GeneralPreferencesDefualtRules")</f>
        <v>GeneralPreferencesDefualtRules</v>
      </c>
      <c r="D12" t="str">
        <f>IFERROR(__xludf.DUMMYFUNCTION("""COMPUTED_VALUE"""),"1t-y8DW-cux-RoCJhMs9d4iDbW4QOQ-BXfiT1GYQBvbw")</f>
        <v>1t-y8DW-cux-RoCJhMs9d4iDbW4QOQ-BXfiT1GYQBvbw</v>
      </c>
    </row>
    <row r="13">
      <c r="A13" t="str">
        <f>IFERROR(__xludf.DUMMYFUNCTION("""COMPUTED_VALUE"""),"Allocation")</f>
        <v>Allocation</v>
      </c>
      <c r="B13" t="str">
        <f>IFERROR(__xludf.DUMMYFUNCTION("""COMPUTED_VALUE"""),"GeneralPrefCompanyUserWise")</f>
        <v>GeneralPrefCompanyUserWise</v>
      </c>
      <c r="C13" t="str">
        <f>IFERROR(__xludf.DUMMYFUNCTION("""COMPUTED_VALUE"""),"GeneralPrefCoUserRules")</f>
        <v>GeneralPrefCoUserRules</v>
      </c>
      <c r="D13" t="str">
        <f>IFERROR(__xludf.DUMMYFUNCTION("""COMPUTED_VALUE"""),"154-ES2jrM9C4VoMik8t5SCjN2LjvQHLPe8ANoIosIcc")</f>
        <v>154-ES2jrM9C4VoMik8t5SCjN2LjvQHLPe8ANoIosIcc</v>
      </c>
    </row>
    <row r="14">
      <c r="A14" t="str">
        <f>IFERROR(__xludf.DUMMYFUNCTION("""COMPUTED_VALUE"""),"Allocation")</f>
        <v>Allocation</v>
      </c>
      <c r="B14" t="str">
        <f>IFERROR(__xludf.DUMMYFUNCTION("""COMPUTED_VALUE"""),"EnterAccountValuesToAllocate")</f>
        <v>EnterAccountValuesToAllocate</v>
      </c>
      <c r="C14" t="str">
        <f>IFERROR(__xludf.DUMMYFUNCTION("""COMPUTED_VALUE"""),"AccountValues")</f>
        <v>AccountValues</v>
      </c>
      <c r="D14" t="str">
        <f>IFERROR(__xludf.DUMMYFUNCTION("""COMPUTED_VALUE"""),"1mOtszotVOdqHquQTLi-4CBnAUrtAF2MEABuvYJh_hzw")</f>
        <v>1mOtszotVOdqHquQTLi-4CBnAUrtAF2MEABuvYJh_hzw</v>
      </c>
    </row>
    <row r="15">
      <c r="A15" t="str">
        <f>IFERROR(__xludf.DUMMYFUNCTION("""COMPUTED_VALUE"""),"Allocation")</f>
        <v>Allocation</v>
      </c>
      <c r="B15" t="str">
        <f>IFERROR(__xludf.DUMMYFUNCTION("""COMPUTED_VALUE"""),"CheckFixedPreference")</f>
        <v>CheckFixedPreference</v>
      </c>
      <c r="C15" t="str">
        <f>IFERROR(__xludf.DUMMYFUNCTION("""COMPUTED_VALUE"""),"CheckFixedPreference")</f>
        <v>CheckFixedPreference</v>
      </c>
      <c r="D15" t="str">
        <f>IFERROR(__xludf.DUMMYFUNCTION("""COMPUTED_VALUE"""),"1RNofLIplBOnX_vwsD6AecMNF72I9x58kWSMHVy9EgsM")</f>
        <v>1RNofLIplBOnX_vwsD6AecMNF72I9x58kWSMHVy9EgsM</v>
      </c>
    </row>
    <row r="16">
      <c r="A16" t="str">
        <f>IFERROR(__xludf.DUMMYFUNCTION("""COMPUTED_VALUE"""),"Allocation")</f>
        <v>Allocation</v>
      </c>
      <c r="B16" t="str">
        <f>IFERROR(__xludf.DUMMYFUNCTION("""COMPUTED_VALUE"""),"SetAccountValueCalculatedPref")</f>
        <v>SetAccountValueCalculatedPref</v>
      </c>
      <c r="C16" t="str">
        <f>IFERROR(__xludf.DUMMYFUNCTION("""COMPUTED_VALUE"""),"AccountValueCalculatePref")</f>
        <v>AccountValueCalculatePref</v>
      </c>
      <c r="D16" t="str">
        <f>IFERROR(__xludf.DUMMYFUNCTION("""COMPUTED_VALUE"""),"1svq-61dzaRHeNDz1TSSUPXQbbN3Mi4bhNQabvGVoz2c")</f>
        <v>1svq-61dzaRHeNDz1TSSUPXQbbN3Mi4bhNQabvGVoz2c</v>
      </c>
    </row>
    <row r="17">
      <c r="A17" t="str">
        <f>IFERROR(__xludf.DUMMYFUNCTION("""COMPUTED_VALUE"""),"Allocation")</f>
        <v>Allocation</v>
      </c>
      <c r="B17" t="str">
        <f>IFERROR(__xludf.DUMMYFUNCTION("""COMPUTED_VALUE"""),"SetDefaultRuleCalculatedPref")</f>
        <v>SetDefaultRuleCalculatedPref</v>
      </c>
      <c r="C17" t="str">
        <f>IFERROR(__xludf.DUMMYFUNCTION("""COMPUTED_VALUE"""),"DefaultRuleCalculatePref")</f>
        <v>DefaultRuleCalculatePref</v>
      </c>
      <c r="D17" t="str">
        <f>IFERROR(__xludf.DUMMYFUNCTION("""COMPUTED_VALUE"""),"1j6MD8nFEuJNo52Mp8uXbXRmrJs802rnEIiTOEuZFdWA")</f>
        <v>1j6MD8nFEuJNo52Mp8uXbXRmrJs802rnEIiTOEuZFdWA</v>
      </c>
    </row>
    <row r="18">
      <c r="A18" t="str">
        <f>IFERROR(__xludf.DUMMYFUNCTION("""COMPUTED_VALUE"""),"Allocation")</f>
        <v>Allocation</v>
      </c>
      <c r="B18" t="str">
        <f>IFERROR(__xludf.DUMMYFUNCTION("""COMPUTED_VALUE"""),"SetStrategyValueCalculatedPref")</f>
        <v>SetStrategyValueCalculatedPref</v>
      </c>
      <c r="C18" t="str">
        <f>IFERROR(__xludf.DUMMYFUNCTION("""COMPUTED_VALUE"""),"StrategyValueCalculatedPref")</f>
        <v>StrategyValueCalculatedPref</v>
      </c>
      <c r="D18" t="str">
        <f>IFERROR(__xludf.DUMMYFUNCTION("""COMPUTED_VALUE"""),"1rt8inh4u7qHUhCAFSaa2kmPKLkqeh3uljucYajdto60")</f>
        <v>1rt8inh4u7qHUhCAFSaa2kmPKLkqeh3uljucYajdto60</v>
      </c>
    </row>
    <row r="19">
      <c r="A19" t="str">
        <f>IFERROR(__xludf.DUMMYFUNCTION("""COMPUTED_VALUE"""),"Allocation")</f>
        <v>Allocation</v>
      </c>
      <c r="B19" t="str">
        <f>IFERROR(__xludf.DUMMYFUNCTION("""COMPUTED_VALUE"""),"SetGeneralPreferences")</f>
        <v>SetGeneralPreferences</v>
      </c>
      <c r="C19" t="str">
        <f>IFERROR(__xludf.DUMMYFUNCTION("""COMPUTED_VALUE"""),"GeneralPreferences")</f>
        <v>GeneralPreferences</v>
      </c>
      <c r="D19" t="str">
        <f>IFERROR(__xludf.DUMMYFUNCTION("""COMPUTED_VALUE"""),"1lI4loUxqzsE3IjuxIjsVY3cB4J_eTKFPPDuXngut4FE")</f>
        <v>1lI4loUxqzsE3IjuxIjsVY3cB4J_eTKFPPDuXngut4FE</v>
      </c>
    </row>
    <row r="20">
      <c r="A20" t="str">
        <f>IFERROR(__xludf.DUMMYFUNCTION("""COMPUTED_VALUE"""),"Closing")</f>
        <v>Closing</v>
      </c>
      <c r="B20" t="str">
        <f>IFERROR(__xludf.DUMMYFUNCTION("""COMPUTED_VALUE"""),"AutomaticClosing")</f>
        <v>AutomaticClosing</v>
      </c>
      <c r="C20" t="str">
        <f>IFERROR(__xludf.DUMMYFUNCTION("""COMPUTED_VALUE"""),"AutomaticClosingMasterData")</f>
        <v>AutomaticClosingMasterData</v>
      </c>
      <c r="D20" t="str">
        <f>IFERROR(__xludf.DUMMYFUNCTION("""COMPUTED_VALUE"""),"1zwv-aZp-DRCpq8bqLR0XRiyt0av-GAm0ORqbhnV-FKI")</f>
        <v>1zwv-aZp-DRCpq8bqLR0XRiyt0av-GAm0ORqbhnV-FKI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IFERROR(__xludf.DUMMYFUNCTION("IF(C3="""","""",Transpose(IMPORTRANGE('_Settings'!$B$3,C3&amp;""!A4:A1000"")))"),"SetTTUIPreferences")</f>
        <v>SetTTUIPreferences</v>
      </c>
      <c r="C4" s="25" t="str">
        <f>IFERROR(__xludf.DUMMYFUNCTION("""COMPUTED_VALUE"""),"TTPermissionLevel")</f>
        <v>TTPermissionLevel</v>
      </c>
      <c r="D4" s="25" t="str">
        <f>IFERROR(__xludf.DUMMYFUNCTION("""COMPUTED_VALUE"""),"SetCheckSide")</f>
        <v>SetCheckSide</v>
      </c>
      <c r="E4" s="25" t="str">
        <f>IFERROR(__xludf.DUMMYFUNCTION("""COMPUTED_VALUE"""),"SetRollover")</f>
        <v>SetRollover</v>
      </c>
      <c r="F4" s="25" t="str">
        <f>IFERROR(__xludf.DUMMYFUNCTION("""COMPUTED_VALUE"""),"SetActive")</f>
        <v>SetActive</v>
      </c>
      <c r="G4" s="25" t="str">
        <f>IFERROR(__xludf.DUMMYFUNCTION("""COMPUTED_VALUE"""),"SetThirdPartyFormat")</f>
        <v>SetThirdPartyFormat</v>
      </c>
      <c r="H4" s="25" t="str">
        <f>IFERROR(__xludf.DUMMYFUNCTION("""COMPUTED_VALUE"""),"SetTradingComplianceRules")</f>
        <v>SetTradingComplianceRules</v>
      </c>
      <c r="I4" s="25" t="str">
        <f>IFERROR(__xludf.DUMMYFUNCTION("""COMPUTED_VALUE"""),"EnableBreakdownRealizedPNL")</f>
        <v>EnableBreakdownRealizedPNL</v>
      </c>
      <c r="J4" s="25" t="str">
        <f>IFERROR(__xludf.DUMMYFUNCTION("""COMPUTED_VALUE"""),"SetTTGeneralPreferences")</f>
        <v>SetTTGeneralPreferences</v>
      </c>
      <c r="K4" s="25" t="str">
        <f>IFERROR(__xludf.DUMMYFUNCTION("""COMPUTED_VALUE"""),"SetDollarAmountPermission")</f>
        <v>SetDollarAmountPermission</v>
      </c>
      <c r="L4" s="25" t="str">
        <f>IFERROR(__xludf.DUMMYFUNCTION("""COMPUTED_VALUE"""),"EnableDisableModule")</f>
        <v>EnableDisableModule</v>
      </c>
      <c r="M4" s="25" t="str">
        <f>IFERROR(__xludf.DUMMYFUNCTION("""COMPUTED_VALUE"""),"IsImportOverrideOnShortLocate")</f>
        <v>IsImportOverrideOnShortLocate</v>
      </c>
      <c r="N4" s="25" t="str">
        <f>IFERROR(__xludf.DUMMYFUNCTION("""COMPUTED_VALUE"""),"SetShortLocateStructures")</f>
        <v>SetShortLocateStructures</v>
      </c>
      <c r="O4" s="25" t="str">
        <f>IFERROR(__xludf.DUMMYFUNCTION("""COMPUTED_VALUE"""),"SetComplianceAlert")</f>
        <v>SetComplianceAlert</v>
      </c>
      <c r="P4" s="26" t="str">
        <f>IFERROR(__xludf.DUMMYFUNCTION("""COMPUTED_VALUE"""),"UpdateExpirationDate")</f>
        <v>UpdateExpirationDate</v>
      </c>
      <c r="Q4" s="26" t="str">
        <f>IFERROR(__xludf.DUMMYFUNCTION("""COMPUTED_VALUE"""),"RenameMasterStrategy")</f>
        <v>RenameMasterStrategy</v>
      </c>
      <c r="R4" s="26" t="str">
        <f>IFERROR(__xludf.DUMMYFUNCTION("""COMPUTED_VALUE"""),"SetTTUIAdminPreferences")</f>
        <v>SetTTUIAdminPreferences</v>
      </c>
      <c r="S4" s="26" t="str">
        <f>IFERROR(__xludf.DUMMYFUNCTION("""COMPUTED_VALUE"""),"UpdateSecFee")</f>
        <v>UpdateSecFee</v>
      </c>
      <c r="T4" s="26" t="str">
        <f>IFERROR(__xludf.DUMMYFUNCTION("""COMPUTED_VALUE"""),"UpdateFee")</f>
        <v>UpdateFee</v>
      </c>
      <c r="U4" s="26" t="str">
        <f>IFERROR(__xludf.DUMMYFUNCTION("""COMPUTED_VALUE"""),"RevertingSMSharesOutValue")</f>
        <v>RevertingSMSharesOutValue</v>
      </c>
      <c r="V4" s="26" t="str">
        <f>IFERROR(__xludf.DUMMYFUNCTION("""COMPUTED_VALUE"""),"SetTTUIAdminPreferences")</f>
        <v>SetTTUIAdminPreferences</v>
      </c>
      <c r="W4" s="26" t="str">
        <f>IFERROR(__xludf.DUMMYFUNCTION("""COMPUTED_VALUE"""),"RestartSQL")</f>
        <v>RestartSQL</v>
      </c>
      <c r="X4" s="26" t="str">
        <f>IFERROR(__xludf.DUMMYFUNCTION("""COMPUTED_VALUE"""),"TradeAuditCleanUp")</f>
        <v>TradeAuditCleanUp</v>
      </c>
      <c r="Y4" s="26" t="str">
        <f>IFERROR(__xludf.DUMMYFUNCTION("""COMPUTED_VALUE"""),"DeleteSymbolFromSM")</f>
        <v>DeleteSymbolFromSM</v>
      </c>
      <c r="Z4" s="26" t="str">
        <f>IFERROR(__xludf.DUMMYFUNCTION("""COMPUTED_VALUE"""),"SetCompliancePermission")</f>
        <v>SetCompliancePermission</v>
      </c>
      <c r="AA4" s="26" t="str">
        <f>IFERROR(__xludf.DUMMYFUNCTION("""COMPUTED_VALUE"""),"UpdateRoundLot")</f>
        <v>UpdateRoundLot</v>
      </c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 Update")</f>
        <v>Symbol Update</v>
      </c>
      <c r="C5" s="28" t="str">
        <f>IFERROR(__xludf.DUMMYFUNCTION("""COMPUTED_VALUE"""),"RoundLot")</f>
        <v>RoundLot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1" t="s">
        <v>16</v>
      </c>
      <c r="C6" s="32">
        <v>40.0</v>
      </c>
      <c r="D6" s="13"/>
      <c r="E6" s="33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34" t="s">
        <v>17</v>
      </c>
      <c r="C7" s="35">
        <v>50.0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34" t="s">
        <v>18</v>
      </c>
      <c r="C8" s="35">
        <v>120.0</v>
      </c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34" t="s">
        <v>19</v>
      </c>
      <c r="C9" s="35">
        <v>23.0</v>
      </c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36">
        <v>1.23456789E8</v>
      </c>
      <c r="C10" s="35">
        <v>756.0</v>
      </c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37" t="s">
        <v>20</v>
      </c>
      <c r="C11" s="35">
        <v>12.0</v>
      </c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37" t="s">
        <v>21</v>
      </c>
      <c r="C12" s="35">
        <v>100.0</v>
      </c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UpdateRoundLot!$4:$4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1b5S4Xpp4fgZ1ez6cK92QFnVBylqz8jhwxdAyEvwDqUI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23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IFERROR(__xludf.DUMMYFUNCTION("""COMPUTED_VALUE"""),"TradeNewSub")</f>
        <v>TradeNewSub</v>
      </c>
      <c r="I4" s="25" t="str">
        <f>IFERROR(__xludf.DUMMYFUNCTION("""COMPUTED_VALUE"""),"CreateStageOrder")</f>
        <v>CreateStageOrder</v>
      </c>
      <c r="J4" s="25" t="str">
        <f>IFERROR(__xludf.DUMMYFUNCTION("""COMPUTED_VALUE"""),"CreateReplaceOrder")</f>
        <v>CreateReplaceOrder</v>
      </c>
      <c r="K4" s="25" t="str">
        <f>IFERROR(__xludf.DUMMYFUNCTION("""COMPUTED_VALUE"""),"SetGeneralPreference")</f>
        <v>SetGeneralPreference</v>
      </c>
      <c r="L4" s="25" t="str">
        <f>IFERROR(__xludf.DUMMYFUNCTION("""COMPUTED_VALUE"""),"CreateNewSubOrder")</f>
        <v>CreateNewSubOrder</v>
      </c>
      <c r="M4" s="25" t="str">
        <f>IFERROR(__xludf.DUMMYFUNCTION("""COMPUTED_VALUE"""),"TradeBloomberg")</f>
        <v>TradeBloomberg</v>
      </c>
      <c r="N4" s="25" t="str">
        <f>IFERROR(__xludf.DUMMYFUNCTION("""COMPUTED_VALUE"""),"ClickSymbolLookup")</f>
        <v>ClickSymbolLookup</v>
      </c>
      <c r="O4" s="25" t="str">
        <f>IFERROR(__xludf.DUMMYFUNCTION("""COMPUTED_VALUE"""),"VerifyTT")</f>
        <v>VerifyTT</v>
      </c>
      <c r="P4" s="26" t="str">
        <f>IFERROR(__xludf.DUMMYFUNCTION("""COMPUTED_VALUE"""),"CreateLiveOrder")</f>
        <v>CreateLiveOrder</v>
      </c>
      <c r="Q4" s="26" t="str">
        <f>IFERROR(__xludf.DUMMYFUNCTION("""COMPUTED_VALUE"""),"UpdateMasterFundOnTT")</f>
        <v>UpdateMasterFundOnTT</v>
      </c>
      <c r="R4" s="26" t="str">
        <f>IFERROR(__xludf.DUMMYFUNCTION("""COMPUTED_VALUE"""),"SetTTCompliancePreference")</f>
        <v>SetTTCompliancePreference</v>
      </c>
      <c r="S4" s="26" t="str">
        <f>IFERROR(__xludf.DUMMYFUNCTION("""COMPUTED_VALUE"""),"ImportSymbol")</f>
        <v>ImportSymbol</v>
      </c>
      <c r="T4" s="26" t="str">
        <f>IFERROR(__xludf.DUMMYFUNCTION("""COMPUTED_VALUE"""),"ExportSymbolFromRAList")</f>
        <v>ExportSymbolFromRAList</v>
      </c>
      <c r="U4" s="26" t="str">
        <f>IFERROR(__xludf.DUMMYFUNCTION("""COMPUTED_VALUE"""),"CheckPendingNewOrderAlert")</f>
        <v>CheckPendingNewOrderAlert</v>
      </c>
      <c r="V4" s="26" t="str">
        <f>IFERROR(__xludf.DUMMYFUNCTION("""COMPUTED_VALUE"""),"AddSymbolOnRAList")</f>
        <v>AddSymbolOnRAList</v>
      </c>
      <c r="W4" s="26" t="str">
        <f>IFERROR(__xludf.DUMMYFUNCTION("""COMPUTED_VALUE"""),"DeleteSymbolListFromRA")</f>
        <v>DeleteSymbolListFromRA</v>
      </c>
      <c r="X4" s="26" t="str">
        <f>IFERROR(__xludf.DUMMYFUNCTION("""COMPUTED_VALUE"""),"RemoveSymbolFromRAList")</f>
        <v>RemoveSymbolFromRAList</v>
      </c>
      <c r="Y4" s="26" t="str">
        <f>IFERROR(__xludf.DUMMYFUNCTION("""COMPUTED_VALUE"""),"ToggleBlombergOnRA")</f>
        <v>ToggleBlombergOnRA</v>
      </c>
      <c r="Z4" s="26" t="str">
        <f>IFERROR(__xludf.DUMMYFUNCTION("""COMPUTED_VALUE"""),"CreateDoneAwayOrder")</f>
        <v>CreateDoneAwayOrder</v>
      </c>
      <c r="AA4" s="26" t="str">
        <f>IFERROR(__xludf.DUMMYFUNCTION("""COMPUTED_VALUE"""),"AddOptionTrade")</f>
        <v>AddOptionTrade</v>
      </c>
      <c r="AB4" s="26" t="str">
        <f>IFERROR(__xludf.DUMMYFUNCTION("""COMPUTED_VALUE"""),"SendLiveBloomberg")</f>
        <v>SendLiveBloomberg</v>
      </c>
      <c r="AC4" s="26" t="str">
        <f>IFERROR(__xludf.DUMMYFUNCTION("""COMPUTED_VALUE"""),"ViewAllocation")</f>
        <v>ViewAllocation</v>
      </c>
      <c r="AD4" s="26" t="str">
        <f>IFERROR(__xludf.DUMMYFUNCTION("""COMPUTED_VALUE"""),"CreateReplaceLiveOrder")</f>
        <v>CreateReplaceLiveOrder</v>
      </c>
      <c r="AE4" s="26" t="str">
        <f>IFERROR(__xludf.DUMMYFUNCTION("""COMPUTED_VALUE"""),"CreateNewSubLiveOrder")</f>
        <v>CreateNewSubLiveOrder</v>
      </c>
      <c r="AF4" s="26" t="str">
        <f>IFERROR(__xludf.DUMMYFUNCTION("""COMPUTED_VALUE"""),"VerifyBasketExport")</f>
        <v>VerifyBasketExport</v>
      </c>
      <c r="AG4" s="26" t="str">
        <f>IFERROR(__xludf.DUMMYFUNCTION("""COMPUTED_VALUE"""),"CreateComplianceOrder")</f>
        <v>CreateComplianceOrder</v>
      </c>
      <c r="AH4" s="26" t="str">
        <f>IFERROR(__xludf.DUMMYFUNCTION("""COMPUTED_VALUE"""),"VerifyComplianceOrder")</f>
        <v>VerifyComplianceOrder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16</v>
      </c>
      <c r="C6" s="34" t="s">
        <v>24</v>
      </c>
      <c r="D6" s="36">
        <v>1000.0</v>
      </c>
      <c r="E6" s="34"/>
      <c r="F6" s="34" t="s">
        <v>25</v>
      </c>
      <c r="G6" s="34"/>
      <c r="H6" s="34"/>
      <c r="I6" s="34"/>
      <c r="J6" s="35">
        <v>2.0</v>
      </c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34"/>
      <c r="B7" s="34" t="s">
        <v>18</v>
      </c>
      <c r="C7" s="34" t="s">
        <v>24</v>
      </c>
      <c r="D7" s="35">
        <v>250.0</v>
      </c>
      <c r="E7" s="34"/>
      <c r="F7" s="34" t="s">
        <v>25</v>
      </c>
      <c r="G7" s="34"/>
      <c r="H7" s="34"/>
      <c r="I7" s="34"/>
      <c r="J7" s="35">
        <v>2.0</v>
      </c>
      <c r="K7" s="34"/>
      <c r="L7" s="34"/>
      <c r="M7" s="34"/>
      <c r="N7" s="34"/>
      <c r="O7" s="34"/>
      <c r="P7" s="34"/>
      <c r="Q7" s="34"/>
      <c r="R7" s="34"/>
      <c r="S7" s="34"/>
      <c r="T7" s="34"/>
      <c r="U7" s="34"/>
      <c r="V7" s="34"/>
      <c r="W7" s="34"/>
      <c r="X7" s="34"/>
      <c r="Y7" s="34"/>
      <c r="Z7" s="34"/>
      <c r="AA7" s="34"/>
      <c r="AB7" s="34"/>
      <c r="AC7" s="34"/>
      <c r="AD7" s="34"/>
      <c r="AE7" s="34"/>
      <c r="AF7" s="34"/>
      <c r="AG7" s="34"/>
      <c r="AH7" s="34"/>
      <c r="AI7" s="34"/>
      <c r="AJ7" s="34"/>
      <c r="AK7" s="34"/>
      <c r="AL7" s="34"/>
      <c r="AM7" s="34"/>
      <c r="AN7" s="34"/>
      <c r="AO7" s="34"/>
      <c r="AP7" s="34"/>
      <c r="AQ7" s="34"/>
      <c r="AR7" s="34"/>
      <c r="AS7" s="34"/>
      <c r="AT7" s="34"/>
      <c r="AU7" s="34"/>
      <c r="AV7" s="34"/>
      <c r="AW7" s="34"/>
      <c r="AX7" s="34"/>
      <c r="AY7" s="34"/>
      <c r="AZ7" s="34"/>
      <c r="BA7" s="34"/>
      <c r="BB7" s="34"/>
      <c r="BC7" s="34"/>
      <c r="BD7" s="34"/>
      <c r="BE7" s="34"/>
      <c r="BF7" s="34"/>
      <c r="BG7" s="34"/>
      <c r="BH7" s="34"/>
      <c r="BI7" s="34"/>
      <c r="BJ7" s="34"/>
      <c r="BK7" s="34"/>
      <c r="BL7" s="34"/>
      <c r="BM7" s="34"/>
      <c r="BN7" s="34"/>
      <c r="BO7" s="34"/>
      <c r="BP7" s="34"/>
      <c r="BQ7" s="34"/>
      <c r="BR7" s="34"/>
      <c r="BS7" s="34"/>
      <c r="BT7" s="34"/>
      <c r="BU7" s="34"/>
      <c r="BV7" s="34"/>
      <c r="BW7" s="34"/>
      <c r="BX7" s="34"/>
      <c r="BY7" s="34"/>
      <c r="BZ7" s="34"/>
      <c r="CA7" s="34"/>
      <c r="CB7" s="34"/>
      <c r="CC7" s="34"/>
      <c r="CD7" s="34"/>
      <c r="CE7" s="34"/>
      <c r="CF7" s="34"/>
      <c r="CG7" s="34"/>
      <c r="CH7" s="34"/>
      <c r="CI7" s="34"/>
      <c r="CJ7" s="34"/>
      <c r="CK7" s="34"/>
      <c r="CL7" s="34"/>
      <c r="CM7" s="34"/>
      <c r="CN7" s="34"/>
      <c r="CO7" s="34"/>
      <c r="CP7" s="34"/>
      <c r="CQ7" s="34"/>
      <c r="CR7" s="34"/>
      <c r="CS7" s="34"/>
      <c r="CT7" s="34"/>
      <c r="CU7" s="34"/>
      <c r="CV7" s="34"/>
      <c r="CW7" s="34"/>
      <c r="CX7" s="34"/>
      <c r="CY7" s="34"/>
      <c r="CZ7" s="34"/>
      <c r="DA7" s="34"/>
      <c r="DB7" s="34"/>
      <c r="DC7" s="34"/>
      <c r="DD7" s="34"/>
      <c r="DE7" s="34"/>
      <c r="DF7" s="34"/>
      <c r="DG7" s="34"/>
      <c r="DH7" s="34"/>
      <c r="DI7" s="34"/>
      <c r="DJ7" s="34"/>
      <c r="DK7" s="34"/>
      <c r="DL7" s="34"/>
      <c r="DM7" s="34"/>
      <c r="DN7" s="34"/>
      <c r="DO7" s="34"/>
      <c r="DP7" s="34"/>
      <c r="DQ7" s="34"/>
      <c r="DR7" s="34"/>
      <c r="DS7" s="34"/>
      <c r="DT7" s="34"/>
      <c r="DU7" s="34"/>
      <c r="DV7" s="34"/>
      <c r="DW7" s="34"/>
      <c r="DX7" s="34"/>
      <c r="DY7" s="34"/>
      <c r="DZ7" s="34"/>
      <c r="EA7" s="34"/>
      <c r="EB7" s="34"/>
      <c r="EC7" s="34"/>
      <c r="ED7" s="34"/>
      <c r="EE7" s="34"/>
      <c r="EF7" s="34"/>
      <c r="EG7" s="34"/>
      <c r="EH7" s="34"/>
      <c r="EI7" s="34"/>
      <c r="EJ7" s="34"/>
      <c r="EK7" s="34"/>
      <c r="EL7" s="34"/>
      <c r="EM7" s="34"/>
      <c r="EN7" s="34"/>
      <c r="EO7" s="34"/>
      <c r="EP7" s="34"/>
      <c r="EQ7" s="34"/>
      <c r="ER7" s="34"/>
      <c r="ES7" s="34"/>
      <c r="ET7" s="34"/>
      <c r="EU7" s="34"/>
      <c r="EV7" s="34"/>
      <c r="EW7" s="34"/>
      <c r="EX7" s="34"/>
    </row>
    <row r="8" ht="15.75" customHeight="1">
      <c r="A8" s="34"/>
      <c r="B8" s="34" t="s">
        <v>17</v>
      </c>
      <c r="C8" s="34" t="s">
        <v>24</v>
      </c>
      <c r="D8" s="35">
        <v>1550.0</v>
      </c>
      <c r="E8" s="34"/>
      <c r="F8" s="34" t="s">
        <v>25</v>
      </c>
      <c r="G8" s="34"/>
      <c r="H8" s="34"/>
      <c r="I8" s="34"/>
      <c r="J8" s="35">
        <v>2.0</v>
      </c>
      <c r="K8" s="34"/>
      <c r="L8" s="34"/>
      <c r="M8" s="34"/>
      <c r="N8" s="34"/>
      <c r="O8" s="34"/>
      <c r="P8" s="34"/>
      <c r="Q8" s="34"/>
      <c r="R8" s="34"/>
      <c r="S8" s="34"/>
      <c r="T8" s="34"/>
      <c r="U8" s="34"/>
      <c r="V8" s="34"/>
      <c r="W8" s="34"/>
      <c r="X8" s="34"/>
      <c r="Y8" s="34"/>
      <c r="Z8" s="34"/>
      <c r="AA8" s="34"/>
      <c r="AB8" s="34"/>
      <c r="AC8" s="34"/>
      <c r="AD8" s="34"/>
      <c r="AE8" s="34"/>
      <c r="AF8" s="34"/>
      <c r="AG8" s="34"/>
      <c r="AH8" s="34"/>
      <c r="AI8" s="34"/>
      <c r="AJ8" s="34"/>
      <c r="AK8" s="34"/>
      <c r="AL8" s="34"/>
      <c r="AM8" s="34"/>
      <c r="AN8" s="34"/>
      <c r="AO8" s="34"/>
      <c r="AP8" s="34"/>
      <c r="AQ8" s="34"/>
      <c r="AR8" s="34"/>
      <c r="AS8" s="34"/>
      <c r="AT8" s="34"/>
      <c r="AU8" s="34"/>
      <c r="AV8" s="34"/>
      <c r="AW8" s="34"/>
      <c r="AX8" s="34"/>
      <c r="AY8" s="34"/>
      <c r="AZ8" s="34"/>
      <c r="BA8" s="34"/>
      <c r="BB8" s="34"/>
      <c r="BC8" s="34"/>
      <c r="BD8" s="34"/>
      <c r="BE8" s="34"/>
      <c r="BF8" s="34"/>
      <c r="BG8" s="34"/>
      <c r="BH8" s="34"/>
      <c r="BI8" s="34"/>
      <c r="BJ8" s="34"/>
      <c r="BK8" s="34"/>
      <c r="BL8" s="34"/>
      <c r="BM8" s="34"/>
      <c r="BN8" s="34"/>
      <c r="BO8" s="34"/>
      <c r="BP8" s="34"/>
      <c r="BQ8" s="34"/>
      <c r="BR8" s="34"/>
      <c r="BS8" s="34"/>
      <c r="BT8" s="34"/>
      <c r="BU8" s="34"/>
      <c r="BV8" s="34"/>
      <c r="BW8" s="34"/>
      <c r="BX8" s="34"/>
      <c r="BY8" s="34"/>
      <c r="BZ8" s="34"/>
      <c r="CA8" s="34"/>
      <c r="CB8" s="34"/>
      <c r="CC8" s="34"/>
      <c r="CD8" s="34"/>
      <c r="CE8" s="34"/>
      <c r="CF8" s="34"/>
      <c r="CG8" s="34"/>
      <c r="CH8" s="34"/>
      <c r="CI8" s="34"/>
      <c r="CJ8" s="34"/>
      <c r="CK8" s="34"/>
      <c r="CL8" s="34"/>
      <c r="CM8" s="34"/>
      <c r="CN8" s="34"/>
      <c r="CO8" s="34"/>
      <c r="CP8" s="34"/>
      <c r="CQ8" s="34"/>
      <c r="CR8" s="34"/>
      <c r="CS8" s="34"/>
      <c r="CT8" s="34"/>
      <c r="CU8" s="34"/>
      <c r="CV8" s="34"/>
      <c r="CW8" s="34"/>
      <c r="CX8" s="34"/>
      <c r="CY8" s="34"/>
      <c r="CZ8" s="34"/>
      <c r="DA8" s="34"/>
      <c r="DB8" s="34"/>
      <c r="DC8" s="34"/>
      <c r="DD8" s="34"/>
      <c r="DE8" s="34"/>
      <c r="DF8" s="34"/>
      <c r="DG8" s="34"/>
      <c r="DH8" s="34"/>
      <c r="DI8" s="34"/>
      <c r="DJ8" s="34"/>
      <c r="DK8" s="34"/>
      <c r="DL8" s="34"/>
      <c r="DM8" s="34"/>
      <c r="DN8" s="34"/>
      <c r="DO8" s="34"/>
      <c r="DP8" s="34"/>
      <c r="DQ8" s="34"/>
      <c r="DR8" s="34"/>
      <c r="DS8" s="34"/>
      <c r="DT8" s="34"/>
      <c r="DU8" s="34"/>
      <c r="DV8" s="34"/>
      <c r="DW8" s="34"/>
      <c r="DX8" s="34"/>
      <c r="DY8" s="34"/>
      <c r="DZ8" s="34"/>
      <c r="EA8" s="34"/>
      <c r="EB8" s="34"/>
      <c r="EC8" s="34"/>
      <c r="ED8" s="34"/>
      <c r="EE8" s="34"/>
      <c r="EF8" s="34"/>
      <c r="EG8" s="34"/>
      <c r="EH8" s="34"/>
      <c r="EI8" s="34"/>
      <c r="EJ8" s="34"/>
      <c r="EK8" s="34"/>
      <c r="EL8" s="34"/>
      <c r="EM8" s="34"/>
      <c r="EN8" s="34"/>
      <c r="EO8" s="34"/>
      <c r="EP8" s="34"/>
      <c r="EQ8" s="34"/>
      <c r="ER8" s="34"/>
      <c r="ES8" s="34"/>
      <c r="ET8" s="34"/>
      <c r="EU8" s="34"/>
      <c r="EV8" s="34"/>
      <c r="EW8" s="34"/>
      <c r="EX8" s="34"/>
    </row>
    <row r="9" ht="15.75" customHeight="1">
      <c r="A9" s="34"/>
      <c r="B9" s="36">
        <v>1.23456789E8</v>
      </c>
      <c r="C9" s="34" t="s">
        <v>24</v>
      </c>
      <c r="D9" s="35">
        <v>2750.0</v>
      </c>
      <c r="E9" s="34"/>
      <c r="F9" s="34" t="s">
        <v>25</v>
      </c>
      <c r="G9" s="34"/>
      <c r="H9" s="34"/>
      <c r="I9" s="34"/>
      <c r="J9" s="35">
        <v>2.0</v>
      </c>
      <c r="K9" s="34"/>
      <c r="L9" s="34"/>
      <c r="M9" s="34"/>
      <c r="N9" s="34"/>
      <c r="O9" s="34"/>
      <c r="P9" s="34"/>
      <c r="Q9" s="34"/>
      <c r="R9" s="34"/>
      <c r="S9" s="34"/>
      <c r="T9" s="34"/>
      <c r="U9" s="34"/>
      <c r="V9" s="34"/>
      <c r="W9" s="34"/>
      <c r="X9" s="34"/>
      <c r="Y9" s="34"/>
      <c r="Z9" s="34"/>
      <c r="AA9" s="34"/>
      <c r="AB9" s="34"/>
      <c r="AC9" s="34"/>
      <c r="AD9" s="34"/>
      <c r="AE9" s="34"/>
      <c r="AF9" s="34"/>
      <c r="AG9" s="34"/>
      <c r="AH9" s="34"/>
      <c r="AI9" s="34"/>
      <c r="AJ9" s="34"/>
      <c r="AK9" s="34"/>
      <c r="AL9" s="34"/>
      <c r="AM9" s="34"/>
      <c r="AN9" s="34"/>
      <c r="AO9" s="34"/>
      <c r="AP9" s="34"/>
      <c r="AQ9" s="34"/>
      <c r="AR9" s="34"/>
      <c r="AS9" s="34"/>
      <c r="AT9" s="34"/>
      <c r="AU9" s="34"/>
      <c r="AV9" s="34"/>
      <c r="AW9" s="34"/>
      <c r="AX9" s="34"/>
      <c r="AY9" s="34"/>
      <c r="AZ9" s="34"/>
      <c r="BA9" s="34"/>
      <c r="BB9" s="34"/>
      <c r="BC9" s="34"/>
      <c r="BD9" s="34"/>
      <c r="BE9" s="34"/>
      <c r="BF9" s="34"/>
      <c r="BG9" s="34"/>
      <c r="BH9" s="34"/>
      <c r="BI9" s="34"/>
      <c r="BJ9" s="34"/>
      <c r="BK9" s="34"/>
      <c r="BL9" s="34"/>
      <c r="BM9" s="34"/>
      <c r="BN9" s="34"/>
      <c r="BO9" s="34"/>
      <c r="BP9" s="34"/>
      <c r="BQ9" s="34"/>
      <c r="BR9" s="34"/>
      <c r="BS9" s="34"/>
      <c r="BT9" s="34"/>
      <c r="BU9" s="34"/>
      <c r="BV9" s="34"/>
      <c r="BW9" s="34"/>
      <c r="BX9" s="34"/>
      <c r="BY9" s="34"/>
      <c r="BZ9" s="34"/>
      <c r="CA9" s="34"/>
      <c r="CB9" s="34"/>
      <c r="CC9" s="34"/>
      <c r="CD9" s="34"/>
      <c r="CE9" s="34"/>
      <c r="CF9" s="34"/>
      <c r="CG9" s="34"/>
      <c r="CH9" s="34"/>
      <c r="CI9" s="34"/>
      <c r="CJ9" s="34"/>
      <c r="CK9" s="34"/>
      <c r="CL9" s="34"/>
      <c r="CM9" s="34"/>
      <c r="CN9" s="34"/>
      <c r="CO9" s="34"/>
      <c r="CP9" s="34"/>
      <c r="CQ9" s="34"/>
      <c r="CR9" s="34"/>
      <c r="CS9" s="34"/>
      <c r="CT9" s="34"/>
      <c r="CU9" s="34"/>
      <c r="CV9" s="34"/>
      <c r="CW9" s="34"/>
      <c r="CX9" s="34"/>
      <c r="CY9" s="34"/>
      <c r="CZ9" s="34"/>
      <c r="DA9" s="34"/>
      <c r="DB9" s="34"/>
      <c r="DC9" s="34"/>
      <c r="DD9" s="34"/>
      <c r="DE9" s="34"/>
      <c r="DF9" s="34"/>
      <c r="DG9" s="34"/>
      <c r="DH9" s="34"/>
      <c r="DI9" s="34"/>
      <c r="DJ9" s="34"/>
      <c r="DK9" s="34"/>
      <c r="DL9" s="34"/>
      <c r="DM9" s="34"/>
      <c r="DN9" s="34"/>
      <c r="DO9" s="34"/>
      <c r="DP9" s="34"/>
      <c r="DQ9" s="34"/>
      <c r="DR9" s="34"/>
      <c r="DS9" s="34"/>
      <c r="DT9" s="34"/>
      <c r="DU9" s="34"/>
      <c r="DV9" s="34"/>
      <c r="DW9" s="34"/>
      <c r="DX9" s="34"/>
      <c r="DY9" s="34"/>
      <c r="DZ9" s="34"/>
      <c r="EA9" s="34"/>
      <c r="EB9" s="34"/>
      <c r="EC9" s="34"/>
      <c r="ED9" s="34"/>
      <c r="EE9" s="34"/>
      <c r="EF9" s="34"/>
      <c r="EG9" s="34"/>
      <c r="EH9" s="34"/>
      <c r="EI9" s="34"/>
      <c r="EJ9" s="34"/>
      <c r="EK9" s="34"/>
      <c r="EL9" s="34"/>
      <c r="EM9" s="34"/>
      <c r="EN9" s="34"/>
      <c r="EO9" s="34"/>
      <c r="EP9" s="34"/>
      <c r="EQ9" s="34"/>
      <c r="ER9" s="34"/>
      <c r="ES9" s="34"/>
      <c r="ET9" s="34"/>
      <c r="EU9" s="34"/>
      <c r="EV9" s="34"/>
      <c r="EW9" s="34"/>
      <c r="EX9" s="34"/>
    </row>
    <row r="10" ht="15.75" customHeight="1">
      <c r="A10" s="34"/>
      <c r="B10" s="34" t="s">
        <v>20</v>
      </c>
      <c r="C10" s="34" t="s">
        <v>24</v>
      </c>
      <c r="D10" s="35">
        <v>465.0</v>
      </c>
      <c r="E10" s="34"/>
      <c r="F10" s="34" t="s">
        <v>25</v>
      </c>
      <c r="G10" s="34"/>
      <c r="H10" s="34"/>
      <c r="I10" s="34"/>
      <c r="J10" s="35">
        <v>2.0</v>
      </c>
      <c r="K10" s="34"/>
      <c r="L10" s="34"/>
      <c r="M10" s="34"/>
      <c r="N10" s="34"/>
      <c r="O10" s="34"/>
      <c r="P10" s="34"/>
      <c r="Q10" s="34"/>
      <c r="R10" s="34"/>
      <c r="S10" s="34"/>
      <c r="T10" s="34"/>
      <c r="U10" s="34"/>
      <c r="V10" s="34"/>
      <c r="W10" s="34"/>
      <c r="X10" s="34"/>
      <c r="Y10" s="34"/>
      <c r="Z10" s="34"/>
      <c r="AA10" s="34"/>
      <c r="AB10" s="34"/>
      <c r="AC10" s="34"/>
      <c r="AD10" s="34"/>
      <c r="AE10" s="34"/>
      <c r="AF10" s="34"/>
      <c r="AG10" s="34"/>
      <c r="AH10" s="34"/>
      <c r="AI10" s="34"/>
      <c r="AJ10" s="34"/>
      <c r="AK10" s="34"/>
      <c r="AL10" s="34"/>
      <c r="AM10" s="34"/>
      <c r="AN10" s="34"/>
      <c r="AO10" s="34"/>
      <c r="AP10" s="34"/>
      <c r="AQ10" s="34"/>
      <c r="AR10" s="34"/>
      <c r="AS10" s="34"/>
      <c r="AT10" s="34"/>
      <c r="AU10" s="34"/>
      <c r="AV10" s="34"/>
      <c r="AW10" s="34"/>
      <c r="AX10" s="34"/>
      <c r="AY10" s="34"/>
      <c r="AZ10" s="34"/>
      <c r="BA10" s="34"/>
      <c r="BB10" s="34"/>
      <c r="BC10" s="34"/>
      <c r="BD10" s="34"/>
      <c r="BE10" s="34"/>
      <c r="BF10" s="34"/>
      <c r="BG10" s="34"/>
      <c r="BH10" s="34"/>
      <c r="BI10" s="34"/>
      <c r="BJ10" s="34"/>
      <c r="BK10" s="34"/>
      <c r="BL10" s="34"/>
      <c r="BM10" s="34"/>
      <c r="BN10" s="34"/>
      <c r="BO10" s="34"/>
      <c r="BP10" s="34"/>
      <c r="BQ10" s="34"/>
      <c r="BR10" s="34"/>
      <c r="BS10" s="34"/>
      <c r="BT10" s="34"/>
      <c r="BU10" s="34"/>
      <c r="BV10" s="34"/>
      <c r="BW10" s="34"/>
      <c r="BX10" s="34"/>
      <c r="BY10" s="34"/>
      <c r="BZ10" s="34"/>
      <c r="CA10" s="34"/>
      <c r="CB10" s="34"/>
      <c r="CC10" s="34"/>
      <c r="CD10" s="34"/>
      <c r="CE10" s="34"/>
      <c r="CF10" s="34"/>
      <c r="CG10" s="34"/>
      <c r="CH10" s="34"/>
      <c r="CI10" s="34"/>
      <c r="CJ10" s="34"/>
      <c r="CK10" s="34"/>
      <c r="CL10" s="34"/>
      <c r="CM10" s="34"/>
      <c r="CN10" s="34"/>
      <c r="CO10" s="34"/>
      <c r="CP10" s="34"/>
      <c r="CQ10" s="34"/>
      <c r="CR10" s="34"/>
      <c r="CS10" s="34"/>
      <c r="CT10" s="34"/>
      <c r="CU10" s="34"/>
      <c r="CV10" s="34"/>
      <c r="CW10" s="34"/>
      <c r="CX10" s="34"/>
      <c r="CY10" s="34"/>
      <c r="CZ10" s="34"/>
      <c r="DA10" s="34"/>
      <c r="DB10" s="34"/>
      <c r="DC10" s="34"/>
      <c r="DD10" s="34"/>
      <c r="DE10" s="34"/>
      <c r="DF10" s="34"/>
      <c r="DG10" s="34"/>
      <c r="DH10" s="34"/>
      <c r="DI10" s="34"/>
      <c r="DJ10" s="34"/>
      <c r="DK10" s="34"/>
      <c r="DL10" s="34"/>
      <c r="DM10" s="34"/>
      <c r="DN10" s="34"/>
      <c r="DO10" s="34"/>
      <c r="DP10" s="34"/>
      <c r="DQ10" s="34"/>
      <c r="DR10" s="34"/>
      <c r="DS10" s="34"/>
      <c r="DT10" s="34"/>
      <c r="DU10" s="34"/>
      <c r="DV10" s="34"/>
      <c r="DW10" s="34"/>
      <c r="DX10" s="34"/>
      <c r="DY10" s="34"/>
      <c r="DZ10" s="34"/>
      <c r="EA10" s="34"/>
      <c r="EB10" s="34"/>
      <c r="EC10" s="34"/>
      <c r="ED10" s="34"/>
      <c r="EE10" s="34"/>
      <c r="EF10" s="34"/>
      <c r="EG10" s="34"/>
      <c r="EH10" s="34"/>
      <c r="EI10" s="34"/>
      <c r="EJ10" s="34"/>
      <c r="EK10" s="34"/>
      <c r="EL10" s="34"/>
      <c r="EM10" s="34"/>
      <c r="EN10" s="34"/>
      <c r="EO10" s="34"/>
      <c r="EP10" s="34"/>
      <c r="EQ10" s="34"/>
      <c r="ER10" s="34"/>
      <c r="ES10" s="34"/>
      <c r="ET10" s="34"/>
      <c r="EU10" s="34"/>
      <c r="EV10" s="34"/>
      <c r="EW10" s="34"/>
      <c r="EX10" s="34"/>
    </row>
    <row r="11" ht="15.75" customHeight="1">
      <c r="A11" s="34"/>
      <c r="B11" s="34" t="s">
        <v>19</v>
      </c>
      <c r="C11" s="34" t="s">
        <v>24</v>
      </c>
      <c r="D11" s="35">
        <v>80.0</v>
      </c>
      <c r="E11" s="34"/>
      <c r="F11" s="34" t="s">
        <v>25</v>
      </c>
      <c r="G11" s="34"/>
      <c r="H11" s="34"/>
      <c r="I11" s="34"/>
      <c r="J11" s="35">
        <v>2.0</v>
      </c>
      <c r="K11" s="34"/>
      <c r="L11" s="34"/>
      <c r="M11" s="34"/>
      <c r="N11" s="34"/>
      <c r="O11" s="34"/>
      <c r="P11" s="34"/>
      <c r="Q11" s="34"/>
      <c r="R11" s="34"/>
      <c r="S11" s="34"/>
      <c r="T11" s="34"/>
      <c r="U11" s="34"/>
      <c r="V11" s="34"/>
      <c r="W11" s="34"/>
      <c r="X11" s="34"/>
      <c r="Y11" s="34"/>
      <c r="Z11" s="34"/>
      <c r="AA11" s="34"/>
      <c r="AB11" s="34"/>
      <c r="AC11" s="34"/>
      <c r="AD11" s="34"/>
      <c r="AE11" s="34"/>
      <c r="AF11" s="34"/>
      <c r="AG11" s="34"/>
      <c r="AH11" s="34"/>
      <c r="AI11" s="34"/>
      <c r="AJ11" s="34"/>
      <c r="AK11" s="34"/>
      <c r="AL11" s="34"/>
      <c r="AM11" s="34"/>
      <c r="AN11" s="34"/>
      <c r="AO11" s="34"/>
      <c r="AP11" s="34"/>
      <c r="AQ11" s="34"/>
      <c r="AR11" s="34"/>
      <c r="AS11" s="34"/>
      <c r="AT11" s="34"/>
      <c r="AU11" s="34"/>
      <c r="AV11" s="34"/>
      <c r="AW11" s="34"/>
      <c r="AX11" s="34"/>
      <c r="AY11" s="34"/>
      <c r="AZ11" s="34"/>
      <c r="BA11" s="34"/>
      <c r="BB11" s="34"/>
      <c r="BC11" s="34"/>
      <c r="BD11" s="34"/>
      <c r="BE11" s="34"/>
      <c r="BF11" s="34"/>
      <c r="BG11" s="34"/>
      <c r="BH11" s="34"/>
      <c r="BI11" s="34"/>
      <c r="BJ11" s="34"/>
      <c r="BK11" s="34"/>
      <c r="BL11" s="34"/>
      <c r="BM11" s="34"/>
      <c r="BN11" s="34"/>
      <c r="BO11" s="34"/>
      <c r="BP11" s="34"/>
      <c r="BQ11" s="34"/>
      <c r="BR11" s="34"/>
      <c r="BS11" s="34"/>
      <c r="BT11" s="34"/>
      <c r="BU11" s="34"/>
      <c r="BV11" s="34"/>
      <c r="BW11" s="34"/>
      <c r="BX11" s="34"/>
      <c r="BY11" s="34"/>
      <c r="BZ11" s="34"/>
      <c r="CA11" s="34"/>
      <c r="CB11" s="34"/>
      <c r="CC11" s="34"/>
      <c r="CD11" s="34"/>
      <c r="CE11" s="34"/>
      <c r="CF11" s="34"/>
      <c r="CG11" s="34"/>
      <c r="CH11" s="34"/>
      <c r="CI11" s="34"/>
      <c r="CJ11" s="34"/>
      <c r="CK11" s="34"/>
      <c r="CL11" s="34"/>
      <c r="CM11" s="34"/>
      <c r="CN11" s="34"/>
      <c r="CO11" s="34"/>
      <c r="CP11" s="34"/>
      <c r="CQ11" s="34"/>
      <c r="CR11" s="34"/>
      <c r="CS11" s="34"/>
      <c r="CT11" s="34"/>
      <c r="CU11" s="34"/>
      <c r="CV11" s="34"/>
      <c r="CW11" s="34"/>
      <c r="CX11" s="34"/>
      <c r="CY11" s="34"/>
      <c r="CZ11" s="34"/>
      <c r="DA11" s="34"/>
      <c r="DB11" s="34"/>
      <c r="DC11" s="34"/>
      <c r="DD11" s="34"/>
      <c r="DE11" s="34"/>
      <c r="DF11" s="34"/>
      <c r="DG11" s="34"/>
      <c r="DH11" s="34"/>
      <c r="DI11" s="34"/>
      <c r="DJ11" s="34"/>
      <c r="DK11" s="34"/>
      <c r="DL11" s="34"/>
      <c r="DM11" s="34"/>
      <c r="DN11" s="34"/>
      <c r="DO11" s="34"/>
      <c r="DP11" s="34"/>
      <c r="DQ11" s="34"/>
      <c r="DR11" s="34"/>
      <c r="DS11" s="34"/>
      <c r="DT11" s="34"/>
      <c r="DU11" s="34"/>
      <c r="DV11" s="34"/>
      <c r="DW11" s="34"/>
      <c r="DX11" s="34"/>
      <c r="DY11" s="34"/>
      <c r="DZ11" s="34"/>
      <c r="EA11" s="34"/>
      <c r="EB11" s="34"/>
      <c r="EC11" s="34"/>
      <c r="ED11" s="34"/>
      <c r="EE11" s="34"/>
      <c r="EF11" s="34"/>
      <c r="EG11" s="34"/>
      <c r="EH11" s="34"/>
      <c r="EI11" s="34"/>
      <c r="EJ11" s="34"/>
      <c r="EK11" s="34"/>
      <c r="EL11" s="34"/>
      <c r="EM11" s="34"/>
      <c r="EN11" s="34"/>
      <c r="EO11" s="34"/>
      <c r="EP11" s="34"/>
      <c r="EQ11" s="34"/>
      <c r="ER11" s="34"/>
      <c r="ES11" s="34"/>
      <c r="ET11" s="34"/>
      <c r="EU11" s="34"/>
      <c r="EV11" s="34"/>
      <c r="EW11" s="34"/>
      <c r="EX11" s="34"/>
    </row>
    <row r="12" ht="15.75" customHeight="1">
      <c r="A12" s="34"/>
      <c r="B12" s="34" t="s">
        <v>16</v>
      </c>
      <c r="C12" s="34" t="s">
        <v>24</v>
      </c>
      <c r="D12" s="35">
        <v>1000.0</v>
      </c>
      <c r="E12" s="34"/>
      <c r="F12" s="34" t="s">
        <v>26</v>
      </c>
      <c r="G12" s="34"/>
      <c r="H12" s="34"/>
      <c r="I12" s="34"/>
      <c r="J12" s="35">
        <v>2.0</v>
      </c>
      <c r="K12" s="34"/>
      <c r="L12" s="34"/>
      <c r="M12" s="34"/>
      <c r="N12" s="34"/>
      <c r="O12" s="34"/>
      <c r="P12" s="34"/>
      <c r="Q12" s="34"/>
      <c r="R12" s="34"/>
      <c r="S12" s="34"/>
      <c r="T12" s="34"/>
      <c r="U12" s="34"/>
      <c r="V12" s="34"/>
      <c r="W12" s="34"/>
      <c r="X12" s="34"/>
      <c r="Y12" s="34"/>
      <c r="Z12" s="34"/>
      <c r="AA12" s="34"/>
      <c r="AB12" s="34"/>
      <c r="AC12" s="34"/>
      <c r="AD12" s="34"/>
      <c r="AE12" s="34"/>
      <c r="AF12" s="34"/>
      <c r="AG12" s="34"/>
      <c r="AH12" s="34"/>
      <c r="AI12" s="34"/>
      <c r="AJ12" s="34"/>
      <c r="AK12" s="34"/>
      <c r="AL12" s="34"/>
      <c r="AM12" s="34"/>
      <c r="AN12" s="34"/>
      <c r="AO12" s="34"/>
      <c r="AP12" s="34"/>
      <c r="AQ12" s="34"/>
      <c r="AR12" s="34"/>
      <c r="AS12" s="34"/>
      <c r="AT12" s="34"/>
      <c r="AU12" s="34"/>
      <c r="AV12" s="34"/>
      <c r="AW12" s="34"/>
      <c r="AX12" s="34"/>
      <c r="AY12" s="34"/>
      <c r="AZ12" s="34"/>
      <c r="BA12" s="34"/>
      <c r="BB12" s="34"/>
      <c r="BC12" s="34"/>
      <c r="BD12" s="34"/>
      <c r="BE12" s="34"/>
      <c r="BF12" s="34"/>
      <c r="BG12" s="34"/>
      <c r="BH12" s="34"/>
      <c r="BI12" s="34"/>
      <c r="BJ12" s="34"/>
      <c r="BK12" s="34"/>
      <c r="BL12" s="34"/>
      <c r="BM12" s="34"/>
      <c r="BN12" s="34"/>
      <c r="BO12" s="34"/>
      <c r="BP12" s="34"/>
      <c r="BQ12" s="34"/>
      <c r="BR12" s="34"/>
      <c r="BS12" s="34"/>
      <c r="BT12" s="34"/>
      <c r="BU12" s="34"/>
      <c r="BV12" s="34"/>
      <c r="BW12" s="34"/>
      <c r="BX12" s="34"/>
      <c r="BY12" s="34"/>
      <c r="BZ12" s="34"/>
      <c r="CA12" s="34"/>
      <c r="CB12" s="34"/>
      <c r="CC12" s="34"/>
      <c r="CD12" s="34"/>
      <c r="CE12" s="34"/>
      <c r="CF12" s="34"/>
      <c r="CG12" s="34"/>
      <c r="CH12" s="34"/>
      <c r="CI12" s="34"/>
      <c r="CJ12" s="34"/>
      <c r="CK12" s="34"/>
      <c r="CL12" s="34"/>
      <c r="CM12" s="34"/>
      <c r="CN12" s="34"/>
      <c r="CO12" s="34"/>
      <c r="CP12" s="34"/>
      <c r="CQ12" s="34"/>
      <c r="CR12" s="34"/>
      <c r="CS12" s="34"/>
      <c r="CT12" s="34"/>
      <c r="CU12" s="34"/>
      <c r="CV12" s="34"/>
      <c r="CW12" s="34"/>
      <c r="CX12" s="34"/>
      <c r="CY12" s="34"/>
      <c r="CZ12" s="34"/>
      <c r="DA12" s="34"/>
      <c r="DB12" s="34"/>
      <c r="DC12" s="34"/>
      <c r="DD12" s="34"/>
      <c r="DE12" s="34"/>
      <c r="DF12" s="34"/>
      <c r="DG12" s="34"/>
      <c r="DH12" s="34"/>
      <c r="DI12" s="34"/>
      <c r="DJ12" s="34"/>
      <c r="DK12" s="34"/>
      <c r="DL12" s="34"/>
      <c r="DM12" s="34"/>
      <c r="DN12" s="34"/>
      <c r="DO12" s="34"/>
      <c r="DP12" s="34"/>
      <c r="DQ12" s="34"/>
      <c r="DR12" s="34"/>
      <c r="DS12" s="34"/>
      <c r="DT12" s="34"/>
      <c r="DU12" s="34"/>
      <c r="DV12" s="34"/>
      <c r="DW12" s="34"/>
      <c r="DX12" s="34"/>
      <c r="DY12" s="34"/>
      <c r="DZ12" s="34"/>
      <c r="EA12" s="34"/>
      <c r="EB12" s="34"/>
      <c r="EC12" s="34"/>
      <c r="ED12" s="34"/>
      <c r="EE12" s="34"/>
      <c r="EF12" s="34"/>
      <c r="EG12" s="34"/>
      <c r="EH12" s="34"/>
      <c r="EI12" s="34"/>
      <c r="EJ12" s="34"/>
      <c r="EK12" s="34"/>
      <c r="EL12" s="34"/>
      <c r="EM12" s="34"/>
      <c r="EN12" s="34"/>
      <c r="EO12" s="34"/>
      <c r="EP12" s="34"/>
      <c r="EQ12" s="34"/>
      <c r="ER12" s="34"/>
      <c r="ES12" s="34"/>
      <c r="ET12" s="34"/>
      <c r="EU12" s="34"/>
      <c r="EV12" s="34"/>
      <c r="EW12" s="34"/>
      <c r="EX12" s="34"/>
    </row>
    <row r="13" ht="15.75" customHeight="1">
      <c r="A13" s="34"/>
      <c r="B13" s="34" t="s">
        <v>18</v>
      </c>
      <c r="C13" s="34" t="s">
        <v>24</v>
      </c>
      <c r="D13" s="35">
        <v>250.0</v>
      </c>
      <c r="E13" s="34"/>
      <c r="F13" s="34" t="s">
        <v>26</v>
      </c>
      <c r="G13" s="34"/>
      <c r="H13" s="34"/>
      <c r="I13" s="34"/>
      <c r="J13" s="35">
        <v>2.0</v>
      </c>
      <c r="K13" s="34"/>
      <c r="L13" s="34"/>
      <c r="M13" s="34"/>
      <c r="N13" s="34"/>
      <c r="O13" s="34"/>
      <c r="P13" s="34"/>
      <c r="Q13" s="34"/>
      <c r="R13" s="34"/>
      <c r="S13" s="34"/>
      <c r="T13" s="34"/>
      <c r="U13" s="34"/>
      <c r="V13" s="34"/>
      <c r="W13" s="34"/>
      <c r="X13" s="34"/>
      <c r="Y13" s="34"/>
      <c r="Z13" s="34"/>
      <c r="AA13" s="34"/>
      <c r="AB13" s="34"/>
      <c r="AC13" s="34"/>
      <c r="AD13" s="34"/>
      <c r="AE13" s="34"/>
      <c r="AF13" s="34"/>
      <c r="AG13" s="34"/>
      <c r="AH13" s="34"/>
      <c r="AI13" s="34"/>
      <c r="AJ13" s="34"/>
      <c r="AK13" s="34"/>
      <c r="AL13" s="34"/>
      <c r="AM13" s="34"/>
      <c r="AN13" s="34"/>
      <c r="AO13" s="34"/>
      <c r="AP13" s="34"/>
      <c r="AQ13" s="34"/>
      <c r="AR13" s="34"/>
      <c r="AS13" s="34"/>
      <c r="AT13" s="34"/>
      <c r="AU13" s="34"/>
      <c r="AV13" s="34"/>
      <c r="AW13" s="34"/>
      <c r="AX13" s="34"/>
      <c r="AY13" s="34"/>
      <c r="AZ13" s="34"/>
      <c r="BA13" s="34"/>
      <c r="BB13" s="34"/>
      <c r="BC13" s="34"/>
      <c r="BD13" s="34"/>
      <c r="BE13" s="34"/>
      <c r="BF13" s="34"/>
      <c r="BG13" s="34"/>
      <c r="BH13" s="34"/>
      <c r="BI13" s="34"/>
      <c r="BJ13" s="34"/>
      <c r="BK13" s="34"/>
      <c r="BL13" s="34"/>
      <c r="BM13" s="34"/>
      <c r="BN13" s="34"/>
      <c r="BO13" s="34"/>
      <c r="BP13" s="34"/>
      <c r="BQ13" s="34"/>
      <c r="BR13" s="34"/>
      <c r="BS13" s="34"/>
      <c r="BT13" s="34"/>
      <c r="BU13" s="34"/>
      <c r="BV13" s="34"/>
      <c r="BW13" s="34"/>
      <c r="BX13" s="34"/>
      <c r="BY13" s="34"/>
      <c r="BZ13" s="34"/>
      <c r="CA13" s="34"/>
      <c r="CB13" s="34"/>
      <c r="CC13" s="34"/>
      <c r="CD13" s="34"/>
      <c r="CE13" s="34"/>
      <c r="CF13" s="34"/>
      <c r="CG13" s="34"/>
      <c r="CH13" s="34"/>
      <c r="CI13" s="34"/>
      <c r="CJ13" s="34"/>
      <c r="CK13" s="34"/>
      <c r="CL13" s="34"/>
      <c r="CM13" s="34"/>
      <c r="CN13" s="34"/>
      <c r="CO13" s="34"/>
      <c r="CP13" s="34"/>
      <c r="CQ13" s="34"/>
      <c r="CR13" s="34"/>
      <c r="CS13" s="34"/>
      <c r="CT13" s="34"/>
      <c r="CU13" s="34"/>
      <c r="CV13" s="34"/>
      <c r="CW13" s="34"/>
      <c r="CX13" s="34"/>
      <c r="CY13" s="34"/>
      <c r="CZ13" s="34"/>
      <c r="DA13" s="34"/>
      <c r="DB13" s="34"/>
      <c r="DC13" s="34"/>
      <c r="DD13" s="34"/>
      <c r="DE13" s="34"/>
      <c r="DF13" s="34"/>
      <c r="DG13" s="34"/>
      <c r="DH13" s="34"/>
      <c r="DI13" s="34"/>
      <c r="DJ13" s="34"/>
      <c r="DK13" s="34"/>
      <c r="DL13" s="34"/>
      <c r="DM13" s="34"/>
      <c r="DN13" s="34"/>
      <c r="DO13" s="34"/>
      <c r="DP13" s="34"/>
      <c r="DQ13" s="34"/>
      <c r="DR13" s="34"/>
      <c r="DS13" s="34"/>
      <c r="DT13" s="34"/>
      <c r="DU13" s="34"/>
      <c r="DV13" s="34"/>
      <c r="DW13" s="34"/>
      <c r="DX13" s="34"/>
      <c r="DY13" s="34"/>
      <c r="DZ13" s="34"/>
      <c r="EA13" s="34"/>
      <c r="EB13" s="34"/>
      <c r="EC13" s="34"/>
      <c r="ED13" s="34"/>
      <c r="EE13" s="34"/>
      <c r="EF13" s="34"/>
      <c r="EG13" s="34"/>
      <c r="EH13" s="34"/>
      <c r="EI13" s="34"/>
      <c r="EJ13" s="34"/>
      <c r="EK13" s="34"/>
      <c r="EL13" s="34"/>
      <c r="EM13" s="34"/>
      <c r="EN13" s="34"/>
      <c r="EO13" s="34"/>
      <c r="EP13" s="34"/>
      <c r="EQ13" s="34"/>
      <c r="ER13" s="34"/>
      <c r="ES13" s="34"/>
      <c r="ET13" s="34"/>
      <c r="EU13" s="34"/>
      <c r="EV13" s="34"/>
      <c r="EW13" s="34"/>
      <c r="EX13" s="34"/>
    </row>
    <row r="14" ht="15.75" customHeight="1">
      <c r="A14" s="34"/>
      <c r="B14" s="34" t="s">
        <v>27</v>
      </c>
      <c r="C14" s="34" t="s">
        <v>24</v>
      </c>
      <c r="D14" s="35">
        <v>1250.0</v>
      </c>
      <c r="E14" s="34"/>
      <c r="F14" s="34" t="s">
        <v>26</v>
      </c>
      <c r="G14" s="34"/>
      <c r="H14" s="34"/>
      <c r="I14" s="34"/>
      <c r="J14" s="35">
        <v>2.0</v>
      </c>
      <c r="K14" s="34"/>
      <c r="L14" s="34"/>
      <c r="M14" s="34"/>
      <c r="N14" s="34"/>
      <c r="O14" s="34"/>
      <c r="P14" s="34"/>
      <c r="Q14" s="34"/>
      <c r="R14" s="34"/>
      <c r="S14" s="34"/>
      <c r="T14" s="34"/>
      <c r="U14" s="34"/>
      <c r="V14" s="34"/>
      <c r="W14" s="34"/>
      <c r="X14" s="34"/>
      <c r="Y14" s="34"/>
      <c r="Z14" s="34"/>
      <c r="AA14" s="34"/>
      <c r="AB14" s="34"/>
      <c r="AC14" s="34"/>
      <c r="AD14" s="34"/>
      <c r="AE14" s="34"/>
      <c r="AF14" s="34"/>
      <c r="AG14" s="34"/>
      <c r="AH14" s="34"/>
      <c r="AI14" s="34"/>
      <c r="AJ14" s="34"/>
      <c r="AK14" s="34"/>
      <c r="AL14" s="34"/>
      <c r="AM14" s="34"/>
      <c r="AN14" s="34"/>
      <c r="AO14" s="34"/>
      <c r="AP14" s="34"/>
      <c r="AQ14" s="34"/>
      <c r="AR14" s="34"/>
      <c r="AS14" s="34"/>
      <c r="AT14" s="34"/>
      <c r="AU14" s="34"/>
      <c r="AV14" s="34"/>
      <c r="AW14" s="34"/>
      <c r="AX14" s="34"/>
      <c r="AY14" s="34"/>
      <c r="AZ14" s="34"/>
      <c r="BA14" s="34"/>
      <c r="BB14" s="34"/>
      <c r="BC14" s="34"/>
      <c r="BD14" s="34"/>
      <c r="BE14" s="34"/>
      <c r="BF14" s="34"/>
      <c r="BG14" s="34"/>
      <c r="BH14" s="34"/>
      <c r="BI14" s="34"/>
      <c r="BJ14" s="34"/>
      <c r="BK14" s="34"/>
      <c r="BL14" s="34"/>
      <c r="BM14" s="34"/>
      <c r="BN14" s="34"/>
      <c r="BO14" s="34"/>
      <c r="BP14" s="34"/>
      <c r="BQ14" s="34"/>
      <c r="BR14" s="34"/>
      <c r="BS14" s="34"/>
      <c r="BT14" s="34"/>
      <c r="BU14" s="34"/>
      <c r="BV14" s="34"/>
      <c r="BW14" s="34"/>
      <c r="BX14" s="34"/>
      <c r="BY14" s="34"/>
      <c r="BZ14" s="34"/>
      <c r="CA14" s="34"/>
      <c r="CB14" s="34"/>
      <c r="CC14" s="34"/>
      <c r="CD14" s="34"/>
      <c r="CE14" s="34"/>
      <c r="CF14" s="34"/>
      <c r="CG14" s="34"/>
      <c r="CH14" s="34"/>
      <c r="CI14" s="34"/>
      <c r="CJ14" s="34"/>
      <c r="CK14" s="34"/>
      <c r="CL14" s="34"/>
      <c r="CM14" s="34"/>
      <c r="CN14" s="34"/>
      <c r="CO14" s="34"/>
      <c r="CP14" s="34"/>
      <c r="CQ14" s="34"/>
      <c r="CR14" s="34"/>
      <c r="CS14" s="34"/>
      <c r="CT14" s="34"/>
      <c r="CU14" s="34"/>
      <c r="CV14" s="34"/>
      <c r="CW14" s="34"/>
      <c r="CX14" s="34"/>
      <c r="CY14" s="34"/>
      <c r="CZ14" s="34"/>
      <c r="DA14" s="34"/>
      <c r="DB14" s="34"/>
      <c r="DC14" s="34"/>
      <c r="DD14" s="34"/>
      <c r="DE14" s="34"/>
      <c r="DF14" s="34"/>
      <c r="DG14" s="34"/>
      <c r="DH14" s="34"/>
      <c r="DI14" s="34"/>
      <c r="DJ14" s="34"/>
      <c r="DK14" s="34"/>
      <c r="DL14" s="34"/>
      <c r="DM14" s="34"/>
      <c r="DN14" s="34"/>
      <c r="DO14" s="34"/>
      <c r="DP14" s="34"/>
      <c r="DQ14" s="34"/>
      <c r="DR14" s="34"/>
      <c r="DS14" s="34"/>
      <c r="DT14" s="34"/>
      <c r="DU14" s="34"/>
      <c r="DV14" s="34"/>
      <c r="DW14" s="34"/>
      <c r="DX14" s="34"/>
      <c r="DY14" s="34"/>
      <c r="DZ14" s="34"/>
      <c r="EA14" s="34"/>
      <c r="EB14" s="34"/>
      <c r="EC14" s="34"/>
      <c r="ED14" s="34"/>
      <c r="EE14" s="34"/>
      <c r="EF14" s="34"/>
      <c r="EG14" s="34"/>
      <c r="EH14" s="34"/>
      <c r="EI14" s="34"/>
      <c r="EJ14" s="34"/>
      <c r="EK14" s="34"/>
      <c r="EL14" s="34"/>
      <c r="EM14" s="34"/>
      <c r="EN14" s="34"/>
      <c r="EO14" s="34"/>
      <c r="EP14" s="34"/>
      <c r="EQ14" s="34"/>
      <c r="ER14" s="34"/>
      <c r="ES14" s="34"/>
      <c r="ET14" s="34"/>
      <c r="EU14" s="34"/>
      <c r="EV14" s="34"/>
      <c r="EW14" s="34"/>
      <c r="EX14" s="34"/>
    </row>
    <row r="15" ht="15.75" customHeight="1">
      <c r="A15" s="34"/>
      <c r="B15" s="36">
        <v>1.23456789E8</v>
      </c>
      <c r="C15" s="34" t="s">
        <v>24</v>
      </c>
      <c r="D15" s="35">
        <v>2750.0</v>
      </c>
      <c r="E15" s="34"/>
      <c r="F15" s="34" t="s">
        <v>26</v>
      </c>
      <c r="G15" s="34"/>
      <c r="H15" s="34"/>
      <c r="I15" s="34"/>
      <c r="J15" s="35">
        <v>2.0</v>
      </c>
      <c r="K15" s="34"/>
      <c r="L15" s="34"/>
      <c r="M15" s="34"/>
      <c r="N15" s="34"/>
      <c r="O15" s="34"/>
      <c r="P15" s="34"/>
      <c r="Q15" s="34"/>
      <c r="R15" s="34"/>
      <c r="S15" s="34"/>
      <c r="T15" s="34"/>
      <c r="U15" s="34"/>
      <c r="V15" s="34"/>
      <c r="W15" s="34"/>
      <c r="X15" s="34"/>
      <c r="Y15" s="34"/>
      <c r="Z15" s="34"/>
      <c r="AA15" s="34"/>
      <c r="AB15" s="34"/>
      <c r="AC15" s="34"/>
      <c r="AD15" s="34"/>
      <c r="AE15" s="34"/>
      <c r="AF15" s="34"/>
      <c r="AG15" s="34"/>
      <c r="AH15" s="34"/>
      <c r="AI15" s="34"/>
      <c r="AJ15" s="34"/>
      <c r="AK15" s="34"/>
      <c r="AL15" s="34"/>
      <c r="AM15" s="34"/>
      <c r="AN15" s="34"/>
      <c r="AO15" s="34"/>
      <c r="AP15" s="34"/>
      <c r="AQ15" s="34"/>
      <c r="AR15" s="34"/>
      <c r="AS15" s="34"/>
      <c r="AT15" s="34"/>
      <c r="AU15" s="34"/>
      <c r="AV15" s="34"/>
      <c r="AW15" s="34"/>
      <c r="AX15" s="34"/>
      <c r="AY15" s="34"/>
      <c r="AZ15" s="34"/>
      <c r="BA15" s="34"/>
      <c r="BB15" s="34"/>
      <c r="BC15" s="34"/>
      <c r="BD15" s="34"/>
      <c r="BE15" s="34"/>
      <c r="BF15" s="34"/>
      <c r="BG15" s="34"/>
      <c r="BH15" s="34"/>
      <c r="BI15" s="34"/>
      <c r="BJ15" s="34"/>
      <c r="BK15" s="34"/>
      <c r="BL15" s="34"/>
      <c r="BM15" s="34"/>
      <c r="BN15" s="34"/>
      <c r="BO15" s="34"/>
      <c r="BP15" s="34"/>
      <c r="BQ15" s="34"/>
      <c r="BR15" s="34"/>
      <c r="BS15" s="34"/>
      <c r="BT15" s="34"/>
      <c r="BU15" s="34"/>
      <c r="BV15" s="34"/>
      <c r="BW15" s="34"/>
      <c r="BX15" s="34"/>
      <c r="BY15" s="34"/>
      <c r="BZ15" s="34"/>
      <c r="CA15" s="34"/>
      <c r="CB15" s="34"/>
      <c r="CC15" s="34"/>
      <c r="CD15" s="34"/>
      <c r="CE15" s="34"/>
      <c r="CF15" s="34"/>
      <c r="CG15" s="34"/>
      <c r="CH15" s="34"/>
      <c r="CI15" s="34"/>
      <c r="CJ15" s="34"/>
      <c r="CK15" s="34"/>
      <c r="CL15" s="34"/>
      <c r="CM15" s="34"/>
      <c r="CN15" s="34"/>
      <c r="CO15" s="34"/>
      <c r="CP15" s="34"/>
      <c r="CQ15" s="34"/>
      <c r="CR15" s="34"/>
      <c r="CS15" s="34"/>
      <c r="CT15" s="34"/>
      <c r="CU15" s="34"/>
      <c r="CV15" s="34"/>
      <c r="CW15" s="34"/>
      <c r="CX15" s="34"/>
      <c r="CY15" s="34"/>
      <c r="CZ15" s="34"/>
      <c r="DA15" s="34"/>
      <c r="DB15" s="34"/>
      <c r="DC15" s="34"/>
      <c r="DD15" s="34"/>
      <c r="DE15" s="34"/>
      <c r="DF15" s="34"/>
      <c r="DG15" s="34"/>
      <c r="DH15" s="34"/>
      <c r="DI15" s="34"/>
      <c r="DJ15" s="34"/>
      <c r="DK15" s="34"/>
      <c r="DL15" s="34"/>
      <c r="DM15" s="34"/>
      <c r="DN15" s="34"/>
      <c r="DO15" s="34"/>
      <c r="DP15" s="34"/>
      <c r="DQ15" s="34"/>
      <c r="DR15" s="34"/>
      <c r="DS15" s="34"/>
      <c r="DT15" s="34"/>
      <c r="DU15" s="34"/>
      <c r="DV15" s="34"/>
      <c r="DW15" s="34"/>
      <c r="DX15" s="34"/>
      <c r="DY15" s="34"/>
      <c r="DZ15" s="34"/>
      <c r="EA15" s="34"/>
      <c r="EB15" s="34"/>
      <c r="EC15" s="34"/>
      <c r="ED15" s="34"/>
      <c r="EE15" s="34"/>
      <c r="EF15" s="34"/>
      <c r="EG15" s="34"/>
      <c r="EH15" s="34"/>
      <c r="EI15" s="34"/>
      <c r="EJ15" s="34"/>
      <c r="EK15" s="34"/>
      <c r="EL15" s="34"/>
      <c r="EM15" s="34"/>
      <c r="EN15" s="34"/>
      <c r="EO15" s="34"/>
      <c r="EP15" s="34"/>
      <c r="EQ15" s="34"/>
      <c r="ER15" s="34"/>
      <c r="ES15" s="34"/>
      <c r="ET15" s="34"/>
      <c r="EU15" s="34"/>
      <c r="EV15" s="34"/>
      <c r="EW15" s="34"/>
      <c r="EX15" s="34"/>
    </row>
    <row r="16" ht="15.75" customHeight="1">
      <c r="A16" s="34"/>
      <c r="B16" s="34" t="s">
        <v>20</v>
      </c>
      <c r="C16" s="34" t="s">
        <v>24</v>
      </c>
      <c r="D16" s="35">
        <v>465.0</v>
      </c>
      <c r="E16" s="34"/>
      <c r="F16" s="34" t="s">
        <v>26</v>
      </c>
      <c r="G16" s="34"/>
      <c r="H16" s="34"/>
      <c r="I16" s="34"/>
      <c r="J16" s="35">
        <v>2.0</v>
      </c>
      <c r="K16" s="34"/>
      <c r="L16" s="34"/>
      <c r="M16" s="34"/>
      <c r="N16" s="34"/>
      <c r="O16" s="34"/>
      <c r="P16" s="34"/>
      <c r="Q16" s="34"/>
      <c r="R16" s="34"/>
      <c r="S16" s="34"/>
      <c r="T16" s="34"/>
      <c r="U16" s="34"/>
      <c r="V16" s="34"/>
      <c r="W16" s="34"/>
      <c r="X16" s="34"/>
      <c r="Y16" s="34"/>
      <c r="Z16" s="34"/>
      <c r="AA16" s="34"/>
      <c r="AB16" s="34"/>
      <c r="AC16" s="34"/>
      <c r="AD16" s="34"/>
      <c r="AE16" s="34"/>
      <c r="AF16" s="34"/>
      <c r="AG16" s="34"/>
      <c r="AH16" s="34"/>
      <c r="AI16" s="34"/>
      <c r="AJ16" s="34"/>
      <c r="AK16" s="34"/>
      <c r="AL16" s="34"/>
      <c r="AM16" s="34"/>
      <c r="AN16" s="34"/>
      <c r="AO16" s="34"/>
      <c r="AP16" s="34"/>
      <c r="AQ16" s="34"/>
      <c r="AR16" s="34"/>
      <c r="AS16" s="34"/>
      <c r="AT16" s="34"/>
      <c r="AU16" s="34"/>
      <c r="AV16" s="34"/>
      <c r="AW16" s="34"/>
      <c r="AX16" s="34"/>
      <c r="AY16" s="34"/>
      <c r="AZ16" s="34"/>
      <c r="BA16" s="34"/>
      <c r="BB16" s="34"/>
      <c r="BC16" s="34"/>
      <c r="BD16" s="34"/>
      <c r="BE16" s="34"/>
      <c r="BF16" s="34"/>
      <c r="BG16" s="34"/>
      <c r="BH16" s="34"/>
      <c r="BI16" s="34"/>
      <c r="BJ16" s="34"/>
      <c r="BK16" s="34"/>
      <c r="BL16" s="34"/>
      <c r="BM16" s="34"/>
      <c r="BN16" s="34"/>
      <c r="BO16" s="34"/>
      <c r="BP16" s="34"/>
      <c r="BQ16" s="34"/>
      <c r="BR16" s="34"/>
      <c r="BS16" s="34"/>
      <c r="BT16" s="34"/>
      <c r="BU16" s="34"/>
      <c r="BV16" s="34"/>
      <c r="BW16" s="34"/>
      <c r="BX16" s="34"/>
      <c r="BY16" s="34"/>
      <c r="BZ16" s="34"/>
      <c r="CA16" s="34"/>
      <c r="CB16" s="34"/>
      <c r="CC16" s="34"/>
      <c r="CD16" s="34"/>
      <c r="CE16" s="34"/>
      <c r="CF16" s="34"/>
      <c r="CG16" s="34"/>
      <c r="CH16" s="34"/>
      <c r="CI16" s="34"/>
      <c r="CJ16" s="34"/>
      <c r="CK16" s="34"/>
      <c r="CL16" s="34"/>
      <c r="CM16" s="34"/>
      <c r="CN16" s="34"/>
      <c r="CO16" s="34"/>
      <c r="CP16" s="34"/>
      <c r="CQ16" s="34"/>
      <c r="CR16" s="34"/>
      <c r="CS16" s="34"/>
      <c r="CT16" s="34"/>
      <c r="CU16" s="34"/>
      <c r="CV16" s="34"/>
      <c r="CW16" s="34"/>
      <c r="CX16" s="34"/>
      <c r="CY16" s="34"/>
      <c r="CZ16" s="34"/>
      <c r="DA16" s="34"/>
      <c r="DB16" s="34"/>
      <c r="DC16" s="34"/>
      <c r="DD16" s="34"/>
      <c r="DE16" s="34"/>
      <c r="DF16" s="34"/>
      <c r="DG16" s="34"/>
      <c r="DH16" s="34"/>
      <c r="DI16" s="34"/>
      <c r="DJ16" s="34"/>
      <c r="DK16" s="34"/>
      <c r="DL16" s="34"/>
      <c r="DM16" s="34"/>
      <c r="DN16" s="34"/>
      <c r="DO16" s="34"/>
      <c r="DP16" s="34"/>
      <c r="DQ16" s="34"/>
      <c r="DR16" s="34"/>
      <c r="DS16" s="34"/>
      <c r="DT16" s="34"/>
      <c r="DU16" s="34"/>
      <c r="DV16" s="34"/>
      <c r="DW16" s="34"/>
      <c r="DX16" s="34"/>
      <c r="DY16" s="34"/>
      <c r="DZ16" s="34"/>
      <c r="EA16" s="34"/>
      <c r="EB16" s="34"/>
      <c r="EC16" s="34"/>
      <c r="ED16" s="34"/>
      <c r="EE16" s="34"/>
      <c r="EF16" s="34"/>
      <c r="EG16" s="34"/>
      <c r="EH16" s="34"/>
      <c r="EI16" s="34"/>
      <c r="EJ16" s="34"/>
      <c r="EK16" s="34"/>
      <c r="EL16" s="34"/>
      <c r="EM16" s="34"/>
      <c r="EN16" s="34"/>
      <c r="EO16" s="34"/>
      <c r="EP16" s="34"/>
      <c r="EQ16" s="34"/>
      <c r="ER16" s="34"/>
      <c r="ES16" s="34"/>
      <c r="ET16" s="34"/>
      <c r="EU16" s="34"/>
      <c r="EV16" s="34"/>
      <c r="EW16" s="34"/>
      <c r="EX16" s="34"/>
    </row>
    <row r="17" ht="15.75" customHeight="1">
      <c r="A17" s="34"/>
      <c r="B17" s="34" t="s">
        <v>19</v>
      </c>
      <c r="C17" s="34" t="s">
        <v>24</v>
      </c>
      <c r="D17" s="35">
        <v>80.0</v>
      </c>
      <c r="E17" s="34"/>
      <c r="F17" s="34" t="s">
        <v>26</v>
      </c>
      <c r="G17" s="34"/>
      <c r="H17" s="34"/>
      <c r="I17" s="34"/>
      <c r="J17" s="35">
        <v>2.0</v>
      </c>
      <c r="K17" s="34"/>
      <c r="L17" s="34"/>
      <c r="M17" s="34"/>
      <c r="N17" s="34"/>
      <c r="O17" s="34"/>
      <c r="P17" s="34"/>
      <c r="Q17" s="34"/>
      <c r="R17" s="34"/>
      <c r="S17" s="34"/>
      <c r="T17" s="34"/>
      <c r="U17" s="34"/>
      <c r="V17" s="34"/>
      <c r="W17" s="34"/>
      <c r="X17" s="34"/>
      <c r="Y17" s="34"/>
      <c r="Z17" s="34"/>
      <c r="AA17" s="34"/>
      <c r="AB17" s="34"/>
      <c r="AC17" s="34"/>
      <c r="AD17" s="34"/>
      <c r="AE17" s="34"/>
      <c r="AF17" s="34"/>
      <c r="AG17" s="34"/>
      <c r="AH17" s="34"/>
      <c r="AI17" s="34"/>
      <c r="AJ17" s="34"/>
      <c r="AK17" s="34"/>
      <c r="AL17" s="34"/>
      <c r="AM17" s="34"/>
      <c r="AN17" s="34"/>
      <c r="AO17" s="34"/>
      <c r="AP17" s="34"/>
      <c r="AQ17" s="34"/>
      <c r="AR17" s="34"/>
      <c r="AS17" s="34"/>
      <c r="AT17" s="34"/>
      <c r="AU17" s="34"/>
      <c r="AV17" s="34"/>
      <c r="AW17" s="34"/>
      <c r="AX17" s="34"/>
      <c r="AY17" s="34"/>
      <c r="AZ17" s="34"/>
      <c r="BA17" s="34"/>
      <c r="BB17" s="34"/>
      <c r="BC17" s="34"/>
      <c r="BD17" s="34"/>
      <c r="BE17" s="34"/>
      <c r="BF17" s="34"/>
      <c r="BG17" s="34"/>
      <c r="BH17" s="34"/>
      <c r="BI17" s="34"/>
      <c r="BJ17" s="34"/>
      <c r="BK17" s="34"/>
      <c r="BL17" s="34"/>
      <c r="BM17" s="34"/>
      <c r="BN17" s="34"/>
      <c r="BO17" s="34"/>
      <c r="BP17" s="34"/>
      <c r="BQ17" s="34"/>
      <c r="BR17" s="34"/>
      <c r="BS17" s="34"/>
      <c r="BT17" s="34"/>
      <c r="BU17" s="34"/>
      <c r="BV17" s="34"/>
      <c r="BW17" s="34"/>
      <c r="BX17" s="34"/>
      <c r="BY17" s="34"/>
      <c r="BZ17" s="34"/>
      <c r="CA17" s="34"/>
      <c r="CB17" s="34"/>
      <c r="CC17" s="34"/>
      <c r="CD17" s="34"/>
      <c r="CE17" s="34"/>
      <c r="CF17" s="34"/>
      <c r="CG17" s="34"/>
      <c r="CH17" s="34"/>
      <c r="CI17" s="34"/>
      <c r="CJ17" s="34"/>
      <c r="CK17" s="34"/>
      <c r="CL17" s="34"/>
      <c r="CM17" s="34"/>
      <c r="CN17" s="34"/>
      <c r="CO17" s="34"/>
      <c r="CP17" s="34"/>
      <c r="CQ17" s="34"/>
      <c r="CR17" s="34"/>
      <c r="CS17" s="34"/>
      <c r="CT17" s="34"/>
      <c r="CU17" s="34"/>
      <c r="CV17" s="34"/>
      <c r="CW17" s="34"/>
      <c r="CX17" s="34"/>
      <c r="CY17" s="34"/>
      <c r="CZ17" s="34"/>
      <c r="DA17" s="34"/>
      <c r="DB17" s="34"/>
      <c r="DC17" s="34"/>
      <c r="DD17" s="34"/>
      <c r="DE17" s="34"/>
      <c r="DF17" s="34"/>
      <c r="DG17" s="34"/>
      <c r="DH17" s="34"/>
      <c r="DI17" s="34"/>
      <c r="DJ17" s="34"/>
      <c r="DK17" s="34"/>
      <c r="DL17" s="34"/>
      <c r="DM17" s="34"/>
      <c r="DN17" s="34"/>
      <c r="DO17" s="34"/>
      <c r="DP17" s="34"/>
      <c r="DQ17" s="34"/>
      <c r="DR17" s="34"/>
      <c r="DS17" s="34"/>
      <c r="DT17" s="34"/>
      <c r="DU17" s="34"/>
      <c r="DV17" s="34"/>
      <c r="DW17" s="34"/>
      <c r="DX17" s="34"/>
      <c r="DY17" s="34"/>
      <c r="DZ17" s="34"/>
      <c r="EA17" s="34"/>
      <c r="EB17" s="34"/>
      <c r="EC17" s="34"/>
      <c r="ED17" s="34"/>
      <c r="EE17" s="34"/>
      <c r="EF17" s="34"/>
      <c r="EG17" s="34"/>
      <c r="EH17" s="34"/>
      <c r="EI17" s="34"/>
      <c r="EJ17" s="34"/>
      <c r="EK17" s="34"/>
      <c r="EL17" s="34"/>
      <c r="EM17" s="34"/>
      <c r="EN17" s="34"/>
      <c r="EO17" s="34"/>
      <c r="EP17" s="34"/>
      <c r="EQ17" s="34"/>
      <c r="ER17" s="34"/>
      <c r="ES17" s="34"/>
      <c r="ET17" s="34"/>
      <c r="EU17" s="34"/>
      <c r="EV17" s="34"/>
      <c r="EW17" s="34"/>
      <c r="EX17" s="34"/>
    </row>
    <row r="18" ht="15.75" customHeight="1">
      <c r="A18" s="34"/>
      <c r="B18" s="34" t="s">
        <v>16</v>
      </c>
      <c r="C18" s="34" t="s">
        <v>24</v>
      </c>
      <c r="D18" s="35">
        <v>1000.0</v>
      </c>
      <c r="E18" s="34"/>
      <c r="F18" s="34" t="s">
        <v>28</v>
      </c>
      <c r="G18" s="34"/>
      <c r="H18" s="34"/>
      <c r="I18" s="34"/>
      <c r="J18" s="35">
        <v>2.0</v>
      </c>
      <c r="K18" s="34"/>
      <c r="L18" s="34"/>
      <c r="M18" s="34"/>
      <c r="N18" s="34"/>
      <c r="O18" s="34"/>
      <c r="P18" s="34"/>
      <c r="Q18" s="34"/>
      <c r="R18" s="34"/>
      <c r="S18" s="34"/>
      <c r="T18" s="34"/>
      <c r="U18" s="34"/>
      <c r="V18" s="34"/>
      <c r="W18" s="34"/>
      <c r="X18" s="34"/>
      <c r="Y18" s="34"/>
      <c r="Z18" s="34"/>
      <c r="AA18" s="34"/>
      <c r="AB18" s="34"/>
      <c r="AC18" s="34"/>
      <c r="AD18" s="34"/>
      <c r="AE18" s="34"/>
      <c r="AF18" s="34"/>
      <c r="AG18" s="34"/>
      <c r="AH18" s="34"/>
      <c r="AI18" s="34"/>
      <c r="AJ18" s="34"/>
      <c r="AK18" s="34"/>
      <c r="AL18" s="34"/>
      <c r="AM18" s="34"/>
      <c r="AN18" s="34"/>
      <c r="AO18" s="34"/>
      <c r="AP18" s="34"/>
      <c r="AQ18" s="34"/>
      <c r="AR18" s="34"/>
      <c r="AS18" s="34"/>
      <c r="AT18" s="34"/>
      <c r="AU18" s="34"/>
      <c r="AV18" s="34"/>
      <c r="AW18" s="34"/>
      <c r="AX18" s="34"/>
      <c r="AY18" s="34"/>
      <c r="AZ18" s="34"/>
      <c r="BA18" s="34"/>
      <c r="BB18" s="34"/>
      <c r="BC18" s="34"/>
      <c r="BD18" s="34"/>
      <c r="BE18" s="34"/>
      <c r="BF18" s="34"/>
      <c r="BG18" s="34"/>
      <c r="BH18" s="34"/>
      <c r="BI18" s="34"/>
      <c r="BJ18" s="34"/>
      <c r="BK18" s="34"/>
      <c r="BL18" s="34"/>
      <c r="BM18" s="34"/>
      <c r="BN18" s="34"/>
      <c r="BO18" s="34"/>
      <c r="BP18" s="34"/>
      <c r="BQ18" s="34"/>
      <c r="BR18" s="34"/>
      <c r="BS18" s="34"/>
      <c r="BT18" s="34"/>
      <c r="BU18" s="34"/>
      <c r="BV18" s="34"/>
      <c r="BW18" s="34"/>
      <c r="BX18" s="34"/>
      <c r="BY18" s="34"/>
      <c r="BZ18" s="34"/>
      <c r="CA18" s="34"/>
      <c r="CB18" s="34"/>
      <c r="CC18" s="34"/>
      <c r="CD18" s="34"/>
      <c r="CE18" s="34"/>
      <c r="CF18" s="34"/>
      <c r="CG18" s="34"/>
      <c r="CH18" s="34"/>
      <c r="CI18" s="34"/>
      <c r="CJ18" s="34"/>
      <c r="CK18" s="34"/>
      <c r="CL18" s="34"/>
      <c r="CM18" s="34"/>
      <c r="CN18" s="34"/>
      <c r="CO18" s="34"/>
      <c r="CP18" s="34"/>
      <c r="CQ18" s="34"/>
      <c r="CR18" s="34"/>
      <c r="CS18" s="34"/>
      <c r="CT18" s="34"/>
      <c r="CU18" s="34"/>
      <c r="CV18" s="34"/>
      <c r="CW18" s="34"/>
      <c r="CX18" s="34"/>
      <c r="CY18" s="34"/>
      <c r="CZ18" s="34"/>
      <c r="DA18" s="34"/>
      <c r="DB18" s="34"/>
      <c r="DC18" s="34"/>
      <c r="DD18" s="34"/>
      <c r="DE18" s="34"/>
      <c r="DF18" s="34"/>
      <c r="DG18" s="34"/>
      <c r="DH18" s="34"/>
      <c r="DI18" s="34"/>
      <c r="DJ18" s="34"/>
      <c r="DK18" s="34"/>
      <c r="DL18" s="34"/>
      <c r="DM18" s="34"/>
      <c r="DN18" s="34"/>
      <c r="DO18" s="34"/>
      <c r="DP18" s="34"/>
      <c r="DQ18" s="34"/>
      <c r="DR18" s="34"/>
      <c r="DS18" s="34"/>
      <c r="DT18" s="34"/>
      <c r="DU18" s="34"/>
      <c r="DV18" s="34"/>
      <c r="DW18" s="34"/>
      <c r="DX18" s="34"/>
      <c r="DY18" s="34"/>
      <c r="DZ18" s="34"/>
      <c r="EA18" s="34"/>
      <c r="EB18" s="34"/>
      <c r="EC18" s="34"/>
      <c r="ED18" s="34"/>
      <c r="EE18" s="34"/>
      <c r="EF18" s="34"/>
      <c r="EG18" s="34"/>
      <c r="EH18" s="34"/>
      <c r="EI18" s="34"/>
      <c r="EJ18" s="34"/>
      <c r="EK18" s="34"/>
      <c r="EL18" s="34"/>
      <c r="EM18" s="34"/>
      <c r="EN18" s="34"/>
      <c r="EO18" s="34"/>
      <c r="EP18" s="34"/>
      <c r="EQ18" s="34"/>
      <c r="ER18" s="34"/>
      <c r="ES18" s="34"/>
      <c r="ET18" s="34"/>
      <c r="EU18" s="34"/>
      <c r="EV18" s="34"/>
      <c r="EW18" s="34"/>
      <c r="EX18" s="34"/>
    </row>
    <row r="19" ht="15.75" customHeight="1">
      <c r="A19" s="34"/>
      <c r="B19" s="34" t="s">
        <v>18</v>
      </c>
      <c r="C19" s="34" t="s">
        <v>24</v>
      </c>
      <c r="D19" s="35">
        <v>250.0</v>
      </c>
      <c r="E19" s="34"/>
      <c r="F19" s="34" t="s">
        <v>28</v>
      </c>
      <c r="G19" s="34"/>
      <c r="H19" s="34"/>
      <c r="I19" s="34"/>
      <c r="J19" s="35">
        <v>2.0</v>
      </c>
      <c r="K19" s="34"/>
      <c r="L19" s="34"/>
      <c r="M19" s="34"/>
      <c r="N19" s="34"/>
      <c r="O19" s="34"/>
      <c r="P19" s="34"/>
      <c r="Q19" s="34"/>
      <c r="R19" s="34"/>
      <c r="S19" s="34"/>
      <c r="T19" s="34"/>
      <c r="U19" s="34"/>
      <c r="V19" s="34"/>
      <c r="W19" s="34"/>
      <c r="X19" s="34"/>
      <c r="Y19" s="34"/>
      <c r="Z19" s="34"/>
      <c r="AA19" s="34"/>
      <c r="AB19" s="34"/>
      <c r="AC19" s="34"/>
      <c r="AD19" s="34"/>
      <c r="AE19" s="34"/>
      <c r="AF19" s="34"/>
      <c r="AG19" s="34"/>
      <c r="AH19" s="34"/>
      <c r="AI19" s="34"/>
      <c r="AJ19" s="34"/>
      <c r="AK19" s="34"/>
      <c r="AL19" s="34"/>
      <c r="AM19" s="34"/>
      <c r="AN19" s="34"/>
      <c r="AO19" s="34"/>
      <c r="AP19" s="34"/>
      <c r="AQ19" s="34"/>
      <c r="AR19" s="34"/>
      <c r="AS19" s="34"/>
      <c r="AT19" s="34"/>
      <c r="AU19" s="34"/>
      <c r="AV19" s="34"/>
      <c r="AW19" s="34"/>
      <c r="AX19" s="34"/>
      <c r="AY19" s="34"/>
      <c r="AZ19" s="34"/>
      <c r="BA19" s="34"/>
      <c r="BB19" s="34"/>
      <c r="BC19" s="34"/>
      <c r="BD19" s="34"/>
      <c r="BE19" s="34"/>
      <c r="BF19" s="34"/>
      <c r="BG19" s="34"/>
      <c r="BH19" s="34"/>
      <c r="BI19" s="34"/>
      <c r="BJ19" s="34"/>
      <c r="BK19" s="34"/>
      <c r="BL19" s="34"/>
      <c r="BM19" s="34"/>
      <c r="BN19" s="34"/>
      <c r="BO19" s="34"/>
      <c r="BP19" s="34"/>
      <c r="BQ19" s="34"/>
      <c r="BR19" s="34"/>
      <c r="BS19" s="34"/>
      <c r="BT19" s="34"/>
      <c r="BU19" s="34"/>
      <c r="BV19" s="34"/>
      <c r="BW19" s="34"/>
      <c r="BX19" s="34"/>
      <c r="BY19" s="34"/>
      <c r="BZ19" s="34"/>
      <c r="CA19" s="34"/>
      <c r="CB19" s="34"/>
      <c r="CC19" s="34"/>
      <c r="CD19" s="34"/>
      <c r="CE19" s="34"/>
      <c r="CF19" s="34"/>
      <c r="CG19" s="34"/>
      <c r="CH19" s="34"/>
      <c r="CI19" s="34"/>
      <c r="CJ19" s="34"/>
      <c r="CK19" s="34"/>
      <c r="CL19" s="34"/>
      <c r="CM19" s="34"/>
      <c r="CN19" s="34"/>
      <c r="CO19" s="34"/>
      <c r="CP19" s="34"/>
      <c r="CQ19" s="34"/>
      <c r="CR19" s="34"/>
      <c r="CS19" s="34"/>
      <c r="CT19" s="34"/>
      <c r="CU19" s="34"/>
      <c r="CV19" s="34"/>
      <c r="CW19" s="34"/>
      <c r="CX19" s="34"/>
      <c r="CY19" s="34"/>
      <c r="CZ19" s="34"/>
      <c r="DA19" s="34"/>
      <c r="DB19" s="34"/>
      <c r="DC19" s="34"/>
      <c r="DD19" s="34"/>
      <c r="DE19" s="34"/>
      <c r="DF19" s="34"/>
      <c r="DG19" s="34"/>
      <c r="DH19" s="34"/>
      <c r="DI19" s="34"/>
      <c r="DJ19" s="34"/>
      <c r="DK19" s="34"/>
      <c r="DL19" s="34"/>
      <c r="DM19" s="34"/>
      <c r="DN19" s="34"/>
      <c r="DO19" s="34"/>
      <c r="DP19" s="34"/>
      <c r="DQ19" s="34"/>
      <c r="DR19" s="34"/>
      <c r="DS19" s="34"/>
      <c r="DT19" s="34"/>
      <c r="DU19" s="34"/>
      <c r="DV19" s="34"/>
      <c r="DW19" s="34"/>
      <c r="DX19" s="34"/>
      <c r="DY19" s="34"/>
      <c r="DZ19" s="34"/>
      <c r="EA19" s="34"/>
      <c r="EB19" s="34"/>
      <c r="EC19" s="34"/>
      <c r="ED19" s="34"/>
      <c r="EE19" s="34"/>
      <c r="EF19" s="34"/>
      <c r="EG19" s="34"/>
      <c r="EH19" s="34"/>
      <c r="EI19" s="34"/>
      <c r="EJ19" s="34"/>
      <c r="EK19" s="34"/>
      <c r="EL19" s="34"/>
      <c r="EM19" s="34"/>
      <c r="EN19" s="34"/>
      <c r="EO19" s="34"/>
      <c r="EP19" s="34"/>
      <c r="EQ19" s="34"/>
      <c r="ER19" s="34"/>
      <c r="ES19" s="34"/>
      <c r="ET19" s="34"/>
      <c r="EU19" s="34"/>
      <c r="EV19" s="34"/>
      <c r="EW19" s="34"/>
      <c r="EX19" s="34"/>
    </row>
    <row r="20" ht="15.75" customHeight="1">
      <c r="A20" s="34"/>
      <c r="B20" s="34" t="s">
        <v>17</v>
      </c>
      <c r="C20" s="34" t="s">
        <v>24</v>
      </c>
      <c r="D20" s="35">
        <v>1550.0</v>
      </c>
      <c r="E20" s="34"/>
      <c r="F20" s="34" t="s">
        <v>28</v>
      </c>
      <c r="G20" s="34"/>
      <c r="H20" s="34"/>
      <c r="I20" s="34"/>
      <c r="J20" s="35">
        <v>2.0</v>
      </c>
      <c r="K20" s="34"/>
      <c r="L20" s="34"/>
      <c r="M20" s="34"/>
      <c r="N20" s="34"/>
      <c r="O20" s="34"/>
      <c r="P20" s="34"/>
      <c r="Q20" s="34"/>
      <c r="R20" s="34"/>
      <c r="S20" s="34"/>
      <c r="T20" s="34"/>
      <c r="U20" s="34"/>
      <c r="V20" s="34"/>
      <c r="W20" s="34"/>
      <c r="X20" s="34"/>
      <c r="Y20" s="34"/>
      <c r="Z20" s="34"/>
      <c r="AA20" s="34"/>
      <c r="AB20" s="34"/>
      <c r="AC20" s="34"/>
      <c r="AD20" s="34"/>
      <c r="AE20" s="34"/>
      <c r="AF20" s="34"/>
      <c r="AG20" s="34"/>
      <c r="AH20" s="34"/>
      <c r="AI20" s="34"/>
      <c r="AJ20" s="34"/>
      <c r="AK20" s="34"/>
      <c r="AL20" s="34"/>
      <c r="AM20" s="34"/>
      <c r="AN20" s="34"/>
      <c r="AO20" s="34"/>
      <c r="AP20" s="34"/>
      <c r="AQ20" s="34"/>
      <c r="AR20" s="34"/>
      <c r="AS20" s="34"/>
      <c r="AT20" s="34"/>
      <c r="AU20" s="34"/>
      <c r="AV20" s="34"/>
      <c r="AW20" s="34"/>
      <c r="AX20" s="34"/>
      <c r="AY20" s="34"/>
      <c r="AZ20" s="34"/>
      <c r="BA20" s="34"/>
      <c r="BB20" s="34"/>
      <c r="BC20" s="34"/>
      <c r="BD20" s="34"/>
      <c r="BE20" s="34"/>
      <c r="BF20" s="34"/>
      <c r="BG20" s="34"/>
      <c r="BH20" s="34"/>
      <c r="BI20" s="34"/>
      <c r="BJ20" s="34"/>
      <c r="BK20" s="34"/>
      <c r="BL20" s="34"/>
      <c r="BM20" s="34"/>
      <c r="BN20" s="34"/>
      <c r="BO20" s="34"/>
      <c r="BP20" s="34"/>
      <c r="BQ20" s="34"/>
      <c r="BR20" s="34"/>
      <c r="BS20" s="34"/>
      <c r="BT20" s="34"/>
      <c r="BU20" s="34"/>
      <c r="BV20" s="34"/>
      <c r="BW20" s="34"/>
      <c r="BX20" s="34"/>
      <c r="BY20" s="34"/>
      <c r="BZ20" s="34"/>
      <c r="CA20" s="34"/>
      <c r="CB20" s="34"/>
      <c r="CC20" s="34"/>
      <c r="CD20" s="34"/>
      <c r="CE20" s="34"/>
      <c r="CF20" s="34"/>
      <c r="CG20" s="34"/>
      <c r="CH20" s="34"/>
      <c r="CI20" s="34"/>
      <c r="CJ20" s="34"/>
      <c r="CK20" s="34"/>
      <c r="CL20" s="34"/>
      <c r="CM20" s="34"/>
      <c r="CN20" s="34"/>
      <c r="CO20" s="34"/>
      <c r="CP20" s="34"/>
      <c r="CQ20" s="34"/>
      <c r="CR20" s="34"/>
      <c r="CS20" s="34"/>
      <c r="CT20" s="34"/>
      <c r="CU20" s="34"/>
      <c r="CV20" s="34"/>
      <c r="CW20" s="34"/>
      <c r="CX20" s="34"/>
      <c r="CY20" s="34"/>
      <c r="CZ20" s="34"/>
      <c r="DA20" s="34"/>
      <c r="DB20" s="34"/>
      <c r="DC20" s="34"/>
      <c r="DD20" s="34"/>
      <c r="DE20" s="34"/>
      <c r="DF20" s="34"/>
      <c r="DG20" s="34"/>
      <c r="DH20" s="34"/>
      <c r="DI20" s="34"/>
      <c r="DJ20" s="34"/>
      <c r="DK20" s="34"/>
      <c r="DL20" s="34"/>
      <c r="DM20" s="34"/>
      <c r="DN20" s="34"/>
      <c r="DO20" s="34"/>
      <c r="DP20" s="34"/>
      <c r="DQ20" s="34"/>
      <c r="DR20" s="34"/>
      <c r="DS20" s="34"/>
      <c r="DT20" s="34"/>
      <c r="DU20" s="34"/>
      <c r="DV20" s="34"/>
      <c r="DW20" s="34"/>
      <c r="DX20" s="34"/>
      <c r="DY20" s="34"/>
      <c r="DZ20" s="34"/>
      <c r="EA20" s="34"/>
      <c r="EB20" s="34"/>
      <c r="EC20" s="34"/>
      <c r="ED20" s="34"/>
      <c r="EE20" s="34"/>
      <c r="EF20" s="34"/>
      <c r="EG20" s="34"/>
      <c r="EH20" s="34"/>
      <c r="EI20" s="34"/>
      <c r="EJ20" s="34"/>
      <c r="EK20" s="34"/>
      <c r="EL20" s="34"/>
      <c r="EM20" s="34"/>
      <c r="EN20" s="34"/>
      <c r="EO20" s="34"/>
      <c r="EP20" s="34"/>
      <c r="EQ20" s="34"/>
      <c r="ER20" s="34"/>
      <c r="ES20" s="34"/>
      <c r="ET20" s="34"/>
      <c r="EU20" s="34"/>
      <c r="EV20" s="34"/>
      <c r="EW20" s="34"/>
      <c r="EX20" s="34"/>
    </row>
    <row r="21" ht="15.75" customHeight="1">
      <c r="A21" s="34"/>
      <c r="B21" s="36">
        <v>1.23456789E8</v>
      </c>
      <c r="C21" s="34" t="s">
        <v>24</v>
      </c>
      <c r="D21" s="35">
        <v>2750.0</v>
      </c>
      <c r="E21" s="34"/>
      <c r="F21" s="34" t="s">
        <v>28</v>
      </c>
      <c r="G21" s="34"/>
      <c r="H21" s="34"/>
      <c r="I21" s="34"/>
      <c r="J21" s="35">
        <v>2.0</v>
      </c>
      <c r="K21" s="34"/>
      <c r="L21" s="34"/>
      <c r="M21" s="34"/>
      <c r="N21" s="34"/>
      <c r="O21" s="34"/>
      <c r="P21" s="34"/>
      <c r="Q21" s="34"/>
      <c r="R21" s="34"/>
      <c r="S21" s="34"/>
      <c r="T21" s="34"/>
      <c r="U21" s="34"/>
      <c r="V21" s="34"/>
      <c r="W21" s="34"/>
      <c r="X21" s="34"/>
      <c r="Y21" s="34"/>
      <c r="Z21" s="34"/>
      <c r="AA21" s="34"/>
      <c r="AB21" s="34"/>
      <c r="AC21" s="34"/>
      <c r="AD21" s="34"/>
      <c r="AE21" s="34"/>
      <c r="AF21" s="34"/>
      <c r="AG21" s="34"/>
      <c r="AH21" s="34"/>
      <c r="AI21" s="34"/>
      <c r="AJ21" s="34"/>
      <c r="AK21" s="34"/>
      <c r="AL21" s="34"/>
      <c r="AM21" s="34"/>
      <c r="AN21" s="34"/>
      <c r="AO21" s="34"/>
      <c r="AP21" s="34"/>
      <c r="AQ21" s="34"/>
      <c r="AR21" s="34"/>
      <c r="AS21" s="34"/>
      <c r="AT21" s="34"/>
      <c r="AU21" s="34"/>
      <c r="AV21" s="34"/>
      <c r="AW21" s="34"/>
      <c r="AX21" s="34"/>
      <c r="AY21" s="34"/>
      <c r="AZ21" s="34"/>
      <c r="BA21" s="34"/>
      <c r="BB21" s="34"/>
      <c r="BC21" s="34"/>
      <c r="BD21" s="34"/>
      <c r="BE21" s="34"/>
      <c r="BF21" s="34"/>
      <c r="BG21" s="34"/>
      <c r="BH21" s="34"/>
      <c r="BI21" s="34"/>
      <c r="BJ21" s="34"/>
      <c r="BK21" s="34"/>
      <c r="BL21" s="34"/>
      <c r="BM21" s="34"/>
      <c r="BN21" s="34"/>
      <c r="BO21" s="34"/>
      <c r="BP21" s="34"/>
      <c r="BQ21" s="34"/>
      <c r="BR21" s="34"/>
      <c r="BS21" s="34"/>
      <c r="BT21" s="34"/>
      <c r="BU21" s="34"/>
      <c r="BV21" s="34"/>
      <c r="BW21" s="34"/>
      <c r="BX21" s="34"/>
      <c r="BY21" s="34"/>
      <c r="BZ21" s="34"/>
      <c r="CA21" s="34"/>
      <c r="CB21" s="34"/>
      <c r="CC21" s="34"/>
      <c r="CD21" s="34"/>
      <c r="CE21" s="34"/>
      <c r="CF21" s="34"/>
      <c r="CG21" s="34"/>
      <c r="CH21" s="34"/>
      <c r="CI21" s="34"/>
      <c r="CJ21" s="34"/>
      <c r="CK21" s="34"/>
      <c r="CL21" s="34"/>
      <c r="CM21" s="34"/>
      <c r="CN21" s="34"/>
      <c r="CO21" s="34"/>
      <c r="CP21" s="34"/>
      <c r="CQ21" s="34"/>
      <c r="CR21" s="34"/>
      <c r="CS21" s="34"/>
      <c r="CT21" s="34"/>
      <c r="CU21" s="34"/>
      <c r="CV21" s="34"/>
      <c r="CW21" s="34"/>
      <c r="CX21" s="34"/>
      <c r="CY21" s="34"/>
      <c r="CZ21" s="34"/>
      <c r="DA21" s="34"/>
      <c r="DB21" s="34"/>
      <c r="DC21" s="34"/>
      <c r="DD21" s="34"/>
      <c r="DE21" s="34"/>
      <c r="DF21" s="34"/>
      <c r="DG21" s="34"/>
      <c r="DH21" s="34"/>
      <c r="DI21" s="34"/>
      <c r="DJ21" s="34"/>
      <c r="DK21" s="34"/>
      <c r="DL21" s="34"/>
      <c r="DM21" s="34"/>
      <c r="DN21" s="34"/>
      <c r="DO21" s="34"/>
      <c r="DP21" s="34"/>
      <c r="DQ21" s="34"/>
      <c r="DR21" s="34"/>
      <c r="DS21" s="34"/>
      <c r="DT21" s="34"/>
      <c r="DU21" s="34"/>
      <c r="DV21" s="34"/>
      <c r="DW21" s="34"/>
      <c r="DX21" s="34"/>
      <c r="DY21" s="34"/>
      <c r="DZ21" s="34"/>
      <c r="EA21" s="34"/>
      <c r="EB21" s="34"/>
      <c r="EC21" s="34"/>
      <c r="ED21" s="34"/>
      <c r="EE21" s="34"/>
      <c r="EF21" s="34"/>
      <c r="EG21" s="34"/>
      <c r="EH21" s="34"/>
      <c r="EI21" s="34"/>
      <c r="EJ21" s="34"/>
      <c r="EK21" s="34"/>
      <c r="EL21" s="34"/>
      <c r="EM21" s="34"/>
      <c r="EN21" s="34"/>
      <c r="EO21" s="34"/>
      <c r="EP21" s="34"/>
      <c r="EQ21" s="34"/>
      <c r="ER21" s="34"/>
      <c r="ES21" s="34"/>
      <c r="ET21" s="34"/>
      <c r="EU21" s="34"/>
      <c r="EV21" s="34"/>
      <c r="EW21" s="34"/>
      <c r="EX21" s="34"/>
    </row>
    <row r="22" ht="15.75" customHeight="1">
      <c r="A22" s="34"/>
      <c r="B22" s="34" t="s">
        <v>20</v>
      </c>
      <c r="C22" s="34" t="s">
        <v>24</v>
      </c>
      <c r="D22" s="35">
        <v>465.0</v>
      </c>
      <c r="E22" s="34"/>
      <c r="F22" s="34" t="s">
        <v>28</v>
      </c>
      <c r="G22" s="34"/>
      <c r="H22" s="34"/>
      <c r="I22" s="34"/>
      <c r="J22" s="35">
        <v>2.0</v>
      </c>
      <c r="K22" s="34"/>
      <c r="L22" s="34"/>
      <c r="M22" s="34"/>
      <c r="N22" s="34"/>
      <c r="O22" s="34"/>
      <c r="P22" s="34"/>
      <c r="Q22" s="34"/>
      <c r="R22" s="34"/>
      <c r="S22" s="34"/>
      <c r="T22" s="34"/>
      <c r="U22" s="34"/>
      <c r="V22" s="34"/>
      <c r="W22" s="34"/>
      <c r="X22" s="34"/>
      <c r="Y22" s="34"/>
      <c r="Z22" s="34"/>
      <c r="AA22" s="34"/>
      <c r="AB22" s="34"/>
      <c r="AC22" s="34"/>
      <c r="AD22" s="34"/>
      <c r="AE22" s="34"/>
      <c r="AF22" s="34"/>
      <c r="AG22" s="34"/>
      <c r="AH22" s="34"/>
      <c r="AI22" s="34"/>
      <c r="AJ22" s="34"/>
      <c r="AK22" s="34"/>
      <c r="AL22" s="34"/>
      <c r="AM22" s="34"/>
      <c r="AN22" s="34"/>
      <c r="AO22" s="34"/>
      <c r="AP22" s="34"/>
      <c r="AQ22" s="34"/>
      <c r="AR22" s="34"/>
      <c r="AS22" s="34"/>
      <c r="AT22" s="34"/>
      <c r="AU22" s="34"/>
      <c r="AV22" s="34"/>
      <c r="AW22" s="34"/>
      <c r="AX22" s="34"/>
      <c r="AY22" s="34"/>
      <c r="AZ22" s="34"/>
      <c r="BA22" s="34"/>
      <c r="BB22" s="34"/>
      <c r="BC22" s="34"/>
      <c r="BD22" s="34"/>
      <c r="BE22" s="34"/>
      <c r="BF22" s="34"/>
      <c r="BG22" s="34"/>
      <c r="BH22" s="34"/>
      <c r="BI22" s="34"/>
      <c r="BJ22" s="34"/>
      <c r="BK22" s="34"/>
      <c r="BL22" s="34"/>
      <c r="BM22" s="34"/>
      <c r="BN22" s="34"/>
      <c r="BO22" s="34"/>
      <c r="BP22" s="34"/>
      <c r="BQ22" s="34"/>
      <c r="BR22" s="34"/>
      <c r="BS22" s="34"/>
      <c r="BT22" s="34"/>
      <c r="BU22" s="34"/>
      <c r="BV22" s="34"/>
      <c r="BW22" s="34"/>
      <c r="BX22" s="34"/>
      <c r="BY22" s="34"/>
      <c r="BZ22" s="34"/>
      <c r="CA22" s="34"/>
      <c r="CB22" s="34"/>
      <c r="CC22" s="34"/>
      <c r="CD22" s="34"/>
      <c r="CE22" s="34"/>
      <c r="CF22" s="34"/>
      <c r="CG22" s="34"/>
      <c r="CH22" s="34"/>
      <c r="CI22" s="34"/>
      <c r="CJ22" s="34"/>
      <c r="CK22" s="34"/>
      <c r="CL22" s="34"/>
      <c r="CM22" s="34"/>
      <c r="CN22" s="34"/>
      <c r="CO22" s="34"/>
      <c r="CP22" s="34"/>
      <c r="CQ22" s="34"/>
      <c r="CR22" s="34"/>
      <c r="CS22" s="34"/>
      <c r="CT22" s="34"/>
      <c r="CU22" s="34"/>
      <c r="CV22" s="34"/>
      <c r="CW22" s="34"/>
      <c r="CX22" s="34"/>
      <c r="CY22" s="34"/>
      <c r="CZ22" s="34"/>
      <c r="DA22" s="34"/>
      <c r="DB22" s="34"/>
      <c r="DC22" s="34"/>
      <c r="DD22" s="34"/>
      <c r="DE22" s="34"/>
      <c r="DF22" s="34"/>
      <c r="DG22" s="34"/>
      <c r="DH22" s="34"/>
      <c r="DI22" s="34"/>
      <c r="DJ22" s="34"/>
      <c r="DK22" s="34"/>
      <c r="DL22" s="34"/>
      <c r="DM22" s="34"/>
      <c r="DN22" s="34"/>
      <c r="DO22" s="34"/>
      <c r="DP22" s="34"/>
      <c r="DQ22" s="34"/>
      <c r="DR22" s="34"/>
      <c r="DS22" s="34"/>
      <c r="DT22" s="34"/>
      <c r="DU22" s="34"/>
      <c r="DV22" s="34"/>
      <c r="DW22" s="34"/>
      <c r="DX22" s="34"/>
      <c r="DY22" s="34"/>
      <c r="DZ22" s="34"/>
      <c r="EA22" s="34"/>
      <c r="EB22" s="34"/>
      <c r="EC22" s="34"/>
      <c r="ED22" s="34"/>
      <c r="EE22" s="34"/>
      <c r="EF22" s="34"/>
      <c r="EG22" s="34"/>
      <c r="EH22" s="34"/>
      <c r="EI22" s="34"/>
      <c r="EJ22" s="34"/>
      <c r="EK22" s="34"/>
      <c r="EL22" s="34"/>
      <c r="EM22" s="34"/>
      <c r="EN22" s="34"/>
      <c r="EO22" s="34"/>
      <c r="EP22" s="34"/>
      <c r="EQ22" s="34"/>
      <c r="ER22" s="34"/>
      <c r="ES22" s="34"/>
      <c r="ET22" s="34"/>
      <c r="EU22" s="34"/>
      <c r="EV22" s="34"/>
      <c r="EW22" s="34"/>
      <c r="EX22" s="34"/>
    </row>
    <row r="23" ht="15.75" customHeight="1">
      <c r="A23" s="34"/>
      <c r="B23" s="34" t="s">
        <v>19</v>
      </c>
      <c r="C23" s="34" t="s">
        <v>24</v>
      </c>
      <c r="D23" s="35">
        <v>80.0</v>
      </c>
      <c r="E23" s="34"/>
      <c r="F23" s="34" t="s">
        <v>28</v>
      </c>
      <c r="G23" s="34"/>
      <c r="H23" s="34"/>
      <c r="I23" s="34"/>
      <c r="J23" s="35">
        <v>2.0</v>
      </c>
      <c r="K23" s="34"/>
      <c r="L23" s="34"/>
      <c r="M23" s="34"/>
      <c r="N23" s="34"/>
      <c r="O23" s="34"/>
      <c r="P23" s="34"/>
      <c r="Q23" s="34"/>
      <c r="R23" s="34"/>
      <c r="S23" s="34"/>
      <c r="T23" s="34"/>
      <c r="U23" s="34"/>
      <c r="V23" s="34"/>
      <c r="W23" s="34"/>
      <c r="X23" s="34"/>
      <c r="Y23" s="34"/>
      <c r="Z23" s="34"/>
      <c r="AA23" s="34"/>
      <c r="AB23" s="34"/>
      <c r="AC23" s="34"/>
      <c r="AD23" s="34"/>
      <c r="AE23" s="34"/>
      <c r="AF23" s="34"/>
      <c r="AG23" s="34"/>
      <c r="AH23" s="34"/>
      <c r="AI23" s="34"/>
      <c r="AJ23" s="34"/>
      <c r="AK23" s="34"/>
      <c r="AL23" s="34"/>
      <c r="AM23" s="34"/>
      <c r="AN23" s="34"/>
      <c r="AO23" s="34"/>
      <c r="AP23" s="34"/>
      <c r="AQ23" s="34"/>
      <c r="AR23" s="34"/>
      <c r="AS23" s="34"/>
      <c r="AT23" s="34"/>
      <c r="AU23" s="34"/>
      <c r="AV23" s="34"/>
      <c r="AW23" s="34"/>
      <c r="AX23" s="34"/>
      <c r="AY23" s="34"/>
      <c r="AZ23" s="34"/>
      <c r="BA23" s="34"/>
      <c r="BB23" s="34"/>
      <c r="BC23" s="34"/>
      <c r="BD23" s="34"/>
      <c r="BE23" s="34"/>
      <c r="BF23" s="34"/>
      <c r="BG23" s="34"/>
      <c r="BH23" s="34"/>
      <c r="BI23" s="34"/>
      <c r="BJ23" s="34"/>
      <c r="BK23" s="34"/>
      <c r="BL23" s="34"/>
      <c r="BM23" s="34"/>
      <c r="BN23" s="34"/>
      <c r="BO23" s="34"/>
      <c r="BP23" s="34"/>
      <c r="BQ23" s="34"/>
      <c r="BR23" s="34"/>
      <c r="BS23" s="34"/>
      <c r="BT23" s="34"/>
      <c r="BU23" s="34"/>
      <c r="BV23" s="34"/>
      <c r="BW23" s="34"/>
      <c r="BX23" s="34"/>
      <c r="BY23" s="34"/>
      <c r="BZ23" s="34"/>
      <c r="CA23" s="34"/>
      <c r="CB23" s="34"/>
      <c r="CC23" s="34"/>
      <c r="CD23" s="34"/>
      <c r="CE23" s="34"/>
      <c r="CF23" s="34"/>
      <c r="CG23" s="34"/>
      <c r="CH23" s="34"/>
      <c r="CI23" s="34"/>
      <c r="CJ23" s="34"/>
      <c r="CK23" s="34"/>
      <c r="CL23" s="34"/>
      <c r="CM23" s="34"/>
      <c r="CN23" s="34"/>
      <c r="CO23" s="34"/>
      <c r="CP23" s="34"/>
      <c r="CQ23" s="34"/>
      <c r="CR23" s="34"/>
      <c r="CS23" s="34"/>
      <c r="CT23" s="34"/>
      <c r="CU23" s="34"/>
      <c r="CV23" s="34"/>
      <c r="CW23" s="34"/>
      <c r="CX23" s="34"/>
      <c r="CY23" s="34"/>
      <c r="CZ23" s="34"/>
      <c r="DA23" s="34"/>
      <c r="DB23" s="34"/>
      <c r="DC23" s="34"/>
      <c r="DD23" s="34"/>
      <c r="DE23" s="34"/>
      <c r="DF23" s="34"/>
      <c r="DG23" s="34"/>
      <c r="DH23" s="34"/>
      <c r="DI23" s="34"/>
      <c r="DJ23" s="34"/>
      <c r="DK23" s="34"/>
      <c r="DL23" s="34"/>
      <c r="DM23" s="34"/>
      <c r="DN23" s="34"/>
      <c r="DO23" s="34"/>
      <c r="DP23" s="34"/>
      <c r="DQ23" s="34"/>
      <c r="DR23" s="34"/>
      <c r="DS23" s="34"/>
      <c r="DT23" s="34"/>
      <c r="DU23" s="34"/>
      <c r="DV23" s="34"/>
      <c r="DW23" s="34"/>
      <c r="DX23" s="34"/>
      <c r="DY23" s="34"/>
      <c r="DZ23" s="34"/>
      <c r="EA23" s="34"/>
      <c r="EB23" s="34"/>
      <c r="EC23" s="34"/>
      <c r="ED23" s="34"/>
      <c r="EE23" s="34"/>
      <c r="EF23" s="34"/>
      <c r="EG23" s="34"/>
      <c r="EH23" s="34"/>
      <c r="EI23" s="34"/>
      <c r="EJ23" s="34"/>
      <c r="EK23" s="34"/>
      <c r="EL23" s="34"/>
      <c r="EM23" s="34"/>
      <c r="EN23" s="34"/>
      <c r="EO23" s="34"/>
      <c r="EP23" s="34"/>
      <c r="EQ23" s="34"/>
      <c r="ER23" s="34"/>
      <c r="ES23" s="34"/>
      <c r="ET23" s="34"/>
      <c r="EU23" s="34"/>
      <c r="EV23" s="34"/>
      <c r="EW23" s="34"/>
      <c r="EX23" s="34"/>
    </row>
    <row r="24" ht="15.75" customHeight="1">
      <c r="A24" s="34"/>
      <c r="B24" s="34" t="s">
        <v>16</v>
      </c>
      <c r="C24" s="34" t="s">
        <v>24</v>
      </c>
      <c r="D24" s="35">
        <v>1000.0</v>
      </c>
      <c r="E24" s="34"/>
      <c r="F24" s="34" t="s">
        <v>29</v>
      </c>
      <c r="G24" s="34"/>
      <c r="H24" s="34"/>
      <c r="I24" s="34"/>
      <c r="J24" s="35">
        <v>2.0</v>
      </c>
      <c r="K24" s="34"/>
      <c r="L24" s="34"/>
      <c r="M24" s="34"/>
      <c r="N24" s="34"/>
      <c r="O24" s="34"/>
      <c r="P24" s="34"/>
      <c r="Q24" s="34"/>
      <c r="R24" s="34"/>
      <c r="S24" s="34"/>
      <c r="T24" s="34"/>
      <c r="U24" s="34"/>
      <c r="V24" s="34"/>
      <c r="W24" s="34"/>
      <c r="X24" s="34"/>
      <c r="Y24" s="34"/>
      <c r="Z24" s="34"/>
      <c r="AA24" s="34"/>
      <c r="AB24" s="34"/>
      <c r="AC24" s="34"/>
      <c r="AD24" s="34"/>
      <c r="AE24" s="34"/>
      <c r="AF24" s="34"/>
      <c r="AG24" s="34"/>
      <c r="AH24" s="34"/>
      <c r="AI24" s="34"/>
      <c r="AJ24" s="34"/>
      <c r="AK24" s="34"/>
      <c r="AL24" s="34"/>
      <c r="AM24" s="34"/>
      <c r="AN24" s="34"/>
      <c r="AO24" s="34"/>
      <c r="AP24" s="34"/>
      <c r="AQ24" s="34"/>
      <c r="AR24" s="34"/>
      <c r="AS24" s="34"/>
      <c r="AT24" s="34"/>
      <c r="AU24" s="34"/>
      <c r="AV24" s="34"/>
      <c r="AW24" s="34"/>
      <c r="AX24" s="34"/>
      <c r="AY24" s="34"/>
      <c r="AZ24" s="34"/>
      <c r="BA24" s="34"/>
      <c r="BB24" s="34"/>
      <c r="BC24" s="34"/>
      <c r="BD24" s="34"/>
      <c r="BE24" s="34"/>
      <c r="BF24" s="34"/>
      <c r="BG24" s="34"/>
      <c r="BH24" s="34"/>
      <c r="BI24" s="34"/>
      <c r="BJ24" s="34"/>
      <c r="BK24" s="34"/>
      <c r="BL24" s="34"/>
      <c r="BM24" s="34"/>
      <c r="BN24" s="34"/>
      <c r="BO24" s="34"/>
      <c r="BP24" s="34"/>
      <c r="BQ24" s="34"/>
      <c r="BR24" s="34"/>
      <c r="BS24" s="34"/>
      <c r="BT24" s="34"/>
      <c r="BU24" s="34"/>
      <c r="BV24" s="34"/>
      <c r="BW24" s="34"/>
      <c r="BX24" s="34"/>
      <c r="BY24" s="34"/>
      <c r="BZ24" s="34"/>
      <c r="CA24" s="34"/>
      <c r="CB24" s="34"/>
      <c r="CC24" s="34"/>
      <c r="CD24" s="34"/>
      <c r="CE24" s="34"/>
      <c r="CF24" s="34"/>
      <c r="CG24" s="34"/>
      <c r="CH24" s="34"/>
      <c r="CI24" s="34"/>
      <c r="CJ24" s="34"/>
      <c r="CK24" s="34"/>
      <c r="CL24" s="34"/>
      <c r="CM24" s="34"/>
      <c r="CN24" s="34"/>
      <c r="CO24" s="34"/>
      <c r="CP24" s="34"/>
      <c r="CQ24" s="34"/>
      <c r="CR24" s="34"/>
      <c r="CS24" s="34"/>
      <c r="CT24" s="34"/>
      <c r="CU24" s="34"/>
      <c r="CV24" s="34"/>
      <c r="CW24" s="34"/>
      <c r="CX24" s="34"/>
      <c r="CY24" s="34"/>
      <c r="CZ24" s="34"/>
      <c r="DA24" s="34"/>
      <c r="DB24" s="34"/>
      <c r="DC24" s="34"/>
      <c r="DD24" s="34"/>
      <c r="DE24" s="34"/>
      <c r="DF24" s="34"/>
      <c r="DG24" s="34"/>
      <c r="DH24" s="34"/>
      <c r="DI24" s="34"/>
      <c r="DJ24" s="34"/>
      <c r="DK24" s="34"/>
      <c r="DL24" s="34"/>
      <c r="DM24" s="34"/>
      <c r="DN24" s="34"/>
      <c r="DO24" s="34"/>
      <c r="DP24" s="34"/>
      <c r="DQ24" s="34"/>
      <c r="DR24" s="34"/>
      <c r="DS24" s="34"/>
      <c r="DT24" s="34"/>
      <c r="DU24" s="34"/>
      <c r="DV24" s="34"/>
      <c r="DW24" s="34"/>
      <c r="DX24" s="34"/>
      <c r="DY24" s="34"/>
      <c r="DZ24" s="34"/>
      <c r="EA24" s="34"/>
      <c r="EB24" s="34"/>
      <c r="EC24" s="34"/>
      <c r="ED24" s="34"/>
      <c r="EE24" s="34"/>
      <c r="EF24" s="34"/>
      <c r="EG24" s="34"/>
      <c r="EH24" s="34"/>
      <c r="EI24" s="34"/>
      <c r="EJ24" s="34"/>
      <c r="EK24" s="34"/>
      <c r="EL24" s="34"/>
      <c r="EM24" s="34"/>
      <c r="EN24" s="34"/>
      <c r="EO24" s="34"/>
      <c r="EP24" s="34"/>
      <c r="EQ24" s="34"/>
      <c r="ER24" s="34"/>
      <c r="ES24" s="34"/>
      <c r="ET24" s="34"/>
      <c r="EU24" s="34"/>
      <c r="EV24" s="34"/>
      <c r="EW24" s="34"/>
      <c r="EX24" s="34"/>
    </row>
    <row r="25" ht="15.75" customHeight="1">
      <c r="A25" s="34"/>
      <c r="B25" s="34" t="s">
        <v>18</v>
      </c>
      <c r="C25" s="34" t="s">
        <v>24</v>
      </c>
      <c r="D25" s="35">
        <v>250.0</v>
      </c>
      <c r="E25" s="34"/>
      <c r="F25" s="34" t="s">
        <v>29</v>
      </c>
      <c r="G25" s="34"/>
      <c r="H25" s="34"/>
      <c r="I25" s="34"/>
      <c r="J25" s="35">
        <v>2.0</v>
      </c>
      <c r="K25" s="34"/>
      <c r="L25" s="34"/>
      <c r="M25" s="34"/>
      <c r="N25" s="34"/>
      <c r="O25" s="34"/>
      <c r="P25" s="34"/>
      <c r="Q25" s="34"/>
      <c r="R25" s="34"/>
      <c r="S25" s="34"/>
      <c r="T25" s="34"/>
      <c r="U25" s="34"/>
      <c r="V25" s="34"/>
      <c r="W25" s="34"/>
      <c r="X25" s="34"/>
      <c r="Y25" s="34"/>
      <c r="Z25" s="34"/>
      <c r="AA25" s="34"/>
      <c r="AB25" s="34"/>
      <c r="AC25" s="34"/>
      <c r="AD25" s="34"/>
      <c r="AE25" s="34"/>
      <c r="AF25" s="34"/>
      <c r="AG25" s="34"/>
      <c r="AH25" s="34"/>
      <c r="AI25" s="34"/>
      <c r="AJ25" s="34"/>
      <c r="AK25" s="34"/>
      <c r="AL25" s="34"/>
      <c r="AM25" s="34"/>
      <c r="AN25" s="34"/>
      <c r="AO25" s="34"/>
      <c r="AP25" s="34"/>
      <c r="AQ25" s="34"/>
      <c r="AR25" s="34"/>
      <c r="AS25" s="34"/>
      <c r="AT25" s="34"/>
      <c r="AU25" s="34"/>
      <c r="AV25" s="34"/>
      <c r="AW25" s="34"/>
      <c r="AX25" s="34"/>
      <c r="AY25" s="34"/>
      <c r="AZ25" s="34"/>
      <c r="BA25" s="34"/>
      <c r="BB25" s="34"/>
      <c r="BC25" s="34"/>
      <c r="BD25" s="34"/>
      <c r="BE25" s="34"/>
      <c r="BF25" s="34"/>
      <c r="BG25" s="34"/>
      <c r="BH25" s="34"/>
      <c r="BI25" s="34"/>
      <c r="BJ25" s="34"/>
      <c r="BK25" s="34"/>
      <c r="BL25" s="34"/>
      <c r="BM25" s="34"/>
      <c r="BN25" s="34"/>
      <c r="BO25" s="34"/>
      <c r="BP25" s="34"/>
      <c r="BQ25" s="34"/>
      <c r="BR25" s="34"/>
      <c r="BS25" s="34"/>
      <c r="BT25" s="34"/>
      <c r="BU25" s="34"/>
      <c r="BV25" s="34"/>
      <c r="BW25" s="34"/>
      <c r="BX25" s="34"/>
      <c r="BY25" s="34"/>
      <c r="BZ25" s="34"/>
      <c r="CA25" s="34"/>
      <c r="CB25" s="34"/>
      <c r="CC25" s="34"/>
      <c r="CD25" s="34"/>
      <c r="CE25" s="34"/>
      <c r="CF25" s="34"/>
      <c r="CG25" s="34"/>
      <c r="CH25" s="34"/>
      <c r="CI25" s="34"/>
      <c r="CJ25" s="34"/>
      <c r="CK25" s="34"/>
      <c r="CL25" s="34"/>
      <c r="CM25" s="34"/>
      <c r="CN25" s="34"/>
      <c r="CO25" s="34"/>
      <c r="CP25" s="34"/>
      <c r="CQ25" s="34"/>
      <c r="CR25" s="34"/>
      <c r="CS25" s="34"/>
      <c r="CT25" s="34"/>
      <c r="CU25" s="34"/>
      <c r="CV25" s="34"/>
      <c r="CW25" s="34"/>
      <c r="CX25" s="34"/>
      <c r="CY25" s="34"/>
      <c r="CZ25" s="34"/>
      <c r="DA25" s="34"/>
      <c r="DB25" s="34"/>
      <c r="DC25" s="34"/>
      <c r="DD25" s="34"/>
      <c r="DE25" s="34"/>
      <c r="DF25" s="34"/>
      <c r="DG25" s="34"/>
      <c r="DH25" s="34"/>
      <c r="DI25" s="34"/>
      <c r="DJ25" s="34"/>
      <c r="DK25" s="34"/>
      <c r="DL25" s="34"/>
      <c r="DM25" s="34"/>
      <c r="DN25" s="34"/>
      <c r="DO25" s="34"/>
      <c r="DP25" s="34"/>
      <c r="DQ25" s="34"/>
      <c r="DR25" s="34"/>
      <c r="DS25" s="34"/>
      <c r="DT25" s="34"/>
      <c r="DU25" s="34"/>
      <c r="DV25" s="34"/>
      <c r="DW25" s="34"/>
      <c r="DX25" s="34"/>
      <c r="DY25" s="34"/>
      <c r="DZ25" s="34"/>
      <c r="EA25" s="34"/>
      <c r="EB25" s="34"/>
      <c r="EC25" s="34"/>
      <c r="ED25" s="34"/>
      <c r="EE25" s="34"/>
      <c r="EF25" s="34"/>
      <c r="EG25" s="34"/>
      <c r="EH25" s="34"/>
      <c r="EI25" s="34"/>
      <c r="EJ25" s="34"/>
      <c r="EK25" s="34"/>
      <c r="EL25" s="34"/>
      <c r="EM25" s="34"/>
      <c r="EN25" s="34"/>
      <c r="EO25" s="34"/>
      <c r="EP25" s="34"/>
      <c r="EQ25" s="34"/>
      <c r="ER25" s="34"/>
      <c r="ES25" s="34"/>
      <c r="ET25" s="34"/>
      <c r="EU25" s="34"/>
      <c r="EV25" s="34"/>
      <c r="EW25" s="34"/>
      <c r="EX25" s="34"/>
    </row>
    <row r="26" ht="15.75" customHeight="1">
      <c r="A26" s="34"/>
      <c r="B26" s="34" t="s">
        <v>27</v>
      </c>
      <c r="C26" s="34" t="s">
        <v>24</v>
      </c>
      <c r="D26" s="35">
        <v>1250.0</v>
      </c>
      <c r="E26" s="34"/>
      <c r="F26" s="34" t="s">
        <v>29</v>
      </c>
      <c r="G26" s="34"/>
      <c r="H26" s="34"/>
      <c r="I26" s="34"/>
      <c r="J26" s="35">
        <v>2.0</v>
      </c>
      <c r="K26" s="34"/>
      <c r="L26" s="34"/>
      <c r="M26" s="34"/>
      <c r="N26" s="34"/>
      <c r="O26" s="34"/>
      <c r="P26" s="34"/>
      <c r="Q26" s="34"/>
      <c r="R26" s="34"/>
      <c r="S26" s="34"/>
      <c r="T26" s="34"/>
      <c r="U26" s="34"/>
      <c r="V26" s="34"/>
      <c r="W26" s="34"/>
      <c r="X26" s="34"/>
      <c r="Y26" s="34"/>
      <c r="Z26" s="34"/>
      <c r="AA26" s="34"/>
      <c r="AB26" s="34"/>
      <c r="AC26" s="34"/>
      <c r="AD26" s="34"/>
      <c r="AE26" s="34"/>
      <c r="AF26" s="34"/>
      <c r="AG26" s="34"/>
      <c r="AH26" s="34"/>
      <c r="AI26" s="34"/>
      <c r="AJ26" s="34"/>
      <c r="AK26" s="34"/>
      <c r="AL26" s="34"/>
      <c r="AM26" s="34"/>
      <c r="AN26" s="34"/>
      <c r="AO26" s="34"/>
      <c r="AP26" s="34"/>
      <c r="AQ26" s="34"/>
      <c r="AR26" s="34"/>
      <c r="AS26" s="34"/>
      <c r="AT26" s="34"/>
      <c r="AU26" s="34"/>
      <c r="AV26" s="34"/>
      <c r="AW26" s="34"/>
      <c r="AX26" s="34"/>
      <c r="AY26" s="34"/>
      <c r="AZ26" s="34"/>
      <c r="BA26" s="34"/>
      <c r="BB26" s="34"/>
      <c r="BC26" s="34"/>
      <c r="BD26" s="34"/>
      <c r="BE26" s="34"/>
      <c r="BF26" s="34"/>
      <c r="BG26" s="34"/>
      <c r="BH26" s="34"/>
      <c r="BI26" s="34"/>
      <c r="BJ26" s="34"/>
      <c r="BK26" s="34"/>
      <c r="BL26" s="34"/>
      <c r="BM26" s="34"/>
      <c r="BN26" s="34"/>
      <c r="BO26" s="34"/>
      <c r="BP26" s="34"/>
      <c r="BQ26" s="34"/>
      <c r="BR26" s="34"/>
      <c r="BS26" s="34"/>
      <c r="BT26" s="34"/>
      <c r="BU26" s="34"/>
      <c r="BV26" s="34"/>
      <c r="BW26" s="34"/>
      <c r="BX26" s="34"/>
      <c r="BY26" s="34"/>
      <c r="BZ26" s="34"/>
      <c r="CA26" s="34"/>
      <c r="CB26" s="34"/>
      <c r="CC26" s="34"/>
      <c r="CD26" s="34"/>
      <c r="CE26" s="34"/>
      <c r="CF26" s="34"/>
      <c r="CG26" s="34"/>
      <c r="CH26" s="34"/>
      <c r="CI26" s="34"/>
      <c r="CJ26" s="34"/>
      <c r="CK26" s="34"/>
      <c r="CL26" s="34"/>
      <c r="CM26" s="34"/>
      <c r="CN26" s="34"/>
      <c r="CO26" s="34"/>
      <c r="CP26" s="34"/>
      <c r="CQ26" s="34"/>
      <c r="CR26" s="34"/>
      <c r="CS26" s="34"/>
      <c r="CT26" s="34"/>
      <c r="CU26" s="34"/>
      <c r="CV26" s="34"/>
      <c r="CW26" s="34"/>
      <c r="CX26" s="34"/>
      <c r="CY26" s="34"/>
      <c r="CZ26" s="34"/>
      <c r="DA26" s="34"/>
      <c r="DB26" s="34"/>
      <c r="DC26" s="34"/>
      <c r="DD26" s="34"/>
      <c r="DE26" s="34"/>
      <c r="DF26" s="34"/>
      <c r="DG26" s="34"/>
      <c r="DH26" s="34"/>
      <c r="DI26" s="34"/>
      <c r="DJ26" s="34"/>
      <c r="DK26" s="34"/>
      <c r="DL26" s="34"/>
      <c r="DM26" s="34"/>
      <c r="DN26" s="34"/>
      <c r="DO26" s="34"/>
      <c r="DP26" s="34"/>
      <c r="DQ26" s="34"/>
      <c r="DR26" s="34"/>
      <c r="DS26" s="34"/>
      <c r="DT26" s="34"/>
      <c r="DU26" s="34"/>
      <c r="DV26" s="34"/>
      <c r="DW26" s="34"/>
      <c r="DX26" s="34"/>
      <c r="DY26" s="34"/>
      <c r="DZ26" s="34"/>
      <c r="EA26" s="34"/>
      <c r="EB26" s="34"/>
      <c r="EC26" s="34"/>
      <c r="ED26" s="34"/>
      <c r="EE26" s="34"/>
      <c r="EF26" s="34"/>
      <c r="EG26" s="34"/>
      <c r="EH26" s="34"/>
      <c r="EI26" s="34"/>
      <c r="EJ26" s="34"/>
      <c r="EK26" s="34"/>
      <c r="EL26" s="34"/>
      <c r="EM26" s="34"/>
      <c r="EN26" s="34"/>
      <c r="EO26" s="34"/>
      <c r="EP26" s="34"/>
      <c r="EQ26" s="34"/>
      <c r="ER26" s="34"/>
      <c r="ES26" s="34"/>
      <c r="ET26" s="34"/>
      <c r="EU26" s="34"/>
      <c r="EV26" s="34"/>
      <c r="EW26" s="34"/>
      <c r="EX26" s="34"/>
    </row>
    <row r="27" ht="15.75" customHeight="1">
      <c r="A27" s="34"/>
      <c r="B27" s="36">
        <v>1.23456789E8</v>
      </c>
      <c r="C27" s="34" t="s">
        <v>24</v>
      </c>
      <c r="D27" s="35">
        <v>2750.0</v>
      </c>
      <c r="E27" s="34"/>
      <c r="F27" s="34" t="s">
        <v>29</v>
      </c>
      <c r="G27" s="34"/>
      <c r="H27" s="34"/>
      <c r="I27" s="34"/>
      <c r="J27" s="35">
        <v>2.0</v>
      </c>
      <c r="K27" s="34"/>
      <c r="L27" s="34"/>
      <c r="M27" s="34"/>
      <c r="N27" s="34"/>
      <c r="O27" s="34"/>
      <c r="P27" s="34"/>
      <c r="Q27" s="34"/>
      <c r="R27" s="34"/>
      <c r="S27" s="34"/>
      <c r="T27" s="34"/>
      <c r="U27" s="34"/>
      <c r="V27" s="34"/>
      <c r="W27" s="34"/>
      <c r="X27" s="34"/>
      <c r="Y27" s="34"/>
      <c r="Z27" s="34"/>
      <c r="AA27" s="34"/>
      <c r="AB27" s="34"/>
      <c r="AC27" s="34"/>
      <c r="AD27" s="34"/>
      <c r="AE27" s="34"/>
      <c r="AF27" s="34"/>
      <c r="AG27" s="34"/>
      <c r="AH27" s="34"/>
      <c r="AI27" s="34"/>
      <c r="AJ27" s="34"/>
      <c r="AK27" s="34"/>
      <c r="AL27" s="34"/>
      <c r="AM27" s="34"/>
      <c r="AN27" s="34"/>
      <c r="AO27" s="34"/>
      <c r="AP27" s="34"/>
      <c r="AQ27" s="34"/>
      <c r="AR27" s="34"/>
      <c r="AS27" s="34"/>
      <c r="AT27" s="34"/>
      <c r="AU27" s="34"/>
      <c r="AV27" s="34"/>
      <c r="AW27" s="34"/>
      <c r="AX27" s="34"/>
      <c r="AY27" s="34"/>
      <c r="AZ27" s="34"/>
      <c r="BA27" s="34"/>
      <c r="BB27" s="34"/>
      <c r="BC27" s="34"/>
      <c r="BD27" s="34"/>
      <c r="BE27" s="34"/>
      <c r="BF27" s="34"/>
      <c r="BG27" s="34"/>
      <c r="BH27" s="34"/>
      <c r="BI27" s="34"/>
      <c r="BJ27" s="34"/>
      <c r="BK27" s="34"/>
      <c r="BL27" s="34"/>
      <c r="BM27" s="34"/>
      <c r="BN27" s="34"/>
      <c r="BO27" s="34"/>
      <c r="BP27" s="34"/>
      <c r="BQ27" s="34"/>
      <c r="BR27" s="34"/>
      <c r="BS27" s="34"/>
      <c r="BT27" s="34"/>
      <c r="BU27" s="34"/>
      <c r="BV27" s="34"/>
      <c r="BW27" s="34"/>
      <c r="BX27" s="34"/>
      <c r="BY27" s="34"/>
      <c r="BZ27" s="34"/>
      <c r="CA27" s="34"/>
      <c r="CB27" s="34"/>
      <c r="CC27" s="34"/>
      <c r="CD27" s="34"/>
      <c r="CE27" s="34"/>
      <c r="CF27" s="34"/>
      <c r="CG27" s="34"/>
      <c r="CH27" s="34"/>
      <c r="CI27" s="34"/>
      <c r="CJ27" s="34"/>
      <c r="CK27" s="34"/>
      <c r="CL27" s="34"/>
      <c r="CM27" s="34"/>
      <c r="CN27" s="34"/>
      <c r="CO27" s="34"/>
      <c r="CP27" s="34"/>
      <c r="CQ27" s="34"/>
      <c r="CR27" s="34"/>
      <c r="CS27" s="34"/>
      <c r="CT27" s="34"/>
      <c r="CU27" s="34"/>
      <c r="CV27" s="34"/>
      <c r="CW27" s="34"/>
      <c r="CX27" s="34"/>
      <c r="CY27" s="34"/>
      <c r="CZ27" s="34"/>
      <c r="DA27" s="34"/>
      <c r="DB27" s="34"/>
      <c r="DC27" s="34"/>
      <c r="DD27" s="34"/>
      <c r="DE27" s="34"/>
      <c r="DF27" s="34"/>
      <c r="DG27" s="34"/>
      <c r="DH27" s="34"/>
      <c r="DI27" s="34"/>
      <c r="DJ27" s="34"/>
      <c r="DK27" s="34"/>
      <c r="DL27" s="34"/>
      <c r="DM27" s="34"/>
      <c r="DN27" s="34"/>
      <c r="DO27" s="34"/>
      <c r="DP27" s="34"/>
      <c r="DQ27" s="34"/>
      <c r="DR27" s="34"/>
      <c r="DS27" s="34"/>
      <c r="DT27" s="34"/>
      <c r="DU27" s="34"/>
      <c r="DV27" s="34"/>
      <c r="DW27" s="34"/>
      <c r="DX27" s="34"/>
      <c r="DY27" s="34"/>
      <c r="DZ27" s="34"/>
      <c r="EA27" s="34"/>
      <c r="EB27" s="34"/>
      <c r="EC27" s="34"/>
      <c r="ED27" s="34"/>
      <c r="EE27" s="34"/>
      <c r="EF27" s="34"/>
      <c r="EG27" s="34"/>
      <c r="EH27" s="34"/>
      <c r="EI27" s="34"/>
      <c r="EJ27" s="34"/>
      <c r="EK27" s="34"/>
      <c r="EL27" s="34"/>
      <c r="EM27" s="34"/>
      <c r="EN27" s="34"/>
      <c r="EO27" s="34"/>
      <c r="EP27" s="34"/>
      <c r="EQ27" s="34"/>
      <c r="ER27" s="34"/>
      <c r="ES27" s="34"/>
      <c r="ET27" s="34"/>
      <c r="EU27" s="34"/>
      <c r="EV27" s="34"/>
      <c r="EW27" s="34"/>
      <c r="EX27" s="34"/>
    </row>
    <row r="28" ht="15.75" customHeight="1">
      <c r="A28" s="34"/>
      <c r="B28" s="34" t="s">
        <v>20</v>
      </c>
      <c r="C28" s="34" t="s">
        <v>24</v>
      </c>
      <c r="D28" s="35">
        <v>465.0</v>
      </c>
      <c r="E28" s="34"/>
      <c r="F28" s="34" t="s">
        <v>29</v>
      </c>
      <c r="G28" s="34"/>
      <c r="H28" s="34"/>
      <c r="I28" s="34"/>
      <c r="J28" s="35">
        <v>2.0</v>
      </c>
      <c r="K28" s="34"/>
      <c r="L28" s="34"/>
      <c r="M28" s="34"/>
      <c r="N28" s="34"/>
      <c r="O28" s="34"/>
      <c r="P28" s="34"/>
      <c r="Q28" s="34"/>
      <c r="R28" s="34"/>
      <c r="S28" s="34"/>
      <c r="T28" s="34"/>
      <c r="U28" s="34"/>
      <c r="V28" s="34"/>
      <c r="W28" s="34"/>
      <c r="X28" s="34"/>
      <c r="Y28" s="34"/>
      <c r="Z28" s="34"/>
      <c r="AA28" s="34"/>
      <c r="AB28" s="34"/>
      <c r="AC28" s="34"/>
      <c r="AD28" s="34"/>
      <c r="AE28" s="34"/>
      <c r="AF28" s="34"/>
      <c r="AG28" s="34"/>
      <c r="AH28" s="34"/>
      <c r="AI28" s="34"/>
      <c r="AJ28" s="34"/>
      <c r="AK28" s="34"/>
      <c r="AL28" s="34"/>
      <c r="AM28" s="34"/>
      <c r="AN28" s="34"/>
      <c r="AO28" s="34"/>
      <c r="AP28" s="34"/>
      <c r="AQ28" s="34"/>
      <c r="AR28" s="34"/>
      <c r="AS28" s="34"/>
      <c r="AT28" s="34"/>
      <c r="AU28" s="34"/>
      <c r="AV28" s="34"/>
      <c r="AW28" s="34"/>
      <c r="AX28" s="34"/>
      <c r="AY28" s="34"/>
      <c r="AZ28" s="34"/>
      <c r="BA28" s="34"/>
      <c r="BB28" s="34"/>
      <c r="BC28" s="34"/>
      <c r="BD28" s="34"/>
      <c r="BE28" s="34"/>
      <c r="BF28" s="34"/>
      <c r="BG28" s="34"/>
      <c r="BH28" s="34"/>
      <c r="BI28" s="34"/>
      <c r="BJ28" s="34"/>
      <c r="BK28" s="34"/>
      <c r="BL28" s="34"/>
      <c r="BM28" s="34"/>
      <c r="BN28" s="34"/>
      <c r="BO28" s="34"/>
      <c r="BP28" s="34"/>
      <c r="BQ28" s="34"/>
      <c r="BR28" s="34"/>
      <c r="BS28" s="34"/>
      <c r="BT28" s="34"/>
      <c r="BU28" s="34"/>
      <c r="BV28" s="34"/>
      <c r="BW28" s="34"/>
      <c r="BX28" s="34"/>
      <c r="BY28" s="34"/>
      <c r="BZ28" s="34"/>
      <c r="CA28" s="34"/>
      <c r="CB28" s="34"/>
      <c r="CC28" s="34"/>
      <c r="CD28" s="34"/>
      <c r="CE28" s="34"/>
      <c r="CF28" s="34"/>
      <c r="CG28" s="34"/>
      <c r="CH28" s="34"/>
      <c r="CI28" s="34"/>
      <c r="CJ28" s="34"/>
      <c r="CK28" s="34"/>
      <c r="CL28" s="34"/>
      <c r="CM28" s="34"/>
      <c r="CN28" s="34"/>
      <c r="CO28" s="34"/>
      <c r="CP28" s="34"/>
      <c r="CQ28" s="34"/>
      <c r="CR28" s="34"/>
      <c r="CS28" s="34"/>
      <c r="CT28" s="34"/>
      <c r="CU28" s="34"/>
      <c r="CV28" s="34"/>
      <c r="CW28" s="34"/>
      <c r="CX28" s="34"/>
      <c r="CY28" s="34"/>
      <c r="CZ28" s="34"/>
      <c r="DA28" s="34"/>
      <c r="DB28" s="34"/>
      <c r="DC28" s="34"/>
      <c r="DD28" s="34"/>
      <c r="DE28" s="34"/>
      <c r="DF28" s="34"/>
      <c r="DG28" s="34"/>
      <c r="DH28" s="34"/>
      <c r="DI28" s="34"/>
      <c r="DJ28" s="34"/>
      <c r="DK28" s="34"/>
      <c r="DL28" s="34"/>
      <c r="DM28" s="34"/>
      <c r="DN28" s="34"/>
      <c r="DO28" s="34"/>
      <c r="DP28" s="34"/>
      <c r="DQ28" s="34"/>
      <c r="DR28" s="34"/>
      <c r="DS28" s="34"/>
      <c r="DT28" s="34"/>
      <c r="DU28" s="34"/>
      <c r="DV28" s="34"/>
      <c r="DW28" s="34"/>
      <c r="DX28" s="34"/>
      <c r="DY28" s="34"/>
      <c r="DZ28" s="34"/>
      <c r="EA28" s="34"/>
      <c r="EB28" s="34"/>
      <c r="EC28" s="34"/>
      <c r="ED28" s="34"/>
      <c r="EE28" s="34"/>
      <c r="EF28" s="34"/>
      <c r="EG28" s="34"/>
      <c r="EH28" s="34"/>
      <c r="EI28" s="34"/>
      <c r="EJ28" s="34"/>
      <c r="EK28" s="34"/>
      <c r="EL28" s="34"/>
      <c r="EM28" s="34"/>
      <c r="EN28" s="34"/>
      <c r="EO28" s="34"/>
      <c r="EP28" s="34"/>
      <c r="EQ28" s="34"/>
      <c r="ER28" s="34"/>
      <c r="ES28" s="34"/>
      <c r="ET28" s="34"/>
      <c r="EU28" s="34"/>
      <c r="EV28" s="34"/>
      <c r="EW28" s="34"/>
      <c r="EX28" s="34"/>
    </row>
    <row r="29" ht="15.75" customHeight="1">
      <c r="A29" s="34"/>
      <c r="B29" s="34" t="s">
        <v>19</v>
      </c>
      <c r="C29" s="34" t="s">
        <v>24</v>
      </c>
      <c r="D29" s="35">
        <v>80.0</v>
      </c>
      <c r="E29" s="34"/>
      <c r="F29" s="34" t="s">
        <v>29</v>
      </c>
      <c r="G29" s="34"/>
      <c r="H29" s="34"/>
      <c r="I29" s="34"/>
      <c r="J29" s="35">
        <v>2.0</v>
      </c>
      <c r="K29" s="34"/>
      <c r="L29" s="34"/>
      <c r="M29" s="34"/>
      <c r="N29" s="34"/>
      <c r="O29" s="34"/>
      <c r="P29" s="34"/>
      <c r="Q29" s="34"/>
      <c r="R29" s="34"/>
      <c r="S29" s="34"/>
      <c r="T29" s="34"/>
      <c r="U29" s="34"/>
      <c r="V29" s="34"/>
      <c r="W29" s="34"/>
      <c r="X29" s="34"/>
      <c r="Y29" s="34"/>
      <c r="Z29" s="34"/>
      <c r="AA29" s="34"/>
      <c r="AB29" s="34"/>
      <c r="AC29" s="34"/>
      <c r="AD29" s="34"/>
      <c r="AE29" s="34"/>
      <c r="AF29" s="34"/>
      <c r="AG29" s="34"/>
      <c r="AH29" s="34"/>
      <c r="AI29" s="34"/>
      <c r="AJ29" s="34"/>
      <c r="AK29" s="34"/>
      <c r="AL29" s="34"/>
      <c r="AM29" s="34"/>
      <c r="AN29" s="34"/>
      <c r="AO29" s="34"/>
      <c r="AP29" s="34"/>
      <c r="AQ29" s="34"/>
      <c r="AR29" s="34"/>
      <c r="AS29" s="34"/>
      <c r="AT29" s="34"/>
      <c r="AU29" s="34"/>
      <c r="AV29" s="34"/>
      <c r="AW29" s="34"/>
      <c r="AX29" s="34"/>
      <c r="AY29" s="34"/>
      <c r="AZ29" s="34"/>
      <c r="BA29" s="34"/>
      <c r="BB29" s="34"/>
      <c r="BC29" s="34"/>
      <c r="BD29" s="34"/>
      <c r="BE29" s="34"/>
      <c r="BF29" s="34"/>
      <c r="BG29" s="34"/>
      <c r="BH29" s="34"/>
      <c r="BI29" s="34"/>
      <c r="BJ29" s="34"/>
      <c r="BK29" s="34"/>
      <c r="BL29" s="34"/>
      <c r="BM29" s="34"/>
      <c r="BN29" s="34"/>
      <c r="BO29" s="34"/>
      <c r="BP29" s="34"/>
      <c r="BQ29" s="34"/>
      <c r="BR29" s="34"/>
      <c r="BS29" s="34"/>
      <c r="BT29" s="34"/>
      <c r="BU29" s="34"/>
      <c r="BV29" s="34"/>
      <c r="BW29" s="34"/>
      <c r="BX29" s="34"/>
      <c r="BY29" s="34"/>
      <c r="BZ29" s="34"/>
      <c r="CA29" s="34"/>
      <c r="CB29" s="34"/>
      <c r="CC29" s="34"/>
      <c r="CD29" s="34"/>
      <c r="CE29" s="34"/>
      <c r="CF29" s="34"/>
      <c r="CG29" s="34"/>
      <c r="CH29" s="34"/>
      <c r="CI29" s="34"/>
      <c r="CJ29" s="34"/>
      <c r="CK29" s="34"/>
      <c r="CL29" s="34"/>
      <c r="CM29" s="34"/>
      <c r="CN29" s="34"/>
      <c r="CO29" s="34"/>
      <c r="CP29" s="34"/>
      <c r="CQ29" s="34"/>
      <c r="CR29" s="34"/>
      <c r="CS29" s="34"/>
      <c r="CT29" s="34"/>
      <c r="CU29" s="34"/>
      <c r="CV29" s="34"/>
      <c r="CW29" s="34"/>
      <c r="CX29" s="34"/>
      <c r="CY29" s="34"/>
      <c r="CZ29" s="34"/>
      <c r="DA29" s="34"/>
      <c r="DB29" s="34"/>
      <c r="DC29" s="34"/>
      <c r="DD29" s="34"/>
      <c r="DE29" s="34"/>
      <c r="DF29" s="34"/>
      <c r="DG29" s="34"/>
      <c r="DH29" s="34"/>
      <c r="DI29" s="34"/>
      <c r="DJ29" s="34"/>
      <c r="DK29" s="34"/>
      <c r="DL29" s="34"/>
      <c r="DM29" s="34"/>
      <c r="DN29" s="34"/>
      <c r="DO29" s="34"/>
      <c r="DP29" s="34"/>
      <c r="DQ29" s="34"/>
      <c r="DR29" s="34"/>
      <c r="DS29" s="34"/>
      <c r="DT29" s="34"/>
      <c r="DU29" s="34"/>
      <c r="DV29" s="34"/>
      <c r="DW29" s="34"/>
      <c r="DX29" s="34"/>
      <c r="DY29" s="34"/>
      <c r="DZ29" s="34"/>
      <c r="EA29" s="34"/>
      <c r="EB29" s="34"/>
      <c r="EC29" s="34"/>
      <c r="ED29" s="34"/>
      <c r="EE29" s="34"/>
      <c r="EF29" s="34"/>
      <c r="EG29" s="34"/>
      <c r="EH29" s="34"/>
      <c r="EI29" s="34"/>
      <c r="EJ29" s="34"/>
      <c r="EK29" s="34"/>
      <c r="EL29" s="34"/>
      <c r="EM29" s="34"/>
      <c r="EN29" s="34"/>
      <c r="EO29" s="34"/>
      <c r="EP29" s="34"/>
      <c r="EQ29" s="34"/>
      <c r="ER29" s="34"/>
      <c r="ES29" s="34"/>
      <c r="ET29" s="34"/>
      <c r="EU29" s="34"/>
      <c r="EV29" s="34"/>
      <c r="EW29" s="34"/>
      <c r="EX29" s="34"/>
    </row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30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IFERROR(__xludf.DUMMYFUNCTION("IF(C3="""","""",Transpose(IMPORTRANGE('_Settings'!$B$3,C3&amp;""!A4:A1000"")))"),"PricingInput")</f>
        <v>PricingInput</v>
      </c>
      <c r="C4" s="25" t="str">
        <f>IFERROR(__xludf.DUMMYFUNCTION("""COMPUTED_VALUE"""),"UpdateSharesOutstanding")</f>
        <v>UpdateSharesOutstanding</v>
      </c>
      <c r="D4" s="25" t="str">
        <f>IFERROR(__xludf.DUMMYFUNCTION("""COMPUTED_VALUE"""),"EODTPreferences")</f>
        <v>EODTPreferences</v>
      </c>
      <c r="E4" s="25" t="str">
        <f>IFERROR(__xludf.DUMMYFUNCTION("""COMPUTED_VALUE"""),"LiveData")</f>
        <v>LiveData</v>
      </c>
      <c r="F4" s="25" t="str">
        <f>IFERROR(__xludf.DUMMYFUNCTION("""COMPUTED_VALUE"""),"UncheckDividendYield")</f>
        <v>UncheckDividendYield</v>
      </c>
      <c r="G4" s="25"/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IFERROR(__xludf.DUMMYFUNCTION("""COMPUTED_VALUE"""),"User Px")</f>
        <v>User Px</v>
      </c>
      <c r="D5" s="28" t="str">
        <f>IFERROR(__xludf.DUMMYFUNCTION("""COMPUTED_VALUE"""),"Asset Class")</f>
        <v>Asset Class</v>
      </c>
      <c r="E5" s="28" t="str">
        <f>IFERROR(__xludf.DUMMYFUNCTION("""COMPUTED_VALUE"""),"Volatility(%)")</f>
        <v>Volatility(%)</v>
      </c>
      <c r="F5" s="29" t="str">
        <f>IFERROR(__xludf.DUMMYFUNCTION("""COMPUTED_VALUE"""),"Historical Volatility")</f>
        <v>Historical Volatility</v>
      </c>
      <c r="G5" s="28" t="str">
        <f>IFERROR(__xludf.DUMMYFUNCTION("""COMPUTED_VALUE"""),"User Volatility")</f>
        <v>User Volatility</v>
      </c>
      <c r="H5" s="28" t="str">
        <f>IFERROR(__xludf.DUMMYFUNCTION("""COMPUTED_VALUE"""),"Interest Rate")</f>
        <v>Interest Rate</v>
      </c>
      <c r="I5" s="28" t="str">
        <f>IFERROR(__xludf.DUMMYFUNCTION("""COMPUTED_VALUE"""),"User Interest Rate")</f>
        <v>User Interest Rate</v>
      </c>
      <c r="J5" s="28" t="str">
        <f>IFERROR(__xludf.DUMMYFUNCTION("""COMPUTED_VALUE"""),"Dividend Yield")</f>
        <v>Dividend Yield</v>
      </c>
      <c r="K5" s="28" t="str">
        <f>IFERROR(__xludf.DUMMYFUNCTION("""COMPUTED_VALUE"""),"User Dividend Yield")</f>
        <v>User Dividend Yield</v>
      </c>
      <c r="L5" s="28" t="str">
        <f>IFERROR(__xludf.DUMMYFUNCTION("""COMPUTED_VALUE"""),"Actual Delta")</f>
        <v>Actual Delta</v>
      </c>
      <c r="M5" s="28" t="str">
        <f>IFERROR(__xludf.DUMMYFUNCTION("""COMPUTED_VALUE"""),"User Delta")</f>
        <v>User Delta</v>
      </c>
      <c r="N5" s="28" t="str">
        <f>IFERROR(__xludf.DUMMYFUNCTION("""COMPUTED_VALUE"""),"Selected Px")</f>
        <v>Selected Px</v>
      </c>
      <c r="O5" s="28" t="str">
        <f>IFERROR(__xludf.DUMMYFUNCTION("""COMPUTED_VALUE"""),"Forward Points")</f>
        <v>Forward Points</v>
      </c>
      <c r="P5" s="28" t="str">
        <f>IFERROR(__xludf.DUMMYFUNCTION("""COMPUTED_VALUE"""),"Shares Outstanding")</f>
        <v>Shares Outstanding</v>
      </c>
      <c r="Q5" s="28" t="str">
        <f>IFERROR(__xludf.DUMMYFUNCTION("""COMPUTED_VALUE"""),"User Shares Outstanding")</f>
        <v>User Shares Outstanding</v>
      </c>
      <c r="R5" s="28" t="str">
        <f>IFERROR(__xludf.DUMMYFUNCTION("""COMPUTED_VALUE"""),"LastPriceUsed")</f>
        <v>LastPriceUsed</v>
      </c>
      <c r="S5" s="28" t="str">
        <f>IFERROR(__xludf.DUMMYFUNCTION("""COMPUTED_VALUE"""),"VolatilityUsed")</f>
        <v>VolatilityUsed</v>
      </c>
      <c r="T5" s="30" t="str">
        <f>IFERROR(__xludf.DUMMYFUNCTION("""COMPUTED_VALUE"""),"IntRateUsed")</f>
        <v>IntRateUsed</v>
      </c>
      <c r="U5" s="30" t="str">
        <f>IFERROR(__xludf.DUMMYFUNCTION("""COMPUTED_VALUE"""),"SM Shares Outstanding")</f>
        <v>SM Shares Outstanding</v>
      </c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8" t="s">
        <v>16</v>
      </c>
      <c r="C6" s="35">
        <v>85.0</v>
      </c>
      <c r="D6" s="13"/>
      <c r="E6" s="33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39" t="s">
        <v>18</v>
      </c>
      <c r="C7" s="35">
        <v>67.0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39" t="s">
        <v>17</v>
      </c>
      <c r="C8" s="35">
        <v>123.0</v>
      </c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39" t="s">
        <v>27</v>
      </c>
      <c r="C9" s="35">
        <v>127.0</v>
      </c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36">
        <v>1.23456789E8</v>
      </c>
      <c r="C10" s="35">
        <v>756.0</v>
      </c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39" t="s">
        <v>20</v>
      </c>
      <c r="C11" s="35">
        <v>12.0</v>
      </c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34" t="s">
        <v>19</v>
      </c>
      <c r="C12" s="35">
        <v>23.0</v>
      </c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PricingInput!$4:$4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31</v>
      </c>
      <c r="D3" s="5" t="s">
        <v>9</v>
      </c>
      <c r="E3" s="23" t="s">
        <v>32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IFERROR(__xludf.DUMMYFUNCTION("IF(C3="""","""",Transpose(IMPORTRANGE('_Settings'!$B$3,C3&amp;""!A4:A1000"")))"),"UpdateBeta")</f>
        <v>UpdateBeta</v>
      </c>
      <c r="C4" s="25" t="str">
        <f>IFERROR(__xludf.DUMMYFUNCTION("""COMPUTED_VALUE"""),"UpdateDailyCash")</f>
        <v>UpdateDailyCash</v>
      </c>
      <c r="D4" s="25" t="str">
        <f>IFERROR(__xludf.DUMMYFUNCTION("""COMPUTED_VALUE"""),"UpdateForexConversion")</f>
        <v>UpdateForexConversion</v>
      </c>
      <c r="E4" s="25" t="str">
        <f>IFERROR(__xludf.DUMMYFUNCTION("""COMPUTED_VALUE"""),"UpdateMarkPrice")</f>
        <v>UpdateMarkPrice</v>
      </c>
      <c r="F4" s="25" t="str">
        <f>IFERROR(__xludf.DUMMYFUNCTION("""COMPUTED_VALUE"""),"CleanUp")</f>
        <v>CleanUp</v>
      </c>
      <c r="G4" s="25" t="str">
        <f>IFERROR(__xludf.DUMMYFUNCTION("""COMPUTED_VALUE"""),"GetMarkPriceData")</f>
        <v>GetMarkPriceData</v>
      </c>
      <c r="H4" s="25" t="str">
        <f>IFERROR(__xludf.DUMMYFUNCTION("""COMPUTED_VALUE"""),"GetForwardPoints")</f>
        <v>GetForwardPoints</v>
      </c>
      <c r="I4" s="25" t="str">
        <f>IFERROR(__xludf.DUMMYFUNCTION("""COMPUTED_VALUE"""),"UpdateForwardPoints")</f>
        <v>UpdateForwardPoints</v>
      </c>
      <c r="J4" s="25" t="str">
        <f>IFERROR(__xludf.DUMMYFUNCTION("""COMPUTED_VALUE"""),"GetForexConversion")</f>
        <v>GetForexConversion</v>
      </c>
      <c r="K4" s="25" t="str">
        <f>IFERROR(__xludf.DUMMYFUNCTION("""COMPUTED_VALUE"""),"DeleteNAV")</f>
        <v>DeleteNAV</v>
      </c>
      <c r="L4" s="25" t="str">
        <f>IFERROR(__xludf.DUMMYFUNCTION("""COMPUTED_VALUE"""),"GetDailyCash")</f>
        <v>GetDailyCash</v>
      </c>
      <c r="M4" s="25" t="str">
        <f>IFERROR(__xludf.DUMMYFUNCTION("""COMPUTED_VALUE"""),"GetDailyBeta")</f>
        <v>GetDailyBeta</v>
      </c>
      <c r="N4" s="25" t="str">
        <f>IFERROR(__xludf.DUMMYFUNCTION("""COMPUTED_VALUE"""),"GetDailyVolatility")</f>
        <v>GetDailyVolatility</v>
      </c>
      <c r="O4" s="25" t="str">
        <f>IFERROR(__xludf.DUMMYFUNCTION("""COMPUTED_VALUE"""),"GetDailyDividendYield")</f>
        <v>GetDailyDividendYield</v>
      </c>
      <c r="P4" s="26" t="str">
        <f>IFERROR(__xludf.DUMMYFUNCTION("""COMPUTED_VALUE"""),"GetDailyTradingVolume")</f>
        <v>GetDailyTradingVolume</v>
      </c>
      <c r="Q4" s="26" t="str">
        <f>IFERROR(__xludf.DUMMYFUNCTION("""COMPUTED_VALUE"""),"GetDailyOutstandings")</f>
        <v>GetDailyOutstandings</v>
      </c>
      <c r="R4" s="26" t="str">
        <f>IFERROR(__xludf.DUMMYFUNCTION("""COMPUTED_VALUE"""),"GetDailyDelta")</f>
        <v>GetDailyDelta</v>
      </c>
      <c r="S4" s="26" t="str">
        <f>IFERROR(__xludf.DUMMYFUNCTION("""COMPUTED_VALUE"""),"UpdateDailyVolatility")</f>
        <v>UpdateDailyVolatility</v>
      </c>
      <c r="T4" s="26" t="str">
        <f>IFERROR(__xludf.DUMMYFUNCTION("""COMPUTED_VALUE"""),"UpdateDividendYield")</f>
        <v>UpdateDividendYield</v>
      </c>
      <c r="U4" s="26" t="str">
        <f>IFERROR(__xludf.DUMMYFUNCTION("""COMPUTED_VALUE"""),"UpdateTradingVolume")</f>
        <v>UpdateTradingVolume</v>
      </c>
      <c r="V4" s="26" t="str">
        <f>IFERROR(__xludf.DUMMYFUNCTION("""COMPUTED_VALUE"""),"UpdateDailyDelta")</f>
        <v>UpdateDailyDelta</v>
      </c>
      <c r="W4" s="26" t="str">
        <f>IFERROR(__xludf.DUMMYFUNCTION("""COMPUTED_VALUE"""),"UpdateDailyOutstandings")</f>
        <v>UpdateDailyOutstandings</v>
      </c>
      <c r="X4" s="26" t="str">
        <f>IFERROR(__xludf.DUMMYFUNCTION("""COMPUTED_VALUE"""),"UpdateBeta")</f>
        <v>UpdateBeta</v>
      </c>
      <c r="Y4" s="26" t="str">
        <f>IFERROR(__xludf.DUMMYFUNCTION("""COMPUTED_VALUE"""),"UpdateNAV")</f>
        <v>UpdateNAV</v>
      </c>
      <c r="Z4" s="26" t="str">
        <f>IFERROR(__xludf.DUMMYFUNCTION("""COMPUTED_VALUE"""),"UpdateDailyCash")</f>
        <v>UpdateDailyCash</v>
      </c>
      <c r="AA4" s="26" t="str">
        <f>IFERROR(__xludf.DUMMYFUNCTION("""COMPUTED_VALUE"""),"UpdateDailyCreditLimt")</f>
        <v>UpdateDailyCreditLimt</v>
      </c>
      <c r="AB4" s="26" t="str">
        <f>IFERROR(__xludf.DUMMYFUNCTION("""COMPUTED_VALUE"""),"RemoveDailyCreditLimit")</f>
        <v>RemoveDailyCreditLimit</v>
      </c>
      <c r="AC4" s="26" t="str">
        <f>IFERROR(__xludf.DUMMYFUNCTION("""COMPUTED_VALUE"""),"RemoveDailyCash")</f>
        <v>RemoveDailyCash</v>
      </c>
      <c r="AD4" s="26" t="str">
        <f>IFERROR(__xludf.DUMMYFUNCTION("""COMPUTED_VALUE"""),"RemoveNAV")</f>
        <v>RemoveNAV</v>
      </c>
      <c r="AE4" s="26" t="str">
        <f>IFERROR(__xludf.DUMMYFUNCTION("""COMPUTED_VALUE"""),"UpdateForexConversionMonthly")</f>
        <v>UpdateForexConversionMonthly</v>
      </c>
      <c r="AF4" s="26" t="str">
        <f>IFERROR(__xludf.DUMMYFUNCTION("""COMPUTED_VALUE"""),"UpdateMarkPriceMonthly")</f>
        <v>UpdateMarkPriceMonthly</v>
      </c>
      <c r="AG4" s="26" t="str">
        <f>IFERROR(__xludf.DUMMYFUNCTION("""COMPUTED_VALUE"""),"VerifyDailyCash")</f>
        <v>VerifyDailyCash</v>
      </c>
      <c r="AH4" s="26" t="str">
        <f>IFERROR(__xludf.DUMMYFUNCTION("""COMPUTED_VALUE"""),"UpdateMultipleDailyCash")</f>
        <v>UpdateMultipleDailyCash</v>
      </c>
      <c r="AI4" s="26" t="str">
        <f>IFERROR(__xludf.DUMMYFUNCTION("""COMPUTED_VALUE"""),"IsDefaultFilterToShowAccountWiseDataOnDailyValuation")</f>
        <v>IsDefaultFilterToShowAccountWiseDataOnDailyValuation</v>
      </c>
      <c r="AJ4" s="26" t="str">
        <f>IFERROR(__xludf.DUMMYFUNCTION("""COMPUTED_VALUE"""),"EnableBlankMarkPrices")</f>
        <v>EnableBlankMarkPrices</v>
      </c>
      <c r="AK4" s="26" t="str">
        <f>IFERROR(__xludf.DUMMYFUNCTION("""COMPUTED_VALUE"""),"EnableBlankMarkPrices")</f>
        <v>EnableBlankMarkPrices</v>
      </c>
      <c r="AL4" s="26" t="str">
        <f>IFERROR(__xludf.DUMMYFUNCTION("""COMPUTED_VALUE"""),"UpateSymbolAndMarkPrice")</f>
        <v>UpateSymbolAndMarkPrice</v>
      </c>
      <c r="AM4" s="26" t="str">
        <f>IFERROR(__xludf.DUMMYFUNCTION("""COMPUTED_VALUE"""),"UpateSymbolBlankMP")</f>
        <v>UpateSymbolBlankMP</v>
      </c>
      <c r="AN4" s="26" t="str">
        <f>IFERROR(__xludf.DUMMYFUNCTION("""COMPUTED_VALUE"""),"UpdateBlankMP")</f>
        <v>UpdateBlankMP</v>
      </c>
      <c r="AO4" s="26" t="str">
        <f>IFERROR(__xludf.DUMMYFUNCTION("""COMPUTED_VALUE"""),"FilterBlankMP")</f>
        <v>FilterBlankMP</v>
      </c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IFERROR(__xludf.DUMMYFUNCTION("""COMPUTED_VALUE"""),"Select Date")</f>
        <v>Select Date</v>
      </c>
      <c r="C5" s="28" t="str">
        <f>IFERROR(__xludf.DUMMYFUNCTION("""COMPUTED_VALUE"""),"Copy Date")</f>
        <v>Copy Date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40">
        <f t="shared" ref="B6:C6" si="1">today()-1</f>
        <v>44889</v>
      </c>
      <c r="C6" s="40">
        <f t="shared" si="1"/>
        <v>44889</v>
      </c>
      <c r="D6" s="13"/>
      <c r="E6" s="33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GetForexConversion!$4:$4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31</v>
      </c>
      <c r="D3" s="5" t="s">
        <v>9</v>
      </c>
      <c r="E3" s="23" t="s">
        <v>33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IFERROR(__xludf.DUMMYFUNCTION("IF(C3="""","""",Transpose(IMPORTRANGE('_Settings'!$B$3,C3&amp;""!A4:A1000"")))"),"UpdateBeta")</f>
        <v>UpdateBeta</v>
      </c>
      <c r="C4" s="25" t="str">
        <f>IFERROR(__xludf.DUMMYFUNCTION("""COMPUTED_VALUE"""),"UpdateDailyCash")</f>
        <v>UpdateDailyCash</v>
      </c>
      <c r="D4" s="25" t="str">
        <f>IFERROR(__xludf.DUMMYFUNCTION("""COMPUTED_VALUE"""),"UpdateForexConversion")</f>
        <v>UpdateForexConversion</v>
      </c>
      <c r="E4" s="25" t="str">
        <f>IFERROR(__xludf.DUMMYFUNCTION("""COMPUTED_VALUE"""),"UpdateMarkPrice")</f>
        <v>UpdateMarkPrice</v>
      </c>
      <c r="F4" s="25" t="str">
        <f>IFERROR(__xludf.DUMMYFUNCTION("""COMPUTED_VALUE"""),"CleanUp")</f>
        <v>CleanUp</v>
      </c>
      <c r="G4" s="25" t="str">
        <f>IFERROR(__xludf.DUMMYFUNCTION("""COMPUTED_VALUE"""),"GetMarkPriceData")</f>
        <v>GetMarkPriceData</v>
      </c>
      <c r="H4" s="25" t="str">
        <f>IFERROR(__xludf.DUMMYFUNCTION("""COMPUTED_VALUE"""),"GetForwardPoints")</f>
        <v>GetForwardPoints</v>
      </c>
      <c r="I4" s="25" t="str">
        <f>IFERROR(__xludf.DUMMYFUNCTION("""COMPUTED_VALUE"""),"UpdateForwardPoints")</f>
        <v>UpdateForwardPoints</v>
      </c>
      <c r="J4" s="25" t="str">
        <f>IFERROR(__xludf.DUMMYFUNCTION("""COMPUTED_VALUE"""),"GetForexConversion")</f>
        <v>GetForexConversion</v>
      </c>
      <c r="K4" s="25" t="str">
        <f>IFERROR(__xludf.DUMMYFUNCTION("""COMPUTED_VALUE"""),"DeleteNAV")</f>
        <v>DeleteNAV</v>
      </c>
      <c r="L4" s="25" t="str">
        <f>IFERROR(__xludf.DUMMYFUNCTION("""COMPUTED_VALUE"""),"GetDailyCash")</f>
        <v>GetDailyCash</v>
      </c>
      <c r="M4" s="25" t="str">
        <f>IFERROR(__xludf.DUMMYFUNCTION("""COMPUTED_VALUE"""),"GetDailyBeta")</f>
        <v>GetDailyBeta</v>
      </c>
      <c r="N4" s="25" t="str">
        <f>IFERROR(__xludf.DUMMYFUNCTION("""COMPUTED_VALUE"""),"GetDailyVolatility")</f>
        <v>GetDailyVolatility</v>
      </c>
      <c r="O4" s="25" t="str">
        <f>IFERROR(__xludf.DUMMYFUNCTION("""COMPUTED_VALUE"""),"GetDailyDividendYield")</f>
        <v>GetDailyDividendYield</v>
      </c>
      <c r="P4" s="26" t="str">
        <f>IFERROR(__xludf.DUMMYFUNCTION("""COMPUTED_VALUE"""),"GetDailyTradingVolume")</f>
        <v>GetDailyTradingVolume</v>
      </c>
      <c r="Q4" s="26" t="str">
        <f>IFERROR(__xludf.DUMMYFUNCTION("""COMPUTED_VALUE"""),"GetDailyOutstandings")</f>
        <v>GetDailyOutstandings</v>
      </c>
      <c r="R4" s="26" t="str">
        <f>IFERROR(__xludf.DUMMYFUNCTION("""COMPUTED_VALUE"""),"GetDailyDelta")</f>
        <v>GetDailyDelta</v>
      </c>
      <c r="S4" s="26" t="str">
        <f>IFERROR(__xludf.DUMMYFUNCTION("""COMPUTED_VALUE"""),"UpdateDailyVolatility")</f>
        <v>UpdateDailyVolatility</v>
      </c>
      <c r="T4" s="26" t="str">
        <f>IFERROR(__xludf.DUMMYFUNCTION("""COMPUTED_VALUE"""),"UpdateDividendYield")</f>
        <v>UpdateDividendYield</v>
      </c>
      <c r="U4" s="26" t="str">
        <f>IFERROR(__xludf.DUMMYFUNCTION("""COMPUTED_VALUE"""),"UpdateTradingVolume")</f>
        <v>UpdateTradingVolume</v>
      </c>
      <c r="V4" s="26" t="str">
        <f>IFERROR(__xludf.DUMMYFUNCTION("""COMPUTED_VALUE"""),"UpdateDailyDelta")</f>
        <v>UpdateDailyDelta</v>
      </c>
      <c r="W4" s="26" t="str">
        <f>IFERROR(__xludf.DUMMYFUNCTION("""COMPUTED_VALUE"""),"UpdateDailyOutstandings")</f>
        <v>UpdateDailyOutstandings</v>
      </c>
      <c r="X4" s="26" t="str">
        <f>IFERROR(__xludf.DUMMYFUNCTION("""COMPUTED_VALUE"""),"UpdateBeta")</f>
        <v>UpdateBeta</v>
      </c>
      <c r="Y4" s="26" t="str">
        <f>IFERROR(__xludf.DUMMYFUNCTION("""COMPUTED_VALUE"""),"UpdateNAV")</f>
        <v>UpdateNAV</v>
      </c>
      <c r="Z4" s="26" t="str">
        <f>IFERROR(__xludf.DUMMYFUNCTION("""COMPUTED_VALUE"""),"UpdateDailyCash")</f>
        <v>UpdateDailyCash</v>
      </c>
      <c r="AA4" s="26" t="str">
        <f>IFERROR(__xludf.DUMMYFUNCTION("""COMPUTED_VALUE"""),"UpdateDailyCreditLimt")</f>
        <v>UpdateDailyCreditLimt</v>
      </c>
      <c r="AB4" s="26" t="str">
        <f>IFERROR(__xludf.DUMMYFUNCTION("""COMPUTED_VALUE"""),"RemoveDailyCreditLimit")</f>
        <v>RemoveDailyCreditLimit</v>
      </c>
      <c r="AC4" s="26" t="str">
        <f>IFERROR(__xludf.DUMMYFUNCTION("""COMPUTED_VALUE"""),"RemoveDailyCash")</f>
        <v>RemoveDailyCash</v>
      </c>
      <c r="AD4" s="26" t="str">
        <f>IFERROR(__xludf.DUMMYFUNCTION("""COMPUTED_VALUE"""),"RemoveNAV")</f>
        <v>RemoveNAV</v>
      </c>
      <c r="AE4" s="26" t="str">
        <f>IFERROR(__xludf.DUMMYFUNCTION("""COMPUTED_VALUE"""),"UpdateForexConversionMonthly")</f>
        <v>UpdateForexConversionMonthly</v>
      </c>
      <c r="AF4" s="26" t="str">
        <f>IFERROR(__xludf.DUMMYFUNCTION("""COMPUTED_VALUE"""),"UpdateMarkPriceMonthly")</f>
        <v>UpdateMarkPriceMonthly</v>
      </c>
      <c r="AG4" s="26" t="str">
        <f>IFERROR(__xludf.DUMMYFUNCTION("""COMPUTED_VALUE"""),"VerifyDailyCash")</f>
        <v>VerifyDailyCash</v>
      </c>
      <c r="AH4" s="26" t="str">
        <f>IFERROR(__xludf.DUMMYFUNCTION("""COMPUTED_VALUE"""),"UpdateMultipleDailyCash")</f>
        <v>UpdateMultipleDailyCash</v>
      </c>
      <c r="AI4" s="26" t="str">
        <f>IFERROR(__xludf.DUMMYFUNCTION("""COMPUTED_VALUE"""),"IsDefaultFilterToShowAccountWiseDataOnDailyValuation")</f>
        <v>IsDefaultFilterToShowAccountWiseDataOnDailyValuation</v>
      </c>
      <c r="AJ4" s="26" t="str">
        <f>IFERROR(__xludf.DUMMYFUNCTION("""COMPUTED_VALUE"""),"EnableBlankMarkPrices")</f>
        <v>EnableBlankMarkPrices</v>
      </c>
      <c r="AK4" s="26" t="str">
        <f>IFERROR(__xludf.DUMMYFUNCTION("""COMPUTED_VALUE"""),"EnableBlankMarkPrices")</f>
        <v>EnableBlankMarkPrices</v>
      </c>
      <c r="AL4" s="26" t="str">
        <f>IFERROR(__xludf.DUMMYFUNCTION("""COMPUTED_VALUE"""),"UpateSymbolAndMarkPrice")</f>
        <v>UpateSymbolAndMarkPrice</v>
      </c>
      <c r="AM4" s="26" t="str">
        <f>IFERROR(__xludf.DUMMYFUNCTION("""COMPUTED_VALUE"""),"UpateSymbolBlankMP")</f>
        <v>UpateSymbolBlankMP</v>
      </c>
      <c r="AN4" s="26" t="str">
        <f>IFERROR(__xludf.DUMMYFUNCTION("""COMPUTED_VALUE"""),"UpdateBlankMP")</f>
        <v>UpdateBlankMP</v>
      </c>
      <c r="AO4" s="26" t="str">
        <f>IFERROR(__xludf.DUMMYFUNCTION("""COMPUTED_VALUE"""),"FilterBlankMP")</f>
        <v>FilterBlankMP</v>
      </c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IFERROR(__xludf.DUMMYFUNCTION("""COMPUTED_VALUE"""),"From Currency")</f>
        <v>From Currency</v>
      </c>
      <c r="C5" s="28" t="str">
        <f>IFERROR(__xludf.DUMMYFUNCTION("""COMPUTED_VALUE"""),"To Currency")</f>
        <v>To Currency</v>
      </c>
      <c r="D5" s="28" t="str">
        <f>IFERROR(__xludf.DUMMYFUNCTION("""COMPUTED_VALUE"""),"Symbol")</f>
        <v>Symbol</v>
      </c>
      <c r="E5" s="28" t="str">
        <f>IFERROR(__xludf.DUMMYFUNCTION("""COMPUTED_VALUE"""),"Price")</f>
        <v>Price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34</v>
      </c>
      <c r="C6" s="34" t="s">
        <v>35</v>
      </c>
      <c r="D6" s="31" t="s">
        <v>36</v>
      </c>
      <c r="E6" s="35">
        <v>0.8</v>
      </c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UpdateForexConversion!$4:$4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31</v>
      </c>
      <c r="D3" s="5" t="s">
        <v>9</v>
      </c>
      <c r="E3" s="23" t="s">
        <v>37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IFERROR(__xludf.DUMMYFUNCTION("IF(C3="""","""",Transpose(IMPORTRANGE('_Settings'!$B$3,C3&amp;""!A4:A1000"")))"),"UpdateBeta")</f>
        <v>UpdateBeta</v>
      </c>
      <c r="C4" s="25" t="str">
        <f>IFERROR(__xludf.DUMMYFUNCTION("""COMPUTED_VALUE"""),"UpdateDailyCash")</f>
        <v>UpdateDailyCash</v>
      </c>
      <c r="D4" s="25" t="str">
        <f>IFERROR(__xludf.DUMMYFUNCTION("""COMPUTED_VALUE"""),"UpdateForexConversion")</f>
        <v>UpdateForexConversion</v>
      </c>
      <c r="E4" s="25" t="str">
        <f>IFERROR(__xludf.DUMMYFUNCTION("""COMPUTED_VALUE"""),"UpdateMarkPrice")</f>
        <v>UpdateMarkPrice</v>
      </c>
      <c r="F4" s="25" t="str">
        <f>IFERROR(__xludf.DUMMYFUNCTION("""COMPUTED_VALUE"""),"CleanUp")</f>
        <v>CleanUp</v>
      </c>
      <c r="G4" s="25" t="str">
        <f>IFERROR(__xludf.DUMMYFUNCTION("""COMPUTED_VALUE"""),"GetMarkPriceData")</f>
        <v>GetMarkPriceData</v>
      </c>
      <c r="H4" s="25" t="str">
        <f>IFERROR(__xludf.DUMMYFUNCTION("""COMPUTED_VALUE"""),"GetForwardPoints")</f>
        <v>GetForwardPoints</v>
      </c>
      <c r="I4" s="25" t="str">
        <f>IFERROR(__xludf.DUMMYFUNCTION("""COMPUTED_VALUE"""),"UpdateForwardPoints")</f>
        <v>UpdateForwardPoints</v>
      </c>
      <c r="J4" s="25" t="str">
        <f>IFERROR(__xludf.DUMMYFUNCTION("""COMPUTED_VALUE"""),"GetForexConversion")</f>
        <v>GetForexConversion</v>
      </c>
      <c r="K4" s="25" t="str">
        <f>IFERROR(__xludf.DUMMYFUNCTION("""COMPUTED_VALUE"""),"DeleteNAV")</f>
        <v>DeleteNAV</v>
      </c>
      <c r="L4" s="25" t="str">
        <f>IFERROR(__xludf.DUMMYFUNCTION("""COMPUTED_VALUE"""),"GetDailyCash")</f>
        <v>GetDailyCash</v>
      </c>
      <c r="M4" s="25" t="str">
        <f>IFERROR(__xludf.DUMMYFUNCTION("""COMPUTED_VALUE"""),"GetDailyBeta")</f>
        <v>GetDailyBeta</v>
      </c>
      <c r="N4" s="25" t="str">
        <f>IFERROR(__xludf.DUMMYFUNCTION("""COMPUTED_VALUE"""),"GetDailyVolatility")</f>
        <v>GetDailyVolatility</v>
      </c>
      <c r="O4" s="25" t="str">
        <f>IFERROR(__xludf.DUMMYFUNCTION("""COMPUTED_VALUE"""),"GetDailyDividendYield")</f>
        <v>GetDailyDividendYield</v>
      </c>
      <c r="P4" s="26" t="str">
        <f>IFERROR(__xludf.DUMMYFUNCTION("""COMPUTED_VALUE"""),"GetDailyTradingVolume")</f>
        <v>GetDailyTradingVolume</v>
      </c>
      <c r="Q4" s="26" t="str">
        <f>IFERROR(__xludf.DUMMYFUNCTION("""COMPUTED_VALUE"""),"GetDailyOutstandings")</f>
        <v>GetDailyOutstandings</v>
      </c>
      <c r="R4" s="26" t="str">
        <f>IFERROR(__xludf.DUMMYFUNCTION("""COMPUTED_VALUE"""),"GetDailyDelta")</f>
        <v>GetDailyDelta</v>
      </c>
      <c r="S4" s="26" t="str">
        <f>IFERROR(__xludf.DUMMYFUNCTION("""COMPUTED_VALUE"""),"UpdateDailyVolatility")</f>
        <v>UpdateDailyVolatility</v>
      </c>
      <c r="T4" s="26" t="str">
        <f>IFERROR(__xludf.DUMMYFUNCTION("""COMPUTED_VALUE"""),"UpdateDividendYield")</f>
        <v>UpdateDividendYield</v>
      </c>
      <c r="U4" s="26" t="str">
        <f>IFERROR(__xludf.DUMMYFUNCTION("""COMPUTED_VALUE"""),"UpdateTradingVolume")</f>
        <v>UpdateTradingVolume</v>
      </c>
      <c r="V4" s="26" t="str">
        <f>IFERROR(__xludf.DUMMYFUNCTION("""COMPUTED_VALUE"""),"UpdateDailyDelta")</f>
        <v>UpdateDailyDelta</v>
      </c>
      <c r="W4" s="26" t="str">
        <f>IFERROR(__xludf.DUMMYFUNCTION("""COMPUTED_VALUE"""),"UpdateDailyOutstandings")</f>
        <v>UpdateDailyOutstandings</v>
      </c>
      <c r="X4" s="26" t="str">
        <f>IFERROR(__xludf.DUMMYFUNCTION("""COMPUTED_VALUE"""),"UpdateBeta")</f>
        <v>UpdateBeta</v>
      </c>
      <c r="Y4" s="26" t="str">
        <f>IFERROR(__xludf.DUMMYFUNCTION("""COMPUTED_VALUE"""),"UpdateNAV")</f>
        <v>UpdateNAV</v>
      </c>
      <c r="Z4" s="26" t="str">
        <f>IFERROR(__xludf.DUMMYFUNCTION("""COMPUTED_VALUE"""),"UpdateDailyCash")</f>
        <v>UpdateDailyCash</v>
      </c>
      <c r="AA4" s="26" t="str">
        <f>IFERROR(__xludf.DUMMYFUNCTION("""COMPUTED_VALUE"""),"UpdateDailyCreditLimt")</f>
        <v>UpdateDailyCreditLimt</v>
      </c>
      <c r="AB4" s="26" t="str">
        <f>IFERROR(__xludf.DUMMYFUNCTION("""COMPUTED_VALUE"""),"RemoveDailyCreditLimit")</f>
        <v>RemoveDailyCreditLimit</v>
      </c>
      <c r="AC4" s="26" t="str">
        <f>IFERROR(__xludf.DUMMYFUNCTION("""COMPUTED_VALUE"""),"RemoveDailyCash")</f>
        <v>RemoveDailyCash</v>
      </c>
      <c r="AD4" s="26" t="str">
        <f>IFERROR(__xludf.DUMMYFUNCTION("""COMPUTED_VALUE"""),"RemoveNAV")</f>
        <v>RemoveNAV</v>
      </c>
      <c r="AE4" s="26" t="str">
        <f>IFERROR(__xludf.DUMMYFUNCTION("""COMPUTED_VALUE"""),"UpdateForexConversionMonthly")</f>
        <v>UpdateForexConversionMonthly</v>
      </c>
      <c r="AF4" s="26" t="str">
        <f>IFERROR(__xludf.DUMMYFUNCTION("""COMPUTED_VALUE"""),"UpdateMarkPriceMonthly")</f>
        <v>UpdateMarkPriceMonthly</v>
      </c>
      <c r="AG4" s="26" t="str">
        <f>IFERROR(__xludf.DUMMYFUNCTION("""COMPUTED_VALUE"""),"VerifyDailyCash")</f>
        <v>VerifyDailyCash</v>
      </c>
      <c r="AH4" s="26" t="str">
        <f>IFERROR(__xludf.DUMMYFUNCTION("""COMPUTED_VALUE"""),"UpdateMultipleDailyCash")</f>
        <v>UpdateMultipleDailyCash</v>
      </c>
      <c r="AI4" s="26" t="str">
        <f>IFERROR(__xludf.DUMMYFUNCTION("""COMPUTED_VALUE"""),"IsDefaultFilterToShowAccountWiseDataOnDailyValuation")</f>
        <v>IsDefaultFilterToShowAccountWiseDataOnDailyValuation</v>
      </c>
      <c r="AJ4" s="26" t="str">
        <f>IFERROR(__xludf.DUMMYFUNCTION("""COMPUTED_VALUE"""),"EnableBlankMarkPrices")</f>
        <v>EnableBlankMarkPrices</v>
      </c>
      <c r="AK4" s="26" t="str">
        <f>IFERROR(__xludf.DUMMYFUNCTION("""COMPUTED_VALUE"""),"EnableBlankMarkPrices")</f>
        <v>EnableBlankMarkPrices</v>
      </c>
      <c r="AL4" s="26" t="str">
        <f>IFERROR(__xludf.DUMMYFUNCTION("""COMPUTED_VALUE"""),"UpateSymbolAndMarkPrice")</f>
        <v>UpateSymbolAndMarkPrice</v>
      </c>
      <c r="AM4" s="26" t="str">
        <f>IFERROR(__xludf.DUMMYFUNCTION("""COMPUTED_VALUE"""),"UpateSymbolBlankMP")</f>
        <v>UpateSymbolBlankMP</v>
      </c>
      <c r="AN4" s="26" t="str">
        <f>IFERROR(__xludf.DUMMYFUNCTION("""COMPUTED_VALUE"""),"UpdateBlankMP")</f>
        <v>UpdateBlankMP</v>
      </c>
      <c r="AO4" s="26" t="str">
        <f>IFERROR(__xludf.DUMMYFUNCTION("""COMPUTED_VALUE"""),"FilterBlankMP")</f>
        <v>FilterBlankMP</v>
      </c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IFERROR(__xludf.DUMMYFUNCTION("""COMPUTED_VALUE"""),"Select Date")</f>
        <v>Select Date</v>
      </c>
      <c r="C5" s="28" t="str">
        <f>IFERROR(__xludf.DUMMYFUNCTION("""COMPUTED_VALUE"""),"Copy From")</f>
        <v>Copy From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40">
        <f t="shared" ref="B6:C6" si="1">today()-1</f>
        <v>44889</v>
      </c>
      <c r="C6" s="40">
        <f t="shared" si="1"/>
        <v>44889</v>
      </c>
      <c r="D6" s="13"/>
      <c r="E6" s="33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GetDailyCash!$4:$4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31</v>
      </c>
      <c r="D3" s="5" t="s">
        <v>9</v>
      </c>
      <c r="E3" s="23" t="s">
        <v>38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IFERROR(__xludf.DUMMYFUNCTION("IF(C3="""","""",Transpose(IMPORTRANGE('_Settings'!$B$3,C3&amp;""!A4:A1000"")))"),"UpdateBeta")</f>
        <v>UpdateBeta</v>
      </c>
      <c r="C4" s="25" t="str">
        <f>IFERROR(__xludf.DUMMYFUNCTION("""COMPUTED_VALUE"""),"UpdateDailyCash")</f>
        <v>UpdateDailyCash</v>
      </c>
      <c r="D4" s="25" t="str">
        <f>IFERROR(__xludf.DUMMYFUNCTION("""COMPUTED_VALUE"""),"UpdateForexConversion")</f>
        <v>UpdateForexConversion</v>
      </c>
      <c r="E4" s="25" t="str">
        <f>IFERROR(__xludf.DUMMYFUNCTION("""COMPUTED_VALUE"""),"UpdateMarkPrice")</f>
        <v>UpdateMarkPrice</v>
      </c>
      <c r="F4" s="25" t="str">
        <f>IFERROR(__xludf.DUMMYFUNCTION("""COMPUTED_VALUE"""),"CleanUp")</f>
        <v>CleanUp</v>
      </c>
      <c r="G4" s="25" t="str">
        <f>IFERROR(__xludf.DUMMYFUNCTION("""COMPUTED_VALUE"""),"GetMarkPriceData")</f>
        <v>GetMarkPriceData</v>
      </c>
      <c r="H4" s="25" t="str">
        <f>IFERROR(__xludf.DUMMYFUNCTION("""COMPUTED_VALUE"""),"GetForwardPoints")</f>
        <v>GetForwardPoints</v>
      </c>
      <c r="I4" s="25" t="str">
        <f>IFERROR(__xludf.DUMMYFUNCTION("""COMPUTED_VALUE"""),"UpdateForwardPoints")</f>
        <v>UpdateForwardPoints</v>
      </c>
      <c r="J4" s="25" t="str">
        <f>IFERROR(__xludf.DUMMYFUNCTION("""COMPUTED_VALUE"""),"GetForexConversion")</f>
        <v>GetForexConversion</v>
      </c>
      <c r="K4" s="25" t="str">
        <f>IFERROR(__xludf.DUMMYFUNCTION("""COMPUTED_VALUE"""),"DeleteNAV")</f>
        <v>DeleteNAV</v>
      </c>
      <c r="L4" s="25" t="str">
        <f>IFERROR(__xludf.DUMMYFUNCTION("""COMPUTED_VALUE"""),"GetDailyCash")</f>
        <v>GetDailyCash</v>
      </c>
      <c r="M4" s="25" t="str">
        <f>IFERROR(__xludf.DUMMYFUNCTION("""COMPUTED_VALUE"""),"GetDailyBeta")</f>
        <v>GetDailyBeta</v>
      </c>
      <c r="N4" s="25" t="str">
        <f>IFERROR(__xludf.DUMMYFUNCTION("""COMPUTED_VALUE"""),"GetDailyVolatility")</f>
        <v>GetDailyVolatility</v>
      </c>
      <c r="O4" s="25" t="str">
        <f>IFERROR(__xludf.DUMMYFUNCTION("""COMPUTED_VALUE"""),"GetDailyDividendYield")</f>
        <v>GetDailyDividendYield</v>
      </c>
      <c r="P4" s="26" t="str">
        <f>IFERROR(__xludf.DUMMYFUNCTION("""COMPUTED_VALUE"""),"GetDailyTradingVolume")</f>
        <v>GetDailyTradingVolume</v>
      </c>
      <c r="Q4" s="26" t="str">
        <f>IFERROR(__xludf.DUMMYFUNCTION("""COMPUTED_VALUE"""),"GetDailyOutstandings")</f>
        <v>GetDailyOutstandings</v>
      </c>
      <c r="R4" s="26" t="str">
        <f>IFERROR(__xludf.DUMMYFUNCTION("""COMPUTED_VALUE"""),"GetDailyDelta")</f>
        <v>GetDailyDelta</v>
      </c>
      <c r="S4" s="26" t="str">
        <f>IFERROR(__xludf.DUMMYFUNCTION("""COMPUTED_VALUE"""),"UpdateDailyVolatility")</f>
        <v>UpdateDailyVolatility</v>
      </c>
      <c r="T4" s="26" t="str">
        <f>IFERROR(__xludf.DUMMYFUNCTION("""COMPUTED_VALUE"""),"UpdateDividendYield")</f>
        <v>UpdateDividendYield</v>
      </c>
      <c r="U4" s="26" t="str">
        <f>IFERROR(__xludf.DUMMYFUNCTION("""COMPUTED_VALUE"""),"UpdateTradingVolume")</f>
        <v>UpdateTradingVolume</v>
      </c>
      <c r="V4" s="26" t="str">
        <f>IFERROR(__xludf.DUMMYFUNCTION("""COMPUTED_VALUE"""),"UpdateDailyDelta")</f>
        <v>UpdateDailyDelta</v>
      </c>
      <c r="W4" s="26" t="str">
        <f>IFERROR(__xludf.DUMMYFUNCTION("""COMPUTED_VALUE"""),"UpdateDailyOutstandings")</f>
        <v>UpdateDailyOutstandings</v>
      </c>
      <c r="X4" s="26" t="str">
        <f>IFERROR(__xludf.DUMMYFUNCTION("""COMPUTED_VALUE"""),"UpdateBeta")</f>
        <v>UpdateBeta</v>
      </c>
      <c r="Y4" s="26" t="str">
        <f>IFERROR(__xludf.DUMMYFUNCTION("""COMPUTED_VALUE"""),"UpdateNAV")</f>
        <v>UpdateNAV</v>
      </c>
      <c r="Z4" s="26" t="str">
        <f>IFERROR(__xludf.DUMMYFUNCTION("""COMPUTED_VALUE"""),"UpdateDailyCash")</f>
        <v>UpdateDailyCash</v>
      </c>
      <c r="AA4" s="26" t="str">
        <f>IFERROR(__xludf.DUMMYFUNCTION("""COMPUTED_VALUE"""),"UpdateDailyCreditLimt")</f>
        <v>UpdateDailyCreditLimt</v>
      </c>
      <c r="AB4" s="26" t="str">
        <f>IFERROR(__xludf.DUMMYFUNCTION("""COMPUTED_VALUE"""),"RemoveDailyCreditLimit")</f>
        <v>RemoveDailyCreditLimit</v>
      </c>
      <c r="AC4" s="26" t="str">
        <f>IFERROR(__xludf.DUMMYFUNCTION("""COMPUTED_VALUE"""),"RemoveDailyCash")</f>
        <v>RemoveDailyCash</v>
      </c>
      <c r="AD4" s="26" t="str">
        <f>IFERROR(__xludf.DUMMYFUNCTION("""COMPUTED_VALUE"""),"RemoveNAV")</f>
        <v>RemoveNAV</v>
      </c>
      <c r="AE4" s="26" t="str">
        <f>IFERROR(__xludf.DUMMYFUNCTION("""COMPUTED_VALUE"""),"UpdateForexConversionMonthly")</f>
        <v>UpdateForexConversionMonthly</v>
      </c>
      <c r="AF4" s="26" t="str">
        <f>IFERROR(__xludf.DUMMYFUNCTION("""COMPUTED_VALUE"""),"UpdateMarkPriceMonthly")</f>
        <v>UpdateMarkPriceMonthly</v>
      </c>
      <c r="AG4" s="26" t="str">
        <f>IFERROR(__xludf.DUMMYFUNCTION("""COMPUTED_VALUE"""),"VerifyDailyCash")</f>
        <v>VerifyDailyCash</v>
      </c>
      <c r="AH4" s="26" t="str">
        <f>IFERROR(__xludf.DUMMYFUNCTION("""COMPUTED_VALUE"""),"UpdateMultipleDailyCash")</f>
        <v>UpdateMultipleDailyCash</v>
      </c>
      <c r="AI4" s="26" t="str">
        <f>IFERROR(__xludf.DUMMYFUNCTION("""COMPUTED_VALUE"""),"IsDefaultFilterToShowAccountWiseDataOnDailyValuation")</f>
        <v>IsDefaultFilterToShowAccountWiseDataOnDailyValuation</v>
      </c>
      <c r="AJ4" s="26" t="str">
        <f>IFERROR(__xludf.DUMMYFUNCTION("""COMPUTED_VALUE"""),"EnableBlankMarkPrices")</f>
        <v>EnableBlankMarkPrices</v>
      </c>
      <c r="AK4" s="26" t="str">
        <f>IFERROR(__xludf.DUMMYFUNCTION("""COMPUTED_VALUE"""),"EnableBlankMarkPrices")</f>
        <v>EnableBlankMarkPrices</v>
      </c>
      <c r="AL4" s="26" t="str">
        <f>IFERROR(__xludf.DUMMYFUNCTION("""COMPUTED_VALUE"""),"UpateSymbolAndMarkPrice")</f>
        <v>UpateSymbolAndMarkPrice</v>
      </c>
      <c r="AM4" s="26" t="str">
        <f>IFERROR(__xludf.DUMMYFUNCTION("""COMPUTED_VALUE"""),"UpateSymbolBlankMP")</f>
        <v>UpateSymbolBlankMP</v>
      </c>
      <c r="AN4" s="26" t="str">
        <f>IFERROR(__xludf.DUMMYFUNCTION("""COMPUTED_VALUE"""),"UpdateBlankMP")</f>
        <v>UpdateBlankMP</v>
      </c>
      <c r="AO4" s="26" t="str">
        <f>IFERROR(__xludf.DUMMYFUNCTION("""COMPUTED_VALUE"""),"FilterBlankMP")</f>
        <v>FilterBlankMP</v>
      </c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IFERROR(__xludf.DUMMYFUNCTION("""COMPUTED_VALUE"""),"Local Currency")</f>
        <v>Local Currency</v>
      </c>
      <c r="D5" s="28" t="str">
        <f>IFERROR(__xludf.DUMMYFUNCTION("""COMPUTED_VALUE"""),"Cash Value Local")</f>
        <v>Cash Value Local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8" t="s">
        <v>25</v>
      </c>
      <c r="C6" s="38" t="s">
        <v>34</v>
      </c>
      <c r="D6" s="41">
        <v>2.0786034E8</v>
      </c>
      <c r="E6" s="33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38" t="s">
        <v>28</v>
      </c>
      <c r="C7" s="38" t="s">
        <v>34</v>
      </c>
      <c r="D7" s="41">
        <v>2.0786034E8</v>
      </c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39" t="s">
        <v>26</v>
      </c>
      <c r="C8" s="39" t="s">
        <v>34</v>
      </c>
      <c r="D8" s="41">
        <v>2.0793229E8</v>
      </c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39" t="s">
        <v>29</v>
      </c>
      <c r="C9" s="39" t="s">
        <v>34</v>
      </c>
      <c r="D9" s="41">
        <v>2.0793229E8</v>
      </c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UpdateMultipleDailyCash!$4:$4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39</v>
      </c>
      <c r="D3" s="5" t="s">
        <v>9</v>
      </c>
      <c r="E3" s="23" t="s">
        <v>40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IFERROR(__xludf.DUMMYFUNCTION("IF(C3="""","""",Transpose(IMPORTRANGE('_Settings'!$B$3,C3&amp;""!A4:A1000"")))"),"CalculatePTT")</f>
        <v>CalculatePTT</v>
      </c>
      <c r="C4" s="25" t="str">
        <f>IFERROR(__xludf.DUMMYFUNCTION("""COMPUTED_VALUE"""),"TradeUsingPTT")</f>
        <v>TradeUsingPTT</v>
      </c>
      <c r="D4" s="25" t="str">
        <f>IFERROR(__xludf.DUMMYFUNCTION("""COMPUTED_VALUE"""),"StageOrderUsingPTT")</f>
        <v>StageOrderUsingPTT</v>
      </c>
      <c r="E4" s="25" t="str">
        <f>IFERROR(__xludf.DUMMYFUNCTION("""COMPUTED_VALUE"""),"CreateOrderPTT")</f>
        <v>CreateOrderPTT</v>
      </c>
      <c r="F4" s="25" t="str">
        <f>IFERROR(__xludf.DUMMYFUNCTION("""COMPUTED_VALUE"""),"TradePTT")</f>
        <v>TradePTT</v>
      </c>
      <c r="G4" s="25" t="str">
        <f>IFERROR(__xludf.DUMMYFUNCTION("""COMPUTED_VALUE"""),"VerifyPTT")</f>
        <v>VerifyPTT</v>
      </c>
      <c r="H4" s="25" t="str">
        <f>IFERROR(__xludf.DUMMYFUNCTION("""COMPUTED_VALUE"""),"OpenMultiTTFromPTT")</f>
        <v>OpenMultiTTFromPTT</v>
      </c>
      <c r="I4" s="25" t="str">
        <f>IFERROR(__xludf.DUMMYFUNCTION("""COMPUTED_VALUE"""),"SelectMultiTT")</f>
        <v>SelectMultiTT</v>
      </c>
      <c r="J4" s="25" t="str">
        <f>IFERROR(__xludf.DUMMYFUNCTION("""COMPUTED_VALUE"""),"EditMultiTT")</f>
        <v>EditMultiTT</v>
      </c>
      <c r="K4" s="25" t="str">
        <f>IFERROR(__xludf.DUMMYFUNCTION("""COMPUTED_VALUE"""),"SetAccountFactor")</f>
        <v>SetAccountFactor</v>
      </c>
      <c r="L4" s="25" t="str">
        <f>IFERROR(__xludf.DUMMYFUNCTION("""COMPUTED_VALUE"""),"SetPTTPreference")</f>
        <v>SetPTTPreference</v>
      </c>
      <c r="M4" s="25" t="str">
        <f>IFERROR(__xludf.DUMMYFUNCTION("""COMPUTED_VALUE"""),"SetLongShortPTTPreference")</f>
        <v>SetLongShortPTTPreference</v>
      </c>
      <c r="N4" s="25" t="str">
        <f>IFERROR(__xludf.DUMMYFUNCTION("""COMPUTED_VALUE"""),"SelectPTTRecord")</f>
        <v>SelectPTTRecord</v>
      </c>
      <c r="O4" s="25" t="str">
        <f>IFERROR(__xludf.DUMMYFUNCTION("""COMPUTED_VALUE"""),"EditPTTRecord")</f>
        <v>EditPTTRecord</v>
      </c>
      <c r="P4" s="26" t="str">
        <f>IFERROR(__xludf.DUMMYFUNCTION("""COMPUTED_VALUE"""),"SetDefaultSymbology")</f>
        <v>SetDefaultSymbology</v>
      </c>
      <c r="Q4" s="26" t="str">
        <f>IFERROR(__xludf.DUMMYFUNCTION("""COMPUTED_VALUE"""),"EditPTTAccountLevelWPF")</f>
        <v>EditPTTAccountLevelWPF</v>
      </c>
      <c r="R4" s="26" t="str">
        <f>IFERROR(__xludf.DUMMYFUNCTION("""COMPUTED_VALUE"""),"VerifyPTTCompliance")</f>
        <v>VerifyPTTCompliance</v>
      </c>
      <c r="S4" s="26" t="str">
        <f>IFERROR(__xludf.DUMMYFUNCTION("""COMPUTED_VALUE"""),"CreateOrderAfterEditPTT")</f>
        <v>CreateOrderAfterEditPTT</v>
      </c>
      <c r="T4" s="26" t="str">
        <f>IFERROR(__xludf.DUMMYFUNCTION("""COMPUTED_VALUE"""),"EditPTTWPFGrid")</f>
        <v>EditPTTWPFGrid</v>
      </c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IFERROR(__xludf.DUMMYFUNCTION("""COMPUTED_VALUE"""),"Ticker")</f>
        <v>Ticker</v>
      </c>
      <c r="C5" s="28" t="str">
        <f>IFERROR(__xludf.DUMMYFUNCTION("""COMPUTED_VALUE"""),"Add/Set")</f>
        <v>Add/Set</v>
      </c>
      <c r="D5" s="28" t="str">
        <f>IFERROR(__xludf.DUMMYFUNCTION("""COMPUTED_VALUE"""),"Type")</f>
        <v>Type</v>
      </c>
      <c r="E5" s="28" t="str">
        <f>IFERROR(__xludf.DUMMYFUNCTION("""COMPUTED_VALUE"""),"Target")</f>
        <v>Target</v>
      </c>
      <c r="F5" s="29" t="str">
        <f>IFERROR(__xludf.DUMMYFUNCTION("""COMPUTED_VALUE"""),"Price")</f>
        <v>Price</v>
      </c>
      <c r="G5" s="28" t="str">
        <f>IFERROR(__xludf.DUMMYFUNCTION("""COMPUTED_VALUE"""),"Combined Account Total")</f>
        <v>Combined Account Total</v>
      </c>
      <c r="H5" s="28" t="str">
        <f>IFERROR(__xludf.DUMMYFUNCTION("""COMPUTED_VALUE"""),"MasterFund/Account")</f>
        <v>MasterFund/Account</v>
      </c>
      <c r="I5" s="28" t="str">
        <f>IFERROR(__xludf.DUMMYFUNCTION("""COMPUTED_VALUE"""),"Accounts")</f>
        <v>Accounts</v>
      </c>
      <c r="J5" s="28" t="str">
        <f>IFERROR(__xludf.DUMMYFUNCTION("""COMPUTED_VALUE"""),"Master Funds")</f>
        <v>Master Funds</v>
      </c>
      <c r="K5" s="28" t="str">
        <f>IFERROR(__xludf.DUMMYFUNCTION("""COMPUTED_VALUE"""),"Round Lots")</f>
        <v>Round Lots</v>
      </c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16</v>
      </c>
      <c r="C6" s="42" t="s">
        <v>41</v>
      </c>
      <c r="D6" s="31" t="s">
        <v>42</v>
      </c>
      <c r="E6" s="35">
        <v>10.0</v>
      </c>
      <c r="F6" s="34"/>
      <c r="G6" s="34" t="s">
        <v>43</v>
      </c>
      <c r="H6" s="34" t="s">
        <v>44</v>
      </c>
      <c r="I6" s="34" t="s">
        <v>45</v>
      </c>
      <c r="J6" s="34"/>
      <c r="K6" s="39" t="s">
        <v>43</v>
      </c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CalculatePTT!$4:$4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39</v>
      </c>
      <c r="D3" s="5" t="s">
        <v>9</v>
      </c>
      <c r="E3" s="23" t="s">
        <v>46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IFERROR(__xludf.DUMMYFUNCTION("IF(C3="""","""",Transpose(IMPORTRANGE('_Settings'!$B$3,C3&amp;""!A4:A1000"")))"),"CalculatePTT")</f>
        <v>CalculatePTT</v>
      </c>
      <c r="C4" s="25" t="str">
        <f>IFERROR(__xludf.DUMMYFUNCTION("""COMPUTED_VALUE"""),"TradeUsingPTT")</f>
        <v>TradeUsingPTT</v>
      </c>
      <c r="D4" s="25" t="str">
        <f>IFERROR(__xludf.DUMMYFUNCTION("""COMPUTED_VALUE"""),"StageOrderUsingPTT")</f>
        <v>StageOrderUsingPTT</v>
      </c>
      <c r="E4" s="25" t="str">
        <f>IFERROR(__xludf.DUMMYFUNCTION("""COMPUTED_VALUE"""),"CreateOrderPTT")</f>
        <v>CreateOrderPTT</v>
      </c>
      <c r="F4" s="25" t="str">
        <f>IFERROR(__xludf.DUMMYFUNCTION("""COMPUTED_VALUE"""),"TradePTT")</f>
        <v>TradePTT</v>
      </c>
      <c r="G4" s="25" t="str">
        <f>IFERROR(__xludf.DUMMYFUNCTION("""COMPUTED_VALUE"""),"VerifyPTT")</f>
        <v>VerifyPTT</v>
      </c>
      <c r="H4" s="25" t="str">
        <f>IFERROR(__xludf.DUMMYFUNCTION("""COMPUTED_VALUE"""),"OpenMultiTTFromPTT")</f>
        <v>OpenMultiTTFromPTT</v>
      </c>
      <c r="I4" s="25" t="str">
        <f>IFERROR(__xludf.DUMMYFUNCTION("""COMPUTED_VALUE"""),"SelectMultiTT")</f>
        <v>SelectMultiTT</v>
      </c>
      <c r="J4" s="25" t="str">
        <f>IFERROR(__xludf.DUMMYFUNCTION("""COMPUTED_VALUE"""),"EditMultiTT")</f>
        <v>EditMultiTT</v>
      </c>
      <c r="K4" s="25" t="str">
        <f>IFERROR(__xludf.DUMMYFUNCTION("""COMPUTED_VALUE"""),"SetAccountFactor")</f>
        <v>SetAccountFactor</v>
      </c>
      <c r="L4" s="25" t="str">
        <f>IFERROR(__xludf.DUMMYFUNCTION("""COMPUTED_VALUE"""),"SetPTTPreference")</f>
        <v>SetPTTPreference</v>
      </c>
      <c r="M4" s="25" t="str">
        <f>IFERROR(__xludf.DUMMYFUNCTION("""COMPUTED_VALUE"""),"SetLongShortPTTPreference")</f>
        <v>SetLongShortPTTPreference</v>
      </c>
      <c r="N4" s="25" t="str">
        <f>IFERROR(__xludf.DUMMYFUNCTION("""COMPUTED_VALUE"""),"SelectPTTRecord")</f>
        <v>SelectPTTRecord</v>
      </c>
      <c r="O4" s="25" t="str">
        <f>IFERROR(__xludf.DUMMYFUNCTION("""COMPUTED_VALUE"""),"EditPTTRecord")</f>
        <v>EditPTTRecord</v>
      </c>
      <c r="P4" s="26" t="str">
        <f>IFERROR(__xludf.DUMMYFUNCTION("""COMPUTED_VALUE"""),"SetDefaultSymbology")</f>
        <v>SetDefaultSymbology</v>
      </c>
      <c r="Q4" s="26" t="str">
        <f>IFERROR(__xludf.DUMMYFUNCTION("""COMPUTED_VALUE"""),"EditPTTAccountLevelWPF")</f>
        <v>EditPTTAccountLevelWPF</v>
      </c>
      <c r="R4" s="26" t="str">
        <f>IFERROR(__xludf.DUMMYFUNCTION("""COMPUTED_VALUE"""),"VerifyPTTCompliance")</f>
        <v>VerifyPTTCompliance</v>
      </c>
      <c r="S4" s="26" t="str">
        <f>IFERROR(__xludf.DUMMYFUNCTION("""COMPUTED_VALUE"""),"CreateOrderAfterEditPTT")</f>
        <v>CreateOrderAfterEditPTT</v>
      </c>
      <c r="T4" s="26" t="str">
        <f>IFERROR(__xludf.DUMMYFUNCTION("""COMPUTED_VALUE"""),"EditPTTWPFGrid")</f>
        <v>EditPTTWPFGrid</v>
      </c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IFERROR(__xludf.DUMMYFUNCTION("""COMPUTED_VALUE"""),"Account NAV")</f>
        <v>Account NAV</v>
      </c>
      <c r="D5" s="28" t="str">
        <f>IFERROR(__xludf.DUMMYFUNCTION("""COMPUTED_VALUE"""),"Starting Position")</f>
        <v>Starting Position</v>
      </c>
      <c r="E5" s="28" t="str">
        <f>IFERROR(__xludf.DUMMYFUNCTION("""COMPUTED_VALUE"""),"Starting Value")</f>
        <v>Starting Value</v>
      </c>
      <c r="F5" s="29" t="str">
        <f>IFERROR(__xludf.DUMMYFUNCTION("""COMPUTED_VALUE"""),"Starting %")</f>
        <v>Starting %</v>
      </c>
      <c r="G5" s="28" t="str">
        <f>IFERROR(__xludf.DUMMYFUNCTION("""COMPUTED_VALUE"""),"% Change")</f>
        <v>% Change</v>
      </c>
      <c r="H5" s="28" t="str">
        <f>IFERROR(__xludf.DUMMYFUNCTION("""COMPUTED_VALUE"""),"Ending %")</f>
        <v>Ending %</v>
      </c>
      <c r="I5" s="28" t="str">
        <f>IFERROR(__xludf.DUMMYFUNCTION("""COMPUTED_VALUE"""),"Trade Quantity")</f>
        <v>Trade Quantity</v>
      </c>
      <c r="J5" s="28" t="str">
        <f>IFERROR(__xludf.DUMMYFUNCTION("""COMPUTED_VALUE"""),"Ending Position")</f>
        <v>Ending Position</v>
      </c>
      <c r="K5" s="28" t="str">
        <f>IFERROR(__xludf.DUMMYFUNCTION("""COMPUTED_VALUE"""),"Ending Value")</f>
        <v>Ending Value</v>
      </c>
      <c r="L5" s="28" t="str">
        <f>IFERROR(__xludf.DUMMYFUNCTION("""COMPUTED_VALUE"""),"% Allocation")</f>
        <v>% Allocation</v>
      </c>
      <c r="M5" s="28" t="str">
        <f>IFERROR(__xludf.DUMMYFUNCTION("""COMPUTED_VALUE"""),"Fx Rate")</f>
        <v>Fx Rate</v>
      </c>
      <c r="N5" s="28" t="str">
        <f>IFERROR(__xludf.DUMMYFUNCTION("""COMPUTED_VALUE"""),"Starting BP")</f>
        <v>Starting BP</v>
      </c>
      <c r="O5" s="28" t="str">
        <f>IFERROR(__xludf.DUMMYFUNCTION("""COMPUTED_VALUE"""),"BP Change")</f>
        <v>BP Change</v>
      </c>
      <c r="P5" s="28" t="str">
        <f>IFERROR(__xludf.DUMMYFUNCTION("""COMPUTED_VALUE"""),"Ending BP")</f>
        <v>Ending BP</v>
      </c>
      <c r="Q5" s="28" t="str">
        <f>IFERROR(__xludf.DUMMYFUNCTION("""COMPUTED_VALUE"""),"MasterFund Name")</f>
        <v>MasterFund Name</v>
      </c>
      <c r="R5" s="28" t="str">
        <f>IFERROR(__xludf.DUMMYFUNCTION("""COMPUTED_VALUE"""),"Order Side")</f>
        <v>Order Side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4"/>
      <c r="D6" s="43">
        <v>2000.0</v>
      </c>
      <c r="E6" s="34"/>
      <c r="F6" s="34"/>
      <c r="G6" s="34"/>
      <c r="H6" s="34"/>
      <c r="I6" s="44">
        <v>489280.0</v>
      </c>
      <c r="J6" s="34"/>
      <c r="K6" s="34"/>
      <c r="L6" s="35">
        <v>50.0</v>
      </c>
      <c r="M6" s="35">
        <v>1.0</v>
      </c>
      <c r="N6" s="34"/>
      <c r="O6" s="34"/>
      <c r="P6" s="34"/>
      <c r="Q6" s="34"/>
      <c r="R6" s="34" t="s">
        <v>24</v>
      </c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34"/>
      <c r="B7" s="34"/>
      <c r="C7" s="34"/>
      <c r="D7" s="45">
        <v>2000.0</v>
      </c>
      <c r="E7" s="34"/>
      <c r="F7" s="34"/>
      <c r="G7" s="34"/>
      <c r="H7" s="34"/>
      <c r="I7" s="44">
        <v>489280.0</v>
      </c>
      <c r="J7" s="34"/>
      <c r="K7" s="34"/>
      <c r="L7" s="35">
        <v>50.0</v>
      </c>
      <c r="M7" s="35">
        <v>1.0</v>
      </c>
      <c r="N7" s="34"/>
      <c r="O7" s="34"/>
      <c r="P7" s="34"/>
      <c r="Q7" s="34"/>
      <c r="R7" s="34" t="s">
        <v>24</v>
      </c>
      <c r="S7" s="34"/>
      <c r="T7" s="34"/>
      <c r="U7" s="34"/>
      <c r="V7" s="34"/>
      <c r="W7" s="34"/>
      <c r="X7" s="34"/>
      <c r="Y7" s="34"/>
      <c r="Z7" s="34"/>
      <c r="AA7" s="34"/>
      <c r="AB7" s="34"/>
      <c r="AC7" s="34"/>
      <c r="AD7" s="34"/>
      <c r="AE7" s="34"/>
      <c r="AF7" s="34"/>
      <c r="AG7" s="34"/>
      <c r="AH7" s="34"/>
      <c r="AI7" s="34"/>
      <c r="AJ7" s="34"/>
      <c r="AK7" s="34"/>
      <c r="AL7" s="34"/>
      <c r="AM7" s="34"/>
      <c r="AN7" s="34"/>
      <c r="AO7" s="34"/>
      <c r="AP7" s="34"/>
      <c r="AQ7" s="34"/>
      <c r="AR7" s="34"/>
      <c r="AS7" s="34"/>
      <c r="AT7" s="34"/>
      <c r="AU7" s="34"/>
      <c r="AV7" s="34"/>
      <c r="AW7" s="34"/>
      <c r="AX7" s="34"/>
      <c r="AY7" s="34"/>
      <c r="AZ7" s="34"/>
      <c r="BA7" s="34"/>
      <c r="BB7" s="34"/>
      <c r="BC7" s="34"/>
      <c r="BD7" s="34"/>
      <c r="BE7" s="34"/>
      <c r="BF7" s="34"/>
      <c r="BG7" s="34"/>
      <c r="BH7" s="34"/>
      <c r="BI7" s="34"/>
      <c r="BJ7" s="34"/>
      <c r="BK7" s="34"/>
      <c r="BL7" s="34"/>
      <c r="BM7" s="34"/>
      <c r="BN7" s="34"/>
      <c r="BO7" s="34"/>
      <c r="BP7" s="34"/>
      <c r="BQ7" s="34"/>
      <c r="BR7" s="34"/>
      <c r="BS7" s="34"/>
      <c r="BT7" s="34"/>
      <c r="BU7" s="34"/>
      <c r="BV7" s="34"/>
      <c r="BW7" s="34"/>
      <c r="BX7" s="34"/>
      <c r="BY7" s="34"/>
      <c r="BZ7" s="34"/>
      <c r="CA7" s="34"/>
      <c r="CB7" s="34"/>
      <c r="CC7" s="34"/>
      <c r="CD7" s="34"/>
      <c r="CE7" s="34"/>
      <c r="CF7" s="34"/>
      <c r="CG7" s="34"/>
      <c r="CH7" s="34"/>
      <c r="CI7" s="34"/>
      <c r="CJ7" s="34"/>
      <c r="CK7" s="34"/>
      <c r="CL7" s="34"/>
      <c r="CM7" s="34"/>
      <c r="CN7" s="34"/>
      <c r="CO7" s="34"/>
      <c r="CP7" s="34"/>
      <c r="CQ7" s="34"/>
      <c r="CR7" s="34"/>
      <c r="CS7" s="34"/>
      <c r="CT7" s="34"/>
      <c r="CU7" s="34"/>
      <c r="CV7" s="34"/>
      <c r="CW7" s="34"/>
      <c r="CX7" s="34"/>
      <c r="CY7" s="34"/>
      <c r="CZ7" s="34"/>
      <c r="DA7" s="34"/>
      <c r="DB7" s="34"/>
      <c r="DC7" s="34"/>
      <c r="DD7" s="34"/>
      <c r="DE7" s="34"/>
      <c r="DF7" s="34"/>
      <c r="DG7" s="34"/>
      <c r="DH7" s="34"/>
      <c r="DI7" s="34"/>
      <c r="DJ7" s="34"/>
      <c r="DK7" s="34"/>
      <c r="DL7" s="34"/>
      <c r="DM7" s="34"/>
      <c r="DN7" s="34"/>
      <c r="DO7" s="34"/>
      <c r="DP7" s="34"/>
      <c r="DQ7" s="34"/>
      <c r="DR7" s="34"/>
      <c r="DS7" s="34"/>
      <c r="DT7" s="34"/>
      <c r="DU7" s="34"/>
      <c r="DV7" s="34"/>
      <c r="DW7" s="34"/>
      <c r="DX7" s="34"/>
      <c r="DY7" s="34"/>
      <c r="DZ7" s="34"/>
      <c r="EA7" s="34"/>
      <c r="EB7" s="34"/>
      <c r="EC7" s="34"/>
      <c r="ED7" s="34"/>
      <c r="EE7" s="34"/>
      <c r="EF7" s="34"/>
      <c r="EG7" s="34"/>
      <c r="EH7" s="34"/>
      <c r="EI7" s="34"/>
      <c r="EJ7" s="34"/>
      <c r="EK7" s="34"/>
      <c r="EL7" s="34"/>
      <c r="EM7" s="34"/>
      <c r="EN7" s="34"/>
      <c r="EO7" s="34"/>
      <c r="EP7" s="34"/>
      <c r="EQ7" s="34"/>
      <c r="ER7" s="34"/>
      <c r="ES7" s="34"/>
      <c r="ET7" s="34"/>
      <c r="EU7" s="34"/>
      <c r="EV7" s="34"/>
      <c r="EW7" s="34"/>
      <c r="EX7" s="34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VerifyPTT!$4:$4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39</v>
      </c>
      <c r="D3" s="5" t="s">
        <v>9</v>
      </c>
      <c r="E3" s="23" t="s">
        <v>47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IFERROR(__xludf.DUMMYFUNCTION("IF(C3="""","""",Transpose(IMPORTRANGE('_Settings'!$B$3,C3&amp;""!A4:A1000"")))"),"CalculatePTT")</f>
        <v>CalculatePTT</v>
      </c>
      <c r="C4" s="25" t="str">
        <f>IFERROR(__xludf.DUMMYFUNCTION("""COMPUTED_VALUE"""),"TradeUsingPTT")</f>
        <v>TradeUsingPTT</v>
      </c>
      <c r="D4" s="25" t="str">
        <f>IFERROR(__xludf.DUMMYFUNCTION("""COMPUTED_VALUE"""),"StageOrderUsingPTT")</f>
        <v>StageOrderUsingPTT</v>
      </c>
      <c r="E4" s="25" t="str">
        <f>IFERROR(__xludf.DUMMYFUNCTION("""COMPUTED_VALUE"""),"CreateOrderPTT")</f>
        <v>CreateOrderPTT</v>
      </c>
      <c r="F4" s="25" t="str">
        <f>IFERROR(__xludf.DUMMYFUNCTION("""COMPUTED_VALUE"""),"TradePTT")</f>
        <v>TradePTT</v>
      </c>
      <c r="G4" s="25" t="str">
        <f>IFERROR(__xludf.DUMMYFUNCTION("""COMPUTED_VALUE"""),"VerifyPTT")</f>
        <v>VerifyPTT</v>
      </c>
      <c r="H4" s="25" t="str">
        <f>IFERROR(__xludf.DUMMYFUNCTION("""COMPUTED_VALUE"""),"OpenMultiTTFromPTT")</f>
        <v>OpenMultiTTFromPTT</v>
      </c>
      <c r="I4" s="25" t="str">
        <f>IFERROR(__xludf.DUMMYFUNCTION("""COMPUTED_VALUE"""),"SelectMultiTT")</f>
        <v>SelectMultiTT</v>
      </c>
      <c r="J4" s="25" t="str">
        <f>IFERROR(__xludf.DUMMYFUNCTION("""COMPUTED_VALUE"""),"EditMultiTT")</f>
        <v>EditMultiTT</v>
      </c>
      <c r="K4" s="25" t="str">
        <f>IFERROR(__xludf.DUMMYFUNCTION("""COMPUTED_VALUE"""),"SetAccountFactor")</f>
        <v>SetAccountFactor</v>
      </c>
      <c r="L4" s="25" t="str">
        <f>IFERROR(__xludf.DUMMYFUNCTION("""COMPUTED_VALUE"""),"SetPTTPreference")</f>
        <v>SetPTTPreference</v>
      </c>
      <c r="M4" s="25" t="str">
        <f>IFERROR(__xludf.DUMMYFUNCTION("""COMPUTED_VALUE"""),"SetLongShortPTTPreference")</f>
        <v>SetLongShortPTTPreference</v>
      </c>
      <c r="N4" s="25" t="str">
        <f>IFERROR(__xludf.DUMMYFUNCTION("""COMPUTED_VALUE"""),"SelectPTTRecord")</f>
        <v>SelectPTTRecord</v>
      </c>
      <c r="O4" s="25" t="str">
        <f>IFERROR(__xludf.DUMMYFUNCTION("""COMPUTED_VALUE"""),"EditPTTRecord")</f>
        <v>EditPTTRecord</v>
      </c>
      <c r="P4" s="26" t="str">
        <f>IFERROR(__xludf.DUMMYFUNCTION("""COMPUTED_VALUE"""),"SetDefaultSymbology")</f>
        <v>SetDefaultSymbology</v>
      </c>
      <c r="Q4" s="26" t="str">
        <f>IFERROR(__xludf.DUMMYFUNCTION("""COMPUTED_VALUE"""),"EditPTTAccountLevelWPF")</f>
        <v>EditPTTAccountLevelWPF</v>
      </c>
      <c r="R4" s="26" t="str">
        <f>IFERROR(__xludf.DUMMYFUNCTION("""COMPUTED_VALUE"""),"VerifyPTTCompliance")</f>
        <v>VerifyPTTCompliance</v>
      </c>
      <c r="S4" s="26" t="str">
        <f>IFERROR(__xludf.DUMMYFUNCTION("""COMPUTED_VALUE"""),"CreateOrderAfterEditPTT")</f>
        <v>CreateOrderAfterEditPTT</v>
      </c>
      <c r="T4" s="26" t="str">
        <f>IFERROR(__xludf.DUMMYFUNCTION("""COMPUTED_VALUE"""),"EditPTTWPFGrid")</f>
        <v>EditPTTWPFGrid</v>
      </c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IFERROR(__xludf.DUMMYFUNCTION("""COMPUTED_VALUE"""),"Ticker")</f>
        <v>Ticker</v>
      </c>
      <c r="C5" s="28" t="str">
        <f>IFERROR(__xludf.DUMMYFUNCTION("""COMPUTED_VALUE"""),"Add/Set")</f>
        <v>Add/Set</v>
      </c>
      <c r="D5" s="28" t="str">
        <f>IFERROR(__xludf.DUMMYFUNCTION("""COMPUTED_VALUE"""),"Type")</f>
        <v>Type</v>
      </c>
      <c r="E5" s="28" t="str">
        <f>IFERROR(__xludf.DUMMYFUNCTION("""COMPUTED_VALUE"""),"Target")</f>
        <v>Target</v>
      </c>
      <c r="F5" s="29" t="str">
        <f>IFERROR(__xludf.DUMMYFUNCTION("""COMPUTED_VALUE"""),"Price")</f>
        <v>Price</v>
      </c>
      <c r="G5" s="28" t="str">
        <f>IFERROR(__xludf.DUMMYFUNCTION("""COMPUTED_VALUE"""),"Combined Account Total")</f>
        <v>Combined Account Total</v>
      </c>
      <c r="H5" s="28" t="str">
        <f>IFERROR(__xludf.DUMMYFUNCTION("""COMPUTED_VALUE"""),"MasterFund/Account")</f>
        <v>MasterFund/Account</v>
      </c>
      <c r="I5" s="28" t="str">
        <f>IFERROR(__xludf.DUMMYFUNCTION("""COMPUTED_VALUE"""),"Accounts")</f>
        <v>Accounts</v>
      </c>
      <c r="J5" s="28" t="str">
        <f>IFERROR(__xludf.DUMMYFUNCTION("""COMPUTED_VALUE"""),"SoftNotesCount")</f>
        <v>SoftNotesCount</v>
      </c>
      <c r="K5" s="28" t="str">
        <f>IFERROR(__xludf.DUMMYFUNCTION("""COMPUTED_VALUE"""),"SoftNotesComment")</f>
        <v>SoftNotesComment</v>
      </c>
      <c r="L5" s="28" t="str">
        <f>IFERROR(__xludf.DUMMYFUNCTION("""COMPUTED_VALUE"""),"DoNotAllowTrade")</f>
        <v>DoNotAllowTrade</v>
      </c>
      <c r="M5" s="28" t="str">
        <f>IFERROR(__xludf.DUMMYFUNCTION("""COMPUTED_VALUE"""),"Round Lots")</f>
        <v>Round Lots</v>
      </c>
      <c r="N5" s="28" t="str">
        <f>IFERROR(__xludf.DUMMYFUNCTION("""COMPUTED_VALUE"""),"Alert Type")</f>
        <v>Alert Type</v>
      </c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16</v>
      </c>
      <c r="C6" s="42" t="s">
        <v>41</v>
      </c>
      <c r="D6" s="31" t="s">
        <v>42</v>
      </c>
      <c r="E6" s="35">
        <v>10.0</v>
      </c>
      <c r="F6" s="34"/>
      <c r="G6" s="34" t="s">
        <v>43</v>
      </c>
      <c r="H6" s="34" t="s">
        <v>44</v>
      </c>
      <c r="I6" s="34" t="s">
        <v>45</v>
      </c>
      <c r="J6" s="34"/>
      <c r="L6" s="34"/>
      <c r="M6" s="39" t="s">
        <v>43</v>
      </c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CreateOrderPTT!$4:$4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39</v>
      </c>
      <c r="D3" s="5" t="s">
        <v>9</v>
      </c>
      <c r="E3" s="23" t="s">
        <v>40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IFERROR(__xludf.DUMMYFUNCTION("IF(C3="""","""",Transpose(IMPORTRANGE('_Settings'!$B$3,C3&amp;""!A4:A1000"")))"),"CalculatePTT")</f>
        <v>CalculatePTT</v>
      </c>
      <c r="C4" s="25" t="str">
        <f>IFERROR(__xludf.DUMMYFUNCTION("""COMPUTED_VALUE"""),"TradeUsingPTT")</f>
        <v>TradeUsingPTT</v>
      </c>
      <c r="D4" s="25" t="str">
        <f>IFERROR(__xludf.DUMMYFUNCTION("""COMPUTED_VALUE"""),"StageOrderUsingPTT")</f>
        <v>StageOrderUsingPTT</v>
      </c>
      <c r="E4" s="25" t="str">
        <f>IFERROR(__xludf.DUMMYFUNCTION("""COMPUTED_VALUE"""),"CreateOrderPTT")</f>
        <v>CreateOrderPTT</v>
      </c>
      <c r="F4" s="25" t="str">
        <f>IFERROR(__xludf.DUMMYFUNCTION("""COMPUTED_VALUE"""),"TradePTT")</f>
        <v>TradePTT</v>
      </c>
      <c r="G4" s="25" t="str">
        <f>IFERROR(__xludf.DUMMYFUNCTION("""COMPUTED_VALUE"""),"VerifyPTT")</f>
        <v>VerifyPTT</v>
      </c>
      <c r="H4" s="25" t="str">
        <f>IFERROR(__xludf.DUMMYFUNCTION("""COMPUTED_VALUE"""),"OpenMultiTTFromPTT")</f>
        <v>OpenMultiTTFromPTT</v>
      </c>
      <c r="I4" s="25" t="str">
        <f>IFERROR(__xludf.DUMMYFUNCTION("""COMPUTED_VALUE"""),"SelectMultiTT")</f>
        <v>SelectMultiTT</v>
      </c>
      <c r="J4" s="25" t="str">
        <f>IFERROR(__xludf.DUMMYFUNCTION("""COMPUTED_VALUE"""),"EditMultiTT")</f>
        <v>EditMultiTT</v>
      </c>
      <c r="K4" s="25" t="str">
        <f>IFERROR(__xludf.DUMMYFUNCTION("""COMPUTED_VALUE"""),"SetAccountFactor")</f>
        <v>SetAccountFactor</v>
      </c>
      <c r="L4" s="25" t="str">
        <f>IFERROR(__xludf.DUMMYFUNCTION("""COMPUTED_VALUE"""),"SetPTTPreference")</f>
        <v>SetPTTPreference</v>
      </c>
      <c r="M4" s="25" t="str">
        <f>IFERROR(__xludf.DUMMYFUNCTION("""COMPUTED_VALUE"""),"SetLongShortPTTPreference")</f>
        <v>SetLongShortPTTPreference</v>
      </c>
      <c r="N4" s="25" t="str">
        <f>IFERROR(__xludf.DUMMYFUNCTION("""COMPUTED_VALUE"""),"SelectPTTRecord")</f>
        <v>SelectPTTRecord</v>
      </c>
      <c r="O4" s="25" t="str">
        <f>IFERROR(__xludf.DUMMYFUNCTION("""COMPUTED_VALUE"""),"EditPTTRecord")</f>
        <v>EditPTTRecord</v>
      </c>
      <c r="P4" s="26" t="str">
        <f>IFERROR(__xludf.DUMMYFUNCTION("""COMPUTED_VALUE"""),"SetDefaultSymbology")</f>
        <v>SetDefaultSymbology</v>
      </c>
      <c r="Q4" s="26" t="str">
        <f>IFERROR(__xludf.DUMMYFUNCTION("""COMPUTED_VALUE"""),"EditPTTAccountLevelWPF")</f>
        <v>EditPTTAccountLevelWPF</v>
      </c>
      <c r="R4" s="26" t="str">
        <f>IFERROR(__xludf.DUMMYFUNCTION("""COMPUTED_VALUE"""),"VerifyPTTCompliance")</f>
        <v>VerifyPTTCompliance</v>
      </c>
      <c r="S4" s="26" t="str">
        <f>IFERROR(__xludf.DUMMYFUNCTION("""COMPUTED_VALUE"""),"CreateOrderAfterEditPTT")</f>
        <v>CreateOrderAfterEditPTT</v>
      </c>
      <c r="T4" s="26" t="str">
        <f>IFERROR(__xludf.DUMMYFUNCTION("""COMPUTED_VALUE"""),"EditPTTWPFGrid")</f>
        <v>EditPTTWPFGrid</v>
      </c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IFERROR(__xludf.DUMMYFUNCTION("""COMPUTED_VALUE"""),"Ticker")</f>
        <v>Ticker</v>
      </c>
      <c r="C5" s="28" t="str">
        <f>IFERROR(__xludf.DUMMYFUNCTION("""COMPUTED_VALUE"""),"Add/Set")</f>
        <v>Add/Set</v>
      </c>
      <c r="D5" s="28" t="str">
        <f>IFERROR(__xludf.DUMMYFUNCTION("""COMPUTED_VALUE"""),"Type")</f>
        <v>Type</v>
      </c>
      <c r="E5" s="28" t="str">
        <f>IFERROR(__xludf.DUMMYFUNCTION("""COMPUTED_VALUE"""),"Target")</f>
        <v>Target</v>
      </c>
      <c r="F5" s="29" t="str">
        <f>IFERROR(__xludf.DUMMYFUNCTION("""COMPUTED_VALUE"""),"Price")</f>
        <v>Price</v>
      </c>
      <c r="G5" s="28" t="str">
        <f>IFERROR(__xludf.DUMMYFUNCTION("""COMPUTED_VALUE"""),"Combined Account Total")</f>
        <v>Combined Account Total</v>
      </c>
      <c r="H5" s="28" t="str">
        <f>IFERROR(__xludf.DUMMYFUNCTION("""COMPUTED_VALUE"""),"MasterFund/Account")</f>
        <v>MasterFund/Account</v>
      </c>
      <c r="I5" s="28" t="str">
        <f>IFERROR(__xludf.DUMMYFUNCTION("""COMPUTED_VALUE"""),"Accounts")</f>
        <v>Accounts</v>
      </c>
      <c r="J5" s="28" t="str">
        <f>IFERROR(__xludf.DUMMYFUNCTION("""COMPUTED_VALUE"""),"Master Funds")</f>
        <v>Master Funds</v>
      </c>
      <c r="K5" s="28" t="str">
        <f>IFERROR(__xludf.DUMMYFUNCTION("""COMPUTED_VALUE"""),"Round Lots")</f>
        <v>Round Lots</v>
      </c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42" t="s">
        <v>18</v>
      </c>
      <c r="C6" s="42" t="s">
        <v>41</v>
      </c>
      <c r="D6" s="31" t="s">
        <v>42</v>
      </c>
      <c r="E6" s="35">
        <v>10.0</v>
      </c>
      <c r="F6" s="34"/>
      <c r="G6" s="34" t="s">
        <v>43</v>
      </c>
      <c r="H6" s="34" t="s">
        <v>44</v>
      </c>
      <c r="I6" s="34" t="s">
        <v>45</v>
      </c>
      <c r="J6" s="34"/>
      <c r="K6" s="39" t="s">
        <v>43</v>
      </c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CalculatePTT1!$4:$4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39</v>
      </c>
      <c r="D3" s="5" t="s">
        <v>9</v>
      </c>
      <c r="E3" s="23" t="s">
        <v>46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IFERROR(__xludf.DUMMYFUNCTION("IF(C3="""","""",Transpose(IMPORTRANGE('_Settings'!$B$3,C3&amp;""!A4:A1000"")))"),"CalculatePTT")</f>
        <v>CalculatePTT</v>
      </c>
      <c r="C4" s="25" t="str">
        <f>IFERROR(__xludf.DUMMYFUNCTION("""COMPUTED_VALUE"""),"TradeUsingPTT")</f>
        <v>TradeUsingPTT</v>
      </c>
      <c r="D4" s="25" t="str">
        <f>IFERROR(__xludf.DUMMYFUNCTION("""COMPUTED_VALUE"""),"StageOrderUsingPTT")</f>
        <v>StageOrderUsingPTT</v>
      </c>
      <c r="E4" s="25" t="str">
        <f>IFERROR(__xludf.DUMMYFUNCTION("""COMPUTED_VALUE"""),"CreateOrderPTT")</f>
        <v>CreateOrderPTT</v>
      </c>
      <c r="F4" s="25" t="str">
        <f>IFERROR(__xludf.DUMMYFUNCTION("""COMPUTED_VALUE"""),"TradePTT")</f>
        <v>TradePTT</v>
      </c>
      <c r="G4" s="25" t="str">
        <f>IFERROR(__xludf.DUMMYFUNCTION("""COMPUTED_VALUE"""),"VerifyPTT")</f>
        <v>VerifyPTT</v>
      </c>
      <c r="H4" s="25" t="str">
        <f>IFERROR(__xludf.DUMMYFUNCTION("""COMPUTED_VALUE"""),"OpenMultiTTFromPTT")</f>
        <v>OpenMultiTTFromPTT</v>
      </c>
      <c r="I4" s="25" t="str">
        <f>IFERROR(__xludf.DUMMYFUNCTION("""COMPUTED_VALUE"""),"SelectMultiTT")</f>
        <v>SelectMultiTT</v>
      </c>
      <c r="J4" s="25" t="str">
        <f>IFERROR(__xludf.DUMMYFUNCTION("""COMPUTED_VALUE"""),"EditMultiTT")</f>
        <v>EditMultiTT</v>
      </c>
      <c r="K4" s="25" t="str">
        <f>IFERROR(__xludf.DUMMYFUNCTION("""COMPUTED_VALUE"""),"SetAccountFactor")</f>
        <v>SetAccountFactor</v>
      </c>
      <c r="L4" s="25" t="str">
        <f>IFERROR(__xludf.DUMMYFUNCTION("""COMPUTED_VALUE"""),"SetPTTPreference")</f>
        <v>SetPTTPreference</v>
      </c>
      <c r="M4" s="25" t="str">
        <f>IFERROR(__xludf.DUMMYFUNCTION("""COMPUTED_VALUE"""),"SetLongShortPTTPreference")</f>
        <v>SetLongShortPTTPreference</v>
      </c>
      <c r="N4" s="25" t="str">
        <f>IFERROR(__xludf.DUMMYFUNCTION("""COMPUTED_VALUE"""),"SelectPTTRecord")</f>
        <v>SelectPTTRecord</v>
      </c>
      <c r="O4" s="25" t="str">
        <f>IFERROR(__xludf.DUMMYFUNCTION("""COMPUTED_VALUE"""),"EditPTTRecord")</f>
        <v>EditPTTRecord</v>
      </c>
      <c r="P4" s="26" t="str">
        <f>IFERROR(__xludf.DUMMYFUNCTION("""COMPUTED_VALUE"""),"SetDefaultSymbology")</f>
        <v>SetDefaultSymbology</v>
      </c>
      <c r="Q4" s="26" t="str">
        <f>IFERROR(__xludf.DUMMYFUNCTION("""COMPUTED_VALUE"""),"EditPTTAccountLevelWPF")</f>
        <v>EditPTTAccountLevelWPF</v>
      </c>
      <c r="R4" s="26" t="str">
        <f>IFERROR(__xludf.DUMMYFUNCTION("""COMPUTED_VALUE"""),"VerifyPTTCompliance")</f>
        <v>VerifyPTTCompliance</v>
      </c>
      <c r="S4" s="26" t="str">
        <f>IFERROR(__xludf.DUMMYFUNCTION("""COMPUTED_VALUE"""),"CreateOrderAfterEditPTT")</f>
        <v>CreateOrderAfterEditPTT</v>
      </c>
      <c r="T4" s="26" t="str">
        <f>IFERROR(__xludf.DUMMYFUNCTION("""COMPUTED_VALUE"""),"EditPTTWPFGrid")</f>
        <v>EditPTTWPFGrid</v>
      </c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IFERROR(__xludf.DUMMYFUNCTION("""COMPUTED_VALUE"""),"Account NAV")</f>
        <v>Account NAV</v>
      </c>
      <c r="D5" s="28" t="str">
        <f>IFERROR(__xludf.DUMMYFUNCTION("""COMPUTED_VALUE"""),"Starting Position")</f>
        <v>Starting Position</v>
      </c>
      <c r="E5" s="28" t="str">
        <f>IFERROR(__xludf.DUMMYFUNCTION("""COMPUTED_VALUE"""),"Starting Value")</f>
        <v>Starting Value</v>
      </c>
      <c r="F5" s="29" t="str">
        <f>IFERROR(__xludf.DUMMYFUNCTION("""COMPUTED_VALUE"""),"Starting %")</f>
        <v>Starting %</v>
      </c>
      <c r="G5" s="28" t="str">
        <f>IFERROR(__xludf.DUMMYFUNCTION("""COMPUTED_VALUE"""),"% Change")</f>
        <v>% Change</v>
      </c>
      <c r="H5" s="28" t="str">
        <f>IFERROR(__xludf.DUMMYFUNCTION("""COMPUTED_VALUE"""),"Ending %")</f>
        <v>Ending %</v>
      </c>
      <c r="I5" s="28" t="str">
        <f>IFERROR(__xludf.DUMMYFUNCTION("""COMPUTED_VALUE"""),"Trade Quantity")</f>
        <v>Trade Quantity</v>
      </c>
      <c r="J5" s="28" t="str">
        <f>IFERROR(__xludf.DUMMYFUNCTION("""COMPUTED_VALUE"""),"Ending Position")</f>
        <v>Ending Position</v>
      </c>
      <c r="K5" s="28" t="str">
        <f>IFERROR(__xludf.DUMMYFUNCTION("""COMPUTED_VALUE"""),"Ending Value")</f>
        <v>Ending Value</v>
      </c>
      <c r="L5" s="28" t="str">
        <f>IFERROR(__xludf.DUMMYFUNCTION("""COMPUTED_VALUE"""),"% Allocation")</f>
        <v>% Allocation</v>
      </c>
      <c r="M5" s="28" t="str">
        <f>IFERROR(__xludf.DUMMYFUNCTION("""COMPUTED_VALUE"""),"Fx Rate")</f>
        <v>Fx Rate</v>
      </c>
      <c r="N5" s="28" t="str">
        <f>IFERROR(__xludf.DUMMYFUNCTION("""COMPUTED_VALUE"""),"Starting BP")</f>
        <v>Starting BP</v>
      </c>
      <c r="O5" s="28" t="str">
        <f>IFERROR(__xludf.DUMMYFUNCTION("""COMPUTED_VALUE"""),"BP Change")</f>
        <v>BP Change</v>
      </c>
      <c r="P5" s="28" t="str">
        <f>IFERROR(__xludf.DUMMYFUNCTION("""COMPUTED_VALUE"""),"Ending BP")</f>
        <v>Ending BP</v>
      </c>
      <c r="Q5" s="28" t="str">
        <f>IFERROR(__xludf.DUMMYFUNCTION("""COMPUTED_VALUE"""),"MasterFund Name")</f>
        <v>MasterFund Name</v>
      </c>
      <c r="R5" s="28" t="str">
        <f>IFERROR(__xludf.DUMMYFUNCTION("""COMPUTED_VALUE"""),"Order Side")</f>
        <v>Order Side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4"/>
      <c r="D6" s="46">
        <v>500.0</v>
      </c>
      <c r="E6" s="34"/>
      <c r="F6" s="34"/>
      <c r="G6" s="34"/>
      <c r="H6" s="34"/>
      <c r="I6" s="44">
        <v>498000.0</v>
      </c>
      <c r="J6" s="34"/>
      <c r="K6" s="34"/>
      <c r="L6" s="35">
        <v>50.0</v>
      </c>
      <c r="M6" s="32">
        <v>1.25</v>
      </c>
      <c r="N6" s="34"/>
      <c r="O6" s="34"/>
      <c r="P6" s="34"/>
      <c r="Q6" s="34"/>
      <c r="R6" s="34" t="s">
        <v>24</v>
      </c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34"/>
      <c r="B7" s="34"/>
      <c r="C7" s="34"/>
      <c r="D7" s="46">
        <v>500.0</v>
      </c>
      <c r="E7" s="34"/>
      <c r="F7" s="34"/>
      <c r="G7" s="34"/>
      <c r="H7" s="34"/>
      <c r="I7" s="44">
        <v>498000.0</v>
      </c>
      <c r="J7" s="34"/>
      <c r="K7" s="34"/>
      <c r="L7" s="35">
        <v>50.0</v>
      </c>
      <c r="M7" s="32">
        <v>1.25</v>
      </c>
      <c r="N7" s="34"/>
      <c r="O7" s="34"/>
      <c r="P7" s="34"/>
      <c r="Q7" s="34"/>
      <c r="R7" s="34" t="s">
        <v>24</v>
      </c>
      <c r="S7" s="34"/>
      <c r="T7" s="34"/>
      <c r="U7" s="34"/>
      <c r="V7" s="34"/>
      <c r="W7" s="34"/>
      <c r="X7" s="34"/>
      <c r="Y7" s="34"/>
      <c r="Z7" s="34"/>
      <c r="AA7" s="34"/>
      <c r="AB7" s="34"/>
      <c r="AC7" s="34"/>
      <c r="AD7" s="34"/>
      <c r="AE7" s="34"/>
      <c r="AF7" s="34"/>
      <c r="AG7" s="34"/>
      <c r="AH7" s="34"/>
      <c r="AI7" s="34"/>
      <c r="AJ7" s="34"/>
      <c r="AK7" s="34"/>
      <c r="AL7" s="34"/>
      <c r="AM7" s="34"/>
      <c r="AN7" s="34"/>
      <c r="AO7" s="34"/>
      <c r="AP7" s="34"/>
      <c r="AQ7" s="34"/>
      <c r="AR7" s="34"/>
      <c r="AS7" s="34"/>
      <c r="AT7" s="34"/>
      <c r="AU7" s="34"/>
      <c r="AV7" s="34"/>
      <c r="AW7" s="34"/>
      <c r="AX7" s="34"/>
      <c r="AY7" s="34"/>
      <c r="AZ7" s="34"/>
      <c r="BA7" s="34"/>
      <c r="BB7" s="34"/>
      <c r="BC7" s="34"/>
      <c r="BD7" s="34"/>
      <c r="BE7" s="34"/>
      <c r="BF7" s="34"/>
      <c r="BG7" s="34"/>
      <c r="BH7" s="34"/>
      <c r="BI7" s="34"/>
      <c r="BJ7" s="34"/>
      <c r="BK7" s="34"/>
      <c r="BL7" s="34"/>
      <c r="BM7" s="34"/>
      <c r="BN7" s="34"/>
      <c r="BO7" s="34"/>
      <c r="BP7" s="34"/>
      <c r="BQ7" s="34"/>
      <c r="BR7" s="34"/>
      <c r="BS7" s="34"/>
      <c r="BT7" s="34"/>
      <c r="BU7" s="34"/>
      <c r="BV7" s="34"/>
      <c r="BW7" s="34"/>
      <c r="BX7" s="34"/>
      <c r="BY7" s="34"/>
      <c r="BZ7" s="34"/>
      <c r="CA7" s="34"/>
      <c r="CB7" s="34"/>
      <c r="CC7" s="34"/>
      <c r="CD7" s="34"/>
      <c r="CE7" s="34"/>
      <c r="CF7" s="34"/>
      <c r="CG7" s="34"/>
      <c r="CH7" s="34"/>
      <c r="CI7" s="34"/>
      <c r="CJ7" s="34"/>
      <c r="CK7" s="34"/>
      <c r="CL7" s="34"/>
      <c r="CM7" s="34"/>
      <c r="CN7" s="34"/>
      <c r="CO7" s="34"/>
      <c r="CP7" s="34"/>
      <c r="CQ7" s="34"/>
      <c r="CR7" s="34"/>
      <c r="CS7" s="34"/>
      <c r="CT7" s="34"/>
      <c r="CU7" s="34"/>
      <c r="CV7" s="34"/>
      <c r="CW7" s="34"/>
      <c r="CX7" s="34"/>
      <c r="CY7" s="34"/>
      <c r="CZ7" s="34"/>
      <c r="DA7" s="34"/>
      <c r="DB7" s="34"/>
      <c r="DC7" s="34"/>
      <c r="DD7" s="34"/>
      <c r="DE7" s="34"/>
      <c r="DF7" s="34"/>
      <c r="DG7" s="34"/>
      <c r="DH7" s="34"/>
      <c r="DI7" s="34"/>
      <c r="DJ7" s="34"/>
      <c r="DK7" s="34"/>
      <c r="DL7" s="34"/>
      <c r="DM7" s="34"/>
      <c r="DN7" s="34"/>
      <c r="DO7" s="34"/>
      <c r="DP7" s="34"/>
      <c r="DQ7" s="34"/>
      <c r="DR7" s="34"/>
      <c r="DS7" s="34"/>
      <c r="DT7" s="34"/>
      <c r="DU7" s="34"/>
      <c r="DV7" s="34"/>
      <c r="DW7" s="34"/>
      <c r="DX7" s="34"/>
      <c r="DY7" s="34"/>
      <c r="DZ7" s="34"/>
      <c r="EA7" s="34"/>
      <c r="EB7" s="34"/>
      <c r="EC7" s="34"/>
      <c r="ED7" s="34"/>
      <c r="EE7" s="34"/>
      <c r="EF7" s="34"/>
      <c r="EG7" s="34"/>
      <c r="EH7" s="34"/>
      <c r="EI7" s="34"/>
      <c r="EJ7" s="34"/>
      <c r="EK7" s="34"/>
      <c r="EL7" s="34"/>
      <c r="EM7" s="34"/>
      <c r="EN7" s="34"/>
      <c r="EO7" s="34"/>
      <c r="EP7" s="34"/>
      <c r="EQ7" s="34"/>
      <c r="ER7" s="34"/>
      <c r="ES7" s="34"/>
      <c r="ET7" s="34"/>
      <c r="EU7" s="34"/>
      <c r="EV7" s="34"/>
      <c r="EW7" s="34"/>
      <c r="EX7" s="34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VerifyPTT1!$4:$4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39</v>
      </c>
      <c r="D3" s="5" t="s">
        <v>9</v>
      </c>
      <c r="E3" s="23" t="s">
        <v>47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IFERROR(__xludf.DUMMYFUNCTION("IF(C3="""","""",Transpose(IMPORTRANGE('_Settings'!$B$3,C3&amp;""!A4:A1000"")))"),"CalculatePTT")</f>
        <v>CalculatePTT</v>
      </c>
      <c r="C4" s="25" t="str">
        <f>IFERROR(__xludf.DUMMYFUNCTION("""COMPUTED_VALUE"""),"TradeUsingPTT")</f>
        <v>TradeUsingPTT</v>
      </c>
      <c r="D4" s="25" t="str">
        <f>IFERROR(__xludf.DUMMYFUNCTION("""COMPUTED_VALUE"""),"StageOrderUsingPTT")</f>
        <v>StageOrderUsingPTT</v>
      </c>
      <c r="E4" s="25" t="str">
        <f>IFERROR(__xludf.DUMMYFUNCTION("""COMPUTED_VALUE"""),"CreateOrderPTT")</f>
        <v>CreateOrderPTT</v>
      </c>
      <c r="F4" s="25" t="str">
        <f>IFERROR(__xludf.DUMMYFUNCTION("""COMPUTED_VALUE"""),"TradePTT")</f>
        <v>TradePTT</v>
      </c>
      <c r="G4" s="25" t="str">
        <f>IFERROR(__xludf.DUMMYFUNCTION("""COMPUTED_VALUE"""),"VerifyPTT")</f>
        <v>VerifyPTT</v>
      </c>
      <c r="H4" s="25" t="str">
        <f>IFERROR(__xludf.DUMMYFUNCTION("""COMPUTED_VALUE"""),"OpenMultiTTFromPTT")</f>
        <v>OpenMultiTTFromPTT</v>
      </c>
      <c r="I4" s="25" t="str">
        <f>IFERROR(__xludf.DUMMYFUNCTION("""COMPUTED_VALUE"""),"SelectMultiTT")</f>
        <v>SelectMultiTT</v>
      </c>
      <c r="J4" s="25" t="str">
        <f>IFERROR(__xludf.DUMMYFUNCTION("""COMPUTED_VALUE"""),"EditMultiTT")</f>
        <v>EditMultiTT</v>
      </c>
      <c r="K4" s="25" t="str">
        <f>IFERROR(__xludf.DUMMYFUNCTION("""COMPUTED_VALUE"""),"SetAccountFactor")</f>
        <v>SetAccountFactor</v>
      </c>
      <c r="L4" s="25" t="str">
        <f>IFERROR(__xludf.DUMMYFUNCTION("""COMPUTED_VALUE"""),"SetPTTPreference")</f>
        <v>SetPTTPreference</v>
      </c>
      <c r="M4" s="25" t="str">
        <f>IFERROR(__xludf.DUMMYFUNCTION("""COMPUTED_VALUE"""),"SetLongShortPTTPreference")</f>
        <v>SetLongShortPTTPreference</v>
      </c>
      <c r="N4" s="25" t="str">
        <f>IFERROR(__xludf.DUMMYFUNCTION("""COMPUTED_VALUE"""),"SelectPTTRecord")</f>
        <v>SelectPTTRecord</v>
      </c>
      <c r="O4" s="25" t="str">
        <f>IFERROR(__xludf.DUMMYFUNCTION("""COMPUTED_VALUE"""),"EditPTTRecord")</f>
        <v>EditPTTRecord</v>
      </c>
      <c r="P4" s="26" t="str">
        <f>IFERROR(__xludf.DUMMYFUNCTION("""COMPUTED_VALUE"""),"SetDefaultSymbology")</f>
        <v>SetDefaultSymbology</v>
      </c>
      <c r="Q4" s="26" t="str">
        <f>IFERROR(__xludf.DUMMYFUNCTION("""COMPUTED_VALUE"""),"EditPTTAccountLevelWPF")</f>
        <v>EditPTTAccountLevelWPF</v>
      </c>
      <c r="R4" s="26" t="str">
        <f>IFERROR(__xludf.DUMMYFUNCTION("""COMPUTED_VALUE"""),"VerifyPTTCompliance")</f>
        <v>VerifyPTTCompliance</v>
      </c>
      <c r="S4" s="26" t="str">
        <f>IFERROR(__xludf.DUMMYFUNCTION("""COMPUTED_VALUE"""),"CreateOrderAfterEditPTT")</f>
        <v>CreateOrderAfterEditPTT</v>
      </c>
      <c r="T4" s="26" t="str">
        <f>IFERROR(__xludf.DUMMYFUNCTION("""COMPUTED_VALUE"""),"EditPTTWPFGrid")</f>
        <v>EditPTTWPFGrid</v>
      </c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IFERROR(__xludf.DUMMYFUNCTION("""COMPUTED_VALUE"""),"Ticker")</f>
        <v>Ticker</v>
      </c>
      <c r="C5" s="28" t="str">
        <f>IFERROR(__xludf.DUMMYFUNCTION("""COMPUTED_VALUE"""),"Add/Set")</f>
        <v>Add/Set</v>
      </c>
      <c r="D5" s="28" t="str">
        <f>IFERROR(__xludf.DUMMYFUNCTION("""COMPUTED_VALUE"""),"Type")</f>
        <v>Type</v>
      </c>
      <c r="E5" s="28" t="str">
        <f>IFERROR(__xludf.DUMMYFUNCTION("""COMPUTED_VALUE"""),"Target")</f>
        <v>Target</v>
      </c>
      <c r="F5" s="29" t="str">
        <f>IFERROR(__xludf.DUMMYFUNCTION("""COMPUTED_VALUE"""),"Price")</f>
        <v>Price</v>
      </c>
      <c r="G5" s="28" t="str">
        <f>IFERROR(__xludf.DUMMYFUNCTION("""COMPUTED_VALUE"""),"Combined Account Total")</f>
        <v>Combined Account Total</v>
      </c>
      <c r="H5" s="28" t="str">
        <f>IFERROR(__xludf.DUMMYFUNCTION("""COMPUTED_VALUE"""),"MasterFund/Account")</f>
        <v>MasterFund/Account</v>
      </c>
      <c r="I5" s="28" t="str">
        <f>IFERROR(__xludf.DUMMYFUNCTION("""COMPUTED_VALUE"""),"Accounts")</f>
        <v>Accounts</v>
      </c>
      <c r="J5" s="28" t="str">
        <f>IFERROR(__xludf.DUMMYFUNCTION("""COMPUTED_VALUE"""),"SoftNotesCount")</f>
        <v>SoftNotesCount</v>
      </c>
      <c r="K5" s="28" t="str">
        <f>IFERROR(__xludf.DUMMYFUNCTION("""COMPUTED_VALUE"""),"SoftNotesComment")</f>
        <v>SoftNotesComment</v>
      </c>
      <c r="L5" s="28" t="str">
        <f>IFERROR(__xludf.DUMMYFUNCTION("""COMPUTED_VALUE"""),"DoNotAllowTrade")</f>
        <v>DoNotAllowTrade</v>
      </c>
      <c r="M5" s="28" t="str">
        <f>IFERROR(__xludf.DUMMYFUNCTION("""COMPUTED_VALUE"""),"Round Lots")</f>
        <v>Round Lots</v>
      </c>
      <c r="N5" s="28" t="str">
        <f>IFERROR(__xludf.DUMMYFUNCTION("""COMPUTED_VALUE"""),"Alert Type")</f>
        <v>Alert Type</v>
      </c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42" t="s">
        <v>18</v>
      </c>
      <c r="C6" s="42" t="s">
        <v>41</v>
      </c>
      <c r="D6" s="31" t="s">
        <v>42</v>
      </c>
      <c r="E6" s="35">
        <v>10.0</v>
      </c>
      <c r="F6" s="34"/>
      <c r="G6" s="34" t="s">
        <v>43</v>
      </c>
      <c r="H6" s="34" t="s">
        <v>44</v>
      </c>
      <c r="I6" s="34" t="s">
        <v>45</v>
      </c>
      <c r="J6" s="34"/>
      <c r="L6" s="34"/>
      <c r="M6" s="39" t="s">
        <v>43</v>
      </c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CreateOrderPTT1!$4:$4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0"/>
      <c r="GX1" s="20"/>
      <c r="GY1" s="20"/>
      <c r="GZ1" s="20"/>
      <c r="HA1" s="20"/>
      <c r="HB1" s="20"/>
      <c r="HC1" s="20"/>
      <c r="HD1" s="20"/>
      <c r="HE1" s="20"/>
      <c r="HF1" s="20"/>
      <c r="HG1" s="20"/>
      <c r="HH1" s="20"/>
      <c r="HI1" s="20"/>
      <c r="HJ1" s="20"/>
      <c r="HK1" s="20"/>
      <c r="HL1" s="20"/>
      <c r="HM1" s="20"/>
      <c r="HN1" s="20"/>
      <c r="HO1" s="20"/>
      <c r="HP1" s="20"/>
      <c r="HQ1" s="20"/>
      <c r="HR1" s="20"/>
      <c r="HS1" s="20"/>
      <c r="HT1" s="20"/>
      <c r="HU1" s="20"/>
      <c r="HV1" s="20"/>
      <c r="HW1" s="20"/>
      <c r="HX1" s="20"/>
      <c r="HY1" s="20"/>
      <c r="HZ1" s="20"/>
      <c r="IA1" s="20"/>
      <c r="IB1" s="20"/>
      <c r="IC1" s="20"/>
      <c r="ID1" s="20"/>
      <c r="IE1" s="20"/>
      <c r="IF1" s="20"/>
      <c r="IG1" s="20"/>
      <c r="IH1" s="20"/>
      <c r="II1" s="20"/>
      <c r="IJ1" s="20"/>
      <c r="IK1" s="20"/>
      <c r="IL1" s="20"/>
      <c r="IM1" s="20"/>
      <c r="IN1" s="20"/>
      <c r="IO1" s="20"/>
      <c r="IP1" s="20"/>
      <c r="IQ1" s="20"/>
      <c r="IR1" s="20"/>
      <c r="IS1" s="20"/>
      <c r="IT1" s="20"/>
      <c r="IU1" s="20"/>
      <c r="IV1" s="20"/>
      <c r="IW1" s="20"/>
      <c r="IX1" s="20"/>
      <c r="IY1" s="20"/>
      <c r="IZ1" s="20"/>
      <c r="JA1" s="20"/>
      <c r="JB1" s="20"/>
      <c r="JC1" s="20"/>
      <c r="JD1" s="20"/>
      <c r="JE1" s="20"/>
      <c r="JF1" s="20"/>
      <c r="JG1" s="20"/>
      <c r="JH1" s="20"/>
      <c r="JI1" s="20"/>
      <c r="JJ1" s="20"/>
      <c r="JK1" s="20"/>
      <c r="JL1" s="20"/>
      <c r="JM1" s="20"/>
      <c r="JN1" s="20"/>
      <c r="JO1" s="20"/>
      <c r="JP1" s="20"/>
      <c r="JQ1" s="20"/>
      <c r="JR1" s="20"/>
      <c r="JS1" s="20"/>
      <c r="JT1" s="20"/>
      <c r="JU1" s="20"/>
      <c r="JV1" s="20"/>
      <c r="JW1" s="20"/>
      <c r="JX1" s="20"/>
      <c r="JY1" s="20"/>
      <c r="JZ1" s="20"/>
      <c r="KA1" s="20"/>
      <c r="KB1" s="20"/>
      <c r="KC1" s="20"/>
      <c r="KD1" s="20"/>
      <c r="KE1" s="20"/>
      <c r="KF1" s="20"/>
      <c r="KG1" s="20"/>
      <c r="KH1" s="20"/>
      <c r="KI1" s="20"/>
      <c r="KJ1" s="20"/>
      <c r="KK1" s="20"/>
      <c r="KL1" s="20"/>
      <c r="KM1" s="20"/>
      <c r="KN1" s="20"/>
      <c r="KO1" s="20"/>
      <c r="KP1" s="20"/>
      <c r="KQ1" s="20"/>
      <c r="KR1" s="20"/>
      <c r="KS1" s="20"/>
      <c r="KT1" s="20"/>
      <c r="KU1" s="20"/>
      <c r="KV1" s="20"/>
      <c r="KW1" s="20"/>
      <c r="KX1" s="20"/>
      <c r="KY1" s="20"/>
      <c r="KZ1" s="20"/>
      <c r="LA1" s="20"/>
      <c r="LB1" s="20"/>
      <c r="LC1" s="20"/>
      <c r="LD1" s="20"/>
      <c r="LE1" s="20"/>
      <c r="LF1" s="20"/>
      <c r="LG1" s="20"/>
      <c r="LH1" s="20"/>
      <c r="LI1" s="20"/>
      <c r="LJ1" s="20"/>
      <c r="LK1" s="20"/>
      <c r="LL1" s="20"/>
      <c r="LM1" s="20"/>
      <c r="LN1" s="20"/>
      <c r="LO1" s="20"/>
      <c r="LP1" s="20"/>
      <c r="LQ1" s="20"/>
      <c r="LR1" s="20"/>
      <c r="LS1" s="20"/>
      <c r="LT1" s="20"/>
      <c r="LU1" s="20"/>
      <c r="LV1" s="20"/>
      <c r="LW1" s="20"/>
      <c r="LX1" s="20"/>
      <c r="LY1" s="20"/>
      <c r="LZ1" s="20"/>
      <c r="MA1" s="20"/>
      <c r="MB1" s="20"/>
      <c r="MC1" s="20"/>
      <c r="MD1" s="20"/>
      <c r="ME1" s="20"/>
      <c r="MF1" s="20"/>
      <c r="MG1" s="20"/>
      <c r="MH1" s="20"/>
      <c r="MI1" s="20"/>
      <c r="MJ1" s="20"/>
      <c r="MK1" s="20"/>
      <c r="ML1" s="20"/>
      <c r="MM1" s="20"/>
      <c r="MN1" s="20"/>
      <c r="MO1" s="20"/>
      <c r="MP1" s="20"/>
      <c r="MQ1" s="20"/>
      <c r="MR1" s="20"/>
      <c r="MS1" s="20"/>
      <c r="MT1" s="20"/>
      <c r="MU1" s="20"/>
      <c r="MV1" s="20"/>
      <c r="MW1" s="20"/>
      <c r="MX1" s="20"/>
      <c r="MY1" s="20"/>
      <c r="MZ1" s="20"/>
      <c r="NA1" s="20"/>
      <c r="NB1" s="20"/>
      <c r="NC1" s="20"/>
      <c r="ND1" s="20"/>
      <c r="NE1" s="20"/>
      <c r="NF1" s="20"/>
      <c r="NG1" s="20"/>
      <c r="NH1" s="20"/>
      <c r="NI1" s="20"/>
      <c r="NJ1" s="20"/>
      <c r="NK1" s="20"/>
      <c r="NL1" s="20"/>
      <c r="NM1" s="20"/>
      <c r="NN1" s="20"/>
      <c r="NO1" s="20"/>
      <c r="NP1" s="20"/>
      <c r="NQ1" s="20"/>
      <c r="NR1" s="20"/>
      <c r="NS1" s="20"/>
      <c r="NT1" s="20"/>
      <c r="NU1" s="20"/>
      <c r="NV1" s="20"/>
      <c r="NW1" s="20"/>
      <c r="NX1" s="20"/>
      <c r="NY1" s="20"/>
      <c r="NZ1" s="20"/>
      <c r="OA1" s="20"/>
      <c r="OB1" s="20"/>
      <c r="OC1" s="20"/>
      <c r="OD1" s="20"/>
      <c r="OE1" s="20"/>
      <c r="OF1" s="20"/>
      <c r="OG1" s="20"/>
      <c r="OH1" s="20"/>
      <c r="OI1" s="20"/>
      <c r="OJ1" s="20"/>
      <c r="OK1" s="20"/>
      <c r="OL1" s="20"/>
      <c r="OM1" s="20"/>
      <c r="ON1" s="20"/>
      <c r="OO1" s="20"/>
      <c r="OP1" s="20"/>
      <c r="OQ1" s="20"/>
      <c r="OR1" s="20"/>
      <c r="OS1" s="20"/>
      <c r="OT1" s="20"/>
      <c r="OU1" s="20"/>
      <c r="OV1" s="20"/>
      <c r="OW1" s="20"/>
      <c r="OX1" s="20"/>
      <c r="OY1" s="20"/>
      <c r="OZ1" s="20"/>
      <c r="PA1" s="20"/>
      <c r="PB1" s="20"/>
      <c r="PC1" s="20"/>
      <c r="PD1" s="20"/>
      <c r="PE1" s="20"/>
      <c r="PF1" s="20"/>
      <c r="PG1" s="20"/>
      <c r="PH1" s="20"/>
      <c r="PI1" s="20"/>
      <c r="PJ1" s="20"/>
      <c r="PK1" s="20"/>
      <c r="PL1" s="20"/>
      <c r="PM1" s="20"/>
      <c r="PN1" s="20"/>
      <c r="PO1" s="20"/>
      <c r="PP1" s="20"/>
      <c r="PQ1" s="20"/>
      <c r="PR1" s="20"/>
      <c r="PS1" s="20"/>
      <c r="PT1" s="20"/>
      <c r="PU1" s="20"/>
      <c r="PV1" s="20"/>
      <c r="PW1" s="20"/>
      <c r="PX1" s="20"/>
      <c r="PY1" s="20"/>
      <c r="PZ1" s="20"/>
      <c r="QA1" s="20"/>
      <c r="QB1" s="20"/>
      <c r="QC1" s="20"/>
      <c r="QD1" s="20"/>
      <c r="QE1" s="20"/>
      <c r="QF1" s="20"/>
      <c r="QG1" s="20"/>
      <c r="QH1" s="20"/>
      <c r="QI1" s="20"/>
      <c r="QJ1" s="20"/>
      <c r="QK1" s="20"/>
      <c r="QL1" s="20"/>
      <c r="QM1" s="20"/>
      <c r="QN1" s="20"/>
      <c r="QO1" s="20"/>
      <c r="QP1" s="20"/>
      <c r="QQ1" s="20"/>
      <c r="QR1" s="20"/>
      <c r="QS1" s="20"/>
      <c r="QT1" s="20"/>
      <c r="QU1" s="20"/>
      <c r="QV1" s="20"/>
      <c r="QW1" s="20"/>
      <c r="QX1" s="20"/>
      <c r="QY1" s="20"/>
      <c r="QZ1" s="20"/>
      <c r="RA1" s="20"/>
      <c r="RB1" s="20"/>
      <c r="RC1" s="20"/>
      <c r="RD1" s="20"/>
      <c r="RE1" s="20"/>
      <c r="RF1" s="20"/>
      <c r="RG1" s="20"/>
      <c r="RH1" s="20"/>
      <c r="RI1" s="20"/>
      <c r="RJ1" s="20"/>
      <c r="RK1" s="20"/>
      <c r="RL1" s="20"/>
      <c r="RM1" s="20"/>
      <c r="RN1" s="20"/>
      <c r="RO1" s="20"/>
      <c r="RP1" s="20"/>
      <c r="RQ1" s="20"/>
      <c r="RR1" s="20"/>
      <c r="RS1" s="20"/>
      <c r="RT1" s="20"/>
      <c r="RU1" s="20"/>
      <c r="RV1" s="20"/>
      <c r="RW1" s="20"/>
      <c r="RX1" s="20"/>
      <c r="RY1" s="20"/>
      <c r="RZ1" s="20"/>
      <c r="SA1" s="20"/>
      <c r="SB1" s="20"/>
      <c r="SC1" s="20"/>
      <c r="SD1" s="20"/>
      <c r="SE1" s="20"/>
      <c r="SF1" s="20"/>
      <c r="SG1" s="20"/>
      <c r="SH1" s="20"/>
      <c r="SI1" s="20"/>
      <c r="SJ1" s="20"/>
      <c r="SK1" s="20"/>
      <c r="SL1" s="20"/>
      <c r="SM1" s="20"/>
      <c r="SN1" s="20"/>
      <c r="SO1" s="20"/>
      <c r="SP1" s="20"/>
      <c r="SQ1" s="20"/>
      <c r="SR1" s="20"/>
      <c r="SS1" s="20"/>
      <c r="ST1" s="20"/>
      <c r="SU1" s="20"/>
      <c r="SV1" s="20"/>
      <c r="SW1" s="20"/>
      <c r="SX1" s="20"/>
      <c r="SY1" s="20"/>
      <c r="SZ1" s="20"/>
      <c r="TA1" s="20"/>
      <c r="TB1" s="20"/>
      <c r="TC1" s="20"/>
      <c r="TD1" s="20"/>
      <c r="TE1" s="20"/>
      <c r="TF1" s="20"/>
      <c r="TG1" s="20"/>
      <c r="TH1" s="20"/>
      <c r="TI1" s="20"/>
      <c r="TJ1" s="20"/>
      <c r="TK1" s="20"/>
      <c r="TL1" s="20"/>
      <c r="TM1" s="20"/>
      <c r="TN1" s="20"/>
      <c r="TO1" s="20"/>
      <c r="TP1" s="20"/>
      <c r="TQ1" s="20"/>
      <c r="TR1" s="20"/>
      <c r="TS1" s="20"/>
      <c r="TT1" s="20"/>
      <c r="TU1" s="20"/>
      <c r="TV1" s="20"/>
      <c r="TW1" s="20"/>
      <c r="TX1" s="20"/>
      <c r="TY1" s="20"/>
      <c r="TZ1" s="20"/>
      <c r="UA1" s="20"/>
      <c r="UB1" s="20"/>
      <c r="UC1" s="20"/>
      <c r="UD1" s="20"/>
      <c r="UE1" s="20"/>
      <c r="UF1" s="20"/>
      <c r="UG1" s="20"/>
      <c r="UH1" s="20"/>
      <c r="UI1" s="20"/>
      <c r="UJ1" s="20"/>
      <c r="UK1" s="20"/>
      <c r="UL1" s="20"/>
      <c r="UM1" s="20"/>
      <c r="UN1" s="20"/>
      <c r="UO1" s="20"/>
      <c r="UP1" s="20"/>
      <c r="UQ1" s="20"/>
      <c r="UR1" s="20"/>
      <c r="US1" s="20"/>
      <c r="UT1" s="20"/>
      <c r="UU1" s="20"/>
      <c r="UV1" s="20"/>
      <c r="UW1" s="20"/>
      <c r="UX1" s="20"/>
      <c r="UY1" s="20"/>
      <c r="UZ1" s="20"/>
      <c r="VA1" s="20"/>
      <c r="VB1" s="20"/>
      <c r="VC1" s="20"/>
      <c r="VD1" s="20"/>
      <c r="VE1" s="20"/>
      <c r="VF1" s="20"/>
      <c r="VG1" s="20"/>
      <c r="VH1" s="20"/>
      <c r="VI1" s="20"/>
      <c r="VJ1" s="20"/>
      <c r="VK1" s="20"/>
      <c r="VL1" s="20"/>
      <c r="VM1" s="20"/>
      <c r="VN1" s="20"/>
      <c r="VO1" s="20"/>
      <c r="VP1" s="20"/>
      <c r="VQ1" s="20"/>
      <c r="VR1" s="20"/>
      <c r="VS1" s="20"/>
      <c r="VT1" s="20"/>
      <c r="VU1" s="20"/>
      <c r="VV1" s="20"/>
      <c r="VW1" s="20"/>
      <c r="VX1" s="20"/>
      <c r="VY1" s="20"/>
      <c r="VZ1" s="20"/>
      <c r="WA1" s="20"/>
      <c r="WB1" s="20"/>
      <c r="WC1" s="20"/>
      <c r="WD1" s="20"/>
      <c r="WE1" s="20"/>
      <c r="WF1" s="20"/>
      <c r="WG1" s="20"/>
      <c r="WH1" s="20"/>
      <c r="WI1" s="20"/>
      <c r="WJ1" s="20"/>
      <c r="WK1" s="20"/>
      <c r="WL1" s="20"/>
      <c r="WM1" s="20"/>
      <c r="WN1" s="20"/>
      <c r="WO1" s="20"/>
      <c r="WP1" s="20"/>
      <c r="WQ1" s="20"/>
      <c r="WR1" s="20"/>
      <c r="WS1" s="20"/>
      <c r="WT1" s="20"/>
      <c r="WU1" s="20"/>
      <c r="WV1" s="20"/>
      <c r="WW1" s="20"/>
      <c r="WX1" s="20"/>
      <c r="WY1" s="20"/>
      <c r="WZ1" s="20"/>
      <c r="XA1" s="20"/>
      <c r="XB1" s="20"/>
      <c r="XC1" s="20"/>
      <c r="XD1" s="20"/>
      <c r="XE1" s="20"/>
      <c r="XF1" s="20"/>
      <c r="XG1" s="20"/>
      <c r="XH1" s="20"/>
      <c r="XI1" s="20"/>
      <c r="XJ1" s="20"/>
      <c r="XK1" s="20"/>
      <c r="XL1" s="20"/>
      <c r="XM1" s="20"/>
      <c r="XN1" s="20"/>
      <c r="XO1" s="20"/>
      <c r="XP1" s="20"/>
      <c r="XQ1" s="20"/>
      <c r="XR1" s="20"/>
      <c r="XS1" s="20"/>
      <c r="XT1" s="20"/>
      <c r="XU1" s="20"/>
      <c r="XV1" s="20"/>
      <c r="XW1" s="20"/>
      <c r="XX1" s="20"/>
      <c r="XY1" s="20"/>
      <c r="XZ1" s="20"/>
      <c r="YA1" s="20"/>
      <c r="YB1" s="20"/>
      <c r="YC1" s="20"/>
      <c r="YD1" s="20"/>
      <c r="YE1" s="20"/>
      <c r="YF1" s="20"/>
      <c r="YG1" s="20"/>
      <c r="YH1" s="20"/>
      <c r="YI1" s="20"/>
      <c r="YJ1" s="20"/>
      <c r="YK1" s="20"/>
      <c r="YL1" s="20"/>
      <c r="YM1" s="20"/>
      <c r="YN1" s="20"/>
      <c r="YO1" s="20"/>
      <c r="YP1" s="20"/>
      <c r="YQ1" s="20"/>
      <c r="YR1" s="20"/>
      <c r="YS1" s="20"/>
      <c r="YT1" s="20"/>
      <c r="YU1" s="20"/>
      <c r="YV1" s="20"/>
      <c r="YW1" s="20"/>
      <c r="YX1" s="20"/>
      <c r="YY1" s="20"/>
      <c r="YZ1" s="20"/>
      <c r="ZA1" s="20"/>
      <c r="ZB1" s="20"/>
      <c r="ZC1" s="20"/>
      <c r="ZD1" s="20"/>
      <c r="ZE1" s="20"/>
      <c r="ZF1" s="20"/>
      <c r="ZG1" s="20"/>
      <c r="ZH1" s="20"/>
      <c r="ZI1" s="20"/>
      <c r="ZJ1" s="20"/>
      <c r="ZK1" s="20"/>
      <c r="ZL1" s="20"/>
      <c r="ZM1" s="20"/>
      <c r="ZN1" s="20"/>
      <c r="ZO1" s="20"/>
      <c r="ZP1" s="20"/>
      <c r="ZQ1" s="20"/>
      <c r="ZR1" s="20"/>
      <c r="ZS1" s="20"/>
      <c r="ZT1" s="20"/>
      <c r="ZU1" s="20"/>
      <c r="ZV1" s="20"/>
      <c r="ZW1" s="20"/>
      <c r="ZX1" s="20"/>
      <c r="ZY1" s="20"/>
      <c r="ZZ1" s="20"/>
      <c r="AAA1" s="20"/>
      <c r="AAB1" s="20"/>
      <c r="AAC1" s="20"/>
      <c r="AAD1" s="20"/>
      <c r="AAE1" s="20"/>
      <c r="AAF1" s="20"/>
      <c r="AAG1" s="20"/>
      <c r="AAH1" s="20"/>
      <c r="AAI1" s="20"/>
      <c r="AAJ1" s="20"/>
      <c r="AAK1" s="20"/>
      <c r="AAL1" s="20"/>
      <c r="AAM1" s="20"/>
      <c r="AAN1" s="20"/>
      <c r="AAO1" s="20"/>
      <c r="AAP1" s="20"/>
      <c r="AAQ1" s="20"/>
      <c r="AAR1" s="20"/>
      <c r="AAS1" s="20"/>
      <c r="AAT1" s="20"/>
      <c r="AAU1" s="20"/>
      <c r="AAV1" s="20"/>
      <c r="AAW1" s="20"/>
      <c r="AAX1" s="20"/>
      <c r="AAY1" s="20"/>
      <c r="AAZ1" s="20"/>
      <c r="ABA1" s="20"/>
      <c r="ABB1" s="20"/>
      <c r="ABC1" s="20"/>
      <c r="ABD1" s="20"/>
      <c r="ABE1" s="20"/>
      <c r="ABF1" s="20"/>
      <c r="ABG1" s="20"/>
      <c r="ABH1" s="20"/>
      <c r="ABI1" s="20"/>
      <c r="ABJ1" s="20"/>
      <c r="ABK1" s="20"/>
      <c r="ABL1" s="20"/>
      <c r="ABM1" s="20"/>
      <c r="ABN1" s="20"/>
      <c r="ABO1" s="20"/>
      <c r="ABP1" s="20"/>
      <c r="ABQ1" s="20"/>
      <c r="ABR1" s="20"/>
      <c r="ABS1" s="20"/>
      <c r="ABT1" s="20"/>
      <c r="ABU1" s="20"/>
      <c r="ABV1" s="20"/>
      <c r="ABW1" s="20"/>
      <c r="ABX1" s="20"/>
      <c r="ABY1" s="20"/>
      <c r="ABZ1" s="20"/>
      <c r="ACA1" s="20"/>
      <c r="ACB1" s="20"/>
      <c r="ACC1" s="20"/>
      <c r="ACD1" s="20"/>
      <c r="ACE1" s="20"/>
      <c r="ACF1" s="20"/>
      <c r="ACG1" s="20"/>
      <c r="ACH1" s="20"/>
      <c r="ACI1" s="20"/>
      <c r="ACJ1" s="20"/>
      <c r="ACK1" s="20"/>
      <c r="ACL1" s="20"/>
      <c r="ACM1" s="20"/>
      <c r="ACN1" s="20"/>
      <c r="ACO1" s="20"/>
      <c r="ACP1" s="20"/>
      <c r="ACQ1" s="20"/>
      <c r="ACR1" s="20"/>
      <c r="ACS1" s="20"/>
      <c r="ACT1" s="20"/>
      <c r="ACU1" s="20"/>
      <c r="ACV1" s="20"/>
      <c r="ACW1" s="20"/>
      <c r="ACX1" s="20"/>
      <c r="ACY1" s="20"/>
      <c r="ACZ1" s="20"/>
      <c r="ADA1" s="20"/>
      <c r="ADB1" s="20"/>
      <c r="ADC1" s="20"/>
      <c r="ADD1" s="20"/>
      <c r="ADE1" s="20"/>
      <c r="ADF1" s="20"/>
      <c r="ADG1" s="20"/>
      <c r="ADH1" s="20"/>
      <c r="ADI1" s="20"/>
      <c r="ADJ1" s="20"/>
      <c r="ADK1" s="20"/>
      <c r="ADL1" s="20"/>
      <c r="ADM1" s="20"/>
      <c r="ADN1" s="20"/>
      <c r="ADO1" s="20"/>
      <c r="ADP1" s="20"/>
      <c r="ADQ1" s="20"/>
      <c r="ADR1" s="20"/>
      <c r="ADS1" s="20"/>
      <c r="ADT1" s="20"/>
      <c r="ADU1" s="20"/>
      <c r="ADV1" s="20"/>
      <c r="ADW1" s="20"/>
      <c r="ADX1" s="20"/>
      <c r="ADY1" s="20"/>
      <c r="ADZ1" s="20"/>
      <c r="AEA1" s="20"/>
      <c r="AEB1" s="20"/>
      <c r="AEC1" s="20"/>
      <c r="AED1" s="20"/>
      <c r="AEE1" s="20"/>
      <c r="AEF1" s="20"/>
      <c r="AEG1" s="20"/>
      <c r="AEH1" s="20"/>
      <c r="AEI1" s="20"/>
      <c r="AEJ1" s="20"/>
      <c r="AEK1" s="20"/>
      <c r="AEL1" s="20"/>
      <c r="AEM1" s="20"/>
      <c r="AEN1" s="20"/>
      <c r="AEO1" s="20"/>
      <c r="AEP1" s="20"/>
      <c r="AEQ1" s="20"/>
      <c r="AER1" s="20"/>
      <c r="AES1" s="20"/>
      <c r="AET1" s="20"/>
      <c r="AEU1" s="20"/>
      <c r="AEV1" s="20"/>
      <c r="AEW1" s="20"/>
      <c r="AEX1" s="20"/>
      <c r="AEY1" s="20"/>
      <c r="AEZ1" s="20"/>
      <c r="AFA1" s="20"/>
      <c r="AFB1" s="20"/>
      <c r="AFC1" s="20"/>
      <c r="AFD1" s="20"/>
      <c r="AFE1" s="20"/>
      <c r="AFF1" s="20"/>
      <c r="AFG1" s="20"/>
      <c r="AFH1" s="20"/>
      <c r="AFI1" s="20"/>
      <c r="AFJ1" s="20"/>
      <c r="AFK1" s="20"/>
      <c r="AFL1" s="20"/>
      <c r="AFM1" s="20"/>
      <c r="AFN1" s="20"/>
      <c r="AFO1" s="20"/>
      <c r="AFP1" s="20"/>
      <c r="AFQ1" s="20"/>
      <c r="AFR1" s="20"/>
      <c r="AFS1" s="20"/>
      <c r="AFT1" s="20"/>
      <c r="AFU1" s="20"/>
      <c r="AFV1" s="20"/>
      <c r="AFW1" s="20"/>
      <c r="AFX1" s="20"/>
      <c r="AFY1" s="20"/>
      <c r="AFZ1" s="20"/>
      <c r="AGA1" s="20"/>
      <c r="AGB1" s="20"/>
      <c r="AGC1" s="20"/>
      <c r="AGD1" s="20"/>
      <c r="AGE1" s="20"/>
      <c r="AGF1" s="20"/>
      <c r="AGG1" s="20"/>
      <c r="AGH1" s="20"/>
      <c r="AGI1" s="20"/>
      <c r="AGJ1" s="20"/>
      <c r="AGK1" s="20"/>
      <c r="AGL1" s="20"/>
      <c r="AGM1" s="20"/>
      <c r="AGN1" s="20"/>
      <c r="AGO1" s="20"/>
      <c r="AGP1" s="20"/>
      <c r="AGQ1" s="20"/>
      <c r="AGR1" s="20"/>
      <c r="AGS1" s="20"/>
      <c r="AGT1" s="20"/>
      <c r="AGU1" s="20"/>
      <c r="AGV1" s="20"/>
      <c r="AGW1" s="20"/>
      <c r="AGX1" s="20"/>
      <c r="AGY1" s="20"/>
      <c r="AGZ1" s="20"/>
      <c r="AHA1" s="20"/>
      <c r="AHB1" s="20"/>
      <c r="AHC1" s="20"/>
      <c r="AHD1" s="20"/>
      <c r="AHE1" s="20"/>
      <c r="AHF1" s="20"/>
      <c r="AHG1" s="20"/>
      <c r="AHH1" s="20"/>
      <c r="AHI1" s="20"/>
      <c r="AHJ1" s="20"/>
      <c r="AHK1" s="20"/>
      <c r="AHL1" s="20"/>
      <c r="AHM1" s="20"/>
      <c r="AHN1" s="20"/>
      <c r="AHO1" s="20"/>
      <c r="AHP1" s="20"/>
      <c r="AHQ1" s="20"/>
      <c r="AHR1" s="20"/>
      <c r="AHS1" s="20"/>
      <c r="AHT1" s="20"/>
      <c r="AHU1" s="20"/>
      <c r="AHV1" s="20"/>
      <c r="AHW1" s="20"/>
      <c r="AHX1" s="20"/>
      <c r="AHY1" s="20"/>
      <c r="AHZ1" s="20"/>
      <c r="AIA1" s="20"/>
      <c r="AIB1" s="20"/>
      <c r="AIC1" s="20"/>
      <c r="AID1" s="20"/>
      <c r="AIE1" s="20"/>
      <c r="AIF1" s="20"/>
      <c r="AIG1" s="20"/>
      <c r="AIH1" s="20"/>
      <c r="AII1" s="20"/>
      <c r="AIJ1" s="20"/>
      <c r="AIK1" s="20"/>
      <c r="AIL1" s="20"/>
      <c r="AIM1" s="20"/>
      <c r="AIN1" s="20"/>
      <c r="AIO1" s="20"/>
      <c r="AIP1" s="20"/>
      <c r="AIQ1" s="20"/>
      <c r="AIR1" s="20"/>
      <c r="AIS1" s="20"/>
      <c r="AIT1" s="20"/>
      <c r="AIU1" s="20"/>
      <c r="AIV1" s="20"/>
      <c r="AIW1" s="20"/>
      <c r="AIX1" s="20"/>
      <c r="AIY1" s="20"/>
      <c r="AIZ1" s="20"/>
      <c r="AJA1" s="20"/>
      <c r="AJB1" s="20"/>
      <c r="AJC1" s="20"/>
      <c r="AJD1" s="20"/>
      <c r="AJE1" s="20"/>
      <c r="AJF1" s="20"/>
      <c r="AJG1" s="20"/>
      <c r="AJH1" s="20"/>
      <c r="AJI1" s="20"/>
      <c r="AJJ1" s="20"/>
      <c r="AJK1" s="20"/>
      <c r="AJL1" s="20"/>
      <c r="AJM1" s="20"/>
      <c r="AJN1" s="20"/>
      <c r="AJO1" s="20"/>
      <c r="AJP1" s="20"/>
      <c r="AJQ1" s="20"/>
      <c r="AJR1" s="20"/>
      <c r="AJS1" s="20"/>
      <c r="AJT1" s="20"/>
      <c r="AJU1" s="20"/>
      <c r="AJV1" s="20"/>
      <c r="AJW1" s="20"/>
      <c r="AJX1" s="20"/>
      <c r="AJY1" s="20"/>
      <c r="AJZ1" s="20"/>
      <c r="AKA1" s="20"/>
      <c r="AKB1" s="20"/>
      <c r="AKC1" s="20"/>
      <c r="AKD1" s="20"/>
      <c r="AKE1" s="20"/>
      <c r="AKF1" s="20"/>
      <c r="AKG1" s="20"/>
      <c r="AKH1" s="20"/>
      <c r="AKI1" s="20"/>
      <c r="AKJ1" s="20"/>
      <c r="AKK1" s="20"/>
      <c r="AKL1" s="20"/>
      <c r="AKM1" s="20"/>
      <c r="AKN1" s="20"/>
      <c r="AKO1" s="20"/>
      <c r="AKP1" s="20"/>
      <c r="AKQ1" s="20"/>
      <c r="AKR1" s="20"/>
      <c r="AKS1" s="20"/>
      <c r="AKT1" s="20"/>
      <c r="AKU1" s="20"/>
      <c r="AKV1" s="20"/>
      <c r="AKW1" s="20"/>
      <c r="AKX1" s="20"/>
      <c r="AKY1" s="20"/>
      <c r="AKZ1" s="20"/>
      <c r="ALA1" s="20"/>
      <c r="ALB1" s="20"/>
      <c r="ALC1" s="20"/>
      <c r="ALD1" s="20"/>
      <c r="ALE1" s="20"/>
      <c r="ALF1" s="20"/>
      <c r="ALG1" s="20"/>
      <c r="ALH1" s="20"/>
      <c r="ALI1" s="20"/>
      <c r="ALJ1" s="20"/>
      <c r="ALK1" s="20"/>
      <c r="ALL1" s="20"/>
      <c r="ALM1" s="20"/>
      <c r="ALN1" s="20"/>
      <c r="ALO1" s="20"/>
      <c r="ALP1" s="20"/>
      <c r="ALQ1" s="20"/>
      <c r="ALR1" s="20"/>
      <c r="ALS1" s="20"/>
      <c r="ALT1" s="20"/>
      <c r="ALU1" s="20"/>
      <c r="ALV1" s="20"/>
      <c r="ALW1" s="20"/>
      <c r="ALX1" s="20"/>
      <c r="ALY1" s="20"/>
      <c r="ALZ1" s="20"/>
      <c r="AMA1" s="20"/>
      <c r="AMB1" s="20"/>
      <c r="AMC1" s="20"/>
      <c r="AMD1" s="20"/>
      <c r="AME1" s="20"/>
      <c r="AMF1" s="20"/>
      <c r="AMG1" s="20"/>
      <c r="AMH1" s="20"/>
      <c r="AMI1" s="20"/>
      <c r="AMJ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48</v>
      </c>
      <c r="D3" s="5" t="s">
        <v>9</v>
      </c>
      <c r="E3" s="23" t="s">
        <v>49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  <c r="GL3" s="24"/>
      <c r="GM3" s="24"/>
      <c r="GN3" s="24"/>
      <c r="GO3" s="24"/>
      <c r="GP3" s="24"/>
      <c r="GQ3" s="24"/>
      <c r="GR3" s="24"/>
      <c r="GS3" s="24"/>
      <c r="GT3" s="24"/>
      <c r="GU3" s="24"/>
      <c r="GV3" s="24"/>
      <c r="GW3" s="24"/>
      <c r="GX3" s="24"/>
      <c r="GY3" s="24"/>
      <c r="GZ3" s="24"/>
      <c r="HA3" s="24"/>
      <c r="HB3" s="24"/>
      <c r="HC3" s="24"/>
      <c r="HD3" s="24"/>
      <c r="HE3" s="24"/>
      <c r="HF3" s="24"/>
      <c r="HG3" s="24"/>
      <c r="HH3" s="24"/>
      <c r="HI3" s="24"/>
      <c r="HJ3" s="24"/>
      <c r="HK3" s="24"/>
      <c r="HL3" s="24"/>
      <c r="HM3" s="24"/>
      <c r="HN3" s="24"/>
      <c r="HO3" s="24"/>
      <c r="HP3" s="24"/>
      <c r="HQ3" s="24"/>
      <c r="HR3" s="24"/>
      <c r="HS3" s="24"/>
      <c r="HT3" s="24"/>
      <c r="HU3" s="24"/>
      <c r="HV3" s="24"/>
      <c r="HW3" s="24"/>
      <c r="HX3" s="24"/>
      <c r="HY3" s="24"/>
      <c r="HZ3" s="24"/>
      <c r="IA3" s="24"/>
      <c r="IB3" s="24"/>
      <c r="IC3" s="24"/>
      <c r="ID3" s="24"/>
      <c r="IE3" s="24"/>
      <c r="IF3" s="24"/>
      <c r="IG3" s="24"/>
      <c r="IH3" s="24"/>
      <c r="II3" s="24"/>
      <c r="IJ3" s="24"/>
      <c r="IK3" s="24"/>
      <c r="IL3" s="24"/>
      <c r="IM3" s="24"/>
      <c r="IN3" s="24"/>
      <c r="IO3" s="24"/>
      <c r="IP3" s="24"/>
      <c r="IQ3" s="24"/>
      <c r="IR3" s="24"/>
      <c r="IS3" s="24"/>
      <c r="IT3" s="24"/>
      <c r="IU3" s="24"/>
      <c r="IV3" s="24"/>
      <c r="IW3" s="24"/>
      <c r="IX3" s="24"/>
      <c r="IY3" s="24"/>
      <c r="IZ3" s="24"/>
      <c r="JA3" s="24"/>
      <c r="JB3" s="24"/>
      <c r="JC3" s="24"/>
      <c r="JD3" s="24"/>
      <c r="JE3" s="24"/>
      <c r="JF3" s="24"/>
      <c r="JG3" s="24"/>
      <c r="JH3" s="24"/>
      <c r="JI3" s="24"/>
      <c r="JJ3" s="24"/>
      <c r="JK3" s="24"/>
      <c r="JL3" s="24"/>
      <c r="JM3" s="24"/>
      <c r="JN3" s="24"/>
      <c r="JO3" s="24"/>
      <c r="JP3" s="24"/>
      <c r="JQ3" s="24"/>
      <c r="JR3" s="24"/>
      <c r="JS3" s="24"/>
      <c r="JT3" s="24"/>
      <c r="JU3" s="24"/>
      <c r="JV3" s="24"/>
      <c r="JW3" s="24"/>
      <c r="JX3" s="24"/>
      <c r="JY3" s="24"/>
      <c r="JZ3" s="24"/>
      <c r="KA3" s="24"/>
      <c r="KB3" s="24"/>
      <c r="KC3" s="24"/>
      <c r="KD3" s="24"/>
      <c r="KE3" s="24"/>
      <c r="KF3" s="24"/>
      <c r="KG3" s="24"/>
      <c r="KH3" s="24"/>
      <c r="KI3" s="24"/>
      <c r="KJ3" s="24"/>
      <c r="KK3" s="24"/>
      <c r="KL3" s="24"/>
      <c r="KM3" s="24"/>
      <c r="KN3" s="24"/>
      <c r="KO3" s="24"/>
      <c r="KP3" s="24"/>
      <c r="KQ3" s="24"/>
      <c r="KR3" s="24"/>
      <c r="KS3" s="24"/>
      <c r="KT3" s="24"/>
      <c r="KU3" s="24"/>
      <c r="KV3" s="24"/>
      <c r="KW3" s="24"/>
      <c r="KX3" s="24"/>
      <c r="KY3" s="24"/>
      <c r="KZ3" s="24"/>
      <c r="LA3" s="24"/>
      <c r="LB3" s="24"/>
      <c r="LC3" s="24"/>
      <c r="LD3" s="24"/>
      <c r="LE3" s="24"/>
      <c r="LF3" s="24"/>
      <c r="LG3" s="24"/>
      <c r="LH3" s="24"/>
      <c r="LI3" s="24"/>
      <c r="LJ3" s="24"/>
      <c r="LK3" s="24"/>
      <c r="LL3" s="24"/>
      <c r="LM3" s="24"/>
      <c r="LN3" s="24"/>
      <c r="LO3" s="24"/>
      <c r="LP3" s="24"/>
      <c r="LQ3" s="24"/>
      <c r="LR3" s="24"/>
      <c r="LS3" s="24"/>
      <c r="LT3" s="24"/>
      <c r="LU3" s="24"/>
      <c r="LV3" s="24"/>
      <c r="LW3" s="24"/>
      <c r="LX3" s="24"/>
      <c r="LY3" s="24"/>
      <c r="LZ3" s="24"/>
      <c r="MA3" s="24"/>
      <c r="MB3" s="24"/>
      <c r="MC3" s="24"/>
      <c r="MD3" s="24"/>
      <c r="ME3" s="24"/>
      <c r="MF3" s="24"/>
      <c r="MG3" s="24"/>
      <c r="MH3" s="24"/>
      <c r="MI3" s="24"/>
      <c r="MJ3" s="24"/>
      <c r="MK3" s="24"/>
      <c r="ML3" s="24"/>
      <c r="MM3" s="24"/>
      <c r="MN3" s="24"/>
      <c r="MO3" s="24"/>
      <c r="MP3" s="24"/>
      <c r="MQ3" s="24"/>
      <c r="MR3" s="24"/>
      <c r="MS3" s="24"/>
      <c r="MT3" s="24"/>
      <c r="MU3" s="24"/>
      <c r="MV3" s="24"/>
      <c r="MW3" s="24"/>
      <c r="MX3" s="24"/>
      <c r="MY3" s="24"/>
      <c r="MZ3" s="24"/>
      <c r="NA3" s="24"/>
      <c r="NB3" s="24"/>
      <c r="NC3" s="24"/>
      <c r="ND3" s="24"/>
      <c r="NE3" s="24"/>
      <c r="NF3" s="24"/>
      <c r="NG3" s="24"/>
      <c r="NH3" s="24"/>
      <c r="NI3" s="24"/>
      <c r="NJ3" s="24"/>
      <c r="NK3" s="24"/>
      <c r="NL3" s="24"/>
      <c r="NM3" s="24"/>
      <c r="NN3" s="24"/>
      <c r="NO3" s="24"/>
      <c r="NP3" s="24"/>
      <c r="NQ3" s="24"/>
      <c r="NR3" s="24"/>
      <c r="NS3" s="24"/>
      <c r="NT3" s="24"/>
      <c r="NU3" s="24"/>
      <c r="NV3" s="24"/>
      <c r="NW3" s="24"/>
      <c r="NX3" s="24"/>
      <c r="NY3" s="24"/>
      <c r="NZ3" s="24"/>
      <c r="OA3" s="24"/>
      <c r="OB3" s="24"/>
      <c r="OC3" s="24"/>
      <c r="OD3" s="24"/>
      <c r="OE3" s="24"/>
      <c r="OF3" s="24"/>
      <c r="OG3" s="24"/>
      <c r="OH3" s="24"/>
      <c r="OI3" s="24"/>
      <c r="OJ3" s="24"/>
      <c r="OK3" s="24"/>
      <c r="OL3" s="24"/>
      <c r="OM3" s="24"/>
      <c r="ON3" s="24"/>
      <c r="OO3" s="24"/>
      <c r="OP3" s="24"/>
      <c r="OQ3" s="24"/>
      <c r="OR3" s="24"/>
      <c r="OS3" s="24"/>
      <c r="OT3" s="24"/>
      <c r="OU3" s="24"/>
      <c r="OV3" s="24"/>
      <c r="OW3" s="24"/>
      <c r="OX3" s="24"/>
      <c r="OY3" s="24"/>
      <c r="OZ3" s="24"/>
      <c r="PA3" s="24"/>
      <c r="PB3" s="24"/>
      <c r="PC3" s="24"/>
      <c r="PD3" s="24"/>
      <c r="PE3" s="24"/>
      <c r="PF3" s="24"/>
      <c r="PG3" s="24"/>
      <c r="PH3" s="24"/>
      <c r="PI3" s="24"/>
      <c r="PJ3" s="24"/>
      <c r="PK3" s="24"/>
      <c r="PL3" s="24"/>
      <c r="PM3" s="24"/>
      <c r="PN3" s="24"/>
      <c r="PO3" s="24"/>
      <c r="PP3" s="24"/>
      <c r="PQ3" s="24"/>
      <c r="PR3" s="24"/>
      <c r="PS3" s="24"/>
      <c r="PT3" s="24"/>
      <c r="PU3" s="24"/>
      <c r="PV3" s="24"/>
      <c r="PW3" s="24"/>
      <c r="PX3" s="24"/>
      <c r="PY3" s="24"/>
      <c r="PZ3" s="24"/>
      <c r="QA3" s="24"/>
      <c r="QB3" s="24"/>
      <c r="QC3" s="24"/>
      <c r="QD3" s="24"/>
      <c r="QE3" s="24"/>
      <c r="QF3" s="24"/>
      <c r="QG3" s="24"/>
      <c r="QH3" s="24"/>
      <c r="QI3" s="24"/>
      <c r="QJ3" s="24"/>
      <c r="QK3" s="24"/>
      <c r="QL3" s="24"/>
      <c r="QM3" s="24"/>
      <c r="QN3" s="24"/>
      <c r="QO3" s="24"/>
      <c r="QP3" s="24"/>
      <c r="QQ3" s="24"/>
      <c r="QR3" s="24"/>
      <c r="QS3" s="24"/>
      <c r="QT3" s="24"/>
      <c r="QU3" s="24"/>
      <c r="QV3" s="24"/>
      <c r="QW3" s="24"/>
      <c r="QX3" s="24"/>
      <c r="QY3" s="24"/>
      <c r="QZ3" s="24"/>
      <c r="RA3" s="24"/>
      <c r="RB3" s="24"/>
      <c r="RC3" s="24"/>
      <c r="RD3" s="24"/>
      <c r="RE3" s="24"/>
      <c r="RF3" s="24"/>
      <c r="RG3" s="24"/>
      <c r="RH3" s="24"/>
      <c r="RI3" s="24"/>
      <c r="RJ3" s="24"/>
      <c r="RK3" s="24"/>
      <c r="RL3" s="24"/>
      <c r="RM3" s="24"/>
      <c r="RN3" s="24"/>
      <c r="RO3" s="24"/>
      <c r="RP3" s="24"/>
      <c r="RQ3" s="24"/>
      <c r="RR3" s="24"/>
      <c r="RS3" s="24"/>
      <c r="RT3" s="24"/>
      <c r="RU3" s="24"/>
      <c r="RV3" s="24"/>
      <c r="RW3" s="24"/>
      <c r="RX3" s="24"/>
      <c r="RY3" s="24"/>
      <c r="RZ3" s="24"/>
      <c r="SA3" s="24"/>
      <c r="SB3" s="24"/>
      <c r="SC3" s="24"/>
      <c r="SD3" s="24"/>
      <c r="SE3" s="24"/>
      <c r="SF3" s="24"/>
      <c r="SG3" s="24"/>
      <c r="SH3" s="24"/>
      <c r="SI3" s="24"/>
      <c r="SJ3" s="24"/>
      <c r="SK3" s="24"/>
      <c r="SL3" s="24"/>
      <c r="SM3" s="24"/>
      <c r="SN3" s="24"/>
      <c r="SO3" s="24"/>
      <c r="SP3" s="24"/>
      <c r="SQ3" s="24"/>
      <c r="SR3" s="24"/>
      <c r="SS3" s="24"/>
      <c r="ST3" s="24"/>
      <c r="SU3" s="24"/>
      <c r="SV3" s="24"/>
      <c r="SW3" s="24"/>
      <c r="SX3" s="24"/>
      <c r="SY3" s="24"/>
      <c r="SZ3" s="24"/>
      <c r="TA3" s="24"/>
      <c r="TB3" s="24"/>
      <c r="TC3" s="24"/>
      <c r="TD3" s="24"/>
      <c r="TE3" s="24"/>
      <c r="TF3" s="24"/>
      <c r="TG3" s="24"/>
      <c r="TH3" s="24"/>
      <c r="TI3" s="24"/>
      <c r="TJ3" s="24"/>
      <c r="TK3" s="24"/>
      <c r="TL3" s="24"/>
      <c r="TM3" s="24"/>
      <c r="TN3" s="24"/>
      <c r="TO3" s="24"/>
      <c r="TP3" s="24"/>
      <c r="TQ3" s="24"/>
      <c r="TR3" s="24"/>
      <c r="TS3" s="24"/>
      <c r="TT3" s="24"/>
      <c r="TU3" s="24"/>
      <c r="TV3" s="24"/>
      <c r="TW3" s="24"/>
      <c r="TX3" s="24"/>
      <c r="TY3" s="24"/>
      <c r="TZ3" s="24"/>
      <c r="UA3" s="24"/>
      <c r="UB3" s="24"/>
      <c r="UC3" s="24"/>
      <c r="UD3" s="24"/>
      <c r="UE3" s="24"/>
      <c r="UF3" s="24"/>
      <c r="UG3" s="24"/>
      <c r="UH3" s="24"/>
      <c r="UI3" s="24"/>
      <c r="UJ3" s="24"/>
      <c r="UK3" s="24"/>
      <c r="UL3" s="24"/>
      <c r="UM3" s="24"/>
      <c r="UN3" s="24"/>
      <c r="UO3" s="24"/>
      <c r="UP3" s="24"/>
      <c r="UQ3" s="24"/>
      <c r="UR3" s="24"/>
      <c r="US3" s="24"/>
      <c r="UT3" s="24"/>
      <c r="UU3" s="24"/>
      <c r="UV3" s="24"/>
      <c r="UW3" s="24"/>
      <c r="UX3" s="24"/>
      <c r="UY3" s="24"/>
      <c r="UZ3" s="24"/>
      <c r="VA3" s="24"/>
      <c r="VB3" s="24"/>
      <c r="VC3" s="24"/>
      <c r="VD3" s="24"/>
      <c r="VE3" s="24"/>
      <c r="VF3" s="24"/>
      <c r="VG3" s="24"/>
      <c r="VH3" s="24"/>
      <c r="VI3" s="24"/>
      <c r="VJ3" s="24"/>
      <c r="VK3" s="24"/>
      <c r="VL3" s="24"/>
      <c r="VM3" s="24"/>
      <c r="VN3" s="24"/>
      <c r="VO3" s="24"/>
      <c r="VP3" s="24"/>
      <c r="VQ3" s="24"/>
      <c r="VR3" s="24"/>
      <c r="VS3" s="24"/>
      <c r="VT3" s="24"/>
      <c r="VU3" s="24"/>
      <c r="VV3" s="24"/>
      <c r="VW3" s="24"/>
      <c r="VX3" s="24"/>
      <c r="VY3" s="24"/>
      <c r="VZ3" s="24"/>
      <c r="WA3" s="24"/>
      <c r="WB3" s="24"/>
      <c r="WC3" s="24"/>
      <c r="WD3" s="24"/>
      <c r="WE3" s="24"/>
      <c r="WF3" s="24"/>
      <c r="WG3" s="24"/>
      <c r="WH3" s="24"/>
      <c r="WI3" s="24"/>
      <c r="WJ3" s="24"/>
      <c r="WK3" s="24"/>
      <c r="WL3" s="24"/>
      <c r="WM3" s="24"/>
      <c r="WN3" s="24"/>
      <c r="WO3" s="24"/>
      <c r="WP3" s="24"/>
      <c r="WQ3" s="24"/>
      <c r="WR3" s="24"/>
      <c r="WS3" s="24"/>
      <c r="WT3" s="24"/>
      <c r="WU3" s="24"/>
      <c r="WV3" s="24"/>
      <c r="WW3" s="24"/>
      <c r="WX3" s="24"/>
      <c r="WY3" s="24"/>
      <c r="WZ3" s="24"/>
      <c r="XA3" s="24"/>
      <c r="XB3" s="24"/>
      <c r="XC3" s="24"/>
      <c r="XD3" s="24"/>
      <c r="XE3" s="24"/>
      <c r="XF3" s="24"/>
      <c r="XG3" s="24"/>
      <c r="XH3" s="24"/>
      <c r="XI3" s="24"/>
      <c r="XJ3" s="24"/>
      <c r="XK3" s="24"/>
      <c r="XL3" s="24"/>
      <c r="XM3" s="24"/>
      <c r="XN3" s="24"/>
      <c r="XO3" s="24"/>
      <c r="XP3" s="24"/>
      <c r="XQ3" s="24"/>
      <c r="XR3" s="24"/>
      <c r="XS3" s="24"/>
      <c r="XT3" s="24"/>
      <c r="XU3" s="24"/>
      <c r="XV3" s="24"/>
      <c r="XW3" s="24"/>
      <c r="XX3" s="24"/>
      <c r="XY3" s="24"/>
      <c r="XZ3" s="24"/>
      <c r="YA3" s="24"/>
      <c r="YB3" s="24"/>
      <c r="YC3" s="24"/>
      <c r="YD3" s="24"/>
      <c r="YE3" s="24"/>
      <c r="YF3" s="24"/>
      <c r="YG3" s="24"/>
      <c r="YH3" s="24"/>
      <c r="YI3" s="24"/>
      <c r="YJ3" s="24"/>
      <c r="YK3" s="24"/>
      <c r="YL3" s="24"/>
      <c r="YM3" s="24"/>
      <c r="YN3" s="24"/>
      <c r="YO3" s="24"/>
      <c r="YP3" s="24"/>
      <c r="YQ3" s="24"/>
      <c r="YR3" s="24"/>
      <c r="YS3" s="24"/>
      <c r="YT3" s="24"/>
      <c r="YU3" s="24"/>
      <c r="YV3" s="24"/>
      <c r="YW3" s="24"/>
      <c r="YX3" s="24"/>
      <c r="YY3" s="24"/>
      <c r="YZ3" s="24"/>
      <c r="ZA3" s="24"/>
      <c r="ZB3" s="24"/>
      <c r="ZC3" s="24"/>
      <c r="ZD3" s="24"/>
      <c r="ZE3" s="24"/>
      <c r="ZF3" s="24"/>
      <c r="ZG3" s="24"/>
      <c r="ZH3" s="24"/>
      <c r="ZI3" s="24"/>
      <c r="ZJ3" s="24"/>
      <c r="ZK3" s="24"/>
      <c r="ZL3" s="24"/>
      <c r="ZM3" s="24"/>
      <c r="ZN3" s="24"/>
      <c r="ZO3" s="24"/>
      <c r="ZP3" s="24"/>
      <c r="ZQ3" s="24"/>
      <c r="ZR3" s="24"/>
      <c r="ZS3" s="24"/>
      <c r="ZT3" s="24"/>
      <c r="ZU3" s="24"/>
      <c r="ZV3" s="24"/>
      <c r="ZW3" s="24"/>
      <c r="ZX3" s="24"/>
      <c r="ZY3" s="24"/>
      <c r="ZZ3" s="24"/>
      <c r="AAA3" s="24"/>
      <c r="AAB3" s="24"/>
      <c r="AAC3" s="24"/>
      <c r="AAD3" s="24"/>
      <c r="AAE3" s="24"/>
      <c r="AAF3" s="24"/>
      <c r="AAG3" s="24"/>
      <c r="AAH3" s="24"/>
      <c r="AAI3" s="24"/>
      <c r="AAJ3" s="24"/>
      <c r="AAK3" s="24"/>
      <c r="AAL3" s="24"/>
      <c r="AAM3" s="24"/>
      <c r="AAN3" s="24"/>
      <c r="AAO3" s="24"/>
      <c r="AAP3" s="24"/>
      <c r="AAQ3" s="24"/>
      <c r="AAR3" s="24"/>
      <c r="AAS3" s="24"/>
      <c r="AAT3" s="24"/>
      <c r="AAU3" s="24"/>
      <c r="AAV3" s="24"/>
      <c r="AAW3" s="24"/>
      <c r="AAX3" s="24"/>
      <c r="AAY3" s="24"/>
      <c r="AAZ3" s="24"/>
      <c r="ABA3" s="24"/>
      <c r="ABB3" s="24"/>
      <c r="ABC3" s="24"/>
      <c r="ABD3" s="24"/>
      <c r="ABE3" s="24"/>
      <c r="ABF3" s="24"/>
      <c r="ABG3" s="24"/>
      <c r="ABH3" s="24"/>
      <c r="ABI3" s="24"/>
      <c r="ABJ3" s="24"/>
      <c r="ABK3" s="24"/>
      <c r="ABL3" s="24"/>
      <c r="ABM3" s="24"/>
      <c r="ABN3" s="24"/>
      <c r="ABO3" s="24"/>
      <c r="ABP3" s="24"/>
      <c r="ABQ3" s="24"/>
      <c r="ABR3" s="24"/>
      <c r="ABS3" s="24"/>
      <c r="ABT3" s="24"/>
      <c r="ABU3" s="24"/>
      <c r="ABV3" s="24"/>
      <c r="ABW3" s="24"/>
      <c r="ABX3" s="24"/>
      <c r="ABY3" s="24"/>
      <c r="ABZ3" s="24"/>
      <c r="ACA3" s="24"/>
      <c r="ACB3" s="24"/>
      <c r="ACC3" s="24"/>
      <c r="ACD3" s="24"/>
      <c r="ACE3" s="24"/>
      <c r="ACF3" s="24"/>
      <c r="ACG3" s="24"/>
      <c r="ACH3" s="24"/>
      <c r="ACI3" s="24"/>
      <c r="ACJ3" s="24"/>
      <c r="ACK3" s="24"/>
      <c r="ACL3" s="24"/>
      <c r="ACM3" s="24"/>
      <c r="ACN3" s="24"/>
      <c r="ACO3" s="24"/>
      <c r="ACP3" s="24"/>
      <c r="ACQ3" s="24"/>
      <c r="ACR3" s="24"/>
      <c r="ACS3" s="24"/>
      <c r="ACT3" s="24"/>
      <c r="ACU3" s="24"/>
      <c r="ACV3" s="24"/>
      <c r="ACW3" s="24"/>
      <c r="ACX3" s="24"/>
      <c r="ACY3" s="24"/>
      <c r="ACZ3" s="24"/>
      <c r="ADA3" s="24"/>
      <c r="ADB3" s="24"/>
      <c r="ADC3" s="24"/>
      <c r="ADD3" s="24"/>
      <c r="ADE3" s="24"/>
      <c r="ADF3" s="24"/>
      <c r="ADG3" s="24"/>
      <c r="ADH3" s="24"/>
      <c r="ADI3" s="24"/>
      <c r="ADJ3" s="24"/>
      <c r="ADK3" s="24"/>
      <c r="ADL3" s="24"/>
      <c r="ADM3" s="24"/>
      <c r="ADN3" s="24"/>
      <c r="ADO3" s="24"/>
      <c r="ADP3" s="24"/>
      <c r="ADQ3" s="24"/>
      <c r="ADR3" s="24"/>
      <c r="ADS3" s="24"/>
      <c r="ADT3" s="24"/>
      <c r="ADU3" s="24"/>
      <c r="ADV3" s="24"/>
      <c r="ADW3" s="24"/>
      <c r="ADX3" s="24"/>
      <c r="ADY3" s="24"/>
      <c r="ADZ3" s="24"/>
      <c r="AEA3" s="24"/>
      <c r="AEB3" s="24"/>
      <c r="AEC3" s="24"/>
      <c r="AED3" s="24"/>
      <c r="AEE3" s="24"/>
      <c r="AEF3" s="24"/>
      <c r="AEG3" s="24"/>
      <c r="AEH3" s="24"/>
      <c r="AEI3" s="24"/>
      <c r="AEJ3" s="24"/>
      <c r="AEK3" s="24"/>
      <c r="AEL3" s="24"/>
      <c r="AEM3" s="24"/>
      <c r="AEN3" s="24"/>
      <c r="AEO3" s="24"/>
      <c r="AEP3" s="24"/>
      <c r="AEQ3" s="24"/>
      <c r="AER3" s="24"/>
      <c r="AES3" s="24"/>
      <c r="AET3" s="24"/>
      <c r="AEU3" s="24"/>
      <c r="AEV3" s="24"/>
      <c r="AEW3" s="24"/>
      <c r="AEX3" s="24"/>
      <c r="AEY3" s="24"/>
      <c r="AEZ3" s="24"/>
      <c r="AFA3" s="24"/>
      <c r="AFB3" s="24"/>
      <c r="AFC3" s="24"/>
      <c r="AFD3" s="24"/>
      <c r="AFE3" s="24"/>
      <c r="AFF3" s="24"/>
      <c r="AFG3" s="24"/>
      <c r="AFH3" s="24"/>
      <c r="AFI3" s="24"/>
      <c r="AFJ3" s="24"/>
      <c r="AFK3" s="24"/>
      <c r="AFL3" s="24"/>
      <c r="AFM3" s="24"/>
      <c r="AFN3" s="24"/>
      <c r="AFO3" s="24"/>
      <c r="AFP3" s="24"/>
      <c r="AFQ3" s="24"/>
      <c r="AFR3" s="24"/>
      <c r="AFS3" s="24"/>
      <c r="AFT3" s="24"/>
      <c r="AFU3" s="24"/>
      <c r="AFV3" s="24"/>
      <c r="AFW3" s="24"/>
      <c r="AFX3" s="24"/>
      <c r="AFY3" s="24"/>
      <c r="AFZ3" s="24"/>
      <c r="AGA3" s="24"/>
      <c r="AGB3" s="24"/>
      <c r="AGC3" s="24"/>
      <c r="AGD3" s="24"/>
      <c r="AGE3" s="24"/>
      <c r="AGF3" s="24"/>
      <c r="AGG3" s="24"/>
      <c r="AGH3" s="24"/>
      <c r="AGI3" s="24"/>
      <c r="AGJ3" s="24"/>
      <c r="AGK3" s="24"/>
      <c r="AGL3" s="24"/>
      <c r="AGM3" s="24"/>
      <c r="AGN3" s="24"/>
      <c r="AGO3" s="24"/>
      <c r="AGP3" s="24"/>
      <c r="AGQ3" s="24"/>
      <c r="AGR3" s="24"/>
      <c r="AGS3" s="24"/>
      <c r="AGT3" s="24"/>
      <c r="AGU3" s="24"/>
      <c r="AGV3" s="24"/>
      <c r="AGW3" s="24"/>
      <c r="AGX3" s="24"/>
      <c r="AGY3" s="24"/>
      <c r="AGZ3" s="24"/>
      <c r="AHA3" s="24"/>
      <c r="AHB3" s="24"/>
      <c r="AHC3" s="24"/>
      <c r="AHD3" s="24"/>
      <c r="AHE3" s="24"/>
      <c r="AHF3" s="24"/>
      <c r="AHG3" s="24"/>
      <c r="AHH3" s="24"/>
      <c r="AHI3" s="24"/>
      <c r="AHJ3" s="24"/>
      <c r="AHK3" s="24"/>
      <c r="AHL3" s="24"/>
      <c r="AHM3" s="24"/>
      <c r="AHN3" s="24"/>
      <c r="AHO3" s="24"/>
      <c r="AHP3" s="24"/>
      <c r="AHQ3" s="24"/>
      <c r="AHR3" s="24"/>
      <c r="AHS3" s="24"/>
      <c r="AHT3" s="24"/>
      <c r="AHU3" s="24"/>
      <c r="AHV3" s="24"/>
      <c r="AHW3" s="24"/>
      <c r="AHX3" s="24"/>
      <c r="AHY3" s="24"/>
      <c r="AHZ3" s="24"/>
      <c r="AIA3" s="24"/>
      <c r="AIB3" s="24"/>
      <c r="AIC3" s="24"/>
      <c r="AID3" s="24"/>
      <c r="AIE3" s="24"/>
      <c r="AIF3" s="24"/>
      <c r="AIG3" s="24"/>
      <c r="AIH3" s="24"/>
      <c r="AII3" s="24"/>
      <c r="AIJ3" s="24"/>
      <c r="AIK3" s="24"/>
      <c r="AIL3" s="24"/>
      <c r="AIM3" s="24"/>
      <c r="AIN3" s="24"/>
      <c r="AIO3" s="24"/>
      <c r="AIP3" s="24"/>
      <c r="AIQ3" s="24"/>
      <c r="AIR3" s="24"/>
      <c r="AIS3" s="24"/>
      <c r="AIT3" s="24"/>
      <c r="AIU3" s="24"/>
      <c r="AIV3" s="24"/>
      <c r="AIW3" s="24"/>
      <c r="AIX3" s="24"/>
      <c r="AIY3" s="24"/>
      <c r="AIZ3" s="24"/>
      <c r="AJA3" s="24"/>
      <c r="AJB3" s="24"/>
      <c r="AJC3" s="24"/>
      <c r="AJD3" s="24"/>
      <c r="AJE3" s="24"/>
      <c r="AJF3" s="24"/>
      <c r="AJG3" s="24"/>
      <c r="AJH3" s="24"/>
      <c r="AJI3" s="24"/>
      <c r="AJJ3" s="24"/>
      <c r="AJK3" s="24"/>
      <c r="AJL3" s="24"/>
      <c r="AJM3" s="24"/>
      <c r="AJN3" s="24"/>
      <c r="AJO3" s="24"/>
      <c r="AJP3" s="24"/>
      <c r="AJQ3" s="24"/>
      <c r="AJR3" s="24"/>
      <c r="AJS3" s="24"/>
      <c r="AJT3" s="24"/>
      <c r="AJU3" s="24"/>
      <c r="AJV3" s="24"/>
      <c r="AJW3" s="24"/>
      <c r="AJX3" s="24"/>
      <c r="AJY3" s="24"/>
      <c r="AJZ3" s="24"/>
      <c r="AKA3" s="24"/>
      <c r="AKB3" s="24"/>
      <c r="AKC3" s="24"/>
      <c r="AKD3" s="24"/>
      <c r="AKE3" s="24"/>
      <c r="AKF3" s="24"/>
      <c r="AKG3" s="24"/>
      <c r="AKH3" s="24"/>
      <c r="AKI3" s="24"/>
      <c r="AKJ3" s="24"/>
      <c r="AKK3" s="24"/>
      <c r="AKL3" s="24"/>
      <c r="AKM3" s="24"/>
      <c r="AKN3" s="24"/>
      <c r="AKO3" s="24"/>
      <c r="AKP3" s="24"/>
      <c r="AKQ3" s="24"/>
      <c r="AKR3" s="24"/>
      <c r="AKS3" s="24"/>
      <c r="AKT3" s="24"/>
      <c r="AKU3" s="24"/>
      <c r="AKV3" s="24"/>
      <c r="AKW3" s="24"/>
      <c r="AKX3" s="24"/>
      <c r="AKY3" s="24"/>
      <c r="AKZ3" s="24"/>
      <c r="ALA3" s="24"/>
      <c r="ALB3" s="24"/>
      <c r="ALC3" s="24"/>
      <c r="ALD3" s="24"/>
      <c r="ALE3" s="24"/>
      <c r="ALF3" s="24"/>
      <c r="ALG3" s="24"/>
      <c r="ALH3" s="24"/>
      <c r="ALI3" s="24"/>
      <c r="ALJ3" s="24"/>
      <c r="ALK3" s="24"/>
      <c r="ALL3" s="24"/>
      <c r="ALM3" s="24"/>
      <c r="ALN3" s="24"/>
      <c r="ALO3" s="24"/>
      <c r="ALP3" s="24"/>
      <c r="ALQ3" s="24"/>
      <c r="ALR3" s="24"/>
      <c r="ALS3" s="24"/>
      <c r="ALT3" s="24"/>
      <c r="ALU3" s="24"/>
      <c r="ALV3" s="24"/>
      <c r="ALW3" s="24"/>
      <c r="ALX3" s="24"/>
      <c r="ALY3" s="24"/>
      <c r="ALZ3" s="24"/>
      <c r="AMA3" s="24"/>
      <c r="AMB3" s="24"/>
      <c r="AMC3" s="24"/>
      <c r="AMD3" s="24"/>
      <c r="AME3" s="24"/>
      <c r="AMF3" s="24"/>
      <c r="AMG3" s="24"/>
      <c r="AMH3" s="24"/>
      <c r="AMI3" s="24"/>
      <c r="AMJ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IFERROR(__xludf.DUMMYFUNCTION("""COMPUTED_VALUE"""),"CheckBlotter")</f>
        <v>CheckBlotter</v>
      </c>
      <c r="BE4" s="26" t="str">
        <f>IFERROR(__xludf.DUMMYFUNCTION("""COMPUTED_VALUE"""),"ReloadOrderFromBlotter")</f>
        <v>ReloadOrderFromBlotter</v>
      </c>
      <c r="BF4" s="26" t="str">
        <f>IFERROR(__xludf.DUMMYFUNCTION("""COMPUTED_VALUE"""),"ReloadOrderFromSubOrder")</f>
        <v>ReloadOrderFromSubOrder</v>
      </c>
      <c r="BG4" s="26" t="str">
        <f>IFERROR(__xludf.DUMMYFUNCTION("""COMPUTED_VALUE"""),"ReloadOrderFromWorkingSubs")</f>
        <v>ReloadOrderFromWorkingSubs</v>
      </c>
      <c r="BH4" s="26" t="str">
        <f>IFERROR(__xludf.DUMMYFUNCTION("""COMPUTED_VALUE"""),"SelectFills")</f>
        <v>SelectFills</v>
      </c>
      <c r="BI4" s="26" t="str">
        <f>IFERROR(__xludf.DUMMYFUNCTION("""COMPUTED_VALUE"""),"ModifyFills")</f>
        <v>ModifyFills</v>
      </c>
      <c r="BJ4" s="26" t="str">
        <f>IFERROR(__xludf.DUMMYFUNCTION("""COMPUTED_VALUE"""),"AllocateFromBlotter")</f>
        <v>AllocateFromBlotter</v>
      </c>
      <c r="BK4" s="26" t="str">
        <f>IFERROR(__xludf.DUMMYFUNCTION("""COMPUTED_VALUE"""),"ViewPTTAllocationDetails")</f>
        <v>ViewPTTAllocationDetails</v>
      </c>
      <c r="BL4" s="26" t="str">
        <f>IFERROR(__xludf.DUMMYFUNCTION("""COMPUTED_VALUE"""),"MergeOrder")</f>
        <v>MergeOrder</v>
      </c>
      <c r="BM4" s="26" t="str">
        <f>IFERROR(__xludf.DUMMYFUNCTION("""COMPUTED_VALUE"""),"VerifyMergeOrder")</f>
        <v>VerifyMergeOrder</v>
      </c>
      <c r="BN4" s="26" t="str">
        <f>IFERROR(__xludf.DUMMYFUNCTION("""COMPUTED_VALUE"""),"AddTabOnWatchlist")</f>
        <v>AddTabOnWatchlist</v>
      </c>
      <c r="BO4" s="26" t="str">
        <f>IFERROR(__xludf.DUMMYFUNCTION("""COMPUTED_VALUE"""),"AddTab")</f>
        <v>AddTab</v>
      </c>
      <c r="BP4" s="26" t="str">
        <f>IFERROR(__xludf.DUMMYFUNCTION("""COMPUTED_VALUE"""),"AddTabBlotter")</f>
        <v>AddTabBlotter</v>
      </c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/>
      <c r="II4" s="26"/>
      <c r="IJ4" s="26"/>
      <c r="IK4" s="26"/>
      <c r="IL4" s="26"/>
      <c r="IM4" s="26"/>
      <c r="IN4" s="26"/>
      <c r="IO4" s="26"/>
      <c r="IP4" s="26"/>
      <c r="IQ4" s="26"/>
      <c r="IR4" s="26"/>
      <c r="IS4" s="26"/>
      <c r="IT4" s="26"/>
      <c r="IU4" s="26"/>
      <c r="IV4" s="26"/>
      <c r="IW4" s="26"/>
      <c r="IX4" s="26"/>
      <c r="IY4" s="26"/>
      <c r="IZ4" s="26"/>
      <c r="JA4" s="26"/>
      <c r="JB4" s="26"/>
      <c r="JC4" s="26"/>
      <c r="JD4" s="26"/>
      <c r="JE4" s="26"/>
      <c r="JF4" s="26"/>
      <c r="JG4" s="26"/>
      <c r="JH4" s="26"/>
      <c r="JI4" s="26"/>
      <c r="JJ4" s="26"/>
      <c r="JK4" s="26"/>
      <c r="JL4" s="26"/>
      <c r="JM4" s="26"/>
      <c r="JN4" s="26"/>
      <c r="JO4" s="26"/>
      <c r="JP4" s="26"/>
      <c r="JQ4" s="26"/>
      <c r="JR4" s="26"/>
      <c r="JS4" s="26"/>
      <c r="JT4" s="26"/>
      <c r="JU4" s="26"/>
      <c r="JV4" s="26"/>
      <c r="JW4" s="26"/>
      <c r="JX4" s="26"/>
      <c r="JY4" s="26"/>
      <c r="JZ4" s="26"/>
      <c r="KA4" s="26"/>
      <c r="KB4" s="26"/>
      <c r="KC4" s="26"/>
      <c r="KD4" s="26"/>
      <c r="KE4" s="26"/>
      <c r="KF4" s="26"/>
      <c r="KG4" s="26"/>
      <c r="KH4" s="26"/>
      <c r="KI4" s="26"/>
      <c r="KJ4" s="26"/>
      <c r="KK4" s="26"/>
      <c r="KL4" s="26"/>
      <c r="KM4" s="26"/>
      <c r="KN4" s="26"/>
      <c r="KO4" s="26"/>
      <c r="KP4" s="26"/>
      <c r="KQ4" s="26"/>
      <c r="KR4" s="26"/>
      <c r="KS4" s="26"/>
      <c r="KT4" s="26"/>
      <c r="KU4" s="26"/>
      <c r="KV4" s="26"/>
      <c r="KW4" s="26"/>
      <c r="KX4" s="26"/>
      <c r="KY4" s="26"/>
      <c r="KZ4" s="26"/>
      <c r="LA4" s="26"/>
      <c r="LB4" s="26"/>
      <c r="LC4" s="26"/>
      <c r="LD4" s="26"/>
      <c r="LE4" s="26"/>
      <c r="LF4" s="26"/>
      <c r="LG4" s="26"/>
      <c r="LH4" s="26"/>
      <c r="LI4" s="26"/>
      <c r="LJ4" s="26"/>
      <c r="LK4" s="26"/>
      <c r="LL4" s="26"/>
      <c r="LM4" s="26"/>
      <c r="LN4" s="26"/>
      <c r="LO4" s="26"/>
      <c r="LP4" s="26"/>
      <c r="LQ4" s="26"/>
      <c r="LR4" s="26"/>
      <c r="LS4" s="26"/>
      <c r="LT4" s="26"/>
      <c r="LU4" s="26"/>
      <c r="LV4" s="26"/>
      <c r="LW4" s="26"/>
      <c r="LX4" s="26"/>
      <c r="LY4" s="26"/>
      <c r="LZ4" s="26"/>
      <c r="MA4" s="26"/>
      <c r="MB4" s="26"/>
      <c r="MC4" s="26"/>
      <c r="MD4" s="26"/>
      <c r="ME4" s="26"/>
      <c r="MF4" s="26"/>
      <c r="MG4" s="26"/>
      <c r="MH4" s="26"/>
      <c r="MI4" s="26"/>
      <c r="MJ4" s="26"/>
      <c r="MK4" s="26"/>
      <c r="ML4" s="26"/>
      <c r="MM4" s="26"/>
      <c r="MN4" s="26"/>
      <c r="MO4" s="26"/>
      <c r="MP4" s="26"/>
      <c r="MQ4" s="26"/>
      <c r="MR4" s="26"/>
      <c r="MS4" s="26"/>
      <c r="MT4" s="26"/>
      <c r="MU4" s="26"/>
      <c r="MV4" s="26"/>
      <c r="MW4" s="26"/>
      <c r="MX4" s="26"/>
      <c r="MY4" s="26"/>
      <c r="MZ4" s="26"/>
      <c r="NA4" s="26"/>
      <c r="NB4" s="26"/>
      <c r="NC4" s="26"/>
      <c r="ND4" s="26"/>
      <c r="NE4" s="26"/>
      <c r="NF4" s="26"/>
      <c r="NG4" s="26"/>
      <c r="NH4" s="26"/>
      <c r="NI4" s="26"/>
      <c r="NJ4" s="26"/>
      <c r="NK4" s="26"/>
      <c r="NL4" s="26"/>
      <c r="NM4" s="26"/>
      <c r="NN4" s="26"/>
      <c r="NO4" s="26"/>
      <c r="NP4" s="26"/>
      <c r="NQ4" s="26"/>
      <c r="NR4" s="26"/>
      <c r="NS4" s="26"/>
      <c r="NT4" s="26"/>
      <c r="NU4" s="26"/>
      <c r="NV4" s="26"/>
      <c r="NW4" s="26"/>
      <c r="NX4" s="26"/>
      <c r="NY4" s="26"/>
      <c r="NZ4" s="26"/>
      <c r="OA4" s="26"/>
      <c r="OB4" s="26"/>
      <c r="OC4" s="26"/>
      <c r="OD4" s="26"/>
      <c r="OE4" s="26"/>
      <c r="OF4" s="26"/>
      <c r="OG4" s="26"/>
      <c r="OH4" s="26"/>
      <c r="OI4" s="26"/>
      <c r="OJ4" s="26"/>
      <c r="OK4" s="26"/>
      <c r="OL4" s="26"/>
      <c r="OM4" s="26"/>
      <c r="ON4" s="26"/>
      <c r="OO4" s="26"/>
      <c r="OP4" s="26"/>
      <c r="OQ4" s="26"/>
      <c r="OR4" s="26"/>
      <c r="OS4" s="26"/>
      <c r="OT4" s="26"/>
      <c r="OU4" s="26"/>
      <c r="OV4" s="26"/>
      <c r="OW4" s="26"/>
      <c r="OX4" s="26"/>
      <c r="OY4" s="26"/>
      <c r="OZ4" s="26"/>
      <c r="PA4" s="26"/>
      <c r="PB4" s="26"/>
      <c r="PC4" s="26"/>
      <c r="PD4" s="26"/>
      <c r="PE4" s="26"/>
      <c r="PF4" s="26"/>
      <c r="PG4" s="26"/>
      <c r="PH4" s="26"/>
      <c r="PI4" s="26"/>
      <c r="PJ4" s="26"/>
      <c r="PK4" s="26"/>
      <c r="PL4" s="26"/>
      <c r="PM4" s="26"/>
      <c r="PN4" s="26"/>
      <c r="PO4" s="26"/>
      <c r="PP4" s="26"/>
      <c r="PQ4" s="26"/>
      <c r="PR4" s="26"/>
      <c r="PS4" s="26"/>
      <c r="PT4" s="26"/>
      <c r="PU4" s="26"/>
      <c r="PV4" s="26"/>
      <c r="PW4" s="26"/>
      <c r="PX4" s="26"/>
      <c r="PY4" s="26"/>
      <c r="PZ4" s="26"/>
      <c r="QA4" s="26"/>
      <c r="QB4" s="26"/>
      <c r="QC4" s="26"/>
      <c r="QD4" s="26"/>
      <c r="QE4" s="26"/>
      <c r="QF4" s="26"/>
      <c r="QG4" s="26"/>
      <c r="QH4" s="26"/>
      <c r="QI4" s="26"/>
      <c r="QJ4" s="26"/>
      <c r="QK4" s="26"/>
      <c r="QL4" s="26"/>
      <c r="QM4" s="26"/>
      <c r="QN4" s="26"/>
      <c r="QO4" s="26"/>
      <c r="QP4" s="26"/>
      <c r="QQ4" s="26"/>
      <c r="QR4" s="26"/>
      <c r="QS4" s="26"/>
      <c r="QT4" s="26"/>
      <c r="QU4" s="26"/>
      <c r="QV4" s="26"/>
      <c r="QW4" s="26"/>
      <c r="QX4" s="26"/>
      <c r="QY4" s="26"/>
      <c r="QZ4" s="26"/>
      <c r="RA4" s="26"/>
      <c r="RB4" s="26"/>
      <c r="RC4" s="26"/>
      <c r="RD4" s="26"/>
      <c r="RE4" s="26"/>
      <c r="RF4" s="26"/>
      <c r="RG4" s="26"/>
      <c r="RH4" s="26"/>
      <c r="RI4" s="26"/>
      <c r="RJ4" s="26"/>
      <c r="RK4" s="26"/>
      <c r="RL4" s="26"/>
      <c r="RM4" s="26"/>
      <c r="RN4" s="26"/>
      <c r="RO4" s="26"/>
      <c r="RP4" s="26"/>
      <c r="RQ4" s="26"/>
      <c r="RR4" s="26"/>
      <c r="RS4" s="26"/>
      <c r="RT4" s="26"/>
      <c r="RU4" s="26"/>
      <c r="RV4" s="26"/>
      <c r="RW4" s="26"/>
      <c r="RX4" s="26"/>
      <c r="RY4" s="26"/>
      <c r="RZ4" s="26"/>
      <c r="SA4" s="26"/>
      <c r="SB4" s="26"/>
      <c r="SC4" s="26"/>
      <c r="SD4" s="26"/>
      <c r="SE4" s="26"/>
      <c r="SF4" s="26"/>
      <c r="SG4" s="26"/>
      <c r="SH4" s="26"/>
      <c r="SI4" s="26"/>
      <c r="SJ4" s="26"/>
      <c r="SK4" s="26"/>
      <c r="SL4" s="26"/>
      <c r="SM4" s="26"/>
      <c r="SN4" s="26"/>
      <c r="SO4" s="26"/>
      <c r="SP4" s="26"/>
      <c r="SQ4" s="26"/>
      <c r="SR4" s="26"/>
      <c r="SS4" s="26"/>
      <c r="ST4" s="26"/>
      <c r="SU4" s="26"/>
      <c r="SV4" s="26"/>
      <c r="SW4" s="26"/>
      <c r="SX4" s="26"/>
      <c r="SY4" s="26"/>
      <c r="SZ4" s="26"/>
      <c r="TA4" s="26"/>
      <c r="TB4" s="26"/>
      <c r="TC4" s="26"/>
      <c r="TD4" s="26"/>
      <c r="TE4" s="26"/>
      <c r="TF4" s="26"/>
      <c r="TG4" s="26"/>
      <c r="TH4" s="26"/>
      <c r="TI4" s="26"/>
      <c r="TJ4" s="26"/>
      <c r="TK4" s="26"/>
      <c r="TL4" s="26"/>
      <c r="TM4" s="26"/>
      <c r="TN4" s="26"/>
      <c r="TO4" s="26"/>
      <c r="TP4" s="26"/>
      <c r="TQ4" s="26"/>
      <c r="TR4" s="26"/>
      <c r="TS4" s="26"/>
      <c r="TT4" s="26"/>
      <c r="TU4" s="26"/>
      <c r="TV4" s="26"/>
      <c r="TW4" s="26"/>
      <c r="TX4" s="26"/>
      <c r="TY4" s="26"/>
      <c r="TZ4" s="26"/>
      <c r="UA4" s="26"/>
      <c r="UB4" s="26"/>
      <c r="UC4" s="26"/>
      <c r="UD4" s="26"/>
      <c r="UE4" s="26"/>
      <c r="UF4" s="26"/>
      <c r="UG4" s="26"/>
      <c r="UH4" s="26"/>
      <c r="UI4" s="26"/>
      <c r="UJ4" s="26"/>
      <c r="UK4" s="26"/>
      <c r="UL4" s="26"/>
      <c r="UM4" s="26"/>
      <c r="UN4" s="26"/>
      <c r="UO4" s="26"/>
      <c r="UP4" s="26"/>
      <c r="UQ4" s="26"/>
      <c r="UR4" s="26"/>
      <c r="US4" s="26"/>
      <c r="UT4" s="26"/>
      <c r="UU4" s="26"/>
      <c r="UV4" s="26"/>
      <c r="UW4" s="26"/>
      <c r="UX4" s="26"/>
      <c r="UY4" s="26"/>
      <c r="UZ4" s="26"/>
      <c r="VA4" s="26"/>
      <c r="VB4" s="26"/>
      <c r="VC4" s="26"/>
      <c r="VD4" s="26"/>
      <c r="VE4" s="26"/>
      <c r="VF4" s="26"/>
      <c r="VG4" s="26"/>
      <c r="VH4" s="26"/>
      <c r="VI4" s="26"/>
      <c r="VJ4" s="26"/>
      <c r="VK4" s="26"/>
      <c r="VL4" s="26"/>
      <c r="VM4" s="26"/>
      <c r="VN4" s="26"/>
      <c r="VO4" s="26"/>
      <c r="VP4" s="26"/>
      <c r="VQ4" s="26"/>
      <c r="VR4" s="26"/>
      <c r="VS4" s="26"/>
      <c r="VT4" s="26"/>
      <c r="VU4" s="26"/>
      <c r="VV4" s="26"/>
      <c r="VW4" s="26"/>
      <c r="VX4" s="26"/>
      <c r="VY4" s="26"/>
      <c r="VZ4" s="26"/>
      <c r="WA4" s="26"/>
      <c r="WB4" s="26"/>
      <c r="WC4" s="26"/>
      <c r="WD4" s="26"/>
      <c r="WE4" s="26"/>
      <c r="WF4" s="26"/>
      <c r="WG4" s="26"/>
      <c r="WH4" s="26"/>
      <c r="WI4" s="26"/>
      <c r="WJ4" s="26"/>
      <c r="WK4" s="26"/>
      <c r="WL4" s="26"/>
      <c r="WM4" s="26"/>
      <c r="WN4" s="26"/>
      <c r="WO4" s="26"/>
      <c r="WP4" s="26"/>
      <c r="WQ4" s="26"/>
      <c r="WR4" s="26"/>
      <c r="WS4" s="26"/>
      <c r="WT4" s="26"/>
      <c r="WU4" s="26"/>
      <c r="WV4" s="26"/>
      <c r="WW4" s="26"/>
      <c r="WX4" s="26"/>
      <c r="WY4" s="26"/>
      <c r="WZ4" s="26"/>
      <c r="XA4" s="26"/>
      <c r="XB4" s="26"/>
      <c r="XC4" s="26"/>
      <c r="XD4" s="26"/>
      <c r="XE4" s="26"/>
      <c r="XF4" s="26"/>
      <c r="XG4" s="26"/>
      <c r="XH4" s="26"/>
      <c r="XI4" s="26"/>
      <c r="XJ4" s="26"/>
      <c r="XK4" s="26"/>
      <c r="XL4" s="26"/>
      <c r="XM4" s="26"/>
      <c r="XN4" s="26"/>
      <c r="XO4" s="26"/>
      <c r="XP4" s="26"/>
      <c r="XQ4" s="26"/>
      <c r="XR4" s="26"/>
      <c r="XS4" s="26"/>
      <c r="XT4" s="26"/>
      <c r="XU4" s="26"/>
      <c r="XV4" s="26"/>
      <c r="XW4" s="26"/>
      <c r="XX4" s="26"/>
      <c r="XY4" s="26"/>
      <c r="XZ4" s="26"/>
      <c r="YA4" s="26"/>
      <c r="YB4" s="26"/>
      <c r="YC4" s="26"/>
      <c r="YD4" s="26"/>
      <c r="YE4" s="26"/>
      <c r="YF4" s="26"/>
      <c r="YG4" s="26"/>
      <c r="YH4" s="26"/>
      <c r="YI4" s="26"/>
      <c r="YJ4" s="26"/>
      <c r="YK4" s="26"/>
      <c r="YL4" s="26"/>
      <c r="YM4" s="26"/>
      <c r="YN4" s="26"/>
      <c r="YO4" s="26"/>
      <c r="YP4" s="26"/>
      <c r="YQ4" s="26"/>
      <c r="YR4" s="26"/>
      <c r="YS4" s="26"/>
      <c r="YT4" s="26"/>
      <c r="YU4" s="26"/>
      <c r="YV4" s="26"/>
      <c r="YW4" s="26"/>
      <c r="YX4" s="26"/>
      <c r="YY4" s="26"/>
      <c r="YZ4" s="26"/>
      <c r="ZA4" s="26"/>
      <c r="ZB4" s="26"/>
      <c r="ZC4" s="26"/>
      <c r="ZD4" s="26"/>
      <c r="ZE4" s="26"/>
      <c r="ZF4" s="26"/>
      <c r="ZG4" s="26"/>
      <c r="ZH4" s="26"/>
      <c r="ZI4" s="26"/>
      <c r="ZJ4" s="26"/>
      <c r="ZK4" s="26"/>
      <c r="ZL4" s="26"/>
      <c r="ZM4" s="26"/>
      <c r="ZN4" s="26"/>
      <c r="ZO4" s="26"/>
      <c r="ZP4" s="26"/>
      <c r="ZQ4" s="26"/>
      <c r="ZR4" s="26"/>
      <c r="ZS4" s="26"/>
      <c r="ZT4" s="26"/>
      <c r="ZU4" s="26"/>
      <c r="ZV4" s="26"/>
      <c r="ZW4" s="26"/>
      <c r="ZX4" s="26"/>
      <c r="ZY4" s="26"/>
      <c r="ZZ4" s="26"/>
      <c r="AAA4" s="26"/>
      <c r="AAB4" s="26"/>
      <c r="AAC4" s="26"/>
      <c r="AAD4" s="26"/>
      <c r="AAE4" s="26"/>
      <c r="AAF4" s="26"/>
      <c r="AAG4" s="26"/>
      <c r="AAH4" s="26"/>
      <c r="AAI4" s="26"/>
      <c r="AAJ4" s="26"/>
      <c r="AAK4" s="26"/>
      <c r="AAL4" s="26"/>
      <c r="AAM4" s="26"/>
      <c r="AAN4" s="26"/>
      <c r="AAO4" s="26"/>
      <c r="AAP4" s="26"/>
      <c r="AAQ4" s="26"/>
      <c r="AAR4" s="26"/>
      <c r="AAS4" s="26"/>
      <c r="AAT4" s="26"/>
      <c r="AAU4" s="26"/>
      <c r="AAV4" s="26"/>
      <c r="AAW4" s="26"/>
      <c r="AAX4" s="26"/>
      <c r="AAY4" s="26"/>
      <c r="AAZ4" s="26"/>
      <c r="ABA4" s="26"/>
      <c r="ABB4" s="26"/>
      <c r="ABC4" s="26"/>
      <c r="ABD4" s="26"/>
      <c r="ABE4" s="26"/>
      <c r="ABF4" s="26"/>
      <c r="ABG4" s="26"/>
      <c r="ABH4" s="26"/>
      <c r="ABI4" s="26"/>
      <c r="ABJ4" s="26"/>
      <c r="ABK4" s="26"/>
      <c r="ABL4" s="26"/>
      <c r="ABM4" s="26"/>
      <c r="ABN4" s="26"/>
      <c r="ABO4" s="26"/>
      <c r="ABP4" s="26"/>
      <c r="ABQ4" s="26"/>
      <c r="ABR4" s="26"/>
      <c r="ABS4" s="26"/>
      <c r="ABT4" s="26"/>
      <c r="ABU4" s="26"/>
      <c r="ABV4" s="26"/>
      <c r="ABW4" s="26"/>
      <c r="ABX4" s="26"/>
      <c r="ABY4" s="26"/>
      <c r="ABZ4" s="26"/>
      <c r="ACA4" s="26"/>
      <c r="ACB4" s="26"/>
      <c r="ACC4" s="26"/>
      <c r="ACD4" s="26"/>
      <c r="ACE4" s="26"/>
      <c r="ACF4" s="26"/>
      <c r="ACG4" s="26"/>
      <c r="ACH4" s="26"/>
      <c r="ACI4" s="26"/>
      <c r="ACJ4" s="26"/>
      <c r="ACK4" s="26"/>
      <c r="ACL4" s="26"/>
      <c r="ACM4" s="26"/>
      <c r="ACN4" s="26"/>
      <c r="ACO4" s="26"/>
      <c r="ACP4" s="26"/>
      <c r="ACQ4" s="26"/>
      <c r="ACR4" s="26"/>
      <c r="ACS4" s="26"/>
      <c r="ACT4" s="26"/>
      <c r="ACU4" s="26"/>
      <c r="ACV4" s="26"/>
      <c r="ACW4" s="26"/>
      <c r="ACX4" s="26"/>
      <c r="ACY4" s="26"/>
      <c r="ACZ4" s="26"/>
      <c r="ADA4" s="26"/>
      <c r="ADB4" s="26"/>
      <c r="ADC4" s="26"/>
      <c r="ADD4" s="26"/>
      <c r="ADE4" s="26"/>
      <c r="ADF4" s="26"/>
      <c r="ADG4" s="26"/>
      <c r="ADH4" s="26"/>
      <c r="ADI4" s="26"/>
      <c r="ADJ4" s="26"/>
      <c r="ADK4" s="26"/>
      <c r="ADL4" s="26"/>
      <c r="ADM4" s="26"/>
      <c r="ADN4" s="26"/>
      <c r="ADO4" s="26"/>
      <c r="ADP4" s="26"/>
      <c r="ADQ4" s="26"/>
      <c r="ADR4" s="26"/>
      <c r="ADS4" s="26"/>
      <c r="ADT4" s="26"/>
      <c r="ADU4" s="26"/>
      <c r="ADV4" s="26"/>
      <c r="ADW4" s="26"/>
      <c r="ADX4" s="26"/>
      <c r="ADY4" s="26"/>
      <c r="ADZ4" s="26"/>
      <c r="AEA4" s="26"/>
      <c r="AEB4" s="26"/>
      <c r="AEC4" s="26"/>
      <c r="AED4" s="26"/>
      <c r="AEE4" s="26"/>
      <c r="AEF4" s="26"/>
      <c r="AEG4" s="26"/>
      <c r="AEH4" s="26"/>
      <c r="AEI4" s="26"/>
      <c r="AEJ4" s="26"/>
      <c r="AEK4" s="26"/>
      <c r="AEL4" s="26"/>
      <c r="AEM4" s="26"/>
      <c r="AEN4" s="26"/>
      <c r="AEO4" s="26"/>
      <c r="AEP4" s="26"/>
      <c r="AEQ4" s="26"/>
      <c r="AER4" s="26"/>
      <c r="AES4" s="26"/>
      <c r="AET4" s="26"/>
      <c r="AEU4" s="26"/>
      <c r="AEV4" s="26"/>
      <c r="AEW4" s="26"/>
      <c r="AEX4" s="26"/>
      <c r="AEY4" s="26"/>
      <c r="AEZ4" s="26"/>
      <c r="AFA4" s="26"/>
      <c r="AFB4" s="26"/>
      <c r="AFC4" s="26"/>
      <c r="AFD4" s="26"/>
      <c r="AFE4" s="26"/>
      <c r="AFF4" s="26"/>
      <c r="AFG4" s="26"/>
      <c r="AFH4" s="26"/>
      <c r="AFI4" s="26"/>
      <c r="AFJ4" s="26"/>
      <c r="AFK4" s="26"/>
      <c r="AFL4" s="26"/>
      <c r="AFM4" s="26"/>
      <c r="AFN4" s="26"/>
      <c r="AFO4" s="26"/>
      <c r="AFP4" s="26"/>
      <c r="AFQ4" s="26"/>
      <c r="AFR4" s="26"/>
      <c r="AFS4" s="26"/>
      <c r="AFT4" s="26"/>
      <c r="AFU4" s="26"/>
      <c r="AFV4" s="26"/>
      <c r="AFW4" s="26"/>
      <c r="AFX4" s="26"/>
      <c r="AFY4" s="26"/>
      <c r="AFZ4" s="26"/>
      <c r="AGA4" s="26"/>
      <c r="AGB4" s="26"/>
      <c r="AGC4" s="26"/>
      <c r="AGD4" s="26"/>
      <c r="AGE4" s="26"/>
      <c r="AGF4" s="26"/>
      <c r="AGG4" s="26"/>
      <c r="AGH4" s="26"/>
      <c r="AGI4" s="26"/>
      <c r="AGJ4" s="26"/>
      <c r="AGK4" s="26"/>
      <c r="AGL4" s="26"/>
      <c r="AGM4" s="26"/>
      <c r="AGN4" s="26"/>
      <c r="AGO4" s="26"/>
      <c r="AGP4" s="26"/>
      <c r="AGQ4" s="26"/>
      <c r="AGR4" s="26"/>
      <c r="AGS4" s="26"/>
      <c r="AGT4" s="26"/>
      <c r="AGU4" s="26"/>
      <c r="AGV4" s="26"/>
      <c r="AGW4" s="26"/>
      <c r="AGX4" s="26"/>
      <c r="AGY4" s="26"/>
      <c r="AGZ4" s="26"/>
      <c r="AHA4" s="26"/>
      <c r="AHB4" s="26"/>
      <c r="AHC4" s="26"/>
      <c r="AHD4" s="26"/>
      <c r="AHE4" s="26"/>
      <c r="AHF4" s="26"/>
      <c r="AHG4" s="26"/>
      <c r="AHH4" s="26"/>
      <c r="AHI4" s="26"/>
      <c r="AHJ4" s="26"/>
      <c r="AHK4" s="26"/>
      <c r="AHL4" s="26"/>
      <c r="AHM4" s="26"/>
      <c r="AHN4" s="26"/>
      <c r="AHO4" s="26"/>
      <c r="AHP4" s="26"/>
      <c r="AHQ4" s="26"/>
      <c r="AHR4" s="26"/>
      <c r="AHS4" s="26"/>
      <c r="AHT4" s="26"/>
      <c r="AHU4" s="26"/>
      <c r="AHV4" s="26"/>
      <c r="AHW4" s="26"/>
      <c r="AHX4" s="26"/>
      <c r="AHY4" s="26"/>
      <c r="AHZ4" s="26"/>
      <c r="AIA4" s="26"/>
      <c r="AIB4" s="26"/>
      <c r="AIC4" s="26"/>
      <c r="AID4" s="26"/>
      <c r="AIE4" s="26"/>
      <c r="AIF4" s="26"/>
      <c r="AIG4" s="26"/>
      <c r="AIH4" s="26"/>
      <c r="AII4" s="26"/>
      <c r="AIJ4" s="26"/>
      <c r="AIK4" s="26"/>
      <c r="AIL4" s="26"/>
      <c r="AIM4" s="26"/>
      <c r="AIN4" s="26"/>
      <c r="AIO4" s="26"/>
      <c r="AIP4" s="26"/>
      <c r="AIQ4" s="26"/>
      <c r="AIR4" s="26"/>
      <c r="AIS4" s="26"/>
      <c r="AIT4" s="26"/>
      <c r="AIU4" s="26"/>
      <c r="AIV4" s="26"/>
      <c r="AIW4" s="26"/>
      <c r="AIX4" s="26"/>
      <c r="AIY4" s="26"/>
      <c r="AIZ4" s="26"/>
      <c r="AJA4" s="26"/>
      <c r="AJB4" s="26"/>
      <c r="AJC4" s="26"/>
      <c r="AJD4" s="26"/>
      <c r="AJE4" s="26"/>
      <c r="AJF4" s="26"/>
      <c r="AJG4" s="26"/>
      <c r="AJH4" s="26"/>
      <c r="AJI4" s="26"/>
      <c r="AJJ4" s="26"/>
      <c r="AJK4" s="26"/>
      <c r="AJL4" s="26"/>
      <c r="AJM4" s="26"/>
      <c r="AJN4" s="26"/>
      <c r="AJO4" s="26"/>
      <c r="AJP4" s="26"/>
      <c r="AJQ4" s="26"/>
      <c r="AJR4" s="26"/>
      <c r="AJS4" s="26"/>
      <c r="AJT4" s="26"/>
      <c r="AJU4" s="26"/>
      <c r="AJV4" s="26"/>
      <c r="AJW4" s="26"/>
      <c r="AJX4" s="26"/>
      <c r="AJY4" s="26"/>
      <c r="AJZ4" s="26"/>
      <c r="AKA4" s="26"/>
      <c r="AKB4" s="26"/>
      <c r="AKC4" s="26"/>
      <c r="AKD4" s="26"/>
      <c r="AKE4" s="26"/>
      <c r="AKF4" s="26"/>
      <c r="AKG4" s="26"/>
      <c r="AKH4" s="26"/>
      <c r="AKI4" s="26"/>
      <c r="AKJ4" s="26"/>
      <c r="AKK4" s="26"/>
      <c r="AKL4" s="26"/>
      <c r="AKM4" s="26"/>
      <c r="AKN4" s="26"/>
      <c r="AKO4" s="26"/>
      <c r="AKP4" s="26"/>
      <c r="AKQ4" s="26"/>
      <c r="AKR4" s="26"/>
      <c r="AKS4" s="26"/>
      <c r="AKT4" s="26"/>
      <c r="AKU4" s="26"/>
      <c r="AKV4" s="26"/>
      <c r="AKW4" s="26"/>
      <c r="AKX4" s="26"/>
      <c r="AKY4" s="26"/>
      <c r="AKZ4" s="26"/>
      <c r="ALA4" s="26"/>
      <c r="ALB4" s="26"/>
      <c r="ALC4" s="26"/>
      <c r="ALD4" s="26"/>
      <c r="ALE4" s="26"/>
      <c r="ALF4" s="26"/>
      <c r="ALG4" s="26"/>
      <c r="ALH4" s="26"/>
      <c r="ALI4" s="26"/>
      <c r="ALJ4" s="26"/>
      <c r="ALK4" s="26"/>
      <c r="ALL4" s="26"/>
      <c r="ALM4" s="26"/>
      <c r="ALN4" s="26"/>
      <c r="ALO4" s="26"/>
      <c r="ALP4" s="26"/>
      <c r="ALQ4" s="26"/>
      <c r="ALR4" s="26"/>
      <c r="ALS4" s="26"/>
      <c r="ALT4" s="26"/>
      <c r="ALU4" s="26"/>
      <c r="ALV4" s="26"/>
      <c r="ALW4" s="26"/>
      <c r="ALX4" s="26"/>
      <c r="ALY4" s="26"/>
      <c r="ALZ4" s="26"/>
      <c r="AMA4" s="26"/>
      <c r="AMB4" s="26"/>
      <c r="AMC4" s="26"/>
      <c r="AMD4" s="26"/>
      <c r="AME4" s="26"/>
      <c r="AMF4" s="26"/>
      <c r="AMG4" s="26"/>
      <c r="AMH4" s="26"/>
      <c r="AMI4" s="26"/>
      <c r="AMJ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IFERROR(__xludf.DUMMYFUNCTION("""COMPUTED_VALUE"""),"Actual User")</f>
        <v>Actual User</v>
      </c>
      <c r="BB5" s="30" t="str">
        <f>IFERROR(__xludf.DUMMYFUNCTION("""COMPUTED_VALUE"""),"Testing Type")</f>
        <v>Testing Type</v>
      </c>
      <c r="BC5" s="30" t="str">
        <f>IFERROR(__xludf.DUMMYFUNCTION("""COMPUTED_VALUE"""),"Testing Column")</f>
        <v>Testing Column</v>
      </c>
      <c r="BD5" s="30" t="str">
        <f>IFERROR(__xludf.DUMMYFUNCTION("""COMPUTED_VALUE"""),"Testing Col Value")</f>
        <v>Testing Col Value</v>
      </c>
      <c r="BE5" s="30" t="str">
        <f>IFERROR(__xludf.DUMMYFUNCTION("""COMPUTED_VALUE"""),"DuplicateRow")</f>
        <v>DuplicateRow</v>
      </c>
      <c r="BF5" s="30" t="str">
        <f>IFERROR(__xludf.DUMMYFUNCTION("""COMPUTED_VALUE"""),"DuplicateCountOnUI")</f>
        <v>DuplicateCountOnUI</v>
      </c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  <c r="EY5" s="30"/>
      <c r="EZ5" s="30"/>
      <c r="FA5" s="30"/>
      <c r="FB5" s="30"/>
      <c r="FC5" s="30"/>
      <c r="FD5" s="30"/>
      <c r="FE5" s="30"/>
      <c r="FF5" s="30"/>
      <c r="FG5" s="30"/>
      <c r="FH5" s="30"/>
      <c r="FI5" s="30"/>
      <c r="FJ5" s="30"/>
      <c r="FK5" s="30"/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  <c r="HX5" s="30"/>
      <c r="HY5" s="30"/>
      <c r="HZ5" s="30"/>
      <c r="IA5" s="30"/>
      <c r="IB5" s="30"/>
      <c r="IC5" s="30"/>
      <c r="ID5" s="30"/>
      <c r="IE5" s="30"/>
      <c r="IF5" s="30"/>
      <c r="IG5" s="30"/>
      <c r="IH5" s="30"/>
      <c r="II5" s="30"/>
      <c r="IJ5" s="30"/>
      <c r="IK5" s="30"/>
      <c r="IL5" s="30"/>
      <c r="IM5" s="30"/>
      <c r="IN5" s="30"/>
      <c r="IO5" s="30"/>
      <c r="IP5" s="30"/>
      <c r="IQ5" s="30"/>
      <c r="IR5" s="30"/>
      <c r="IS5" s="30"/>
      <c r="IT5" s="30"/>
      <c r="IU5" s="30"/>
      <c r="IV5" s="30"/>
      <c r="IW5" s="30"/>
      <c r="IX5" s="30"/>
      <c r="IY5" s="30"/>
      <c r="IZ5" s="30"/>
      <c r="JA5" s="30"/>
      <c r="JB5" s="30"/>
      <c r="JC5" s="30"/>
      <c r="JD5" s="30"/>
      <c r="JE5" s="30"/>
      <c r="JF5" s="30"/>
      <c r="JG5" s="30"/>
      <c r="JH5" s="30"/>
      <c r="JI5" s="30"/>
      <c r="JJ5" s="30"/>
      <c r="JK5" s="30"/>
      <c r="JL5" s="30"/>
      <c r="JM5" s="30"/>
      <c r="JN5" s="30"/>
      <c r="JO5" s="30"/>
      <c r="JP5" s="30"/>
      <c r="JQ5" s="30"/>
      <c r="JR5" s="30"/>
      <c r="JS5" s="30"/>
      <c r="JT5" s="30"/>
      <c r="JU5" s="30"/>
      <c r="JV5" s="30"/>
      <c r="JW5" s="30"/>
      <c r="JX5" s="30"/>
      <c r="JY5" s="30"/>
      <c r="JZ5" s="30"/>
      <c r="KA5" s="30"/>
      <c r="KB5" s="30"/>
      <c r="KC5" s="30"/>
      <c r="KD5" s="30"/>
      <c r="KE5" s="30"/>
      <c r="KF5" s="30"/>
      <c r="KG5" s="30"/>
      <c r="KH5" s="30"/>
      <c r="KI5" s="30"/>
      <c r="KJ5" s="30"/>
      <c r="KK5" s="30"/>
      <c r="KL5" s="30"/>
      <c r="KM5" s="30"/>
      <c r="KN5" s="30"/>
      <c r="KO5" s="30"/>
      <c r="KP5" s="30"/>
      <c r="KQ5" s="30"/>
      <c r="KR5" s="30"/>
      <c r="KS5" s="30"/>
      <c r="KT5" s="30"/>
      <c r="KU5" s="30"/>
      <c r="KV5" s="30"/>
      <c r="KW5" s="30"/>
      <c r="KX5" s="30"/>
      <c r="KY5" s="30"/>
      <c r="KZ5" s="30"/>
      <c r="LA5" s="30"/>
      <c r="LB5" s="30"/>
      <c r="LC5" s="30"/>
      <c r="LD5" s="30"/>
      <c r="LE5" s="30"/>
      <c r="LF5" s="30"/>
      <c r="LG5" s="30"/>
      <c r="LH5" s="30"/>
      <c r="LI5" s="30"/>
      <c r="LJ5" s="30"/>
      <c r="LK5" s="30"/>
      <c r="LL5" s="30"/>
      <c r="LM5" s="30"/>
      <c r="LN5" s="30"/>
      <c r="LO5" s="30"/>
      <c r="LP5" s="30"/>
      <c r="LQ5" s="30"/>
      <c r="LR5" s="30"/>
      <c r="LS5" s="30"/>
      <c r="LT5" s="30"/>
      <c r="LU5" s="30"/>
      <c r="LV5" s="30"/>
      <c r="LW5" s="30"/>
      <c r="LX5" s="30"/>
      <c r="LY5" s="30"/>
      <c r="LZ5" s="30"/>
      <c r="MA5" s="30"/>
      <c r="MB5" s="30"/>
      <c r="MC5" s="30"/>
      <c r="MD5" s="30"/>
      <c r="ME5" s="30"/>
      <c r="MF5" s="30"/>
      <c r="MG5" s="30"/>
      <c r="MH5" s="30"/>
      <c r="MI5" s="30"/>
      <c r="MJ5" s="30"/>
      <c r="MK5" s="30"/>
      <c r="ML5" s="30"/>
      <c r="MM5" s="30"/>
      <c r="MN5" s="30"/>
      <c r="MO5" s="30"/>
      <c r="MP5" s="30"/>
      <c r="MQ5" s="30"/>
      <c r="MR5" s="30"/>
      <c r="MS5" s="30"/>
      <c r="MT5" s="30"/>
      <c r="MU5" s="30"/>
      <c r="MV5" s="30"/>
      <c r="MW5" s="30"/>
      <c r="MX5" s="30"/>
      <c r="MY5" s="30"/>
      <c r="MZ5" s="30"/>
      <c r="NA5" s="30"/>
      <c r="NB5" s="30"/>
      <c r="NC5" s="30"/>
      <c r="ND5" s="30"/>
      <c r="NE5" s="30"/>
      <c r="NF5" s="30"/>
      <c r="NG5" s="30"/>
      <c r="NH5" s="30"/>
      <c r="NI5" s="30"/>
      <c r="NJ5" s="30"/>
      <c r="NK5" s="30"/>
      <c r="NL5" s="30"/>
      <c r="NM5" s="30"/>
      <c r="NN5" s="30"/>
      <c r="NO5" s="30"/>
      <c r="NP5" s="30"/>
      <c r="NQ5" s="30"/>
      <c r="NR5" s="30"/>
      <c r="NS5" s="30"/>
      <c r="NT5" s="30"/>
      <c r="NU5" s="30"/>
      <c r="NV5" s="30"/>
      <c r="NW5" s="30"/>
      <c r="NX5" s="30"/>
      <c r="NY5" s="30"/>
      <c r="NZ5" s="30"/>
      <c r="OA5" s="30"/>
      <c r="OB5" s="30"/>
      <c r="OC5" s="30"/>
      <c r="OD5" s="30"/>
      <c r="OE5" s="30"/>
      <c r="OF5" s="30"/>
      <c r="OG5" s="30"/>
      <c r="OH5" s="30"/>
      <c r="OI5" s="30"/>
      <c r="OJ5" s="30"/>
      <c r="OK5" s="30"/>
      <c r="OL5" s="30"/>
      <c r="OM5" s="30"/>
      <c r="ON5" s="30"/>
      <c r="OO5" s="30"/>
      <c r="OP5" s="30"/>
      <c r="OQ5" s="30"/>
      <c r="OR5" s="30"/>
      <c r="OS5" s="30"/>
      <c r="OT5" s="30"/>
      <c r="OU5" s="30"/>
      <c r="OV5" s="30"/>
      <c r="OW5" s="30"/>
      <c r="OX5" s="30"/>
      <c r="OY5" s="30"/>
      <c r="OZ5" s="30"/>
      <c r="PA5" s="30"/>
      <c r="PB5" s="30"/>
      <c r="PC5" s="30"/>
      <c r="PD5" s="30"/>
      <c r="PE5" s="30"/>
      <c r="PF5" s="30"/>
      <c r="PG5" s="30"/>
      <c r="PH5" s="30"/>
      <c r="PI5" s="30"/>
      <c r="PJ5" s="30"/>
      <c r="PK5" s="30"/>
      <c r="PL5" s="30"/>
      <c r="PM5" s="30"/>
      <c r="PN5" s="30"/>
      <c r="PO5" s="30"/>
      <c r="PP5" s="30"/>
      <c r="PQ5" s="30"/>
      <c r="PR5" s="30"/>
      <c r="PS5" s="30"/>
      <c r="PT5" s="30"/>
      <c r="PU5" s="30"/>
      <c r="PV5" s="30"/>
      <c r="PW5" s="30"/>
      <c r="PX5" s="30"/>
      <c r="PY5" s="30"/>
      <c r="PZ5" s="30"/>
      <c r="QA5" s="30"/>
      <c r="QB5" s="30"/>
      <c r="QC5" s="30"/>
      <c r="QD5" s="30"/>
      <c r="QE5" s="30"/>
      <c r="QF5" s="30"/>
      <c r="QG5" s="30"/>
      <c r="QH5" s="30"/>
      <c r="QI5" s="30"/>
      <c r="QJ5" s="30"/>
      <c r="QK5" s="30"/>
      <c r="QL5" s="30"/>
      <c r="QM5" s="30"/>
      <c r="QN5" s="30"/>
      <c r="QO5" s="30"/>
      <c r="QP5" s="30"/>
      <c r="QQ5" s="30"/>
      <c r="QR5" s="30"/>
      <c r="QS5" s="30"/>
      <c r="QT5" s="30"/>
      <c r="QU5" s="30"/>
      <c r="QV5" s="30"/>
      <c r="QW5" s="30"/>
      <c r="QX5" s="30"/>
      <c r="QY5" s="30"/>
      <c r="QZ5" s="30"/>
      <c r="RA5" s="30"/>
      <c r="RB5" s="30"/>
      <c r="RC5" s="30"/>
      <c r="RD5" s="30"/>
      <c r="RE5" s="30"/>
      <c r="RF5" s="30"/>
      <c r="RG5" s="30"/>
      <c r="RH5" s="30"/>
      <c r="RI5" s="30"/>
      <c r="RJ5" s="30"/>
      <c r="RK5" s="30"/>
      <c r="RL5" s="30"/>
      <c r="RM5" s="30"/>
      <c r="RN5" s="30"/>
      <c r="RO5" s="30"/>
      <c r="RP5" s="30"/>
      <c r="RQ5" s="30"/>
      <c r="RR5" s="30"/>
      <c r="RS5" s="30"/>
      <c r="RT5" s="30"/>
      <c r="RU5" s="30"/>
      <c r="RV5" s="30"/>
      <c r="RW5" s="30"/>
      <c r="RX5" s="30"/>
      <c r="RY5" s="30"/>
      <c r="RZ5" s="30"/>
      <c r="SA5" s="30"/>
      <c r="SB5" s="30"/>
      <c r="SC5" s="30"/>
      <c r="SD5" s="30"/>
      <c r="SE5" s="30"/>
      <c r="SF5" s="30"/>
      <c r="SG5" s="30"/>
      <c r="SH5" s="30"/>
      <c r="SI5" s="30"/>
      <c r="SJ5" s="30"/>
      <c r="SK5" s="30"/>
      <c r="SL5" s="30"/>
      <c r="SM5" s="30"/>
      <c r="SN5" s="30"/>
      <c r="SO5" s="30"/>
      <c r="SP5" s="30"/>
      <c r="SQ5" s="30"/>
      <c r="SR5" s="30"/>
      <c r="SS5" s="30"/>
      <c r="ST5" s="30"/>
      <c r="SU5" s="30"/>
      <c r="SV5" s="30"/>
      <c r="SW5" s="30"/>
      <c r="SX5" s="30"/>
      <c r="SY5" s="30"/>
      <c r="SZ5" s="30"/>
      <c r="TA5" s="30"/>
      <c r="TB5" s="30"/>
      <c r="TC5" s="30"/>
      <c r="TD5" s="30"/>
      <c r="TE5" s="30"/>
      <c r="TF5" s="30"/>
      <c r="TG5" s="30"/>
      <c r="TH5" s="30"/>
      <c r="TI5" s="30"/>
      <c r="TJ5" s="30"/>
      <c r="TK5" s="30"/>
      <c r="TL5" s="30"/>
      <c r="TM5" s="30"/>
      <c r="TN5" s="30"/>
      <c r="TO5" s="30"/>
      <c r="TP5" s="30"/>
      <c r="TQ5" s="30"/>
      <c r="TR5" s="30"/>
      <c r="TS5" s="30"/>
      <c r="TT5" s="30"/>
      <c r="TU5" s="30"/>
      <c r="TV5" s="30"/>
      <c r="TW5" s="30"/>
      <c r="TX5" s="30"/>
      <c r="TY5" s="30"/>
      <c r="TZ5" s="30"/>
      <c r="UA5" s="30"/>
      <c r="UB5" s="30"/>
      <c r="UC5" s="30"/>
      <c r="UD5" s="30"/>
      <c r="UE5" s="30"/>
      <c r="UF5" s="30"/>
      <c r="UG5" s="30"/>
      <c r="UH5" s="30"/>
      <c r="UI5" s="30"/>
      <c r="UJ5" s="30"/>
      <c r="UK5" s="30"/>
      <c r="UL5" s="30"/>
      <c r="UM5" s="30"/>
      <c r="UN5" s="30"/>
      <c r="UO5" s="30"/>
      <c r="UP5" s="30"/>
      <c r="UQ5" s="30"/>
      <c r="UR5" s="30"/>
      <c r="US5" s="30"/>
      <c r="UT5" s="30"/>
      <c r="UU5" s="30"/>
      <c r="UV5" s="30"/>
      <c r="UW5" s="30"/>
      <c r="UX5" s="30"/>
      <c r="UY5" s="30"/>
      <c r="UZ5" s="30"/>
      <c r="VA5" s="30"/>
      <c r="VB5" s="30"/>
      <c r="VC5" s="30"/>
      <c r="VD5" s="30"/>
      <c r="VE5" s="30"/>
      <c r="VF5" s="30"/>
      <c r="VG5" s="30"/>
      <c r="VH5" s="30"/>
      <c r="VI5" s="30"/>
      <c r="VJ5" s="30"/>
      <c r="VK5" s="30"/>
      <c r="VL5" s="30"/>
      <c r="VM5" s="30"/>
      <c r="VN5" s="30"/>
      <c r="VO5" s="30"/>
      <c r="VP5" s="30"/>
      <c r="VQ5" s="30"/>
      <c r="VR5" s="30"/>
      <c r="VS5" s="30"/>
      <c r="VT5" s="30"/>
      <c r="VU5" s="30"/>
      <c r="VV5" s="30"/>
      <c r="VW5" s="30"/>
      <c r="VX5" s="30"/>
      <c r="VY5" s="30"/>
      <c r="VZ5" s="30"/>
      <c r="WA5" s="30"/>
      <c r="WB5" s="30"/>
      <c r="WC5" s="30"/>
      <c r="WD5" s="30"/>
      <c r="WE5" s="30"/>
      <c r="WF5" s="30"/>
      <c r="WG5" s="30"/>
      <c r="WH5" s="30"/>
      <c r="WI5" s="30"/>
      <c r="WJ5" s="30"/>
      <c r="WK5" s="30"/>
      <c r="WL5" s="30"/>
      <c r="WM5" s="30"/>
      <c r="WN5" s="30"/>
      <c r="WO5" s="30"/>
      <c r="WP5" s="30"/>
      <c r="WQ5" s="30"/>
      <c r="WR5" s="30"/>
      <c r="WS5" s="30"/>
      <c r="WT5" s="30"/>
      <c r="WU5" s="30"/>
      <c r="WV5" s="30"/>
      <c r="WW5" s="30"/>
      <c r="WX5" s="30"/>
      <c r="WY5" s="30"/>
      <c r="WZ5" s="30"/>
      <c r="XA5" s="30"/>
      <c r="XB5" s="30"/>
      <c r="XC5" s="30"/>
      <c r="XD5" s="30"/>
      <c r="XE5" s="30"/>
      <c r="XF5" s="30"/>
      <c r="XG5" s="30"/>
      <c r="XH5" s="30"/>
      <c r="XI5" s="30"/>
      <c r="XJ5" s="30"/>
      <c r="XK5" s="30"/>
      <c r="XL5" s="30"/>
      <c r="XM5" s="30"/>
      <c r="XN5" s="30"/>
      <c r="XO5" s="30"/>
      <c r="XP5" s="30"/>
      <c r="XQ5" s="30"/>
      <c r="XR5" s="30"/>
      <c r="XS5" s="30"/>
      <c r="XT5" s="30"/>
      <c r="XU5" s="30"/>
      <c r="XV5" s="30"/>
      <c r="XW5" s="30"/>
      <c r="XX5" s="30"/>
      <c r="XY5" s="30"/>
      <c r="XZ5" s="30"/>
      <c r="YA5" s="30"/>
      <c r="YB5" s="30"/>
      <c r="YC5" s="30"/>
      <c r="YD5" s="30"/>
      <c r="YE5" s="30"/>
      <c r="YF5" s="30"/>
      <c r="YG5" s="30"/>
      <c r="YH5" s="30"/>
      <c r="YI5" s="30"/>
      <c r="YJ5" s="30"/>
      <c r="YK5" s="30"/>
      <c r="YL5" s="30"/>
      <c r="YM5" s="30"/>
      <c r="YN5" s="30"/>
      <c r="YO5" s="30"/>
      <c r="YP5" s="30"/>
      <c r="YQ5" s="30"/>
      <c r="YR5" s="30"/>
      <c r="YS5" s="30"/>
      <c r="YT5" s="30"/>
      <c r="YU5" s="30"/>
      <c r="YV5" s="30"/>
      <c r="YW5" s="30"/>
      <c r="YX5" s="30"/>
      <c r="YY5" s="30"/>
      <c r="YZ5" s="30"/>
      <c r="ZA5" s="30"/>
      <c r="ZB5" s="30"/>
      <c r="ZC5" s="30"/>
      <c r="ZD5" s="30"/>
      <c r="ZE5" s="30"/>
      <c r="ZF5" s="30"/>
      <c r="ZG5" s="30"/>
      <c r="ZH5" s="30"/>
      <c r="ZI5" s="30"/>
      <c r="ZJ5" s="30"/>
      <c r="ZK5" s="30"/>
      <c r="ZL5" s="30"/>
      <c r="ZM5" s="30"/>
      <c r="ZN5" s="30"/>
      <c r="ZO5" s="30"/>
      <c r="ZP5" s="30"/>
      <c r="ZQ5" s="30"/>
      <c r="ZR5" s="30"/>
      <c r="ZS5" s="30"/>
      <c r="ZT5" s="30"/>
      <c r="ZU5" s="30"/>
      <c r="ZV5" s="30"/>
      <c r="ZW5" s="30"/>
      <c r="ZX5" s="30"/>
      <c r="ZY5" s="30"/>
      <c r="ZZ5" s="30"/>
      <c r="AAA5" s="30"/>
      <c r="AAB5" s="30"/>
      <c r="AAC5" s="30"/>
      <c r="AAD5" s="30"/>
      <c r="AAE5" s="30"/>
      <c r="AAF5" s="30"/>
      <c r="AAG5" s="30"/>
      <c r="AAH5" s="30"/>
      <c r="AAI5" s="30"/>
      <c r="AAJ5" s="30"/>
      <c r="AAK5" s="30"/>
      <c r="AAL5" s="30"/>
      <c r="AAM5" s="30"/>
      <c r="AAN5" s="30"/>
      <c r="AAO5" s="30"/>
      <c r="AAP5" s="30"/>
      <c r="AAQ5" s="30"/>
      <c r="AAR5" s="30"/>
      <c r="AAS5" s="30"/>
      <c r="AAT5" s="30"/>
      <c r="AAU5" s="30"/>
      <c r="AAV5" s="30"/>
      <c r="AAW5" s="30"/>
      <c r="AAX5" s="30"/>
      <c r="AAY5" s="30"/>
      <c r="AAZ5" s="30"/>
      <c r="ABA5" s="30"/>
      <c r="ABB5" s="30"/>
      <c r="ABC5" s="30"/>
      <c r="ABD5" s="30"/>
      <c r="ABE5" s="30"/>
      <c r="ABF5" s="30"/>
      <c r="ABG5" s="30"/>
      <c r="ABH5" s="30"/>
      <c r="ABI5" s="30"/>
      <c r="ABJ5" s="30"/>
      <c r="ABK5" s="30"/>
      <c r="ABL5" s="30"/>
      <c r="ABM5" s="30"/>
      <c r="ABN5" s="30"/>
      <c r="ABO5" s="30"/>
      <c r="ABP5" s="30"/>
      <c r="ABQ5" s="30"/>
      <c r="ABR5" s="30"/>
      <c r="ABS5" s="30"/>
      <c r="ABT5" s="30"/>
      <c r="ABU5" s="30"/>
      <c r="ABV5" s="30"/>
      <c r="ABW5" s="30"/>
      <c r="ABX5" s="30"/>
      <c r="ABY5" s="30"/>
      <c r="ABZ5" s="30"/>
      <c r="ACA5" s="30"/>
      <c r="ACB5" s="30"/>
      <c r="ACC5" s="30"/>
      <c r="ACD5" s="30"/>
      <c r="ACE5" s="30"/>
      <c r="ACF5" s="30"/>
      <c r="ACG5" s="30"/>
      <c r="ACH5" s="30"/>
      <c r="ACI5" s="30"/>
      <c r="ACJ5" s="30"/>
      <c r="ACK5" s="30"/>
      <c r="ACL5" s="30"/>
      <c r="ACM5" s="30"/>
      <c r="ACN5" s="30"/>
      <c r="ACO5" s="30"/>
      <c r="ACP5" s="30"/>
      <c r="ACQ5" s="30"/>
      <c r="ACR5" s="30"/>
      <c r="ACS5" s="30"/>
      <c r="ACT5" s="30"/>
      <c r="ACU5" s="30"/>
      <c r="ACV5" s="30"/>
      <c r="ACW5" s="30"/>
      <c r="ACX5" s="30"/>
      <c r="ACY5" s="30"/>
      <c r="ACZ5" s="30"/>
      <c r="ADA5" s="30"/>
      <c r="ADB5" s="30"/>
      <c r="ADC5" s="30"/>
      <c r="ADD5" s="30"/>
      <c r="ADE5" s="30"/>
      <c r="ADF5" s="30"/>
      <c r="ADG5" s="30"/>
      <c r="ADH5" s="30"/>
      <c r="ADI5" s="30"/>
      <c r="ADJ5" s="30"/>
      <c r="ADK5" s="30"/>
      <c r="ADL5" s="30"/>
      <c r="ADM5" s="30"/>
      <c r="ADN5" s="30"/>
      <c r="ADO5" s="30"/>
      <c r="ADP5" s="30"/>
      <c r="ADQ5" s="30"/>
      <c r="ADR5" s="30"/>
      <c r="ADS5" s="30"/>
      <c r="ADT5" s="30"/>
      <c r="ADU5" s="30"/>
      <c r="ADV5" s="30"/>
      <c r="ADW5" s="30"/>
      <c r="ADX5" s="30"/>
      <c r="ADY5" s="30"/>
      <c r="ADZ5" s="30"/>
      <c r="AEA5" s="30"/>
      <c r="AEB5" s="30"/>
      <c r="AEC5" s="30"/>
      <c r="AED5" s="30"/>
      <c r="AEE5" s="30"/>
      <c r="AEF5" s="30"/>
      <c r="AEG5" s="30"/>
      <c r="AEH5" s="30"/>
      <c r="AEI5" s="30"/>
      <c r="AEJ5" s="30"/>
      <c r="AEK5" s="30"/>
      <c r="AEL5" s="30"/>
      <c r="AEM5" s="30"/>
      <c r="AEN5" s="30"/>
      <c r="AEO5" s="30"/>
      <c r="AEP5" s="30"/>
      <c r="AEQ5" s="30"/>
      <c r="AER5" s="30"/>
      <c r="AES5" s="30"/>
      <c r="AET5" s="30"/>
      <c r="AEU5" s="30"/>
      <c r="AEV5" s="30"/>
      <c r="AEW5" s="30"/>
      <c r="AEX5" s="30"/>
      <c r="AEY5" s="30"/>
      <c r="AEZ5" s="30"/>
      <c r="AFA5" s="30"/>
      <c r="AFB5" s="30"/>
      <c r="AFC5" s="30"/>
      <c r="AFD5" s="30"/>
      <c r="AFE5" s="30"/>
      <c r="AFF5" s="30"/>
      <c r="AFG5" s="30"/>
      <c r="AFH5" s="30"/>
      <c r="AFI5" s="30"/>
      <c r="AFJ5" s="30"/>
      <c r="AFK5" s="30"/>
      <c r="AFL5" s="30"/>
      <c r="AFM5" s="30"/>
      <c r="AFN5" s="30"/>
      <c r="AFO5" s="30"/>
      <c r="AFP5" s="30"/>
      <c r="AFQ5" s="30"/>
      <c r="AFR5" s="30"/>
      <c r="AFS5" s="30"/>
      <c r="AFT5" s="30"/>
      <c r="AFU5" s="30"/>
      <c r="AFV5" s="30"/>
      <c r="AFW5" s="30"/>
      <c r="AFX5" s="30"/>
      <c r="AFY5" s="30"/>
      <c r="AFZ5" s="30"/>
      <c r="AGA5" s="30"/>
      <c r="AGB5" s="30"/>
      <c r="AGC5" s="30"/>
      <c r="AGD5" s="30"/>
      <c r="AGE5" s="30"/>
      <c r="AGF5" s="30"/>
      <c r="AGG5" s="30"/>
      <c r="AGH5" s="30"/>
      <c r="AGI5" s="30"/>
      <c r="AGJ5" s="30"/>
      <c r="AGK5" s="30"/>
      <c r="AGL5" s="30"/>
      <c r="AGM5" s="30"/>
      <c r="AGN5" s="30"/>
      <c r="AGO5" s="30"/>
      <c r="AGP5" s="30"/>
      <c r="AGQ5" s="30"/>
      <c r="AGR5" s="30"/>
      <c r="AGS5" s="30"/>
      <c r="AGT5" s="30"/>
      <c r="AGU5" s="30"/>
      <c r="AGV5" s="30"/>
      <c r="AGW5" s="30"/>
      <c r="AGX5" s="30"/>
      <c r="AGY5" s="30"/>
      <c r="AGZ5" s="30"/>
      <c r="AHA5" s="30"/>
      <c r="AHB5" s="30"/>
      <c r="AHC5" s="30"/>
      <c r="AHD5" s="30"/>
      <c r="AHE5" s="30"/>
      <c r="AHF5" s="30"/>
      <c r="AHG5" s="30"/>
      <c r="AHH5" s="30"/>
      <c r="AHI5" s="30"/>
      <c r="AHJ5" s="30"/>
      <c r="AHK5" s="30"/>
      <c r="AHL5" s="30"/>
      <c r="AHM5" s="30"/>
      <c r="AHN5" s="30"/>
      <c r="AHO5" s="30"/>
      <c r="AHP5" s="30"/>
      <c r="AHQ5" s="30"/>
      <c r="AHR5" s="30"/>
      <c r="AHS5" s="30"/>
      <c r="AHT5" s="30"/>
      <c r="AHU5" s="30"/>
      <c r="AHV5" s="30"/>
      <c r="AHW5" s="30"/>
      <c r="AHX5" s="30"/>
      <c r="AHY5" s="30"/>
      <c r="AHZ5" s="30"/>
      <c r="AIA5" s="30"/>
      <c r="AIB5" s="30"/>
      <c r="AIC5" s="30"/>
      <c r="AID5" s="30"/>
      <c r="AIE5" s="30"/>
      <c r="AIF5" s="30"/>
      <c r="AIG5" s="30"/>
      <c r="AIH5" s="30"/>
      <c r="AII5" s="30"/>
      <c r="AIJ5" s="30"/>
      <c r="AIK5" s="30"/>
      <c r="AIL5" s="30"/>
      <c r="AIM5" s="30"/>
      <c r="AIN5" s="30"/>
      <c r="AIO5" s="30"/>
      <c r="AIP5" s="30"/>
      <c r="AIQ5" s="30"/>
      <c r="AIR5" s="30"/>
      <c r="AIS5" s="30"/>
      <c r="AIT5" s="30"/>
      <c r="AIU5" s="30"/>
      <c r="AIV5" s="30"/>
      <c r="AIW5" s="30"/>
      <c r="AIX5" s="30"/>
      <c r="AIY5" s="30"/>
      <c r="AIZ5" s="30"/>
      <c r="AJA5" s="30"/>
      <c r="AJB5" s="30"/>
      <c r="AJC5" s="30"/>
      <c r="AJD5" s="30"/>
      <c r="AJE5" s="30"/>
      <c r="AJF5" s="30"/>
      <c r="AJG5" s="30"/>
      <c r="AJH5" s="30"/>
      <c r="AJI5" s="30"/>
      <c r="AJJ5" s="30"/>
      <c r="AJK5" s="30"/>
      <c r="AJL5" s="30"/>
      <c r="AJM5" s="30"/>
      <c r="AJN5" s="30"/>
      <c r="AJO5" s="30"/>
      <c r="AJP5" s="30"/>
      <c r="AJQ5" s="30"/>
      <c r="AJR5" s="30"/>
      <c r="AJS5" s="30"/>
      <c r="AJT5" s="30"/>
      <c r="AJU5" s="30"/>
      <c r="AJV5" s="30"/>
      <c r="AJW5" s="30"/>
      <c r="AJX5" s="30"/>
      <c r="AJY5" s="30"/>
      <c r="AJZ5" s="30"/>
      <c r="AKA5" s="30"/>
      <c r="AKB5" s="30"/>
      <c r="AKC5" s="30"/>
      <c r="AKD5" s="30"/>
      <c r="AKE5" s="30"/>
      <c r="AKF5" s="30"/>
      <c r="AKG5" s="30"/>
      <c r="AKH5" s="30"/>
      <c r="AKI5" s="30"/>
      <c r="AKJ5" s="30"/>
      <c r="AKK5" s="30"/>
      <c r="AKL5" s="30"/>
      <c r="AKM5" s="30"/>
      <c r="AKN5" s="30"/>
      <c r="AKO5" s="30"/>
      <c r="AKP5" s="30"/>
      <c r="AKQ5" s="30"/>
      <c r="AKR5" s="30"/>
      <c r="AKS5" s="30"/>
      <c r="AKT5" s="30"/>
      <c r="AKU5" s="30"/>
      <c r="AKV5" s="30"/>
      <c r="AKW5" s="30"/>
      <c r="AKX5" s="30"/>
      <c r="AKY5" s="30"/>
      <c r="AKZ5" s="30"/>
      <c r="ALA5" s="30"/>
      <c r="ALB5" s="30"/>
      <c r="ALC5" s="30"/>
      <c r="ALD5" s="30"/>
      <c r="ALE5" s="30"/>
      <c r="ALF5" s="30"/>
      <c r="ALG5" s="30"/>
      <c r="ALH5" s="30"/>
      <c r="ALI5" s="30"/>
      <c r="ALJ5" s="30"/>
      <c r="ALK5" s="30"/>
      <c r="ALL5" s="30"/>
      <c r="ALM5" s="30"/>
      <c r="ALN5" s="30"/>
      <c r="ALO5" s="30"/>
      <c r="ALP5" s="30"/>
      <c r="ALQ5" s="30"/>
      <c r="ALR5" s="30"/>
      <c r="ALS5" s="30"/>
      <c r="ALT5" s="30"/>
      <c r="ALU5" s="30"/>
      <c r="ALV5" s="30"/>
      <c r="ALW5" s="30"/>
      <c r="ALX5" s="30"/>
      <c r="ALY5" s="30"/>
      <c r="ALZ5" s="30"/>
      <c r="AMA5" s="30"/>
      <c r="AMB5" s="30"/>
      <c r="AMC5" s="30"/>
      <c r="AMD5" s="30"/>
      <c r="AME5" s="30"/>
      <c r="AMF5" s="30"/>
      <c r="AMG5" s="30"/>
      <c r="AMH5" s="30"/>
      <c r="AMI5" s="30"/>
      <c r="AMJ5" s="30"/>
    </row>
    <row r="6" ht="15.75" customHeight="1">
      <c r="A6" s="31"/>
      <c r="B6" s="31"/>
      <c r="C6" s="34"/>
      <c r="D6" s="36">
        <v>85.0</v>
      </c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 t="s">
        <v>34</v>
      </c>
      <c r="V6" s="34"/>
      <c r="W6" s="34"/>
      <c r="X6" s="34"/>
      <c r="Y6" s="34"/>
      <c r="Z6" s="34"/>
      <c r="AA6" s="34"/>
      <c r="AB6" s="34"/>
      <c r="AC6" s="34"/>
      <c r="AD6" s="45">
        <v>1.0</v>
      </c>
      <c r="AE6" s="34"/>
      <c r="AF6" s="34"/>
      <c r="AG6" s="34"/>
      <c r="AH6" s="34"/>
      <c r="AI6" s="39" t="s">
        <v>16</v>
      </c>
      <c r="AJ6" s="39" t="s">
        <v>24</v>
      </c>
      <c r="AK6" s="39" t="s">
        <v>50</v>
      </c>
      <c r="AL6" s="47">
        <v>978560.0</v>
      </c>
      <c r="AM6" s="34"/>
      <c r="AN6" s="34"/>
      <c r="AO6" s="34"/>
      <c r="AP6" s="34"/>
      <c r="AQ6" s="34"/>
      <c r="AR6" s="34"/>
      <c r="AS6" s="34"/>
      <c r="AT6" s="34" t="s">
        <v>51</v>
      </c>
      <c r="AU6" s="34" t="s">
        <v>52</v>
      </c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  <c r="EY6" s="34"/>
      <c r="EZ6" s="34"/>
      <c r="FA6" s="34"/>
      <c r="FB6" s="34"/>
      <c r="FC6" s="34"/>
      <c r="FD6" s="34"/>
      <c r="FE6" s="34"/>
      <c r="FF6" s="34"/>
      <c r="FG6" s="34"/>
      <c r="FH6" s="34"/>
      <c r="FI6" s="34"/>
      <c r="FJ6" s="34"/>
      <c r="FK6" s="34"/>
      <c r="FL6" s="34"/>
      <c r="FM6" s="34"/>
      <c r="FN6" s="34"/>
      <c r="FO6" s="34"/>
      <c r="FP6" s="34"/>
      <c r="FQ6" s="34"/>
      <c r="FR6" s="34"/>
      <c r="FS6" s="34"/>
      <c r="FT6" s="34"/>
      <c r="FU6" s="34"/>
      <c r="FV6" s="34"/>
      <c r="FW6" s="34"/>
      <c r="FX6" s="34"/>
      <c r="FY6" s="34"/>
      <c r="FZ6" s="34"/>
      <c r="GA6" s="34"/>
      <c r="GB6" s="34"/>
      <c r="GC6" s="34"/>
      <c r="GD6" s="34"/>
      <c r="GE6" s="34"/>
      <c r="GF6" s="34"/>
      <c r="GG6" s="34"/>
      <c r="GH6" s="34"/>
      <c r="GI6" s="34"/>
      <c r="GJ6" s="34"/>
      <c r="GK6" s="34"/>
      <c r="GL6" s="34"/>
      <c r="GM6" s="34"/>
      <c r="GN6" s="34"/>
      <c r="GO6" s="34"/>
      <c r="GP6" s="34"/>
      <c r="GQ6" s="34"/>
      <c r="GR6" s="34"/>
      <c r="GS6" s="34"/>
      <c r="GT6" s="34"/>
      <c r="GU6" s="34"/>
      <c r="GV6" s="34"/>
      <c r="GW6" s="34"/>
      <c r="GX6" s="34"/>
      <c r="GY6" s="34"/>
      <c r="GZ6" s="34"/>
      <c r="HA6" s="34"/>
      <c r="HB6" s="34"/>
      <c r="HC6" s="34"/>
      <c r="HD6" s="34"/>
      <c r="HE6" s="34"/>
      <c r="HF6" s="34"/>
      <c r="HG6" s="34"/>
      <c r="HH6" s="34"/>
      <c r="HI6" s="34"/>
      <c r="HJ6" s="34"/>
      <c r="HK6" s="34"/>
      <c r="HL6" s="34"/>
      <c r="HM6" s="34"/>
      <c r="HN6" s="34"/>
      <c r="HO6" s="34"/>
      <c r="HP6" s="34"/>
      <c r="HQ6" s="34"/>
      <c r="HR6" s="34"/>
      <c r="HS6" s="34"/>
      <c r="HT6" s="34"/>
      <c r="HU6" s="34"/>
      <c r="HV6" s="34"/>
      <c r="HW6" s="34"/>
      <c r="HX6" s="34"/>
      <c r="HY6" s="34"/>
      <c r="HZ6" s="34"/>
      <c r="IA6" s="34"/>
      <c r="IB6" s="34"/>
      <c r="IC6" s="34"/>
      <c r="ID6" s="34"/>
      <c r="IE6" s="34"/>
      <c r="IF6" s="34"/>
      <c r="IG6" s="34"/>
      <c r="IH6" s="34"/>
      <c r="II6" s="34"/>
      <c r="IJ6" s="34"/>
      <c r="IK6" s="34"/>
      <c r="IL6" s="34"/>
      <c r="IM6" s="34"/>
      <c r="IN6" s="34"/>
      <c r="IO6" s="34"/>
      <c r="IP6" s="34"/>
      <c r="IQ6" s="34"/>
      <c r="IR6" s="34"/>
      <c r="IS6" s="34"/>
      <c r="IT6" s="34"/>
      <c r="IU6" s="34"/>
      <c r="IV6" s="34"/>
      <c r="IW6" s="34"/>
      <c r="IX6" s="34"/>
      <c r="IY6" s="34"/>
      <c r="IZ6" s="34"/>
      <c r="JA6" s="34"/>
      <c r="JB6" s="34"/>
      <c r="JC6" s="34"/>
      <c r="JD6" s="34"/>
      <c r="JE6" s="34"/>
      <c r="JF6" s="34"/>
      <c r="JG6" s="34"/>
      <c r="JH6" s="34"/>
      <c r="JI6" s="34"/>
      <c r="JJ6" s="34"/>
      <c r="JK6" s="34"/>
      <c r="JL6" s="34"/>
      <c r="JM6" s="34"/>
      <c r="JN6" s="34"/>
      <c r="JO6" s="34"/>
      <c r="JP6" s="34"/>
      <c r="JQ6" s="34"/>
      <c r="JR6" s="34"/>
      <c r="JS6" s="34"/>
      <c r="JT6" s="34"/>
      <c r="JU6" s="34"/>
      <c r="JV6" s="34"/>
      <c r="JW6" s="34"/>
      <c r="JX6" s="34"/>
      <c r="JY6" s="34"/>
      <c r="JZ6" s="34"/>
      <c r="KA6" s="34"/>
      <c r="KB6" s="34"/>
      <c r="KC6" s="34"/>
      <c r="KD6" s="34"/>
      <c r="KE6" s="34"/>
      <c r="KF6" s="34"/>
      <c r="KG6" s="34"/>
      <c r="KH6" s="34"/>
      <c r="KI6" s="34"/>
      <c r="KJ6" s="34"/>
      <c r="KK6" s="34"/>
      <c r="KL6" s="34"/>
      <c r="KM6" s="34"/>
      <c r="KN6" s="34"/>
      <c r="KO6" s="34"/>
      <c r="KP6" s="34"/>
      <c r="KQ6" s="34"/>
      <c r="KR6" s="34"/>
      <c r="KS6" s="34"/>
      <c r="KT6" s="34"/>
      <c r="KU6" s="34"/>
      <c r="KV6" s="34"/>
      <c r="KW6" s="34"/>
      <c r="KX6" s="34"/>
      <c r="KY6" s="34"/>
      <c r="KZ6" s="34"/>
      <c r="LA6" s="34"/>
      <c r="LB6" s="34"/>
      <c r="LC6" s="34"/>
      <c r="LD6" s="34"/>
      <c r="LE6" s="34"/>
      <c r="LF6" s="34"/>
      <c r="LG6" s="34"/>
      <c r="LH6" s="34"/>
      <c r="LI6" s="34"/>
      <c r="LJ6" s="34"/>
      <c r="LK6" s="34"/>
      <c r="LL6" s="34"/>
      <c r="LM6" s="34"/>
      <c r="LN6" s="34"/>
      <c r="LO6" s="34"/>
      <c r="LP6" s="34"/>
      <c r="LQ6" s="34"/>
      <c r="LR6" s="34"/>
      <c r="LS6" s="34"/>
      <c r="LT6" s="34"/>
      <c r="LU6" s="34"/>
      <c r="LV6" s="34"/>
      <c r="LW6" s="34"/>
      <c r="LX6" s="34"/>
      <c r="LY6" s="34"/>
      <c r="LZ6" s="34"/>
      <c r="MA6" s="34"/>
      <c r="MB6" s="34"/>
      <c r="MC6" s="34"/>
      <c r="MD6" s="34"/>
      <c r="ME6" s="34"/>
      <c r="MF6" s="34"/>
      <c r="MG6" s="34"/>
      <c r="MH6" s="34"/>
      <c r="MI6" s="34"/>
      <c r="MJ6" s="34"/>
      <c r="MK6" s="34"/>
      <c r="ML6" s="34"/>
      <c r="MM6" s="34"/>
      <c r="MN6" s="34"/>
      <c r="MO6" s="34"/>
      <c r="MP6" s="34"/>
      <c r="MQ6" s="34"/>
      <c r="MR6" s="34"/>
      <c r="MS6" s="34"/>
      <c r="MT6" s="34"/>
      <c r="MU6" s="34"/>
      <c r="MV6" s="34"/>
      <c r="MW6" s="34"/>
      <c r="MX6" s="34"/>
      <c r="MY6" s="34"/>
      <c r="MZ6" s="34"/>
      <c r="NA6" s="34"/>
      <c r="NB6" s="34"/>
      <c r="NC6" s="34"/>
      <c r="ND6" s="34"/>
      <c r="NE6" s="34"/>
      <c r="NF6" s="34"/>
      <c r="NG6" s="34"/>
      <c r="NH6" s="34"/>
      <c r="NI6" s="34"/>
      <c r="NJ6" s="34"/>
      <c r="NK6" s="34"/>
      <c r="NL6" s="34"/>
      <c r="NM6" s="34"/>
      <c r="NN6" s="34"/>
      <c r="NO6" s="34"/>
      <c r="NP6" s="34"/>
      <c r="NQ6" s="34"/>
      <c r="NR6" s="34"/>
      <c r="NS6" s="34"/>
      <c r="NT6" s="34"/>
      <c r="NU6" s="34"/>
      <c r="NV6" s="34"/>
      <c r="NW6" s="34"/>
      <c r="NX6" s="34"/>
      <c r="NY6" s="34"/>
      <c r="NZ6" s="34"/>
      <c r="OA6" s="34"/>
      <c r="OB6" s="34"/>
      <c r="OC6" s="34"/>
      <c r="OD6" s="34"/>
      <c r="OE6" s="34"/>
      <c r="OF6" s="34"/>
      <c r="OG6" s="34"/>
      <c r="OH6" s="34"/>
      <c r="OI6" s="34"/>
      <c r="OJ6" s="34"/>
      <c r="OK6" s="34"/>
      <c r="OL6" s="34"/>
      <c r="OM6" s="34"/>
      <c r="ON6" s="34"/>
      <c r="OO6" s="34"/>
      <c r="OP6" s="34"/>
      <c r="OQ6" s="34"/>
      <c r="OR6" s="34"/>
      <c r="OS6" s="34"/>
      <c r="OT6" s="34"/>
      <c r="OU6" s="34"/>
      <c r="OV6" s="34"/>
      <c r="OW6" s="34"/>
      <c r="OX6" s="34"/>
      <c r="OY6" s="34"/>
      <c r="OZ6" s="34"/>
      <c r="PA6" s="34"/>
      <c r="PB6" s="34"/>
      <c r="PC6" s="34"/>
      <c r="PD6" s="34"/>
      <c r="PE6" s="34"/>
      <c r="PF6" s="34"/>
      <c r="PG6" s="34"/>
      <c r="PH6" s="34"/>
      <c r="PI6" s="34"/>
      <c r="PJ6" s="34"/>
      <c r="PK6" s="34"/>
      <c r="PL6" s="34"/>
      <c r="PM6" s="34"/>
      <c r="PN6" s="34"/>
      <c r="PO6" s="34"/>
      <c r="PP6" s="34"/>
      <c r="PQ6" s="34"/>
      <c r="PR6" s="34"/>
      <c r="PS6" s="34"/>
      <c r="PT6" s="34"/>
      <c r="PU6" s="34"/>
      <c r="PV6" s="34"/>
      <c r="PW6" s="34"/>
      <c r="PX6" s="34"/>
      <c r="PY6" s="34"/>
      <c r="PZ6" s="34"/>
      <c r="QA6" s="34"/>
      <c r="QB6" s="34"/>
      <c r="QC6" s="34"/>
      <c r="QD6" s="34"/>
      <c r="QE6" s="34"/>
      <c r="QF6" s="34"/>
      <c r="QG6" s="34"/>
      <c r="QH6" s="34"/>
      <c r="QI6" s="34"/>
      <c r="QJ6" s="34"/>
      <c r="QK6" s="34"/>
      <c r="QL6" s="34"/>
      <c r="QM6" s="34"/>
      <c r="QN6" s="34"/>
      <c r="QO6" s="34"/>
      <c r="QP6" s="34"/>
      <c r="QQ6" s="34"/>
      <c r="QR6" s="34"/>
      <c r="QS6" s="34"/>
      <c r="QT6" s="34"/>
      <c r="QU6" s="34"/>
      <c r="QV6" s="34"/>
      <c r="QW6" s="34"/>
      <c r="QX6" s="34"/>
      <c r="QY6" s="34"/>
      <c r="QZ6" s="34"/>
      <c r="RA6" s="34"/>
      <c r="RB6" s="34"/>
      <c r="RC6" s="34"/>
      <c r="RD6" s="34"/>
      <c r="RE6" s="34"/>
      <c r="RF6" s="34"/>
      <c r="RG6" s="34"/>
      <c r="RH6" s="34"/>
      <c r="RI6" s="34"/>
      <c r="RJ6" s="34"/>
      <c r="RK6" s="34"/>
      <c r="RL6" s="34"/>
      <c r="RM6" s="34"/>
      <c r="RN6" s="34"/>
      <c r="RO6" s="34"/>
      <c r="RP6" s="34"/>
      <c r="RQ6" s="34"/>
      <c r="RR6" s="34"/>
      <c r="RS6" s="34"/>
      <c r="RT6" s="34"/>
      <c r="RU6" s="34"/>
      <c r="RV6" s="34"/>
      <c r="RW6" s="34"/>
      <c r="RX6" s="34"/>
      <c r="RY6" s="34"/>
      <c r="RZ6" s="34"/>
      <c r="SA6" s="34"/>
      <c r="SB6" s="34"/>
      <c r="SC6" s="34"/>
      <c r="SD6" s="34"/>
      <c r="SE6" s="34"/>
      <c r="SF6" s="34"/>
      <c r="SG6" s="34"/>
      <c r="SH6" s="34"/>
      <c r="SI6" s="34"/>
      <c r="SJ6" s="34"/>
      <c r="SK6" s="34"/>
      <c r="SL6" s="34"/>
      <c r="SM6" s="34"/>
      <c r="SN6" s="34"/>
      <c r="SO6" s="34"/>
      <c r="SP6" s="34"/>
      <c r="SQ6" s="34"/>
      <c r="SR6" s="34"/>
      <c r="SS6" s="34"/>
      <c r="ST6" s="34"/>
      <c r="SU6" s="34"/>
      <c r="SV6" s="34"/>
      <c r="SW6" s="34"/>
      <c r="SX6" s="34"/>
      <c r="SY6" s="34"/>
      <c r="SZ6" s="34"/>
      <c r="TA6" s="34"/>
      <c r="TB6" s="34"/>
      <c r="TC6" s="34"/>
      <c r="TD6" s="34"/>
      <c r="TE6" s="34"/>
      <c r="TF6" s="34"/>
      <c r="TG6" s="34"/>
      <c r="TH6" s="34"/>
      <c r="TI6" s="34"/>
      <c r="TJ6" s="34"/>
      <c r="TK6" s="34"/>
      <c r="TL6" s="34"/>
      <c r="TM6" s="34"/>
      <c r="TN6" s="34"/>
      <c r="TO6" s="34"/>
      <c r="TP6" s="34"/>
      <c r="TQ6" s="34"/>
      <c r="TR6" s="34"/>
      <c r="TS6" s="34"/>
      <c r="TT6" s="34"/>
      <c r="TU6" s="34"/>
      <c r="TV6" s="34"/>
      <c r="TW6" s="34"/>
      <c r="TX6" s="34"/>
      <c r="TY6" s="34"/>
      <c r="TZ6" s="34"/>
      <c r="UA6" s="34"/>
      <c r="UB6" s="34"/>
      <c r="UC6" s="34"/>
      <c r="UD6" s="34"/>
      <c r="UE6" s="34"/>
      <c r="UF6" s="34"/>
      <c r="UG6" s="34"/>
      <c r="UH6" s="34"/>
      <c r="UI6" s="34"/>
      <c r="UJ6" s="34"/>
      <c r="UK6" s="34"/>
      <c r="UL6" s="34"/>
      <c r="UM6" s="34"/>
      <c r="UN6" s="34"/>
      <c r="UO6" s="34"/>
      <c r="UP6" s="34"/>
      <c r="UQ6" s="34"/>
      <c r="UR6" s="34"/>
      <c r="US6" s="34"/>
      <c r="UT6" s="34"/>
      <c r="UU6" s="34"/>
      <c r="UV6" s="34"/>
      <c r="UW6" s="34"/>
      <c r="UX6" s="34"/>
      <c r="UY6" s="34"/>
      <c r="UZ6" s="34"/>
      <c r="VA6" s="34"/>
      <c r="VB6" s="34"/>
      <c r="VC6" s="34"/>
      <c r="VD6" s="34"/>
      <c r="VE6" s="34"/>
      <c r="VF6" s="34"/>
      <c r="VG6" s="34"/>
      <c r="VH6" s="34"/>
      <c r="VI6" s="34"/>
      <c r="VJ6" s="34"/>
      <c r="VK6" s="34"/>
      <c r="VL6" s="34"/>
      <c r="VM6" s="34"/>
      <c r="VN6" s="34"/>
      <c r="VO6" s="34"/>
      <c r="VP6" s="34"/>
      <c r="VQ6" s="34"/>
      <c r="VR6" s="34"/>
      <c r="VS6" s="34"/>
      <c r="VT6" s="34"/>
      <c r="VU6" s="34"/>
      <c r="VV6" s="34"/>
      <c r="VW6" s="34"/>
      <c r="VX6" s="34"/>
      <c r="VY6" s="34"/>
      <c r="VZ6" s="34"/>
      <c r="WA6" s="34"/>
      <c r="WB6" s="34"/>
      <c r="WC6" s="34"/>
      <c r="WD6" s="34"/>
      <c r="WE6" s="34"/>
      <c r="WF6" s="34"/>
      <c r="WG6" s="34"/>
      <c r="WH6" s="34"/>
      <c r="WI6" s="34"/>
      <c r="WJ6" s="34"/>
      <c r="WK6" s="34"/>
      <c r="WL6" s="34"/>
      <c r="WM6" s="34"/>
      <c r="WN6" s="34"/>
      <c r="WO6" s="34"/>
      <c r="WP6" s="34"/>
      <c r="WQ6" s="34"/>
      <c r="WR6" s="34"/>
      <c r="WS6" s="34"/>
      <c r="WT6" s="34"/>
      <c r="WU6" s="34"/>
      <c r="WV6" s="34"/>
      <c r="WW6" s="34"/>
      <c r="WX6" s="34"/>
      <c r="WY6" s="34"/>
      <c r="WZ6" s="34"/>
      <c r="XA6" s="34"/>
      <c r="XB6" s="34"/>
      <c r="XC6" s="34"/>
      <c r="XD6" s="34"/>
      <c r="XE6" s="34"/>
      <c r="XF6" s="34"/>
      <c r="XG6" s="34"/>
      <c r="XH6" s="34"/>
      <c r="XI6" s="34"/>
      <c r="XJ6" s="34"/>
      <c r="XK6" s="34"/>
      <c r="XL6" s="34"/>
      <c r="XM6" s="34"/>
      <c r="XN6" s="34"/>
      <c r="XO6" s="34"/>
      <c r="XP6" s="34"/>
      <c r="XQ6" s="34"/>
      <c r="XR6" s="34"/>
      <c r="XS6" s="34"/>
      <c r="XT6" s="34"/>
      <c r="XU6" s="34"/>
      <c r="XV6" s="34"/>
      <c r="XW6" s="34"/>
      <c r="XX6" s="34"/>
      <c r="XY6" s="34"/>
      <c r="XZ6" s="34"/>
      <c r="YA6" s="34"/>
      <c r="YB6" s="34"/>
      <c r="YC6" s="34"/>
      <c r="YD6" s="34"/>
      <c r="YE6" s="34"/>
      <c r="YF6" s="34"/>
      <c r="YG6" s="34"/>
      <c r="YH6" s="34"/>
      <c r="YI6" s="34"/>
      <c r="YJ6" s="34"/>
      <c r="YK6" s="34"/>
      <c r="YL6" s="34"/>
      <c r="YM6" s="34"/>
      <c r="YN6" s="34"/>
      <c r="YO6" s="34"/>
      <c r="YP6" s="34"/>
      <c r="YQ6" s="34"/>
      <c r="YR6" s="34"/>
      <c r="YS6" s="34"/>
      <c r="YT6" s="34"/>
      <c r="YU6" s="34"/>
      <c r="YV6" s="34"/>
      <c r="YW6" s="34"/>
      <c r="YX6" s="34"/>
      <c r="YY6" s="34"/>
      <c r="YZ6" s="34"/>
      <c r="ZA6" s="34"/>
      <c r="ZB6" s="34"/>
      <c r="ZC6" s="34"/>
      <c r="ZD6" s="34"/>
      <c r="ZE6" s="34"/>
      <c r="ZF6" s="34"/>
      <c r="ZG6" s="34"/>
      <c r="ZH6" s="34"/>
      <c r="ZI6" s="34"/>
      <c r="ZJ6" s="34"/>
      <c r="ZK6" s="34"/>
      <c r="ZL6" s="34"/>
      <c r="ZM6" s="34"/>
      <c r="ZN6" s="34"/>
      <c r="ZO6" s="34"/>
      <c r="ZP6" s="34"/>
      <c r="ZQ6" s="34"/>
      <c r="ZR6" s="34"/>
      <c r="ZS6" s="34"/>
      <c r="ZT6" s="34"/>
      <c r="ZU6" s="34"/>
      <c r="ZV6" s="34"/>
      <c r="ZW6" s="34"/>
      <c r="ZX6" s="34"/>
      <c r="ZY6" s="34"/>
      <c r="ZZ6" s="34"/>
      <c r="AAA6" s="34"/>
      <c r="AAB6" s="34"/>
      <c r="AAC6" s="34"/>
      <c r="AAD6" s="34"/>
      <c r="AAE6" s="34"/>
      <c r="AAF6" s="34"/>
      <c r="AAG6" s="34"/>
      <c r="AAH6" s="34"/>
      <c r="AAI6" s="34"/>
      <c r="AAJ6" s="34"/>
      <c r="AAK6" s="34"/>
      <c r="AAL6" s="34"/>
      <c r="AAM6" s="34"/>
      <c r="AAN6" s="34"/>
      <c r="AAO6" s="34"/>
      <c r="AAP6" s="34"/>
      <c r="AAQ6" s="34"/>
      <c r="AAR6" s="34"/>
      <c r="AAS6" s="34"/>
      <c r="AAT6" s="34"/>
      <c r="AAU6" s="34"/>
      <c r="AAV6" s="34"/>
      <c r="AAW6" s="34"/>
      <c r="AAX6" s="34"/>
      <c r="AAY6" s="34"/>
      <c r="AAZ6" s="34"/>
      <c r="ABA6" s="34"/>
      <c r="ABB6" s="34"/>
      <c r="ABC6" s="34"/>
      <c r="ABD6" s="34"/>
      <c r="ABE6" s="34"/>
      <c r="ABF6" s="34"/>
      <c r="ABG6" s="34"/>
      <c r="ABH6" s="34"/>
      <c r="ABI6" s="34"/>
      <c r="ABJ6" s="34"/>
      <c r="ABK6" s="34"/>
      <c r="ABL6" s="34"/>
      <c r="ABM6" s="34"/>
      <c r="ABN6" s="34"/>
      <c r="ABO6" s="34"/>
      <c r="ABP6" s="34"/>
      <c r="ABQ6" s="34"/>
      <c r="ABR6" s="34"/>
      <c r="ABS6" s="34"/>
      <c r="ABT6" s="34"/>
      <c r="ABU6" s="34"/>
      <c r="ABV6" s="34"/>
      <c r="ABW6" s="34"/>
      <c r="ABX6" s="34"/>
      <c r="ABY6" s="34"/>
      <c r="ABZ6" s="34"/>
      <c r="ACA6" s="34"/>
      <c r="ACB6" s="34"/>
      <c r="ACC6" s="34"/>
      <c r="ACD6" s="34"/>
      <c r="ACE6" s="34"/>
      <c r="ACF6" s="34"/>
      <c r="ACG6" s="34"/>
      <c r="ACH6" s="34"/>
      <c r="ACI6" s="34"/>
      <c r="ACJ6" s="34"/>
      <c r="ACK6" s="34"/>
      <c r="ACL6" s="34"/>
      <c r="ACM6" s="34"/>
      <c r="ACN6" s="34"/>
      <c r="ACO6" s="34"/>
      <c r="ACP6" s="34"/>
      <c r="ACQ6" s="34"/>
      <c r="ACR6" s="34"/>
      <c r="ACS6" s="34"/>
      <c r="ACT6" s="34"/>
      <c r="ACU6" s="34"/>
      <c r="ACV6" s="34"/>
      <c r="ACW6" s="34"/>
      <c r="ACX6" s="34"/>
      <c r="ACY6" s="34"/>
      <c r="ACZ6" s="34"/>
      <c r="ADA6" s="34"/>
      <c r="ADB6" s="34"/>
      <c r="ADC6" s="34"/>
      <c r="ADD6" s="34"/>
      <c r="ADE6" s="34"/>
      <c r="ADF6" s="34"/>
      <c r="ADG6" s="34"/>
      <c r="ADH6" s="34"/>
      <c r="ADI6" s="34"/>
      <c r="ADJ6" s="34"/>
      <c r="ADK6" s="34"/>
      <c r="ADL6" s="34"/>
      <c r="ADM6" s="34"/>
      <c r="ADN6" s="34"/>
      <c r="ADO6" s="34"/>
      <c r="ADP6" s="34"/>
      <c r="ADQ6" s="34"/>
      <c r="ADR6" s="34"/>
      <c r="ADS6" s="34"/>
      <c r="ADT6" s="34"/>
      <c r="ADU6" s="34"/>
      <c r="ADV6" s="34"/>
      <c r="ADW6" s="34"/>
      <c r="ADX6" s="34"/>
      <c r="ADY6" s="34"/>
      <c r="ADZ6" s="34"/>
      <c r="AEA6" s="34"/>
      <c r="AEB6" s="34"/>
      <c r="AEC6" s="34"/>
      <c r="AED6" s="34"/>
      <c r="AEE6" s="34"/>
      <c r="AEF6" s="34"/>
      <c r="AEG6" s="34"/>
      <c r="AEH6" s="34"/>
      <c r="AEI6" s="34"/>
      <c r="AEJ6" s="34"/>
      <c r="AEK6" s="34"/>
      <c r="AEL6" s="34"/>
      <c r="AEM6" s="34"/>
      <c r="AEN6" s="34"/>
      <c r="AEO6" s="34"/>
      <c r="AEP6" s="34"/>
      <c r="AEQ6" s="34"/>
      <c r="AER6" s="34"/>
      <c r="AES6" s="34"/>
      <c r="AET6" s="34"/>
      <c r="AEU6" s="34"/>
      <c r="AEV6" s="34"/>
      <c r="AEW6" s="34"/>
      <c r="AEX6" s="34"/>
      <c r="AEY6" s="34"/>
      <c r="AEZ6" s="34"/>
      <c r="AFA6" s="34"/>
      <c r="AFB6" s="34"/>
      <c r="AFC6" s="34"/>
      <c r="AFD6" s="34"/>
      <c r="AFE6" s="34"/>
      <c r="AFF6" s="34"/>
      <c r="AFG6" s="34"/>
      <c r="AFH6" s="34"/>
      <c r="AFI6" s="34"/>
      <c r="AFJ6" s="34"/>
      <c r="AFK6" s="34"/>
      <c r="AFL6" s="34"/>
      <c r="AFM6" s="34"/>
      <c r="AFN6" s="34"/>
      <c r="AFO6" s="34"/>
      <c r="AFP6" s="34"/>
      <c r="AFQ6" s="34"/>
      <c r="AFR6" s="34"/>
      <c r="AFS6" s="34"/>
      <c r="AFT6" s="34"/>
      <c r="AFU6" s="34"/>
      <c r="AFV6" s="34"/>
      <c r="AFW6" s="34"/>
      <c r="AFX6" s="34"/>
      <c r="AFY6" s="34"/>
      <c r="AFZ6" s="34"/>
      <c r="AGA6" s="34"/>
      <c r="AGB6" s="34"/>
      <c r="AGC6" s="34"/>
      <c r="AGD6" s="34"/>
      <c r="AGE6" s="34"/>
      <c r="AGF6" s="34"/>
      <c r="AGG6" s="34"/>
      <c r="AGH6" s="34"/>
      <c r="AGI6" s="34"/>
      <c r="AGJ6" s="34"/>
      <c r="AGK6" s="34"/>
      <c r="AGL6" s="34"/>
      <c r="AGM6" s="34"/>
      <c r="AGN6" s="34"/>
      <c r="AGO6" s="34"/>
      <c r="AGP6" s="34"/>
      <c r="AGQ6" s="34"/>
      <c r="AGR6" s="34"/>
      <c r="AGS6" s="34"/>
      <c r="AGT6" s="34"/>
      <c r="AGU6" s="34"/>
      <c r="AGV6" s="34"/>
      <c r="AGW6" s="34"/>
      <c r="AGX6" s="34"/>
      <c r="AGY6" s="34"/>
      <c r="AGZ6" s="34"/>
      <c r="AHA6" s="34"/>
      <c r="AHB6" s="34"/>
      <c r="AHC6" s="34"/>
      <c r="AHD6" s="34"/>
      <c r="AHE6" s="34"/>
      <c r="AHF6" s="34"/>
      <c r="AHG6" s="34"/>
      <c r="AHH6" s="34"/>
      <c r="AHI6" s="34"/>
      <c r="AHJ6" s="34"/>
      <c r="AHK6" s="34"/>
      <c r="AHL6" s="34"/>
      <c r="AHM6" s="34"/>
      <c r="AHN6" s="34"/>
      <c r="AHO6" s="34"/>
      <c r="AHP6" s="34"/>
      <c r="AHQ6" s="34"/>
      <c r="AHR6" s="34"/>
      <c r="AHS6" s="34"/>
      <c r="AHT6" s="34"/>
      <c r="AHU6" s="34"/>
      <c r="AHV6" s="34"/>
      <c r="AHW6" s="34"/>
      <c r="AHX6" s="34"/>
      <c r="AHY6" s="34"/>
      <c r="AHZ6" s="34"/>
      <c r="AIA6" s="34"/>
      <c r="AIB6" s="34"/>
      <c r="AIC6" s="34"/>
      <c r="AID6" s="34"/>
      <c r="AIE6" s="34"/>
      <c r="AIF6" s="34"/>
      <c r="AIG6" s="34"/>
      <c r="AIH6" s="34"/>
      <c r="AII6" s="34"/>
      <c r="AIJ6" s="34"/>
      <c r="AIK6" s="34"/>
      <c r="AIL6" s="34"/>
      <c r="AIM6" s="34"/>
      <c r="AIN6" s="34"/>
      <c r="AIO6" s="34"/>
      <c r="AIP6" s="34"/>
      <c r="AIQ6" s="34"/>
      <c r="AIR6" s="34"/>
      <c r="AIS6" s="34"/>
      <c r="AIT6" s="34"/>
      <c r="AIU6" s="34"/>
      <c r="AIV6" s="34"/>
      <c r="AIW6" s="34"/>
      <c r="AIX6" s="34"/>
      <c r="AIY6" s="34"/>
      <c r="AIZ6" s="34"/>
      <c r="AJA6" s="34"/>
      <c r="AJB6" s="34"/>
      <c r="AJC6" s="34"/>
      <c r="AJD6" s="34"/>
      <c r="AJE6" s="34"/>
      <c r="AJF6" s="34"/>
      <c r="AJG6" s="34"/>
      <c r="AJH6" s="34"/>
      <c r="AJI6" s="34"/>
      <c r="AJJ6" s="34"/>
      <c r="AJK6" s="34"/>
      <c r="AJL6" s="34"/>
      <c r="AJM6" s="34"/>
      <c r="AJN6" s="34"/>
      <c r="AJO6" s="34"/>
      <c r="AJP6" s="34"/>
      <c r="AJQ6" s="34"/>
      <c r="AJR6" s="34"/>
      <c r="AJS6" s="34"/>
      <c r="AJT6" s="34"/>
      <c r="AJU6" s="34"/>
      <c r="AJV6" s="34"/>
      <c r="AJW6" s="34"/>
      <c r="AJX6" s="34"/>
      <c r="AJY6" s="34"/>
      <c r="AJZ6" s="34"/>
      <c r="AKA6" s="34"/>
      <c r="AKB6" s="34"/>
      <c r="AKC6" s="34"/>
      <c r="AKD6" s="34"/>
      <c r="AKE6" s="34"/>
      <c r="AKF6" s="34"/>
      <c r="AKG6" s="34"/>
      <c r="AKH6" s="34"/>
      <c r="AKI6" s="34"/>
      <c r="AKJ6" s="34"/>
      <c r="AKK6" s="34"/>
      <c r="AKL6" s="34"/>
      <c r="AKM6" s="34"/>
      <c r="AKN6" s="34"/>
      <c r="AKO6" s="34"/>
      <c r="AKP6" s="34"/>
      <c r="AKQ6" s="34"/>
      <c r="AKR6" s="34"/>
      <c r="AKS6" s="34"/>
      <c r="AKT6" s="34"/>
      <c r="AKU6" s="34"/>
      <c r="AKV6" s="34"/>
      <c r="AKW6" s="34"/>
      <c r="AKX6" s="34"/>
      <c r="AKY6" s="34"/>
      <c r="AKZ6" s="34"/>
      <c r="ALA6" s="34"/>
      <c r="ALB6" s="34"/>
      <c r="ALC6" s="34"/>
      <c r="ALD6" s="34"/>
      <c r="ALE6" s="34"/>
      <c r="ALF6" s="34"/>
      <c r="ALG6" s="34"/>
      <c r="ALH6" s="34"/>
      <c r="ALI6" s="34"/>
      <c r="ALJ6" s="34"/>
      <c r="ALK6" s="34"/>
      <c r="ALL6" s="34"/>
      <c r="ALM6" s="34"/>
      <c r="ALN6" s="34"/>
      <c r="ALO6" s="34"/>
      <c r="ALP6" s="34"/>
      <c r="ALQ6" s="34"/>
      <c r="ALR6" s="34"/>
      <c r="ALS6" s="34"/>
      <c r="ALT6" s="34"/>
      <c r="ALU6" s="34"/>
      <c r="ALV6" s="34"/>
      <c r="ALW6" s="34"/>
      <c r="ALX6" s="34"/>
      <c r="ALY6" s="34"/>
      <c r="ALZ6" s="34"/>
      <c r="AMA6" s="34"/>
      <c r="AMB6" s="34"/>
      <c r="AMC6" s="34"/>
      <c r="AMD6" s="34"/>
      <c r="AME6" s="34"/>
      <c r="AMF6" s="34"/>
      <c r="AMG6" s="34"/>
      <c r="AMH6" s="34"/>
      <c r="AMI6" s="34"/>
      <c r="AMJ6" s="34"/>
    </row>
    <row r="7" ht="15.75" customHeight="1">
      <c r="A7" s="34"/>
      <c r="B7" s="34"/>
      <c r="C7" s="34"/>
      <c r="D7" s="35">
        <v>83.75</v>
      </c>
      <c r="E7" s="34"/>
      <c r="F7" s="34"/>
      <c r="G7" s="34"/>
      <c r="H7" s="34"/>
      <c r="I7" s="34"/>
      <c r="J7" s="34"/>
      <c r="K7" s="34"/>
      <c r="L7" s="34"/>
      <c r="M7" s="34"/>
      <c r="N7" s="34"/>
      <c r="O7" s="34"/>
      <c r="P7" s="34"/>
      <c r="Q7" s="34"/>
      <c r="R7" s="34"/>
      <c r="S7" s="34"/>
      <c r="T7" s="34"/>
      <c r="U7" s="34" t="s">
        <v>35</v>
      </c>
      <c r="V7" s="34"/>
      <c r="W7" s="34"/>
      <c r="X7" s="34"/>
      <c r="Y7" s="34"/>
      <c r="Z7" s="34"/>
      <c r="AA7" s="34"/>
      <c r="AB7" s="34"/>
      <c r="AC7" s="34"/>
      <c r="AD7" s="45">
        <v>1.25</v>
      </c>
      <c r="AE7" s="34"/>
      <c r="AF7" s="34"/>
      <c r="AG7" s="34"/>
      <c r="AH7" s="34"/>
      <c r="AI7" s="39" t="s">
        <v>18</v>
      </c>
      <c r="AJ7" s="39" t="s">
        <v>24</v>
      </c>
      <c r="AK7" s="39" t="s">
        <v>50</v>
      </c>
      <c r="AL7" s="47">
        <v>996000.0</v>
      </c>
      <c r="AM7" s="34"/>
      <c r="AN7" s="34"/>
      <c r="AO7" s="34"/>
      <c r="AP7" s="34"/>
      <c r="AQ7" s="34"/>
      <c r="AR7" s="34"/>
      <c r="AS7" s="34"/>
      <c r="AT7" s="34" t="s">
        <v>51</v>
      </c>
      <c r="AU7" s="34" t="s">
        <v>52</v>
      </c>
      <c r="AV7" s="34"/>
      <c r="AW7" s="34"/>
      <c r="AX7" s="34"/>
      <c r="AY7" s="34"/>
      <c r="AZ7" s="34"/>
      <c r="BA7" s="34"/>
      <c r="BB7" s="34"/>
      <c r="BC7" s="34"/>
      <c r="BD7" s="34"/>
      <c r="BE7" s="34"/>
      <c r="BF7" s="34"/>
      <c r="BG7" s="34"/>
      <c r="BH7" s="34"/>
      <c r="BI7" s="34"/>
      <c r="BJ7" s="34"/>
      <c r="BK7" s="34"/>
      <c r="BL7" s="34"/>
      <c r="BM7" s="34"/>
      <c r="BN7" s="34"/>
      <c r="BO7" s="34"/>
      <c r="BP7" s="34"/>
      <c r="BQ7" s="34"/>
      <c r="BR7" s="34"/>
      <c r="BS7" s="34"/>
      <c r="BT7" s="34"/>
      <c r="BU7" s="34"/>
      <c r="BV7" s="34"/>
      <c r="BW7" s="34"/>
      <c r="BX7" s="34"/>
      <c r="BY7" s="34"/>
      <c r="BZ7" s="34"/>
      <c r="CA7" s="34"/>
      <c r="CB7" s="34"/>
      <c r="CC7" s="34"/>
      <c r="CD7" s="34"/>
      <c r="CE7" s="34"/>
      <c r="CF7" s="34"/>
      <c r="CG7" s="34"/>
      <c r="CH7" s="34"/>
      <c r="CI7" s="34"/>
      <c r="CJ7" s="34"/>
      <c r="CK7" s="34"/>
      <c r="CL7" s="34"/>
      <c r="CM7" s="34"/>
      <c r="CN7" s="34"/>
      <c r="CO7" s="34"/>
      <c r="CP7" s="34"/>
      <c r="CQ7" s="34"/>
      <c r="CR7" s="34"/>
      <c r="CS7" s="34"/>
      <c r="CT7" s="34"/>
      <c r="CU7" s="34"/>
      <c r="CV7" s="34"/>
      <c r="CW7" s="34"/>
      <c r="CX7" s="34"/>
      <c r="CY7" s="34"/>
      <c r="CZ7" s="34"/>
      <c r="DA7" s="34"/>
      <c r="DB7" s="34"/>
      <c r="DC7" s="34"/>
      <c r="DD7" s="34"/>
      <c r="DE7" s="34"/>
      <c r="DF7" s="34"/>
      <c r="DG7" s="34"/>
      <c r="DH7" s="34"/>
      <c r="DI7" s="34"/>
      <c r="DJ7" s="34"/>
      <c r="DK7" s="34"/>
      <c r="DL7" s="34"/>
      <c r="DM7" s="34"/>
      <c r="DN7" s="34"/>
      <c r="DO7" s="34"/>
      <c r="DP7" s="34"/>
      <c r="DQ7" s="34"/>
      <c r="DR7" s="34"/>
      <c r="DS7" s="34"/>
      <c r="DT7" s="34"/>
      <c r="DU7" s="34"/>
      <c r="DV7" s="34"/>
      <c r="DW7" s="34"/>
      <c r="DX7" s="34"/>
      <c r="DY7" s="34"/>
      <c r="DZ7" s="34"/>
      <c r="EA7" s="34"/>
      <c r="EB7" s="34"/>
      <c r="EC7" s="34"/>
      <c r="ED7" s="34"/>
      <c r="EE7" s="34"/>
      <c r="EF7" s="34"/>
      <c r="EG7" s="34"/>
      <c r="EH7" s="34"/>
      <c r="EI7" s="34"/>
      <c r="EJ7" s="34"/>
      <c r="EK7" s="34"/>
      <c r="EL7" s="34"/>
      <c r="EM7" s="34"/>
      <c r="EN7" s="34"/>
      <c r="EO7" s="34"/>
      <c r="EP7" s="34"/>
      <c r="EQ7" s="34"/>
      <c r="ER7" s="34"/>
      <c r="ES7" s="34"/>
      <c r="ET7" s="34"/>
      <c r="EU7" s="34"/>
      <c r="EV7" s="34"/>
      <c r="EW7" s="34"/>
      <c r="EX7" s="34"/>
      <c r="EY7" s="34"/>
      <c r="EZ7" s="34"/>
      <c r="FA7" s="34"/>
      <c r="FB7" s="34"/>
      <c r="FC7" s="34"/>
      <c r="FD7" s="34"/>
      <c r="FE7" s="34"/>
      <c r="FF7" s="34"/>
      <c r="FG7" s="34"/>
      <c r="FH7" s="34"/>
      <c r="FI7" s="34"/>
      <c r="FJ7" s="34"/>
      <c r="FK7" s="34"/>
      <c r="FL7" s="34"/>
      <c r="FM7" s="34"/>
      <c r="FN7" s="34"/>
      <c r="FO7" s="34"/>
      <c r="FP7" s="34"/>
      <c r="FQ7" s="34"/>
      <c r="FR7" s="34"/>
      <c r="FS7" s="34"/>
      <c r="FT7" s="34"/>
      <c r="FU7" s="34"/>
      <c r="FV7" s="34"/>
      <c r="FW7" s="34"/>
      <c r="FX7" s="34"/>
      <c r="FY7" s="34"/>
      <c r="FZ7" s="34"/>
      <c r="GA7" s="34"/>
      <c r="GB7" s="34"/>
      <c r="GC7" s="34"/>
      <c r="GD7" s="34"/>
      <c r="GE7" s="34"/>
      <c r="GF7" s="34"/>
      <c r="GG7" s="34"/>
      <c r="GH7" s="34"/>
      <c r="GI7" s="34"/>
      <c r="GJ7" s="34"/>
      <c r="GK7" s="34"/>
      <c r="GL7" s="34"/>
      <c r="GM7" s="34"/>
      <c r="GN7" s="34"/>
      <c r="GO7" s="34"/>
      <c r="GP7" s="34"/>
      <c r="GQ7" s="34"/>
      <c r="GR7" s="34"/>
      <c r="GS7" s="34"/>
      <c r="GT7" s="34"/>
      <c r="GU7" s="34"/>
      <c r="GV7" s="34"/>
      <c r="GW7" s="34"/>
      <c r="GX7" s="34"/>
      <c r="GY7" s="34"/>
      <c r="GZ7" s="34"/>
      <c r="HA7" s="34"/>
      <c r="HB7" s="34"/>
      <c r="HC7" s="34"/>
      <c r="HD7" s="34"/>
      <c r="HE7" s="34"/>
      <c r="HF7" s="34"/>
      <c r="HG7" s="34"/>
      <c r="HH7" s="34"/>
      <c r="HI7" s="34"/>
      <c r="HJ7" s="34"/>
      <c r="HK7" s="34"/>
      <c r="HL7" s="34"/>
      <c r="HM7" s="34"/>
      <c r="HN7" s="34"/>
      <c r="HO7" s="34"/>
      <c r="HP7" s="34"/>
      <c r="HQ7" s="34"/>
      <c r="HR7" s="34"/>
      <c r="HS7" s="34"/>
      <c r="HT7" s="34"/>
      <c r="HU7" s="34"/>
      <c r="HV7" s="34"/>
      <c r="HW7" s="34"/>
      <c r="HX7" s="34"/>
      <c r="HY7" s="34"/>
      <c r="HZ7" s="34"/>
      <c r="IA7" s="34"/>
      <c r="IB7" s="34"/>
      <c r="IC7" s="34"/>
      <c r="ID7" s="34"/>
      <c r="IE7" s="34"/>
      <c r="IF7" s="34"/>
      <c r="IG7" s="34"/>
      <c r="IH7" s="34"/>
      <c r="II7" s="34"/>
      <c r="IJ7" s="34"/>
      <c r="IK7" s="34"/>
      <c r="IL7" s="34"/>
      <c r="IM7" s="34"/>
      <c r="IN7" s="34"/>
      <c r="IO7" s="34"/>
      <c r="IP7" s="34"/>
      <c r="IQ7" s="34"/>
      <c r="IR7" s="34"/>
      <c r="IS7" s="34"/>
      <c r="IT7" s="34"/>
      <c r="IU7" s="34"/>
      <c r="IV7" s="34"/>
      <c r="IW7" s="34"/>
      <c r="IX7" s="34"/>
      <c r="IY7" s="34"/>
      <c r="IZ7" s="34"/>
      <c r="JA7" s="34"/>
      <c r="JB7" s="34"/>
      <c r="JC7" s="34"/>
      <c r="JD7" s="34"/>
      <c r="JE7" s="34"/>
      <c r="JF7" s="34"/>
      <c r="JG7" s="34"/>
      <c r="JH7" s="34"/>
      <c r="JI7" s="34"/>
      <c r="JJ7" s="34"/>
      <c r="JK7" s="34"/>
      <c r="JL7" s="34"/>
      <c r="JM7" s="34"/>
      <c r="JN7" s="34"/>
      <c r="JO7" s="34"/>
      <c r="JP7" s="34"/>
      <c r="JQ7" s="34"/>
      <c r="JR7" s="34"/>
      <c r="JS7" s="34"/>
      <c r="JT7" s="34"/>
      <c r="JU7" s="34"/>
      <c r="JV7" s="34"/>
      <c r="JW7" s="34"/>
      <c r="JX7" s="34"/>
      <c r="JY7" s="34"/>
      <c r="JZ7" s="34"/>
      <c r="KA7" s="34"/>
      <c r="KB7" s="34"/>
      <c r="KC7" s="34"/>
      <c r="KD7" s="34"/>
      <c r="KE7" s="34"/>
      <c r="KF7" s="34"/>
      <c r="KG7" s="34"/>
      <c r="KH7" s="34"/>
      <c r="KI7" s="34"/>
      <c r="KJ7" s="34"/>
      <c r="KK7" s="34"/>
      <c r="KL7" s="34"/>
      <c r="KM7" s="34"/>
      <c r="KN7" s="34"/>
      <c r="KO7" s="34"/>
      <c r="KP7" s="34"/>
      <c r="KQ7" s="34"/>
      <c r="KR7" s="34"/>
      <c r="KS7" s="34"/>
      <c r="KT7" s="34"/>
      <c r="KU7" s="34"/>
      <c r="KV7" s="34"/>
      <c r="KW7" s="34"/>
      <c r="KX7" s="34"/>
      <c r="KY7" s="34"/>
      <c r="KZ7" s="34"/>
      <c r="LA7" s="34"/>
      <c r="LB7" s="34"/>
      <c r="LC7" s="34"/>
      <c r="LD7" s="34"/>
      <c r="LE7" s="34"/>
      <c r="LF7" s="34"/>
      <c r="LG7" s="34"/>
      <c r="LH7" s="34"/>
      <c r="LI7" s="34"/>
      <c r="LJ7" s="34"/>
      <c r="LK7" s="34"/>
      <c r="LL7" s="34"/>
      <c r="LM7" s="34"/>
      <c r="LN7" s="34"/>
      <c r="LO7" s="34"/>
      <c r="LP7" s="34"/>
      <c r="LQ7" s="34"/>
      <c r="LR7" s="34"/>
      <c r="LS7" s="34"/>
      <c r="LT7" s="34"/>
      <c r="LU7" s="34"/>
      <c r="LV7" s="34"/>
      <c r="LW7" s="34"/>
      <c r="LX7" s="34"/>
      <c r="LY7" s="34"/>
      <c r="LZ7" s="34"/>
      <c r="MA7" s="34"/>
      <c r="MB7" s="34"/>
      <c r="MC7" s="34"/>
      <c r="MD7" s="34"/>
      <c r="ME7" s="34"/>
      <c r="MF7" s="34"/>
      <c r="MG7" s="34"/>
      <c r="MH7" s="34"/>
      <c r="MI7" s="34"/>
      <c r="MJ7" s="34"/>
      <c r="MK7" s="34"/>
      <c r="ML7" s="34"/>
      <c r="MM7" s="34"/>
      <c r="MN7" s="34"/>
      <c r="MO7" s="34"/>
      <c r="MP7" s="34"/>
      <c r="MQ7" s="34"/>
      <c r="MR7" s="34"/>
      <c r="MS7" s="34"/>
      <c r="MT7" s="34"/>
      <c r="MU7" s="34"/>
      <c r="MV7" s="34"/>
      <c r="MW7" s="34"/>
      <c r="MX7" s="34"/>
      <c r="MY7" s="34"/>
      <c r="MZ7" s="34"/>
      <c r="NA7" s="34"/>
      <c r="NB7" s="34"/>
      <c r="NC7" s="34"/>
      <c r="ND7" s="34"/>
      <c r="NE7" s="34"/>
      <c r="NF7" s="34"/>
      <c r="NG7" s="34"/>
      <c r="NH7" s="34"/>
      <c r="NI7" s="34"/>
      <c r="NJ7" s="34"/>
      <c r="NK7" s="34"/>
      <c r="NL7" s="34"/>
      <c r="NM7" s="34"/>
      <c r="NN7" s="34"/>
      <c r="NO7" s="34"/>
      <c r="NP7" s="34"/>
      <c r="NQ7" s="34"/>
      <c r="NR7" s="34"/>
      <c r="NS7" s="34"/>
      <c r="NT7" s="34"/>
      <c r="NU7" s="34"/>
      <c r="NV7" s="34"/>
      <c r="NW7" s="34"/>
      <c r="NX7" s="34"/>
      <c r="NY7" s="34"/>
      <c r="NZ7" s="34"/>
      <c r="OA7" s="34"/>
      <c r="OB7" s="34"/>
      <c r="OC7" s="34"/>
      <c r="OD7" s="34"/>
      <c r="OE7" s="34"/>
      <c r="OF7" s="34"/>
      <c r="OG7" s="34"/>
      <c r="OH7" s="34"/>
      <c r="OI7" s="34"/>
      <c r="OJ7" s="34"/>
      <c r="OK7" s="34"/>
      <c r="OL7" s="34"/>
      <c r="OM7" s="34"/>
      <c r="ON7" s="34"/>
      <c r="OO7" s="34"/>
      <c r="OP7" s="34"/>
      <c r="OQ7" s="34"/>
      <c r="OR7" s="34"/>
      <c r="OS7" s="34"/>
      <c r="OT7" s="34"/>
      <c r="OU7" s="34"/>
      <c r="OV7" s="34"/>
      <c r="OW7" s="34"/>
      <c r="OX7" s="34"/>
      <c r="OY7" s="34"/>
      <c r="OZ7" s="34"/>
      <c r="PA7" s="34"/>
      <c r="PB7" s="34"/>
      <c r="PC7" s="34"/>
      <c r="PD7" s="34"/>
      <c r="PE7" s="34"/>
      <c r="PF7" s="34"/>
      <c r="PG7" s="34"/>
      <c r="PH7" s="34"/>
      <c r="PI7" s="34"/>
      <c r="PJ7" s="34"/>
      <c r="PK7" s="34"/>
      <c r="PL7" s="34"/>
      <c r="PM7" s="34"/>
      <c r="PN7" s="34"/>
      <c r="PO7" s="34"/>
      <c r="PP7" s="34"/>
      <c r="PQ7" s="34"/>
      <c r="PR7" s="34"/>
      <c r="PS7" s="34"/>
      <c r="PT7" s="34"/>
      <c r="PU7" s="34"/>
      <c r="PV7" s="34"/>
      <c r="PW7" s="34"/>
      <c r="PX7" s="34"/>
      <c r="PY7" s="34"/>
      <c r="PZ7" s="34"/>
      <c r="QA7" s="34"/>
      <c r="QB7" s="34"/>
      <c r="QC7" s="34"/>
      <c r="QD7" s="34"/>
      <c r="QE7" s="34"/>
      <c r="QF7" s="34"/>
      <c r="QG7" s="34"/>
      <c r="QH7" s="34"/>
      <c r="QI7" s="34"/>
      <c r="QJ7" s="34"/>
      <c r="QK7" s="34"/>
      <c r="QL7" s="34"/>
      <c r="QM7" s="34"/>
      <c r="QN7" s="34"/>
      <c r="QO7" s="34"/>
      <c r="QP7" s="34"/>
      <c r="QQ7" s="34"/>
      <c r="QR7" s="34"/>
      <c r="QS7" s="34"/>
      <c r="QT7" s="34"/>
      <c r="QU7" s="34"/>
      <c r="QV7" s="34"/>
      <c r="QW7" s="34"/>
      <c r="QX7" s="34"/>
      <c r="QY7" s="34"/>
      <c r="QZ7" s="34"/>
      <c r="RA7" s="34"/>
      <c r="RB7" s="34"/>
      <c r="RC7" s="34"/>
      <c r="RD7" s="34"/>
      <c r="RE7" s="34"/>
      <c r="RF7" s="34"/>
      <c r="RG7" s="34"/>
      <c r="RH7" s="34"/>
      <c r="RI7" s="34"/>
      <c r="RJ7" s="34"/>
      <c r="RK7" s="34"/>
      <c r="RL7" s="34"/>
      <c r="RM7" s="34"/>
      <c r="RN7" s="34"/>
      <c r="RO7" s="34"/>
      <c r="RP7" s="34"/>
      <c r="RQ7" s="34"/>
      <c r="RR7" s="34"/>
      <c r="RS7" s="34"/>
      <c r="RT7" s="34"/>
      <c r="RU7" s="34"/>
      <c r="RV7" s="34"/>
      <c r="RW7" s="34"/>
      <c r="RX7" s="34"/>
      <c r="RY7" s="34"/>
      <c r="RZ7" s="34"/>
      <c r="SA7" s="34"/>
      <c r="SB7" s="34"/>
      <c r="SC7" s="34"/>
      <c r="SD7" s="34"/>
      <c r="SE7" s="34"/>
      <c r="SF7" s="34"/>
      <c r="SG7" s="34"/>
      <c r="SH7" s="34"/>
      <c r="SI7" s="34"/>
      <c r="SJ7" s="34"/>
      <c r="SK7" s="34"/>
      <c r="SL7" s="34"/>
      <c r="SM7" s="34"/>
      <c r="SN7" s="34"/>
      <c r="SO7" s="34"/>
      <c r="SP7" s="34"/>
      <c r="SQ7" s="34"/>
      <c r="SR7" s="34"/>
      <c r="SS7" s="34"/>
      <c r="ST7" s="34"/>
      <c r="SU7" s="34"/>
      <c r="SV7" s="34"/>
      <c r="SW7" s="34"/>
      <c r="SX7" s="34"/>
      <c r="SY7" s="34"/>
      <c r="SZ7" s="34"/>
      <c r="TA7" s="34"/>
      <c r="TB7" s="34"/>
      <c r="TC7" s="34"/>
      <c r="TD7" s="34"/>
      <c r="TE7" s="34"/>
      <c r="TF7" s="34"/>
      <c r="TG7" s="34"/>
      <c r="TH7" s="34"/>
      <c r="TI7" s="34"/>
      <c r="TJ7" s="34"/>
      <c r="TK7" s="34"/>
      <c r="TL7" s="34"/>
      <c r="TM7" s="34"/>
      <c r="TN7" s="34"/>
      <c r="TO7" s="34"/>
      <c r="TP7" s="34"/>
      <c r="TQ7" s="34"/>
      <c r="TR7" s="34"/>
      <c r="TS7" s="34"/>
      <c r="TT7" s="34"/>
      <c r="TU7" s="34"/>
      <c r="TV7" s="34"/>
      <c r="TW7" s="34"/>
      <c r="TX7" s="34"/>
      <c r="TY7" s="34"/>
      <c r="TZ7" s="34"/>
      <c r="UA7" s="34"/>
      <c r="UB7" s="34"/>
      <c r="UC7" s="34"/>
      <c r="UD7" s="34"/>
      <c r="UE7" s="34"/>
      <c r="UF7" s="34"/>
      <c r="UG7" s="34"/>
      <c r="UH7" s="34"/>
      <c r="UI7" s="34"/>
      <c r="UJ7" s="34"/>
      <c r="UK7" s="34"/>
      <c r="UL7" s="34"/>
      <c r="UM7" s="34"/>
      <c r="UN7" s="34"/>
      <c r="UO7" s="34"/>
      <c r="UP7" s="34"/>
      <c r="UQ7" s="34"/>
      <c r="UR7" s="34"/>
      <c r="US7" s="34"/>
      <c r="UT7" s="34"/>
      <c r="UU7" s="34"/>
      <c r="UV7" s="34"/>
      <c r="UW7" s="34"/>
      <c r="UX7" s="34"/>
      <c r="UY7" s="34"/>
      <c r="UZ7" s="34"/>
      <c r="VA7" s="34"/>
      <c r="VB7" s="34"/>
      <c r="VC7" s="34"/>
      <c r="VD7" s="34"/>
      <c r="VE7" s="34"/>
      <c r="VF7" s="34"/>
      <c r="VG7" s="34"/>
      <c r="VH7" s="34"/>
      <c r="VI7" s="34"/>
      <c r="VJ7" s="34"/>
      <c r="VK7" s="34"/>
      <c r="VL7" s="34"/>
      <c r="VM7" s="34"/>
      <c r="VN7" s="34"/>
      <c r="VO7" s="34"/>
      <c r="VP7" s="34"/>
      <c r="VQ7" s="34"/>
      <c r="VR7" s="34"/>
      <c r="VS7" s="34"/>
      <c r="VT7" s="34"/>
      <c r="VU7" s="34"/>
      <c r="VV7" s="34"/>
      <c r="VW7" s="34"/>
      <c r="VX7" s="34"/>
      <c r="VY7" s="34"/>
      <c r="VZ7" s="34"/>
      <c r="WA7" s="34"/>
      <c r="WB7" s="34"/>
      <c r="WC7" s="34"/>
      <c r="WD7" s="34"/>
      <c r="WE7" s="34"/>
      <c r="WF7" s="34"/>
      <c r="WG7" s="34"/>
      <c r="WH7" s="34"/>
      <c r="WI7" s="34"/>
      <c r="WJ7" s="34"/>
      <c r="WK7" s="34"/>
      <c r="WL7" s="34"/>
      <c r="WM7" s="34"/>
      <c r="WN7" s="34"/>
      <c r="WO7" s="34"/>
      <c r="WP7" s="34"/>
      <c r="WQ7" s="34"/>
      <c r="WR7" s="34"/>
      <c r="WS7" s="34"/>
      <c r="WT7" s="34"/>
      <c r="WU7" s="34"/>
      <c r="WV7" s="34"/>
      <c r="WW7" s="34"/>
      <c r="WX7" s="34"/>
      <c r="WY7" s="34"/>
      <c r="WZ7" s="34"/>
      <c r="XA7" s="34"/>
      <c r="XB7" s="34"/>
      <c r="XC7" s="34"/>
      <c r="XD7" s="34"/>
      <c r="XE7" s="34"/>
      <c r="XF7" s="34"/>
      <c r="XG7" s="34"/>
      <c r="XH7" s="34"/>
      <c r="XI7" s="34"/>
      <c r="XJ7" s="34"/>
      <c r="XK7" s="34"/>
      <c r="XL7" s="34"/>
      <c r="XM7" s="34"/>
      <c r="XN7" s="34"/>
      <c r="XO7" s="34"/>
      <c r="XP7" s="34"/>
      <c r="XQ7" s="34"/>
      <c r="XR7" s="34"/>
      <c r="XS7" s="34"/>
      <c r="XT7" s="34"/>
      <c r="XU7" s="34"/>
      <c r="XV7" s="34"/>
      <c r="XW7" s="34"/>
      <c r="XX7" s="34"/>
      <c r="XY7" s="34"/>
      <c r="XZ7" s="34"/>
      <c r="YA7" s="34"/>
      <c r="YB7" s="34"/>
      <c r="YC7" s="34"/>
      <c r="YD7" s="34"/>
      <c r="YE7" s="34"/>
      <c r="YF7" s="34"/>
      <c r="YG7" s="34"/>
      <c r="YH7" s="34"/>
      <c r="YI7" s="34"/>
      <c r="YJ7" s="34"/>
      <c r="YK7" s="34"/>
      <c r="YL7" s="34"/>
      <c r="YM7" s="34"/>
      <c r="YN7" s="34"/>
      <c r="YO7" s="34"/>
      <c r="YP7" s="34"/>
      <c r="YQ7" s="34"/>
      <c r="YR7" s="34"/>
      <c r="YS7" s="34"/>
      <c r="YT7" s="34"/>
      <c r="YU7" s="34"/>
      <c r="YV7" s="34"/>
      <c r="YW7" s="34"/>
      <c r="YX7" s="34"/>
      <c r="YY7" s="34"/>
      <c r="YZ7" s="34"/>
      <c r="ZA7" s="34"/>
      <c r="ZB7" s="34"/>
      <c r="ZC7" s="34"/>
      <c r="ZD7" s="34"/>
      <c r="ZE7" s="34"/>
      <c r="ZF7" s="34"/>
      <c r="ZG7" s="34"/>
      <c r="ZH7" s="34"/>
      <c r="ZI7" s="34"/>
      <c r="ZJ7" s="34"/>
      <c r="ZK7" s="34"/>
      <c r="ZL7" s="34"/>
      <c r="ZM7" s="34"/>
      <c r="ZN7" s="34"/>
      <c r="ZO7" s="34"/>
      <c r="ZP7" s="34"/>
      <c r="ZQ7" s="34"/>
      <c r="ZR7" s="34"/>
      <c r="ZS7" s="34"/>
      <c r="ZT7" s="34"/>
      <c r="ZU7" s="34"/>
      <c r="ZV7" s="34"/>
      <c r="ZW7" s="34"/>
      <c r="ZX7" s="34"/>
      <c r="ZY7" s="34"/>
      <c r="ZZ7" s="34"/>
      <c r="AAA7" s="34"/>
      <c r="AAB7" s="34"/>
      <c r="AAC7" s="34"/>
      <c r="AAD7" s="34"/>
      <c r="AAE7" s="34"/>
      <c r="AAF7" s="34"/>
      <c r="AAG7" s="34"/>
      <c r="AAH7" s="34"/>
      <c r="AAI7" s="34"/>
      <c r="AAJ7" s="34"/>
      <c r="AAK7" s="34"/>
      <c r="AAL7" s="34"/>
      <c r="AAM7" s="34"/>
      <c r="AAN7" s="34"/>
      <c r="AAO7" s="34"/>
      <c r="AAP7" s="34"/>
      <c r="AAQ7" s="34"/>
      <c r="AAR7" s="34"/>
      <c r="AAS7" s="34"/>
      <c r="AAT7" s="34"/>
      <c r="AAU7" s="34"/>
      <c r="AAV7" s="34"/>
      <c r="AAW7" s="34"/>
      <c r="AAX7" s="34"/>
      <c r="AAY7" s="34"/>
      <c r="AAZ7" s="34"/>
      <c r="ABA7" s="34"/>
      <c r="ABB7" s="34"/>
      <c r="ABC7" s="34"/>
      <c r="ABD7" s="34"/>
      <c r="ABE7" s="34"/>
      <c r="ABF7" s="34"/>
      <c r="ABG7" s="34"/>
      <c r="ABH7" s="34"/>
      <c r="ABI7" s="34"/>
      <c r="ABJ7" s="34"/>
      <c r="ABK7" s="34"/>
      <c r="ABL7" s="34"/>
      <c r="ABM7" s="34"/>
      <c r="ABN7" s="34"/>
      <c r="ABO7" s="34"/>
      <c r="ABP7" s="34"/>
      <c r="ABQ7" s="34"/>
      <c r="ABR7" s="34"/>
      <c r="ABS7" s="34"/>
      <c r="ABT7" s="34"/>
      <c r="ABU7" s="34"/>
      <c r="ABV7" s="34"/>
      <c r="ABW7" s="34"/>
      <c r="ABX7" s="34"/>
      <c r="ABY7" s="34"/>
      <c r="ABZ7" s="34"/>
      <c r="ACA7" s="34"/>
      <c r="ACB7" s="34"/>
      <c r="ACC7" s="34"/>
      <c r="ACD7" s="34"/>
      <c r="ACE7" s="34"/>
      <c r="ACF7" s="34"/>
      <c r="ACG7" s="34"/>
      <c r="ACH7" s="34"/>
      <c r="ACI7" s="34"/>
      <c r="ACJ7" s="34"/>
      <c r="ACK7" s="34"/>
      <c r="ACL7" s="34"/>
      <c r="ACM7" s="34"/>
      <c r="ACN7" s="34"/>
      <c r="ACO7" s="34"/>
      <c r="ACP7" s="34"/>
      <c r="ACQ7" s="34"/>
      <c r="ACR7" s="34"/>
      <c r="ACS7" s="34"/>
      <c r="ACT7" s="34"/>
      <c r="ACU7" s="34"/>
      <c r="ACV7" s="34"/>
      <c r="ACW7" s="34"/>
      <c r="ACX7" s="34"/>
      <c r="ACY7" s="34"/>
      <c r="ACZ7" s="34"/>
      <c r="ADA7" s="34"/>
      <c r="ADB7" s="34"/>
      <c r="ADC7" s="34"/>
      <c r="ADD7" s="34"/>
      <c r="ADE7" s="34"/>
      <c r="ADF7" s="34"/>
      <c r="ADG7" s="34"/>
      <c r="ADH7" s="34"/>
      <c r="ADI7" s="34"/>
      <c r="ADJ7" s="34"/>
      <c r="ADK7" s="34"/>
      <c r="ADL7" s="34"/>
      <c r="ADM7" s="34"/>
      <c r="ADN7" s="34"/>
      <c r="ADO7" s="34"/>
      <c r="ADP7" s="34"/>
      <c r="ADQ7" s="34"/>
      <c r="ADR7" s="34"/>
      <c r="ADS7" s="34"/>
      <c r="ADT7" s="34"/>
      <c r="ADU7" s="34"/>
      <c r="ADV7" s="34"/>
      <c r="ADW7" s="34"/>
      <c r="ADX7" s="34"/>
      <c r="ADY7" s="34"/>
      <c r="ADZ7" s="34"/>
      <c r="AEA7" s="34"/>
      <c r="AEB7" s="34"/>
      <c r="AEC7" s="34"/>
      <c r="AED7" s="34"/>
      <c r="AEE7" s="34"/>
      <c r="AEF7" s="34"/>
      <c r="AEG7" s="34"/>
      <c r="AEH7" s="34"/>
      <c r="AEI7" s="34"/>
      <c r="AEJ7" s="34"/>
      <c r="AEK7" s="34"/>
      <c r="AEL7" s="34"/>
      <c r="AEM7" s="34"/>
      <c r="AEN7" s="34"/>
      <c r="AEO7" s="34"/>
      <c r="AEP7" s="34"/>
      <c r="AEQ7" s="34"/>
      <c r="AER7" s="34"/>
      <c r="AES7" s="34"/>
      <c r="AET7" s="34"/>
      <c r="AEU7" s="34"/>
      <c r="AEV7" s="34"/>
      <c r="AEW7" s="34"/>
      <c r="AEX7" s="34"/>
      <c r="AEY7" s="34"/>
      <c r="AEZ7" s="34"/>
      <c r="AFA7" s="34"/>
      <c r="AFB7" s="34"/>
      <c r="AFC7" s="34"/>
      <c r="AFD7" s="34"/>
      <c r="AFE7" s="34"/>
      <c r="AFF7" s="34"/>
      <c r="AFG7" s="34"/>
      <c r="AFH7" s="34"/>
      <c r="AFI7" s="34"/>
      <c r="AFJ7" s="34"/>
      <c r="AFK7" s="34"/>
      <c r="AFL7" s="34"/>
      <c r="AFM7" s="34"/>
      <c r="AFN7" s="34"/>
      <c r="AFO7" s="34"/>
      <c r="AFP7" s="34"/>
      <c r="AFQ7" s="34"/>
      <c r="AFR7" s="34"/>
      <c r="AFS7" s="34"/>
      <c r="AFT7" s="34"/>
      <c r="AFU7" s="34"/>
      <c r="AFV7" s="34"/>
      <c r="AFW7" s="34"/>
      <c r="AFX7" s="34"/>
      <c r="AFY7" s="34"/>
      <c r="AFZ7" s="34"/>
      <c r="AGA7" s="34"/>
      <c r="AGB7" s="34"/>
      <c r="AGC7" s="34"/>
      <c r="AGD7" s="34"/>
      <c r="AGE7" s="34"/>
      <c r="AGF7" s="34"/>
      <c r="AGG7" s="34"/>
      <c r="AGH7" s="34"/>
      <c r="AGI7" s="34"/>
      <c r="AGJ7" s="34"/>
      <c r="AGK7" s="34"/>
      <c r="AGL7" s="34"/>
      <c r="AGM7" s="34"/>
      <c r="AGN7" s="34"/>
      <c r="AGO7" s="34"/>
      <c r="AGP7" s="34"/>
      <c r="AGQ7" s="34"/>
      <c r="AGR7" s="34"/>
      <c r="AGS7" s="34"/>
      <c r="AGT7" s="34"/>
      <c r="AGU7" s="34"/>
      <c r="AGV7" s="34"/>
      <c r="AGW7" s="34"/>
      <c r="AGX7" s="34"/>
      <c r="AGY7" s="34"/>
      <c r="AGZ7" s="34"/>
      <c r="AHA7" s="34"/>
      <c r="AHB7" s="34"/>
      <c r="AHC7" s="34"/>
      <c r="AHD7" s="34"/>
      <c r="AHE7" s="34"/>
      <c r="AHF7" s="34"/>
      <c r="AHG7" s="34"/>
      <c r="AHH7" s="34"/>
      <c r="AHI7" s="34"/>
      <c r="AHJ7" s="34"/>
      <c r="AHK7" s="34"/>
      <c r="AHL7" s="34"/>
      <c r="AHM7" s="34"/>
      <c r="AHN7" s="34"/>
      <c r="AHO7" s="34"/>
      <c r="AHP7" s="34"/>
      <c r="AHQ7" s="34"/>
      <c r="AHR7" s="34"/>
      <c r="AHS7" s="34"/>
      <c r="AHT7" s="34"/>
      <c r="AHU7" s="34"/>
      <c r="AHV7" s="34"/>
      <c r="AHW7" s="34"/>
      <c r="AHX7" s="34"/>
      <c r="AHY7" s="34"/>
      <c r="AHZ7" s="34"/>
      <c r="AIA7" s="34"/>
      <c r="AIB7" s="34"/>
      <c r="AIC7" s="34"/>
      <c r="AID7" s="34"/>
      <c r="AIE7" s="34"/>
      <c r="AIF7" s="34"/>
      <c r="AIG7" s="34"/>
      <c r="AIH7" s="34"/>
      <c r="AII7" s="34"/>
      <c r="AIJ7" s="34"/>
      <c r="AIK7" s="34"/>
      <c r="AIL7" s="34"/>
      <c r="AIM7" s="34"/>
      <c r="AIN7" s="34"/>
      <c r="AIO7" s="34"/>
      <c r="AIP7" s="34"/>
      <c r="AIQ7" s="34"/>
      <c r="AIR7" s="34"/>
      <c r="AIS7" s="34"/>
      <c r="AIT7" s="34"/>
      <c r="AIU7" s="34"/>
      <c r="AIV7" s="34"/>
      <c r="AIW7" s="34"/>
      <c r="AIX7" s="34"/>
      <c r="AIY7" s="34"/>
      <c r="AIZ7" s="34"/>
      <c r="AJA7" s="34"/>
      <c r="AJB7" s="34"/>
      <c r="AJC7" s="34"/>
      <c r="AJD7" s="34"/>
      <c r="AJE7" s="34"/>
      <c r="AJF7" s="34"/>
      <c r="AJG7" s="34"/>
      <c r="AJH7" s="34"/>
      <c r="AJI7" s="34"/>
      <c r="AJJ7" s="34"/>
      <c r="AJK7" s="34"/>
      <c r="AJL7" s="34"/>
      <c r="AJM7" s="34"/>
      <c r="AJN7" s="34"/>
      <c r="AJO7" s="34"/>
      <c r="AJP7" s="34"/>
      <c r="AJQ7" s="34"/>
      <c r="AJR7" s="34"/>
      <c r="AJS7" s="34"/>
      <c r="AJT7" s="34"/>
      <c r="AJU7" s="34"/>
      <c r="AJV7" s="34"/>
      <c r="AJW7" s="34"/>
      <c r="AJX7" s="34"/>
      <c r="AJY7" s="34"/>
      <c r="AJZ7" s="34"/>
      <c r="AKA7" s="34"/>
      <c r="AKB7" s="34"/>
      <c r="AKC7" s="34"/>
      <c r="AKD7" s="34"/>
      <c r="AKE7" s="34"/>
      <c r="AKF7" s="34"/>
      <c r="AKG7" s="34"/>
      <c r="AKH7" s="34"/>
      <c r="AKI7" s="34"/>
      <c r="AKJ7" s="34"/>
      <c r="AKK7" s="34"/>
      <c r="AKL7" s="34"/>
      <c r="AKM7" s="34"/>
      <c r="AKN7" s="34"/>
      <c r="AKO7" s="34"/>
      <c r="AKP7" s="34"/>
      <c r="AKQ7" s="34"/>
      <c r="AKR7" s="34"/>
      <c r="AKS7" s="34"/>
      <c r="AKT7" s="34"/>
      <c r="AKU7" s="34"/>
      <c r="AKV7" s="34"/>
      <c r="AKW7" s="34"/>
      <c r="AKX7" s="34"/>
      <c r="AKY7" s="34"/>
      <c r="AKZ7" s="34"/>
      <c r="ALA7" s="34"/>
      <c r="ALB7" s="34"/>
      <c r="ALC7" s="34"/>
      <c r="ALD7" s="34"/>
      <c r="ALE7" s="34"/>
      <c r="ALF7" s="34"/>
      <c r="ALG7" s="34"/>
      <c r="ALH7" s="34"/>
      <c r="ALI7" s="34"/>
      <c r="ALJ7" s="34"/>
      <c r="ALK7" s="34"/>
      <c r="ALL7" s="34"/>
      <c r="ALM7" s="34"/>
      <c r="ALN7" s="34"/>
      <c r="ALO7" s="34"/>
      <c r="ALP7" s="34"/>
      <c r="ALQ7" s="34"/>
      <c r="ALR7" s="34"/>
      <c r="ALS7" s="34"/>
      <c r="ALT7" s="34"/>
      <c r="ALU7" s="34"/>
      <c r="ALV7" s="34"/>
      <c r="ALW7" s="34"/>
      <c r="ALX7" s="34"/>
      <c r="ALY7" s="34"/>
      <c r="ALZ7" s="34"/>
      <c r="AMA7" s="34"/>
      <c r="AMB7" s="34"/>
      <c r="AMC7" s="34"/>
      <c r="AMD7" s="34"/>
      <c r="AME7" s="34"/>
      <c r="AMF7" s="34"/>
      <c r="AMG7" s="34"/>
      <c r="AMH7" s="34"/>
      <c r="AMI7" s="34"/>
      <c r="AMJ7" s="34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VerifyOrder!$4:$4</formula1>
    </dataValidation>
  </dataValidations>
  <drawing r:id="rId1"/>
</worksheet>
</file>