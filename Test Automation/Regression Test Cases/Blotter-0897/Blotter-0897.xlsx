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ustomOrderTT" sheetId="5" r:id="rId7"/>
    <sheet state="visible" name="AcknowledgeTrade" sheetId="6" r:id="rId8"/>
    <sheet state="visible" name="ExecuteTrade" sheetId="7" r:id="rId9"/>
    <sheet state="visible" name="SelectTradeOnBlotter" sheetId="8" r:id="rId10"/>
    <sheet state="visible" name="AllocateFromBlotter" sheetId="9" r:id="rId11"/>
    <sheet state="visible" name="ChangeDate" sheetId="10" r:id="rId12"/>
    <sheet state="visible" name="RestartReleasesAndServices" sheetId="11" r:id="rId13"/>
    <sheet state="visible" name="ExecuteTrade1" sheetId="12" r:id="rId14"/>
    <sheet state="visible" name="GetDataAllocation" sheetId="13" r:id="rId15"/>
    <sheet state="visible" name="CheckAllocatedGroups" sheetId="14" r:id="rId16"/>
    <sheet state="visible" name="SelectAllocatedGroup" sheetId="15" r:id="rId17"/>
    <sheet state="visible" name="EnterAccountValuesToAllocate" sheetId="16" r:id="rId18"/>
    <sheet state="visible" name="SelectAllocatedGroup1" sheetId="17" r:id="rId19"/>
    <sheet state="visible" name="EnterAccountValuesToAllocate1" sheetId="18" r:id="rId20"/>
    <sheet state="visible" name="ChangeDate1" sheetId="19" r:id="rId21"/>
    <sheet state="visible" name="ExecuteTrade2" sheetId="20" r:id="rId22"/>
    <sheet state="visible" name="CheckAllocatedGroups1" sheetId="21" r:id="rId23"/>
  </sheets>
  <definedNames/>
  <calcPr/>
</workbook>
</file>

<file path=xl/sharedStrings.xml><?xml version="1.0" encoding="utf-8"?>
<sst xmlns="http://schemas.openxmlformats.org/spreadsheetml/2006/main" count="275" uniqueCount="131">
  <si>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</si>
  <si>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</si>
  <si>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</si>
  <si>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</si>
  <si>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</si>
  <si>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</si>
  <si>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</si>
  <si>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</si>
  <si>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</si>
  <si>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</si>
  <si>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</si>
  <si>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</si>
  <si>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</si>
  <si>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</si>
  <si>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</si>
  <si>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</si>
  <si>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</si>
  <si>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</si>
  <si>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</si>
  <si>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</si>
  <si>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</si>
  <si>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>Unallocated</t>
  </si>
  <si>
    <t>Buy</t>
  </si>
  <si>
    <t>Good Till Date</t>
  </si>
  <si>
    <t>Limit</t>
  </si>
  <si>
    <t>Simulator</t>
  </si>
  <si>
    <t>AcknowledgeTrade</t>
  </si>
  <si>
    <t>ExecuteTrade</t>
  </si>
  <si>
    <t>Blotter</t>
  </si>
  <si>
    <t>SelectTradeOnBlotter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</si>
  <si>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</si>
  <si>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</si>
  <si>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</si>
  <si>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</si>
  <si>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</si>
  <si>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</si>
  <si>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</si>
  <si>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</si>
  <si>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</si>
  <si>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</si>
  <si>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</si>
  <si>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</si>
  <si>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</si>
  <si>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</si>
  <si>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</si>
  <si>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</si>
  <si>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</si>
  <si>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</si>
  <si>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</si>
  <si>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</si>
  <si>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</si>
  <si>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</si>
  <si>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</si>
  <si>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</si>
  <si>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</si>
  <si>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</si>
  <si>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</si>
  <si>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</si>
  <si>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</si>
  <si>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</si>
  <si>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</si>
  <si>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</si>
  <si>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</si>
  <si>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</si>
  <si>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</si>
  <si>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</si>
  <si>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</si>
  <si>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</si>
  <si>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</si>
  <si>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</si>
  <si>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</si>
  <si>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</si>
  <si>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</si>
  <si>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</si>
  <si>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</si>
  <si>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</si>
  <si>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</si>
  <si>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</si>
  <si>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</si>
  <si>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</si>
  <si>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</si>
  <si>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</si>
  <si>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</si>
  <si>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</si>
  <si>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</si>
  <si>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</si>
  <si>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</si>
  <si>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</si>
  <si>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TIF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</si>
  <si>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</si>
  <si>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</si>
  <si>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</si>
  <si>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</si>
  <si>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</si>
  <si>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</si>
  <si>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</si>
  <si>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Expiry Date</t>
  </si>
  <si>
    <t>PartiallyFilled</t>
  </si>
  <si>
    <t>AllocateFromBlotter</t>
  </si>
  <si>
    <t>Allocation1</t>
  </si>
  <si>
    <t>Admin</t>
  </si>
  <si>
    <t>ChangeDate</t>
  </si>
  <si>
    <t>Today()+1</t>
  </si>
  <si>
    <t>Compliance</t>
  </si>
  <si>
    <t>RestartReleasesAndServices</t>
  </si>
  <si>
    <t>Allocation</t>
  </si>
  <si>
    <t>GetDataAllocation</t>
  </si>
  <si>
    <t>Historical</t>
  </si>
  <si>
    <t>CheckAllocatedGroups</t>
  </si>
  <si>
    <t>Actual_365</t>
  </si>
  <si>
    <t>Manual</t>
  </si>
  <si>
    <t>Equity</t>
  </si>
  <si>
    <t>AAPL US EQUITY</t>
  </si>
  <si>
    <t>Treasury</t>
  </si>
  <si>
    <t>MS</t>
  </si>
  <si>
    <t>Open</t>
  </si>
  <si>
    <t>APPLE</t>
  </si>
  <si>
    <t>USD</t>
  </si>
  <si>
    <t>NASDAQ</t>
  </si>
  <si>
    <t>M</t>
  </si>
  <si>
    <t>Strategy Unallocated</t>
  </si>
  <si>
    <t>US</t>
  </si>
  <si>
    <t>Samsara</t>
  </si>
  <si>
    <t>NONE</t>
  </si>
  <si>
    <t>NewMF</t>
  </si>
  <si>
    <t>SelectAllocatedGroup</t>
  </si>
  <si>
    <t>EnterAccountValuesToAllocate</t>
  </si>
  <si>
    <t>Allocation3</t>
  </si>
  <si>
    <t>Allocation4</t>
  </si>
  <si>
    <t>Today()+2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</si>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</sst>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Arial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  <font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Font="1"/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6" fontId="14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5" fontId="3" numFmtId="0" xfId="0" applyAlignment="1" applyFont="1">
      <alignment vertical="bottom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5" fontId="1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3" numFmtId="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IFERROR(__xludf.DUMMYFUNCTION("IF(C3="""","""",Transpose(IMPORTRANGE('_Settings'!$B$3,C3&amp;""!A4:A1000"")))"),"RestartServer")</f>
        <v>RestartServer</v>
      </c>
      <c r="C4" s="25" t="str">
        <f>IFERROR(__xludf.DUMMYFUNCTION("""COMPUTED_VALUE"""),"UpdateServerConfig")</f>
        <v>UpdateServerConfig</v>
      </c>
      <c r="D4" s="25" t="str">
        <f>IFERROR(__xludf.DUMMYFUNCTION("""COMPUTED_VALUE"""),"StartTradeServer")</f>
        <v>StartTradeServer</v>
      </c>
      <c r="E4" s="25" t="str">
        <f>IFERROR(__xludf.DUMMYFUNCTION("""COMPUTED_VALUE"""),"CloseTradeServer")</f>
        <v>CloseTradeServer</v>
      </c>
      <c r="F4" s="25" t="str">
        <f>IFERROR(__xludf.DUMMYFUNCTION("""COMPUTED_VALUE"""),"ConnectToSimAutoMan")</f>
        <v>ConnectToSimAutoMan</v>
      </c>
      <c r="G4" s="25" t="str">
        <f>IFERROR(__xludf.DUMMYFUNCTION("""COMPUTED_VALUE"""),"BrokerConnectionThroughTUI")</f>
        <v>BrokerConnectionThroughTUI</v>
      </c>
      <c r="H4" s="25" t="str">
        <f>IFERROR(__xludf.DUMMYFUNCTION("""COMPUTED_VALUE"""),"RestartServerOnly")</f>
        <v>RestartServerOnly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6.0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19</v>
      </c>
      <c r="C6" s="32">
        <v>1000.0</v>
      </c>
      <c r="D6" s="34"/>
      <c r="E6" s="36" t="s">
        <v>20</v>
      </c>
      <c r="F6" s="37"/>
      <c r="G6" s="37"/>
      <c r="H6" s="37"/>
      <c r="I6" s="36" t="s">
        <v>21</v>
      </c>
      <c r="J6" s="36" t="s">
        <v>22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 t="s">
        <v>23</v>
      </c>
      <c r="V6" s="37" t="s">
        <v>24</v>
      </c>
      <c r="W6" s="37"/>
      <c r="X6" s="38">
        <v>315.95</v>
      </c>
      <c r="Y6" s="39">
        <f>TODAY()+4</f>
        <v>45962</v>
      </c>
      <c r="Z6" s="39">
        <f>TODAY()</f>
        <v>45958</v>
      </c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19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>
        <v>315.95</v>
      </c>
      <c r="C6" s="41">
        <v>200.0</v>
      </c>
      <c r="D6" s="13" t="b">
        <v>1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42"/>
      <c r="B5" s="43" t="s">
        <v>30</v>
      </c>
      <c r="C5" s="43" t="s">
        <v>31</v>
      </c>
      <c r="D5" s="43" t="s">
        <v>32</v>
      </c>
      <c r="E5" s="43" t="s">
        <v>33</v>
      </c>
      <c r="F5" s="44" t="s">
        <v>34</v>
      </c>
      <c r="G5" s="43" t="s">
        <v>35</v>
      </c>
      <c r="H5" s="43" t="s">
        <v>36</v>
      </c>
      <c r="I5" s="43" t="s">
        <v>37</v>
      </c>
      <c r="J5" s="43" t="s">
        <v>38</v>
      </c>
      <c r="K5" s="43" t="s">
        <v>39</v>
      </c>
      <c r="L5" s="43" t="s">
        <v>40</v>
      </c>
      <c r="M5" s="43" t="s">
        <v>41</v>
      </c>
      <c r="N5" s="43" t="s">
        <v>42</v>
      </c>
      <c r="O5" s="43" t="s">
        <v>43</v>
      </c>
      <c r="P5" s="43" t="s">
        <v>44</v>
      </c>
      <c r="Q5" s="43" t="s">
        <v>45</v>
      </c>
      <c r="R5" s="43" t="s">
        <v>46</v>
      </c>
      <c r="S5" s="43" t="s">
        <v>47</v>
      </c>
      <c r="T5" s="45" t="s">
        <v>48</v>
      </c>
      <c r="U5" s="45" t="s">
        <v>49</v>
      </c>
      <c r="V5" s="45" t="s">
        <v>50</v>
      </c>
      <c r="W5" s="45" t="s">
        <v>51</v>
      </c>
      <c r="X5" s="45" t="s">
        <v>52</v>
      </c>
      <c r="Y5" s="45" t="s">
        <v>53</v>
      </c>
      <c r="Z5" s="45" t="s">
        <v>54</v>
      </c>
      <c r="AA5" s="45" t="s">
        <v>55</v>
      </c>
      <c r="AB5" s="45" t="s">
        <v>56</v>
      </c>
      <c r="AC5" s="45" t="s">
        <v>57</v>
      </c>
      <c r="AD5" s="45" t="s">
        <v>58</v>
      </c>
      <c r="AE5" s="45" t="s">
        <v>59</v>
      </c>
      <c r="AF5" s="45" t="s">
        <v>60</v>
      </c>
      <c r="AG5" s="45" t="s">
        <v>61</v>
      </c>
      <c r="AH5" s="45" t="s">
        <v>62</v>
      </c>
      <c r="AI5" s="45" t="s">
        <v>63</v>
      </c>
      <c r="AJ5" s="45" t="s">
        <v>64</v>
      </c>
      <c r="AK5" s="45" t="s">
        <v>65</v>
      </c>
      <c r="AL5" s="45" t="s">
        <v>66</v>
      </c>
      <c r="AM5" s="45" t="s">
        <v>67</v>
      </c>
      <c r="AN5" s="45" t="s">
        <v>68</v>
      </c>
      <c r="AO5" s="45" t="s">
        <v>69</v>
      </c>
      <c r="AP5" s="45" t="s">
        <v>70</v>
      </c>
      <c r="AQ5" s="45" t="s">
        <v>71</v>
      </c>
      <c r="AR5" s="45" t="s">
        <v>72</v>
      </c>
      <c r="AS5" s="45" t="s">
        <v>73</v>
      </c>
      <c r="AT5" s="45" t="s">
        <v>74</v>
      </c>
      <c r="AU5" s="45" t="s">
        <v>75</v>
      </c>
      <c r="AV5" s="45" t="s">
        <v>76</v>
      </c>
      <c r="AW5" s="45" t="s">
        <v>77</v>
      </c>
      <c r="AX5" s="45" t="s">
        <v>78</v>
      </c>
      <c r="AY5" s="45" t="s">
        <v>79</v>
      </c>
      <c r="AZ5" s="45" t="s">
        <v>80</v>
      </c>
      <c r="BA5" s="45" t="s">
        <v>81</v>
      </c>
      <c r="BB5" s="45" t="s">
        <v>82</v>
      </c>
      <c r="BC5" s="45" t="s">
        <v>83</v>
      </c>
      <c r="BD5" s="45" t="s">
        <v>84</v>
      </c>
      <c r="BE5" s="45" t="s">
        <v>85</v>
      </c>
      <c r="BF5" s="45" t="s">
        <v>86</v>
      </c>
      <c r="BG5" s="45" t="s">
        <v>87</v>
      </c>
      <c r="BH5" s="45" t="s">
        <v>88</v>
      </c>
      <c r="BI5" s="45" t="s">
        <v>89</v>
      </c>
      <c r="BJ5" s="45" t="s">
        <v>90</v>
      </c>
      <c r="BK5" s="45" t="s">
        <v>91</v>
      </c>
      <c r="BL5" s="45" t="s">
        <v>92</v>
      </c>
      <c r="BM5" s="45" t="s">
        <v>93</v>
      </c>
      <c r="BN5" s="45" t="s">
        <v>94</v>
      </c>
      <c r="BO5" s="45" t="s">
        <v>95</v>
      </c>
      <c r="BP5" s="45" t="s">
        <v>96</v>
      </c>
      <c r="BQ5" s="42"/>
      <c r="BR5" s="42"/>
      <c r="BS5" s="42"/>
      <c r="BT5" s="42"/>
      <c r="BU5" s="42"/>
      <c r="BV5" s="42"/>
      <c r="BW5" s="42"/>
      <c r="BX5" s="42"/>
      <c r="BY5" s="42"/>
      <c r="BZ5" s="42"/>
      <c r="CA5" s="42"/>
      <c r="CB5" s="42"/>
      <c r="CC5" s="42"/>
      <c r="CD5" s="42"/>
      <c r="CE5" s="42"/>
      <c r="CF5" s="42"/>
      <c r="CG5" s="42"/>
      <c r="CH5" s="42"/>
      <c r="CI5" s="42"/>
      <c r="CJ5" s="42"/>
      <c r="CK5" s="42"/>
      <c r="CL5" s="42"/>
      <c r="CM5" s="42"/>
      <c r="CN5" s="42"/>
      <c r="CO5" s="42"/>
      <c r="CP5" s="42"/>
      <c r="CQ5" s="42"/>
      <c r="CR5" s="42"/>
      <c r="CS5" s="42"/>
      <c r="CT5" s="42"/>
      <c r="CU5" s="42"/>
      <c r="CV5" s="42"/>
      <c r="CW5" s="42"/>
      <c r="CX5" s="42"/>
      <c r="CY5" s="42"/>
      <c r="CZ5" s="42"/>
      <c r="DA5" s="42"/>
      <c r="DB5" s="42"/>
      <c r="DC5" s="42"/>
      <c r="DD5" s="42"/>
      <c r="DE5" s="42"/>
      <c r="DF5" s="42"/>
      <c r="DG5" s="42"/>
      <c r="DH5" s="42"/>
      <c r="DI5" s="42"/>
      <c r="DJ5" s="42"/>
      <c r="DK5" s="42"/>
      <c r="DL5" s="42"/>
      <c r="DM5" s="42"/>
      <c r="DN5" s="42"/>
      <c r="DO5" s="42"/>
      <c r="DP5" s="42"/>
      <c r="DQ5" s="42"/>
      <c r="DR5" s="42"/>
      <c r="DS5" s="42"/>
      <c r="DT5" s="42"/>
      <c r="DU5" s="42"/>
      <c r="DV5" s="42"/>
      <c r="DW5" s="42"/>
      <c r="DX5" s="42"/>
      <c r="DY5" s="42"/>
      <c r="DZ5" s="42"/>
      <c r="EA5" s="42"/>
      <c r="EB5" s="42"/>
      <c r="EC5" s="42"/>
      <c r="ED5" s="42"/>
      <c r="EE5" s="42"/>
      <c r="EF5" s="42"/>
      <c r="EG5" s="42"/>
      <c r="EH5" s="42"/>
      <c r="EI5" s="42"/>
      <c r="EJ5" s="42"/>
      <c r="EK5" s="42"/>
      <c r="EL5" s="42"/>
      <c r="EM5" s="42"/>
      <c r="EN5" s="42"/>
      <c r="EO5" s="42"/>
      <c r="EP5" s="42"/>
      <c r="EQ5" s="42"/>
      <c r="ER5" s="42"/>
      <c r="ES5" s="42"/>
      <c r="ET5" s="42"/>
      <c r="EU5" s="42"/>
      <c r="EV5" s="42"/>
      <c r="EW5" s="42"/>
      <c r="EX5" s="42"/>
    </row>
    <row r="6" ht="15.75" customHeight="1">
      <c r="A6" s="34"/>
      <c r="B6" s="34"/>
      <c r="C6" s="37"/>
      <c r="D6" s="34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 t="s">
        <v>19</v>
      </c>
      <c r="AJ6" s="37" t="s">
        <v>22</v>
      </c>
      <c r="AK6" s="37" t="s">
        <v>97</v>
      </c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98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IFERROR(__xludf.DUMMYFUNCTION("""COMPUTED_VALUE"""),"TargetAllocationQuantity")</f>
        <v>TargetAllocationQuantity</v>
      </c>
      <c r="F5" s="29" t="str">
        <f>IFERROR(__xludf.DUMMYFUNCTION("""COMPUTED_VALUE"""),"ViewAllocationVerfication")</f>
        <v>ViewAllocationVerfication</v>
      </c>
      <c r="G5" s="28" t="str">
        <f>IFERROR(__xludf.DUMMYFUNCTION("""COMPUTED_VALUE"""),"RESET")</f>
        <v>RESET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6" t="s">
        <v>99</v>
      </c>
      <c r="D6" s="46">
        <v>100.0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100</v>
      </c>
      <c r="D3" s="5" t="s">
        <v>9</v>
      </c>
      <c r="E3" s="23" t="s">
        <v>101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IFERROR(__xludf.DUMMYFUNCTION("""COMPUTED_VALUE"""),"DateOrReset")</f>
        <v>DateOrReset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102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103</v>
      </c>
      <c r="D3" s="5" t="s">
        <v>9</v>
      </c>
      <c r="E3" s="23" t="s">
        <v>104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>
        <v>315.95</v>
      </c>
      <c r="C6" s="41">
        <v>200.0</v>
      </c>
      <c r="D6" s="13" t="b">
        <v>1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105</v>
      </c>
      <c r="D3" s="5" t="s">
        <v>9</v>
      </c>
      <c r="E3" s="23" t="s">
        <v>106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107</v>
      </c>
      <c r="C6" s="47">
        <f>today()-10</f>
        <v>45948</v>
      </c>
      <c r="D6" s="47">
        <f>today()+100</f>
        <v>46058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105</v>
      </c>
      <c r="D3" s="5" t="s">
        <v>9</v>
      </c>
      <c r="E3" s="23" t="s">
        <v>108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99</v>
      </c>
      <c r="C6" s="37" t="s">
        <v>109</v>
      </c>
      <c r="D6" s="34"/>
      <c r="E6" s="48"/>
      <c r="F6" s="37" t="s">
        <v>110</v>
      </c>
      <c r="G6" s="37" t="s">
        <v>111</v>
      </c>
      <c r="H6" s="38">
        <v>4.0</v>
      </c>
      <c r="I6" s="38">
        <v>5.0</v>
      </c>
      <c r="J6" s="38">
        <v>1.0</v>
      </c>
      <c r="K6" s="37"/>
      <c r="L6" s="37"/>
      <c r="M6" s="37" t="s">
        <v>112</v>
      </c>
      <c r="N6" s="37" t="s">
        <v>113</v>
      </c>
      <c r="O6" s="37" t="s">
        <v>114</v>
      </c>
      <c r="P6" s="37"/>
      <c r="Q6" s="38">
        <v>3.0</v>
      </c>
      <c r="R6" s="38">
        <v>0.0</v>
      </c>
      <c r="S6" s="37" t="s">
        <v>115</v>
      </c>
      <c r="T6" s="37"/>
      <c r="U6" s="37"/>
      <c r="V6" s="37" t="s">
        <v>116</v>
      </c>
      <c r="W6" s="37"/>
      <c r="X6" s="38"/>
      <c r="Y6" s="37"/>
      <c r="Z6" s="37" t="s">
        <v>117</v>
      </c>
      <c r="AA6" s="37" t="s">
        <v>19</v>
      </c>
      <c r="AB6" s="37"/>
      <c r="AC6" s="37"/>
      <c r="AD6" s="37" t="s">
        <v>118</v>
      </c>
      <c r="AE6" s="48"/>
      <c r="AF6" s="37"/>
      <c r="AG6" s="37"/>
      <c r="AH6" s="37" t="s">
        <v>119</v>
      </c>
      <c r="AI6" s="38">
        <v>1.0</v>
      </c>
      <c r="AJ6" s="37"/>
      <c r="AK6" s="37"/>
      <c r="AL6" s="37"/>
      <c r="AM6" s="37"/>
      <c r="AN6" s="37"/>
      <c r="AO6" s="37"/>
      <c r="AP6" s="49" t="b">
        <v>0</v>
      </c>
      <c r="AQ6" s="49" t="b">
        <v>0</v>
      </c>
      <c r="AR6" s="49" t="b">
        <v>0</v>
      </c>
      <c r="AS6" s="37"/>
      <c r="AT6" s="37"/>
      <c r="AU6" s="37"/>
      <c r="AV6" s="37"/>
      <c r="AW6" s="37"/>
      <c r="AX6" s="37"/>
      <c r="AY6" s="37" t="s">
        <v>24</v>
      </c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48"/>
      <c r="BK6" s="38">
        <v>0.0</v>
      </c>
      <c r="BL6" s="37"/>
      <c r="BM6" s="37" t="s">
        <v>117</v>
      </c>
      <c r="BN6" s="37"/>
      <c r="BO6" s="37" t="s">
        <v>22</v>
      </c>
      <c r="BP6" s="37"/>
      <c r="BQ6" s="37"/>
      <c r="BR6" s="37"/>
      <c r="BS6" s="37" t="s">
        <v>120</v>
      </c>
      <c r="BT6" s="37" t="s">
        <v>19</v>
      </c>
      <c r="BU6" s="38">
        <v>3.0</v>
      </c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 t="s">
        <v>121</v>
      </c>
      <c r="CL6" s="38">
        <v>1.0</v>
      </c>
      <c r="CM6" s="37" t="s">
        <v>19</v>
      </c>
      <c r="CN6" s="37" t="s">
        <v>122</v>
      </c>
      <c r="CO6" s="37" t="s">
        <v>118</v>
      </c>
      <c r="CP6" s="37" t="s">
        <v>123</v>
      </c>
      <c r="CQ6" s="37"/>
      <c r="CR6" s="37"/>
      <c r="CS6" s="37"/>
      <c r="CT6" s="37"/>
      <c r="CU6" s="37"/>
      <c r="CV6" s="37"/>
      <c r="CW6" s="37"/>
      <c r="CX6" s="37" t="s">
        <v>124</v>
      </c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105</v>
      </c>
      <c r="D3" s="5" t="s">
        <v>9</v>
      </c>
      <c r="E3" s="23" t="s">
        <v>125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19</v>
      </c>
      <c r="C6" s="37"/>
      <c r="D6" s="34"/>
      <c r="E6" s="36" t="s">
        <v>99</v>
      </c>
      <c r="F6" s="36" t="s">
        <v>22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105</v>
      </c>
      <c r="D3" s="5" t="s">
        <v>9</v>
      </c>
      <c r="E3" s="23" t="s">
        <v>126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127</v>
      </c>
      <c r="C6" s="41">
        <v>100.0</v>
      </c>
      <c r="D6" s="34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105</v>
      </c>
      <c r="D3" s="5" t="s">
        <v>9</v>
      </c>
      <c r="E3" s="23" t="s">
        <v>125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19</v>
      </c>
      <c r="C6" s="37"/>
      <c r="D6" s="34"/>
      <c r="E6" s="50" t="s">
        <v>127</v>
      </c>
      <c r="F6" s="36" t="s">
        <v>22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105</v>
      </c>
      <c r="D3" s="5" t="s">
        <v>9</v>
      </c>
      <c r="E3" s="23" t="s">
        <v>126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128</v>
      </c>
      <c r="C6" s="41">
        <v>100.0</v>
      </c>
      <c r="D6" s="34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100</v>
      </c>
      <c r="D3" s="5" t="s">
        <v>9</v>
      </c>
      <c r="E3" s="23" t="s">
        <v>101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IFERROR(__xludf.DUMMYFUNCTION("""COMPUTED_VALUE"""),"DateOrReset")</f>
        <v>DateOrReset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129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0">
        <v>315.95</v>
      </c>
      <c r="C6" s="41">
        <v>300.0</v>
      </c>
      <c r="D6" s="51" t="b">
        <v>1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105</v>
      </c>
      <c r="D3" s="5" t="s">
        <v>9</v>
      </c>
      <c r="E3" s="23" t="s">
        <v>108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50" t="s">
        <v>128</v>
      </c>
      <c r="C6" s="37" t="s">
        <v>109</v>
      </c>
      <c r="D6" s="34"/>
      <c r="E6" s="48"/>
      <c r="F6" s="37" t="s">
        <v>110</v>
      </c>
      <c r="G6" s="37" t="s">
        <v>111</v>
      </c>
      <c r="H6" s="38">
        <v>4.0</v>
      </c>
      <c r="I6" s="38">
        <v>5.0</v>
      </c>
      <c r="J6" s="38">
        <v>1.0</v>
      </c>
      <c r="K6" s="37"/>
      <c r="L6" s="37"/>
      <c r="M6" s="37" t="s">
        <v>112</v>
      </c>
      <c r="N6" s="37" t="s">
        <v>113</v>
      </c>
      <c r="O6" s="37" t="s">
        <v>114</v>
      </c>
      <c r="P6" s="37"/>
      <c r="Q6" s="38">
        <v>3.0</v>
      </c>
      <c r="R6" s="38">
        <v>0.0</v>
      </c>
      <c r="S6" s="37" t="s">
        <v>115</v>
      </c>
      <c r="T6" s="37"/>
      <c r="U6" s="37"/>
      <c r="V6" s="37" t="s">
        <v>116</v>
      </c>
      <c r="W6" s="37"/>
      <c r="X6" s="38"/>
      <c r="Y6" s="37"/>
      <c r="Z6" s="37" t="s">
        <v>117</v>
      </c>
      <c r="AA6" s="37" t="s">
        <v>19</v>
      </c>
      <c r="AB6" s="37"/>
      <c r="AC6" s="37"/>
      <c r="AD6" s="37" t="s">
        <v>118</v>
      </c>
      <c r="AE6" s="48"/>
      <c r="AF6" s="37"/>
      <c r="AG6" s="37"/>
      <c r="AH6" s="37" t="s">
        <v>119</v>
      </c>
      <c r="AI6" s="38">
        <v>1.0</v>
      </c>
      <c r="AJ6" s="37"/>
      <c r="AK6" s="37"/>
      <c r="AL6" s="37"/>
      <c r="AM6" s="37"/>
      <c r="AN6" s="37"/>
      <c r="AO6" s="37"/>
      <c r="AP6" s="49" t="b">
        <v>0</v>
      </c>
      <c r="AQ6" s="49" t="b">
        <v>0</v>
      </c>
      <c r="AR6" s="49" t="b">
        <v>0</v>
      </c>
      <c r="AS6" s="37"/>
      <c r="AT6" s="37"/>
      <c r="AU6" s="37"/>
      <c r="AV6" s="37"/>
      <c r="AW6" s="37"/>
      <c r="AX6" s="37"/>
      <c r="AY6" s="37" t="s">
        <v>24</v>
      </c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48"/>
      <c r="BK6" s="38">
        <v>0.0</v>
      </c>
      <c r="BL6" s="37"/>
      <c r="BM6" s="37" t="s">
        <v>117</v>
      </c>
      <c r="BN6" s="37"/>
      <c r="BO6" s="37" t="s">
        <v>22</v>
      </c>
      <c r="BP6" s="37"/>
      <c r="BQ6" s="37"/>
      <c r="BR6" s="37"/>
      <c r="BS6" s="37" t="s">
        <v>120</v>
      </c>
      <c r="BT6" s="37" t="s">
        <v>19</v>
      </c>
      <c r="BU6" s="38">
        <v>3.0</v>
      </c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 t="s">
        <v>121</v>
      </c>
      <c r="CL6" s="38">
        <v>1.0</v>
      </c>
      <c r="CM6" s="37" t="s">
        <v>19</v>
      </c>
      <c r="CN6" s="37" t="s">
        <v>122</v>
      </c>
      <c r="CO6" s="37" t="s">
        <v>118</v>
      </c>
      <c r="CP6" s="37" t="s">
        <v>123</v>
      </c>
      <c r="CQ6" s="37"/>
      <c r="CR6" s="37"/>
      <c r="CS6" s="37"/>
      <c r="CT6" s="37"/>
      <c r="CU6" s="37"/>
      <c r="CV6" s="37"/>
      <c r="CW6" s="37"/>
      <c r="CX6" s="51" t="s">
        <v>130</v>
      </c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