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MoveFile" sheetId="4" r:id="rId6"/>
    <sheet state="visible" name="CreateStageOrder" sheetId="5" r:id="rId7"/>
    <sheet state="visible" name="SelectTradeOnOrderGrid" sheetId="6" r:id="rId8"/>
    <sheet state="visible" name="TradeNewSubOrder" sheetId="7" r:id="rId9"/>
    <sheet state="visible" name="CreateNewSubOrder" sheetId="8" r:id="rId10"/>
    <sheet state="visible" name="VerifyOrder" sheetId="9" r:id="rId11"/>
    <sheet state="visible" name="ReplaceSubOrder" sheetId="10" r:id="rId12"/>
    <sheet state="visible" name="CreateReplaceOrder" sheetId="11" r:id="rId13"/>
    <sheet state="visible" name="VerifyOrder1" sheetId="12" r:id="rId14"/>
    <sheet state="visible" name="OpenRTPNL" sheetId="13" r:id="rId15"/>
    <sheet state="visible" name="SelectRowAtRTSAccountMonitor" sheetId="14" r:id="rId16"/>
    <sheet state="visible" name="IncreaseOrUnwindPositionRTPNL" sheetId="15" r:id="rId17"/>
    <sheet state="visible" name="CreateDoneAwayOrder" sheetId="16" r:id="rId18"/>
    <sheet state="visible" name="VerifyOrder2" sheetId="17" r:id="rId19"/>
    <sheet state="visible" name="SetBrokerWisePreferencesTT" sheetId="18" r:id="rId20"/>
    <sheet state="visible" name="CreateStageOrder1" sheetId="19" r:id="rId21"/>
    <sheet state="visible" name="SelectTradeOnOrderGrid1" sheetId="20" r:id="rId22"/>
    <sheet state="visible" name="TradeNewSubOrder1" sheetId="21" r:id="rId23"/>
    <sheet state="visible" name="CreateNewSubOrder1" sheetId="22" r:id="rId24"/>
    <sheet state="visible" name="VerifyOrder3" sheetId="23" r:id="rId25"/>
    <sheet state="visible" name="ReplaceSubOrder1" sheetId="24" r:id="rId26"/>
    <sheet state="visible" name="CreateReplaceOrder1" sheetId="25" r:id="rId27"/>
    <sheet state="visible" name="VerifyOrder4" sheetId="26" r:id="rId28"/>
    <sheet state="visible" name="SelectRowAtRTSAccountMonitor1" sheetId="27" r:id="rId29"/>
    <sheet state="visible" name="IncreaseOrUnwindPositionRTPNL1" sheetId="28" r:id="rId30"/>
    <sheet state="visible" name="CreateDoneAwayOrder1" sheetId="29" r:id="rId31"/>
    <sheet state="visible" name="VerifyOrder5" sheetId="30" r:id="rId32"/>
    <sheet state="visible" name="LoginClient" sheetId="31" r:id="rId33"/>
  </sheets>
  <definedNames/>
  <calcPr/>
</workbook>
</file>

<file path=xl/sharedStrings.xml><?xml version="1.0" encoding="utf-8"?>
<sst xmlns="http://schemas.openxmlformats.org/spreadsheetml/2006/main" count="290" uniqueCount="48">
  <si>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</si>
  <si>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</si>
  <si>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</si>
  <si>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</si>
  <si>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</si>
  <si>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</si>
  <si>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</si>
  <si>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</si>
  <si>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</si>
  <si>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</si>
  <si>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</si>
  <si>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</si>
  <si>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PranaClient</t>
  </si>
  <si>
    <t>MoveFile</t>
  </si>
  <si>
    <t>Data Format</t>
  </si>
  <si>
    <t>Input Format</t>
  </si>
  <si>
    <t>E:\DistributedAutomation\TestAutomationSamsara\Release\TradingService\xmls\AlgoStrategiesPath\Broker-1.xml</t>
  </si>
  <si>
    <t>E:\DistributedAutomation\TestAutomationSamsara\Release\TradingService\xmls\Temp\Broker-1.xml</t>
  </si>
  <si>
    <t>TradingTicket</t>
  </si>
  <si>
    <t>CreateStageOrder</t>
  </si>
  <si>
    <t>AAPL</t>
  </si>
  <si>
    <t>Buy</t>
  </si>
  <si>
    <t>Blotter</t>
  </si>
  <si>
    <t>SelectTradeOnOrderGrid</t>
  </si>
  <si>
    <t>TradeNewSubOrder</t>
  </si>
  <si>
    <t>CreateNewSubOrder</t>
  </si>
  <si>
    <t>Yes</t>
  </si>
  <si>
    <t>VerifyOrder</t>
  </si>
  <si>
    <t>Filled</t>
  </si>
  <si>
    <t>MS</t>
  </si>
  <si>
    <t>Allocation1</t>
  </si>
  <si>
    <t>ReplaceSubOrder</t>
  </si>
  <si>
    <t>CreateReplaceOrder</t>
  </si>
  <si>
    <t>RTPNL</t>
  </si>
  <si>
    <t>OpenRTPNL</t>
  </si>
  <si>
    <t>Nirvana,PM</t>
  </si>
  <si>
    <t>Summary</t>
  </si>
  <si>
    <t>SelectRowAtRTSAccountMonitor</t>
  </si>
  <si>
    <t>IncreaseOrUnwindPositionRTPNL</t>
  </si>
  <si>
    <t>Increase Position</t>
  </si>
  <si>
    <t>CreateDoneAwayOrder</t>
  </si>
  <si>
    <t>NASDAQ</t>
  </si>
  <si>
    <t>SetBrokerWisePreferencesTT</t>
  </si>
  <si>
    <t>Algo</t>
  </si>
  <si>
    <t>MSFT</t>
  </si>
  <si>
    <t>LoginClient</t>
  </si>
  <si>
    <t>Support6</t>
  </si>
  <si>
    <t>Nirvana@1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</si>
</sst>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4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4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4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4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4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4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4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4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4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4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4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4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4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4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4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4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4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4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4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4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4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4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41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41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41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41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41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4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78.25"/>
    <col customWidth="1" min="3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IFERROR(__xludf.DUMMYFUNCTION("""COMPUTED_VALUE"""),"SourcePath")</f>
        <v>SourcePath</v>
      </c>
      <c r="C5" s="27" t="str">
        <f>IFERROR(__xludf.DUMMYFUNCTION("""COMPUTED_VALUE"""),"DestinationPath")</f>
        <v>DestinationPath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MoveFile!$4:$4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20</v>
      </c>
      <c r="C6" s="32" t="s">
        <v>21</v>
      </c>
      <c r="D6" s="34">
        <v>100.0</v>
      </c>
      <c r="E6" s="33"/>
      <c r="F6" s="33"/>
      <c r="G6" s="33"/>
      <c r="H6" s="33"/>
      <c r="I6" s="33"/>
      <c r="J6" s="35">
        <v>10.0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1" t="s">
        <v>20</v>
      </c>
      <c r="E6" s="33"/>
      <c r="F6" s="32" t="s">
        <v>21</v>
      </c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 t="s">
        <v>20</v>
      </c>
      <c r="AJ6" s="33" t="s">
        <v>21</v>
      </c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 t="str">
        <f>IFERROR(__xludf.DUMMYFUNCTION("""COMPUTED_VALUE"""),"ClearOldCA")</f>
        <v>ClearOldCA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4">
        <v>100.0</v>
      </c>
      <c r="E6" s="35">
        <v>100.0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 t="s">
        <v>26</v>
      </c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 t="s">
        <v>20</v>
      </c>
      <c r="AJ6" s="33" t="s">
        <v>21</v>
      </c>
      <c r="AK6" s="33" t="s">
        <v>28</v>
      </c>
      <c r="AL6" s="36">
        <v>100.0</v>
      </c>
      <c r="AM6" s="36">
        <v>100.0</v>
      </c>
      <c r="AN6" s="36">
        <v>100.0</v>
      </c>
      <c r="AO6" s="33"/>
      <c r="AP6" s="33"/>
      <c r="AQ6" s="33"/>
      <c r="AR6" s="33"/>
      <c r="AS6" s="33" t="s">
        <v>29</v>
      </c>
      <c r="AT6" s="33" t="s">
        <v>30</v>
      </c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 t="s">
        <v>20</v>
      </c>
      <c r="AK6" s="33" t="s">
        <v>21</v>
      </c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34">
        <v>200.0</v>
      </c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 t="s">
        <v>20</v>
      </c>
      <c r="AJ6" s="33" t="s">
        <v>21</v>
      </c>
      <c r="AK6" s="38" t="s">
        <v>28</v>
      </c>
      <c r="AL6" s="39">
        <v>100.0</v>
      </c>
      <c r="AM6" s="36">
        <v>100.0</v>
      </c>
      <c r="AN6" s="39">
        <v>100.0</v>
      </c>
      <c r="AO6" s="33"/>
      <c r="AP6" s="33"/>
      <c r="AQ6" s="33"/>
      <c r="AR6" s="33"/>
      <c r="AS6" s="33" t="s">
        <v>29</v>
      </c>
      <c r="AT6" s="33" t="s">
        <v>30</v>
      </c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35</v>
      </c>
      <c r="C6" s="32" t="s">
        <v>36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OpenRTPNL!$4:$4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IFERROR(__xludf.DUMMYFUNCTION("""COMPUTED_VALUE"""),"Fund")</f>
        <v>Fund</v>
      </c>
      <c r="E5" s="27" t="str">
        <f>IFERROR(__xludf.DUMMYFUNCTION("""COMPUTED_VALUE"""),"Account")</f>
        <v>Account</v>
      </c>
      <c r="F5" s="28" t="str">
        <f>IFERROR(__xludf.DUMMYFUNCTION("""COMPUTED_VALUE"""),"Asset Class")</f>
        <v>Asset Class</v>
      </c>
      <c r="G5" s="27" t="str">
        <f>IFERROR(__xludf.DUMMYFUNCTION("""COMPUTED_VALUE"""),"Position")</f>
        <v>Position</v>
      </c>
      <c r="H5" s="27" t="str">
        <f>IFERROR(__xludf.DUMMYFUNCTION("""COMPUTED_VALUE"""),"Position Side")</f>
        <v>Position Side</v>
      </c>
      <c r="I5" s="27" t="str">
        <f>IFERROR(__xludf.DUMMYFUNCTION("""COMPUTED_VALUE"""),"Px Selected Feed (Local)")</f>
        <v>Px Selected Feed (Local)</v>
      </c>
      <c r="J5" s="27" t="str">
        <f>IFERROR(__xludf.DUMMYFUNCTION("""COMPUTED_VALUE"""),"Px Selected Feed (Base)")</f>
        <v>Px Selected Feed (Base)</v>
      </c>
      <c r="K5" s="27" t="str">
        <f>IFERROR(__xludf.DUMMYFUNCTION("""COMPUTED_VALUE"""),"Market Value (Base)")</f>
        <v>Market Value (Base)</v>
      </c>
      <c r="L5" s="27" t="str">
        <f>IFERROR(__xludf.DUMMYFUNCTION("""COMPUTED_VALUE"""),"% Net Market Value (Base)")</f>
        <v>% Net Market Value (Base)</v>
      </c>
      <c r="M5" s="27" t="str">
        <f>IFERROR(__xludf.DUMMYFUNCTION("""COMPUTED_VALUE"""),"Cost Basis P&amp;L (Base)")</f>
        <v>Cost Basis P&amp;L (Base)</v>
      </c>
      <c r="N5" s="27" t="str">
        <f>IFERROR(__xludf.DUMMYFUNCTION("""COMPUTED_VALUE"""),"% Gain/Loss Cost")</f>
        <v>% Gain/Loss Cost</v>
      </c>
      <c r="O5" s="27" t="str">
        <f>IFERROR(__xludf.DUMMYFUNCTION("""COMPUTED_VALUE"""),"Day P&amp;L (Base)")</f>
        <v>Day P&amp;L (Base)</v>
      </c>
      <c r="P5" s="27" t="str">
        <f>IFERROR(__xludf.DUMMYFUNCTION("""COMPUTED_VALUE"""),"% Gain/Loss Day")</f>
        <v>% Gain/Loss Day</v>
      </c>
      <c r="Q5" s="27" t="str">
        <f>IFERROR(__xludf.DUMMYFUNCTION("""COMPUTED_VALUE"""),"Exposure (Base)")</f>
        <v>Exposure (Base)</v>
      </c>
      <c r="R5" s="27" t="str">
        <f>IFERROR(__xludf.DUMMYFUNCTION("""COMPUTED_VALUE"""),"% Exposure (Base)")</f>
        <v>% Exposure (Base)</v>
      </c>
      <c r="S5" s="27" t="str">
        <f>IFERROR(__xludf.DUMMYFUNCTION("""COMPUTED_VALUE"""),"Live Feed Provider Ticker")</f>
        <v>Live Feed Provider Ticker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20</v>
      </c>
      <c r="C6" s="8"/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SelectRowAtRTSAccountMonitor!$4:$4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IFERROR(__xludf.DUMMYFUNCTION("""COMPUTED_VALUE"""),"Fund")</f>
        <v>Fund</v>
      </c>
      <c r="E5" s="27" t="str">
        <f>IFERROR(__xludf.DUMMYFUNCTION("""COMPUTED_VALUE"""),"Account")</f>
        <v>Account</v>
      </c>
      <c r="F5" s="28" t="str">
        <f>IFERROR(__xludf.DUMMYFUNCTION("""COMPUTED_VALUE"""),"Asset Class")</f>
        <v>Asset Class</v>
      </c>
      <c r="G5" s="27" t="str">
        <f>IFERROR(__xludf.DUMMYFUNCTION("""COMPUTED_VALUE"""),"Position")</f>
        <v>Position</v>
      </c>
      <c r="H5" s="27" t="str">
        <f>IFERROR(__xludf.DUMMYFUNCTION("""COMPUTED_VALUE"""),"Position Side")</f>
        <v>Position Side</v>
      </c>
      <c r="I5" s="27" t="str">
        <f>IFERROR(__xludf.DUMMYFUNCTION("""COMPUTED_VALUE"""),"Px Selected Feed (Local)")</f>
        <v>Px Selected Feed (Local)</v>
      </c>
      <c r="J5" s="27" t="str">
        <f>IFERROR(__xludf.DUMMYFUNCTION("""COMPUTED_VALUE"""),"Px Selected Feed (Base)")</f>
        <v>Px Selected Feed (Base)</v>
      </c>
      <c r="K5" s="27" t="str">
        <f>IFERROR(__xludf.DUMMYFUNCTION("""COMPUTED_VALUE"""),"Market Value (Base)")</f>
        <v>Market Value (Base)</v>
      </c>
      <c r="L5" s="27" t="str">
        <f>IFERROR(__xludf.DUMMYFUNCTION("""COMPUTED_VALUE"""),"% Net Market Value (Base)")</f>
        <v>% Net Market Value (Base)</v>
      </c>
      <c r="M5" s="27" t="str">
        <f>IFERROR(__xludf.DUMMYFUNCTION("""COMPUTED_VALUE"""),"Cost Basis P&amp;L (Base)")</f>
        <v>Cost Basis P&amp;L (Base)</v>
      </c>
      <c r="N5" s="27" t="str">
        <f>IFERROR(__xludf.DUMMYFUNCTION("""COMPUTED_VALUE"""),"% Gain/Loss Cost")</f>
        <v>% Gain/Loss Cost</v>
      </c>
      <c r="O5" s="27" t="str">
        <f>IFERROR(__xludf.DUMMYFUNCTION("""COMPUTED_VALUE"""),"Day P&amp;L (Base)")</f>
        <v>Day P&amp;L (Base)</v>
      </c>
      <c r="P5" s="27" t="str">
        <f>IFERROR(__xludf.DUMMYFUNCTION("""COMPUTED_VALUE"""),"% Gain/Loss Day")</f>
        <v>% Gain/Loss Day</v>
      </c>
      <c r="Q5" s="27" t="str">
        <f>IFERROR(__xludf.DUMMYFUNCTION("""COMPUTED_VALUE"""),"Exposure (Base)")</f>
        <v>Exposure (Base)</v>
      </c>
      <c r="R5" s="27" t="str">
        <f>IFERROR(__xludf.DUMMYFUNCTION("""COMPUTED_VALUE"""),"% Exposure (Base)")</f>
        <v>% Exposure (Base)</v>
      </c>
      <c r="S5" s="27" t="str">
        <f>IFERROR(__xludf.DUMMYFUNCTION("""COMPUTED_VALUE"""),"Live Feed Provider Ticker")</f>
        <v>Live Feed Provider Ticker</v>
      </c>
      <c r="T5" s="29" t="str">
        <f>IFERROR(__xludf.DUMMYFUNCTION("""COMPUTED_VALUE"""),"PositionAction")</f>
        <v>PositionAction</v>
      </c>
      <c r="U5" s="29" t="str">
        <f>IFERROR(__xludf.DUMMYFUNCTION("""COMPUTED_VALUE"""),"VerifyOptionsList")</f>
        <v>VerifyOptionsList</v>
      </c>
      <c r="V5" s="29" t="str">
        <f>IFERROR(__xludf.DUMMYFUNCTION("""COMPUTED_VALUE"""),"Disable/Grey buttons")</f>
        <v>Disable/Grey buttons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20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40" t="s">
        <v>39</v>
      </c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IncreaseOrUnwindPositionRTPNL!$4:$4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20</v>
      </c>
      <c r="C6" s="33"/>
      <c r="D6" s="34">
        <v>200.0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 t="s">
        <v>26</v>
      </c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3"/>
      <c r="H6" s="32" t="s">
        <v>41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 t="s">
        <v>20</v>
      </c>
      <c r="AJ6" s="33" t="s">
        <v>21</v>
      </c>
      <c r="AK6" s="33" t="s">
        <v>28</v>
      </c>
      <c r="AL6" s="36">
        <v>100.0</v>
      </c>
      <c r="AM6" s="36">
        <v>100.0</v>
      </c>
      <c r="AN6" s="36">
        <v>100.0</v>
      </c>
      <c r="AO6" s="33"/>
      <c r="AP6" s="33"/>
      <c r="AQ6" s="33"/>
      <c r="AR6" s="33"/>
      <c r="AS6" s="33" t="s">
        <v>29</v>
      </c>
      <c r="AT6" s="33" t="s">
        <v>30</v>
      </c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/>
      <c r="C7" s="33"/>
      <c r="D7" s="33"/>
      <c r="E7" s="33"/>
      <c r="F7" s="33"/>
      <c r="G7" s="33"/>
      <c r="H7" s="32" t="s">
        <v>41</v>
      </c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 t="s">
        <v>20</v>
      </c>
      <c r="AJ7" s="33" t="s">
        <v>21</v>
      </c>
      <c r="AK7" s="33" t="s">
        <v>28</v>
      </c>
      <c r="AL7" s="36">
        <v>200.0</v>
      </c>
      <c r="AM7" s="36">
        <v>200.0</v>
      </c>
      <c r="AN7" s="36">
        <v>100.0</v>
      </c>
      <c r="AO7" s="33"/>
      <c r="AP7" s="33"/>
      <c r="AQ7" s="33"/>
      <c r="AR7" s="33"/>
      <c r="AS7" s="33" t="s">
        <v>29</v>
      </c>
      <c r="AT7" s="33" t="s">
        <v>30</v>
      </c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IFERROR(__xludf.DUMMYFUNCTION("""COMPUTED_VALUE"""),"Broker")</f>
        <v>Broker</v>
      </c>
      <c r="C5" s="27" t="str">
        <f>IFERROR(__xludf.DUMMYFUNCTION("""COMPUTED_VALUE"""),"Commission Basis")</f>
        <v>Commission Basis</v>
      </c>
      <c r="D5" s="27" t="str">
        <f>IFERROR(__xludf.DUMMYFUNCTION("""COMPUTED_VALUE"""),"Soft Commission Basis")</f>
        <v>Soft Commission Basis</v>
      </c>
      <c r="E5" s="27" t="str">
        <f>IFERROR(__xludf.DUMMYFUNCTION("""COMPUTED_VALUE"""),"Execution Instruction")</f>
        <v>Execution Instruction</v>
      </c>
      <c r="F5" s="28" t="str">
        <f>IFERROR(__xludf.DUMMYFUNCTION("""COMPUTED_VALUE"""),"Venue")</f>
        <v>Venue</v>
      </c>
      <c r="G5" s="27" t="str">
        <f>IFERROR(__xludf.DUMMYFUNCTION("""COMPUTED_VALUE"""),"Algo Type")</f>
        <v>Algo Type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29</v>
      </c>
      <c r="C6" s="33"/>
      <c r="D6" s="30"/>
      <c r="E6" s="33"/>
      <c r="F6" s="32" t="s">
        <v>43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SetBrokerWisePreferencesTT!$4:$4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44</v>
      </c>
      <c r="C6" s="32" t="s">
        <v>21</v>
      </c>
      <c r="D6" s="34">
        <v>100.0</v>
      </c>
      <c r="E6" s="33"/>
      <c r="F6" s="33"/>
      <c r="G6" s="33"/>
      <c r="H6" s="33"/>
      <c r="I6" s="33"/>
      <c r="J6" s="35">
        <v>2.0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44</v>
      </c>
      <c r="E6" s="37"/>
      <c r="F6" s="12" t="s">
        <v>21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44</v>
      </c>
      <c r="AJ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TradeNewSubOrder1!$4:$4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 t="str">
        <f>IFERROR(__xludf.DUMMYFUNCTION("""COMPUTED_VALUE"""),"ClearOldCA")</f>
        <v>ClearOldCA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4">
        <v>100.0</v>
      </c>
      <c r="E6" s="35">
        <v>100.0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 t="s">
        <v>26</v>
      </c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CreateNewSubOrder1!$4:$4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3"/>
      <c r="H6" s="41" t="s">
        <v>43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 t="s">
        <v>44</v>
      </c>
      <c r="AJ6" s="33" t="s">
        <v>21</v>
      </c>
      <c r="AK6" s="33" t="s">
        <v>28</v>
      </c>
      <c r="AL6" s="36">
        <v>100.0</v>
      </c>
      <c r="AM6" s="36">
        <v>100.0</v>
      </c>
      <c r="AN6" s="36">
        <v>100.0</v>
      </c>
      <c r="AO6" s="33"/>
      <c r="AP6" s="33"/>
      <c r="AQ6" s="33"/>
      <c r="AR6" s="33"/>
      <c r="AS6" s="33" t="s">
        <v>29</v>
      </c>
      <c r="AT6" s="33" t="s">
        <v>30</v>
      </c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44</v>
      </c>
      <c r="AK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42">
        <v>200.0</v>
      </c>
      <c r="E6" s="35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 t="s">
        <v>26</v>
      </c>
      <c r="AP6" s="33"/>
      <c r="AQ6" s="33"/>
      <c r="AR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3"/>
      <c r="H6" s="41" t="s">
        <v>43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 t="s">
        <v>44</v>
      </c>
      <c r="AJ6" s="33" t="s">
        <v>21</v>
      </c>
      <c r="AK6" s="33" t="s">
        <v>28</v>
      </c>
      <c r="AL6" s="36">
        <v>100.0</v>
      </c>
      <c r="AM6" s="36">
        <v>100.0</v>
      </c>
      <c r="AN6" s="36">
        <v>100.0</v>
      </c>
      <c r="AO6" s="33"/>
      <c r="AP6" s="33"/>
      <c r="AQ6" s="33"/>
      <c r="AR6" s="33"/>
      <c r="AS6" s="33" t="s">
        <v>29</v>
      </c>
      <c r="AT6" s="33" t="s">
        <v>30</v>
      </c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VerifyOrder4!$4:$4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IFERROR(__xludf.DUMMYFUNCTION("""COMPUTED_VALUE"""),"Fund")</f>
        <v>Fund</v>
      </c>
      <c r="E5" s="27" t="str">
        <f>IFERROR(__xludf.DUMMYFUNCTION("""COMPUTED_VALUE"""),"Account")</f>
        <v>Account</v>
      </c>
      <c r="F5" s="28" t="str">
        <f>IFERROR(__xludf.DUMMYFUNCTION("""COMPUTED_VALUE"""),"Asset Class")</f>
        <v>Asset Class</v>
      </c>
      <c r="G5" s="27" t="str">
        <f>IFERROR(__xludf.DUMMYFUNCTION("""COMPUTED_VALUE"""),"Position")</f>
        <v>Position</v>
      </c>
      <c r="H5" s="27" t="str">
        <f>IFERROR(__xludf.DUMMYFUNCTION("""COMPUTED_VALUE"""),"Position Side")</f>
        <v>Position Side</v>
      </c>
      <c r="I5" s="27" t="str">
        <f>IFERROR(__xludf.DUMMYFUNCTION("""COMPUTED_VALUE"""),"Px Selected Feed (Local)")</f>
        <v>Px Selected Feed (Local)</v>
      </c>
      <c r="J5" s="27" t="str">
        <f>IFERROR(__xludf.DUMMYFUNCTION("""COMPUTED_VALUE"""),"Px Selected Feed (Base)")</f>
        <v>Px Selected Feed (Base)</v>
      </c>
      <c r="K5" s="27" t="str">
        <f>IFERROR(__xludf.DUMMYFUNCTION("""COMPUTED_VALUE"""),"Market Value (Base)")</f>
        <v>Market Value (Base)</v>
      </c>
      <c r="L5" s="27" t="str">
        <f>IFERROR(__xludf.DUMMYFUNCTION("""COMPUTED_VALUE"""),"% Net Market Value (Base)")</f>
        <v>% Net Market Value (Base)</v>
      </c>
      <c r="M5" s="27" t="str">
        <f>IFERROR(__xludf.DUMMYFUNCTION("""COMPUTED_VALUE"""),"Cost Basis P&amp;L (Base)")</f>
        <v>Cost Basis P&amp;L (Base)</v>
      </c>
      <c r="N5" s="27" t="str">
        <f>IFERROR(__xludf.DUMMYFUNCTION("""COMPUTED_VALUE"""),"% Gain/Loss Cost")</f>
        <v>% Gain/Loss Cost</v>
      </c>
      <c r="O5" s="27" t="str">
        <f>IFERROR(__xludf.DUMMYFUNCTION("""COMPUTED_VALUE"""),"Day P&amp;L (Base)")</f>
        <v>Day P&amp;L (Base)</v>
      </c>
      <c r="P5" s="27" t="str">
        <f>IFERROR(__xludf.DUMMYFUNCTION("""COMPUTED_VALUE"""),"% Gain/Loss Day")</f>
        <v>% Gain/Loss Day</v>
      </c>
      <c r="Q5" s="27" t="str">
        <f>IFERROR(__xludf.DUMMYFUNCTION("""COMPUTED_VALUE"""),"Exposure (Base)")</f>
        <v>Exposure (Base)</v>
      </c>
      <c r="R5" s="27" t="str">
        <f>IFERROR(__xludf.DUMMYFUNCTION("""COMPUTED_VALUE"""),"% Exposure (Base)")</f>
        <v>% Exposure (Base)</v>
      </c>
      <c r="S5" s="27" t="str">
        <f>IFERROR(__xludf.DUMMYFUNCTION("""COMPUTED_VALUE"""),"Live Feed Provider Ticker")</f>
        <v>Live Feed Provider Ticker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44</v>
      </c>
      <c r="C6" s="8"/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SelectRowAtRTSAccountMonitor1!$4:$4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IFERROR(__xludf.DUMMYFUNCTION("""COMPUTED_VALUE"""),"Fund")</f>
        <v>Fund</v>
      </c>
      <c r="E5" s="27" t="str">
        <f>IFERROR(__xludf.DUMMYFUNCTION("""COMPUTED_VALUE"""),"Account")</f>
        <v>Account</v>
      </c>
      <c r="F5" s="28" t="str">
        <f>IFERROR(__xludf.DUMMYFUNCTION("""COMPUTED_VALUE"""),"Asset Class")</f>
        <v>Asset Class</v>
      </c>
      <c r="G5" s="27" t="str">
        <f>IFERROR(__xludf.DUMMYFUNCTION("""COMPUTED_VALUE"""),"Position")</f>
        <v>Position</v>
      </c>
      <c r="H5" s="27" t="str">
        <f>IFERROR(__xludf.DUMMYFUNCTION("""COMPUTED_VALUE"""),"Position Side")</f>
        <v>Position Side</v>
      </c>
      <c r="I5" s="27" t="str">
        <f>IFERROR(__xludf.DUMMYFUNCTION("""COMPUTED_VALUE"""),"Px Selected Feed (Local)")</f>
        <v>Px Selected Feed (Local)</v>
      </c>
      <c r="J5" s="27" t="str">
        <f>IFERROR(__xludf.DUMMYFUNCTION("""COMPUTED_VALUE"""),"Px Selected Feed (Base)")</f>
        <v>Px Selected Feed (Base)</v>
      </c>
      <c r="K5" s="27" t="str">
        <f>IFERROR(__xludf.DUMMYFUNCTION("""COMPUTED_VALUE"""),"Market Value (Base)")</f>
        <v>Market Value (Base)</v>
      </c>
      <c r="L5" s="27" t="str">
        <f>IFERROR(__xludf.DUMMYFUNCTION("""COMPUTED_VALUE"""),"% Net Market Value (Base)")</f>
        <v>% Net Market Value (Base)</v>
      </c>
      <c r="M5" s="27" t="str">
        <f>IFERROR(__xludf.DUMMYFUNCTION("""COMPUTED_VALUE"""),"Cost Basis P&amp;L (Base)")</f>
        <v>Cost Basis P&amp;L (Base)</v>
      </c>
      <c r="N5" s="27" t="str">
        <f>IFERROR(__xludf.DUMMYFUNCTION("""COMPUTED_VALUE"""),"% Gain/Loss Cost")</f>
        <v>% Gain/Loss Cost</v>
      </c>
      <c r="O5" s="27" t="str">
        <f>IFERROR(__xludf.DUMMYFUNCTION("""COMPUTED_VALUE"""),"Day P&amp;L (Base)")</f>
        <v>Day P&amp;L (Base)</v>
      </c>
      <c r="P5" s="27" t="str">
        <f>IFERROR(__xludf.DUMMYFUNCTION("""COMPUTED_VALUE"""),"% Gain/Loss Day")</f>
        <v>% Gain/Loss Day</v>
      </c>
      <c r="Q5" s="27" t="str">
        <f>IFERROR(__xludf.DUMMYFUNCTION("""COMPUTED_VALUE"""),"Exposure (Base)")</f>
        <v>Exposure (Base)</v>
      </c>
      <c r="R5" s="27" t="str">
        <f>IFERROR(__xludf.DUMMYFUNCTION("""COMPUTED_VALUE"""),"% Exposure (Base)")</f>
        <v>% Exposure (Base)</v>
      </c>
      <c r="S5" s="27" t="str">
        <f>IFERROR(__xludf.DUMMYFUNCTION("""COMPUTED_VALUE"""),"Live Feed Provider Ticker")</f>
        <v>Live Feed Provider Ticker</v>
      </c>
      <c r="T5" s="29" t="str">
        <f>IFERROR(__xludf.DUMMYFUNCTION("""COMPUTED_VALUE"""),"PositionAction")</f>
        <v>PositionAction</v>
      </c>
      <c r="U5" s="29" t="str">
        <f>IFERROR(__xludf.DUMMYFUNCTION("""COMPUTED_VALUE"""),"VerifyOptionsList")</f>
        <v>VerifyOptionsList</v>
      </c>
      <c r="V5" s="29" t="str">
        <f>IFERROR(__xludf.DUMMYFUNCTION("""COMPUTED_VALUE"""),"Disable/Grey buttons")</f>
        <v>Disable/Grey buttons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44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40" t="s">
        <v>39</v>
      </c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IncreaseOrUnwindPositionRTPNL1!$4:$4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44</v>
      </c>
      <c r="C6" s="32"/>
      <c r="D6" s="34">
        <v>200.0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 t="s">
        <v>26</v>
      </c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3"/>
      <c r="H6" s="41" t="s">
        <v>43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 t="s">
        <v>44</v>
      </c>
      <c r="AJ6" s="33" t="s">
        <v>21</v>
      </c>
      <c r="AK6" s="33" t="s">
        <v>28</v>
      </c>
      <c r="AL6" s="36">
        <v>100.0</v>
      </c>
      <c r="AM6" s="36">
        <v>100.0</v>
      </c>
      <c r="AN6" s="36">
        <v>100.0</v>
      </c>
      <c r="AO6" s="33"/>
      <c r="AP6" s="33"/>
      <c r="AQ6" s="33"/>
      <c r="AR6" s="33"/>
      <c r="AS6" s="33" t="s">
        <v>29</v>
      </c>
      <c r="AT6" s="33" t="s">
        <v>30</v>
      </c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0"/>
      <c r="B7" s="30"/>
      <c r="C7" s="33"/>
      <c r="D7" s="30"/>
      <c r="E7" s="33"/>
      <c r="F7" s="33"/>
      <c r="G7" s="33"/>
      <c r="H7" s="41" t="s">
        <v>43</v>
      </c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 t="s">
        <v>44</v>
      </c>
      <c r="AJ7" s="33" t="s">
        <v>21</v>
      </c>
      <c r="AK7" s="33" t="s">
        <v>28</v>
      </c>
      <c r="AL7" s="39">
        <v>200.0</v>
      </c>
      <c r="AM7" s="39">
        <v>200.0</v>
      </c>
      <c r="AN7" s="36">
        <v>100.0</v>
      </c>
      <c r="AO7" s="33"/>
      <c r="AP7" s="33"/>
      <c r="AQ7" s="33"/>
      <c r="AR7" s="33"/>
      <c r="AS7" s="33" t="s">
        <v>29</v>
      </c>
      <c r="AT7" s="33" t="s">
        <v>30</v>
      </c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VerifyOrder5!$4:$4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46</v>
      </c>
      <c r="C6" s="32" t="s">
        <v>47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LoginClient!$4:$4</formula1>
    </dataValidation>
  </dataValidations>
  <drawing r:id="rId1"/>
</worksheet>
</file>