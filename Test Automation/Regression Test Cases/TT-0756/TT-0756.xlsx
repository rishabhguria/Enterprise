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goBroker" sheetId="4" r:id="rId6"/>
    <sheet state="visible" name="SetBrokerWisePreferencesTT" sheetId="5" r:id="rId7"/>
    <sheet state="visible" name="CreateTradeWithAlgoBroker" sheetId="6" r:id="rId8"/>
    <sheet state="visible" name="VerifyOrder" sheetId="7" r:id="rId9"/>
    <sheet state="visible" name="SelectTradeOnOrderGrid" sheetId="8" r:id="rId10"/>
    <sheet state="visible" name="ReloadOrderFromBlotter" sheetId="9" r:id="rId11"/>
    <sheet state="visible" name="CreateTradeWithAlgoBroker1" sheetId="10" r:id="rId12"/>
    <sheet state="visible" name="VerifyOrder1" sheetId="11" r:id="rId13"/>
    <sheet state="visible" name="SelectTradeOnOrderGrid1" sheetId="12" r:id="rId14"/>
    <sheet state="visible" name="TradeNewSubOrder" sheetId="13" r:id="rId15"/>
    <sheet state="visible" name="CreateTradeWithAlgoBroker2" sheetId="14" r:id="rId16"/>
    <sheet state="visible" name="VerifyOrder2" sheetId="15" r:id="rId17"/>
    <sheet state="visible" name="SelectTradeOnOrderGrid2" sheetId="16" r:id="rId18"/>
    <sheet state="visible" name="EditOrder" sheetId="17" r:id="rId19"/>
    <sheet state="visible" name="CreateTradeWithAlgoBroker3" sheetId="18" r:id="rId20"/>
    <sheet state="visible" name="VerifyOrder3" sheetId="19" r:id="rId21"/>
  </sheets>
  <definedNames/>
  <calcPr/>
</workbook>
</file>

<file path=xl/sharedStrings.xml><?xml version="1.0" encoding="utf-8"?>
<sst xmlns="http://schemas.openxmlformats.org/spreadsheetml/2006/main" count="222" uniqueCount="40">
  <si>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</si>
  <si>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</si>
  <si>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</si>
  <si>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</si>
  <si>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</si>
  <si>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</si>
  <si>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</si>
  <si>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</si>
  <si>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</si>
  <si>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</si>
  <si>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</si>
  <si>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</si>
  <si>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</si>
  <si>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SetAlgoBroker</t>
  </si>
  <si>
    <t>Data Format</t>
  </si>
  <si>
    <t>Input Format</t>
  </si>
  <si>
    <t>MS</t>
  </si>
  <si>
    <t>TradingTicket</t>
  </si>
  <si>
    <t>SetBrokerWisePreferencesTT</t>
  </si>
  <si>
    <t>Algo</t>
  </si>
  <si>
    <t>CreateTradeWithAlgoBroker</t>
  </si>
  <si>
    <t>AAPL</t>
  </si>
  <si>
    <t>DoneAway</t>
  </si>
  <si>
    <t>Buy</t>
  </si>
  <si>
    <t>Allocation1</t>
  </si>
  <si>
    <t>VWAP</t>
  </si>
  <si>
    <t>SAP</t>
  </si>
  <si>
    <t>IBM</t>
  </si>
  <si>
    <t>CreateOrder</t>
  </si>
  <si>
    <t>MSFT</t>
  </si>
  <si>
    <t>GOOG</t>
  </si>
  <si>
    <t>Blotter</t>
  </si>
  <si>
    <t>VerifyOrder</t>
  </si>
  <si>
    <t>Filled</t>
  </si>
  <si>
    <t>Manual</t>
  </si>
  <si>
    <t>SelectTradeOnOrderGrid</t>
  </si>
  <si>
    <t>ReloadOrderFromBlotter</t>
  </si>
  <si>
    <t>TradeNewSubOrder</t>
  </si>
  <si>
    <t>EditOrder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</si>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</sst>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horizontal="right" vertical="bottom"/>
    </xf>
    <xf borderId="0" fillId="6" fontId="13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IFERROR(__xludf.DUMMYFUNCTION("""COMPUTED_VALUE"""),"IsAlgoBroker")</f>
        <v>IsAlgoBroker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SetAlgoBroker!$4:$4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IFERROR(__xludf.DUMMYFUNCTION("""COMPUTED_VALUE"""),"Commission Basis")</f>
        <v>Commission Basis</v>
      </c>
      <c r="D5" s="27" t="str">
        <f>IFERROR(__xludf.DUMMYFUNCTION("""COMPUTED_VALUE"""),"Soft Commission Basis")</f>
        <v>Soft Commission Basis</v>
      </c>
      <c r="E5" s="27" t="str">
        <f>IFERROR(__xludf.DUMMYFUNCTION("""COMPUTED_VALUE"""),"Execution Instruction")</f>
        <v>Execution Instruction</v>
      </c>
      <c r="F5" s="28" t="str">
        <f>IFERROR(__xludf.DUMMYFUNCTION("""COMPUTED_VALUE"""),"Venue")</f>
        <v>Venue</v>
      </c>
      <c r="G5" s="27" t="str">
        <f>IFERROR(__xludf.DUMMYFUNCTION("""COMPUTED_VALUE"""),"Algo Type")</f>
        <v>Algo Type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12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SetBrokerWisePreferencesTT!$4:$4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>
        <v>100.0</v>
      </c>
      <c r="D6" s="12">
        <v>100.0</v>
      </c>
      <c r="E6" s="12">
        <v>2.0</v>
      </c>
      <c r="F6" s="12" t="s">
        <v>22</v>
      </c>
      <c r="G6" s="12" t="s">
        <v>23</v>
      </c>
      <c r="H6" s="8"/>
      <c r="I6" s="8"/>
      <c r="J6" s="8"/>
      <c r="K6" s="8"/>
      <c r="L6" s="12" t="s">
        <v>16</v>
      </c>
      <c r="M6" s="12" t="s">
        <v>19</v>
      </c>
      <c r="N6" s="12" t="s">
        <v>24</v>
      </c>
      <c r="O6" s="8"/>
      <c r="Q6" s="9" t="s">
        <v>25</v>
      </c>
      <c r="R6" s="31">
        <v>1.0</v>
      </c>
      <c r="S6" s="31">
        <v>1.15</v>
      </c>
    </row>
    <row r="7" ht="15.75" customHeight="1">
      <c r="A7" s="8"/>
      <c r="B7" s="12" t="s">
        <v>26</v>
      </c>
      <c r="C7" s="12">
        <v>100.0</v>
      </c>
      <c r="D7" s="12">
        <v>100.0</v>
      </c>
      <c r="E7" s="12">
        <v>2.0</v>
      </c>
      <c r="F7" s="12" t="s">
        <v>22</v>
      </c>
      <c r="G7" s="12" t="s">
        <v>23</v>
      </c>
      <c r="H7" s="8"/>
      <c r="I7" s="8"/>
      <c r="J7" s="8"/>
      <c r="K7" s="8"/>
      <c r="L7" s="12" t="s">
        <v>16</v>
      </c>
      <c r="M7" s="12" t="s">
        <v>19</v>
      </c>
      <c r="N7" s="12" t="s">
        <v>24</v>
      </c>
      <c r="O7" s="8"/>
      <c r="Q7" s="9" t="s">
        <v>25</v>
      </c>
      <c r="R7" s="31">
        <v>1.0</v>
      </c>
      <c r="S7" s="31">
        <v>1.15</v>
      </c>
    </row>
    <row r="8" ht="15.75" customHeight="1">
      <c r="A8" s="8"/>
      <c r="B8" s="12" t="s">
        <v>27</v>
      </c>
      <c r="C8" s="12">
        <v>100.0</v>
      </c>
      <c r="D8" s="12">
        <v>100.0</v>
      </c>
      <c r="E8" s="12">
        <v>2.0</v>
      </c>
      <c r="F8" s="12" t="s">
        <v>28</v>
      </c>
      <c r="G8" s="12" t="s">
        <v>23</v>
      </c>
      <c r="H8" s="8"/>
      <c r="I8" s="8"/>
      <c r="J8" s="8"/>
      <c r="K8" s="8"/>
      <c r="L8" s="12" t="s">
        <v>16</v>
      </c>
      <c r="M8" s="12" t="s">
        <v>19</v>
      </c>
      <c r="N8" s="12" t="s">
        <v>24</v>
      </c>
      <c r="O8" s="8"/>
      <c r="Q8" s="9" t="s">
        <v>25</v>
      </c>
      <c r="R8" s="31">
        <v>1.0</v>
      </c>
      <c r="S8" s="31">
        <v>1.15</v>
      </c>
    </row>
    <row r="9" ht="15.75" customHeight="1">
      <c r="A9" s="8"/>
      <c r="B9" s="12" t="s">
        <v>29</v>
      </c>
      <c r="C9" s="12">
        <v>100.0</v>
      </c>
      <c r="D9" s="12">
        <v>100.0</v>
      </c>
      <c r="E9" s="12">
        <v>2.0</v>
      </c>
      <c r="F9" s="12" t="s">
        <v>28</v>
      </c>
      <c r="G9" s="12" t="s">
        <v>23</v>
      </c>
      <c r="H9" s="8"/>
      <c r="I9" s="8"/>
      <c r="J9" s="8"/>
      <c r="K9" s="8"/>
      <c r="L9" s="12" t="s">
        <v>16</v>
      </c>
      <c r="M9" s="12" t="s">
        <v>19</v>
      </c>
      <c r="N9" s="12" t="s">
        <v>24</v>
      </c>
      <c r="O9" s="8"/>
      <c r="Q9" s="9" t="s">
        <v>25</v>
      </c>
      <c r="R9" s="31">
        <v>1.0</v>
      </c>
      <c r="S9" s="31">
        <v>1.15</v>
      </c>
    </row>
    <row r="10" ht="15.75" customHeight="1">
      <c r="A10" s="8"/>
      <c r="B10" s="12" t="s">
        <v>30</v>
      </c>
      <c r="C10" s="12">
        <v>100.0</v>
      </c>
      <c r="D10" s="12">
        <v>100.0</v>
      </c>
      <c r="E10" s="12">
        <v>2.0</v>
      </c>
      <c r="F10" s="12" t="s">
        <v>22</v>
      </c>
      <c r="G10" s="12" t="s">
        <v>23</v>
      </c>
      <c r="H10" s="8"/>
      <c r="I10" s="8"/>
      <c r="J10" s="8"/>
      <c r="K10" s="8"/>
      <c r="L10" s="12" t="s">
        <v>16</v>
      </c>
      <c r="M10" s="12" t="s">
        <v>19</v>
      </c>
      <c r="N10" s="12" t="s">
        <v>24</v>
      </c>
      <c r="O10" s="8"/>
      <c r="Q10" s="9" t="s">
        <v>25</v>
      </c>
      <c r="R10" s="31">
        <v>1.0</v>
      </c>
      <c r="S10" s="31">
        <v>1.15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CreateTradeWithAlgoBroker!$4:$4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25</v>
      </c>
      <c r="D6" s="12"/>
      <c r="E6" s="30"/>
      <c r="F6" s="8"/>
      <c r="G6" s="8"/>
      <c r="H6" s="12" t="s">
        <v>19</v>
      </c>
      <c r="I6" s="8"/>
      <c r="J6" s="8"/>
      <c r="K6" s="8"/>
      <c r="L6" s="8"/>
      <c r="M6" s="8"/>
      <c r="N6" s="8"/>
      <c r="O6" s="8"/>
      <c r="AI6" s="32" t="s">
        <v>21</v>
      </c>
      <c r="AJ6" s="33" t="s">
        <v>23</v>
      </c>
      <c r="AK6" s="33" t="s">
        <v>33</v>
      </c>
      <c r="AL6" s="34">
        <v>100.0</v>
      </c>
      <c r="AM6" s="33"/>
      <c r="AN6" s="33"/>
      <c r="AO6" s="33"/>
      <c r="AP6" s="33"/>
      <c r="AQ6" s="33"/>
      <c r="AR6" s="31">
        <v>2.0</v>
      </c>
      <c r="AS6" s="33" t="s">
        <v>16</v>
      </c>
      <c r="AT6" s="33" t="s">
        <v>24</v>
      </c>
      <c r="AU6" s="33"/>
      <c r="AV6" s="33"/>
      <c r="AW6" s="33"/>
      <c r="AX6" s="33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0"/>
      <c r="F6" s="12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26</v>
      </c>
      <c r="AJ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/>
      <c r="C6" s="12">
        <v>200.0</v>
      </c>
      <c r="D6" s="12">
        <v>200.0</v>
      </c>
      <c r="E6" s="12">
        <v>2.0</v>
      </c>
      <c r="F6" s="12" t="s">
        <v>22</v>
      </c>
      <c r="G6" s="12" t="s">
        <v>23</v>
      </c>
      <c r="H6" s="8"/>
      <c r="I6" s="8"/>
      <c r="J6" s="8"/>
      <c r="K6" s="8"/>
      <c r="L6" s="12" t="s">
        <v>16</v>
      </c>
      <c r="M6" s="12" t="s">
        <v>19</v>
      </c>
      <c r="N6" s="12" t="s">
        <v>24</v>
      </c>
      <c r="O6" s="8"/>
      <c r="Q6" s="9" t="s">
        <v>25</v>
      </c>
      <c r="R6" s="31">
        <v>1.0</v>
      </c>
      <c r="S6" s="31">
        <v>1.15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CreateTradeWithAlgoBroker1!$4:$4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25</v>
      </c>
      <c r="D6" s="12"/>
      <c r="E6" s="30"/>
      <c r="F6" s="8"/>
      <c r="G6" s="8"/>
      <c r="H6" s="12" t="s">
        <v>19</v>
      </c>
      <c r="I6" s="8"/>
      <c r="J6" s="8"/>
      <c r="K6" s="8"/>
      <c r="L6" s="8"/>
      <c r="M6" s="8"/>
      <c r="N6" s="8"/>
      <c r="O6" s="8"/>
      <c r="AI6" s="32" t="s">
        <v>26</v>
      </c>
      <c r="AJ6" s="33" t="s">
        <v>23</v>
      </c>
      <c r="AK6" s="33" t="s">
        <v>33</v>
      </c>
      <c r="AL6" s="35">
        <v>200.0</v>
      </c>
      <c r="AM6" s="33"/>
      <c r="AN6" s="33"/>
      <c r="AO6" s="33"/>
      <c r="AP6" s="33"/>
      <c r="AQ6" s="33"/>
      <c r="AR6" s="31">
        <v>2.0</v>
      </c>
      <c r="AS6" s="33" t="s">
        <v>16</v>
      </c>
      <c r="AT6" s="33" t="s">
        <v>24</v>
      </c>
      <c r="AU6" s="33"/>
      <c r="AV6" s="33"/>
      <c r="AW6" s="33"/>
      <c r="AX6" s="33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30"/>
      <c r="F6" s="12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27</v>
      </c>
      <c r="AJ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100.0</v>
      </c>
      <c r="D6" s="12">
        <v>100.0</v>
      </c>
      <c r="E6" s="12">
        <v>2.0</v>
      </c>
      <c r="F6" s="12" t="s">
        <v>22</v>
      </c>
      <c r="G6" s="12" t="s">
        <v>23</v>
      </c>
      <c r="H6" s="8"/>
      <c r="I6" s="8"/>
      <c r="J6" s="8"/>
      <c r="K6" s="8"/>
      <c r="L6" s="12" t="s">
        <v>16</v>
      </c>
      <c r="M6" s="12" t="s">
        <v>19</v>
      </c>
      <c r="N6" s="12" t="s">
        <v>24</v>
      </c>
      <c r="O6" s="8"/>
      <c r="Q6" s="9" t="s">
        <v>25</v>
      </c>
      <c r="R6" s="31">
        <v>1.0</v>
      </c>
      <c r="S6" s="31">
        <v>1.15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25</v>
      </c>
      <c r="D6" s="12"/>
      <c r="E6" s="30"/>
      <c r="F6" s="8"/>
      <c r="G6" s="8"/>
      <c r="H6" s="12" t="s">
        <v>19</v>
      </c>
      <c r="I6" s="8"/>
      <c r="J6" s="8"/>
      <c r="K6" s="8"/>
      <c r="L6" s="8"/>
      <c r="M6" s="8"/>
      <c r="N6" s="8"/>
      <c r="O6" s="8"/>
      <c r="AI6" s="32" t="s">
        <v>27</v>
      </c>
      <c r="AJ6" s="33" t="s">
        <v>23</v>
      </c>
      <c r="AK6" s="33" t="s">
        <v>33</v>
      </c>
      <c r="AL6" s="35">
        <v>100.0</v>
      </c>
      <c r="AM6" s="33"/>
      <c r="AN6" s="33"/>
      <c r="AO6" s="33"/>
      <c r="AP6" s="33"/>
      <c r="AQ6" s="33"/>
      <c r="AR6" s="31">
        <v>2.0</v>
      </c>
      <c r="AS6" s="33" t="s">
        <v>16</v>
      </c>
      <c r="AT6" s="33" t="s">
        <v>24</v>
      </c>
      <c r="AU6" s="33"/>
      <c r="AV6" s="33"/>
      <c r="AW6" s="33"/>
      <c r="AX6" s="33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29</v>
      </c>
      <c r="E6" s="30"/>
      <c r="F6" s="12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29</v>
      </c>
      <c r="AJ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200.0</v>
      </c>
      <c r="D6" s="12">
        <v>200.0</v>
      </c>
      <c r="E6" s="12">
        <v>2.0</v>
      </c>
      <c r="F6" s="12" t="s">
        <v>22</v>
      </c>
      <c r="G6" s="12" t="s">
        <v>23</v>
      </c>
      <c r="H6" s="8"/>
      <c r="I6" s="8"/>
      <c r="J6" s="8"/>
      <c r="K6" s="8"/>
      <c r="L6" s="12" t="s">
        <v>16</v>
      </c>
      <c r="M6" s="12" t="s">
        <v>19</v>
      </c>
      <c r="N6" s="12" t="s">
        <v>24</v>
      </c>
      <c r="O6" s="8"/>
      <c r="Q6" s="9" t="s">
        <v>25</v>
      </c>
      <c r="R6" s="31">
        <v>1.0</v>
      </c>
      <c r="S6" s="31">
        <v>1.15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CreateTradeWithAlgoBroker3!$4:$4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30"/>
      <c r="F6" s="8"/>
      <c r="G6" s="8"/>
      <c r="H6" s="12" t="s">
        <v>19</v>
      </c>
      <c r="I6" s="8"/>
      <c r="J6" s="8"/>
      <c r="K6" s="8"/>
      <c r="L6" s="8"/>
      <c r="M6" s="8"/>
      <c r="N6" s="8"/>
      <c r="O6" s="8"/>
      <c r="AI6" s="32" t="s">
        <v>29</v>
      </c>
      <c r="AJ6" s="33" t="s">
        <v>23</v>
      </c>
      <c r="AK6" s="32" t="s">
        <v>39</v>
      </c>
      <c r="AL6" s="35">
        <v>200.0</v>
      </c>
      <c r="AM6" s="33"/>
      <c r="AN6" s="33"/>
      <c r="AO6" s="33"/>
      <c r="AP6" s="33"/>
      <c r="AQ6" s="33"/>
      <c r="AR6" s="36"/>
      <c r="AS6" s="33" t="s">
        <v>16</v>
      </c>
      <c r="AT6" s="33" t="s">
        <v>24</v>
      </c>
      <c r="AU6" s="33"/>
      <c r="AV6" s="33"/>
      <c r="AW6" s="33"/>
      <c r="AX6" s="33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VerifyOrder3!$4:$4</formula1>
    </dataValidation>
  </dataValidations>
  <drawing r:id="rId1"/>
</worksheet>
</file>