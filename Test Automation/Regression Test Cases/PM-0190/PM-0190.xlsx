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reateDoneAwayOrder1" sheetId="7" r:id="rId9"/>
    <sheet state="visible" name="GetDataClosing" sheetId="8" r:id="rId10"/>
    <sheet state="visible" name="AutomaticClosing" sheetId="9" r:id="rId11"/>
    <sheet state="visible" name="CreateDoneAwayOrder2" sheetId="10" r:id="rId12"/>
    <sheet state="visible" name="PricingInput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<sst xmlns="http://schemas.openxmlformats.org/spreadsheetml/2006/main" count="209" uniqueCount="53">
  <si>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</si>
  <si>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</si>
  <si>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</si>
  <si>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</si>
  <si>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</si>
  <si>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</si>
  <si>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</si>
  <si>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</si>
  <si>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</si>
  <si>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</si>
  <si>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</si>
  <si>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</si>
  <si>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</si>
  <si>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</si>
  <si>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</si>
  <si>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</si>
  <si>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</si>
  <si>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</si>
  <si>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</si>
  <si>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DailyValuation</t>
  </si>
  <si>
    <t>GetMarkPriceData</t>
  </si>
  <si>
    <t>UpdateMarkPrice</t>
  </si>
  <si>
    <t>Sell</t>
  </si>
  <si>
    <t>Closing</t>
  </si>
  <si>
    <t>GetDataClosing</t>
  </si>
  <si>
    <t>Historical</t>
  </si>
  <si>
    <t>1/1/1800</t>
  </si>
  <si>
    <t>AutomaticClosing</t>
  </si>
  <si>
    <t>FIFO</t>
  </si>
  <si>
    <t>None</t>
  </si>
  <si>
    <t>Default</t>
  </si>
  <si>
    <t>PricingInput</t>
  </si>
  <si>
    <t>PortfolioManagement</t>
  </si>
  <si>
    <t>CheckPortfolioManagement</t>
  </si>
  <si>
    <t/>
  </si>
  <si>
    <t>NewMF</t>
  </si>
  <si>
    <t>Long</t>
  </si>
  <si>
    <t>MICROSOFT INC</t>
  </si>
  <si>
    <t>100*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</si>
  <si>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</si>
  <si>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</si>
  <si>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</si>
  <si>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</si>
  <si>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</si>
  <si>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</si>
  <si>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</si>
  <si>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</si>
  <si>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</si>
  <si>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</si>
  <si>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</si>
  <si>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Undefined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</si>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</sst>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16</v>
      </c>
      <c r="C6" s="8" t="s">
        <v>17</v>
      </c>
      <c r="D6" s="8">
        <v>100.0</v>
      </c>
      <c r="E6" s="8">
        <v>100.0</v>
      </c>
      <c r="F6" s="8" t="s">
        <v>18</v>
      </c>
      <c r="G6" s="8"/>
      <c r="H6" s="8"/>
      <c r="I6" s="8"/>
      <c r="J6" s="8">
        <v>30.0</v>
      </c>
      <c r="K6" s="8"/>
      <c r="L6" s="8"/>
      <c r="M6" s="8"/>
      <c r="N6" s="31">
        <f>TODAY()-10</f>
        <v>45150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TODAY()-10</f>
        <v>45150</v>
      </c>
      <c r="C6" s="32">
        <f>TODAY()</f>
        <v>45160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16</v>
      </c>
      <c r="C6" s="3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16</v>
      </c>
      <c r="C6" s="36" t="s">
        <v>22</v>
      </c>
      <c r="D6" s="37">
        <v>100.0</v>
      </c>
      <c r="E6" s="37">
        <v>100.0</v>
      </c>
      <c r="F6" s="35" t="s">
        <v>18</v>
      </c>
      <c r="G6" s="38"/>
      <c r="H6" s="38"/>
      <c r="I6" s="38"/>
      <c r="J6" s="37">
        <v>30.0</v>
      </c>
      <c r="K6" s="38"/>
      <c r="L6" s="38"/>
      <c r="M6" s="38"/>
      <c r="N6" s="39">
        <f>TODAY()-10</f>
        <v>45150</v>
      </c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25</v>
      </c>
      <c r="C6" s="42" t="s">
        <v>26</v>
      </c>
      <c r="D6" s="42">
        <f>TODAY()</f>
        <v>45160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0</v>
      </c>
      <c r="C6" s="13" t="b">
        <v>0</v>
      </c>
      <c r="D6" s="13" t="s">
        <v>28</v>
      </c>
      <c r="E6" s="13" t="s">
        <v>29</v>
      </c>
      <c r="F6" s="13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16</v>
      </c>
      <c r="C6" s="36" t="s">
        <v>17</v>
      </c>
      <c r="D6" s="37">
        <v>100.0</v>
      </c>
      <c r="E6" s="37">
        <v>100.0</v>
      </c>
      <c r="F6" s="35" t="s">
        <v>18</v>
      </c>
      <c r="G6" s="38"/>
      <c r="H6" s="38"/>
      <c r="I6" s="38"/>
      <c r="J6" s="37">
        <v>30.0</v>
      </c>
      <c r="K6" s="38"/>
      <c r="L6" s="38"/>
      <c r="M6" s="38"/>
      <c r="N6" s="39">
        <f>TODAY()</f>
        <v>45160</v>
      </c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5" t="s">
        <v>16</v>
      </c>
      <c r="C6" s="13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 t="s">
        <v>16</v>
      </c>
      <c r="D6" s="8">
        <v>100.0</v>
      </c>
      <c r="E6" s="8" t="s">
        <v>18</v>
      </c>
      <c r="F6" s="8" t="s">
        <v>35</v>
      </c>
      <c r="G6" s="8">
        <v>30.0</v>
      </c>
      <c r="H6" s="8" t="s">
        <v>36</v>
      </c>
      <c r="I6" s="8">
        <v>12000.0</v>
      </c>
      <c r="J6" s="8">
        <v>75.0</v>
      </c>
      <c r="K6" s="8">
        <v>12000.0</v>
      </c>
      <c r="L6" s="8">
        <v>12000.0</v>
      </c>
      <c r="M6" s="8">
        <v>12000.0</v>
      </c>
      <c r="N6" s="8">
        <v>9000.0</v>
      </c>
      <c r="O6" s="8" t="s">
        <v>37</v>
      </c>
      <c r="P6" t="s">
        <v>38</v>
      </c>
      <c r="Q6">
        <v>9000.0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s">
        <v>44</v>
      </c>
      <c r="Y6">
        <v>1.0</v>
      </c>
      <c r="AC6">
        <v>20.0</v>
      </c>
      <c r="AD6">
        <v>12000.0</v>
      </c>
      <c r="AE6">
        <v>12000.0</v>
      </c>
      <c r="AF6">
        <v>100.0</v>
      </c>
      <c r="AG6">
        <v>12000.0</v>
      </c>
      <c r="AH6">
        <v>12000.0</v>
      </c>
      <c r="AI6">
        <v>12000.0</v>
      </c>
      <c r="AK6">
        <v>9000.0</v>
      </c>
      <c r="AL6">
        <v>1.0</v>
      </c>
      <c r="AM6">
        <v>1.0</v>
      </c>
      <c r="AN6" t="s">
        <v>17</v>
      </c>
      <c r="AP6" t="s">
        <v>36</v>
      </c>
      <c r="AQ6" t="s">
        <v>16</v>
      </c>
      <c r="AR6">
        <v>120.0</v>
      </c>
      <c r="AS6">
        <v>1.0</v>
      </c>
      <c r="AT6" t="s">
        <v>45</v>
      </c>
      <c r="AU6" t="s">
        <v>46</v>
      </c>
      <c r="AV6">
        <v>1.0</v>
      </c>
      <c r="AW6">
        <v>9000.0</v>
      </c>
      <c r="BA6">
        <v>300.0</v>
      </c>
      <c r="BC6">
        <v>1.0</v>
      </c>
      <c r="BE6" t="s">
        <v>41</v>
      </c>
      <c r="BF6" t="s">
        <v>47</v>
      </c>
      <c r="BG6" t="s">
        <v>48</v>
      </c>
      <c r="BH6" t="s">
        <v>49</v>
      </c>
      <c r="BI6" t="s">
        <v>50</v>
      </c>
      <c r="BQ6" t="s">
        <v>51</v>
      </c>
      <c r="BR6" t="s">
        <v>52</v>
      </c>
      <c r="BU6" t="s">
        <v>41</v>
      </c>
      <c r="BX6">
        <v>12000.0</v>
      </c>
      <c r="BY6">
        <v>12000.0</v>
      </c>
      <c r="BZ6">
        <v>120.0</v>
      </c>
      <c r="CA6">
        <v>120.0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