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1" sheetId="5" r:id="rId7"/>
    <sheet state="visible" name="CheckPortfolioManagement" sheetId="6" r:id="rId8"/>
    <sheet state="visible" name="OpenTaxlotDetails" sheetId="7" r:id="rId9"/>
    <sheet state="visible" name="CheckTaxlotDetails" sheetId="8" r:id="rId10"/>
    <sheet state="visible" name="OpenTaxlotDetails1" sheetId="9" r:id="rId11"/>
    <sheet state="visible" name="CheckTaxlotDetails1" sheetId="10" r:id="rId12"/>
  </sheets>
  <definedNames/>
  <calcPr/>
</workbook>
</file>

<file path=xl/sharedStrings.xml><?xml version="1.0" encoding="utf-8"?>
<sst xmlns="http://schemas.openxmlformats.org/spreadsheetml/2006/main" count="485" uniqueCount="56">
  <si>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</si>
  <si>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</si>
  <si>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</si>
  <si>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</si>
  <si>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</si>
  <si>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</si>
  <si>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</si>
  <si>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</si>
  <si>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</si>
  <si>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</si>
  <si>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</si>
  <si>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</si>
  <si>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</si>
  <si>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</si>
  <si>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</si>
  <si>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</si>
  <si>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</si>
  <si>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</si>
  <si>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</si>
  <si>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</si>
  <si>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IBM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</si>
  <si>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</si>
  <si>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</si>
  <si>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</si>
  <si>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</si>
  <si>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</si>
  <si>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</si>
  <si>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</si>
  <si>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</si>
  <si>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</si>
  <si>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</si>
  <si>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</si>
  <si>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</si>
  <si>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</si>
  <si>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</si>
  <si>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</si>
  <si>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</si>
  <si>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</si>
  <si>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</si>
  <si>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</si>
  <si>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</si>
  <si>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</si>
  <si>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</si>
  <si>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</si>
  <si>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</si>
  <si>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</si>
  <si>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NA</t>
  </si>
  <si>
    <t>NYSE</t>
  </si>
  <si>
    <t>Equity General</t>
  </si>
  <si>
    <t>Technology</t>
  </si>
  <si>
    <t>USA</t>
  </si>
  <si>
    <t>IBM US EQUITY</t>
  </si>
  <si>
    <t>UK</t>
  </si>
  <si>
    <t>OpenTaxlotDetails</t>
  </si>
  <si>
    <t>CheckTaxlotDetails</t>
  </si>
  <si>
    <t>IBM.N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</si>
</sst>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30">
        <f t="shared" ref="N6:N7" si="1">today()</f>
        <v>45302</v>
      </c>
      <c r="O6" s="8"/>
    </row>
    <row r="7" ht="15.75" customHeight="1">
      <c r="A7" s="8"/>
      <c r="B7" s="12" t="s">
        <v>20</v>
      </c>
      <c r="C7" s="12" t="s">
        <v>17</v>
      </c>
      <c r="D7" s="12">
        <v>100.0</v>
      </c>
      <c r="E7" s="12">
        <v>100.0</v>
      </c>
      <c r="F7" s="12" t="s">
        <v>18</v>
      </c>
      <c r="G7" s="12" t="s">
        <v>19</v>
      </c>
      <c r="H7" s="8"/>
      <c r="I7" s="8"/>
      <c r="J7" s="12">
        <v>10.0</v>
      </c>
      <c r="K7" s="8"/>
      <c r="L7" s="8"/>
      <c r="M7" s="8"/>
      <c r="N7" s="30">
        <f t="shared" si="1"/>
        <v>45302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/>
      <c r="C6" s="8" t="s">
        <v>16</v>
      </c>
      <c r="D6" s="31">
        <v>100.0</v>
      </c>
      <c r="E6" s="8" t="s">
        <v>18</v>
      </c>
      <c r="F6" s="8" t="s">
        <v>24</v>
      </c>
      <c r="G6" s="8">
        <v>10.0</v>
      </c>
      <c r="H6" s="8" t="s">
        <v>25</v>
      </c>
      <c r="I6" s="8"/>
      <c r="J6" s="8"/>
      <c r="K6" s="8"/>
      <c r="L6" s="8"/>
      <c r="M6" s="8"/>
      <c r="N6" s="8">
        <v>-1000.0</v>
      </c>
      <c r="O6" s="8" t="s">
        <v>26</v>
      </c>
      <c r="P6" t="s">
        <v>27</v>
      </c>
      <c r="Q6">
        <v>-1000.0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17</v>
      </c>
      <c r="AP6" t="s">
        <v>25</v>
      </c>
      <c r="AQ6" t="s">
        <v>16</v>
      </c>
      <c r="AS6">
        <v>1.0</v>
      </c>
      <c r="AT6" t="s">
        <v>34</v>
      </c>
      <c r="AU6" t="s">
        <v>35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30</v>
      </c>
      <c r="BF6" t="s">
        <v>36</v>
      </c>
      <c r="BG6" t="s">
        <v>37</v>
      </c>
      <c r="BH6" t="s">
        <v>27</v>
      </c>
      <c r="BO6">
        <v>-1000.0</v>
      </c>
      <c r="BQ6" t="s">
        <v>38</v>
      </c>
      <c r="BR6" t="s">
        <v>19</v>
      </c>
      <c r="BU6" t="s">
        <v>30</v>
      </c>
      <c r="CD6">
        <v>-1000.0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P6" t="s">
        <v>39</v>
      </c>
      <c r="CS6">
        <v>10.0</v>
      </c>
      <c r="CY6" t="s">
        <v>40</v>
      </c>
      <c r="CZ6" t="s">
        <v>41</v>
      </c>
      <c r="DD6">
        <v>100.0</v>
      </c>
      <c r="DH6" t="s">
        <v>27</v>
      </c>
      <c r="DJ6" t="s">
        <v>17</v>
      </c>
      <c r="DM6">
        <v>1.0</v>
      </c>
      <c r="DP6" t="s">
        <v>25</v>
      </c>
      <c r="DQ6" t="s">
        <v>42</v>
      </c>
      <c r="DR6" t="s">
        <v>43</v>
      </c>
      <c r="DS6" t="s">
        <v>42</v>
      </c>
      <c r="DT6" t="s">
        <v>42</v>
      </c>
      <c r="DU6" t="s">
        <v>44</v>
      </c>
      <c r="DV6" t="s">
        <v>42</v>
      </c>
      <c r="DW6" t="s">
        <v>42</v>
      </c>
      <c r="DX6" t="s">
        <v>42</v>
      </c>
      <c r="DY6" t="s">
        <v>42</v>
      </c>
      <c r="DZ6" t="s">
        <v>26</v>
      </c>
      <c r="EA6" t="s">
        <v>44</v>
      </c>
      <c r="EB6" t="s">
        <v>42</v>
      </c>
      <c r="EC6" t="s">
        <v>42</v>
      </c>
      <c r="ED6" t="s">
        <v>33</v>
      </c>
      <c r="EE6" t="s">
        <v>45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46</v>
      </c>
      <c r="FH6">
        <v>100.0</v>
      </c>
      <c r="FI6" t="s">
        <v>23</v>
      </c>
      <c r="FK6" t="s">
        <v>23</v>
      </c>
      <c r="FL6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23</v>
      </c>
      <c r="B7" s="8"/>
      <c r="C7" s="8" t="s">
        <v>20</v>
      </c>
      <c r="D7" s="8">
        <v>100.0</v>
      </c>
      <c r="E7" s="8" t="s">
        <v>18</v>
      </c>
      <c r="F7" s="8" t="s">
        <v>24</v>
      </c>
      <c r="G7" s="8">
        <v>10.0</v>
      </c>
      <c r="H7" s="8" t="s">
        <v>25</v>
      </c>
      <c r="I7" s="8"/>
      <c r="J7" s="8"/>
      <c r="K7" s="8"/>
      <c r="L7" s="8"/>
      <c r="M7" s="8"/>
      <c r="N7" s="8">
        <v>-1000.0</v>
      </c>
      <c r="O7" s="8" t="s">
        <v>20</v>
      </c>
      <c r="P7" t="s">
        <v>27</v>
      </c>
      <c r="Q7">
        <v>-1000.0</v>
      </c>
      <c r="R7" t="s">
        <v>28</v>
      </c>
      <c r="S7" t="s">
        <v>29</v>
      </c>
      <c r="T7" t="s">
        <v>30</v>
      </c>
      <c r="U7" t="s">
        <v>31</v>
      </c>
      <c r="V7" t="s">
        <v>47</v>
      </c>
      <c r="W7" t="s">
        <v>33</v>
      </c>
      <c r="X7">
        <v>1.0</v>
      </c>
      <c r="Y7">
        <v>1.0</v>
      </c>
      <c r="AF7">
        <v>100.0</v>
      </c>
      <c r="AK7">
        <v>-1000.0</v>
      </c>
      <c r="AL7">
        <v>1.0</v>
      </c>
      <c r="AM7">
        <v>1.0</v>
      </c>
      <c r="AN7" t="s">
        <v>17</v>
      </c>
      <c r="AP7" t="s">
        <v>25</v>
      </c>
      <c r="AQ7" t="s">
        <v>20</v>
      </c>
      <c r="AS7">
        <v>1.0</v>
      </c>
      <c r="AT7" t="s">
        <v>34</v>
      </c>
      <c r="AU7" t="s">
        <v>35</v>
      </c>
      <c r="AV7">
        <v>1.0</v>
      </c>
      <c r="AW7">
        <v>-1000.0</v>
      </c>
      <c r="BA7">
        <v>-100.0</v>
      </c>
      <c r="BC7">
        <v>1.0</v>
      </c>
      <c r="BD7">
        <v>-1000.0</v>
      </c>
      <c r="BE7" t="s">
        <v>30</v>
      </c>
      <c r="BF7" t="s">
        <v>48</v>
      </c>
      <c r="BG7" t="s">
        <v>49</v>
      </c>
      <c r="BH7" t="s">
        <v>27</v>
      </c>
      <c r="BI7" t="s">
        <v>50</v>
      </c>
      <c r="BO7">
        <v>-1000.0</v>
      </c>
      <c r="BQ7" t="s">
        <v>38</v>
      </c>
      <c r="BR7" t="s">
        <v>19</v>
      </c>
      <c r="BU7" t="s">
        <v>30</v>
      </c>
      <c r="CD7">
        <v>-1000.0</v>
      </c>
      <c r="CG7">
        <v>-1000.0</v>
      </c>
      <c r="CH7">
        <v>-100.0</v>
      </c>
      <c r="CI7">
        <v>0.0</v>
      </c>
      <c r="CJ7">
        <v>0.0</v>
      </c>
      <c r="CK7" t="b">
        <v>0</v>
      </c>
      <c r="CP7" t="s">
        <v>51</v>
      </c>
      <c r="CS7">
        <v>10.0</v>
      </c>
      <c r="CY7" t="s">
        <v>40</v>
      </c>
      <c r="CZ7" t="s">
        <v>41</v>
      </c>
      <c r="DD7">
        <v>100.0</v>
      </c>
      <c r="DH7" t="s">
        <v>27</v>
      </c>
      <c r="DJ7" t="s">
        <v>17</v>
      </c>
      <c r="DM7">
        <v>1.0</v>
      </c>
      <c r="DP7" t="s">
        <v>25</v>
      </c>
      <c r="DQ7" t="s">
        <v>27</v>
      </c>
      <c r="DR7" t="s">
        <v>52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20</v>
      </c>
      <c r="EA7" t="s">
        <v>45</v>
      </c>
      <c r="EB7" t="s">
        <v>27</v>
      </c>
      <c r="EC7" t="s">
        <v>27</v>
      </c>
      <c r="ED7" t="s">
        <v>33</v>
      </c>
      <c r="EE7" t="s">
        <v>45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EY7" t="s">
        <v>23</v>
      </c>
      <c r="EZ7" t="s">
        <v>23</v>
      </c>
      <c r="FA7" t="s">
        <v>23</v>
      </c>
      <c r="FB7" t="s">
        <v>23</v>
      </c>
      <c r="FC7" t="s">
        <v>46</v>
      </c>
      <c r="FH7">
        <v>100.0</v>
      </c>
      <c r="FI7" t="s">
        <v>23</v>
      </c>
      <c r="FK7" t="s">
        <v>23</v>
      </c>
      <c r="FL7" t="s">
        <v>23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/>
      <c r="C6" s="8" t="s">
        <v>16</v>
      </c>
      <c r="D6" s="31">
        <v>100.0</v>
      </c>
      <c r="E6" s="8" t="s">
        <v>18</v>
      </c>
      <c r="F6" s="8" t="s">
        <v>24</v>
      </c>
      <c r="G6" s="8">
        <v>10.0</v>
      </c>
      <c r="H6" s="8" t="s">
        <v>25</v>
      </c>
      <c r="I6" s="8"/>
      <c r="J6" s="8"/>
      <c r="K6" s="8"/>
      <c r="L6" s="8"/>
      <c r="M6" s="8"/>
      <c r="N6" s="8">
        <v>-1000.0</v>
      </c>
      <c r="O6" s="8" t="s">
        <v>26</v>
      </c>
      <c r="P6" t="s">
        <v>27</v>
      </c>
      <c r="Q6">
        <v>-1000.0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17</v>
      </c>
      <c r="AP6" t="s">
        <v>25</v>
      </c>
      <c r="AQ6" t="s">
        <v>16</v>
      </c>
      <c r="AS6">
        <v>1.0</v>
      </c>
      <c r="AT6" t="s">
        <v>34</v>
      </c>
      <c r="AU6" t="s">
        <v>35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30</v>
      </c>
      <c r="BF6" t="s">
        <v>36</v>
      </c>
      <c r="BG6" t="s">
        <v>37</v>
      </c>
      <c r="BH6" t="s">
        <v>27</v>
      </c>
      <c r="BO6">
        <v>-1000.0</v>
      </c>
      <c r="BQ6" t="s">
        <v>38</v>
      </c>
      <c r="BR6" t="s">
        <v>19</v>
      </c>
      <c r="BU6" t="s">
        <v>30</v>
      </c>
      <c r="CD6">
        <v>-1000.0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P6" t="s">
        <v>39</v>
      </c>
      <c r="CS6">
        <v>10.0</v>
      </c>
      <c r="CY6" t="s">
        <v>40</v>
      </c>
      <c r="CZ6" t="s">
        <v>41</v>
      </c>
      <c r="DD6">
        <v>100.0</v>
      </c>
      <c r="DH6" t="s">
        <v>27</v>
      </c>
      <c r="DJ6" t="s">
        <v>17</v>
      </c>
      <c r="DM6">
        <v>1.0</v>
      </c>
      <c r="DP6" t="s">
        <v>25</v>
      </c>
      <c r="DQ6" t="s">
        <v>42</v>
      </c>
      <c r="DR6" t="s">
        <v>43</v>
      </c>
      <c r="DS6" t="s">
        <v>42</v>
      </c>
      <c r="DT6" t="s">
        <v>42</v>
      </c>
      <c r="DU6" t="s">
        <v>44</v>
      </c>
      <c r="DV6" t="s">
        <v>42</v>
      </c>
      <c r="DW6" t="s">
        <v>42</v>
      </c>
      <c r="DX6" t="s">
        <v>42</v>
      </c>
      <c r="DY6" t="s">
        <v>42</v>
      </c>
      <c r="DZ6" t="s">
        <v>26</v>
      </c>
      <c r="EA6" t="s">
        <v>44</v>
      </c>
      <c r="EB6" t="s">
        <v>42</v>
      </c>
      <c r="EC6" t="s">
        <v>42</v>
      </c>
      <c r="ED6" t="s">
        <v>33</v>
      </c>
      <c r="EE6" t="s">
        <v>45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46</v>
      </c>
      <c r="FH6">
        <v>100.0</v>
      </c>
      <c r="FI6" t="s">
        <v>23</v>
      </c>
      <c r="FK6" t="s">
        <v>23</v>
      </c>
      <c r="FL6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23</v>
      </c>
      <c r="B7" s="8"/>
      <c r="C7" s="8" t="s">
        <v>20</v>
      </c>
      <c r="D7" s="8">
        <v>100.0</v>
      </c>
      <c r="E7" s="8" t="s">
        <v>18</v>
      </c>
      <c r="F7" s="8" t="s">
        <v>24</v>
      </c>
      <c r="G7" s="8">
        <v>10.0</v>
      </c>
      <c r="H7" s="8" t="s">
        <v>25</v>
      </c>
      <c r="I7" s="8"/>
      <c r="J7" s="8"/>
      <c r="K7" s="8"/>
      <c r="L7" s="8"/>
      <c r="M7" s="8"/>
      <c r="N7" s="8">
        <v>-1000.0</v>
      </c>
      <c r="O7" s="8" t="s">
        <v>20</v>
      </c>
      <c r="P7" t="s">
        <v>27</v>
      </c>
      <c r="Q7">
        <v>-1000.0</v>
      </c>
      <c r="R7" t="s">
        <v>28</v>
      </c>
      <c r="S7" t="s">
        <v>29</v>
      </c>
      <c r="T7" t="s">
        <v>30</v>
      </c>
      <c r="U7" t="s">
        <v>31</v>
      </c>
      <c r="V7" t="s">
        <v>47</v>
      </c>
      <c r="W7" t="s">
        <v>33</v>
      </c>
      <c r="X7">
        <v>1.0</v>
      </c>
      <c r="Y7">
        <v>1.0</v>
      </c>
      <c r="AF7">
        <v>100.0</v>
      </c>
      <c r="AK7">
        <v>-1000.0</v>
      </c>
      <c r="AL7">
        <v>1.0</v>
      </c>
      <c r="AM7">
        <v>1.0</v>
      </c>
      <c r="AN7" t="s">
        <v>17</v>
      </c>
      <c r="AP7" t="s">
        <v>25</v>
      </c>
      <c r="AQ7" t="s">
        <v>20</v>
      </c>
      <c r="AS7">
        <v>1.0</v>
      </c>
      <c r="AT7" t="s">
        <v>34</v>
      </c>
      <c r="AU7" t="s">
        <v>35</v>
      </c>
      <c r="AV7">
        <v>1.0</v>
      </c>
      <c r="AW7">
        <v>-1000.0</v>
      </c>
      <c r="BA7">
        <v>-100.0</v>
      </c>
      <c r="BC7">
        <v>1.0</v>
      </c>
      <c r="BD7">
        <v>-1000.0</v>
      </c>
      <c r="BE7" t="s">
        <v>30</v>
      </c>
      <c r="BF7" t="s">
        <v>48</v>
      </c>
      <c r="BG7" t="s">
        <v>49</v>
      </c>
      <c r="BH7" t="s">
        <v>27</v>
      </c>
      <c r="BI7" t="s">
        <v>50</v>
      </c>
      <c r="BO7">
        <v>-1000.0</v>
      </c>
      <c r="BQ7" t="s">
        <v>38</v>
      </c>
      <c r="BR7" t="s">
        <v>19</v>
      </c>
      <c r="BU7" t="s">
        <v>30</v>
      </c>
      <c r="CD7">
        <v>-1000.0</v>
      </c>
      <c r="CG7">
        <v>-1000.0</v>
      </c>
      <c r="CH7">
        <v>-100.0</v>
      </c>
      <c r="CI7">
        <v>0.0</v>
      </c>
      <c r="CJ7">
        <v>0.0</v>
      </c>
      <c r="CK7" t="b">
        <v>0</v>
      </c>
      <c r="CP7" t="s">
        <v>51</v>
      </c>
      <c r="CS7">
        <v>10.0</v>
      </c>
      <c r="CY7" t="s">
        <v>40</v>
      </c>
      <c r="CZ7" t="s">
        <v>41</v>
      </c>
      <c r="DD7">
        <v>100.0</v>
      </c>
      <c r="DH7" t="s">
        <v>27</v>
      </c>
      <c r="DJ7" t="s">
        <v>17</v>
      </c>
      <c r="DM7">
        <v>1.0</v>
      </c>
      <c r="DP7" t="s">
        <v>25</v>
      </c>
      <c r="DQ7" t="s">
        <v>27</v>
      </c>
      <c r="DR7" t="s">
        <v>52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20</v>
      </c>
      <c r="EA7" t="s">
        <v>45</v>
      </c>
      <c r="EB7" t="s">
        <v>27</v>
      </c>
      <c r="EC7" t="s">
        <v>27</v>
      </c>
      <c r="ED7" t="s">
        <v>33</v>
      </c>
      <c r="EE7" t="s">
        <v>45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EY7" t="s">
        <v>23</v>
      </c>
      <c r="EZ7" t="s">
        <v>23</v>
      </c>
      <c r="FA7" t="s">
        <v>23</v>
      </c>
      <c r="FB7" t="s">
        <v>23</v>
      </c>
      <c r="FC7" t="s">
        <v>46</v>
      </c>
      <c r="FH7">
        <v>100.0</v>
      </c>
      <c r="FI7" t="s">
        <v>23</v>
      </c>
      <c r="FK7" t="s">
        <v>23</v>
      </c>
      <c r="FL7" t="s">
        <v>23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IFERROR(__xludf.DUMMYFUNCTION("""COMPUTED_VALUE"""),"Position")</f>
        <v>Position</v>
      </c>
      <c r="D5" s="27" t="str">
        <f>IFERROR(__xludf.DUMMYFUNCTION("""COMPUTED_VALUE"""),"Account")</f>
        <v>Account</v>
      </c>
      <c r="E5" s="27" t="str">
        <f>IFERROR(__xludf.DUMMYFUNCTION("""COMPUTED_VALUE"""),"MasterFund")</f>
        <v>MasterFund</v>
      </c>
      <c r="F5" s="28" t="str">
        <f>IFERROR(__xludf.DUMMYFUNCTION("""COMPUTED_VALUE"""),"Cost Basis")</f>
        <v>Cost Basis</v>
      </c>
      <c r="G5" s="27" t="str">
        <f>IFERROR(__xludf.DUMMYFUNCTION("""COMPUTED_VALUE"""),"Position Side")</f>
        <v>Position Side</v>
      </c>
      <c r="H5" s="27" t="str">
        <f>IFERROR(__xludf.DUMMYFUNCTION("""COMPUTED_VALUE"""),"Market Value (Base)")</f>
        <v>Market Value (Base)</v>
      </c>
      <c r="I5" s="27" t="str">
        <f>IFERROR(__xludf.DUMMYFUNCTION("""COMPUTED_VALUE"""),"% Day P&amp;L (Gross MV)")</f>
        <v>% Day P&amp;L (Gross MV)</v>
      </c>
      <c r="J5" s="27" t="str">
        <f>IFERROR(__xludf.DUMMYFUNCTION("""COMPUTED_VALUE"""),"Net Exposure (Base)")</f>
        <v>Net Exposure (Base)</v>
      </c>
      <c r="K5" s="27" t="str">
        <f>IFERROR(__xludf.DUMMYFUNCTION("""COMPUTED_VALUE"""),"Beta Adj. Gross Exposure (Base)")</f>
        <v>Beta Adj. Gross Exposure (Base)</v>
      </c>
      <c r="L5" s="27" t="str">
        <f>IFERROR(__xludf.DUMMYFUNCTION("""COMPUTED_VALUE"""),"Beta Adj. Gross Exposure (Underlying) (Base)")</f>
        <v>Beta Adj. Gross Exposure (Underlying) (Base)</v>
      </c>
      <c r="M5" s="27" t="str">
        <f>IFERROR(__xludf.DUMMYFUNCTION("""COMPUTED_VALUE"""),"Day P&amp;L (Base)")</f>
        <v>Day P&amp;L (Base)</v>
      </c>
      <c r="N5" s="27" t="str">
        <f>IFERROR(__xludf.DUMMYFUNCTION("""COMPUTED_VALUE"""),"Security Name")</f>
        <v>Security Name</v>
      </c>
      <c r="O5" s="27" t="str">
        <f>IFERROR(__xludf.DUMMYFUNCTION("""COMPUTED_VALUE"""),"Closing Mark")</f>
        <v>Closing Mark</v>
      </c>
      <c r="P5" s="27" t="str">
        <f>IFERROR(__xludf.DUMMYFUNCTION("""COMPUTED_VALUE"""),"Cost Basis P&amp;L (Base)")</f>
        <v>Cost Basis P&amp;L (Base)</v>
      </c>
      <c r="Q5" s="27" t="str">
        <f>IFERROR(__xludf.DUMMYFUNCTION("""COMPUTED_VALUE"""),"Prime Broker")</f>
        <v>Prime Broker</v>
      </c>
      <c r="R5" s="27" t="str">
        <f>IFERROR(__xludf.DUMMYFUNCTION("""COMPUTED_VALUE"""),"Strategy")</f>
        <v>Strategy</v>
      </c>
      <c r="S5" s="27" t="str">
        <f>IFERROR(__xludf.DUMMYFUNCTION("""COMPUTED_VALUE"""),"Asset Class")</f>
        <v>Asset Class</v>
      </c>
      <c r="T5" s="29" t="str">
        <f>IFERROR(__xludf.DUMMYFUNCTION("""COMPUTED_VALUE"""),"Underlying")</f>
        <v>Underlying</v>
      </c>
      <c r="U5" s="29" t="str">
        <f>IFERROR(__xludf.DUMMYFUNCTION("""COMPUTED_VALUE"""),"Exchange")</f>
        <v>Exchange</v>
      </c>
      <c r="V5" s="29" t="str">
        <f>IFERROR(__xludf.DUMMYFUNCTION("""COMPUTED_VALUE"""),"Trade Currency")</f>
        <v>Trade Currency</v>
      </c>
      <c r="W5" s="29" t="str">
        <f>IFERROR(__xludf.DUMMYFUNCTION("""COMPUTED_VALUE"""),"Multiplier")</f>
        <v>Multiplier</v>
      </c>
      <c r="X5" s="29" t="str">
        <f>IFERROR(__xludf.DUMMYFUNCTION("""COMPUTED_VALUE"""),"FX Rate")</f>
        <v>FX Rate</v>
      </c>
      <c r="Y5" s="29" t="str">
        <f>IFERROR(__xludf.DUMMYFUNCTION("""COMPUTED_VALUE"""),"Vs Currency")</f>
        <v>Vs Currency</v>
      </c>
      <c r="Z5" s="29" t="str">
        <f>IFERROR(__xludf.DUMMYFUNCTION("""COMPUTED_VALUE"""),"Lead Currency")</f>
        <v>Lead Currency</v>
      </c>
      <c r="AA5" s="29" t="str">
        <f>IFERROR(__xludf.DUMMYFUNCTION("""COMPUTED_VALUE"""),"Dividend Yield (%)")</f>
        <v>Dividend Yield (%)</v>
      </c>
      <c r="AB5" s="29" t="str">
        <f>IFERROR(__xludf.DUMMYFUNCTION("""COMPUTED_VALUE"""),"% Change")</f>
        <v>% Change</v>
      </c>
      <c r="AC5" s="29" t="str">
        <f>IFERROR(__xludf.DUMMYFUNCTION("""COMPUTED_VALUE"""),"Net Exposure (Local)")</f>
        <v>Net Exposure (Local)</v>
      </c>
      <c r="AD5" s="29" t="str">
        <f>IFERROR(__xludf.DUMMYFUNCTION("""COMPUTED_VALUE"""),"Exposure (Local)")</f>
        <v>Exposure (Local)</v>
      </c>
      <c r="AE5" s="29" t="str">
        <f>IFERROR(__xludf.DUMMYFUNCTION("""COMPUTED_VALUE"""),"Delta Adj. Position")</f>
        <v>Delta Adj. Position</v>
      </c>
      <c r="AF5" s="29" t="str">
        <f>IFERROR(__xludf.DUMMYFUNCTION("""COMPUTED_VALUE"""),"Exposure (Base)")</f>
        <v>Exposure (Base)</v>
      </c>
      <c r="AG5" s="29" t="str">
        <f>IFERROR(__xludf.DUMMYFUNCTION("""COMPUTED_VALUE"""),"Beta Adj. Exposure (Local)")</f>
        <v>Beta Adj. Exposure (Local)</v>
      </c>
      <c r="AH5" s="29" t="str">
        <f>IFERROR(__xludf.DUMMYFUNCTION("""COMPUTED_VALUE"""),"Beta Adj. Exposure (Base)")</f>
        <v>Beta Adj. Exposure (Base)</v>
      </c>
      <c r="AI5" s="29" t="str">
        <f>IFERROR(__xludf.DUMMYFUNCTION("""COMPUTED_VALUE"""),"Exposure (BP)(Base)")</f>
        <v>Exposure (BP)(Base)</v>
      </c>
      <c r="AJ5" s="29" t="str">
        <f>IFERROR(__xludf.DUMMYFUNCTION("""COMPUTED_VALUE"""),"Day P&amp;L (Local)")</f>
        <v>Day P&amp;L (Local)</v>
      </c>
      <c r="AK5" s="29" t="str">
        <f>IFERROR(__xludf.DUMMYFUNCTION("""COMPUTED_VALUE"""),"Delta")</f>
        <v>Delta</v>
      </c>
      <c r="AL5" s="29" t="str">
        <f>IFERROR(__xludf.DUMMYFUNCTION("""COMPUTED_VALUE"""),"Leveraged Factor")</f>
        <v>Leveraged Factor</v>
      </c>
      <c r="AM5" s="29" t="str">
        <f>IFERROR(__xludf.DUMMYFUNCTION("""COMPUTED_VALUE"""),"Order Side")</f>
        <v>Order Side</v>
      </c>
      <c r="AN5" s="29" t="str">
        <f>IFERROR(__xludf.DUMMYFUNCTION("""COMPUTED_VALUE"""),"Master Strategy")</f>
        <v>Master Strategy</v>
      </c>
      <c r="AO5" s="29" t="str">
        <f>IFERROR(__xludf.DUMMYFUNCTION("""COMPUTED_VALUE"""),"Transaction Side")</f>
        <v>Transaction Side</v>
      </c>
      <c r="AP5" s="29" t="str">
        <f>IFERROR(__xludf.DUMMYFUNCTION("""COMPUTED_VALUE"""),"Underlying Symbol")</f>
        <v>Underlying Symbol</v>
      </c>
      <c r="AQ5" s="29" t="str">
        <f>IFERROR(__xludf.DUMMYFUNCTION("""COMPUTED_VALUE"""),"Underlying Price")</f>
        <v>Underlying Price</v>
      </c>
      <c r="AR5" s="29" t="str">
        <f>IFERROR(__xludf.DUMMYFUNCTION("""COMPUTED_VALUE"""),"Side Multiplier")</f>
        <v>Side Multiplier</v>
      </c>
      <c r="AS5" s="29" t="str">
        <f>IFERROR(__xludf.DUMMYFUNCTION("""COMPUTED_VALUE"""),"Description")</f>
        <v>Description</v>
      </c>
      <c r="AT5" s="29" t="str">
        <f>IFERROR(__xludf.DUMMYFUNCTION("""COMPUTED_VALUE"""),"Internal Comments")</f>
        <v>Internal Comments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 t="s">
        <v>18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OpenTaxlotDetails!$4:$4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/>
      <c r="C6" s="31" t="s">
        <v>16</v>
      </c>
      <c r="D6" s="31">
        <v>100.0</v>
      </c>
      <c r="E6" s="31" t="s">
        <v>18</v>
      </c>
      <c r="F6" s="8" t="s">
        <v>24</v>
      </c>
      <c r="G6" s="8">
        <v>10.0</v>
      </c>
      <c r="H6" s="8" t="s">
        <v>25</v>
      </c>
      <c r="I6" s="8"/>
      <c r="J6" s="8"/>
      <c r="K6" s="8"/>
      <c r="L6" s="8"/>
      <c r="M6" s="8"/>
      <c r="N6" s="8">
        <v>-1000.0</v>
      </c>
      <c r="O6" s="8" t="s">
        <v>26</v>
      </c>
      <c r="P6" t="s">
        <v>27</v>
      </c>
      <c r="Q6">
        <v>-1000.0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17</v>
      </c>
      <c r="AP6" t="s">
        <v>25</v>
      </c>
      <c r="AQ6" t="s">
        <v>16</v>
      </c>
      <c r="AR6">
        <v>0.0</v>
      </c>
      <c r="AS6">
        <v>1.0</v>
      </c>
      <c r="AT6" t="s">
        <v>34</v>
      </c>
      <c r="AU6" t="s">
        <v>35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30</v>
      </c>
      <c r="BF6" t="s">
        <v>36</v>
      </c>
      <c r="BG6" t="s">
        <v>37</v>
      </c>
      <c r="BH6" t="s">
        <v>27</v>
      </c>
      <c r="BI6">
        <v>5.0</v>
      </c>
      <c r="BO6">
        <v>-1000.0</v>
      </c>
      <c r="BQ6" t="s">
        <v>38</v>
      </c>
      <c r="BR6" t="s">
        <v>19</v>
      </c>
      <c r="BU6" t="s">
        <v>30</v>
      </c>
      <c r="CD6">
        <v>-1000.0</v>
      </c>
      <c r="CG6">
        <v>-1000.0</v>
      </c>
      <c r="CH6">
        <v>-100.0</v>
      </c>
      <c r="CK6" t="b">
        <v>0</v>
      </c>
      <c r="CN6" t="s">
        <v>16</v>
      </c>
      <c r="CO6" t="s">
        <v>16</v>
      </c>
      <c r="CP6" t="s">
        <v>39</v>
      </c>
      <c r="CS6">
        <v>10.0</v>
      </c>
      <c r="CY6" t="s">
        <v>40</v>
      </c>
      <c r="CZ6" t="s">
        <v>41</v>
      </c>
      <c r="DD6">
        <v>100.0</v>
      </c>
      <c r="DH6" t="s">
        <v>27</v>
      </c>
      <c r="DJ6" t="s">
        <v>17</v>
      </c>
      <c r="DP6" t="s">
        <v>25</v>
      </c>
      <c r="DQ6" t="s">
        <v>42</v>
      </c>
      <c r="DR6" t="s">
        <v>43</v>
      </c>
      <c r="DS6" t="s">
        <v>42</v>
      </c>
      <c r="DT6" t="s">
        <v>42</v>
      </c>
      <c r="DU6" t="s">
        <v>44</v>
      </c>
      <c r="DV6" t="s">
        <v>42</v>
      </c>
      <c r="DW6" t="s">
        <v>42</v>
      </c>
      <c r="DX6" t="s">
        <v>42</v>
      </c>
      <c r="DY6" t="s">
        <v>42</v>
      </c>
      <c r="DZ6" t="s">
        <v>26</v>
      </c>
      <c r="EA6" t="s">
        <v>44</v>
      </c>
      <c r="EB6" t="s">
        <v>42</v>
      </c>
      <c r="EC6" t="s">
        <v>42</v>
      </c>
      <c r="ED6" t="s">
        <v>33</v>
      </c>
      <c r="EE6" t="s">
        <v>45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CheckTaxlotDetails!$4:$4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IFERROR(__xludf.DUMMYFUNCTION("""COMPUTED_VALUE"""),"Position")</f>
        <v>Position</v>
      </c>
      <c r="D5" s="27" t="str">
        <f>IFERROR(__xludf.DUMMYFUNCTION("""COMPUTED_VALUE"""),"Account")</f>
        <v>Account</v>
      </c>
      <c r="E5" s="27" t="str">
        <f>IFERROR(__xludf.DUMMYFUNCTION("""COMPUTED_VALUE"""),"MasterFund")</f>
        <v>MasterFund</v>
      </c>
      <c r="F5" s="28" t="str">
        <f>IFERROR(__xludf.DUMMYFUNCTION("""COMPUTED_VALUE"""),"Cost Basis")</f>
        <v>Cost Basis</v>
      </c>
      <c r="G5" s="27" t="str">
        <f>IFERROR(__xludf.DUMMYFUNCTION("""COMPUTED_VALUE"""),"Position Side")</f>
        <v>Position Side</v>
      </c>
      <c r="H5" s="27" t="str">
        <f>IFERROR(__xludf.DUMMYFUNCTION("""COMPUTED_VALUE"""),"Market Value (Base)")</f>
        <v>Market Value (Base)</v>
      </c>
      <c r="I5" s="27" t="str">
        <f>IFERROR(__xludf.DUMMYFUNCTION("""COMPUTED_VALUE"""),"% Day P&amp;L (Gross MV)")</f>
        <v>% Day P&amp;L (Gross MV)</v>
      </c>
      <c r="J5" s="27" t="str">
        <f>IFERROR(__xludf.DUMMYFUNCTION("""COMPUTED_VALUE"""),"Net Exposure (Base)")</f>
        <v>Net Exposure (Base)</v>
      </c>
      <c r="K5" s="27" t="str">
        <f>IFERROR(__xludf.DUMMYFUNCTION("""COMPUTED_VALUE"""),"Beta Adj. Gross Exposure (Base)")</f>
        <v>Beta Adj. Gross Exposure (Base)</v>
      </c>
      <c r="L5" s="27" t="str">
        <f>IFERROR(__xludf.DUMMYFUNCTION("""COMPUTED_VALUE"""),"Beta Adj. Gross Exposure (Underlying) (Base)")</f>
        <v>Beta Adj. Gross Exposure (Underlying) (Base)</v>
      </c>
      <c r="M5" s="27" t="str">
        <f>IFERROR(__xludf.DUMMYFUNCTION("""COMPUTED_VALUE"""),"Day P&amp;L (Base)")</f>
        <v>Day P&amp;L (Base)</v>
      </c>
      <c r="N5" s="27" t="str">
        <f>IFERROR(__xludf.DUMMYFUNCTION("""COMPUTED_VALUE"""),"Security Name")</f>
        <v>Security Name</v>
      </c>
      <c r="O5" s="27" t="str">
        <f>IFERROR(__xludf.DUMMYFUNCTION("""COMPUTED_VALUE"""),"Closing Mark")</f>
        <v>Closing Mark</v>
      </c>
      <c r="P5" s="27" t="str">
        <f>IFERROR(__xludf.DUMMYFUNCTION("""COMPUTED_VALUE"""),"Cost Basis P&amp;L (Base)")</f>
        <v>Cost Basis P&amp;L (Base)</v>
      </c>
      <c r="Q5" s="27" t="str">
        <f>IFERROR(__xludf.DUMMYFUNCTION("""COMPUTED_VALUE"""),"Prime Broker")</f>
        <v>Prime Broker</v>
      </c>
      <c r="R5" s="27" t="str">
        <f>IFERROR(__xludf.DUMMYFUNCTION("""COMPUTED_VALUE"""),"Strategy")</f>
        <v>Strategy</v>
      </c>
      <c r="S5" s="27" t="str">
        <f>IFERROR(__xludf.DUMMYFUNCTION("""COMPUTED_VALUE"""),"Asset Class")</f>
        <v>Asset Class</v>
      </c>
      <c r="T5" s="29" t="str">
        <f>IFERROR(__xludf.DUMMYFUNCTION("""COMPUTED_VALUE"""),"Underlying")</f>
        <v>Underlying</v>
      </c>
      <c r="U5" s="29" t="str">
        <f>IFERROR(__xludf.DUMMYFUNCTION("""COMPUTED_VALUE"""),"Exchange")</f>
        <v>Exchange</v>
      </c>
      <c r="V5" s="29" t="str">
        <f>IFERROR(__xludf.DUMMYFUNCTION("""COMPUTED_VALUE"""),"Trade Currency")</f>
        <v>Trade Currency</v>
      </c>
      <c r="W5" s="29" t="str">
        <f>IFERROR(__xludf.DUMMYFUNCTION("""COMPUTED_VALUE"""),"Multiplier")</f>
        <v>Multiplier</v>
      </c>
      <c r="X5" s="29" t="str">
        <f>IFERROR(__xludf.DUMMYFUNCTION("""COMPUTED_VALUE"""),"FX Rate")</f>
        <v>FX Rate</v>
      </c>
      <c r="Y5" s="29" t="str">
        <f>IFERROR(__xludf.DUMMYFUNCTION("""COMPUTED_VALUE"""),"Vs Currency")</f>
        <v>Vs Currency</v>
      </c>
      <c r="Z5" s="29" t="str">
        <f>IFERROR(__xludf.DUMMYFUNCTION("""COMPUTED_VALUE"""),"Lead Currency")</f>
        <v>Lead Currency</v>
      </c>
      <c r="AA5" s="29" t="str">
        <f>IFERROR(__xludf.DUMMYFUNCTION("""COMPUTED_VALUE"""),"Dividend Yield (%)")</f>
        <v>Dividend Yield (%)</v>
      </c>
      <c r="AB5" s="29" t="str">
        <f>IFERROR(__xludf.DUMMYFUNCTION("""COMPUTED_VALUE"""),"% Change")</f>
        <v>% Change</v>
      </c>
      <c r="AC5" s="29" t="str">
        <f>IFERROR(__xludf.DUMMYFUNCTION("""COMPUTED_VALUE"""),"Net Exposure (Local)")</f>
        <v>Net Exposure (Local)</v>
      </c>
      <c r="AD5" s="29" t="str">
        <f>IFERROR(__xludf.DUMMYFUNCTION("""COMPUTED_VALUE"""),"Exposure (Local)")</f>
        <v>Exposure (Local)</v>
      </c>
      <c r="AE5" s="29" t="str">
        <f>IFERROR(__xludf.DUMMYFUNCTION("""COMPUTED_VALUE"""),"Delta Adj. Position")</f>
        <v>Delta Adj. Position</v>
      </c>
      <c r="AF5" s="29" t="str">
        <f>IFERROR(__xludf.DUMMYFUNCTION("""COMPUTED_VALUE"""),"Exposure (Base)")</f>
        <v>Exposure (Base)</v>
      </c>
      <c r="AG5" s="29" t="str">
        <f>IFERROR(__xludf.DUMMYFUNCTION("""COMPUTED_VALUE"""),"Beta Adj. Exposure (Local)")</f>
        <v>Beta Adj. Exposure (Local)</v>
      </c>
      <c r="AH5" s="29" t="str">
        <f>IFERROR(__xludf.DUMMYFUNCTION("""COMPUTED_VALUE"""),"Beta Adj. Exposure (Base)")</f>
        <v>Beta Adj. Exposure (Base)</v>
      </c>
      <c r="AI5" s="29" t="str">
        <f>IFERROR(__xludf.DUMMYFUNCTION("""COMPUTED_VALUE"""),"Exposure (BP)(Base)")</f>
        <v>Exposure (BP)(Base)</v>
      </c>
      <c r="AJ5" s="29" t="str">
        <f>IFERROR(__xludf.DUMMYFUNCTION("""COMPUTED_VALUE"""),"Day P&amp;L (Local)")</f>
        <v>Day P&amp;L (Local)</v>
      </c>
      <c r="AK5" s="29" t="str">
        <f>IFERROR(__xludf.DUMMYFUNCTION("""COMPUTED_VALUE"""),"Delta")</f>
        <v>Delta</v>
      </c>
      <c r="AL5" s="29" t="str">
        <f>IFERROR(__xludf.DUMMYFUNCTION("""COMPUTED_VALUE"""),"Leveraged Factor")</f>
        <v>Leveraged Factor</v>
      </c>
      <c r="AM5" s="29" t="str">
        <f>IFERROR(__xludf.DUMMYFUNCTION("""COMPUTED_VALUE"""),"Order Side")</f>
        <v>Order Side</v>
      </c>
      <c r="AN5" s="29" t="str">
        <f>IFERROR(__xludf.DUMMYFUNCTION("""COMPUTED_VALUE"""),"Master Strategy")</f>
        <v>Master Strategy</v>
      </c>
      <c r="AO5" s="29" t="str">
        <f>IFERROR(__xludf.DUMMYFUNCTION("""COMPUTED_VALUE"""),"Transaction Side")</f>
        <v>Transaction Side</v>
      </c>
      <c r="AP5" s="29" t="str">
        <f>IFERROR(__xludf.DUMMYFUNCTION("""COMPUTED_VALUE"""),"Underlying Symbol")</f>
        <v>Underlying Symbol</v>
      </c>
      <c r="AQ5" s="29" t="str">
        <f>IFERROR(__xludf.DUMMYFUNCTION("""COMPUTED_VALUE"""),"Underlying Price")</f>
        <v>Underlying Price</v>
      </c>
      <c r="AR5" s="29" t="str">
        <f>IFERROR(__xludf.DUMMYFUNCTION("""COMPUTED_VALUE"""),"Side Multiplier")</f>
        <v>Side Multiplier</v>
      </c>
      <c r="AS5" s="29" t="str">
        <f>IFERROR(__xludf.DUMMYFUNCTION("""COMPUTED_VALUE"""),"Description")</f>
        <v>Description</v>
      </c>
      <c r="AT5" s="29" t="str">
        <f>IFERROR(__xludf.DUMMYFUNCTION("""COMPUTED_VALUE"""),"Internal Comments")</f>
        <v>Internal Comments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 t="s">
        <v>18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OpenTaxlotDetails1!$4:$4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/>
      <c r="C6" s="8" t="s">
        <v>20</v>
      </c>
      <c r="D6" s="31">
        <v>100.0</v>
      </c>
      <c r="E6" s="8" t="s">
        <v>18</v>
      </c>
      <c r="F6" s="8" t="s">
        <v>24</v>
      </c>
      <c r="G6" s="8">
        <v>10.0</v>
      </c>
      <c r="H6" s="8" t="s">
        <v>25</v>
      </c>
      <c r="I6" s="8"/>
      <c r="J6" s="8"/>
      <c r="K6" s="8"/>
      <c r="L6" s="8"/>
      <c r="M6" s="8"/>
      <c r="N6" s="8">
        <v>-1000.0</v>
      </c>
      <c r="O6" s="8" t="s">
        <v>20</v>
      </c>
      <c r="P6" t="s">
        <v>27</v>
      </c>
      <c r="Q6">
        <v>-1000.0</v>
      </c>
      <c r="R6" t="s">
        <v>28</v>
      </c>
      <c r="S6" t="s">
        <v>29</v>
      </c>
      <c r="T6" t="s">
        <v>30</v>
      </c>
      <c r="U6" t="s">
        <v>31</v>
      </c>
      <c r="V6" t="s">
        <v>47</v>
      </c>
      <c r="W6" t="s">
        <v>33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17</v>
      </c>
      <c r="AP6" t="s">
        <v>25</v>
      </c>
      <c r="AQ6" t="s">
        <v>20</v>
      </c>
      <c r="AS6">
        <v>1.0</v>
      </c>
      <c r="AT6" t="s">
        <v>34</v>
      </c>
      <c r="AU6" t="s">
        <v>35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30</v>
      </c>
      <c r="BF6" t="s">
        <v>48</v>
      </c>
      <c r="BG6" t="s">
        <v>49</v>
      </c>
      <c r="BH6" t="s">
        <v>27</v>
      </c>
      <c r="BI6" t="s">
        <v>50</v>
      </c>
      <c r="BO6">
        <v>-1000.0</v>
      </c>
      <c r="BQ6" t="s">
        <v>38</v>
      </c>
      <c r="BR6" t="s">
        <v>19</v>
      </c>
      <c r="BU6" t="s">
        <v>30</v>
      </c>
      <c r="CD6">
        <v>-1000.0</v>
      </c>
      <c r="CG6">
        <v>-1000.0</v>
      </c>
      <c r="CH6">
        <v>-100.0</v>
      </c>
      <c r="CK6" t="b">
        <v>0</v>
      </c>
      <c r="CP6" t="s">
        <v>51</v>
      </c>
      <c r="CS6">
        <v>10.0</v>
      </c>
      <c r="CY6" t="s">
        <v>40</v>
      </c>
      <c r="CZ6" t="s">
        <v>41</v>
      </c>
      <c r="DD6">
        <v>100.0</v>
      </c>
      <c r="DH6" t="s">
        <v>27</v>
      </c>
      <c r="DJ6" t="s">
        <v>17</v>
      </c>
      <c r="DM6">
        <v>1.0</v>
      </c>
      <c r="DO6" t="s">
        <v>55</v>
      </c>
      <c r="DP6" t="s">
        <v>25</v>
      </c>
      <c r="DQ6" t="s">
        <v>27</v>
      </c>
      <c r="DR6" t="s">
        <v>52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20</v>
      </c>
      <c r="EA6" t="s">
        <v>45</v>
      </c>
      <c r="EB6" t="s">
        <v>27</v>
      </c>
      <c r="EC6" t="s">
        <v>27</v>
      </c>
      <c r="ED6" t="s">
        <v>33</v>
      </c>
      <c r="EE6" t="s">
        <v>45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46</v>
      </c>
      <c r="FH6">
        <v>100.0</v>
      </c>
      <c r="FI6" t="s">
        <v>23</v>
      </c>
      <c r="FK6" t="s">
        <v>23</v>
      </c>
      <c r="FL6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CheckTaxlotDetails1!$4:$4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