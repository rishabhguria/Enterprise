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Closing" sheetId="5" r:id="rId7"/>
    <sheet state="visible" name="AutomaticClosing" sheetId="6" r:id="rId8"/>
    <sheet state="visible" name="GetDataAllocation" sheetId="7" r:id="rId9"/>
    <sheet state="visible" name="CheckAllocatedGroups" sheetId="8" r:id="rId10"/>
  </sheets>
  <definedNames/>
  <calcPr/>
</workbook>
</file>

<file path=xl/sharedStrings.xml><?xml version="1.0" encoding="utf-8"?>
<sst xmlns="http://schemas.openxmlformats.org/spreadsheetml/2006/main" count="65" uniqueCount="32">
  <si>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</si>
  <si>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</si>
  <si>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</si>
  <si>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</si>
  <si>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</si>
  <si>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</si>
  <si>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</si>
  <si>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</si>
  <si>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</si>
  <si>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</si>
  <si>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</si>
  <si>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</si>
  <si>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</si>
  <si>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</si>
  <si>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</si>
  <si>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</si>
  <si>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</si>
  <si>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</si>
  <si>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</si>
  <si>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Sell</t>
  </si>
  <si>
    <t>Closing</t>
  </si>
  <si>
    <t>GetDataClosing</t>
  </si>
  <si>
    <t>Current</t>
  </si>
  <si>
    <t>AutomaticClosing</t>
  </si>
  <si>
    <t>FIFO</t>
  </si>
  <si>
    <t>None</t>
  </si>
  <si>
    <t>Default</t>
  </si>
  <si>
    <t>Allocation</t>
  </si>
  <si>
    <t>GetDataAllocation</t>
  </si>
  <si>
    <t>CheckAllocatedGroups</t>
  </si>
  <si>
    <t>Closed</t>
  </si>
  <si>
    <t>PartiallyClosed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</si>
</sst>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1000.0</v>
      </c>
      <c r="E6" s="30"/>
      <c r="F6" s="12" t="s">
        <v>18</v>
      </c>
      <c r="G6" s="8"/>
      <c r="H6" s="8"/>
      <c r="I6" s="8"/>
      <c r="J6" s="12">
        <v>10.0</v>
      </c>
      <c r="K6" s="8"/>
      <c r="L6" s="8"/>
      <c r="M6" s="8"/>
      <c r="N6" s="8"/>
      <c r="O6" s="8"/>
    </row>
    <row r="7" ht="15.75" customHeight="1">
      <c r="A7" s="8"/>
      <c r="B7" s="12" t="s">
        <v>16</v>
      </c>
      <c r="C7" s="12" t="s">
        <v>19</v>
      </c>
      <c r="D7" s="12">
        <v>1000.0</v>
      </c>
      <c r="E7" s="12">
        <v>500.0</v>
      </c>
      <c r="F7" s="12" t="s">
        <v>18</v>
      </c>
      <c r="G7" s="8"/>
      <c r="H7" s="8"/>
      <c r="I7" s="8"/>
      <c r="J7" s="12">
        <v>10.0</v>
      </c>
      <c r="K7" s="8"/>
      <c r="L7" s="8"/>
      <c r="M7" s="8"/>
      <c r="N7" s="8"/>
      <c r="O7" s="8"/>
    </row>
    <row r="8" ht="15.75" customHeight="1">
      <c r="A8" s="8"/>
      <c r="B8" s="12"/>
      <c r="C8" s="12"/>
      <c r="D8" s="12"/>
      <c r="E8" s="8"/>
      <c r="F8" s="12"/>
      <c r="G8" s="8"/>
      <c r="H8" s="8"/>
      <c r="I8" s="8"/>
      <c r="J8" s="12"/>
      <c r="K8" s="8"/>
      <c r="L8" s="8"/>
      <c r="M8" s="8"/>
      <c r="N8" s="8"/>
      <c r="O8" s="8"/>
    </row>
    <row r="9" ht="15.75" customHeight="1">
      <c r="A9" s="8"/>
      <c r="B9" s="12"/>
      <c r="C9" s="12"/>
      <c r="D9" s="12"/>
      <c r="E9" s="8"/>
      <c r="F9" s="12"/>
      <c r="G9" s="8"/>
      <c r="H9" s="8"/>
      <c r="I9" s="8"/>
      <c r="J9" s="12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IFERROR(__xludf.DUMMYFUNCTION("""COMPUTED_VALUE"""),"CloseOrder")</f>
        <v>CloseOrder</v>
      </c>
      <c r="Y4" s="25" t="str">
        <f>IFERROR(__xludf.DUMMYFUNCTION("""COMPUTED_VALUE"""),"CloseOrder")</f>
        <v>CloseOrder</v>
      </c>
      <c r="Z4" s="25" t="str">
        <f>IFERROR(__xludf.DUMMYFUNCTION("""COMPUTED_VALUE"""),"VerifyCloseOrder")</f>
        <v>VerifyCloseOrder</v>
      </c>
      <c r="AA4" s="25" t="str">
        <f>IFERROR(__xludf.DUMMYFUNCTION("""COMPUTED_VALUE"""),"UnWindCloseOrder")</f>
        <v>UnWindCloseOrder</v>
      </c>
      <c r="AB4" s="25" t="str">
        <f>IFERROR(__xludf.DUMMYFUNCTION("""COMPUTED_VALUE"""),"ClosingCleanUp")</f>
        <v>ClosingCleanUp</v>
      </c>
      <c r="AC4" s="25" t="str">
        <f>IFERROR(__xludf.DUMMYFUNCTION("""COMPUTED_VALUE"""),"CloseClosingUI")</f>
        <v>CloseClosingUI</v>
      </c>
      <c r="AD4" s="25" t="str">
        <f>IFERROR(__xludf.DUMMYFUNCTION("""COMPUTED_VALUE"""),"SetClosingPreference")</f>
        <v>SetClosingPreference</v>
      </c>
      <c r="AE4" s="25" t="str">
        <f>IFERROR(__xludf.DUMMYFUNCTION("""COMPUTED_VALUE"""),"EditTradeUnexpiredUnsettled")</f>
        <v>EditTradeUnexpiredUnsettled</v>
      </c>
      <c r="AF4" s="25" t="str">
        <f>IFERROR(__xludf.DUMMYFUNCTION("""COMPUTED_VALUE"""),"AutoExercise")</f>
        <v>AutoExercise</v>
      </c>
      <c r="AG4" s="25" t="str">
        <f>IFERROR(__xludf.DUMMYFUNCTION("""COMPUTED_VALUE"""),"EditMultipleCloseQuantity")</f>
        <v>EditMultipleCloseQuantity</v>
      </c>
      <c r="AH4" s="25" t="str">
        <f>IFERROR(__xludf.DUMMYFUNCTION("""COMPUTED_VALUE"""),"ManualCloseOrder")</f>
        <v>ManualCloseOrder</v>
      </c>
      <c r="AI4" s="25" t="str">
        <f>IFERROR(__xludf.DUMMYFUNCTION("""COMPUTED_VALUE"""),"PreviewDataWithFilters")</f>
        <v>PreviewDataWithFilters</v>
      </c>
      <c r="AJ4" s="25" t="str">
        <f>IFERROR(__xludf.DUMMYFUNCTION("""COMPUTED_VALUE"""),"CreateClosingTemplate")</f>
        <v>CreateClosingTemplate</v>
      </c>
      <c r="AK4" s="25" t="str">
        <f>IFERROR(__xludf.DUMMYFUNCTION("""COMPUTED_VALUE"""),"CreateUnwindingTemplate")</f>
        <v>CreateUnwindingTemplate</v>
      </c>
      <c r="AL4" s="25" t="str">
        <f>IFERROR(__xludf.DUMMYFUNCTION("""COMPUTED_VALUE"""),"EditTemplate")</f>
        <v>EditTemplate</v>
      </c>
      <c r="AM4" s="25" t="str">
        <f>IFERROR(__xludf.DUMMYFUNCTION("""COMPUTED_VALUE"""),"DeleteTemplate")</f>
        <v>DeleteTemplate</v>
      </c>
      <c r="AN4" s="25" t="str">
        <f>IFERROR(__xludf.DUMMYFUNCTION("""COMPUTED_VALUE"""),"RunTemplate")</f>
        <v>RunTemplate</v>
      </c>
      <c r="AO4" s="25" t="str">
        <f>IFERROR(__xludf.DUMMYFUNCTION("""COMPUTED_VALUE"""),"SelectAccountWiseAsset")</f>
        <v>SelectAccountWiseAsset</v>
      </c>
      <c r="AP4" s="25" t="str">
        <f>IFERROR(__xludf.DUMMYFUNCTION("""COMPUTED_VALUE"""),"VerifyCTData")</f>
        <v>VerifyCTData</v>
      </c>
      <c r="AQ4" s="25" t="str">
        <f>IFERROR(__xludf.DUMMYFUNCTION("""COMPUTED_VALUE"""),"ExerciseAssignmentWithOutSave")</f>
        <v>ExerciseAssignmentWithOutSave</v>
      </c>
      <c r="AR4" s="25" t="str">
        <f>IFERROR(__xludf.DUMMYFUNCTION("""COMPUTED_VALUE"""),"SaveCTData")</f>
        <v>SaveCTData</v>
      </c>
      <c r="AS4" s="25" t="str">
        <f>IFERROR(__xludf.DUMMYFUNCTION("""COMPUTED_VALUE"""),"FilterLongPositionGrid")</f>
        <v>FilterLongPositionGrid</v>
      </c>
      <c r="AT4" s="25" t="str">
        <f>IFERROR(__xludf.DUMMYFUNCTION("""COMPUTED_VALUE"""),"FilterShortPositionGrid")</f>
        <v>FilterShortPositionGrid</v>
      </c>
      <c r="AU4" s="25" t="str">
        <f>IFERROR(__xludf.DUMMYFUNCTION("""COMPUTED_VALUE"""),"FilterClosingGrid")</f>
        <v>FilterClosingGrid</v>
      </c>
      <c r="AV4" s="25" t="str">
        <f>IFERROR(__xludf.DUMMYFUNCTION("""COMPUTED_VALUE"""),"FilterUnexpiredGrid")</f>
        <v>FilterUnexpiredGrid</v>
      </c>
      <c r="AW4" s="25" t="str">
        <f>IFERROR(__xludf.DUMMYFUNCTION("""COMPUTED_VALUE"""),"FilterExpiredGrid")</f>
        <v>FilterExpiredGrid</v>
      </c>
      <c r="AX4" s="25" t="str">
        <f>IFERROR(__xludf.DUMMYFUNCTION("""COMPUTED_VALUE"""),"UnwindAllClosingData")</f>
        <v>UnwindAllClosingData</v>
      </c>
      <c r="AY4" s="25" t="str">
        <f>IFERROR(__xludf.DUMMYFUNCTION("""COMPUTED_VALUE"""),"FilterClosing")</f>
        <v>FilterClosing</v>
      </c>
      <c r="AZ4" s="25" t="str">
        <f>IFERROR(__xludf.DUMMYFUNCTION("""COMPUTED_VALUE"""),"VerifyClosingNavLockPopup")</f>
        <v>VerifyClosingNavLockPopup</v>
      </c>
      <c r="BA4" s="25" t="str">
        <f>IFERROR(__xludf.DUMMYFUNCTION("""COMPUTED_VALUE"""),"VerifyClosingNavLockPopup")</f>
        <v>VerifyClosingNavLockPopup</v>
      </c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IFERROR(__xludf.DUMMYFUNCTION("""COMPUTED_VALUE"""),"CloseOrder")</f>
        <v>CloseOrder</v>
      </c>
      <c r="Y4" s="25" t="str">
        <f>IFERROR(__xludf.DUMMYFUNCTION("""COMPUTED_VALUE"""),"CloseOrder")</f>
        <v>CloseOrder</v>
      </c>
      <c r="Z4" s="25" t="str">
        <f>IFERROR(__xludf.DUMMYFUNCTION("""COMPUTED_VALUE"""),"VerifyCloseOrder")</f>
        <v>VerifyCloseOrder</v>
      </c>
      <c r="AA4" s="25" t="str">
        <f>IFERROR(__xludf.DUMMYFUNCTION("""COMPUTED_VALUE"""),"UnWindCloseOrder")</f>
        <v>UnWindCloseOrder</v>
      </c>
      <c r="AB4" s="25" t="str">
        <f>IFERROR(__xludf.DUMMYFUNCTION("""COMPUTED_VALUE"""),"ClosingCleanUp")</f>
        <v>ClosingCleanUp</v>
      </c>
      <c r="AC4" s="25" t="str">
        <f>IFERROR(__xludf.DUMMYFUNCTION("""COMPUTED_VALUE"""),"CloseClosingUI")</f>
        <v>CloseClosingUI</v>
      </c>
      <c r="AD4" s="25" t="str">
        <f>IFERROR(__xludf.DUMMYFUNCTION("""COMPUTED_VALUE"""),"SetClosingPreference")</f>
        <v>SetClosingPreference</v>
      </c>
      <c r="AE4" s="25" t="str">
        <f>IFERROR(__xludf.DUMMYFUNCTION("""COMPUTED_VALUE"""),"EditTradeUnexpiredUnsettled")</f>
        <v>EditTradeUnexpiredUnsettled</v>
      </c>
      <c r="AF4" s="25" t="str">
        <f>IFERROR(__xludf.DUMMYFUNCTION("""COMPUTED_VALUE"""),"AutoExercise")</f>
        <v>AutoExercise</v>
      </c>
      <c r="AG4" s="25" t="str">
        <f>IFERROR(__xludf.DUMMYFUNCTION("""COMPUTED_VALUE"""),"EditMultipleCloseQuantity")</f>
        <v>EditMultipleCloseQuantity</v>
      </c>
      <c r="AH4" s="25" t="str">
        <f>IFERROR(__xludf.DUMMYFUNCTION("""COMPUTED_VALUE"""),"ManualCloseOrder")</f>
        <v>ManualCloseOrder</v>
      </c>
      <c r="AI4" s="25" t="str">
        <f>IFERROR(__xludf.DUMMYFUNCTION("""COMPUTED_VALUE"""),"PreviewDataWithFilters")</f>
        <v>PreviewDataWithFilters</v>
      </c>
      <c r="AJ4" s="25" t="str">
        <f>IFERROR(__xludf.DUMMYFUNCTION("""COMPUTED_VALUE"""),"CreateClosingTemplate")</f>
        <v>CreateClosingTemplate</v>
      </c>
      <c r="AK4" s="25" t="str">
        <f>IFERROR(__xludf.DUMMYFUNCTION("""COMPUTED_VALUE"""),"CreateUnwindingTemplate")</f>
        <v>CreateUnwindingTemplate</v>
      </c>
      <c r="AL4" s="25" t="str">
        <f>IFERROR(__xludf.DUMMYFUNCTION("""COMPUTED_VALUE"""),"EditTemplate")</f>
        <v>EditTemplate</v>
      </c>
      <c r="AM4" s="25" t="str">
        <f>IFERROR(__xludf.DUMMYFUNCTION("""COMPUTED_VALUE"""),"DeleteTemplate")</f>
        <v>DeleteTemplate</v>
      </c>
      <c r="AN4" s="25" t="str">
        <f>IFERROR(__xludf.DUMMYFUNCTION("""COMPUTED_VALUE"""),"RunTemplate")</f>
        <v>RunTemplate</v>
      </c>
      <c r="AO4" s="25" t="str">
        <f>IFERROR(__xludf.DUMMYFUNCTION("""COMPUTED_VALUE"""),"SelectAccountWiseAsset")</f>
        <v>SelectAccountWiseAsset</v>
      </c>
      <c r="AP4" s="25" t="str">
        <f>IFERROR(__xludf.DUMMYFUNCTION("""COMPUTED_VALUE"""),"VerifyCTData")</f>
        <v>VerifyCTData</v>
      </c>
      <c r="AQ4" s="25" t="str">
        <f>IFERROR(__xludf.DUMMYFUNCTION("""COMPUTED_VALUE"""),"ExerciseAssignmentWithOutSave")</f>
        <v>ExerciseAssignmentWithOutSave</v>
      </c>
      <c r="AR4" s="25" t="str">
        <f>IFERROR(__xludf.DUMMYFUNCTION("""COMPUTED_VALUE"""),"SaveCTData")</f>
        <v>SaveCTData</v>
      </c>
      <c r="AS4" s="25" t="str">
        <f>IFERROR(__xludf.DUMMYFUNCTION("""COMPUTED_VALUE"""),"FilterLongPositionGrid")</f>
        <v>FilterLongPositionGrid</v>
      </c>
      <c r="AT4" s="25" t="str">
        <f>IFERROR(__xludf.DUMMYFUNCTION("""COMPUTED_VALUE"""),"FilterShortPositionGrid")</f>
        <v>FilterShortPositionGrid</v>
      </c>
      <c r="AU4" s="25" t="str">
        <f>IFERROR(__xludf.DUMMYFUNCTION("""COMPUTED_VALUE"""),"FilterClosingGrid")</f>
        <v>FilterClosingGrid</v>
      </c>
      <c r="AV4" s="25" t="str">
        <f>IFERROR(__xludf.DUMMYFUNCTION("""COMPUTED_VALUE"""),"FilterUnexpiredGrid")</f>
        <v>FilterUnexpiredGrid</v>
      </c>
      <c r="AW4" s="25" t="str">
        <f>IFERROR(__xludf.DUMMYFUNCTION("""COMPUTED_VALUE"""),"FilterExpiredGrid")</f>
        <v>FilterExpiredGrid</v>
      </c>
      <c r="AX4" s="25" t="str">
        <f>IFERROR(__xludf.DUMMYFUNCTION("""COMPUTED_VALUE"""),"UnwindAllClosingData")</f>
        <v>UnwindAllClosingData</v>
      </c>
      <c r="AY4" s="25" t="str">
        <f>IFERROR(__xludf.DUMMYFUNCTION("""COMPUTED_VALUE"""),"FilterClosing")</f>
        <v>FilterClosing</v>
      </c>
      <c r="AZ4" s="25" t="str">
        <f>IFERROR(__xludf.DUMMYFUNCTION("""COMPUTED_VALUE"""),"VerifyClosingNavLockPopup")</f>
        <v>VerifyClosingNavLockPopup</v>
      </c>
      <c r="BA4" s="25" t="str">
        <f>IFERROR(__xludf.DUMMYFUNCTION("""COMPUTED_VALUE"""),"VerifyClosingNavLockPopup")</f>
        <v>VerifyClosingNavLockPopup</v>
      </c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IFERROR(__xludf.DUMMYFUNCTION("""COMPUTED_VALUE"""),"CloseSSw/BuyBTO ")</f>
        <v>CloseSSw/BuyBTO </v>
      </c>
      <c r="C5" s="27" t="str">
        <f>IFERROR(__xludf.DUMMYFUNCTION("""COMPUTED_VALUE"""),"AutoCloseStrategy")</f>
        <v>AutoCloseStrategy</v>
      </c>
      <c r="D5" s="27" t="str">
        <f>IFERROR(__xludf.DUMMYFUNCTION("""COMPUTED_VALUE"""),"Algorithm")</f>
        <v>Algorithm</v>
      </c>
      <c r="E5" s="27" t="str">
        <f>IFERROR(__xludf.DUMMYFUNCTION("""COMPUTED_VALUE"""),"SecondarySortCriteria")</f>
        <v>SecondarySortCriteria</v>
      </c>
      <c r="F5" s="28" t="str">
        <f>IFERROR(__xludf.DUMMYFUNCTION("""COMPUTED_VALUE"""),"ClosingField")</f>
        <v>ClosingField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b">
        <v>0</v>
      </c>
      <c r="C6" s="32" t="b">
        <v>0</v>
      </c>
      <c r="D6" s="33" t="s">
        <v>24</v>
      </c>
      <c r="E6" s="34" t="s">
        <v>25</v>
      </c>
      <c r="F6" s="34" t="s">
        <v>26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AutomaticClosing!$4:$4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8"/>
      <c r="D6" s="12"/>
      <c r="E6" s="12">
        <v>500.0</v>
      </c>
      <c r="F6" s="8"/>
      <c r="G6" s="8"/>
      <c r="H6" s="8"/>
      <c r="I6" s="8"/>
      <c r="J6" s="8"/>
      <c r="K6" s="12">
        <v>10.0</v>
      </c>
      <c r="L6" s="12">
        <v>10.0</v>
      </c>
      <c r="M6" s="8"/>
      <c r="N6" s="8"/>
      <c r="O6" s="8"/>
      <c r="S6" s="9" t="s">
        <v>30</v>
      </c>
      <c r="AE6" s="9">
        <v>500.0</v>
      </c>
      <c r="BJ6" s="9">
        <v>1000.0</v>
      </c>
      <c r="BO6" s="12" t="s">
        <v>19</v>
      </c>
      <c r="BT6" s="12" t="s">
        <v>16</v>
      </c>
    </row>
    <row r="7" ht="15.75" customHeight="1">
      <c r="A7" s="8"/>
      <c r="B7" s="12" t="s">
        <v>18</v>
      </c>
      <c r="C7" s="8"/>
      <c r="D7" s="8"/>
      <c r="E7" s="12">
        <v>1000.0</v>
      </c>
      <c r="F7" s="8"/>
      <c r="G7" s="8"/>
      <c r="H7" s="8"/>
      <c r="I7" s="8"/>
      <c r="J7" s="8"/>
      <c r="K7" s="12">
        <v>10.0</v>
      </c>
      <c r="L7" s="12">
        <v>10.0</v>
      </c>
      <c r="M7" s="8"/>
      <c r="N7" s="8"/>
      <c r="O7" s="8"/>
      <c r="S7" s="9" t="s">
        <v>31</v>
      </c>
      <c r="AE7" s="9">
        <v>1000.0</v>
      </c>
      <c r="BJ7" s="9">
        <v>1000.0</v>
      </c>
      <c r="BO7" s="12" t="s">
        <v>17</v>
      </c>
      <c r="BT7" s="12" t="s">
        <v>16</v>
      </c>
    </row>
    <row r="8" ht="15.75" customHeight="1">
      <c r="A8" s="8"/>
      <c r="B8" s="12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BO8" s="12"/>
      <c r="BT8" s="12"/>
    </row>
    <row r="9" ht="15.75" customHeight="1">
      <c r="A9" s="8"/>
      <c r="B9" s="12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BO9" s="12"/>
      <c r="BT9" s="1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