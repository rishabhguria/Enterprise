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7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CreateDoneAwayOrder1" sheetId="8" r:id="rId8"/>
    <sheet name="GetDataClosing" sheetId="9" r:id="rId9"/>
    <sheet name="AutomaticClosing" sheetId="10" r:id="rId10"/>
    <sheet name="GetDayEndCash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E6" i="11"/>
  <c r="D6" i="11"/>
  <c r="J2" i="11"/>
  <c r="J2" i="10"/>
  <c r="D6" i="9"/>
  <c r="C6" i="9"/>
  <c r="J2" i="9"/>
  <c r="N7" i="8"/>
  <c r="N6" i="8"/>
  <c r="J2" i="8"/>
  <c r="J2" i="7"/>
  <c r="J2" i="6"/>
  <c r="C6" i="5"/>
  <c r="B6" i="5"/>
  <c r="J2" i="5"/>
  <c r="N7" i="4"/>
  <c r="N6" i="4"/>
  <c r="J2" i="4"/>
  <c r="BK5" i="12"/>
  <c r="FJ5" i="12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FH4" i="12"/>
  <c r="EZ4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X5" i="9"/>
  <c r="EP5" i="9"/>
  <c r="EH5" i="9"/>
  <c r="DZ5" i="9"/>
  <c r="DR5" i="9"/>
  <c r="DJ5" i="9"/>
  <c r="DB5" i="9"/>
  <c r="CT5" i="9"/>
  <c r="FI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FG4" i="12"/>
  <c r="EY4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FH5" i="12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FF4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FG5" i="12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FE4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F5" i="12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FD4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FE5" i="12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FC4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FD5" i="12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FJ4" i="12"/>
  <c r="FB4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FC5" i="12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FI4" i="12"/>
  <c r="FA4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S5" i="11"/>
  <c r="EA5" i="11"/>
  <c r="DD5" i="11"/>
  <c r="CG5" i="11"/>
  <c r="BO5" i="11"/>
  <c r="AR5" i="11"/>
  <c r="U5" i="11"/>
  <c r="C5" i="11"/>
  <c r="EE4" i="11"/>
  <c r="DQ4" i="11"/>
  <c r="DF4" i="11"/>
  <c r="CR4" i="11"/>
  <c r="CG4" i="11"/>
  <c r="BS4" i="11"/>
  <c r="BE4" i="11"/>
  <c r="AT4" i="11"/>
  <c r="AF4" i="11"/>
  <c r="U4" i="11"/>
  <c r="G4" i="11"/>
  <c r="EQ5" i="10"/>
  <c r="EF5" i="10"/>
  <c r="DR5" i="10"/>
  <c r="DG5" i="10"/>
  <c r="CU5" i="10"/>
  <c r="CK5" i="10"/>
  <c r="CA5" i="10"/>
  <c r="BO5" i="10"/>
  <c r="BE5" i="10"/>
  <c r="AU5" i="10"/>
  <c r="AI5" i="10"/>
  <c r="Y5" i="10"/>
  <c r="O5" i="10"/>
  <c r="C5" i="10"/>
  <c r="EQ4" i="10"/>
  <c r="EG4" i="10"/>
  <c r="DU4" i="10"/>
  <c r="DK4" i="10"/>
  <c r="DA4" i="10"/>
  <c r="CO4" i="10"/>
  <c r="CE4" i="10"/>
  <c r="BU4" i="10"/>
  <c r="BI4" i="10"/>
  <c r="AY4" i="10"/>
  <c r="AO4" i="10"/>
  <c r="AC4" i="10"/>
  <c r="S4" i="10"/>
  <c r="I4" i="10"/>
  <c r="EO5" i="9"/>
  <c r="EF5" i="9"/>
  <c r="DW5" i="9"/>
  <c r="DN5" i="9"/>
  <c r="DE5" i="9"/>
  <c r="CV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ER5" i="11"/>
  <c r="DU5" i="11"/>
  <c r="DC5" i="11"/>
  <c r="CF5" i="11"/>
  <c r="BI5" i="11"/>
  <c r="AQ5" i="11"/>
  <c r="T5" i="11"/>
  <c r="EU4" i="11"/>
  <c r="ED4" i="11"/>
  <c r="DP4" i="11"/>
  <c r="DE4" i="11"/>
  <c r="CQ4" i="11"/>
  <c r="CC4" i="11"/>
  <c r="BR4" i="11"/>
  <c r="BD4" i="11"/>
  <c r="AS4" i="11"/>
  <c r="AE4" i="11"/>
  <c r="Q4" i="11"/>
  <c r="F4" i="11"/>
  <c r="EP5" i="10"/>
  <c r="EE5" i="10"/>
  <c r="DQ5" i="10"/>
  <c r="DF5" i="10"/>
  <c r="CT5" i="10"/>
  <c r="CJ5" i="10"/>
  <c r="BZ5" i="10"/>
  <c r="BN5" i="10"/>
  <c r="BD5" i="10"/>
  <c r="AT5" i="10"/>
  <c r="AH5" i="10"/>
  <c r="X5" i="10"/>
  <c r="N5" i="10"/>
  <c r="B5" i="10"/>
  <c r="EP4" i="10"/>
  <c r="EF4" i="10"/>
  <c r="DT4" i="10"/>
  <c r="DJ4" i="10"/>
  <c r="CZ4" i="10"/>
  <c r="CN4" i="10"/>
  <c r="CD4" i="10"/>
  <c r="BT4" i="10"/>
  <c r="BH4" i="10"/>
  <c r="AX4" i="10"/>
  <c r="AN4" i="10"/>
  <c r="AB4" i="10"/>
  <c r="R4" i="10"/>
  <c r="H4" i="10"/>
  <c r="EW5" i="9"/>
  <c r="EN5" i="9"/>
  <c r="EE5" i="9"/>
  <c r="DV5" i="9"/>
  <c r="DM5" i="9"/>
  <c r="DD5" i="9"/>
  <c r="CU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EQ5" i="11"/>
  <c r="DT5" i="11"/>
  <c r="CW5" i="11"/>
  <c r="CE5" i="11"/>
  <c r="BH5" i="11"/>
  <c r="AK5" i="11"/>
  <c r="S5" i="11"/>
  <c r="ET4" i="11"/>
  <c r="EC4" i="11"/>
  <c r="DO4" i="11"/>
  <c r="DA4" i="11"/>
  <c r="CP4" i="11"/>
  <c r="CB4" i="11"/>
  <c r="BQ4" i="11"/>
  <c r="BC4" i="11"/>
  <c r="AO4" i="11"/>
  <c r="AD4" i="11"/>
  <c r="P4" i="11"/>
  <c r="E4" i="11"/>
  <c r="EO5" i="10"/>
  <c r="EA5" i="10"/>
  <c r="DP5" i="10"/>
  <c r="DC5" i="10"/>
  <c r="CS5" i="10"/>
  <c r="CI5" i="10"/>
  <c r="BW5" i="10"/>
  <c r="BM5" i="10"/>
  <c r="BC5" i="10"/>
  <c r="AQ5" i="10"/>
  <c r="AG5" i="10"/>
  <c r="W5" i="10"/>
  <c r="K5" i="10"/>
  <c r="A5" i="10"/>
  <c r="EO4" i="10"/>
  <c r="EC4" i="10"/>
  <c r="DS4" i="10"/>
  <c r="DI4" i="10"/>
  <c r="CW4" i="10"/>
  <c r="CM4" i="10"/>
  <c r="CC4" i="10"/>
  <c r="BQ4" i="10"/>
  <c r="BG4" i="10"/>
  <c r="AW4" i="10"/>
  <c r="AK4" i="10"/>
  <c r="AA4" i="10"/>
  <c r="Q4" i="10"/>
  <c r="E4" i="10"/>
  <c r="EV5" i="9"/>
  <c r="EM5" i="9"/>
  <c r="ED5" i="9"/>
  <c r="DU5" i="9"/>
  <c r="DL5" i="9"/>
  <c r="DC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K5" i="11"/>
  <c r="DS5" i="11"/>
  <c r="CV5" i="11"/>
  <c r="BY5" i="11"/>
  <c r="BG5" i="11"/>
  <c r="AJ5" i="11"/>
  <c r="M5" i="11"/>
  <c r="ES4" i="11"/>
  <c r="DY4" i="11"/>
  <c r="DN4" i="11"/>
  <c r="CZ4" i="11"/>
  <c r="CO4" i="11"/>
  <c r="CA4" i="11"/>
  <c r="BM4" i="11"/>
  <c r="BB4" i="11"/>
  <c r="AN4" i="11"/>
  <c r="AC4" i="11"/>
  <c r="O4" i="11"/>
  <c r="EN5" i="10"/>
  <c r="DZ5" i="10"/>
  <c r="DO5" i="10"/>
  <c r="DB5" i="10"/>
  <c r="CR5" i="10"/>
  <c r="CH5" i="10"/>
  <c r="BV5" i="10"/>
  <c r="BL5" i="10"/>
  <c r="BB5" i="10"/>
  <c r="AP5" i="10"/>
  <c r="AF5" i="10"/>
  <c r="V5" i="10"/>
  <c r="J5" i="10"/>
  <c r="EX4" i="10"/>
  <c r="EN4" i="10"/>
  <c r="EB4" i="10"/>
  <c r="DR4" i="10"/>
  <c r="DH4" i="10"/>
  <c r="CV4" i="10"/>
  <c r="CL4" i="10"/>
  <c r="CB4" i="10"/>
  <c r="BP4" i="10"/>
  <c r="BF4" i="10"/>
  <c r="AV4" i="10"/>
  <c r="AJ4" i="10"/>
  <c r="Z4" i="10"/>
  <c r="P4" i="10"/>
  <c r="D4" i="10"/>
  <c r="EU5" i="9"/>
  <c r="EL5" i="9"/>
  <c r="EC5" i="9"/>
  <c r="DT5" i="9"/>
  <c r="DK5" i="9"/>
  <c r="DA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J5" i="11"/>
  <c r="DM5" i="11"/>
  <c r="CU5" i="11"/>
  <c r="BX5" i="11"/>
  <c r="BA5" i="11"/>
  <c r="AI5" i="11"/>
  <c r="L5" i="11"/>
  <c r="EM4" i="11"/>
  <c r="DX4" i="11"/>
  <c r="DM4" i="11"/>
  <c r="CY4" i="11"/>
  <c r="CK4" i="11"/>
  <c r="BZ4" i="11"/>
  <c r="BL4" i="11"/>
  <c r="BA4" i="11"/>
  <c r="AM4" i="11"/>
  <c r="Y4" i="11"/>
  <c r="N4" i="11"/>
  <c r="EX5" i="10"/>
  <c r="EM5" i="10"/>
  <c r="DY5" i="10"/>
  <c r="DK5" i="10"/>
  <c r="DA5" i="10"/>
  <c r="CQ5" i="10"/>
  <c r="CE5" i="10"/>
  <c r="BU5" i="10"/>
  <c r="BK5" i="10"/>
  <c r="AY5" i="10"/>
  <c r="AO5" i="10"/>
  <c r="AE5" i="10"/>
  <c r="S5" i="10"/>
  <c r="I5" i="10"/>
  <c r="EW4" i="10"/>
  <c r="EK4" i="10"/>
  <c r="EA4" i="10"/>
  <c r="DQ4" i="10"/>
  <c r="DE4" i="10"/>
  <c r="CU4" i="10"/>
  <c r="CK4" i="10"/>
  <c r="BY4" i="10"/>
  <c r="BO4" i="10"/>
  <c r="BE4" i="10"/>
  <c r="AS4" i="10"/>
  <c r="AI4" i="10"/>
  <c r="Y4" i="10"/>
  <c r="M4" i="10"/>
  <c r="C4" i="10"/>
  <c r="ET5" i="9"/>
  <c r="EK5" i="9"/>
  <c r="EB5" i="9"/>
  <c r="DS5" i="9"/>
  <c r="DI5" i="9"/>
  <c r="CZ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EI5" i="11"/>
  <c r="DL5" i="11"/>
  <c r="CO5" i="11"/>
  <c r="BW5" i="11"/>
  <c r="AZ5" i="11"/>
  <c r="AC5" i="11"/>
  <c r="K5" i="11"/>
  <c r="EL4" i="11"/>
  <c r="DW4" i="11"/>
  <c r="DI4" i="11"/>
  <c r="CX4" i="11"/>
  <c r="CJ4" i="11"/>
  <c r="BY4" i="11"/>
  <c r="BK4" i="11"/>
  <c r="AW4" i="11"/>
  <c r="AL4" i="11"/>
  <c r="X4" i="11"/>
  <c r="M4" i="11"/>
  <c r="EW5" i="10"/>
  <c r="EI5" i="10"/>
  <c r="DX5" i="10"/>
  <c r="DJ5" i="10"/>
  <c r="CZ5" i="10"/>
  <c r="CP5" i="10"/>
  <c r="CD5" i="10"/>
  <c r="BT5" i="10"/>
  <c r="BJ5" i="10"/>
  <c r="AX5" i="10"/>
  <c r="AN5" i="10"/>
  <c r="AD5" i="10"/>
  <c r="R5" i="10"/>
  <c r="H5" i="10"/>
  <c r="EV4" i="10"/>
  <c r="EJ4" i="10"/>
  <c r="DZ4" i="10"/>
  <c r="DP4" i="10"/>
  <c r="DD4" i="10"/>
  <c r="CT4" i="10"/>
  <c r="CJ4" i="10"/>
  <c r="BX4" i="10"/>
  <c r="BN4" i="10"/>
  <c r="BD4" i="10"/>
  <c r="AR4" i="10"/>
  <c r="AH4" i="10"/>
  <c r="X4" i="10"/>
  <c r="L4" i="10"/>
  <c r="B4" i="10"/>
  <c r="ES5" i="9"/>
  <c r="EJ5" i="9"/>
  <c r="EA5" i="9"/>
  <c r="DQ5" i="9"/>
  <c r="DH5" i="9"/>
  <c r="CY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C5" i="11"/>
  <c r="DK5" i="11"/>
  <c r="CN5" i="11"/>
  <c r="BQ5" i="11"/>
  <c r="AY5" i="11"/>
  <c r="AB5" i="11"/>
  <c r="E5" i="11"/>
  <c r="EK4" i="11"/>
  <c r="DV4" i="11"/>
  <c r="DH4" i="11"/>
  <c r="CW4" i="11"/>
  <c r="CI4" i="11"/>
  <c r="BU4" i="11"/>
  <c r="BJ4" i="11"/>
  <c r="AV4" i="11"/>
  <c r="AK4" i="11"/>
  <c r="W4" i="11"/>
  <c r="I4" i="11"/>
  <c r="EV5" i="10"/>
  <c r="EH5" i="10"/>
  <c r="DW5" i="10"/>
  <c r="DI5" i="10"/>
  <c r="CY5" i="10"/>
  <c r="CM5" i="10"/>
  <c r="CC5" i="10"/>
  <c r="BS5" i="10"/>
  <c r="BG5" i="10"/>
  <c r="AW5" i="10"/>
  <c r="AM5" i="10"/>
  <c r="AA5" i="10"/>
  <c r="Q5" i="10"/>
  <c r="G5" i="10"/>
  <c r="ES4" i="10"/>
  <c r="EI4" i="10"/>
  <c r="DY4" i="10"/>
  <c r="DM4" i="10"/>
  <c r="DC4" i="10"/>
  <c r="CS4" i="10"/>
  <c r="CG4" i="10"/>
  <c r="BW4" i="10"/>
  <c r="BM4" i="10"/>
  <c r="BA4" i="10"/>
  <c r="AQ4" i="10"/>
  <c r="AG4" i="10"/>
  <c r="U4" i="10"/>
  <c r="K4" i="10"/>
  <c r="ER5" i="9"/>
  <c r="EI5" i="9"/>
  <c r="DY5" i="9"/>
  <c r="DP5" i="9"/>
  <c r="DG5" i="9"/>
  <c r="CX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EB5" i="11"/>
  <c r="DE5" i="11"/>
  <c r="CM5" i="11"/>
  <c r="BP5" i="11"/>
  <c r="AS5" i="11"/>
  <c r="AA5" i="11"/>
  <c r="D5" i="11"/>
  <c r="EG4" i="11"/>
  <c r="DU4" i="11"/>
  <c r="DG4" i="11"/>
  <c r="CS4" i="11"/>
  <c r="CH4" i="11"/>
  <c r="BT4" i="11"/>
  <c r="BI4" i="11"/>
  <c r="AU4" i="11"/>
  <c r="AG4" i="11"/>
  <c r="V4" i="11"/>
  <c r="H4" i="11"/>
  <c r="EU5" i="10"/>
  <c r="EG5" i="10"/>
  <c r="DS5" i="10"/>
  <c r="DH5" i="10"/>
  <c r="CX5" i="10"/>
  <c r="CL5" i="10"/>
  <c r="CB5" i="10"/>
  <c r="BR5" i="10"/>
  <c r="BF5" i="10"/>
  <c r="AV5" i="10"/>
  <c r="AL5" i="10"/>
  <c r="Z5" i="10"/>
  <c r="P5" i="10"/>
  <c r="F5" i="10"/>
  <c r="ER4" i="10"/>
  <c r="EH4" i="10"/>
  <c r="DX4" i="10"/>
  <c r="DL4" i="10"/>
  <c r="DB4" i="10"/>
  <c r="CR4" i="10"/>
  <c r="CF4" i="10"/>
  <c r="BV4" i="10"/>
  <c r="BL4" i="10"/>
  <c r="AZ4" i="10"/>
  <c r="AP4" i="10"/>
  <c r="AF4" i="10"/>
  <c r="T4" i="10"/>
  <c r="J4" i="10"/>
  <c r="EQ5" i="9"/>
  <c r="EG5" i="9"/>
  <c r="DX5" i="9"/>
  <c r="DO5" i="9"/>
  <c r="DF5" i="9"/>
  <c r="CW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CI4" i="8"/>
  <c r="BA4" i="8"/>
  <c r="U4" i="8"/>
  <c r="EQ5" i="7"/>
  <c r="EE5" i="7"/>
  <c r="DR5" i="7"/>
  <c r="DI5" i="7"/>
  <c r="CZ5" i="7"/>
  <c r="CQ5" i="7"/>
  <c r="CH5" i="7"/>
  <c r="BX5" i="7"/>
  <c r="BO5" i="7"/>
  <c r="BF5" i="7"/>
  <c r="AW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CA4" i="8"/>
  <c r="AU4" i="8"/>
  <c r="O4" i="8"/>
  <c r="EO5" i="7"/>
  <c r="EA5" i="7"/>
  <c r="DQ5" i="7"/>
  <c r="DH5" i="7"/>
  <c r="CY5" i="7"/>
  <c r="CP5" i="7"/>
  <c r="CF5" i="7"/>
  <c r="BW5" i="7"/>
  <c r="BN5" i="7"/>
  <c r="BE5" i="7"/>
  <c r="AV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BY4" i="8"/>
  <c r="AS4" i="8"/>
  <c r="M4" i="8"/>
  <c r="EN5" i="7"/>
  <c r="DZ5" i="7"/>
  <c r="DP5" i="7"/>
  <c r="DG5" i="7"/>
  <c r="CX5" i="7"/>
  <c r="CN5" i="7"/>
  <c r="CE5" i="7"/>
  <c r="BV5" i="7"/>
  <c r="BM5" i="7"/>
  <c r="BD5" i="7"/>
  <c r="AU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S4" i="8"/>
  <c r="AM4" i="8"/>
  <c r="G4" i="8"/>
  <c r="EM5" i="7"/>
  <c r="DY5" i="7"/>
  <c r="DO5" i="7"/>
  <c r="DF5" i="7"/>
  <c r="CV5" i="7"/>
  <c r="CM5" i="7"/>
  <c r="CD5" i="7"/>
  <c r="BU5" i="7"/>
  <c r="BL5" i="7"/>
  <c r="BC5" i="7"/>
  <c r="AT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BQ4" i="8"/>
  <c r="AK4" i="8"/>
  <c r="E4" i="8"/>
  <c r="EI5" i="7"/>
  <c r="DX5" i="7"/>
  <c r="DN5" i="7"/>
  <c r="DD5" i="7"/>
  <c r="CU5" i="7"/>
  <c r="CL5" i="7"/>
  <c r="CC5" i="7"/>
  <c r="BT5" i="7"/>
  <c r="BK5" i="7"/>
  <c r="BB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K4" i="8"/>
  <c r="AE4" i="8"/>
  <c r="EH5" i="7"/>
  <c r="DW5" i="7"/>
  <c r="DL5" i="7"/>
  <c r="DC5" i="7"/>
  <c r="CT5" i="7"/>
  <c r="CK5" i="7"/>
  <c r="CB5" i="7"/>
  <c r="BS5" i="7"/>
  <c r="BJ5" i="7"/>
  <c r="AZ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BI4" i="8"/>
  <c r="AC4" i="8"/>
  <c r="EW5" i="7"/>
  <c r="EG5" i="7"/>
  <c r="DT5" i="7"/>
  <c r="DK5" i="7"/>
  <c r="DB5" i="7"/>
  <c r="CS5" i="7"/>
  <c r="CJ5" i="7"/>
  <c r="CA5" i="7"/>
  <c r="BR5" i="7"/>
  <c r="BH5" i="7"/>
  <c r="AY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BC4" i="8"/>
  <c r="W4" i="8"/>
  <c r="EU5" i="7"/>
  <c r="EF5" i="7"/>
  <c r="DS5" i="7"/>
  <c r="DJ5" i="7"/>
  <c r="DA5" i="7"/>
  <c r="CR5" i="7"/>
  <c r="CI5" i="7"/>
  <c r="BZ5" i="7"/>
  <c r="BP5" i="7"/>
  <c r="BG5" i="7"/>
  <c r="AX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DU5" i="4"/>
  <c r="CQ5" i="4"/>
  <c r="CC5" i="4"/>
  <c r="BQ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DS5" i="4"/>
  <c r="CO5" i="4"/>
  <c r="CA5" i="4"/>
  <c r="BP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DM5" i="4"/>
  <c r="CM5" i="4"/>
  <c r="BY5" i="4"/>
  <c r="BO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DK5" i="4"/>
  <c r="CL5" i="4"/>
  <c r="BX5" i="4"/>
  <c r="BN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DE5" i="4"/>
  <c r="CI5" i="4"/>
  <c r="BW5" i="4"/>
  <c r="BM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DC5" i="4"/>
  <c r="CG5" i="4"/>
  <c r="BV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CW5" i="4"/>
  <c r="CE5" i="4"/>
  <c r="BU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CU5" i="4"/>
  <c r="CD5" i="4"/>
  <c r="BS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H805" i="1"/>
  <c r="J804" i="1"/>
  <c r="A804" i="1"/>
  <c r="D803" i="1"/>
  <c r="F802" i="1"/>
  <c r="I801" i="1"/>
  <c r="L800" i="1"/>
  <c r="C800" i="1"/>
  <c r="F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G805" i="1"/>
  <c r="I804" i="1"/>
  <c r="L803" i="1"/>
  <c r="B803" i="1"/>
  <c r="E802" i="1"/>
  <c r="H801" i="1"/>
  <c r="K800" i="1"/>
  <c r="B800" i="1"/>
  <c r="E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E805" i="1"/>
  <c r="H804" i="1"/>
  <c r="J803" i="1"/>
  <c r="A803" i="1"/>
  <c r="D802" i="1"/>
  <c r="G801" i="1"/>
  <c r="J800" i="1"/>
  <c r="A800" i="1"/>
  <c r="D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D805" i="1"/>
  <c r="F804" i="1"/>
  <c r="I803" i="1"/>
  <c r="L802" i="1"/>
  <c r="C802" i="1"/>
  <c r="F801" i="1"/>
  <c r="I800" i="1"/>
  <c r="L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805" i="1"/>
  <c r="E804" i="1"/>
  <c r="H803" i="1"/>
  <c r="K802" i="1"/>
  <c r="B802" i="1"/>
  <c r="E801" i="1"/>
  <c r="H800" i="1"/>
  <c r="J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A805" i="1"/>
  <c r="D804" i="1"/>
  <c r="G803" i="1"/>
  <c r="J802" i="1"/>
  <c r="A802" i="1"/>
  <c r="D801" i="1"/>
  <c r="F800" i="1"/>
  <c r="I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L804" i="1"/>
  <c r="C804" i="1"/>
  <c r="F803" i="1"/>
  <c r="I802" i="1"/>
  <c r="L801" i="1"/>
  <c r="B801" i="1"/>
  <c r="E800" i="1"/>
  <c r="H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K804" i="1"/>
  <c r="B804" i="1"/>
  <c r="E803" i="1"/>
  <c r="H802" i="1"/>
  <c r="J801" i="1"/>
  <c r="A801" i="1"/>
  <c r="D800" i="1"/>
  <c r="G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A636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L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E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D635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L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K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C550" i="1"/>
  <c r="I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B550" i="1"/>
  <c r="F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A550" i="1"/>
  <c r="C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G549" i="1"/>
  <c r="B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F549" i="1"/>
  <c r="A548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E549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J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K463" i="1"/>
  <c r="G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E463" i="1"/>
  <c r="F462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D463" i="1"/>
  <c r="E462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463" i="1"/>
  <c r="A462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463" i="1"/>
  <c r="L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463" i="1"/>
  <c r="K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I462" i="1"/>
  <c r="J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H462" i="1"/>
  <c r="I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G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F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B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A293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D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C124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A124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B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E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</calcChain>
</file>

<file path=xl/sharedStrings.xml><?xml version="1.0" encoding="utf-8"?>
<sst xmlns="http://schemas.openxmlformats.org/spreadsheetml/2006/main" count="349" uniqueCount="77">
  <si>
    <t>Modules Info</t>
  </si>
  <si>
    <t>Master Data Info</t>
  </si>
  <si>
    <t>Settings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</si>
  <si>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</si>
  <si>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</si>
  <si>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</si>
  <si>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</si>
  <si>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</si>
  <si>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</si>
  <si>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</si>
  <si>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</si>
  <si>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</si>
  <si>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</si>
  <si>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</si>
  <si>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</si>
  <si>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</si>
  <si>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M5C2000</t>
  </si>
  <si>
    <t xml:space="preserve">Buy to Open </t>
  </si>
  <si>
    <t>Allocation1</t>
  </si>
  <si>
    <t>Flat Amount</t>
  </si>
  <si>
    <t>ES Z3P1700</t>
  </si>
  <si>
    <t>DailyValuation</t>
  </si>
  <si>
    <t>GetMarkPriceData</t>
  </si>
  <si>
    <t>UpdateMarkPrice</t>
  </si>
  <si>
    <t>ES M5</t>
  </si>
  <si>
    <t>ES Z3</t>
  </si>
  <si>
    <t>PricingInput</t>
  </si>
  <si>
    <t>Sell to Close</t>
  </si>
  <si>
    <t>Closing</t>
  </si>
  <si>
    <t>GetDataClosing</t>
  </si>
  <si>
    <t>Historical</t>
  </si>
  <si>
    <t>AutomaticClosing</t>
  </si>
  <si>
    <t>GeneralLedger</t>
  </si>
  <si>
    <t>GetDayEndCash</t>
  </si>
  <si>
    <t>FIFO</t>
  </si>
  <si>
    <t>None</t>
  </si>
  <si>
    <t>Default</t>
  </si>
  <si>
    <t>NewMF</t>
  </si>
  <si>
    <t>PortfolioManagement</t>
  </si>
  <si>
    <t>CheckPortfolioManagement</t>
  </si>
  <si>
    <t>Long</t>
  </si>
  <si>
    <t>ES M5  JUN 2015 2000 CALL</t>
  </si>
  <si>
    <t>FIMAT</t>
  </si>
  <si>
    <t>Strategy Unallocated</t>
  </si>
  <si>
    <t>FutureOption</t>
  </si>
  <si>
    <t>US</t>
  </si>
  <si>
    <t>CMEE</t>
  </si>
  <si>
    <t>USD</t>
  </si>
  <si>
    <t/>
  </si>
  <si>
    <t>Buy to Open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</si>
  <si>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</si>
  <si>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</si>
  <si>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</si>
  <si>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</si>
  <si>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</si>
  <si>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</si>
  <si>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</si>
  <si>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</si>
  <si>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CALL</t>
  </si>
  <si>
    <t>User Defined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</si>
  <si>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</si>
  <si>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</si>
  <si>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</si>
  <si>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</si>
  <si>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</si>
  <si>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</si>
  <si>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</si>
  <si>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</si>
  <si>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</si>
  <si>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test 1</t>
  </si>
  <si>
    <t>Marcap1</t>
  </si>
  <si>
    <t>Reg</t>
  </si>
  <si>
    <t>Yes</t>
  </si>
  <si>
    <t>ES Z3  DEC 2013 1700 PUT</t>
  </si>
  <si>
    <t>Future Put</t>
  </si>
  <si>
    <t>PUT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</si>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</sst>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4" fillId="0" borderId="5" xfId="0" applyNumberFormat="1" applyFont="1" applyBorder="1" applyAlignment="1">
      <alignment horizontal="right"/>
    </xf>
    <xf numFmtId="0" fontId="2" fillId="0" borderId="0" xfId="0" applyFont="1" applyAlignment="1"/>
    <xf numFmtId="0" fontId="4" fillId="0" borderId="0" xfId="0" applyFont="1" applyAlignment="1"/>
    <xf numFmtId="0" fontId="4" fillId="0" borderId="5" xfId="0" applyFont="1" applyBorder="1" applyAlignment="1"/>
    <xf numFmtId="0" fontId="4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4" fillId="0" borderId="0" xfId="0" applyNumberFormat="1" applyFont="1" applyAlignment="1"/>
    <xf numFmtId="4" fontId="7" fillId="0" borderId="0" xfId="0" applyNumberFormat="1" applyFont="1" applyAlignment="1"/>
    <xf numFmtId="4" fontId="2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4" fillId="0" borderId="0" xfId="0" applyNumberFormat="1" applyFont="1" applyAlignment="1"/>
    <xf numFmtId="4" fontId="1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6" t="s">
        <v>0</v>
      </c>
      <c r="B1" s="67"/>
      <c r="C1" s="67"/>
      <c r="D1" s="67"/>
      <c r="E1" s="67"/>
      <c r="F1" s="68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4</v>
      </c>
      <c r="B3" s="8"/>
      <c r="C3" s="9"/>
      <c r="D3" s="9"/>
      <c r="E3" s="9"/>
      <c r="F3" s="9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5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9" t="s">
        <v>2</v>
      </c>
      <c r="B1" s="67"/>
      <c r="C1" s="68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4" t="s">
        <v>5</v>
      </c>
      <c r="C3" s="1"/>
    </row>
    <row r="4" spans="1:3" ht="15.75" customHeight="1">
      <c r="A4" s="5" t="s">
        <v>6</v>
      </c>
      <c r="B4" s="4" t="s">
        <v>7</v>
      </c>
      <c r="C4" s="1"/>
    </row>
    <row r="5" spans="1:3" ht="15.75" customHeight="1">
      <c r="A5" s="6"/>
      <c r="B5" s="1"/>
      <c r="C5" s="1"/>
    </row>
    <row r="6" spans="1:3" ht="15.75" customHeight="1">
      <c r="A6" s="6"/>
      <c r="B6" s="1"/>
      <c r="C6" s="1"/>
    </row>
    <row r="7" spans="1:3" ht="15.75" customHeight="1">
      <c r="A7" s="6"/>
      <c r="B7" s="1"/>
      <c r="C7" s="1"/>
    </row>
    <row r="8" spans="1:3" ht="15.75" customHeight="1">
      <c r="A8" s="6"/>
      <c r="B8" s="1"/>
      <c r="C8" s="1"/>
    </row>
    <row r="9" spans="1:3" ht="15.75" customHeight="1">
      <c r="A9" s="6"/>
      <c r="B9" s="1"/>
      <c r="C9" s="1"/>
    </row>
    <row r="10" spans="1:3" ht="15.75" customHeight="1">
      <c r="A10" s="6"/>
      <c r="B10" s="1"/>
      <c r="C10" s="1"/>
    </row>
    <row r="11" spans="1:3" ht="15.75" customHeight="1">
      <c r="A11" s="6"/>
      <c r="B11" s="1"/>
      <c r="C11" s="1"/>
    </row>
    <row r="12" spans="1:3" ht="15.75" customHeight="1">
      <c r="A12" s="6"/>
      <c r="B12" s="1"/>
      <c r="C12" s="1"/>
    </row>
    <row r="13" spans="1:3" ht="15.75" customHeight="1">
      <c r="A13" s="6"/>
      <c r="B13" s="1"/>
      <c r="C13" s="1"/>
    </row>
    <row r="14" spans="1:3" ht="15.75" customHeight="1">
      <c r="A14" s="6"/>
      <c r="B14" s="1"/>
      <c r="C14" s="1"/>
    </row>
    <row r="15" spans="1:3" ht="15.75" customHeight="1">
      <c r="A15" s="6"/>
      <c r="B15" s="1"/>
      <c r="C15" s="1"/>
    </row>
    <row r="16" spans="1:3" ht="15.75" customHeight="1">
      <c r="A16" s="6"/>
      <c r="B16" s="1"/>
      <c r="C16" s="1"/>
    </row>
    <row r="17" spans="1:3" ht="15.75" customHeight="1">
      <c r="A17" s="6"/>
      <c r="B17" s="1"/>
      <c r="C17" s="1"/>
    </row>
    <row r="18" spans="1:3" ht="15.75" customHeight="1">
      <c r="A18" s="6"/>
      <c r="B18" s="1"/>
      <c r="C18" s="1"/>
    </row>
    <row r="19" spans="1:3" ht="15.75" customHeight="1">
      <c r="A19" s="6"/>
      <c r="B19" s="1"/>
      <c r="C19" s="1"/>
    </row>
    <row r="20" spans="1:3" ht="15.75" customHeight="1">
      <c r="A20" s="6"/>
      <c r="B20" s="1"/>
      <c r="C20" s="1"/>
    </row>
    <row r="21" spans="1:3" ht="15.75" customHeight="1">
      <c r="A21" s="6"/>
      <c r="B21" s="1"/>
      <c r="C21" s="1"/>
    </row>
    <row r="22" spans="1:3" ht="15.75" customHeight="1">
      <c r="A22" s="6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6" t="s">
        <v>1</v>
      </c>
      <c r="B1" s="67"/>
      <c r="C1" s="67"/>
      <c r="D1" s="67"/>
      <c r="E1" s="67"/>
      <c r="F1" s="68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5" t="s">
        <v>8</v>
      </c>
      <c r="B3" s="7" t="s">
        <v>9</v>
      </c>
      <c r="C3" s="7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12</v>
      </c>
      <c r="D3" s="3" t="s">
        <v>9</v>
      </c>
      <c r="E3" s="16" t="s">
        <v>13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16</v>
      </c>
      <c r="C6" s="26" t="s">
        <v>17</v>
      </c>
      <c r="D6" s="27">
        <v>100</v>
      </c>
      <c r="E6" s="26"/>
      <c r="F6" s="26" t="s">
        <v>18</v>
      </c>
      <c r="G6" s="26"/>
      <c r="H6" s="26"/>
      <c r="I6" s="26"/>
      <c r="J6" s="28">
        <v>20</v>
      </c>
      <c r="K6" s="26"/>
      <c r="L6" s="26"/>
      <c r="M6" s="26"/>
      <c r="N6" s="29">
        <f t="shared" ref="N6:N7" ca="1" si="0">TODAY()-1</f>
        <v>44411</v>
      </c>
      <c r="O6" s="26"/>
      <c r="P6" s="26"/>
      <c r="Q6" s="26"/>
      <c r="R6" s="26" t="s">
        <v>19</v>
      </c>
      <c r="S6" s="28">
        <v>20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20</v>
      </c>
      <c r="C7" s="31" t="s">
        <v>17</v>
      </c>
      <c r="D7" s="32">
        <v>100</v>
      </c>
      <c r="E7" s="30"/>
      <c r="F7" s="30" t="s">
        <v>18</v>
      </c>
      <c r="G7" s="30"/>
      <c r="H7" s="30"/>
      <c r="I7" s="30"/>
      <c r="J7" s="32">
        <v>30</v>
      </c>
      <c r="K7" s="30"/>
      <c r="L7" s="30"/>
      <c r="M7" s="30"/>
      <c r="N7" s="33">
        <f t="shared" ca="1" si="0"/>
        <v>44411</v>
      </c>
      <c r="O7" s="30"/>
      <c r="P7" s="30"/>
      <c r="Q7" s="30"/>
      <c r="R7" s="30" t="s">
        <v>19</v>
      </c>
      <c r="S7" s="32">
        <v>30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21</v>
      </c>
      <c r="D3" s="3" t="s">
        <v>9</v>
      </c>
      <c r="E3" s="16" t="s">
        <v>22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4">
        <f ca="1">TODAY()-1</f>
        <v>44411</v>
      </c>
      <c r="C6" s="34">
        <f ca="1">TODAY()</f>
        <v>44412</v>
      </c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21</v>
      </c>
      <c r="D3" s="3" t="s">
        <v>9</v>
      </c>
      <c r="E3" s="16" t="s">
        <v>23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 t="s">
        <v>16</v>
      </c>
      <c r="C6" s="28">
        <v>21</v>
      </c>
      <c r="D6" s="4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0" t="s">
        <v>20</v>
      </c>
      <c r="C7" s="32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0" t="s">
        <v>24</v>
      </c>
      <c r="C8" s="32">
        <v>198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0" t="s">
        <v>25</v>
      </c>
      <c r="C9" s="32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26</v>
      </c>
      <c r="D3" s="3" t="s">
        <v>9</v>
      </c>
      <c r="E3" s="16" t="s">
        <v>26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37" t="s">
        <v>16</v>
      </c>
      <c r="C6" s="28">
        <v>199</v>
      </c>
      <c r="D6" s="4"/>
      <c r="E6" s="3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8" t="s">
        <v>20</v>
      </c>
      <c r="C7" s="32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8" t="s">
        <v>24</v>
      </c>
      <c r="C8" s="32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8" t="s">
        <v>25</v>
      </c>
      <c r="C9" s="32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30"/>
      <c r="C10" s="3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12</v>
      </c>
      <c r="D3" s="3" t="s">
        <v>9</v>
      </c>
      <c r="E3" s="16" t="s">
        <v>13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16</v>
      </c>
      <c r="C6" s="39" t="s">
        <v>27</v>
      </c>
      <c r="D6" s="40">
        <v>50</v>
      </c>
      <c r="E6" s="26"/>
      <c r="F6" s="26" t="s">
        <v>18</v>
      </c>
      <c r="G6" s="26"/>
      <c r="H6" s="26"/>
      <c r="I6" s="26"/>
      <c r="J6" s="40">
        <v>21</v>
      </c>
      <c r="K6" s="26"/>
      <c r="L6" s="26"/>
      <c r="M6" s="26"/>
      <c r="N6" s="29">
        <f t="shared" ref="N6:N7" ca="1" si="0">TODAY()</f>
        <v>44412</v>
      </c>
      <c r="O6" s="26"/>
      <c r="P6" s="26"/>
      <c r="Q6" s="26"/>
      <c r="R6" s="26" t="s">
        <v>19</v>
      </c>
      <c r="S6" s="28">
        <v>20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20</v>
      </c>
      <c r="C7" s="31" t="s">
        <v>27</v>
      </c>
      <c r="D7" s="41">
        <v>70</v>
      </c>
      <c r="E7" s="30"/>
      <c r="F7" s="30" t="s">
        <v>18</v>
      </c>
      <c r="G7" s="30"/>
      <c r="H7" s="30"/>
      <c r="I7" s="30"/>
      <c r="J7" s="41">
        <v>27</v>
      </c>
      <c r="K7" s="30"/>
      <c r="L7" s="30"/>
      <c r="M7" s="30"/>
      <c r="N7" s="33">
        <f t="shared" ca="1" si="0"/>
        <v>44412</v>
      </c>
      <c r="O7" s="30"/>
      <c r="P7" s="30"/>
      <c r="Q7" s="30"/>
      <c r="R7" s="30" t="s">
        <v>19</v>
      </c>
      <c r="S7" s="32">
        <v>30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28</v>
      </c>
      <c r="D3" s="3" t="s">
        <v>9</v>
      </c>
      <c r="E3" s="16" t="s">
        <v>29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30</v>
      </c>
      <c r="C6" s="34">
        <f ca="1">TODAY()-1</f>
        <v>44411</v>
      </c>
      <c r="D6" s="34">
        <f ca="1">TODAY()</f>
        <v>44412</v>
      </c>
      <c r="E6" s="26" t="s">
        <v>18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28</v>
      </c>
      <c r="D3" s="3" t="s">
        <v>9</v>
      </c>
      <c r="E3" s="16" t="s">
        <v>31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42" t="b">
        <v>1</v>
      </c>
      <c r="C6" s="43" t="b">
        <v>0</v>
      </c>
      <c r="D6" s="37" t="s">
        <v>34</v>
      </c>
      <c r="E6" s="44" t="s">
        <v>35</v>
      </c>
      <c r="F6" s="44" t="s">
        <v>36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32</v>
      </c>
      <c r="D3" s="3" t="s">
        <v>9</v>
      </c>
      <c r="E3" s="16" t="s">
        <v>33</v>
      </c>
      <c r="F3" s="3" t="s">
        <v>14</v>
      </c>
      <c r="G3" s="6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7" t="s">
        <v>37</v>
      </c>
      <c r="C6" s="44" t="s">
        <v>18</v>
      </c>
      <c r="D6" s="34">
        <f t="shared" ref="D6:E6" ca="1" si="0">TODAY()-1</f>
        <v>44411</v>
      </c>
      <c r="E6" s="34">
        <f t="shared" ca="1" si="0"/>
        <v>44411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H1" workbookViewId="0">
      <selection activeCell="BN15" sqref="BN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" customWidth="1"/>
    <col min="64" max="166" width="14.42578125" customWidth="1"/>
  </cols>
  <sheetData>
    <row r="1" spans="1:166" ht="15.75" customHeight="1">
      <c r="A1" s="45"/>
      <c r="B1" s="70" t="s">
        <v>11</v>
      </c>
      <c r="C1" s="67"/>
      <c r="D1" s="67"/>
      <c r="E1" s="67"/>
      <c r="F1" s="67"/>
      <c r="G1" s="67"/>
      <c r="H1" s="68"/>
      <c r="I1" s="45"/>
      <c r="J1" s="45"/>
      <c r="K1" s="45"/>
      <c r="L1" s="45"/>
      <c r="M1" s="45"/>
      <c r="N1" s="45"/>
      <c r="O1" s="45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</row>
    <row r="2" spans="1:166" ht="15.75" customHeight="1">
      <c r="A2" s="47"/>
      <c r="B2" s="47"/>
      <c r="C2" s="47"/>
      <c r="D2" s="47"/>
      <c r="E2" s="47"/>
      <c r="F2" s="47"/>
      <c r="G2" s="47"/>
      <c r="H2" s="47"/>
      <c r="I2" s="47"/>
      <c r="J2" s="48" t="e">
        <f>VLOOKUP($E$3,_MasterData!B4:D1000,3,FALSE)</f>
        <v>#N/A</v>
      </c>
      <c r="K2" s="48"/>
      <c r="L2" s="47"/>
      <c r="M2" s="47"/>
      <c r="N2" s="47"/>
      <c r="O2" s="47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</row>
    <row r="3" spans="1:166" ht="15.75" customHeight="1">
      <c r="A3" s="50"/>
      <c r="B3" s="51" t="s">
        <v>8</v>
      </c>
      <c r="C3" s="52" t="s">
        <v>38</v>
      </c>
      <c r="D3" s="51" t="s">
        <v>9</v>
      </c>
      <c r="E3" s="52" t="s">
        <v>39</v>
      </c>
      <c r="F3" s="51" t="s">
        <v>14</v>
      </c>
      <c r="G3" s="53" t="s">
        <v>15</v>
      </c>
      <c r="H3" s="51"/>
      <c r="I3" s="50"/>
      <c r="J3" s="50"/>
      <c r="K3" s="50"/>
      <c r="L3" s="50"/>
      <c r="M3" s="50"/>
      <c r="N3" s="50"/>
      <c r="O3" s="50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</row>
    <row r="4" spans="1:166" ht="15.75" customHeight="1">
      <c r="A4" s="55"/>
      <c r="B4" s="55" t="str">
        <f ca="1">IFERROR(__xludf.DUMMYFUNCTION("IF(C3="""","""",Transpose(IMPORTRANGE('_Settings'!$B$3,C3&amp;""!A4:A1000"")))"),"CheckDashboardPM")</f>
        <v>CheckDashboardPM</v>
      </c>
      <c r="C4" s="55" t="str">
        <f ca="1">IFERROR(__xludf.DUMMYFUNCTION("""COMPUTED_VALUE"""),"CheckPortfolioManagement")</f>
        <v>CheckPortfolioManagement</v>
      </c>
      <c r="D4" s="55" t="str">
        <f ca="1">IFERROR(__xludf.DUMMYFUNCTION("""COMPUTED_VALUE"""),"OpenPSTFromPM")</f>
        <v>OpenPSTFromPM</v>
      </c>
      <c r="E4" s="55" t="str">
        <f ca="1">IFERROR(__xludf.DUMMYFUNCTION("""COMPUTED_VALUE"""),"ClosePM")</f>
        <v>ClosePM</v>
      </c>
      <c r="F4" s="55" t="str">
        <f ca="1">IFERROR(__xludf.DUMMYFUNCTION("""COMPUTED_VALUE"""),"FilterPM")</f>
        <v>FilterPM</v>
      </c>
      <c r="G4" s="55" t="str">
        <f ca="1">IFERROR(__xludf.DUMMYFUNCTION("""COMPUTED_VALUE"""),"GroupRowPM")</f>
        <v>GroupRowPM</v>
      </c>
      <c r="H4" s="55" t="str">
        <f ca="1">IFERROR(__xludf.DUMMYFUNCTION("""COMPUTED_VALUE"""),"CheckDashboardWithPM")</f>
        <v>CheckDashboardWithPM</v>
      </c>
      <c r="I4" s="55" t="str">
        <f ca="1">IFERROR(__xludf.DUMMYFUNCTION("""COMPUTED_VALUE"""),"RemoveFilterPM")</f>
        <v>RemoveFilterPM</v>
      </c>
      <c r="J4" s="55" t="str">
        <f ca="1">IFERROR(__xludf.DUMMYFUNCTION("""COMPUTED_VALUE"""),"CheckSummaryRowsPM")</f>
        <v>CheckSummaryRowsPM</v>
      </c>
      <c r="K4" s="55" t="str">
        <f ca="1">IFERROR(__xludf.DUMMYFUNCTION("""COMPUTED_VALUE"""),"OpenPTTFromPM")</f>
        <v>OpenPTTFromPM</v>
      </c>
      <c r="L4" s="55" t="str">
        <f ca="1">IFERROR(__xludf.DUMMYFUNCTION("""COMPUTED_VALUE"""),"OpenCreateTransactionFromPM")</f>
        <v>OpenCreateTransactionFromPM</v>
      </c>
      <c r="M4" s="55" t="str">
        <f ca="1">IFERROR(__xludf.DUMMYFUNCTION("""COMPUTED_VALUE"""),"OpenClosingFromPM")</f>
        <v>OpenClosingFromPM</v>
      </c>
      <c r="N4" s="55" t="str">
        <f ca="1">IFERROR(__xludf.DUMMYFUNCTION("""COMPUTED_VALUE"""),"OpenCorporateActionFromPM")</f>
        <v>OpenCorporateActionFromPM</v>
      </c>
      <c r="O4" s="55" t="str">
        <f ca="1">IFERROR(__xludf.DUMMYFUNCTION("""COMPUTED_VALUE"""),"OpenDailyValuationFromPM")</f>
        <v>OpenDailyValuationFromPM</v>
      </c>
      <c r="P4" s="56" t="str">
        <f ca="1">IFERROR(__xludf.DUMMYFUNCTION("""COMPUTED_VALUE"""),"ClosePositionFromPM")</f>
        <v>ClosePositionFromPM</v>
      </c>
      <c r="Q4" s="56" t="str">
        <f ca="1">IFERROR(__xludf.DUMMYFUNCTION("""COMPUTED_VALUE"""),"ShowSummaryToolFromPM")</f>
        <v>ShowSummaryToolFromPM</v>
      </c>
      <c r="R4" s="56" t="str">
        <f ca="1">IFERROR(__xludf.DUMMYFUNCTION("""COMPUTED_VALUE"""),"HideSummaryToolFromPM")</f>
        <v>HideSummaryToolFromPM</v>
      </c>
      <c r="S4" s="56" t="str">
        <f ca="1">IFERROR(__xludf.DUMMYFUNCTION("""COMPUTED_VALUE"""),"CloseAccountPositionFromPM")</f>
        <v>CloseAccountPositionFromPM</v>
      </c>
      <c r="T4" s="56" t="str">
        <f ca="1">IFERROR(__xludf.DUMMYFUNCTION("""COMPUTED_VALUE"""),"CloseSelectedTaxlotsFromPM")</f>
        <v>CloseSelectedTaxlotsFromPM</v>
      </c>
      <c r="U4" s="56" t="str">
        <f ca="1">IFERROR(__xludf.DUMMYFUNCTION("""COMPUTED_VALUE"""),"ExpandCollapsePM")</f>
        <v>ExpandCollapsePM</v>
      </c>
      <c r="V4" s="56" t="str">
        <f ca="1">IFERROR(__xludf.DUMMYFUNCTION("""COMPUTED_VALUE"""),"AddCustomViewPM")</f>
        <v>AddCustomViewPM</v>
      </c>
      <c r="W4" s="56" t="str">
        <f ca="1">IFERROR(__xludf.DUMMYFUNCTION("""COMPUTED_VALUE"""),"AddCustomViewRightClickPM")</f>
        <v>AddCustomViewRightClickPM</v>
      </c>
      <c r="X4" s="56" t="str">
        <f ca="1">IFERROR(__xludf.DUMMYFUNCTION("""COMPUTED_VALUE"""),"RenameCustomViewPM")</f>
        <v>RenameCustomViewPM</v>
      </c>
      <c r="Y4" s="56" t="str">
        <f ca="1">IFERROR(__xludf.DUMMYFUNCTION("""COMPUTED_VALUE"""),"DeleteCustomViewPM")</f>
        <v>DeleteCustomViewPM</v>
      </c>
      <c r="Z4" s="56" t="str">
        <f ca="1">IFERROR(__xludf.DUMMYFUNCTION("""COMPUTED_VALUE"""),"")</f>
        <v/>
      </c>
      <c r="AA4" s="56" t="str">
        <f ca="1">IFERROR(__xludf.DUMMYFUNCTION("""COMPUTED_VALUE"""),"")</f>
        <v/>
      </c>
      <c r="AB4" s="56" t="str">
        <f ca="1">IFERROR(__xludf.DUMMYFUNCTION("""COMPUTED_VALUE"""),"")</f>
        <v/>
      </c>
      <c r="AC4" s="56" t="str">
        <f ca="1">IFERROR(__xludf.DUMMYFUNCTION("""COMPUTED_VALUE"""),"")</f>
        <v/>
      </c>
      <c r="AD4" s="56" t="str">
        <f ca="1">IFERROR(__xludf.DUMMYFUNCTION("""COMPUTED_VALUE"""),"")</f>
        <v/>
      </c>
      <c r="AE4" s="56" t="str">
        <f ca="1">IFERROR(__xludf.DUMMYFUNCTION("""COMPUTED_VALUE"""),"")</f>
        <v/>
      </c>
      <c r="AF4" s="56" t="str">
        <f ca="1">IFERROR(__xludf.DUMMYFUNCTION("""COMPUTED_VALUE"""),"")</f>
        <v/>
      </c>
      <c r="AG4" s="56" t="str">
        <f ca="1">IFERROR(__xludf.DUMMYFUNCTION("""COMPUTED_VALUE"""),"")</f>
        <v/>
      </c>
      <c r="AH4" s="56" t="str">
        <f ca="1">IFERROR(__xludf.DUMMYFUNCTION("""COMPUTED_VALUE"""),"")</f>
        <v/>
      </c>
      <c r="AI4" s="56" t="str">
        <f ca="1">IFERROR(__xludf.DUMMYFUNCTION("""COMPUTED_VALUE"""),"")</f>
        <v/>
      </c>
      <c r="AJ4" s="56" t="str">
        <f ca="1">IFERROR(__xludf.DUMMYFUNCTION("""COMPUTED_VALUE"""),"")</f>
        <v/>
      </c>
      <c r="AK4" s="56" t="str">
        <f ca="1">IFERROR(__xludf.DUMMYFUNCTION("""COMPUTED_VALUE"""),"")</f>
        <v/>
      </c>
      <c r="AL4" s="56" t="str">
        <f ca="1">IFERROR(__xludf.DUMMYFUNCTION("""COMPUTED_VALUE"""),"")</f>
        <v/>
      </c>
      <c r="AM4" s="56" t="str">
        <f ca="1">IFERROR(__xludf.DUMMYFUNCTION("""COMPUTED_VALUE"""),"")</f>
        <v/>
      </c>
      <c r="AN4" s="56" t="str">
        <f ca="1">IFERROR(__xludf.DUMMYFUNCTION("""COMPUTED_VALUE"""),"")</f>
        <v/>
      </c>
      <c r="AO4" s="56" t="str">
        <f ca="1">IFERROR(__xludf.DUMMYFUNCTION("""COMPUTED_VALUE"""),"")</f>
        <v/>
      </c>
      <c r="AP4" s="56" t="str">
        <f ca="1">IFERROR(__xludf.DUMMYFUNCTION("""COMPUTED_VALUE"""),"")</f>
        <v/>
      </c>
      <c r="AQ4" s="56" t="str">
        <f ca="1">IFERROR(__xludf.DUMMYFUNCTION("""COMPUTED_VALUE"""),"")</f>
        <v/>
      </c>
      <c r="AR4" s="56" t="str">
        <f ca="1">IFERROR(__xludf.DUMMYFUNCTION("""COMPUTED_VALUE"""),"")</f>
        <v/>
      </c>
      <c r="AS4" s="56" t="str">
        <f ca="1">IFERROR(__xludf.DUMMYFUNCTION("""COMPUTED_VALUE"""),"")</f>
        <v/>
      </c>
      <c r="AT4" s="56" t="str">
        <f ca="1">IFERROR(__xludf.DUMMYFUNCTION("""COMPUTED_VALUE"""),"")</f>
        <v/>
      </c>
      <c r="AU4" s="56" t="str">
        <f ca="1">IFERROR(__xludf.DUMMYFUNCTION("""COMPUTED_VALUE"""),"")</f>
        <v/>
      </c>
      <c r="AV4" s="56" t="str">
        <f ca="1">IFERROR(__xludf.DUMMYFUNCTION("""COMPUTED_VALUE"""),"")</f>
        <v/>
      </c>
      <c r="AW4" s="56" t="str">
        <f ca="1">IFERROR(__xludf.DUMMYFUNCTION("""COMPUTED_VALUE"""),"")</f>
        <v/>
      </c>
      <c r="AX4" s="56" t="str">
        <f ca="1">IFERROR(__xludf.DUMMYFUNCTION("""COMPUTED_VALUE"""),"")</f>
        <v/>
      </c>
      <c r="AY4" s="56" t="str">
        <f ca="1">IFERROR(__xludf.DUMMYFUNCTION("""COMPUTED_VALUE"""),"")</f>
        <v/>
      </c>
      <c r="AZ4" s="56" t="str">
        <f ca="1">IFERROR(__xludf.DUMMYFUNCTION("""COMPUTED_VALUE"""),"")</f>
        <v/>
      </c>
      <c r="BA4" s="56" t="str">
        <f ca="1">IFERROR(__xludf.DUMMYFUNCTION("""COMPUTED_VALUE"""),"")</f>
        <v/>
      </c>
      <c r="BB4" s="56" t="str">
        <f ca="1">IFERROR(__xludf.DUMMYFUNCTION("""COMPUTED_VALUE"""),"")</f>
        <v/>
      </c>
      <c r="BC4" s="56" t="str">
        <f ca="1">IFERROR(__xludf.DUMMYFUNCTION("""COMPUTED_VALUE"""),"")</f>
        <v/>
      </c>
      <c r="BD4" s="56" t="str">
        <f ca="1">IFERROR(__xludf.DUMMYFUNCTION("""COMPUTED_VALUE"""),"")</f>
        <v/>
      </c>
      <c r="BE4" s="56" t="str">
        <f ca="1">IFERROR(__xludf.DUMMYFUNCTION("""COMPUTED_VALUE"""),"")</f>
        <v/>
      </c>
      <c r="BF4" s="56" t="str">
        <f ca="1">IFERROR(__xludf.DUMMYFUNCTION("""COMPUTED_VALUE"""),"")</f>
        <v/>
      </c>
      <c r="BG4" s="56" t="str">
        <f ca="1">IFERROR(__xludf.DUMMYFUNCTION("""COMPUTED_VALUE"""),"")</f>
        <v/>
      </c>
      <c r="BH4" s="56" t="str">
        <f ca="1">IFERROR(__xludf.DUMMYFUNCTION("""COMPUTED_VALUE"""),"")</f>
        <v/>
      </c>
      <c r="BI4" s="56" t="str">
        <f ca="1">IFERROR(__xludf.DUMMYFUNCTION("""COMPUTED_VALUE"""),"")</f>
        <v/>
      </c>
      <c r="BJ4" s="56" t="str">
        <f ca="1">IFERROR(__xludf.DUMMYFUNCTION("""COMPUTED_VALUE"""),"")</f>
        <v/>
      </c>
      <c r="BK4" s="56" t="str">
        <f ca="1">IFERROR(__xludf.DUMMYFUNCTION("""COMPUTED_VALUE"""),"")</f>
        <v/>
      </c>
      <c r="BL4" s="56" t="str">
        <f ca="1">IFERROR(__xludf.DUMMYFUNCTION("""COMPUTED_VALUE"""),"")</f>
        <v/>
      </c>
      <c r="BM4" s="56" t="str">
        <f ca="1">IFERROR(__xludf.DUMMYFUNCTION("""COMPUTED_VALUE"""),"")</f>
        <v/>
      </c>
      <c r="BN4" s="56" t="str">
        <f ca="1">IFERROR(__xludf.DUMMYFUNCTION("""COMPUTED_VALUE"""),"")</f>
        <v/>
      </c>
      <c r="BO4" s="56" t="str">
        <f ca="1">IFERROR(__xludf.DUMMYFUNCTION("""COMPUTED_VALUE"""),"")</f>
        <v/>
      </c>
      <c r="BP4" s="56" t="str">
        <f ca="1">IFERROR(__xludf.DUMMYFUNCTION("""COMPUTED_VALUE"""),"")</f>
        <v/>
      </c>
      <c r="BQ4" s="56" t="str">
        <f ca="1">IFERROR(__xludf.DUMMYFUNCTION("""COMPUTED_VALUE"""),"")</f>
        <v/>
      </c>
      <c r="BR4" s="56" t="str">
        <f ca="1">IFERROR(__xludf.DUMMYFUNCTION("""COMPUTED_VALUE"""),"")</f>
        <v/>
      </c>
      <c r="BS4" s="56" t="str">
        <f ca="1">IFERROR(__xludf.DUMMYFUNCTION("""COMPUTED_VALUE"""),"")</f>
        <v/>
      </c>
      <c r="BT4" s="56" t="str">
        <f ca="1">IFERROR(__xludf.DUMMYFUNCTION("""COMPUTED_VALUE"""),"")</f>
        <v/>
      </c>
      <c r="BU4" s="56" t="str">
        <f ca="1">IFERROR(__xludf.DUMMYFUNCTION("""COMPUTED_VALUE"""),"")</f>
        <v/>
      </c>
      <c r="BV4" s="56" t="str">
        <f ca="1">IFERROR(__xludf.DUMMYFUNCTION("""COMPUTED_VALUE"""),"")</f>
        <v/>
      </c>
      <c r="BW4" s="56" t="str">
        <f ca="1">IFERROR(__xludf.DUMMYFUNCTION("""COMPUTED_VALUE"""),"")</f>
        <v/>
      </c>
      <c r="BX4" s="56" t="str">
        <f ca="1">IFERROR(__xludf.DUMMYFUNCTION("""COMPUTED_VALUE"""),"")</f>
        <v/>
      </c>
      <c r="BY4" s="56" t="str">
        <f ca="1">IFERROR(__xludf.DUMMYFUNCTION("""COMPUTED_VALUE"""),"")</f>
        <v/>
      </c>
      <c r="BZ4" s="56" t="str">
        <f ca="1">IFERROR(__xludf.DUMMYFUNCTION("""COMPUTED_VALUE"""),"")</f>
        <v/>
      </c>
      <c r="CA4" s="56" t="str">
        <f ca="1">IFERROR(__xludf.DUMMYFUNCTION("""COMPUTED_VALUE"""),"")</f>
        <v/>
      </c>
      <c r="CB4" s="56" t="str">
        <f ca="1">IFERROR(__xludf.DUMMYFUNCTION("""COMPUTED_VALUE"""),"")</f>
        <v/>
      </c>
      <c r="CC4" s="56" t="str">
        <f ca="1">IFERROR(__xludf.DUMMYFUNCTION("""COMPUTED_VALUE"""),"")</f>
        <v/>
      </c>
      <c r="CD4" s="56" t="str">
        <f ca="1">IFERROR(__xludf.DUMMYFUNCTION("""COMPUTED_VALUE"""),"")</f>
        <v/>
      </c>
      <c r="CE4" s="56" t="str">
        <f ca="1">IFERROR(__xludf.DUMMYFUNCTION("""COMPUTED_VALUE"""),"")</f>
        <v/>
      </c>
      <c r="CF4" s="56" t="str">
        <f ca="1">IFERROR(__xludf.DUMMYFUNCTION("""COMPUTED_VALUE"""),"")</f>
        <v/>
      </c>
      <c r="CG4" s="56" t="str">
        <f ca="1">IFERROR(__xludf.DUMMYFUNCTION("""COMPUTED_VALUE"""),"")</f>
        <v/>
      </c>
      <c r="CH4" s="56" t="str">
        <f ca="1">IFERROR(__xludf.DUMMYFUNCTION("""COMPUTED_VALUE"""),"")</f>
        <v/>
      </c>
      <c r="CI4" s="56" t="str">
        <f ca="1">IFERROR(__xludf.DUMMYFUNCTION("""COMPUTED_VALUE"""),"")</f>
        <v/>
      </c>
      <c r="CJ4" s="56" t="str">
        <f ca="1">IFERROR(__xludf.DUMMYFUNCTION("""COMPUTED_VALUE"""),"")</f>
        <v/>
      </c>
      <c r="CK4" s="56" t="str">
        <f ca="1">IFERROR(__xludf.DUMMYFUNCTION("""COMPUTED_VALUE"""),"")</f>
        <v/>
      </c>
      <c r="CL4" s="56" t="str">
        <f ca="1">IFERROR(__xludf.DUMMYFUNCTION("""COMPUTED_VALUE"""),"")</f>
        <v/>
      </c>
      <c r="CM4" s="56" t="str">
        <f ca="1">IFERROR(__xludf.DUMMYFUNCTION("""COMPUTED_VALUE"""),"")</f>
        <v/>
      </c>
      <c r="CN4" s="56" t="str">
        <f ca="1">IFERROR(__xludf.DUMMYFUNCTION("""COMPUTED_VALUE"""),"")</f>
        <v/>
      </c>
      <c r="CO4" s="56" t="str">
        <f ca="1">IFERROR(__xludf.DUMMYFUNCTION("""COMPUTED_VALUE"""),"")</f>
        <v/>
      </c>
      <c r="CP4" s="56" t="str">
        <f ca="1">IFERROR(__xludf.DUMMYFUNCTION("""COMPUTED_VALUE"""),"")</f>
        <v/>
      </c>
      <c r="CQ4" s="56" t="str">
        <f ca="1">IFERROR(__xludf.DUMMYFUNCTION("""COMPUTED_VALUE"""),"")</f>
        <v/>
      </c>
      <c r="CR4" s="56" t="str">
        <f ca="1">IFERROR(__xludf.DUMMYFUNCTION("""COMPUTED_VALUE"""),"")</f>
        <v/>
      </c>
      <c r="CS4" s="56" t="str">
        <f ca="1">IFERROR(__xludf.DUMMYFUNCTION("""COMPUTED_VALUE"""),"")</f>
        <v/>
      </c>
      <c r="CT4" s="56" t="str">
        <f ca="1">IFERROR(__xludf.DUMMYFUNCTION("""COMPUTED_VALUE"""),"")</f>
        <v/>
      </c>
      <c r="CU4" s="56" t="str">
        <f ca="1">IFERROR(__xludf.DUMMYFUNCTION("""COMPUTED_VALUE"""),"")</f>
        <v/>
      </c>
      <c r="CV4" s="56" t="str">
        <f ca="1">IFERROR(__xludf.DUMMYFUNCTION("""COMPUTED_VALUE"""),"")</f>
        <v/>
      </c>
      <c r="CW4" s="56" t="str">
        <f ca="1">IFERROR(__xludf.DUMMYFUNCTION("""COMPUTED_VALUE"""),"")</f>
        <v/>
      </c>
      <c r="CX4" s="56" t="str">
        <f ca="1">IFERROR(__xludf.DUMMYFUNCTION("""COMPUTED_VALUE"""),"")</f>
        <v/>
      </c>
      <c r="CY4" s="56" t="str">
        <f ca="1">IFERROR(__xludf.DUMMYFUNCTION("""COMPUTED_VALUE"""),"")</f>
        <v/>
      </c>
      <c r="CZ4" s="56" t="str">
        <f ca="1">IFERROR(__xludf.DUMMYFUNCTION("""COMPUTED_VALUE"""),"")</f>
        <v/>
      </c>
      <c r="DA4" s="56" t="str">
        <f ca="1">IFERROR(__xludf.DUMMYFUNCTION("""COMPUTED_VALUE"""),"")</f>
        <v/>
      </c>
      <c r="DB4" s="56" t="str">
        <f ca="1">IFERROR(__xludf.DUMMYFUNCTION("""COMPUTED_VALUE"""),"")</f>
        <v/>
      </c>
      <c r="DC4" s="56" t="str">
        <f ca="1">IFERROR(__xludf.DUMMYFUNCTION("""COMPUTED_VALUE"""),"")</f>
        <v/>
      </c>
      <c r="DD4" s="56" t="str">
        <f ca="1">IFERROR(__xludf.DUMMYFUNCTION("""COMPUTED_VALUE"""),"")</f>
        <v/>
      </c>
      <c r="DE4" s="56" t="str">
        <f ca="1">IFERROR(__xludf.DUMMYFUNCTION("""COMPUTED_VALUE"""),"")</f>
        <v/>
      </c>
      <c r="DF4" s="56" t="str">
        <f ca="1">IFERROR(__xludf.DUMMYFUNCTION("""COMPUTED_VALUE"""),"")</f>
        <v/>
      </c>
      <c r="DG4" s="56" t="str">
        <f ca="1">IFERROR(__xludf.DUMMYFUNCTION("""COMPUTED_VALUE"""),"")</f>
        <v/>
      </c>
      <c r="DH4" s="56" t="str">
        <f ca="1">IFERROR(__xludf.DUMMYFUNCTION("""COMPUTED_VALUE"""),"")</f>
        <v/>
      </c>
      <c r="DI4" s="56" t="str">
        <f ca="1">IFERROR(__xludf.DUMMYFUNCTION("""COMPUTED_VALUE"""),"")</f>
        <v/>
      </c>
      <c r="DJ4" s="56" t="str">
        <f ca="1">IFERROR(__xludf.DUMMYFUNCTION("""COMPUTED_VALUE"""),"")</f>
        <v/>
      </c>
      <c r="DK4" s="56" t="str">
        <f ca="1">IFERROR(__xludf.DUMMYFUNCTION("""COMPUTED_VALUE"""),"")</f>
        <v/>
      </c>
      <c r="DL4" s="56" t="str">
        <f ca="1">IFERROR(__xludf.DUMMYFUNCTION("""COMPUTED_VALUE"""),"")</f>
        <v/>
      </c>
      <c r="DM4" s="56" t="str">
        <f ca="1">IFERROR(__xludf.DUMMYFUNCTION("""COMPUTED_VALUE"""),"")</f>
        <v/>
      </c>
      <c r="DN4" s="56" t="str">
        <f ca="1">IFERROR(__xludf.DUMMYFUNCTION("""COMPUTED_VALUE"""),"")</f>
        <v/>
      </c>
      <c r="DO4" s="56" t="str">
        <f ca="1">IFERROR(__xludf.DUMMYFUNCTION("""COMPUTED_VALUE"""),"")</f>
        <v/>
      </c>
      <c r="DP4" s="56" t="str">
        <f ca="1">IFERROR(__xludf.DUMMYFUNCTION("""COMPUTED_VALUE"""),"")</f>
        <v/>
      </c>
      <c r="DQ4" s="56" t="str">
        <f ca="1">IFERROR(__xludf.DUMMYFUNCTION("""COMPUTED_VALUE"""),"")</f>
        <v/>
      </c>
      <c r="DR4" s="56" t="str">
        <f ca="1">IFERROR(__xludf.DUMMYFUNCTION("""COMPUTED_VALUE"""),"")</f>
        <v/>
      </c>
      <c r="DS4" s="56" t="str">
        <f ca="1">IFERROR(__xludf.DUMMYFUNCTION("""COMPUTED_VALUE"""),"")</f>
        <v/>
      </c>
      <c r="DT4" s="56" t="str">
        <f ca="1">IFERROR(__xludf.DUMMYFUNCTION("""COMPUTED_VALUE"""),"")</f>
        <v/>
      </c>
      <c r="DU4" s="56" t="str">
        <f ca="1">IFERROR(__xludf.DUMMYFUNCTION("""COMPUTED_VALUE"""),"")</f>
        <v/>
      </c>
      <c r="DV4" s="56" t="str">
        <f ca="1">IFERROR(__xludf.DUMMYFUNCTION("""COMPUTED_VALUE"""),"")</f>
        <v/>
      </c>
      <c r="DW4" s="56" t="str">
        <f ca="1">IFERROR(__xludf.DUMMYFUNCTION("""COMPUTED_VALUE"""),"")</f>
        <v/>
      </c>
      <c r="DX4" s="56" t="str">
        <f ca="1">IFERROR(__xludf.DUMMYFUNCTION("""COMPUTED_VALUE"""),"")</f>
        <v/>
      </c>
      <c r="DY4" s="56" t="str">
        <f ca="1">IFERROR(__xludf.DUMMYFUNCTION("""COMPUTED_VALUE"""),"")</f>
        <v/>
      </c>
      <c r="DZ4" s="56" t="str">
        <f ca="1">IFERROR(__xludf.DUMMYFUNCTION("""COMPUTED_VALUE"""),"")</f>
        <v/>
      </c>
      <c r="EA4" s="56" t="str">
        <f ca="1">IFERROR(__xludf.DUMMYFUNCTION("""COMPUTED_VALUE"""),"")</f>
        <v/>
      </c>
      <c r="EB4" s="56" t="str">
        <f ca="1">IFERROR(__xludf.DUMMYFUNCTION("""COMPUTED_VALUE"""),"")</f>
        <v/>
      </c>
      <c r="EC4" s="56" t="str">
        <f ca="1">IFERROR(__xludf.DUMMYFUNCTION("""COMPUTED_VALUE"""),"")</f>
        <v/>
      </c>
      <c r="ED4" s="56" t="str">
        <f ca="1">IFERROR(__xludf.DUMMYFUNCTION("""COMPUTED_VALUE"""),"")</f>
        <v/>
      </c>
      <c r="EE4" s="56" t="str">
        <f ca="1">IFERROR(__xludf.DUMMYFUNCTION("""COMPUTED_VALUE"""),"")</f>
        <v/>
      </c>
      <c r="EF4" s="56" t="str">
        <f ca="1">IFERROR(__xludf.DUMMYFUNCTION("""COMPUTED_VALUE"""),"")</f>
        <v/>
      </c>
      <c r="EG4" s="56" t="str">
        <f ca="1">IFERROR(__xludf.DUMMYFUNCTION("""COMPUTED_VALUE"""),"")</f>
        <v/>
      </c>
      <c r="EH4" s="56" t="str">
        <f ca="1">IFERROR(__xludf.DUMMYFUNCTION("""COMPUTED_VALUE"""),"")</f>
        <v/>
      </c>
      <c r="EI4" s="56" t="str">
        <f ca="1">IFERROR(__xludf.DUMMYFUNCTION("""COMPUTED_VALUE"""),"")</f>
        <v/>
      </c>
      <c r="EJ4" s="56" t="str">
        <f ca="1">IFERROR(__xludf.DUMMYFUNCTION("""COMPUTED_VALUE"""),"")</f>
        <v/>
      </c>
      <c r="EK4" s="56" t="str">
        <f ca="1">IFERROR(__xludf.DUMMYFUNCTION("""COMPUTED_VALUE"""),"")</f>
        <v/>
      </c>
      <c r="EL4" s="56" t="str">
        <f ca="1">IFERROR(__xludf.DUMMYFUNCTION("""COMPUTED_VALUE"""),"")</f>
        <v/>
      </c>
      <c r="EM4" s="56" t="str">
        <f ca="1">IFERROR(__xludf.DUMMYFUNCTION("""COMPUTED_VALUE"""),"")</f>
        <v/>
      </c>
      <c r="EN4" s="56" t="str">
        <f ca="1">IFERROR(__xludf.DUMMYFUNCTION("""COMPUTED_VALUE"""),"")</f>
        <v/>
      </c>
      <c r="EO4" s="56" t="str">
        <f ca="1">IFERROR(__xludf.DUMMYFUNCTION("""COMPUTED_VALUE"""),"")</f>
        <v/>
      </c>
      <c r="EP4" s="56" t="str">
        <f ca="1">IFERROR(__xludf.DUMMYFUNCTION("""COMPUTED_VALUE"""),"")</f>
        <v/>
      </c>
      <c r="EQ4" s="56" t="str">
        <f ca="1">IFERROR(__xludf.DUMMYFUNCTION("""COMPUTED_VALUE"""),"")</f>
        <v/>
      </c>
      <c r="ER4" s="56" t="str">
        <f ca="1">IFERROR(__xludf.DUMMYFUNCTION("""COMPUTED_VALUE"""),"")</f>
        <v/>
      </c>
      <c r="ES4" s="56" t="str">
        <f ca="1">IFERROR(__xludf.DUMMYFUNCTION("""COMPUTED_VALUE"""),"")</f>
        <v/>
      </c>
      <c r="ET4" s="56" t="str">
        <f ca="1">IFERROR(__xludf.DUMMYFUNCTION("""COMPUTED_VALUE"""),"")</f>
        <v/>
      </c>
      <c r="EU4" s="56" t="str">
        <f ca="1">IFERROR(__xludf.DUMMYFUNCTION("""COMPUTED_VALUE"""),"")</f>
        <v/>
      </c>
      <c r="EV4" s="56" t="str">
        <f ca="1">IFERROR(__xludf.DUMMYFUNCTION("""COMPUTED_VALUE"""),"")</f>
        <v/>
      </c>
      <c r="EW4" s="56" t="str">
        <f ca="1">IFERROR(__xludf.DUMMYFUNCTION("""COMPUTED_VALUE"""),"")</f>
        <v/>
      </c>
      <c r="EX4" s="56" t="str">
        <f ca="1">IFERROR(__xludf.DUMMYFUNCTION("""COMPUTED_VALUE"""),"")</f>
        <v/>
      </c>
      <c r="EY4" s="56" t="str">
        <f ca="1">IFERROR(__xludf.DUMMYFUNCTION("""COMPUTED_VALUE"""),"")</f>
        <v/>
      </c>
      <c r="EZ4" s="56" t="str">
        <f ca="1">IFERROR(__xludf.DUMMYFUNCTION("""COMPUTED_VALUE"""),"")</f>
        <v/>
      </c>
      <c r="FA4" s="56" t="str">
        <f ca="1">IFERROR(__xludf.DUMMYFUNCTION("""COMPUTED_VALUE"""),"")</f>
        <v/>
      </c>
      <c r="FB4" s="56" t="str">
        <f ca="1">IFERROR(__xludf.DUMMYFUNCTION("""COMPUTED_VALUE"""),"")</f>
        <v/>
      </c>
      <c r="FC4" s="56" t="str">
        <f ca="1">IFERROR(__xludf.DUMMYFUNCTION("""COMPUTED_VALUE"""),"")</f>
        <v/>
      </c>
      <c r="FD4" s="56" t="str">
        <f ca="1">IFERROR(__xludf.DUMMYFUNCTION("""COMPUTED_VALUE"""),"")</f>
        <v/>
      </c>
      <c r="FE4" s="56" t="str">
        <f ca="1">IFERROR(__xludf.DUMMYFUNCTION("""COMPUTED_VALUE"""),"")</f>
        <v/>
      </c>
      <c r="FF4" s="56" t="str">
        <f ca="1">IFERROR(__xludf.DUMMYFUNCTION("""COMPUTED_VALUE"""),"")</f>
        <v/>
      </c>
      <c r="FG4" s="56" t="str">
        <f ca="1">IFERROR(__xludf.DUMMYFUNCTION("""COMPUTED_VALUE"""),"")</f>
        <v/>
      </c>
      <c r="FH4" s="56" t="str">
        <f ca="1">IFERROR(__xludf.DUMMYFUNCTION("""COMPUTED_VALUE"""),"")</f>
        <v/>
      </c>
      <c r="FI4" s="56" t="str">
        <f ca="1">IFERROR(__xludf.DUMMYFUNCTION("""COMPUTED_VALUE"""),"")</f>
        <v/>
      </c>
      <c r="FJ4" s="56" t="str">
        <f ca="1">IFERROR(__xludf.DUMMYFUNCTION("""COMPUTED_VALUE"""),"")</f>
        <v/>
      </c>
    </row>
    <row r="5" spans="1:166" ht="15.75" customHeight="1">
      <c r="A5" s="57" t="str">
        <f ca="1">IFERROR(__xludf.DUMMYFUNCTION("TRANSPOSE(IMPORTRANGE(VLOOKUP($E$3,IMPORTRANGE('_Settings'!$B$3,$C$3&amp;""!A4:B1000""),2,FALSE),$G$3&amp;""!A4:A1000""))"),"")</f>
        <v/>
      </c>
      <c r="B5" s="58" t="str">
        <f ca="1">IFERROR(__xludf.DUMMYFUNCTION("""COMPUTED_VALUE"""),"Trade Date")</f>
        <v>Trade Date</v>
      </c>
      <c r="C5" s="58" t="str">
        <f ca="1">IFERROR(__xludf.DUMMYFUNCTION("""COMPUTED_VALUE"""),"Symbol")</f>
        <v>Symbol</v>
      </c>
      <c r="D5" s="58" t="str">
        <f ca="1">IFERROR(__xludf.DUMMYFUNCTION("""COMPUTED_VALUE"""),"Position")</f>
        <v>Position</v>
      </c>
      <c r="E5" s="58" t="str">
        <f ca="1">IFERROR(__xludf.DUMMYFUNCTION("""COMPUTED_VALUE"""),"Account")</f>
        <v>Account</v>
      </c>
      <c r="F5" s="59" t="str">
        <f ca="1">IFERROR(__xludf.DUMMYFUNCTION("""COMPUTED_VALUE"""),"MasterFund")</f>
        <v>MasterFund</v>
      </c>
      <c r="G5" s="58" t="str">
        <f ca="1">IFERROR(__xludf.DUMMYFUNCTION("""COMPUTED_VALUE"""),"Cost Basis")</f>
        <v>Cost Basis</v>
      </c>
      <c r="H5" s="58" t="str">
        <f ca="1">IFERROR(__xludf.DUMMYFUNCTION("""COMPUTED_VALUE"""),"Position Side")</f>
        <v>Position Side</v>
      </c>
      <c r="I5" s="58" t="str">
        <f ca="1">IFERROR(__xludf.DUMMYFUNCTION("""COMPUTED_VALUE"""),"Market Value (Base)")</f>
        <v>Market Value (Base)</v>
      </c>
      <c r="J5" s="58" t="str">
        <f ca="1">IFERROR(__xludf.DUMMYFUNCTION("""COMPUTED_VALUE"""),"% Day P&amp;L (Gross MV)")</f>
        <v>% Day P&amp;L (Gross MV)</v>
      </c>
      <c r="K5" s="58" t="str">
        <f ca="1">IFERROR(__xludf.DUMMYFUNCTION("""COMPUTED_VALUE"""),"Net Exposure (Base)")</f>
        <v>Net Exposure (Base)</v>
      </c>
      <c r="L5" s="58" t="str">
        <f ca="1">IFERROR(__xludf.DUMMYFUNCTION("""COMPUTED_VALUE"""),"Beta Adj. Gross Exposure (Base)")</f>
        <v>Beta Adj. Gross Exposure (Base)</v>
      </c>
      <c r="M5" s="58" t="str">
        <f ca="1">IFERROR(__xludf.DUMMYFUNCTION("""COMPUTED_VALUE"""),"Beta Adj. Gross Exposure (Underlying) (Base)")</f>
        <v>Beta Adj. Gross Exposure (Underlying) (Base)</v>
      </c>
      <c r="N5" s="58" t="str">
        <f ca="1">IFERROR(__xludf.DUMMYFUNCTION("""COMPUTED_VALUE"""),"Day P&amp;L (Base)")</f>
        <v>Day P&amp;L (Base)</v>
      </c>
      <c r="O5" s="58" t="str">
        <f ca="1">IFERROR(__xludf.DUMMYFUNCTION("""COMPUTED_VALUE"""),"Security Name")</f>
        <v>Security Name</v>
      </c>
      <c r="P5" s="58" t="str">
        <f ca="1">IFERROR(__xludf.DUMMYFUNCTION("""COMPUTED_VALUE"""),"Closing Mark")</f>
        <v>Closing Mark</v>
      </c>
      <c r="Q5" s="58" t="str">
        <f ca="1">IFERROR(__xludf.DUMMYFUNCTION("""COMPUTED_VALUE"""),"Cost Basis P&amp;L (Base)")</f>
        <v>Cost Basis P&amp;L (Base)</v>
      </c>
      <c r="R5" s="58" t="str">
        <f ca="1">IFERROR(__xludf.DUMMYFUNCTION("""COMPUTED_VALUE"""),"Prime Broker")</f>
        <v>Prime Broker</v>
      </c>
      <c r="S5" s="58" t="str">
        <f ca="1">IFERROR(__xludf.DUMMYFUNCTION("""COMPUTED_VALUE"""),"Strategy")</f>
        <v>Strategy</v>
      </c>
      <c r="T5" s="60" t="str">
        <f ca="1">IFERROR(__xludf.DUMMYFUNCTION("""COMPUTED_VALUE"""),"Asset Class")</f>
        <v>Asset Class</v>
      </c>
      <c r="U5" s="60" t="str">
        <f ca="1">IFERROR(__xludf.DUMMYFUNCTION("""COMPUTED_VALUE"""),"Underlying")</f>
        <v>Underlying</v>
      </c>
      <c r="V5" s="60" t="str">
        <f ca="1">IFERROR(__xludf.DUMMYFUNCTION("""COMPUTED_VALUE"""),"Exchange")</f>
        <v>Exchange</v>
      </c>
      <c r="W5" s="60" t="str">
        <f ca="1">IFERROR(__xludf.DUMMYFUNCTION("""COMPUTED_VALUE"""),"Trade Currency")</f>
        <v>Trade Currency</v>
      </c>
      <c r="X5" s="60" t="str">
        <f ca="1">IFERROR(__xludf.DUMMYFUNCTION("""COMPUTED_VALUE"""),"Multiplier")</f>
        <v>Multiplier</v>
      </c>
      <c r="Y5" s="60" t="str">
        <f ca="1">IFERROR(__xludf.DUMMYFUNCTION("""COMPUTED_VALUE"""),"FX Rate")</f>
        <v>FX Rate</v>
      </c>
      <c r="Z5" s="60" t="str">
        <f ca="1">IFERROR(__xludf.DUMMYFUNCTION("""COMPUTED_VALUE"""),"Vs Currency")</f>
        <v>Vs Currency</v>
      </c>
      <c r="AA5" s="60" t="str">
        <f ca="1">IFERROR(__xludf.DUMMYFUNCTION("""COMPUTED_VALUE"""),"Lead Currency")</f>
        <v>Lead Currency</v>
      </c>
      <c r="AB5" s="60" t="str">
        <f ca="1">IFERROR(__xludf.DUMMYFUNCTION("""COMPUTED_VALUE"""),"Dividend Yield (%)")</f>
        <v>Dividend Yield (%)</v>
      </c>
      <c r="AC5" s="60" t="str">
        <f ca="1">IFERROR(__xludf.DUMMYFUNCTION("""COMPUTED_VALUE"""),"% Change")</f>
        <v>% Change</v>
      </c>
      <c r="AD5" s="60" t="str">
        <f ca="1">IFERROR(__xludf.DUMMYFUNCTION("""COMPUTED_VALUE"""),"Net Exposure (Local)")</f>
        <v>Net Exposure (Local)</v>
      </c>
      <c r="AE5" s="60" t="str">
        <f ca="1">IFERROR(__xludf.DUMMYFUNCTION("""COMPUTED_VALUE"""),"Exposure (Local)")</f>
        <v>Exposure (Local)</v>
      </c>
      <c r="AF5" s="60" t="str">
        <f ca="1">IFERROR(__xludf.DUMMYFUNCTION("""COMPUTED_VALUE"""),"Delta Adj. Position")</f>
        <v>Delta Adj. Position</v>
      </c>
      <c r="AG5" s="60" t="str">
        <f ca="1">IFERROR(__xludf.DUMMYFUNCTION("""COMPUTED_VALUE"""),"Exposure (Base)")</f>
        <v>Exposure (Base)</v>
      </c>
      <c r="AH5" s="60" t="str">
        <f ca="1">IFERROR(__xludf.DUMMYFUNCTION("""COMPUTED_VALUE"""),"Beta Adj. Exposure (Local)")</f>
        <v>Beta Adj. Exposure (Local)</v>
      </c>
      <c r="AI5" s="60" t="str">
        <f ca="1">IFERROR(__xludf.DUMMYFUNCTION("""COMPUTED_VALUE"""),"Beta Adj. Exposure (Base)")</f>
        <v>Beta Adj. Exposure (Base)</v>
      </c>
      <c r="AJ5" s="60" t="str">
        <f ca="1">IFERROR(__xludf.DUMMYFUNCTION("""COMPUTED_VALUE"""),"Exposure (BP)(Base)")</f>
        <v>Exposure (BP)(Base)</v>
      </c>
      <c r="AK5" s="60" t="str">
        <f ca="1">IFERROR(__xludf.DUMMYFUNCTION("""COMPUTED_VALUE"""),"Day P&amp;L (Local)")</f>
        <v>Day P&amp;L (Local)</v>
      </c>
      <c r="AL5" s="60" t="str">
        <f ca="1">IFERROR(__xludf.DUMMYFUNCTION("""COMPUTED_VALUE"""),"Delta")</f>
        <v>Delta</v>
      </c>
      <c r="AM5" s="60" t="str">
        <f ca="1">IFERROR(__xludf.DUMMYFUNCTION("""COMPUTED_VALUE"""),"Leveraged Factor")</f>
        <v>Leveraged Factor</v>
      </c>
      <c r="AN5" s="60" t="str">
        <f ca="1">IFERROR(__xludf.DUMMYFUNCTION("""COMPUTED_VALUE"""),"Order Side")</f>
        <v>Order Side</v>
      </c>
      <c r="AO5" s="60" t="str">
        <f ca="1">IFERROR(__xludf.DUMMYFUNCTION("""COMPUTED_VALUE"""),"Master Strategy")</f>
        <v>Master Strategy</v>
      </c>
      <c r="AP5" s="60" t="str">
        <f ca="1">IFERROR(__xludf.DUMMYFUNCTION("""COMPUTED_VALUE"""),"Transaction Side")</f>
        <v>Transaction Side</v>
      </c>
      <c r="AQ5" s="60" t="str">
        <f ca="1">IFERROR(__xludf.DUMMYFUNCTION("""COMPUTED_VALUE"""),"Underlying Symbol")</f>
        <v>Underlying Symbol</v>
      </c>
      <c r="AR5" s="60" t="str">
        <f ca="1">IFERROR(__xludf.DUMMYFUNCTION("""COMPUTED_VALUE"""),"Underlying Price")</f>
        <v>Underlying Price</v>
      </c>
      <c r="AS5" s="60" t="str">
        <f ca="1">IFERROR(__xludf.DUMMYFUNCTION("""COMPUTED_VALUE"""),"Side Multiplier")</f>
        <v>Side Multiplier</v>
      </c>
      <c r="AT5" s="60" t="str">
        <f ca="1">IFERROR(__xludf.DUMMYFUNCTION("""COMPUTED_VALUE"""),"Description")</f>
        <v>Description</v>
      </c>
      <c r="AU5" s="60" t="str">
        <f ca="1">IFERROR(__xludf.DUMMYFUNCTION("""COMPUTED_VALUE"""),"Internal Comments")</f>
        <v>Internal Comments</v>
      </c>
      <c r="AV5" s="60" t="str">
        <f ca="1">IFERROR(__xludf.DUMMYFUNCTION("""COMPUTED_VALUE"""),"FX Rate On Trade Date")</f>
        <v>FX Rate On Trade Date</v>
      </c>
      <c r="AW5" s="60" t="str">
        <f ca="1">IFERROR(__xludf.DUMMYFUNCTION("""COMPUTED_VALUE"""),"Cost Basis P&amp;L (Local)")</f>
        <v>Cost Basis P&amp;L (Local)</v>
      </c>
      <c r="AX5" s="60" t="str">
        <f ca="1">IFERROR(__xludf.DUMMYFUNCTION("""COMPUTED_VALUE"""),"Day Interest")</f>
        <v>Day Interest</v>
      </c>
      <c r="AY5" s="60" t="str">
        <f ca="1">IFERROR(__xludf.DUMMYFUNCTION("""COMPUTED_VALUE"""),"Total Interest")</f>
        <v>Total Interest</v>
      </c>
      <c r="AZ5" s="60" t="str">
        <f ca="1">IFERROR(__xludf.DUMMYFUNCTION("""COMPUTED_VALUE"""),"Market Value (Local)")</f>
        <v>Market Value (Local)</v>
      </c>
      <c r="BA5" s="60" t="str">
        <f ca="1">IFERROR(__xludf.DUMMYFUNCTION("""COMPUTED_VALUE"""),"% Gain/Loss Day")</f>
        <v>% Gain/Loss Day</v>
      </c>
      <c r="BB5" s="60" t="str">
        <f ca="1">IFERROR(__xludf.DUMMYFUNCTION("""COMPUTED_VALUE"""),"Update Time (Last Price)")</f>
        <v>Update Time (Last Price)</v>
      </c>
      <c r="BC5" s="60" t="str">
        <f ca="1">IFERROR(__xludf.DUMMYFUNCTION("""COMPUTED_VALUE"""),"Beta")</f>
        <v>Beta</v>
      </c>
      <c r="BD5" s="60" t="str">
        <f ca="1">IFERROR(__xludf.DUMMYFUNCTION("""COMPUTED_VALUE"""),"Cash Impact (Local)")</f>
        <v>Cash Impact (Local)</v>
      </c>
      <c r="BE5" s="60" t="str">
        <f ca="1">IFERROR(__xludf.DUMMYFUNCTION("""COMPUTED_VALUE"""),"User Asset")</f>
        <v>User Asset</v>
      </c>
      <c r="BF5" s="60" t="str">
        <f ca="1">IFERROR(__xludf.DUMMYFUNCTION("""COMPUTED_VALUE"""),"Security Type")</f>
        <v>Security Type</v>
      </c>
      <c r="BG5" s="60" t="str">
        <f ca="1">IFERROR(__xludf.DUMMYFUNCTION("""COMPUTED_VALUE"""),"Sector")</f>
        <v>Sector</v>
      </c>
      <c r="BH5" s="60" t="str">
        <f ca="1">IFERROR(__xludf.DUMMYFUNCTION("""COMPUTED_VALUE"""),"Sub Sector")</f>
        <v>Sub Sector</v>
      </c>
      <c r="BI5" s="60" t="str">
        <f ca="1">IFERROR(__xludf.DUMMYFUNCTION("""COMPUTED_VALUE"""),"Country")</f>
        <v>Country</v>
      </c>
      <c r="BJ5" s="60" t="str">
        <f ca="1">IFERROR(__xludf.DUMMYFUNCTION("""COMPUTED_VALUE"""),"Market Cap")</f>
        <v>Market Cap</v>
      </c>
      <c r="BK5" s="60" t="str">
        <f ca="1">IFERROR(__xludf.DUMMYFUNCTION("""COMPUTED_VALUE"""),"Shares Outstanding (MM)")</f>
        <v>Shares Outstanding (MM)</v>
      </c>
      <c r="BL5" s="60" t="str">
        <f ca="1">IFERROR(__xludf.DUMMYFUNCTION("""COMPUTED_VALUE"""),"Avg Volume 20 Day")</f>
        <v>Avg Volume 20 Day</v>
      </c>
      <c r="BM5" s="60" t="str">
        <f ca="1">IFERROR(__xludf.DUMMYFUNCTION("""COMPUTED_VALUE"""),"% Avg Volume (Delta Adj.)")</f>
        <v>% Avg Volume (Delta Adj.)</v>
      </c>
      <c r="BN5" s="60" t="str">
        <f ca="1">IFERROR(__xludf.DUMMYFUNCTION("""COMPUTED_VALUE"""),"Ex Dividend Date")</f>
        <v>Ex Dividend Date</v>
      </c>
      <c r="BO5" s="60" t="str">
        <f ca="1">IFERROR(__xludf.DUMMYFUNCTION("""COMPUTED_VALUE"""),"Cash Impact (Base)")</f>
        <v>Cash Impact (Base)</v>
      </c>
      <c r="BP5" s="60" t="str">
        <f ca="1">IFERROR(__xludf.DUMMYFUNCTION("""COMPUTED_VALUE"""),"Volatility (%)")</f>
        <v>Volatility (%)</v>
      </c>
      <c r="BQ5" s="60" t="str">
        <f ca="1">IFERROR(__xludf.DUMMYFUNCTION("""COMPUTED_VALUE"""),"User")</f>
        <v>User</v>
      </c>
      <c r="BR5" s="60" t="str">
        <f ca="1">IFERROR(__xludf.DUMMYFUNCTION("""COMPUTED_VALUE"""),"Broker")</f>
        <v>Broker</v>
      </c>
      <c r="BS5" s="60" t="str">
        <f ca="1">IFERROR(__xludf.DUMMYFUNCTION("""COMPUTED_VALUE"""),"Earned Dividend (Local)")</f>
        <v>Earned Dividend (Local)</v>
      </c>
      <c r="BT5" s="60" t="str">
        <f ca="1">IFERROR(__xludf.DUMMYFUNCTION("""COMPUTED_VALUE"""),"Earned Dividend (Base)")</f>
        <v>Earned Dividend (Base)</v>
      </c>
      <c r="BU5" s="60" t="str">
        <f ca="1">IFERROR(__xludf.DUMMYFUNCTION("""COMPUTED_VALUE"""),"Put/Call")</f>
        <v>Put/Call</v>
      </c>
      <c r="BV5" s="60" t="str">
        <f ca="1">IFERROR(__xludf.DUMMYFUNCTION("""COMPUTED_VALUE"""),"Expiration Date")</f>
        <v>Expiration Date</v>
      </c>
      <c r="BW5" s="60" t="str">
        <f ca="1">IFERROR(__xludf.DUMMYFUNCTION("""COMPUTED_VALUE"""),"Strike Price")</f>
        <v>Strike Price</v>
      </c>
      <c r="BX5" s="60" t="str">
        <f ca="1">IFERROR(__xludf.DUMMYFUNCTION("""COMPUTED_VALUE"""),"Gross Exposure (Base)")</f>
        <v>Gross Exposure (Base)</v>
      </c>
      <c r="BY5" s="60" t="str">
        <f ca="1">IFERROR(__xludf.DUMMYFUNCTION("""COMPUTED_VALUE"""),"Gross Market Value (Base)")</f>
        <v>Gross Market Value (Base)</v>
      </c>
      <c r="BZ5" s="60" t="str">
        <f ca="1">IFERROR(__xludf.DUMMYFUNCTION("""COMPUTED_VALUE"""),"Px Selected Feed (Local)")</f>
        <v>Px Selected Feed (Local)</v>
      </c>
      <c r="CA5" s="60" t="str">
        <f ca="1">IFERROR(__xludf.DUMMYFUNCTION("""COMPUTED_VALUE"""),"Px Selected Feed (Base)")</f>
        <v>Px Selected Feed (Base)</v>
      </c>
      <c r="CB5" s="60" t="str">
        <f ca="1">IFERROR(__xludf.DUMMYFUNCTION("""COMPUTED_VALUE"""),"Settlement Date")</f>
        <v>Settlement Date</v>
      </c>
      <c r="CC5" s="60" t="str">
        <f ca="1">IFERROR(__xludf.DUMMYFUNCTION("""COMPUTED_VALUE"""),"% Avg Volume")</f>
        <v>% Avg Volume</v>
      </c>
      <c r="CD5" s="60" t="str">
        <f ca="1">IFERROR(__xludf.DUMMYFUNCTION("""COMPUTED_VALUE"""),"Day P&amp;L (Base)(Price Gain)")</f>
        <v>Day P&amp;L (Base)(Price Gain)</v>
      </c>
      <c r="CE5" s="60" t="str">
        <f ca="1">IFERROR(__xludf.DUMMYFUNCTION("""COMPUTED_VALUE"""),"Day P&amp;L (Base)(FX Gain)")</f>
        <v>Day P&amp;L (Base)(FX Gain)</v>
      </c>
      <c r="CF5" s="60" t="str">
        <f ca="1">IFERROR(__xludf.DUMMYFUNCTION("""COMPUTED_VALUE"""),"Cost Basis P&amp;L (Base)(FX Gain)")</f>
        <v>Cost Basis P&amp;L (Base)(FX Gain)</v>
      </c>
      <c r="CG5" s="60" t="str">
        <f ca="1">IFERROR(__xludf.DUMMYFUNCTION("""COMPUTED_VALUE"""),"Cost Basis P&amp;L (Base)(Price Gain)")</f>
        <v>Cost Basis P&amp;L (Base)(Price Gain)</v>
      </c>
      <c r="CH5" s="60" t="str">
        <f ca="1">IFERROR(__xludf.DUMMYFUNCTION("""COMPUTED_VALUE"""),"% Gain/Loss Cost")</f>
        <v>% Gain/Loss Cost</v>
      </c>
      <c r="CI5" s="60" t="str">
        <f ca="1">IFERROR(__xludf.DUMMYFUNCTION("""COMPUTED_VALUE"""),"Underlying Value (Options)")</f>
        <v>Underlying Value (Options)</v>
      </c>
      <c r="CJ5" s="60" t="str">
        <f ca="1">IFERROR(__xludf.DUMMYFUNCTION("""COMPUTED_VALUE"""),"Avg Volume 20 Day (Underlying Symbol)")</f>
        <v>Avg Volume 20 Day (Underlying Symbol)</v>
      </c>
      <c r="CK5" s="60" t="str">
        <f ca="1">IFERROR(__xludf.DUMMYFUNCTION("""COMPUTED_VALUE"""),"IsStaleData")</f>
        <v>IsStaleData</v>
      </c>
      <c r="CL5" s="60" t="str">
        <f ca="1">IFERROR(__xludf.DUMMYFUNCTION("""COMPUTED_VALUE"""),"IDCO")</f>
        <v>IDCO</v>
      </c>
      <c r="CM5" s="60" t="str">
        <f ca="1">IFERROR(__xludf.DUMMYFUNCTION("""COMPUTED_VALUE"""),"OSI")</f>
        <v>OSI</v>
      </c>
      <c r="CN5" s="60" t="str">
        <f ca="1">IFERROR(__xludf.DUMMYFUNCTION("""COMPUTED_VALUE"""),"SEDOL")</f>
        <v>SEDOL</v>
      </c>
      <c r="CO5" s="60" t="str">
        <f ca="1">IFERROR(__xludf.DUMMYFUNCTION("""COMPUTED_VALUE"""),"CUSIP")</f>
        <v>CUSIP</v>
      </c>
      <c r="CP5" s="60" t="str">
        <f ca="1">IFERROR(__xludf.DUMMYFUNCTION("""COMPUTED_VALUE"""),"Bloomberg")</f>
        <v>Bloomberg</v>
      </c>
      <c r="CQ5" s="60" t="str">
        <f ca="1">IFERROR(__xludf.DUMMYFUNCTION("""COMPUTED_VALUE"""),"ISIN")</f>
        <v>ISIN</v>
      </c>
      <c r="CR5" s="60" t="str">
        <f ca="1">IFERROR(__xludf.DUMMYFUNCTION("""COMPUTED_VALUE"""),"Start Trade Date")</f>
        <v>Start Trade Date</v>
      </c>
      <c r="CS5" s="60" t="str">
        <f ca="1">IFERROR(__xludf.DUMMYFUNCTION("""COMPUTED_VALUE"""),"Cost Basis (Break Even)")</f>
        <v>Cost Basis (Break Even)</v>
      </c>
      <c r="CT5" s="60" t="str">
        <f ca="1">IFERROR(__xludf.DUMMYFUNCTION("""COMPUTED_VALUE"""),"Trade Attribute 3")</f>
        <v>Trade Attribute 3</v>
      </c>
      <c r="CU5" s="60" t="str">
        <f ca="1">IFERROR(__xludf.DUMMYFUNCTION("""COMPUTED_VALUE"""),"Trade Attribute 4")</f>
        <v>Trade Attribute 4</v>
      </c>
      <c r="CV5" s="60" t="str">
        <f ca="1">IFERROR(__xludf.DUMMYFUNCTION("""COMPUTED_VALUE"""),"Trade Attribute 5")</f>
        <v>Trade Attribute 5</v>
      </c>
      <c r="CW5" s="60" t="str">
        <f ca="1">IFERROR(__xludf.DUMMYFUNCTION("""COMPUTED_VALUE"""),"Trade Attribute 6")</f>
        <v>Trade Attribute 6</v>
      </c>
      <c r="CX5" s="60" t="str">
        <f ca="1">IFERROR(__xludf.DUMMYFUNCTION("""COMPUTED_VALUE"""),"Proxy Symbol")</f>
        <v>Proxy Symbol</v>
      </c>
      <c r="CY5" s="60" t="str">
        <f ca="1">IFERROR(__xludf.DUMMYFUNCTION("""COMPUTED_VALUE"""),"Pricing Source")</f>
        <v>Pricing Source</v>
      </c>
      <c r="CZ5" s="60" t="str">
        <f ca="1">IFERROR(__xludf.DUMMYFUNCTION("""COMPUTED_VALUE"""),"Delta Source")</f>
        <v>Delta Source</v>
      </c>
      <c r="DA5" s="60" t="str">
        <f ca="1">IFERROR(__xludf.DUMMYFUNCTION("""COMPUTED_VALUE"""),"Gross Exposure (Local)")</f>
        <v>Gross Exposure (Local)</v>
      </c>
      <c r="DB5" s="60" t="str">
        <f ca="1">IFERROR(__xludf.DUMMYFUNCTION("""COMPUTED_VALUE"""),"% Day P&amp;L (Net MV)")</f>
        <v>% Day P&amp;L (Net MV)</v>
      </c>
      <c r="DC5" s="60" t="str">
        <f ca="1">IFERROR(__xludf.DUMMYFUNCTION("""COMPUTED_VALUE"""),"Expiration Month")</f>
        <v>Expiration Month</v>
      </c>
      <c r="DD5" s="60" t="str">
        <f ca="1">IFERROR(__xludf.DUMMYFUNCTION("""COMPUTED_VALUE"""),"Delta Adj. Position (LME)")</f>
        <v>Delta Adj. Position (LME)</v>
      </c>
      <c r="DE5" s="60" t="str">
        <f ca="1">IFERROR(__xludf.DUMMYFUNCTION("""COMPUTED_VALUE"""),"Premium")</f>
        <v>Premium</v>
      </c>
      <c r="DF5" s="60" t="str">
        <f ca="1">IFERROR(__xludf.DUMMYFUNCTION("""COMPUTED_VALUE"""),"Premium $")</f>
        <v>Premium $</v>
      </c>
      <c r="DG5" s="60" t="str">
        <f ca="1">IFERROR(__xludf.DUMMYFUNCTION("""COMPUTED_VALUE"""),"Forward Points")</f>
        <v>Forward Points</v>
      </c>
      <c r="DH5" s="60" t="str">
        <f ca="1">IFERROR(__xludf.DUMMYFUNCTION("""COMPUTED_VALUE"""),"Closing Mark (Underlying)")</f>
        <v>Closing Mark (Underlying)</v>
      </c>
      <c r="DI5" s="60" t="str">
        <f ca="1">IFERROR(__xludf.DUMMYFUNCTION("""COMPUTED_VALUE"""),"% Change (Underlying Price)")</f>
        <v>% Change (Underlying Price)</v>
      </c>
      <c r="DJ5" s="60" t="str">
        <f ca="1">IFERROR(__xludf.DUMMYFUNCTION("""COMPUTED_VALUE"""),"Transaction Type")</f>
        <v>Transaction Type</v>
      </c>
      <c r="DK5" s="60" t="str">
        <f ca="1">IFERROR(__xludf.DUMMYFUNCTION("""COMPUTED_VALUE"""),"Closing Market Value (Local)")</f>
        <v>Closing Market Value (Local)</v>
      </c>
      <c r="DL5" s="60" t="str">
        <f ca="1">IFERROR(__xludf.DUMMYFUNCTION("""COMPUTED_VALUE"""),"Closing Market Value (Base)")</f>
        <v>Closing Market Value (Base)</v>
      </c>
      <c r="DM5" s="60" t="str">
        <f ca="1">IFERROR(__xludf.DUMMYFUNCTION("""COMPUTED_VALUE"""),"Closing FX Rate")</f>
        <v>Closing FX Rate</v>
      </c>
      <c r="DN5" s="60" t="str">
        <f ca="1">IFERROR(__xludf.DUMMYFUNCTION("""COMPUTED_VALUE"""),"Change In Underlying Price")</f>
        <v>Change In Underlying Price</v>
      </c>
      <c r="DO5" s="60" t="str">
        <f ca="1">IFERROR(__xludf.DUMMYFUNCTION("""COMPUTED_VALUE"""),"RIC")</f>
        <v>RIC</v>
      </c>
      <c r="DP5" s="60" t="str">
        <f ca="1">IFERROR(__xludf.DUMMYFUNCTION("""COMPUTED_VALUE"""),"Position Side Exposure (Boxed)")</f>
        <v>Position Side Exposure (Boxed)</v>
      </c>
      <c r="DQ5" s="60" t="str">
        <f ca="1">IFERROR(__xludf.DUMMYFUNCTION("""COMPUTED_VALUE"""),"Analyst")</f>
        <v>Analyst</v>
      </c>
      <c r="DR5" s="60" t="str">
        <f ca="1">IFERROR(__xludf.DUMMYFUNCTION("""COMPUTED_VALUE"""),"Country Of Risk")</f>
        <v>Country Of Risk</v>
      </c>
      <c r="DS5" s="60" t="str">
        <f ca="1">IFERROR(__xludf.DUMMYFUNCTION("""COMPUTED_VALUE"""),"Custom UDA1")</f>
        <v>Custom UDA1</v>
      </c>
      <c r="DT5" s="60" t="str">
        <f ca="1">IFERROR(__xludf.DUMMYFUNCTION("""COMPUTED_VALUE"""),"Custom UDA2")</f>
        <v>Custom UDA2</v>
      </c>
      <c r="DU5" s="60" t="str">
        <f ca="1">IFERROR(__xludf.DUMMYFUNCTION("""COMPUTED_VALUE"""),"Custom UDA3")</f>
        <v>Custom UDA3</v>
      </c>
      <c r="DV5" s="60" t="str">
        <f ca="1">IFERROR(__xludf.DUMMYFUNCTION("""COMPUTED_VALUE"""),"Custom UDA4")</f>
        <v>Custom UDA4</v>
      </c>
      <c r="DW5" s="60" t="str">
        <f ca="1">IFERROR(__xludf.DUMMYFUNCTION("""COMPUTED_VALUE"""),"Custom UDA5")</f>
        <v>Custom UDA5</v>
      </c>
      <c r="DX5" s="60" t="str">
        <f ca="1">IFERROR(__xludf.DUMMYFUNCTION("""COMPUTED_VALUE"""),"Custom UDA6")</f>
        <v>Custom UDA6</v>
      </c>
      <c r="DY5" s="60" t="str">
        <f ca="1">IFERROR(__xludf.DUMMYFUNCTION("""COMPUTED_VALUE"""),"Custom UDA7")</f>
        <v>Custom UDA7</v>
      </c>
      <c r="DZ5" s="60" t="str">
        <f ca="1">IFERROR(__xludf.DUMMYFUNCTION("""COMPUTED_VALUE"""),"Issuer")</f>
        <v>Issuer</v>
      </c>
      <c r="EA5" s="60" t="str">
        <f ca="1">IFERROR(__xludf.DUMMYFUNCTION("""COMPUTED_VALUE"""),"Liquid Tag")</f>
        <v>Liquid Tag</v>
      </c>
      <c r="EB5" s="60" t="str">
        <f ca="1">IFERROR(__xludf.DUMMYFUNCTION("""COMPUTED_VALUE"""),"Market Cap UDA")</f>
        <v>Market Cap UDA</v>
      </c>
      <c r="EC5" s="60" t="str">
        <f ca="1">IFERROR(__xludf.DUMMYFUNCTION("""COMPUTED_VALUE"""),"Region")</f>
        <v>Region</v>
      </c>
      <c r="ED5" s="60" t="str">
        <f ca="1">IFERROR(__xludf.DUMMYFUNCTION("""COMPUTED_VALUE"""),"Risk Currency")</f>
        <v>Risk Currency</v>
      </c>
      <c r="EE5" s="60" t="str">
        <f ca="1">IFERROR(__xludf.DUMMYFUNCTION("""COMPUTED_VALUE"""),"UCITS Eligible Tag")</f>
        <v>UCITS Eligible Tag</v>
      </c>
      <c r="EF5" s="60" t="str">
        <f ca="1">IFERROR(__xludf.DUMMYFUNCTION("""COMPUTED_VALUE"""),"FX Rate (Display)")</f>
        <v>FX Rate (Display)</v>
      </c>
      <c r="EG5" s="60" t="str">
        <f ca="1">IFERROR(__xludf.DUMMYFUNCTION("""COMPUTED_VALUE"""),"% Net Exposure (Base)")</f>
        <v>% Net Exposure (Base)</v>
      </c>
      <c r="EH5" s="60" t="str">
        <f ca="1">IFERROR(__xludf.DUMMYFUNCTION("""COMPUTED_VALUE"""),"% Gross Exposure (Base)")</f>
        <v>% Gross Exposure (Base)</v>
      </c>
      <c r="EI5" s="60" t="str">
        <f ca="1">IFERROR(__xludf.DUMMYFUNCTION("""COMPUTED_VALUE"""),"% Exposure (Base)")</f>
        <v>% Exposure (Base)</v>
      </c>
      <c r="EJ5" s="60" t="str">
        <f ca="1">IFERROR(__xludf.DUMMYFUNCTION("""COMPUTED_VALUE"""),"% Gross Exposure (Underlying) (Base)")</f>
        <v>% Gross Exposure (Underlying) (Base)</v>
      </c>
      <c r="EK5" s="60" t="str">
        <f ca="1">IFERROR(__xludf.DUMMYFUNCTION("""COMPUTED_VALUE"""),"% Beta Adj. Gross Exposure (Base)")</f>
        <v>% Beta Adj. Gross Exposure (Base)</v>
      </c>
      <c r="EL5" s="60" t="str">
        <f ca="1">IFERROR(__xludf.DUMMYFUNCTION("""COMPUTED_VALUE"""),"Position Side Exposure (Underlying)")</f>
        <v>Position Side Exposure (Underlying)</v>
      </c>
      <c r="EM5" s="60" t="str">
        <f ca="1">IFERROR(__xludf.DUMMYFUNCTION("""COMPUTED_VALUE"""),"Gross Exposure (Underlying) (Base)")</f>
        <v>Gross Exposure (Underlying) (Base)</v>
      </c>
      <c r="EN5" s="60" t="str">
        <f ca="1">IFERROR(__xludf.DUMMYFUNCTION("""COMPUTED_VALUE"""),"Gross Exposure (Underlying)")</f>
        <v>Gross Exposure (Underlying)</v>
      </c>
      <c r="EO5" s="60" t="str">
        <f ca="1">IFERROR(__xludf.DUMMYFUNCTION("""COMPUTED_VALUE"""),"Day Return")</f>
        <v>Day Return</v>
      </c>
      <c r="EP5" s="60" t="str">
        <f ca="1">IFERROR(__xludf.DUMMYFUNCTION("""COMPUTED_VALUE"""),"Start of Day NAV")</f>
        <v>Start of Day NAV</v>
      </c>
      <c r="EQ5" s="60" t="str">
        <f ca="1">IFERROR(__xludf.DUMMYFUNCTION("""COMPUTED_VALUE"""),"% Gross Market Value (Base)")</f>
        <v>% Gross Market Value (Base)</v>
      </c>
      <c r="ER5" s="60" t="str">
        <f ca="1">IFERROR(__xludf.DUMMYFUNCTION("""COMPUTED_VALUE"""),"Beta Adj. Gross Exposure (Underlying) (Local)")</f>
        <v>Beta Adj. Gross Exposure (Underlying) (Local)</v>
      </c>
      <c r="ES5" s="60" t="str">
        <f ca="1">IFERROR(__xludf.DUMMYFUNCTION("""COMPUTED_VALUE"""),"NAV")</f>
        <v>NAV</v>
      </c>
      <c r="ET5" s="60" t="str">
        <f ca="1">IFERROR(__xludf.DUMMYFUNCTION("""COMPUTED_VALUE"""),"% P&amp;L Contribution")</f>
        <v>% P&amp;L Contribution</v>
      </c>
      <c r="EU5" s="60" t="str">
        <f ca="1">IFERROR(__xludf.DUMMYFUNCTION("""COMPUTED_VALUE"""),"% Net Market Value (Base)")</f>
        <v>% Net Market Value (Base)</v>
      </c>
      <c r="EV5" s="60" t="str">
        <f ca="1">IFERROR(__xludf.DUMMYFUNCTION("""COMPUTED_VALUE"""),"Position Side Exposure")</f>
        <v>Position Side Exposure</v>
      </c>
      <c r="EW5" s="60" t="str">
        <f ca="1">IFERROR(__xludf.DUMMYFUNCTION("""COMPUTED_VALUE"""),"NAV (Touch)")</f>
        <v>NAV (Touch)</v>
      </c>
      <c r="EX5" s="60" t="str">
        <f ca="1">IFERROR(__xludf.DUMMYFUNCTION("""COMPUTED_VALUE"""),"IgnorePropertyChangeEvents")</f>
        <v>IgnorePropertyChangeEvents</v>
      </c>
      <c r="EY5" s="60" t="str">
        <f ca="1">IFERROR(__xludf.DUMMYFUNCTION("""COMPUTED_VALUE"""),"Trade Attribute 1")</f>
        <v>Trade Attribute 1</v>
      </c>
      <c r="EZ5" s="60" t="str">
        <f ca="1">IFERROR(__xludf.DUMMYFUNCTION("""COMPUTED_VALUE"""),"Trade Attribute 2")</f>
        <v>Trade Attribute 2</v>
      </c>
      <c r="FA5" s="60" t="str">
        <f ca="1">IFERROR(__xludf.DUMMYFUNCTION("""COMPUTED_VALUE"""),"")</f>
        <v/>
      </c>
      <c r="FB5" s="60" t="str">
        <f ca="1">IFERROR(__xludf.DUMMYFUNCTION("""COMPUTED_VALUE"""),"")</f>
        <v/>
      </c>
      <c r="FC5" s="60" t="str">
        <f ca="1">IFERROR(__xludf.DUMMYFUNCTION("""COMPUTED_VALUE"""),"")</f>
        <v/>
      </c>
      <c r="FD5" s="60" t="str">
        <f ca="1">IFERROR(__xludf.DUMMYFUNCTION("""COMPUTED_VALUE"""),"")</f>
        <v/>
      </c>
      <c r="FE5" s="60" t="str">
        <f ca="1">IFERROR(__xludf.DUMMYFUNCTION("""COMPUTED_VALUE"""),"")</f>
        <v/>
      </c>
      <c r="FF5" s="60" t="str">
        <f ca="1">IFERROR(__xludf.DUMMYFUNCTION("""COMPUTED_VALUE"""),"")</f>
        <v/>
      </c>
      <c r="FG5" s="60" t="str">
        <f ca="1">IFERROR(__xludf.DUMMYFUNCTION("""COMPUTED_VALUE"""),"")</f>
        <v/>
      </c>
      <c r="FH5" s="60" t="str">
        <f ca="1">IFERROR(__xludf.DUMMYFUNCTION("""COMPUTED_VALUE"""),"")</f>
        <v/>
      </c>
      <c r="FI5" s="60" t="str">
        <f ca="1">IFERROR(__xludf.DUMMYFUNCTION("""COMPUTED_VALUE"""),"")</f>
        <v/>
      </c>
      <c r="FJ5" s="60" t="str">
        <f ca="1">IFERROR(__xludf.DUMMYFUNCTION("""COMPUTED_VALUE"""),"")</f>
        <v/>
      </c>
    </row>
    <row r="6" spans="1:166" ht="15.75" customHeight="1">
      <c r="A6" s="61"/>
      <c r="B6" s="61"/>
      <c r="C6" s="62" t="s">
        <v>16</v>
      </c>
      <c r="D6" s="63">
        <v>100</v>
      </c>
      <c r="E6" s="62" t="s">
        <v>18</v>
      </c>
      <c r="F6" s="62" t="s">
        <v>37</v>
      </c>
      <c r="G6" s="63">
        <v>20</v>
      </c>
      <c r="H6" s="62" t="s">
        <v>40</v>
      </c>
      <c r="I6" s="63">
        <v>995000</v>
      </c>
      <c r="J6" s="64">
        <v>89.45</v>
      </c>
      <c r="K6" s="63">
        <v>0</v>
      </c>
      <c r="L6" s="63">
        <v>0</v>
      </c>
      <c r="M6" s="63">
        <v>0</v>
      </c>
      <c r="N6" s="63">
        <v>890000</v>
      </c>
      <c r="O6" s="62" t="s">
        <v>41</v>
      </c>
      <c r="P6" s="63">
        <v>21</v>
      </c>
      <c r="Q6" s="63">
        <v>895000</v>
      </c>
      <c r="R6" s="62" t="s">
        <v>42</v>
      </c>
      <c r="S6" s="62" t="s">
        <v>43</v>
      </c>
      <c r="T6" s="62" t="s">
        <v>44</v>
      </c>
      <c r="U6" s="62" t="s">
        <v>45</v>
      </c>
      <c r="V6" s="62" t="s">
        <v>46</v>
      </c>
      <c r="W6" s="62" t="s">
        <v>47</v>
      </c>
      <c r="X6" s="63">
        <v>50</v>
      </c>
      <c r="Y6" s="63">
        <v>1</v>
      </c>
      <c r="Z6" s="62" t="s">
        <v>48</v>
      </c>
      <c r="AA6" s="62" t="s">
        <v>48</v>
      </c>
      <c r="AB6" s="63">
        <v>0</v>
      </c>
      <c r="AC6" s="64">
        <v>847.62</v>
      </c>
      <c r="AD6" s="63">
        <v>0</v>
      </c>
      <c r="AE6" s="63">
        <v>5000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890000</v>
      </c>
      <c r="AL6" s="63">
        <v>0</v>
      </c>
      <c r="AM6" s="63">
        <v>1</v>
      </c>
      <c r="AN6" s="62" t="s">
        <v>49</v>
      </c>
      <c r="AO6" s="62" t="s">
        <v>48</v>
      </c>
      <c r="AP6" s="62" t="s">
        <v>40</v>
      </c>
      <c r="AQ6" s="62" t="s">
        <v>24</v>
      </c>
      <c r="AR6" s="63">
        <v>0</v>
      </c>
      <c r="AS6" s="63">
        <v>1</v>
      </c>
      <c r="AT6" s="62" t="s">
        <v>50</v>
      </c>
      <c r="AU6" s="62" t="s">
        <v>51</v>
      </c>
      <c r="AV6" s="63"/>
      <c r="AW6" s="63">
        <v>895000</v>
      </c>
      <c r="AX6" s="63">
        <v>0</v>
      </c>
      <c r="AY6" s="63">
        <v>0</v>
      </c>
      <c r="AZ6" s="63">
        <v>995000</v>
      </c>
      <c r="BA6" s="63">
        <v>890</v>
      </c>
      <c r="BB6" s="62"/>
      <c r="BC6" s="63">
        <v>1</v>
      </c>
      <c r="BD6" s="63">
        <v>0</v>
      </c>
      <c r="BE6" s="62" t="s">
        <v>52</v>
      </c>
      <c r="BF6" s="62" t="s">
        <v>53</v>
      </c>
      <c r="BG6" s="62" t="s">
        <v>54</v>
      </c>
      <c r="BH6" s="62" t="s">
        <v>55</v>
      </c>
      <c r="BI6" s="63">
        <v>5</v>
      </c>
      <c r="BJ6" s="63">
        <v>0</v>
      </c>
      <c r="BK6" s="63">
        <v>0</v>
      </c>
      <c r="BL6" s="63">
        <v>0</v>
      </c>
      <c r="BM6" s="63">
        <v>0</v>
      </c>
      <c r="BN6" s="62"/>
      <c r="BO6" s="63">
        <v>0</v>
      </c>
      <c r="BP6" s="63">
        <v>0</v>
      </c>
      <c r="BQ6" s="62" t="s">
        <v>56</v>
      </c>
      <c r="BR6" s="62" t="s">
        <v>57</v>
      </c>
      <c r="BS6" s="63">
        <v>0</v>
      </c>
      <c r="BT6" s="63">
        <v>0</v>
      </c>
      <c r="BU6" s="62" t="s">
        <v>58</v>
      </c>
      <c r="BV6" s="62"/>
      <c r="BW6" s="63">
        <v>2000</v>
      </c>
      <c r="BX6" s="63">
        <v>0</v>
      </c>
      <c r="BY6" s="63">
        <v>995000</v>
      </c>
      <c r="BZ6" s="63">
        <v>199</v>
      </c>
      <c r="CA6" s="63">
        <v>199</v>
      </c>
      <c r="CB6" s="62"/>
      <c r="CC6" s="63">
        <v>0</v>
      </c>
      <c r="CD6" s="63">
        <v>890000</v>
      </c>
      <c r="CE6" s="63">
        <v>0</v>
      </c>
      <c r="CF6" s="63">
        <v>0</v>
      </c>
      <c r="CG6" s="63">
        <v>895000</v>
      </c>
      <c r="CH6" s="63">
        <v>895</v>
      </c>
      <c r="CI6" s="63">
        <v>0</v>
      </c>
      <c r="CJ6" s="63">
        <v>0</v>
      </c>
      <c r="CK6" s="65" t="b">
        <v>0</v>
      </c>
      <c r="CL6" s="62" t="s">
        <v>48</v>
      </c>
      <c r="CM6" s="62" t="s">
        <v>48</v>
      </c>
      <c r="CN6" s="62" t="s">
        <v>48</v>
      </c>
      <c r="CO6" s="62" t="s">
        <v>48</v>
      </c>
      <c r="CP6" s="62" t="s">
        <v>48</v>
      </c>
      <c r="CQ6" s="62" t="s">
        <v>48</v>
      </c>
      <c r="CR6" s="63"/>
      <c r="CS6" s="63">
        <v>20</v>
      </c>
      <c r="CT6" s="62" t="s">
        <v>48</v>
      </c>
      <c r="CU6" s="62" t="s">
        <v>48</v>
      </c>
      <c r="CV6" s="62" t="s">
        <v>48</v>
      </c>
      <c r="CW6" s="62" t="s">
        <v>48</v>
      </c>
      <c r="CX6" s="62" t="s">
        <v>48</v>
      </c>
      <c r="CY6" s="62" t="s">
        <v>59</v>
      </c>
      <c r="CZ6" s="62" t="s">
        <v>36</v>
      </c>
      <c r="DA6" s="63">
        <v>0</v>
      </c>
      <c r="DB6" s="64">
        <v>89.45</v>
      </c>
      <c r="DC6" s="63"/>
      <c r="DD6" s="63">
        <v>0</v>
      </c>
      <c r="DE6" s="63">
        <v>199</v>
      </c>
      <c r="DF6" s="63">
        <v>995000</v>
      </c>
      <c r="DG6" s="63">
        <v>0</v>
      </c>
      <c r="DH6" s="63"/>
      <c r="DI6" s="63">
        <v>-100</v>
      </c>
      <c r="DJ6" s="62" t="s">
        <v>49</v>
      </c>
      <c r="DK6" s="63">
        <v>105000</v>
      </c>
      <c r="DL6" s="63">
        <v>105000</v>
      </c>
      <c r="DM6" s="63">
        <v>1</v>
      </c>
      <c r="DN6" s="63">
        <v>-198</v>
      </c>
      <c r="DO6" s="62" t="s">
        <v>48</v>
      </c>
      <c r="DP6" s="62" t="s">
        <v>40</v>
      </c>
      <c r="DQ6" s="62" t="s">
        <v>60</v>
      </c>
      <c r="DR6" s="62" t="s">
        <v>61</v>
      </c>
      <c r="DS6" s="62" t="s">
        <v>62</v>
      </c>
      <c r="DT6" s="62" t="s">
        <v>63</v>
      </c>
      <c r="DU6" s="62" t="s">
        <v>64</v>
      </c>
      <c r="DV6" s="62" t="s">
        <v>65</v>
      </c>
      <c r="DW6" s="62" t="s">
        <v>66</v>
      </c>
      <c r="DX6" s="62" t="s">
        <v>67</v>
      </c>
      <c r="DY6" s="62" t="s">
        <v>68</v>
      </c>
      <c r="DZ6" s="62" t="s">
        <v>41</v>
      </c>
      <c r="EA6" s="62" t="s">
        <v>69</v>
      </c>
      <c r="EB6" s="62" t="s">
        <v>70</v>
      </c>
      <c r="EC6" s="62" t="s">
        <v>71</v>
      </c>
      <c r="ED6" s="62" t="s">
        <v>47</v>
      </c>
      <c r="EE6" s="62" t="s">
        <v>72</v>
      </c>
      <c r="EF6" s="63">
        <v>0</v>
      </c>
      <c r="EG6" s="63">
        <v>0</v>
      </c>
      <c r="EH6" s="63">
        <v>0</v>
      </c>
      <c r="EI6" s="63">
        <v>0</v>
      </c>
      <c r="EJ6" s="63">
        <v>0</v>
      </c>
      <c r="EK6" s="63">
        <v>0</v>
      </c>
      <c r="EL6" s="62" t="s">
        <v>40</v>
      </c>
      <c r="EM6" s="63">
        <v>0</v>
      </c>
      <c r="EN6" s="63">
        <v>0</v>
      </c>
      <c r="EO6" s="64">
        <v>5953.18</v>
      </c>
      <c r="EP6" s="63">
        <v>14950</v>
      </c>
      <c r="EQ6" s="64">
        <v>167.1</v>
      </c>
      <c r="ER6" s="63">
        <v>0</v>
      </c>
      <c r="ES6" s="63">
        <v>595450</v>
      </c>
      <c r="ET6" s="64">
        <v>149.47</v>
      </c>
      <c r="EU6" s="64">
        <v>167.1</v>
      </c>
      <c r="EV6" s="62" t="s">
        <v>40</v>
      </c>
      <c r="EW6" s="63">
        <v>595450</v>
      </c>
      <c r="EX6" s="65" t="b">
        <v>0</v>
      </c>
      <c r="EY6" s="62" t="s">
        <v>48</v>
      </c>
      <c r="EZ6" s="62" t="s">
        <v>48</v>
      </c>
      <c r="FA6" s="49"/>
      <c r="FB6" s="49"/>
      <c r="FC6" s="49"/>
      <c r="FD6" s="49"/>
      <c r="FE6" s="49"/>
      <c r="FF6" s="49"/>
      <c r="FG6" s="49"/>
      <c r="FH6" s="49"/>
      <c r="FI6" s="49"/>
      <c r="FJ6" s="49"/>
    </row>
    <row r="7" spans="1:166" ht="15.75" customHeight="1">
      <c r="A7" s="47"/>
      <c r="B7" s="47"/>
      <c r="C7" s="62" t="s">
        <v>20</v>
      </c>
      <c r="D7" s="63">
        <v>100</v>
      </c>
      <c r="E7" s="62" t="s">
        <v>18</v>
      </c>
      <c r="F7" s="62" t="s">
        <v>37</v>
      </c>
      <c r="G7" s="63">
        <v>30</v>
      </c>
      <c r="H7" s="62" t="s">
        <v>40</v>
      </c>
      <c r="I7" s="63">
        <v>670000</v>
      </c>
      <c r="J7" s="64">
        <v>76.12</v>
      </c>
      <c r="K7" s="63">
        <v>0</v>
      </c>
      <c r="L7" s="63">
        <v>0</v>
      </c>
      <c r="M7" s="63">
        <v>0</v>
      </c>
      <c r="N7" s="63">
        <v>510000</v>
      </c>
      <c r="O7" s="62" t="s">
        <v>73</v>
      </c>
      <c r="P7" s="63">
        <v>32</v>
      </c>
      <c r="Q7" s="63">
        <v>520000</v>
      </c>
      <c r="R7" s="62" t="s">
        <v>42</v>
      </c>
      <c r="S7" s="62" t="s">
        <v>43</v>
      </c>
      <c r="T7" s="62" t="s">
        <v>44</v>
      </c>
      <c r="U7" s="62" t="s">
        <v>45</v>
      </c>
      <c r="V7" s="62" t="s">
        <v>46</v>
      </c>
      <c r="W7" s="62" t="s">
        <v>47</v>
      </c>
      <c r="X7" s="63">
        <v>50</v>
      </c>
      <c r="Y7" s="63">
        <v>1</v>
      </c>
      <c r="Z7" s="62" t="s">
        <v>48</v>
      </c>
      <c r="AA7" s="62" t="s">
        <v>48</v>
      </c>
      <c r="AB7" s="63">
        <v>0</v>
      </c>
      <c r="AC7" s="63">
        <v>318.75</v>
      </c>
      <c r="AD7" s="63">
        <v>0</v>
      </c>
      <c r="AE7" s="63">
        <v>5000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510000</v>
      </c>
      <c r="AL7" s="63">
        <v>0</v>
      </c>
      <c r="AM7" s="63">
        <v>1</v>
      </c>
      <c r="AN7" s="62" t="s">
        <v>49</v>
      </c>
      <c r="AO7" s="62" t="s">
        <v>48</v>
      </c>
      <c r="AP7" s="62" t="s">
        <v>40</v>
      </c>
      <c r="AQ7" s="62" t="s">
        <v>25</v>
      </c>
      <c r="AR7" s="63">
        <v>0</v>
      </c>
      <c r="AS7" s="63">
        <v>1</v>
      </c>
      <c r="AT7" s="62" t="s">
        <v>50</v>
      </c>
      <c r="AU7" s="62" t="s">
        <v>51</v>
      </c>
      <c r="AV7" s="63"/>
      <c r="AW7" s="63">
        <v>520000</v>
      </c>
      <c r="AX7" s="63">
        <v>0</v>
      </c>
      <c r="AY7" s="63">
        <v>0</v>
      </c>
      <c r="AZ7" s="63">
        <v>670000</v>
      </c>
      <c r="BA7" s="63">
        <v>340</v>
      </c>
      <c r="BB7" s="62"/>
      <c r="BC7" s="63">
        <v>1</v>
      </c>
      <c r="BD7" s="63">
        <v>0</v>
      </c>
      <c r="BE7" s="62" t="s">
        <v>74</v>
      </c>
      <c r="BF7" s="62" t="s">
        <v>53</v>
      </c>
      <c r="BG7" s="62" t="s">
        <v>54</v>
      </c>
      <c r="BH7" s="62" t="s">
        <v>55</v>
      </c>
      <c r="BI7" s="63">
        <v>5</v>
      </c>
      <c r="BJ7" s="63">
        <v>0</v>
      </c>
      <c r="BK7" s="63">
        <v>0</v>
      </c>
      <c r="BL7" s="63">
        <v>0</v>
      </c>
      <c r="BM7" s="63">
        <v>0</v>
      </c>
      <c r="BN7" s="62"/>
      <c r="BO7" s="63">
        <v>0</v>
      </c>
      <c r="BP7" s="63">
        <v>0</v>
      </c>
      <c r="BQ7" s="62" t="s">
        <v>56</v>
      </c>
      <c r="BR7" s="62" t="s">
        <v>57</v>
      </c>
      <c r="BS7" s="63">
        <v>0</v>
      </c>
      <c r="BT7" s="63">
        <v>0</v>
      </c>
      <c r="BU7" s="62" t="s">
        <v>75</v>
      </c>
      <c r="BV7" s="62"/>
      <c r="BW7" s="63">
        <v>1700</v>
      </c>
      <c r="BX7" s="63">
        <v>0</v>
      </c>
      <c r="BY7" s="63">
        <v>670000</v>
      </c>
      <c r="BZ7" s="63">
        <v>134</v>
      </c>
      <c r="CA7" s="63">
        <v>134</v>
      </c>
      <c r="CB7" s="62"/>
      <c r="CC7" s="63">
        <v>0</v>
      </c>
      <c r="CD7" s="63">
        <v>510000</v>
      </c>
      <c r="CE7" s="63">
        <v>0</v>
      </c>
      <c r="CF7" s="63">
        <v>0</v>
      </c>
      <c r="CG7" s="63">
        <v>520000</v>
      </c>
      <c r="CH7" s="64">
        <v>346.67</v>
      </c>
      <c r="CI7" s="63">
        <v>0</v>
      </c>
      <c r="CJ7" s="63">
        <v>0</v>
      </c>
      <c r="CK7" s="65" t="b">
        <v>0</v>
      </c>
      <c r="CL7" s="62" t="s">
        <v>48</v>
      </c>
      <c r="CM7" s="62" t="s">
        <v>48</v>
      </c>
      <c r="CN7" s="62" t="s">
        <v>48</v>
      </c>
      <c r="CO7" s="62" t="s">
        <v>48</v>
      </c>
      <c r="CP7" s="62" t="s">
        <v>48</v>
      </c>
      <c r="CQ7" s="62" t="s">
        <v>48</v>
      </c>
      <c r="CR7" s="63"/>
      <c r="CS7" s="63">
        <v>30</v>
      </c>
      <c r="CT7" s="62" t="s">
        <v>48</v>
      </c>
      <c r="CU7" s="62" t="s">
        <v>48</v>
      </c>
      <c r="CV7" s="62" t="s">
        <v>48</v>
      </c>
      <c r="CW7" s="62" t="s">
        <v>48</v>
      </c>
      <c r="CX7" s="62" t="s">
        <v>48</v>
      </c>
      <c r="CY7" s="62" t="s">
        <v>59</v>
      </c>
      <c r="CZ7" s="62" t="s">
        <v>36</v>
      </c>
      <c r="DA7" s="63">
        <v>0</v>
      </c>
      <c r="DB7" s="64">
        <v>76.12</v>
      </c>
      <c r="DC7" s="63"/>
      <c r="DD7" s="63">
        <v>0</v>
      </c>
      <c r="DE7" s="63">
        <v>-1566</v>
      </c>
      <c r="DF7" s="63">
        <v>-7830000</v>
      </c>
      <c r="DG7" s="63">
        <v>0</v>
      </c>
      <c r="DH7" s="62"/>
      <c r="DI7" s="63">
        <v>0</v>
      </c>
      <c r="DJ7" s="62" t="s">
        <v>49</v>
      </c>
      <c r="DK7" s="63">
        <v>160000</v>
      </c>
      <c r="DL7" s="63">
        <v>160000</v>
      </c>
      <c r="DM7" s="63">
        <v>1</v>
      </c>
      <c r="DN7" s="63">
        <v>0</v>
      </c>
      <c r="DO7" s="62" t="s">
        <v>48</v>
      </c>
      <c r="DP7" s="62" t="s">
        <v>76</v>
      </c>
      <c r="DQ7" s="62" t="s">
        <v>60</v>
      </c>
      <c r="DR7" s="62" t="s">
        <v>61</v>
      </c>
      <c r="DS7" s="62" t="s">
        <v>62</v>
      </c>
      <c r="DT7" s="62" t="s">
        <v>63</v>
      </c>
      <c r="DU7" s="62" t="s">
        <v>64</v>
      </c>
      <c r="DV7" s="62" t="s">
        <v>65</v>
      </c>
      <c r="DW7" s="62" t="s">
        <v>66</v>
      </c>
      <c r="DX7" s="62" t="s">
        <v>67</v>
      </c>
      <c r="DY7" s="62" t="s">
        <v>68</v>
      </c>
      <c r="DZ7" s="62" t="s">
        <v>73</v>
      </c>
      <c r="EA7" s="62" t="s">
        <v>69</v>
      </c>
      <c r="EB7" s="62" t="s">
        <v>70</v>
      </c>
      <c r="EC7" s="62" t="s">
        <v>71</v>
      </c>
      <c r="ED7" s="62" t="s">
        <v>47</v>
      </c>
      <c r="EE7" s="62" t="s">
        <v>72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2" t="s">
        <v>40</v>
      </c>
      <c r="EM7" s="63">
        <v>0</v>
      </c>
      <c r="EN7" s="63">
        <v>0</v>
      </c>
      <c r="EO7" s="64">
        <v>3411.37</v>
      </c>
      <c r="EP7" s="63">
        <v>14950</v>
      </c>
      <c r="EQ7" s="64">
        <v>112.52</v>
      </c>
      <c r="ER7" s="63">
        <v>0</v>
      </c>
      <c r="ES7" s="63">
        <v>595450</v>
      </c>
      <c r="ET7" s="64">
        <v>85.65</v>
      </c>
      <c r="EU7" s="64">
        <v>112.52</v>
      </c>
      <c r="EV7" s="62" t="s">
        <v>40</v>
      </c>
      <c r="EW7" s="63">
        <v>595450</v>
      </c>
      <c r="EX7" s="65" t="b">
        <v>0</v>
      </c>
      <c r="EY7" s="62" t="s">
        <v>48</v>
      </c>
      <c r="EZ7" s="62" t="s">
        <v>48</v>
      </c>
      <c r="FA7" s="49"/>
      <c r="FB7" s="49"/>
      <c r="FC7" s="49"/>
      <c r="FD7" s="49"/>
      <c r="FE7" s="49"/>
      <c r="FF7" s="49"/>
      <c r="FG7" s="49"/>
      <c r="FH7" s="49"/>
      <c r="FI7" s="49"/>
      <c r="FJ7" s="49"/>
    </row>
    <row r="8" spans="1:166" ht="15.75" customHeight="1">
      <c r="A8" s="47"/>
      <c r="B8" s="47"/>
      <c r="C8" s="62" t="s">
        <v>16</v>
      </c>
      <c r="D8" s="63">
        <v>-50</v>
      </c>
      <c r="E8" s="62" t="s">
        <v>18</v>
      </c>
      <c r="F8" s="62" t="s">
        <v>37</v>
      </c>
      <c r="G8" s="63">
        <v>21</v>
      </c>
      <c r="H8" s="62" t="s">
        <v>40</v>
      </c>
      <c r="I8" s="63">
        <v>-497500</v>
      </c>
      <c r="J8" s="64">
        <v>-89.45</v>
      </c>
      <c r="K8" s="63">
        <v>0</v>
      </c>
      <c r="L8" s="63">
        <v>0</v>
      </c>
      <c r="M8" s="63">
        <v>0</v>
      </c>
      <c r="N8" s="63">
        <v>-445000</v>
      </c>
      <c r="O8" s="62" t="s">
        <v>41</v>
      </c>
      <c r="P8" s="63">
        <v>21</v>
      </c>
      <c r="Q8" s="63">
        <v>-445000</v>
      </c>
      <c r="R8" s="62" t="s">
        <v>42</v>
      </c>
      <c r="S8" s="62" t="s">
        <v>43</v>
      </c>
      <c r="T8" s="62" t="s">
        <v>44</v>
      </c>
      <c r="U8" s="62" t="s">
        <v>45</v>
      </c>
      <c r="V8" s="62" t="s">
        <v>46</v>
      </c>
      <c r="W8" s="62" t="s">
        <v>47</v>
      </c>
      <c r="X8" s="63">
        <v>50</v>
      </c>
      <c r="Y8" s="63">
        <v>1</v>
      </c>
      <c r="Z8" s="62" t="s">
        <v>48</v>
      </c>
      <c r="AA8" s="62" t="s">
        <v>48</v>
      </c>
      <c r="AB8" s="63">
        <v>0</v>
      </c>
      <c r="AC8" s="64">
        <v>847.62</v>
      </c>
      <c r="AD8" s="63">
        <v>0</v>
      </c>
      <c r="AE8" s="63">
        <v>-2500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-445000</v>
      </c>
      <c r="AL8" s="63">
        <v>0</v>
      </c>
      <c r="AM8" s="63">
        <v>1</v>
      </c>
      <c r="AN8" s="62" t="s">
        <v>27</v>
      </c>
      <c r="AO8" s="62" t="s">
        <v>48</v>
      </c>
      <c r="AP8" s="62" t="s">
        <v>40</v>
      </c>
      <c r="AQ8" s="62" t="s">
        <v>24</v>
      </c>
      <c r="AR8" s="63">
        <v>0</v>
      </c>
      <c r="AS8" s="63">
        <v>-1</v>
      </c>
      <c r="AT8" s="62" t="s">
        <v>50</v>
      </c>
      <c r="AU8" s="62" t="s">
        <v>51</v>
      </c>
      <c r="AV8" s="63"/>
      <c r="AW8" s="63">
        <v>-445000</v>
      </c>
      <c r="AX8" s="63">
        <v>0</v>
      </c>
      <c r="AY8" s="63">
        <v>0</v>
      </c>
      <c r="AZ8" s="63">
        <v>-497500</v>
      </c>
      <c r="BA8" s="64">
        <v>-847.62</v>
      </c>
      <c r="BB8" s="62"/>
      <c r="BC8" s="63">
        <v>1</v>
      </c>
      <c r="BD8" s="63">
        <v>52500</v>
      </c>
      <c r="BE8" s="62" t="s">
        <v>52</v>
      </c>
      <c r="BF8" s="62" t="s">
        <v>53</v>
      </c>
      <c r="BG8" s="62" t="s">
        <v>54</v>
      </c>
      <c r="BH8" s="62" t="s">
        <v>55</v>
      </c>
      <c r="BI8" s="63">
        <v>5</v>
      </c>
      <c r="BJ8" s="63">
        <v>0</v>
      </c>
      <c r="BK8" s="63">
        <v>0</v>
      </c>
      <c r="BL8" s="63">
        <v>0</v>
      </c>
      <c r="BM8" s="63">
        <v>0</v>
      </c>
      <c r="BN8" s="62"/>
      <c r="BO8" s="63">
        <v>52500</v>
      </c>
      <c r="BP8" s="63">
        <v>0</v>
      </c>
      <c r="BQ8" s="62" t="s">
        <v>56</v>
      </c>
      <c r="BR8" s="62" t="s">
        <v>57</v>
      </c>
      <c r="BS8" s="63">
        <v>0</v>
      </c>
      <c r="BT8" s="63">
        <v>0</v>
      </c>
      <c r="BU8" s="62" t="s">
        <v>58</v>
      </c>
      <c r="BV8" s="62"/>
      <c r="BW8" s="63">
        <v>2000</v>
      </c>
      <c r="BX8" s="63">
        <v>0</v>
      </c>
      <c r="BY8" s="63">
        <v>497500</v>
      </c>
      <c r="BZ8" s="63">
        <v>199</v>
      </c>
      <c r="CA8" s="63">
        <v>199</v>
      </c>
      <c r="CB8" s="62"/>
      <c r="CC8" s="63">
        <v>0</v>
      </c>
      <c r="CD8" s="63">
        <v>-445000</v>
      </c>
      <c r="CE8" s="63">
        <v>0</v>
      </c>
      <c r="CF8" s="63">
        <v>0</v>
      </c>
      <c r="CG8" s="63">
        <v>-445000</v>
      </c>
      <c r="CH8" s="64">
        <v>-847.62</v>
      </c>
      <c r="CI8" s="63">
        <v>0</v>
      </c>
      <c r="CJ8" s="63">
        <v>0</v>
      </c>
      <c r="CK8" s="65" t="b">
        <v>0</v>
      </c>
      <c r="CL8" s="62" t="s">
        <v>48</v>
      </c>
      <c r="CM8" s="62" t="s">
        <v>48</v>
      </c>
      <c r="CN8" s="62" t="s">
        <v>48</v>
      </c>
      <c r="CO8" s="62" t="s">
        <v>48</v>
      </c>
      <c r="CP8" s="62" t="s">
        <v>48</v>
      </c>
      <c r="CQ8" s="62" t="s">
        <v>48</v>
      </c>
      <c r="CR8" s="63"/>
      <c r="CS8" s="63">
        <v>21</v>
      </c>
      <c r="CT8" s="62" t="s">
        <v>48</v>
      </c>
      <c r="CU8" s="62" t="s">
        <v>48</v>
      </c>
      <c r="CV8" s="62" t="s">
        <v>48</v>
      </c>
      <c r="CW8" s="62" t="s">
        <v>48</v>
      </c>
      <c r="CX8" s="62" t="s">
        <v>48</v>
      </c>
      <c r="CY8" s="62" t="s">
        <v>59</v>
      </c>
      <c r="CZ8" s="62" t="s">
        <v>36</v>
      </c>
      <c r="DA8" s="63">
        <v>0</v>
      </c>
      <c r="DB8" s="64">
        <v>89.45</v>
      </c>
      <c r="DC8" s="63"/>
      <c r="DD8" s="63">
        <v>0</v>
      </c>
      <c r="DE8" s="63">
        <v>199</v>
      </c>
      <c r="DF8" s="63">
        <v>-497500</v>
      </c>
      <c r="DG8" s="63">
        <v>0</v>
      </c>
      <c r="DH8" s="63"/>
      <c r="DI8" s="63">
        <v>-100</v>
      </c>
      <c r="DJ8" s="62" t="s">
        <v>27</v>
      </c>
      <c r="DK8" s="63">
        <v>0</v>
      </c>
      <c r="DL8" s="63">
        <v>0</v>
      </c>
      <c r="DM8" s="63">
        <v>1</v>
      </c>
      <c r="DN8" s="63">
        <v>-198</v>
      </c>
      <c r="DO8" s="62" t="s">
        <v>48</v>
      </c>
      <c r="DP8" s="62" t="s">
        <v>40</v>
      </c>
      <c r="DQ8" s="62" t="s">
        <v>60</v>
      </c>
      <c r="DR8" s="62" t="s">
        <v>61</v>
      </c>
      <c r="DS8" s="62" t="s">
        <v>62</v>
      </c>
      <c r="DT8" s="62" t="s">
        <v>63</v>
      </c>
      <c r="DU8" s="62" t="s">
        <v>64</v>
      </c>
      <c r="DV8" s="62" t="s">
        <v>65</v>
      </c>
      <c r="DW8" s="62" t="s">
        <v>66</v>
      </c>
      <c r="DX8" s="62" t="s">
        <v>67</v>
      </c>
      <c r="DY8" s="62" t="s">
        <v>68</v>
      </c>
      <c r="DZ8" s="62" t="s">
        <v>41</v>
      </c>
      <c r="EA8" s="62" t="s">
        <v>69</v>
      </c>
      <c r="EB8" s="62" t="s">
        <v>70</v>
      </c>
      <c r="EC8" s="62" t="s">
        <v>71</v>
      </c>
      <c r="ED8" s="62" t="s">
        <v>47</v>
      </c>
      <c r="EE8" s="62" t="s">
        <v>72</v>
      </c>
      <c r="EF8" s="63">
        <v>0</v>
      </c>
      <c r="EG8" s="63">
        <v>0</v>
      </c>
      <c r="EH8" s="63">
        <v>0</v>
      </c>
      <c r="EI8" s="63">
        <v>0</v>
      </c>
      <c r="EJ8" s="63">
        <v>0</v>
      </c>
      <c r="EK8" s="63">
        <v>0</v>
      </c>
      <c r="EL8" s="62" t="s">
        <v>40</v>
      </c>
      <c r="EM8" s="63">
        <v>0</v>
      </c>
      <c r="EN8" s="63">
        <v>0</v>
      </c>
      <c r="EO8" s="64">
        <v>-2976.59</v>
      </c>
      <c r="EP8" s="63">
        <v>14950</v>
      </c>
      <c r="EQ8" s="64">
        <v>83.55</v>
      </c>
      <c r="ER8" s="63">
        <v>0</v>
      </c>
      <c r="ES8" s="63">
        <v>595450</v>
      </c>
      <c r="ET8" s="64">
        <v>-74.73</v>
      </c>
      <c r="EU8" s="64">
        <v>-83.55</v>
      </c>
      <c r="EV8" s="62" t="s">
        <v>40</v>
      </c>
      <c r="EW8" s="63">
        <v>595450</v>
      </c>
      <c r="EX8" s="65" t="b">
        <v>0</v>
      </c>
      <c r="EY8" s="62" t="s">
        <v>48</v>
      </c>
      <c r="EZ8" s="62" t="s">
        <v>48</v>
      </c>
      <c r="FA8" s="49"/>
      <c r="FB8" s="49"/>
      <c r="FC8" s="49"/>
      <c r="FD8" s="49"/>
      <c r="FE8" s="49"/>
      <c r="FF8" s="49"/>
      <c r="FG8" s="49"/>
      <c r="FH8" s="49"/>
      <c r="FI8" s="49"/>
      <c r="FJ8" s="49"/>
    </row>
    <row r="9" spans="1:166" ht="15.75" customHeight="1">
      <c r="A9" s="47"/>
      <c r="B9" s="47"/>
      <c r="C9" s="62" t="s">
        <v>20</v>
      </c>
      <c r="D9" s="63">
        <v>-70</v>
      </c>
      <c r="E9" s="62" t="s">
        <v>18</v>
      </c>
      <c r="F9" s="62" t="s">
        <v>37</v>
      </c>
      <c r="G9" s="63">
        <v>27</v>
      </c>
      <c r="H9" s="62" t="s">
        <v>40</v>
      </c>
      <c r="I9" s="63">
        <v>-469000</v>
      </c>
      <c r="J9" s="64">
        <v>-79.849999999999994</v>
      </c>
      <c r="K9" s="63">
        <v>0</v>
      </c>
      <c r="L9" s="63">
        <v>0</v>
      </c>
      <c r="M9" s="63">
        <v>0</v>
      </c>
      <c r="N9" s="63">
        <v>-374500</v>
      </c>
      <c r="O9" s="62" t="s">
        <v>73</v>
      </c>
      <c r="P9" s="63">
        <v>32</v>
      </c>
      <c r="Q9" s="63">
        <v>-374500</v>
      </c>
      <c r="R9" s="62" t="s">
        <v>42</v>
      </c>
      <c r="S9" s="62" t="s">
        <v>43</v>
      </c>
      <c r="T9" s="62" t="s">
        <v>44</v>
      </c>
      <c r="U9" s="62" t="s">
        <v>45</v>
      </c>
      <c r="V9" s="62" t="s">
        <v>46</v>
      </c>
      <c r="W9" s="62" t="s">
        <v>47</v>
      </c>
      <c r="X9" s="63">
        <v>50</v>
      </c>
      <c r="Y9" s="63">
        <v>1</v>
      </c>
      <c r="Z9" s="62" t="s">
        <v>48</v>
      </c>
      <c r="AA9" s="62" t="s">
        <v>48</v>
      </c>
      <c r="AB9" s="63">
        <v>0</v>
      </c>
      <c r="AC9" s="63">
        <v>318.75</v>
      </c>
      <c r="AD9" s="63">
        <v>0</v>
      </c>
      <c r="AE9" s="63">
        <v>-3500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-374500</v>
      </c>
      <c r="AL9" s="63">
        <v>0</v>
      </c>
      <c r="AM9" s="63">
        <v>1</v>
      </c>
      <c r="AN9" s="62" t="s">
        <v>27</v>
      </c>
      <c r="AO9" s="62" t="s">
        <v>48</v>
      </c>
      <c r="AP9" s="62" t="s">
        <v>40</v>
      </c>
      <c r="AQ9" s="62" t="s">
        <v>25</v>
      </c>
      <c r="AR9" s="63">
        <v>0</v>
      </c>
      <c r="AS9" s="63">
        <v>-1</v>
      </c>
      <c r="AT9" s="62" t="s">
        <v>50</v>
      </c>
      <c r="AU9" s="62" t="s">
        <v>51</v>
      </c>
      <c r="AV9" s="63"/>
      <c r="AW9" s="63">
        <v>-374500</v>
      </c>
      <c r="AX9" s="63">
        <v>0</v>
      </c>
      <c r="AY9" s="63">
        <v>0</v>
      </c>
      <c r="AZ9" s="63">
        <v>-469000</v>
      </c>
      <c r="BA9" s="64">
        <v>-396.3</v>
      </c>
      <c r="BB9" s="62"/>
      <c r="BC9" s="63">
        <v>1</v>
      </c>
      <c r="BD9" s="63">
        <v>94500</v>
      </c>
      <c r="BE9" s="62" t="s">
        <v>74</v>
      </c>
      <c r="BF9" s="62" t="s">
        <v>53</v>
      </c>
      <c r="BG9" s="62" t="s">
        <v>54</v>
      </c>
      <c r="BH9" s="62" t="s">
        <v>55</v>
      </c>
      <c r="BI9" s="63">
        <v>5</v>
      </c>
      <c r="BJ9" s="63">
        <v>0</v>
      </c>
      <c r="BK9" s="63">
        <v>0</v>
      </c>
      <c r="BL9" s="63">
        <v>0</v>
      </c>
      <c r="BM9" s="63">
        <v>0</v>
      </c>
      <c r="BN9" s="62"/>
      <c r="BO9" s="63">
        <v>94500</v>
      </c>
      <c r="BP9" s="63">
        <v>0</v>
      </c>
      <c r="BQ9" s="62" t="s">
        <v>56</v>
      </c>
      <c r="BR9" s="62" t="s">
        <v>57</v>
      </c>
      <c r="BS9" s="63">
        <v>0</v>
      </c>
      <c r="BT9" s="63">
        <v>0</v>
      </c>
      <c r="BU9" s="62" t="s">
        <v>75</v>
      </c>
      <c r="BV9" s="62"/>
      <c r="BW9" s="63">
        <v>1700</v>
      </c>
      <c r="BX9" s="63">
        <v>0</v>
      </c>
      <c r="BY9" s="63">
        <v>469000</v>
      </c>
      <c r="BZ9" s="63">
        <v>134</v>
      </c>
      <c r="CA9" s="63">
        <v>134</v>
      </c>
      <c r="CB9" s="62"/>
      <c r="CC9" s="63">
        <v>0</v>
      </c>
      <c r="CD9" s="63">
        <v>-374500</v>
      </c>
      <c r="CE9" s="63">
        <v>0</v>
      </c>
      <c r="CF9" s="63">
        <v>0</v>
      </c>
      <c r="CG9" s="63">
        <v>-374500</v>
      </c>
      <c r="CH9" s="64">
        <v>-396.3</v>
      </c>
      <c r="CI9" s="63">
        <v>0</v>
      </c>
      <c r="CJ9" s="63">
        <v>0</v>
      </c>
      <c r="CK9" s="65" t="b">
        <v>0</v>
      </c>
      <c r="CL9" s="62" t="s">
        <v>48</v>
      </c>
      <c r="CM9" s="62" t="s">
        <v>48</v>
      </c>
      <c r="CN9" s="62" t="s">
        <v>48</v>
      </c>
      <c r="CO9" s="62" t="s">
        <v>48</v>
      </c>
      <c r="CP9" s="62" t="s">
        <v>48</v>
      </c>
      <c r="CQ9" s="62" t="s">
        <v>48</v>
      </c>
      <c r="CR9" s="63"/>
      <c r="CS9" s="63">
        <v>27</v>
      </c>
      <c r="CT9" s="62" t="s">
        <v>48</v>
      </c>
      <c r="CU9" s="62" t="s">
        <v>48</v>
      </c>
      <c r="CV9" s="62" t="s">
        <v>48</v>
      </c>
      <c r="CW9" s="62" t="s">
        <v>48</v>
      </c>
      <c r="CX9" s="62" t="s">
        <v>48</v>
      </c>
      <c r="CY9" s="62" t="s">
        <v>59</v>
      </c>
      <c r="CZ9" s="62" t="s">
        <v>36</v>
      </c>
      <c r="DA9" s="63">
        <v>0</v>
      </c>
      <c r="DB9" s="64">
        <v>79.849999999999994</v>
      </c>
      <c r="DC9" s="63"/>
      <c r="DD9" s="63">
        <v>0</v>
      </c>
      <c r="DE9" s="63">
        <v>-1566</v>
      </c>
      <c r="DF9" s="63">
        <v>5481000</v>
      </c>
      <c r="DG9" s="63">
        <v>0</v>
      </c>
      <c r="DH9" s="62"/>
      <c r="DI9" s="63">
        <v>0</v>
      </c>
      <c r="DJ9" s="62" t="s">
        <v>27</v>
      </c>
      <c r="DK9" s="63">
        <v>0</v>
      </c>
      <c r="DL9" s="63">
        <v>0</v>
      </c>
      <c r="DM9" s="63">
        <v>1</v>
      </c>
      <c r="DN9" s="63">
        <v>0</v>
      </c>
      <c r="DO9" s="62" t="s">
        <v>48</v>
      </c>
      <c r="DP9" s="62" t="s">
        <v>76</v>
      </c>
      <c r="DQ9" s="62" t="s">
        <v>60</v>
      </c>
      <c r="DR9" s="62" t="s">
        <v>61</v>
      </c>
      <c r="DS9" s="62" t="s">
        <v>62</v>
      </c>
      <c r="DT9" s="62" t="s">
        <v>63</v>
      </c>
      <c r="DU9" s="62" t="s">
        <v>64</v>
      </c>
      <c r="DV9" s="62" t="s">
        <v>65</v>
      </c>
      <c r="DW9" s="62" t="s">
        <v>66</v>
      </c>
      <c r="DX9" s="62" t="s">
        <v>67</v>
      </c>
      <c r="DY9" s="62" t="s">
        <v>68</v>
      </c>
      <c r="DZ9" s="62" t="s">
        <v>73</v>
      </c>
      <c r="EA9" s="62" t="s">
        <v>69</v>
      </c>
      <c r="EB9" s="62" t="s">
        <v>70</v>
      </c>
      <c r="EC9" s="62" t="s">
        <v>71</v>
      </c>
      <c r="ED9" s="62" t="s">
        <v>47</v>
      </c>
      <c r="EE9" s="62" t="s">
        <v>72</v>
      </c>
      <c r="EF9" s="63">
        <v>0</v>
      </c>
      <c r="EG9" s="63">
        <v>0</v>
      </c>
      <c r="EH9" s="63">
        <v>0</v>
      </c>
      <c r="EI9" s="63">
        <v>0</v>
      </c>
      <c r="EJ9" s="63">
        <v>0</v>
      </c>
      <c r="EK9" s="63">
        <v>0</v>
      </c>
      <c r="EL9" s="62" t="s">
        <v>40</v>
      </c>
      <c r="EM9" s="63">
        <v>0</v>
      </c>
      <c r="EN9" s="63">
        <v>0</v>
      </c>
      <c r="EO9" s="64">
        <v>-2505.02</v>
      </c>
      <c r="EP9" s="63">
        <v>14950</v>
      </c>
      <c r="EQ9" s="64">
        <v>78.760000000000005</v>
      </c>
      <c r="ER9" s="63">
        <v>0</v>
      </c>
      <c r="ES9" s="63">
        <v>595450</v>
      </c>
      <c r="ET9" s="64">
        <v>-62.89</v>
      </c>
      <c r="EU9" s="64">
        <v>-78.760000000000005</v>
      </c>
      <c r="EV9" s="62" t="s">
        <v>40</v>
      </c>
      <c r="EW9" s="63">
        <v>595450</v>
      </c>
      <c r="EX9" s="65" t="b">
        <v>0</v>
      </c>
      <c r="EY9" s="62" t="s">
        <v>48</v>
      </c>
      <c r="EZ9" s="62" t="s">
        <v>48</v>
      </c>
      <c r="FA9" s="49"/>
      <c r="FB9" s="49"/>
      <c r="FC9" s="49"/>
      <c r="FD9" s="49"/>
      <c r="FE9" s="49"/>
      <c r="FF9" s="49"/>
      <c r="FG9" s="49"/>
      <c r="FH9" s="49"/>
      <c r="FI9" s="49"/>
      <c r="FJ9" s="49"/>
    </row>
    <row r="10" spans="1:166" ht="15.7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</row>
    <row r="11" spans="1:166" ht="15.7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</row>
    <row r="12" spans="1:166" ht="15.7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</row>
    <row r="13" spans="1:166" ht="15.7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</row>
    <row r="14" spans="1:166" ht="15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</row>
    <row r="15" spans="1:166" ht="15.7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</row>
    <row r="16" spans="1:166" ht="15.7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</row>
    <row r="17" spans="1:166" ht="15.7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</row>
    <row r="18" spans="1:166" ht="15.7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</row>
    <row r="19" spans="1:166" ht="15.7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</row>
    <row r="20" spans="1:166" ht="15.7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</row>
    <row r="21" spans="1:166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</row>
    <row r="22" spans="1:166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</row>
    <row r="23" spans="1:166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</row>
    <row r="24" spans="1:166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</row>
    <row r="25" spans="1:166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</row>
    <row r="26" spans="1:16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</row>
    <row r="27" spans="1:166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</row>
    <row r="28" spans="1:166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</row>
    <row r="29" spans="1:166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</row>
    <row r="30" spans="1:166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</row>
    <row r="31" spans="1:166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49"/>
      <c r="FF31" s="49"/>
      <c r="FG31" s="49"/>
      <c r="FH31" s="49"/>
      <c r="FI31" s="49"/>
      <c r="FJ31" s="49"/>
    </row>
    <row r="32" spans="1:166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</row>
    <row r="33" spans="1:166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</row>
    <row r="34" spans="1:166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</row>
    <row r="35" spans="1:166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</row>
    <row r="36" spans="1:16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</row>
    <row r="37" spans="1:166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</row>
    <row r="38" spans="1:166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</row>
    <row r="39" spans="1:166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</row>
    <row r="40" spans="1:166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</row>
    <row r="41" spans="1:166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</row>
    <row r="42" spans="1:166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</row>
    <row r="43" spans="1:166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</row>
    <row r="44" spans="1:166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</row>
    <row r="45" spans="1:166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</row>
    <row r="46" spans="1:16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</row>
    <row r="47" spans="1:166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</row>
    <row r="48" spans="1:166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</row>
    <row r="49" spans="1:166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</row>
    <row r="50" spans="1:166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</row>
    <row r="51" spans="1:166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</row>
    <row r="52" spans="1:166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49"/>
      <c r="FF52" s="49"/>
      <c r="FG52" s="49"/>
      <c r="FH52" s="49"/>
      <c r="FI52" s="49"/>
      <c r="FJ52" s="49"/>
    </row>
    <row r="53" spans="1:166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</row>
    <row r="54" spans="1:166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</row>
    <row r="55" spans="1:166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49"/>
      <c r="FF55" s="49"/>
      <c r="FG55" s="49"/>
      <c r="FH55" s="49"/>
      <c r="FI55" s="49"/>
      <c r="FJ55" s="49"/>
    </row>
    <row r="56" spans="1:16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49"/>
      <c r="FF56" s="49"/>
      <c r="FG56" s="49"/>
      <c r="FH56" s="49"/>
      <c r="FI56" s="49"/>
      <c r="FJ56" s="49"/>
    </row>
    <row r="57" spans="1:166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  <c r="FH57" s="49"/>
      <c r="FI57" s="49"/>
      <c r="FJ57" s="49"/>
    </row>
    <row r="58" spans="1:166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</row>
    <row r="59" spans="1:166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49"/>
      <c r="FF59" s="49"/>
      <c r="FG59" s="49"/>
      <c r="FH59" s="49"/>
      <c r="FI59" s="49"/>
      <c r="FJ59" s="49"/>
    </row>
    <row r="60" spans="1:166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49"/>
      <c r="FF60" s="49"/>
      <c r="FG60" s="49"/>
      <c r="FH60" s="49"/>
      <c r="FI60" s="49"/>
      <c r="FJ60" s="49"/>
    </row>
    <row r="61" spans="1:166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49"/>
      <c r="FF61" s="49"/>
      <c r="FG61" s="49"/>
      <c r="FH61" s="49"/>
      <c r="FI61" s="49"/>
      <c r="FJ61" s="49"/>
    </row>
    <row r="62" spans="1:166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</row>
    <row r="63" spans="1:166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49"/>
      <c r="EW63" s="49"/>
      <c r="EX63" s="49"/>
      <c r="EY63" s="49"/>
      <c r="EZ63" s="49"/>
      <c r="FA63" s="49"/>
      <c r="FB63" s="49"/>
      <c r="FC63" s="49"/>
      <c r="FD63" s="49"/>
      <c r="FE63" s="49"/>
      <c r="FF63" s="49"/>
      <c r="FG63" s="49"/>
      <c r="FH63" s="49"/>
      <c r="FI63" s="49"/>
      <c r="FJ63" s="49"/>
    </row>
    <row r="64" spans="1:166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49"/>
      <c r="FF64" s="49"/>
      <c r="FG64" s="49"/>
      <c r="FH64" s="49"/>
      <c r="FI64" s="49"/>
      <c r="FJ64" s="49"/>
    </row>
    <row r="65" spans="1:166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49"/>
      <c r="EU65" s="49"/>
      <c r="EV65" s="49"/>
      <c r="EW65" s="49"/>
      <c r="EX65" s="49"/>
      <c r="EY65" s="49"/>
      <c r="EZ65" s="49"/>
      <c r="FA65" s="49"/>
      <c r="FB65" s="49"/>
      <c r="FC65" s="49"/>
      <c r="FD65" s="49"/>
      <c r="FE65" s="49"/>
      <c r="FF65" s="49"/>
      <c r="FG65" s="49"/>
      <c r="FH65" s="49"/>
      <c r="FI65" s="49"/>
      <c r="FJ65" s="49"/>
    </row>
    <row r="66" spans="1:1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49"/>
      <c r="FF66" s="49"/>
      <c r="FG66" s="49"/>
      <c r="FH66" s="49"/>
      <c r="FI66" s="49"/>
      <c r="FJ66" s="49"/>
    </row>
    <row r="67" spans="1:166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49"/>
      <c r="FF67" s="49"/>
      <c r="FG67" s="49"/>
      <c r="FH67" s="49"/>
      <c r="FI67" s="49"/>
      <c r="FJ67" s="49"/>
    </row>
    <row r="68" spans="1:166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</row>
    <row r="69" spans="1:166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49"/>
      <c r="FF69" s="49"/>
      <c r="FG69" s="49"/>
      <c r="FH69" s="49"/>
      <c r="FI69" s="49"/>
      <c r="FJ69" s="49"/>
    </row>
    <row r="70" spans="1:166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49"/>
      <c r="FF70" s="49"/>
      <c r="FG70" s="49"/>
      <c r="FH70" s="49"/>
      <c r="FI70" s="49"/>
      <c r="FJ70" s="49"/>
    </row>
    <row r="71" spans="1:166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</row>
    <row r="72" spans="1:166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49"/>
      <c r="FF72" s="49"/>
      <c r="FG72" s="49"/>
      <c r="FH72" s="49"/>
      <c r="FI72" s="49"/>
      <c r="FJ72" s="49"/>
    </row>
    <row r="73" spans="1:166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49"/>
      <c r="FF73" s="49"/>
      <c r="FG73" s="49"/>
      <c r="FH73" s="49"/>
      <c r="FI73" s="49"/>
      <c r="FJ73" s="49"/>
    </row>
    <row r="74" spans="1:166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49"/>
      <c r="FF74" s="49"/>
      <c r="FG74" s="49"/>
      <c r="FH74" s="49"/>
      <c r="FI74" s="49"/>
      <c r="FJ74" s="49"/>
    </row>
    <row r="75" spans="1:166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</row>
    <row r="76" spans="1:16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  <c r="DV76" s="49"/>
      <c r="DW76" s="49"/>
      <c r="DX76" s="49"/>
      <c r="DY76" s="49"/>
      <c r="DZ76" s="49"/>
      <c r="EA76" s="49"/>
      <c r="EB76" s="49"/>
      <c r="EC76" s="49"/>
      <c r="ED76" s="49"/>
      <c r="EE76" s="49"/>
      <c r="EF76" s="49"/>
      <c r="EG76" s="49"/>
      <c r="EH76" s="49"/>
      <c r="EI76" s="49"/>
      <c r="EJ76" s="49"/>
      <c r="EK76" s="49"/>
      <c r="EL76" s="49"/>
      <c r="EM76" s="49"/>
      <c r="EN76" s="49"/>
      <c r="EO76" s="49"/>
      <c r="EP76" s="49"/>
      <c r="EQ76" s="49"/>
      <c r="ER76" s="49"/>
      <c r="ES76" s="49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49"/>
      <c r="FF76" s="49"/>
      <c r="FG76" s="49"/>
      <c r="FH76" s="49"/>
      <c r="FI76" s="49"/>
      <c r="FJ76" s="49"/>
    </row>
    <row r="77" spans="1:166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9"/>
      <c r="DO77" s="49"/>
      <c r="DP77" s="49"/>
      <c r="DQ77" s="49"/>
      <c r="DR77" s="49"/>
      <c r="DS77" s="49"/>
      <c r="DT77" s="49"/>
      <c r="DU77" s="49"/>
      <c r="DV77" s="49"/>
      <c r="DW77" s="49"/>
      <c r="DX77" s="49"/>
      <c r="DY77" s="49"/>
      <c r="DZ77" s="49"/>
      <c r="EA77" s="49"/>
      <c r="EB77" s="49"/>
      <c r="EC77" s="49"/>
      <c r="ED77" s="49"/>
      <c r="EE77" s="49"/>
      <c r="EF77" s="49"/>
      <c r="EG77" s="49"/>
      <c r="EH77" s="49"/>
      <c r="EI77" s="49"/>
      <c r="EJ77" s="49"/>
      <c r="EK77" s="49"/>
      <c r="EL77" s="49"/>
      <c r="EM77" s="49"/>
      <c r="EN77" s="49"/>
      <c r="EO77" s="49"/>
      <c r="EP77" s="49"/>
      <c r="EQ77" s="49"/>
      <c r="ER77" s="49"/>
      <c r="ES77" s="49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49"/>
      <c r="FF77" s="49"/>
      <c r="FG77" s="49"/>
      <c r="FH77" s="49"/>
      <c r="FI77" s="49"/>
      <c r="FJ77" s="49"/>
    </row>
    <row r="78" spans="1:166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9"/>
      <c r="DO78" s="49"/>
      <c r="DP78" s="49"/>
      <c r="DQ78" s="49"/>
      <c r="DR78" s="49"/>
      <c r="DS78" s="49"/>
      <c r="DT78" s="49"/>
      <c r="DU78" s="49"/>
      <c r="DV78" s="49"/>
      <c r="DW78" s="49"/>
      <c r="DX78" s="49"/>
      <c r="DY78" s="49"/>
      <c r="DZ78" s="49"/>
      <c r="EA78" s="49"/>
      <c r="EB78" s="49"/>
      <c r="EC78" s="49"/>
      <c r="ED78" s="49"/>
      <c r="EE78" s="49"/>
      <c r="EF78" s="49"/>
      <c r="EG78" s="49"/>
      <c r="EH78" s="49"/>
      <c r="EI78" s="49"/>
      <c r="EJ78" s="49"/>
      <c r="EK78" s="49"/>
      <c r="EL78" s="49"/>
      <c r="EM78" s="49"/>
      <c r="EN78" s="49"/>
      <c r="EO78" s="49"/>
      <c r="EP78" s="49"/>
      <c r="EQ78" s="49"/>
      <c r="ER78" s="49"/>
      <c r="ES78" s="49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49"/>
      <c r="FF78" s="49"/>
      <c r="FG78" s="49"/>
      <c r="FH78" s="49"/>
      <c r="FI78" s="49"/>
      <c r="FJ78" s="49"/>
    </row>
    <row r="79" spans="1:166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49"/>
      <c r="FF79" s="49"/>
      <c r="FG79" s="49"/>
      <c r="FH79" s="49"/>
      <c r="FI79" s="49"/>
      <c r="FJ79" s="49"/>
    </row>
    <row r="80" spans="1:166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  <c r="DW80" s="49"/>
      <c r="DX80" s="49"/>
      <c r="DY80" s="49"/>
      <c r="DZ80" s="49"/>
      <c r="EA80" s="49"/>
      <c r="EB80" s="49"/>
      <c r="EC80" s="49"/>
      <c r="ED80" s="49"/>
      <c r="EE80" s="49"/>
      <c r="EF80" s="49"/>
      <c r="EG80" s="49"/>
      <c r="EH80" s="49"/>
      <c r="EI80" s="49"/>
      <c r="EJ80" s="49"/>
      <c r="EK80" s="49"/>
      <c r="EL80" s="49"/>
      <c r="EM80" s="49"/>
      <c r="EN80" s="49"/>
      <c r="EO80" s="49"/>
      <c r="EP80" s="49"/>
      <c r="EQ80" s="49"/>
      <c r="ER80" s="49"/>
      <c r="ES80" s="49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49"/>
      <c r="FF80" s="49"/>
      <c r="FG80" s="49"/>
      <c r="FH80" s="49"/>
      <c r="FI80" s="49"/>
      <c r="FJ80" s="49"/>
    </row>
    <row r="81" spans="1:166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49"/>
      <c r="FF81" s="49"/>
      <c r="FG81" s="49"/>
      <c r="FH81" s="49"/>
      <c r="FI81" s="49"/>
      <c r="FJ81" s="49"/>
    </row>
    <row r="82" spans="1:166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</row>
    <row r="83" spans="1:166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49"/>
      <c r="FF83" s="49"/>
      <c r="FG83" s="49"/>
      <c r="FH83" s="49"/>
      <c r="FI83" s="49"/>
      <c r="FJ83" s="49"/>
    </row>
    <row r="84" spans="1:166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  <c r="DW84" s="49"/>
      <c r="DX84" s="49"/>
      <c r="DY84" s="49"/>
      <c r="DZ84" s="49"/>
      <c r="EA84" s="49"/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49"/>
      <c r="FF84" s="49"/>
      <c r="FG84" s="49"/>
      <c r="FH84" s="49"/>
      <c r="FI84" s="49"/>
      <c r="FJ84" s="49"/>
    </row>
    <row r="85" spans="1:166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49"/>
      <c r="DW85" s="49"/>
      <c r="DX85" s="49"/>
      <c r="DY85" s="49"/>
      <c r="DZ85" s="49"/>
      <c r="EA85" s="49"/>
      <c r="EB85" s="49"/>
      <c r="EC85" s="49"/>
      <c r="ED85" s="49"/>
      <c r="EE85" s="49"/>
      <c r="EF85" s="49"/>
      <c r="EG85" s="49"/>
      <c r="EH85" s="49"/>
      <c r="EI85" s="49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49"/>
      <c r="FF85" s="49"/>
      <c r="FG85" s="49"/>
      <c r="FH85" s="49"/>
      <c r="FI85" s="49"/>
      <c r="FJ85" s="49"/>
    </row>
    <row r="86" spans="1:16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49"/>
      <c r="FF86" s="49"/>
      <c r="FG86" s="49"/>
      <c r="FH86" s="49"/>
      <c r="FI86" s="49"/>
      <c r="FJ86" s="49"/>
    </row>
    <row r="87" spans="1:166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49"/>
      <c r="FF87" s="49"/>
      <c r="FG87" s="49"/>
      <c r="FH87" s="49"/>
      <c r="FI87" s="49"/>
      <c r="FJ87" s="49"/>
    </row>
    <row r="88" spans="1:166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49"/>
      <c r="FF88" s="49"/>
      <c r="FG88" s="49"/>
      <c r="FH88" s="49"/>
      <c r="FI88" s="49"/>
      <c r="FJ88" s="49"/>
    </row>
    <row r="89" spans="1:166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49"/>
      <c r="FF89" s="49"/>
      <c r="FG89" s="49"/>
      <c r="FH89" s="49"/>
      <c r="FI89" s="49"/>
      <c r="FJ89" s="49"/>
    </row>
    <row r="90" spans="1:166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</row>
    <row r="91" spans="1:166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49"/>
      <c r="FF91" s="49"/>
      <c r="FG91" s="49"/>
      <c r="FH91" s="49"/>
      <c r="FI91" s="49"/>
      <c r="FJ91" s="49"/>
    </row>
    <row r="92" spans="1:166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</row>
    <row r="93" spans="1:166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9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49"/>
      <c r="FF93" s="49"/>
      <c r="FG93" s="49"/>
      <c r="FH93" s="49"/>
      <c r="FI93" s="49"/>
      <c r="FJ93" s="49"/>
    </row>
    <row r="94" spans="1:166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  <c r="DK94" s="49"/>
      <c r="DL94" s="49"/>
      <c r="DM94" s="49"/>
      <c r="DN94" s="49"/>
      <c r="DO94" s="49"/>
      <c r="DP94" s="49"/>
      <c r="DQ94" s="49"/>
      <c r="DR94" s="49"/>
      <c r="DS94" s="49"/>
      <c r="DT94" s="49"/>
      <c r="DU94" s="49"/>
      <c r="DV94" s="49"/>
      <c r="DW94" s="49"/>
      <c r="DX94" s="49"/>
      <c r="DY94" s="49"/>
      <c r="DZ94" s="49"/>
      <c r="EA94" s="49"/>
      <c r="EB94" s="49"/>
      <c r="EC94" s="49"/>
      <c r="ED94" s="49"/>
      <c r="EE94" s="49"/>
      <c r="EF94" s="49"/>
      <c r="EG94" s="49"/>
      <c r="EH94" s="49"/>
      <c r="EI94" s="49"/>
      <c r="EJ94" s="49"/>
      <c r="EK94" s="49"/>
      <c r="EL94" s="49"/>
      <c r="EM94" s="49"/>
      <c r="EN94" s="49"/>
      <c r="EO94" s="49"/>
      <c r="EP94" s="49"/>
      <c r="EQ94" s="49"/>
      <c r="ER94" s="49"/>
      <c r="ES94" s="49"/>
      <c r="ET94" s="49"/>
      <c r="EU94" s="49"/>
      <c r="EV94" s="49"/>
      <c r="EW94" s="49"/>
      <c r="EX94" s="49"/>
      <c r="EY94" s="49"/>
      <c r="EZ94" s="49"/>
      <c r="FA94" s="49"/>
      <c r="FB94" s="49"/>
      <c r="FC94" s="49"/>
      <c r="FD94" s="49"/>
      <c r="FE94" s="49"/>
      <c r="FF94" s="49"/>
      <c r="FG94" s="49"/>
      <c r="FH94" s="49"/>
      <c r="FI94" s="49"/>
      <c r="FJ94" s="49"/>
    </row>
    <row r="95" spans="1:166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49"/>
      <c r="FF95" s="49"/>
      <c r="FG95" s="49"/>
      <c r="FH95" s="49"/>
      <c r="FI95" s="49"/>
      <c r="FJ95" s="49"/>
    </row>
    <row r="96" spans="1:16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  <c r="ED96" s="49"/>
      <c r="EE96" s="49"/>
      <c r="EF96" s="49"/>
      <c r="EG96" s="49"/>
      <c r="EH96" s="49"/>
      <c r="EI96" s="49"/>
      <c r="EJ96" s="49"/>
      <c r="EK96" s="49"/>
      <c r="EL96" s="49"/>
      <c r="EM96" s="49"/>
      <c r="EN96" s="49"/>
      <c r="EO96" s="49"/>
      <c r="EP96" s="49"/>
      <c r="EQ96" s="49"/>
      <c r="ER96" s="49"/>
      <c r="ES96" s="49"/>
      <c r="ET96" s="49"/>
      <c r="EU96" s="49"/>
      <c r="EV96" s="49"/>
      <c r="EW96" s="49"/>
      <c r="EX96" s="49"/>
      <c r="EY96" s="49"/>
      <c r="EZ96" s="49"/>
      <c r="FA96" s="49"/>
      <c r="FB96" s="49"/>
      <c r="FC96" s="49"/>
      <c r="FD96" s="49"/>
      <c r="FE96" s="49"/>
      <c r="FF96" s="49"/>
      <c r="FG96" s="49"/>
      <c r="FH96" s="49"/>
      <c r="FI96" s="49"/>
      <c r="FJ96" s="49"/>
    </row>
    <row r="97" spans="1:166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49"/>
      <c r="FF97" s="49"/>
      <c r="FG97" s="49"/>
      <c r="FH97" s="49"/>
      <c r="FI97" s="49"/>
      <c r="FJ97" s="49"/>
    </row>
    <row r="98" spans="1:166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49"/>
      <c r="FF98" s="49"/>
      <c r="FG98" s="49"/>
      <c r="FH98" s="49"/>
      <c r="FI98" s="49"/>
      <c r="FJ98" s="49"/>
    </row>
    <row r="99" spans="1:166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49"/>
      <c r="FF99" s="49"/>
      <c r="FG99" s="49"/>
      <c r="FH99" s="49"/>
      <c r="FI99" s="49"/>
      <c r="FJ99" s="49"/>
    </row>
    <row r="100" spans="1:166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CreateDoneAwayOrder1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2021-08-04T10:57:32Z</dcterms:modified>
</cp:coreProperties>
</file>