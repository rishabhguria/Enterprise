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ustomOrderTT" sheetId="12" r:id="rId14"/>
    <sheet state="visible" name="GetDataAllocation" sheetId="13" r:id="rId15"/>
    <sheet state="visible" name="SelectUnallocatedGroup" sheetId="14" r:id="rId16"/>
    <sheet state="visible" name="EnterAllocatePreference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<sst xmlns="http://schemas.openxmlformats.org/spreadsheetml/2006/main" count="167" uniqueCount="67">
  <si>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</si>
  <si>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</si>
  <si>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</si>
  <si>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</si>
  <si>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</si>
  <si>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</si>
  <si>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</si>
  <si>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</si>
  <si>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</si>
  <si>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</si>
  <si>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</si>
  <si>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</si>
  <si>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</si>
  <si>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</si>
  <si>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</si>
  <si>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</si>
  <si>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</si>
  <si>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</si>
  <si>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</si>
  <si>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</si>
  <si>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</si>
  <si>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</si>
  <si>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</si>
  <si>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</si>
  <si>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</si>
  <si>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</si>
  <si>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</si>
  <si>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</si>
  <si>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</si>
  <si>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</si>
  <si>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</si>
  <si>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</si>
  <si>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</si>
  <si>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</si>
  <si>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</si>
  <si>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</si>
  <si>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</si>
  <si>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</si>
  <si>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</si>
  <si>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</si>
  <si>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</si>
  <si>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</si>
  <si>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</si>
  <si>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</si>
  <si>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</si>
  <si>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</si>
  <si>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</si>
  <si>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</si>
  <si>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</si>
  <si>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</si>
  <si>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</si>
  <si>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</si>
  <si>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</si>
  <si>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Allocation2</t>
  </si>
  <si>
    <t>Allocation4</t>
  </si>
  <si>
    <t>TradingTicket</t>
  </si>
  <si>
    <t>CustomOrderTT</t>
  </si>
  <si>
    <t>AAPL</t>
  </si>
  <si>
    <t>Done Away</t>
  </si>
  <si>
    <t>Unallocated</t>
  </si>
  <si>
    <t>Buy</t>
  </si>
  <si>
    <t>GetDataAllocation</t>
  </si>
  <si>
    <t>Current</t>
  </si>
  <si>
    <t>SelectUnallocatedGroup</t>
  </si>
  <si>
    <t>EnterAllocatePreference</t>
  </si>
  <si>
    <t>Calculated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</si>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</sst>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/>
      <c r="D5" s="35"/>
      <c r="E5" s="35"/>
      <c r="F5" s="2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IFERROR(__xludf.DUMMYFUNCTION("""COMPUTED_VALUE"""),"RemainderAllocationTo")</f>
        <v>RemainderAllocationTo</v>
      </c>
      <c r="C5" s="35" t="str">
        <f>IFERROR(__xludf.DUMMYFUNCTION("""COMPUTED_VALUE"""),"Target%AsOf")</f>
        <v>Target%AsOf</v>
      </c>
      <c r="D5" s="35" t="str">
        <f>IFERROR(__xludf.DUMMYFUNCTION("""COMPUTED_VALUE"""),"ProrataAccounts")</f>
        <v>ProrataAccounts</v>
      </c>
      <c r="E5" s="35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35" t="str">
        <f>IFERROR(__xludf.DUMMYFUNCTION("""COMPUTED_VALUE"""),"MatchClosingTransaction")</f>
        <v>MatchClosingTransaction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 t="s">
        <v>44</v>
      </c>
      <c r="D6" s="31"/>
      <c r="E6" s="33"/>
      <c r="F6" s="37" t="s">
        <v>42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 t="str">
        <f>IFERROR(__xludf.DUMMYFUNCTION("""COMPUTED_VALUE"""),"MasterFundName")</f>
        <v>MasterFundName</v>
      </c>
      <c r="D5" s="35" t="str">
        <f>IFERROR(__xludf.DUMMYFUNCTION("""COMPUTED_VALUE"""),"TargetPercentage")</f>
        <v>TargetPercentage</v>
      </c>
      <c r="E5" s="35"/>
      <c r="F5" s="2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7" t="s">
        <v>46</v>
      </c>
      <c r="D6" s="38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42</v>
      </c>
      <c r="C7" s="37" t="s">
        <v>47</v>
      </c>
      <c r="D7" s="39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 t="str">
        <f>IFERROR(__xludf.DUMMYFUNCTION("""COMPUTED_VALUE"""),"MasterFund")</f>
        <v>MasterFund</v>
      </c>
      <c r="D5" s="35" t="str">
        <f>IFERROR(__xludf.DUMMYFUNCTION("""COMPUTED_VALUE"""),"AccountName")</f>
        <v>AccountName</v>
      </c>
      <c r="E5" s="35" t="str">
        <f>IFERROR(__xludf.DUMMYFUNCTION("""COMPUTED_VALUE"""),"Percentage")</f>
        <v>Percentage</v>
      </c>
      <c r="F5" s="2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7" t="s">
        <v>46</v>
      </c>
      <c r="D6" s="36" t="s">
        <v>49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42</v>
      </c>
      <c r="C7" s="37" t="s">
        <v>46</v>
      </c>
      <c r="D7" s="37" t="s">
        <v>50</v>
      </c>
      <c r="E7" s="39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 t="str">
        <f>IFERROR(__xludf.DUMMYFUNCTION("""COMPUTED_VALUE"""),"MasterFund")</f>
        <v>MasterFund</v>
      </c>
      <c r="D5" s="35" t="str">
        <f>IFERROR(__xludf.DUMMYFUNCTION("""COMPUTED_VALUE"""),"AllocationMethod")</f>
        <v>AllocationMethod</v>
      </c>
      <c r="E5" s="35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35" t="str">
        <f>IFERROR(__xludf.DUMMYFUNCTION("""COMPUTED_VALUE"""),"ProrataAccounts")</f>
        <v>ProrataAccounts</v>
      </c>
      <c r="H5" s="35" t="str">
        <f>IFERROR(__xludf.DUMMYFUNCTION("""COMPUTED_VALUE"""),"DateUptoDays")</f>
        <v>DateUptoDays</v>
      </c>
      <c r="I5" s="35" t="str">
        <f>IFERROR(__xludf.DUMMYFUNCTION("""COMPUTED_VALUE"""),"MatchClosingTransactions")</f>
        <v>MatchClosingTransactions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40" t="s">
        <v>46</v>
      </c>
      <c r="D6" s="31" t="s">
        <v>52</v>
      </c>
      <c r="E6" s="37"/>
      <c r="F6" s="41" t="s">
        <v>44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 t="str">
        <f>IFERROR(__xludf.DUMMYFUNCTION("""COMPUTED_VALUE"""),"MasterFund")</f>
        <v>MasterFund</v>
      </c>
      <c r="D5" s="35" t="str">
        <f>IFERROR(__xludf.DUMMYFUNCTION("""COMPUTED_VALUE"""),"AccountName")</f>
        <v>AccountName</v>
      </c>
      <c r="E5" s="35" t="str">
        <f>IFERROR(__xludf.DUMMYFUNCTION("""COMPUTED_VALUE"""),"Percentage")</f>
        <v>Percentage</v>
      </c>
      <c r="F5" s="2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7" t="s">
        <v>47</v>
      </c>
      <c r="D6" s="36" t="s">
        <v>53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42</v>
      </c>
      <c r="C7" s="37" t="s">
        <v>47</v>
      </c>
      <c r="D7" s="37" t="s">
        <v>54</v>
      </c>
      <c r="E7" s="39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IFERROR(__xludf.DUMMYFUNCTION("""COMPUTED_VALUE"""),"PreferenceName")</f>
        <v>PreferenceName</v>
      </c>
      <c r="C5" s="35" t="str">
        <f>IFERROR(__xludf.DUMMYFUNCTION("""COMPUTED_VALUE"""),"MasterFund")</f>
        <v>MasterFund</v>
      </c>
      <c r="D5" s="35" t="str">
        <f>IFERROR(__xludf.DUMMYFUNCTION("""COMPUTED_VALUE"""),"AllocationMethod")</f>
        <v>AllocationMethod</v>
      </c>
      <c r="E5" s="35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35" t="str">
        <f>IFERROR(__xludf.DUMMYFUNCTION("""COMPUTED_VALUE"""),"ProrataAccounts")</f>
        <v>ProrataAccounts</v>
      </c>
      <c r="H5" s="35" t="str">
        <f>IFERROR(__xludf.DUMMYFUNCTION("""COMPUTED_VALUE"""),"DateUptoDays")</f>
        <v>DateUptoDays</v>
      </c>
      <c r="I5" s="35" t="str">
        <f>IFERROR(__xludf.DUMMYFUNCTION("""COMPUTED_VALUE"""),"MatchClosingTransactions")</f>
        <v>MatchClosingTransactions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7" t="s">
        <v>47</v>
      </c>
      <c r="D6" s="31" t="s">
        <v>52</v>
      </c>
      <c r="E6" s="33"/>
      <c r="F6" s="41" t="s">
        <v>44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IFERROR(__xludf.DUMMYFUNCTION("""COMPUTED_VALUE"""),"Quantity")</f>
        <v>Quantity</v>
      </c>
      <c r="D5" s="35" t="str">
        <f>IFERROR(__xludf.DUMMYFUNCTION("""COMPUTED_VALUE"""),"Price")</f>
        <v>Price</v>
      </c>
      <c r="E5" s="35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35" t="str">
        <f>IFERROR(__xludf.DUMMYFUNCTION("""COMPUTED_VALUE"""),"TT_Open")</f>
        <v>TT_Open</v>
      </c>
      <c r="H5" s="35" t="str">
        <f>IFERROR(__xludf.DUMMYFUNCTION("""COMPUTED_VALUE"""),"SharesOutstandingPopUpQty")</f>
        <v>SharesOutstandingPopUpQty</v>
      </c>
      <c r="I5" s="35" t="str">
        <f>IFERROR(__xludf.DUMMYFUNCTION("""COMPUTED_VALUE"""),"AllocationMethod")</f>
        <v>AllocationMethod</v>
      </c>
      <c r="J5" s="35" t="str">
        <f>IFERROR(__xludf.DUMMYFUNCTION("""COMPUTED_VALUE"""),"Order Side")</f>
        <v>Order Side</v>
      </c>
      <c r="K5" s="35" t="str">
        <f>IFERROR(__xludf.DUMMYFUNCTION("""COMPUTED_VALUE"""),"DB_Check")</f>
        <v>DB_Check</v>
      </c>
      <c r="L5" s="35" t="str">
        <f>IFERROR(__xludf.DUMMYFUNCTION("""COMPUTED_VALUE"""),"CommissionBasis")</f>
        <v>CommissionBasis</v>
      </c>
      <c r="M5" s="35" t="str">
        <f>IFERROR(__xludf.DUMMYFUNCTION("""COMPUTED_VALUE"""),"CommissionRate")</f>
        <v>CommissionRate</v>
      </c>
      <c r="N5" s="35" t="str">
        <f>IFERROR(__xludf.DUMMYFUNCTION("""COMPUTED_VALUE"""),"SoftBasis")</f>
        <v>SoftBasis</v>
      </c>
      <c r="O5" s="35" t="str">
        <f>IFERROR(__xludf.DUMMYFUNCTION("""COMPUTED_VALUE"""),"SoftRate")</f>
        <v>SoftRate</v>
      </c>
      <c r="P5" s="35" t="str">
        <f>IFERROR(__xludf.DUMMYFUNCTION("""COMPUTED_VALUE"""),"Account")</f>
        <v>Account</v>
      </c>
      <c r="Q5" s="35" t="str">
        <f>IFERROR(__xludf.DUMMYFUNCTION("""COMPUTED_VALUE"""),"Account %")</f>
        <v>Account %</v>
      </c>
      <c r="R5" s="35" t="str">
        <f>IFERROR(__xludf.DUMMYFUNCTION("""COMPUTED_VALUE"""),"VerifySuggestions")</f>
        <v>VerifySuggestions</v>
      </c>
      <c r="S5" s="35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>
        <v>125.0</v>
      </c>
      <c r="D6" s="13">
        <v>11.0</v>
      </c>
      <c r="E6" s="13" t="s">
        <v>58</v>
      </c>
      <c r="F6" s="8"/>
      <c r="G6" s="8"/>
      <c r="H6" s="8"/>
      <c r="I6" s="13" t="s">
        <v>59</v>
      </c>
      <c r="J6" s="13" t="s">
        <v>60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IFERROR(__xludf.DUMMYFUNCTION("""COMPUTED_VALUE"""),"RangeType")</f>
        <v>RangeType</v>
      </c>
      <c r="C5" s="35" t="str">
        <f>IFERROR(__xludf.DUMMYFUNCTION("""COMPUTED_VALUE"""),"From")</f>
        <v>From</v>
      </c>
      <c r="D5" s="35" t="str">
        <f>IFERROR(__xludf.DUMMYFUNCTION("""COMPUTED_VALUE"""),"To")</f>
        <v>To</v>
      </c>
      <c r="E5" s="35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35" t="str">
        <f>IFERROR(__xludf.DUMMYFUNCTION("""COMPUTED_VALUE"""),"Asset")</f>
        <v>Asset</v>
      </c>
      <c r="H5" s="35" t="str">
        <f>IFERROR(__xludf.DUMMYFUNCTION("""COMPUTED_VALUE"""),"Side")</f>
        <v>Side</v>
      </c>
      <c r="I5" s="35" t="str">
        <f>IFERROR(__xludf.DUMMYFUNCTION("""COMPUTED_VALUE"""),"Account")</f>
        <v>Account</v>
      </c>
      <c r="J5" s="35" t="str">
        <f>IFERROR(__xludf.DUMMYFUNCTION("""COMPUTED_VALUE"""),"Broker")</f>
        <v>Broker</v>
      </c>
      <c r="K5" s="35" t="str">
        <f>IFERROR(__xludf.DUMMYFUNCTION("""COMPUTED_VALUE"""),"Currency")</f>
        <v>Currency</v>
      </c>
      <c r="L5" s="35" t="str">
        <f>IFERROR(__xludf.DUMMYFUNCTION("""COMPUTED_VALUE"""),"Exchange")</f>
        <v>Exchange</v>
      </c>
      <c r="M5" s="35" t="str">
        <f>IFERROR(__xludf.DUMMYFUNCTION("""COMPUTED_VALUE"""),"StrategyName")</f>
        <v>StrategyName</v>
      </c>
      <c r="N5" s="35" t="str">
        <f>IFERROR(__xludf.DUMMYFUNCTION("""COMPUTED_VALUE"""),"Underlying")</f>
        <v>Underlying</v>
      </c>
      <c r="O5" s="35" t="str">
        <f>IFERROR(__xludf.DUMMYFUNCTION("""COMPUTED_VALUE"""),"Venue")</f>
        <v>Venue</v>
      </c>
      <c r="P5" s="35" t="str">
        <f>IFERROR(__xludf.DUMMYFUNCTION("""COMPUTED_VALUE"""),"TradingAccount")</f>
        <v>TradingAccount</v>
      </c>
      <c r="Q5" s="35" t="str">
        <f>IFERROR(__xludf.DUMMYFUNCTION("""COMPUTED_VALUE"""),"PreAllocated")</f>
        <v>PreAllocated</v>
      </c>
      <c r="R5" s="35" t="str">
        <f>IFERROR(__xludf.DUMMYFUNCTION("""COMPUTED_VALUE"""),"ManualGroup")</f>
        <v>ManualGroup</v>
      </c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IFERROR(__xludf.DUMMYFUNCTION("""COMPUTED_VALUE"""),"Side")</f>
        <v>Side</v>
      </c>
      <c r="D5" s="35" t="str">
        <f>IFERROR(__xludf.DUMMYFUNCTION("""COMPUTED_VALUE"""),"Quantity")</f>
        <v>Quantity</v>
      </c>
      <c r="E5" s="35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35" t="str">
        <f>IFERROR(__xludf.DUMMYFUNCTION("""COMPUTED_VALUE"""),"Net Amount( Local)")</f>
        <v>Net Amount( Local)</v>
      </c>
      <c r="H5" s="35" t="str">
        <f>IFERROR(__xludf.DUMMYFUNCTION("""COMPUTED_VALUE"""),"Net Amount( Base)")</f>
        <v>Net Amount( Base)</v>
      </c>
      <c r="I5" s="35" t="str">
        <f>IFERROR(__xludf.DUMMYFUNCTION("""COMPUTED_VALUE"""),"Principal Amount( Local)")</f>
        <v>Principal Amount( Local)</v>
      </c>
      <c r="J5" s="35" t="str">
        <f>IFERROR(__xludf.DUMMYFUNCTION("""COMPUTED_VALUE"""),"Transaction Type")</f>
        <v>Transaction Type</v>
      </c>
      <c r="K5" s="35" t="str">
        <f>IFERROR(__xludf.DUMMYFUNCTION("""COMPUTED_VALUE"""),"Principal Amount( Base)")</f>
        <v>Principal Amount( Base)</v>
      </c>
      <c r="L5" s="35" t="str">
        <f>IFERROR(__xludf.DUMMYFUNCTION("""COMPUTED_VALUE"""),"Execution Time")</f>
        <v>Execution Time</v>
      </c>
      <c r="M5" s="35" t="str">
        <f>IFERROR(__xludf.DUMMYFUNCTION("""COMPUTED_VALUE"""),"Trading Account")</f>
        <v>Trading Account</v>
      </c>
      <c r="N5" s="35" t="str">
        <f>IFERROR(__xludf.DUMMYFUNCTION("""COMPUTED_VALUE"""),"Avg Price(Local)")</f>
        <v>Avg Price(Local)</v>
      </c>
      <c r="O5" s="35" t="str">
        <f>IFERROR(__xludf.DUMMYFUNCTION("""COMPUTED_VALUE"""),"Avg Price(Base)")</f>
        <v>Avg Price(Base)</v>
      </c>
      <c r="P5" s="35" t="str">
        <f>IFERROR(__xludf.DUMMYFUNCTION("""COMPUTED_VALUE"""),"Broker")</f>
        <v>Broker</v>
      </c>
      <c r="Q5" s="35" t="str">
        <f>IFERROR(__xludf.DUMMYFUNCTION("""COMPUTED_VALUE"""),"FX Rate")</f>
        <v>FX Rate</v>
      </c>
      <c r="R5" s="35" t="str">
        <f>IFERROR(__xludf.DUMMYFUNCTION("""COMPUTED_VALUE"""),"Venue")</f>
        <v>Venue</v>
      </c>
      <c r="S5" s="35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60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IFERROR(__xludf.DUMMYFUNCTION("""COMPUTED_VALUE"""),"PreferenceType")</f>
        <v>PreferenceType</v>
      </c>
      <c r="C5" s="35" t="str">
        <f>IFERROR(__xludf.DUMMYFUNCTION("""COMPUTED_VALUE"""),"PreferenceName")</f>
        <v>PreferenceName</v>
      </c>
      <c r="D5" s="35" t="str">
        <f>IFERROR(__xludf.DUMMYFUNCTION("""COMPUTED_VALUE"""),"PTTPrefNeeded")</f>
        <v>PTTPrefNeeded</v>
      </c>
      <c r="E5" s="35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35" t="str">
        <f>IFERROR(__xludf.DUMMYFUNCTION("""COMPUTED_VALUE"""),"RemainderAllocationTo")</f>
        <v>RemainderAllocationTo</v>
      </c>
      <c r="H5" s="35" t="str">
        <f>IFERROR(__xludf.DUMMYFUNCTION("""COMPUTED_VALUE"""),"Target%AsOf")</f>
        <v>Target%AsOf</v>
      </c>
      <c r="I5" s="35" t="str">
        <f>IFERROR(__xludf.DUMMYFUNCTION("""COMPUTED_VALUE"""),"AccountsForProrata")</f>
        <v>AccountsForProrata</v>
      </c>
      <c r="J5" s="35" t="str">
        <f>IFERROR(__xludf.DUMMYFUNCTION("""COMPUTED_VALUE"""),"DateUptoDays")</f>
        <v>DateUptoDays</v>
      </c>
      <c r="K5" s="35" t="str">
        <f>IFERROR(__xludf.DUMMYFUNCTION("""COMPUTED_VALUE"""),"MatchClosingTransactions")</f>
        <v>MatchClosingTransactions</v>
      </c>
      <c r="L5" s="35"/>
      <c r="M5" s="35"/>
      <c r="N5" s="35"/>
      <c r="O5" s="35"/>
      <c r="P5" s="35"/>
      <c r="Q5" s="35"/>
      <c r="R5" s="35"/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13" t="s">
        <v>42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IFERROR(__xludf.DUMMYFUNCTION("""COMPUTED_VALUE"""),"Net Amount(Local)")</f>
        <v>Net Amount(Local)</v>
      </c>
      <c r="C5" s="35" t="str">
        <f>IFERROR(__xludf.DUMMYFUNCTION("""COMPUTED_VALUE"""),"Net Amount(Base)")</f>
        <v>Net Amount(Base)</v>
      </c>
      <c r="D5" s="35" t="str">
        <f>IFERROR(__xludf.DUMMYFUNCTION("""COMPUTED_VALUE"""),"Principal Amount(Local)")</f>
        <v>Principal Amount(Local)</v>
      </c>
      <c r="E5" s="35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35" t="str">
        <f>IFERROR(__xludf.DUMMYFUNCTION("""COMPUTED_VALUE"""),"TaxLotID")</f>
        <v>TaxLotID</v>
      </c>
      <c r="H5" s="35" t="str">
        <f>IFERROR(__xludf.DUMMYFUNCTION("""COMPUTED_VALUE"""),"Settlement Currency")</f>
        <v>Settlement Currency</v>
      </c>
      <c r="I5" s="35" t="str">
        <f>IFERROR(__xludf.DUMMYFUNCTION("""COMPUTED_VALUE"""),"Trade Attribute 1")</f>
        <v>Trade Attribute 1</v>
      </c>
      <c r="J5" s="35" t="str">
        <f>IFERROR(__xludf.DUMMYFUNCTION("""COMPUTED_VALUE"""),"Trade Attribute 2")</f>
        <v>Trade Attribute 2</v>
      </c>
      <c r="K5" s="35" t="str">
        <f>IFERROR(__xludf.DUMMYFUNCTION("""COMPUTED_VALUE"""),"Trade Attribute 3")</f>
        <v>Trade Attribute 3</v>
      </c>
      <c r="L5" s="35" t="str">
        <f>IFERROR(__xludf.DUMMYFUNCTION("""COMPUTED_VALUE"""),"Trade Attribute 4")</f>
        <v>Trade Attribute 4</v>
      </c>
      <c r="M5" s="35" t="str">
        <f>IFERROR(__xludf.DUMMYFUNCTION("""COMPUTED_VALUE"""),"Trade Attribute 5")</f>
        <v>Trade Attribute 5</v>
      </c>
      <c r="N5" s="35" t="str">
        <f>IFERROR(__xludf.DUMMYFUNCTION("""COMPUTED_VALUE"""),"Trade Attribute 6")</f>
        <v>Trade Attribute 6</v>
      </c>
      <c r="O5" s="35" t="str">
        <f>IFERROR(__xludf.DUMMYFUNCTION("""COMPUTED_VALUE"""),"Account Name")</f>
        <v>Account Name</v>
      </c>
      <c r="P5" s="35" t="str">
        <f>IFERROR(__xludf.DUMMYFUNCTION("""COMPUTED_VALUE"""),"Strategy Name")</f>
        <v>Strategy Name</v>
      </c>
      <c r="Q5" s="35" t="str">
        <f>IFERROR(__xludf.DUMMYFUNCTION("""COMPUTED_VALUE"""),"Percentage")</f>
        <v>Percentage</v>
      </c>
      <c r="R5" s="35" t="str">
        <f>IFERROR(__xludf.DUMMYFUNCTION("""COMPUTED_VALUE"""),"Taxlot Qty")</f>
        <v>Taxlot Qty</v>
      </c>
      <c r="S5" s="35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13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54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