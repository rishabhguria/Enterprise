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AddMFPreferences" sheetId="5" r:id="rId7"/>
    <sheet state="visible" name="SetMFPreferencesDefaultRule" sheetId="6" r:id="rId8"/>
    <sheet state="visible" name="SetMFPrefFundDistribution" sheetId="7" r:id="rId9"/>
    <sheet state="visible" name="SetMFPrefAccountValues" sheetId="8" r:id="rId10"/>
    <sheet state="visible" name="SetMFPrefAccountValues1" sheetId="9" r:id="rId11"/>
    <sheet state="visible" name="SetMFPrefAccountValues2" sheetId="10" r:id="rId12"/>
    <sheet state="visible" name="CreateStageOrder" sheetId="11" r:id="rId13"/>
    <sheet state="visible" name="MultiTradingTicketFromBlotter" sheetId="12" r:id="rId14"/>
    <sheet state="visible" name="DoneAwayUsingMTT" sheetId="13" r:id="rId15"/>
    <sheet state="visible" name="VerifyOrder1" sheetId="14" r:id="rId16"/>
    <sheet state="visible" name="GetDataAllocation" sheetId="15" r:id="rId17"/>
    <sheet state="visible" name="CheckAllocatedGroups" sheetId="16" r:id="rId18"/>
    <sheet state="visible" name="CheckPortfolioManagement" sheetId="17" r:id="rId19"/>
  </sheets>
  <definedNames/>
  <calcPr/>
</workbook>
</file>

<file path=xl/sharedStrings.xml><?xml version="1.0" encoding="utf-8"?>
<sst xmlns="http://schemas.openxmlformats.org/spreadsheetml/2006/main" count="707" uniqueCount="67">
  <si>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</si>
  <si>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</si>
  <si>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</si>
  <si>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</si>
  <si>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</si>
  <si>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</si>
  <si>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</si>
  <si>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</si>
  <si>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</si>
  <si>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</si>
  <si>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</si>
  <si>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</si>
  <si>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</si>
  <si>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</si>
  <si>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</si>
  <si>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</si>
  <si>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AddMFPreferences</t>
  </si>
  <si>
    <t>TestPreference</t>
  </si>
  <si>
    <t>SetMFPreferencesDefaultRule</t>
  </si>
  <si>
    <t>Current Preference</t>
  </si>
  <si>
    <t>SetMFPrefFundDistribution</t>
  </si>
  <si>
    <t>NewMF</t>
  </si>
  <si>
    <t>NewMF1</t>
  </si>
  <si>
    <t>NewMF2</t>
  </si>
  <si>
    <t>SetMFPrefAccountValues</t>
  </si>
  <si>
    <t>Allocation1</t>
  </si>
  <si>
    <t>Allocation3</t>
  </si>
  <si>
    <t>Allocation2</t>
  </si>
  <si>
    <t>LP C/O</t>
  </si>
  <si>
    <t>TradingTicket</t>
  </si>
  <si>
    <t>CreateStageOrder</t>
  </si>
  <si>
    <t>MSFT</t>
  </si>
  <si>
    <t>Buy</t>
  </si>
  <si>
    <t>AAPL</t>
  </si>
  <si>
    <t>Blotter</t>
  </si>
  <si>
    <t>MultiTradingTicketFromBlotter</t>
  </si>
  <si>
    <t>New</t>
  </si>
  <si>
    <t>MultiTradingTicket</t>
  </si>
  <si>
    <t>DoneAwayUsingMTT</t>
  </si>
  <si>
    <t>VerifyOrder</t>
  </si>
  <si>
    <t/>
  </si>
  <si>
    <t>MSFT US EQUITY</t>
  </si>
  <si>
    <t>NASDAQ</t>
  </si>
  <si>
    <t>jpearce</t>
  </si>
  <si>
    <t>US</t>
  </si>
  <si>
    <t>GCCAP1</t>
  </si>
  <si>
    <t>USD</t>
  </si>
  <si>
    <t>Multiple</t>
  </si>
  <si>
    <t>M</t>
  </si>
  <si>
    <t>Equity</t>
  </si>
  <si>
    <t>Filled</t>
  </si>
  <si>
    <t>MS</t>
  </si>
  <si>
    <t>Market</t>
  </si>
  <si>
    <t>AAPL US EQUITY</t>
  </si>
  <si>
    <t>GetDataAllocation</t>
  </si>
  <si>
    <t>Current</t>
  </si>
  <si>
    <t>CheckAllocatedGroups</t>
  </si>
  <si>
    <t>Open</t>
  </si>
  <si>
    <t>BrokerNotes</t>
  </si>
  <si>
    <t>None</t>
  </si>
  <si>
    <t>DefaultNotes</t>
  </si>
  <si>
    <t>InternalOrder</t>
  </si>
  <si>
    <t>Strategy Unallocated</t>
  </si>
  <si>
    <t>NONE</t>
  </si>
  <si>
    <t>PortfolioManagement</t>
  </si>
  <si>
    <t>CheckPortfolioManagement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</si>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</sst>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14" xfId="0" applyAlignment="1" applyBorder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IFERROR(__xludf.DUMMYFUNCTION("""COMPUTED_VALUE"""),"CreateNewSubLiveOrder")</f>
        <v>CreateNewSubLiveOrder</v>
      </c>
      <c r="C558" t="str">
        <f>IFERROR(__xludf.DUMMYFUNCTION("""COMPUTED_VALUE"""),"12zWky2LmOXrqIXPltYfxypKjuQf3ZHGv1mz-xQGxKTQ")</f>
        <v>12zWky2LmOXrqIXPltYfxypKjuQf3ZHGv1mz-xQGxKTQ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IFERROR(__xludf.DUMMYFUNCTION("""COMPUTED_VALUE"""),"ViewPTTAllocationDetails")</f>
        <v>ViewPTTAllocationDetails</v>
      </c>
      <c r="C559" t="str">
        <f>IFERROR(__xludf.DUMMYFUNCTION("""COMPUTED_VALUE"""),"1KoA0Wc5hAar-q0SNiFxHZv5O7_6Ub43E0Baobavff04")</f>
        <v>1KoA0Wc5hAar-q0SNiFxHZv5O7_6Ub43E0Baobavff04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IFERROR(__xludf.DUMMYFUNCTION("""COMPUTED_VALUE"""),"RestartSQL")</f>
        <v>RestartSQL</v>
      </c>
      <c r="C560" t="str">
        <f>IFERROR(__xludf.DUMMYFUNCTION("""COMPUTED_VALUE"""),"1vVUSxh3aheqbZRQq-3oJhAe8OKjNysk1JPVf_W8f5l0")</f>
        <v>1vVUSxh3aheqbZRQq-3oJhAe8OKjNysk1JPVf_W8f5l0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IFERROR(__xludf.DUMMYFUNCTION("""COMPUTED_VALUE"""),"TradeAuditCleanUp")</f>
        <v>TradeAuditCleanUp</v>
      </c>
      <c r="C561" t="str">
        <f>IFERROR(__xludf.DUMMYFUNCTION("""COMPUTED_VALUE"""),"1X5YzKAgrVFRed11iGwwlj-Wh1wAD0gvmGSkTbMQqBao")</f>
        <v>1X5YzKAgrVFRed11iGwwlj-Wh1wAD0gvmGSkTbMQqBao</v>
      </c>
    </row>
    <row r="562" ht="15.75" customHeight="1">
      <c r="A562" t="str">
        <f>IFERROR(__xludf.DUMMYFUNCTION("""COMPUTED_VALUE"""),"Import")</f>
        <v>Import</v>
      </c>
      <c r="B562" t="str">
        <f>IFERROR(__xludf.DUMMYFUNCTION("""COMPUTED_VALUE"""),"SelectTradeOnImport")</f>
        <v>SelectTradeOnImport</v>
      </c>
      <c r="C562" t="str">
        <f>IFERROR(__xludf.DUMMYFUNCTION("""COMPUTED_VALUE"""),"10cAOM3qnGaWW44q9z21WEIOpJdPIAth5hr8jecUfG6A")</f>
        <v>10cAOM3qnGaWW44q9z21WEIOpJdPIAth5hr8jecUfG6A</v>
      </c>
    </row>
    <row r="563" ht="15.75" customHeight="1">
      <c r="A563" t="str">
        <f>IFERROR(__xludf.DUMMYFUNCTION("""COMPUTED_VALUE"""),"Allocation")</f>
        <v>Allocation</v>
      </c>
      <c r="B563" t="str">
        <f>IFERROR(__xludf.DUMMYFUNCTION("""COMPUTED_VALUE"""),"SelectAllRowsAllocated")</f>
        <v>SelectAllRowsAllocated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IFERROR(__xludf.DUMMYFUNCTION("""COMPUTED_VALUE"""),"FilterLongPositionGrid")</f>
        <v>FilterLongPositionGrid</v>
      </c>
      <c r="C564" t="str">
        <f>IFERROR(__xludf.DUMMYFUNCTION("""COMPUTED_VALUE"""),"11V4DM1OMXH_V53PIsUZCW0QthHjB-hG0fn99Yo8Ry2c")</f>
        <v>11V4DM1OMXH_V53PIsUZCW0QthHjB-hG0fn99Yo8Ry2c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IFERROR(__xludf.DUMMYFUNCTION("""COMPUTED_VALUE"""),"FilterShortPositionGrid")</f>
        <v>FilterShortPositionGrid</v>
      </c>
      <c r="C565" t="str">
        <f>IFERROR(__xludf.DUMMYFUNCTION("""COMPUTED_VALUE"""),"1PD9u3XtwrJXt2fU5ghvPjJ7SpxcIKIIWrKF4YF7wZdo")</f>
        <v>1PD9u3XtwrJXt2fU5ghvPjJ7SpxcIKIIWrKF4YF7wZdo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IFERROR(__xludf.DUMMYFUNCTION("""COMPUTED_VALUE"""),"FilterClosingGrid")</f>
        <v>FilterClosingGrid</v>
      </c>
      <c r="C566" t="str">
        <f>IFERROR(__xludf.DUMMYFUNCTION("""COMPUTED_VALUE"""),"1zS4ALOAI4Qv9-imwrJ3P0juiFH5-Vvf_4yLE3c_77ww")</f>
        <v>1zS4ALOAI4Qv9-imwrJ3P0juiFH5-Vvf_4yLE3c_77ww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IFERROR(__xludf.DUMMYFUNCTION("""COMPUTED_VALUE"""),"FilterUnexpiredGrid")</f>
        <v>FilterUnexpiredGrid</v>
      </c>
      <c r="C567" t="str">
        <f>IFERROR(__xludf.DUMMYFUNCTION("""COMPUTED_VALUE"""),"1cf7V2VglYQWMxr9jI82Z1YFUP_Ufd3RrESoDhAX5nFQ")</f>
        <v>1cf7V2VglYQWMxr9jI82Z1YFUP_Ufd3RrESoDhAX5nFQ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IFERROR(__xludf.DUMMYFUNCTION("""COMPUTED_VALUE"""),"FilterExpiredGrid")</f>
        <v>FilterExpiredGrid</v>
      </c>
      <c r="C568" t="str">
        <f>IFERROR(__xludf.DUMMYFUNCTION("""COMPUTED_VALUE"""),"1pw8K3dcvVISd7jxODSx2U2PTzTKu53dxX_05mlkByK4")</f>
        <v>1pw8K3dcvVISd7jxODSx2U2PTzTKu53dxX_05mlkByK4</v>
      </c>
    </row>
    <row r="569" ht="15.75" customHeight="1">
      <c r="A569" t="str">
        <f>IFERROR(__xludf.DUMMYFUNCTION("""COMPUTED_VALUE"""),"GeneralLedger")</f>
        <v>GeneralLedger</v>
      </c>
      <c r="B569" t="str">
        <f>IFERROR(__xludf.DUMMYFUNCTION("""COMPUTED_VALUE"""),"FilterCashTransactionGrid")</f>
        <v>FilterCashTransactionGrid</v>
      </c>
      <c r="C569" t="str">
        <f>IFERROR(__xludf.DUMMYFUNCTION("""COMPUTED_VALUE"""),"1PqRBZQJtY5Oa2Uxs4vSRclsIlxPwyMvlrr2UUTSIb3Y")</f>
        <v>1PqRBZQJtY5Oa2Uxs4vSRclsIlxPwyMvlrr2UUTSIb3Y</v>
      </c>
    </row>
    <row r="570" ht="15.75" customHeight="1">
      <c r="A570" t="str">
        <f>IFERROR(__xludf.DUMMYFUNCTION("""COMPUTED_VALUE"""),"Recon")</f>
        <v>Recon</v>
      </c>
      <c r="B570" t="str">
        <f>IFERROR(__xludf.DUMMYFUNCTION("""COMPUTED_VALUE"""),"VerifyApplicationData")</f>
        <v>VerifyApplicationData</v>
      </c>
      <c r="C570" t="str">
        <f>IFERROR(__xludf.DUMMYFUNCTION("""COMPUTED_VALUE"""),"1gMSDalyxsP_enjWpKNvUKpnf9DVP87AgNzPibA-eyb0")</f>
        <v>1gMSDalyxsP_enjWpKNvUKpnf9DVP87AgNzPibA-eyb0</v>
      </c>
    </row>
    <row r="571" ht="15.75" customHeight="1">
      <c r="A571" t="str">
        <f>IFERROR(__xludf.DUMMYFUNCTION("""COMPUTED_VALUE"""),"GeneralLedger")</f>
        <v>GeneralLedger</v>
      </c>
      <c r="B571" t="str">
        <f>IFERROR(__xludf.DUMMYFUNCTION("""COMPUTED_VALUE"""),"EditGridCashTransactions")</f>
        <v>EditGridCashTransactions</v>
      </c>
      <c r="C571" t="str">
        <f>IFERROR(__xludf.DUMMYFUNCTION("""COMPUTED_VALUE"""),"1A9WP5K6T6_O4S-M78Jx1SEqevonRbthbPCskWXVzxtk")</f>
        <v>1A9WP5K6T6_O4S-M78Jx1SEqevonRbthbPCskWXVzxtk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IFERROR(__xludf.DUMMYFUNCTION("""COMPUTED_VALUE"""),"UnwindAllClosingData")</f>
        <v>UnwindAllClosingData</v>
      </c>
      <c r="C572" t="str">
        <f>IFERROR(__xludf.DUMMYFUNCTION("""COMPUTED_VALUE"""),"1W0sVWSXhitgjuC6P5w0kTp7TvFL-kAol4gyIX8lhd5w")</f>
        <v>1W0sVWSXhitgjuC6P5w0kTp7TvFL-kAol4gyIX8lhd5w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IFERROR(__xludf.DUMMYFUNCTION("""COMPUTED_VALUE"""),"SaveCashTransaction")</f>
        <v>SaveCashTransaction</v>
      </c>
      <c r="C573" t="str">
        <f>IFERROR(__xludf.DUMMYFUNCTION("""COMPUTED_VALUE"""),"1FAh4CFdlozjSlNDU3BUeaQu_1zckRBcWM8KQooONyxs")</f>
        <v>1FAh4CFdlozjSlNDU3BUeaQu_1zckRBcWM8KQooONyxs</v>
      </c>
    </row>
    <row r="574" ht="15.75" customHeight="1">
      <c r="A574" t="str">
        <f>IFERROR(__xludf.DUMMYFUNCTION("""COMPUTED_VALUE"""),"ThirdParty")</f>
        <v>ThirdParty</v>
      </c>
      <c r="B574" t="str">
        <f>IFERROR(__xludf.DUMMYFUNCTION("""COMPUTED_VALUE"""),"ChangeThirdpartyDate")</f>
        <v>ChangeThirdpartyDate</v>
      </c>
      <c r="C574" t="str">
        <f>IFERROR(__xludf.DUMMYFUNCTION("""COMPUTED_VALUE"""),"1F219wmX8xrFPgma8cjoUCm7q9nq-W9yFK7PTO5OggJw")</f>
        <v>1F219wmX8xrFPgma8cjoUCm7q9nq-W9yFK7PTO5OggJw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IFERROR(__xludf.DUMMYFUNCTION("""COMPUTED_VALUE"""),"RunManualRevaluation")</f>
        <v>RunManualRevaluation</v>
      </c>
      <c r="C575" t="str">
        <f>IFERROR(__xludf.DUMMYFUNCTION("""COMPUTED_VALUE"""),"1D5Y3RzzSSQaYL3n3QrXxry0SwVaG4gnMSCxFKtFszpQ")</f>
        <v>1D5Y3RzzSSQaYL3n3QrXxry0SwVaG4gnMSCxFKtFszpQ</v>
      </c>
    </row>
    <row r="576" ht="15.75" customHeight="1">
      <c r="A576" t="str">
        <f>IFERROR(__xludf.DUMMYFUNCTION("""COMPUTED_VALUE"""),"SymbolLookup")</f>
        <v>SymbolLookup</v>
      </c>
      <c r="B576" t="str">
        <f>IFERROR(__xludf.DUMMYFUNCTION("""COMPUTED_VALUE"""),"AddSymbol")</f>
        <v>AddSymbol</v>
      </c>
      <c r="C576" t="str">
        <f>IFERROR(__xludf.DUMMYFUNCTION("""COMPUTED_VALUE"""),"10HWI9Cc8RvROS5VcoYWQCiNm-ZMIi9mZRyugdSdwfao")</f>
        <v>10HWI9Cc8RvROS5VcoYWQCiNm-ZMIi9mZRyugdSdwfao</v>
      </c>
    </row>
    <row r="577" ht="15.75" customHeight="1">
      <c r="A577" t="str">
        <f>IFERROR(__xludf.DUMMYFUNCTION("""COMPUTED_VALUE"""),"Admin")</f>
        <v>Admin</v>
      </c>
      <c r="B577" t="str">
        <f>IFERROR(__xludf.DUMMYFUNCTION("""COMPUTED_VALUE"""),"DeleteSymbolFromSM")</f>
        <v>DeleteSymbolFromSM</v>
      </c>
      <c r="C577" t="str">
        <f>IFERROR(__xludf.DUMMYFUNCTION("""COMPUTED_VALUE"""),"16YNILloso-DtMjrvuLs9jjsIzEmPQxnFXrCt8yvHUNE")</f>
        <v>16YNILloso-DtMjrvuLs9jjsIzEmPQxnFXrCt8yvHUNE</v>
      </c>
    </row>
    <row r="578" ht="15.75" customHeight="1">
      <c r="A578" t="str">
        <f>IFERROR(__xludf.DUMMYFUNCTION("""COMPUTED_VALUE"""),"Watchlist")</f>
        <v>Watchlist</v>
      </c>
      <c r="B578" t="str">
        <f>IFERROR(__xludf.DUMMYFUNCTION("""COMPUTED_VALUE"""),"AddSymbolToWatchlist")</f>
        <v>AddSymbolToWatchlist</v>
      </c>
      <c r="C578" t="str">
        <f>IFERROR(__xludf.DUMMYFUNCTION("""COMPUTED_VALUE"""),"1uQiuSREeRIwO_nEU84cMzm9OFSYVLHU2rgcEaefXb2k")</f>
        <v>1uQiuSREeRIwO_nEU84cMzm9OFSYVLHU2rgcEaefXb2k</v>
      </c>
    </row>
    <row r="579" ht="15.75" customHeight="1">
      <c r="A579" t="str">
        <f>IFERROR(__xludf.DUMMYFUNCTION("""COMPUTED_VALUE"""),"Watchlist")</f>
        <v>Watchlist</v>
      </c>
      <c r="B579" t="str">
        <f>IFERROR(__xludf.DUMMYFUNCTION("""COMPUTED_VALUE"""),"TradeFromWatchlist")</f>
        <v>TradeFromWatchlist</v>
      </c>
      <c r="C579" t="str">
        <f>IFERROR(__xludf.DUMMYFUNCTION("""COMPUTED_VALUE"""),"1FKL2NTRmBSyITx5pyk6zHOKymU28NwrQwSuVbW4gNRg")</f>
        <v>1FKL2NTRmBSyITx5pyk6zHOKymU28NwrQwSuVbW4gNRg</v>
      </c>
    </row>
    <row r="580" ht="15.75" customHeight="1">
      <c r="A580" t="str">
        <f>IFERROR(__xludf.DUMMYFUNCTION("""COMPUTED_VALUE"""),"Watchlist")</f>
        <v>Watchlist</v>
      </c>
      <c r="B580" t="str">
        <f>IFERROR(__xludf.DUMMYFUNCTION("""COMPUTED_VALUE"""),"MultiTradeFromWatchlist")</f>
        <v>MultiTradeFromWatchlist</v>
      </c>
      <c r="C580" t="str">
        <f>IFERROR(__xludf.DUMMYFUNCTION("""COMPUTED_VALUE"""),"1nyCMJS4IH1BLXnFOr_FNoPH4XmaOIGdVjSJuJpNi2c8")</f>
        <v>1nyCMJS4IH1BLXnFOr_FNoPH4XmaOIGdVjSJuJpNi2c8</v>
      </c>
    </row>
    <row r="581" ht="15.75" customHeight="1">
      <c r="A581" t="str">
        <f>IFERROR(__xludf.DUMMYFUNCTION("""COMPUTED_VALUE"""),"Watchlist")</f>
        <v>Watchlist</v>
      </c>
      <c r="B581" t="str">
        <f>IFERROR(__xludf.DUMMYFUNCTION("""COMPUTED_VALUE"""),"DeleteSymbolFromWatchlist")</f>
        <v>DeleteSymbolFromWatchlist</v>
      </c>
      <c r="C581" t="str">
        <f>IFERROR(__xludf.DUMMYFUNCTION("""COMPUTED_VALUE"""),"1byaZalr_XhOG3LaxY-Riu8lHwQSFb098xHll__tkAtA")</f>
        <v>1byaZalr_XhOG3LaxY-Riu8lHwQSFb098xHll__tkAtA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IFERROR(__xludf.DUMMYFUNCTION("""COMPUTED_VALUE"""),"VerifySymbolsOnWatchlist")</f>
        <v>VerifySymbolsOnWatchlist</v>
      </c>
      <c r="C582" t="str">
        <f>IFERROR(__xludf.DUMMYFUNCTION("""COMPUTED_VALUE"""),"15PdvqcWBSttYjbzGBns1O_5cUV2nEVZ4r1YEe7ucwPs")</f>
        <v>15PdvqcWBSttYjbzGBns1O_5cUV2nEVZ4r1YEe7ucwPs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IFERROR(__xludf.DUMMYFUNCTION("""COMPUTED_VALUE"""),"VerifyAppMatchedData")</f>
        <v>VerifyAppMatchedData</v>
      </c>
      <c r="C583" t="str">
        <f>IFERROR(__xludf.DUMMYFUNCTION("""COMPUTED_VALUE"""),"197cwp2DCQ4L0B-G5b7CZAwGsgFZuiUTyD_BSwtc9wHA")</f>
        <v>197cwp2DCQ4L0B-G5b7CZAwGsgFZuiUTyD_BSwtc9wHA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IFERROR(__xludf.DUMMYFUNCTION("""COMPUTED_VALUE"""),"VerifyAppUnmatchedData")</f>
        <v>VerifyAppUnmatchedData</v>
      </c>
      <c r="C584" t="str">
        <f>IFERROR(__xludf.DUMMYFUNCTION("""COMPUTED_VALUE"""),"18fTZZkhP8PVk2zb3669RCgVH7l1lj74KOPGo3kRsFwA")</f>
        <v>18fTZZkhP8PVk2zb3669RCgVH7l1lj74KOPGo3kRsFwA</v>
      </c>
    </row>
    <row r="585" ht="15.75" customHeight="1">
      <c r="A585" t="str">
        <f>IFERROR(__xludf.DUMMYFUNCTION("""COMPUTED_VALUE"""),"Recon")</f>
        <v>Recon</v>
      </c>
      <c r="B585" t="str">
        <f>IFERROR(__xludf.DUMMYFUNCTION("""COMPUTED_VALUE"""),"VerifyPBMatchedData")</f>
        <v>VerifyPBMatchedData</v>
      </c>
      <c r="C585" t="str">
        <f>IFERROR(__xludf.DUMMYFUNCTION("""COMPUTED_VALUE"""),"1kM_UfqpK0PaHEHY4-JNdVXj1fPgIjBfWABlDaWsTh6o")</f>
        <v>1kM_UfqpK0PaHEHY4-JNdVXj1fPgIjBfWABlDaWsTh6o</v>
      </c>
    </row>
    <row r="586" ht="15.75" customHeight="1">
      <c r="A586" t="str">
        <f>IFERROR(__xludf.DUMMYFUNCTION("""COMPUTED_VALUE"""),"Recon")</f>
        <v>Recon</v>
      </c>
      <c r="B586" t="str">
        <f>IFERROR(__xludf.DUMMYFUNCTION("""COMPUTED_VALUE"""),"VerifyPBUnmatchedData")</f>
        <v>VerifyPBUnmatchedData</v>
      </c>
      <c r="C586" t="str">
        <f>IFERROR(__xludf.DUMMYFUNCTION("""COMPUTED_VALUE"""),"1kTWoOsrKD_0f_MBstD0yl6ly3CmvswKmK8GYKJUaSJY")</f>
        <v>1kTWoOsrKD_0f_MBstD0yl6ly3CmvswKmK8GYKJUaSJY</v>
      </c>
    </row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1lI4loUxqzsE3IjuxIjsVY3cB4J_eTKFPPDuXngut4FE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IFERROR(__xludf.DUMMYFUNCTION("""COMPUTED_VALUE"""),"ValidateCheckSide")</f>
        <v>ValidateCheckSide</v>
      </c>
      <c r="C5" s="29" t="str">
        <f>IFERROR(__xludf.DUMMYFUNCTION("""COMPUTED_VALUE"""),"DisabledChecksideAssets")</f>
        <v>DisabledChecksideAssets</v>
      </c>
      <c r="D5" s="29" t="str">
        <f>IFERROR(__xludf.DUMMYFUNCTION("""COMPUTED_VALUE"""),"PrecisionValue")</f>
        <v>PrecisionValue</v>
      </c>
      <c r="E5" s="29" t="str">
        <f>IFERROR(__xludf.DUMMYFUNCTION("""COMPUTED_VALUE"""),"UseCommissionInNetAmount")</f>
        <v>UseCommissionInNetAmount</v>
      </c>
      <c r="F5" s="30" t="str">
        <f>IFERROR(__xludf.DUMMYFUNCTION("""COMPUTED_VALUE"""),"SaveWithoutState")</f>
        <v>SaveWithoutState</v>
      </c>
      <c r="G5" s="29" t="str">
        <f>IFERROR(__xludf.DUMMYFUNCTION("""COMPUTED_VALUE"""),"SaveWithState")</f>
        <v>SaveWithState</v>
      </c>
      <c r="H5" s="29" t="str">
        <f>IFERROR(__xludf.DUMMYFUNCTION("""COMPUTED_VALUE"""),"ClearQuantities")</f>
        <v>ClearQuantities</v>
      </c>
      <c r="I5" s="29" t="str">
        <f>IFERROR(__xludf.DUMMYFUNCTION("""COMPUTED_VALUE"""),"ReapplyAllocation")</f>
        <v>ReapplyAllocation</v>
      </c>
      <c r="J5" s="29" t="str">
        <f>IFERROR(__xludf.DUMMYFUNCTION("""COMPUTED_VALUE"""),"DefaultAllocation")</f>
        <v>DefaultAllocation</v>
      </c>
      <c r="K5" s="29" t="str">
        <f>IFERROR(__xludf.DUMMYFUNCTION("""COMPUTED_VALUE"""),"IsCustomPreference")</f>
        <v>IsCustomPreference</v>
      </c>
      <c r="L5" s="29" t="str">
        <f>IFERROR(__xludf.DUMMYFUNCTION("""COMPUTED_VALUE"""),"AllocationMethod")</f>
        <v>AllocationMethod</v>
      </c>
      <c r="M5" s="29" t="str">
        <f>IFERROR(__xludf.DUMMYFUNCTION("""COMPUTED_VALUE"""),"RemainderAllocationTo")</f>
        <v>RemainderAllocationTo</v>
      </c>
      <c r="N5" s="29" t="str">
        <f>IFERROR(__xludf.DUMMYFUNCTION("""COMPUTED_VALUE"""),"Target%AsOf")</f>
        <v>Target%AsOf</v>
      </c>
      <c r="O5" s="29" t="str">
        <f>IFERROR(__xludf.DUMMYFUNCTION("""COMPUTED_VALUE"""),"ProrataAccounts")</f>
        <v>ProrataAccounts</v>
      </c>
      <c r="P5" s="29" t="str">
        <f>IFERROR(__xludf.DUMMYFUNCTION("""COMPUTED_VALUE"""),"DateUptoDays")</f>
        <v>DateUptoDays</v>
      </c>
      <c r="Q5" s="29" t="str">
        <f>IFERROR(__xludf.DUMMYFUNCTION("""COMPUTED_VALUE"""),"MatchClosing")</f>
        <v>MatchClosing</v>
      </c>
      <c r="R5" s="29" t="str">
        <f>IFERROR(__xludf.DUMMYFUNCTION("""COMPUTED_VALUE"""),"CommissionAlertOnBrokerChange")</f>
        <v>CommissionAlertOnBrokerChange</v>
      </c>
      <c r="S5" s="29" t="str">
        <f>IFERROR(__xludf.DUMMYFUNCTION("""COMPUTED_VALUE"""),"RecalculateCommissionOnBrokerChange")</f>
        <v>RecalculateCommissionOnBrokerChange</v>
      </c>
      <c r="T5" s="31" t="str">
        <f>IFERROR(__xludf.DUMMYFUNCTION("""COMPUTED_VALUE"""),"CommissionAlertOnAllocation")</f>
        <v>CommissionAlertOnAllocation</v>
      </c>
      <c r="U5" s="31" t="str">
        <f>IFERROR(__xludf.DUMMYFUNCTION("""COMPUTED_VALUE"""),"RecalculateCommissionOnAllocation")</f>
        <v>RecalculateCommissionOnAllocation</v>
      </c>
      <c r="V5" s="31" t="str">
        <f>IFERROR(__xludf.DUMMYFUNCTION("""COMPUTED_VALUE"""),"EnableMasterFund")</f>
        <v>EnableMasterFund</v>
      </c>
      <c r="W5" s="31" t="str">
        <f>IFERROR(__xludf.DUMMYFUNCTION("""COMPUTED_VALUE"""),"1MasterFund/1Symbol")</f>
        <v>1MasterFund/1Symbol</v>
      </c>
      <c r="X5" s="31" t="str">
        <f>IFERROR(__xludf.DUMMYFUNCTION("""COMPUTED_VALUE"""),"ProrataSchemeName")</f>
        <v>ProrataSchemeName</v>
      </c>
      <c r="Y5" s="31" t="str">
        <f>IFERROR(__xludf.DUMMYFUNCTION("""COMPUTED_VALUE"""),"ProrataAllocationSchemeBasis")</f>
        <v>ProrataAllocationSchemeBasis</v>
      </c>
      <c r="Z5" s="31" t="str">
        <f>IFERROR(__xludf.DUMMYFUNCTION("""COMPUTED_VALUE"""),"ShowAdvancedProrataUI")</f>
        <v>ShowAdvancedProrataUI</v>
      </c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3"/>
      <c r="C6" s="34"/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6" t="b">
        <v>1</v>
      </c>
      <c r="W6" s="36" t="b">
        <v>0</v>
      </c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/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17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IFERROR(__xludf.DUMMYFUNCTION("""COMPUTED_VALUE"""),"RemainderAllocationTo")</f>
        <v>RemainderAllocationTo</v>
      </c>
      <c r="C5" s="29" t="str">
        <f>IFERROR(__xludf.DUMMYFUNCTION("""COMPUTED_VALUE"""),"Target%AsOf")</f>
        <v>Target%AsOf</v>
      </c>
      <c r="D5" s="29" t="str">
        <f>IFERROR(__xludf.DUMMYFUNCTION("""COMPUTED_VALUE"""),"ProrataAccounts")</f>
        <v>ProrataAccounts</v>
      </c>
      <c r="E5" s="29" t="str">
        <f>IFERROR(__xludf.DUMMYFUNCTION("""COMPUTED_VALUE"""),"DateUptoDays")</f>
        <v>DateUptoDays</v>
      </c>
      <c r="F5" s="30" t="str">
        <f>IFERROR(__xludf.DUMMYFUNCTION("""COMPUTED_VALUE"""),"PreferenceName")</f>
        <v>PreferenceName</v>
      </c>
      <c r="G5" s="29" t="str">
        <f>IFERROR(__xludf.DUMMYFUNCTION("""COMPUTED_VALUE"""),"MatchClosingTransaction")</f>
        <v>MatchClosingTransaction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3"/>
      <c r="C6" s="38" t="s">
        <v>19</v>
      </c>
      <c r="D6" s="33"/>
      <c r="E6" s="34"/>
      <c r="F6" s="13" t="s">
        <v>17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IFERROR(__xludf.DUMMYFUNCTION("""COMPUTED_VALUE"""),"MasterFundName")</f>
        <v>MasterFundName</v>
      </c>
      <c r="D5" s="29" t="str">
        <f>IFERROR(__xludf.DUMMYFUNCTION("""COMPUTED_VALUE"""),"TargetPercentage")</f>
        <v>TargetPercentage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13" t="s">
        <v>17</v>
      </c>
      <c r="C6" s="39" t="s">
        <v>21</v>
      </c>
      <c r="D6" s="40">
        <v>50.0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13" t="s">
        <v>17</v>
      </c>
      <c r="C7" s="39" t="s">
        <v>22</v>
      </c>
      <c r="D7" s="13">
        <v>25.0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17</v>
      </c>
      <c r="C8" s="39" t="s">
        <v>23</v>
      </c>
      <c r="D8" s="13">
        <v>25.0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SetMFPrefFundDistribution!$4:$4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IFERROR(__xludf.DUMMYFUNCTION("""COMPUTED_VALUE"""),"MasterFund")</f>
        <v>MasterFund</v>
      </c>
      <c r="D5" s="29" t="str">
        <f>IFERROR(__xludf.DUMMYFUNCTION("""COMPUTED_VALUE"""),"AccountName")</f>
        <v>AccountName</v>
      </c>
      <c r="E5" s="29" t="str">
        <f>IFERROR(__xludf.DUMMYFUNCTION("""COMPUTED_VALUE"""),"Percentage")</f>
        <v>Percentage</v>
      </c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13" t="s">
        <v>17</v>
      </c>
      <c r="C6" s="41" t="s">
        <v>21</v>
      </c>
      <c r="D6" s="42" t="s">
        <v>25</v>
      </c>
      <c r="E6" s="43">
        <v>50.0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2"/>
      <c r="B7" s="13" t="s">
        <v>17</v>
      </c>
      <c r="C7" s="41" t="s">
        <v>21</v>
      </c>
      <c r="D7" s="44" t="s">
        <v>26</v>
      </c>
      <c r="E7" s="43">
        <v>50.0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IFERROR(__xludf.DUMMYFUNCTION("""COMPUTED_VALUE"""),"MasterFund")</f>
        <v>MasterFund</v>
      </c>
      <c r="D5" s="29" t="str">
        <f>IFERROR(__xludf.DUMMYFUNCTION("""COMPUTED_VALUE"""),"AccountName")</f>
        <v>AccountName</v>
      </c>
      <c r="E5" s="29" t="str">
        <f>IFERROR(__xludf.DUMMYFUNCTION("""COMPUTED_VALUE"""),"Percentage")</f>
        <v>Percentage</v>
      </c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13" t="s">
        <v>17</v>
      </c>
      <c r="C6" s="44" t="s">
        <v>22</v>
      </c>
      <c r="D6" s="44" t="s">
        <v>27</v>
      </c>
      <c r="E6" s="45">
        <v>100.0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2"/>
      <c r="B7" s="13"/>
      <c r="C7" s="44"/>
      <c r="D7" s="44"/>
      <c r="E7" s="43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SetMFPrefAccountValues1!$4:$4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IFERROR(__xludf.DUMMYFUNCTION("""COMPUTED_VALUE"""),"MasterFund")</f>
        <v>MasterFund</v>
      </c>
      <c r="D5" s="29" t="str">
        <f>IFERROR(__xludf.DUMMYFUNCTION("""COMPUTED_VALUE"""),"AccountName")</f>
        <v>AccountName</v>
      </c>
      <c r="E5" s="29" t="str">
        <f>IFERROR(__xludf.DUMMYFUNCTION("""COMPUTED_VALUE"""),"Percentage")</f>
        <v>Percentage</v>
      </c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13" t="s">
        <v>17</v>
      </c>
      <c r="C6" s="44" t="s">
        <v>23</v>
      </c>
      <c r="D6" s="44" t="s">
        <v>28</v>
      </c>
      <c r="E6" s="45">
        <v>100.0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SetMFPrefAccountValues2!$4:$4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IFERROR(__xludf.DUMMYFUNCTION("""COMPUTED_VALUE"""),"EditOrder")</f>
        <v>EditOrder</v>
      </c>
      <c r="AO5" s="31" t="str">
        <f>IFERROR(__xludf.DUMMYFUNCTION("""COMPUTED_VALUE"""),"ShortLocate")</f>
        <v>ShortLocate</v>
      </c>
      <c r="AP5" s="31" t="str">
        <f>IFERROR(__xludf.DUMMYFUNCTION("""COMPUTED_VALUE"""),"ChkBoxBookAsSwap")</f>
        <v>ChkBoxBookAsSwap</v>
      </c>
      <c r="AQ5" s="31" t="str">
        <f>IFERROR(__xludf.DUMMYFUNCTION("""COMPUTED_VALUE"""),"Interest Rate")</f>
        <v>Interest Rate</v>
      </c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3" t="s">
        <v>31</v>
      </c>
      <c r="C6" s="34" t="s">
        <v>32</v>
      </c>
      <c r="D6" s="45">
        <v>100.0</v>
      </c>
      <c r="E6" s="45">
        <v>100.0</v>
      </c>
      <c r="F6" s="44" t="s">
        <v>17</v>
      </c>
      <c r="G6" s="34"/>
      <c r="H6" s="34"/>
      <c r="I6" s="34"/>
      <c r="J6" s="45">
        <v>10.0</v>
      </c>
      <c r="K6" s="34"/>
      <c r="L6" s="34"/>
      <c r="M6" s="34"/>
      <c r="N6" s="46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13" t="s">
        <v>33</v>
      </c>
      <c r="C7" s="13" t="s">
        <v>32</v>
      </c>
      <c r="D7" s="13">
        <v>100.0</v>
      </c>
      <c r="E7" s="13">
        <v>100.0</v>
      </c>
      <c r="F7" s="13" t="s">
        <v>17</v>
      </c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IFERROR(__xludf.DUMMYFUNCTION("""COMPUTED_VALUE"""),"Transaction Time")</f>
        <v>Transaction Time</v>
      </c>
      <c r="C5" s="29" t="str">
        <f>IFERROR(__xludf.DUMMYFUNCTION("""COMPUTED_VALUE"""),"Algo")</f>
        <v>Algo</v>
      </c>
      <c r="D5" s="29" t="str">
        <f>IFERROR(__xludf.DUMMYFUNCTION("""COMPUTED_VALUE"""),"Avg Fill Price (Base)")</f>
        <v>Avg Fill Price (Base)</v>
      </c>
      <c r="E5" s="29" t="str">
        <f>IFERROR(__xludf.DUMMYFUNCTION("""COMPUTED_VALUE"""),"Bloomberg Symbol")</f>
        <v>Bloomberg Symbol</v>
      </c>
      <c r="F5" s="30" t="str">
        <f>IFERROR(__xludf.DUMMYFUNCTION("""COMPUTED_VALUE"""),"Limit Price")</f>
        <v>Limit Price</v>
      </c>
      <c r="G5" s="29" t="str">
        <f>IFERROR(__xludf.DUMMYFUNCTION("""COMPUTED_VALUE"""),"Working Qty")</f>
        <v>Working Qty</v>
      </c>
      <c r="H5" s="29" t="str">
        <f>IFERROR(__xludf.DUMMYFUNCTION("""COMPUTED_VALUE"""),"Venue")</f>
        <v>Venue</v>
      </c>
      <c r="I5" s="29" t="str">
        <f>IFERROR(__xludf.DUMMYFUNCTION("""COMPUTED_VALUE"""),"User")</f>
        <v>User</v>
      </c>
      <c r="J5" s="29" t="str">
        <f>IFERROR(__xludf.DUMMYFUNCTION("""COMPUTED_VALUE"""),"Underlying Symbol")</f>
        <v>Underlying Symbol</v>
      </c>
      <c r="K5" s="29" t="str">
        <f>IFERROR(__xludf.DUMMYFUNCTION("""COMPUTED_VALUE"""),"Underlying Country")</f>
        <v>Underlying Country</v>
      </c>
      <c r="L5" s="29" t="str">
        <f>IFERROR(__xludf.DUMMYFUNCTION("""COMPUTED_VALUE"""),"Trader")</f>
        <v>Trader</v>
      </c>
      <c r="M5" s="29" t="str">
        <f>IFERROR(__xludf.DUMMYFUNCTION("""COMPUTED_VALUE"""),"Trade Attribute 6")</f>
        <v>Trade Attribute 6</v>
      </c>
      <c r="N5" s="29" t="str">
        <f>IFERROR(__xludf.DUMMYFUNCTION("""COMPUTED_VALUE"""),"Trade Attribute 5")</f>
        <v>Trade Attribute 5</v>
      </c>
      <c r="O5" s="29" t="str">
        <f>IFERROR(__xludf.DUMMYFUNCTION("""COMPUTED_VALUE"""),"Trade Attribute 4")</f>
        <v>Trade Attribute 4</v>
      </c>
      <c r="P5" s="29" t="str">
        <f>IFERROR(__xludf.DUMMYFUNCTION("""COMPUTED_VALUE"""),"Trade Attribute 3")</f>
        <v>Trade Attribute 3</v>
      </c>
      <c r="Q5" s="29" t="str">
        <f>IFERROR(__xludf.DUMMYFUNCTION("""COMPUTED_VALUE"""),"Trade Attribute 1")</f>
        <v>Trade Attribute 1</v>
      </c>
      <c r="R5" s="29" t="str">
        <f>IFERROR(__xludf.DUMMYFUNCTION("""COMPUTED_VALUE"""),"Trade Attribute 2")</f>
        <v>Trade Attribute 2</v>
      </c>
      <c r="S5" s="29" t="str">
        <f>IFERROR(__xludf.DUMMYFUNCTION("""COMPUTED_VALUE"""),"Strike Price")</f>
        <v>Strike Price</v>
      </c>
      <c r="T5" s="31" t="str">
        <f>IFERROR(__xludf.DUMMYFUNCTION("""COMPUTED_VALUE"""),"Stop Price")</f>
        <v>Stop Price</v>
      </c>
      <c r="U5" s="31" t="str">
        <f>IFERROR(__xludf.DUMMYFUNCTION("""COMPUTED_VALUE"""),"Settlement Currency")</f>
        <v>Settlement Currency</v>
      </c>
      <c r="V5" s="31" t="str">
        <f>IFERROR(__xludf.DUMMYFUNCTION("""COMPUTED_VALUE"""),"Put/Call")</f>
        <v>Put/Call</v>
      </c>
      <c r="W5" s="31" t="str">
        <f>IFERROR(__xludf.DUMMYFUNCTION("""COMPUTED_VALUE"""),"Process Date")</f>
        <v>Process Date</v>
      </c>
      <c r="X5" s="31" t="str">
        <f>IFERROR(__xludf.DUMMYFUNCTION("""COMPUTED_VALUE"""),"Peg")</f>
        <v>Peg</v>
      </c>
      <c r="Y5" s="31" t="str">
        <f>IFERROR(__xludf.DUMMYFUNCTION("""COMPUTED_VALUE"""),"ParentClOrderID")</f>
        <v>ParentClOrderID</v>
      </c>
      <c r="Z5" s="31" t="str">
        <f>IFERROR(__xludf.DUMMYFUNCTION("""COMPUTED_VALUE"""),"OrderID")</f>
        <v>OrderID</v>
      </c>
      <c r="AA5" s="31" t="str">
        <f>IFERROR(__xludf.DUMMYFUNCTION("""COMPUTED_VALUE"""),"Master Fund")</f>
        <v>Master Fund</v>
      </c>
      <c r="AB5" s="31" t="str">
        <f>IFERROR(__xludf.DUMMYFUNCTION("""COMPUTED_VALUE"""),"Last Shares")</f>
        <v>Last Shares</v>
      </c>
      <c r="AC5" s="31" t="str">
        <f>IFERROR(__xludf.DUMMYFUNCTION("""COMPUTED_VALUE"""),"Internal Comments")</f>
        <v>Internal Comments</v>
      </c>
      <c r="AD5" s="31" t="str">
        <f>IFERROR(__xludf.DUMMYFUNCTION("""COMPUTED_VALUE"""),"FX Rate")</f>
        <v>FX Rate</v>
      </c>
      <c r="AE5" s="31" t="str">
        <f>IFERROR(__xludf.DUMMYFUNCTION("""COMPUTED_VALUE"""),"Imported File Name")</f>
        <v>Imported File Name</v>
      </c>
      <c r="AF5" s="31" t="str">
        <f>IFERROR(__xludf.DUMMYFUNCTION("""COMPUTED_VALUE"""),"FX Conversion Operator")</f>
        <v>FX Conversion Operator</v>
      </c>
      <c r="AG5" s="31" t="str">
        <f>IFERROR(__xludf.DUMMYFUNCTION("""COMPUTED_VALUE"""),"Day Average Price")</f>
        <v>Day Average Price</v>
      </c>
      <c r="AH5" s="31" t="str">
        <f>IFERROR(__xludf.DUMMYFUNCTION("""COMPUTED_VALUE"""),"Asset Class")</f>
        <v>Asset Class</v>
      </c>
      <c r="AI5" s="31" t="str">
        <f>IFERROR(__xludf.DUMMYFUNCTION("""COMPUTED_VALUE"""),"Symbol")</f>
        <v>Symbol</v>
      </c>
      <c r="AJ5" s="31" t="str">
        <f>IFERROR(__xludf.DUMMYFUNCTION("""COMPUTED_VALUE"""),"Side")</f>
        <v>Side</v>
      </c>
      <c r="AK5" s="31" t="str">
        <f>IFERROR(__xludf.DUMMYFUNCTION("""COMPUTED_VALUE"""),"Status")</f>
        <v>Status</v>
      </c>
      <c r="AL5" s="31" t="str">
        <f>IFERROR(__xludf.DUMMYFUNCTION("""COMPUTED_VALUE"""),"Target Qty")</f>
        <v>Target Qty</v>
      </c>
      <c r="AM5" s="31" t="str">
        <f>IFERROR(__xludf.DUMMYFUNCTION("""COMPUTED_VALUE"""),"Total Executed Qty")</f>
        <v>Total Executed Qty</v>
      </c>
      <c r="AN5" s="31" t="str">
        <f>IFERROR(__xludf.DUMMYFUNCTION("""COMPUTED_VALUE"""),"% Executed")</f>
        <v>% Executed</v>
      </c>
      <c r="AO5" s="31" t="str">
        <f>IFERROR(__xludf.DUMMYFUNCTION("""COMPUTED_VALUE"""),"Day Executed Qty")</f>
        <v>Day Executed Qty</v>
      </c>
      <c r="AP5" s="31" t="str">
        <f>IFERROR(__xludf.DUMMYFUNCTION("""COMPUTED_VALUE"""),"Uncommitted Qty")</f>
        <v>Uncommitted Qty</v>
      </c>
      <c r="AQ5" s="31" t="str">
        <f>IFERROR(__xludf.DUMMYFUNCTION("""COMPUTED_VALUE"""),"Last Fill Price (Local)")</f>
        <v>Last Fill Price (Local)</v>
      </c>
      <c r="AR5" s="31" t="str">
        <f>IFERROR(__xludf.DUMMYFUNCTION("""COMPUTED_VALUE"""),"Avg Fill Price (Local)")</f>
        <v>Avg Fill Price (Local)</v>
      </c>
      <c r="AS5" s="31" t="str">
        <f>IFERROR(__xludf.DUMMYFUNCTION("""COMPUTED_VALUE"""),"Broker")</f>
        <v>Broker</v>
      </c>
      <c r="AT5" s="31" t="str">
        <f>IFERROR(__xludf.DUMMYFUNCTION("""COMPUTED_VALUE"""),"Account")</f>
        <v>Account</v>
      </c>
      <c r="AU5" s="31" t="str">
        <f>IFERROR(__xludf.DUMMYFUNCTION("""COMPUTED_VALUE"""),"Order Type")</f>
        <v>Order Type</v>
      </c>
      <c r="AV5" s="31" t="str">
        <f>IFERROR(__xludf.DUMMYFUNCTION("""COMPUTED_VALUE"""),"Principal Amount (Local)")</f>
        <v>Principal Amount (Local)</v>
      </c>
      <c r="AW5" s="31" t="str">
        <f>IFERROR(__xludf.DUMMYFUNCTION("""COMPUTED_VALUE"""),"Principal Amount (Base)")</f>
        <v>Principal Amount (Base)</v>
      </c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3"/>
      <c r="C6" s="34"/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47" t="s">
        <v>31</v>
      </c>
      <c r="AJ6" s="48" t="s">
        <v>32</v>
      </c>
      <c r="AK6" s="47" t="s">
        <v>36</v>
      </c>
      <c r="AL6" s="49">
        <v>100.0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33</v>
      </c>
      <c r="AJ7" s="9" t="s">
        <v>32</v>
      </c>
      <c r="AK7" s="9" t="s">
        <v>36</v>
      </c>
      <c r="AL7" s="9">
        <v>100.0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 Quantity")</f>
        <v>Target Quantity</v>
      </c>
      <c r="F5" s="30" t="str">
        <f>IFERROR(__xludf.DUMMYFUNCTION("""COMPUTED_VALUE"""),"Allocation")</f>
        <v>Allocation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 Rate")</f>
        <v>FX 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 Basis")</f>
        <v>Commission Basis</v>
      </c>
      <c r="S5" s="29" t="str">
        <f>IFERROR(__xludf.DUMMYFUNCTION("""COMPUTED_VALUE"""),"Commission Rate")</f>
        <v>Commission Rate</v>
      </c>
      <c r="T5" s="31" t="str">
        <f>IFERROR(__xludf.DUMMYFUNCTION("""COMPUTED_VALUE"""),"Soft Basis")</f>
        <v>Soft Basis</v>
      </c>
      <c r="U5" s="31" t="str">
        <f>IFERROR(__xludf.DUMMYFUNCTION("""COMPUTED_VALUE"""),"Soft Rate")</f>
        <v>Soft Rate</v>
      </c>
      <c r="V5" s="31" t="str">
        <f>IFERROR(__xludf.DUMMYFUNCTION("""COMPUTED_VALUE"""),"Trade Attribute 1")</f>
        <v>Trade Attribute 1</v>
      </c>
      <c r="W5" s="31" t="str">
        <f>IFERROR(__xludf.DUMMYFUNCTION("""COMPUTED_VALUE"""),"Trade Attribute 2")</f>
        <v>Trade Attribute 2</v>
      </c>
      <c r="X5" s="31" t="str">
        <f>IFERROR(__xludf.DUMMYFUNCTION("""COMPUTED_VALUE"""),"Trade Attribute 3")</f>
        <v>Trade Attribute 3</v>
      </c>
      <c r="Y5" s="31" t="str">
        <f>IFERROR(__xludf.DUMMYFUNCTION("""COMPUTED_VALUE"""),"Trade Attribute 4")</f>
        <v>Trade Attribute 4</v>
      </c>
      <c r="Z5" s="31" t="str">
        <f>IFERROR(__xludf.DUMMYFUNCTION("""COMPUTED_VALUE"""),"Trade Attribute 5")</f>
        <v>Trade Attribute 5</v>
      </c>
      <c r="AA5" s="31" t="str">
        <f>IFERROR(__xludf.DUMMYFUNCTION("""COMPUTED_VALUE"""),"Trade Attribute 6")</f>
        <v>Trade Attribute 6</v>
      </c>
      <c r="AB5" s="31" t="str">
        <f>IFERROR(__xludf.DUMMYFUNCTION("""COMPUTED_VALUE"""),"Venue")</f>
        <v>Venue</v>
      </c>
      <c r="AC5" s="31" t="str">
        <f>IFERROR(__xludf.DUMMYFUNCTION("""COMPUTED_VALUE"""),"Execution Instructions")</f>
        <v>Execution Instructions</v>
      </c>
      <c r="AD5" s="31" t="str">
        <f>IFERROR(__xludf.DUMMYFUNCTION("""COMPUTED_VALUE"""),"Handling Instructions")</f>
        <v>Handling Instructions</v>
      </c>
      <c r="AE5" s="31" t="str">
        <f>IFERROR(__xludf.DUMMYFUNCTION("""COMPUTED_VALUE"""),"Trader")</f>
        <v>Trader</v>
      </c>
      <c r="AF5" s="31" t="str">
        <f>IFERROR(__xludf.DUMMYFUNCTION("""COMPUTED_VALUE"""),"Settlement Currency")</f>
        <v>Settlement Currency</v>
      </c>
      <c r="AG5" s="31" t="str">
        <f>IFERROR(__xludf.DUMMYFUNCTION("""COMPUTED_VALUE"""),"Settlement Fx Rate")</f>
        <v>Settlement Fx Rate</v>
      </c>
      <c r="AH5" s="31" t="str">
        <f>IFERROR(__xludf.DUMMYFUNCTION("""COMPUTED_VALUE"""),"Settlement Amount")</f>
        <v>Settlement Amount</v>
      </c>
      <c r="AI5" s="31" t="str">
        <f>IFERROR(__xludf.DUMMYFUNCTION("""COMPUTED_VALUE"""),"Settlement Fx Operator")</f>
        <v>Settlement Fx Operator</v>
      </c>
      <c r="AJ5" s="31" t="str">
        <f>IFERROR(__xludf.DUMMYFUNCTION("""COMPUTED_VALUE"""),"ImportFileName")</f>
        <v>ImportFileName</v>
      </c>
      <c r="AK5" s="31" t="str">
        <f>IFERROR(__xludf.DUMMYFUNCTION("""COMPUTED_VALUE"""),"SharesOutstandingPopUp")</f>
        <v>SharesOutstandingPopUp</v>
      </c>
      <c r="AL5" s="31" t="str">
        <f>IFERROR(__xludf.DUMMYFUNCTION("""COMPUTED_VALUE"""),"PopUpQuantity")</f>
        <v>PopUpQuantity</v>
      </c>
      <c r="AM5" s="31" t="str">
        <f>IFERROR(__xludf.DUMMYFUNCTION("""COMPUTED_VALUE"""),"ResAllowedListPopUp")</f>
        <v>ResAllowedListPopUp</v>
      </c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3" t="s">
        <v>31</v>
      </c>
      <c r="C6" s="34" t="s">
        <v>32</v>
      </c>
      <c r="D6" s="45">
        <v>100.0</v>
      </c>
      <c r="E6" s="45">
        <v>100.0</v>
      </c>
      <c r="F6" s="50" t="s">
        <v>17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2"/>
      <c r="B7" s="50" t="s">
        <v>33</v>
      </c>
      <c r="C7" s="34" t="s">
        <v>32</v>
      </c>
      <c r="D7" s="45">
        <v>100.0</v>
      </c>
      <c r="E7" s="45">
        <v>100.0</v>
      </c>
      <c r="F7" s="50" t="s">
        <v>17</v>
      </c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IFERROR(__xludf.DUMMYFUNCTION("""COMPUTED_VALUE"""),"Transaction Time")</f>
        <v>Transaction Time</v>
      </c>
      <c r="C5" s="29" t="str">
        <f>IFERROR(__xludf.DUMMYFUNCTION("""COMPUTED_VALUE"""),"Algo")</f>
        <v>Algo</v>
      </c>
      <c r="D5" s="29" t="str">
        <f>IFERROR(__xludf.DUMMYFUNCTION("""COMPUTED_VALUE"""),"Avg Fill Price (Base)")</f>
        <v>Avg Fill Price (Base)</v>
      </c>
      <c r="E5" s="29" t="str">
        <f>IFERROR(__xludf.DUMMYFUNCTION("""COMPUTED_VALUE"""),"Bloomberg Symbol")</f>
        <v>Bloomberg Symbol</v>
      </c>
      <c r="F5" s="30" t="str">
        <f>IFERROR(__xludf.DUMMYFUNCTION("""COMPUTED_VALUE"""),"Limit Price")</f>
        <v>Limit Price</v>
      </c>
      <c r="G5" s="29" t="str">
        <f>IFERROR(__xludf.DUMMYFUNCTION("""COMPUTED_VALUE"""),"Working Qty")</f>
        <v>Working Qty</v>
      </c>
      <c r="H5" s="29" t="str">
        <f>IFERROR(__xludf.DUMMYFUNCTION("""COMPUTED_VALUE"""),"Venue")</f>
        <v>Venue</v>
      </c>
      <c r="I5" s="29" t="str">
        <f>IFERROR(__xludf.DUMMYFUNCTION("""COMPUTED_VALUE"""),"Current User")</f>
        <v>Current User</v>
      </c>
      <c r="J5" s="29" t="str">
        <f>IFERROR(__xludf.DUMMYFUNCTION("""COMPUTED_VALUE"""),"Underlying Symbol")</f>
        <v>Underlying Symbol</v>
      </c>
      <c r="K5" s="29" t="str">
        <f>IFERROR(__xludf.DUMMYFUNCTION("""COMPUTED_VALUE"""),"Underlying Country")</f>
        <v>Underlying Country</v>
      </c>
      <c r="L5" s="29" t="str">
        <f>IFERROR(__xludf.DUMMYFUNCTION("""COMPUTED_VALUE"""),"Trader")</f>
        <v>Trader</v>
      </c>
      <c r="M5" s="29" t="str">
        <f>IFERROR(__xludf.DUMMYFUNCTION("""COMPUTED_VALUE"""),"Trade Attribute 6")</f>
        <v>Trade Attribute 6</v>
      </c>
      <c r="N5" s="29" t="str">
        <f>IFERROR(__xludf.DUMMYFUNCTION("""COMPUTED_VALUE"""),"Trade Attribute 5")</f>
        <v>Trade Attribute 5</v>
      </c>
      <c r="O5" s="29" t="str">
        <f>IFERROR(__xludf.DUMMYFUNCTION("""COMPUTED_VALUE"""),"Trade Attribute 4")</f>
        <v>Trade Attribute 4</v>
      </c>
      <c r="P5" s="29" t="str">
        <f>IFERROR(__xludf.DUMMYFUNCTION("""COMPUTED_VALUE"""),"Trade Attribute 3")</f>
        <v>Trade Attribute 3</v>
      </c>
      <c r="Q5" s="29" t="str">
        <f>IFERROR(__xludf.DUMMYFUNCTION("""COMPUTED_VALUE"""),"Trade Attribute 1")</f>
        <v>Trade Attribute 1</v>
      </c>
      <c r="R5" s="29" t="str">
        <f>IFERROR(__xludf.DUMMYFUNCTION("""COMPUTED_VALUE"""),"Trade Attribute 2")</f>
        <v>Trade Attribute 2</v>
      </c>
      <c r="S5" s="29" t="str">
        <f>IFERROR(__xludf.DUMMYFUNCTION("""COMPUTED_VALUE"""),"Strike Price")</f>
        <v>Strike Price</v>
      </c>
      <c r="T5" s="31" t="str">
        <f>IFERROR(__xludf.DUMMYFUNCTION("""COMPUTED_VALUE"""),"Stop Price")</f>
        <v>Stop Price</v>
      </c>
      <c r="U5" s="31" t="str">
        <f>IFERROR(__xludf.DUMMYFUNCTION("""COMPUTED_VALUE"""),"Settlement Currency")</f>
        <v>Settlement Currency</v>
      </c>
      <c r="V5" s="31" t="str">
        <f>IFERROR(__xludf.DUMMYFUNCTION("""COMPUTED_VALUE"""),"Put/Call")</f>
        <v>Put/Call</v>
      </c>
      <c r="W5" s="31" t="str">
        <f>IFERROR(__xludf.DUMMYFUNCTION("""COMPUTED_VALUE"""),"Process Date")</f>
        <v>Process Date</v>
      </c>
      <c r="X5" s="31" t="str">
        <f>IFERROR(__xludf.DUMMYFUNCTION("""COMPUTED_VALUE"""),"Peg")</f>
        <v>Peg</v>
      </c>
      <c r="Y5" s="31" t="str">
        <f>IFERROR(__xludf.DUMMYFUNCTION("""COMPUTED_VALUE"""),"ParentClOrderID")</f>
        <v>ParentClOrderID</v>
      </c>
      <c r="Z5" s="31" t="str">
        <f>IFERROR(__xludf.DUMMYFUNCTION("""COMPUTED_VALUE"""),"OrderID")</f>
        <v>OrderID</v>
      </c>
      <c r="AA5" s="31" t="str">
        <f>IFERROR(__xludf.DUMMYFUNCTION("""COMPUTED_VALUE"""),"Master Fund")</f>
        <v>Master Fund</v>
      </c>
      <c r="AB5" s="31" t="str">
        <f>IFERROR(__xludf.DUMMYFUNCTION("""COMPUTED_VALUE"""),"Last Shares")</f>
        <v>Last Shares</v>
      </c>
      <c r="AC5" s="31" t="str">
        <f>IFERROR(__xludf.DUMMYFUNCTION("""COMPUTED_VALUE"""),"Internal Comments")</f>
        <v>Internal Comments</v>
      </c>
      <c r="AD5" s="31" t="str">
        <f>IFERROR(__xludf.DUMMYFUNCTION("""COMPUTED_VALUE"""),"FX Rate")</f>
        <v>FX Rate</v>
      </c>
      <c r="AE5" s="31" t="str">
        <f>IFERROR(__xludf.DUMMYFUNCTION("""COMPUTED_VALUE"""),"Imported File Name")</f>
        <v>Imported File Name</v>
      </c>
      <c r="AF5" s="31" t="str">
        <f>IFERROR(__xludf.DUMMYFUNCTION("""COMPUTED_VALUE"""),"FX Conversion Operator")</f>
        <v>FX Conversion Operator</v>
      </c>
      <c r="AG5" s="31" t="str">
        <f>IFERROR(__xludf.DUMMYFUNCTION("""COMPUTED_VALUE"""),"Day Average Price")</f>
        <v>Day Average Price</v>
      </c>
      <c r="AH5" s="31" t="str">
        <f>IFERROR(__xludf.DUMMYFUNCTION("""COMPUTED_VALUE"""),"Asset Class")</f>
        <v>Asset Class</v>
      </c>
      <c r="AI5" s="31" t="str">
        <f>IFERROR(__xludf.DUMMYFUNCTION("""COMPUTED_VALUE"""),"Symbol")</f>
        <v>Symbol</v>
      </c>
      <c r="AJ5" s="31" t="str">
        <f>IFERROR(__xludf.DUMMYFUNCTION("""COMPUTED_VALUE"""),"Side")</f>
        <v>Side</v>
      </c>
      <c r="AK5" s="31" t="str">
        <f>IFERROR(__xludf.DUMMYFUNCTION("""COMPUTED_VALUE"""),"Status")</f>
        <v>Status</v>
      </c>
      <c r="AL5" s="31" t="str">
        <f>IFERROR(__xludf.DUMMYFUNCTION("""COMPUTED_VALUE"""),"Target Qty")</f>
        <v>Target Qty</v>
      </c>
      <c r="AM5" s="31" t="str">
        <f>IFERROR(__xludf.DUMMYFUNCTION("""COMPUTED_VALUE"""),"Total Executed Qty")</f>
        <v>Total Executed Qty</v>
      </c>
      <c r="AN5" s="31" t="str">
        <f>IFERROR(__xludf.DUMMYFUNCTION("""COMPUTED_VALUE"""),"% Executed")</f>
        <v>% Executed</v>
      </c>
      <c r="AO5" s="31" t="str">
        <f>IFERROR(__xludf.DUMMYFUNCTION("""COMPUTED_VALUE"""),"Day Executed Qty")</f>
        <v>Day Executed Qty</v>
      </c>
      <c r="AP5" s="31" t="str">
        <f>IFERROR(__xludf.DUMMYFUNCTION("""COMPUTED_VALUE"""),"Uncommitted Qty")</f>
        <v>Uncommitted Qty</v>
      </c>
      <c r="AQ5" s="31" t="str">
        <f>IFERROR(__xludf.DUMMYFUNCTION("""COMPUTED_VALUE"""),"Last Fill Price (Local)")</f>
        <v>Last Fill Price (Local)</v>
      </c>
      <c r="AR5" s="31" t="str">
        <f>IFERROR(__xludf.DUMMYFUNCTION("""COMPUTED_VALUE"""),"Avg Fill Price (Local)")</f>
        <v>Avg Fill Price (Local)</v>
      </c>
      <c r="AS5" s="31" t="str">
        <f>IFERROR(__xludf.DUMMYFUNCTION("""COMPUTED_VALUE"""),"Broker")</f>
        <v>Broker</v>
      </c>
      <c r="AT5" s="31" t="str">
        <f>IFERROR(__xludf.DUMMYFUNCTION("""COMPUTED_VALUE"""),"Account")</f>
        <v>Account</v>
      </c>
      <c r="AU5" s="31" t="str">
        <f>IFERROR(__xludf.DUMMYFUNCTION("""COMPUTED_VALUE"""),"Order Type")</f>
        <v>Order Type</v>
      </c>
      <c r="AV5" s="31" t="str">
        <f>IFERROR(__xludf.DUMMYFUNCTION("""COMPUTED_VALUE"""),"Principal Amount (Local)")</f>
        <v>Principal Amount (Local)</v>
      </c>
      <c r="AW5" s="31" t="str">
        <f>IFERROR(__xludf.DUMMYFUNCTION("""COMPUTED_VALUE"""),"Principal Amount (Base)")</f>
        <v>Principal Amount (Base)</v>
      </c>
      <c r="AX5" s="31" t="str">
        <f>IFERROR(__xludf.DUMMYFUNCTION("""COMPUTED_VALUE"""),"Allocation Scheme Name")</f>
        <v>Allocation Scheme Name</v>
      </c>
      <c r="AY5" s="31" t="str">
        <f>IFERROR(__xludf.DUMMYFUNCTION("""COMPUTED_VALUE"""),"Start of Day Qty")</f>
        <v>Start of Day Qty</v>
      </c>
      <c r="AZ5" s="31" t="str">
        <f>IFERROR(__xludf.DUMMYFUNCTION("""COMPUTED_VALUE"""),"Leaves")</f>
        <v>Leaves</v>
      </c>
      <c r="BA5" s="31" t="str">
        <f>IFERROR(__xludf.DUMMYFUNCTION("""COMPUTED_VALUE"""),"Actual User")</f>
        <v>Actual User</v>
      </c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  <c r="FN5" s="31"/>
      <c r="FO5" s="31"/>
      <c r="FP5" s="31"/>
      <c r="FQ5" s="31"/>
      <c r="FR5" s="31"/>
      <c r="FS5" s="31"/>
      <c r="FT5" s="31"/>
      <c r="FU5" s="31"/>
      <c r="FV5" s="31"/>
      <c r="FW5" s="31"/>
      <c r="FX5" s="31"/>
      <c r="FY5" s="31"/>
      <c r="FZ5" s="31"/>
      <c r="GA5" s="31"/>
      <c r="GB5" s="31"/>
      <c r="GC5" s="31"/>
      <c r="GD5" s="31"/>
      <c r="GE5" s="31"/>
      <c r="GF5" s="31"/>
      <c r="GG5" s="31"/>
      <c r="GH5" s="31"/>
      <c r="GI5" s="31"/>
      <c r="GJ5" s="31"/>
      <c r="GK5" s="31"/>
      <c r="GL5" s="31"/>
      <c r="GM5" s="31"/>
      <c r="GN5" s="31"/>
      <c r="GO5" s="31"/>
      <c r="GP5" s="31"/>
      <c r="GQ5" s="31"/>
      <c r="GR5" s="31"/>
      <c r="GS5" s="31"/>
      <c r="GT5" s="31"/>
      <c r="GU5" s="31"/>
      <c r="GV5" s="31"/>
      <c r="GW5" s="31"/>
      <c r="GX5" s="31"/>
      <c r="GY5" s="31"/>
      <c r="GZ5" s="31"/>
      <c r="HA5" s="31"/>
      <c r="HB5" s="31"/>
      <c r="HC5" s="31"/>
      <c r="HD5" s="31"/>
      <c r="HE5" s="31"/>
      <c r="HF5" s="31"/>
      <c r="HG5" s="31"/>
      <c r="HH5" s="31"/>
      <c r="HI5" s="31"/>
      <c r="HJ5" s="31"/>
      <c r="HK5" s="31"/>
      <c r="HL5" s="31"/>
      <c r="HM5" s="31"/>
      <c r="HN5" s="31"/>
      <c r="HO5" s="31"/>
      <c r="HP5" s="31"/>
      <c r="HQ5" s="31"/>
      <c r="HR5" s="31"/>
      <c r="HS5" s="31"/>
      <c r="HT5" s="31"/>
      <c r="HU5" s="31"/>
      <c r="HV5" s="31"/>
      <c r="HW5" s="31"/>
      <c r="HX5" s="31"/>
      <c r="HY5" s="31"/>
      <c r="HZ5" s="31"/>
      <c r="IA5" s="31"/>
      <c r="IB5" s="31"/>
      <c r="IC5" s="31"/>
      <c r="ID5" s="31"/>
      <c r="IE5" s="31"/>
      <c r="IF5" s="31"/>
      <c r="IG5" s="31"/>
      <c r="IH5" s="31"/>
      <c r="II5" s="31"/>
      <c r="IJ5" s="31"/>
      <c r="IK5" s="31"/>
      <c r="IL5" s="31"/>
      <c r="IM5" s="31"/>
      <c r="IN5" s="31"/>
      <c r="IO5" s="31"/>
      <c r="IP5" s="31"/>
      <c r="IQ5" s="31"/>
      <c r="IR5" s="31"/>
      <c r="IS5" s="31"/>
      <c r="IT5" s="31"/>
      <c r="IU5" s="31"/>
      <c r="IV5" s="31"/>
      <c r="IW5" s="31"/>
      <c r="IX5" s="31"/>
      <c r="IY5" s="31"/>
      <c r="IZ5" s="31"/>
      <c r="JA5" s="31"/>
      <c r="JB5" s="31"/>
      <c r="JC5" s="31"/>
      <c r="JD5" s="31"/>
      <c r="JE5" s="31"/>
      <c r="JF5" s="31"/>
      <c r="JG5" s="31"/>
      <c r="JH5" s="31"/>
      <c r="JI5" s="31"/>
      <c r="JJ5" s="31"/>
      <c r="JK5" s="31"/>
      <c r="JL5" s="31"/>
      <c r="JM5" s="31"/>
      <c r="JN5" s="31"/>
      <c r="JO5" s="31"/>
      <c r="JP5" s="31"/>
      <c r="JQ5" s="31"/>
      <c r="JR5" s="31"/>
      <c r="JS5" s="31"/>
      <c r="JT5" s="31"/>
      <c r="JU5" s="31"/>
      <c r="JV5" s="31"/>
      <c r="JW5" s="31"/>
      <c r="JX5" s="31"/>
      <c r="JY5" s="31"/>
      <c r="JZ5" s="31"/>
      <c r="KA5" s="31"/>
      <c r="KB5" s="31"/>
      <c r="KC5" s="31"/>
      <c r="KD5" s="31"/>
      <c r="KE5" s="31"/>
      <c r="KF5" s="31"/>
      <c r="KG5" s="31"/>
      <c r="KH5" s="31"/>
      <c r="KI5" s="31"/>
      <c r="KJ5" s="31"/>
      <c r="KK5" s="31"/>
      <c r="KL5" s="31"/>
      <c r="KM5" s="31"/>
      <c r="KN5" s="31"/>
      <c r="KO5" s="31"/>
      <c r="KP5" s="31"/>
      <c r="KQ5" s="31"/>
      <c r="KR5" s="31"/>
      <c r="KS5" s="31"/>
      <c r="KT5" s="31"/>
      <c r="KU5" s="31"/>
      <c r="KV5" s="31"/>
      <c r="KW5" s="31"/>
      <c r="KX5" s="31"/>
      <c r="KY5" s="31"/>
      <c r="KZ5" s="31"/>
      <c r="LA5" s="31"/>
      <c r="LB5" s="31"/>
      <c r="LC5" s="31"/>
      <c r="LD5" s="31"/>
      <c r="LE5" s="31"/>
      <c r="LF5" s="31"/>
      <c r="LG5" s="31"/>
      <c r="LH5" s="31"/>
      <c r="LI5" s="31"/>
      <c r="LJ5" s="31"/>
      <c r="LK5" s="31"/>
      <c r="LL5" s="31"/>
      <c r="LM5" s="31"/>
      <c r="LN5" s="31"/>
      <c r="LO5" s="31"/>
      <c r="LP5" s="31"/>
      <c r="LQ5" s="31"/>
      <c r="LR5" s="31"/>
      <c r="LS5" s="31"/>
      <c r="LT5" s="31"/>
      <c r="LU5" s="31"/>
      <c r="LV5" s="31"/>
      <c r="LW5" s="31"/>
      <c r="LX5" s="31"/>
      <c r="LY5" s="31"/>
      <c r="LZ5" s="31"/>
      <c r="MA5" s="31"/>
      <c r="MB5" s="31"/>
      <c r="MC5" s="31"/>
      <c r="MD5" s="31"/>
      <c r="ME5" s="31"/>
      <c r="MF5" s="31"/>
      <c r="MG5" s="31"/>
      <c r="MH5" s="31"/>
      <c r="MI5" s="31"/>
      <c r="MJ5" s="31"/>
      <c r="MK5" s="31"/>
      <c r="ML5" s="31"/>
      <c r="MM5" s="31"/>
      <c r="MN5" s="31"/>
      <c r="MO5" s="31"/>
      <c r="MP5" s="31"/>
      <c r="MQ5" s="31"/>
      <c r="MR5" s="31"/>
      <c r="MS5" s="31"/>
      <c r="MT5" s="31"/>
      <c r="MU5" s="31"/>
      <c r="MV5" s="31"/>
      <c r="MW5" s="31"/>
      <c r="MX5" s="31"/>
      <c r="MY5" s="31"/>
      <c r="MZ5" s="31"/>
      <c r="NA5" s="31"/>
      <c r="NB5" s="31"/>
      <c r="NC5" s="31"/>
      <c r="ND5" s="31"/>
      <c r="NE5" s="31"/>
      <c r="NF5" s="31"/>
      <c r="NG5" s="31"/>
      <c r="NH5" s="31"/>
      <c r="NI5" s="31"/>
      <c r="NJ5" s="31"/>
      <c r="NK5" s="31"/>
      <c r="NL5" s="31"/>
      <c r="NM5" s="31"/>
      <c r="NN5" s="31"/>
      <c r="NO5" s="31"/>
      <c r="NP5" s="31"/>
      <c r="NQ5" s="31"/>
      <c r="NR5" s="31"/>
      <c r="NS5" s="31"/>
      <c r="NT5" s="31"/>
      <c r="NU5" s="31"/>
      <c r="NV5" s="31"/>
      <c r="NW5" s="31"/>
      <c r="NX5" s="31"/>
      <c r="NY5" s="31"/>
      <c r="NZ5" s="31"/>
      <c r="OA5" s="31"/>
      <c r="OB5" s="31"/>
      <c r="OC5" s="31"/>
      <c r="OD5" s="31"/>
      <c r="OE5" s="31"/>
      <c r="OF5" s="31"/>
      <c r="OG5" s="31"/>
      <c r="OH5" s="31"/>
      <c r="OI5" s="31"/>
      <c r="OJ5" s="31"/>
      <c r="OK5" s="31"/>
      <c r="OL5" s="31"/>
      <c r="OM5" s="31"/>
      <c r="ON5" s="31"/>
      <c r="OO5" s="31"/>
      <c r="OP5" s="31"/>
      <c r="OQ5" s="31"/>
      <c r="OR5" s="31"/>
      <c r="OS5" s="31"/>
      <c r="OT5" s="31"/>
      <c r="OU5" s="31"/>
      <c r="OV5" s="31"/>
      <c r="OW5" s="31"/>
      <c r="OX5" s="31"/>
      <c r="OY5" s="31"/>
      <c r="OZ5" s="31"/>
      <c r="PA5" s="31"/>
      <c r="PB5" s="31"/>
      <c r="PC5" s="31"/>
      <c r="PD5" s="31"/>
      <c r="PE5" s="31"/>
      <c r="PF5" s="31"/>
      <c r="PG5" s="31"/>
      <c r="PH5" s="31"/>
      <c r="PI5" s="31"/>
      <c r="PJ5" s="31"/>
      <c r="PK5" s="31"/>
      <c r="PL5" s="31"/>
      <c r="PM5" s="31"/>
      <c r="PN5" s="31"/>
      <c r="PO5" s="31"/>
      <c r="PP5" s="31"/>
      <c r="PQ5" s="31"/>
      <c r="PR5" s="31"/>
      <c r="PS5" s="31"/>
      <c r="PT5" s="31"/>
      <c r="PU5" s="31"/>
      <c r="PV5" s="31"/>
      <c r="PW5" s="31"/>
      <c r="PX5" s="31"/>
      <c r="PY5" s="31"/>
      <c r="PZ5" s="31"/>
      <c r="QA5" s="31"/>
      <c r="QB5" s="31"/>
      <c r="QC5" s="31"/>
      <c r="QD5" s="31"/>
      <c r="QE5" s="31"/>
      <c r="QF5" s="31"/>
      <c r="QG5" s="31"/>
      <c r="QH5" s="31"/>
      <c r="QI5" s="31"/>
      <c r="QJ5" s="31"/>
      <c r="QK5" s="31"/>
      <c r="QL5" s="31"/>
      <c r="QM5" s="31"/>
      <c r="QN5" s="31"/>
      <c r="QO5" s="31"/>
      <c r="QP5" s="31"/>
      <c r="QQ5" s="31"/>
      <c r="QR5" s="31"/>
      <c r="QS5" s="31"/>
      <c r="QT5" s="31"/>
      <c r="QU5" s="31"/>
      <c r="QV5" s="31"/>
      <c r="QW5" s="31"/>
      <c r="QX5" s="31"/>
      <c r="QY5" s="31"/>
      <c r="QZ5" s="31"/>
      <c r="RA5" s="31"/>
      <c r="RB5" s="31"/>
      <c r="RC5" s="31"/>
      <c r="RD5" s="31"/>
      <c r="RE5" s="31"/>
      <c r="RF5" s="31"/>
      <c r="RG5" s="31"/>
      <c r="RH5" s="31"/>
      <c r="RI5" s="31"/>
      <c r="RJ5" s="31"/>
      <c r="RK5" s="31"/>
      <c r="RL5" s="31"/>
      <c r="RM5" s="31"/>
      <c r="RN5" s="31"/>
      <c r="RO5" s="31"/>
      <c r="RP5" s="31"/>
      <c r="RQ5" s="31"/>
      <c r="RR5" s="31"/>
      <c r="RS5" s="31"/>
      <c r="RT5" s="31"/>
      <c r="RU5" s="31"/>
      <c r="RV5" s="31"/>
      <c r="RW5" s="31"/>
      <c r="RX5" s="31"/>
      <c r="RY5" s="31"/>
      <c r="RZ5" s="31"/>
      <c r="SA5" s="31"/>
      <c r="SB5" s="31"/>
      <c r="SC5" s="31"/>
      <c r="SD5" s="31"/>
      <c r="SE5" s="31"/>
      <c r="SF5" s="31"/>
      <c r="SG5" s="31"/>
      <c r="SH5" s="31"/>
      <c r="SI5" s="31"/>
      <c r="SJ5" s="31"/>
      <c r="SK5" s="31"/>
      <c r="SL5" s="31"/>
      <c r="SM5" s="31"/>
      <c r="SN5" s="31"/>
      <c r="SO5" s="31"/>
      <c r="SP5" s="31"/>
      <c r="SQ5" s="31"/>
      <c r="SR5" s="31"/>
      <c r="SS5" s="31"/>
      <c r="ST5" s="31"/>
      <c r="SU5" s="31"/>
      <c r="SV5" s="31"/>
      <c r="SW5" s="31"/>
      <c r="SX5" s="31"/>
      <c r="SY5" s="31"/>
      <c r="SZ5" s="31"/>
      <c r="TA5" s="31"/>
      <c r="TB5" s="31"/>
      <c r="TC5" s="31"/>
      <c r="TD5" s="31"/>
      <c r="TE5" s="31"/>
      <c r="TF5" s="31"/>
      <c r="TG5" s="31"/>
      <c r="TH5" s="31"/>
      <c r="TI5" s="31"/>
      <c r="TJ5" s="31"/>
      <c r="TK5" s="31"/>
      <c r="TL5" s="31"/>
      <c r="TM5" s="31"/>
      <c r="TN5" s="31"/>
      <c r="TO5" s="31"/>
      <c r="TP5" s="31"/>
      <c r="TQ5" s="31"/>
      <c r="TR5" s="31"/>
      <c r="TS5" s="31"/>
      <c r="TT5" s="31"/>
      <c r="TU5" s="31"/>
      <c r="TV5" s="31"/>
      <c r="TW5" s="31"/>
      <c r="TX5" s="31"/>
      <c r="TY5" s="31"/>
      <c r="TZ5" s="31"/>
      <c r="UA5" s="31"/>
      <c r="UB5" s="31"/>
      <c r="UC5" s="31"/>
      <c r="UD5" s="31"/>
      <c r="UE5" s="31"/>
      <c r="UF5" s="31"/>
      <c r="UG5" s="31"/>
      <c r="UH5" s="31"/>
      <c r="UI5" s="31"/>
      <c r="UJ5" s="31"/>
      <c r="UK5" s="31"/>
      <c r="UL5" s="31"/>
      <c r="UM5" s="31"/>
      <c r="UN5" s="31"/>
      <c r="UO5" s="31"/>
      <c r="UP5" s="31"/>
      <c r="UQ5" s="31"/>
      <c r="UR5" s="31"/>
      <c r="US5" s="31"/>
      <c r="UT5" s="31"/>
      <c r="UU5" s="31"/>
      <c r="UV5" s="31"/>
      <c r="UW5" s="31"/>
      <c r="UX5" s="31"/>
      <c r="UY5" s="31"/>
      <c r="UZ5" s="31"/>
      <c r="VA5" s="31"/>
      <c r="VB5" s="31"/>
      <c r="VC5" s="31"/>
      <c r="VD5" s="31"/>
      <c r="VE5" s="31"/>
      <c r="VF5" s="31"/>
      <c r="VG5" s="31"/>
      <c r="VH5" s="31"/>
      <c r="VI5" s="31"/>
      <c r="VJ5" s="31"/>
      <c r="VK5" s="31"/>
      <c r="VL5" s="31"/>
      <c r="VM5" s="31"/>
      <c r="VN5" s="31"/>
      <c r="VO5" s="31"/>
      <c r="VP5" s="31"/>
      <c r="VQ5" s="31"/>
      <c r="VR5" s="31"/>
      <c r="VS5" s="31"/>
      <c r="VT5" s="31"/>
      <c r="VU5" s="31"/>
      <c r="VV5" s="31"/>
      <c r="VW5" s="31"/>
      <c r="VX5" s="31"/>
      <c r="VY5" s="31"/>
      <c r="VZ5" s="31"/>
      <c r="WA5" s="31"/>
      <c r="WB5" s="31"/>
      <c r="WC5" s="31"/>
      <c r="WD5" s="31"/>
      <c r="WE5" s="31"/>
      <c r="WF5" s="31"/>
      <c r="WG5" s="31"/>
      <c r="WH5" s="31"/>
      <c r="WI5" s="31"/>
      <c r="WJ5" s="31"/>
      <c r="WK5" s="31"/>
      <c r="WL5" s="31"/>
      <c r="WM5" s="31"/>
      <c r="WN5" s="31"/>
      <c r="WO5" s="31"/>
      <c r="WP5" s="31"/>
      <c r="WQ5" s="31"/>
      <c r="WR5" s="31"/>
      <c r="WS5" s="31"/>
      <c r="WT5" s="31"/>
      <c r="WU5" s="31"/>
      <c r="WV5" s="31"/>
      <c r="WW5" s="31"/>
      <c r="WX5" s="31"/>
      <c r="WY5" s="31"/>
      <c r="WZ5" s="31"/>
      <c r="XA5" s="31"/>
      <c r="XB5" s="31"/>
      <c r="XC5" s="31"/>
      <c r="XD5" s="31"/>
      <c r="XE5" s="31"/>
      <c r="XF5" s="31"/>
      <c r="XG5" s="31"/>
      <c r="XH5" s="31"/>
      <c r="XI5" s="31"/>
      <c r="XJ5" s="31"/>
      <c r="XK5" s="31"/>
      <c r="XL5" s="31"/>
      <c r="XM5" s="31"/>
      <c r="XN5" s="31"/>
      <c r="XO5" s="31"/>
      <c r="XP5" s="31"/>
      <c r="XQ5" s="31"/>
      <c r="XR5" s="31"/>
      <c r="XS5" s="31"/>
      <c r="XT5" s="31"/>
      <c r="XU5" s="31"/>
      <c r="XV5" s="31"/>
      <c r="XW5" s="31"/>
      <c r="XX5" s="31"/>
      <c r="XY5" s="31"/>
      <c r="XZ5" s="31"/>
      <c r="YA5" s="31"/>
      <c r="YB5" s="31"/>
      <c r="YC5" s="31"/>
      <c r="YD5" s="31"/>
      <c r="YE5" s="31"/>
      <c r="YF5" s="31"/>
      <c r="YG5" s="31"/>
      <c r="YH5" s="31"/>
      <c r="YI5" s="31"/>
      <c r="YJ5" s="31"/>
      <c r="YK5" s="31"/>
      <c r="YL5" s="31"/>
      <c r="YM5" s="31"/>
      <c r="YN5" s="31"/>
      <c r="YO5" s="31"/>
      <c r="YP5" s="31"/>
      <c r="YQ5" s="31"/>
      <c r="YR5" s="31"/>
      <c r="YS5" s="31"/>
      <c r="YT5" s="31"/>
      <c r="YU5" s="31"/>
      <c r="YV5" s="31"/>
      <c r="YW5" s="31"/>
      <c r="YX5" s="31"/>
      <c r="YY5" s="31"/>
      <c r="YZ5" s="31"/>
      <c r="ZA5" s="31"/>
      <c r="ZB5" s="31"/>
      <c r="ZC5" s="31"/>
      <c r="ZD5" s="31"/>
      <c r="ZE5" s="31"/>
      <c r="ZF5" s="31"/>
      <c r="ZG5" s="31"/>
      <c r="ZH5" s="31"/>
      <c r="ZI5" s="31"/>
      <c r="ZJ5" s="31"/>
      <c r="ZK5" s="31"/>
      <c r="ZL5" s="31"/>
      <c r="ZM5" s="31"/>
      <c r="ZN5" s="31"/>
      <c r="ZO5" s="31"/>
      <c r="ZP5" s="31"/>
      <c r="ZQ5" s="31"/>
      <c r="ZR5" s="31"/>
      <c r="ZS5" s="31"/>
      <c r="ZT5" s="31"/>
      <c r="ZU5" s="31"/>
      <c r="ZV5" s="31"/>
      <c r="ZW5" s="31"/>
      <c r="ZX5" s="31"/>
      <c r="ZY5" s="31"/>
      <c r="ZZ5" s="31"/>
      <c r="AAA5" s="31"/>
      <c r="AAB5" s="31"/>
      <c r="AAC5" s="31"/>
      <c r="AAD5" s="31"/>
      <c r="AAE5" s="31"/>
      <c r="AAF5" s="31"/>
      <c r="AAG5" s="31"/>
      <c r="AAH5" s="31"/>
      <c r="AAI5" s="31"/>
      <c r="AAJ5" s="31"/>
      <c r="AAK5" s="31"/>
      <c r="AAL5" s="31"/>
      <c r="AAM5" s="31"/>
      <c r="AAN5" s="31"/>
      <c r="AAO5" s="31"/>
      <c r="AAP5" s="31"/>
      <c r="AAQ5" s="31"/>
      <c r="AAR5" s="31"/>
      <c r="AAS5" s="31"/>
      <c r="AAT5" s="31"/>
      <c r="AAU5" s="31"/>
      <c r="AAV5" s="31"/>
      <c r="AAW5" s="31"/>
      <c r="AAX5" s="31"/>
      <c r="AAY5" s="31"/>
      <c r="AAZ5" s="31"/>
      <c r="ABA5" s="31"/>
      <c r="ABB5" s="31"/>
      <c r="ABC5" s="31"/>
      <c r="ABD5" s="31"/>
      <c r="ABE5" s="31"/>
      <c r="ABF5" s="31"/>
      <c r="ABG5" s="31"/>
      <c r="ABH5" s="31"/>
      <c r="ABI5" s="31"/>
      <c r="ABJ5" s="31"/>
      <c r="ABK5" s="31"/>
      <c r="ABL5" s="31"/>
      <c r="ABM5" s="31"/>
      <c r="ABN5" s="31"/>
      <c r="ABO5" s="31"/>
      <c r="ABP5" s="31"/>
      <c r="ABQ5" s="31"/>
      <c r="ABR5" s="31"/>
      <c r="ABS5" s="31"/>
      <c r="ABT5" s="31"/>
      <c r="ABU5" s="31"/>
      <c r="ABV5" s="31"/>
      <c r="ABW5" s="31"/>
      <c r="ABX5" s="31"/>
      <c r="ABY5" s="31"/>
      <c r="ABZ5" s="31"/>
      <c r="ACA5" s="31"/>
      <c r="ACB5" s="31"/>
      <c r="ACC5" s="31"/>
      <c r="ACD5" s="31"/>
      <c r="ACE5" s="31"/>
      <c r="ACF5" s="31"/>
      <c r="ACG5" s="31"/>
      <c r="ACH5" s="31"/>
      <c r="ACI5" s="31"/>
      <c r="ACJ5" s="31"/>
      <c r="ACK5" s="31"/>
      <c r="ACL5" s="31"/>
      <c r="ACM5" s="31"/>
      <c r="ACN5" s="31"/>
      <c r="ACO5" s="31"/>
      <c r="ACP5" s="31"/>
      <c r="ACQ5" s="31"/>
      <c r="ACR5" s="31"/>
      <c r="ACS5" s="31"/>
      <c r="ACT5" s="31"/>
      <c r="ACU5" s="31"/>
      <c r="ACV5" s="31"/>
      <c r="ACW5" s="31"/>
      <c r="ACX5" s="31"/>
      <c r="ACY5" s="31"/>
      <c r="ACZ5" s="31"/>
      <c r="ADA5" s="31"/>
      <c r="ADB5" s="31"/>
      <c r="ADC5" s="31"/>
      <c r="ADD5" s="31"/>
      <c r="ADE5" s="31"/>
      <c r="ADF5" s="31"/>
      <c r="ADG5" s="31"/>
      <c r="ADH5" s="31"/>
      <c r="ADI5" s="31"/>
      <c r="ADJ5" s="31"/>
      <c r="ADK5" s="31"/>
      <c r="ADL5" s="31"/>
      <c r="ADM5" s="31"/>
      <c r="ADN5" s="31"/>
      <c r="ADO5" s="31"/>
      <c r="ADP5" s="31"/>
      <c r="ADQ5" s="31"/>
      <c r="ADR5" s="31"/>
      <c r="ADS5" s="31"/>
      <c r="ADT5" s="31"/>
      <c r="ADU5" s="31"/>
      <c r="ADV5" s="31"/>
      <c r="ADW5" s="31"/>
      <c r="ADX5" s="31"/>
      <c r="ADY5" s="31"/>
      <c r="ADZ5" s="31"/>
      <c r="AEA5" s="31"/>
      <c r="AEB5" s="31"/>
      <c r="AEC5" s="31"/>
      <c r="AED5" s="31"/>
      <c r="AEE5" s="31"/>
      <c r="AEF5" s="31"/>
      <c r="AEG5" s="31"/>
      <c r="AEH5" s="31"/>
      <c r="AEI5" s="31"/>
      <c r="AEJ5" s="31"/>
      <c r="AEK5" s="31"/>
      <c r="AEL5" s="31"/>
      <c r="AEM5" s="31"/>
      <c r="AEN5" s="31"/>
      <c r="AEO5" s="31"/>
      <c r="AEP5" s="31"/>
      <c r="AEQ5" s="31"/>
      <c r="AER5" s="31"/>
      <c r="AES5" s="31"/>
      <c r="AET5" s="31"/>
      <c r="AEU5" s="31"/>
      <c r="AEV5" s="31"/>
      <c r="AEW5" s="31"/>
      <c r="AEX5" s="31"/>
      <c r="AEY5" s="31"/>
      <c r="AEZ5" s="31"/>
      <c r="AFA5" s="31"/>
      <c r="AFB5" s="31"/>
      <c r="AFC5" s="31"/>
      <c r="AFD5" s="31"/>
      <c r="AFE5" s="31"/>
      <c r="AFF5" s="31"/>
      <c r="AFG5" s="31"/>
      <c r="AFH5" s="31"/>
      <c r="AFI5" s="31"/>
      <c r="AFJ5" s="31"/>
      <c r="AFK5" s="31"/>
      <c r="AFL5" s="31"/>
      <c r="AFM5" s="31"/>
      <c r="AFN5" s="31"/>
      <c r="AFO5" s="31"/>
      <c r="AFP5" s="31"/>
      <c r="AFQ5" s="31"/>
      <c r="AFR5" s="31"/>
      <c r="AFS5" s="31"/>
      <c r="AFT5" s="31"/>
      <c r="AFU5" s="31"/>
      <c r="AFV5" s="31"/>
      <c r="AFW5" s="31"/>
      <c r="AFX5" s="31"/>
      <c r="AFY5" s="31"/>
      <c r="AFZ5" s="31"/>
      <c r="AGA5" s="31"/>
      <c r="AGB5" s="31"/>
      <c r="AGC5" s="31"/>
      <c r="AGD5" s="31"/>
      <c r="AGE5" s="31"/>
      <c r="AGF5" s="31"/>
      <c r="AGG5" s="31"/>
      <c r="AGH5" s="31"/>
      <c r="AGI5" s="31"/>
      <c r="AGJ5" s="31"/>
      <c r="AGK5" s="31"/>
      <c r="AGL5" s="31"/>
      <c r="AGM5" s="31"/>
      <c r="AGN5" s="31"/>
      <c r="AGO5" s="31"/>
      <c r="AGP5" s="31"/>
      <c r="AGQ5" s="31"/>
      <c r="AGR5" s="31"/>
      <c r="AGS5" s="31"/>
      <c r="AGT5" s="31"/>
      <c r="AGU5" s="31"/>
      <c r="AGV5" s="31"/>
      <c r="AGW5" s="31"/>
      <c r="AGX5" s="31"/>
      <c r="AGY5" s="31"/>
      <c r="AGZ5" s="31"/>
      <c r="AHA5" s="31"/>
      <c r="AHB5" s="31"/>
      <c r="AHC5" s="31"/>
      <c r="AHD5" s="31"/>
      <c r="AHE5" s="31"/>
      <c r="AHF5" s="31"/>
      <c r="AHG5" s="31"/>
      <c r="AHH5" s="31"/>
      <c r="AHI5" s="31"/>
      <c r="AHJ5" s="31"/>
      <c r="AHK5" s="31"/>
      <c r="AHL5" s="31"/>
      <c r="AHM5" s="31"/>
      <c r="AHN5" s="31"/>
      <c r="AHO5" s="31"/>
      <c r="AHP5" s="31"/>
      <c r="AHQ5" s="31"/>
      <c r="AHR5" s="31"/>
      <c r="AHS5" s="31"/>
      <c r="AHT5" s="31"/>
      <c r="AHU5" s="31"/>
      <c r="AHV5" s="31"/>
      <c r="AHW5" s="31"/>
      <c r="AHX5" s="31"/>
      <c r="AHY5" s="31"/>
      <c r="AHZ5" s="31"/>
      <c r="AIA5" s="31"/>
      <c r="AIB5" s="31"/>
      <c r="AIC5" s="31"/>
      <c r="AID5" s="31"/>
      <c r="AIE5" s="31"/>
      <c r="AIF5" s="31"/>
      <c r="AIG5" s="31"/>
      <c r="AIH5" s="31"/>
      <c r="AII5" s="31"/>
      <c r="AIJ5" s="31"/>
      <c r="AIK5" s="31"/>
      <c r="AIL5" s="31"/>
      <c r="AIM5" s="31"/>
      <c r="AIN5" s="31"/>
      <c r="AIO5" s="31"/>
      <c r="AIP5" s="31"/>
      <c r="AIQ5" s="31"/>
      <c r="AIR5" s="31"/>
      <c r="AIS5" s="31"/>
      <c r="AIT5" s="31"/>
      <c r="AIU5" s="31"/>
      <c r="AIV5" s="31"/>
      <c r="AIW5" s="31"/>
      <c r="AIX5" s="31"/>
      <c r="AIY5" s="31"/>
      <c r="AIZ5" s="31"/>
      <c r="AJA5" s="31"/>
      <c r="AJB5" s="31"/>
      <c r="AJC5" s="31"/>
      <c r="AJD5" s="31"/>
      <c r="AJE5" s="31"/>
      <c r="AJF5" s="31"/>
      <c r="AJG5" s="31"/>
      <c r="AJH5" s="31"/>
      <c r="AJI5" s="31"/>
      <c r="AJJ5" s="31"/>
      <c r="AJK5" s="31"/>
      <c r="AJL5" s="31"/>
      <c r="AJM5" s="31"/>
      <c r="AJN5" s="31"/>
      <c r="AJO5" s="31"/>
      <c r="AJP5" s="31"/>
      <c r="AJQ5" s="31"/>
      <c r="AJR5" s="31"/>
      <c r="AJS5" s="31"/>
      <c r="AJT5" s="31"/>
      <c r="AJU5" s="31"/>
      <c r="AJV5" s="31"/>
      <c r="AJW5" s="31"/>
      <c r="AJX5" s="31"/>
      <c r="AJY5" s="31"/>
      <c r="AJZ5" s="31"/>
      <c r="AKA5" s="31"/>
      <c r="AKB5" s="31"/>
      <c r="AKC5" s="31"/>
      <c r="AKD5" s="31"/>
      <c r="AKE5" s="31"/>
      <c r="AKF5" s="31"/>
      <c r="AKG5" s="31"/>
      <c r="AKH5" s="31"/>
      <c r="AKI5" s="31"/>
      <c r="AKJ5" s="31"/>
      <c r="AKK5" s="31"/>
      <c r="AKL5" s="31"/>
      <c r="AKM5" s="31"/>
      <c r="AKN5" s="31"/>
      <c r="AKO5" s="31"/>
      <c r="AKP5" s="31"/>
      <c r="AKQ5" s="31"/>
      <c r="AKR5" s="31"/>
      <c r="AKS5" s="31"/>
      <c r="AKT5" s="31"/>
      <c r="AKU5" s="31"/>
      <c r="AKV5" s="31"/>
      <c r="AKW5" s="31"/>
      <c r="AKX5" s="31"/>
      <c r="AKY5" s="31"/>
      <c r="AKZ5" s="31"/>
      <c r="ALA5" s="31"/>
      <c r="ALB5" s="31"/>
      <c r="ALC5" s="31"/>
      <c r="ALD5" s="31"/>
      <c r="ALE5" s="31"/>
      <c r="ALF5" s="31"/>
      <c r="ALG5" s="31"/>
      <c r="ALH5" s="31"/>
      <c r="ALI5" s="31"/>
      <c r="ALJ5" s="31"/>
      <c r="ALK5" s="31"/>
      <c r="ALL5" s="31"/>
      <c r="ALM5" s="31"/>
      <c r="ALN5" s="31"/>
      <c r="ALO5" s="31"/>
      <c r="ALP5" s="31"/>
      <c r="ALQ5" s="31"/>
      <c r="ALR5" s="31"/>
      <c r="ALS5" s="31"/>
      <c r="ALT5" s="31"/>
      <c r="ALU5" s="31"/>
      <c r="ALV5" s="31"/>
      <c r="ALW5" s="31"/>
      <c r="ALX5" s="31"/>
      <c r="ALY5" s="31"/>
      <c r="ALZ5" s="31"/>
      <c r="AMA5" s="31"/>
      <c r="AMB5" s="31"/>
      <c r="AMC5" s="31"/>
      <c r="AMD5" s="31"/>
      <c r="AME5" s="31"/>
      <c r="AMF5" s="31"/>
      <c r="AMG5" s="31"/>
      <c r="AMH5" s="31"/>
      <c r="AMI5" s="31"/>
      <c r="AMJ5" s="31"/>
    </row>
    <row r="6" ht="15.75" customHeight="1">
      <c r="A6" s="51" t="s">
        <v>40</v>
      </c>
      <c r="B6" s="51"/>
      <c r="C6" s="8"/>
      <c r="D6" s="51">
        <v>0.0</v>
      </c>
      <c r="E6" s="8" t="s">
        <v>41</v>
      </c>
      <c r="F6" s="8">
        <v>0.0</v>
      </c>
      <c r="G6" s="8"/>
      <c r="H6" s="8" t="s">
        <v>42</v>
      </c>
      <c r="I6" s="8" t="s">
        <v>43</v>
      </c>
      <c r="J6" s="8" t="s">
        <v>31</v>
      </c>
      <c r="K6" s="8" t="s">
        <v>44</v>
      </c>
      <c r="L6" s="8" t="s">
        <v>45</v>
      </c>
      <c r="M6" s="8"/>
      <c r="N6" s="8"/>
      <c r="O6" s="8"/>
      <c r="S6">
        <v>0.0</v>
      </c>
      <c r="T6">
        <v>0.0</v>
      </c>
      <c r="U6" t="s">
        <v>46</v>
      </c>
      <c r="AA6" t="s">
        <v>47</v>
      </c>
      <c r="AD6">
        <v>1.0</v>
      </c>
      <c r="AF6" t="s">
        <v>48</v>
      </c>
      <c r="AH6" t="s">
        <v>49</v>
      </c>
      <c r="AI6" t="s">
        <v>31</v>
      </c>
      <c r="AJ6" t="s">
        <v>32</v>
      </c>
      <c r="AK6" t="s">
        <v>50</v>
      </c>
      <c r="AL6">
        <v>100.0</v>
      </c>
      <c r="AM6">
        <v>100.0</v>
      </c>
      <c r="AN6">
        <v>100.0</v>
      </c>
      <c r="AO6">
        <v>100.0</v>
      </c>
      <c r="AQ6">
        <v>0.0</v>
      </c>
      <c r="AR6">
        <v>0.0</v>
      </c>
      <c r="AS6" t="s">
        <v>51</v>
      </c>
      <c r="AT6" t="s">
        <v>47</v>
      </c>
      <c r="AU6" t="s">
        <v>52</v>
      </c>
      <c r="AV6">
        <v>0.0</v>
      </c>
      <c r="AW6">
        <v>0.0</v>
      </c>
      <c r="AX6" t="s">
        <v>17</v>
      </c>
      <c r="AY6">
        <v>100.0</v>
      </c>
      <c r="BB6" t="s">
        <v>40</v>
      </c>
      <c r="BC6" t="s">
        <v>40</v>
      </c>
      <c r="BD6" t="s">
        <v>40</v>
      </c>
      <c r="BE6" t="s">
        <v>40</v>
      </c>
      <c r="BF6" t="s">
        <v>40</v>
      </c>
      <c r="BG6" t="s">
        <v>40</v>
      </c>
      <c r="BH6" t="s">
        <v>40</v>
      </c>
      <c r="BI6" t="s">
        <v>40</v>
      </c>
      <c r="BJ6" t="s">
        <v>40</v>
      </c>
      <c r="BK6" t="s">
        <v>40</v>
      </c>
      <c r="BL6" t="s">
        <v>40</v>
      </c>
      <c r="BM6" t="s">
        <v>40</v>
      </c>
      <c r="BN6" t="s">
        <v>40</v>
      </c>
      <c r="BO6" t="s">
        <v>40</v>
      </c>
      <c r="BP6" t="s">
        <v>40</v>
      </c>
      <c r="BQ6" t="s">
        <v>40</v>
      </c>
      <c r="BR6" t="s">
        <v>40</v>
      </c>
      <c r="BS6" t="s">
        <v>40</v>
      </c>
      <c r="BT6" t="s">
        <v>40</v>
      </c>
      <c r="BU6" t="s">
        <v>40</v>
      </c>
      <c r="BV6" t="s">
        <v>40</v>
      </c>
      <c r="BW6" t="s">
        <v>40</v>
      </c>
      <c r="BX6" t="s">
        <v>40</v>
      </c>
      <c r="BY6" t="s">
        <v>40</v>
      </c>
      <c r="BZ6" t="s">
        <v>40</v>
      </c>
      <c r="CA6" t="s">
        <v>40</v>
      </c>
      <c r="CB6" t="s">
        <v>40</v>
      </c>
      <c r="CC6" t="s">
        <v>40</v>
      </c>
      <c r="CD6" t="s">
        <v>40</v>
      </c>
      <c r="CE6" t="s">
        <v>40</v>
      </c>
      <c r="CF6" t="s">
        <v>40</v>
      </c>
      <c r="CG6" t="s">
        <v>40</v>
      </c>
      <c r="CH6" t="s">
        <v>40</v>
      </c>
      <c r="CI6" t="s">
        <v>40</v>
      </c>
      <c r="CJ6" t="s">
        <v>40</v>
      </c>
      <c r="CK6" t="s">
        <v>40</v>
      </c>
      <c r="CL6" t="s">
        <v>40</v>
      </c>
      <c r="CM6" t="s">
        <v>40</v>
      </c>
      <c r="CN6" t="s">
        <v>40</v>
      </c>
      <c r="CO6" t="s">
        <v>40</v>
      </c>
      <c r="CP6" t="s">
        <v>40</v>
      </c>
      <c r="CQ6" t="s">
        <v>40</v>
      </c>
      <c r="CR6" t="s">
        <v>40</v>
      </c>
      <c r="CS6" t="s">
        <v>40</v>
      </c>
      <c r="CT6" t="s">
        <v>40</v>
      </c>
      <c r="CU6" t="s">
        <v>40</v>
      </c>
      <c r="CV6" t="s">
        <v>40</v>
      </c>
      <c r="CW6" t="s">
        <v>40</v>
      </c>
      <c r="CX6" t="s">
        <v>40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EY6" t="s">
        <v>40</v>
      </c>
      <c r="EZ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</row>
    <row r="7" ht="15.75" customHeight="1">
      <c r="A7" s="8" t="s">
        <v>40</v>
      </c>
      <c r="B7" s="8"/>
      <c r="C7" s="8"/>
      <c r="D7" s="8">
        <v>0.0</v>
      </c>
      <c r="E7" s="8" t="s">
        <v>53</v>
      </c>
      <c r="F7" s="8">
        <v>0.0</v>
      </c>
      <c r="G7" s="8"/>
      <c r="H7" s="8" t="s">
        <v>42</v>
      </c>
      <c r="I7" s="8" t="s">
        <v>43</v>
      </c>
      <c r="J7" s="8" t="s">
        <v>33</v>
      </c>
      <c r="K7" s="8" t="s">
        <v>44</v>
      </c>
      <c r="L7" s="8" t="s">
        <v>45</v>
      </c>
      <c r="M7" s="8"/>
      <c r="N7" s="8"/>
      <c r="O7" s="8"/>
      <c r="S7">
        <v>0.0</v>
      </c>
      <c r="T7">
        <v>0.0</v>
      </c>
      <c r="U7" t="s">
        <v>46</v>
      </c>
      <c r="AA7" t="s">
        <v>47</v>
      </c>
      <c r="AD7">
        <v>1.0</v>
      </c>
      <c r="AF7" t="s">
        <v>48</v>
      </c>
      <c r="AH7" t="s">
        <v>49</v>
      </c>
      <c r="AI7" t="s">
        <v>33</v>
      </c>
      <c r="AJ7" t="s">
        <v>32</v>
      </c>
      <c r="AK7" t="s">
        <v>50</v>
      </c>
      <c r="AL7">
        <v>100.0</v>
      </c>
      <c r="AM7">
        <v>100.0</v>
      </c>
      <c r="AN7">
        <v>100.0</v>
      </c>
      <c r="AO7">
        <v>100.0</v>
      </c>
      <c r="AQ7">
        <v>0.0</v>
      </c>
      <c r="AR7">
        <v>0.0</v>
      </c>
      <c r="AS7" t="s">
        <v>51</v>
      </c>
      <c r="AT7" t="s">
        <v>47</v>
      </c>
      <c r="AU7" t="s">
        <v>52</v>
      </c>
      <c r="AV7">
        <v>0.0</v>
      </c>
      <c r="AW7">
        <v>0.0</v>
      </c>
      <c r="AX7" t="s">
        <v>17</v>
      </c>
      <c r="AY7">
        <v>100.0</v>
      </c>
      <c r="BB7" t="s">
        <v>40</v>
      </c>
      <c r="BC7" t="s">
        <v>40</v>
      </c>
      <c r="BD7" t="s">
        <v>40</v>
      </c>
      <c r="BE7" t="s">
        <v>40</v>
      </c>
      <c r="BF7" t="s">
        <v>40</v>
      </c>
      <c r="BG7" t="s">
        <v>40</v>
      </c>
      <c r="BH7" t="s">
        <v>40</v>
      </c>
      <c r="BI7" t="s">
        <v>40</v>
      </c>
      <c r="BJ7" t="s">
        <v>40</v>
      </c>
      <c r="BK7" t="s">
        <v>40</v>
      </c>
      <c r="BL7" t="s">
        <v>40</v>
      </c>
      <c r="BM7" t="s">
        <v>40</v>
      </c>
      <c r="BN7" t="s">
        <v>40</v>
      </c>
      <c r="BO7" t="s">
        <v>40</v>
      </c>
      <c r="BP7" t="s">
        <v>40</v>
      </c>
      <c r="BQ7" t="s">
        <v>40</v>
      </c>
      <c r="BR7" t="s">
        <v>40</v>
      </c>
      <c r="BS7" t="s">
        <v>40</v>
      </c>
      <c r="BT7" t="s">
        <v>40</v>
      </c>
      <c r="BU7" t="s">
        <v>40</v>
      </c>
      <c r="BV7" t="s">
        <v>40</v>
      </c>
      <c r="BW7" t="s">
        <v>40</v>
      </c>
      <c r="BX7" t="s">
        <v>40</v>
      </c>
      <c r="BY7" t="s">
        <v>40</v>
      </c>
      <c r="BZ7" t="s">
        <v>40</v>
      </c>
      <c r="CA7" t="s">
        <v>40</v>
      </c>
      <c r="CB7" t="s">
        <v>40</v>
      </c>
      <c r="CC7" t="s">
        <v>40</v>
      </c>
      <c r="CD7" t="s">
        <v>40</v>
      </c>
      <c r="CE7" t="s">
        <v>40</v>
      </c>
      <c r="CF7" t="s">
        <v>40</v>
      </c>
      <c r="CG7" t="s">
        <v>40</v>
      </c>
      <c r="CH7" t="s">
        <v>40</v>
      </c>
      <c r="CI7" t="s">
        <v>40</v>
      </c>
      <c r="CJ7" t="s">
        <v>40</v>
      </c>
      <c r="CK7" t="s">
        <v>40</v>
      </c>
      <c r="CL7" t="s">
        <v>40</v>
      </c>
      <c r="CM7" t="s">
        <v>40</v>
      </c>
      <c r="CN7" t="s">
        <v>40</v>
      </c>
      <c r="CO7" t="s">
        <v>40</v>
      </c>
      <c r="CP7" t="s">
        <v>40</v>
      </c>
      <c r="CQ7" t="s">
        <v>40</v>
      </c>
      <c r="CR7" t="s">
        <v>40</v>
      </c>
      <c r="CS7" t="s">
        <v>40</v>
      </c>
      <c r="CT7" t="s">
        <v>40</v>
      </c>
      <c r="CU7" t="s">
        <v>40</v>
      </c>
      <c r="CV7" t="s">
        <v>40</v>
      </c>
      <c r="CW7" t="s">
        <v>40</v>
      </c>
      <c r="CX7" t="s">
        <v>40</v>
      </c>
      <c r="CY7" t="s">
        <v>40</v>
      </c>
      <c r="CZ7" t="s">
        <v>40</v>
      </c>
      <c r="DA7" t="s">
        <v>40</v>
      </c>
      <c r="DB7" t="s">
        <v>40</v>
      </c>
      <c r="DC7" t="s">
        <v>40</v>
      </c>
      <c r="DD7" t="s">
        <v>40</v>
      </c>
      <c r="DE7" t="s">
        <v>40</v>
      </c>
      <c r="DF7" t="s">
        <v>40</v>
      </c>
      <c r="DG7" t="s">
        <v>40</v>
      </c>
      <c r="DH7" t="s">
        <v>40</v>
      </c>
      <c r="DI7" t="s">
        <v>40</v>
      </c>
      <c r="DJ7" t="s">
        <v>40</v>
      </c>
      <c r="DK7" t="s">
        <v>40</v>
      </c>
      <c r="DL7" t="s">
        <v>40</v>
      </c>
      <c r="DM7" t="s">
        <v>40</v>
      </c>
      <c r="DN7" t="s">
        <v>40</v>
      </c>
      <c r="DO7" t="s">
        <v>40</v>
      </c>
      <c r="DP7" t="s">
        <v>40</v>
      </c>
      <c r="DQ7" t="s">
        <v>40</v>
      </c>
      <c r="DR7" t="s">
        <v>40</v>
      </c>
      <c r="DS7" t="s">
        <v>40</v>
      </c>
      <c r="DT7" t="s">
        <v>40</v>
      </c>
      <c r="DU7" t="s">
        <v>40</v>
      </c>
      <c r="DV7" t="s">
        <v>40</v>
      </c>
      <c r="DW7" t="s">
        <v>40</v>
      </c>
      <c r="DX7" t="s">
        <v>40</v>
      </c>
      <c r="DY7" t="s">
        <v>40</v>
      </c>
      <c r="DZ7" t="s">
        <v>40</v>
      </c>
      <c r="EA7" t="s">
        <v>40</v>
      </c>
      <c r="EB7" t="s">
        <v>40</v>
      </c>
      <c r="EC7" t="s">
        <v>40</v>
      </c>
      <c r="ED7" t="s">
        <v>40</v>
      </c>
      <c r="EE7" t="s">
        <v>40</v>
      </c>
      <c r="EF7" t="s">
        <v>40</v>
      </c>
      <c r="EG7" t="s">
        <v>40</v>
      </c>
      <c r="EH7" t="s">
        <v>40</v>
      </c>
      <c r="EI7" t="s">
        <v>40</v>
      </c>
      <c r="EJ7" t="s">
        <v>40</v>
      </c>
      <c r="EK7" t="s">
        <v>40</v>
      </c>
      <c r="EL7" t="s">
        <v>40</v>
      </c>
      <c r="EM7" t="s">
        <v>40</v>
      </c>
      <c r="EN7" t="s">
        <v>40</v>
      </c>
      <c r="EO7" t="s">
        <v>40</v>
      </c>
      <c r="EP7" t="s">
        <v>40</v>
      </c>
      <c r="EQ7" t="s">
        <v>40</v>
      </c>
      <c r="ER7" t="s">
        <v>40</v>
      </c>
      <c r="ES7" t="s">
        <v>40</v>
      </c>
      <c r="ET7" t="s">
        <v>40</v>
      </c>
      <c r="EU7" t="s">
        <v>40</v>
      </c>
      <c r="EV7" t="s">
        <v>40</v>
      </c>
      <c r="EW7" t="s">
        <v>40</v>
      </c>
      <c r="EX7" t="s">
        <v>40</v>
      </c>
      <c r="EY7" t="s">
        <v>40</v>
      </c>
      <c r="EZ7" t="s">
        <v>40</v>
      </c>
      <c r="FA7" t="s">
        <v>40</v>
      </c>
      <c r="FB7" t="s">
        <v>40</v>
      </c>
      <c r="FC7" t="s">
        <v>40</v>
      </c>
      <c r="FD7" t="s">
        <v>40</v>
      </c>
      <c r="FE7" t="s">
        <v>40</v>
      </c>
      <c r="FF7" t="s">
        <v>40</v>
      </c>
      <c r="FG7" t="s">
        <v>40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IFERROR(__xludf.DUMMYFUNCTION("""COMPUTED_VALUE"""),"RangeType")</f>
        <v>RangeType</v>
      </c>
      <c r="C5" s="29" t="str">
        <f>IFERROR(__xludf.DUMMYFUNCTION("""COMPUTED_VALUE"""),"From")</f>
        <v>From</v>
      </c>
      <c r="D5" s="29" t="str">
        <f>IFERROR(__xludf.DUMMYFUNCTION("""COMPUTED_VALUE"""),"To")</f>
        <v>To</v>
      </c>
      <c r="E5" s="29" t="str">
        <f>IFERROR(__xludf.DUMMYFUNCTION("""COMPUTED_VALUE"""),"FilterTabName")</f>
        <v>FilterTabName</v>
      </c>
      <c r="F5" s="30" t="str">
        <f>IFERROR(__xludf.DUMMYFUNCTION("""COMPUTED_VALUE"""),"Symbol")</f>
        <v>Symbol</v>
      </c>
      <c r="G5" s="29" t="str">
        <f>IFERROR(__xludf.DUMMYFUNCTION("""COMPUTED_VALUE"""),"Asset")</f>
        <v>Asset</v>
      </c>
      <c r="H5" s="29" t="str">
        <f>IFERROR(__xludf.DUMMYFUNCTION("""COMPUTED_VALUE"""),"Side")</f>
        <v>Side</v>
      </c>
      <c r="I5" s="29" t="str">
        <f>IFERROR(__xludf.DUMMYFUNCTION("""COMPUTED_VALUE"""),"Account")</f>
        <v>Account</v>
      </c>
      <c r="J5" s="29" t="str">
        <f>IFERROR(__xludf.DUMMYFUNCTION("""COMPUTED_VALUE"""),"Broker")</f>
        <v>Broker</v>
      </c>
      <c r="K5" s="29" t="str">
        <f>IFERROR(__xludf.DUMMYFUNCTION("""COMPUTED_VALUE"""),"Currency")</f>
        <v>Currency</v>
      </c>
      <c r="L5" s="29" t="str">
        <f>IFERROR(__xludf.DUMMYFUNCTION("""COMPUTED_VALUE"""),"Exchange")</f>
        <v>Exchange</v>
      </c>
      <c r="M5" s="29" t="str">
        <f>IFERROR(__xludf.DUMMYFUNCTION("""COMPUTED_VALUE"""),"StrategyName")</f>
        <v>StrategyName</v>
      </c>
      <c r="N5" s="29" t="str">
        <f>IFERROR(__xludf.DUMMYFUNCTION("""COMPUTED_VALUE"""),"Underlying")</f>
        <v>Underlying</v>
      </c>
      <c r="O5" s="29" t="str">
        <f>IFERROR(__xludf.DUMMYFUNCTION("""COMPUTED_VALUE"""),"Venue")</f>
        <v>Venue</v>
      </c>
      <c r="P5" s="29" t="str">
        <f>IFERROR(__xludf.DUMMYFUNCTION("""COMPUTED_VALUE"""),"TradingAccount")</f>
        <v>TradingAccount</v>
      </c>
      <c r="Q5" s="29" t="str">
        <f>IFERROR(__xludf.DUMMYFUNCTION("""COMPUTED_VALUE"""),"PreAllocated")</f>
        <v>PreAllocated</v>
      </c>
      <c r="R5" s="29" t="str">
        <f>IFERROR(__xludf.DUMMYFUNCTION("""COMPUTED_VALUE"""),"ManualGroup")</f>
        <v>ManualGroup</v>
      </c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55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 Name")</f>
        <v>Account Name</v>
      </c>
      <c r="C5" s="29" t="str">
        <f>IFERROR(__xludf.DUMMYFUNCTION("""COMPUTED_VALUE"""),"Accrual Basis")</f>
        <v>Accrual Basis</v>
      </c>
      <c r="D5" s="29" t="str">
        <f>IFERROR(__xludf.DUMMYFUNCTION("""COMPUTED_VALUE"""),"Accrued Interest")</f>
        <v>Accrued Interest</v>
      </c>
      <c r="E5" s="29" t="str">
        <f>IFERROR(__xludf.DUMMYFUNCTION("""COMPUTED_VALUE"""),"Allocated Qty")</f>
        <v>Allocated Qty</v>
      </c>
      <c r="F5" s="30" t="str">
        <f>IFERROR(__xludf.DUMMYFUNCTION("""COMPUTED_VALUE"""),"Allocation Scheme Name")</f>
        <v>Allocation Scheme Name</v>
      </c>
      <c r="G5" s="29" t="str">
        <f>IFERROR(__xludf.DUMMYFUNCTION("""COMPUTED_VALUE"""),"Asset Category")</f>
        <v>Asset Category</v>
      </c>
      <c r="H5" s="29" t="str">
        <f>IFERROR(__xludf.DUMMYFUNCTION("""COMPUTED_VALUE"""),"AUEC Fee1")</f>
        <v>AUEC Fee1</v>
      </c>
      <c r="I5" s="29" t="str">
        <f>IFERROR(__xludf.DUMMYFUNCTION("""COMPUTED_VALUE"""),"AUEC Fee2")</f>
        <v>AUEC Fee2</v>
      </c>
      <c r="J5" s="29" t="str">
        <f>IFERROR(__xludf.DUMMYFUNCTION("""COMPUTED_VALUE"""),"AUECID")</f>
        <v>AUECID</v>
      </c>
      <c r="K5" s="29" t="str">
        <f>IFERROR(__xludf.DUMMYFUNCTION("""COMPUTED_VALUE"""),"Avg Price(Base)")</f>
        <v>Avg Price(Base)</v>
      </c>
      <c r="L5" s="29" t="str">
        <f>IFERROR(__xludf.DUMMYFUNCTION("""COMPUTED_VALUE"""),"Avg Price(Local)")</f>
        <v>Avg Price(Local)</v>
      </c>
      <c r="M5" s="29" t="str">
        <f>IFERROR(__xludf.DUMMYFUNCTION("""COMPUTED_VALUE"""),"Bloomberg")</f>
        <v>Bloomberg</v>
      </c>
      <c r="N5" s="29" t="str">
        <f>IFERROR(__xludf.DUMMYFUNCTION("""COMPUTED_VALUE"""),"Bond Type")</f>
        <v>Bond Type</v>
      </c>
      <c r="O5" s="29" t="str">
        <f>IFERROR(__xludf.DUMMYFUNCTION("""COMPUTED_VALUE"""),"Broker")</f>
        <v>Broker</v>
      </c>
      <c r="P5" s="29" t="str">
        <f>IFERROR(__xludf.DUMMYFUNCTION("""COMPUTED_VALUE"""),"Change Comment")</f>
        <v>Change Comment</v>
      </c>
      <c r="Q5" s="29" t="str">
        <f>IFERROR(__xludf.DUMMYFUNCTION("""COMPUTED_VALUE"""),"Change Type")</f>
        <v>Change Type</v>
      </c>
      <c r="R5" s="29" t="str">
        <f>IFERROR(__xludf.DUMMYFUNCTION("""COMPUTED_VALUE"""),"Clearing Broker Fee")</f>
        <v>Clearing Broker Fee</v>
      </c>
      <c r="S5" s="29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IFERROR(__xludf.DUMMYFUNCTION("""COMPUTED_VALUE"""),"Exceution Time")</f>
        <v>Exceution Time</v>
      </c>
      <c r="AG5" s="31" t="str">
        <f>IFERROR(__xludf.DUMMYFUNCTION("""COMPUTED_VALUE"""),"Expiration Date")</f>
        <v>Expiration Date</v>
      </c>
      <c r="AH5" s="31" t="str">
        <f>IFERROR(__xludf.DUMMYFUNCTION("""COMPUTED_VALUE"""),"FX Conversion Operator")</f>
        <v>FX Conversion Operator</v>
      </c>
      <c r="AI5" s="31" t="str">
        <f>IFERROR(__xludf.DUMMYFUNCTION("""COMPUTED_VALUE"""),"FX Rate")</f>
        <v>FX Rate</v>
      </c>
      <c r="AJ5" s="31" t="str">
        <f>IFERROR(__xludf.DUMMYFUNCTION("""COMPUTED_VALUE"""),"Group Status")</f>
        <v>Group Status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IFERROR(__xludf.DUMMYFUNCTION("""COMPUTED_VALUE"""),"Strategy Name")</f>
        <v>Strategy Name</v>
      </c>
      <c r="BT5" s="31" t="str">
        <f>IFERROR(__xludf.DUMMYFUNCTION("""COMPUTED_VALUE"""),"Symbol")</f>
        <v>Symbol</v>
      </c>
      <c r="BU5" s="31" t="str">
        <f>IFERROR(__xludf.DUMMYFUNCTION("""COMPUTED_VALUE"""),"Tax On Commissions")</f>
        <v>Tax On Commissions</v>
      </c>
      <c r="BV5" s="31" t="str">
        <f>IFERROR(__xludf.DUMMYFUNCTION("""COMPUTED_VALUE"""),"Total Commission")</f>
        <v>Total Commission</v>
      </c>
      <c r="BW5" s="31" t="str">
        <f>IFERROR(__xludf.DUMMYFUNCTION("""COMPUTED_VALUE"""),"Total Commission And Fee")</f>
        <v>Total Commission And Fee</v>
      </c>
      <c r="BX5" s="31" t="str">
        <f>IFERROR(__xludf.DUMMYFUNCTION("""COMPUTED_VALUE"""),"Total Commission Per Share")</f>
        <v>Total Commission Per Share</v>
      </c>
      <c r="BY5" s="31" t="str">
        <f>IFERROR(__xludf.DUMMYFUNCTION("""COMPUTED_VALUE"""),"Trade Attribute 1")</f>
        <v>Trade Attribute 1</v>
      </c>
      <c r="BZ5" s="31" t="str">
        <f>IFERROR(__xludf.DUMMYFUNCTION("""COMPUTED_VALUE"""),"Trade Attribute 2")</f>
        <v>Trade Attribute 2</v>
      </c>
      <c r="CA5" s="31" t="str">
        <f>IFERROR(__xludf.DUMMYFUNCTION("""COMPUTED_VALUE"""),"Trade Attribute 3")</f>
        <v>Trade Attribute 3</v>
      </c>
      <c r="CB5" s="31" t="str">
        <f>IFERROR(__xludf.DUMMYFUNCTION("""COMPUTED_VALUE"""),"Trade Attribute 4")</f>
        <v>Trade Attribute 4</v>
      </c>
      <c r="CC5" s="31" t="str">
        <f>IFERROR(__xludf.DUMMYFUNCTION("""COMPUTED_VALUE"""),"Trade Attribute 5")</f>
        <v>Trade Attribute 5</v>
      </c>
      <c r="CD5" s="31" t="str">
        <f>IFERROR(__xludf.DUMMYFUNCTION("""COMPUTED_VALUE"""),"Trade Attribute 6")</f>
        <v>Trade Attribute 6</v>
      </c>
      <c r="CE5" s="31" t="str">
        <f>IFERROR(__xludf.DUMMYFUNCTION("""COMPUTED_VALUE"""),"Trade Date")</f>
        <v>Trade Date</v>
      </c>
      <c r="CF5" s="31" t="str">
        <f>IFERROR(__xludf.DUMMYFUNCTION("""COMPUTED_VALUE"""),"Trading Account")</f>
        <v>Trading Account</v>
      </c>
      <c r="CG5" s="31" t="str">
        <f>IFERROR(__xludf.DUMMYFUNCTION("""COMPUTED_VALUE"""),"Transaction Levy")</f>
        <v>Transaction Levy</v>
      </c>
      <c r="CH5" s="31" t="str">
        <f>IFERROR(__xludf.DUMMYFUNCTION("""COMPUTED_VALUE"""),"Transaction Source")</f>
        <v>Transaction Source</v>
      </c>
      <c r="CI5" s="31" t="str">
        <f>IFERROR(__xludf.DUMMYFUNCTION("""COMPUTED_VALUE"""),"Transaction Type")</f>
        <v>Transaction Type</v>
      </c>
      <c r="CJ5" s="31" t="str">
        <f>IFERROR(__xludf.DUMMYFUNCTION("""COMPUTED_VALUE"""),"UnAllocatedQty")</f>
        <v>UnAllocatedQty</v>
      </c>
      <c r="CK5" s="31" t="str">
        <f>IFERROR(__xludf.DUMMYFUNCTION("""COMPUTED_VALUE"""),"Underlying")</f>
        <v>Underlying</v>
      </c>
      <c r="CL5" s="31" t="str">
        <f>IFERROR(__xludf.DUMMYFUNCTION("""COMPUTED_VALUE"""),"Underlying Delta")</f>
        <v>Underlying Delta</v>
      </c>
      <c r="CM5" s="31" t="str">
        <f>IFERROR(__xludf.DUMMYFUNCTION("""COMPUTED_VALUE"""),"Underlying Symbol")</f>
        <v>Underlying Symbol</v>
      </c>
      <c r="CN5" s="31" t="str">
        <f>IFERROR(__xludf.DUMMYFUNCTION("""COMPUTED_VALUE"""),"User")</f>
        <v>User</v>
      </c>
      <c r="CO5" s="31" t="str">
        <f>IFERROR(__xludf.DUMMYFUNCTION("""COMPUTED_VALUE"""),"Venue")</f>
        <v>Venue</v>
      </c>
      <c r="CP5" s="31" t="str">
        <f>IFERROR(__xludf.DUMMYFUNCTION("""COMPUTED_VALUE"""),"Closing Method")</f>
        <v>Closing Method</v>
      </c>
      <c r="CQ5" s="31" t="str">
        <f>IFERROR(__xludf.DUMMYFUNCTION("""COMPUTED_VALUE"""),"Closing Date")</f>
        <v>Closing Date</v>
      </c>
      <c r="CR5" s="31" t="str">
        <f>IFERROR(__xludf.DUMMYFUNCTION("""COMPUTED_VALUE"""),"GroupID")</f>
        <v>GroupID</v>
      </c>
      <c r="CS5" s="31" t="str">
        <f>IFERROR(__xludf.DUMMYFUNCTION("""COMPUTED_VALUE"""),"Client")</f>
        <v>Client</v>
      </c>
      <c r="CT5" s="31" t="str">
        <f>IFERROR(__xludf.DUMMYFUNCTION("""COMPUTED_VALUE"""),"Borrow Broker")</f>
        <v>Borrow Broker</v>
      </c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  <c r="FN5" s="31"/>
      <c r="FO5" s="31"/>
      <c r="FP5" s="31"/>
      <c r="FQ5" s="31"/>
      <c r="FR5" s="31"/>
      <c r="FS5" s="31"/>
      <c r="FT5" s="31"/>
      <c r="FU5" s="31"/>
      <c r="FV5" s="31"/>
      <c r="FW5" s="31"/>
      <c r="FX5" s="31"/>
      <c r="FY5" s="31"/>
      <c r="FZ5" s="31"/>
      <c r="GA5" s="31"/>
      <c r="GB5" s="31"/>
      <c r="GC5" s="31"/>
      <c r="GD5" s="31"/>
      <c r="GE5" s="31"/>
      <c r="GF5" s="31"/>
      <c r="GG5" s="31"/>
      <c r="GH5" s="31"/>
      <c r="GI5" s="31"/>
      <c r="GJ5" s="31"/>
      <c r="GK5" s="31"/>
      <c r="GL5" s="31"/>
      <c r="GM5" s="31"/>
      <c r="GN5" s="31"/>
      <c r="GO5" s="31"/>
      <c r="GP5" s="31"/>
      <c r="GQ5" s="31"/>
      <c r="GR5" s="31"/>
      <c r="GS5" s="31"/>
      <c r="GT5" s="31"/>
      <c r="GU5" s="31"/>
      <c r="GV5" s="31"/>
      <c r="GW5" s="31"/>
      <c r="GX5" s="31"/>
      <c r="GY5" s="31"/>
      <c r="GZ5" s="31"/>
      <c r="HA5" s="31"/>
      <c r="HB5" s="31"/>
      <c r="HC5" s="31"/>
      <c r="HD5" s="31"/>
      <c r="HE5" s="31"/>
      <c r="HF5" s="31"/>
      <c r="HG5" s="31"/>
      <c r="HH5" s="31"/>
      <c r="HI5" s="31"/>
      <c r="HJ5" s="31"/>
      <c r="HK5" s="31"/>
      <c r="HL5" s="31"/>
      <c r="HM5" s="31"/>
      <c r="HN5" s="31"/>
      <c r="HO5" s="31"/>
      <c r="HP5" s="31"/>
      <c r="HQ5" s="31"/>
      <c r="HR5" s="31"/>
      <c r="HS5" s="31"/>
      <c r="HT5" s="31"/>
      <c r="HU5" s="31"/>
      <c r="HV5" s="31"/>
      <c r="HW5" s="31"/>
      <c r="HX5" s="31"/>
      <c r="HY5" s="31"/>
      <c r="HZ5" s="31"/>
      <c r="IA5" s="31"/>
      <c r="IB5" s="31"/>
      <c r="IC5" s="31"/>
      <c r="ID5" s="31"/>
      <c r="IE5" s="31"/>
      <c r="IF5" s="31"/>
      <c r="IG5" s="31"/>
      <c r="IH5" s="31"/>
      <c r="II5" s="31"/>
      <c r="IJ5" s="31"/>
      <c r="IK5" s="31"/>
      <c r="IL5" s="31"/>
      <c r="IM5" s="31"/>
      <c r="IN5" s="31"/>
      <c r="IO5" s="31"/>
      <c r="IP5" s="31"/>
      <c r="IQ5" s="31"/>
      <c r="IR5" s="31"/>
      <c r="IS5" s="31"/>
      <c r="IT5" s="31"/>
      <c r="IU5" s="31"/>
      <c r="IV5" s="31"/>
      <c r="IW5" s="31"/>
      <c r="IX5" s="31"/>
      <c r="IY5" s="31"/>
      <c r="IZ5" s="31"/>
      <c r="JA5" s="31"/>
      <c r="JB5" s="31"/>
      <c r="JC5" s="31"/>
      <c r="JD5" s="31"/>
      <c r="JE5" s="31"/>
      <c r="JF5" s="31"/>
      <c r="JG5" s="31"/>
      <c r="JH5" s="31"/>
      <c r="JI5" s="31"/>
      <c r="JJ5" s="31"/>
      <c r="JK5" s="31"/>
      <c r="JL5" s="31"/>
      <c r="JM5" s="31"/>
      <c r="JN5" s="31"/>
      <c r="JO5" s="31"/>
      <c r="JP5" s="31"/>
      <c r="JQ5" s="31"/>
      <c r="JR5" s="31"/>
      <c r="JS5" s="31"/>
      <c r="JT5" s="31"/>
      <c r="JU5" s="31"/>
      <c r="JV5" s="31"/>
      <c r="JW5" s="31"/>
      <c r="JX5" s="31"/>
      <c r="JY5" s="31"/>
      <c r="JZ5" s="31"/>
      <c r="KA5" s="31"/>
      <c r="KB5" s="31"/>
      <c r="KC5" s="31"/>
      <c r="KD5" s="31"/>
      <c r="KE5" s="31"/>
      <c r="KF5" s="31"/>
      <c r="KG5" s="31"/>
      <c r="KH5" s="31"/>
      <c r="KI5" s="31"/>
      <c r="KJ5" s="31"/>
      <c r="KK5" s="31"/>
      <c r="KL5" s="31"/>
      <c r="KM5" s="31"/>
      <c r="KN5" s="31"/>
      <c r="KO5" s="31"/>
      <c r="KP5" s="31"/>
      <c r="KQ5" s="31"/>
      <c r="KR5" s="31"/>
      <c r="KS5" s="31"/>
      <c r="KT5" s="31"/>
      <c r="KU5" s="31"/>
      <c r="KV5" s="31"/>
      <c r="KW5" s="31"/>
      <c r="KX5" s="31"/>
      <c r="KY5" s="31"/>
      <c r="KZ5" s="31"/>
      <c r="LA5" s="31"/>
      <c r="LB5" s="31"/>
      <c r="LC5" s="31"/>
      <c r="LD5" s="31"/>
      <c r="LE5" s="31"/>
      <c r="LF5" s="31"/>
      <c r="LG5" s="31"/>
      <c r="LH5" s="31"/>
      <c r="LI5" s="31"/>
      <c r="LJ5" s="31"/>
      <c r="LK5" s="31"/>
      <c r="LL5" s="31"/>
      <c r="LM5" s="31"/>
      <c r="LN5" s="31"/>
      <c r="LO5" s="31"/>
      <c r="LP5" s="31"/>
      <c r="LQ5" s="31"/>
      <c r="LR5" s="31"/>
      <c r="LS5" s="31"/>
      <c r="LT5" s="31"/>
      <c r="LU5" s="31"/>
      <c r="LV5" s="31"/>
      <c r="LW5" s="31"/>
      <c r="LX5" s="31"/>
      <c r="LY5" s="31"/>
      <c r="LZ5" s="31"/>
      <c r="MA5" s="31"/>
      <c r="MB5" s="31"/>
      <c r="MC5" s="31"/>
      <c r="MD5" s="31"/>
      <c r="ME5" s="31"/>
      <c r="MF5" s="31"/>
      <c r="MG5" s="31"/>
      <c r="MH5" s="31"/>
      <c r="MI5" s="31"/>
      <c r="MJ5" s="31"/>
      <c r="MK5" s="31"/>
      <c r="ML5" s="31"/>
      <c r="MM5" s="31"/>
      <c r="MN5" s="31"/>
      <c r="MO5" s="31"/>
      <c r="MP5" s="31"/>
      <c r="MQ5" s="31"/>
      <c r="MR5" s="31"/>
      <c r="MS5" s="31"/>
      <c r="MT5" s="31"/>
      <c r="MU5" s="31"/>
      <c r="MV5" s="31"/>
      <c r="MW5" s="31"/>
      <c r="MX5" s="31"/>
      <c r="MY5" s="31"/>
      <c r="MZ5" s="31"/>
      <c r="NA5" s="31"/>
      <c r="NB5" s="31"/>
      <c r="NC5" s="31"/>
      <c r="ND5" s="31"/>
      <c r="NE5" s="31"/>
      <c r="NF5" s="31"/>
      <c r="NG5" s="31"/>
      <c r="NH5" s="31"/>
      <c r="NI5" s="31"/>
      <c r="NJ5" s="31"/>
      <c r="NK5" s="31"/>
      <c r="NL5" s="31"/>
      <c r="NM5" s="31"/>
      <c r="NN5" s="31"/>
      <c r="NO5" s="31"/>
      <c r="NP5" s="31"/>
      <c r="NQ5" s="31"/>
      <c r="NR5" s="31"/>
      <c r="NS5" s="31"/>
      <c r="NT5" s="31"/>
      <c r="NU5" s="31"/>
      <c r="NV5" s="31"/>
      <c r="NW5" s="31"/>
      <c r="NX5" s="31"/>
      <c r="NY5" s="31"/>
      <c r="NZ5" s="31"/>
      <c r="OA5" s="31"/>
      <c r="OB5" s="31"/>
      <c r="OC5" s="31"/>
      <c r="OD5" s="31"/>
      <c r="OE5" s="31"/>
      <c r="OF5" s="31"/>
      <c r="OG5" s="31"/>
      <c r="OH5" s="31"/>
      <c r="OI5" s="31"/>
      <c r="OJ5" s="31"/>
      <c r="OK5" s="31"/>
      <c r="OL5" s="31"/>
      <c r="OM5" s="31"/>
      <c r="ON5" s="31"/>
      <c r="OO5" s="31"/>
      <c r="OP5" s="31"/>
      <c r="OQ5" s="31"/>
      <c r="OR5" s="31"/>
      <c r="OS5" s="31"/>
      <c r="OT5" s="31"/>
      <c r="OU5" s="31"/>
      <c r="OV5" s="31"/>
      <c r="OW5" s="31"/>
      <c r="OX5" s="31"/>
      <c r="OY5" s="31"/>
      <c r="OZ5" s="31"/>
      <c r="PA5" s="31"/>
      <c r="PB5" s="31"/>
      <c r="PC5" s="31"/>
      <c r="PD5" s="31"/>
      <c r="PE5" s="31"/>
      <c r="PF5" s="31"/>
      <c r="PG5" s="31"/>
      <c r="PH5" s="31"/>
      <c r="PI5" s="31"/>
      <c r="PJ5" s="31"/>
      <c r="PK5" s="31"/>
      <c r="PL5" s="31"/>
      <c r="PM5" s="31"/>
      <c r="PN5" s="31"/>
      <c r="PO5" s="31"/>
      <c r="PP5" s="31"/>
      <c r="PQ5" s="31"/>
      <c r="PR5" s="31"/>
      <c r="PS5" s="31"/>
      <c r="PT5" s="31"/>
      <c r="PU5" s="31"/>
      <c r="PV5" s="31"/>
      <c r="PW5" s="31"/>
      <c r="PX5" s="31"/>
      <c r="PY5" s="31"/>
      <c r="PZ5" s="31"/>
      <c r="QA5" s="31"/>
      <c r="QB5" s="31"/>
      <c r="QC5" s="31"/>
      <c r="QD5" s="31"/>
      <c r="QE5" s="31"/>
      <c r="QF5" s="31"/>
      <c r="QG5" s="31"/>
      <c r="QH5" s="31"/>
      <c r="QI5" s="31"/>
      <c r="QJ5" s="31"/>
      <c r="QK5" s="31"/>
      <c r="QL5" s="31"/>
      <c r="QM5" s="31"/>
      <c r="QN5" s="31"/>
      <c r="QO5" s="31"/>
      <c r="QP5" s="31"/>
      <c r="QQ5" s="31"/>
      <c r="QR5" s="31"/>
      <c r="QS5" s="31"/>
      <c r="QT5" s="31"/>
      <c r="QU5" s="31"/>
      <c r="QV5" s="31"/>
      <c r="QW5" s="31"/>
      <c r="QX5" s="31"/>
      <c r="QY5" s="31"/>
      <c r="QZ5" s="31"/>
      <c r="RA5" s="31"/>
      <c r="RB5" s="31"/>
      <c r="RC5" s="31"/>
      <c r="RD5" s="31"/>
      <c r="RE5" s="31"/>
      <c r="RF5" s="31"/>
      <c r="RG5" s="31"/>
      <c r="RH5" s="31"/>
      <c r="RI5" s="31"/>
      <c r="RJ5" s="31"/>
      <c r="RK5" s="31"/>
      <c r="RL5" s="31"/>
      <c r="RM5" s="31"/>
      <c r="RN5" s="31"/>
      <c r="RO5" s="31"/>
      <c r="RP5" s="31"/>
      <c r="RQ5" s="31"/>
      <c r="RR5" s="31"/>
      <c r="RS5" s="31"/>
      <c r="RT5" s="31"/>
      <c r="RU5" s="31"/>
      <c r="RV5" s="31"/>
      <c r="RW5" s="31"/>
      <c r="RX5" s="31"/>
      <c r="RY5" s="31"/>
      <c r="RZ5" s="31"/>
      <c r="SA5" s="31"/>
      <c r="SB5" s="31"/>
      <c r="SC5" s="31"/>
      <c r="SD5" s="31"/>
      <c r="SE5" s="31"/>
      <c r="SF5" s="31"/>
      <c r="SG5" s="31"/>
      <c r="SH5" s="31"/>
      <c r="SI5" s="31"/>
      <c r="SJ5" s="31"/>
      <c r="SK5" s="31"/>
      <c r="SL5" s="31"/>
      <c r="SM5" s="31"/>
      <c r="SN5" s="31"/>
      <c r="SO5" s="31"/>
      <c r="SP5" s="31"/>
      <c r="SQ5" s="31"/>
      <c r="SR5" s="31"/>
      <c r="SS5" s="31"/>
      <c r="ST5" s="31"/>
      <c r="SU5" s="31"/>
      <c r="SV5" s="31"/>
      <c r="SW5" s="31"/>
      <c r="SX5" s="31"/>
      <c r="SY5" s="31"/>
      <c r="SZ5" s="31"/>
      <c r="TA5" s="31"/>
      <c r="TB5" s="31"/>
      <c r="TC5" s="31"/>
      <c r="TD5" s="31"/>
      <c r="TE5" s="31"/>
      <c r="TF5" s="31"/>
      <c r="TG5" s="31"/>
      <c r="TH5" s="31"/>
      <c r="TI5" s="31"/>
      <c r="TJ5" s="31"/>
      <c r="TK5" s="31"/>
      <c r="TL5" s="31"/>
      <c r="TM5" s="31"/>
      <c r="TN5" s="31"/>
      <c r="TO5" s="31"/>
      <c r="TP5" s="31"/>
      <c r="TQ5" s="31"/>
      <c r="TR5" s="31"/>
      <c r="TS5" s="31"/>
      <c r="TT5" s="31"/>
      <c r="TU5" s="31"/>
      <c r="TV5" s="31"/>
      <c r="TW5" s="31"/>
      <c r="TX5" s="31"/>
      <c r="TY5" s="31"/>
      <c r="TZ5" s="31"/>
      <c r="UA5" s="31"/>
      <c r="UB5" s="31"/>
      <c r="UC5" s="31"/>
      <c r="UD5" s="31"/>
      <c r="UE5" s="31"/>
      <c r="UF5" s="31"/>
      <c r="UG5" s="31"/>
      <c r="UH5" s="31"/>
      <c r="UI5" s="31"/>
      <c r="UJ5" s="31"/>
      <c r="UK5" s="31"/>
      <c r="UL5" s="31"/>
      <c r="UM5" s="31"/>
      <c r="UN5" s="31"/>
      <c r="UO5" s="31"/>
      <c r="UP5" s="31"/>
      <c r="UQ5" s="31"/>
      <c r="UR5" s="31"/>
      <c r="US5" s="31"/>
      <c r="UT5" s="31"/>
      <c r="UU5" s="31"/>
      <c r="UV5" s="31"/>
      <c r="UW5" s="31"/>
      <c r="UX5" s="31"/>
      <c r="UY5" s="31"/>
      <c r="UZ5" s="31"/>
      <c r="VA5" s="31"/>
      <c r="VB5" s="31"/>
      <c r="VC5" s="31"/>
      <c r="VD5" s="31"/>
      <c r="VE5" s="31"/>
      <c r="VF5" s="31"/>
      <c r="VG5" s="31"/>
      <c r="VH5" s="31"/>
      <c r="VI5" s="31"/>
      <c r="VJ5" s="31"/>
      <c r="VK5" s="31"/>
      <c r="VL5" s="31"/>
      <c r="VM5" s="31"/>
      <c r="VN5" s="31"/>
      <c r="VO5" s="31"/>
      <c r="VP5" s="31"/>
      <c r="VQ5" s="31"/>
      <c r="VR5" s="31"/>
      <c r="VS5" s="31"/>
      <c r="VT5" s="31"/>
      <c r="VU5" s="31"/>
      <c r="VV5" s="31"/>
      <c r="VW5" s="31"/>
      <c r="VX5" s="31"/>
      <c r="VY5" s="31"/>
      <c r="VZ5" s="31"/>
      <c r="WA5" s="31"/>
      <c r="WB5" s="31"/>
      <c r="WC5" s="31"/>
      <c r="WD5" s="31"/>
      <c r="WE5" s="31"/>
      <c r="WF5" s="31"/>
      <c r="WG5" s="31"/>
      <c r="WH5" s="31"/>
      <c r="WI5" s="31"/>
      <c r="WJ5" s="31"/>
      <c r="WK5" s="31"/>
      <c r="WL5" s="31"/>
      <c r="WM5" s="31"/>
      <c r="WN5" s="31"/>
      <c r="WO5" s="31"/>
      <c r="WP5" s="31"/>
      <c r="WQ5" s="31"/>
      <c r="WR5" s="31"/>
      <c r="WS5" s="31"/>
      <c r="WT5" s="31"/>
      <c r="WU5" s="31"/>
      <c r="WV5" s="31"/>
      <c r="WW5" s="31"/>
      <c r="WX5" s="31"/>
      <c r="WY5" s="31"/>
      <c r="WZ5" s="31"/>
      <c r="XA5" s="31"/>
      <c r="XB5" s="31"/>
      <c r="XC5" s="31"/>
      <c r="XD5" s="31"/>
      <c r="XE5" s="31"/>
      <c r="XF5" s="31"/>
      <c r="XG5" s="31"/>
      <c r="XH5" s="31"/>
      <c r="XI5" s="31"/>
      <c r="XJ5" s="31"/>
      <c r="XK5" s="31"/>
      <c r="XL5" s="31"/>
      <c r="XM5" s="31"/>
      <c r="XN5" s="31"/>
      <c r="XO5" s="31"/>
      <c r="XP5" s="31"/>
      <c r="XQ5" s="31"/>
      <c r="XR5" s="31"/>
      <c r="XS5" s="31"/>
      <c r="XT5" s="31"/>
      <c r="XU5" s="31"/>
      <c r="XV5" s="31"/>
      <c r="XW5" s="31"/>
      <c r="XX5" s="31"/>
      <c r="XY5" s="31"/>
      <c r="XZ5" s="31"/>
      <c r="YA5" s="31"/>
      <c r="YB5" s="31"/>
      <c r="YC5" s="31"/>
      <c r="YD5" s="31"/>
      <c r="YE5" s="31"/>
      <c r="YF5" s="31"/>
      <c r="YG5" s="31"/>
      <c r="YH5" s="31"/>
      <c r="YI5" s="31"/>
      <c r="YJ5" s="31"/>
      <c r="YK5" s="31"/>
      <c r="YL5" s="31"/>
      <c r="YM5" s="31"/>
      <c r="YN5" s="31"/>
      <c r="YO5" s="31"/>
      <c r="YP5" s="31"/>
      <c r="YQ5" s="31"/>
      <c r="YR5" s="31"/>
      <c r="YS5" s="31"/>
      <c r="YT5" s="31"/>
      <c r="YU5" s="31"/>
      <c r="YV5" s="31"/>
      <c r="YW5" s="31"/>
      <c r="YX5" s="31"/>
      <c r="YY5" s="31"/>
      <c r="YZ5" s="31"/>
      <c r="ZA5" s="31"/>
      <c r="ZB5" s="31"/>
      <c r="ZC5" s="31"/>
      <c r="ZD5" s="31"/>
      <c r="ZE5" s="31"/>
      <c r="ZF5" s="31"/>
      <c r="ZG5" s="31"/>
      <c r="ZH5" s="31"/>
      <c r="ZI5" s="31"/>
      <c r="ZJ5" s="31"/>
      <c r="ZK5" s="31"/>
      <c r="ZL5" s="31"/>
      <c r="ZM5" s="31"/>
      <c r="ZN5" s="31"/>
      <c r="ZO5" s="31"/>
      <c r="ZP5" s="31"/>
      <c r="ZQ5" s="31"/>
      <c r="ZR5" s="31"/>
      <c r="ZS5" s="31"/>
      <c r="ZT5" s="31"/>
      <c r="ZU5" s="31"/>
      <c r="ZV5" s="31"/>
      <c r="ZW5" s="31"/>
      <c r="ZX5" s="31"/>
      <c r="ZY5" s="31"/>
      <c r="ZZ5" s="31"/>
      <c r="AAA5" s="31"/>
      <c r="AAB5" s="31"/>
      <c r="AAC5" s="31"/>
      <c r="AAD5" s="31"/>
      <c r="AAE5" s="31"/>
      <c r="AAF5" s="31"/>
      <c r="AAG5" s="31"/>
      <c r="AAH5" s="31"/>
      <c r="AAI5" s="31"/>
      <c r="AAJ5" s="31"/>
      <c r="AAK5" s="31"/>
      <c r="AAL5" s="31"/>
      <c r="AAM5" s="31"/>
      <c r="AAN5" s="31"/>
      <c r="AAO5" s="31"/>
      <c r="AAP5" s="31"/>
      <c r="AAQ5" s="31"/>
      <c r="AAR5" s="31"/>
      <c r="AAS5" s="31"/>
      <c r="AAT5" s="31"/>
      <c r="AAU5" s="31"/>
      <c r="AAV5" s="31"/>
      <c r="AAW5" s="31"/>
      <c r="AAX5" s="31"/>
      <c r="AAY5" s="31"/>
      <c r="AAZ5" s="31"/>
      <c r="ABA5" s="31"/>
      <c r="ABB5" s="31"/>
      <c r="ABC5" s="31"/>
      <c r="ABD5" s="31"/>
      <c r="ABE5" s="31"/>
      <c r="ABF5" s="31"/>
      <c r="ABG5" s="31"/>
      <c r="ABH5" s="31"/>
      <c r="ABI5" s="31"/>
      <c r="ABJ5" s="31"/>
      <c r="ABK5" s="31"/>
      <c r="ABL5" s="31"/>
      <c r="ABM5" s="31"/>
      <c r="ABN5" s="31"/>
      <c r="ABO5" s="31"/>
      <c r="ABP5" s="31"/>
      <c r="ABQ5" s="31"/>
      <c r="ABR5" s="31"/>
      <c r="ABS5" s="31"/>
      <c r="ABT5" s="31"/>
      <c r="ABU5" s="31"/>
      <c r="ABV5" s="31"/>
      <c r="ABW5" s="31"/>
      <c r="ABX5" s="31"/>
      <c r="ABY5" s="31"/>
      <c r="ABZ5" s="31"/>
      <c r="ACA5" s="31"/>
      <c r="ACB5" s="31"/>
      <c r="ACC5" s="31"/>
      <c r="ACD5" s="31"/>
      <c r="ACE5" s="31"/>
      <c r="ACF5" s="31"/>
      <c r="ACG5" s="31"/>
      <c r="ACH5" s="31"/>
      <c r="ACI5" s="31"/>
      <c r="ACJ5" s="31"/>
      <c r="ACK5" s="31"/>
      <c r="ACL5" s="31"/>
      <c r="ACM5" s="31"/>
      <c r="ACN5" s="31"/>
      <c r="ACO5" s="31"/>
      <c r="ACP5" s="31"/>
      <c r="ACQ5" s="31"/>
      <c r="ACR5" s="31"/>
      <c r="ACS5" s="31"/>
      <c r="ACT5" s="31"/>
      <c r="ACU5" s="31"/>
      <c r="ACV5" s="31"/>
      <c r="ACW5" s="31"/>
      <c r="ACX5" s="31"/>
      <c r="ACY5" s="31"/>
      <c r="ACZ5" s="31"/>
      <c r="ADA5" s="31"/>
      <c r="ADB5" s="31"/>
      <c r="ADC5" s="31"/>
      <c r="ADD5" s="31"/>
      <c r="ADE5" s="31"/>
      <c r="ADF5" s="31"/>
      <c r="ADG5" s="31"/>
      <c r="ADH5" s="31"/>
      <c r="ADI5" s="31"/>
      <c r="ADJ5" s="31"/>
      <c r="ADK5" s="31"/>
      <c r="ADL5" s="31"/>
      <c r="ADM5" s="31"/>
      <c r="ADN5" s="31"/>
      <c r="ADO5" s="31"/>
      <c r="ADP5" s="31"/>
      <c r="ADQ5" s="31"/>
      <c r="ADR5" s="31"/>
      <c r="ADS5" s="31"/>
      <c r="ADT5" s="31"/>
      <c r="ADU5" s="31"/>
      <c r="ADV5" s="31"/>
      <c r="ADW5" s="31"/>
      <c r="ADX5" s="31"/>
      <c r="ADY5" s="31"/>
      <c r="ADZ5" s="31"/>
      <c r="AEA5" s="31"/>
      <c r="AEB5" s="31"/>
      <c r="AEC5" s="31"/>
      <c r="AED5" s="31"/>
      <c r="AEE5" s="31"/>
      <c r="AEF5" s="31"/>
      <c r="AEG5" s="31"/>
      <c r="AEH5" s="31"/>
      <c r="AEI5" s="31"/>
      <c r="AEJ5" s="31"/>
      <c r="AEK5" s="31"/>
      <c r="AEL5" s="31"/>
      <c r="AEM5" s="31"/>
      <c r="AEN5" s="31"/>
      <c r="AEO5" s="31"/>
      <c r="AEP5" s="31"/>
      <c r="AEQ5" s="31"/>
      <c r="AER5" s="31"/>
      <c r="AES5" s="31"/>
      <c r="AET5" s="31"/>
      <c r="AEU5" s="31"/>
      <c r="AEV5" s="31"/>
      <c r="AEW5" s="31"/>
      <c r="AEX5" s="31"/>
      <c r="AEY5" s="31"/>
      <c r="AEZ5" s="31"/>
      <c r="AFA5" s="31"/>
      <c r="AFB5" s="31"/>
      <c r="AFC5" s="31"/>
      <c r="AFD5" s="31"/>
      <c r="AFE5" s="31"/>
      <c r="AFF5" s="31"/>
      <c r="AFG5" s="31"/>
      <c r="AFH5" s="31"/>
      <c r="AFI5" s="31"/>
      <c r="AFJ5" s="31"/>
      <c r="AFK5" s="31"/>
      <c r="AFL5" s="31"/>
      <c r="AFM5" s="31"/>
      <c r="AFN5" s="31"/>
      <c r="AFO5" s="31"/>
      <c r="AFP5" s="31"/>
      <c r="AFQ5" s="31"/>
      <c r="AFR5" s="31"/>
      <c r="AFS5" s="31"/>
      <c r="AFT5" s="31"/>
      <c r="AFU5" s="31"/>
      <c r="AFV5" s="31"/>
      <c r="AFW5" s="31"/>
      <c r="AFX5" s="31"/>
      <c r="AFY5" s="31"/>
      <c r="AFZ5" s="31"/>
      <c r="AGA5" s="31"/>
      <c r="AGB5" s="31"/>
      <c r="AGC5" s="31"/>
      <c r="AGD5" s="31"/>
      <c r="AGE5" s="31"/>
      <c r="AGF5" s="31"/>
      <c r="AGG5" s="31"/>
      <c r="AGH5" s="31"/>
      <c r="AGI5" s="31"/>
      <c r="AGJ5" s="31"/>
      <c r="AGK5" s="31"/>
      <c r="AGL5" s="31"/>
      <c r="AGM5" s="31"/>
      <c r="AGN5" s="31"/>
      <c r="AGO5" s="31"/>
      <c r="AGP5" s="31"/>
      <c r="AGQ5" s="31"/>
      <c r="AGR5" s="31"/>
      <c r="AGS5" s="31"/>
      <c r="AGT5" s="31"/>
      <c r="AGU5" s="31"/>
      <c r="AGV5" s="31"/>
      <c r="AGW5" s="31"/>
      <c r="AGX5" s="31"/>
      <c r="AGY5" s="31"/>
      <c r="AGZ5" s="31"/>
      <c r="AHA5" s="31"/>
      <c r="AHB5" s="31"/>
      <c r="AHC5" s="31"/>
      <c r="AHD5" s="31"/>
      <c r="AHE5" s="31"/>
      <c r="AHF5" s="31"/>
      <c r="AHG5" s="31"/>
      <c r="AHH5" s="31"/>
      <c r="AHI5" s="31"/>
      <c r="AHJ5" s="31"/>
      <c r="AHK5" s="31"/>
      <c r="AHL5" s="31"/>
      <c r="AHM5" s="31"/>
      <c r="AHN5" s="31"/>
      <c r="AHO5" s="31"/>
      <c r="AHP5" s="31"/>
      <c r="AHQ5" s="31"/>
      <c r="AHR5" s="31"/>
      <c r="AHS5" s="31"/>
      <c r="AHT5" s="31"/>
      <c r="AHU5" s="31"/>
      <c r="AHV5" s="31"/>
      <c r="AHW5" s="31"/>
      <c r="AHX5" s="31"/>
      <c r="AHY5" s="31"/>
      <c r="AHZ5" s="31"/>
      <c r="AIA5" s="31"/>
      <c r="AIB5" s="31"/>
      <c r="AIC5" s="31"/>
      <c r="AID5" s="31"/>
      <c r="AIE5" s="31"/>
      <c r="AIF5" s="31"/>
      <c r="AIG5" s="31"/>
      <c r="AIH5" s="31"/>
      <c r="AII5" s="31"/>
      <c r="AIJ5" s="31"/>
      <c r="AIK5" s="31"/>
      <c r="AIL5" s="31"/>
      <c r="AIM5" s="31"/>
      <c r="AIN5" s="31"/>
      <c r="AIO5" s="31"/>
      <c r="AIP5" s="31"/>
      <c r="AIQ5" s="31"/>
      <c r="AIR5" s="31"/>
      <c r="AIS5" s="31"/>
      <c r="AIT5" s="31"/>
      <c r="AIU5" s="31"/>
      <c r="AIV5" s="31"/>
      <c r="AIW5" s="31"/>
      <c r="AIX5" s="31"/>
      <c r="AIY5" s="31"/>
      <c r="AIZ5" s="31"/>
      <c r="AJA5" s="31"/>
      <c r="AJB5" s="31"/>
      <c r="AJC5" s="31"/>
      <c r="AJD5" s="31"/>
      <c r="AJE5" s="31"/>
      <c r="AJF5" s="31"/>
      <c r="AJG5" s="31"/>
      <c r="AJH5" s="31"/>
      <c r="AJI5" s="31"/>
      <c r="AJJ5" s="31"/>
      <c r="AJK5" s="31"/>
      <c r="AJL5" s="31"/>
      <c r="AJM5" s="31"/>
      <c r="AJN5" s="31"/>
      <c r="AJO5" s="31"/>
      <c r="AJP5" s="31"/>
      <c r="AJQ5" s="31"/>
      <c r="AJR5" s="31"/>
      <c r="AJS5" s="31"/>
      <c r="AJT5" s="31"/>
      <c r="AJU5" s="31"/>
      <c r="AJV5" s="31"/>
      <c r="AJW5" s="31"/>
      <c r="AJX5" s="31"/>
      <c r="AJY5" s="31"/>
      <c r="AJZ5" s="31"/>
      <c r="AKA5" s="31"/>
      <c r="AKB5" s="31"/>
      <c r="AKC5" s="31"/>
      <c r="AKD5" s="31"/>
      <c r="AKE5" s="31"/>
      <c r="AKF5" s="31"/>
      <c r="AKG5" s="31"/>
      <c r="AKH5" s="31"/>
      <c r="AKI5" s="31"/>
      <c r="AKJ5" s="31"/>
      <c r="AKK5" s="31"/>
      <c r="AKL5" s="31"/>
      <c r="AKM5" s="31"/>
      <c r="AKN5" s="31"/>
      <c r="AKO5" s="31"/>
      <c r="AKP5" s="31"/>
      <c r="AKQ5" s="31"/>
      <c r="AKR5" s="31"/>
      <c r="AKS5" s="31"/>
      <c r="AKT5" s="31"/>
      <c r="AKU5" s="31"/>
      <c r="AKV5" s="31"/>
      <c r="AKW5" s="31"/>
      <c r="AKX5" s="31"/>
      <c r="AKY5" s="31"/>
      <c r="AKZ5" s="31"/>
      <c r="ALA5" s="31"/>
      <c r="ALB5" s="31"/>
      <c r="ALC5" s="31"/>
      <c r="ALD5" s="31"/>
      <c r="ALE5" s="31"/>
      <c r="ALF5" s="31"/>
      <c r="ALG5" s="31"/>
      <c r="ALH5" s="31"/>
      <c r="ALI5" s="31"/>
      <c r="ALJ5" s="31"/>
      <c r="ALK5" s="31"/>
      <c r="ALL5" s="31"/>
      <c r="ALM5" s="31"/>
      <c r="ALN5" s="31"/>
      <c r="ALO5" s="31"/>
      <c r="ALP5" s="31"/>
      <c r="ALQ5" s="31"/>
      <c r="ALR5" s="31"/>
      <c r="ALS5" s="31"/>
      <c r="ALT5" s="31"/>
      <c r="ALU5" s="31"/>
      <c r="ALV5" s="31"/>
      <c r="ALW5" s="31"/>
      <c r="ALX5" s="31"/>
      <c r="ALY5" s="31"/>
      <c r="ALZ5" s="31"/>
      <c r="AMA5" s="31"/>
      <c r="AMB5" s="31"/>
      <c r="AMC5" s="31"/>
      <c r="AMD5" s="31"/>
      <c r="AME5" s="31"/>
      <c r="AMF5" s="31"/>
      <c r="AMG5" s="31"/>
      <c r="AMH5" s="31"/>
      <c r="AMI5" s="31"/>
      <c r="AMJ5" s="31"/>
    </row>
    <row r="6" ht="15.75" customHeight="1">
      <c r="A6" s="51" t="s">
        <v>40</v>
      </c>
      <c r="B6" s="51" t="s">
        <v>47</v>
      </c>
      <c r="C6" s="8" t="s">
        <v>40</v>
      </c>
      <c r="D6" s="51"/>
      <c r="E6" s="8">
        <v>100.0</v>
      </c>
      <c r="F6" s="8" t="s">
        <v>17</v>
      </c>
      <c r="G6" s="8" t="s">
        <v>49</v>
      </c>
      <c r="H6" s="8">
        <v>4.0</v>
      </c>
      <c r="I6" s="8">
        <v>5.0</v>
      </c>
      <c r="J6" s="8">
        <v>1.0</v>
      </c>
      <c r="K6" s="8">
        <v>0.0</v>
      </c>
      <c r="L6" s="8">
        <v>0.0</v>
      </c>
      <c r="M6" s="8" t="s">
        <v>41</v>
      </c>
      <c r="N6" s="8" t="s">
        <v>40</v>
      </c>
      <c r="O6" s="8" t="s">
        <v>51</v>
      </c>
      <c r="Q6">
        <v>3.0</v>
      </c>
      <c r="R6">
        <v>0.0</v>
      </c>
      <c r="S6" t="s">
        <v>57</v>
      </c>
      <c r="T6">
        <v>0.0</v>
      </c>
      <c r="U6">
        <v>0.0</v>
      </c>
      <c r="W6">
        <v>1.0</v>
      </c>
      <c r="X6" t="s">
        <v>40</v>
      </c>
      <c r="Y6" t="s">
        <v>40</v>
      </c>
      <c r="Z6" t="s">
        <v>46</v>
      </c>
      <c r="AB6">
        <v>1.0</v>
      </c>
      <c r="AC6" t="s">
        <v>58</v>
      </c>
      <c r="AD6" t="s">
        <v>42</v>
      </c>
      <c r="AE6">
        <v>100.0</v>
      </c>
      <c r="AF6" t="s">
        <v>40</v>
      </c>
      <c r="AH6" t="s">
        <v>48</v>
      </c>
      <c r="AI6">
        <v>1.0</v>
      </c>
      <c r="AJ6" t="s">
        <v>59</v>
      </c>
      <c r="AM6" t="s">
        <v>60</v>
      </c>
      <c r="AN6" t="b">
        <v>0</v>
      </c>
      <c r="AP6" t="b">
        <v>1</v>
      </c>
      <c r="AQ6" t="b">
        <v>0</v>
      </c>
      <c r="AR6" t="b">
        <v>1</v>
      </c>
      <c r="AT6">
        <v>14.0</v>
      </c>
      <c r="AU6">
        <v>14.0</v>
      </c>
      <c r="AW6">
        <v>0.0</v>
      </c>
      <c r="AX6">
        <v>0.0</v>
      </c>
      <c r="AY6" t="s">
        <v>52</v>
      </c>
      <c r="AZ6">
        <v>0.0</v>
      </c>
      <c r="BC6">
        <v>0.0</v>
      </c>
      <c r="BD6" t="s">
        <v>61</v>
      </c>
      <c r="BE6">
        <v>0.0</v>
      </c>
      <c r="BF6">
        <v>0.0</v>
      </c>
      <c r="BJ6">
        <v>100.0</v>
      </c>
      <c r="BK6">
        <v>0.0</v>
      </c>
      <c r="BL6" t="s">
        <v>40</v>
      </c>
      <c r="BM6" t="s">
        <v>46</v>
      </c>
      <c r="BO6" t="s">
        <v>32</v>
      </c>
      <c r="BP6">
        <v>0.0</v>
      </c>
      <c r="BQ6">
        <v>0.0</v>
      </c>
      <c r="BR6">
        <v>0.0</v>
      </c>
      <c r="BS6" t="s">
        <v>62</v>
      </c>
      <c r="BT6" t="s">
        <v>31</v>
      </c>
      <c r="BU6">
        <v>3.0</v>
      </c>
      <c r="BV6">
        <v>0.0</v>
      </c>
      <c r="BW6">
        <v>14.0</v>
      </c>
      <c r="BX6">
        <v>0.0</v>
      </c>
      <c r="CF6" t="s">
        <v>45</v>
      </c>
      <c r="CG6">
        <v>2.0</v>
      </c>
      <c r="CH6" t="s">
        <v>29</v>
      </c>
      <c r="CI6" t="s">
        <v>32</v>
      </c>
      <c r="CJ6">
        <v>0.0</v>
      </c>
      <c r="CK6" t="s">
        <v>44</v>
      </c>
      <c r="CL6">
        <v>1.0</v>
      </c>
      <c r="CM6" t="s">
        <v>31</v>
      </c>
      <c r="CN6" t="s">
        <v>43</v>
      </c>
      <c r="CO6" t="s">
        <v>42</v>
      </c>
      <c r="CP6" t="s">
        <v>63</v>
      </c>
      <c r="CS6" t="s">
        <v>40</v>
      </c>
      <c r="CU6" t="s">
        <v>40</v>
      </c>
      <c r="CV6" t="s">
        <v>40</v>
      </c>
      <c r="CW6" t="s">
        <v>40</v>
      </c>
      <c r="CX6" t="s">
        <v>40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EY6" t="s">
        <v>40</v>
      </c>
      <c r="EZ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</row>
    <row r="7" ht="15.75" customHeight="1">
      <c r="A7" s="8" t="s">
        <v>40</v>
      </c>
      <c r="B7" s="8" t="s">
        <v>47</v>
      </c>
      <c r="C7" s="8" t="s">
        <v>40</v>
      </c>
      <c r="D7" s="8"/>
      <c r="E7" s="8">
        <v>100.0</v>
      </c>
      <c r="F7" s="8" t="s">
        <v>17</v>
      </c>
      <c r="G7" s="8" t="s">
        <v>49</v>
      </c>
      <c r="H7" s="8">
        <v>4.0</v>
      </c>
      <c r="I7" s="8">
        <v>5.0</v>
      </c>
      <c r="J7" s="8">
        <v>1.0</v>
      </c>
      <c r="K7" s="8">
        <v>0.0</v>
      </c>
      <c r="L7" s="8">
        <v>0.0</v>
      </c>
      <c r="M7" s="8" t="s">
        <v>53</v>
      </c>
      <c r="N7" s="8" t="s">
        <v>40</v>
      </c>
      <c r="O7" s="8" t="s">
        <v>51</v>
      </c>
      <c r="Q7">
        <v>3.0</v>
      </c>
      <c r="R7">
        <v>0.0</v>
      </c>
      <c r="S7" t="s">
        <v>57</v>
      </c>
      <c r="T7">
        <v>0.0</v>
      </c>
      <c r="U7">
        <v>0.0</v>
      </c>
      <c r="W7">
        <v>1.0</v>
      </c>
      <c r="X7" t="s">
        <v>40</v>
      </c>
      <c r="Y7" t="s">
        <v>40</v>
      </c>
      <c r="Z7" t="s">
        <v>46</v>
      </c>
      <c r="AB7">
        <v>1.0</v>
      </c>
      <c r="AC7" t="s">
        <v>58</v>
      </c>
      <c r="AD7" t="s">
        <v>42</v>
      </c>
      <c r="AE7">
        <v>100.0</v>
      </c>
      <c r="AF7" t="s">
        <v>40</v>
      </c>
      <c r="AH7" t="s">
        <v>48</v>
      </c>
      <c r="AI7">
        <v>1.0</v>
      </c>
      <c r="AJ7" t="s">
        <v>59</v>
      </c>
      <c r="AM7" t="s">
        <v>60</v>
      </c>
      <c r="AN7" t="b">
        <v>0</v>
      </c>
      <c r="AP7" t="b">
        <v>1</v>
      </c>
      <c r="AQ7" t="b">
        <v>0</v>
      </c>
      <c r="AR7" t="b">
        <v>1</v>
      </c>
      <c r="AT7">
        <v>14.0</v>
      </c>
      <c r="AU7">
        <v>14.0</v>
      </c>
      <c r="AW7">
        <v>0.0</v>
      </c>
      <c r="AX7">
        <v>0.0</v>
      </c>
      <c r="AY7" t="s">
        <v>52</v>
      </c>
      <c r="AZ7">
        <v>0.0</v>
      </c>
      <c r="BC7">
        <v>0.0</v>
      </c>
      <c r="BD7" t="s">
        <v>61</v>
      </c>
      <c r="BE7">
        <v>0.0</v>
      </c>
      <c r="BF7">
        <v>0.0</v>
      </c>
      <c r="BJ7">
        <v>100.0</v>
      </c>
      <c r="BK7">
        <v>0.0</v>
      </c>
      <c r="BL7" t="s">
        <v>40</v>
      </c>
      <c r="BM7" t="s">
        <v>46</v>
      </c>
      <c r="BO7" t="s">
        <v>32</v>
      </c>
      <c r="BP7">
        <v>0.0</v>
      </c>
      <c r="BQ7">
        <v>0.0</v>
      </c>
      <c r="BR7">
        <v>0.0</v>
      </c>
      <c r="BS7" t="s">
        <v>62</v>
      </c>
      <c r="BT7" t="s">
        <v>33</v>
      </c>
      <c r="BU7">
        <v>3.0</v>
      </c>
      <c r="BV7">
        <v>0.0</v>
      </c>
      <c r="BW7">
        <v>14.0</v>
      </c>
      <c r="BX7">
        <v>0.0</v>
      </c>
      <c r="CF7" t="s">
        <v>45</v>
      </c>
      <c r="CG7">
        <v>2.0</v>
      </c>
      <c r="CH7" t="s">
        <v>29</v>
      </c>
      <c r="CI7" t="s">
        <v>32</v>
      </c>
      <c r="CJ7">
        <v>0.0</v>
      </c>
      <c r="CK7" t="s">
        <v>44</v>
      </c>
      <c r="CL7">
        <v>1.0</v>
      </c>
      <c r="CM7" t="s">
        <v>33</v>
      </c>
      <c r="CN7" t="s">
        <v>43</v>
      </c>
      <c r="CO7" t="s">
        <v>42</v>
      </c>
      <c r="CP7" t="s">
        <v>63</v>
      </c>
      <c r="CS7" t="s">
        <v>40</v>
      </c>
      <c r="CU7" t="s">
        <v>40</v>
      </c>
      <c r="CV7" t="s">
        <v>40</v>
      </c>
      <c r="CW7" t="s">
        <v>40</v>
      </c>
      <c r="CX7" t="s">
        <v>40</v>
      </c>
      <c r="CY7" t="s">
        <v>40</v>
      </c>
      <c r="CZ7" t="s">
        <v>40</v>
      </c>
      <c r="DA7" t="s">
        <v>40</v>
      </c>
      <c r="DB7" t="s">
        <v>40</v>
      </c>
      <c r="DC7" t="s">
        <v>40</v>
      </c>
      <c r="DD7" t="s">
        <v>40</v>
      </c>
      <c r="DE7" t="s">
        <v>40</v>
      </c>
      <c r="DF7" t="s">
        <v>40</v>
      </c>
      <c r="DG7" t="s">
        <v>40</v>
      </c>
      <c r="DH7" t="s">
        <v>40</v>
      </c>
      <c r="DI7" t="s">
        <v>40</v>
      </c>
      <c r="DJ7" t="s">
        <v>40</v>
      </c>
      <c r="DK7" t="s">
        <v>40</v>
      </c>
      <c r="DL7" t="s">
        <v>40</v>
      </c>
      <c r="DM7" t="s">
        <v>40</v>
      </c>
      <c r="DN7" t="s">
        <v>40</v>
      </c>
      <c r="DO7" t="s">
        <v>40</v>
      </c>
      <c r="DP7" t="s">
        <v>40</v>
      </c>
      <c r="DQ7" t="s">
        <v>40</v>
      </c>
      <c r="DR7" t="s">
        <v>40</v>
      </c>
      <c r="DS7" t="s">
        <v>40</v>
      </c>
      <c r="DT7" t="s">
        <v>40</v>
      </c>
      <c r="DU7" t="s">
        <v>40</v>
      </c>
      <c r="DV7" t="s">
        <v>40</v>
      </c>
      <c r="DW7" t="s">
        <v>40</v>
      </c>
      <c r="DX7" t="s">
        <v>40</v>
      </c>
      <c r="DY7" t="s">
        <v>40</v>
      </c>
      <c r="DZ7" t="s">
        <v>40</v>
      </c>
      <c r="EA7" t="s">
        <v>40</v>
      </c>
      <c r="EB7" t="s">
        <v>40</v>
      </c>
      <c r="EC7" t="s">
        <v>40</v>
      </c>
      <c r="ED7" t="s">
        <v>40</v>
      </c>
      <c r="EE7" t="s">
        <v>40</v>
      </c>
      <c r="EF7" t="s">
        <v>40</v>
      </c>
      <c r="EG7" t="s">
        <v>40</v>
      </c>
      <c r="EH7" t="s">
        <v>40</v>
      </c>
      <c r="EI7" t="s">
        <v>40</v>
      </c>
      <c r="EJ7" t="s">
        <v>40</v>
      </c>
      <c r="EK7" t="s">
        <v>40</v>
      </c>
      <c r="EL7" t="s">
        <v>40</v>
      </c>
      <c r="EM7" t="s">
        <v>40</v>
      </c>
      <c r="EN7" t="s">
        <v>40</v>
      </c>
      <c r="EO7" t="s">
        <v>40</v>
      </c>
      <c r="EP7" t="s">
        <v>40</v>
      </c>
      <c r="EQ7" t="s">
        <v>40</v>
      </c>
      <c r="ER7" t="s">
        <v>40</v>
      </c>
      <c r="ES7" t="s">
        <v>40</v>
      </c>
      <c r="ET7" t="s">
        <v>40</v>
      </c>
      <c r="EU7" t="s">
        <v>40</v>
      </c>
      <c r="EV7" t="s">
        <v>40</v>
      </c>
      <c r="EW7" t="s">
        <v>40</v>
      </c>
      <c r="EX7" t="s">
        <v>40</v>
      </c>
      <c r="EY7" t="s">
        <v>40</v>
      </c>
      <c r="EZ7" t="s">
        <v>40</v>
      </c>
      <c r="FA7" t="s">
        <v>40</v>
      </c>
      <c r="FB7" t="s">
        <v>40</v>
      </c>
      <c r="FC7" t="s">
        <v>40</v>
      </c>
      <c r="FD7" t="s">
        <v>40</v>
      </c>
      <c r="FE7" t="s">
        <v>40</v>
      </c>
      <c r="FF7" t="s">
        <v>40</v>
      </c>
      <c r="FG7" t="s">
        <v>40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64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IFERROR(__xludf.DUMMYFUNCTION("""COMPUTED_VALUE"""),"Trade Date")</f>
        <v>Trade Date</v>
      </c>
      <c r="C5" s="29" t="str">
        <f>IFERROR(__xludf.DUMMYFUNCTION("""COMPUTED_VALUE"""),"Symbol")</f>
        <v>Symbol</v>
      </c>
      <c r="D5" s="29" t="str">
        <f>IFERROR(__xludf.DUMMYFUNCTION("""COMPUTED_VALUE"""),"Position")</f>
        <v>Position</v>
      </c>
      <c r="E5" s="29" t="str">
        <f>IFERROR(__xludf.DUMMYFUNCTION("""COMPUTED_VALUE"""),"Account")</f>
        <v>Account</v>
      </c>
      <c r="F5" s="30" t="str">
        <f>IFERROR(__xludf.DUMMYFUNCTION("""COMPUTED_VALUE"""),"MasterFund")</f>
        <v>MasterFund</v>
      </c>
      <c r="G5" s="29" t="str">
        <f>IFERROR(__xludf.DUMMYFUNCTION("""COMPUTED_VALUE"""),"Cost Basis")</f>
        <v>Cost Basis</v>
      </c>
      <c r="H5" s="29" t="str">
        <f>IFERROR(__xludf.DUMMYFUNCTION("""COMPUTED_VALUE"""),"Position Side")</f>
        <v>Position Side</v>
      </c>
      <c r="I5" s="29" t="str">
        <f>IFERROR(__xludf.DUMMYFUNCTION("""COMPUTED_VALUE"""),"Market Value (Base)")</f>
        <v>Market Value (Base)</v>
      </c>
      <c r="J5" s="29" t="str">
        <f>IFERROR(__xludf.DUMMYFUNCTION("""COMPUTED_VALUE"""),"% Day P&amp;L (Gross MV)")</f>
        <v>% Day P&amp;L (Gross MV)</v>
      </c>
      <c r="K5" s="29" t="str">
        <f>IFERROR(__xludf.DUMMYFUNCTION("""COMPUTED_VALUE"""),"Net Exposure (Base)")</f>
        <v>Net Exposure (Base)</v>
      </c>
      <c r="L5" s="29" t="str">
        <f>IFERROR(__xludf.DUMMYFUNCTION("""COMPUTED_VALUE"""),"Beta Adj. Gross Exposure (Base)")</f>
        <v>Beta Adj. Gross Exposure (Base)</v>
      </c>
      <c r="M5" s="29" t="str">
        <f>IFERROR(__xludf.DUMMYFUNCTION("""COMPUTED_VALUE"""),"Beta Adj. Gross Exposure (Underlying) (Base)")</f>
        <v>Beta Adj. Gross Exposure (Underlying) (Base)</v>
      </c>
      <c r="N5" s="29" t="str">
        <f>IFERROR(__xludf.DUMMYFUNCTION("""COMPUTED_VALUE"""),"Day P&amp;L (Base)")</f>
        <v>Day P&amp;L (Base)</v>
      </c>
      <c r="O5" s="29" t="str">
        <f>IFERROR(__xludf.DUMMYFUNCTION("""COMPUTED_VALUE"""),"Security Name")</f>
        <v>Security Name</v>
      </c>
      <c r="P5" s="29" t="str">
        <f>IFERROR(__xludf.DUMMYFUNCTION("""COMPUTED_VALUE"""),"Closing Mark")</f>
        <v>Closing Mark</v>
      </c>
      <c r="Q5" s="29" t="str">
        <f>IFERROR(__xludf.DUMMYFUNCTION("""COMPUTED_VALUE"""),"Cost Basis P&amp;L (Base)")</f>
        <v>Cost Basis P&amp;L (Base)</v>
      </c>
      <c r="R5" s="29" t="str">
        <f>IFERROR(__xludf.DUMMYFUNCTION("""COMPUTED_VALUE"""),"Prime Broker")</f>
        <v>Prime Broker</v>
      </c>
      <c r="S5" s="29" t="str">
        <f>IFERROR(__xludf.DUMMYFUNCTION("""COMPUTED_VALUE"""),"Strategy")</f>
        <v>Strategy</v>
      </c>
      <c r="T5" s="31" t="str">
        <f>IFERROR(__xludf.DUMMYFUNCTION("""COMPUTED_VALUE"""),"Asset Class")</f>
        <v>Asset Class</v>
      </c>
      <c r="U5" s="31" t="str">
        <f>IFERROR(__xludf.DUMMYFUNCTION("""COMPUTED_VALUE"""),"Underlying")</f>
        <v>Underlying</v>
      </c>
      <c r="V5" s="31" t="str">
        <f>IFERROR(__xludf.DUMMYFUNCTION("""COMPUTED_VALUE"""),"Exchange")</f>
        <v>Exchange</v>
      </c>
      <c r="W5" s="31" t="str">
        <f>IFERROR(__xludf.DUMMYFUNCTION("""COMPUTED_VALUE"""),"Trade Currency")</f>
        <v>Trade Currency</v>
      </c>
      <c r="X5" s="31" t="str">
        <f>IFERROR(__xludf.DUMMYFUNCTION("""COMPUTED_VALUE"""),"Multiplier")</f>
        <v>Multiplier</v>
      </c>
      <c r="Y5" s="31" t="str">
        <f>IFERROR(__xludf.DUMMYFUNCTION("""COMPUTED_VALUE"""),"FX Rate")</f>
        <v>FX Rate</v>
      </c>
      <c r="Z5" s="31" t="str">
        <f>IFERROR(__xludf.DUMMYFUNCTION("""COMPUTED_VALUE"""),"Vs Currency")</f>
        <v>Vs Currency</v>
      </c>
      <c r="AA5" s="31" t="str">
        <f>IFERROR(__xludf.DUMMYFUNCTION("""COMPUTED_VALUE"""),"Lead Currency")</f>
        <v>Lead Currency</v>
      </c>
      <c r="AB5" s="31" t="str">
        <f>IFERROR(__xludf.DUMMYFUNCTION("""COMPUTED_VALUE"""),"Dividend Yield (%)")</f>
        <v>Dividend Yield (%)</v>
      </c>
      <c r="AC5" s="31" t="str">
        <f>IFERROR(__xludf.DUMMYFUNCTION("""COMPUTED_VALUE"""),"% Change")</f>
        <v>% Change</v>
      </c>
      <c r="AD5" s="31" t="str">
        <f>IFERROR(__xludf.DUMMYFUNCTION("""COMPUTED_VALUE"""),"Net Exposure (Local)")</f>
        <v>Net Exposure (Local)</v>
      </c>
      <c r="AE5" s="31" t="str">
        <f>IFERROR(__xludf.DUMMYFUNCTION("""COMPUTED_VALUE"""),"Exposure (Local)")</f>
        <v>Exposure (Local)</v>
      </c>
      <c r="AF5" s="31" t="str">
        <f>IFERROR(__xludf.DUMMYFUNCTION("""COMPUTED_VALUE"""),"Delta Adj. Position")</f>
        <v>Delta Adj. Position</v>
      </c>
      <c r="AG5" s="31" t="str">
        <f>IFERROR(__xludf.DUMMYFUNCTION("""COMPUTED_VALUE"""),"Exposure (Base)")</f>
        <v>Exposure (Base)</v>
      </c>
      <c r="AH5" s="31" t="str">
        <f>IFERROR(__xludf.DUMMYFUNCTION("""COMPUTED_VALUE"""),"Beta Adj. Exposure (Local)")</f>
        <v>Beta Adj. Exposure (Local)</v>
      </c>
      <c r="AI5" s="31" t="str">
        <f>IFERROR(__xludf.DUMMYFUNCTION("""COMPUTED_VALUE"""),"Beta Adj. Exposure (Base)")</f>
        <v>Beta Adj. Exposure (Base)</v>
      </c>
      <c r="AJ5" s="31" t="str">
        <f>IFERROR(__xludf.DUMMYFUNCTION("""COMPUTED_VALUE"""),"Exposure (BP)(Base)")</f>
        <v>Exposure (BP)(Base)</v>
      </c>
      <c r="AK5" s="31" t="str">
        <f>IFERROR(__xludf.DUMMYFUNCTION("""COMPUTED_VALUE"""),"Day P&amp;L (Local)")</f>
        <v>Day P&amp;L (Local)</v>
      </c>
      <c r="AL5" s="31" t="str">
        <f>IFERROR(__xludf.DUMMYFUNCTION("""COMPUTED_VALUE"""),"Delta")</f>
        <v>Delta</v>
      </c>
      <c r="AM5" s="31" t="str">
        <f>IFERROR(__xludf.DUMMYFUNCTION("""COMPUTED_VALUE"""),"Leveraged Factor")</f>
        <v>Leveraged Factor</v>
      </c>
      <c r="AN5" s="31" t="str">
        <f>IFERROR(__xludf.DUMMYFUNCTION("""COMPUTED_VALUE"""),"Order Side")</f>
        <v>Order Side</v>
      </c>
      <c r="AO5" s="31" t="str">
        <f>IFERROR(__xludf.DUMMYFUNCTION("""COMPUTED_VALUE"""),"Master Strategy")</f>
        <v>Master Strategy</v>
      </c>
      <c r="AP5" s="31" t="str">
        <f>IFERROR(__xludf.DUMMYFUNCTION("""COMPUTED_VALUE"""),"Transaction Side")</f>
        <v>Transaction Side</v>
      </c>
      <c r="AQ5" s="31" t="str">
        <f>IFERROR(__xludf.DUMMYFUNCTION("""COMPUTED_VALUE"""),"Underlying Symbol")</f>
        <v>Underlying Symbol</v>
      </c>
      <c r="AR5" s="31" t="str">
        <f>IFERROR(__xludf.DUMMYFUNCTION("""COMPUTED_VALUE"""),"Underlying Price")</f>
        <v>Underlying Price</v>
      </c>
      <c r="AS5" s="31" t="str">
        <f>IFERROR(__xludf.DUMMYFUNCTION("""COMPUTED_VALUE"""),"Side Multiplier")</f>
        <v>Side Multiplier</v>
      </c>
      <c r="AT5" s="31" t="str">
        <f>IFERROR(__xludf.DUMMYFUNCTION("""COMPUTED_VALUE"""),"Description")</f>
        <v>Description</v>
      </c>
      <c r="AU5" s="31" t="str">
        <f>IFERROR(__xludf.DUMMYFUNCTION("""COMPUTED_VALUE"""),"Internal Comments")</f>
        <v>Internal Comments</v>
      </c>
      <c r="AV5" s="31" t="str">
        <f>IFERROR(__xludf.DUMMYFUNCTION("""COMPUTED_VALUE"""),"FX Rate On Trade Date")</f>
        <v>FX Rate On Trade Date</v>
      </c>
      <c r="AW5" s="31" t="str">
        <f>IFERROR(__xludf.DUMMYFUNCTION("""COMPUTED_VALUE"""),"Cost Basis P&amp;L (Local)")</f>
        <v>Cost Basis P&amp;L (Local)</v>
      </c>
      <c r="AX5" s="31" t="str">
        <f>IFERROR(__xludf.DUMMYFUNCTION("""COMPUTED_VALUE"""),"Day Interest")</f>
        <v>Day Interest</v>
      </c>
      <c r="AY5" s="31" t="str">
        <f>IFERROR(__xludf.DUMMYFUNCTION("""COMPUTED_VALUE"""),"Total Interest")</f>
        <v>Total Interest</v>
      </c>
      <c r="AZ5" s="31" t="str">
        <f>IFERROR(__xludf.DUMMYFUNCTION("""COMPUTED_VALUE"""),"Market Value (Local)")</f>
        <v>Market Value (Local)</v>
      </c>
      <c r="BA5" s="31" t="str">
        <f>IFERROR(__xludf.DUMMYFUNCTION("""COMPUTED_VALUE"""),"% Gain/Loss Day")</f>
        <v>% Gain/Loss Day</v>
      </c>
      <c r="BB5" s="31" t="str">
        <f>IFERROR(__xludf.DUMMYFUNCTION("""COMPUTED_VALUE"""),"Update Time (Last Price)")</f>
        <v>Update Time (Last Price)</v>
      </c>
      <c r="BC5" s="31" t="str">
        <f>IFERROR(__xludf.DUMMYFUNCTION("""COMPUTED_VALUE"""),"Beta")</f>
        <v>Beta</v>
      </c>
      <c r="BD5" s="31" t="str">
        <f>IFERROR(__xludf.DUMMYFUNCTION("""COMPUTED_VALUE"""),"Cash Impact (Local)")</f>
        <v>Cash Impact (Local)</v>
      </c>
      <c r="BE5" s="31" t="str">
        <f>IFERROR(__xludf.DUMMYFUNCTION("""COMPUTED_VALUE"""),"User Asset")</f>
        <v>User Asset</v>
      </c>
      <c r="BF5" s="31" t="str">
        <f>IFERROR(__xludf.DUMMYFUNCTION("""COMPUTED_VALUE"""),"Security Type")</f>
        <v>Security Type</v>
      </c>
      <c r="BG5" s="31" t="str">
        <f>IFERROR(__xludf.DUMMYFUNCTION("""COMPUTED_VALUE"""),"Sector")</f>
        <v>Sector</v>
      </c>
      <c r="BH5" s="31" t="str">
        <f>IFERROR(__xludf.DUMMYFUNCTION("""COMPUTED_VALUE"""),"Sub Sector")</f>
        <v>Sub Sector</v>
      </c>
      <c r="BI5" s="31" t="str">
        <f>IFERROR(__xludf.DUMMYFUNCTION("""COMPUTED_VALUE"""),"Country")</f>
        <v>Country</v>
      </c>
      <c r="BJ5" s="31" t="str">
        <f>IFERROR(__xludf.DUMMYFUNCTION("""COMPUTED_VALUE"""),"Market Cap")</f>
        <v>Market Cap</v>
      </c>
      <c r="BK5" s="31" t="str">
        <f>IFERROR(__xludf.DUMMYFUNCTION("""COMPUTED_VALUE"""),"Shares Outstanding (MM)")</f>
        <v>Shares Outstanding (MM)</v>
      </c>
      <c r="BL5" s="31" t="str">
        <f>IFERROR(__xludf.DUMMYFUNCTION("""COMPUTED_VALUE"""),"Avg Volume 20 Day")</f>
        <v>Avg Volume 20 Day</v>
      </c>
      <c r="BM5" s="31" t="str">
        <f>IFERROR(__xludf.DUMMYFUNCTION("""COMPUTED_VALUE"""),"% Avg Volume (Delta Adj.)")</f>
        <v>% Avg Volume (Delta Adj.)</v>
      </c>
      <c r="BN5" s="31" t="str">
        <f>IFERROR(__xludf.DUMMYFUNCTION("""COMPUTED_VALUE"""),"Ex Dividend Date")</f>
        <v>Ex Dividend Date</v>
      </c>
      <c r="BO5" s="31" t="str">
        <f>IFERROR(__xludf.DUMMYFUNCTION("""COMPUTED_VALUE"""),"Cash Impact (Base)")</f>
        <v>Cash Impact (Base)</v>
      </c>
      <c r="BP5" s="31" t="str">
        <f>IFERROR(__xludf.DUMMYFUNCTION("""COMPUTED_VALUE"""),"Volatility (%)")</f>
        <v>Volatility (%)</v>
      </c>
      <c r="BQ5" s="31" t="str">
        <f>IFERROR(__xludf.DUMMYFUNCTION("""COMPUTED_VALUE"""),"User")</f>
        <v>User</v>
      </c>
      <c r="BR5" s="31" t="str">
        <f>IFERROR(__xludf.DUMMYFUNCTION("""COMPUTED_VALUE"""),"Broker")</f>
        <v>Broker</v>
      </c>
      <c r="BS5" s="31" t="str">
        <f>IFERROR(__xludf.DUMMYFUNCTION("""COMPUTED_VALUE"""),"Earned Dividend (Local)")</f>
        <v>Earned Dividend (Local)</v>
      </c>
      <c r="BT5" s="31" t="str">
        <f>IFERROR(__xludf.DUMMYFUNCTION("""COMPUTED_VALUE"""),"Earned Dividend (Base)")</f>
        <v>Earned Dividend (Base)</v>
      </c>
      <c r="BU5" s="31" t="str">
        <f>IFERROR(__xludf.DUMMYFUNCTION("""COMPUTED_VALUE"""),"Put/Call")</f>
        <v>Put/Call</v>
      </c>
      <c r="BV5" s="31" t="str">
        <f>IFERROR(__xludf.DUMMYFUNCTION("""COMPUTED_VALUE"""),"Expiration Date")</f>
        <v>Expiration Date</v>
      </c>
      <c r="BW5" s="31" t="str">
        <f>IFERROR(__xludf.DUMMYFUNCTION("""COMPUTED_VALUE"""),"Strike Price")</f>
        <v>Strike Price</v>
      </c>
      <c r="BX5" s="31" t="str">
        <f>IFERROR(__xludf.DUMMYFUNCTION("""COMPUTED_VALUE"""),"Gross Exposure (Base)")</f>
        <v>Gross Exposure (Base)</v>
      </c>
      <c r="BY5" s="31" t="str">
        <f>IFERROR(__xludf.DUMMYFUNCTION("""COMPUTED_VALUE"""),"Gross Market Value (Base)")</f>
        <v>Gross Market Value (Base)</v>
      </c>
      <c r="BZ5" s="31" t="str">
        <f>IFERROR(__xludf.DUMMYFUNCTION("""COMPUTED_VALUE"""),"Px Selected Feed (Local)")</f>
        <v>Px Selected Feed (Local)</v>
      </c>
      <c r="CA5" s="31" t="str">
        <f>IFERROR(__xludf.DUMMYFUNCTION("""COMPUTED_VALUE"""),"Px Selected Feed (Base)")</f>
        <v>Px Selected Feed (Base)</v>
      </c>
      <c r="CB5" s="31" t="str">
        <f>IFERROR(__xludf.DUMMYFUNCTION("""COMPUTED_VALUE"""),"Settlement Date")</f>
        <v>Settlement Date</v>
      </c>
      <c r="CC5" s="31" t="str">
        <f>IFERROR(__xludf.DUMMYFUNCTION("""COMPUTED_VALUE"""),"% Avg Volume")</f>
        <v>% Avg Volume</v>
      </c>
      <c r="CD5" s="31" t="str">
        <f>IFERROR(__xludf.DUMMYFUNCTION("""COMPUTED_VALUE"""),"Day P&amp;L (Base)(Price Gain)")</f>
        <v>Day P&amp;L (Base)(Price Gain)</v>
      </c>
      <c r="CE5" s="31" t="str">
        <f>IFERROR(__xludf.DUMMYFUNCTION("""COMPUTED_VALUE"""),"Day P&amp;L (Base)(FX Gain)")</f>
        <v>Day P&amp;L (Base)(FX Gain)</v>
      </c>
      <c r="CF5" s="31" t="str">
        <f>IFERROR(__xludf.DUMMYFUNCTION("""COMPUTED_VALUE"""),"Cost Basis P&amp;L (Base)(FX Gain)")</f>
        <v>Cost Basis P&amp;L (Base)(FX Gain)</v>
      </c>
      <c r="CG5" s="31" t="str">
        <f>IFERROR(__xludf.DUMMYFUNCTION("""COMPUTED_VALUE"""),"Cost Basis P&amp;L (Base)(Price Gain)")</f>
        <v>Cost Basis P&amp;L (Base)(Price Gain)</v>
      </c>
      <c r="CH5" s="31" t="str">
        <f>IFERROR(__xludf.DUMMYFUNCTION("""COMPUTED_VALUE"""),"% Gain/Loss Cost")</f>
        <v>% Gain/Loss Cost</v>
      </c>
      <c r="CI5" s="31" t="str">
        <f>IFERROR(__xludf.DUMMYFUNCTION("""COMPUTED_VALUE"""),"Underlying Value (Options)")</f>
        <v>Underlying Value (Options)</v>
      </c>
      <c r="CJ5" s="31" t="str">
        <f>IFERROR(__xludf.DUMMYFUNCTION("""COMPUTED_VALUE"""),"Avg Volume 20 Day (Underlying Symbol)")</f>
        <v>Avg Volume 20 Day (Underlying Symbol)</v>
      </c>
      <c r="CK5" s="31" t="str">
        <f>IFERROR(__xludf.DUMMYFUNCTION("""COMPUTED_VALUE"""),"IsStaleData")</f>
        <v>IsStaleData</v>
      </c>
      <c r="CL5" s="31" t="str">
        <f>IFERROR(__xludf.DUMMYFUNCTION("""COMPUTED_VALUE"""),"IDCO")</f>
        <v>IDCO</v>
      </c>
      <c r="CM5" s="31" t="str">
        <f>IFERROR(__xludf.DUMMYFUNCTION("""COMPUTED_VALUE"""),"OSI")</f>
        <v>OSI</v>
      </c>
      <c r="CN5" s="31" t="str">
        <f>IFERROR(__xludf.DUMMYFUNCTION("""COMPUTED_VALUE"""),"SEDOL")</f>
        <v>SEDOL</v>
      </c>
      <c r="CO5" s="31" t="str">
        <f>IFERROR(__xludf.DUMMYFUNCTION("""COMPUTED_VALUE"""),"CUSIP")</f>
        <v>CUSIP</v>
      </c>
      <c r="CP5" s="31" t="str">
        <f>IFERROR(__xludf.DUMMYFUNCTION("""COMPUTED_VALUE"""),"Bloomberg")</f>
        <v>Bloomberg</v>
      </c>
      <c r="CQ5" s="31" t="str">
        <f>IFERROR(__xludf.DUMMYFUNCTION("""COMPUTED_VALUE"""),"ISIN")</f>
        <v>ISIN</v>
      </c>
      <c r="CR5" s="31" t="str">
        <f>IFERROR(__xludf.DUMMYFUNCTION("""COMPUTED_VALUE"""),"Start Trade Date")</f>
        <v>Start Trade Date</v>
      </c>
      <c r="CS5" s="31" t="str">
        <f>IFERROR(__xludf.DUMMYFUNCTION("""COMPUTED_VALUE"""),"Cost Basis (Break Even)")</f>
        <v>Cost Basis (Break Even)</v>
      </c>
      <c r="CT5" s="31" t="str">
        <f>IFERROR(__xludf.DUMMYFUNCTION("""COMPUTED_VALUE"""),"Trade Attribute 3")</f>
        <v>Trade Attribute 3</v>
      </c>
      <c r="CU5" s="31" t="str">
        <f>IFERROR(__xludf.DUMMYFUNCTION("""COMPUTED_VALUE"""),"Trade Attribute 4")</f>
        <v>Trade Attribute 4</v>
      </c>
      <c r="CV5" s="31" t="str">
        <f>IFERROR(__xludf.DUMMYFUNCTION("""COMPUTED_VALUE"""),"Trade Attribute 5")</f>
        <v>Trade Attribute 5</v>
      </c>
      <c r="CW5" s="31" t="str">
        <f>IFERROR(__xludf.DUMMYFUNCTION("""COMPUTED_VALUE"""),"Trade Attribute 6")</f>
        <v>Trade Attribute 6</v>
      </c>
      <c r="CX5" s="31" t="str">
        <f>IFERROR(__xludf.DUMMYFUNCTION("""COMPUTED_VALUE"""),"Proxy Symbol")</f>
        <v>Proxy Symbol</v>
      </c>
      <c r="CY5" s="31" t="str">
        <f>IFERROR(__xludf.DUMMYFUNCTION("""COMPUTED_VALUE"""),"Pricing Source")</f>
        <v>Pricing Source</v>
      </c>
      <c r="CZ5" s="31" t="str">
        <f>IFERROR(__xludf.DUMMYFUNCTION("""COMPUTED_VALUE"""),"Delta Source")</f>
        <v>Delta Source</v>
      </c>
      <c r="DA5" s="31" t="str">
        <f>IFERROR(__xludf.DUMMYFUNCTION("""COMPUTED_VALUE"""),"Gross Exposure (Local)")</f>
        <v>Gross Exposure (Local)</v>
      </c>
      <c r="DB5" s="31" t="str">
        <f>IFERROR(__xludf.DUMMYFUNCTION("""COMPUTED_VALUE"""),"% Day P&amp;L (Net MV)")</f>
        <v>% Day P&amp;L (Net MV)</v>
      </c>
      <c r="DC5" s="31" t="str">
        <f>IFERROR(__xludf.DUMMYFUNCTION("""COMPUTED_VALUE"""),"Expiration Month")</f>
        <v>Expiration Month</v>
      </c>
      <c r="DD5" s="31" t="str">
        <f>IFERROR(__xludf.DUMMYFUNCTION("""COMPUTED_VALUE"""),"Delta Adj. Position (LME)")</f>
        <v>Delta Adj. Position (LME)</v>
      </c>
      <c r="DE5" s="31" t="str">
        <f>IFERROR(__xludf.DUMMYFUNCTION("""COMPUTED_VALUE"""),"Premium")</f>
        <v>Premium</v>
      </c>
      <c r="DF5" s="31" t="str">
        <f>IFERROR(__xludf.DUMMYFUNCTION("""COMPUTED_VALUE"""),"Premium $")</f>
        <v>Premium $</v>
      </c>
      <c r="DG5" s="31" t="str">
        <f>IFERROR(__xludf.DUMMYFUNCTION("""COMPUTED_VALUE"""),"Forward Points")</f>
        <v>Forward Points</v>
      </c>
      <c r="DH5" s="31" t="str">
        <f>IFERROR(__xludf.DUMMYFUNCTION("""COMPUTED_VALUE"""),"Closing Mark (Underlying)")</f>
        <v>Closing Mark (Underlying)</v>
      </c>
      <c r="DI5" s="31" t="str">
        <f>IFERROR(__xludf.DUMMYFUNCTION("""COMPUTED_VALUE"""),"% Change (Underlying Price)")</f>
        <v>% Change (Underlying Price)</v>
      </c>
      <c r="DJ5" s="31" t="str">
        <f>IFERROR(__xludf.DUMMYFUNCTION("""COMPUTED_VALUE"""),"Transaction Type")</f>
        <v>Transaction Type</v>
      </c>
      <c r="DK5" s="31" t="str">
        <f>IFERROR(__xludf.DUMMYFUNCTION("""COMPUTED_VALUE"""),"Closing Market Value (Local)")</f>
        <v>Closing Market Value (Local)</v>
      </c>
      <c r="DL5" s="31" t="str">
        <f>IFERROR(__xludf.DUMMYFUNCTION("""COMPUTED_VALUE"""),"Closing Market Value (Base)")</f>
        <v>Closing Market Value (Base)</v>
      </c>
      <c r="DM5" s="31" t="str">
        <f>IFERROR(__xludf.DUMMYFUNCTION("""COMPUTED_VALUE"""),"Closing FX Rate")</f>
        <v>Closing FX Rate</v>
      </c>
      <c r="DN5" s="31" t="str">
        <f>IFERROR(__xludf.DUMMYFUNCTION("""COMPUTED_VALUE"""),"Change In Underlying Price")</f>
        <v>Change In Underlying Price</v>
      </c>
      <c r="DO5" s="31" t="str">
        <f>IFERROR(__xludf.DUMMYFUNCTION("""COMPUTED_VALUE"""),"RIC")</f>
        <v>RIC</v>
      </c>
      <c r="DP5" s="31" t="str">
        <f>IFERROR(__xludf.DUMMYFUNCTION("""COMPUTED_VALUE"""),"Position Side Exposure (Boxed)")</f>
        <v>Position Side Exposure (Boxed)</v>
      </c>
      <c r="DQ5" s="31" t="str">
        <f>IFERROR(__xludf.DUMMYFUNCTION("""COMPUTED_VALUE"""),"Analyst")</f>
        <v>Analyst</v>
      </c>
      <c r="DR5" s="31" t="str">
        <f>IFERROR(__xludf.DUMMYFUNCTION("""COMPUTED_VALUE"""),"Country Of Risk")</f>
        <v>Country Of Risk</v>
      </c>
      <c r="DS5" s="31" t="str">
        <f>IFERROR(__xludf.DUMMYFUNCTION("""COMPUTED_VALUE"""),"Custom UDA1")</f>
        <v>Custom UDA1</v>
      </c>
      <c r="DT5" s="31" t="str">
        <f>IFERROR(__xludf.DUMMYFUNCTION("""COMPUTED_VALUE"""),"Custom UDA2")</f>
        <v>Custom UDA2</v>
      </c>
      <c r="DU5" s="31" t="str">
        <f>IFERROR(__xludf.DUMMYFUNCTION("""COMPUTED_VALUE"""),"Custom UDA3")</f>
        <v>Custom UDA3</v>
      </c>
      <c r="DV5" s="31" t="str">
        <f>IFERROR(__xludf.DUMMYFUNCTION("""COMPUTED_VALUE"""),"Custom UDA4")</f>
        <v>Custom UDA4</v>
      </c>
      <c r="DW5" s="31" t="str">
        <f>IFERROR(__xludf.DUMMYFUNCTION("""COMPUTED_VALUE"""),"Custom UDA5")</f>
        <v>Custom UDA5</v>
      </c>
      <c r="DX5" s="31" t="str">
        <f>IFERROR(__xludf.DUMMYFUNCTION("""COMPUTED_VALUE"""),"Custom UDA6")</f>
        <v>Custom UDA6</v>
      </c>
      <c r="DY5" s="31" t="str">
        <f>IFERROR(__xludf.DUMMYFUNCTION("""COMPUTED_VALUE"""),"Custom UDA7")</f>
        <v>Custom UDA7</v>
      </c>
      <c r="DZ5" s="31" t="str">
        <f>IFERROR(__xludf.DUMMYFUNCTION("""COMPUTED_VALUE"""),"Issuer")</f>
        <v>Issuer</v>
      </c>
      <c r="EA5" s="31" t="str">
        <f>IFERROR(__xludf.DUMMYFUNCTION("""COMPUTED_VALUE"""),"Liquid Tag")</f>
        <v>Liquid Tag</v>
      </c>
      <c r="EB5" s="31" t="str">
        <f>IFERROR(__xludf.DUMMYFUNCTION("""COMPUTED_VALUE"""),"Market Cap UDA")</f>
        <v>Market Cap UDA</v>
      </c>
      <c r="EC5" s="31" t="str">
        <f>IFERROR(__xludf.DUMMYFUNCTION("""COMPUTED_VALUE"""),"Region")</f>
        <v>Region</v>
      </c>
      <c r="ED5" s="31" t="str">
        <f>IFERROR(__xludf.DUMMYFUNCTION("""COMPUTED_VALUE"""),"Risk Currency")</f>
        <v>Risk Currency</v>
      </c>
      <c r="EE5" s="31" t="str">
        <f>IFERROR(__xludf.DUMMYFUNCTION("""COMPUTED_VALUE"""),"UCITS Eligible Tag")</f>
        <v>UCITS Eligible Tag</v>
      </c>
      <c r="EF5" s="31" t="str">
        <f>IFERROR(__xludf.DUMMYFUNCTION("""COMPUTED_VALUE"""),"FX Rate (Display)")</f>
        <v>FX Rate (Display)</v>
      </c>
      <c r="EG5" s="31" t="str">
        <f>IFERROR(__xludf.DUMMYFUNCTION("""COMPUTED_VALUE"""),"% Net Exposure (Base)")</f>
        <v>% Net Exposure (Base)</v>
      </c>
      <c r="EH5" s="31" t="str">
        <f>IFERROR(__xludf.DUMMYFUNCTION("""COMPUTED_VALUE"""),"% Gross Exposure (Base)")</f>
        <v>% Gross Exposure (Base)</v>
      </c>
      <c r="EI5" s="31" t="str">
        <f>IFERROR(__xludf.DUMMYFUNCTION("""COMPUTED_VALUE"""),"% Exposure (Base)")</f>
        <v>% Exposure (Base)</v>
      </c>
      <c r="EJ5" s="31" t="str">
        <f>IFERROR(__xludf.DUMMYFUNCTION("""COMPUTED_VALUE"""),"% Gross Exposure (Underlying) (Base)")</f>
        <v>% Gross Exposure (Underlying) (Base)</v>
      </c>
      <c r="EK5" s="31" t="str">
        <f>IFERROR(__xludf.DUMMYFUNCTION("""COMPUTED_VALUE"""),"% Beta Adj. Gross Exposure (Base)")</f>
        <v>% Beta Adj. Gross Exposure (Base)</v>
      </c>
      <c r="EL5" s="31" t="str">
        <f>IFERROR(__xludf.DUMMYFUNCTION("""COMPUTED_VALUE"""),"Position Side Exposure (Underlying)")</f>
        <v>Position Side Exposure (Underlying)</v>
      </c>
      <c r="EM5" s="31" t="str">
        <f>IFERROR(__xludf.DUMMYFUNCTION("""COMPUTED_VALUE"""),"Gross Exposure (Underlying) (Base)")</f>
        <v>Gross Exposure (Underlying) (Base)</v>
      </c>
      <c r="EN5" s="31" t="str">
        <f>IFERROR(__xludf.DUMMYFUNCTION("""COMPUTED_VALUE"""),"Gross Exposure (Underlying)")</f>
        <v>Gross Exposure (Underlying)</v>
      </c>
      <c r="EO5" s="31" t="str">
        <f>IFERROR(__xludf.DUMMYFUNCTION("""COMPUTED_VALUE"""),"Day Return")</f>
        <v>Day Return</v>
      </c>
      <c r="EP5" s="31" t="str">
        <f>IFERROR(__xludf.DUMMYFUNCTION("""COMPUTED_VALUE"""),"Start of Day NAV")</f>
        <v>Start of Day NAV</v>
      </c>
      <c r="EQ5" s="31" t="str">
        <f>IFERROR(__xludf.DUMMYFUNCTION("""COMPUTED_VALUE"""),"% Gross Market Value (Base)")</f>
        <v>% Gross Market Value (Base)</v>
      </c>
      <c r="ER5" s="31" t="str">
        <f>IFERROR(__xludf.DUMMYFUNCTION("""COMPUTED_VALUE"""),"Beta Adj. Gross Exposure (Underlying) (Local)")</f>
        <v>Beta Adj. Gross Exposure (Underlying) (Local)</v>
      </c>
      <c r="ES5" s="31" t="str">
        <f>IFERROR(__xludf.DUMMYFUNCTION("""COMPUTED_VALUE"""),"NAV")</f>
        <v>NAV</v>
      </c>
      <c r="ET5" s="31" t="str">
        <f>IFERROR(__xludf.DUMMYFUNCTION("""COMPUTED_VALUE"""),"% P&amp;L Contribution")</f>
        <v>% P&amp;L Contribution</v>
      </c>
      <c r="EU5" s="31" t="str">
        <f>IFERROR(__xludf.DUMMYFUNCTION("""COMPUTED_VALUE"""),"% Net Market Value (Base)")</f>
        <v>% Net Market Value (Base)</v>
      </c>
      <c r="EV5" s="31" t="str">
        <f>IFERROR(__xludf.DUMMYFUNCTION("""COMPUTED_VALUE"""),"Position Side Exposure")</f>
        <v>Position Side Exposure</v>
      </c>
      <c r="EW5" s="31" t="str">
        <f>IFERROR(__xludf.DUMMYFUNCTION("""COMPUTED_VALUE"""),"NAV (Touch)")</f>
        <v>NAV (Touch)</v>
      </c>
      <c r="EX5" s="31" t="str">
        <f>IFERROR(__xludf.DUMMYFUNCTION("""COMPUTED_VALUE"""),"IgnorePropertyChangeEvents")</f>
        <v>IgnorePropertyChangeEvents</v>
      </c>
      <c r="EY5" s="31" t="str">
        <f>IFERROR(__xludf.DUMMYFUNCTION("""COMPUTED_VALUE"""),"Trade Attribute 1")</f>
        <v>Trade Attribute 1</v>
      </c>
      <c r="EZ5" s="31" t="str">
        <f>IFERROR(__xludf.DUMMYFUNCTION("""COMPUTED_VALUE"""),"Trade Attribute 2")</f>
        <v>Trade Attribute 2</v>
      </c>
      <c r="FA5" s="31" t="str">
        <f>IFERROR(__xludf.DUMMYFUNCTION("""COMPUTED_VALUE"""),"Client")</f>
        <v>Client</v>
      </c>
      <c r="FB5" s="31" t="str">
        <f>IFERROR(__xludf.DUMMYFUNCTION("""COMPUTED_VALUE"""),"IsCustomViewTab")</f>
        <v>IsCustomViewTab</v>
      </c>
      <c r="FC5" s="31" t="str">
        <f>IFERROR(__xludf.DUMMYFUNCTION("""COMPUTED_VALUE"""),"ITM/OTM")</f>
        <v>ITM/OTM</v>
      </c>
      <c r="FD5" s="31" t="str">
        <f>IFERROR(__xludf.DUMMYFUNCTION("""COMPUTED_VALUE"""),"Days to Expiry")</f>
        <v>Days to Expiry</v>
      </c>
      <c r="FE5" s="31" t="str">
        <f>IFERROR(__xludf.DUMMYFUNCTION("""COMPUTED_VALUE"""),"% of Underlying Price")</f>
        <v>% of Underlying Price</v>
      </c>
      <c r="FF5" s="31" t="str">
        <f>IFERROR(__xludf.DUMMYFUNCTION("""COMPUTED_VALUE"""),"Intrinsic value")</f>
        <v>Intrinsic value</v>
      </c>
      <c r="FG5" s="31" t="str">
        <f>IFERROR(__xludf.DUMMYFUNCTION("""COMPUTED_VALUE"""),"Gain/Loss if Ex./Assign")</f>
        <v>Gain/Loss if Ex./Assign</v>
      </c>
      <c r="FH5" s="31" t="str">
        <f>IFERROR(__xludf.DUMMYFUNCTION("""COMPUTED_VALUE"""),"Day Traded Position")</f>
        <v>Day Traded Position</v>
      </c>
      <c r="FI5" s="31" t="str">
        <f>IFERROR(__xludf.DUMMYFUNCTION("""COMPUTED_VALUE"""),"isRowCountCheck")</f>
        <v>isRowCountCheck</v>
      </c>
      <c r="FJ5" s="31"/>
      <c r="FK5" s="31"/>
      <c r="FL5" s="31"/>
      <c r="FM5" s="31"/>
      <c r="FN5" s="31"/>
      <c r="FO5" s="31"/>
      <c r="FP5" s="31"/>
      <c r="FQ5" s="31"/>
      <c r="FR5" s="31"/>
      <c r="FS5" s="31"/>
      <c r="FT5" s="31"/>
      <c r="FU5" s="31"/>
      <c r="FV5" s="31"/>
      <c r="FW5" s="31"/>
      <c r="FX5" s="31"/>
      <c r="FY5" s="31"/>
      <c r="FZ5" s="31"/>
      <c r="GA5" s="31"/>
      <c r="GB5" s="31"/>
      <c r="GC5" s="31"/>
      <c r="GD5" s="31"/>
      <c r="GE5" s="31"/>
      <c r="GF5" s="31"/>
      <c r="GG5" s="31"/>
      <c r="GH5" s="31"/>
      <c r="GI5" s="31"/>
      <c r="GJ5" s="31"/>
      <c r="GK5" s="31"/>
      <c r="GL5" s="31"/>
      <c r="GM5" s="31"/>
      <c r="GN5" s="31"/>
      <c r="GO5" s="31"/>
      <c r="GP5" s="31"/>
      <c r="GQ5" s="31"/>
      <c r="GR5" s="31"/>
      <c r="GS5" s="31"/>
      <c r="GT5" s="31"/>
      <c r="GU5" s="31"/>
      <c r="GV5" s="31"/>
      <c r="GW5" s="31"/>
      <c r="GX5" s="31"/>
      <c r="GY5" s="31"/>
      <c r="GZ5" s="31"/>
      <c r="HA5" s="31"/>
      <c r="HB5" s="31"/>
      <c r="HC5" s="31"/>
      <c r="HD5" s="31"/>
      <c r="HE5" s="31"/>
      <c r="HF5" s="31"/>
      <c r="HG5" s="31"/>
      <c r="HH5" s="31"/>
      <c r="HI5" s="31"/>
      <c r="HJ5" s="31"/>
      <c r="HK5" s="31"/>
      <c r="HL5" s="31"/>
      <c r="HM5" s="31"/>
      <c r="HN5" s="31"/>
      <c r="HO5" s="31"/>
      <c r="HP5" s="31"/>
      <c r="HQ5" s="31"/>
      <c r="HR5" s="31"/>
      <c r="HS5" s="31"/>
      <c r="HT5" s="31"/>
      <c r="HU5" s="31"/>
      <c r="HV5" s="31"/>
      <c r="HW5" s="31"/>
      <c r="HX5" s="31"/>
      <c r="HY5" s="31"/>
      <c r="HZ5" s="31"/>
      <c r="IA5" s="31"/>
      <c r="IB5" s="31"/>
      <c r="IC5" s="31"/>
      <c r="ID5" s="31"/>
      <c r="IE5" s="31"/>
      <c r="IF5" s="31"/>
      <c r="IG5" s="31"/>
      <c r="IH5" s="31"/>
      <c r="II5" s="31"/>
      <c r="IJ5" s="31"/>
      <c r="IK5" s="31"/>
      <c r="IL5" s="31"/>
      <c r="IM5" s="31"/>
      <c r="IN5" s="31"/>
      <c r="IO5" s="31"/>
      <c r="IP5" s="31"/>
      <c r="IQ5" s="31"/>
      <c r="IR5" s="31"/>
      <c r="IS5" s="31"/>
      <c r="IT5" s="31"/>
      <c r="IU5" s="31"/>
      <c r="IV5" s="31"/>
      <c r="IW5" s="31"/>
      <c r="IX5" s="31"/>
      <c r="IY5" s="31"/>
      <c r="IZ5" s="31"/>
      <c r="JA5" s="31"/>
      <c r="JB5" s="31"/>
      <c r="JC5" s="31"/>
      <c r="JD5" s="31"/>
      <c r="JE5" s="31"/>
      <c r="JF5" s="31"/>
      <c r="JG5" s="31"/>
      <c r="JH5" s="31"/>
      <c r="JI5" s="31"/>
      <c r="JJ5" s="31"/>
      <c r="JK5" s="31"/>
      <c r="JL5" s="31"/>
      <c r="JM5" s="31"/>
      <c r="JN5" s="31"/>
      <c r="JO5" s="31"/>
      <c r="JP5" s="31"/>
      <c r="JQ5" s="31"/>
      <c r="JR5" s="31"/>
      <c r="JS5" s="31"/>
      <c r="JT5" s="31"/>
      <c r="JU5" s="31"/>
      <c r="JV5" s="31"/>
      <c r="JW5" s="31"/>
      <c r="JX5" s="31"/>
      <c r="JY5" s="31"/>
      <c r="JZ5" s="31"/>
      <c r="KA5" s="31"/>
      <c r="KB5" s="31"/>
      <c r="KC5" s="31"/>
      <c r="KD5" s="31"/>
      <c r="KE5" s="31"/>
      <c r="KF5" s="31"/>
      <c r="KG5" s="31"/>
      <c r="KH5" s="31"/>
      <c r="KI5" s="31"/>
      <c r="KJ5" s="31"/>
      <c r="KK5" s="31"/>
      <c r="KL5" s="31"/>
      <c r="KM5" s="31"/>
      <c r="KN5" s="31"/>
      <c r="KO5" s="31"/>
      <c r="KP5" s="31"/>
      <c r="KQ5" s="31"/>
      <c r="KR5" s="31"/>
      <c r="KS5" s="31"/>
      <c r="KT5" s="31"/>
      <c r="KU5" s="31"/>
      <c r="KV5" s="31"/>
      <c r="KW5" s="31"/>
      <c r="KX5" s="31"/>
      <c r="KY5" s="31"/>
      <c r="KZ5" s="31"/>
      <c r="LA5" s="31"/>
      <c r="LB5" s="31"/>
      <c r="LC5" s="31"/>
      <c r="LD5" s="31"/>
      <c r="LE5" s="31"/>
      <c r="LF5" s="31"/>
      <c r="LG5" s="31"/>
      <c r="LH5" s="31"/>
      <c r="LI5" s="31"/>
      <c r="LJ5" s="31"/>
      <c r="LK5" s="31"/>
      <c r="LL5" s="31"/>
      <c r="LM5" s="31"/>
      <c r="LN5" s="31"/>
      <c r="LO5" s="31"/>
      <c r="LP5" s="31"/>
      <c r="LQ5" s="31"/>
      <c r="LR5" s="31"/>
      <c r="LS5" s="31"/>
      <c r="LT5" s="31"/>
      <c r="LU5" s="31"/>
      <c r="LV5" s="31"/>
      <c r="LW5" s="31"/>
      <c r="LX5" s="31"/>
      <c r="LY5" s="31"/>
      <c r="LZ5" s="31"/>
      <c r="MA5" s="31"/>
      <c r="MB5" s="31"/>
      <c r="MC5" s="31"/>
      <c r="MD5" s="31"/>
      <c r="ME5" s="31"/>
      <c r="MF5" s="31"/>
      <c r="MG5" s="31"/>
      <c r="MH5" s="31"/>
      <c r="MI5" s="31"/>
      <c r="MJ5" s="31"/>
      <c r="MK5" s="31"/>
      <c r="ML5" s="31"/>
      <c r="MM5" s="31"/>
      <c r="MN5" s="31"/>
      <c r="MO5" s="31"/>
      <c r="MP5" s="31"/>
      <c r="MQ5" s="31"/>
      <c r="MR5" s="31"/>
      <c r="MS5" s="31"/>
      <c r="MT5" s="31"/>
      <c r="MU5" s="31"/>
      <c r="MV5" s="31"/>
      <c r="MW5" s="31"/>
      <c r="MX5" s="31"/>
      <c r="MY5" s="31"/>
      <c r="MZ5" s="31"/>
      <c r="NA5" s="31"/>
      <c r="NB5" s="31"/>
      <c r="NC5" s="31"/>
      <c r="ND5" s="31"/>
      <c r="NE5" s="31"/>
      <c r="NF5" s="31"/>
      <c r="NG5" s="31"/>
      <c r="NH5" s="31"/>
      <c r="NI5" s="31"/>
      <c r="NJ5" s="31"/>
      <c r="NK5" s="31"/>
      <c r="NL5" s="31"/>
      <c r="NM5" s="31"/>
      <c r="NN5" s="31"/>
      <c r="NO5" s="31"/>
      <c r="NP5" s="31"/>
      <c r="NQ5" s="31"/>
      <c r="NR5" s="31"/>
      <c r="NS5" s="31"/>
      <c r="NT5" s="31"/>
      <c r="NU5" s="31"/>
      <c r="NV5" s="31"/>
      <c r="NW5" s="31"/>
      <c r="NX5" s="31"/>
      <c r="NY5" s="31"/>
      <c r="NZ5" s="31"/>
      <c r="OA5" s="31"/>
      <c r="OB5" s="31"/>
      <c r="OC5" s="31"/>
      <c r="OD5" s="31"/>
      <c r="OE5" s="31"/>
      <c r="OF5" s="31"/>
      <c r="OG5" s="31"/>
      <c r="OH5" s="31"/>
      <c r="OI5" s="31"/>
      <c r="OJ5" s="31"/>
      <c r="OK5" s="31"/>
      <c r="OL5" s="31"/>
      <c r="OM5" s="31"/>
      <c r="ON5" s="31"/>
      <c r="OO5" s="31"/>
      <c r="OP5" s="31"/>
      <c r="OQ5" s="31"/>
      <c r="OR5" s="31"/>
      <c r="OS5" s="31"/>
      <c r="OT5" s="31"/>
      <c r="OU5" s="31"/>
      <c r="OV5" s="31"/>
      <c r="OW5" s="31"/>
      <c r="OX5" s="31"/>
      <c r="OY5" s="31"/>
      <c r="OZ5" s="31"/>
      <c r="PA5" s="31"/>
      <c r="PB5" s="31"/>
      <c r="PC5" s="31"/>
      <c r="PD5" s="31"/>
      <c r="PE5" s="31"/>
      <c r="PF5" s="31"/>
      <c r="PG5" s="31"/>
      <c r="PH5" s="31"/>
      <c r="PI5" s="31"/>
      <c r="PJ5" s="31"/>
      <c r="PK5" s="31"/>
      <c r="PL5" s="31"/>
      <c r="PM5" s="31"/>
      <c r="PN5" s="31"/>
      <c r="PO5" s="31"/>
      <c r="PP5" s="31"/>
      <c r="PQ5" s="31"/>
      <c r="PR5" s="31"/>
      <c r="PS5" s="31"/>
      <c r="PT5" s="31"/>
      <c r="PU5" s="31"/>
      <c r="PV5" s="31"/>
      <c r="PW5" s="31"/>
      <c r="PX5" s="31"/>
      <c r="PY5" s="31"/>
      <c r="PZ5" s="31"/>
      <c r="QA5" s="31"/>
      <c r="QB5" s="31"/>
      <c r="QC5" s="31"/>
      <c r="QD5" s="31"/>
      <c r="QE5" s="31"/>
      <c r="QF5" s="31"/>
      <c r="QG5" s="31"/>
      <c r="QH5" s="31"/>
      <c r="QI5" s="31"/>
      <c r="QJ5" s="31"/>
      <c r="QK5" s="31"/>
      <c r="QL5" s="31"/>
      <c r="QM5" s="31"/>
      <c r="QN5" s="31"/>
      <c r="QO5" s="31"/>
      <c r="QP5" s="31"/>
      <c r="QQ5" s="31"/>
      <c r="QR5" s="31"/>
      <c r="QS5" s="31"/>
      <c r="QT5" s="31"/>
      <c r="QU5" s="31"/>
      <c r="QV5" s="31"/>
      <c r="QW5" s="31"/>
      <c r="QX5" s="31"/>
      <c r="QY5" s="31"/>
      <c r="QZ5" s="31"/>
      <c r="RA5" s="31"/>
      <c r="RB5" s="31"/>
      <c r="RC5" s="31"/>
      <c r="RD5" s="31"/>
      <c r="RE5" s="31"/>
      <c r="RF5" s="31"/>
      <c r="RG5" s="31"/>
      <c r="RH5" s="31"/>
      <c r="RI5" s="31"/>
      <c r="RJ5" s="31"/>
      <c r="RK5" s="31"/>
      <c r="RL5" s="31"/>
      <c r="RM5" s="31"/>
      <c r="RN5" s="31"/>
      <c r="RO5" s="31"/>
      <c r="RP5" s="31"/>
      <c r="RQ5" s="31"/>
      <c r="RR5" s="31"/>
      <c r="RS5" s="31"/>
      <c r="RT5" s="31"/>
      <c r="RU5" s="31"/>
      <c r="RV5" s="31"/>
      <c r="RW5" s="31"/>
      <c r="RX5" s="31"/>
      <c r="RY5" s="31"/>
      <c r="RZ5" s="31"/>
      <c r="SA5" s="31"/>
      <c r="SB5" s="31"/>
      <c r="SC5" s="31"/>
      <c r="SD5" s="31"/>
      <c r="SE5" s="31"/>
      <c r="SF5" s="31"/>
      <c r="SG5" s="31"/>
      <c r="SH5" s="31"/>
      <c r="SI5" s="31"/>
      <c r="SJ5" s="31"/>
      <c r="SK5" s="31"/>
      <c r="SL5" s="31"/>
      <c r="SM5" s="31"/>
      <c r="SN5" s="31"/>
      <c r="SO5" s="31"/>
      <c r="SP5" s="31"/>
      <c r="SQ5" s="31"/>
      <c r="SR5" s="31"/>
      <c r="SS5" s="31"/>
      <c r="ST5" s="31"/>
      <c r="SU5" s="31"/>
      <c r="SV5" s="31"/>
      <c r="SW5" s="31"/>
      <c r="SX5" s="31"/>
      <c r="SY5" s="31"/>
      <c r="SZ5" s="31"/>
      <c r="TA5" s="31"/>
      <c r="TB5" s="31"/>
      <c r="TC5" s="31"/>
      <c r="TD5" s="31"/>
      <c r="TE5" s="31"/>
      <c r="TF5" s="31"/>
      <c r="TG5" s="31"/>
      <c r="TH5" s="31"/>
      <c r="TI5" s="31"/>
      <c r="TJ5" s="31"/>
      <c r="TK5" s="31"/>
      <c r="TL5" s="31"/>
      <c r="TM5" s="31"/>
      <c r="TN5" s="31"/>
      <c r="TO5" s="31"/>
      <c r="TP5" s="31"/>
      <c r="TQ5" s="31"/>
      <c r="TR5" s="31"/>
      <c r="TS5" s="31"/>
      <c r="TT5" s="31"/>
      <c r="TU5" s="31"/>
      <c r="TV5" s="31"/>
      <c r="TW5" s="31"/>
      <c r="TX5" s="31"/>
      <c r="TY5" s="31"/>
      <c r="TZ5" s="31"/>
      <c r="UA5" s="31"/>
      <c r="UB5" s="31"/>
      <c r="UC5" s="31"/>
      <c r="UD5" s="31"/>
      <c r="UE5" s="31"/>
      <c r="UF5" s="31"/>
      <c r="UG5" s="31"/>
      <c r="UH5" s="31"/>
      <c r="UI5" s="31"/>
      <c r="UJ5" s="31"/>
      <c r="UK5" s="31"/>
      <c r="UL5" s="31"/>
      <c r="UM5" s="31"/>
      <c r="UN5" s="31"/>
      <c r="UO5" s="31"/>
      <c r="UP5" s="31"/>
      <c r="UQ5" s="31"/>
      <c r="UR5" s="31"/>
      <c r="US5" s="31"/>
      <c r="UT5" s="31"/>
      <c r="UU5" s="31"/>
      <c r="UV5" s="31"/>
      <c r="UW5" s="31"/>
      <c r="UX5" s="31"/>
      <c r="UY5" s="31"/>
      <c r="UZ5" s="31"/>
      <c r="VA5" s="31"/>
      <c r="VB5" s="31"/>
      <c r="VC5" s="31"/>
      <c r="VD5" s="31"/>
      <c r="VE5" s="31"/>
      <c r="VF5" s="31"/>
      <c r="VG5" s="31"/>
      <c r="VH5" s="31"/>
      <c r="VI5" s="31"/>
      <c r="VJ5" s="31"/>
      <c r="VK5" s="31"/>
      <c r="VL5" s="31"/>
      <c r="VM5" s="31"/>
      <c r="VN5" s="31"/>
      <c r="VO5" s="31"/>
      <c r="VP5" s="31"/>
      <c r="VQ5" s="31"/>
      <c r="VR5" s="31"/>
      <c r="VS5" s="31"/>
      <c r="VT5" s="31"/>
      <c r="VU5" s="31"/>
      <c r="VV5" s="31"/>
      <c r="VW5" s="31"/>
      <c r="VX5" s="31"/>
      <c r="VY5" s="31"/>
      <c r="VZ5" s="31"/>
      <c r="WA5" s="31"/>
      <c r="WB5" s="31"/>
      <c r="WC5" s="31"/>
      <c r="WD5" s="31"/>
      <c r="WE5" s="31"/>
      <c r="WF5" s="31"/>
      <c r="WG5" s="31"/>
      <c r="WH5" s="31"/>
      <c r="WI5" s="31"/>
      <c r="WJ5" s="31"/>
      <c r="WK5" s="31"/>
      <c r="WL5" s="31"/>
      <c r="WM5" s="31"/>
      <c r="WN5" s="31"/>
      <c r="WO5" s="31"/>
      <c r="WP5" s="31"/>
      <c r="WQ5" s="31"/>
      <c r="WR5" s="31"/>
      <c r="WS5" s="31"/>
      <c r="WT5" s="31"/>
      <c r="WU5" s="31"/>
      <c r="WV5" s="31"/>
      <c r="WW5" s="31"/>
      <c r="WX5" s="31"/>
      <c r="WY5" s="31"/>
      <c r="WZ5" s="31"/>
      <c r="XA5" s="31"/>
      <c r="XB5" s="31"/>
      <c r="XC5" s="31"/>
      <c r="XD5" s="31"/>
      <c r="XE5" s="31"/>
      <c r="XF5" s="31"/>
      <c r="XG5" s="31"/>
      <c r="XH5" s="31"/>
      <c r="XI5" s="31"/>
      <c r="XJ5" s="31"/>
      <c r="XK5" s="31"/>
      <c r="XL5" s="31"/>
      <c r="XM5" s="31"/>
      <c r="XN5" s="31"/>
      <c r="XO5" s="31"/>
      <c r="XP5" s="31"/>
      <c r="XQ5" s="31"/>
      <c r="XR5" s="31"/>
      <c r="XS5" s="31"/>
      <c r="XT5" s="31"/>
      <c r="XU5" s="31"/>
      <c r="XV5" s="31"/>
      <c r="XW5" s="31"/>
      <c r="XX5" s="31"/>
      <c r="XY5" s="31"/>
      <c r="XZ5" s="31"/>
      <c r="YA5" s="31"/>
      <c r="YB5" s="31"/>
      <c r="YC5" s="31"/>
      <c r="YD5" s="31"/>
      <c r="YE5" s="31"/>
      <c r="YF5" s="31"/>
      <c r="YG5" s="31"/>
      <c r="YH5" s="31"/>
      <c r="YI5" s="31"/>
      <c r="YJ5" s="31"/>
      <c r="YK5" s="31"/>
      <c r="YL5" s="31"/>
      <c r="YM5" s="31"/>
      <c r="YN5" s="31"/>
      <c r="YO5" s="31"/>
      <c r="YP5" s="31"/>
      <c r="YQ5" s="31"/>
      <c r="YR5" s="31"/>
      <c r="YS5" s="31"/>
      <c r="YT5" s="31"/>
      <c r="YU5" s="31"/>
      <c r="YV5" s="31"/>
      <c r="YW5" s="31"/>
      <c r="YX5" s="31"/>
      <c r="YY5" s="31"/>
      <c r="YZ5" s="31"/>
      <c r="ZA5" s="31"/>
      <c r="ZB5" s="31"/>
      <c r="ZC5" s="31"/>
      <c r="ZD5" s="31"/>
      <c r="ZE5" s="31"/>
      <c r="ZF5" s="31"/>
      <c r="ZG5" s="31"/>
      <c r="ZH5" s="31"/>
      <c r="ZI5" s="31"/>
      <c r="ZJ5" s="31"/>
      <c r="ZK5" s="31"/>
      <c r="ZL5" s="31"/>
      <c r="ZM5" s="31"/>
      <c r="ZN5" s="31"/>
      <c r="ZO5" s="31"/>
      <c r="ZP5" s="31"/>
      <c r="ZQ5" s="31"/>
      <c r="ZR5" s="31"/>
      <c r="ZS5" s="31"/>
      <c r="ZT5" s="31"/>
      <c r="ZU5" s="31"/>
      <c r="ZV5" s="31"/>
      <c r="ZW5" s="31"/>
      <c r="ZX5" s="31"/>
      <c r="ZY5" s="31"/>
      <c r="ZZ5" s="31"/>
      <c r="AAA5" s="31"/>
      <c r="AAB5" s="31"/>
      <c r="AAC5" s="31"/>
      <c r="AAD5" s="31"/>
      <c r="AAE5" s="31"/>
      <c r="AAF5" s="31"/>
      <c r="AAG5" s="31"/>
      <c r="AAH5" s="31"/>
      <c r="AAI5" s="31"/>
      <c r="AAJ5" s="31"/>
      <c r="AAK5" s="31"/>
      <c r="AAL5" s="31"/>
      <c r="AAM5" s="31"/>
      <c r="AAN5" s="31"/>
      <c r="AAO5" s="31"/>
      <c r="AAP5" s="31"/>
      <c r="AAQ5" s="31"/>
      <c r="AAR5" s="31"/>
      <c r="AAS5" s="31"/>
      <c r="AAT5" s="31"/>
      <c r="AAU5" s="31"/>
      <c r="AAV5" s="31"/>
      <c r="AAW5" s="31"/>
      <c r="AAX5" s="31"/>
      <c r="AAY5" s="31"/>
      <c r="AAZ5" s="31"/>
      <c r="ABA5" s="31"/>
      <c r="ABB5" s="31"/>
      <c r="ABC5" s="31"/>
      <c r="ABD5" s="31"/>
      <c r="ABE5" s="31"/>
      <c r="ABF5" s="31"/>
      <c r="ABG5" s="31"/>
      <c r="ABH5" s="31"/>
      <c r="ABI5" s="31"/>
      <c r="ABJ5" s="31"/>
      <c r="ABK5" s="31"/>
      <c r="ABL5" s="31"/>
      <c r="ABM5" s="31"/>
      <c r="ABN5" s="31"/>
      <c r="ABO5" s="31"/>
      <c r="ABP5" s="31"/>
      <c r="ABQ5" s="31"/>
      <c r="ABR5" s="31"/>
      <c r="ABS5" s="31"/>
      <c r="ABT5" s="31"/>
      <c r="ABU5" s="31"/>
      <c r="ABV5" s="31"/>
      <c r="ABW5" s="31"/>
      <c r="ABX5" s="31"/>
      <c r="ABY5" s="31"/>
      <c r="ABZ5" s="31"/>
      <c r="ACA5" s="31"/>
      <c r="ACB5" s="31"/>
      <c r="ACC5" s="31"/>
      <c r="ACD5" s="31"/>
      <c r="ACE5" s="31"/>
      <c r="ACF5" s="31"/>
      <c r="ACG5" s="31"/>
      <c r="ACH5" s="31"/>
      <c r="ACI5" s="31"/>
      <c r="ACJ5" s="31"/>
      <c r="ACK5" s="31"/>
      <c r="ACL5" s="31"/>
      <c r="ACM5" s="31"/>
      <c r="ACN5" s="31"/>
      <c r="ACO5" s="31"/>
      <c r="ACP5" s="31"/>
      <c r="ACQ5" s="31"/>
      <c r="ACR5" s="31"/>
      <c r="ACS5" s="31"/>
      <c r="ACT5" s="31"/>
      <c r="ACU5" s="31"/>
      <c r="ACV5" s="31"/>
      <c r="ACW5" s="31"/>
      <c r="ACX5" s="31"/>
      <c r="ACY5" s="31"/>
      <c r="ACZ5" s="31"/>
      <c r="ADA5" s="31"/>
      <c r="ADB5" s="31"/>
      <c r="ADC5" s="31"/>
      <c r="ADD5" s="31"/>
      <c r="ADE5" s="31"/>
      <c r="ADF5" s="31"/>
      <c r="ADG5" s="31"/>
      <c r="ADH5" s="31"/>
      <c r="ADI5" s="31"/>
      <c r="ADJ5" s="31"/>
      <c r="ADK5" s="31"/>
      <c r="ADL5" s="31"/>
      <c r="ADM5" s="31"/>
      <c r="ADN5" s="31"/>
      <c r="ADO5" s="31"/>
      <c r="ADP5" s="31"/>
      <c r="ADQ5" s="31"/>
      <c r="ADR5" s="31"/>
      <c r="ADS5" s="31"/>
      <c r="ADT5" s="31"/>
      <c r="ADU5" s="31"/>
      <c r="ADV5" s="31"/>
      <c r="ADW5" s="31"/>
      <c r="ADX5" s="31"/>
      <c r="ADY5" s="31"/>
      <c r="ADZ5" s="31"/>
      <c r="AEA5" s="31"/>
      <c r="AEB5" s="31"/>
      <c r="AEC5" s="31"/>
      <c r="AED5" s="31"/>
      <c r="AEE5" s="31"/>
      <c r="AEF5" s="31"/>
      <c r="AEG5" s="31"/>
      <c r="AEH5" s="31"/>
      <c r="AEI5" s="31"/>
      <c r="AEJ5" s="31"/>
      <c r="AEK5" s="31"/>
      <c r="AEL5" s="31"/>
      <c r="AEM5" s="31"/>
      <c r="AEN5" s="31"/>
      <c r="AEO5" s="31"/>
      <c r="AEP5" s="31"/>
      <c r="AEQ5" s="31"/>
      <c r="AER5" s="31"/>
      <c r="AES5" s="31"/>
      <c r="AET5" s="31"/>
      <c r="AEU5" s="31"/>
      <c r="AEV5" s="31"/>
      <c r="AEW5" s="31"/>
      <c r="AEX5" s="31"/>
      <c r="AEY5" s="31"/>
      <c r="AEZ5" s="31"/>
      <c r="AFA5" s="31"/>
      <c r="AFB5" s="31"/>
      <c r="AFC5" s="31"/>
      <c r="AFD5" s="31"/>
      <c r="AFE5" s="31"/>
      <c r="AFF5" s="31"/>
      <c r="AFG5" s="31"/>
      <c r="AFH5" s="31"/>
      <c r="AFI5" s="31"/>
      <c r="AFJ5" s="31"/>
      <c r="AFK5" s="31"/>
      <c r="AFL5" s="31"/>
      <c r="AFM5" s="31"/>
      <c r="AFN5" s="31"/>
      <c r="AFO5" s="31"/>
      <c r="AFP5" s="31"/>
      <c r="AFQ5" s="31"/>
      <c r="AFR5" s="31"/>
      <c r="AFS5" s="31"/>
      <c r="AFT5" s="31"/>
      <c r="AFU5" s="31"/>
      <c r="AFV5" s="31"/>
      <c r="AFW5" s="31"/>
      <c r="AFX5" s="31"/>
      <c r="AFY5" s="31"/>
      <c r="AFZ5" s="31"/>
      <c r="AGA5" s="31"/>
      <c r="AGB5" s="31"/>
      <c r="AGC5" s="31"/>
      <c r="AGD5" s="31"/>
      <c r="AGE5" s="31"/>
      <c r="AGF5" s="31"/>
      <c r="AGG5" s="31"/>
      <c r="AGH5" s="31"/>
      <c r="AGI5" s="31"/>
      <c r="AGJ5" s="31"/>
      <c r="AGK5" s="31"/>
      <c r="AGL5" s="31"/>
      <c r="AGM5" s="31"/>
      <c r="AGN5" s="31"/>
      <c r="AGO5" s="31"/>
      <c r="AGP5" s="31"/>
      <c r="AGQ5" s="31"/>
      <c r="AGR5" s="31"/>
      <c r="AGS5" s="31"/>
      <c r="AGT5" s="31"/>
      <c r="AGU5" s="31"/>
      <c r="AGV5" s="31"/>
      <c r="AGW5" s="31"/>
      <c r="AGX5" s="31"/>
      <c r="AGY5" s="31"/>
      <c r="AGZ5" s="31"/>
      <c r="AHA5" s="31"/>
      <c r="AHB5" s="31"/>
      <c r="AHC5" s="31"/>
      <c r="AHD5" s="31"/>
      <c r="AHE5" s="31"/>
      <c r="AHF5" s="31"/>
      <c r="AHG5" s="31"/>
      <c r="AHH5" s="31"/>
      <c r="AHI5" s="31"/>
      <c r="AHJ5" s="31"/>
      <c r="AHK5" s="31"/>
      <c r="AHL5" s="31"/>
      <c r="AHM5" s="31"/>
      <c r="AHN5" s="31"/>
      <c r="AHO5" s="31"/>
      <c r="AHP5" s="31"/>
      <c r="AHQ5" s="31"/>
      <c r="AHR5" s="31"/>
      <c r="AHS5" s="31"/>
      <c r="AHT5" s="31"/>
      <c r="AHU5" s="31"/>
      <c r="AHV5" s="31"/>
      <c r="AHW5" s="31"/>
      <c r="AHX5" s="31"/>
      <c r="AHY5" s="31"/>
      <c r="AHZ5" s="31"/>
      <c r="AIA5" s="31"/>
      <c r="AIB5" s="31"/>
      <c r="AIC5" s="31"/>
      <c r="AID5" s="31"/>
      <c r="AIE5" s="31"/>
      <c r="AIF5" s="31"/>
      <c r="AIG5" s="31"/>
      <c r="AIH5" s="31"/>
      <c r="AII5" s="31"/>
      <c r="AIJ5" s="31"/>
      <c r="AIK5" s="31"/>
      <c r="AIL5" s="31"/>
      <c r="AIM5" s="31"/>
      <c r="AIN5" s="31"/>
      <c r="AIO5" s="31"/>
      <c r="AIP5" s="31"/>
      <c r="AIQ5" s="31"/>
      <c r="AIR5" s="31"/>
      <c r="AIS5" s="31"/>
      <c r="AIT5" s="31"/>
      <c r="AIU5" s="31"/>
      <c r="AIV5" s="31"/>
      <c r="AIW5" s="31"/>
      <c r="AIX5" s="31"/>
      <c r="AIY5" s="31"/>
      <c r="AIZ5" s="31"/>
      <c r="AJA5" s="31"/>
      <c r="AJB5" s="31"/>
      <c r="AJC5" s="31"/>
      <c r="AJD5" s="31"/>
      <c r="AJE5" s="31"/>
      <c r="AJF5" s="31"/>
      <c r="AJG5" s="31"/>
      <c r="AJH5" s="31"/>
      <c r="AJI5" s="31"/>
      <c r="AJJ5" s="31"/>
      <c r="AJK5" s="31"/>
      <c r="AJL5" s="31"/>
      <c r="AJM5" s="31"/>
      <c r="AJN5" s="31"/>
      <c r="AJO5" s="31"/>
      <c r="AJP5" s="31"/>
      <c r="AJQ5" s="31"/>
      <c r="AJR5" s="31"/>
      <c r="AJS5" s="31"/>
      <c r="AJT5" s="31"/>
      <c r="AJU5" s="31"/>
      <c r="AJV5" s="31"/>
      <c r="AJW5" s="31"/>
      <c r="AJX5" s="31"/>
      <c r="AJY5" s="31"/>
      <c r="AJZ5" s="31"/>
      <c r="AKA5" s="31"/>
      <c r="AKB5" s="31"/>
      <c r="AKC5" s="31"/>
      <c r="AKD5" s="31"/>
      <c r="AKE5" s="31"/>
      <c r="AKF5" s="31"/>
      <c r="AKG5" s="31"/>
      <c r="AKH5" s="31"/>
      <c r="AKI5" s="31"/>
      <c r="AKJ5" s="31"/>
      <c r="AKK5" s="31"/>
      <c r="AKL5" s="31"/>
      <c r="AKM5" s="31"/>
      <c r="AKN5" s="31"/>
      <c r="AKO5" s="31"/>
      <c r="AKP5" s="31"/>
      <c r="AKQ5" s="31"/>
      <c r="AKR5" s="31"/>
      <c r="AKS5" s="31"/>
      <c r="AKT5" s="31"/>
      <c r="AKU5" s="31"/>
      <c r="AKV5" s="31"/>
      <c r="AKW5" s="31"/>
      <c r="AKX5" s="31"/>
      <c r="AKY5" s="31"/>
      <c r="AKZ5" s="31"/>
      <c r="ALA5" s="31"/>
      <c r="ALB5" s="31"/>
      <c r="ALC5" s="31"/>
      <c r="ALD5" s="31"/>
      <c r="ALE5" s="31"/>
      <c r="ALF5" s="31"/>
      <c r="ALG5" s="31"/>
      <c r="ALH5" s="31"/>
      <c r="ALI5" s="31"/>
      <c r="ALJ5" s="31"/>
      <c r="ALK5" s="31"/>
      <c r="ALL5" s="31"/>
      <c r="ALM5" s="31"/>
      <c r="ALN5" s="31"/>
      <c r="ALO5" s="31"/>
      <c r="ALP5" s="31"/>
      <c r="ALQ5" s="31"/>
      <c r="ALR5" s="31"/>
      <c r="ALS5" s="31"/>
      <c r="ALT5" s="31"/>
      <c r="ALU5" s="31"/>
      <c r="ALV5" s="31"/>
      <c r="ALW5" s="31"/>
      <c r="ALX5" s="31"/>
      <c r="ALY5" s="31"/>
      <c r="ALZ5" s="31"/>
      <c r="AMA5" s="31"/>
      <c r="AMB5" s="31"/>
      <c r="AMC5" s="31"/>
      <c r="AMD5" s="31"/>
      <c r="AME5" s="31"/>
      <c r="AMF5" s="31"/>
      <c r="AMG5" s="31"/>
      <c r="AMH5" s="31"/>
      <c r="AMI5" s="31"/>
      <c r="AMJ5" s="31"/>
    </row>
    <row r="6" ht="15.75" customHeight="1">
      <c r="A6" s="51" t="s">
        <v>40</v>
      </c>
      <c r="B6" s="51"/>
      <c r="C6" s="8" t="s">
        <v>31</v>
      </c>
      <c r="D6" s="51">
        <v>25.0</v>
      </c>
      <c r="E6" s="8" t="s">
        <v>28</v>
      </c>
      <c r="F6" s="8" t="s">
        <v>23</v>
      </c>
      <c r="G6" s="8">
        <v>0.0</v>
      </c>
      <c r="H6" s="8"/>
      <c r="I6" s="8"/>
      <c r="J6" s="8"/>
      <c r="K6" s="8">
        <v>0.0</v>
      </c>
      <c r="L6" s="8"/>
      <c r="M6" s="8"/>
      <c r="N6" s="8">
        <v>0.0</v>
      </c>
      <c r="O6" s="8"/>
      <c r="Q6">
        <v>0.0</v>
      </c>
      <c r="T6" t="s">
        <v>49</v>
      </c>
      <c r="U6" t="s">
        <v>44</v>
      </c>
      <c r="AB6">
        <v>0.0</v>
      </c>
      <c r="AD6">
        <v>0.0</v>
      </c>
      <c r="AE6">
        <v>0.0</v>
      </c>
      <c r="AF6">
        <v>25.0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1.0</v>
      </c>
      <c r="AN6" t="s">
        <v>32</v>
      </c>
      <c r="AP6" t="s">
        <v>66</v>
      </c>
      <c r="AQ6" t="s">
        <v>31</v>
      </c>
      <c r="AX6">
        <v>0.0</v>
      </c>
      <c r="AY6">
        <v>0.0</v>
      </c>
      <c r="AZ6">
        <v>0.0</v>
      </c>
      <c r="BD6">
        <v>0.0</v>
      </c>
      <c r="BJ6">
        <v>0.0</v>
      </c>
      <c r="BK6">
        <v>0.0</v>
      </c>
      <c r="BL6">
        <v>0.0</v>
      </c>
      <c r="BM6">
        <v>0.0</v>
      </c>
      <c r="BO6">
        <v>0.0</v>
      </c>
      <c r="BP6">
        <v>0.0</v>
      </c>
      <c r="BR6" t="s">
        <v>51</v>
      </c>
      <c r="BS6">
        <v>0.0</v>
      </c>
      <c r="BT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S6">
        <v>0.0</v>
      </c>
      <c r="DE6">
        <v>0.0</v>
      </c>
      <c r="DF6">
        <v>0.0</v>
      </c>
      <c r="DG6">
        <v>0.0</v>
      </c>
      <c r="EG6">
        <v>0.0</v>
      </c>
      <c r="EH6">
        <v>0.0</v>
      </c>
      <c r="EI6">
        <v>0.0</v>
      </c>
      <c r="EJ6">
        <v>0.0</v>
      </c>
      <c r="EK6">
        <v>0.0</v>
      </c>
      <c r="EM6">
        <v>0.0</v>
      </c>
      <c r="EN6">
        <v>0.0</v>
      </c>
      <c r="EO6">
        <v>0.0</v>
      </c>
      <c r="EQ6">
        <v>0.0</v>
      </c>
      <c r="ER6">
        <v>0.0</v>
      </c>
      <c r="ES6">
        <v>0.0</v>
      </c>
      <c r="ET6">
        <v>0.0</v>
      </c>
      <c r="EU6">
        <v>0.0</v>
      </c>
      <c r="EV6" t="s">
        <v>66</v>
      </c>
      <c r="EW6">
        <v>0.0</v>
      </c>
      <c r="EX6" t="b">
        <v>0</v>
      </c>
      <c r="FA6" t="s">
        <v>40</v>
      </c>
      <c r="FB6" t="s">
        <v>40</v>
      </c>
    </row>
    <row r="7" ht="15.75" customHeight="1">
      <c r="A7" s="8" t="s">
        <v>40</v>
      </c>
      <c r="B7" s="8"/>
      <c r="C7" s="8" t="s">
        <v>33</v>
      </c>
      <c r="D7" s="8">
        <v>25.0</v>
      </c>
      <c r="E7" s="8" t="s">
        <v>28</v>
      </c>
      <c r="F7" s="8" t="s">
        <v>23</v>
      </c>
      <c r="G7" s="8">
        <v>0.0</v>
      </c>
      <c r="H7" s="8"/>
      <c r="I7" s="8"/>
      <c r="J7" s="8"/>
      <c r="K7" s="8">
        <v>0.0</v>
      </c>
      <c r="L7" s="8"/>
      <c r="M7" s="8"/>
      <c r="N7" s="8">
        <v>0.0</v>
      </c>
      <c r="O7" s="8"/>
      <c r="Q7">
        <v>0.0</v>
      </c>
      <c r="T7" t="s">
        <v>49</v>
      </c>
      <c r="U7" t="s">
        <v>44</v>
      </c>
      <c r="AB7">
        <v>0.0</v>
      </c>
      <c r="AD7">
        <v>0.0</v>
      </c>
      <c r="AE7">
        <v>0.0</v>
      </c>
      <c r="AF7">
        <v>25.0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1.0</v>
      </c>
      <c r="AN7" t="s">
        <v>32</v>
      </c>
      <c r="AP7" t="s">
        <v>66</v>
      </c>
      <c r="AQ7" t="s">
        <v>33</v>
      </c>
      <c r="AX7">
        <v>0.0</v>
      </c>
      <c r="AY7">
        <v>0.0</v>
      </c>
      <c r="AZ7">
        <v>0.0</v>
      </c>
      <c r="BD7">
        <v>0.0</v>
      </c>
      <c r="BJ7">
        <v>0.0</v>
      </c>
      <c r="BK7">
        <v>0.0</v>
      </c>
      <c r="BL7">
        <v>0.0</v>
      </c>
      <c r="BM7">
        <v>0.0</v>
      </c>
      <c r="BO7">
        <v>0.0</v>
      </c>
      <c r="BP7">
        <v>0.0</v>
      </c>
      <c r="BR7" t="s">
        <v>51</v>
      </c>
      <c r="BS7">
        <v>0.0</v>
      </c>
      <c r="BT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S7">
        <v>0.0</v>
      </c>
      <c r="DE7">
        <v>0.0</v>
      </c>
      <c r="DF7">
        <v>0.0</v>
      </c>
      <c r="DG7">
        <v>0.0</v>
      </c>
      <c r="EG7">
        <v>0.0</v>
      </c>
      <c r="EH7">
        <v>0.0</v>
      </c>
      <c r="EI7">
        <v>0.0</v>
      </c>
      <c r="EJ7">
        <v>0.0</v>
      </c>
      <c r="EK7">
        <v>0.0</v>
      </c>
      <c r="EM7">
        <v>0.0</v>
      </c>
      <c r="EN7">
        <v>0.0</v>
      </c>
      <c r="EO7">
        <v>0.0</v>
      </c>
      <c r="EQ7">
        <v>0.0</v>
      </c>
      <c r="ER7">
        <v>0.0</v>
      </c>
      <c r="ES7">
        <v>0.0</v>
      </c>
      <c r="ET7">
        <v>0.0</v>
      </c>
      <c r="EU7">
        <v>0.0</v>
      </c>
      <c r="EV7" t="s">
        <v>66</v>
      </c>
      <c r="EW7">
        <v>0.0</v>
      </c>
      <c r="EX7" t="b">
        <v>0</v>
      </c>
      <c r="FA7" t="s">
        <v>40</v>
      </c>
      <c r="FB7" t="s">
        <v>40</v>
      </c>
    </row>
    <row r="8" ht="15.75" customHeight="1">
      <c r="A8" s="8" t="s">
        <v>40</v>
      </c>
      <c r="B8" s="8"/>
      <c r="C8" s="8" t="s">
        <v>31</v>
      </c>
      <c r="D8" s="8">
        <v>25.0</v>
      </c>
      <c r="E8" s="8" t="s">
        <v>27</v>
      </c>
      <c r="F8" s="8" t="s">
        <v>22</v>
      </c>
      <c r="G8" s="8">
        <v>0.0</v>
      </c>
      <c r="H8" s="8"/>
      <c r="I8" s="8"/>
      <c r="J8" s="8"/>
      <c r="K8" s="8">
        <v>0.0</v>
      </c>
      <c r="L8" s="8"/>
      <c r="M8" s="8"/>
      <c r="N8" s="8">
        <v>0.0</v>
      </c>
      <c r="O8" s="8"/>
      <c r="Q8">
        <v>0.0</v>
      </c>
      <c r="T8" t="s">
        <v>49</v>
      </c>
      <c r="U8" t="s">
        <v>44</v>
      </c>
      <c r="AB8">
        <v>0.0</v>
      </c>
      <c r="AD8">
        <v>0.0</v>
      </c>
      <c r="AE8">
        <v>0.0</v>
      </c>
      <c r="AF8">
        <v>25.0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1.0</v>
      </c>
      <c r="AN8" t="s">
        <v>32</v>
      </c>
      <c r="AP8" t="s">
        <v>66</v>
      </c>
      <c r="AQ8" t="s">
        <v>31</v>
      </c>
      <c r="AX8">
        <v>0.0</v>
      </c>
      <c r="AY8">
        <v>0.0</v>
      </c>
      <c r="AZ8">
        <v>0.0</v>
      </c>
      <c r="BD8">
        <v>0.0</v>
      </c>
      <c r="BJ8">
        <v>0.0</v>
      </c>
      <c r="BK8">
        <v>0.0</v>
      </c>
      <c r="BL8">
        <v>0.0</v>
      </c>
      <c r="BM8">
        <v>0.0</v>
      </c>
      <c r="BO8">
        <v>0.0</v>
      </c>
      <c r="BP8">
        <v>0.0</v>
      </c>
      <c r="BR8" t="s">
        <v>51</v>
      </c>
      <c r="BS8">
        <v>0.0</v>
      </c>
      <c r="BT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S8">
        <v>0.0</v>
      </c>
      <c r="DE8">
        <v>0.0</v>
      </c>
      <c r="DF8">
        <v>0.0</v>
      </c>
      <c r="DG8">
        <v>0.0</v>
      </c>
      <c r="EG8">
        <v>0.0</v>
      </c>
      <c r="EH8">
        <v>0.0</v>
      </c>
      <c r="EI8">
        <v>0.0</v>
      </c>
      <c r="EJ8">
        <v>0.0</v>
      </c>
      <c r="EK8">
        <v>0.0</v>
      </c>
      <c r="EM8">
        <v>0.0</v>
      </c>
      <c r="EN8">
        <v>0.0</v>
      </c>
      <c r="EO8">
        <v>0.0</v>
      </c>
      <c r="EQ8">
        <v>0.0</v>
      </c>
      <c r="ER8">
        <v>0.0</v>
      </c>
      <c r="ES8">
        <v>0.0</v>
      </c>
      <c r="ET8">
        <v>0.0</v>
      </c>
      <c r="EU8">
        <v>0.0</v>
      </c>
      <c r="EV8" t="s">
        <v>66</v>
      </c>
      <c r="EW8">
        <v>0.0</v>
      </c>
      <c r="EX8" t="b">
        <v>0</v>
      </c>
      <c r="FA8" t="s">
        <v>40</v>
      </c>
      <c r="FB8" t="s">
        <v>40</v>
      </c>
    </row>
    <row r="9" ht="15.75" customHeight="1">
      <c r="A9" s="8" t="s">
        <v>40</v>
      </c>
      <c r="B9" s="8"/>
      <c r="C9" s="8" t="s">
        <v>33</v>
      </c>
      <c r="D9" s="8">
        <v>25.0</v>
      </c>
      <c r="E9" s="8" t="s">
        <v>27</v>
      </c>
      <c r="F9" s="8" t="s">
        <v>22</v>
      </c>
      <c r="G9" s="8">
        <v>0.0</v>
      </c>
      <c r="H9" s="8"/>
      <c r="I9" s="8"/>
      <c r="J9" s="8"/>
      <c r="K9" s="8">
        <v>0.0</v>
      </c>
      <c r="L9" s="8"/>
      <c r="M9" s="8"/>
      <c r="N9" s="8">
        <v>0.0</v>
      </c>
      <c r="O9" s="8"/>
      <c r="Q9">
        <v>0.0</v>
      </c>
      <c r="T9" t="s">
        <v>49</v>
      </c>
      <c r="U9" t="s">
        <v>44</v>
      </c>
      <c r="AB9">
        <v>0.0</v>
      </c>
      <c r="AD9">
        <v>0.0</v>
      </c>
      <c r="AE9">
        <v>0.0</v>
      </c>
      <c r="AF9">
        <v>25.0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1.0</v>
      </c>
      <c r="AN9" t="s">
        <v>32</v>
      </c>
      <c r="AP9" t="s">
        <v>66</v>
      </c>
      <c r="AQ9" t="s">
        <v>33</v>
      </c>
      <c r="AX9">
        <v>0.0</v>
      </c>
      <c r="AY9">
        <v>0.0</v>
      </c>
      <c r="AZ9">
        <v>0.0</v>
      </c>
      <c r="BD9">
        <v>0.0</v>
      </c>
      <c r="BJ9">
        <v>0.0</v>
      </c>
      <c r="BK9">
        <v>0.0</v>
      </c>
      <c r="BL9">
        <v>0.0</v>
      </c>
      <c r="BM9">
        <v>0.0</v>
      </c>
      <c r="BO9">
        <v>0.0</v>
      </c>
      <c r="BP9">
        <v>0.0</v>
      </c>
      <c r="BR9" t="s">
        <v>51</v>
      </c>
      <c r="BS9">
        <v>0.0</v>
      </c>
      <c r="BT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S9">
        <v>0.0</v>
      </c>
      <c r="DE9">
        <v>0.0</v>
      </c>
      <c r="DF9">
        <v>0.0</v>
      </c>
      <c r="DG9">
        <v>0.0</v>
      </c>
      <c r="EG9">
        <v>0.0</v>
      </c>
      <c r="EH9">
        <v>0.0</v>
      </c>
      <c r="EI9">
        <v>0.0</v>
      </c>
      <c r="EJ9">
        <v>0.0</v>
      </c>
      <c r="EK9">
        <v>0.0</v>
      </c>
      <c r="EM9">
        <v>0.0</v>
      </c>
      <c r="EN9">
        <v>0.0</v>
      </c>
      <c r="EO9">
        <v>0.0</v>
      </c>
      <c r="EQ9">
        <v>0.0</v>
      </c>
      <c r="ER9">
        <v>0.0</v>
      </c>
      <c r="ES9">
        <v>0.0</v>
      </c>
      <c r="ET9">
        <v>0.0</v>
      </c>
      <c r="EU9">
        <v>0.0</v>
      </c>
      <c r="EV9" t="s">
        <v>66</v>
      </c>
      <c r="EW9">
        <v>0.0</v>
      </c>
      <c r="EX9" t="b">
        <v>0</v>
      </c>
      <c r="FA9" t="s">
        <v>40</v>
      </c>
      <c r="FB9" t="s">
        <v>40</v>
      </c>
    </row>
    <row r="10" ht="15.75" customHeight="1">
      <c r="A10" s="8" t="s">
        <v>40</v>
      </c>
      <c r="B10" s="8"/>
      <c r="C10" s="8" t="s">
        <v>31</v>
      </c>
      <c r="D10" s="8">
        <v>25.0</v>
      </c>
      <c r="E10" s="8" t="s">
        <v>26</v>
      </c>
      <c r="F10" s="8" t="s">
        <v>21</v>
      </c>
      <c r="G10" s="8">
        <v>0.0</v>
      </c>
      <c r="H10" s="8"/>
      <c r="I10" s="8"/>
      <c r="J10" s="8"/>
      <c r="K10" s="8">
        <v>0.0</v>
      </c>
      <c r="L10" s="8"/>
      <c r="M10" s="8"/>
      <c r="N10" s="8">
        <v>0.0</v>
      </c>
      <c r="O10" s="8"/>
      <c r="Q10">
        <v>0.0</v>
      </c>
      <c r="T10" t="s">
        <v>49</v>
      </c>
      <c r="U10" t="s">
        <v>44</v>
      </c>
      <c r="AB10">
        <v>0.0</v>
      </c>
      <c r="AD10">
        <v>0.0</v>
      </c>
      <c r="AE10">
        <v>0.0</v>
      </c>
      <c r="AF10">
        <v>25.0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1.0</v>
      </c>
      <c r="AN10" t="s">
        <v>32</v>
      </c>
      <c r="AP10" t="s">
        <v>66</v>
      </c>
      <c r="AQ10" t="s">
        <v>31</v>
      </c>
      <c r="AX10">
        <v>0.0</v>
      </c>
      <c r="AY10">
        <v>0.0</v>
      </c>
      <c r="AZ10">
        <v>0.0</v>
      </c>
      <c r="BD10">
        <v>0.0</v>
      </c>
      <c r="BJ10">
        <v>0.0</v>
      </c>
      <c r="BK10">
        <v>0.0</v>
      </c>
      <c r="BL10">
        <v>0.0</v>
      </c>
      <c r="BM10">
        <v>0.0</v>
      </c>
      <c r="BO10">
        <v>0.0</v>
      </c>
      <c r="BP10">
        <v>0.0</v>
      </c>
      <c r="BR10" t="s">
        <v>51</v>
      </c>
      <c r="BS10">
        <v>0.0</v>
      </c>
      <c r="BT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S10">
        <v>0.0</v>
      </c>
      <c r="DE10">
        <v>0.0</v>
      </c>
      <c r="DF10">
        <v>0.0</v>
      </c>
      <c r="DG10">
        <v>0.0</v>
      </c>
      <c r="EG10">
        <v>0.0</v>
      </c>
      <c r="EH10">
        <v>0.0</v>
      </c>
      <c r="EI10">
        <v>0.0</v>
      </c>
      <c r="EJ10">
        <v>0.0</v>
      </c>
      <c r="EK10">
        <v>0.0</v>
      </c>
      <c r="EM10">
        <v>0.0</v>
      </c>
      <c r="EN10">
        <v>0.0</v>
      </c>
      <c r="EO10">
        <v>0.0</v>
      </c>
      <c r="EQ10">
        <v>0.0</v>
      </c>
      <c r="ER10">
        <v>0.0</v>
      </c>
      <c r="ES10">
        <v>0.0</v>
      </c>
      <c r="ET10">
        <v>0.0</v>
      </c>
      <c r="EU10">
        <v>0.0</v>
      </c>
      <c r="EV10" t="s">
        <v>66</v>
      </c>
      <c r="EW10">
        <v>0.0</v>
      </c>
      <c r="EX10" t="b">
        <v>0</v>
      </c>
      <c r="FA10" t="s">
        <v>40</v>
      </c>
      <c r="FB10" t="s">
        <v>40</v>
      </c>
    </row>
    <row r="11" ht="15.75" customHeight="1">
      <c r="A11" s="8" t="s">
        <v>40</v>
      </c>
      <c r="B11" s="8"/>
      <c r="C11" s="8" t="s">
        <v>33</v>
      </c>
      <c r="D11" s="8">
        <v>25.0</v>
      </c>
      <c r="E11" s="8" t="s">
        <v>26</v>
      </c>
      <c r="F11" s="8" t="s">
        <v>21</v>
      </c>
      <c r="G11" s="8">
        <v>0.0</v>
      </c>
      <c r="H11" s="8"/>
      <c r="I11" s="8"/>
      <c r="J11" s="8"/>
      <c r="K11" s="8">
        <v>0.0</v>
      </c>
      <c r="L11" s="8"/>
      <c r="M11" s="8"/>
      <c r="N11" s="8">
        <v>0.0</v>
      </c>
      <c r="O11" s="8"/>
      <c r="Q11">
        <v>0.0</v>
      </c>
      <c r="T11" t="s">
        <v>49</v>
      </c>
      <c r="U11" t="s">
        <v>44</v>
      </c>
      <c r="AB11">
        <v>0.0</v>
      </c>
      <c r="AD11">
        <v>0.0</v>
      </c>
      <c r="AE11">
        <v>0.0</v>
      </c>
      <c r="AF11">
        <v>25.0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1.0</v>
      </c>
      <c r="AN11" t="s">
        <v>32</v>
      </c>
      <c r="AP11" t="s">
        <v>66</v>
      </c>
      <c r="AQ11" t="s">
        <v>33</v>
      </c>
      <c r="AX11">
        <v>0.0</v>
      </c>
      <c r="AY11">
        <v>0.0</v>
      </c>
      <c r="AZ11">
        <v>0.0</v>
      </c>
      <c r="BD11">
        <v>0.0</v>
      </c>
      <c r="BJ11">
        <v>0.0</v>
      </c>
      <c r="BK11">
        <v>0.0</v>
      </c>
      <c r="BL11">
        <v>0.0</v>
      </c>
      <c r="BM11">
        <v>0.0</v>
      </c>
      <c r="BO11">
        <v>0.0</v>
      </c>
      <c r="BP11">
        <v>0.0</v>
      </c>
      <c r="BR11" t="s">
        <v>51</v>
      </c>
      <c r="BS11">
        <v>0.0</v>
      </c>
      <c r="BT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S11">
        <v>0.0</v>
      </c>
      <c r="DE11">
        <v>0.0</v>
      </c>
      <c r="DF11">
        <v>0.0</v>
      </c>
      <c r="DG11">
        <v>0.0</v>
      </c>
      <c r="EG11">
        <v>0.0</v>
      </c>
      <c r="EH11">
        <v>0.0</v>
      </c>
      <c r="EI11">
        <v>0.0</v>
      </c>
      <c r="EJ11">
        <v>0.0</v>
      </c>
      <c r="EK11">
        <v>0.0</v>
      </c>
      <c r="EM11">
        <v>0.0</v>
      </c>
      <c r="EN11">
        <v>0.0</v>
      </c>
      <c r="EO11">
        <v>0.0</v>
      </c>
      <c r="EQ11">
        <v>0.0</v>
      </c>
      <c r="ER11">
        <v>0.0</v>
      </c>
      <c r="ES11">
        <v>0.0</v>
      </c>
      <c r="ET11">
        <v>0.0</v>
      </c>
      <c r="EU11">
        <v>0.0</v>
      </c>
      <c r="EV11" t="s">
        <v>66</v>
      </c>
      <c r="EW11">
        <v>0.0</v>
      </c>
      <c r="EX11" t="b">
        <v>0</v>
      </c>
      <c r="FA11" t="s">
        <v>40</v>
      </c>
      <c r="FB11" t="s">
        <v>40</v>
      </c>
    </row>
    <row r="12" ht="15.75" customHeight="1">
      <c r="A12" s="8" t="s">
        <v>40</v>
      </c>
      <c r="B12" s="8"/>
      <c r="C12" s="8" t="s">
        <v>31</v>
      </c>
      <c r="D12" s="8">
        <v>25.0</v>
      </c>
      <c r="E12" s="8" t="s">
        <v>25</v>
      </c>
      <c r="F12" s="8" t="s">
        <v>21</v>
      </c>
      <c r="G12" s="8">
        <v>0.0</v>
      </c>
      <c r="H12" s="8"/>
      <c r="I12" s="8"/>
      <c r="J12" s="8"/>
      <c r="K12" s="8">
        <v>0.0</v>
      </c>
      <c r="L12" s="8"/>
      <c r="M12" s="8"/>
      <c r="N12" s="8">
        <v>0.0</v>
      </c>
      <c r="O12" s="8"/>
      <c r="Q12">
        <v>0.0</v>
      </c>
      <c r="T12" t="s">
        <v>49</v>
      </c>
      <c r="U12" t="s">
        <v>44</v>
      </c>
      <c r="AB12">
        <v>0.0</v>
      </c>
      <c r="AD12">
        <v>0.0</v>
      </c>
      <c r="AE12">
        <v>0.0</v>
      </c>
      <c r="AF12">
        <v>25.0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1.0</v>
      </c>
      <c r="AN12" t="s">
        <v>32</v>
      </c>
      <c r="AP12" t="s">
        <v>66</v>
      </c>
      <c r="AQ12" t="s">
        <v>31</v>
      </c>
      <c r="AX12">
        <v>0.0</v>
      </c>
      <c r="AY12">
        <v>0.0</v>
      </c>
      <c r="AZ12">
        <v>0.0</v>
      </c>
      <c r="BD12">
        <v>0.0</v>
      </c>
      <c r="BJ12">
        <v>0.0</v>
      </c>
      <c r="BK12">
        <v>0.0</v>
      </c>
      <c r="BL12">
        <v>0.0</v>
      </c>
      <c r="BM12">
        <v>0.0</v>
      </c>
      <c r="BO12">
        <v>0.0</v>
      </c>
      <c r="BP12">
        <v>0.0</v>
      </c>
      <c r="BR12" t="s">
        <v>51</v>
      </c>
      <c r="BS12">
        <v>0.0</v>
      </c>
      <c r="BT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S12">
        <v>0.0</v>
      </c>
      <c r="DE12">
        <v>0.0</v>
      </c>
      <c r="DF12">
        <v>0.0</v>
      </c>
      <c r="DG12">
        <v>0.0</v>
      </c>
      <c r="EG12">
        <v>0.0</v>
      </c>
      <c r="EH12">
        <v>0.0</v>
      </c>
      <c r="EI12">
        <v>0.0</v>
      </c>
      <c r="EJ12">
        <v>0.0</v>
      </c>
      <c r="EK12">
        <v>0.0</v>
      </c>
      <c r="EM12">
        <v>0.0</v>
      </c>
      <c r="EN12">
        <v>0.0</v>
      </c>
      <c r="EO12">
        <v>0.0</v>
      </c>
      <c r="EQ12">
        <v>0.0</v>
      </c>
      <c r="ER12">
        <v>0.0</v>
      </c>
      <c r="ES12">
        <v>0.0</v>
      </c>
      <c r="ET12">
        <v>0.0</v>
      </c>
      <c r="EU12">
        <v>0.0</v>
      </c>
      <c r="EV12" t="s">
        <v>66</v>
      </c>
      <c r="EW12">
        <v>0.0</v>
      </c>
      <c r="EX12" t="b">
        <v>0</v>
      </c>
      <c r="FA12" t="s">
        <v>40</v>
      </c>
      <c r="FB12" t="s">
        <v>40</v>
      </c>
    </row>
    <row r="13" ht="15.75" customHeight="1">
      <c r="A13" s="8" t="s">
        <v>40</v>
      </c>
      <c r="B13" s="8"/>
      <c r="C13" s="8" t="s">
        <v>33</v>
      </c>
      <c r="D13" s="8">
        <v>25.0</v>
      </c>
      <c r="E13" s="8" t="s">
        <v>25</v>
      </c>
      <c r="F13" s="8" t="s">
        <v>21</v>
      </c>
      <c r="G13" s="8">
        <v>0.0</v>
      </c>
      <c r="H13" s="8"/>
      <c r="I13" s="8"/>
      <c r="J13" s="8"/>
      <c r="K13" s="8">
        <v>0.0</v>
      </c>
      <c r="L13" s="8"/>
      <c r="M13" s="8"/>
      <c r="N13" s="8">
        <v>0.0</v>
      </c>
      <c r="O13" s="8"/>
      <c r="Q13">
        <v>0.0</v>
      </c>
      <c r="T13" t="s">
        <v>49</v>
      </c>
      <c r="U13" t="s">
        <v>44</v>
      </c>
      <c r="AB13">
        <v>0.0</v>
      </c>
      <c r="AD13">
        <v>0.0</v>
      </c>
      <c r="AE13">
        <v>0.0</v>
      </c>
      <c r="AF13">
        <v>25.0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1.0</v>
      </c>
      <c r="AN13" t="s">
        <v>32</v>
      </c>
      <c r="AP13" t="s">
        <v>66</v>
      </c>
      <c r="AQ13" t="s">
        <v>33</v>
      </c>
      <c r="AX13">
        <v>0.0</v>
      </c>
      <c r="AY13">
        <v>0.0</v>
      </c>
      <c r="AZ13">
        <v>0.0</v>
      </c>
      <c r="BD13">
        <v>0.0</v>
      </c>
      <c r="BJ13">
        <v>0.0</v>
      </c>
      <c r="BK13">
        <v>0.0</v>
      </c>
      <c r="BL13">
        <v>0.0</v>
      </c>
      <c r="BM13">
        <v>0.0</v>
      </c>
      <c r="BO13">
        <v>0.0</v>
      </c>
      <c r="BP13">
        <v>0.0</v>
      </c>
      <c r="BR13" t="s">
        <v>51</v>
      </c>
      <c r="BS13">
        <v>0.0</v>
      </c>
      <c r="BT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S13">
        <v>0.0</v>
      </c>
      <c r="DE13">
        <v>0.0</v>
      </c>
      <c r="DF13">
        <v>0.0</v>
      </c>
      <c r="DG13">
        <v>0.0</v>
      </c>
      <c r="EG13">
        <v>0.0</v>
      </c>
      <c r="EH13">
        <v>0.0</v>
      </c>
      <c r="EI13">
        <v>0.0</v>
      </c>
      <c r="EJ13">
        <v>0.0</v>
      </c>
      <c r="EK13">
        <v>0.0</v>
      </c>
      <c r="EM13">
        <v>0.0</v>
      </c>
      <c r="EN13">
        <v>0.0</v>
      </c>
      <c r="EO13">
        <v>0.0</v>
      </c>
      <c r="EQ13">
        <v>0.0</v>
      </c>
      <c r="ER13">
        <v>0.0</v>
      </c>
      <c r="ES13">
        <v>0.0</v>
      </c>
      <c r="ET13">
        <v>0.0</v>
      </c>
      <c r="EU13">
        <v>0.0</v>
      </c>
      <c r="EV13" t="s">
        <v>66</v>
      </c>
      <c r="EW13">
        <v>0.0</v>
      </c>
      <c r="EX13" t="b">
        <v>0</v>
      </c>
      <c r="FA13" t="s">
        <v>40</v>
      </c>
      <c r="FB13" t="s">
        <v>40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