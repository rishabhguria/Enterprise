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Data" sheetId="1" r:id="rId3"/>
    <sheet state="visible" name="_Modules" sheetId="2" r:id="rId4"/>
    <sheet state="visible" name="_Settings" sheetId="3" r:id="rId5"/>
    <sheet state="visible" name="_MasterData" sheetId="4" r:id="rId6"/>
    <sheet state="visible" name="CreateDoneAwayOrder" sheetId="5" r:id="rId7"/>
    <sheet state="visible" name="GetDataAllocation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ManualClosing" sheetId="10" r:id="rId12"/>
    <sheet state="visible" name="GetActivityData" sheetId="11" r:id="rId13"/>
    <sheet state="visible" name="VerifyActivity" sheetId="12" r:id="rId14"/>
    <sheet state="visible" name="GetTradingTransaction" sheetId="13" r:id="rId15"/>
    <sheet state="visible" name="VerifyTradingTransaction" sheetId="14" r:id="rId16"/>
    <sheet state="visible" name="GetDailyCalculationsData" sheetId="15" r:id="rId17"/>
    <sheet state="visible" name="_CalculateDailyCalculations" sheetId="16" r:id="rId18"/>
    <sheet state="visible" name="VerifyDailyCalTransactions" sheetId="17" r:id="rId19"/>
    <sheet state="visible" name="GetDayEndCash" sheetId="18" r:id="rId20"/>
    <sheet state="visible" name="_CalculateDayEndCash" sheetId="19" r:id="rId21"/>
    <sheet state="visible" name="VerifyDayEndCash" sheetId="20" r:id="rId22"/>
    <sheet state="visible" name="GetAccountBalance" sheetId="21" r:id="rId23"/>
    <sheet state="visible" name="VerifyActivity1" sheetId="22" r:id="rId24"/>
    <sheet state="visible" name="GetRevaluationData" sheetId="23" r:id="rId25"/>
    <sheet state="visible" name="VerifyRevaluationData" sheetId="24" r:id="rId26"/>
  </sheets>
  <definedNames/>
  <calcPr/>
</workbook>
</file>

<file path=xl/sharedStrings.xml><?xml version="1.0" encoding="utf-8"?>
<sst xmlns="http://schemas.openxmlformats.org/spreadsheetml/2006/main" count="323" uniqueCount="63">
  <si>
    <t>Modules Info</t>
  </si>
  <si>
    <t>Settings</t>
  </si>
  <si>
    <t>Module Step Setting File</t>
  </si>
  <si>
    <t>Modules</t>
  </si>
  <si>
    <t>Data</t>
  </si>
  <si>
    <t>1BICZ_GcMhh_S937ZinFvSYqvvKYtOYB2Bc4woEPpgPg</t>
  </si>
  <si>
    <t>Master Data Settings File</t>
  </si>
  <si>
    <t>1Nt_rf5DtgjbN9Ag4AMMlUkZYROxKZLH5m54YOl7tRT0</t>
  </si>
  <si>
    <t>Module</t>
  </si>
  <si>
    <t>GeneralLedger</t>
  </si>
  <si>
    <t>Step</t>
  </si>
  <si>
    <t>GetDividendData</t>
  </si>
  <si>
    <t>Data Format</t>
  </si>
  <si>
    <t>Input Format</t>
  </si>
  <si>
    <t>Master Data Info</t>
  </si>
  <si>
    <t>Master Data Sheet</t>
  </si>
  <si>
    <t>TradingTicket</t>
  </si>
  <si>
    <t>CreateDoneAwayOrder</t>
  </si>
  <si>
    <t>NQ Z7</t>
  </si>
  <si>
    <t>Buy</t>
  </si>
  <si>
    <t>Allocation2</t>
  </si>
  <si>
    <t>MS</t>
  </si>
  <si>
    <t>Market</t>
  </si>
  <si>
    <t>Shares/Contracts</t>
  </si>
  <si>
    <t>Sell</t>
  </si>
  <si>
    <t>Allocation</t>
  </si>
  <si>
    <t>GetDataAllocation</t>
  </si>
  <si>
    <t>Historical</t>
  </si>
  <si>
    <t>DailyValuation</t>
  </si>
  <si>
    <t>GetMarkPriceData</t>
  </si>
  <si>
    <t>UpdateMarkPrice</t>
  </si>
  <si>
    <t>Closing</t>
  </si>
  <si>
    <t>GetDataClosing</t>
  </si>
  <si>
    <t>ManualClosing</t>
  </si>
  <si>
    <t>Future</t>
  </si>
  <si>
    <t>Strategy Unallocated</t>
  </si>
  <si>
    <t>GetActivityData</t>
  </si>
  <si>
    <t>NewMF1</t>
  </si>
  <si>
    <t>No</t>
  </si>
  <si>
    <t>Yes</t>
  </si>
  <si>
    <t>VerifyActivity</t>
  </si>
  <si>
    <t>Trading</t>
  </si>
  <si>
    <t>FutureL</t>
  </si>
  <si>
    <t>Cash</t>
  </si>
  <si>
    <t>USD</t>
  </si>
  <si>
    <t>M</t>
  </si>
  <si>
    <t>GetTradingTransaction</t>
  </si>
  <si>
    <t>VerifyTradingTransaction</t>
  </si>
  <si>
    <t>GetDailyCalculationsData</t>
  </si>
  <si>
    <t>DR</t>
  </si>
  <si>
    <t>Investment - Long Future [Asset]</t>
  </si>
  <si>
    <t>CR</t>
  </si>
  <si>
    <t>Cash [Cash]</t>
  </si>
  <si>
    <t>VerifyDailyCalTransactions</t>
  </si>
  <si>
    <t>GetDayEndCash</t>
  </si>
  <si>
    <t>M2MLoss</t>
  </si>
  <si>
    <t>DailyCalculation</t>
  </si>
  <si>
    <t>M2MProfit</t>
  </si>
  <si>
    <t>VerifyDayEndCash</t>
  </si>
  <si>
    <t>GetAccountBalance</t>
  </si>
  <si>
    <t>GetRevaluationData</t>
  </si>
  <si>
    <t>Daily Calculation</t>
  </si>
  <si>
    <t>VerifyRevaluationData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</si>
</sst>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color rgb="FF000000"/>
      <name val="Calibri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b/>
      <color rgb="FFFFFFFF"/>
      <name val="Arial"/>
    </font>
    <font>
      <color rgb="FF000000"/>
      <name val="Arial"/>
    </font>
    <font>
      <sz val="9.0"/>
      <color rgb="FF000000"/>
      <name val="Arial"/>
    </font>
    <font>
      <sz val="9.0"/>
      <color rgb="FF000000"/>
      <name val="Calibri"/>
    </font>
    <font>
      <sz val="9.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/>
    </border>
    <border>
      <left/>
      <right/>
      <bottom/>
    </border>
    <border>
      <right/>
      <bottom/>
    </border>
    <border>
      <top/>
    </border>
    <border>
      <right/>
      <top/>
    </border>
    <border>
      <left/>
      <right/>
      <top/>
    </border>
    <border>
      <right/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0" fillId="2" fontId="1" numFmtId="0" xfId="0" applyAlignment="1" applyFont="1">
      <alignment horizontal="center" shrinkToFit="0" wrapText="0"/>
    </xf>
    <xf borderId="4" fillId="3" fontId="6" numFmtId="0" xfId="0" applyAlignment="1" applyBorder="1" applyFill="1" applyFont="1">
      <alignment shrinkToFit="0" wrapText="0"/>
    </xf>
    <xf borderId="0" fillId="2" fontId="3" numFmtId="0" xfId="0" applyFont="1"/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4" fontId="7" numFmtId="0" xfId="0" applyAlignment="1" applyFill="1" applyFont="1">
      <alignment horizontal="left" readingOrder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4" fontId="8" numFmtId="0" xfId="0" applyFont="1"/>
    <xf borderId="4" fillId="3" fontId="4" numFmtId="0" xfId="0" applyAlignment="1" applyBorder="1" applyFont="1">
      <alignment shrinkToFit="0" wrapText="0"/>
    </xf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6" numFmtId="0" xfId="0" applyAlignment="1" applyFill="1" applyFont="1">
      <alignment shrinkToFit="0" wrapText="0"/>
    </xf>
    <xf borderId="1" fillId="2" fontId="1" numFmtId="0" xfId="0" applyAlignment="1" applyBorder="1" applyFont="1">
      <alignment horizontal="center" shrinkToFit="0" vertical="bottom" wrapText="0"/>
    </xf>
    <xf borderId="4" fillId="6" fontId="6" numFmtId="0" xfId="0" applyAlignment="1" applyBorder="1" applyFont="1">
      <alignment shrinkToFit="0" wrapText="0"/>
    </xf>
    <xf borderId="5" fillId="0" fontId="5" numFmtId="0" xfId="0" applyAlignment="1" applyBorder="1" applyFont="1">
      <alignment vertical="bottom"/>
    </xf>
    <xf borderId="6" fillId="3" fontId="6" numFmtId="0" xfId="0" applyAlignment="1" applyBorder="1" applyFont="1">
      <alignment shrinkToFit="0" vertical="bottom" wrapText="0"/>
    </xf>
    <xf borderId="0" fillId="6" fontId="10" numFmtId="0" xfId="0" applyFont="1"/>
    <xf borderId="7" fillId="3" fontId="13" numFmtId="0" xfId="0" applyAlignment="1" applyBorder="1" applyFont="1">
      <alignment shrinkToFit="0" vertical="bottom" wrapText="0"/>
    </xf>
    <xf borderId="7" fillId="3" fontId="5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0" fillId="0" fontId="5" numFmtId="0" xfId="0" applyAlignment="1" applyFont="1">
      <alignment vertical="bottom"/>
    </xf>
    <xf borderId="8" fillId="0" fontId="5" numFmtId="0" xfId="0" applyAlignment="1" applyBorder="1" applyFont="1">
      <alignment horizontal="center" vertical="bottom"/>
    </xf>
    <xf borderId="8" fillId="0" fontId="5" numFmtId="0" xfId="0" applyAlignment="1" applyBorder="1" applyFont="1">
      <alignment vertical="bottom"/>
    </xf>
    <xf borderId="8" fillId="0" fontId="5" numFmtId="164" xfId="0" applyAlignment="1" applyBorder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5" numFmtId="164" xfId="0" applyAlignment="1" applyFont="1" applyNumberFormat="1">
      <alignment horizontal="center" vertical="bottom"/>
    </xf>
    <xf borderId="8" fillId="0" fontId="5" numFmtId="164" xfId="0" applyAlignment="1" applyBorder="1" applyFont="1" applyNumberFormat="1">
      <alignment horizontal="center" readingOrder="0" vertical="bottom"/>
    </xf>
    <xf borderId="8" fillId="0" fontId="5" numFmtId="164" xfId="0" applyAlignment="1" applyBorder="1" applyFont="1" applyNumberFormat="1">
      <alignment vertical="bottom"/>
    </xf>
    <xf borderId="9" fillId="0" fontId="5" numFmtId="0" xfId="0" applyAlignment="1" applyBorder="1" applyFont="1">
      <alignment horizontal="center" readingOrder="0" shrinkToFit="0" vertical="bottom" wrapText="0"/>
    </xf>
    <xf borderId="0" fillId="0" fontId="3" numFmtId="164" xfId="0" applyAlignment="1" applyFont="1" applyNumberFormat="1">
      <alignment readingOrder="0"/>
    </xf>
    <xf borderId="8" fillId="0" fontId="5" numFmtId="0" xfId="0" applyAlignment="1" applyBorder="1" applyFont="1">
      <alignment horizontal="center" readingOrder="0" vertical="bottom"/>
    </xf>
    <xf borderId="8" fillId="0" fontId="4" numFmtId="0" xfId="0" applyAlignment="1" applyBorder="1" applyFont="1">
      <alignment horizontal="center" vertical="bottom"/>
    </xf>
    <xf borderId="0" fillId="0" fontId="5" numFmtId="165" xfId="0" applyAlignment="1" applyFont="1" applyNumberFormat="1">
      <alignment vertical="bottom"/>
    </xf>
    <xf borderId="8" fillId="0" fontId="5" numFmtId="165" xfId="0" applyAlignment="1" applyBorder="1" applyFont="1" applyNumberForma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5" numFmtId="165" xfId="0" applyAlignment="1" applyFont="1" applyNumberFormat="1">
      <alignment horizontal="center" vertical="bottom"/>
    </xf>
    <xf borderId="8" fillId="0" fontId="5" numFmtId="0" xfId="0" applyAlignment="1" applyBorder="1" applyFont="1">
      <alignment horizontal="right" readingOrder="0" vertical="bottom"/>
    </xf>
    <xf borderId="0" fillId="0" fontId="14" numFmtId="0" xfId="0" applyAlignment="1" applyFont="1">
      <alignment readingOrder="0" vertical="bottom"/>
    </xf>
    <xf borderId="5" fillId="0" fontId="4" numFmtId="0" xfId="0" applyAlignment="1" applyBorder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8" fillId="0" fontId="5" numFmtId="0" xfId="0" applyAlignment="1" applyBorder="1" applyFont="1">
      <alignment readingOrder="0" vertical="bottom"/>
    </xf>
    <xf borderId="8" fillId="0" fontId="5" numFmtId="164" xfId="0" applyAlignment="1" applyBorder="1" applyFont="1" applyNumberFormat="1">
      <alignment horizontal="right" vertical="bottom"/>
    </xf>
    <xf borderId="8" fillId="0" fontId="5" numFmtId="164" xfId="0" applyAlignment="1" applyBorder="1" applyFont="1" applyNumberFormat="1">
      <alignment horizontal="right" readingOrder="0" vertical="bottom"/>
    </xf>
    <xf borderId="8" fillId="0" fontId="4" numFmtId="0" xfId="0" applyAlignment="1" applyBorder="1" applyFont="1">
      <alignment horizontal="right" vertical="bottom"/>
    </xf>
    <xf borderId="8" fillId="0" fontId="5" numFmtId="0" xfId="0" applyAlignment="1" applyBorder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10" fillId="6" fontId="6" numFmtId="0" xfId="0" applyAlignment="1" applyBorder="1" applyFont="1">
      <alignment shrinkToFit="0" wrapText="0"/>
    </xf>
    <xf borderId="0" fillId="0" fontId="15" numFmtId="0" xfId="0" applyAlignment="1" applyFont="1">
      <alignment vertical="bottom"/>
    </xf>
    <xf borderId="0" fillId="0" fontId="16" numFmtId="0" xfId="0" applyAlignment="1" applyFont="1">
      <alignment horizontal="left" readingOrder="0"/>
    </xf>
    <xf borderId="0" fillId="0" fontId="17" numFmtId="0" xfId="0" applyAlignment="1" applyFont="1">
      <alignment vertical="bottom"/>
    </xf>
    <xf borderId="0" fillId="0" fontId="15" numFmtId="164" xfId="0" applyAlignment="1" applyFont="1" applyNumberFormat="1">
      <alignment vertical="bottom"/>
    </xf>
    <xf borderId="0" fillId="0" fontId="15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0" fillId="0" fontId="15" numFmtId="165" xfId="0" applyAlignment="1" applyFont="1" applyNumberFormat="1">
      <alignment vertical="bottom"/>
    </xf>
    <xf borderId="0" fillId="0" fontId="17" numFmtId="164" xfId="0" applyAlignment="1" applyFont="1" applyNumberFormat="1">
      <alignment vertical="bottom"/>
    </xf>
    <xf borderId="0" fillId="0" fontId="5" numFmtId="0" xfId="0" applyAlignment="1" applyFont="1">
      <alignment readingOrder="0" vertical="bottom"/>
    </xf>
    <xf borderId="11" fillId="0" fontId="17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7"/>
      <c r="B1" s="1" t="s">
        <v>4</v>
      </c>
      <c r="C1" s="3"/>
      <c r="D1" s="3"/>
      <c r="E1" s="3"/>
      <c r="F1" s="3"/>
      <c r="G1" s="3"/>
      <c r="H1" s="4"/>
      <c r="I1" s="7"/>
      <c r="J1" s="7"/>
      <c r="K1" s="7"/>
      <c r="L1" s="7"/>
      <c r="M1" s="7"/>
      <c r="N1" s="7"/>
      <c r="O1" s="7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8" t="s">
        <v>8</v>
      </c>
      <c r="C3" s="19" t="s">
        <v>9</v>
      </c>
      <c r="D3" s="8" t="s">
        <v>10</v>
      </c>
      <c r="E3" s="19" t="s">
        <v>11</v>
      </c>
      <c r="F3" s="8" t="s">
        <v>12</v>
      </c>
      <c r="G3" s="20" t="s">
        <v>13</v>
      </c>
      <c r="H3" s="8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6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</row>
    <row r="6" ht="15.75" customHeight="1">
      <c r="A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'_Data'!$4:$4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10"/>
      <c r="C3" s="11"/>
      <c r="D3" s="11"/>
      <c r="E3" s="11"/>
      <c r="F3" s="11"/>
    </row>
    <row r="4" ht="15.75" customHeight="1">
      <c r="A4" s="5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5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2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2" t="s">
        <v>1</v>
      </c>
      <c r="B1" s="3"/>
      <c r="C1" s="4"/>
    </row>
    <row r="2" ht="15.75" customHeight="1">
      <c r="A2" s="5"/>
      <c r="B2" s="5"/>
      <c r="C2" s="5"/>
    </row>
    <row r="3" ht="15.75" customHeight="1">
      <c r="A3" s="8" t="s">
        <v>2</v>
      </c>
      <c r="B3" s="12" t="s">
        <v>5</v>
      </c>
      <c r="C3" s="5"/>
    </row>
    <row r="4" ht="15.75" customHeight="1">
      <c r="A4" s="13" t="s">
        <v>6</v>
      </c>
      <c r="B4" s="14" t="s">
        <v>7</v>
      </c>
      <c r="C4" s="5"/>
    </row>
    <row r="5" ht="15.75" customHeight="1">
      <c r="A5" s="16"/>
      <c r="B5" s="5"/>
      <c r="C5" s="5"/>
    </row>
    <row r="6" ht="15.75" customHeight="1">
      <c r="A6" s="16"/>
      <c r="B6" s="5"/>
      <c r="C6" s="5"/>
    </row>
    <row r="7" ht="15.75" customHeight="1">
      <c r="A7" s="16"/>
      <c r="B7" s="5"/>
      <c r="C7" s="5"/>
    </row>
    <row r="8" ht="15.75" customHeight="1">
      <c r="A8" s="16"/>
      <c r="B8" s="5"/>
      <c r="C8" s="5"/>
    </row>
    <row r="9" ht="15.75" customHeight="1">
      <c r="A9" s="16"/>
      <c r="B9" s="5"/>
      <c r="C9" s="5"/>
    </row>
    <row r="10" ht="15.75" customHeight="1">
      <c r="A10" s="16"/>
      <c r="B10" s="5"/>
      <c r="C10" s="5"/>
    </row>
    <row r="11" ht="15.75" customHeight="1">
      <c r="A11" s="16"/>
      <c r="B11" s="5"/>
      <c r="C11" s="5"/>
    </row>
    <row r="12" ht="15.75" customHeight="1">
      <c r="A12" s="16"/>
      <c r="B12" s="5"/>
      <c r="C12" s="5"/>
    </row>
    <row r="13" ht="15.75" customHeight="1">
      <c r="A13" s="16"/>
      <c r="B13" s="5"/>
      <c r="C13" s="5"/>
    </row>
    <row r="14" ht="15.75" customHeight="1">
      <c r="A14" s="16"/>
      <c r="B14" s="5"/>
      <c r="C14" s="5"/>
    </row>
    <row r="15" ht="15.75" customHeight="1">
      <c r="A15" s="16"/>
      <c r="B15" s="5"/>
      <c r="C15" s="5"/>
    </row>
    <row r="16" ht="15.75" customHeight="1">
      <c r="A16" s="16"/>
      <c r="B16" s="5"/>
      <c r="C16" s="5"/>
    </row>
    <row r="17" ht="15.75" customHeight="1">
      <c r="A17" s="16"/>
      <c r="B17" s="5"/>
      <c r="C17" s="5"/>
    </row>
    <row r="18" ht="15.75" customHeight="1">
      <c r="A18" s="16"/>
      <c r="B18" s="5"/>
      <c r="C18" s="5"/>
    </row>
    <row r="19" ht="15.75" customHeight="1">
      <c r="A19" s="16"/>
      <c r="B19" s="5"/>
      <c r="C19" s="5"/>
    </row>
    <row r="20" ht="15.75" customHeight="1">
      <c r="A20" s="16"/>
      <c r="B20" s="5"/>
      <c r="C20" s="5"/>
    </row>
    <row r="21" ht="15.75" customHeight="1">
      <c r="A21" s="16"/>
      <c r="B21" s="5"/>
      <c r="C21" s="5"/>
    </row>
    <row r="22" ht="15.75" customHeight="1">
      <c r="A22" s="16"/>
      <c r="B22" s="5"/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25" t="s">
        <v>14</v>
      </c>
      <c r="B1" s="3"/>
      <c r="C1" s="3"/>
      <c r="D1" s="3"/>
      <c r="E1" s="3"/>
      <c r="F1" s="4"/>
    </row>
    <row r="2">
      <c r="A2" s="27"/>
      <c r="B2" s="27"/>
      <c r="C2" s="27"/>
      <c r="D2" s="27"/>
      <c r="E2" s="27"/>
      <c r="F2" s="27"/>
    </row>
    <row r="3">
      <c r="A3" s="28" t="s">
        <v>8</v>
      </c>
      <c r="B3" s="30" t="s">
        <v>10</v>
      </c>
      <c r="C3" s="30" t="s">
        <v>15</v>
      </c>
      <c r="D3" s="31"/>
      <c r="E3" s="31"/>
      <c r="F3" s="31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7" width="14.43"/>
    <col customWidth="1" min="18" max="18" width="15.43"/>
    <col customWidth="1" min="19" max="19" width="14.43"/>
    <col customWidth="1" min="20" max="20" width="15.43"/>
    <col customWidth="1" min="21" max="153" width="14.43"/>
  </cols>
  <sheetData>
    <row r="1" ht="15.75" customHeight="1">
      <c r="A1" s="7"/>
      <c r="B1" s="1" t="s">
        <v>4</v>
      </c>
      <c r="C1" s="3"/>
      <c r="D1" s="3"/>
      <c r="E1" s="3"/>
      <c r="F1" s="3"/>
      <c r="G1" s="3"/>
      <c r="H1" s="4"/>
      <c r="I1" s="7"/>
      <c r="J1" s="7"/>
      <c r="K1" s="7"/>
      <c r="L1" s="7"/>
      <c r="M1" s="7"/>
      <c r="N1" s="7"/>
      <c r="O1" s="7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> VLOOKUP($E$3,'_MasterData'!B4:D1000,3,FALSE)</f>
        <v>1b5S4Xpp4fgZ1ez6cK92QFnVBylqz8jhwxdAyEvwDqUI</v>
      </c>
      <c r="K2" s="17"/>
      <c r="L2" s="5"/>
      <c r="M2" s="5"/>
      <c r="N2" s="5"/>
      <c r="O2" s="5"/>
    </row>
    <row r="3" ht="15.75" customHeight="1">
      <c r="A3" s="18"/>
      <c r="B3" s="8" t="s">
        <v>8</v>
      </c>
      <c r="C3" s="19" t="s">
        <v>16</v>
      </c>
      <c r="D3" s="8" t="s">
        <v>10</v>
      </c>
      <c r="E3" s="19" t="s">
        <v>17</v>
      </c>
      <c r="F3" s="8" t="s">
        <v>12</v>
      </c>
      <c r="G3" s="20" t="s">
        <v>13</v>
      </c>
      <c r="H3" s="8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IFERROR(__xludf.DUMMYFUNCTION("IF(C3="""","""",Transpose(IMPORTRANGE('_Settings'!$B$3,C3&amp;""!A4:A1000"")))"),"OpenTTFromPST")</f>
        <v>OpenTTFromPST</v>
      </c>
      <c r="C4" s="22" t="str">
        <f>IFERROR(__xludf.DUMMYFUNCTION("""COMPUTED_VALUE"""),"EnterDetailsOnTT")</f>
        <v>EnterDetailsOnTT</v>
      </c>
      <c r="D4" s="22" t="str">
        <f>IFERROR(__xludf.DUMMYFUNCTION("""COMPUTED_VALUE"""),"ValidateSymbolTT")</f>
        <v>ValidateSymbolTT</v>
      </c>
      <c r="E4" s="22" t="str">
        <f>IFERROR(__xludf.DUMMYFUNCTION("""COMPUTED_VALUE"""),"VerifyDataTT")</f>
        <v>VerifyDataTT</v>
      </c>
      <c r="F4" s="22" t="str">
        <f>IFERROR(__xludf.DUMMYFUNCTION("""COMPUTED_VALUE"""),"SetUIPreferencesTT")</f>
        <v>SetUIPreferencesTT</v>
      </c>
      <c r="G4" s="22" t="str">
        <f>IFERROR(__xludf.DUMMYFUNCTION("""COMPUTED_VALUE"""),"SetBrokerWisePreferencesTT")</f>
        <v>SetBrokerWisePreferencesTT</v>
      </c>
      <c r="H4" s="22" t="str">
        <f>IFERROR(__xludf.DUMMYFUNCTION("""COMPUTED_VALUE"""),"TradeNewSub")</f>
        <v>TradeNewSub</v>
      </c>
      <c r="I4" s="22" t="str">
        <f>IFERROR(__xludf.DUMMYFUNCTION("""COMPUTED_VALUE"""),"CreateStageOrder")</f>
        <v>CreateStageOrder</v>
      </c>
      <c r="J4" s="22" t="str">
        <f>IFERROR(__xludf.DUMMYFUNCTION("""COMPUTED_VALUE"""),"CreateReplaceOrder")</f>
        <v>CreateReplaceOrder</v>
      </c>
      <c r="K4" s="22" t="str">
        <f>IFERROR(__xludf.DUMMYFUNCTION("""COMPUTED_VALUE"""),"SetGeneralPreference")</f>
        <v>SetGeneralPreference</v>
      </c>
      <c r="L4" s="22" t="str">
        <f>IFERROR(__xludf.DUMMYFUNCTION("""COMPUTED_VALUE"""),"CreateDoneAwayOrder")</f>
        <v>CreateDoneAwayOrder</v>
      </c>
      <c r="M4" s="22" t="str">
        <f>IFERROR(__xludf.DUMMYFUNCTION("""COMPUTED_VALUE"""),"CreateNewSubOrder")</f>
        <v>CreateNewSubOrder</v>
      </c>
      <c r="N4" s="22" t="str">
        <f>IFERROR(__xludf.DUMMYFUNCTION("""COMPUTED_VALUE"""),"TradeBloomberg")</f>
        <v>TradeBloomberg</v>
      </c>
      <c r="O4" s="22" t="str">
        <f>IFERROR(__xludf.DUMMYFUNCTION("""COMPUTED_VALUE"""),"ClickSymbolLookup")</f>
        <v>ClickSymbolLookup</v>
      </c>
      <c r="P4" s="23" t="str">
        <f>IFERROR(__xludf.DUMMYFUNCTION("""COMPUTED_VALUE"""),"VerifyTT")</f>
        <v>VerifyTT</v>
      </c>
      <c r="Q4" s="23" t="str">
        <f>IFERROR(__xludf.DUMMYFUNCTION("""COMPUTED_VALUE"""),"")</f>
        <v/>
      </c>
      <c r="R4" s="23" t="str">
        <f>IFERROR(__xludf.DUMMYFUNCTION("""COMPUTED_VALUE"""),"")</f>
        <v/>
      </c>
      <c r="S4" s="23" t="str">
        <f>IFERROR(__xludf.DUMMYFUNCTION("""COMPUTED_VALUE"""),"")</f>
        <v/>
      </c>
      <c r="T4" s="23" t="str">
        <f>IFERROR(__xludf.DUMMYFUNCTION("""COMPUTED_VALUE"""),"")</f>
        <v/>
      </c>
      <c r="U4" s="23" t="str">
        <f>IFERROR(__xludf.DUMMYFUNCTION("""COMPUTED_VALUE"""),"")</f>
        <v/>
      </c>
      <c r="V4" s="23" t="str">
        <f>IFERROR(__xludf.DUMMYFUNCTION("""COMPUTED_VALUE"""),"")</f>
        <v/>
      </c>
      <c r="W4" s="23" t="str">
        <f>IFERROR(__xludf.DUMMYFUNCTION("""COMPUTED_VALUE"""),"")</f>
        <v/>
      </c>
      <c r="X4" s="23" t="str">
        <f>IFERROR(__xludf.DUMMYFUNCTION("""COMPUTED_VALUE"""),"")</f>
        <v/>
      </c>
      <c r="Y4" s="23" t="str">
        <f>IFERROR(__xludf.DUMMYFUNCTION("""COMPUTED_VALUE"""),"")</f>
        <v/>
      </c>
      <c r="Z4" s="23" t="str">
        <f>IFERROR(__xludf.DUMMYFUNCTION("""COMPUTED_VALUE"""),"")</f>
        <v/>
      </c>
      <c r="AA4" s="23" t="str">
        <f>IFERROR(__xludf.DUMMYFUNCTION("""COMPUTED_VALUE"""),"")</f>
        <v/>
      </c>
      <c r="AB4" s="23" t="str">
        <f>IFERROR(__xludf.DUMMYFUNCTION("""COMPUTED_VALUE"""),"")</f>
        <v/>
      </c>
      <c r="AC4" s="23" t="str">
        <f>IFERROR(__xludf.DUMMYFUNCTION("""COMPUTED_VALUE"""),"")</f>
        <v/>
      </c>
      <c r="AD4" s="23" t="str">
        <f>IFERROR(__xludf.DUMMYFUNCTION("""COMPUTED_VALUE"""),"")</f>
        <v/>
      </c>
      <c r="AE4" s="23" t="str">
        <f>IFERROR(__xludf.DUMMYFUNCTION("""COMPUTED_VALUE"""),"")</f>
        <v/>
      </c>
      <c r="AF4" s="23" t="str">
        <f>IFERROR(__xludf.DUMMYFUNCTION("""COMPUTED_VALUE"""),"")</f>
        <v/>
      </c>
      <c r="AG4" s="23" t="str">
        <f>IFERROR(__xludf.DUMMYFUNCTION("""COMPUTED_VALUE"""),"")</f>
        <v/>
      </c>
      <c r="AH4" s="23" t="str">
        <f>IFERROR(__xludf.DUMMYFUNCTION("""COMPUTED_VALUE"""),"")</f>
        <v/>
      </c>
      <c r="AI4" s="23" t="str">
        <f>IFERROR(__xludf.DUMMYFUNCTION("""COMPUTED_VALUE"""),"")</f>
        <v/>
      </c>
      <c r="AJ4" s="23" t="str">
        <f>IFERROR(__xludf.DUMMYFUNCTION("""COMPUTED_VALUE"""),"")</f>
        <v/>
      </c>
      <c r="AK4" s="23" t="str">
        <f>IFERROR(__xludf.DUMMYFUNCTION("""COMPUTED_VALUE"""),"")</f>
        <v/>
      </c>
      <c r="AL4" s="23" t="str">
        <f>IFERROR(__xludf.DUMMYFUNCTION("""COMPUTED_VALUE"""),"")</f>
        <v/>
      </c>
      <c r="AM4" s="23" t="str">
        <f>IFERROR(__xludf.DUMMYFUNCTION("""COMPUTED_VALUE"""),"")</f>
        <v/>
      </c>
      <c r="AN4" s="23" t="str">
        <f>IFERROR(__xludf.DUMMYFUNCTION("""COMPUTED_VALUE"""),"")</f>
        <v/>
      </c>
      <c r="AO4" s="23" t="str">
        <f>IFERROR(__xludf.DUMMYFUNCTION("""COMPUTED_VALUE"""),"")</f>
        <v/>
      </c>
      <c r="AP4" s="23" t="str">
        <f>IFERROR(__xludf.DUMMYFUNCTION("""COMPUTED_VALUE"""),"")</f>
        <v/>
      </c>
      <c r="AQ4" s="23" t="str">
        <f>IFERROR(__xludf.DUMMYFUNCTION("""COMPUTED_VALUE"""),"")</f>
        <v/>
      </c>
      <c r="AR4" s="23" t="str">
        <f>IFERROR(__xludf.DUMMYFUNCTION("""COMPUTED_VALUE"""),"")</f>
        <v/>
      </c>
      <c r="AS4" s="23" t="str">
        <f>IFERROR(__xludf.DUMMYFUNCTION("""COMPUTED_VALUE"""),"")</f>
        <v/>
      </c>
      <c r="AT4" s="23" t="str">
        <f>IFERROR(__xludf.DUMMYFUNCTION("""COMPUTED_VALUE"""),"")</f>
        <v/>
      </c>
      <c r="AU4" s="23" t="str">
        <f>IFERROR(__xludf.DUMMYFUNCTION("""COMPUTED_VALUE"""),"")</f>
        <v/>
      </c>
      <c r="AV4" s="23" t="str">
        <f>IFERROR(__xludf.DUMMYFUNCTION("""COMPUTED_VALUE"""),"")</f>
        <v/>
      </c>
      <c r="AW4" s="23" t="str">
        <f>IFERROR(__xludf.DUMMYFUNCTION("""COMPUTED_VALUE"""),"")</f>
        <v/>
      </c>
      <c r="AX4" s="23" t="str">
        <f>IFERROR(__xludf.DUMMYFUNCTION("""COMPUTED_VALUE"""),"")</f>
        <v/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6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</row>
    <row r="6" ht="15.75" customHeight="1">
      <c r="A6" s="33"/>
      <c r="B6" s="34" t="s">
        <v>18</v>
      </c>
      <c r="C6" s="34" t="s">
        <v>19</v>
      </c>
      <c r="D6" s="34">
        <v>125.0</v>
      </c>
      <c r="E6" s="34">
        <v>125.0</v>
      </c>
      <c r="F6" s="34" t="s">
        <v>20</v>
      </c>
      <c r="G6" s="34" t="s">
        <v>21</v>
      </c>
      <c r="H6" s="35"/>
      <c r="I6" s="34" t="s">
        <v>22</v>
      </c>
      <c r="J6" s="34">
        <v>30.0</v>
      </c>
      <c r="K6" s="35"/>
      <c r="L6" s="35"/>
      <c r="M6" s="35"/>
      <c r="N6" s="36">
        <v>42961.0</v>
      </c>
      <c r="O6" s="35"/>
      <c r="P6" s="35"/>
      <c r="Q6" s="35"/>
      <c r="R6" s="34" t="s">
        <v>23</v>
      </c>
      <c r="S6" s="34">
        <v>0.1</v>
      </c>
      <c r="T6" s="37" t="s">
        <v>23</v>
      </c>
      <c r="U6" s="37">
        <v>0.1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33"/>
      <c r="B7" s="38" t="s">
        <v>18</v>
      </c>
      <c r="C7" s="38" t="s">
        <v>24</v>
      </c>
      <c r="D7" s="38">
        <v>110.0</v>
      </c>
      <c r="E7" s="38">
        <v>110.0</v>
      </c>
      <c r="F7" s="38" t="s">
        <v>20</v>
      </c>
      <c r="G7" s="38" t="s">
        <v>21</v>
      </c>
      <c r="H7" s="33"/>
      <c r="I7" s="38" t="s">
        <v>22</v>
      </c>
      <c r="J7" s="38">
        <v>33.0</v>
      </c>
      <c r="K7" s="33"/>
      <c r="L7" s="33"/>
      <c r="M7" s="33"/>
      <c r="N7" s="39">
        <v>42963.0</v>
      </c>
      <c r="O7" s="33"/>
      <c r="P7" s="33"/>
      <c r="Q7" s="33"/>
      <c r="R7" s="37" t="s">
        <v>23</v>
      </c>
      <c r="S7" s="37">
        <v>0.2</v>
      </c>
      <c r="T7" s="37" t="s">
        <v>23</v>
      </c>
      <c r="U7" s="37">
        <v>0.2</v>
      </c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7"/>
      <c r="B1" s="1" t="s">
        <v>4</v>
      </c>
      <c r="C1" s="3"/>
      <c r="D1" s="3"/>
      <c r="E1" s="3"/>
      <c r="F1" s="3"/>
      <c r="G1" s="3"/>
      <c r="H1" s="4"/>
      <c r="I1" s="7"/>
      <c r="J1" s="7"/>
      <c r="K1" s="7"/>
      <c r="L1" s="7"/>
      <c r="M1" s="7"/>
      <c r="N1" s="7"/>
      <c r="O1" s="7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8" t="s">
        <v>8</v>
      </c>
      <c r="C3" s="19" t="s">
        <v>25</v>
      </c>
      <c r="D3" s="8" t="s">
        <v>10</v>
      </c>
      <c r="E3" s="19" t="s">
        <v>26</v>
      </c>
      <c r="F3" s="8" t="s">
        <v>12</v>
      </c>
      <c r="G3" s="20" t="s">
        <v>13</v>
      </c>
      <c r="H3" s="8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6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</row>
    <row r="6" ht="15.75" customHeight="1">
      <c r="A6" s="33"/>
      <c r="B6" s="34" t="s">
        <v>27</v>
      </c>
      <c r="C6" s="36">
        <v>42961.0</v>
      </c>
      <c r="D6" s="40">
        <v>42963.0</v>
      </c>
      <c r="E6" s="41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7"/>
      <c r="B1" s="1" t="s">
        <v>4</v>
      </c>
      <c r="C1" s="3"/>
      <c r="D1" s="3"/>
      <c r="E1" s="3"/>
      <c r="F1" s="3"/>
      <c r="G1" s="3"/>
      <c r="H1" s="4"/>
      <c r="I1" s="7"/>
      <c r="J1" s="7"/>
      <c r="K1" s="7"/>
      <c r="L1" s="7"/>
      <c r="M1" s="7"/>
      <c r="N1" s="7"/>
      <c r="O1" s="7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8" t="s">
        <v>8</v>
      </c>
      <c r="C3" s="19" t="s">
        <v>28</v>
      </c>
      <c r="D3" s="8" t="s">
        <v>10</v>
      </c>
      <c r="E3" s="19" t="s">
        <v>29</v>
      </c>
      <c r="F3" s="8" t="s">
        <v>12</v>
      </c>
      <c r="G3" s="20" t="s">
        <v>13</v>
      </c>
      <c r="H3" s="8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tr">
        <f>IFERROR(__xludf.DUMMYFUNCTION("""COMPUTED_VALUE"""),"UpdateDailyCash")</f>
        <v>UpdateDailyCash</v>
      </c>
      <c r="D4" s="22" t="str">
        <f>IFERROR(__xludf.DUMMYFUNCTION("""COMPUTED_VALUE"""),"UpdateForexConversion")</f>
        <v>UpdateForexConversion</v>
      </c>
      <c r="E4" s="22" t="str">
        <f>IFERROR(__xludf.DUMMYFUNCTION("""COMPUTED_VALUE"""),"UpdateMarkPrice")</f>
        <v>UpdateMarkPrice</v>
      </c>
      <c r="F4" s="22" t="str">
        <f>IFERROR(__xludf.DUMMYFUNCTION("""COMPUTED_VALUE"""),"CleanUp")</f>
        <v>CleanUp</v>
      </c>
      <c r="G4" s="22" t="str">
        <f>IFERROR(__xludf.DUMMYFUNCTION("""COMPUTED_VALUE"""),"GetMarkPriceData")</f>
        <v>GetMarkPriceData</v>
      </c>
      <c r="H4" s="22" t="str">
        <f>IFERROR(__xludf.DUMMYFUNCTION("""COMPUTED_VALUE"""),"GetForwardPoints")</f>
        <v>GetForwardPoints</v>
      </c>
      <c r="I4" s="22" t="str">
        <f>IFERROR(__xludf.DUMMYFUNCTION("""COMPUTED_VALUE"""),"UpdateForwardPoints")</f>
        <v>UpdateForwardPoints</v>
      </c>
      <c r="J4" s="22" t="str">
        <f>IFERROR(__xludf.DUMMYFUNCTION("""COMPUTED_VALUE"""),"GetForexConversion")</f>
        <v>GetForexConversion</v>
      </c>
      <c r="K4" s="22" t="str">
        <f>IFERROR(__xludf.DUMMYFUNCTION("""COMPUTED_VALUE"""),"DeleteNAV")</f>
        <v>DeleteNAV</v>
      </c>
      <c r="L4" s="22" t="str">
        <f>IFERROR(__xludf.DUMMYFUNCTION("""COMPUTED_VALUE"""),"GetDailyCash")</f>
        <v>GetDailyCash</v>
      </c>
      <c r="M4" s="22" t="str">
        <f>IFERROR(__xludf.DUMMYFUNCTION("""COMPUTED_VALUE"""),"GetDailyBeta")</f>
        <v>GetDailyBeta</v>
      </c>
      <c r="N4" s="22" t="str">
        <f>IFERROR(__xludf.DUMMYFUNCTION("""COMPUTED_VALUE"""),"GetDailyVolatility")</f>
        <v>GetDailyVolatility</v>
      </c>
      <c r="O4" s="22" t="str">
        <f>IFERROR(__xludf.DUMMYFUNCTION("""COMPUTED_VALUE"""),"GetDailyDividendYield")</f>
        <v>GetDailyDividendYield</v>
      </c>
      <c r="P4" s="23" t="str">
        <f>IFERROR(__xludf.DUMMYFUNCTION("""COMPUTED_VALUE"""),"GetDailyTradingVolume")</f>
        <v>GetDailyTradingVolume</v>
      </c>
      <c r="Q4" s="23" t="str">
        <f>IFERROR(__xludf.DUMMYFUNCTION("""COMPUTED_VALUE"""),"GetDailyOutstandings")</f>
        <v>GetDailyOutstandings</v>
      </c>
      <c r="R4" s="23" t="str">
        <f>IFERROR(__xludf.DUMMYFUNCTION("""COMPUTED_VALUE"""),"GetDailyDelta")</f>
        <v>GetDailyDelta</v>
      </c>
      <c r="S4" s="23" t="str">
        <f>IFERROR(__xludf.DUMMYFUNCTION("""COMPUTED_VALUE"""),"UpdateDailyVolatility")</f>
        <v>UpdateDailyVolatility</v>
      </c>
      <c r="T4" s="23" t="str">
        <f>IFERROR(__xludf.DUMMYFUNCTION("""COMPUTED_VALUE"""),"UpdateDividendYield")</f>
        <v>UpdateDividendYield</v>
      </c>
      <c r="U4" s="23" t="str">
        <f>IFERROR(__xludf.DUMMYFUNCTION("""COMPUTED_VALUE"""),"UpdateTradingVolume")</f>
        <v>UpdateTradingVolume</v>
      </c>
      <c r="V4" s="23" t="str">
        <f>IFERROR(__xludf.DUMMYFUNCTION("""COMPUTED_VALUE"""),"UpdateDailyDelta")</f>
        <v>UpdateDailyDelta</v>
      </c>
      <c r="W4" s="23" t="str">
        <f>IFERROR(__xludf.DUMMYFUNCTION("""COMPUTED_VALUE"""),"UpdateDailyOutstandings")</f>
        <v>UpdateDailyOutstandings</v>
      </c>
      <c r="X4" s="23" t="str">
        <f>IFERROR(__xludf.DUMMYFUNCTION("""COMPUTED_VALUE"""),"UpdateBeta")</f>
        <v>UpdateBeta</v>
      </c>
      <c r="Y4" s="23" t="str">
        <f>IFERROR(__xludf.DUMMYFUNCTION("""COMPUTED_VALUE"""),"UpdateNAV")</f>
        <v>UpdateNAV</v>
      </c>
      <c r="Z4" s="23" t="str">
        <f>IFERROR(__xludf.DUMMYFUNCTION("""COMPUTED_VALUE"""),"UpdateDailyCash")</f>
        <v>UpdateDailyCash</v>
      </c>
      <c r="AA4" s="23" t="str">
        <f>IFERROR(__xludf.DUMMYFUNCTION("""COMPUTED_VALUE"""),"UpdateDailyCreditLimt")</f>
        <v>UpdateDailyCreditLimt</v>
      </c>
      <c r="AB4" s="23" t="str">
        <f>IFERROR(__xludf.DUMMYFUNCTION("""COMPUTED_VALUE"""),"RemoveDailyCreditLimit")</f>
        <v>RemoveDailyCreditLimit</v>
      </c>
      <c r="AC4" s="23" t="str">
        <f>IFERROR(__xludf.DUMMYFUNCTION("""COMPUTED_VALUE"""),"RemoveDailyCash")</f>
        <v>RemoveDailyCash</v>
      </c>
      <c r="AD4" s="23" t="str">
        <f>IFERROR(__xludf.DUMMYFUNCTION("""COMPUTED_VALUE"""),"RemoveNAV")</f>
        <v>RemoveNAV</v>
      </c>
      <c r="AE4" s="23" t="str">
        <f>IFERROR(__xludf.DUMMYFUNCTION("""COMPUTED_VALUE"""),"UpdateForexConversionMonthly")</f>
        <v>UpdateForexConversionMonthly</v>
      </c>
      <c r="AF4" s="23" t="str">
        <f>IFERROR(__xludf.DUMMYFUNCTION("""COMPUTED_VALUE"""),"UpdateMarkPriceMonthly")</f>
        <v>UpdateMarkPriceMonthly</v>
      </c>
      <c r="AG4" s="23" t="str">
        <f>IFERROR(__xludf.DUMMYFUNCTION("""COMPUTED_VALUE"""),"")</f>
        <v/>
      </c>
      <c r="AH4" s="23" t="str">
        <f>IFERROR(__xludf.DUMMYFUNCTION("""COMPUTED_VALUE"""),"")</f>
        <v/>
      </c>
      <c r="AI4" s="23" t="str">
        <f>IFERROR(__xludf.DUMMYFUNCTION("""COMPUTED_VALUE"""),"")</f>
        <v/>
      </c>
      <c r="AJ4" s="23" t="str">
        <f>IFERROR(__xludf.DUMMYFUNCTION("""COMPUTED_VALUE"""),"")</f>
        <v/>
      </c>
      <c r="AK4" s="23" t="str">
        <f>IFERROR(__xludf.DUMMYFUNCTION("""COMPUTED_VALUE"""),"")</f>
        <v/>
      </c>
      <c r="AL4" s="23" t="str">
        <f>IFERROR(__xludf.DUMMYFUNCTION("""COMPUTED_VALUE"""),"")</f>
        <v/>
      </c>
      <c r="AM4" s="23" t="str">
        <f>IFERROR(__xludf.DUMMYFUNCTION("""COMPUTED_VALUE"""),"")</f>
        <v/>
      </c>
      <c r="AN4" s="23" t="str">
        <f>IFERROR(__xludf.DUMMYFUNCTION("""COMPUTED_VALUE"""),"")</f>
        <v/>
      </c>
      <c r="AO4" s="23" t="str">
        <f>IFERROR(__xludf.DUMMYFUNCTION("""COMPUTED_VALUE"""),"")</f>
        <v/>
      </c>
      <c r="AP4" s="23" t="str">
        <f>IFERROR(__xludf.DUMMYFUNCTION("""COMPUTED_VALUE"""),"")</f>
        <v/>
      </c>
      <c r="AQ4" s="23" t="str">
        <f>IFERROR(__xludf.DUMMYFUNCTION("""COMPUTED_VALUE"""),"")</f>
        <v/>
      </c>
      <c r="AR4" s="23" t="str">
        <f>IFERROR(__xludf.DUMMYFUNCTION("""COMPUTED_VALUE"""),"")</f>
        <v/>
      </c>
      <c r="AS4" s="23" t="str">
        <f>IFERROR(__xludf.DUMMYFUNCTION("""COMPUTED_VALUE"""),"")</f>
        <v/>
      </c>
      <c r="AT4" s="23" t="str">
        <f>IFERROR(__xludf.DUMMYFUNCTION("""COMPUTED_VALUE"""),"")</f>
        <v/>
      </c>
      <c r="AU4" s="23" t="str">
        <f>IFERROR(__xludf.DUMMYFUNCTION("""COMPUTED_VALUE"""),"")</f>
        <v/>
      </c>
      <c r="AV4" s="23" t="str">
        <f>IFERROR(__xludf.DUMMYFUNCTION("""COMPUTED_VALUE"""),"")</f>
        <v/>
      </c>
      <c r="AW4" s="23" t="str">
        <f>IFERROR(__xludf.DUMMYFUNCTION("""COMPUTED_VALUE"""),"")</f>
        <v/>
      </c>
      <c r="AX4" s="23" t="str">
        <f>IFERROR(__xludf.DUMMYFUNCTION("""COMPUTED_VALUE"""),"")</f>
        <v/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6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</row>
    <row r="6" ht="15.75" customHeight="1">
      <c r="A6" s="33"/>
      <c r="B6" s="36">
        <v>42961.0</v>
      </c>
      <c r="C6" s="40">
        <v>42963.0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7"/>
      <c r="B1" s="1" t="s">
        <v>4</v>
      </c>
      <c r="C1" s="3"/>
      <c r="D1" s="3"/>
      <c r="E1" s="3"/>
      <c r="F1" s="3"/>
      <c r="G1" s="3"/>
      <c r="H1" s="4"/>
      <c r="I1" s="7"/>
      <c r="J1" s="7"/>
      <c r="K1" s="7"/>
      <c r="L1" s="7"/>
      <c r="M1" s="7"/>
      <c r="N1" s="7"/>
      <c r="O1" s="7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8" t="s">
        <v>8</v>
      </c>
      <c r="C3" s="19" t="s">
        <v>28</v>
      </c>
      <c r="D3" s="8" t="s">
        <v>10</v>
      </c>
      <c r="E3" s="19" t="s">
        <v>30</v>
      </c>
      <c r="F3" s="8" t="s">
        <v>12</v>
      </c>
      <c r="G3" s="20" t="s">
        <v>13</v>
      </c>
      <c r="H3" s="8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tr">
        <f>IFERROR(__xludf.DUMMYFUNCTION("""COMPUTED_VALUE"""),"UpdateDailyCash")</f>
        <v>UpdateDailyCash</v>
      </c>
      <c r="D4" s="22" t="str">
        <f>IFERROR(__xludf.DUMMYFUNCTION("""COMPUTED_VALUE"""),"UpdateForexConversion")</f>
        <v>UpdateForexConversion</v>
      </c>
      <c r="E4" s="22" t="str">
        <f>IFERROR(__xludf.DUMMYFUNCTION("""COMPUTED_VALUE"""),"UpdateMarkPrice")</f>
        <v>UpdateMarkPrice</v>
      </c>
      <c r="F4" s="22" t="str">
        <f>IFERROR(__xludf.DUMMYFUNCTION("""COMPUTED_VALUE"""),"CleanUp")</f>
        <v>CleanUp</v>
      </c>
      <c r="G4" s="22" t="str">
        <f>IFERROR(__xludf.DUMMYFUNCTION("""COMPUTED_VALUE"""),"GetMarkPriceData")</f>
        <v>GetMarkPriceData</v>
      </c>
      <c r="H4" s="22" t="str">
        <f>IFERROR(__xludf.DUMMYFUNCTION("""COMPUTED_VALUE"""),"GetForwardPoints")</f>
        <v>GetForwardPoints</v>
      </c>
      <c r="I4" s="22" t="str">
        <f>IFERROR(__xludf.DUMMYFUNCTION("""COMPUTED_VALUE"""),"UpdateForwardPoints")</f>
        <v>UpdateForwardPoints</v>
      </c>
      <c r="J4" s="22" t="str">
        <f>IFERROR(__xludf.DUMMYFUNCTION("""COMPUTED_VALUE"""),"GetForexConversion")</f>
        <v>GetForexConversion</v>
      </c>
      <c r="K4" s="22" t="str">
        <f>IFERROR(__xludf.DUMMYFUNCTION("""COMPUTED_VALUE"""),"DeleteNAV")</f>
        <v>DeleteNAV</v>
      </c>
      <c r="L4" s="22" t="str">
        <f>IFERROR(__xludf.DUMMYFUNCTION("""COMPUTED_VALUE"""),"GetDailyCash")</f>
        <v>GetDailyCash</v>
      </c>
      <c r="M4" s="22" t="str">
        <f>IFERROR(__xludf.DUMMYFUNCTION("""COMPUTED_VALUE"""),"GetDailyBeta")</f>
        <v>GetDailyBeta</v>
      </c>
      <c r="N4" s="22" t="str">
        <f>IFERROR(__xludf.DUMMYFUNCTION("""COMPUTED_VALUE"""),"GetDailyVolatility")</f>
        <v>GetDailyVolatility</v>
      </c>
      <c r="O4" s="22" t="str">
        <f>IFERROR(__xludf.DUMMYFUNCTION("""COMPUTED_VALUE"""),"GetDailyDividendYield")</f>
        <v>GetDailyDividendYield</v>
      </c>
      <c r="P4" s="23" t="str">
        <f>IFERROR(__xludf.DUMMYFUNCTION("""COMPUTED_VALUE"""),"GetDailyTradingVolume")</f>
        <v>GetDailyTradingVolume</v>
      </c>
      <c r="Q4" s="23" t="str">
        <f>IFERROR(__xludf.DUMMYFUNCTION("""COMPUTED_VALUE"""),"GetDailyOutstandings")</f>
        <v>GetDailyOutstandings</v>
      </c>
      <c r="R4" s="23" t="str">
        <f>IFERROR(__xludf.DUMMYFUNCTION("""COMPUTED_VALUE"""),"GetDailyDelta")</f>
        <v>GetDailyDelta</v>
      </c>
      <c r="S4" s="23" t="str">
        <f>IFERROR(__xludf.DUMMYFUNCTION("""COMPUTED_VALUE"""),"UpdateDailyVolatility")</f>
        <v>UpdateDailyVolatility</v>
      </c>
      <c r="T4" s="23" t="str">
        <f>IFERROR(__xludf.DUMMYFUNCTION("""COMPUTED_VALUE"""),"UpdateDividendYield")</f>
        <v>UpdateDividendYield</v>
      </c>
      <c r="U4" s="23" t="str">
        <f>IFERROR(__xludf.DUMMYFUNCTION("""COMPUTED_VALUE"""),"UpdateTradingVolume")</f>
        <v>UpdateTradingVolume</v>
      </c>
      <c r="V4" s="23" t="str">
        <f>IFERROR(__xludf.DUMMYFUNCTION("""COMPUTED_VALUE"""),"UpdateDailyDelta")</f>
        <v>UpdateDailyDelta</v>
      </c>
      <c r="W4" s="23" t="str">
        <f>IFERROR(__xludf.DUMMYFUNCTION("""COMPUTED_VALUE"""),"UpdateDailyOutstandings")</f>
        <v>UpdateDailyOutstandings</v>
      </c>
      <c r="X4" s="23" t="str">
        <f>IFERROR(__xludf.DUMMYFUNCTION("""COMPUTED_VALUE"""),"UpdateBeta")</f>
        <v>UpdateBeta</v>
      </c>
      <c r="Y4" s="23" t="str">
        <f>IFERROR(__xludf.DUMMYFUNCTION("""COMPUTED_VALUE"""),"UpdateNAV")</f>
        <v>UpdateNAV</v>
      </c>
      <c r="Z4" s="23" t="str">
        <f>IFERROR(__xludf.DUMMYFUNCTION("""COMPUTED_VALUE"""),"UpdateDailyCash")</f>
        <v>UpdateDailyCash</v>
      </c>
      <c r="AA4" s="23" t="str">
        <f>IFERROR(__xludf.DUMMYFUNCTION("""COMPUTED_VALUE"""),"UpdateDailyCreditLimt")</f>
        <v>UpdateDailyCreditLimt</v>
      </c>
      <c r="AB4" s="23" t="str">
        <f>IFERROR(__xludf.DUMMYFUNCTION("""COMPUTED_VALUE"""),"RemoveDailyCreditLimit")</f>
        <v>RemoveDailyCreditLimit</v>
      </c>
      <c r="AC4" s="23" t="str">
        <f>IFERROR(__xludf.DUMMYFUNCTION("""COMPUTED_VALUE"""),"RemoveDailyCash")</f>
        <v>RemoveDailyCash</v>
      </c>
      <c r="AD4" s="23" t="str">
        <f>IFERROR(__xludf.DUMMYFUNCTION("""COMPUTED_VALUE"""),"RemoveNAV")</f>
        <v>RemoveNAV</v>
      </c>
      <c r="AE4" s="23" t="str">
        <f>IFERROR(__xludf.DUMMYFUNCTION("""COMPUTED_VALUE"""),"UpdateForexConversionMonthly")</f>
        <v>UpdateForexConversionMonthly</v>
      </c>
      <c r="AF4" s="23" t="str">
        <f>IFERROR(__xludf.DUMMYFUNCTION("""COMPUTED_VALUE"""),"UpdateMarkPriceMonthly")</f>
        <v>UpdateMarkPriceMonthly</v>
      </c>
      <c r="AG4" s="23" t="str">
        <f>IFERROR(__xludf.DUMMYFUNCTION("""COMPUTED_VALUE"""),"")</f>
        <v/>
      </c>
      <c r="AH4" s="23" t="str">
        <f>IFERROR(__xludf.DUMMYFUNCTION("""COMPUTED_VALUE"""),"")</f>
        <v/>
      </c>
      <c r="AI4" s="23" t="str">
        <f>IFERROR(__xludf.DUMMYFUNCTION("""COMPUTED_VALUE"""),"")</f>
        <v/>
      </c>
      <c r="AJ4" s="23" t="str">
        <f>IFERROR(__xludf.DUMMYFUNCTION("""COMPUTED_VALUE"""),"")</f>
        <v/>
      </c>
      <c r="AK4" s="23" t="str">
        <f>IFERROR(__xludf.DUMMYFUNCTION("""COMPUTED_VALUE"""),"")</f>
        <v/>
      </c>
      <c r="AL4" s="23" t="str">
        <f>IFERROR(__xludf.DUMMYFUNCTION("""COMPUTED_VALUE"""),"")</f>
        <v/>
      </c>
      <c r="AM4" s="23" t="str">
        <f>IFERROR(__xludf.DUMMYFUNCTION("""COMPUTED_VALUE"""),"")</f>
        <v/>
      </c>
      <c r="AN4" s="23" t="str">
        <f>IFERROR(__xludf.DUMMYFUNCTION("""COMPUTED_VALUE"""),"")</f>
        <v/>
      </c>
      <c r="AO4" s="23" t="str">
        <f>IFERROR(__xludf.DUMMYFUNCTION("""COMPUTED_VALUE"""),"")</f>
        <v/>
      </c>
      <c r="AP4" s="23" t="str">
        <f>IFERROR(__xludf.DUMMYFUNCTION("""COMPUTED_VALUE"""),"")</f>
        <v/>
      </c>
      <c r="AQ4" s="23" t="str">
        <f>IFERROR(__xludf.DUMMYFUNCTION("""COMPUTED_VALUE"""),"")</f>
        <v/>
      </c>
      <c r="AR4" s="23" t="str">
        <f>IFERROR(__xludf.DUMMYFUNCTION("""COMPUTED_VALUE"""),"")</f>
        <v/>
      </c>
      <c r="AS4" s="23" t="str">
        <f>IFERROR(__xludf.DUMMYFUNCTION("""COMPUTED_VALUE"""),"")</f>
        <v/>
      </c>
      <c r="AT4" s="23" t="str">
        <f>IFERROR(__xludf.DUMMYFUNCTION("""COMPUTED_VALUE"""),"")</f>
        <v/>
      </c>
      <c r="AU4" s="23" t="str">
        <f>IFERROR(__xludf.DUMMYFUNCTION("""COMPUTED_VALUE"""),"")</f>
        <v/>
      </c>
      <c r="AV4" s="23" t="str">
        <f>IFERROR(__xludf.DUMMYFUNCTION("""COMPUTED_VALUE"""),"")</f>
        <v/>
      </c>
      <c r="AW4" s="23" t="str">
        <f>IFERROR(__xludf.DUMMYFUNCTION("""COMPUTED_VALUE"""),"")</f>
        <v/>
      </c>
      <c r="AX4" s="23" t="str">
        <f>IFERROR(__xludf.DUMMYFUNCTION("""COMPUTED_VALUE"""),"")</f>
        <v/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6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</row>
    <row r="6" ht="15.75" customHeight="1">
      <c r="A6" s="33"/>
      <c r="B6" s="34" t="s">
        <v>18</v>
      </c>
      <c r="C6" s="34">
        <v>35.0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7"/>
      <c r="B1" s="1" t="s">
        <v>4</v>
      </c>
      <c r="C1" s="3"/>
      <c r="D1" s="3"/>
      <c r="E1" s="3"/>
      <c r="F1" s="3"/>
      <c r="G1" s="3"/>
      <c r="H1" s="4"/>
      <c r="I1" s="7"/>
      <c r="J1" s="7"/>
      <c r="K1" s="7"/>
      <c r="L1" s="7"/>
      <c r="M1" s="7"/>
      <c r="N1" s="7"/>
      <c r="O1" s="7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8" t="s">
        <v>8</v>
      </c>
      <c r="C3" s="19" t="s">
        <v>31</v>
      </c>
      <c r="D3" s="8" t="s">
        <v>10</v>
      </c>
      <c r="E3" s="19" t="s">
        <v>32</v>
      </c>
      <c r="F3" s="8" t="s">
        <v>12</v>
      </c>
      <c r="G3" s="20" t="s">
        <v>13</v>
      </c>
      <c r="H3" s="8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IFERROR(__xludf.DUMMYFUNCTION("IF(C3="""","""",Transpose(IMPORTRANGE('_Settings'!$B$3,C3&amp;""!A4:A1000"")))"),"SwapExpire")</f>
        <v>SwapExpire</v>
      </c>
      <c r="C4" s="22" t="str">
        <f>IFERROR(__xludf.DUMMYFUNCTION("""COMPUTED_VALUE"""),"GetDataClosing")</f>
        <v>GetDataClosing</v>
      </c>
      <c r="D4" s="22" t="str">
        <f>IFERROR(__xludf.DUMMYFUNCTION("""COMPUTED_VALUE"""),"ManualClosing")</f>
        <v>ManualClosing</v>
      </c>
      <c r="E4" s="22" t="str">
        <f>IFERROR(__xludf.DUMMYFUNCTION("""COMPUTED_VALUE"""),"AutomaticClosing")</f>
        <v>AutomaticClosing</v>
      </c>
      <c r="F4" s="22" t="str">
        <f>IFERROR(__xludf.DUMMYFUNCTION("""COMPUTED_VALUE"""),"UnwindClosing")</f>
        <v>UnwindClosing</v>
      </c>
      <c r="G4" s="22" t="str">
        <f>IFERROR(__xludf.DUMMYFUNCTION("""COMPUTED_VALUE"""),"VerifyClosedTrades")</f>
        <v>VerifyClosedTrades</v>
      </c>
      <c r="H4" s="22" t="str">
        <f>IFERROR(__xludf.DUMMYFUNCTION("""COMPUTED_VALUE"""),"VerifyLongPositionsGrid")</f>
        <v>VerifyLongPositionsGrid</v>
      </c>
      <c r="I4" s="22" t="str">
        <f>IFERROR(__xludf.DUMMYFUNCTION("""COMPUTED_VALUE"""),"VerifyShortPositionsGrid")</f>
        <v>VerifyShortPositionsGrid</v>
      </c>
      <c r="J4" s="22" t="str">
        <f>IFERROR(__xludf.DUMMYFUNCTION("""COMPUTED_VALUE"""),"SelectTradeUnexpiredUnsettled")</f>
        <v>SelectTradeUnexpiredUnsettled</v>
      </c>
      <c r="K4" s="22" t="str">
        <f>IFERROR(__xludf.DUMMYFUNCTION("""COMPUTED_VALUE"""),"CashSettlementAtCost")</f>
        <v>CashSettlementAtCost</v>
      </c>
      <c r="L4" s="22" t="str">
        <f>IFERROR(__xludf.DUMMYFUNCTION("""COMPUTED_VALUE"""),"CashSettlementAtZeroPrice")</f>
        <v>CashSettlementAtZeroPrice</v>
      </c>
      <c r="M4" s="22" t="str">
        <f>IFERROR(__xludf.DUMMYFUNCTION("""COMPUTED_VALUE"""),"CashSettlementAtClosingDtSpotPx")</f>
        <v>CashSettlementAtClosingDtSpotPx</v>
      </c>
      <c r="N4" s="22" t="str">
        <f>IFERROR(__xludf.DUMMYFUNCTION("""COMPUTED_VALUE"""),"PhysicalSettlement")</f>
        <v>PhysicalSettlement</v>
      </c>
      <c r="O4" s="22" t="str">
        <f>IFERROR(__xludf.DUMMYFUNCTION("""COMPUTED_VALUE"""),"Expire")</f>
        <v>Expire</v>
      </c>
      <c r="P4" s="23" t="str">
        <f>IFERROR(__xludf.DUMMYFUNCTION("""COMPUTED_VALUE"""),"ExerciseAssignment")</f>
        <v>ExerciseAssignment</v>
      </c>
      <c r="Q4" s="23" t="str">
        <f>IFERROR(__xludf.DUMMYFUNCTION("""COMPUTED_VALUE"""),"ExerciseAssignmentAtZero")</f>
        <v>ExerciseAssignmentAtZero</v>
      </c>
      <c r="R4" s="23" t="str">
        <f>IFERROR(__xludf.DUMMYFUNCTION("""COMPUTED_VALUE"""),"SwapExpireAndRollover")</f>
        <v>SwapExpireAndRollover</v>
      </c>
      <c r="S4" s="23" t="str">
        <f>IFERROR(__xludf.DUMMYFUNCTION("""COMPUTED_VALUE"""),"SwapExpire")</f>
        <v>SwapExpire</v>
      </c>
      <c r="T4" s="23" t="str">
        <f>IFERROR(__xludf.DUMMYFUNCTION("""COMPUTED_VALUE"""),"VerifyExpiredSettledGrid")</f>
        <v>VerifyExpiredSettledGrid</v>
      </c>
      <c r="U4" s="23" t="str">
        <f>IFERROR(__xludf.DUMMYFUNCTION("""COMPUTED_VALUE"""),"VerifyUnExpiredUnSettledGrid")</f>
        <v>VerifyUnExpiredUnSettledGrid</v>
      </c>
      <c r="V4" s="23" t="str">
        <f>IFERROR(__xludf.DUMMYFUNCTION("""COMPUTED_VALUE"""),"UnWindTradeSettlement")</f>
        <v>UnWindTradeSettlement</v>
      </c>
      <c r="W4" s="23" t="str">
        <f>IFERROR(__xludf.DUMMYFUNCTION("""COMPUTED_VALUE"""),"CloseOrder")</f>
        <v>CloseOrder</v>
      </c>
      <c r="X4" s="23" t="str">
        <f>IFERROR(__xludf.DUMMYFUNCTION("""COMPUTED_VALUE"""),"VerifyCloseOrder")</f>
        <v>VerifyCloseOrder</v>
      </c>
      <c r="Y4" s="23" t="str">
        <f>IFERROR(__xludf.DUMMYFUNCTION("""COMPUTED_VALUE"""),"UnWindCloseOrder")</f>
        <v>UnWindCloseOrder</v>
      </c>
      <c r="Z4" s="23" t="str">
        <f>IFERROR(__xludf.DUMMYFUNCTION("""COMPUTED_VALUE"""),"ClosingCleanUp")</f>
        <v>ClosingCleanUp</v>
      </c>
      <c r="AA4" s="23" t="str">
        <f>IFERROR(__xludf.DUMMYFUNCTION("""COMPUTED_VALUE"""),"CloseClosingUI")</f>
        <v>CloseClosingUI</v>
      </c>
      <c r="AB4" s="23" t="str">
        <f>IFERROR(__xludf.DUMMYFUNCTION("""COMPUTED_VALUE"""),"SetClosingPreference")</f>
        <v>SetClosingPreference</v>
      </c>
      <c r="AC4" s="23" t="str">
        <f>IFERROR(__xludf.DUMMYFUNCTION("""COMPUTED_VALUE"""),"EditTradeUnexpiredUnsettled")</f>
        <v>EditTradeUnexpiredUnsettled</v>
      </c>
      <c r="AD4" s="23" t="str">
        <f>IFERROR(__xludf.DUMMYFUNCTION("""COMPUTED_VALUE"""),"")</f>
        <v/>
      </c>
      <c r="AE4" s="23" t="str">
        <f>IFERROR(__xludf.DUMMYFUNCTION("""COMPUTED_VALUE"""),"")</f>
        <v/>
      </c>
      <c r="AF4" s="23" t="str">
        <f>IFERROR(__xludf.DUMMYFUNCTION("""COMPUTED_VALUE"""),"")</f>
        <v/>
      </c>
      <c r="AG4" s="23" t="str">
        <f>IFERROR(__xludf.DUMMYFUNCTION("""COMPUTED_VALUE"""),"")</f>
        <v/>
      </c>
      <c r="AH4" s="23" t="str">
        <f>IFERROR(__xludf.DUMMYFUNCTION("""COMPUTED_VALUE"""),"")</f>
        <v/>
      </c>
      <c r="AI4" s="23" t="str">
        <f>IFERROR(__xludf.DUMMYFUNCTION("""COMPUTED_VALUE"""),"")</f>
        <v/>
      </c>
      <c r="AJ4" s="23" t="str">
        <f>IFERROR(__xludf.DUMMYFUNCTION("""COMPUTED_VALUE"""),"")</f>
        <v/>
      </c>
      <c r="AK4" s="23" t="str">
        <f>IFERROR(__xludf.DUMMYFUNCTION("""COMPUTED_VALUE"""),"")</f>
        <v/>
      </c>
      <c r="AL4" s="23" t="str">
        <f>IFERROR(__xludf.DUMMYFUNCTION("""COMPUTED_VALUE"""),"")</f>
        <v/>
      </c>
      <c r="AM4" s="23" t="str">
        <f>IFERROR(__xludf.DUMMYFUNCTION("""COMPUTED_VALUE"""),"")</f>
        <v/>
      </c>
      <c r="AN4" s="23" t="str">
        <f>IFERROR(__xludf.DUMMYFUNCTION("""COMPUTED_VALUE"""),"")</f>
        <v/>
      </c>
      <c r="AO4" s="23" t="str">
        <f>IFERROR(__xludf.DUMMYFUNCTION("""COMPUTED_VALUE"""),"")</f>
        <v/>
      </c>
      <c r="AP4" s="23" t="str">
        <f>IFERROR(__xludf.DUMMYFUNCTION("""COMPUTED_VALUE"""),"")</f>
        <v/>
      </c>
      <c r="AQ4" s="23" t="str">
        <f>IFERROR(__xludf.DUMMYFUNCTION("""COMPUTED_VALUE"""),"")</f>
        <v/>
      </c>
      <c r="AR4" s="23" t="str">
        <f>IFERROR(__xludf.DUMMYFUNCTION("""COMPUTED_VALUE"""),"")</f>
        <v/>
      </c>
      <c r="AS4" s="23" t="str">
        <f>IFERROR(__xludf.DUMMYFUNCTION("""COMPUTED_VALUE"""),"")</f>
        <v/>
      </c>
      <c r="AT4" s="23" t="str">
        <f>IFERROR(__xludf.DUMMYFUNCTION("""COMPUTED_VALUE"""),"")</f>
        <v/>
      </c>
      <c r="AU4" s="23" t="str">
        <f>IFERROR(__xludf.DUMMYFUNCTION("""COMPUTED_VALUE"""),"")</f>
        <v/>
      </c>
      <c r="AV4" s="23" t="str">
        <f>IFERROR(__xludf.DUMMYFUNCTION("""COMPUTED_VALUE"""),"")</f>
        <v/>
      </c>
      <c r="AW4" s="23" t="str">
        <f>IFERROR(__xludf.DUMMYFUNCTION("""COMPUTED_VALUE"""),"")</f>
        <v/>
      </c>
      <c r="AX4" s="23" t="str">
        <f>IFERROR(__xludf.DUMMYFUNCTION("""COMPUTED_VALUE"""),"")</f>
        <v/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6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</row>
    <row r="6" ht="15.75" customHeight="1">
      <c r="A6" s="33"/>
      <c r="B6" s="34" t="s">
        <v>27</v>
      </c>
      <c r="C6" s="36">
        <v>42961.0</v>
      </c>
      <c r="D6" s="40">
        <v>42963.0</v>
      </c>
      <c r="E6" s="42" t="s">
        <v>20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7"/>
      <c r="B1" s="1" t="s">
        <v>4</v>
      </c>
      <c r="C1" s="3"/>
      <c r="D1" s="3"/>
      <c r="E1" s="3"/>
      <c r="F1" s="3"/>
      <c r="G1" s="3"/>
      <c r="H1" s="4"/>
      <c r="I1" s="7"/>
      <c r="J1" s="7"/>
      <c r="K1" s="7"/>
      <c r="L1" s="7"/>
      <c r="M1" s="7"/>
      <c r="N1" s="7"/>
      <c r="O1" s="7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8" t="s">
        <v>8</v>
      </c>
      <c r="C3" s="19" t="s">
        <v>31</v>
      </c>
      <c r="D3" s="8" t="s">
        <v>10</v>
      </c>
      <c r="E3" s="19" t="s">
        <v>33</v>
      </c>
      <c r="F3" s="8" t="s">
        <v>12</v>
      </c>
      <c r="G3" s="20" t="s">
        <v>13</v>
      </c>
      <c r="H3" s="8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IFERROR(__xludf.DUMMYFUNCTION("IF(C3="""","""",Transpose(IMPORTRANGE('_Settings'!$B$3,C3&amp;""!A4:A1000"")))"),"SwapExpire")</f>
        <v>SwapExpire</v>
      </c>
      <c r="C4" s="22" t="str">
        <f>IFERROR(__xludf.DUMMYFUNCTION("""COMPUTED_VALUE"""),"GetDataClosing")</f>
        <v>GetDataClosing</v>
      </c>
      <c r="D4" s="22" t="str">
        <f>IFERROR(__xludf.DUMMYFUNCTION("""COMPUTED_VALUE"""),"ManualClosing")</f>
        <v>ManualClosing</v>
      </c>
      <c r="E4" s="22" t="str">
        <f>IFERROR(__xludf.DUMMYFUNCTION("""COMPUTED_VALUE"""),"AutomaticClosing")</f>
        <v>AutomaticClosing</v>
      </c>
      <c r="F4" s="22" t="str">
        <f>IFERROR(__xludf.DUMMYFUNCTION("""COMPUTED_VALUE"""),"UnwindClosing")</f>
        <v>UnwindClosing</v>
      </c>
      <c r="G4" s="22" t="str">
        <f>IFERROR(__xludf.DUMMYFUNCTION("""COMPUTED_VALUE"""),"VerifyClosedTrades")</f>
        <v>VerifyClosedTrades</v>
      </c>
      <c r="H4" s="22" t="str">
        <f>IFERROR(__xludf.DUMMYFUNCTION("""COMPUTED_VALUE"""),"VerifyLongPositionsGrid")</f>
        <v>VerifyLongPositionsGrid</v>
      </c>
      <c r="I4" s="22" t="str">
        <f>IFERROR(__xludf.DUMMYFUNCTION("""COMPUTED_VALUE"""),"VerifyShortPositionsGrid")</f>
        <v>VerifyShortPositionsGrid</v>
      </c>
      <c r="J4" s="22" t="str">
        <f>IFERROR(__xludf.DUMMYFUNCTION("""COMPUTED_VALUE"""),"SelectTradeUnexpiredUnsettled")</f>
        <v>SelectTradeUnexpiredUnsettled</v>
      </c>
      <c r="K4" s="22" t="str">
        <f>IFERROR(__xludf.DUMMYFUNCTION("""COMPUTED_VALUE"""),"CashSettlementAtCost")</f>
        <v>CashSettlementAtCost</v>
      </c>
      <c r="L4" s="22" t="str">
        <f>IFERROR(__xludf.DUMMYFUNCTION("""COMPUTED_VALUE"""),"CashSettlementAtZeroPrice")</f>
        <v>CashSettlementAtZeroPrice</v>
      </c>
      <c r="M4" s="22" t="str">
        <f>IFERROR(__xludf.DUMMYFUNCTION("""COMPUTED_VALUE"""),"CashSettlementAtClosingDtSpotPx")</f>
        <v>CashSettlementAtClosingDtSpotPx</v>
      </c>
      <c r="N4" s="22" t="str">
        <f>IFERROR(__xludf.DUMMYFUNCTION("""COMPUTED_VALUE"""),"PhysicalSettlement")</f>
        <v>PhysicalSettlement</v>
      </c>
      <c r="O4" s="22" t="str">
        <f>IFERROR(__xludf.DUMMYFUNCTION("""COMPUTED_VALUE"""),"Expire")</f>
        <v>Expire</v>
      </c>
      <c r="P4" s="23" t="str">
        <f>IFERROR(__xludf.DUMMYFUNCTION("""COMPUTED_VALUE"""),"ExerciseAssignment")</f>
        <v>ExerciseAssignment</v>
      </c>
      <c r="Q4" s="23" t="str">
        <f>IFERROR(__xludf.DUMMYFUNCTION("""COMPUTED_VALUE"""),"ExerciseAssignmentAtZero")</f>
        <v>ExerciseAssignmentAtZero</v>
      </c>
      <c r="R4" s="23" t="str">
        <f>IFERROR(__xludf.DUMMYFUNCTION("""COMPUTED_VALUE"""),"SwapExpireAndRollover")</f>
        <v>SwapExpireAndRollover</v>
      </c>
      <c r="S4" s="23" t="str">
        <f>IFERROR(__xludf.DUMMYFUNCTION("""COMPUTED_VALUE"""),"SwapExpire")</f>
        <v>SwapExpire</v>
      </c>
      <c r="T4" s="23" t="str">
        <f>IFERROR(__xludf.DUMMYFUNCTION("""COMPUTED_VALUE"""),"VerifyExpiredSettledGrid")</f>
        <v>VerifyExpiredSettledGrid</v>
      </c>
      <c r="U4" s="23" t="str">
        <f>IFERROR(__xludf.DUMMYFUNCTION("""COMPUTED_VALUE"""),"VerifyUnExpiredUnSettledGrid")</f>
        <v>VerifyUnExpiredUnSettledGrid</v>
      </c>
      <c r="V4" s="23" t="str">
        <f>IFERROR(__xludf.DUMMYFUNCTION("""COMPUTED_VALUE"""),"UnWindTradeSettlement")</f>
        <v>UnWindTradeSettlement</v>
      </c>
      <c r="W4" s="23" t="str">
        <f>IFERROR(__xludf.DUMMYFUNCTION("""COMPUTED_VALUE"""),"CloseOrder")</f>
        <v>CloseOrder</v>
      </c>
      <c r="X4" s="23" t="str">
        <f>IFERROR(__xludf.DUMMYFUNCTION("""COMPUTED_VALUE"""),"VerifyCloseOrder")</f>
        <v>VerifyCloseOrder</v>
      </c>
      <c r="Y4" s="23" t="str">
        <f>IFERROR(__xludf.DUMMYFUNCTION("""COMPUTED_VALUE"""),"UnWindCloseOrder")</f>
        <v>UnWindCloseOrder</v>
      </c>
      <c r="Z4" s="23" t="str">
        <f>IFERROR(__xludf.DUMMYFUNCTION("""COMPUTED_VALUE"""),"ClosingCleanUp")</f>
        <v>ClosingCleanUp</v>
      </c>
      <c r="AA4" s="23" t="str">
        <f>IFERROR(__xludf.DUMMYFUNCTION("""COMPUTED_VALUE"""),"CloseClosingUI")</f>
        <v>CloseClosingUI</v>
      </c>
      <c r="AB4" s="23" t="str">
        <f>IFERROR(__xludf.DUMMYFUNCTION("""COMPUTED_VALUE"""),"SetClosingPreference")</f>
        <v>SetClosingPreference</v>
      </c>
      <c r="AC4" s="23" t="str">
        <f>IFERROR(__xludf.DUMMYFUNCTION("""COMPUTED_VALUE"""),"EditTradeUnexpiredUnsettled")</f>
        <v>EditTradeUnexpiredUnsettled</v>
      </c>
      <c r="AD4" s="23" t="str">
        <f>IFERROR(__xludf.DUMMYFUNCTION("""COMPUTED_VALUE"""),"")</f>
        <v/>
      </c>
      <c r="AE4" s="23" t="str">
        <f>IFERROR(__xludf.DUMMYFUNCTION("""COMPUTED_VALUE"""),"")</f>
        <v/>
      </c>
      <c r="AF4" s="23" t="str">
        <f>IFERROR(__xludf.DUMMYFUNCTION("""COMPUTED_VALUE"""),"")</f>
        <v/>
      </c>
      <c r="AG4" s="23" t="str">
        <f>IFERROR(__xludf.DUMMYFUNCTION("""COMPUTED_VALUE"""),"")</f>
        <v/>
      </c>
      <c r="AH4" s="23" t="str">
        <f>IFERROR(__xludf.DUMMYFUNCTION("""COMPUTED_VALUE"""),"")</f>
        <v/>
      </c>
      <c r="AI4" s="23" t="str">
        <f>IFERROR(__xludf.DUMMYFUNCTION("""COMPUTED_VALUE"""),"")</f>
        <v/>
      </c>
      <c r="AJ4" s="23" t="str">
        <f>IFERROR(__xludf.DUMMYFUNCTION("""COMPUTED_VALUE"""),"")</f>
        <v/>
      </c>
      <c r="AK4" s="23" t="str">
        <f>IFERROR(__xludf.DUMMYFUNCTION("""COMPUTED_VALUE"""),"")</f>
        <v/>
      </c>
      <c r="AL4" s="23" t="str">
        <f>IFERROR(__xludf.DUMMYFUNCTION("""COMPUTED_VALUE"""),"")</f>
        <v/>
      </c>
      <c r="AM4" s="23" t="str">
        <f>IFERROR(__xludf.DUMMYFUNCTION("""COMPUTED_VALUE"""),"")</f>
        <v/>
      </c>
      <c r="AN4" s="23" t="str">
        <f>IFERROR(__xludf.DUMMYFUNCTION("""COMPUTED_VALUE"""),"")</f>
        <v/>
      </c>
      <c r="AO4" s="23" t="str">
        <f>IFERROR(__xludf.DUMMYFUNCTION("""COMPUTED_VALUE"""),"")</f>
        <v/>
      </c>
      <c r="AP4" s="23" t="str">
        <f>IFERROR(__xludf.DUMMYFUNCTION("""COMPUTED_VALUE"""),"")</f>
        <v/>
      </c>
      <c r="AQ4" s="23" t="str">
        <f>IFERROR(__xludf.DUMMYFUNCTION("""COMPUTED_VALUE"""),"")</f>
        <v/>
      </c>
      <c r="AR4" s="23" t="str">
        <f>IFERROR(__xludf.DUMMYFUNCTION("""COMPUTED_VALUE"""),"")</f>
        <v/>
      </c>
      <c r="AS4" s="23" t="str">
        <f>IFERROR(__xludf.DUMMYFUNCTION("""COMPUTED_VALUE"""),"")</f>
        <v/>
      </c>
      <c r="AT4" s="23" t="str">
        <f>IFERROR(__xludf.DUMMYFUNCTION("""COMPUTED_VALUE"""),"")</f>
        <v/>
      </c>
      <c r="AU4" s="23" t="str">
        <f>IFERROR(__xludf.DUMMYFUNCTION("""COMPUTED_VALUE"""),"")</f>
        <v/>
      </c>
      <c r="AV4" s="23" t="str">
        <f>IFERROR(__xludf.DUMMYFUNCTION("""COMPUTED_VALUE"""),"")</f>
        <v/>
      </c>
      <c r="AW4" s="23" t="str">
        <f>IFERROR(__xludf.DUMMYFUNCTION("""COMPUTED_VALUE"""),"")</f>
        <v/>
      </c>
      <c r="AX4" s="23" t="str">
        <f>IFERROR(__xludf.DUMMYFUNCTION("""COMPUTED_VALUE"""),"")</f>
        <v/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IFERROR(__xludf.DUMMYFUNCTION("""COMPUTED_VALUE"""),"CloseSSw/BuyBTO")</f>
        <v>CloseSSw/BuyBTO</v>
      </c>
      <c r="C5" s="26" t="str">
        <f>IFERROR(__xludf.DUMMYFUNCTION("""COMPUTED_VALUE"""),"AutoCloseStrategy")</f>
        <v>AutoCloseStrategy</v>
      </c>
      <c r="D5" s="26" t="str">
        <f>IFERROR(__xludf.DUMMYFUNCTION("""COMPUTED_VALUE"""),"LongAccount")</f>
        <v>LongAccount</v>
      </c>
      <c r="E5" s="26" t="str">
        <f>IFERROR(__xludf.DUMMYFUNCTION("""COMPUTED_VALUE"""),"LongAsset Class")</f>
        <v>LongAsset Class</v>
      </c>
      <c r="F5" s="26" t="str">
        <f>IFERROR(__xludf.DUMMYFUNCTION("""COMPUTED_VALUE"""),"LongAUECID")</f>
        <v>LongAUECID</v>
      </c>
      <c r="G5" s="26" t="str">
        <f>IFERROR(__xludf.DUMMYFUNCTION("""COMPUTED_VALUE"""),"LongExternalTransId")</f>
        <v>LongExternalTransId</v>
      </c>
      <c r="H5" s="26" t="str">
        <f>IFERROR(__xludf.DUMMYFUNCTION("""COMPUTED_VALUE"""),"LongIsSwapped")</f>
        <v>LongIsSwapped</v>
      </c>
      <c r="I5" s="26" t="str">
        <f>IFERROR(__xludf.DUMMYFUNCTION("""COMPUTED_VALUE"""),"LongLotId")</f>
        <v>LongLotId</v>
      </c>
      <c r="J5" s="26" t="str">
        <f>IFERROR(__xludf.DUMMYFUNCTION("""COMPUTED_VALUE"""),"LongNet Notional")</f>
        <v>LongNet Notional</v>
      </c>
      <c r="K5" s="26" t="str">
        <f>IFERROR(__xludf.DUMMYFUNCTION("""COMPUTED_VALUE"""),"LongOpening Price")</f>
        <v>LongOpening Price</v>
      </c>
      <c r="L5" s="26" t="str">
        <f>IFERROR(__xludf.DUMMYFUNCTION("""COMPUTED_VALUE"""),"LongOriginal Purchase Date")</f>
        <v>LongOriginal Purchase Date</v>
      </c>
      <c r="M5" s="26" t="str">
        <f>IFERROR(__xludf.DUMMYFUNCTION("""COMPUTED_VALUE"""),"LongPositionTag")</f>
        <v>LongPositionTag</v>
      </c>
      <c r="N5" s="26" t="str">
        <f>IFERROR(__xludf.DUMMYFUNCTION("""COMPUTED_VALUE"""),"LongProcess Date")</f>
        <v>LongProcess Date</v>
      </c>
      <c r="O5" s="26" t="str">
        <f>IFERROR(__xludf.DUMMYFUNCTION("""COMPUTED_VALUE"""),"LongQuantity")</f>
        <v>LongQuantity</v>
      </c>
      <c r="P5" s="26" t="str">
        <f>IFERROR(__xludf.DUMMYFUNCTION("""COMPUTED_VALUE"""),"LongSecurity Name")</f>
        <v>LongSecurity Name</v>
      </c>
      <c r="Q5" s="26" t="str">
        <f>IFERROR(__xludf.DUMMYFUNCTION("""COMPUTED_VALUE"""),"LongSettlement Currency")</f>
        <v>LongSettlement Currency</v>
      </c>
      <c r="R5" s="26" t="str">
        <f>IFERROR(__xludf.DUMMYFUNCTION("""COMPUTED_VALUE"""),"LongSettlement FxRate")</f>
        <v>LongSettlement FxRate</v>
      </c>
      <c r="S5" s="26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</row>
    <row r="6" ht="15.75" customHeight="1">
      <c r="A6" s="5"/>
      <c r="B6" s="32" t="b">
        <v>0</v>
      </c>
      <c r="C6" s="32" t="b">
        <v>0</v>
      </c>
      <c r="D6" s="32" t="s">
        <v>20</v>
      </c>
      <c r="E6" s="32" t="s">
        <v>34</v>
      </c>
      <c r="K6" s="32"/>
      <c r="O6" s="32">
        <v>125.0</v>
      </c>
      <c r="V6" s="32" t="s">
        <v>19</v>
      </c>
      <c r="W6" s="32" t="s">
        <v>35</v>
      </c>
      <c r="X6" s="32" t="s">
        <v>18</v>
      </c>
      <c r="AA6" s="43">
        <v>42961.0</v>
      </c>
      <c r="AE6" s="32" t="s">
        <v>20</v>
      </c>
      <c r="AF6" s="32" t="s">
        <v>34</v>
      </c>
      <c r="AL6" s="32"/>
      <c r="AP6" s="32">
        <v>110.0</v>
      </c>
      <c r="AW6" s="32" t="s">
        <v>24</v>
      </c>
      <c r="AX6" s="32" t="s">
        <v>35</v>
      </c>
      <c r="AY6" s="32" t="s">
        <v>18</v>
      </c>
      <c r="BB6" s="43">
        <v>42963.0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ManualClosing!$4:$4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7"/>
      <c r="B1" s="1" t="s">
        <v>4</v>
      </c>
      <c r="C1" s="3"/>
      <c r="D1" s="3"/>
      <c r="E1" s="3"/>
      <c r="F1" s="3"/>
      <c r="G1" s="3"/>
      <c r="H1" s="4"/>
      <c r="I1" s="7"/>
      <c r="J1" s="7"/>
      <c r="K1" s="7"/>
      <c r="L1" s="7"/>
      <c r="M1" s="7"/>
      <c r="N1" s="7"/>
      <c r="O1" s="7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8" t="s">
        <v>8</v>
      </c>
      <c r="C3" s="19" t="s">
        <v>9</v>
      </c>
      <c r="D3" s="8" t="s">
        <v>10</v>
      </c>
      <c r="E3" s="19" t="s">
        <v>36</v>
      </c>
      <c r="F3" s="8" t="s">
        <v>12</v>
      </c>
      <c r="G3" s="20" t="s">
        <v>13</v>
      </c>
      <c r="H3" s="8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6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</row>
    <row r="6" ht="15.75" customHeight="1">
      <c r="A6" s="33"/>
      <c r="B6" s="34" t="s">
        <v>37</v>
      </c>
      <c r="C6" s="44" t="s">
        <v>20</v>
      </c>
      <c r="D6" s="36">
        <v>42961.0</v>
      </c>
      <c r="E6" s="40">
        <v>42963.0</v>
      </c>
      <c r="F6" s="34" t="s">
        <v>38</v>
      </c>
      <c r="G6" s="34" t="s">
        <v>39</v>
      </c>
      <c r="H6" s="34" t="s">
        <v>38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7"/>
      <c r="B1" s="1" t="s">
        <v>4</v>
      </c>
      <c r="C1" s="3"/>
      <c r="D1" s="3"/>
      <c r="E1" s="3"/>
      <c r="F1" s="3"/>
      <c r="G1" s="3"/>
      <c r="H1" s="4"/>
      <c r="I1" s="7"/>
      <c r="J1" s="7"/>
      <c r="K1" s="7"/>
      <c r="L1" s="7"/>
      <c r="M1" s="7"/>
      <c r="N1" s="7"/>
      <c r="O1" s="7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8" t="s">
        <v>8</v>
      </c>
      <c r="C3" s="19" t="s">
        <v>9</v>
      </c>
      <c r="D3" s="8" t="s">
        <v>10</v>
      </c>
      <c r="E3" s="19" t="s">
        <v>40</v>
      </c>
      <c r="F3" s="8" t="s">
        <v>12</v>
      </c>
      <c r="G3" s="20" t="s">
        <v>13</v>
      </c>
      <c r="H3" s="8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6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</row>
    <row r="6" ht="15.75" customHeight="1">
      <c r="A6" s="33"/>
      <c r="B6" s="34" t="s">
        <v>20</v>
      </c>
      <c r="C6" s="34" t="s">
        <v>41</v>
      </c>
      <c r="D6" s="34" t="s">
        <v>42</v>
      </c>
      <c r="E6" s="44">
        <v>-25.0</v>
      </c>
      <c r="F6" s="45">
        <v>0.0</v>
      </c>
      <c r="G6" s="45">
        <v>0.0</v>
      </c>
      <c r="H6" s="34" t="s">
        <v>43</v>
      </c>
      <c r="I6" s="34">
        <v>0.0</v>
      </c>
      <c r="J6" s="45">
        <v>12.5</v>
      </c>
      <c r="K6" s="34" t="s">
        <v>44</v>
      </c>
      <c r="L6" s="34"/>
      <c r="M6" s="36">
        <v>42961.0</v>
      </c>
      <c r="N6" s="34" t="s">
        <v>45</v>
      </c>
      <c r="O6" s="34">
        <v>1.0</v>
      </c>
      <c r="P6" s="34"/>
      <c r="Q6" s="34"/>
      <c r="R6" s="34">
        <v>0.0</v>
      </c>
      <c r="S6" s="34">
        <v>0.0</v>
      </c>
      <c r="T6" s="37">
        <v>0.0</v>
      </c>
      <c r="U6" s="37">
        <v>0.0</v>
      </c>
      <c r="V6" s="37">
        <v>125.0</v>
      </c>
      <c r="W6" s="37">
        <v>0.0</v>
      </c>
      <c r="X6" s="37" t="s">
        <v>44</v>
      </c>
      <c r="Y6" s="46"/>
      <c r="Z6" s="37">
        <v>12.5</v>
      </c>
      <c r="AA6" s="37"/>
      <c r="AB6" s="37" t="s">
        <v>18</v>
      </c>
      <c r="AC6" s="37">
        <v>0.0</v>
      </c>
      <c r="AD6" s="37">
        <v>25.0</v>
      </c>
      <c r="AE6" s="47">
        <v>42961.0</v>
      </c>
      <c r="AF6" s="37">
        <v>0.0</v>
      </c>
      <c r="AG6" s="37" t="s">
        <v>41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</row>
    <row r="7" ht="15.75" customHeight="1">
      <c r="A7" s="33"/>
      <c r="B7" s="37" t="s">
        <v>20</v>
      </c>
      <c r="C7" s="37" t="s">
        <v>41</v>
      </c>
      <c r="D7" s="37" t="s">
        <v>42</v>
      </c>
      <c r="E7" s="48">
        <v>-44.0</v>
      </c>
      <c r="F7" s="37">
        <v>0.0</v>
      </c>
      <c r="G7" s="37">
        <v>0.0</v>
      </c>
      <c r="H7" s="37" t="s">
        <v>43</v>
      </c>
      <c r="I7" s="37">
        <v>0.0</v>
      </c>
      <c r="J7" s="37">
        <v>22.0</v>
      </c>
      <c r="K7" s="37" t="s">
        <v>44</v>
      </c>
      <c r="L7" s="37"/>
      <c r="M7" s="39">
        <v>42963.0</v>
      </c>
      <c r="N7" s="37" t="s">
        <v>45</v>
      </c>
      <c r="O7" s="37">
        <v>1.0</v>
      </c>
      <c r="P7" s="37"/>
      <c r="Q7" s="37"/>
      <c r="R7" s="37">
        <v>0.0</v>
      </c>
      <c r="S7" s="37">
        <v>0.0</v>
      </c>
      <c r="T7" s="37">
        <v>0.0</v>
      </c>
      <c r="U7" s="37">
        <v>0.0</v>
      </c>
      <c r="V7" s="37">
        <v>110.0</v>
      </c>
      <c r="W7" s="37">
        <v>0.0</v>
      </c>
      <c r="X7" s="37" t="s">
        <v>44</v>
      </c>
      <c r="Y7" s="46"/>
      <c r="Z7" s="37">
        <v>22.0</v>
      </c>
      <c r="AA7" s="37">
        <v>0.0</v>
      </c>
      <c r="AB7" s="37" t="s">
        <v>18</v>
      </c>
      <c r="AC7" s="37">
        <v>0.0</v>
      </c>
      <c r="AD7" s="37">
        <v>44.0</v>
      </c>
      <c r="AE7" s="49">
        <v>42963.0</v>
      </c>
      <c r="AF7" s="37">
        <v>0.0</v>
      </c>
      <c r="AG7" s="37" t="s">
        <v>41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7"/>
      <c r="B1" s="1" t="s">
        <v>4</v>
      </c>
      <c r="C1" s="3"/>
      <c r="D1" s="3"/>
      <c r="E1" s="3"/>
      <c r="F1" s="3"/>
      <c r="G1" s="3"/>
      <c r="H1" s="4"/>
      <c r="I1" s="7"/>
      <c r="J1" s="7"/>
      <c r="K1" s="7"/>
      <c r="L1" s="7"/>
      <c r="M1" s="7"/>
      <c r="N1" s="7"/>
      <c r="O1" s="7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> VLOOKUP($E$3,'_MasterData'!B4:D1000,3,FALSE)</f>
        <v>1IuJkgEDoDUSnmXhZVZdA_x-3VnlMPyzRsUMpf_eRTTQ</v>
      </c>
      <c r="K2" s="17"/>
      <c r="L2" s="5"/>
      <c r="M2" s="5"/>
      <c r="N2" s="5"/>
      <c r="O2" s="5"/>
    </row>
    <row r="3" ht="15.75" customHeight="1">
      <c r="A3" s="18"/>
      <c r="B3" s="8" t="s">
        <v>8</v>
      </c>
      <c r="C3" s="19" t="s">
        <v>9</v>
      </c>
      <c r="D3" s="8" t="s">
        <v>10</v>
      </c>
      <c r="E3" s="19" t="s">
        <v>46</v>
      </c>
      <c r="F3" s="8" t="s">
        <v>12</v>
      </c>
      <c r="G3" s="20" t="s">
        <v>13</v>
      </c>
      <c r="H3" s="8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6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</row>
    <row r="6" ht="15.75" customHeight="1">
      <c r="A6" s="33"/>
      <c r="B6" s="34" t="s">
        <v>37</v>
      </c>
      <c r="C6" s="44" t="s">
        <v>20</v>
      </c>
      <c r="D6" s="36">
        <v>42961.0</v>
      </c>
      <c r="E6" s="40">
        <v>42963.0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7"/>
      <c r="B1" s="1" t="s">
        <v>4</v>
      </c>
      <c r="C1" s="3"/>
      <c r="D1" s="3"/>
      <c r="E1" s="3"/>
      <c r="F1" s="3"/>
      <c r="G1" s="3"/>
      <c r="H1" s="4"/>
      <c r="I1" s="7"/>
      <c r="J1" s="7"/>
      <c r="K1" s="7"/>
      <c r="L1" s="7"/>
      <c r="M1" s="7"/>
      <c r="N1" s="7"/>
      <c r="O1" s="7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8" t="s">
        <v>8</v>
      </c>
      <c r="C3" s="19" t="s">
        <v>9</v>
      </c>
      <c r="D3" s="8" t="s">
        <v>10</v>
      </c>
      <c r="E3" s="19" t="s">
        <v>47</v>
      </c>
      <c r="F3" s="8" t="s">
        <v>12</v>
      </c>
      <c r="G3" s="20" t="s">
        <v>13</v>
      </c>
      <c r="H3" s="8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6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</row>
    <row r="6" ht="15.75" customHeight="1">
      <c r="A6" s="33"/>
      <c r="B6" s="36">
        <v>42961.0</v>
      </c>
      <c r="C6" s="35"/>
      <c r="D6" s="47">
        <v>42961.0</v>
      </c>
      <c r="E6" s="44">
        <v>25.0</v>
      </c>
      <c r="F6" s="35"/>
      <c r="G6" s="45">
        <v>1.0</v>
      </c>
      <c r="H6" s="45" t="s">
        <v>45</v>
      </c>
      <c r="I6" s="34" t="s">
        <v>49</v>
      </c>
      <c r="J6" s="34" t="s">
        <v>41</v>
      </c>
      <c r="K6" s="45" t="s">
        <v>44</v>
      </c>
      <c r="L6" s="45" t="s">
        <v>44</v>
      </c>
      <c r="M6" s="34" t="s">
        <v>18</v>
      </c>
      <c r="N6" s="35"/>
      <c r="O6" s="50">
        <v>25.0</v>
      </c>
      <c r="P6" s="35"/>
      <c r="Q6" s="51" t="s">
        <v>50</v>
      </c>
      <c r="R6" s="35" t="s">
        <v>20</v>
      </c>
      <c r="S6" s="35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33"/>
      <c r="B7" s="39">
        <v>42961.0</v>
      </c>
      <c r="C7" s="37"/>
      <c r="D7" s="49">
        <v>42961.0</v>
      </c>
      <c r="E7" s="38"/>
      <c r="F7" s="38">
        <v>25.0</v>
      </c>
      <c r="G7" s="52">
        <v>1.0</v>
      </c>
      <c r="H7" s="52" t="s">
        <v>45</v>
      </c>
      <c r="I7" s="38" t="s">
        <v>51</v>
      </c>
      <c r="J7" s="37" t="s">
        <v>41</v>
      </c>
      <c r="K7" s="38" t="s">
        <v>44</v>
      </c>
      <c r="L7" s="38" t="s">
        <v>44</v>
      </c>
      <c r="M7" s="37" t="s">
        <v>18</v>
      </c>
      <c r="N7" s="33"/>
      <c r="O7" s="53">
        <v>0.0</v>
      </c>
      <c r="P7" s="53">
        <v>25.0</v>
      </c>
      <c r="Q7" s="54" t="s">
        <v>52</v>
      </c>
      <c r="R7" s="33" t="s">
        <v>20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</row>
    <row r="8" ht="15.75" customHeight="1">
      <c r="A8" s="33"/>
      <c r="B8" s="39">
        <v>42963.0</v>
      </c>
      <c r="C8" s="37"/>
      <c r="D8" s="49">
        <v>42963.0</v>
      </c>
      <c r="E8" s="55">
        <v>44.0</v>
      </c>
      <c r="F8" s="55"/>
      <c r="G8" s="38">
        <v>1.0</v>
      </c>
      <c r="H8" s="38" t="s">
        <v>45</v>
      </c>
      <c r="I8" s="37" t="s">
        <v>49</v>
      </c>
      <c r="J8" s="37" t="s">
        <v>41</v>
      </c>
      <c r="K8" s="38" t="s">
        <v>44</v>
      </c>
      <c r="L8" s="38" t="s">
        <v>44</v>
      </c>
      <c r="M8" s="37" t="s">
        <v>18</v>
      </c>
      <c r="N8" s="33"/>
      <c r="O8" s="56">
        <v>44.0</v>
      </c>
      <c r="P8" s="53"/>
      <c r="Q8" s="51" t="s">
        <v>50</v>
      </c>
      <c r="R8" s="33" t="s">
        <v>20</v>
      </c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</row>
    <row r="9" ht="15.75" customHeight="1">
      <c r="A9" s="33"/>
      <c r="B9" s="39">
        <v>42963.0</v>
      </c>
      <c r="C9" s="37"/>
      <c r="D9" s="49">
        <v>42963.0</v>
      </c>
      <c r="E9" s="55"/>
      <c r="F9" s="55">
        <v>44.0</v>
      </c>
      <c r="G9" s="52">
        <v>1.0</v>
      </c>
      <c r="H9" s="38" t="s">
        <v>45</v>
      </c>
      <c r="I9" s="38" t="s">
        <v>51</v>
      </c>
      <c r="J9" s="37" t="s">
        <v>41</v>
      </c>
      <c r="K9" s="52" t="s">
        <v>44</v>
      </c>
      <c r="L9" s="52" t="s">
        <v>44</v>
      </c>
      <c r="M9" s="57" t="s">
        <v>18</v>
      </c>
      <c r="N9" s="33"/>
      <c r="O9" s="58"/>
      <c r="P9" s="59">
        <v>44.0</v>
      </c>
      <c r="Q9" s="54" t="s">
        <v>52</v>
      </c>
      <c r="R9" s="33" t="s">
        <v>20</v>
      </c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7"/>
      <c r="B1" s="1" t="s">
        <v>4</v>
      </c>
      <c r="C1" s="3"/>
      <c r="D1" s="3"/>
      <c r="E1" s="3"/>
      <c r="F1" s="3"/>
      <c r="G1" s="3"/>
      <c r="H1" s="4"/>
      <c r="I1" s="7"/>
      <c r="J1" s="7"/>
      <c r="K1" s="7"/>
      <c r="L1" s="7"/>
      <c r="M1" s="7"/>
      <c r="N1" s="7"/>
      <c r="O1" s="7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8" t="s">
        <v>8</v>
      </c>
      <c r="C3" s="19" t="s">
        <v>9</v>
      </c>
      <c r="D3" s="8" t="s">
        <v>10</v>
      </c>
      <c r="E3" s="19" t="s">
        <v>48</v>
      </c>
      <c r="F3" s="8" t="s">
        <v>12</v>
      </c>
      <c r="G3" s="20" t="s">
        <v>13</v>
      </c>
      <c r="H3" s="8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6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</row>
    <row r="6" ht="15.75" customHeight="1">
      <c r="A6" s="33"/>
      <c r="B6" s="34" t="s">
        <v>37</v>
      </c>
      <c r="C6" s="44" t="s">
        <v>20</v>
      </c>
      <c r="D6" s="36">
        <v>42961.0</v>
      </c>
      <c r="E6" s="40">
        <v>42963.0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GetDailyCalculationsData!$4:$4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7"/>
      <c r="B1" s="1" t="s">
        <v>4</v>
      </c>
      <c r="C1" s="3"/>
      <c r="D1" s="3"/>
      <c r="E1" s="3"/>
      <c r="F1" s="3"/>
      <c r="G1" s="3"/>
      <c r="H1" s="4"/>
      <c r="I1" s="7"/>
      <c r="J1" s="7"/>
      <c r="K1" s="7"/>
      <c r="L1" s="7"/>
      <c r="M1" s="7"/>
      <c r="N1" s="7"/>
      <c r="O1" s="7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8" t="s">
        <v>8</v>
      </c>
      <c r="C3" s="19" t="s">
        <v>9</v>
      </c>
      <c r="D3" s="8" t="s">
        <v>10</v>
      </c>
      <c r="E3" s="19" t="s">
        <v>11</v>
      </c>
      <c r="F3" s="8" t="s">
        <v>12</v>
      </c>
      <c r="G3" s="20" t="s">
        <v>13</v>
      </c>
      <c r="H3" s="8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6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</row>
    <row r="6" ht="15.75" customHeight="1">
      <c r="A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'_CalculateDailyCalculations'!$4:$4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7"/>
      <c r="B1" s="1" t="s">
        <v>4</v>
      </c>
      <c r="C1" s="3"/>
      <c r="D1" s="3"/>
      <c r="E1" s="3"/>
      <c r="F1" s="3"/>
      <c r="G1" s="3"/>
      <c r="H1" s="4"/>
      <c r="I1" s="7"/>
      <c r="J1" s="7"/>
      <c r="K1" s="7"/>
      <c r="L1" s="7"/>
      <c r="M1" s="7"/>
      <c r="N1" s="7"/>
      <c r="O1" s="7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8" t="s">
        <v>8</v>
      </c>
      <c r="C3" s="19" t="s">
        <v>9</v>
      </c>
      <c r="D3" s="8" t="s">
        <v>10</v>
      </c>
      <c r="E3" s="19" t="s">
        <v>53</v>
      </c>
      <c r="F3" s="8" t="s">
        <v>12</v>
      </c>
      <c r="G3" s="20" t="s">
        <v>13</v>
      </c>
      <c r="H3" s="8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6" t="str">
        <f>IFERROR(__xludf.DUMMYFUNCTION("""COMPUTED_VALUE"""),"Net Amount(Local)")</f>
        <v>Net Amount(Local)</v>
      </c>
      <c r="G5" s="26" t="str">
        <f>IFERROR(__xludf.DUMMYFUNCTION("""COMPUTED_VALUE"""),"ActivityType")</f>
        <v>ActivityType</v>
      </c>
      <c r="H5" s="26" t="str">
        <f>IFERROR(__xludf.DUMMYFUNCTION("""COMPUTED_VALUE"""),"Transaction Source")</f>
        <v>Transaction Source</v>
      </c>
      <c r="I5" s="26" t="str">
        <f>IFERROR(__xludf.DUMMYFUNCTION("""COMPUTED_VALUE"""),"Total Commissions")</f>
        <v>Total Commissions</v>
      </c>
      <c r="J5" s="26" t="str">
        <f>IFERROR(__xludf.DUMMYFUNCTION("""COMPUTED_VALUE"""),"Balance Type")</f>
        <v>Balance Type</v>
      </c>
      <c r="K5" s="26" t="str">
        <f>IFERROR(__xludf.DUMMYFUNCTION("""COMPUTED_VALUE"""),"Settlement Date")</f>
        <v>Settlement Date</v>
      </c>
      <c r="L5" s="26" t="str">
        <f>IFERROR(__xludf.DUMMYFUNCTION("""COMPUTED_VALUE"""),"Lead Currency")</f>
        <v>Lead Currency</v>
      </c>
      <c r="M5" s="26" t="str">
        <f>IFERROR(__xludf.DUMMYFUNCTION("""COMPUTED_VALUE"""),"Vs Currency")</f>
        <v>Vs Currency</v>
      </c>
      <c r="N5" s="26" t="str">
        <f>IFERROR(__xludf.DUMMYFUNCTION("""COMPUTED_VALUE"""),"Quantity")</f>
        <v>Quantity</v>
      </c>
      <c r="O5" s="26" t="str">
        <f>IFERROR(__xludf.DUMMYFUNCTION("""COMPUTED_VALUE"""),"Commission")</f>
        <v>Commission</v>
      </c>
      <c r="P5" s="26" t="str">
        <f>IFERROR(__xludf.DUMMYFUNCTION("""COMPUTED_VALUE"""),"Soft Commission")</f>
        <v>Soft Commission</v>
      </c>
      <c r="Q5" s="26" t="str">
        <f>IFERROR(__xludf.DUMMYFUNCTION("""COMPUTED_VALUE"""),"Other Broker Fees")</f>
        <v>Other Broker Fees</v>
      </c>
      <c r="R5" s="26" t="str">
        <f>IFERROR(__xludf.DUMMYFUNCTION("""COMPUTED_VALUE"""),"Clearing Broker Fees")</f>
        <v>Clearing Broker Fees</v>
      </c>
      <c r="S5" s="26" t="str">
        <f>IFERROR(__xludf.DUMMYFUNCTION("""COMPUTED_VALUE"""),"Stamp Duty")</f>
        <v>Stamp Duty</v>
      </c>
      <c r="T5" s="29" t="str">
        <f>IFERROR(__xludf.DUMMYFUNCTION("""COMPUTED_VALUE"""),"Transaction Levy")</f>
        <v>Transaction Levy</v>
      </c>
      <c r="U5" s="29" t="str">
        <f>IFERROR(__xludf.DUMMYFUNCTION("""COMPUTED_VALUE"""),"AUEC Fee1")</f>
        <v>AUEC Fee1</v>
      </c>
      <c r="V5" s="29" t="str">
        <f>IFERROR(__xludf.DUMMYFUNCTION("""COMPUTED_VALUE"""),"Tax On Commissions")</f>
        <v>Tax On Commissions</v>
      </c>
      <c r="W5" s="29" t="str">
        <f>IFERROR(__xludf.DUMMYFUNCTION("""COMPUTED_VALUE"""),"AUEC Fee2")</f>
        <v>AUEC Fee2</v>
      </c>
      <c r="X5" s="29" t="str">
        <f>IFERROR(__xludf.DUMMYFUNCTION("""COMPUTED_VALUE"""),"SEC Fee")</f>
        <v>SEC Fee</v>
      </c>
      <c r="Y5" s="29" t="str">
        <f>IFERROR(__xludf.DUMMYFUNCTION("""COMPUTED_VALUE"""),"OCC Fee")</f>
        <v>OCC Fee</v>
      </c>
      <c r="Z5" s="29" t="str">
        <f>IFERROR(__xludf.DUMMYFUNCTION("""COMPUTED_VALUE"""),"ORF Fee")</f>
        <v>ORF Fee</v>
      </c>
      <c r="AA5" s="29" t="str">
        <f>IFERROR(__xludf.DUMMYFUNCTION("""COMPUTED_VALUE"""),"Fx Rate")</f>
        <v>Fx Rate</v>
      </c>
      <c r="AB5" s="29" t="str">
        <f>IFERROR(__xludf.DUMMYFUNCTION("""COMPUTED_VALUE"""),"Modify Date")</f>
        <v>Modify Date</v>
      </c>
      <c r="AC5" s="29" t="str">
        <f>IFERROR(__xludf.DUMMYFUNCTION("""COMPUTED_VALUE"""),"Entry Date")</f>
        <v>Entry Date</v>
      </c>
      <c r="AD5" s="29" t="str">
        <f>IFERROR(__xludf.DUMMYFUNCTION("""COMPUTED_VALUE"""),"User")</f>
        <v>User</v>
      </c>
      <c r="AE5" s="29" t="str">
        <f>IFERROR(__xludf.DUMMYFUNCTION("""COMPUTED_VALUE"""),"FX Conversion Method Operator")</f>
        <v>FX Conversion Method Operator</v>
      </c>
      <c r="AF5" s="29" t="str">
        <f>IFERROR(__xludf.DUMMYFUNCTION("""COMPUTED_VALUE"""),"Description")</f>
        <v>Description</v>
      </c>
      <c r="AG5" s="29" t="str">
        <f>IFERROR(__xludf.DUMMYFUNCTION("""COMPUTED_VALUE"""),"Activity Source")</f>
        <v>Activity Source</v>
      </c>
      <c r="AH5" s="29" t="str">
        <f>IFERROR(__xludf.DUMMYFUNCTION("""COMPUTED_VALUE"""),"OptionPremiumAdjustment")</f>
        <v>OptionPremiumAdjustment</v>
      </c>
      <c r="AI5" s="29" t="str">
        <f>IFERROR(__xludf.DUMMYFUNCTION("""COMPUTED_VALUE"""),"Settlement Currency")</f>
        <v>Settlement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</row>
    <row r="6" ht="15.75" customHeight="1">
      <c r="A6" s="33"/>
      <c r="B6" s="61">
        <v>42962.0</v>
      </c>
      <c r="C6" s="35" t="s">
        <v>20</v>
      </c>
      <c r="D6" s="35" t="s">
        <v>18</v>
      </c>
      <c r="E6" s="35" t="s">
        <v>44</v>
      </c>
      <c r="F6" s="63">
        <v>-87500.0</v>
      </c>
      <c r="G6" s="35" t="s">
        <v>55</v>
      </c>
      <c r="H6" s="35" t="s">
        <v>56</v>
      </c>
      <c r="I6" s="64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33"/>
      <c r="B7" s="65">
        <v>42963.0</v>
      </c>
      <c r="C7" s="33" t="s">
        <v>20</v>
      </c>
      <c r="D7" s="33" t="s">
        <v>18</v>
      </c>
      <c r="E7" s="33" t="s">
        <v>44</v>
      </c>
      <c r="F7" s="66">
        <v>0.0</v>
      </c>
      <c r="G7" s="67" t="s">
        <v>57</v>
      </c>
      <c r="H7" s="33" t="s">
        <v>56</v>
      </c>
      <c r="I7" s="53">
        <v>0.0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</row>
    <row r="8" ht="15.75" customHeight="1">
      <c r="A8" s="33"/>
      <c r="B8" s="65">
        <v>42963.0</v>
      </c>
      <c r="C8" s="33" t="s">
        <v>20</v>
      </c>
      <c r="D8" s="33" t="s">
        <v>18</v>
      </c>
      <c r="E8" s="33" t="s">
        <v>44</v>
      </c>
      <c r="F8" s="68">
        <v>72600.0</v>
      </c>
      <c r="G8" s="67" t="s">
        <v>57</v>
      </c>
      <c r="H8" s="33" t="s">
        <v>56</v>
      </c>
      <c r="I8" s="53">
        <v>0.0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</row>
    <row r="9" ht="15.75" customHeight="1">
      <c r="A9" s="33"/>
      <c r="B9" s="65">
        <v>42961.0</v>
      </c>
      <c r="C9" s="33" t="s">
        <v>20</v>
      </c>
      <c r="D9" s="33" t="s">
        <v>18</v>
      </c>
      <c r="E9" s="33" t="s">
        <v>44</v>
      </c>
      <c r="F9" s="53">
        <v>12500.0</v>
      </c>
      <c r="G9" s="67" t="s">
        <v>57</v>
      </c>
      <c r="H9" s="33" t="s">
        <v>56</v>
      </c>
      <c r="I9" s="53">
        <v>0.0</v>
      </c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VerifyDailyCalTransactions!$4:$4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7"/>
      <c r="B1" s="1" t="s">
        <v>4</v>
      </c>
      <c r="C1" s="3"/>
      <c r="D1" s="3"/>
      <c r="E1" s="3"/>
      <c r="F1" s="3"/>
      <c r="G1" s="3"/>
      <c r="H1" s="4"/>
      <c r="I1" s="7"/>
      <c r="J1" s="7"/>
      <c r="K1" s="7"/>
      <c r="L1" s="7"/>
      <c r="M1" s="7"/>
      <c r="N1" s="7"/>
      <c r="O1" s="7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8" t="s">
        <v>8</v>
      </c>
      <c r="C3" s="19" t="s">
        <v>9</v>
      </c>
      <c r="D3" s="8" t="s">
        <v>10</v>
      </c>
      <c r="E3" s="19" t="s">
        <v>54</v>
      </c>
      <c r="F3" s="8" t="s">
        <v>12</v>
      </c>
      <c r="G3" s="20" t="s">
        <v>13</v>
      </c>
      <c r="H3" s="8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6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</row>
    <row r="6" ht="15.75" customHeight="1">
      <c r="A6" s="33"/>
      <c r="B6" s="35" t="s">
        <v>37</v>
      </c>
      <c r="C6" s="60" t="s">
        <v>20</v>
      </c>
      <c r="D6" s="61">
        <v>42961.0</v>
      </c>
      <c r="E6" s="62">
        <v>42963.0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7"/>
      <c r="B1" s="1" t="s">
        <v>4</v>
      </c>
      <c r="C1" s="3"/>
      <c r="D1" s="3"/>
      <c r="E1" s="3"/>
      <c r="F1" s="3"/>
      <c r="G1" s="3"/>
      <c r="H1" s="4"/>
      <c r="I1" s="7"/>
      <c r="J1" s="7"/>
      <c r="K1" s="7"/>
      <c r="L1" s="7"/>
      <c r="M1" s="7"/>
      <c r="N1" s="7"/>
      <c r="O1" s="7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8" t="s">
        <v>8</v>
      </c>
      <c r="C3" s="19" t="s">
        <v>9</v>
      </c>
      <c r="D3" s="8" t="s">
        <v>10</v>
      </c>
      <c r="E3" s="19" t="s">
        <v>11</v>
      </c>
      <c r="F3" s="8" t="s">
        <v>12</v>
      </c>
      <c r="G3" s="20" t="s">
        <v>13</v>
      </c>
      <c r="H3" s="8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6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</row>
    <row r="6" ht="15.75" customHeight="1">
      <c r="A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'_CalculateDayEndCash'!$4:$4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7"/>
      <c r="B1" s="1" t="s">
        <v>4</v>
      </c>
      <c r="C1" s="3"/>
      <c r="D1" s="3"/>
      <c r="E1" s="3"/>
      <c r="F1" s="3"/>
      <c r="G1" s="3"/>
      <c r="H1" s="4"/>
      <c r="I1" s="7"/>
      <c r="J1" s="7"/>
      <c r="K1" s="7"/>
      <c r="L1" s="7"/>
      <c r="M1" s="7"/>
      <c r="N1" s="7"/>
      <c r="O1" s="7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8" t="s">
        <v>8</v>
      </c>
      <c r="C3" s="19" t="s">
        <v>9</v>
      </c>
      <c r="D3" s="8" t="s">
        <v>10</v>
      </c>
      <c r="E3" s="19" t="s">
        <v>58</v>
      </c>
      <c r="F3" s="8" t="s">
        <v>12</v>
      </c>
      <c r="G3" s="20" t="s">
        <v>13</v>
      </c>
      <c r="H3" s="8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IFERROR(__xludf.DUMMYFUNCTION("""COMPUTED_VALUE"""),"Date")</f>
        <v>Date</v>
      </c>
      <c r="D5" s="26" t="str">
        <f>IFERROR(__xludf.DUMMYFUNCTION("""COMPUTED_VALUE"""),"Currency (Local)")</f>
        <v>Currency (Local)</v>
      </c>
      <c r="E5" s="26" t="str">
        <f>IFERROR(__xludf.DUMMYFUNCTION("""COMPUTED_VALUE"""),"Cash (Local)")</f>
        <v>Cash (Local)</v>
      </c>
      <c r="F5" s="26" t="str">
        <f>IFERROR(__xludf.DUMMYFUNCTION("""COMPUTED_VALUE"""),"Currency (Base)")</f>
        <v>Currency (Base)</v>
      </c>
      <c r="G5" s="26" t="str">
        <f>IFERROR(__xludf.DUMMYFUNCTION("""COMPUTED_VALUE"""),"Cash (Base)")</f>
        <v>Cash (Base)</v>
      </c>
      <c r="H5" s="26" t="str">
        <f>IFERROR(__xludf.DUMMYFUNCTION("""COMPUTED_VALUE"""),"BalanceType")</f>
        <v>BalanceType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</row>
    <row r="6" ht="15.75" customHeight="1">
      <c r="A6" s="33"/>
      <c r="B6" s="35" t="s">
        <v>20</v>
      </c>
      <c r="C6" s="61">
        <v>42961.0</v>
      </c>
      <c r="D6" s="35" t="s">
        <v>44</v>
      </c>
      <c r="E6" s="50">
        <v>12475.0</v>
      </c>
      <c r="F6" s="35" t="s">
        <v>44</v>
      </c>
      <c r="G6" s="50">
        <v>12475.0</v>
      </c>
      <c r="H6" s="35" t="s">
        <v>43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VerifyDayEndCash!$4:$4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7"/>
      <c r="B1" s="1" t="s">
        <v>4</v>
      </c>
      <c r="C1" s="3"/>
      <c r="D1" s="3"/>
      <c r="E1" s="3"/>
      <c r="F1" s="3"/>
      <c r="G1" s="3"/>
      <c r="H1" s="4"/>
      <c r="I1" s="7"/>
      <c r="J1" s="7"/>
      <c r="K1" s="7"/>
      <c r="L1" s="7"/>
      <c r="M1" s="7"/>
      <c r="N1" s="7"/>
      <c r="O1" s="7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8" t="s">
        <v>8</v>
      </c>
      <c r="C3" s="19" t="s">
        <v>9</v>
      </c>
      <c r="D3" s="8" t="s">
        <v>10</v>
      </c>
      <c r="E3" s="19" t="s">
        <v>59</v>
      </c>
      <c r="F3" s="8" t="s">
        <v>12</v>
      </c>
      <c r="G3" s="20" t="s">
        <v>13</v>
      </c>
      <c r="H3" s="8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6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</row>
    <row r="6" ht="15.75" customHeight="1">
      <c r="A6" s="33"/>
      <c r="B6" s="35" t="s">
        <v>37</v>
      </c>
      <c r="C6" s="60" t="s">
        <v>20</v>
      </c>
      <c r="D6" s="62">
        <v>42978.0</v>
      </c>
      <c r="E6" s="34" t="b">
        <v>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7"/>
      <c r="B1" s="1" t="s">
        <v>4</v>
      </c>
      <c r="C1" s="3"/>
      <c r="D1" s="3"/>
      <c r="E1" s="3"/>
      <c r="F1" s="3"/>
      <c r="G1" s="3"/>
      <c r="H1" s="4"/>
      <c r="I1" s="7"/>
      <c r="J1" s="7"/>
      <c r="K1" s="7"/>
      <c r="L1" s="7"/>
      <c r="M1" s="7"/>
      <c r="N1" s="7"/>
      <c r="O1" s="7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8" t="s">
        <v>8</v>
      </c>
      <c r="C3" s="19" t="s">
        <v>9</v>
      </c>
      <c r="D3" s="8" t="s">
        <v>10</v>
      </c>
      <c r="E3" s="19" t="s">
        <v>40</v>
      </c>
      <c r="F3" s="8" t="s">
        <v>12</v>
      </c>
      <c r="G3" s="20" t="s">
        <v>13</v>
      </c>
      <c r="H3" s="8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69" t="str">
        <f>IFERROR(__xludf.DUMMYFUNCTION("""COMPUTED_VALUE"""),"Account")</f>
        <v>Account</v>
      </c>
      <c r="C5" s="69" t="str">
        <f>IFERROR(__xludf.DUMMYFUNCTION("""COMPUTED_VALUE"""),"Activity Source")</f>
        <v>Activity Source</v>
      </c>
      <c r="D5" s="69" t="str">
        <f>IFERROR(__xludf.DUMMYFUNCTION("""COMPUTED_VALUE"""),"ActivityType")</f>
        <v>ActivityType</v>
      </c>
      <c r="E5" s="69" t="str">
        <f>IFERROR(__xludf.DUMMYFUNCTION("""COMPUTED_VALUE"""),"Net Amount(Local)")</f>
        <v>Net Amount(Local)</v>
      </c>
      <c r="F5" s="69" t="str">
        <f>IFERROR(__xludf.DUMMYFUNCTION("""COMPUTED_VALUE"""),"AUEC Fee1")</f>
        <v>AUEC Fee1</v>
      </c>
      <c r="G5" s="69" t="str">
        <f>IFERROR(__xludf.DUMMYFUNCTION("""COMPUTED_VALUE"""),"AUEC Fee2")</f>
        <v>AUEC Fee2</v>
      </c>
      <c r="H5" s="69" t="str">
        <f>IFERROR(__xludf.DUMMYFUNCTION("""COMPUTED_VALUE"""),"Balance Type")</f>
        <v>Balance Type</v>
      </c>
      <c r="I5" s="69" t="str">
        <f>IFERROR(__xludf.DUMMYFUNCTION("""COMPUTED_VALUE"""),"Clearing Broker Fees")</f>
        <v>Clearing Broker Fees</v>
      </c>
      <c r="J5" s="69" t="str">
        <f>IFERROR(__xludf.DUMMYFUNCTION("""COMPUTED_VALUE"""),"Commission")</f>
        <v>Commission</v>
      </c>
      <c r="K5" s="69" t="str">
        <f>IFERROR(__xludf.DUMMYFUNCTION("""COMPUTED_VALUE"""),"Currency")</f>
        <v>Currency</v>
      </c>
      <c r="L5" s="69" t="str">
        <f>IFERROR(__xludf.DUMMYFUNCTION("""COMPUTED_VALUE"""),"Description")</f>
        <v>Description</v>
      </c>
      <c r="M5" s="69" t="str">
        <f>IFERROR(__xludf.DUMMYFUNCTION("""COMPUTED_VALUE"""),"Entry Date")</f>
        <v>Entry Date</v>
      </c>
      <c r="N5" s="69" t="str">
        <f>IFERROR(__xludf.DUMMYFUNCTION("""COMPUTED_VALUE"""),"FX Conversion Method Operator")</f>
        <v>FX Conversion Method Operator</v>
      </c>
      <c r="O5" s="69" t="str">
        <f>IFERROR(__xludf.DUMMYFUNCTION("""COMPUTED_VALUE"""),"Fx Rate")</f>
        <v>Fx Rate</v>
      </c>
      <c r="P5" s="69" t="str">
        <f>IFERROR(__xludf.DUMMYFUNCTION("""COMPUTED_VALUE"""),"Lead Currency")</f>
        <v>Lead Currency</v>
      </c>
      <c r="Q5" s="69" t="str">
        <f>IFERROR(__xludf.DUMMYFUNCTION("""COMPUTED_VALUE"""),"Modify date")</f>
        <v>Modify date</v>
      </c>
      <c r="R5" s="69" t="str">
        <f>IFERROR(__xludf.DUMMYFUNCTION("""COMPUTED_VALUE"""),"OCC Fee")</f>
        <v>OCC Fee</v>
      </c>
      <c r="S5" s="69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</row>
    <row r="6" ht="15.75" customHeight="1">
      <c r="A6" s="33"/>
      <c r="B6" s="70" t="s">
        <v>20</v>
      </c>
      <c r="C6" s="70" t="s">
        <v>41</v>
      </c>
      <c r="D6" s="71" t="s">
        <v>57</v>
      </c>
      <c r="E6" s="70">
        <v>12500.0</v>
      </c>
      <c r="F6" s="72">
        <v>0.0</v>
      </c>
      <c r="G6" s="72">
        <v>0.0</v>
      </c>
      <c r="H6" s="72" t="s">
        <v>43</v>
      </c>
      <c r="I6" s="72">
        <v>0.0</v>
      </c>
      <c r="J6" s="72">
        <v>0.0</v>
      </c>
      <c r="K6" s="70" t="s">
        <v>44</v>
      </c>
      <c r="L6" s="33"/>
      <c r="M6" s="33"/>
      <c r="N6" s="72" t="s">
        <v>45</v>
      </c>
      <c r="O6" s="70">
        <v>1.0</v>
      </c>
      <c r="P6" s="33"/>
      <c r="Q6" s="33"/>
      <c r="R6" s="72">
        <v>0.0</v>
      </c>
      <c r="S6" s="72">
        <v>0.0</v>
      </c>
      <c r="T6" s="72">
        <v>0.0</v>
      </c>
      <c r="U6" s="72">
        <v>0.0</v>
      </c>
      <c r="V6" s="71">
        <v>125.0</v>
      </c>
      <c r="W6" s="72">
        <v>0.0</v>
      </c>
      <c r="X6" s="33"/>
      <c r="Y6" s="33"/>
      <c r="Z6" s="71">
        <v>0.0</v>
      </c>
      <c r="AA6" s="72">
        <v>0.0</v>
      </c>
      <c r="AB6" s="70" t="s">
        <v>18</v>
      </c>
      <c r="AC6" s="72">
        <v>0.0</v>
      </c>
      <c r="AD6" s="72">
        <v>0.0</v>
      </c>
      <c r="AE6" s="73">
        <v>42961.0</v>
      </c>
      <c r="AF6" s="72">
        <v>0.0</v>
      </c>
      <c r="AG6" s="71" t="s">
        <v>61</v>
      </c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33"/>
      <c r="B7" s="70" t="s">
        <v>20</v>
      </c>
      <c r="C7" s="70" t="s">
        <v>41</v>
      </c>
      <c r="D7" s="71" t="s">
        <v>42</v>
      </c>
      <c r="E7" s="74">
        <v>-25.0</v>
      </c>
      <c r="F7" s="72">
        <v>0.0</v>
      </c>
      <c r="G7" s="72">
        <v>0.0</v>
      </c>
      <c r="H7" s="72" t="s">
        <v>43</v>
      </c>
      <c r="I7" s="72">
        <v>0.0</v>
      </c>
      <c r="J7" s="75">
        <v>12.5</v>
      </c>
      <c r="K7" s="70" t="s">
        <v>44</v>
      </c>
      <c r="L7" s="33"/>
      <c r="M7" s="33"/>
      <c r="N7" s="72" t="s">
        <v>45</v>
      </c>
      <c r="O7" s="70">
        <v>1.0</v>
      </c>
      <c r="P7" s="33"/>
      <c r="Q7" s="33"/>
      <c r="R7" s="72">
        <v>0.0</v>
      </c>
      <c r="S7" s="72">
        <v>0.0</v>
      </c>
      <c r="T7" s="72">
        <v>0.0</v>
      </c>
      <c r="U7" s="72">
        <v>0.0</v>
      </c>
      <c r="V7" s="71">
        <v>125.0</v>
      </c>
      <c r="W7" s="72">
        <v>0.0</v>
      </c>
      <c r="X7" s="33"/>
      <c r="Y7" s="33"/>
      <c r="Z7" s="71">
        <v>12.5</v>
      </c>
      <c r="AA7" s="72">
        <v>0.0</v>
      </c>
      <c r="AB7" s="70" t="s">
        <v>18</v>
      </c>
      <c r="AC7" s="72">
        <v>0.0</v>
      </c>
      <c r="AD7" s="75">
        <v>25.0</v>
      </c>
      <c r="AE7" s="73">
        <v>42961.0</v>
      </c>
      <c r="AF7" s="72">
        <v>0.0</v>
      </c>
      <c r="AG7" s="71" t="s">
        <v>41</v>
      </c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</row>
    <row r="8" ht="15.75" customHeight="1">
      <c r="A8" s="33"/>
      <c r="B8" s="70" t="s">
        <v>20</v>
      </c>
      <c r="C8" s="70" t="s">
        <v>41</v>
      </c>
      <c r="D8" s="71" t="s">
        <v>55</v>
      </c>
      <c r="E8" s="66">
        <v>-87500.0</v>
      </c>
      <c r="F8" s="72">
        <v>0.0</v>
      </c>
      <c r="G8" s="72">
        <v>0.0</v>
      </c>
      <c r="H8" s="72" t="s">
        <v>43</v>
      </c>
      <c r="I8" s="72">
        <v>0.0</v>
      </c>
      <c r="J8" s="72">
        <v>0.0</v>
      </c>
      <c r="K8" s="70" t="s">
        <v>44</v>
      </c>
      <c r="L8" s="33"/>
      <c r="M8" s="33"/>
      <c r="N8" s="72" t="s">
        <v>45</v>
      </c>
      <c r="O8" s="70">
        <v>0.0</v>
      </c>
      <c r="P8" s="33"/>
      <c r="Q8" s="33"/>
      <c r="R8" s="72">
        <v>0.0</v>
      </c>
      <c r="S8" s="72">
        <v>0.0</v>
      </c>
      <c r="T8" s="72">
        <v>0.0</v>
      </c>
      <c r="U8" s="72">
        <v>0.0</v>
      </c>
      <c r="V8" s="71">
        <v>125.0</v>
      </c>
      <c r="W8" s="72">
        <v>0.0</v>
      </c>
      <c r="X8" s="33"/>
      <c r="Y8" s="33"/>
      <c r="Z8" s="71">
        <v>0.0</v>
      </c>
      <c r="AA8" s="72">
        <v>0.0</v>
      </c>
      <c r="AB8" s="70" t="s">
        <v>18</v>
      </c>
      <c r="AC8" s="72">
        <v>0.0</v>
      </c>
      <c r="AD8" s="72">
        <v>0.0</v>
      </c>
      <c r="AE8" s="73">
        <v>42962.0</v>
      </c>
      <c r="AF8" s="72">
        <v>0.0</v>
      </c>
      <c r="AG8" s="71" t="s">
        <v>61</v>
      </c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</row>
    <row r="9" ht="15.75" customHeight="1">
      <c r="A9" s="33"/>
      <c r="B9" s="70" t="s">
        <v>20</v>
      </c>
      <c r="C9" s="70" t="s">
        <v>41</v>
      </c>
      <c r="D9" s="71" t="s">
        <v>57</v>
      </c>
      <c r="E9" s="70">
        <v>0.0</v>
      </c>
      <c r="F9" s="72">
        <v>0.0</v>
      </c>
      <c r="G9" s="72">
        <v>0.0</v>
      </c>
      <c r="H9" s="72" t="s">
        <v>43</v>
      </c>
      <c r="I9" s="72">
        <v>0.0</v>
      </c>
      <c r="J9" s="72">
        <v>0.0</v>
      </c>
      <c r="K9" s="70" t="s">
        <v>44</v>
      </c>
      <c r="L9" s="33"/>
      <c r="M9" s="33"/>
      <c r="N9" s="72" t="s">
        <v>45</v>
      </c>
      <c r="O9" s="70">
        <v>0.0</v>
      </c>
      <c r="P9" s="33"/>
      <c r="Q9" s="33"/>
      <c r="R9" s="72">
        <v>0.0</v>
      </c>
      <c r="S9" s="72">
        <v>0.0</v>
      </c>
      <c r="T9" s="72">
        <v>0.0</v>
      </c>
      <c r="U9" s="72">
        <v>0.0</v>
      </c>
      <c r="V9" s="71">
        <v>125.0</v>
      </c>
      <c r="W9" s="72">
        <v>0.0</v>
      </c>
      <c r="X9" s="33"/>
      <c r="Y9" s="33"/>
      <c r="Z9" s="71">
        <v>0.0</v>
      </c>
      <c r="AA9" s="72">
        <v>0.0</v>
      </c>
      <c r="AB9" s="70" t="s">
        <v>18</v>
      </c>
      <c r="AC9" s="72">
        <v>0.0</v>
      </c>
      <c r="AD9" s="72">
        <v>0.0</v>
      </c>
      <c r="AE9" s="73">
        <v>42963.0</v>
      </c>
      <c r="AF9" s="72">
        <v>0.0</v>
      </c>
      <c r="AG9" s="71" t="s">
        <v>61</v>
      </c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</row>
    <row r="10" ht="15.75" customHeight="1">
      <c r="A10" s="33"/>
      <c r="B10" s="70" t="s">
        <v>20</v>
      </c>
      <c r="C10" s="70" t="s">
        <v>41</v>
      </c>
      <c r="D10" s="71" t="s">
        <v>57</v>
      </c>
      <c r="E10" s="68">
        <v>72600.0</v>
      </c>
      <c r="F10" s="72">
        <v>0.0</v>
      </c>
      <c r="G10" s="72">
        <v>0.0</v>
      </c>
      <c r="H10" s="72" t="s">
        <v>43</v>
      </c>
      <c r="I10" s="72">
        <v>0.0</v>
      </c>
      <c r="J10" s="72">
        <v>0.0</v>
      </c>
      <c r="K10" s="70" t="s">
        <v>44</v>
      </c>
      <c r="L10" s="33"/>
      <c r="M10" s="33"/>
      <c r="N10" s="72" t="s">
        <v>45</v>
      </c>
      <c r="O10" s="70">
        <v>1.0</v>
      </c>
      <c r="P10" s="33"/>
      <c r="Q10" s="33"/>
      <c r="R10" s="72">
        <v>0.0</v>
      </c>
      <c r="S10" s="72">
        <v>0.0</v>
      </c>
      <c r="T10" s="72">
        <v>0.0</v>
      </c>
      <c r="U10" s="72">
        <v>0.0</v>
      </c>
      <c r="V10" s="71">
        <v>110.0</v>
      </c>
      <c r="W10" s="72">
        <v>0.0</v>
      </c>
      <c r="X10" s="33"/>
      <c r="Y10" s="33"/>
      <c r="Z10" s="71">
        <v>0.0</v>
      </c>
      <c r="AA10" s="72">
        <v>0.0</v>
      </c>
      <c r="AB10" s="70" t="s">
        <v>18</v>
      </c>
      <c r="AC10" s="72">
        <v>0.0</v>
      </c>
      <c r="AD10" s="72">
        <v>0.0</v>
      </c>
      <c r="AE10" s="73">
        <v>42963.0</v>
      </c>
      <c r="AF10" s="72">
        <v>0.0</v>
      </c>
      <c r="AG10" s="71" t="s">
        <v>61</v>
      </c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</row>
    <row r="11" ht="15.75" customHeight="1">
      <c r="A11" s="33"/>
      <c r="B11" s="70" t="s">
        <v>20</v>
      </c>
      <c r="C11" s="70" t="s">
        <v>41</v>
      </c>
      <c r="D11" s="71" t="s">
        <v>42</v>
      </c>
      <c r="E11" s="74">
        <v>-44.0</v>
      </c>
      <c r="F11" s="72">
        <v>0.0</v>
      </c>
      <c r="G11" s="72">
        <v>0.0</v>
      </c>
      <c r="H11" s="72" t="s">
        <v>43</v>
      </c>
      <c r="I11" s="72">
        <v>0.0</v>
      </c>
      <c r="J11" s="75">
        <v>22.0</v>
      </c>
      <c r="K11" s="70" t="s">
        <v>44</v>
      </c>
      <c r="L11" s="33"/>
      <c r="M11" s="33"/>
      <c r="N11" s="72" t="s">
        <v>45</v>
      </c>
      <c r="O11" s="70">
        <v>1.0</v>
      </c>
      <c r="P11" s="33"/>
      <c r="Q11" s="33"/>
      <c r="R11" s="72">
        <v>0.0</v>
      </c>
      <c r="S11" s="72">
        <v>0.0</v>
      </c>
      <c r="T11" s="72">
        <v>0.0</v>
      </c>
      <c r="U11" s="72">
        <v>0.0</v>
      </c>
      <c r="V11" s="71">
        <v>110.0</v>
      </c>
      <c r="W11" s="72">
        <v>0.0</v>
      </c>
      <c r="X11" s="33"/>
      <c r="Y11" s="33"/>
      <c r="Z11" s="71">
        <v>22.0</v>
      </c>
      <c r="AA11" s="72">
        <v>0.0</v>
      </c>
      <c r="AB11" s="70" t="s">
        <v>18</v>
      </c>
      <c r="AC11" s="72">
        <v>0.0</v>
      </c>
      <c r="AD11" s="75">
        <v>44.0</v>
      </c>
      <c r="AE11" s="73">
        <v>42963.0</v>
      </c>
      <c r="AF11" s="72">
        <v>0.0</v>
      </c>
      <c r="AG11" s="71" t="s">
        <v>41</v>
      </c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</row>
    <row r="12" ht="15.75" customHeight="1">
      <c r="A12" s="33"/>
      <c r="B12" s="70"/>
      <c r="C12" s="70"/>
      <c r="D12" s="70"/>
      <c r="E12" s="70"/>
      <c r="F12" s="72"/>
      <c r="G12" s="72"/>
      <c r="H12" s="72"/>
      <c r="I12" s="72"/>
      <c r="J12" s="72"/>
      <c r="K12" s="70"/>
      <c r="L12" s="33"/>
      <c r="M12" s="33"/>
      <c r="N12" s="72"/>
      <c r="O12" s="70"/>
      <c r="P12" s="33"/>
      <c r="Q12" s="33"/>
      <c r="R12" s="72"/>
      <c r="S12" s="72"/>
      <c r="T12" s="72"/>
      <c r="U12" s="72"/>
      <c r="V12" s="70"/>
      <c r="W12" s="72"/>
      <c r="X12" s="33"/>
      <c r="Y12" s="33"/>
      <c r="Z12" s="33"/>
      <c r="AA12" s="33"/>
      <c r="AB12" s="33"/>
      <c r="AC12" s="72"/>
      <c r="AD12" s="72"/>
      <c r="AE12" s="70"/>
      <c r="AF12" s="72"/>
      <c r="AG12" s="72"/>
      <c r="AH12" s="76"/>
      <c r="AI12" s="72"/>
      <c r="AJ12" s="70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</row>
    <row r="13" ht="15.75" customHeight="1">
      <c r="A13" s="33"/>
      <c r="B13" s="70"/>
      <c r="C13" s="70"/>
      <c r="D13" s="70"/>
      <c r="E13" s="70"/>
      <c r="F13" s="72"/>
      <c r="G13" s="72"/>
      <c r="H13" s="72"/>
      <c r="I13" s="72"/>
      <c r="J13" s="72"/>
      <c r="K13" s="70"/>
      <c r="L13" s="33"/>
      <c r="M13" s="33"/>
      <c r="N13" s="72"/>
      <c r="O13" s="70"/>
      <c r="P13" s="33"/>
      <c r="Q13" s="33"/>
      <c r="R13" s="72"/>
      <c r="S13" s="72"/>
      <c r="T13" s="72"/>
      <c r="U13" s="72"/>
      <c r="V13" s="70"/>
      <c r="W13" s="72"/>
      <c r="X13" s="33"/>
      <c r="Y13" s="33"/>
      <c r="Z13" s="33"/>
      <c r="AA13" s="33"/>
      <c r="AB13" s="33"/>
      <c r="AC13" s="72"/>
      <c r="AD13" s="72"/>
      <c r="AE13" s="70"/>
      <c r="AF13" s="72"/>
      <c r="AG13" s="72"/>
      <c r="AH13" s="76"/>
      <c r="AI13" s="72"/>
      <c r="AJ13" s="70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</row>
    <row r="14" ht="15.75" customHeight="1">
      <c r="A14" s="33"/>
      <c r="B14" s="70"/>
      <c r="C14" s="70"/>
      <c r="D14" s="70"/>
      <c r="E14" s="70"/>
      <c r="F14" s="72"/>
      <c r="G14" s="72"/>
      <c r="H14" s="72"/>
      <c r="I14" s="72"/>
      <c r="J14" s="72"/>
      <c r="K14" s="70"/>
      <c r="L14" s="33"/>
      <c r="M14" s="33"/>
      <c r="N14" s="72"/>
      <c r="O14" s="70"/>
      <c r="P14" s="33"/>
      <c r="Q14" s="33"/>
      <c r="R14" s="72"/>
      <c r="S14" s="72"/>
      <c r="T14" s="72"/>
      <c r="U14" s="72"/>
      <c r="V14" s="70"/>
      <c r="W14" s="72"/>
      <c r="X14" s="33"/>
      <c r="Y14" s="33"/>
      <c r="Z14" s="33"/>
      <c r="AA14" s="33"/>
      <c r="AB14" s="33"/>
      <c r="AC14" s="72"/>
      <c r="AD14" s="72"/>
      <c r="AE14" s="70"/>
      <c r="AF14" s="72"/>
      <c r="AG14" s="72"/>
      <c r="AH14" s="76"/>
      <c r="AI14" s="72"/>
      <c r="AJ14" s="70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</row>
    <row r="15" ht="15.75" customHeight="1">
      <c r="A15" s="33"/>
      <c r="B15" s="70"/>
      <c r="C15" s="70"/>
      <c r="D15" s="70"/>
      <c r="E15" s="70"/>
      <c r="F15" s="72"/>
      <c r="G15" s="72"/>
      <c r="H15" s="72"/>
      <c r="I15" s="72"/>
      <c r="J15" s="72"/>
      <c r="K15" s="70"/>
      <c r="L15" s="33"/>
      <c r="M15" s="33"/>
      <c r="N15" s="72"/>
      <c r="O15" s="70"/>
      <c r="P15" s="33"/>
      <c r="Q15" s="33"/>
      <c r="R15" s="72"/>
      <c r="S15" s="72"/>
      <c r="T15" s="72"/>
      <c r="U15" s="72"/>
      <c r="V15" s="70"/>
      <c r="W15" s="72"/>
      <c r="X15" s="33"/>
      <c r="Y15" s="33"/>
      <c r="Z15" s="33"/>
      <c r="AA15" s="33"/>
      <c r="AB15" s="33"/>
      <c r="AC15" s="72"/>
      <c r="AD15" s="72"/>
      <c r="AE15" s="70"/>
      <c r="AF15" s="72"/>
      <c r="AG15" s="72"/>
      <c r="AH15" s="76"/>
      <c r="AI15" s="72"/>
      <c r="AJ15" s="70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</row>
    <row r="16" ht="15.75" customHeight="1">
      <c r="A16" s="33"/>
      <c r="B16" s="70"/>
      <c r="C16" s="70"/>
      <c r="D16" s="70"/>
      <c r="E16" s="70"/>
      <c r="F16" s="72"/>
      <c r="G16" s="72"/>
      <c r="H16" s="72"/>
      <c r="I16" s="72"/>
      <c r="J16" s="72"/>
      <c r="K16" s="70"/>
      <c r="L16" s="33"/>
      <c r="M16" s="33"/>
      <c r="N16" s="72"/>
      <c r="O16" s="70"/>
      <c r="P16" s="33"/>
      <c r="Q16" s="33"/>
      <c r="R16" s="72"/>
      <c r="S16" s="72"/>
      <c r="T16" s="72"/>
      <c r="U16" s="72"/>
      <c r="V16" s="70"/>
      <c r="W16" s="72"/>
      <c r="X16" s="33"/>
      <c r="Y16" s="33"/>
      <c r="Z16" s="33"/>
      <c r="AA16" s="33"/>
      <c r="AB16" s="33"/>
      <c r="AC16" s="72"/>
      <c r="AD16" s="72"/>
      <c r="AE16" s="70"/>
      <c r="AF16" s="72"/>
      <c r="AG16" s="72"/>
      <c r="AH16" s="76"/>
      <c r="AI16" s="72"/>
      <c r="AJ16" s="70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7"/>
      <c r="B1" s="1" t="s">
        <v>4</v>
      </c>
      <c r="C1" s="3"/>
      <c r="D1" s="3"/>
      <c r="E1" s="3"/>
      <c r="F1" s="3"/>
      <c r="G1" s="3"/>
      <c r="H1" s="4"/>
      <c r="I1" s="7"/>
      <c r="J1" s="7"/>
      <c r="K1" s="7"/>
      <c r="L1" s="7"/>
      <c r="M1" s="7"/>
      <c r="N1" s="7"/>
      <c r="O1" s="7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8" t="s">
        <v>8</v>
      </c>
      <c r="C3" s="19" t="s">
        <v>9</v>
      </c>
      <c r="D3" s="8" t="s">
        <v>10</v>
      </c>
      <c r="E3" s="19" t="s">
        <v>60</v>
      </c>
      <c r="F3" s="8" t="s">
        <v>12</v>
      </c>
      <c r="G3" s="20" t="s">
        <v>13</v>
      </c>
      <c r="H3" s="8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6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</row>
    <row r="6" ht="15.75" customHeight="1">
      <c r="A6" s="33"/>
      <c r="B6" s="35" t="s">
        <v>37</v>
      </c>
      <c r="C6" s="60" t="s">
        <v>20</v>
      </c>
      <c r="D6" s="62">
        <v>42961.0</v>
      </c>
      <c r="E6" s="62">
        <v>42963.0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7"/>
      <c r="B1" s="1" t="s">
        <v>4</v>
      </c>
      <c r="C1" s="3"/>
      <c r="D1" s="3"/>
      <c r="E1" s="3"/>
      <c r="F1" s="3"/>
      <c r="G1" s="3"/>
      <c r="H1" s="4"/>
      <c r="I1" s="7"/>
      <c r="J1" s="7"/>
      <c r="K1" s="7"/>
      <c r="L1" s="7"/>
      <c r="M1" s="7"/>
      <c r="N1" s="7"/>
      <c r="O1" s="7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8" t="s">
        <v>8</v>
      </c>
      <c r="C3" s="19" t="s">
        <v>9</v>
      </c>
      <c r="D3" s="8" t="s">
        <v>10</v>
      </c>
      <c r="E3" s="19" t="s">
        <v>62</v>
      </c>
      <c r="F3" s="8" t="s">
        <v>12</v>
      </c>
      <c r="G3" s="20" t="s">
        <v>13</v>
      </c>
      <c r="H3" s="8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6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</row>
    <row r="6" ht="15.75" customHeight="1">
      <c r="A6" s="33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33"/>
      <c r="B7" s="77"/>
      <c r="C7" s="72"/>
      <c r="D7" s="72"/>
      <c r="E7" s="72"/>
      <c r="F7" s="72"/>
      <c r="G7" s="78"/>
      <c r="H7" s="78"/>
      <c r="I7" s="33"/>
      <c r="J7" s="33"/>
      <c r="K7" s="33"/>
      <c r="L7" s="72"/>
      <c r="M7" s="72"/>
      <c r="N7" s="72"/>
      <c r="O7" s="72"/>
      <c r="P7" s="33"/>
      <c r="Q7" s="72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</row>
    <row r="8" ht="15.75" customHeight="1">
      <c r="A8" s="33"/>
      <c r="B8" s="77"/>
      <c r="C8" s="72"/>
      <c r="D8" s="72"/>
      <c r="E8" s="72"/>
      <c r="F8" s="72"/>
      <c r="G8" s="78"/>
      <c r="H8" s="78"/>
      <c r="I8" s="33"/>
      <c r="J8" s="33"/>
      <c r="K8" s="33"/>
      <c r="L8" s="72"/>
      <c r="M8" s="72"/>
      <c r="N8" s="72"/>
      <c r="O8" s="72"/>
      <c r="P8" s="33"/>
      <c r="Q8" s="79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</row>
    <row r="9" ht="15.75" customHeight="1">
      <c r="A9" s="33"/>
      <c r="B9" s="77"/>
      <c r="C9" s="72"/>
      <c r="D9" s="72"/>
      <c r="E9" s="72"/>
      <c r="F9" s="72"/>
      <c r="G9" s="78"/>
      <c r="H9" s="78"/>
      <c r="I9" s="33"/>
      <c r="J9" s="33"/>
      <c r="K9" s="33"/>
      <c r="L9" s="72"/>
      <c r="M9" s="72"/>
      <c r="N9" s="72"/>
      <c r="O9" s="72"/>
      <c r="P9" s="33"/>
      <c r="Q9" s="79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</row>
    <row r="10" ht="15.75" customHeight="1">
      <c r="A10" s="33"/>
      <c r="B10" s="77"/>
      <c r="C10" s="72"/>
      <c r="D10" s="72"/>
      <c r="E10" s="72"/>
      <c r="F10" s="72"/>
      <c r="G10" s="78"/>
      <c r="H10" s="78"/>
      <c r="I10" s="33"/>
      <c r="J10" s="33"/>
      <c r="K10" s="33"/>
      <c r="L10" s="72"/>
      <c r="M10" s="72"/>
      <c r="N10" s="72"/>
      <c r="O10" s="72"/>
      <c r="P10" s="33"/>
      <c r="Q10" s="72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</row>
    <row r="11" ht="15.75" customHeight="1">
      <c r="A11" s="33"/>
      <c r="B11" s="77"/>
      <c r="C11" s="72"/>
      <c r="D11" s="72"/>
      <c r="E11" s="72"/>
      <c r="F11" s="72"/>
      <c r="G11" s="78"/>
      <c r="H11" s="78"/>
      <c r="I11" s="33"/>
      <c r="J11" s="33"/>
      <c r="K11" s="33"/>
      <c r="L11" s="72"/>
      <c r="M11" s="72"/>
      <c r="N11" s="72"/>
      <c r="O11" s="72"/>
      <c r="P11" s="33"/>
      <c r="Q11" s="72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</row>
    <row r="12" ht="15.75" customHeight="1">
      <c r="A12" s="33"/>
      <c r="B12" s="77"/>
      <c r="C12" s="72"/>
      <c r="D12" s="72"/>
      <c r="E12" s="72"/>
      <c r="F12" s="72"/>
      <c r="G12" s="78"/>
      <c r="H12" s="78"/>
      <c r="I12" s="33"/>
      <c r="J12" s="33"/>
      <c r="K12" s="33"/>
      <c r="L12" s="72"/>
      <c r="M12" s="72"/>
      <c r="N12" s="72"/>
      <c r="O12" s="72"/>
      <c r="P12" s="33"/>
      <c r="Q12" s="72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