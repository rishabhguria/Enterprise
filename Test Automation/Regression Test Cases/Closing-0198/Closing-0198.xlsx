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ditTradeUnexpiredUnsettled" sheetId="11" r:id="rId13"/>
    <sheet state="visible" name="ExerciseAssignment" sheetId="12" r:id="rId14"/>
    <sheet state="visible" name="GetDataAllocation" sheetId="13" r:id="rId15"/>
    <sheet state="visible" name="CheckAllocatedGroup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<sst xmlns="http://schemas.openxmlformats.org/spreadsheetml/2006/main" count="189" uniqueCount="56">
  <si>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</si>
  <si>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</si>
  <si>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</si>
  <si>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</si>
  <si>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</si>
  <si>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</si>
  <si>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</si>
  <si>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</si>
  <si>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</si>
  <si>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</si>
  <si>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</si>
  <si>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</si>
  <si>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</si>
  <si>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</si>
  <si>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</si>
  <si>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</si>
  <si>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O:RIG 11S62.50</t>
  </si>
  <si>
    <t>Closing</t>
  </si>
  <si>
    <t>SetClosingPreference</t>
  </si>
  <si>
    <t>TradingTicket</t>
  </si>
  <si>
    <t>CreateDoneAwayOrder</t>
  </si>
  <si>
    <t>RIG</t>
  </si>
  <si>
    <t>Buy</t>
  </si>
  <si>
    <t>Allocation1</t>
  </si>
  <si>
    <t>Sell short</t>
  </si>
  <si>
    <t>Buy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</si>
  <si>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</si>
  <si>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</si>
  <si>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</si>
  <si>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</si>
  <si>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</si>
  <si>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</si>
  <si>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</si>
  <si>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</si>
  <si>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 xml:space="preserve">Buy to Open </t>
  </si>
  <si>
    <t>EditTradeUnexpiredUnsettled</t>
  </si>
  <si>
    <t>ExerciseAssignment</t>
  </si>
  <si>
    <t>Allocation</t>
  </si>
  <si>
    <t>GetDataAllocation</t>
  </si>
  <si>
    <t>CheckAllocatedGroups</t>
  </si>
  <si>
    <t>MS</t>
  </si>
  <si>
    <t>Open</t>
  </si>
  <si>
    <t>PartiallyClosed</t>
  </si>
  <si>
    <t>Sell</t>
  </si>
  <si>
    <t>Closed</t>
  </si>
  <si>
    <t>Sell to Close</t>
  </si>
  <si>
    <t>PortfolioManagement</t>
  </si>
  <si>
    <t>CheckPortfolioManagement</t>
  </si>
  <si>
    <t>Short</t>
  </si>
  <si>
    <t>Strategy Unallocated</t>
  </si>
  <si>
    <t>Equity</t>
  </si>
  <si>
    <t>US</t>
  </si>
  <si>
    <t>NYSE</t>
  </si>
  <si>
    <t>USD</t>
  </si>
  <si>
    <t>Long</t>
  </si>
  <si>
    <t>OPTS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</si>
</sst>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1155CC"/>
      <name val="Inconsolata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6" fontId="14" numFmtId="14" xfId="0" applyAlignment="1" applyFill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 vertical="bottom"/>
    </xf>
    <xf borderId="7" fillId="0" fontId="5" numFmtId="14" xfId="0" applyAlignment="1" applyBorder="1" applyFont="1" applyNumberFormat="1">
      <alignment horizontal="right" vertical="bottom"/>
    </xf>
    <xf borderId="0" fillId="0" fontId="5" numFmtId="14" xfId="0" applyAlignment="1" applyFont="1" applyNumberFormat="1">
      <alignment horizontal="right" vertical="bottom"/>
    </xf>
    <xf borderId="8" fillId="0" fontId="3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vertical="bottom"/>
    </xf>
    <xf borderId="0" fillId="0" fontId="3" numFmtId="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f>today()-1</f>
        <v>45014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/>
      <c r="C6" s="36"/>
      <c r="D6" s="35"/>
      <c r="E6" s="37" t="b">
        <v>1</v>
      </c>
      <c r="F6" s="36"/>
      <c r="G6" s="36"/>
      <c r="H6" s="36"/>
      <c r="I6" s="36"/>
      <c r="J6" s="37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3" t="s">
        <v>22</v>
      </c>
      <c r="D6" s="38">
        <v>100.0</v>
      </c>
      <c r="E6" s="39">
        <v>100.0</v>
      </c>
      <c r="F6" s="33" t="s">
        <v>23</v>
      </c>
      <c r="G6" s="33"/>
      <c r="H6" s="33"/>
      <c r="I6" s="33"/>
      <c r="J6" s="39">
        <v>1.0</v>
      </c>
      <c r="K6" s="33"/>
      <c r="L6" s="33"/>
      <c r="M6" s="33"/>
      <c r="N6" s="40">
        <f t="shared" ref="N6:N8" si="1">today()-1</f>
        <v>45014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21</v>
      </c>
      <c r="C7" s="41" t="s">
        <v>24</v>
      </c>
      <c r="D7" s="39">
        <v>50.0</v>
      </c>
      <c r="E7" s="39">
        <v>50.0</v>
      </c>
      <c r="F7" s="33" t="s">
        <v>23</v>
      </c>
      <c r="G7" s="33"/>
      <c r="H7" s="33"/>
      <c r="I7" s="33"/>
      <c r="J7" s="39">
        <v>1.0</v>
      </c>
      <c r="K7" s="33"/>
      <c r="L7" s="33"/>
      <c r="M7" s="33"/>
      <c r="N7" s="42">
        <f t="shared" si="1"/>
        <v>45014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16</v>
      </c>
      <c r="C8" s="33" t="s">
        <v>25</v>
      </c>
      <c r="D8" s="39">
        <v>10.0</v>
      </c>
      <c r="E8" s="39">
        <v>10.0</v>
      </c>
      <c r="F8" s="33" t="s">
        <v>23</v>
      </c>
      <c r="G8" s="33"/>
      <c r="H8" s="33"/>
      <c r="I8" s="33"/>
      <c r="J8" s="39">
        <v>10.0</v>
      </c>
      <c r="K8" s="33"/>
      <c r="L8" s="33"/>
      <c r="M8" s="33"/>
      <c r="N8" s="42">
        <f t="shared" si="1"/>
        <v>45014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3">
        <f>TODAY()-1</f>
        <v>45014</v>
      </c>
      <c r="C6" s="43">
        <f>TODAY()</f>
        <v>45015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45" t="s">
        <v>21</v>
      </c>
      <c r="C6" s="46">
        <v>120.0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35" t="s">
        <v>30</v>
      </c>
      <c r="C6" s="47" t="s">
        <v>31</v>
      </c>
      <c r="D6" s="40">
        <f>today()</f>
        <v>45015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44"/>
      <c r="B6" s="35" t="s">
        <v>23</v>
      </c>
      <c r="C6" s="36"/>
      <c r="D6" s="35"/>
      <c r="E6" s="36" t="s">
        <v>33</v>
      </c>
      <c r="F6" s="36"/>
      <c r="G6" s="36"/>
      <c r="H6" s="36"/>
      <c r="I6" s="46">
        <v>10.0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48">
        <v>10.0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 t="s">
        <v>34</v>
      </c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48">
        <v>10.0</v>
      </c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 t="s">
        <v>16</v>
      </c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IFERROR(__xludf.DUMMYFUNCTION("""COMPUTED_VALUE"""),"Original Side")</f>
        <v>Original Side</v>
      </c>
      <c r="D5" s="28" t="str">
        <f>IFERROR(__xludf.DUMMYFUNCTION("""COMPUTED_VALUE"""),"Symbol")</f>
        <v>Symbol</v>
      </c>
      <c r="E5" s="28" t="str">
        <f>IFERROR(__xludf.DUMMYFUNCTION("""COMPUTED_VALUE"""),"Settlement Qty")</f>
        <v>Settlement Qty</v>
      </c>
      <c r="F5" s="29" t="str">
        <f>IFERROR(__xludf.DUMMYFUNCTION("""COMPUTED_VALUE"""),"Quantity")</f>
        <v>Quantity</v>
      </c>
      <c r="G5" s="28" t="str">
        <f>IFERROR(__xludf.DUMMYFUNCTION("""COMPUTED_VALUE"""),"TotalCommission&amp;Fees")</f>
        <v>TotalCommission&amp;Fees</v>
      </c>
      <c r="H5" s="28" t="str">
        <f>IFERROR(__xludf.DUMMYFUNCTION("""COMPUTED_VALUE"""),"Net Notional")</f>
        <v>Net Notional</v>
      </c>
      <c r="I5" s="28" t="str">
        <f>IFERROR(__xludf.DUMMYFUNCTION("""COMPUTED_VALUE"""),"Average Price")</f>
        <v>Average Price</v>
      </c>
      <c r="J5" s="28" t="str">
        <f>IFERROR(__xludf.DUMMYFUNCTION("""COMPUTED_VALUE"""),"UnderlyingName")</f>
        <v>UnderlyingName</v>
      </c>
      <c r="K5" s="28" t="str">
        <f>IFERROR(__xludf.DUMMYFUNCTION("""COMPUTED_VALUE"""),"UnitCost")</f>
        <v>UnitCost</v>
      </c>
      <c r="L5" s="28" t="str">
        <f>IFERROR(__xludf.DUMMYFUNCTION("""COMPUTED_VALUE"""),"PositionTag")</f>
        <v>PositionTag</v>
      </c>
      <c r="M5" s="28" t="str">
        <f>IFERROR(__xludf.DUMMYFUNCTION("""COMPUTED_VALUE"""),"Strategy")</f>
        <v>Strategy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9">
        <v>5.0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/>
      <c r="I6" s="33"/>
      <c r="J6" s="39">
        <v>100.0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35" t="s">
        <v>30</v>
      </c>
      <c r="C6" s="47" t="s">
        <v>31</v>
      </c>
      <c r="D6" s="40">
        <f>today()</f>
        <v>45015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9" t="s">
        <v>23</v>
      </c>
      <c r="C6" s="33"/>
      <c r="D6" s="31"/>
      <c r="E6" s="50">
        <v>100.0</v>
      </c>
      <c r="F6" s="33"/>
      <c r="G6" s="33"/>
      <c r="H6" s="33"/>
      <c r="I6" s="33"/>
      <c r="J6" s="33"/>
      <c r="K6" s="51"/>
      <c r="L6" s="51"/>
      <c r="M6" s="33"/>
      <c r="N6" s="33"/>
      <c r="O6" s="52" t="s">
        <v>40</v>
      </c>
      <c r="P6" s="33"/>
      <c r="Q6" s="33"/>
      <c r="R6" s="33"/>
      <c r="S6" s="49" t="s">
        <v>41</v>
      </c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50">
        <v>100.0</v>
      </c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51"/>
      <c r="BF6" s="51"/>
      <c r="BG6" s="33"/>
      <c r="BH6" s="33"/>
      <c r="BI6" s="33"/>
      <c r="BJ6" s="50">
        <v>100.0</v>
      </c>
      <c r="BK6" s="33"/>
      <c r="BL6" s="33"/>
      <c r="BM6" s="33"/>
      <c r="BN6" s="33"/>
      <c r="BO6" s="49" t="s">
        <v>22</v>
      </c>
      <c r="BP6" s="33"/>
      <c r="BQ6" s="33"/>
      <c r="BR6" s="33"/>
      <c r="BS6" s="33"/>
      <c r="BT6" s="49" t="s">
        <v>21</v>
      </c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49" t="s">
        <v>23</v>
      </c>
      <c r="C7" s="33"/>
      <c r="D7" s="33"/>
      <c r="E7" s="50">
        <v>50.0</v>
      </c>
      <c r="F7" s="33"/>
      <c r="G7" s="33"/>
      <c r="H7" s="33"/>
      <c r="I7" s="33"/>
      <c r="J7" s="33"/>
      <c r="K7" s="51"/>
      <c r="L7" s="51"/>
      <c r="M7" s="33"/>
      <c r="N7" s="33"/>
      <c r="O7" s="52" t="s">
        <v>40</v>
      </c>
      <c r="P7" s="33"/>
      <c r="Q7" s="33"/>
      <c r="R7" s="33"/>
      <c r="S7" s="49" t="s">
        <v>41</v>
      </c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50">
        <v>50.0</v>
      </c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51"/>
      <c r="BF7" s="51"/>
      <c r="BG7" s="33"/>
      <c r="BH7" s="33"/>
      <c r="BI7" s="33"/>
      <c r="BJ7" s="50">
        <v>50.0</v>
      </c>
      <c r="BK7" s="33"/>
      <c r="BL7" s="33"/>
      <c r="BM7" s="33"/>
      <c r="BN7" s="33"/>
      <c r="BO7" s="49" t="s">
        <v>24</v>
      </c>
      <c r="BP7" s="33"/>
      <c r="BQ7" s="33"/>
      <c r="BR7" s="33"/>
      <c r="BS7" s="33"/>
      <c r="BT7" s="49" t="s">
        <v>21</v>
      </c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49" t="s">
        <v>23</v>
      </c>
      <c r="C8" s="33"/>
      <c r="D8" s="33"/>
      <c r="E8" s="50">
        <v>10.0</v>
      </c>
      <c r="F8" s="33"/>
      <c r="G8" s="33"/>
      <c r="H8" s="33"/>
      <c r="I8" s="33"/>
      <c r="J8" s="33"/>
      <c r="K8" s="53"/>
      <c r="L8" s="53"/>
      <c r="M8" s="33"/>
      <c r="N8" s="33"/>
      <c r="O8" s="52" t="s">
        <v>40</v>
      </c>
      <c r="P8" s="33"/>
      <c r="Q8" s="33"/>
      <c r="R8" s="33"/>
      <c r="S8" s="49" t="s">
        <v>42</v>
      </c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50">
        <v>10.0</v>
      </c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51"/>
      <c r="BF8" s="51"/>
      <c r="BG8" s="33"/>
      <c r="BH8" s="33"/>
      <c r="BI8" s="33"/>
      <c r="BJ8" s="50">
        <v>10.0</v>
      </c>
      <c r="BK8" s="33"/>
      <c r="BL8" s="33"/>
      <c r="BM8" s="33"/>
      <c r="BN8" s="33"/>
      <c r="BO8" s="49" t="s">
        <v>25</v>
      </c>
      <c r="BP8" s="33"/>
      <c r="BQ8" s="33"/>
      <c r="BR8" s="33"/>
      <c r="BS8" s="33"/>
      <c r="BT8" s="49" t="s">
        <v>16</v>
      </c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49" t="s">
        <v>23</v>
      </c>
      <c r="C9" s="33"/>
      <c r="D9" s="33"/>
      <c r="E9" s="50">
        <v>100.0</v>
      </c>
      <c r="F9" s="33"/>
      <c r="G9" s="33"/>
      <c r="H9" s="33"/>
      <c r="I9" s="33"/>
      <c r="J9" s="33"/>
      <c r="K9" s="53"/>
      <c r="L9" s="53"/>
      <c r="M9" s="33"/>
      <c r="N9" s="33"/>
      <c r="O9" s="52" t="s">
        <v>40</v>
      </c>
      <c r="P9" s="33"/>
      <c r="Q9" s="33"/>
      <c r="R9" s="33"/>
      <c r="S9" s="49" t="s">
        <v>41</v>
      </c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50">
        <v>100.0</v>
      </c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53"/>
      <c r="BF9" s="53"/>
      <c r="BG9" s="33"/>
      <c r="BH9" s="33"/>
      <c r="BI9" s="33"/>
      <c r="BJ9" s="50">
        <v>100.0</v>
      </c>
      <c r="BK9" s="33"/>
      <c r="BL9" s="33"/>
      <c r="BM9" s="33"/>
      <c r="BN9" s="33"/>
      <c r="BO9" s="49" t="s">
        <v>43</v>
      </c>
      <c r="BP9" s="33"/>
      <c r="BQ9" s="33"/>
      <c r="BR9" s="33"/>
      <c r="BS9" s="33"/>
      <c r="BT9" s="49" t="s">
        <v>21</v>
      </c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49" t="s">
        <v>23</v>
      </c>
      <c r="C10" s="33"/>
      <c r="D10" s="33"/>
      <c r="E10" s="50">
        <v>5.0</v>
      </c>
      <c r="F10" s="33"/>
      <c r="G10" s="33"/>
      <c r="H10" s="33"/>
      <c r="I10" s="33"/>
      <c r="J10" s="33"/>
      <c r="K10" s="53"/>
      <c r="L10" s="53"/>
      <c r="M10" s="33"/>
      <c r="N10" s="33"/>
      <c r="O10" s="52" t="s">
        <v>40</v>
      </c>
      <c r="P10" s="33"/>
      <c r="Q10" s="33"/>
      <c r="R10" s="33"/>
      <c r="S10" s="49" t="s">
        <v>44</v>
      </c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50">
        <v>5.0</v>
      </c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53"/>
      <c r="BF10" s="53"/>
      <c r="BG10" s="33"/>
      <c r="BH10" s="33"/>
      <c r="BI10" s="33"/>
      <c r="BJ10" s="50">
        <v>5.0</v>
      </c>
      <c r="BK10" s="33"/>
      <c r="BL10" s="33"/>
      <c r="BM10" s="33"/>
      <c r="BN10" s="33"/>
      <c r="BO10" s="49" t="s">
        <v>45</v>
      </c>
      <c r="BP10" s="33"/>
      <c r="BQ10" s="33"/>
      <c r="BR10" s="33"/>
      <c r="BS10" s="33"/>
      <c r="BT10" s="49" t="s">
        <v>16</v>
      </c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49" t="s">
        <v>23</v>
      </c>
      <c r="C11" s="33"/>
      <c r="D11" s="33"/>
      <c r="E11" s="50">
        <v>400.0</v>
      </c>
      <c r="F11" s="33"/>
      <c r="G11" s="33"/>
      <c r="H11" s="33"/>
      <c r="I11" s="33"/>
      <c r="J11" s="33"/>
      <c r="K11" s="53"/>
      <c r="L11" s="53"/>
      <c r="M11" s="33"/>
      <c r="N11" s="33"/>
      <c r="O11" s="52" t="s">
        <v>40</v>
      </c>
      <c r="P11" s="33"/>
      <c r="Q11" s="33"/>
      <c r="R11" s="33"/>
      <c r="S11" s="49" t="s">
        <v>41</v>
      </c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50">
        <v>400.0</v>
      </c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53"/>
      <c r="BF11" s="53"/>
      <c r="BG11" s="33"/>
      <c r="BH11" s="33"/>
      <c r="BI11" s="33"/>
      <c r="BJ11" s="50">
        <v>400.0</v>
      </c>
      <c r="BK11" s="33"/>
      <c r="BL11" s="33"/>
      <c r="BM11" s="33"/>
      <c r="BN11" s="33"/>
      <c r="BO11" s="49" t="s">
        <v>24</v>
      </c>
      <c r="BP11" s="33"/>
      <c r="BQ11" s="33"/>
      <c r="BR11" s="33"/>
      <c r="BS11" s="33"/>
      <c r="BT11" s="49" t="s">
        <v>21</v>
      </c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1"/>
      <c r="C6" s="49" t="s">
        <v>21</v>
      </c>
      <c r="D6" s="50">
        <v>100.0</v>
      </c>
      <c r="E6" s="52" t="s">
        <v>23</v>
      </c>
      <c r="F6" s="33"/>
      <c r="G6" s="50">
        <v>1.0</v>
      </c>
      <c r="H6" s="49" t="s">
        <v>48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52" t="s">
        <v>49</v>
      </c>
      <c r="T6" s="49" t="s">
        <v>50</v>
      </c>
      <c r="U6" s="52" t="s">
        <v>51</v>
      </c>
      <c r="V6" s="49" t="s">
        <v>52</v>
      </c>
      <c r="W6" s="52" t="s">
        <v>53</v>
      </c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49" t="s">
        <v>22</v>
      </c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</row>
    <row r="7" ht="15.75" customHeight="1">
      <c r="A7" s="33"/>
      <c r="B7" s="33"/>
      <c r="C7" s="49" t="s">
        <v>21</v>
      </c>
      <c r="D7" s="50">
        <v>-50.0</v>
      </c>
      <c r="E7" s="52" t="s">
        <v>23</v>
      </c>
      <c r="F7" s="33"/>
      <c r="G7" s="50">
        <v>1.0</v>
      </c>
      <c r="H7" s="49" t="s">
        <v>48</v>
      </c>
      <c r="I7" s="33"/>
      <c r="J7" s="33"/>
      <c r="K7" s="33"/>
      <c r="L7" s="33"/>
      <c r="M7" s="33"/>
      <c r="N7" s="33"/>
      <c r="O7" s="33"/>
      <c r="P7" s="33"/>
      <c r="Q7" s="33"/>
      <c r="R7" s="33"/>
      <c r="S7" s="52" t="s">
        <v>49</v>
      </c>
      <c r="T7" s="49" t="s">
        <v>50</v>
      </c>
      <c r="U7" s="52" t="s">
        <v>51</v>
      </c>
      <c r="V7" s="49" t="s">
        <v>52</v>
      </c>
      <c r="W7" s="52" t="s">
        <v>53</v>
      </c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49" t="s">
        <v>24</v>
      </c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</row>
    <row r="8" ht="15.75" customHeight="1">
      <c r="A8" s="33"/>
      <c r="B8" s="33"/>
      <c r="C8" s="49" t="s">
        <v>16</v>
      </c>
      <c r="D8" s="50">
        <v>5.0</v>
      </c>
      <c r="E8" s="52" t="s">
        <v>23</v>
      </c>
      <c r="F8" s="33"/>
      <c r="G8" s="50">
        <v>10.0</v>
      </c>
      <c r="H8" s="49" t="s">
        <v>54</v>
      </c>
      <c r="I8" s="33"/>
      <c r="J8" s="33"/>
      <c r="K8" s="33"/>
      <c r="L8" s="33"/>
      <c r="M8" s="33"/>
      <c r="N8" s="33"/>
      <c r="O8" s="33"/>
      <c r="P8" s="33"/>
      <c r="Q8" s="33"/>
      <c r="R8" s="33"/>
      <c r="S8" s="52" t="s">
        <v>49</v>
      </c>
      <c r="T8" s="49" t="s">
        <v>33</v>
      </c>
      <c r="U8" s="52" t="s">
        <v>51</v>
      </c>
      <c r="V8" s="49" t="s">
        <v>55</v>
      </c>
      <c r="W8" s="52" t="s">
        <v>53</v>
      </c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49" t="s">
        <v>25</v>
      </c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</row>
    <row r="9" ht="15.75" customHeight="1">
      <c r="A9" s="33"/>
      <c r="B9" s="33"/>
      <c r="C9" s="49" t="s">
        <v>21</v>
      </c>
      <c r="D9" s="50">
        <v>-100.0</v>
      </c>
      <c r="E9" s="52" t="s">
        <v>23</v>
      </c>
      <c r="F9" s="33"/>
      <c r="G9" s="50">
        <v>100.0</v>
      </c>
      <c r="H9" s="49" t="s">
        <v>48</v>
      </c>
      <c r="I9" s="33"/>
      <c r="J9" s="33"/>
      <c r="K9" s="33"/>
      <c r="L9" s="33"/>
      <c r="M9" s="33"/>
      <c r="N9" s="33"/>
      <c r="O9" s="33"/>
      <c r="P9" s="33"/>
      <c r="Q9" s="33"/>
      <c r="R9" s="33"/>
      <c r="S9" s="52" t="s">
        <v>49</v>
      </c>
      <c r="T9" s="49" t="s">
        <v>50</v>
      </c>
      <c r="U9" s="52" t="s">
        <v>51</v>
      </c>
      <c r="V9" s="49" t="s">
        <v>52</v>
      </c>
      <c r="W9" s="52" t="s">
        <v>53</v>
      </c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49" t="s">
        <v>43</v>
      </c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  <c r="EY9" s="33"/>
      <c r="EZ9" s="33"/>
      <c r="FA9" s="33"/>
      <c r="FB9" s="33"/>
      <c r="FC9" s="33"/>
      <c r="FD9" s="33"/>
      <c r="FE9" s="33"/>
      <c r="FF9" s="33"/>
      <c r="FG9" s="33"/>
      <c r="FH9" s="33"/>
      <c r="FI9" s="33"/>
      <c r="FJ9" s="33"/>
      <c r="FK9" s="33"/>
      <c r="FL9" s="33"/>
      <c r="FM9" s="33"/>
      <c r="FN9" s="33"/>
      <c r="FO9" s="33"/>
      <c r="FP9" s="33"/>
      <c r="FQ9" s="33"/>
      <c r="FR9" s="33"/>
      <c r="FS9" s="33"/>
      <c r="FT9" s="33"/>
    </row>
    <row r="10" ht="15.75" customHeight="1">
      <c r="A10" s="33"/>
      <c r="B10" s="33"/>
      <c r="C10" s="49" t="s">
        <v>21</v>
      </c>
      <c r="D10" s="50">
        <v>-400.0</v>
      </c>
      <c r="E10" s="52" t="s">
        <v>23</v>
      </c>
      <c r="F10" s="33"/>
      <c r="G10" s="50">
        <v>100.0</v>
      </c>
      <c r="H10" s="49" t="s">
        <v>48</v>
      </c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52" t="s">
        <v>49</v>
      </c>
      <c r="T10" s="49" t="s">
        <v>50</v>
      </c>
      <c r="U10" s="52" t="s">
        <v>51</v>
      </c>
      <c r="V10" s="49" t="s">
        <v>52</v>
      </c>
      <c r="W10" s="52" t="s">
        <v>53</v>
      </c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49" t="s">
        <v>24</v>
      </c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  <c r="EY10" s="33"/>
      <c r="EZ10" s="33"/>
      <c r="FA10" s="33"/>
      <c r="FB10" s="33"/>
      <c r="FC10" s="33"/>
      <c r="FD10" s="33"/>
      <c r="FE10" s="33"/>
      <c r="FF10" s="33"/>
      <c r="FG10" s="33"/>
      <c r="FH10" s="33"/>
      <c r="FI10" s="33"/>
      <c r="FJ10" s="33"/>
      <c r="FK10" s="33"/>
      <c r="FL10" s="33"/>
      <c r="FM10" s="33"/>
      <c r="FN10" s="33"/>
      <c r="FO10" s="33"/>
      <c r="FP10" s="33"/>
      <c r="FQ10" s="33"/>
      <c r="FR10" s="33"/>
      <c r="FS10" s="33"/>
      <c r="FT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