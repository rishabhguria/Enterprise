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GetDailyCash" sheetId="5" r:id="rId7"/>
    <sheet state="visible" name="UpdateDailyCash" sheetId="6" r:id="rId8"/>
    <sheet state="visible" name="CreateDoneAwayOrder" sheetId="7" r:id="rId9"/>
    <sheet state="visible" name="AddCalculatedPreferences" sheetId="8" r:id="rId10"/>
    <sheet state="visible" name="SetAccountValueCalculatedPref" sheetId="9" r:id="rId11"/>
    <sheet state="visible" name="SetDefaultRuleCalculatedPref" sheetId="10" r:id="rId12"/>
    <sheet state="visible" name="CreateDoneAwayOrder1" sheetId="11" r:id="rId13"/>
    <sheet state="visible" name="SelectTradeOnOrderGrid" sheetId="12" r:id="rId14"/>
    <sheet state="visible" name="ReplaceSubOrder" sheetId="13" r:id="rId15"/>
    <sheet state="visible" name="CreateReplaceOrder" sheetId="14" r:id="rId16"/>
    <sheet state="visible" name="VerifyOrder" sheetId="15" r:id="rId17"/>
    <sheet state="visible" name="GetDataAllocation" sheetId="16" r:id="rId18"/>
    <sheet state="visible" name="CheckUnallocatedGroups" sheetId="17" r:id="rId19"/>
    <sheet state="visible" name="CheckAllocatedGroups" sheetId="18" r:id="rId20"/>
  </sheets>
  <definedNames/>
  <calcPr/>
</workbook>
</file>

<file path=xl/sharedStrings.xml><?xml version="1.0" encoding="utf-8"?>
<sst xmlns="http://schemas.openxmlformats.org/spreadsheetml/2006/main" count="240" uniqueCount="67">
  <si>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</si>
  <si>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</si>
  <si>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</si>
  <si>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</si>
  <si>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</si>
  <si>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</si>
  <si>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</si>
  <si>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</si>
  <si>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</si>
  <si>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</si>
  <si>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</si>
  <si>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</si>
  <si>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</si>
  <si>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</si>
  <si>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</si>
  <si>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</si>
  <si>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DailyValuation</t>
  </si>
  <si>
    <t>GetDailyCash</t>
  </si>
  <si>
    <t>UpdateDailyCash</t>
  </si>
  <si>
    <t>Allocation2</t>
  </si>
  <si>
    <t>USD</t>
  </si>
  <si>
    <t>Allocation3</t>
  </si>
  <si>
    <t>Allocation1</t>
  </si>
  <si>
    <t>OFFSHORE</t>
  </si>
  <si>
    <t>TradingTicket</t>
  </si>
  <si>
    <t>CreateDoneAwayOrder</t>
  </si>
  <si>
    <t>AAPL</t>
  </si>
  <si>
    <t>Buy</t>
  </si>
  <si>
    <t>Allocation2,Allocation3</t>
  </si>
  <si>
    <t>60,40</t>
  </si>
  <si>
    <t>Allocation</t>
  </si>
  <si>
    <t>AddCalculatedPreferences</t>
  </si>
  <si>
    <t>TT358</t>
  </si>
  <si>
    <t>SetAccountValueCalculatedPref</t>
  </si>
  <si>
    <t>SetDefaultRuleCalculatedPref</t>
  </si>
  <si>
    <t>Leveling</t>
  </si>
  <si>
    <t>Sell</t>
  </si>
  <si>
    <t>Blotter</t>
  </si>
  <si>
    <t>SelectTradeOnOrderGrid</t>
  </si>
  <si>
    <t>Filled</t>
  </si>
  <si>
    <t>ReplaceSubOrder</t>
  </si>
  <si>
    <t>M</t>
  </si>
  <si>
    <t>CreateReplaceOrder</t>
  </si>
  <si>
    <t>VerifyOrder</t>
  </si>
  <si>
    <t>NASDAQ</t>
  </si>
  <si>
    <t>Equity</t>
  </si>
  <si>
    <t>MS</t>
  </si>
  <si>
    <t>Multiple</t>
  </si>
  <si>
    <t>Market</t>
  </si>
  <si>
    <t>Replaced</t>
  </si>
  <si>
    <t>GetDataAllocation</t>
  </si>
  <si>
    <t>Current</t>
  </si>
  <si>
    <t>CheckUnallocatedGroups</t>
  </si>
  <si>
    <t>CheckAllocatedGroups</t>
  </si>
  <si>
    <t>AAPL US EQUITY</t>
  </si>
  <si>
    <t>Open</t>
  </si>
  <si>
    <t>APPLE</t>
  </si>
  <si>
    <t>BrokerNotes</t>
  </si>
  <si>
    <t>None</t>
  </si>
  <si>
    <t>DefaultNotes</t>
  </si>
  <si>
    <t>InternalOrder</t>
  </si>
  <si>
    <t>Strategy Unallocated</t>
  </si>
  <si>
    <t>GCCAP1</t>
  </si>
  <si>
    <t>US</t>
  </si>
  <si>
    <t>jpearce</t>
  </si>
  <si>
    <t>NONE</t>
  </si>
  <si>
    <t>Manual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</si>
</sst>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 am/pm"/>
    <numFmt numFmtId="165" formatCode="m/d/yyyy h:mm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164" xfId="0" applyAlignment="1" applyFont="1" applyNumberFormat="1">
      <alignment readingOrder="0" shrinkToFit="0" vertical="bottom" wrapText="0"/>
    </xf>
    <xf borderId="0" fillId="0" fontId="14" numFmtId="165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>
      <c r="A636" t="str">
        <f>IFERROR(__xludf.DUMMYFUNCTION("""COMPUTED_VALUE"""),"Simulator")</f>
        <v>Simulator</v>
      </c>
      <c r="B636" t="str">
        <f>IFERROR(__xludf.DUMMYFUNCTION("""COMPUTED_VALUE"""),"VerifyTagInAllFixLogs")</f>
        <v>VerifyTagInAllFixLogs</v>
      </c>
      <c r="C636" t="str">
        <f>IFERROR(__xludf.DUMMYFUNCTION("""COMPUTED_VALUE"""),"1jKDiJYpLWAfkSGRoeJ_liPC1ZaTdCTC5AqjDzj9I61Q")</f>
        <v>1jKDiJYpLWAfkSGRoeJ_liPC1ZaTdCTC5AqjDzj9I61Q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13" t="b">
        <v>1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>
        <f>Today()-1</f>
        <v>45005</v>
      </c>
      <c r="C6" s="33">
        <f>Today()</f>
        <v>45006</v>
      </c>
      <c r="D6" s="32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19</v>
      </c>
      <c r="C6" s="34" t="s">
        <v>20</v>
      </c>
      <c r="D6" s="35">
        <v>100600.0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21</v>
      </c>
      <c r="C7" s="34" t="s">
        <v>20</v>
      </c>
      <c r="D7" s="36">
        <v>200400.0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 t="s">
        <v>22</v>
      </c>
      <c r="C8" s="34" t="s">
        <v>20</v>
      </c>
      <c r="D8" s="36">
        <v>300000.0</v>
      </c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4" t="s">
        <v>23</v>
      </c>
      <c r="C9" s="34" t="s">
        <v>20</v>
      </c>
      <c r="D9" s="36">
        <v>400000.0</v>
      </c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26</v>
      </c>
      <c r="C6" s="34" t="s">
        <v>27</v>
      </c>
      <c r="D6" s="35">
        <v>1000.0</v>
      </c>
      <c r="E6" s="36">
        <v>1000.0</v>
      </c>
      <c r="F6" s="34"/>
      <c r="G6" s="34"/>
      <c r="H6" s="34"/>
      <c r="I6" s="34"/>
      <c r="J6" s="36">
        <v>1.0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 t="s">
        <v>28</v>
      </c>
      <c r="AL6" s="34" t="s">
        <v>29</v>
      </c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32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32</v>
      </c>
      <c r="C6" s="13" t="s">
        <v>19</v>
      </c>
      <c r="D6" s="13">
        <v>80.0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32</v>
      </c>
      <c r="C7" s="13" t="s">
        <v>21</v>
      </c>
      <c r="D7" s="13">
        <v>20.0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35</v>
      </c>
      <c r="E6" s="13" t="s">
        <v>28</v>
      </c>
      <c r="F6" s="8"/>
      <c r="G6" s="13" t="b">
        <v>0</v>
      </c>
      <c r="H6" s="13" t="s">
        <v>32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26</v>
      </c>
      <c r="C6" s="34" t="s">
        <v>27</v>
      </c>
      <c r="D6" s="37">
        <v>400.0</v>
      </c>
      <c r="E6" s="37">
        <v>400.0</v>
      </c>
      <c r="F6" s="34" t="s">
        <v>19</v>
      </c>
      <c r="G6" s="34"/>
      <c r="H6" s="34"/>
      <c r="I6" s="34"/>
      <c r="J6" s="36">
        <v>1.0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26</v>
      </c>
      <c r="C7" s="34" t="s">
        <v>36</v>
      </c>
      <c r="D7" s="36">
        <v>1200.0</v>
      </c>
      <c r="E7" s="36">
        <v>1200.0</v>
      </c>
      <c r="F7" s="38" t="s">
        <v>32</v>
      </c>
      <c r="G7" s="34"/>
      <c r="H7" s="34"/>
      <c r="I7" s="34"/>
      <c r="J7" s="36">
        <v>1.0</v>
      </c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4"/>
      <c r="D6" s="32" t="s">
        <v>26</v>
      </c>
      <c r="E6" s="34"/>
      <c r="F6" s="34" t="s">
        <v>36</v>
      </c>
      <c r="G6" s="34" t="s">
        <v>39</v>
      </c>
      <c r="H6" s="36">
        <v>1200.0</v>
      </c>
      <c r="I6" s="36">
        <v>1200.0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4"/>
      <c r="D6" s="32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9">
        <v>1.0</v>
      </c>
      <c r="AF6" s="34"/>
      <c r="AG6" s="34" t="s">
        <v>41</v>
      </c>
      <c r="AH6" s="34"/>
      <c r="AI6" s="34"/>
      <c r="AJ6" s="34" t="s">
        <v>26</v>
      </c>
      <c r="AK6" s="34" t="s">
        <v>27</v>
      </c>
      <c r="AL6" s="34" t="s">
        <v>39</v>
      </c>
      <c r="AM6" s="39">
        <v>1200.0</v>
      </c>
      <c r="AN6" s="39">
        <v>1200.0</v>
      </c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26</v>
      </c>
      <c r="C6" s="34" t="s">
        <v>36</v>
      </c>
      <c r="D6" s="37">
        <v>1300.0</v>
      </c>
      <c r="E6" s="34"/>
      <c r="F6" s="34"/>
      <c r="G6" s="34"/>
      <c r="H6" s="34"/>
      <c r="I6" s="34"/>
      <c r="J6" s="36">
        <v>1.0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4"/>
      <c r="D6" s="32"/>
      <c r="E6" s="34"/>
      <c r="F6" s="34"/>
      <c r="G6" s="34"/>
      <c r="H6" s="34" t="s">
        <v>44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9">
        <v>1.0</v>
      </c>
      <c r="AE6" s="34"/>
      <c r="AF6" s="34" t="s">
        <v>41</v>
      </c>
      <c r="AG6" s="34"/>
      <c r="AH6" s="34" t="s">
        <v>45</v>
      </c>
      <c r="AI6" s="34" t="s">
        <v>26</v>
      </c>
      <c r="AJ6" s="34" t="s">
        <v>27</v>
      </c>
      <c r="AK6" s="34" t="s">
        <v>39</v>
      </c>
      <c r="AL6" s="39">
        <v>1000.0</v>
      </c>
      <c r="AM6" s="39">
        <v>1000.0</v>
      </c>
      <c r="AN6" s="34"/>
      <c r="AO6" s="34"/>
      <c r="AP6" s="34"/>
      <c r="AQ6" s="34"/>
      <c r="AR6" s="34"/>
      <c r="AS6" s="34" t="s">
        <v>46</v>
      </c>
      <c r="AT6" s="34" t="s">
        <v>47</v>
      </c>
      <c r="AU6" s="34" t="s">
        <v>48</v>
      </c>
      <c r="AV6" s="39">
        <v>1000.0</v>
      </c>
      <c r="AW6" s="39">
        <v>1000.0</v>
      </c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/>
      <c r="C7" s="34"/>
      <c r="D7" s="34"/>
      <c r="E7" s="34"/>
      <c r="F7" s="34"/>
      <c r="G7" s="34"/>
      <c r="H7" s="34" t="s">
        <v>44</v>
      </c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9">
        <v>1.0</v>
      </c>
      <c r="AE7" s="34"/>
      <c r="AF7" s="34" t="s">
        <v>41</v>
      </c>
      <c r="AG7" s="34"/>
      <c r="AH7" s="34" t="s">
        <v>45</v>
      </c>
      <c r="AI7" s="34" t="s">
        <v>26</v>
      </c>
      <c r="AJ7" s="34" t="s">
        <v>27</v>
      </c>
      <c r="AK7" s="34" t="s">
        <v>39</v>
      </c>
      <c r="AL7" s="40">
        <v>400.0</v>
      </c>
      <c r="AM7" s="40">
        <v>400.0</v>
      </c>
      <c r="AN7" s="34"/>
      <c r="AO7" s="34"/>
      <c r="AP7" s="34"/>
      <c r="AQ7" s="34"/>
      <c r="AR7" s="34"/>
      <c r="AS7" s="34" t="s">
        <v>46</v>
      </c>
      <c r="AT7" s="34" t="s">
        <v>19</v>
      </c>
      <c r="AU7" s="34" t="s">
        <v>48</v>
      </c>
      <c r="AV7" s="40">
        <v>400.0</v>
      </c>
      <c r="AW7" s="40">
        <v>400.0</v>
      </c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/>
      <c r="C8" s="34"/>
      <c r="D8" s="34"/>
      <c r="E8" s="34"/>
      <c r="F8" s="34"/>
      <c r="G8" s="34"/>
      <c r="H8" s="34" t="s">
        <v>44</v>
      </c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9">
        <v>1.0</v>
      </c>
      <c r="AE8" s="34"/>
      <c r="AF8" s="34" t="s">
        <v>41</v>
      </c>
      <c r="AG8" s="34"/>
      <c r="AH8" s="34" t="s">
        <v>45</v>
      </c>
      <c r="AI8" s="34" t="s">
        <v>26</v>
      </c>
      <c r="AJ8" s="34" t="s">
        <v>36</v>
      </c>
      <c r="AK8" s="34" t="s">
        <v>49</v>
      </c>
      <c r="AL8" s="40">
        <v>1300.0</v>
      </c>
      <c r="AM8" s="39">
        <v>1200.0</v>
      </c>
      <c r="AN8" s="34"/>
      <c r="AO8" s="34"/>
      <c r="AP8" s="34"/>
      <c r="AQ8" s="34"/>
      <c r="AR8" s="34"/>
      <c r="AS8" s="34" t="s">
        <v>46</v>
      </c>
      <c r="AT8" s="34"/>
      <c r="AU8" s="34" t="s">
        <v>48</v>
      </c>
      <c r="AV8" s="39">
        <v>-1200.0</v>
      </c>
      <c r="AW8" s="39">
        <v>-1200.0</v>
      </c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 t="str">
        <f>IFERROR(__xludf.DUMMYFUNCTION("""COMPUTED_VALUE"""),"Borrow Broker")</f>
        <v>Borrow Broker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4"/>
      <c r="D6" s="32"/>
      <c r="E6" s="34"/>
      <c r="F6" s="34" t="s">
        <v>45</v>
      </c>
      <c r="G6" s="34"/>
      <c r="H6" s="34"/>
      <c r="I6" s="34"/>
      <c r="J6" s="34"/>
      <c r="K6" s="34"/>
      <c r="L6" s="34"/>
      <c r="M6" s="34"/>
      <c r="N6" s="34" t="s">
        <v>46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 t="s">
        <v>44</v>
      </c>
      <c r="AE6" s="39">
        <v>1200.0</v>
      </c>
      <c r="AF6" s="34"/>
      <c r="AG6" s="34" t="s">
        <v>41</v>
      </c>
      <c r="AH6" s="39">
        <v>1.0</v>
      </c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 t="s">
        <v>48</v>
      </c>
      <c r="AZ6" s="34"/>
      <c r="BA6" s="34"/>
      <c r="BB6" s="34"/>
      <c r="BC6" s="34"/>
      <c r="BD6" s="34"/>
      <c r="BE6" s="39">
        <v>1200.0</v>
      </c>
      <c r="BF6" s="39">
        <v>1200.0</v>
      </c>
      <c r="BG6" s="34"/>
      <c r="BH6" s="34"/>
      <c r="BI6" s="34"/>
      <c r="BJ6" s="40">
        <v>1300.0</v>
      </c>
      <c r="BK6" s="34"/>
      <c r="BL6" s="34"/>
      <c r="BM6" s="34"/>
      <c r="BN6" s="34"/>
      <c r="BO6" s="34" t="s">
        <v>36</v>
      </c>
      <c r="BP6" s="34"/>
      <c r="BQ6" s="34"/>
      <c r="BR6" s="34"/>
      <c r="BS6" s="34" t="s">
        <v>26</v>
      </c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1" t="s">
        <v>47</v>
      </c>
      <c r="C6" s="41"/>
      <c r="D6" s="42">
        <v>0.0</v>
      </c>
      <c r="E6" s="43">
        <v>1000.0</v>
      </c>
      <c r="F6" s="41"/>
      <c r="G6" s="41" t="s">
        <v>45</v>
      </c>
      <c r="H6" s="42">
        <v>4.0</v>
      </c>
      <c r="I6" s="42">
        <v>5.0</v>
      </c>
      <c r="J6" s="42">
        <v>1.0</v>
      </c>
      <c r="K6" s="42">
        <v>1.0</v>
      </c>
      <c r="L6" s="42">
        <v>1.0</v>
      </c>
      <c r="M6" s="41" t="s">
        <v>54</v>
      </c>
      <c r="N6" s="41"/>
      <c r="O6" s="41" t="s">
        <v>46</v>
      </c>
      <c r="P6" s="44"/>
      <c r="Q6" s="42">
        <v>3.0</v>
      </c>
      <c r="R6" s="42">
        <v>0.0</v>
      </c>
      <c r="S6" s="41" t="s">
        <v>55</v>
      </c>
      <c r="T6" s="42">
        <v>0.0</v>
      </c>
      <c r="U6" s="42">
        <v>0.0</v>
      </c>
      <c r="V6" s="41" t="s">
        <v>56</v>
      </c>
      <c r="W6" s="42">
        <v>1.0</v>
      </c>
      <c r="X6" s="42"/>
      <c r="Y6" s="44"/>
      <c r="Z6" s="41" t="s">
        <v>20</v>
      </c>
      <c r="AA6" s="41" t="s">
        <v>26</v>
      </c>
      <c r="AB6" s="42">
        <v>1.0</v>
      </c>
      <c r="AC6" s="41" t="s">
        <v>57</v>
      </c>
      <c r="AD6" s="41" t="s">
        <v>44</v>
      </c>
      <c r="AE6" s="43">
        <v>1000.0</v>
      </c>
      <c r="AF6" s="45"/>
      <c r="AG6" s="45"/>
      <c r="AH6" s="41" t="s">
        <v>41</v>
      </c>
      <c r="AI6" s="42">
        <v>1.0</v>
      </c>
      <c r="AJ6" s="41" t="s">
        <v>58</v>
      </c>
      <c r="AK6" s="44"/>
      <c r="AL6" s="44"/>
      <c r="AM6" s="41" t="s">
        <v>59</v>
      </c>
      <c r="AN6" s="41" t="b">
        <v>0</v>
      </c>
      <c r="AO6" s="44"/>
      <c r="AP6" s="41" t="b">
        <v>1</v>
      </c>
      <c r="AQ6" s="41" t="b">
        <v>0</v>
      </c>
      <c r="AR6" s="41" t="b">
        <v>1</v>
      </c>
      <c r="AS6" s="42">
        <v>0.0</v>
      </c>
      <c r="AT6" s="43">
        <v>1014.0006</v>
      </c>
      <c r="AU6" s="43">
        <v>1014.0006</v>
      </c>
      <c r="AV6" s="46"/>
      <c r="AW6" s="42">
        <v>0.0</v>
      </c>
      <c r="AX6" s="42">
        <v>0.0</v>
      </c>
      <c r="AY6" s="41" t="s">
        <v>48</v>
      </c>
      <c r="AZ6" s="42">
        <v>0.0</v>
      </c>
      <c r="BA6" s="46"/>
      <c r="BB6" s="44"/>
      <c r="BC6" s="42">
        <v>0.0</v>
      </c>
      <c r="BD6" s="41" t="s">
        <v>60</v>
      </c>
      <c r="BE6" s="43">
        <v>1000.0</v>
      </c>
      <c r="BF6" s="43">
        <v>1000.0</v>
      </c>
      <c r="BG6" s="46"/>
      <c r="BH6" s="44"/>
      <c r="BI6" s="44"/>
      <c r="BJ6" s="43">
        <v>1000.0</v>
      </c>
      <c r="BK6" s="42">
        <v>0.0</v>
      </c>
      <c r="BL6" s="41"/>
      <c r="BM6" s="41" t="s">
        <v>20</v>
      </c>
      <c r="BN6" s="46"/>
      <c r="BO6" s="41" t="s">
        <v>27</v>
      </c>
      <c r="BP6" s="42">
        <v>0.0</v>
      </c>
      <c r="BQ6" s="42">
        <v>0.0</v>
      </c>
      <c r="BR6" s="42">
        <v>6.0E-4</v>
      </c>
      <c r="BS6" s="41" t="s">
        <v>61</v>
      </c>
      <c r="BT6" s="41" t="s">
        <v>26</v>
      </c>
      <c r="BU6" s="42">
        <v>3.0</v>
      </c>
      <c r="BV6" s="42">
        <v>0.0</v>
      </c>
      <c r="BW6" s="42">
        <v>14.0006</v>
      </c>
      <c r="BX6" s="42">
        <v>0.0</v>
      </c>
      <c r="BY6" s="44"/>
      <c r="BZ6" s="44"/>
      <c r="CA6" s="44"/>
      <c r="CB6" s="44"/>
      <c r="CC6" s="44"/>
      <c r="CD6" s="44"/>
      <c r="CE6" s="46"/>
      <c r="CF6" s="41" t="s">
        <v>62</v>
      </c>
      <c r="CG6" s="42">
        <v>2.0</v>
      </c>
      <c r="CH6" s="41" t="s">
        <v>24</v>
      </c>
      <c r="CI6" s="41" t="s">
        <v>27</v>
      </c>
      <c r="CJ6" s="42">
        <v>0.0</v>
      </c>
      <c r="CK6" s="41" t="s">
        <v>63</v>
      </c>
      <c r="CL6" s="42">
        <v>1.0</v>
      </c>
      <c r="CM6" s="41" t="s">
        <v>26</v>
      </c>
      <c r="CN6" s="41" t="s">
        <v>64</v>
      </c>
      <c r="CO6" s="41" t="s">
        <v>44</v>
      </c>
      <c r="CP6" s="41" t="s">
        <v>65</v>
      </c>
      <c r="CQ6" s="45"/>
      <c r="CR6" s="42"/>
      <c r="CS6" s="44"/>
      <c r="CT6" s="44"/>
      <c r="CU6" s="44"/>
    </row>
    <row r="7" ht="15.75" customHeight="1">
      <c r="A7" s="8"/>
      <c r="B7" s="41" t="s">
        <v>19</v>
      </c>
      <c r="C7" s="41"/>
      <c r="D7" s="42">
        <v>0.0</v>
      </c>
      <c r="E7" s="42">
        <v>400.0</v>
      </c>
      <c r="F7" s="41" t="s">
        <v>66</v>
      </c>
      <c r="G7" s="41" t="s">
        <v>45</v>
      </c>
      <c r="H7" s="42">
        <v>4.0</v>
      </c>
      <c r="I7" s="42">
        <v>5.0</v>
      </c>
      <c r="J7" s="42">
        <v>1.0</v>
      </c>
      <c r="K7" s="42">
        <v>1.0</v>
      </c>
      <c r="L7" s="42">
        <v>1.0</v>
      </c>
      <c r="M7" s="41" t="s">
        <v>54</v>
      </c>
      <c r="N7" s="41"/>
      <c r="O7" s="41" t="s">
        <v>46</v>
      </c>
      <c r="P7" s="44"/>
      <c r="Q7" s="42">
        <v>3.0</v>
      </c>
      <c r="R7" s="42">
        <v>0.0</v>
      </c>
      <c r="S7" s="41" t="s">
        <v>55</v>
      </c>
      <c r="T7" s="42">
        <v>0.0</v>
      </c>
      <c r="U7" s="42">
        <v>0.0</v>
      </c>
      <c r="V7" s="41" t="s">
        <v>56</v>
      </c>
      <c r="W7" s="42">
        <v>1.0</v>
      </c>
      <c r="X7" s="42"/>
      <c r="Y7" s="44"/>
      <c r="Z7" s="41" t="s">
        <v>20</v>
      </c>
      <c r="AA7" s="41" t="s">
        <v>26</v>
      </c>
      <c r="AB7" s="42">
        <v>1.0</v>
      </c>
      <c r="AC7" s="41" t="s">
        <v>57</v>
      </c>
      <c r="AD7" s="41" t="s">
        <v>44</v>
      </c>
      <c r="AE7" s="42">
        <v>400.0</v>
      </c>
      <c r="AF7" s="45"/>
      <c r="AG7" s="45"/>
      <c r="AH7" s="41" t="s">
        <v>41</v>
      </c>
      <c r="AI7" s="42">
        <v>1.0</v>
      </c>
      <c r="AJ7" s="41" t="s">
        <v>58</v>
      </c>
      <c r="AK7" s="44"/>
      <c r="AL7" s="44"/>
      <c r="AM7" s="41" t="s">
        <v>59</v>
      </c>
      <c r="AN7" s="41" t="b">
        <v>0</v>
      </c>
      <c r="AO7" s="44"/>
      <c r="AP7" s="41" t="b">
        <v>1</v>
      </c>
      <c r="AQ7" s="41" t="b">
        <v>0</v>
      </c>
      <c r="AR7" s="41" t="b">
        <v>1</v>
      </c>
      <c r="AS7" s="42">
        <v>0.0</v>
      </c>
      <c r="AT7" s="42">
        <v>414.0002</v>
      </c>
      <c r="AU7" s="42">
        <v>414.0002</v>
      </c>
      <c r="AV7" s="46"/>
      <c r="AW7" s="42">
        <v>0.0</v>
      </c>
      <c r="AX7" s="42">
        <v>0.0</v>
      </c>
      <c r="AY7" s="41" t="s">
        <v>48</v>
      </c>
      <c r="AZ7" s="42">
        <v>0.0</v>
      </c>
      <c r="BA7" s="46"/>
      <c r="BB7" s="44"/>
      <c r="BC7" s="42">
        <v>0.0</v>
      </c>
      <c r="BD7" s="41" t="s">
        <v>60</v>
      </c>
      <c r="BE7" s="42">
        <v>400.0</v>
      </c>
      <c r="BF7" s="42">
        <v>400.0</v>
      </c>
      <c r="BG7" s="46"/>
      <c r="BH7" s="44"/>
      <c r="BI7" s="44"/>
      <c r="BJ7" s="42">
        <v>400.0</v>
      </c>
      <c r="BK7" s="42">
        <v>0.0</v>
      </c>
      <c r="BL7" s="41"/>
      <c r="BM7" s="41" t="s">
        <v>20</v>
      </c>
      <c r="BN7" s="46"/>
      <c r="BO7" s="41" t="s">
        <v>27</v>
      </c>
      <c r="BP7" s="42">
        <v>0.0</v>
      </c>
      <c r="BQ7" s="42">
        <v>0.0</v>
      </c>
      <c r="BR7" s="42">
        <v>2.0E-4</v>
      </c>
      <c r="BS7" s="41" t="s">
        <v>61</v>
      </c>
      <c r="BT7" s="41" t="s">
        <v>26</v>
      </c>
      <c r="BU7" s="42">
        <v>3.0</v>
      </c>
      <c r="BV7" s="42">
        <v>0.0</v>
      </c>
      <c r="BW7" s="42">
        <v>14.0002</v>
      </c>
      <c r="BX7" s="42">
        <v>0.0</v>
      </c>
      <c r="BY7" s="44"/>
      <c r="BZ7" s="44"/>
      <c r="CA7" s="44"/>
      <c r="CB7" s="44"/>
      <c r="CC7" s="44"/>
      <c r="CD7" s="44"/>
      <c r="CE7" s="46"/>
      <c r="CF7" s="41" t="s">
        <v>62</v>
      </c>
      <c r="CG7" s="42">
        <v>2.0</v>
      </c>
      <c r="CH7" s="41" t="s">
        <v>24</v>
      </c>
      <c r="CI7" s="41" t="s">
        <v>27</v>
      </c>
      <c r="CJ7" s="42">
        <v>0.0</v>
      </c>
      <c r="CK7" s="41" t="s">
        <v>63</v>
      </c>
      <c r="CL7" s="42">
        <v>1.0</v>
      </c>
      <c r="CM7" s="41" t="s">
        <v>26</v>
      </c>
      <c r="CN7" s="41" t="s">
        <v>64</v>
      </c>
      <c r="CO7" s="41" t="s">
        <v>44</v>
      </c>
      <c r="CP7" s="41" t="s">
        <v>65</v>
      </c>
      <c r="CQ7" s="45"/>
      <c r="CR7" s="42"/>
      <c r="CS7" s="44"/>
      <c r="CT7" s="44"/>
      <c r="CU7" s="4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