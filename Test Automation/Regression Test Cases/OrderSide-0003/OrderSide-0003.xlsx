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SetGeneralRuleCalculatedPref" sheetId="7" r:id="rId9"/>
    <sheet state="visible" name="UpdateGRAccountValue" sheetId="8" r:id="rId10"/>
    <sheet state="visible" name="UpdateGRStrategyValue" sheetId="9" r:id="rId11"/>
    <sheet state="visible" name="UpdateGRDefaultRule" sheetId="10" r:id="rId12"/>
    <sheet state="visible" name="SetGeneralRuleCalculatedPref1" sheetId="11" r:id="rId13"/>
    <sheet state="visible" name="UpdateGRAccountValue1" sheetId="12" r:id="rId14"/>
    <sheet state="visible" name="UpdateGRDefaultRule1" sheetId="13" r:id="rId15"/>
    <sheet state="visible" name="SetGeneralRuleCalculatedPref2" sheetId="14" r:id="rId16"/>
    <sheet state="visible" name="UpdateGRAccountValue2" sheetId="15" r:id="rId17"/>
    <sheet state="visible" name="UpdateGRDefaultRule2" sheetId="16" r:id="rId18"/>
    <sheet state="visible" name="SetGeneralRuleCalculatedPref3" sheetId="17" r:id="rId19"/>
    <sheet state="visible" name="UpdateGRAccountValue3" sheetId="18" r:id="rId20"/>
    <sheet state="visible" name="UpdateGRDefaultRule3" sheetId="19" r:id="rId21"/>
    <sheet state="visible" name="CreateDoneAwayOrder" sheetId="20" r:id="rId22"/>
    <sheet state="visible" name="SelectUnallocatedGroup" sheetId="21" r:id="rId23"/>
    <sheet state="visible" name="EnterAllocatePreference" sheetId="22" r:id="rId24"/>
    <sheet state="visible" name="CheckAllocatedGroups" sheetId="23" r:id="rId25"/>
    <sheet state="visible" name="GetDataClosing" sheetId="24" r:id="rId26"/>
    <sheet state="visible" name="VerifyLongPositionsGrid" sheetId="25" r:id="rId27"/>
    <sheet state="visible" name="VerifyShortPositionsGrid" sheetId="26" r:id="rId28"/>
    <sheet state="visible" name="GetDataAllocation" sheetId="27" r:id="rId29"/>
  </sheets>
  <definedNames/>
  <calcPr/>
</workbook>
</file>

<file path=xl/sharedStrings.xml><?xml version="1.0" encoding="utf-8"?>
<sst xmlns="http://schemas.openxmlformats.org/spreadsheetml/2006/main" count="360" uniqueCount="66">
  <si>
    <t>Master Data Info</t>
  </si>
  <si>
    <t>Settings</t>
  </si>
  <si>
    <t>Modules Info</t>
  </si>
  <si>
    <t>Module Step Setting File</t>
  </si>
  <si>
    <t>Modules</t>
  </si>
  <si>
    <t>1ME5nnmNmgGcG-gtQosTv7DydLzJUA3iWN2GBgspatg8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</si>
  <si>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</si>
  <si>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</si>
  <si>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</si>
  <si>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</si>
  <si>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</si>
  <si>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</si>
  <si>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</si>
  <si>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</si>
  <si>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</si>
  <si>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</si>
  <si>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</si>
  <si>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Allocation1</t>
  </si>
  <si>
    <t>Allocation2</t>
  </si>
  <si>
    <t>SetDefaultRuleCalculatedPref</t>
  </si>
  <si>
    <t>Trade Quantity</t>
  </si>
  <si>
    <t>Prorata</t>
  </si>
  <si>
    <t>SetGeneralRuleCalculatedPref</t>
  </si>
  <si>
    <t>Include</t>
  </si>
  <si>
    <t>Equity</t>
  </si>
  <si>
    <t>Buy,Sell</t>
  </si>
  <si>
    <t>UpdateGRAccountValue</t>
  </si>
  <si>
    <t>Allocation3</t>
  </si>
  <si>
    <t>UpdateGRStrategyValue</t>
  </si>
  <si>
    <t>S1</t>
  </si>
  <si>
    <t>UpdateGRDefaultRule</t>
  </si>
  <si>
    <t>Account Inception</t>
  </si>
  <si>
    <t>S2</t>
  </si>
  <si>
    <t>Exclude</t>
  </si>
  <si>
    <t>Fair Pricing</t>
  </si>
  <si>
    <t>Current Preference</t>
  </si>
  <si>
    <t>Future</t>
  </si>
  <si>
    <t>EquityOption</t>
  </si>
  <si>
    <t>Buy to Open,Sell to Close</t>
  </si>
  <si>
    <t>OFFSHORE</t>
  </si>
  <si>
    <t>LP C/O</t>
  </si>
  <si>
    <t>TradingTicket</t>
  </si>
  <si>
    <t>CreateDoneAwayOrder</t>
  </si>
  <si>
    <t>SelectUnallocatedGroup</t>
  </si>
  <si>
    <t>MSFT</t>
  </si>
  <si>
    <t>Buy</t>
  </si>
  <si>
    <t>Unallocated</t>
  </si>
  <si>
    <t>Sell</t>
  </si>
  <si>
    <t>FLO</t>
  </si>
  <si>
    <t>Sell short</t>
  </si>
  <si>
    <t>Buy to Close</t>
  </si>
  <si>
    <t>CL F9</t>
  </si>
  <si>
    <t>Buy to Open</t>
  </si>
  <si>
    <t>O:ABM 10D20.00</t>
  </si>
  <si>
    <t>Sell to Close</t>
  </si>
  <si>
    <t>EnterAllocatePreference</t>
  </si>
  <si>
    <t>CheckAllocatedGroups</t>
  </si>
  <si>
    <t>Closing</t>
  </si>
  <si>
    <t>GetDataClosing</t>
  </si>
  <si>
    <t>Calculated</t>
  </si>
  <si>
    <t>Current</t>
  </si>
  <si>
    <t>Multiple</t>
  </si>
  <si>
    <t>VerifyShortPositionsGrid</t>
  </si>
  <si>
    <t>VerifyLongPositionsGrid</t>
  </si>
  <si>
    <t>GetDataAllocation</t>
  </si>
  <si>
    <t xml:space="preserve">Buy to Open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</si>
</sst>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000000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4" fontId="7" numFmtId="0" xfId="0" applyAlignment="1" applyFill="1" applyFont="1">
      <alignment horizontal="left" readingOrder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4" fillId="6" fontId="6" numFmtId="0" xfId="0" applyAlignment="1" applyBorder="1" applyFont="1">
      <alignment readingOrder="0" shrinkToFit="0" wrapText="0"/>
    </xf>
    <xf borderId="0" fillId="6" fontId="11" numFmtId="0" xfId="0" applyFont="1"/>
    <xf borderId="0" fillId="0" fontId="4" numFmtId="0" xfId="0" applyAlignment="1" applyFont="1">
      <alignment readingOrder="0" shrinkToFit="0" wrapText="0"/>
    </xf>
    <xf borderId="0" fillId="4" fontId="14" numFmtId="0" xfId="0" applyFont="1"/>
    <xf borderId="0" fillId="4" fontId="14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0" fillId="4" fontId="1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shrinkToFit="0" vertical="bottom" wrapText="0"/>
    </xf>
    <xf borderId="0" fillId="0" fontId="4" numFmtId="14" xfId="0" applyAlignment="1" applyFont="1" applyNumberFormat="1">
      <alignment horizontal="right" shrinkToFit="0" vertical="bottom" wrapText="0"/>
    </xf>
    <xf borderId="0" fillId="4" fontId="15" numFmtId="0" xfId="0" applyAlignment="1" applyFont="1">
      <alignment vertical="bottom"/>
    </xf>
    <xf borderId="5" fillId="6" fontId="5" numFmtId="0" xfId="0" applyAlignment="1" applyBorder="1" applyFont="1">
      <alignment vertical="bottom"/>
    </xf>
    <xf borderId="3" fillId="6" fontId="6" numFmtId="0" xfId="0" applyAlignment="1" applyBorder="1" applyFont="1">
      <alignment shrinkToFit="0" vertical="bottom" wrapText="0"/>
    </xf>
    <xf borderId="3" fillId="6" fontId="6" numFmtId="0" xfId="0" applyAlignment="1" applyBorder="1" applyFont="1">
      <alignment shrinkToFit="0" vertical="bottom" wrapText="0"/>
    </xf>
    <xf borderId="0" fillId="6" fontId="16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12" t="s">
        <v>6</v>
      </c>
      <c r="B4" s="13" t="s">
        <v>8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27.57"/>
    <col customWidth="1" min="3" max="3" width="28.43"/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2" t="s">
        <v>7</v>
      </c>
      <c r="B3" s="14" t="s">
        <v>9</v>
      </c>
      <c r="C3" s="14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13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tr">
        <f>"Order-"&amp;text(TODAY(),"dd-mm-yy")</f>
        <v>Order-24-06-19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1svq-61dzaRHeNDz1TSSUPXQbbN3Mi4bhNQabvGVoz2c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16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31" t="str">
        <f t="shared" ref="B6:B7" si="1">"Order-"&amp;text(TODAY(),"dd-mm-yy")</f>
        <v>Order-24-06-19</v>
      </c>
      <c r="C6" s="13" t="s">
        <v>17</v>
      </c>
      <c r="D6" s="13">
        <v>90.0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2" t="str">
        <f t="shared" si="1"/>
        <v>Order-24-06-19</v>
      </c>
      <c r="C7" s="13" t="s">
        <v>18</v>
      </c>
      <c r="D7" s="13">
        <v>10.0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1j6MD8nFEuJNo52Mp8uXbXRmrJs802rnEIiTOEuZFdWA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19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5" t="s">
        <v>20</v>
      </c>
      <c r="C6" s="36"/>
      <c r="D6" s="35" t="s">
        <v>21</v>
      </c>
      <c r="E6" s="36" t="s">
        <v>17</v>
      </c>
      <c r="F6" s="36"/>
      <c r="G6" s="37" t="b">
        <v>0</v>
      </c>
      <c r="H6" s="38" t="str">
        <f>"Order-"&amp;text(TODAY(),"dd-mm-yy")</f>
        <v>Order-24-06-19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22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4"/>
      <c r="C6" s="36"/>
      <c r="D6" s="35" t="s">
        <v>23</v>
      </c>
      <c r="E6" s="39" t="s">
        <v>24</v>
      </c>
      <c r="F6" s="36"/>
      <c r="G6" s="36"/>
      <c r="H6" s="39" t="s">
        <v>23</v>
      </c>
      <c r="I6" s="39" t="s">
        <v>25</v>
      </c>
      <c r="J6" s="38" t="str">
        <f>"Order-"&amp;text(TODAY(),"dd-mm-yy")</f>
        <v>Order-24-06-19</v>
      </c>
      <c r="K6" s="40"/>
      <c r="L6" s="41"/>
      <c r="M6" s="39"/>
      <c r="N6" s="39"/>
      <c r="O6" s="42"/>
      <c r="P6" s="39"/>
      <c r="Q6" s="36"/>
      <c r="R6" s="39"/>
      <c r="S6" s="36"/>
      <c r="T6" s="36"/>
      <c r="U6" s="37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26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13" t="s">
        <v>18</v>
      </c>
      <c r="D6" s="13">
        <v>60.0</v>
      </c>
      <c r="E6" s="13"/>
      <c r="F6" s="6"/>
      <c r="G6" s="6"/>
      <c r="H6" s="6"/>
      <c r="I6" s="6"/>
      <c r="J6" s="6"/>
      <c r="K6" s="13"/>
      <c r="L6" s="13"/>
      <c r="N6" s="13"/>
    </row>
    <row r="7" ht="15.75" customHeight="1">
      <c r="A7" s="6"/>
      <c r="B7" s="6"/>
      <c r="C7" s="13" t="s">
        <v>27</v>
      </c>
      <c r="D7" s="13">
        <v>40.0</v>
      </c>
      <c r="E7" s="13"/>
      <c r="F7" s="6"/>
      <c r="G7" s="6"/>
      <c r="H7" s="6"/>
      <c r="I7" s="6"/>
      <c r="J7" s="6"/>
      <c r="K7" s="13"/>
      <c r="L7" s="13"/>
      <c r="N7" s="1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28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13" t="s">
        <v>18</v>
      </c>
      <c r="D6" s="13" t="s">
        <v>29</v>
      </c>
      <c r="E6" s="13">
        <v>100.0</v>
      </c>
      <c r="F6" s="6"/>
      <c r="G6" s="6"/>
      <c r="H6" s="6"/>
      <c r="I6" s="6"/>
      <c r="J6" s="6"/>
      <c r="K6" s="13"/>
      <c r="L6" s="13"/>
      <c r="N6" s="13"/>
    </row>
    <row r="7" ht="15.75" customHeight="1">
      <c r="A7" s="6"/>
      <c r="B7" s="6"/>
      <c r="C7" s="13"/>
      <c r="D7" s="13"/>
      <c r="E7" s="13"/>
      <c r="F7" s="6"/>
      <c r="G7" s="6"/>
      <c r="H7" s="6"/>
      <c r="I7" s="6"/>
      <c r="J7" s="6"/>
      <c r="K7" s="13"/>
      <c r="L7" s="13"/>
      <c r="N7" s="1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30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5" t="s">
        <v>20</v>
      </c>
      <c r="C6" s="34"/>
      <c r="D6" s="35" t="s">
        <v>31</v>
      </c>
      <c r="E6" s="34"/>
      <c r="F6" s="36"/>
      <c r="G6" s="37" t="b">
        <v>0</v>
      </c>
      <c r="H6" s="38"/>
      <c r="I6" s="36"/>
      <c r="J6" s="36"/>
      <c r="K6" s="34"/>
      <c r="L6" s="34"/>
      <c r="M6" s="36"/>
      <c r="N6" s="34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13"/>
      <c r="D7" s="13"/>
      <c r="E7" s="13"/>
      <c r="F7" s="6"/>
      <c r="G7" s="6"/>
      <c r="H7" s="6"/>
      <c r="I7" s="6"/>
      <c r="J7" s="6"/>
      <c r="K7" s="13"/>
      <c r="L7" s="13"/>
      <c r="N7" s="13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22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4"/>
      <c r="C6" s="36"/>
      <c r="D6" s="35" t="s">
        <v>23</v>
      </c>
      <c r="E6" s="39" t="s">
        <v>24</v>
      </c>
      <c r="F6" s="36"/>
      <c r="G6" s="36"/>
      <c r="H6" s="39" t="s">
        <v>33</v>
      </c>
      <c r="I6" s="39" t="s">
        <v>25</v>
      </c>
      <c r="J6" s="38" t="str">
        <f>"Order-"&amp;text(TODAY(),"dd-mm-yy")</f>
        <v>Order-24-06-19</v>
      </c>
      <c r="M6" s="36"/>
      <c r="N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26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9" t="s">
        <v>18</v>
      </c>
      <c r="D6" s="42">
        <v>100.0</v>
      </c>
      <c r="E6" s="13"/>
      <c r="F6" s="6"/>
      <c r="G6" s="6"/>
      <c r="H6" s="6"/>
      <c r="I6" s="6"/>
      <c r="J6" s="6"/>
      <c r="K6" s="13"/>
      <c r="L6" s="13"/>
      <c r="N6" s="13"/>
    </row>
    <row r="7" ht="15.75" customHeight="1">
      <c r="A7" s="6"/>
      <c r="B7" s="6"/>
      <c r="C7" s="13"/>
      <c r="D7" s="13"/>
      <c r="E7" s="13"/>
      <c r="F7" s="6"/>
      <c r="G7" s="6"/>
      <c r="H7" s="6"/>
      <c r="I7" s="6"/>
      <c r="J7" s="6"/>
      <c r="K7" s="13"/>
      <c r="L7" s="13"/>
      <c r="N7" s="1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30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6"/>
      <c r="B6" s="39" t="s">
        <v>34</v>
      </c>
      <c r="C6" s="36"/>
      <c r="D6" s="39" t="s">
        <v>35</v>
      </c>
      <c r="E6" s="36"/>
      <c r="F6" s="36"/>
      <c r="G6" s="37" t="b">
        <v>0</v>
      </c>
      <c r="H6" s="36"/>
      <c r="I6" s="36"/>
      <c r="J6" s="36"/>
      <c r="K6" s="34"/>
      <c r="L6" s="34"/>
      <c r="M6" s="36"/>
      <c r="N6" s="34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13"/>
      <c r="D7" s="13"/>
      <c r="E7" s="13"/>
      <c r="F7" s="6"/>
      <c r="G7" s="6"/>
      <c r="H7" s="6"/>
      <c r="I7" s="6"/>
      <c r="J7" s="6"/>
      <c r="K7" s="13"/>
      <c r="L7" s="13"/>
      <c r="N7" s="13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22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</row>
    <row r="6" ht="15.75" customHeight="1">
      <c r="A6" s="34"/>
      <c r="B6" s="34"/>
      <c r="C6" s="36"/>
      <c r="D6" s="35" t="s">
        <v>23</v>
      </c>
      <c r="E6" s="39" t="s">
        <v>36</v>
      </c>
      <c r="F6" s="36"/>
      <c r="G6" s="36"/>
      <c r="H6" s="36"/>
      <c r="I6" s="36"/>
      <c r="J6" s="38" t="str">
        <f>"Order-"&amp;text(TODAY(),"dd-mm-yy")</f>
        <v>Order-24-06-19</v>
      </c>
      <c r="K6" s="43"/>
      <c r="L6" s="43"/>
      <c r="M6" s="36"/>
      <c r="N6" s="36"/>
      <c r="O6" s="36"/>
      <c r="P6" s="39"/>
      <c r="Q6" s="36"/>
      <c r="R6" s="39"/>
      <c r="S6" s="36"/>
      <c r="T6" s="36"/>
      <c r="U6" s="37"/>
      <c r="V6" s="38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26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9" t="s">
        <v>18</v>
      </c>
      <c r="D6" s="42">
        <v>50.0</v>
      </c>
      <c r="E6" s="13"/>
      <c r="F6" s="6"/>
      <c r="G6" s="6"/>
      <c r="H6" s="6"/>
      <c r="I6" s="6"/>
      <c r="J6" s="6"/>
      <c r="K6" s="13"/>
      <c r="L6" s="13"/>
      <c r="N6" s="13" t="s">
        <v>29</v>
      </c>
    </row>
    <row r="7" ht="15.75" customHeight="1">
      <c r="A7" s="6"/>
      <c r="B7" s="6"/>
      <c r="C7" s="35" t="s">
        <v>17</v>
      </c>
      <c r="D7" s="44">
        <v>50.0</v>
      </c>
      <c r="E7" s="13"/>
      <c r="F7" s="6"/>
      <c r="G7" s="6"/>
      <c r="H7" s="6"/>
      <c r="I7" s="6"/>
      <c r="J7" s="6"/>
      <c r="K7" s="13"/>
      <c r="L7" s="13"/>
      <c r="N7" s="13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30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6"/>
      <c r="B6" s="39" t="s">
        <v>34</v>
      </c>
      <c r="C6" s="36"/>
      <c r="D6" s="35" t="s">
        <v>31</v>
      </c>
      <c r="E6" s="36"/>
      <c r="F6" s="36"/>
      <c r="G6" s="37" t="b">
        <v>1</v>
      </c>
      <c r="H6" s="36"/>
      <c r="I6" s="36"/>
      <c r="J6" s="36"/>
      <c r="K6" s="34"/>
      <c r="L6" s="34"/>
      <c r="M6" s="36"/>
      <c r="N6" s="34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13"/>
      <c r="D7" s="13"/>
      <c r="E7" s="13"/>
      <c r="F7" s="6"/>
      <c r="G7" s="6"/>
      <c r="H7" s="6"/>
      <c r="I7" s="6"/>
      <c r="J7" s="6"/>
      <c r="K7" s="13"/>
      <c r="L7" s="13"/>
      <c r="N7" s="13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22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</row>
    <row r="6" ht="15.75" customHeight="1">
      <c r="A6" s="34"/>
      <c r="B6" s="34"/>
      <c r="C6" s="36"/>
      <c r="D6" s="35" t="s">
        <v>23</v>
      </c>
      <c r="E6" s="39" t="s">
        <v>37</v>
      </c>
      <c r="F6" s="36"/>
      <c r="G6" s="36"/>
      <c r="H6" s="39" t="s">
        <v>23</v>
      </c>
      <c r="I6" s="39" t="s">
        <v>38</v>
      </c>
      <c r="J6" s="38" t="str">
        <f>"Order-"&amp;text(TODAY(),"dd-mm-yy")</f>
        <v>Order-24-06-19</v>
      </c>
      <c r="K6" s="43"/>
      <c r="L6" s="43"/>
      <c r="M6" s="36"/>
      <c r="N6" s="36"/>
      <c r="O6" s="36"/>
      <c r="P6" s="36"/>
      <c r="Q6" s="36"/>
      <c r="R6" s="39"/>
      <c r="S6" s="36"/>
      <c r="T6" s="36"/>
      <c r="U6" s="37"/>
      <c r="V6" s="38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26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/>
      <c r="C6" s="39" t="s">
        <v>39</v>
      </c>
      <c r="D6" s="42">
        <v>75.0</v>
      </c>
      <c r="E6" s="13"/>
      <c r="F6" s="6"/>
      <c r="G6" s="6"/>
      <c r="H6" s="6"/>
      <c r="I6" s="6"/>
      <c r="J6" s="6"/>
      <c r="K6" s="13"/>
      <c r="L6" s="13"/>
      <c r="N6" s="13" t="s">
        <v>29</v>
      </c>
    </row>
    <row r="7" ht="15.75" customHeight="1">
      <c r="A7" s="6"/>
      <c r="B7" s="6"/>
      <c r="C7" s="35" t="s">
        <v>40</v>
      </c>
      <c r="D7" s="44">
        <v>25.0</v>
      </c>
      <c r="E7" s="13"/>
      <c r="F7" s="6"/>
      <c r="G7" s="6"/>
      <c r="H7" s="6"/>
      <c r="I7" s="6"/>
      <c r="J7" s="6"/>
      <c r="K7" s="13"/>
      <c r="L7" s="13"/>
      <c r="N7" s="13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30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6"/>
      <c r="B6" s="36" t="s">
        <v>20</v>
      </c>
      <c r="C6" s="36"/>
      <c r="D6" s="35" t="s">
        <v>35</v>
      </c>
      <c r="E6" s="36"/>
      <c r="F6" s="36"/>
      <c r="G6" s="37" t="b">
        <v>0</v>
      </c>
      <c r="H6" s="38"/>
      <c r="I6" s="36"/>
      <c r="J6" s="36"/>
      <c r="K6" s="34"/>
      <c r="L6" s="34"/>
      <c r="M6" s="36"/>
      <c r="N6" s="34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13"/>
      <c r="D7" s="13"/>
      <c r="E7" s="13"/>
      <c r="F7" s="6"/>
      <c r="G7" s="6"/>
      <c r="H7" s="6"/>
      <c r="I7" s="6"/>
      <c r="J7" s="6"/>
      <c r="K7" s="13"/>
      <c r="L7" s="13"/>
      <c r="N7" s="13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UpdateGRStrategyValue!$4:$4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1b5S4Xpp4fgZ1ez6cK92QFnVBylqz8jhwxdAyEvwDqUI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41</v>
      </c>
      <c r="D3" s="8" t="s">
        <v>9</v>
      </c>
      <c r="E3" s="22" t="s">
        <v>42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5" t="s">
        <v>44</v>
      </c>
      <c r="C6" s="39" t="s">
        <v>45</v>
      </c>
      <c r="D6" s="44">
        <v>100.0</v>
      </c>
      <c r="E6" s="42">
        <v>100.0</v>
      </c>
      <c r="F6" s="38" t="s">
        <v>18</v>
      </c>
      <c r="G6" s="36"/>
      <c r="H6" s="36"/>
      <c r="I6" s="36"/>
      <c r="J6" s="42">
        <v>100.0</v>
      </c>
      <c r="K6" s="36"/>
      <c r="L6" s="36"/>
      <c r="M6" s="36"/>
      <c r="N6" s="45">
        <f t="shared" ref="N6:N16" si="1">TODAY()</f>
        <v>43640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44</v>
      </c>
      <c r="C7" s="39" t="s">
        <v>45</v>
      </c>
      <c r="D7" s="42">
        <v>100.0</v>
      </c>
      <c r="E7" s="42">
        <v>100.0</v>
      </c>
      <c r="F7" s="38" t="s">
        <v>46</v>
      </c>
      <c r="G7" s="36"/>
      <c r="H7" s="36"/>
      <c r="I7" s="36"/>
      <c r="J7" s="42">
        <v>100.0</v>
      </c>
      <c r="K7" s="36"/>
      <c r="L7" s="36"/>
      <c r="M7" s="36"/>
      <c r="N7" s="45">
        <f t="shared" si="1"/>
        <v>43640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44</v>
      </c>
      <c r="C8" s="39" t="s">
        <v>47</v>
      </c>
      <c r="D8" s="42">
        <v>100.0</v>
      </c>
      <c r="E8" s="42">
        <v>100.0</v>
      </c>
      <c r="F8" s="38" t="s">
        <v>46</v>
      </c>
      <c r="G8" s="36"/>
      <c r="H8" s="36"/>
      <c r="I8" s="36"/>
      <c r="J8" s="42">
        <v>100.0</v>
      </c>
      <c r="K8" s="36"/>
      <c r="L8" s="36"/>
      <c r="M8" s="36"/>
      <c r="N8" s="45">
        <f t="shared" si="1"/>
        <v>43640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 t="s">
        <v>48</v>
      </c>
      <c r="C9" s="39" t="s">
        <v>49</v>
      </c>
      <c r="D9" s="42">
        <v>100.0</v>
      </c>
      <c r="E9" s="42">
        <v>100.0</v>
      </c>
      <c r="F9" s="38" t="s">
        <v>46</v>
      </c>
      <c r="G9" s="36"/>
      <c r="H9" s="36"/>
      <c r="I9" s="36"/>
      <c r="J9" s="42">
        <v>100.0</v>
      </c>
      <c r="K9" s="36"/>
      <c r="L9" s="36"/>
      <c r="M9" s="36"/>
      <c r="N9" s="45">
        <f t="shared" si="1"/>
        <v>43640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9" t="s">
        <v>48</v>
      </c>
      <c r="C10" s="39" t="s">
        <v>50</v>
      </c>
      <c r="D10" s="42">
        <v>100.0</v>
      </c>
      <c r="E10" s="42">
        <v>100.0</v>
      </c>
      <c r="F10" s="38" t="s">
        <v>46</v>
      </c>
      <c r="G10" s="36"/>
      <c r="H10" s="36"/>
      <c r="I10" s="36"/>
      <c r="J10" s="42">
        <v>100.0</v>
      </c>
      <c r="K10" s="36"/>
      <c r="L10" s="36"/>
      <c r="M10" s="36"/>
      <c r="N10" s="45">
        <f t="shared" si="1"/>
        <v>43640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9" t="s">
        <v>51</v>
      </c>
      <c r="C11" s="39" t="s">
        <v>52</v>
      </c>
      <c r="D11" s="42">
        <v>100.0</v>
      </c>
      <c r="E11" s="42">
        <v>100.0</v>
      </c>
      <c r="F11" s="38" t="s">
        <v>17</v>
      </c>
      <c r="G11" s="36"/>
      <c r="H11" s="36"/>
      <c r="I11" s="36"/>
      <c r="J11" s="42">
        <v>100.0</v>
      </c>
      <c r="K11" s="36"/>
      <c r="L11" s="36"/>
      <c r="M11" s="36"/>
      <c r="N11" s="45">
        <f t="shared" si="1"/>
        <v>43640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9" t="s">
        <v>51</v>
      </c>
      <c r="C12" s="39" t="s">
        <v>52</v>
      </c>
      <c r="D12" s="42">
        <v>100.0</v>
      </c>
      <c r="E12" s="42">
        <v>100.0</v>
      </c>
      <c r="F12" s="38" t="s">
        <v>46</v>
      </c>
      <c r="G12" s="36"/>
      <c r="H12" s="36"/>
      <c r="I12" s="36"/>
      <c r="J12" s="42">
        <v>100.0</v>
      </c>
      <c r="K12" s="36"/>
      <c r="L12" s="36"/>
      <c r="M12" s="36"/>
      <c r="N12" s="45">
        <f t="shared" si="1"/>
        <v>43640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6" t="s">
        <v>53</v>
      </c>
      <c r="C13" s="39" t="s">
        <v>45</v>
      </c>
      <c r="D13" s="42">
        <v>100.0</v>
      </c>
      <c r="E13" s="42">
        <v>100.0</v>
      </c>
      <c r="F13" s="38" t="s">
        <v>17</v>
      </c>
      <c r="G13" s="36"/>
      <c r="H13" s="36"/>
      <c r="I13" s="36"/>
      <c r="J13" s="42">
        <v>100.0</v>
      </c>
      <c r="K13" s="36"/>
      <c r="L13" s="36"/>
      <c r="M13" s="36"/>
      <c r="N13" s="45">
        <f t="shared" si="1"/>
        <v>43640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6" t="s">
        <v>53</v>
      </c>
      <c r="C14" s="39" t="s">
        <v>45</v>
      </c>
      <c r="D14" s="42">
        <v>100.0</v>
      </c>
      <c r="E14" s="42">
        <v>100.0</v>
      </c>
      <c r="F14" s="38" t="s">
        <v>46</v>
      </c>
      <c r="G14" s="36"/>
      <c r="H14" s="36"/>
      <c r="I14" s="36"/>
      <c r="J14" s="42">
        <v>100.0</v>
      </c>
      <c r="K14" s="36"/>
      <c r="L14" s="36"/>
      <c r="M14" s="36"/>
      <c r="N14" s="45">
        <f t="shared" si="1"/>
        <v>43640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46" t="s">
        <v>53</v>
      </c>
      <c r="C15" s="39" t="s">
        <v>52</v>
      </c>
      <c r="D15" s="42">
        <v>100.0</v>
      </c>
      <c r="E15" s="42">
        <v>100.0</v>
      </c>
      <c r="F15" s="38" t="s">
        <v>46</v>
      </c>
      <c r="G15" s="36"/>
      <c r="H15" s="36"/>
      <c r="I15" s="36"/>
      <c r="J15" s="42">
        <v>100.0</v>
      </c>
      <c r="K15" s="36"/>
      <c r="L15" s="36"/>
      <c r="M15" s="36"/>
      <c r="N15" s="45">
        <f t="shared" si="1"/>
        <v>43640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6" t="s">
        <v>53</v>
      </c>
      <c r="C16" s="39" t="s">
        <v>54</v>
      </c>
      <c r="D16" s="42">
        <v>100.0</v>
      </c>
      <c r="E16" s="42">
        <v>100.0</v>
      </c>
      <c r="F16" s="38" t="s">
        <v>46</v>
      </c>
      <c r="G16" s="36"/>
      <c r="H16" s="36"/>
      <c r="I16" s="36"/>
      <c r="J16" s="42">
        <v>100.0</v>
      </c>
      <c r="K16" s="36"/>
      <c r="L16" s="36"/>
      <c r="M16" s="36"/>
      <c r="N16" s="45">
        <f t="shared" si="1"/>
        <v>43640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1-RJhOo2E5PhyqaiMEjsPi8RpfYBuiSqE9fj_-bRpkKw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43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5" t="s">
        <v>44</v>
      </c>
      <c r="C6" s="39" t="s">
        <v>45</v>
      </c>
      <c r="D6" s="44">
        <v>100.0</v>
      </c>
      <c r="E6" s="42">
        <v>100.0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44</v>
      </c>
      <c r="C7" s="39" t="s">
        <v>47</v>
      </c>
      <c r="D7" s="42">
        <v>100.0</v>
      </c>
      <c r="E7" s="42">
        <v>100.0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48</v>
      </c>
      <c r="C8" s="39" t="s">
        <v>49</v>
      </c>
      <c r="D8" s="42">
        <v>100.0</v>
      </c>
      <c r="E8" s="42">
        <v>100.0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 t="s">
        <v>48</v>
      </c>
      <c r="C9" s="39" t="s">
        <v>50</v>
      </c>
      <c r="D9" s="42">
        <v>100.0</v>
      </c>
      <c r="E9" s="42">
        <v>100.0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9" t="s">
        <v>51</v>
      </c>
      <c r="C10" s="39" t="s">
        <v>52</v>
      </c>
      <c r="D10" s="42">
        <v>100.0</v>
      </c>
      <c r="E10" s="42">
        <v>100.0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6" t="s">
        <v>53</v>
      </c>
      <c r="C11" s="39" t="s">
        <v>45</v>
      </c>
      <c r="D11" s="42">
        <v>100.0</v>
      </c>
      <c r="E11" s="42">
        <v>100.0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6" t="s">
        <v>53</v>
      </c>
      <c r="C12" s="39" t="s">
        <v>52</v>
      </c>
      <c r="D12" s="42">
        <v>100.0</v>
      </c>
      <c r="E12" s="42">
        <v>100.0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6" t="s">
        <v>53</v>
      </c>
      <c r="C13" s="39" t="s">
        <v>54</v>
      </c>
      <c r="D13" s="42">
        <v>100.0</v>
      </c>
      <c r="E13" s="42">
        <v>100.0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55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5" t="s">
        <v>59</v>
      </c>
      <c r="C6" s="38" t="str">
        <f>"Order-"&amp;text(TODAY(),"dd-mm-yy")</f>
        <v>Order-24-06-19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56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47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IFERROR(__xludf.DUMMYFUNCTION("""COMPUTED_VALUE"""),"Account Name")</f>
        <v>Account Name</v>
      </c>
      <c r="C5" s="48" t="str">
        <f>IFERROR(__xludf.DUMMYFUNCTION("""COMPUTED_VALUE"""),"Accrual Basis")</f>
        <v>Accrual Basis</v>
      </c>
      <c r="D5" s="48" t="str">
        <f>IFERROR(__xludf.DUMMYFUNCTION("""COMPUTED_VALUE"""),"Accrued Interest")</f>
        <v>Accrued Interest</v>
      </c>
      <c r="E5" s="48" t="str">
        <f>IFERROR(__xludf.DUMMYFUNCTION("""COMPUTED_VALUE"""),"Allocated Qty")</f>
        <v>Allocated Qty</v>
      </c>
      <c r="F5" s="49" t="str">
        <f>IFERROR(__xludf.DUMMYFUNCTION("""COMPUTED_VALUE"""),"Allocation Scheme Name")</f>
        <v>Allocation Scheme Name</v>
      </c>
      <c r="G5" s="48" t="str">
        <f>IFERROR(__xludf.DUMMYFUNCTION("""COMPUTED_VALUE"""),"Asset Category")</f>
        <v>Asset Category</v>
      </c>
      <c r="H5" s="48" t="str">
        <f>IFERROR(__xludf.DUMMYFUNCTION("""COMPUTED_VALUE"""),"AUEC Fee1")</f>
        <v>AUEC Fee1</v>
      </c>
      <c r="I5" s="48" t="str">
        <f>IFERROR(__xludf.DUMMYFUNCTION("""COMPUTED_VALUE"""),"AUEC Fee2")</f>
        <v>AUEC Fee2</v>
      </c>
      <c r="J5" s="48" t="str">
        <f>IFERROR(__xludf.DUMMYFUNCTION("""COMPUTED_VALUE"""),"AUECID")</f>
        <v>AUECID</v>
      </c>
      <c r="K5" s="48" t="str">
        <f>IFERROR(__xludf.DUMMYFUNCTION("""COMPUTED_VALUE"""),"Avg Price(Base)")</f>
        <v>Avg Price(Base)</v>
      </c>
      <c r="L5" s="48" t="str">
        <f>IFERROR(__xludf.DUMMYFUNCTION("""COMPUTED_VALUE"""),"Avg Price(Local)")</f>
        <v>Avg Price(Local)</v>
      </c>
      <c r="M5" s="48" t="str">
        <f>IFERROR(__xludf.DUMMYFUNCTION("""COMPUTED_VALUE"""),"Bloomberg")</f>
        <v>Bloomberg</v>
      </c>
      <c r="N5" s="48" t="str">
        <f>IFERROR(__xludf.DUMMYFUNCTION("""COMPUTED_VALUE"""),"Bond Type")</f>
        <v>Bond Type</v>
      </c>
      <c r="O5" s="48" t="str">
        <f>IFERROR(__xludf.DUMMYFUNCTION("""COMPUTED_VALUE"""),"Broker")</f>
        <v>Broker</v>
      </c>
      <c r="P5" s="48" t="str">
        <f>IFERROR(__xludf.DUMMYFUNCTION("""COMPUTED_VALUE"""),"Change Comment")</f>
        <v>Change Comment</v>
      </c>
      <c r="Q5" s="48" t="str">
        <f>IFERROR(__xludf.DUMMYFUNCTION("""COMPUTED_VALUE"""),"Change Type")</f>
        <v>Change Type</v>
      </c>
      <c r="R5" s="48" t="str">
        <f>IFERROR(__xludf.DUMMYFUNCTION("""COMPUTED_VALUE"""),"Clearing Broker Fee")</f>
        <v>Clearing Broker Fee</v>
      </c>
      <c r="S5" s="48" t="str">
        <f>IFERROR(__xludf.DUMMYFUNCTION("""COMPUTED_VALUE"""),"Closing Status")</f>
        <v>Closing Status</v>
      </c>
      <c r="T5" s="50" t="str">
        <f>IFERROR(__xludf.DUMMYFUNCTION("""COMPUTED_VALUE"""),"Commission")</f>
        <v>Commission</v>
      </c>
      <c r="U5" s="50" t="str">
        <f>IFERROR(__xludf.DUMMYFUNCTION("""COMPUTED_VALUE"""),"Commission Per Share")</f>
        <v>Commission Per Share</v>
      </c>
      <c r="V5" s="50" t="str">
        <f>IFERROR(__xludf.DUMMYFUNCTION("""COMPUTED_VALUE"""),"Company")</f>
        <v>Company</v>
      </c>
      <c r="W5" s="50" t="str">
        <f>IFERROR(__xludf.DUMMYFUNCTION("""COMPUTED_VALUE"""),"Contract Multiplier")</f>
        <v>Contract Multiplier</v>
      </c>
      <c r="X5" s="50" t="str">
        <f>IFERROR(__xludf.DUMMYFUNCTION("""COMPUTED_VALUE"""),"Coupon Rate")</f>
        <v>Coupon Rate</v>
      </c>
      <c r="Y5" s="50" t="str">
        <f>IFERROR(__xludf.DUMMYFUNCTION("""COMPUTED_VALUE"""),"Cum Qty For Sub Order")</f>
        <v>Cum Qty For Sub Order</v>
      </c>
      <c r="Z5" s="50" t="str">
        <f>IFERROR(__xludf.DUMMYFUNCTION("""COMPUTED_VALUE"""),"Currency")</f>
        <v>Currency</v>
      </c>
      <c r="AA5" s="50" t="str">
        <f>IFERROR(__xludf.DUMMYFUNCTION("""COMPUTED_VALUE"""),"Cusip Symbol")</f>
        <v>Cusip Symbol</v>
      </c>
      <c r="AB5" s="50" t="str">
        <f>IFERROR(__xludf.DUMMYFUNCTION("""COMPUTED_VALUE"""),"Delta")</f>
        <v>Delta</v>
      </c>
      <c r="AC5" s="50" t="str">
        <f>IFERROR(__xludf.DUMMYFUNCTION("""COMPUTED_VALUE"""),"Description")</f>
        <v>Description</v>
      </c>
      <c r="AD5" s="50" t="str">
        <f>IFERROR(__xludf.DUMMYFUNCTION("""COMPUTED_VALUE"""),"Exchange")</f>
        <v>Exchange</v>
      </c>
      <c r="AE5" s="50" t="str">
        <f>IFERROR(__xludf.DUMMYFUNCTION("""COMPUTED_VALUE"""),"Executed Qty")</f>
        <v>Executed Qty</v>
      </c>
      <c r="AF5" s="50" t="str">
        <f>IFERROR(__xludf.DUMMYFUNCTION("""COMPUTED_VALUE"""),"Exceution Time")</f>
        <v>Exceution Time</v>
      </c>
      <c r="AG5" s="50" t="str">
        <f>IFERROR(__xludf.DUMMYFUNCTION("""COMPUTED_VALUE"""),"Expiration Date")</f>
        <v>Expiration Date</v>
      </c>
      <c r="AH5" s="50" t="str">
        <f>IFERROR(__xludf.DUMMYFUNCTION("""COMPUTED_VALUE"""),"FX Conversion Operator")</f>
        <v>FX Conversion Operator</v>
      </c>
      <c r="AI5" s="50" t="str">
        <f>IFERROR(__xludf.DUMMYFUNCTION("""COMPUTED_VALUE"""),"FX Rate")</f>
        <v>FX Rate</v>
      </c>
      <c r="AJ5" s="50" t="str">
        <f>IFERROR(__xludf.DUMMYFUNCTION("""COMPUTED_VALUE"""),"Group Status")</f>
        <v>Group Status</v>
      </c>
      <c r="AK5" s="50" t="str">
        <f>IFERROR(__xludf.DUMMYFUNCTION("""COMPUTED_VALUE"""),"IDCOSymbol")</f>
        <v>IDCOSymbol</v>
      </c>
      <c r="AL5" s="50" t="str">
        <f>IFERROR(__xludf.DUMMYFUNCTION("""COMPUTED_VALUE"""),"Import File Name")</f>
        <v>Import File Name</v>
      </c>
      <c r="AM5" s="50" t="str">
        <f>IFERROR(__xludf.DUMMYFUNCTION("""COMPUTED_VALUE"""),"Internal Comments")</f>
        <v>Internal Comments</v>
      </c>
      <c r="AN5" s="50" t="str">
        <f>IFERROR(__xludf.DUMMYFUNCTION("""COMPUTED_VALUE"""),"IsAnotherTaxlotAttributesUpdated")</f>
        <v>IsAnotherTaxlotAttributesUpdated</v>
      </c>
      <c r="AO5" s="50" t="str">
        <f>IFERROR(__xludf.DUMMYFUNCTION("""COMPUTED_VALUE"""),"ISIN")</f>
        <v>ISIN</v>
      </c>
      <c r="AP5" s="50" t="str">
        <f>IFERROR(__xludf.DUMMYFUNCTION("""COMPUTED_VALUE"""),"IsManualGroup")</f>
        <v>IsManualGroup</v>
      </c>
      <c r="AQ5" s="50" t="str">
        <f>IFERROR(__xludf.DUMMYFUNCTION("""COMPUTED_VALUE"""),"ISNDF")</f>
        <v>ISNDF</v>
      </c>
      <c r="AR5" s="50" t="str">
        <f>IFERROR(__xludf.DUMMYFUNCTION("""COMPUTED_VALUE"""),"IsPreAllocated")</f>
        <v>IsPreAllocated</v>
      </c>
      <c r="AS5" s="50" t="str">
        <f>IFERROR(__xludf.DUMMYFUNCTION("""COMPUTED_VALUE"""),"M2MProfitLoss")</f>
        <v>M2MProfitLoss</v>
      </c>
      <c r="AT5" s="50" t="str">
        <f>IFERROR(__xludf.DUMMYFUNCTION("""COMPUTED_VALUE"""),"Net Amount( Base)")</f>
        <v>Net Amount( Base)</v>
      </c>
      <c r="AU5" s="50" t="str">
        <f>IFERROR(__xludf.DUMMYFUNCTION("""COMPUTED_VALUE"""),"Net Amount( Local)")</f>
        <v>Net Amount( Local)</v>
      </c>
      <c r="AV5" s="50" t="str">
        <f>IFERROR(__xludf.DUMMYFUNCTION("""COMPUTED_VALUE"""),"Nirvana Process Date")</f>
        <v>Nirvana Process Date</v>
      </c>
      <c r="AW5" s="50" t="str">
        <f>IFERROR(__xludf.DUMMYFUNCTION("""COMPUTED_VALUE"""),"OCC Fee")</f>
        <v>OCC Fee</v>
      </c>
      <c r="AX5" s="50" t="str">
        <f>IFERROR(__xludf.DUMMYFUNCTION("""COMPUTED_VALUE"""),"Option Premium Adjustment")</f>
        <v>Option Premium Adjustment</v>
      </c>
      <c r="AY5" s="50" t="str">
        <f>IFERROR(__xludf.DUMMYFUNCTION("""COMPUTED_VALUE"""),"Order Type")</f>
        <v>Order Type</v>
      </c>
      <c r="AZ5" s="50" t="str">
        <f>IFERROR(__xludf.DUMMYFUNCTION("""COMPUTED_VALUE"""),"ORF Fee")</f>
        <v>ORF Fee</v>
      </c>
      <c r="BA5" s="50" t="str">
        <f>IFERROR(__xludf.DUMMYFUNCTION("""COMPUTED_VALUE"""),"Original Purchase Date")</f>
        <v>Original Purchase Date</v>
      </c>
      <c r="BB5" s="50" t="str">
        <f>IFERROR(__xludf.DUMMYFUNCTION("""COMPUTED_VALUE"""),"OSISSymbol")</f>
        <v>OSISSymbol</v>
      </c>
      <c r="BC5" s="50" t="str">
        <f>IFERROR(__xludf.DUMMYFUNCTION("""COMPUTED_VALUE"""),"Other Broker Fees")</f>
        <v>Other Broker Fees</v>
      </c>
      <c r="BD5" s="50" t="str">
        <f>IFERROR(__xludf.DUMMYFUNCTION("""COMPUTED_VALUE"""),"Prana Msg Type")</f>
        <v>Prana Msg Type</v>
      </c>
      <c r="BE5" s="50" t="str">
        <f>IFERROR(__xludf.DUMMYFUNCTION("""COMPUTED_VALUE"""),"Principal Amount( Base)")</f>
        <v>Principal Amount( Base)</v>
      </c>
      <c r="BF5" s="50" t="str">
        <f>IFERROR(__xludf.DUMMYFUNCTION("""COMPUTED_VALUE"""),"Principal Amount( Local)")</f>
        <v>Principal Amount( Local)</v>
      </c>
      <c r="BG5" s="50" t="str">
        <f>IFERROR(__xludf.DUMMYFUNCTION("""COMPUTED_VALUE"""),"Process Date")</f>
        <v>Process Date</v>
      </c>
      <c r="BH5" s="50" t="str">
        <f>IFERROR(__xludf.DUMMYFUNCTION("""COMPUTED_VALUE"""),"Proxy Symbol")</f>
        <v>Proxy Symbol</v>
      </c>
      <c r="BI5" s="50" t="str">
        <f>IFERROR(__xludf.DUMMYFUNCTION("""COMPUTED_VALUE"""),"Put Or Call")</f>
        <v>Put Or Call</v>
      </c>
      <c r="BJ5" s="50" t="str">
        <f>IFERROR(__xludf.DUMMYFUNCTION("""COMPUTED_VALUE"""),"Quantity")</f>
        <v>Quantity</v>
      </c>
      <c r="BK5" s="50" t="str">
        <f>IFERROR(__xludf.DUMMYFUNCTION("""COMPUTED_VALUE"""),"SEC Fee")</f>
        <v>SEC Fee</v>
      </c>
      <c r="BL5" s="50" t="str">
        <f>IFERROR(__xludf.DUMMYFUNCTION("""COMPUTED_VALUE"""),"Sedol Symbol")</f>
        <v>Sedol Symbol</v>
      </c>
      <c r="BM5" s="50" t="str">
        <f>IFERROR(__xludf.DUMMYFUNCTION("""COMPUTED_VALUE"""),"Settlement Currency")</f>
        <v>Settlement Currency</v>
      </c>
      <c r="BN5" s="50" t="str">
        <f>IFERROR(__xludf.DUMMYFUNCTION("""COMPUTED_VALUE"""),"Settlement Date")</f>
        <v>Settlement Date</v>
      </c>
      <c r="BO5" s="50" t="str">
        <f>IFERROR(__xludf.DUMMYFUNCTION("""COMPUTED_VALUE"""),"Side")</f>
        <v>Side</v>
      </c>
      <c r="BP5" s="50" t="str">
        <f>IFERROR(__xludf.DUMMYFUNCTION("""COMPUTED_VALUE"""),"Soft Commission")</f>
        <v>Soft Commission</v>
      </c>
      <c r="BQ5" s="50" t="str">
        <f>IFERROR(__xludf.DUMMYFUNCTION("""COMPUTED_VALUE"""),"Soft Commission Per Share")</f>
        <v>Soft Commission Per Share</v>
      </c>
      <c r="BR5" s="50" t="str">
        <f>IFERROR(__xludf.DUMMYFUNCTION("""COMPUTED_VALUE"""),"Stamp Duty")</f>
        <v>Stamp Duty</v>
      </c>
      <c r="BS5" s="50" t="str">
        <f>IFERROR(__xludf.DUMMYFUNCTION("""COMPUTED_VALUE"""),"Strategy Name")</f>
        <v>Strategy Name</v>
      </c>
      <c r="BT5" s="50" t="str">
        <f>IFERROR(__xludf.DUMMYFUNCTION("""COMPUTED_VALUE"""),"Symbol")</f>
        <v>Symbol</v>
      </c>
      <c r="BU5" s="50" t="str">
        <f>IFERROR(__xludf.DUMMYFUNCTION("""COMPUTED_VALUE"""),"Tax On Commissions")</f>
        <v>Tax On Commissions</v>
      </c>
      <c r="BV5" s="50" t="str">
        <f>IFERROR(__xludf.DUMMYFUNCTION("""COMPUTED_VALUE"""),"Total Commission")</f>
        <v>Total Commission</v>
      </c>
      <c r="BW5" s="50" t="str">
        <f>IFERROR(__xludf.DUMMYFUNCTION("""COMPUTED_VALUE"""),"Total Commission And Fee")</f>
        <v>Total Commission And Fee</v>
      </c>
      <c r="BX5" s="50" t="str">
        <f>IFERROR(__xludf.DUMMYFUNCTION("""COMPUTED_VALUE"""),"Total Commission Per Share")</f>
        <v>Total Commission Per Share</v>
      </c>
      <c r="BY5" s="50" t="str">
        <f>IFERROR(__xludf.DUMMYFUNCTION("""COMPUTED_VALUE"""),"Trade Attribute 1")</f>
        <v>Trade Attribute 1</v>
      </c>
      <c r="BZ5" s="50" t="str">
        <f>IFERROR(__xludf.DUMMYFUNCTION("""COMPUTED_VALUE"""),"Trade Attribute 2")</f>
        <v>Trade Attribute 2</v>
      </c>
      <c r="CA5" s="50" t="str">
        <f>IFERROR(__xludf.DUMMYFUNCTION("""COMPUTED_VALUE"""),"Trade Attribute 3")</f>
        <v>Trade Attribute 3</v>
      </c>
      <c r="CB5" s="50" t="str">
        <f>IFERROR(__xludf.DUMMYFUNCTION("""COMPUTED_VALUE"""),"Trade Attribute 4")</f>
        <v>Trade Attribute 4</v>
      </c>
      <c r="CC5" s="50" t="str">
        <f>IFERROR(__xludf.DUMMYFUNCTION("""COMPUTED_VALUE"""),"Trade Attribute 5")</f>
        <v>Trade Attribute 5</v>
      </c>
      <c r="CD5" s="50" t="str">
        <f>IFERROR(__xludf.DUMMYFUNCTION("""COMPUTED_VALUE"""),"Trade Attribute 6")</f>
        <v>Trade Attribute 6</v>
      </c>
      <c r="CE5" s="50" t="str">
        <f>IFERROR(__xludf.DUMMYFUNCTION("""COMPUTED_VALUE"""),"Trade Date")</f>
        <v>Trade Date</v>
      </c>
      <c r="CF5" s="50" t="str">
        <f>IFERROR(__xludf.DUMMYFUNCTION("""COMPUTED_VALUE"""),"Trading Account")</f>
        <v>Trading Account</v>
      </c>
      <c r="CG5" s="50" t="str">
        <f>IFERROR(__xludf.DUMMYFUNCTION("""COMPUTED_VALUE"""),"Transaction Levy")</f>
        <v>Transaction Levy</v>
      </c>
      <c r="CH5" s="50" t="str">
        <f>IFERROR(__xludf.DUMMYFUNCTION("""COMPUTED_VALUE"""),"Transaction Source")</f>
        <v>Transaction Source</v>
      </c>
      <c r="CI5" s="50" t="str">
        <f>IFERROR(__xludf.DUMMYFUNCTION("""COMPUTED_VALUE"""),"Transaction Type")</f>
        <v>Transaction Type</v>
      </c>
      <c r="CJ5" s="50" t="str">
        <f>IFERROR(__xludf.DUMMYFUNCTION("""COMPUTED_VALUE"""),"UnAllocatedQty")</f>
        <v>UnAllocatedQty</v>
      </c>
      <c r="CK5" s="50" t="str">
        <f>IFERROR(__xludf.DUMMYFUNCTION("""COMPUTED_VALUE"""),"Underlying")</f>
        <v>Underlying</v>
      </c>
      <c r="CL5" s="50" t="str">
        <f>IFERROR(__xludf.DUMMYFUNCTION("""COMPUTED_VALUE"""),"Underlying Delta")</f>
        <v>Underlying Delta</v>
      </c>
      <c r="CM5" s="50" t="str">
        <f>IFERROR(__xludf.DUMMYFUNCTION("""COMPUTED_VALUE"""),"Underlying Symbol")</f>
        <v>Underlying Symbol</v>
      </c>
      <c r="CN5" s="50" t="str">
        <f>IFERROR(__xludf.DUMMYFUNCTION("""COMPUTED_VALUE"""),"User")</f>
        <v>User</v>
      </c>
      <c r="CO5" s="50" t="str">
        <f>IFERROR(__xludf.DUMMYFUNCTION("""COMPUTED_VALUE"""),"Venue")</f>
        <v>Venue</v>
      </c>
      <c r="CP5" s="50" t="str">
        <f>IFERROR(__xludf.DUMMYFUNCTION("""COMPUTED_VALUE"""),"Closing Method")</f>
        <v>Closing Method</v>
      </c>
      <c r="CQ5" s="50" t="str">
        <f>IFERROR(__xludf.DUMMYFUNCTION("""COMPUTED_VALUE"""),"Closing Date")</f>
        <v>Closing Date</v>
      </c>
      <c r="CR5" s="50" t="str">
        <f>IFERROR(__xludf.DUMMYFUNCTION("""COMPUTED_VALUE"""),"GroupID")</f>
        <v>GroupID</v>
      </c>
      <c r="CS5" s="50" t="str">
        <f>IFERROR(__xludf.DUMMYFUNCTION("""COMPUTED_VALUE"""),"")</f>
        <v/>
      </c>
      <c r="CT5" s="50" t="str">
        <f>IFERROR(__xludf.DUMMYFUNCTION("""COMPUTED_VALUE"""),"")</f>
        <v/>
      </c>
      <c r="CU5" s="51" t="str">
        <f>IFERROR(__xludf.DUMMYFUNCTION("""COMPUTED_VALUE"""),"")</f>
        <v/>
      </c>
      <c r="CV5" s="51" t="str">
        <f>IFERROR(__xludf.DUMMYFUNCTION("""COMPUTED_VALUE"""),"")</f>
        <v/>
      </c>
      <c r="CW5" s="51" t="str">
        <f>IFERROR(__xludf.DUMMYFUNCTION("""COMPUTED_VALUE"""),"")</f>
        <v/>
      </c>
      <c r="CX5" s="51" t="str">
        <f>IFERROR(__xludf.DUMMYFUNCTION("""COMPUTED_VALUE"""),"")</f>
        <v/>
      </c>
      <c r="CY5" s="51" t="str">
        <f>IFERROR(__xludf.DUMMYFUNCTION("""COMPUTED_VALUE"""),"")</f>
        <v/>
      </c>
      <c r="CZ5" s="51" t="str">
        <f>IFERROR(__xludf.DUMMYFUNCTION("""COMPUTED_VALUE"""),"")</f>
        <v/>
      </c>
      <c r="DA5" s="51" t="str">
        <f>IFERROR(__xludf.DUMMYFUNCTION("""COMPUTED_VALUE"""),"")</f>
        <v/>
      </c>
      <c r="DB5" s="51" t="str">
        <f>IFERROR(__xludf.DUMMYFUNCTION("""COMPUTED_VALUE"""),"")</f>
        <v/>
      </c>
      <c r="DC5" s="51" t="str">
        <f>IFERROR(__xludf.DUMMYFUNCTION("""COMPUTED_VALUE"""),"")</f>
        <v/>
      </c>
      <c r="DD5" s="51" t="str">
        <f>IFERROR(__xludf.DUMMYFUNCTION("""COMPUTED_VALUE"""),"")</f>
        <v/>
      </c>
      <c r="DE5" s="51" t="str">
        <f>IFERROR(__xludf.DUMMYFUNCTION("""COMPUTED_VALUE"""),"")</f>
        <v/>
      </c>
      <c r="DF5" s="51" t="str">
        <f>IFERROR(__xludf.DUMMYFUNCTION("""COMPUTED_VALUE"""),"")</f>
        <v/>
      </c>
      <c r="DG5" s="51" t="str">
        <f>IFERROR(__xludf.DUMMYFUNCTION("""COMPUTED_VALUE"""),"")</f>
        <v/>
      </c>
      <c r="DH5" s="51" t="str">
        <f>IFERROR(__xludf.DUMMYFUNCTION("""COMPUTED_VALUE"""),"")</f>
        <v/>
      </c>
      <c r="DI5" s="51" t="str">
        <f>IFERROR(__xludf.DUMMYFUNCTION("""COMPUTED_VALUE"""),"")</f>
        <v/>
      </c>
      <c r="DJ5" s="51" t="str">
        <f>IFERROR(__xludf.DUMMYFUNCTION("""COMPUTED_VALUE"""),"")</f>
        <v/>
      </c>
      <c r="DK5" s="51" t="str">
        <f>IFERROR(__xludf.DUMMYFUNCTION("""COMPUTED_VALUE"""),"")</f>
        <v/>
      </c>
      <c r="DL5" s="51" t="str">
        <f>IFERROR(__xludf.DUMMYFUNCTION("""COMPUTED_VALUE"""),"")</f>
        <v/>
      </c>
      <c r="DM5" s="51" t="str">
        <f>IFERROR(__xludf.DUMMYFUNCTION("""COMPUTED_VALUE"""),"")</f>
        <v/>
      </c>
      <c r="DN5" s="51" t="str">
        <f>IFERROR(__xludf.DUMMYFUNCTION("""COMPUTED_VALUE"""),"")</f>
        <v/>
      </c>
      <c r="DO5" s="51" t="str">
        <f>IFERROR(__xludf.DUMMYFUNCTION("""COMPUTED_VALUE"""),"")</f>
        <v/>
      </c>
      <c r="DP5" s="51" t="str">
        <f>IFERROR(__xludf.DUMMYFUNCTION("""COMPUTED_VALUE"""),"")</f>
        <v/>
      </c>
      <c r="DQ5" s="51" t="str">
        <f>IFERROR(__xludf.DUMMYFUNCTION("""COMPUTED_VALUE"""),"")</f>
        <v/>
      </c>
      <c r="DR5" s="51" t="str">
        <f>IFERROR(__xludf.DUMMYFUNCTION("""COMPUTED_VALUE"""),"")</f>
        <v/>
      </c>
      <c r="DS5" s="51" t="str">
        <f>IFERROR(__xludf.DUMMYFUNCTION("""COMPUTED_VALUE"""),"")</f>
        <v/>
      </c>
      <c r="DT5" s="51" t="str">
        <f>IFERROR(__xludf.DUMMYFUNCTION("""COMPUTED_VALUE"""),"")</f>
        <v/>
      </c>
      <c r="DU5" s="51" t="str">
        <f>IFERROR(__xludf.DUMMYFUNCTION("""COMPUTED_VALUE"""),"")</f>
        <v/>
      </c>
      <c r="DV5" s="51" t="str">
        <f>IFERROR(__xludf.DUMMYFUNCTION("""COMPUTED_VALUE"""),"")</f>
        <v/>
      </c>
      <c r="DW5" s="51" t="str">
        <f>IFERROR(__xludf.DUMMYFUNCTION("""COMPUTED_VALUE"""),"")</f>
        <v/>
      </c>
      <c r="DX5" s="51" t="str">
        <f>IFERROR(__xludf.DUMMYFUNCTION("""COMPUTED_VALUE"""),"")</f>
        <v/>
      </c>
      <c r="DY5" s="51" t="str">
        <f>IFERROR(__xludf.DUMMYFUNCTION("""COMPUTED_VALUE"""),"")</f>
        <v/>
      </c>
      <c r="DZ5" s="51" t="str">
        <f>IFERROR(__xludf.DUMMYFUNCTION("""COMPUTED_VALUE"""),"")</f>
        <v/>
      </c>
      <c r="EA5" s="51" t="str">
        <f>IFERROR(__xludf.DUMMYFUNCTION("""COMPUTED_VALUE"""),"")</f>
        <v/>
      </c>
      <c r="EB5" s="51" t="str">
        <f>IFERROR(__xludf.DUMMYFUNCTION("""COMPUTED_VALUE"""),"")</f>
        <v/>
      </c>
      <c r="EC5" s="51" t="str">
        <f>IFERROR(__xludf.DUMMYFUNCTION("""COMPUTED_VALUE"""),"")</f>
        <v/>
      </c>
      <c r="ED5" s="51" t="str">
        <f>IFERROR(__xludf.DUMMYFUNCTION("""COMPUTED_VALUE"""),"")</f>
        <v/>
      </c>
      <c r="EE5" s="51" t="str">
        <f>IFERROR(__xludf.DUMMYFUNCTION("""COMPUTED_VALUE"""),"")</f>
        <v/>
      </c>
      <c r="EF5" s="51" t="str">
        <f>IFERROR(__xludf.DUMMYFUNCTION("""COMPUTED_VALUE"""),"")</f>
        <v/>
      </c>
      <c r="EG5" s="51" t="str">
        <f>IFERROR(__xludf.DUMMYFUNCTION("""COMPUTED_VALUE"""),"")</f>
        <v/>
      </c>
      <c r="EH5" s="51" t="str">
        <f>IFERROR(__xludf.DUMMYFUNCTION("""COMPUTED_VALUE"""),"")</f>
        <v/>
      </c>
      <c r="EI5" s="51" t="str">
        <f>IFERROR(__xludf.DUMMYFUNCTION("""COMPUTED_VALUE"""),"")</f>
        <v/>
      </c>
      <c r="EJ5" s="51" t="str">
        <f>IFERROR(__xludf.DUMMYFUNCTION("""COMPUTED_VALUE"""),"")</f>
        <v/>
      </c>
      <c r="EK5" s="51" t="str">
        <f>IFERROR(__xludf.DUMMYFUNCTION("""COMPUTED_VALUE"""),"")</f>
        <v/>
      </c>
      <c r="EL5" s="51" t="str">
        <f>IFERROR(__xludf.DUMMYFUNCTION("""COMPUTED_VALUE"""),"")</f>
        <v/>
      </c>
      <c r="EM5" s="51" t="str">
        <f>IFERROR(__xludf.DUMMYFUNCTION("""COMPUTED_VALUE"""),"")</f>
        <v/>
      </c>
      <c r="EN5" s="51" t="str">
        <f>IFERROR(__xludf.DUMMYFUNCTION("""COMPUTED_VALUE"""),"")</f>
        <v/>
      </c>
      <c r="EO5" s="51" t="str">
        <f>IFERROR(__xludf.DUMMYFUNCTION("""COMPUTED_VALUE"""),"")</f>
        <v/>
      </c>
      <c r="EP5" s="51" t="str">
        <f>IFERROR(__xludf.DUMMYFUNCTION("""COMPUTED_VALUE"""),"")</f>
        <v/>
      </c>
      <c r="EQ5" s="51" t="str">
        <f>IFERROR(__xludf.DUMMYFUNCTION("""COMPUTED_VALUE"""),"")</f>
        <v/>
      </c>
      <c r="ER5" s="51" t="str">
        <f>IFERROR(__xludf.DUMMYFUNCTION("""COMPUTED_VALUE"""),"")</f>
        <v/>
      </c>
      <c r="ES5" s="51" t="str">
        <f>IFERROR(__xludf.DUMMYFUNCTION("""COMPUTED_VALUE"""),"")</f>
        <v/>
      </c>
      <c r="ET5" s="51" t="str">
        <f>IFERROR(__xludf.DUMMYFUNCTION("""COMPUTED_VALUE"""),"")</f>
        <v/>
      </c>
      <c r="EU5" s="51" t="str">
        <f>IFERROR(__xludf.DUMMYFUNCTION("""COMPUTED_VALUE"""),"")</f>
        <v/>
      </c>
      <c r="EV5" s="51" t="str">
        <f>IFERROR(__xludf.DUMMYFUNCTION("""COMPUTED_VALUE"""),"")</f>
        <v/>
      </c>
      <c r="EW5" s="51" t="str">
        <f>IFERROR(__xludf.DUMMYFUNCTION("""COMPUTED_VALUE"""),"")</f>
        <v/>
      </c>
      <c r="EX5" s="51" t="str">
        <f>IFERROR(__xludf.DUMMYFUNCTION("""COMPUTED_VALUE"""),"")</f>
        <v/>
      </c>
    </row>
    <row r="6" ht="15.75" customHeight="1">
      <c r="A6" s="36"/>
      <c r="B6" s="39" t="s">
        <v>18</v>
      </c>
      <c r="C6" s="36"/>
      <c r="D6" s="36"/>
      <c r="E6" s="42">
        <v>100.0</v>
      </c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52">
        <v>100.0</v>
      </c>
      <c r="AF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52">
        <v>100.0</v>
      </c>
      <c r="BK6" s="36"/>
      <c r="BL6" s="36"/>
      <c r="BN6" s="36"/>
      <c r="BO6" s="36" t="s">
        <v>45</v>
      </c>
      <c r="BP6" s="36"/>
      <c r="BQ6" s="36"/>
      <c r="BR6" s="36"/>
      <c r="BS6" s="36"/>
      <c r="BT6" s="36" t="s">
        <v>44</v>
      </c>
      <c r="CA6" s="36"/>
      <c r="CB6" s="36"/>
      <c r="CC6" s="36"/>
      <c r="CD6" s="36"/>
      <c r="CE6" s="36"/>
      <c r="CF6" s="36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34"/>
      <c r="B7" s="35" t="s">
        <v>61</v>
      </c>
      <c r="C7" s="36"/>
      <c r="D7" s="34"/>
      <c r="E7" s="42">
        <v>100.0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52">
        <v>100.0</v>
      </c>
      <c r="AF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52">
        <v>100.0</v>
      </c>
      <c r="BK7" s="36"/>
      <c r="BL7" s="36"/>
      <c r="BN7" s="36"/>
      <c r="BO7" s="43" t="s">
        <v>45</v>
      </c>
      <c r="BP7" s="36"/>
      <c r="BQ7" s="36"/>
      <c r="BR7" s="36"/>
      <c r="BS7" s="36"/>
      <c r="BT7" s="36" t="s">
        <v>44</v>
      </c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</row>
    <row r="8" ht="15.75" customHeight="1">
      <c r="A8" s="36"/>
      <c r="B8" s="40" t="s">
        <v>18</v>
      </c>
      <c r="C8" s="36"/>
      <c r="D8" s="36"/>
      <c r="E8" s="42">
        <v>100.0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52">
        <v>100.0</v>
      </c>
      <c r="AF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52">
        <v>100.0</v>
      </c>
      <c r="BK8" s="36"/>
      <c r="BL8" s="36"/>
      <c r="BN8" s="36"/>
      <c r="BO8" s="43" t="s">
        <v>47</v>
      </c>
      <c r="BP8" s="36"/>
      <c r="BQ8" s="36"/>
      <c r="BR8" s="36"/>
      <c r="BS8" s="36"/>
      <c r="BT8" s="36" t="s">
        <v>44</v>
      </c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</row>
    <row r="9" ht="15.75" customHeight="1">
      <c r="A9" s="36"/>
      <c r="B9" s="39" t="s">
        <v>18</v>
      </c>
      <c r="C9" s="36"/>
      <c r="D9" s="36"/>
      <c r="E9" s="42">
        <v>100.0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52">
        <v>100.0</v>
      </c>
      <c r="AF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52">
        <v>100.0</v>
      </c>
      <c r="BK9" s="36"/>
      <c r="BL9" s="36"/>
      <c r="BN9" s="36"/>
      <c r="BO9" s="35" t="s">
        <v>49</v>
      </c>
      <c r="BP9" s="36"/>
      <c r="BQ9" s="36"/>
      <c r="BR9" s="36"/>
      <c r="BS9" s="36"/>
      <c r="BT9" s="36" t="s">
        <v>48</v>
      </c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</row>
    <row r="10" ht="15.75" customHeight="1">
      <c r="A10" s="36"/>
      <c r="B10" s="39" t="s">
        <v>18</v>
      </c>
      <c r="C10" s="36"/>
      <c r="D10" s="36"/>
      <c r="E10" s="42">
        <v>100.0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52">
        <v>100.0</v>
      </c>
      <c r="AF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52">
        <v>100.0</v>
      </c>
      <c r="BK10" s="36"/>
      <c r="BL10" s="36"/>
      <c r="BN10" s="36"/>
      <c r="BO10" s="39" t="s">
        <v>50</v>
      </c>
      <c r="BP10" s="36"/>
      <c r="BQ10" s="36"/>
      <c r="BR10" s="36"/>
      <c r="BS10" s="36"/>
      <c r="BT10" s="36" t="s">
        <v>48</v>
      </c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</row>
    <row r="11" ht="15.75" customHeight="1">
      <c r="A11" s="36"/>
      <c r="B11" s="39" t="s">
        <v>17</v>
      </c>
      <c r="C11" s="36"/>
      <c r="D11" s="36"/>
      <c r="E11" s="42">
        <v>100.0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52">
        <v>100.0</v>
      </c>
      <c r="AF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52">
        <v>100.0</v>
      </c>
      <c r="BK11" s="36"/>
      <c r="BL11" s="36"/>
      <c r="BN11" s="36"/>
      <c r="BO11" s="39" t="s">
        <v>52</v>
      </c>
      <c r="BP11" s="36"/>
      <c r="BQ11" s="36"/>
      <c r="BR11" s="36"/>
      <c r="BS11" s="36"/>
      <c r="BT11" s="38" t="s">
        <v>51</v>
      </c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</row>
    <row r="12" ht="15.75" customHeight="1">
      <c r="A12" s="36"/>
      <c r="B12" s="39" t="s">
        <v>18</v>
      </c>
      <c r="C12" s="36"/>
      <c r="D12" s="36"/>
      <c r="E12" s="42">
        <v>100.0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52">
        <v>100.0</v>
      </c>
      <c r="AF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52">
        <v>100.0</v>
      </c>
      <c r="BK12" s="36"/>
      <c r="BL12" s="36"/>
      <c r="BN12" s="36"/>
      <c r="BO12" s="39" t="s">
        <v>52</v>
      </c>
      <c r="BP12" s="36"/>
      <c r="BQ12" s="36"/>
      <c r="BR12" s="36"/>
      <c r="BS12" s="36"/>
      <c r="BT12" s="38" t="s">
        <v>51</v>
      </c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</row>
    <row r="13" ht="15.75" customHeight="1">
      <c r="A13" s="36"/>
      <c r="B13" s="39" t="s">
        <v>17</v>
      </c>
      <c r="C13" s="36"/>
      <c r="D13" s="36"/>
      <c r="E13" s="42">
        <v>100.0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52">
        <v>100.0</v>
      </c>
      <c r="AF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52">
        <v>100.0</v>
      </c>
      <c r="BK13" s="36"/>
      <c r="BL13" s="36"/>
      <c r="BN13" s="36"/>
      <c r="BO13" s="39" t="s">
        <v>45</v>
      </c>
      <c r="BP13" s="36"/>
      <c r="BQ13" s="36"/>
      <c r="BR13" s="36"/>
      <c r="BS13" s="36"/>
      <c r="BT13" s="46" t="s">
        <v>53</v>
      </c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</row>
    <row r="14" ht="15.75" customHeight="1">
      <c r="A14" s="36"/>
      <c r="B14" s="39" t="s">
        <v>17</v>
      </c>
      <c r="C14" s="36"/>
      <c r="D14" s="36"/>
      <c r="E14" s="42">
        <v>100.0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52">
        <v>100.0</v>
      </c>
      <c r="AF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52">
        <v>100.0</v>
      </c>
      <c r="BK14" s="36"/>
      <c r="BL14" s="36"/>
      <c r="BN14" s="36"/>
      <c r="BO14" s="39" t="s">
        <v>45</v>
      </c>
      <c r="BP14" s="36"/>
      <c r="BQ14" s="36"/>
      <c r="BR14" s="36"/>
      <c r="BS14" s="36"/>
      <c r="BT14" s="38" t="s">
        <v>53</v>
      </c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</row>
    <row r="15" ht="15.75" customHeight="1">
      <c r="A15" s="36"/>
      <c r="B15" s="39" t="s">
        <v>61</v>
      </c>
      <c r="C15" s="36"/>
      <c r="D15" s="36"/>
      <c r="E15" s="42">
        <v>100.0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52">
        <v>100.0</v>
      </c>
      <c r="AF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52">
        <v>100.0</v>
      </c>
      <c r="BK15" s="36"/>
      <c r="BL15" s="36"/>
      <c r="BN15" s="36"/>
      <c r="BO15" s="39" t="s">
        <v>52</v>
      </c>
      <c r="BP15" s="36"/>
      <c r="BQ15" s="36"/>
      <c r="BR15" s="36"/>
      <c r="BS15" s="36"/>
      <c r="BT15" s="38" t="s">
        <v>53</v>
      </c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</row>
    <row r="16" ht="15.75" customHeight="1">
      <c r="A16" s="36"/>
      <c r="B16" s="39" t="s">
        <v>61</v>
      </c>
      <c r="C16" s="36"/>
      <c r="D16" s="36"/>
      <c r="E16" s="42">
        <v>100.0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52">
        <v>100.0</v>
      </c>
      <c r="AF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52">
        <v>100.0</v>
      </c>
      <c r="BK16" s="36"/>
      <c r="BL16" s="36"/>
      <c r="BN16" s="36"/>
      <c r="BO16" s="39" t="s">
        <v>54</v>
      </c>
      <c r="BP16" s="36"/>
      <c r="BQ16" s="36"/>
      <c r="BR16" s="36"/>
      <c r="BS16" s="36"/>
      <c r="BT16" s="38" t="s">
        <v>53</v>
      </c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57</v>
      </c>
      <c r="D3" s="8" t="s">
        <v>9</v>
      </c>
      <c r="E3" s="22" t="s">
        <v>58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60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57</v>
      </c>
      <c r="D3" s="8" t="s">
        <v>9</v>
      </c>
      <c r="E3" s="22" t="s">
        <v>63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47" t="str">
        <f>IFERROR(__xludf.DUMMYFUNCTION("TRANSPOSE(IMPORTRANGE(VLOOKUP($E$3,IMPORTRANGE('_Settings'!$B$3,$C$3&amp;""!A4:B1000""),2,FALSE),$G$3&amp;""!A4:A1000""))"),"")</f>
        <v/>
      </c>
      <c r="B5" s="48" t="str">
        <f>IFERROR(__xludf.DUMMYFUNCTION("""COMPUTED_VALUE"""),"Account")</f>
        <v>Account</v>
      </c>
      <c r="C5" s="48" t="str">
        <f>IFERROR(__xludf.DUMMYFUNCTION("""COMPUTED_VALUE"""),"Asset Class")</f>
        <v>Asset Class</v>
      </c>
      <c r="D5" s="48" t="str">
        <f>IFERROR(__xludf.DUMMYFUNCTION("""COMPUTED_VALUE"""),"AUECID")</f>
        <v>AUECID</v>
      </c>
      <c r="E5" s="48" t="str">
        <f>IFERROR(__xludf.DUMMYFUNCTION("""COMPUTED_VALUE"""),"ExternalTransId")</f>
        <v>ExternalTransId</v>
      </c>
      <c r="F5" s="49" t="str">
        <f>IFERROR(__xludf.DUMMYFUNCTION("""COMPUTED_VALUE"""),"IsSwapped")</f>
        <v>IsSwapped</v>
      </c>
      <c r="G5" s="48" t="str">
        <f>IFERROR(__xludf.DUMMYFUNCTION("""COMPUTED_VALUE"""),"LotId")</f>
        <v>LotId</v>
      </c>
      <c r="H5" s="48" t="str">
        <f>IFERROR(__xludf.DUMMYFUNCTION("""COMPUTED_VALUE"""),"Net Notional")</f>
        <v>Net Notional</v>
      </c>
      <c r="I5" s="48" t="str">
        <f>IFERROR(__xludf.DUMMYFUNCTION("""COMPUTED_VALUE"""),"Opening Price")</f>
        <v>Opening Price</v>
      </c>
      <c r="J5" s="48" t="str">
        <f>IFERROR(__xludf.DUMMYFUNCTION("""COMPUTED_VALUE"""),"Original Purchase Date")</f>
        <v>Original Purchase Date</v>
      </c>
      <c r="K5" s="48" t="str">
        <f>IFERROR(__xludf.DUMMYFUNCTION("""COMPUTED_VALUE"""),"PositionTag")</f>
        <v>PositionTag</v>
      </c>
      <c r="L5" s="48" t="str">
        <f>IFERROR(__xludf.DUMMYFUNCTION("""COMPUTED_VALUE"""),"Process Date")</f>
        <v>Process Date</v>
      </c>
      <c r="M5" s="48" t="str">
        <f>IFERROR(__xludf.DUMMYFUNCTION("""COMPUTED_VALUE"""),"Quantity")</f>
        <v>Quantity</v>
      </c>
      <c r="N5" s="48" t="str">
        <f>IFERROR(__xludf.DUMMYFUNCTION("""COMPUTED_VALUE"""),"Security Name")</f>
        <v>Security Name</v>
      </c>
      <c r="O5" s="48" t="str">
        <f>IFERROR(__xludf.DUMMYFUNCTION("""COMPUTED_VALUE"""),"Settlement Currency")</f>
        <v>Settlement Currency</v>
      </c>
      <c r="P5" s="48" t="str">
        <f>IFERROR(__xludf.DUMMYFUNCTION("""COMPUTED_VALUE"""),"Side")</f>
        <v>Side</v>
      </c>
      <c r="Q5" s="48" t="str">
        <f>IFERROR(__xludf.DUMMYFUNCTION("""COMPUTED_VALUE"""),"Strategy")</f>
        <v>Strategy</v>
      </c>
      <c r="R5" s="48" t="str">
        <f>IFERROR(__xludf.DUMMYFUNCTION("""COMPUTED_VALUE"""),"Symbol")</f>
        <v>Symbol</v>
      </c>
      <c r="S5" s="48" t="str">
        <f>IFERROR(__xludf.DUMMYFUNCTION("""COMPUTED_VALUE"""),"Taxlot ID")</f>
        <v>Taxlot ID</v>
      </c>
      <c r="T5" s="50" t="str">
        <f>IFERROR(__xludf.DUMMYFUNCTION("""COMPUTED_VALUE"""),"Total Fees and Commission")</f>
        <v>Total Fees and Commission</v>
      </c>
      <c r="U5" s="50" t="str">
        <f>IFERROR(__xludf.DUMMYFUNCTION("""COMPUTED_VALUE"""),"Trade Date")</f>
        <v>Trade Date</v>
      </c>
      <c r="V5" s="50" t="str">
        <f>IFERROR(__xludf.DUMMYFUNCTION("""COMPUTED_VALUE"""),"Transaction Type")</f>
        <v>Transaction Type</v>
      </c>
      <c r="W5" s="50" t="str">
        <f>IFERROR(__xludf.DUMMYFUNCTION("""COMPUTED_VALUE"""),"UnderlyingName")</f>
        <v>UnderlyingName</v>
      </c>
      <c r="X5" s="50" t="str">
        <f>IFERROR(__xludf.DUMMYFUNCTION("""COMPUTED_VALUE"""),"UnitCost")</f>
        <v>UnitCost</v>
      </c>
      <c r="Y5" s="50" t="str">
        <f>IFERROR(__xludf.DUMMYFUNCTION("""COMPUTED_VALUE"""),"Unit Cost(Base)")</f>
        <v>Unit Cost(Base)</v>
      </c>
      <c r="Z5" s="50" t="str">
        <f>IFERROR(__xludf.DUMMYFUNCTION("""COMPUTED_VALUE"""),"AvgPriceBase")</f>
        <v>AvgPriceBase</v>
      </c>
      <c r="AA5" s="50" t="str">
        <f>IFERROR(__xludf.DUMMYFUNCTION("""COMPUTED_VALUE"""),"")</f>
        <v/>
      </c>
      <c r="AB5" s="50" t="str">
        <f>IFERROR(__xludf.DUMMYFUNCTION("""COMPUTED_VALUE"""),"")</f>
        <v/>
      </c>
      <c r="AC5" s="51" t="str">
        <f>IFERROR(__xludf.DUMMYFUNCTION("""COMPUTED_VALUE"""),"")</f>
        <v/>
      </c>
      <c r="AD5" s="51" t="str">
        <f>IFERROR(__xludf.DUMMYFUNCTION("""COMPUTED_VALUE"""),"")</f>
        <v/>
      </c>
      <c r="AE5" s="51" t="str">
        <f>IFERROR(__xludf.DUMMYFUNCTION("""COMPUTED_VALUE"""),"")</f>
        <v/>
      </c>
      <c r="AF5" s="51" t="str">
        <f>IFERROR(__xludf.DUMMYFUNCTION("""COMPUTED_VALUE"""),"")</f>
        <v/>
      </c>
      <c r="AG5" s="51" t="str">
        <f>IFERROR(__xludf.DUMMYFUNCTION("""COMPUTED_VALUE"""),"")</f>
        <v/>
      </c>
      <c r="AH5" s="51" t="str">
        <f>IFERROR(__xludf.DUMMYFUNCTION("""COMPUTED_VALUE"""),"")</f>
        <v/>
      </c>
      <c r="AI5" s="51" t="str">
        <f>IFERROR(__xludf.DUMMYFUNCTION("""COMPUTED_VALUE"""),"")</f>
        <v/>
      </c>
      <c r="AJ5" s="51" t="str">
        <f>IFERROR(__xludf.DUMMYFUNCTION("""COMPUTED_VALUE"""),"")</f>
        <v/>
      </c>
      <c r="AK5" s="51" t="str">
        <f>IFERROR(__xludf.DUMMYFUNCTION("""COMPUTED_VALUE"""),"")</f>
        <v/>
      </c>
      <c r="AL5" s="51" t="str">
        <f>IFERROR(__xludf.DUMMYFUNCTION("""COMPUTED_VALUE"""),"")</f>
        <v/>
      </c>
      <c r="AM5" s="51" t="str">
        <f>IFERROR(__xludf.DUMMYFUNCTION("""COMPUTED_VALUE"""),"")</f>
        <v/>
      </c>
      <c r="AN5" s="51" t="str">
        <f>IFERROR(__xludf.DUMMYFUNCTION("""COMPUTED_VALUE"""),"")</f>
        <v/>
      </c>
      <c r="AO5" s="51" t="str">
        <f>IFERROR(__xludf.DUMMYFUNCTION("""COMPUTED_VALUE"""),"")</f>
        <v/>
      </c>
      <c r="AP5" s="51" t="str">
        <f>IFERROR(__xludf.DUMMYFUNCTION("""COMPUTED_VALUE"""),"")</f>
        <v/>
      </c>
      <c r="AQ5" s="51" t="str">
        <f>IFERROR(__xludf.DUMMYFUNCTION("""COMPUTED_VALUE"""),"")</f>
        <v/>
      </c>
      <c r="AR5" s="51" t="str">
        <f>IFERROR(__xludf.DUMMYFUNCTION("""COMPUTED_VALUE"""),"")</f>
        <v/>
      </c>
      <c r="AS5" s="51" t="str">
        <f>IFERROR(__xludf.DUMMYFUNCTION("""COMPUTED_VALUE"""),"")</f>
        <v/>
      </c>
      <c r="AT5" s="51" t="str">
        <f>IFERROR(__xludf.DUMMYFUNCTION("""COMPUTED_VALUE"""),"")</f>
        <v/>
      </c>
      <c r="AU5" s="51" t="str">
        <f>IFERROR(__xludf.DUMMYFUNCTION("""COMPUTED_VALUE"""),"")</f>
        <v/>
      </c>
      <c r="AV5" s="51" t="str">
        <f>IFERROR(__xludf.DUMMYFUNCTION("""COMPUTED_VALUE"""),"")</f>
        <v/>
      </c>
      <c r="AW5" s="51" t="str">
        <f>IFERROR(__xludf.DUMMYFUNCTION("""COMPUTED_VALUE"""),"")</f>
        <v/>
      </c>
      <c r="AX5" s="51" t="str">
        <f>IFERROR(__xludf.DUMMYFUNCTION("""COMPUTED_VALUE"""),"")</f>
        <v/>
      </c>
      <c r="AY5" s="51" t="str">
        <f>IFERROR(__xludf.DUMMYFUNCTION("""COMPUTED_VALUE"""),"")</f>
        <v/>
      </c>
      <c r="AZ5" s="51" t="str">
        <f>IFERROR(__xludf.DUMMYFUNCTION("""COMPUTED_VALUE"""),"")</f>
        <v/>
      </c>
      <c r="BA5" s="51" t="str">
        <f>IFERROR(__xludf.DUMMYFUNCTION("""COMPUTED_VALUE"""),"")</f>
        <v/>
      </c>
      <c r="BB5" s="51" t="str">
        <f>IFERROR(__xludf.DUMMYFUNCTION("""COMPUTED_VALUE"""),"")</f>
        <v/>
      </c>
      <c r="BC5" s="51" t="str">
        <f>IFERROR(__xludf.DUMMYFUNCTION("""COMPUTED_VALUE"""),"")</f>
        <v/>
      </c>
      <c r="BD5" s="51" t="str">
        <f>IFERROR(__xludf.DUMMYFUNCTION("""COMPUTED_VALUE"""),"")</f>
        <v/>
      </c>
      <c r="BE5" s="51" t="str">
        <f>IFERROR(__xludf.DUMMYFUNCTION("""COMPUTED_VALUE"""),"")</f>
        <v/>
      </c>
      <c r="BF5" s="51" t="str">
        <f>IFERROR(__xludf.DUMMYFUNCTION("""COMPUTED_VALUE"""),"")</f>
        <v/>
      </c>
      <c r="BG5" s="51" t="str">
        <f>IFERROR(__xludf.DUMMYFUNCTION("""COMPUTED_VALUE"""),"")</f>
        <v/>
      </c>
      <c r="BH5" s="51" t="str">
        <f>IFERROR(__xludf.DUMMYFUNCTION("""COMPUTED_VALUE"""),"")</f>
        <v/>
      </c>
      <c r="BI5" s="51" t="str">
        <f>IFERROR(__xludf.DUMMYFUNCTION("""COMPUTED_VALUE"""),"")</f>
        <v/>
      </c>
      <c r="BJ5" s="51" t="str">
        <f>IFERROR(__xludf.DUMMYFUNCTION("""COMPUTED_VALUE"""),"")</f>
        <v/>
      </c>
      <c r="BK5" s="51" t="str">
        <f>IFERROR(__xludf.DUMMYFUNCTION("""COMPUTED_VALUE"""),"")</f>
        <v/>
      </c>
      <c r="BL5" s="51" t="str">
        <f>IFERROR(__xludf.DUMMYFUNCTION("""COMPUTED_VALUE"""),"")</f>
        <v/>
      </c>
      <c r="BM5" s="51" t="str">
        <f>IFERROR(__xludf.DUMMYFUNCTION("""COMPUTED_VALUE"""),"")</f>
        <v/>
      </c>
      <c r="BN5" s="51" t="str">
        <f>IFERROR(__xludf.DUMMYFUNCTION("""COMPUTED_VALUE"""),"")</f>
        <v/>
      </c>
      <c r="BO5" s="51" t="str">
        <f>IFERROR(__xludf.DUMMYFUNCTION("""COMPUTED_VALUE"""),"")</f>
        <v/>
      </c>
      <c r="BP5" s="51" t="str">
        <f>IFERROR(__xludf.DUMMYFUNCTION("""COMPUTED_VALUE"""),"")</f>
        <v/>
      </c>
      <c r="BQ5" s="51" t="str">
        <f>IFERROR(__xludf.DUMMYFUNCTION("""COMPUTED_VALUE"""),"")</f>
        <v/>
      </c>
      <c r="BR5" s="51" t="str">
        <f>IFERROR(__xludf.DUMMYFUNCTION("""COMPUTED_VALUE"""),"")</f>
        <v/>
      </c>
      <c r="BS5" s="51" t="str">
        <f>IFERROR(__xludf.DUMMYFUNCTION("""COMPUTED_VALUE"""),"")</f>
        <v/>
      </c>
      <c r="BT5" s="51" t="str">
        <f>IFERROR(__xludf.DUMMYFUNCTION("""COMPUTED_VALUE"""),"")</f>
        <v/>
      </c>
      <c r="BU5" s="51" t="str">
        <f>IFERROR(__xludf.DUMMYFUNCTION("""COMPUTED_VALUE"""),"")</f>
        <v/>
      </c>
      <c r="BV5" s="51" t="str">
        <f>IFERROR(__xludf.DUMMYFUNCTION("""COMPUTED_VALUE"""),"")</f>
        <v/>
      </c>
      <c r="BW5" s="51" t="str">
        <f>IFERROR(__xludf.DUMMYFUNCTION("""COMPUTED_VALUE"""),"")</f>
        <v/>
      </c>
      <c r="BX5" s="51" t="str">
        <f>IFERROR(__xludf.DUMMYFUNCTION("""COMPUTED_VALUE"""),"")</f>
        <v/>
      </c>
      <c r="BY5" s="51" t="str">
        <f>IFERROR(__xludf.DUMMYFUNCTION("""COMPUTED_VALUE"""),"")</f>
        <v/>
      </c>
      <c r="BZ5" s="51" t="str">
        <f>IFERROR(__xludf.DUMMYFUNCTION("""COMPUTED_VALUE"""),"")</f>
        <v/>
      </c>
      <c r="CA5" s="51" t="str">
        <f>IFERROR(__xludf.DUMMYFUNCTION("""COMPUTED_VALUE"""),"")</f>
        <v/>
      </c>
      <c r="CB5" s="51" t="str">
        <f>IFERROR(__xludf.DUMMYFUNCTION("""COMPUTED_VALUE"""),"")</f>
        <v/>
      </c>
      <c r="CC5" s="51" t="str">
        <f>IFERROR(__xludf.DUMMYFUNCTION("""COMPUTED_VALUE"""),"")</f>
        <v/>
      </c>
      <c r="CD5" s="51" t="str">
        <f>IFERROR(__xludf.DUMMYFUNCTION("""COMPUTED_VALUE"""),"")</f>
        <v/>
      </c>
      <c r="CE5" s="51" t="str">
        <f>IFERROR(__xludf.DUMMYFUNCTION("""COMPUTED_VALUE"""),"")</f>
        <v/>
      </c>
      <c r="CF5" s="51" t="str">
        <f>IFERROR(__xludf.DUMMYFUNCTION("""COMPUTED_VALUE"""),"")</f>
        <v/>
      </c>
      <c r="CG5" s="51" t="str">
        <f>IFERROR(__xludf.DUMMYFUNCTION("""COMPUTED_VALUE"""),"")</f>
        <v/>
      </c>
      <c r="CH5" s="51" t="str">
        <f>IFERROR(__xludf.DUMMYFUNCTION("""COMPUTED_VALUE"""),"")</f>
        <v/>
      </c>
      <c r="CI5" s="51" t="str">
        <f>IFERROR(__xludf.DUMMYFUNCTION("""COMPUTED_VALUE"""),"")</f>
        <v/>
      </c>
      <c r="CJ5" s="51" t="str">
        <f>IFERROR(__xludf.DUMMYFUNCTION("""COMPUTED_VALUE"""),"")</f>
        <v/>
      </c>
      <c r="CK5" s="51" t="str">
        <f>IFERROR(__xludf.DUMMYFUNCTION("""COMPUTED_VALUE"""),"")</f>
        <v/>
      </c>
      <c r="CL5" s="51" t="str">
        <f>IFERROR(__xludf.DUMMYFUNCTION("""COMPUTED_VALUE"""),"")</f>
        <v/>
      </c>
      <c r="CM5" s="51" t="str">
        <f>IFERROR(__xludf.DUMMYFUNCTION("""COMPUTED_VALUE"""),"")</f>
        <v/>
      </c>
      <c r="CN5" s="51" t="str">
        <f>IFERROR(__xludf.DUMMYFUNCTION("""COMPUTED_VALUE"""),"")</f>
        <v/>
      </c>
      <c r="CO5" s="51" t="str">
        <f>IFERROR(__xludf.DUMMYFUNCTION("""COMPUTED_VALUE"""),"")</f>
        <v/>
      </c>
      <c r="CP5" s="51" t="str">
        <f>IFERROR(__xludf.DUMMYFUNCTION("""COMPUTED_VALUE"""),"")</f>
        <v/>
      </c>
      <c r="CQ5" s="51" t="str">
        <f>IFERROR(__xludf.DUMMYFUNCTION("""COMPUTED_VALUE"""),"")</f>
        <v/>
      </c>
      <c r="CR5" s="51" t="str">
        <f>IFERROR(__xludf.DUMMYFUNCTION("""COMPUTED_VALUE"""),"")</f>
        <v/>
      </c>
      <c r="CS5" s="51" t="str">
        <f>IFERROR(__xludf.DUMMYFUNCTION("""COMPUTED_VALUE"""),"")</f>
        <v/>
      </c>
      <c r="CT5" s="51" t="str">
        <f>IFERROR(__xludf.DUMMYFUNCTION("""COMPUTED_VALUE"""),"")</f>
        <v/>
      </c>
      <c r="CU5" s="51" t="str">
        <f>IFERROR(__xludf.DUMMYFUNCTION("""COMPUTED_VALUE"""),"")</f>
        <v/>
      </c>
      <c r="CV5" s="51" t="str">
        <f>IFERROR(__xludf.DUMMYFUNCTION("""COMPUTED_VALUE"""),"")</f>
        <v/>
      </c>
      <c r="CW5" s="51" t="str">
        <f>IFERROR(__xludf.DUMMYFUNCTION("""COMPUTED_VALUE"""),"")</f>
        <v/>
      </c>
      <c r="CX5" s="51" t="str">
        <f>IFERROR(__xludf.DUMMYFUNCTION("""COMPUTED_VALUE"""),"")</f>
        <v/>
      </c>
      <c r="CY5" s="51" t="str">
        <f>IFERROR(__xludf.DUMMYFUNCTION("""COMPUTED_VALUE"""),"")</f>
        <v/>
      </c>
      <c r="CZ5" s="51" t="str">
        <f>IFERROR(__xludf.DUMMYFUNCTION("""COMPUTED_VALUE"""),"")</f>
        <v/>
      </c>
      <c r="DA5" s="51" t="str">
        <f>IFERROR(__xludf.DUMMYFUNCTION("""COMPUTED_VALUE"""),"")</f>
        <v/>
      </c>
      <c r="DB5" s="51" t="str">
        <f>IFERROR(__xludf.DUMMYFUNCTION("""COMPUTED_VALUE"""),"")</f>
        <v/>
      </c>
      <c r="DC5" s="51" t="str">
        <f>IFERROR(__xludf.DUMMYFUNCTION("""COMPUTED_VALUE"""),"")</f>
        <v/>
      </c>
      <c r="DD5" s="51" t="str">
        <f>IFERROR(__xludf.DUMMYFUNCTION("""COMPUTED_VALUE"""),"")</f>
        <v/>
      </c>
      <c r="DE5" s="51" t="str">
        <f>IFERROR(__xludf.DUMMYFUNCTION("""COMPUTED_VALUE"""),"")</f>
        <v/>
      </c>
      <c r="DF5" s="51" t="str">
        <f>IFERROR(__xludf.DUMMYFUNCTION("""COMPUTED_VALUE"""),"")</f>
        <v/>
      </c>
      <c r="DG5" s="51" t="str">
        <f>IFERROR(__xludf.DUMMYFUNCTION("""COMPUTED_VALUE"""),"")</f>
        <v/>
      </c>
      <c r="DH5" s="51" t="str">
        <f>IFERROR(__xludf.DUMMYFUNCTION("""COMPUTED_VALUE"""),"")</f>
        <v/>
      </c>
      <c r="DI5" s="51" t="str">
        <f>IFERROR(__xludf.DUMMYFUNCTION("""COMPUTED_VALUE"""),"")</f>
        <v/>
      </c>
      <c r="DJ5" s="51" t="str">
        <f>IFERROR(__xludf.DUMMYFUNCTION("""COMPUTED_VALUE"""),"")</f>
        <v/>
      </c>
      <c r="DK5" s="51" t="str">
        <f>IFERROR(__xludf.DUMMYFUNCTION("""COMPUTED_VALUE"""),"")</f>
        <v/>
      </c>
      <c r="DL5" s="51" t="str">
        <f>IFERROR(__xludf.DUMMYFUNCTION("""COMPUTED_VALUE"""),"")</f>
        <v/>
      </c>
      <c r="DM5" s="51" t="str">
        <f>IFERROR(__xludf.DUMMYFUNCTION("""COMPUTED_VALUE"""),"")</f>
        <v/>
      </c>
      <c r="DN5" s="51" t="str">
        <f>IFERROR(__xludf.DUMMYFUNCTION("""COMPUTED_VALUE"""),"")</f>
        <v/>
      </c>
      <c r="DO5" s="51" t="str">
        <f>IFERROR(__xludf.DUMMYFUNCTION("""COMPUTED_VALUE"""),"")</f>
        <v/>
      </c>
      <c r="DP5" s="51" t="str">
        <f>IFERROR(__xludf.DUMMYFUNCTION("""COMPUTED_VALUE"""),"")</f>
        <v/>
      </c>
      <c r="DQ5" s="51" t="str">
        <f>IFERROR(__xludf.DUMMYFUNCTION("""COMPUTED_VALUE"""),"")</f>
        <v/>
      </c>
      <c r="DR5" s="51" t="str">
        <f>IFERROR(__xludf.DUMMYFUNCTION("""COMPUTED_VALUE"""),"")</f>
        <v/>
      </c>
      <c r="DS5" s="51" t="str">
        <f>IFERROR(__xludf.DUMMYFUNCTION("""COMPUTED_VALUE"""),"")</f>
        <v/>
      </c>
      <c r="DT5" s="51" t="str">
        <f>IFERROR(__xludf.DUMMYFUNCTION("""COMPUTED_VALUE"""),"")</f>
        <v/>
      </c>
      <c r="DU5" s="51" t="str">
        <f>IFERROR(__xludf.DUMMYFUNCTION("""COMPUTED_VALUE"""),"")</f>
        <v/>
      </c>
      <c r="DV5" s="51" t="str">
        <f>IFERROR(__xludf.DUMMYFUNCTION("""COMPUTED_VALUE"""),"")</f>
        <v/>
      </c>
      <c r="DW5" s="51" t="str">
        <f>IFERROR(__xludf.DUMMYFUNCTION("""COMPUTED_VALUE"""),"")</f>
        <v/>
      </c>
      <c r="DX5" s="51" t="str">
        <f>IFERROR(__xludf.DUMMYFUNCTION("""COMPUTED_VALUE"""),"")</f>
        <v/>
      </c>
      <c r="DY5" s="51" t="str">
        <f>IFERROR(__xludf.DUMMYFUNCTION("""COMPUTED_VALUE"""),"")</f>
        <v/>
      </c>
      <c r="DZ5" s="51" t="str">
        <f>IFERROR(__xludf.DUMMYFUNCTION("""COMPUTED_VALUE"""),"")</f>
        <v/>
      </c>
      <c r="EA5" s="51" t="str">
        <f>IFERROR(__xludf.DUMMYFUNCTION("""COMPUTED_VALUE"""),"")</f>
        <v/>
      </c>
      <c r="EB5" s="51" t="str">
        <f>IFERROR(__xludf.DUMMYFUNCTION("""COMPUTED_VALUE"""),"")</f>
        <v/>
      </c>
      <c r="EC5" s="51" t="str">
        <f>IFERROR(__xludf.DUMMYFUNCTION("""COMPUTED_VALUE"""),"")</f>
        <v/>
      </c>
      <c r="ED5" s="51" t="str">
        <f>IFERROR(__xludf.DUMMYFUNCTION("""COMPUTED_VALUE"""),"")</f>
        <v/>
      </c>
      <c r="EE5" s="51" t="str">
        <f>IFERROR(__xludf.DUMMYFUNCTION("""COMPUTED_VALUE"""),"")</f>
        <v/>
      </c>
      <c r="EF5" s="51" t="str">
        <f>IFERROR(__xludf.DUMMYFUNCTION("""COMPUTED_VALUE"""),"")</f>
        <v/>
      </c>
      <c r="EG5" s="51" t="str">
        <f>IFERROR(__xludf.DUMMYFUNCTION("""COMPUTED_VALUE"""),"")</f>
        <v/>
      </c>
      <c r="EH5" s="51" t="str">
        <f>IFERROR(__xludf.DUMMYFUNCTION("""COMPUTED_VALUE"""),"")</f>
        <v/>
      </c>
      <c r="EI5" s="51" t="str">
        <f>IFERROR(__xludf.DUMMYFUNCTION("""COMPUTED_VALUE"""),"")</f>
        <v/>
      </c>
      <c r="EJ5" s="51" t="str">
        <f>IFERROR(__xludf.DUMMYFUNCTION("""COMPUTED_VALUE"""),"")</f>
        <v/>
      </c>
      <c r="EK5" s="51" t="str">
        <f>IFERROR(__xludf.DUMMYFUNCTION("""COMPUTED_VALUE"""),"")</f>
        <v/>
      </c>
      <c r="EL5" s="51" t="str">
        <f>IFERROR(__xludf.DUMMYFUNCTION("""COMPUTED_VALUE"""),"")</f>
        <v/>
      </c>
      <c r="EM5" s="51" t="str">
        <f>IFERROR(__xludf.DUMMYFUNCTION("""COMPUTED_VALUE"""),"")</f>
        <v/>
      </c>
      <c r="EN5" s="51" t="str">
        <f>IFERROR(__xludf.DUMMYFUNCTION("""COMPUTED_VALUE"""),"")</f>
        <v/>
      </c>
      <c r="EO5" s="51" t="str">
        <f>IFERROR(__xludf.DUMMYFUNCTION("""COMPUTED_VALUE"""),"")</f>
        <v/>
      </c>
      <c r="EP5" s="51" t="str">
        <f>IFERROR(__xludf.DUMMYFUNCTION("""COMPUTED_VALUE"""),"")</f>
        <v/>
      </c>
      <c r="EQ5" s="51" t="str">
        <f>IFERROR(__xludf.DUMMYFUNCTION("""COMPUTED_VALUE"""),"")</f>
        <v/>
      </c>
      <c r="ER5" s="51" t="str">
        <f>IFERROR(__xludf.DUMMYFUNCTION("""COMPUTED_VALUE"""),"")</f>
        <v/>
      </c>
      <c r="ES5" s="51" t="str">
        <f>IFERROR(__xludf.DUMMYFUNCTION("""COMPUTED_VALUE"""),"")</f>
        <v/>
      </c>
      <c r="ET5" s="51" t="str">
        <f>IFERROR(__xludf.DUMMYFUNCTION("""COMPUTED_VALUE"""),"")</f>
        <v/>
      </c>
      <c r="EU5" s="51" t="str">
        <f>IFERROR(__xludf.DUMMYFUNCTION("""COMPUTED_VALUE"""),"")</f>
        <v/>
      </c>
      <c r="EV5" s="51" t="str">
        <f>IFERROR(__xludf.DUMMYFUNCTION("""COMPUTED_VALUE"""),"")</f>
        <v/>
      </c>
      <c r="EW5" s="51" t="str">
        <f>IFERROR(__xludf.DUMMYFUNCTION("""COMPUTED_VALUE"""),"")</f>
        <v/>
      </c>
      <c r="EX5" s="51" t="str">
        <f>IFERROR(__xludf.DUMMYFUNCTION("""COMPUTED_VALUE"""),"")</f>
        <v/>
      </c>
    </row>
    <row r="6" ht="15.75" customHeight="1">
      <c r="A6" s="36"/>
      <c r="B6" s="39" t="s">
        <v>17</v>
      </c>
      <c r="C6" s="39" t="s">
        <v>37</v>
      </c>
      <c r="D6" s="36"/>
      <c r="E6" s="36"/>
      <c r="F6" s="34"/>
      <c r="G6" s="36"/>
      <c r="H6" s="36"/>
      <c r="I6" s="36"/>
      <c r="J6" s="36"/>
      <c r="K6" s="36"/>
      <c r="L6" s="36"/>
      <c r="M6" s="42">
        <v>100.0</v>
      </c>
      <c r="N6" s="36"/>
      <c r="O6" s="36"/>
      <c r="P6" s="36" t="s">
        <v>45</v>
      </c>
      <c r="Q6" s="36"/>
      <c r="R6" s="46" t="s">
        <v>53</v>
      </c>
      <c r="S6" s="36"/>
      <c r="W6" s="36"/>
      <c r="X6" s="36"/>
      <c r="Y6" s="36"/>
      <c r="Z6" s="36"/>
      <c r="AA6" s="36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36"/>
      <c r="B7" s="39" t="s">
        <v>18</v>
      </c>
      <c r="C7" s="39" t="s">
        <v>24</v>
      </c>
      <c r="D7" s="36"/>
      <c r="E7" s="36"/>
      <c r="F7" s="36"/>
      <c r="G7" s="36"/>
      <c r="H7" s="36"/>
      <c r="I7" s="36"/>
      <c r="J7" s="36"/>
      <c r="K7" s="36"/>
      <c r="L7" s="36"/>
      <c r="M7" s="42">
        <v>100.0</v>
      </c>
      <c r="N7" s="36"/>
      <c r="O7" s="36"/>
      <c r="P7" s="36" t="s">
        <v>45</v>
      </c>
      <c r="Q7" s="36"/>
      <c r="R7" s="36" t="s">
        <v>44</v>
      </c>
      <c r="S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18</v>
      </c>
      <c r="C8" s="39" t="s">
        <v>24</v>
      </c>
      <c r="D8" s="36"/>
      <c r="E8" s="36"/>
      <c r="F8" s="36"/>
      <c r="G8" s="36"/>
      <c r="H8" s="36"/>
      <c r="I8" s="36"/>
      <c r="J8" s="36"/>
      <c r="K8" s="36"/>
      <c r="L8" s="36"/>
      <c r="M8" s="41">
        <v>60.0</v>
      </c>
      <c r="N8" s="36"/>
      <c r="O8" s="36"/>
      <c r="P8" s="36" t="s">
        <v>45</v>
      </c>
      <c r="Q8" s="36"/>
      <c r="R8" s="36" t="s">
        <v>44</v>
      </c>
      <c r="S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 t="s">
        <v>27</v>
      </c>
      <c r="C9" s="38" t="s">
        <v>24</v>
      </c>
      <c r="D9" s="36"/>
      <c r="E9" s="36"/>
      <c r="F9" s="36"/>
      <c r="G9" s="36"/>
      <c r="H9" s="36"/>
      <c r="I9" s="36"/>
      <c r="J9" s="36"/>
      <c r="K9" s="36"/>
      <c r="L9" s="36"/>
      <c r="M9" s="41">
        <v>40.0</v>
      </c>
      <c r="N9" s="36"/>
      <c r="O9" s="36"/>
      <c r="P9" s="36" t="s">
        <v>45</v>
      </c>
      <c r="Q9" s="36"/>
      <c r="R9" s="36" t="s">
        <v>44</v>
      </c>
      <c r="S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9" t="s">
        <v>18</v>
      </c>
      <c r="C10" s="38" t="s">
        <v>24</v>
      </c>
      <c r="D10" s="36"/>
      <c r="E10" s="36"/>
      <c r="F10" s="36"/>
      <c r="G10" s="36"/>
      <c r="H10" s="36"/>
      <c r="I10" s="36"/>
      <c r="J10" s="36"/>
      <c r="K10" s="36"/>
      <c r="L10" s="36"/>
      <c r="M10" s="42">
        <v>100.0</v>
      </c>
      <c r="N10" s="36"/>
      <c r="O10" s="36"/>
      <c r="P10" s="36" t="s">
        <v>50</v>
      </c>
      <c r="Q10" s="36"/>
      <c r="R10" s="36" t="s">
        <v>48</v>
      </c>
      <c r="S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9" t="s">
        <v>18</v>
      </c>
      <c r="C11" s="39" t="s">
        <v>36</v>
      </c>
      <c r="D11" s="36"/>
      <c r="E11" s="36"/>
      <c r="F11" s="36"/>
      <c r="G11" s="36"/>
      <c r="H11" s="36"/>
      <c r="I11" s="36"/>
      <c r="J11" s="36"/>
      <c r="K11" s="36"/>
      <c r="L11" s="36"/>
      <c r="M11" s="42">
        <v>100.0</v>
      </c>
      <c r="N11" s="36"/>
      <c r="O11" s="36"/>
      <c r="P11" s="36" t="s">
        <v>52</v>
      </c>
      <c r="Q11" s="36"/>
      <c r="R11" s="36" t="s">
        <v>51</v>
      </c>
      <c r="S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9" t="s">
        <v>17</v>
      </c>
      <c r="C12" s="39" t="s">
        <v>36</v>
      </c>
      <c r="D12" s="36"/>
      <c r="E12" s="36"/>
      <c r="F12" s="36"/>
      <c r="G12" s="36"/>
      <c r="H12" s="36"/>
      <c r="I12" s="36"/>
      <c r="J12" s="36"/>
      <c r="K12" s="36"/>
      <c r="L12" s="36"/>
      <c r="M12" s="42">
        <v>100.0</v>
      </c>
      <c r="N12" s="36"/>
      <c r="O12" s="36"/>
      <c r="P12" s="36" t="s">
        <v>52</v>
      </c>
      <c r="Q12" s="36"/>
      <c r="R12" s="36" t="s">
        <v>51</v>
      </c>
      <c r="S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9" t="s">
        <v>39</v>
      </c>
      <c r="C13" s="39" t="s">
        <v>37</v>
      </c>
      <c r="D13" s="36"/>
      <c r="E13" s="36"/>
      <c r="F13" s="36"/>
      <c r="G13" s="36"/>
      <c r="H13" s="36"/>
      <c r="I13" s="36"/>
      <c r="J13" s="36"/>
      <c r="K13" s="36"/>
      <c r="L13" s="36"/>
      <c r="M13" s="42">
        <v>75.0</v>
      </c>
      <c r="N13" s="36"/>
      <c r="O13" s="36"/>
      <c r="P13" s="36" t="s">
        <v>52</v>
      </c>
      <c r="Q13" s="36"/>
      <c r="R13" s="46" t="s">
        <v>53</v>
      </c>
      <c r="S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4"/>
      <c r="B14" s="35" t="s">
        <v>17</v>
      </c>
      <c r="C14" s="39" t="s">
        <v>37</v>
      </c>
      <c r="D14" s="34"/>
      <c r="E14" s="36"/>
      <c r="F14" s="36"/>
      <c r="G14" s="36"/>
      <c r="H14" s="36"/>
      <c r="I14" s="36"/>
      <c r="J14" s="36"/>
      <c r="K14" s="36"/>
      <c r="L14" s="36"/>
      <c r="M14" s="42">
        <v>100.0</v>
      </c>
      <c r="N14" s="36"/>
      <c r="O14" s="36"/>
      <c r="P14" s="36" t="s">
        <v>45</v>
      </c>
      <c r="Q14" s="36"/>
      <c r="R14" s="46" t="s">
        <v>53</v>
      </c>
      <c r="S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4"/>
      <c r="B15" s="35" t="s">
        <v>40</v>
      </c>
      <c r="C15" s="39" t="s">
        <v>37</v>
      </c>
      <c r="D15" s="34"/>
      <c r="E15" s="36"/>
      <c r="F15" s="36"/>
      <c r="G15" s="36"/>
      <c r="H15" s="36"/>
      <c r="I15" s="36"/>
      <c r="J15" s="36"/>
      <c r="K15" s="36"/>
      <c r="L15" s="36"/>
      <c r="M15" s="42">
        <v>25.0</v>
      </c>
      <c r="N15" s="36"/>
      <c r="O15" s="36"/>
      <c r="P15" s="36" t="s">
        <v>65</v>
      </c>
      <c r="Q15" s="36"/>
      <c r="R15" s="46" t="s">
        <v>53</v>
      </c>
      <c r="S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57</v>
      </c>
      <c r="D3" s="8" t="s">
        <v>9</v>
      </c>
      <c r="E3" s="22" t="s">
        <v>62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4"/>
      <c r="B6" s="35" t="s">
        <v>39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42">
        <v>75.0</v>
      </c>
      <c r="N6" s="36"/>
      <c r="O6" s="36"/>
      <c r="P6" s="36" t="s">
        <v>54</v>
      </c>
      <c r="Q6" s="36"/>
      <c r="R6" s="46" t="s">
        <v>53</v>
      </c>
      <c r="S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40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42">
        <v>25.0</v>
      </c>
      <c r="N7" s="36"/>
      <c r="O7" s="36"/>
      <c r="P7" s="36" t="s">
        <v>54</v>
      </c>
      <c r="Q7" s="36"/>
      <c r="R7" s="46" t="s">
        <v>53</v>
      </c>
      <c r="S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18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41">
        <v>100.0</v>
      </c>
      <c r="N8" s="36"/>
      <c r="O8" s="36"/>
      <c r="P8" s="36" t="s">
        <v>47</v>
      </c>
      <c r="Q8" s="36"/>
      <c r="R8" s="36" t="s">
        <v>44</v>
      </c>
      <c r="S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 t="s">
        <v>18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42">
        <v>100.0</v>
      </c>
      <c r="N9" s="36"/>
      <c r="O9" s="36"/>
      <c r="P9" s="36" t="s">
        <v>49</v>
      </c>
      <c r="Q9" s="36"/>
      <c r="R9" s="36" t="s">
        <v>48</v>
      </c>
      <c r="S9" s="36"/>
      <c r="W9" s="36"/>
      <c r="X9" s="36"/>
      <c r="Y9" s="36"/>
      <c r="Z9" s="36"/>
      <c r="AA9" s="36"/>
      <c r="AB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7</v>
      </c>
      <c r="C3" s="22" t="s">
        <v>12</v>
      </c>
      <c r="D3" s="8" t="s">
        <v>9</v>
      </c>
      <c r="E3" s="22" t="s">
        <v>64</v>
      </c>
      <c r="F3" s="8" t="s">
        <v>14</v>
      </c>
      <c r="G3" s="15" t="s">
        <v>15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3"/>
      <c r="B6" s="13" t="s">
        <v>60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