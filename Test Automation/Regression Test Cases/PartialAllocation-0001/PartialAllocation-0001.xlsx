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CheckAllocatedGroups" sheetId="7" r:id="rId9"/>
    <sheet state="visible" name="CheckUnallocatedGroups" sheetId="8" r:id="rId10"/>
    <sheet state="visible" name="GetDataAllocation" sheetId="9" r:id="rId11"/>
    <sheet state="visible" name="GetDataClosing" sheetId="10" r:id="rId12"/>
    <sheet state="visible" name="VerifyLongPositionsGrid" sheetId="11" r:id="rId13"/>
    <sheet state="visible" name="CheckPortfolioManagement" sheetId="12" r:id="rId14"/>
    <sheet state="visible" name="GetActivityData" sheetId="13" r:id="rId15"/>
    <sheet state="visible" name="VerifyActivity" sheetId="14" r:id="rId16"/>
    <sheet state="visible" name="SetGeneralPreferences" sheetId="15" r:id="rId17"/>
  </sheets>
  <definedNames/>
  <calcPr/>
</workbook>
</file>

<file path=xl/sharedStrings.xml><?xml version="1.0" encoding="utf-8"?>
<sst xmlns="http://schemas.openxmlformats.org/spreadsheetml/2006/main" count="222" uniqueCount="56">
  <si>
    <t>Modules Info</t>
  </si>
  <si>
    <t>Master Data Info</t>
  </si>
  <si>
    <t>Settings</t>
  </si>
  <si>
    <t>Module</t>
  </si>
  <si>
    <t>Module Step Setting File</t>
  </si>
  <si>
    <t>Step</t>
  </si>
  <si>
    <t>1mQ5wEgXb-MhIU0Or9e66NOlU7WFsZsSgRXGfsykMW9I</t>
  </si>
  <si>
    <t>Master Data Sheet</t>
  </si>
  <si>
    <t>Master Data Settings File</t>
  </si>
  <si>
    <t>1Nt_rf5DtgjbN9Ag4AMMlUkZYROxKZLH5m54YOl7tRT0</t>
  </si>
  <si>
    <t>Modules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</si>
  <si>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</si>
  <si>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</si>
  <si>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</si>
  <si>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</si>
  <si>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</si>
  <si>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</si>
  <si>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</si>
  <si>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</si>
  <si>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</si>
  <si>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</si>
  <si>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</si>
  <si>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</si>
  <si>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</si>
  <si>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</si>
  <si>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</si>
  <si>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</si>
  <si>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</si>
  <si>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</si>
  <si>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Allocation</t>
  </si>
  <si>
    <t>SelectUnallocatedGroup</t>
  </si>
  <si>
    <t>EnterAllocatePreference</t>
  </si>
  <si>
    <t>Calculated</t>
  </si>
  <si>
    <t>Prorata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</si>
  <si>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</si>
  <si>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</si>
  <si>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</si>
  <si>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</si>
  <si>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</si>
  <si>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</si>
  <si>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VerifyLongPositionsGrid</t>
  </si>
  <si>
    <t>Allocation1</t>
  </si>
  <si>
    <t>Allocation2</t>
  </si>
  <si>
    <t>Allocation3</t>
  </si>
  <si>
    <t>PortfolioManagement</t>
  </si>
  <si>
    <t>CheckPortfolioManagement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</si>
  <si>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</si>
  <si>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</si>
  <si>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</si>
  <si>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</si>
  <si>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</si>
  <si>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</si>
  <si>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VerifyActivity</t>
  </si>
  <si>
    <t>EquityL</t>
  </si>
  <si>
    <t>USD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</si>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</sst>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bottom/>
    </border>
    <border>
      <left/>
      <right/>
      <top/>
      <bottom/>
    </border>
    <border>
      <right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4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5" fillId="3" fontId="6" numFmtId="0" xfId="0" applyAlignment="1" applyBorder="1" applyFill="1" applyFont="1">
      <alignment shrinkToFit="0" vertical="bottom" wrapText="0"/>
    </xf>
    <xf borderId="6" fillId="3" fontId="6" numFmtId="0" xfId="0" applyAlignment="1" applyBorder="1" applyFont="1">
      <alignment shrinkToFit="0" wrapText="0"/>
    </xf>
    <xf borderId="7" fillId="3" fontId="7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7" fillId="3" fontId="4" numFmtId="0" xfId="0" applyAlignment="1" applyBorder="1" applyFont="1">
      <alignment vertical="bottom"/>
    </xf>
    <xf borderId="6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shrinkToFit="0" wrapText="0"/>
    </xf>
    <xf borderId="6" fillId="3" fontId="5" numFmtId="0" xfId="0" applyAlignment="1" applyBorder="1" applyFont="1">
      <alignment shrinkToFit="0" wrapText="0"/>
    </xf>
    <xf borderId="6" fillId="3" fontId="4" numFmtId="0" xfId="0" applyAlignment="1" applyBorder="1" applyFont="1">
      <alignment readingOrder="0" shrinkToFit="0" wrapText="0"/>
    </xf>
    <xf borderId="6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6" fillId="3" fontId="9" numFmtId="0" xfId="0" applyAlignment="1" applyBorder="1" applyFont="1">
      <alignment readingOrder="0" shrinkToFit="0" wrapText="0"/>
    </xf>
    <xf borderId="6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6" fillId="6" fontId="6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0" fillId="0" fontId="3" numFmtId="14" xfId="0" applyFont="1" applyNumberFormat="1"/>
    <xf borderId="0" fillId="0" fontId="3" numFmtId="3" xfId="0" applyAlignment="1" applyFont="1" applyNumberFormat="1">
      <alignment readingOrder="0"/>
    </xf>
    <xf borderId="6" fillId="6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14"/>
      <c r="B2" s="14"/>
      <c r="C2" s="14"/>
      <c r="D2" s="14"/>
      <c r="E2" s="14"/>
      <c r="F2" s="14"/>
    </row>
    <row r="3" ht="15.75" customHeight="1">
      <c r="A3" s="9" t="s">
        <v>10</v>
      </c>
      <c r="B3" s="16"/>
      <c r="C3" s="17"/>
      <c r="D3" s="17"/>
      <c r="E3" s="17"/>
      <c r="F3" s="17"/>
    </row>
    <row r="4" ht="15.75" customHeight="1">
      <c r="A4" s="7" t="str">
        <f>IFERROR(__xludf.DUMMYFUNCTION("IMPORTRANGE('_Settings'!B3,""Modules!A4:L1000"")"),"Allocation")</f>
        <v>Allocation</v>
      </c>
      <c r="B4" s="14" t="str">
        <f>IFERROR(__xludf.DUMMYFUNCTION("""COMPUTED_VALUE"""),"Allocate")</f>
        <v>Allocate</v>
      </c>
      <c r="C4" s="14" t="str">
        <f>IFERROR(__xludf.DUMMYFUNCTION("""COMPUTED_VALUE"""),"1g8wLprruaWRC_5pQcovqkv8ZCiMt5fspCOACibdkz7g")</f>
        <v>1g8wLprruaWRC_5pQcovqkv8ZCiMt5fspCOACibdkz7g</v>
      </c>
      <c r="D4" s="14" t="str">
        <f>IFERROR(__xludf.DUMMYFUNCTION("""COMPUTED_VALUE"""),"")</f>
        <v/>
      </c>
      <c r="E4" s="14" t="str">
        <f>IFERROR(__xludf.DUMMYFUNCTION("""COMPUTED_VALUE"""),"")</f>
        <v/>
      </c>
      <c r="F4" s="1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14" t="str">
        <f>IFERROR(__xludf.DUMMYFUNCTION("""COMPUTED_VALUE"""),"CheckAllocatedGroups")</f>
        <v>CheckAllocatedGroups</v>
      </c>
      <c r="C5" s="14" t="str">
        <f>IFERROR(__xludf.DUMMYFUNCTION("""COMPUTED_VALUE"""),"1aecq-HMDoDkIInONjPC11z5TBFHyJhv4ro66e2ZOphg")</f>
        <v>1aecq-HMDoDkIInONjPC11z5TBFHyJhv4ro66e2ZOphg</v>
      </c>
      <c r="D5" s="14" t="str">
        <f>IFERROR(__xludf.DUMMYFUNCTION("""COMPUTED_VALUE"""),"")</f>
        <v/>
      </c>
      <c r="E5" s="14" t="str">
        <f>IFERROR(__xludf.DUMMYFUNCTION("""COMPUTED_VALUE"""),"")</f>
        <v/>
      </c>
      <c r="F5" s="1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4" t="str">
        <f>IFERROR(__xludf.DUMMYFUNCTION("""COMPUTED_VALUE"""),"Allocation")</f>
        <v>Allocation</v>
      </c>
      <c r="B6" s="14" t="str">
        <f>IFERROR(__xludf.DUMMYFUNCTION("""COMPUTED_VALUE"""),"Unallocate")</f>
        <v>Unallocate</v>
      </c>
      <c r="C6" s="14" t="str">
        <f>IFERROR(__xludf.DUMMYFUNCTION("""COMPUTED_VALUE"""),"1eDZq-_vllq4jwvwpk9qGnwQUhlb-sFvyFKPBriT2dA0")</f>
        <v>1eDZq-_vllq4jwvwpk9qGnwQUhlb-sFvyFKPBriT2dA0</v>
      </c>
      <c r="D6" s="14" t="str">
        <f>IFERROR(__xludf.DUMMYFUNCTION("""COMPUTED_VALUE"""),"")</f>
        <v/>
      </c>
      <c r="E6" s="14" t="str">
        <f>IFERROR(__xludf.DUMMYFUNCTION("""COMPUTED_VALUE"""),"")</f>
        <v/>
      </c>
      <c r="F6" s="1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4" t="str">
        <f>IFERROR(__xludf.DUMMYFUNCTION("""COMPUTED_VALUE"""),"Allocation")</f>
        <v>Allocation</v>
      </c>
      <c r="B7" s="14" t="str">
        <f>IFERROR(__xludf.DUMMYFUNCTION("""COMPUTED_VALUE"""),"GetDataAllocation")</f>
        <v>GetDataAllocation</v>
      </c>
      <c r="C7" s="14" t="str">
        <f>IFERROR(__xludf.DUMMYFUNCTION("""COMPUTED_VALUE"""),"1FBTO3wCB7odq-jpQMbYHgSrAL5-rFO2_kp9Kr2iXqXE")</f>
        <v>1FBTO3wCB7odq-jpQMbYHgSrAL5-rFO2_kp9Kr2iXqXE</v>
      </c>
      <c r="D7" s="14" t="str">
        <f>IFERROR(__xludf.DUMMYFUNCTION("""COMPUTED_VALUE"""),"")</f>
        <v/>
      </c>
      <c r="E7" s="14" t="str">
        <f>IFERROR(__xludf.DUMMYFUNCTION("""COMPUTED_VALUE"""),"")</f>
        <v/>
      </c>
      <c r="F7" s="1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4" t="str">
        <f>IFERROR(__xludf.DUMMYFUNCTION("""COMPUTED_VALUE"""),"Allocation")</f>
        <v>Allocation</v>
      </c>
      <c r="B8" s="14" t="str">
        <f>IFERROR(__xludf.DUMMYFUNCTION("""COMPUTED_VALUE"""),"SelectAllocatedGroup")</f>
        <v>SelectAllocatedGroup</v>
      </c>
      <c r="C8" s="14" t="str">
        <f>IFERROR(__xludf.DUMMYFUNCTION("""COMPUTED_VALUE"""),"1G0ZkXDrIDX_loGmAyLs_Shy8hExtTELtFXERbX-HdPo")</f>
        <v>1G0ZkXDrIDX_loGmAyLs_Shy8hExtTELtFXERbX-HdPo</v>
      </c>
      <c r="D8" s="14" t="str">
        <f>IFERROR(__xludf.DUMMYFUNCTION("""COMPUTED_VALUE"""),"")</f>
        <v/>
      </c>
      <c r="E8" s="14" t="str">
        <f>IFERROR(__xludf.DUMMYFUNCTION("""COMPUTED_VALUE"""),"")</f>
        <v/>
      </c>
      <c r="F8" s="1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4" t="str">
        <f>IFERROR(__xludf.DUMMYFUNCTION("""COMPUTED_VALUE"""),"Allocation")</f>
        <v>Allocation</v>
      </c>
      <c r="B9" s="14" t="str">
        <f>IFERROR(__xludf.DUMMYFUNCTION("""COMPUTED_VALUE"""),"EditTradesAllocated")</f>
        <v>EditTradesAllocated</v>
      </c>
      <c r="C9" s="14" t="str">
        <f>IFERROR(__xludf.DUMMYFUNCTION("""COMPUTED_VALUE"""),"1YgVZ1jEVgjUF1Dp8FAj_W_zLEZCyqvNMlWJIg0Tmkq4")</f>
        <v>1YgVZ1jEVgjUF1Dp8FAj_W_zLEZCyqvNMlWJIg0Tmkq4</v>
      </c>
      <c r="D9" s="14" t="str">
        <f>IFERROR(__xludf.DUMMYFUNCTION("""COMPUTED_VALUE"""),"")</f>
        <v/>
      </c>
      <c r="E9" s="14" t="str">
        <f>IFERROR(__xludf.DUMMYFUNCTION("""COMPUTED_VALUE"""),"")</f>
        <v/>
      </c>
      <c r="F9" s="1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4" t="str">
        <f>IFERROR(__xludf.DUMMYFUNCTION("""COMPUTED_VALUE"""),"Allocation")</f>
        <v>Allocation</v>
      </c>
      <c r="B10" s="14" t="str">
        <f>IFERROR(__xludf.DUMMYFUNCTION("""COMPUTED_VALUE"""),"EditTradesUnallocated")</f>
        <v>EditTradesUnallocated</v>
      </c>
      <c r="C10" s="14" t="str">
        <f>IFERROR(__xludf.DUMMYFUNCTION("""COMPUTED_VALUE"""),"1MyB61T39MDAUyQqCUJLATzUT2f5UlE8nFq4ltWy_DJ4")</f>
        <v>1MyB61T39MDAUyQqCUJLATzUT2f5UlE8nFq4ltWy_DJ4</v>
      </c>
      <c r="D10" s="14" t="str">
        <f>IFERROR(__xludf.DUMMYFUNCTION("""COMPUTED_VALUE"""),"")</f>
        <v/>
      </c>
      <c r="E10" s="14" t="str">
        <f>IFERROR(__xludf.DUMMYFUNCTION("""COMPUTED_VALUE"""),"")</f>
        <v/>
      </c>
      <c r="F10" s="1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4" t="str">
        <f>IFERROR(__xludf.DUMMYFUNCTION("""COMPUTED_VALUE"""),"Allocation")</f>
        <v>Allocation</v>
      </c>
      <c r="B11" s="14" t="str">
        <f>IFERROR(__xludf.DUMMYFUNCTION("""COMPUTED_VALUE"""),"Reallocate")</f>
        <v>Reallocate</v>
      </c>
      <c r="C11" s="14" t="str">
        <f>IFERROR(__xludf.DUMMYFUNCTION("""COMPUTED_VALUE"""),"undefined")</f>
        <v>undefined</v>
      </c>
      <c r="D11" s="14" t="str">
        <f>IFERROR(__xludf.DUMMYFUNCTION("""COMPUTED_VALUE"""),"")</f>
        <v/>
      </c>
      <c r="E11" s="14" t="str">
        <f>IFERROR(__xludf.DUMMYFUNCTION("""COMPUTED_VALUE"""),"")</f>
        <v/>
      </c>
      <c r="F11" s="1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4" t="str">
        <f>IFERROR(__xludf.DUMMYFUNCTION("""COMPUTED_VALUE"""),"Blotter")</f>
        <v>Blotter</v>
      </c>
      <c r="B12" s="14" t="str">
        <f>IFERROR(__xludf.DUMMYFUNCTION("""COMPUTED_VALUE"""),"ReplaceFillsOnBlotter")</f>
        <v>ReplaceFillsOnBlotter</v>
      </c>
      <c r="C12" s="14" t="str">
        <f>IFERROR(__xludf.DUMMYFUNCTION("""COMPUTED_VALUE"""),"undefined")</f>
        <v>undefined</v>
      </c>
      <c r="D12" s="14" t="str">
        <f>IFERROR(__xludf.DUMMYFUNCTION("""COMPUTED_VALUE"""),"")</f>
        <v/>
      </c>
      <c r="E12" s="14" t="str">
        <f>IFERROR(__xludf.DUMMYFUNCTION("""COMPUTED_VALUE"""),"")</f>
        <v/>
      </c>
      <c r="F12" s="1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4" t="str">
        <f>IFERROR(__xludf.DUMMYFUNCTION("""COMPUTED_VALUE"""),"Blotter")</f>
        <v>Blotter</v>
      </c>
      <c r="B13" s="14" t="str">
        <f>IFERROR(__xludf.DUMMYFUNCTION("""COMPUTED_VALUE"""),"CheckBlotter")</f>
        <v>CheckBlotter</v>
      </c>
      <c r="C13" s="14" t="str">
        <f>IFERROR(__xludf.DUMMYFUNCTION("""COMPUTED_VALUE"""),"16qheLbvgC92hKxalWDlpWfHBMyDDVqHERUCc7bQiO2A")</f>
        <v>16qheLbvgC92hKxalWDlpWfHBMyDDVqHERUCc7bQiO2A</v>
      </c>
      <c r="D13" s="14" t="str">
        <f>IFERROR(__xludf.DUMMYFUNCTION("""COMPUTED_VALUE"""),"")</f>
        <v/>
      </c>
      <c r="E13" s="14" t="str">
        <f>IFERROR(__xludf.DUMMYFUNCTION("""COMPUTED_VALUE"""),"")</f>
        <v/>
      </c>
      <c r="F13" s="1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4" t="str">
        <f>IFERROR(__xludf.DUMMYFUNCTION("""COMPUTED_VALUE"""),"GeneralLedger")</f>
        <v>GeneralLedger</v>
      </c>
      <c r="B14" s="14" t="str">
        <f>IFERROR(__xludf.DUMMYFUNCTION("""COMPUTED_VALUE"""),"GetDataCash")</f>
        <v>GetDataCash</v>
      </c>
      <c r="C14" s="14" t="str">
        <f>IFERROR(__xludf.DUMMYFUNCTION("""COMPUTED_VALUE"""),"1zLd3ju-mV8f6PZiQUYLU-cAgAUwLwyoIAKuu0WgG2zI")</f>
        <v>1zLd3ju-mV8f6PZiQUYLU-cAgAUwLwyoIAKuu0WgG2zI</v>
      </c>
      <c r="D14" s="14" t="str">
        <f>IFERROR(__xludf.DUMMYFUNCTION("""COMPUTED_VALUE"""),"")</f>
        <v/>
      </c>
      <c r="E14" s="14" t="str">
        <f>IFERROR(__xludf.DUMMYFUNCTION("""COMPUTED_VALUE"""),"")</f>
        <v/>
      </c>
      <c r="F14" s="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4" t="str">
        <f>IFERROR(__xludf.DUMMYFUNCTION("""COMPUTED_VALUE"""),"GeneralLedger")</f>
        <v>GeneralLedger</v>
      </c>
      <c r="B15" s="14" t="str">
        <f>IFERROR(__xludf.DUMMYFUNCTION("""COMPUTED_VALUE"""),"EnterCashDividends")</f>
        <v>EnterCashDividends</v>
      </c>
      <c r="C15" s="14" t="str">
        <f>IFERROR(__xludf.DUMMYFUNCTION("""COMPUTED_VALUE"""),"1sjDsI5FIL_l_G6osMJQ7e8auBgYd3R3JDaKWKV_8Og0")</f>
        <v>1sjDsI5FIL_l_G6osMJQ7e8auBgYd3R3JDaKWKV_8Og0</v>
      </c>
      <c r="D15" s="14" t="str">
        <f>IFERROR(__xludf.DUMMYFUNCTION("""COMPUTED_VALUE"""),"")</f>
        <v/>
      </c>
      <c r="E15" s="14" t="str">
        <f>IFERROR(__xludf.DUMMYFUNCTION("""COMPUTED_VALUE"""),"")</f>
        <v/>
      </c>
      <c r="F15" s="1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4" t="str">
        <f>IFERROR(__xludf.DUMMYFUNCTION("""COMPUTED_VALUE"""),"GeneralLedger")</f>
        <v>GeneralLedger</v>
      </c>
      <c r="B16" s="14" t="str">
        <f>IFERROR(__xludf.DUMMYFUNCTION("""COMPUTED_VALUE"""),"EnterNonTradingTransaction")</f>
        <v>EnterNonTradingTransaction</v>
      </c>
      <c r="C16" s="14" t="str">
        <f>IFERROR(__xludf.DUMMYFUNCTION("""COMPUTED_VALUE"""),"1xn1P_Z-3N4d2BC1SUPly2HiVZazly5ZQcS18BfaTyho")</f>
        <v>1xn1P_Z-3N4d2BC1SUPly2HiVZazly5ZQcS18BfaTyho</v>
      </c>
      <c r="D16" s="14" t="str">
        <f>IFERROR(__xludf.DUMMYFUNCTION("""COMPUTED_VALUE"""),"")</f>
        <v/>
      </c>
      <c r="E16" s="14" t="str">
        <f>IFERROR(__xludf.DUMMYFUNCTION("""COMPUTED_VALUE"""),"")</f>
        <v/>
      </c>
      <c r="F16" s="1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4" t="str">
        <f>IFERROR(__xludf.DUMMYFUNCTION("""COMPUTED_VALUE"""),"GeneralLedger")</f>
        <v>GeneralLedger</v>
      </c>
      <c r="B17" s="14" t="str">
        <f>IFERROR(__xludf.DUMMYFUNCTION("""COMPUTED_VALUE"""),"VerifyCash")</f>
        <v>VerifyCash</v>
      </c>
      <c r="C17" s="14" t="str">
        <f>IFERROR(__xludf.DUMMYFUNCTION("""COMPUTED_VALUE"""),"1vlvYPsiFAWjsnFrbkGn_fAvkwF00V3e7htalalU6QN4")</f>
        <v>1vlvYPsiFAWjsnFrbkGn_fAvkwF00V3e7htalalU6QN4</v>
      </c>
      <c r="D17" s="14" t="str">
        <f>IFERROR(__xludf.DUMMYFUNCTION("""COMPUTED_VALUE"""),"")</f>
        <v/>
      </c>
      <c r="E17" s="14" t="str">
        <f>IFERROR(__xludf.DUMMYFUNCTION("""COMPUTED_VALUE"""),"")</f>
        <v/>
      </c>
      <c r="F17" s="1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4" t="str">
        <f>IFERROR(__xludf.DUMMYFUNCTION("""COMPUTED_VALUE"""),"GeneralLedger")</f>
        <v>GeneralLedger</v>
      </c>
      <c r="B18" s="14" t="str">
        <f>IFERROR(__xludf.DUMMYFUNCTION("""COMPUTED_VALUE"""),"VerifyActivity")</f>
        <v>VerifyActivity</v>
      </c>
      <c r="C18" s="14" t="str">
        <f>IFERROR(__xludf.DUMMYFUNCTION("""COMPUTED_VALUE"""),"1o2rCg2FuoAOT5Pl8i4iFP_TwpPm0UB1dd49GbpkytfM")</f>
        <v>1o2rCg2FuoAOT5Pl8i4iFP_TwpPm0UB1dd49GbpkytfM</v>
      </c>
      <c r="D18" s="14" t="str">
        <f>IFERROR(__xludf.DUMMYFUNCTION("""COMPUTED_VALUE"""),"")</f>
        <v/>
      </c>
      <c r="E18" s="14" t="str">
        <f>IFERROR(__xludf.DUMMYFUNCTION("""COMPUTED_VALUE"""),"")</f>
        <v/>
      </c>
      <c r="F18" s="1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4" t="str">
        <f>IFERROR(__xludf.DUMMYFUNCTION("""COMPUTED_VALUE"""),"GeneralLedger")</f>
        <v>GeneralLedger</v>
      </c>
      <c r="B19" s="14" t="str">
        <f>IFERROR(__xludf.DUMMYFUNCTION("""COMPUTED_VALUE"""),"VerifyTradingTransaction")</f>
        <v>VerifyTradingTransaction</v>
      </c>
      <c r="C19" s="14" t="str">
        <f>IFERROR(__xludf.DUMMYFUNCTION("""COMPUTED_VALUE"""),"1_v2niCJ9VGNvgEBpvz030BFqEISSUhYRHyWcAJAn_Eg")</f>
        <v>1_v2niCJ9VGNvgEBpvz030BFqEISSUhYRHyWcAJAn_Eg</v>
      </c>
      <c r="D19" s="14" t="str">
        <f>IFERROR(__xludf.DUMMYFUNCTION("""COMPUTED_VALUE"""),"")</f>
        <v/>
      </c>
      <c r="E19" s="14" t="str">
        <f>IFERROR(__xludf.DUMMYFUNCTION("""COMPUTED_VALUE"""),"")</f>
        <v/>
      </c>
      <c r="F19" s="1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4" t="str">
        <f>IFERROR(__xludf.DUMMYFUNCTION("""COMPUTED_VALUE"""),"GeneralLedger")</f>
        <v>GeneralLedger</v>
      </c>
      <c r="B20" s="14" t="str">
        <f>IFERROR(__xludf.DUMMYFUNCTION("""COMPUTED_VALUE"""),"VerifyRevaluationData")</f>
        <v>VerifyRevaluationData</v>
      </c>
      <c r="C20" s="14" t="str">
        <f>IFERROR(__xludf.DUMMYFUNCTION("""COMPUTED_VALUE"""),"1hsRs1-LY0akTrMe91ArnbLtk6GUy_bKxVwMYCaiMs-8")</f>
        <v>1hsRs1-LY0akTrMe91ArnbLtk6GUy_bKxVwMYCaiMs-8</v>
      </c>
      <c r="D20" s="14" t="str">
        <f>IFERROR(__xludf.DUMMYFUNCTION("""COMPUTED_VALUE"""),"")</f>
        <v/>
      </c>
      <c r="E20" s="14" t="str">
        <f>IFERROR(__xludf.DUMMYFUNCTION("""COMPUTED_VALUE"""),"")</f>
        <v/>
      </c>
      <c r="F20" s="1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4" t="str">
        <f>IFERROR(__xludf.DUMMYFUNCTION("""COMPUTED_VALUE"""),"CorporateAction")</f>
        <v>CorporateAction</v>
      </c>
      <c r="B21" s="14" t="str">
        <f>IFERROR(__xludf.DUMMYFUNCTION("""COMPUTED_VALUE"""),"CorporateAction")</f>
        <v>CorporateAction</v>
      </c>
      <c r="C21" s="14" t="str">
        <f>IFERROR(__xludf.DUMMYFUNCTION("""COMPUTED_VALUE"""),"14rwUHTx4auE_hf60WN-tNOx3atNg7QGvErWNwVQIRqE")</f>
        <v>14rwUHTx4auE_hf60WN-tNOx3atNg7QGvErWNwVQIRqE</v>
      </c>
      <c r="D21" s="14" t="str">
        <f>IFERROR(__xludf.DUMMYFUNCTION("""COMPUTED_VALUE"""),"")</f>
        <v/>
      </c>
      <c r="E21" s="14" t="str">
        <f>IFERROR(__xludf.DUMMYFUNCTION("""COMPUTED_VALUE"""),"")</f>
        <v/>
      </c>
      <c r="F21" s="1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4" t="str">
        <f>IFERROR(__xludf.DUMMYFUNCTION("""COMPUTED_VALUE"""),"CreateTransaction")</f>
        <v>CreateTransaction</v>
      </c>
      <c r="B22" s="14" t="str">
        <f>IFERROR(__xludf.DUMMYFUNCTION("""COMPUTED_VALUE"""),"CreateTransaction")</f>
        <v>CreateTransaction</v>
      </c>
      <c r="C22" s="14" t="str">
        <f>IFERROR(__xludf.DUMMYFUNCTION("""COMPUTED_VALUE"""),"1amshi8Ns36lsDpccBK0y_9bL_pQ2rHdGNYypcgzceUg")</f>
        <v>1amshi8Ns36lsDpccBK0y_9bL_pQ2rHdGNYypcgzceUg</v>
      </c>
      <c r="D22" s="14" t="str">
        <f>IFERROR(__xludf.DUMMYFUNCTION("""COMPUTED_VALUE"""),"")</f>
        <v/>
      </c>
      <c r="E22" s="14" t="str">
        <f>IFERROR(__xludf.DUMMYFUNCTION("""COMPUTED_VALUE"""),"")</f>
        <v/>
      </c>
      <c r="F22" s="1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4" t="str">
        <f>IFERROR(__xludf.DUMMYFUNCTION("""COMPUTED_VALUE"""),"DailyValuation")</f>
        <v>DailyValuation</v>
      </c>
      <c r="B23" s="14" t="str">
        <f>IFERROR(__xludf.DUMMYFUNCTION("""COMPUTED_VALUE"""),"UpdateBeta")</f>
        <v>UpdateBeta</v>
      </c>
      <c r="C23" s="14" t="str">
        <f>IFERROR(__xludf.DUMMYFUNCTION("""COMPUTED_VALUE"""),"1YKttwHsdIskNDoo0Sl7HF2DWikROW-KA05qfT3GLIyI")</f>
        <v>1YKttwHsdIskNDoo0Sl7HF2DWikROW-KA05qfT3GLIyI</v>
      </c>
      <c r="D23" s="14" t="str">
        <f>IFERROR(__xludf.DUMMYFUNCTION("""COMPUTED_VALUE"""),"")</f>
        <v/>
      </c>
      <c r="E23" s="14" t="str">
        <f>IFERROR(__xludf.DUMMYFUNCTION("""COMPUTED_VALUE"""),"")</f>
        <v/>
      </c>
      <c r="F23" s="1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4" t="str">
        <f>IFERROR(__xludf.DUMMYFUNCTION("""COMPUTED_VALUE"""),"DailyValuation")</f>
        <v>DailyValuation</v>
      </c>
      <c r="B24" s="14" t="str">
        <f>IFERROR(__xludf.DUMMYFUNCTION("""COMPUTED_VALUE"""),"UpdateDailyCash")</f>
        <v>UpdateDailyCash</v>
      </c>
      <c r="C24" s="14" t="str">
        <f>IFERROR(__xludf.DUMMYFUNCTION("""COMPUTED_VALUE"""),"1YJ2rTp-OqQTGjubvs_cBC6fl0l94pyHI2eaLJzbddS4")</f>
        <v>1YJ2rTp-OqQTGjubvs_cBC6fl0l94pyHI2eaLJzbddS4</v>
      </c>
      <c r="D24" s="14" t="str">
        <f>IFERROR(__xludf.DUMMYFUNCTION("""COMPUTED_VALUE"""),"")</f>
        <v/>
      </c>
      <c r="E24" s="14" t="str">
        <f>IFERROR(__xludf.DUMMYFUNCTION("""COMPUTED_VALUE"""),"")</f>
        <v/>
      </c>
      <c r="F24" s="1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4" t="str">
        <f>IFERROR(__xludf.DUMMYFUNCTION("""COMPUTED_VALUE"""),"DailyValuation")</f>
        <v>DailyValuation</v>
      </c>
      <c r="B25" s="14" t="str">
        <f>IFERROR(__xludf.DUMMYFUNCTION("""COMPUTED_VALUE"""),"UpdateForexConversion")</f>
        <v>UpdateForexConversion</v>
      </c>
      <c r="C25" s="14" t="str">
        <f>IFERROR(__xludf.DUMMYFUNCTION("""COMPUTED_VALUE"""),"1mLyEfNTVFd65cnE6GfgCRD6TdpKg1BgqNIDjHCFzyO4")</f>
        <v>1mLyEfNTVFd65cnE6GfgCRD6TdpKg1BgqNIDjHCFzyO4</v>
      </c>
      <c r="D25" s="14" t="str">
        <f>IFERROR(__xludf.DUMMYFUNCTION("""COMPUTED_VALUE"""),"")</f>
        <v/>
      </c>
      <c r="E25" s="14" t="str">
        <f>IFERROR(__xludf.DUMMYFUNCTION("""COMPUTED_VALUE"""),"")</f>
        <v/>
      </c>
      <c r="F25" s="1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4" t="str">
        <f>IFERROR(__xludf.DUMMYFUNCTION("""COMPUTED_VALUE"""),"DailyValuation")</f>
        <v>DailyValuation</v>
      </c>
      <c r="B26" s="14" t="str">
        <f>IFERROR(__xludf.DUMMYFUNCTION("""COMPUTED_VALUE"""),"UpdateMarkPrice")</f>
        <v>UpdateMarkPrice</v>
      </c>
      <c r="C26" s="14" t="str">
        <f>IFERROR(__xludf.DUMMYFUNCTION("""COMPUTED_VALUE"""),"1M8d9TyOhMnA65NSIYvS6dR68SH5RL6oKahd6uz7yp6c")</f>
        <v>1M8d9TyOhMnA65NSIYvS6dR68SH5RL6oKahd6uz7yp6c</v>
      </c>
      <c r="D26" s="14" t="str">
        <f>IFERROR(__xludf.DUMMYFUNCTION("""COMPUTED_VALUE"""),"")</f>
        <v/>
      </c>
      <c r="E26" s="14" t="str">
        <f>IFERROR(__xludf.DUMMYFUNCTION("""COMPUTED_VALUE"""),"")</f>
        <v/>
      </c>
      <c r="F26" s="1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4" t="str">
        <f>IFERROR(__xludf.DUMMYFUNCTION("""COMPUTED_VALUE"""),"Import")</f>
        <v>Import</v>
      </c>
      <c r="B27" s="14" t="str">
        <f>IFERROR(__xludf.DUMMYFUNCTION("""COMPUTED_VALUE"""),"Import")</f>
        <v>Import</v>
      </c>
      <c r="C27" s="14" t="str">
        <f>IFERROR(__xludf.DUMMYFUNCTION("""COMPUTED_VALUE"""),"1Q5uOVYo1NMRks6hQRJuV8XWMPb6VFEAbSzpgP1dot1I")</f>
        <v>1Q5uOVYo1NMRks6hQRJuV8XWMPb6VFEAbSzpgP1dot1I</v>
      </c>
      <c r="D27" s="14" t="str">
        <f>IFERROR(__xludf.DUMMYFUNCTION("""COMPUTED_VALUE"""),"")</f>
        <v/>
      </c>
      <c r="E27" s="14" t="str">
        <f>IFERROR(__xludf.DUMMYFUNCTION("""COMPUTED_VALUE"""),"")</f>
        <v/>
      </c>
      <c r="F27" s="1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4" t="str">
        <f>IFERROR(__xludf.DUMMYFUNCTION("""COMPUTED_VALUE"""),"PortfolioManagement")</f>
        <v>PortfolioManagement</v>
      </c>
      <c r="B28" s="14" t="str">
        <f>IFERROR(__xludf.DUMMYFUNCTION("""COMPUTED_VALUE"""),"CheckDashboardPM")</f>
        <v>CheckDashboardPM</v>
      </c>
      <c r="C28" s="14" t="str">
        <f>IFERROR(__xludf.DUMMYFUNCTION("""COMPUTED_VALUE"""),"1iqfUyYqyebXIeNBGljH7-T8whBcywTlkBBU3dBZV06s")</f>
        <v>1iqfUyYqyebXIeNBGljH7-T8whBcywTlkBBU3dBZV06s</v>
      </c>
      <c r="D28" s="14" t="str">
        <f>IFERROR(__xludf.DUMMYFUNCTION("""COMPUTED_VALUE"""),"")</f>
        <v/>
      </c>
      <c r="E28" s="14" t="str">
        <f>IFERROR(__xludf.DUMMYFUNCTION("""COMPUTED_VALUE"""),"")</f>
        <v/>
      </c>
      <c r="F28" s="1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4" t="str">
        <f>IFERROR(__xludf.DUMMYFUNCTION("""COMPUTED_VALUE"""),"PortfolioManagement")</f>
        <v>PortfolioManagement</v>
      </c>
      <c r="B29" s="14" t="str">
        <f>IFERROR(__xludf.DUMMYFUNCTION("""COMPUTED_VALUE"""),"CheckPortfolioManagement")</f>
        <v>CheckPortfolioManagement</v>
      </c>
      <c r="C29" s="14" t="str">
        <f>IFERROR(__xludf.DUMMYFUNCTION("""COMPUTED_VALUE"""),"1u0XMlZJy_Slp7uXMwirinW7StOOdTcWD-D8V07sO0VA")</f>
        <v>1u0XMlZJy_Slp7uXMwirinW7StOOdTcWD-D8V07sO0VA</v>
      </c>
      <c r="D29" s="14" t="str">
        <f>IFERROR(__xludf.DUMMYFUNCTION("""COMPUTED_VALUE"""),"")</f>
        <v/>
      </c>
      <c r="E29" s="14" t="str">
        <f>IFERROR(__xludf.DUMMYFUNCTION("""COMPUTED_VALUE"""),"")</f>
        <v/>
      </c>
      <c r="F29" s="1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4" t="str">
        <f>IFERROR(__xludf.DUMMYFUNCTION("""COMPUTED_VALUE"""),"PricingInput")</f>
        <v>PricingInput</v>
      </c>
      <c r="B30" s="14" t="str">
        <f>IFERROR(__xludf.DUMMYFUNCTION("""COMPUTED_VALUE"""),"PricingInput")</f>
        <v>PricingInput</v>
      </c>
      <c r="C30" s="14" t="str">
        <f>IFERROR(__xludf.DUMMYFUNCTION("""COMPUTED_VALUE"""),"1mh3Z5PifhJ3yzX8TPeoc3H3nteNiA0V2tWFse0rVChE")</f>
        <v>1mh3Z5PifhJ3yzX8TPeoc3H3nteNiA0V2tWFse0rVChE</v>
      </c>
      <c r="D30" s="14" t="str">
        <f>IFERROR(__xludf.DUMMYFUNCTION("""COMPUTED_VALUE"""),"")</f>
        <v/>
      </c>
      <c r="E30" s="14" t="str">
        <f>IFERROR(__xludf.DUMMYFUNCTION("""COMPUTED_VALUE"""),"")</f>
        <v/>
      </c>
      <c r="F30" s="1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4" t="str">
        <f>IFERROR(__xludf.DUMMYFUNCTION("""COMPUTED_VALUE"""),"PricingInput")</f>
        <v>PricingInput</v>
      </c>
      <c r="B31" s="14" t="str">
        <f>IFERROR(__xludf.DUMMYFUNCTION("""COMPUTED_VALUE"""),"UpdateSharesOutstanding")</f>
        <v>UpdateSharesOutstanding</v>
      </c>
      <c r="C31" s="14" t="str">
        <f>IFERROR(__xludf.DUMMYFUNCTION("""COMPUTED_VALUE"""),"1vmZ6v1OyZ8SSi8bqqjK3ap3KtM_yPA_SEcIQgYiRInY")</f>
        <v>1vmZ6v1OyZ8SSi8bqqjK3ap3KtM_yPA_SEcIQgYiRInY</v>
      </c>
      <c r="D31" s="14" t="str">
        <f>IFERROR(__xludf.DUMMYFUNCTION("""COMPUTED_VALUE"""),"")</f>
        <v/>
      </c>
      <c r="E31" s="14" t="str">
        <f>IFERROR(__xludf.DUMMYFUNCTION("""COMPUTED_VALUE"""),"")</f>
        <v/>
      </c>
      <c r="F31" s="1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4" t="str">
        <f>IFERROR(__xludf.DUMMYFUNCTION("""COMPUTED_VALUE"""),"SymbolLookup")</f>
        <v>SymbolLookup</v>
      </c>
      <c r="B32" s="14" t="str">
        <f>IFERROR(__xludf.DUMMYFUNCTION("""COMPUTED_VALUE"""),"VerifySymbolLookUp")</f>
        <v>VerifySymbolLookUp</v>
      </c>
      <c r="C32" s="14" t="str">
        <f>IFERROR(__xludf.DUMMYFUNCTION("""COMPUTED_VALUE"""),"1OiI1Pi_JAFOFi8ByMaD3_qqEXSv6yQMo_u6aGTozbl8")</f>
        <v>1OiI1Pi_JAFOFi8ByMaD3_qqEXSv6yQMo_u6aGTozbl8</v>
      </c>
      <c r="D32" s="14" t="str">
        <f>IFERROR(__xludf.DUMMYFUNCTION("""COMPUTED_VALUE"""),"")</f>
        <v/>
      </c>
      <c r="E32" s="14" t="str">
        <f>IFERROR(__xludf.DUMMYFUNCTION("""COMPUTED_VALUE"""),"")</f>
        <v/>
      </c>
      <c r="F32" s="1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4" t="str">
        <f>IFERROR(__xludf.DUMMYFUNCTION("""COMPUTED_VALUE"""),"SymbolLookup")</f>
        <v>SymbolLookup</v>
      </c>
      <c r="B33" s="14" t="str">
        <f>IFERROR(__xludf.DUMMYFUNCTION("""COMPUTED_VALUE"""),"SymbolLookupFromTT")</f>
        <v>SymbolLookupFromTT</v>
      </c>
      <c r="C33" s="14" t="str">
        <f>IFERROR(__xludf.DUMMYFUNCTION("""COMPUTED_VALUE"""),"1ubfvE9sHq5KpJ9NazeH96CrVMJqAuol5Ya9GPjxWrgI")</f>
        <v>1ubfvE9sHq5KpJ9NazeH96CrVMJqAuol5Ya9GPjxWrgI</v>
      </c>
      <c r="D33" s="14" t="str">
        <f>IFERROR(__xludf.DUMMYFUNCTION("""COMPUTED_VALUE"""),"")</f>
        <v/>
      </c>
      <c r="E33" s="14" t="str">
        <f>IFERROR(__xludf.DUMMYFUNCTION("""COMPUTED_VALUE"""),"")</f>
        <v/>
      </c>
      <c r="F33" s="1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2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1" t="s">
        <v>6</v>
      </c>
      <c r="C3" s="7"/>
    </row>
    <row r="4" ht="15.75" customHeight="1">
      <c r="A4" s="13" t="s">
        <v>8</v>
      </c>
      <c r="B4" s="11" t="s">
        <v>9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7</v>
      </c>
      <c r="D3" s="12"/>
      <c r="E3" s="12"/>
      <c r="F3" s="12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1b5S4Xpp4fgZ1ez6cK92QFnVBylqz8jhwxdAyEvwDqUI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12</v>
      </c>
      <c r="D3" s="9" t="s">
        <v>5</v>
      </c>
      <c r="E3" s="23" t="s">
        <v>13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16</v>
      </c>
      <c r="C6" s="31" t="s">
        <v>17</v>
      </c>
      <c r="D6" s="31">
        <v>400.0</v>
      </c>
      <c r="E6" s="31">
        <v>400.0</v>
      </c>
      <c r="F6" s="31"/>
      <c r="J6" s="31">
        <v>1.0</v>
      </c>
      <c r="N6" s="32">
        <f t="shared" ref="N6:N12" si="1">TODAY()</f>
        <v>43635</v>
      </c>
      <c r="AK6" s="31" t="s">
        <v>18</v>
      </c>
      <c r="AL6" s="33" t="s">
        <v>19</v>
      </c>
    </row>
    <row r="7" ht="15.75" customHeight="1">
      <c r="A7" s="7"/>
      <c r="B7" s="11" t="s">
        <v>20</v>
      </c>
      <c r="C7" s="31" t="s">
        <v>17</v>
      </c>
      <c r="D7" s="31">
        <v>400.0</v>
      </c>
      <c r="E7" s="31">
        <v>400.0</v>
      </c>
      <c r="F7" s="31"/>
      <c r="J7" s="31">
        <v>1.0</v>
      </c>
      <c r="K7" s="7"/>
      <c r="L7" s="7"/>
      <c r="M7" s="7"/>
      <c r="N7" s="32">
        <f t="shared" si="1"/>
        <v>43635</v>
      </c>
      <c r="O7" s="7"/>
      <c r="AK7" s="31" t="s">
        <v>21</v>
      </c>
      <c r="AL7" s="33" t="s">
        <v>22</v>
      </c>
    </row>
    <row r="8" ht="15.75" customHeight="1">
      <c r="A8" s="7"/>
      <c r="B8" s="11" t="s">
        <v>23</v>
      </c>
      <c r="C8" s="31" t="s">
        <v>17</v>
      </c>
      <c r="D8" s="31">
        <v>400.0</v>
      </c>
      <c r="E8" s="31">
        <v>400.0</v>
      </c>
      <c r="F8" s="31" t="s">
        <v>24</v>
      </c>
      <c r="J8" s="31">
        <v>1.0</v>
      </c>
      <c r="K8" s="7"/>
      <c r="L8" s="7"/>
      <c r="M8" s="7"/>
      <c r="N8" s="32">
        <f t="shared" si="1"/>
        <v>43635</v>
      </c>
      <c r="O8" s="7"/>
      <c r="AL8" s="31"/>
    </row>
    <row r="9" ht="15.75" customHeight="1">
      <c r="A9" s="7"/>
      <c r="B9" s="11" t="s">
        <v>16</v>
      </c>
      <c r="C9" s="11" t="s">
        <v>17</v>
      </c>
      <c r="D9" s="11">
        <v>100.0</v>
      </c>
      <c r="E9" s="11">
        <v>100.0</v>
      </c>
      <c r="F9" s="11" t="s">
        <v>25</v>
      </c>
      <c r="G9" s="7"/>
      <c r="H9" s="7"/>
      <c r="I9" s="7"/>
      <c r="J9" s="11">
        <v>1.0</v>
      </c>
      <c r="K9" s="7"/>
      <c r="L9" s="7"/>
      <c r="M9" s="7"/>
      <c r="N9" s="32">
        <f t="shared" si="1"/>
        <v>43635</v>
      </c>
      <c r="O9" s="7"/>
    </row>
    <row r="10" ht="15.75" customHeight="1">
      <c r="A10" s="7"/>
      <c r="B10" s="11" t="s">
        <v>20</v>
      </c>
      <c r="C10" s="11" t="s">
        <v>26</v>
      </c>
      <c r="D10" s="11">
        <v>600.0</v>
      </c>
      <c r="E10" s="11">
        <v>600.0</v>
      </c>
      <c r="F10" s="11" t="s">
        <v>25</v>
      </c>
      <c r="G10" s="7"/>
      <c r="H10" s="7"/>
      <c r="I10" s="7"/>
      <c r="J10" s="11">
        <v>1.0</v>
      </c>
      <c r="K10" s="7"/>
      <c r="L10" s="7"/>
      <c r="M10" s="7"/>
      <c r="N10" s="32">
        <f t="shared" si="1"/>
        <v>43635</v>
      </c>
      <c r="O10" s="7"/>
    </row>
    <row r="11" ht="15.75" customHeight="1">
      <c r="A11" s="7"/>
      <c r="B11" s="11" t="s">
        <v>23</v>
      </c>
      <c r="C11" s="11" t="s">
        <v>26</v>
      </c>
      <c r="D11" s="11">
        <v>400.0</v>
      </c>
      <c r="E11" s="11">
        <v>400.0</v>
      </c>
      <c r="F11" s="11" t="s">
        <v>25</v>
      </c>
      <c r="G11" s="7"/>
      <c r="H11" s="7"/>
      <c r="I11" s="7"/>
      <c r="J11" s="11">
        <v>1.0</v>
      </c>
      <c r="K11" s="7"/>
      <c r="L11" s="7"/>
      <c r="M11" s="7"/>
      <c r="N11" s="32">
        <f t="shared" si="1"/>
        <v>43635</v>
      </c>
      <c r="O11" s="7"/>
    </row>
    <row r="12" ht="15.75" customHeight="1">
      <c r="A12" s="7"/>
      <c r="B12" s="11" t="s">
        <v>27</v>
      </c>
      <c r="C12" s="11" t="s">
        <v>28</v>
      </c>
      <c r="D12" s="11">
        <v>100.0</v>
      </c>
      <c r="E12" s="11">
        <v>100.0</v>
      </c>
      <c r="F12" s="11" t="s">
        <v>25</v>
      </c>
      <c r="G12" s="7"/>
      <c r="H12" s="7"/>
      <c r="I12" s="7"/>
      <c r="J12" s="11">
        <v>1.0</v>
      </c>
      <c r="K12" s="7"/>
      <c r="L12" s="7"/>
      <c r="M12" s="7"/>
      <c r="N12" s="32">
        <f t="shared" si="1"/>
        <v>43635</v>
      </c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1-RJhOo2E5PhyqaiMEjsPi8RpfYBuiSqE9fj_-bRpkKw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30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11" t="s">
        <v>16</v>
      </c>
      <c r="C6" s="11" t="s">
        <v>17</v>
      </c>
      <c r="D6" s="11">
        <v>100.0</v>
      </c>
      <c r="E6" s="11">
        <v>100.0</v>
      </c>
      <c r="O6" s="31">
        <v>1.0</v>
      </c>
    </row>
    <row r="7" ht="15.75" customHeight="1">
      <c r="A7" s="7"/>
      <c r="B7" s="11" t="s">
        <v>20</v>
      </c>
      <c r="C7" s="11" t="s">
        <v>26</v>
      </c>
      <c r="D7" s="11">
        <v>600.0</v>
      </c>
      <c r="E7" s="11">
        <v>600.0</v>
      </c>
      <c r="F7" s="7"/>
      <c r="G7" s="7"/>
      <c r="H7" s="7"/>
      <c r="I7" s="7"/>
      <c r="J7" s="7"/>
      <c r="K7" s="7"/>
      <c r="L7" s="7"/>
      <c r="M7" s="7"/>
      <c r="N7" s="7"/>
      <c r="O7" s="11">
        <v>1.0</v>
      </c>
    </row>
    <row r="8" ht="15.75" customHeight="1">
      <c r="A8" s="7"/>
      <c r="B8" s="11" t="s">
        <v>23</v>
      </c>
      <c r="C8" s="11" t="s">
        <v>26</v>
      </c>
      <c r="D8" s="11">
        <v>400.0</v>
      </c>
      <c r="E8" s="11">
        <v>400.0</v>
      </c>
      <c r="F8" s="7"/>
      <c r="G8" s="7"/>
      <c r="H8" s="7"/>
      <c r="I8" s="7"/>
      <c r="J8" s="7"/>
      <c r="K8" s="7"/>
      <c r="L8" s="7"/>
      <c r="M8" s="7"/>
      <c r="N8" s="7"/>
      <c r="O8" s="11">
        <v>1.0</v>
      </c>
    </row>
    <row r="9" ht="15.75" customHeight="1">
      <c r="A9" s="7"/>
      <c r="B9" s="11" t="s">
        <v>27</v>
      </c>
      <c r="C9" s="11" t="s">
        <v>28</v>
      </c>
      <c r="D9" s="11">
        <v>100.0</v>
      </c>
      <c r="E9" s="11">
        <v>100.0</v>
      </c>
      <c r="F9" s="7"/>
      <c r="G9" s="7"/>
      <c r="H9" s="7"/>
      <c r="I9" s="7"/>
      <c r="J9" s="7"/>
      <c r="K9" s="7"/>
      <c r="L9" s="7"/>
      <c r="M9" s="7"/>
      <c r="N9" s="7"/>
      <c r="O9" s="11">
        <v>1.0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31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B6" s="31" t="s">
        <v>32</v>
      </c>
      <c r="H6" s="31" t="s">
        <v>33</v>
      </c>
      <c r="I6" s="31" t="s">
        <v>18</v>
      </c>
      <c r="J6" s="32">
        <f>TODAY()</f>
        <v>43635</v>
      </c>
      <c r="K6" s="31" t="b">
        <v>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34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K6" s="31">
        <v>1.0</v>
      </c>
      <c r="L6" s="31">
        <v>1.0</v>
      </c>
      <c r="BJ6" s="31">
        <v>100.0</v>
      </c>
      <c r="BO6" s="31" t="s">
        <v>17</v>
      </c>
      <c r="BT6" s="31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1c7aP-E18Fb8lEVGiXac03BLoNVdUNRzodD2Xjn-9pzU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35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7"/>
      <c r="J6" s="31">
        <v>1.0</v>
      </c>
      <c r="K6" s="31">
        <v>1.0</v>
      </c>
      <c r="AE6" s="31">
        <v>600.0</v>
      </c>
      <c r="BJ6" s="31">
        <v>600.0</v>
      </c>
      <c r="BO6" s="31" t="s">
        <v>26</v>
      </c>
      <c r="BS6" s="31" t="s">
        <v>20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11">
        <v>1.0</v>
      </c>
      <c r="K7" s="11">
        <v>1.0</v>
      </c>
      <c r="L7" s="7"/>
      <c r="M7" s="7"/>
      <c r="N7" s="7"/>
      <c r="O7" s="7"/>
      <c r="AE7" s="31">
        <v>400.0</v>
      </c>
      <c r="BJ7" s="31">
        <v>400.0</v>
      </c>
      <c r="BO7" s="31" t="s">
        <v>26</v>
      </c>
      <c r="BS7" s="31" t="s">
        <v>23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11">
        <v>1.0</v>
      </c>
      <c r="K8" s="11">
        <v>1.0</v>
      </c>
      <c r="L8" s="7"/>
      <c r="M8" s="7"/>
      <c r="N8" s="7"/>
      <c r="O8" s="7"/>
      <c r="AE8" s="31">
        <v>100.0</v>
      </c>
      <c r="BJ8" s="31">
        <v>100.0</v>
      </c>
      <c r="BO8" s="31" t="s">
        <v>28</v>
      </c>
      <c r="BS8" s="31" t="s">
        <v>27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36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1"/>
      <c r="B6" s="11" t="s">
        <v>37</v>
      </c>
      <c r="C6" s="7"/>
      <c r="D6" s="11"/>
      <c r="E6" s="3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38</v>
      </c>
      <c r="D3" s="9" t="s">
        <v>5</v>
      </c>
      <c r="E3" s="23" t="s">
        <v>39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4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1"/>
      <c r="B6" s="11" t="s">
        <v>37</v>
      </c>
      <c r="C6" s="7"/>
      <c r="D6" s="11"/>
      <c r="E6" s="3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38</v>
      </c>
      <c r="D3" s="9" t="s">
        <v>5</v>
      </c>
      <c r="E3" s="23" t="s">
        <v>40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1"/>
      <c r="B6" s="11" t="s">
        <v>41</v>
      </c>
      <c r="C6" s="7"/>
      <c r="D6" s="11"/>
      <c r="E6" s="35"/>
      <c r="F6" s="7"/>
      <c r="G6" s="7"/>
      <c r="H6" s="7"/>
      <c r="I6" s="7"/>
      <c r="J6" s="7"/>
      <c r="K6" s="7"/>
      <c r="L6" s="7"/>
      <c r="M6" s="11">
        <v>25.0</v>
      </c>
      <c r="N6" s="7"/>
      <c r="O6" s="7"/>
      <c r="P6" s="31" t="s">
        <v>17</v>
      </c>
      <c r="R6" s="31" t="s">
        <v>16</v>
      </c>
    </row>
    <row r="7" ht="15.75" customHeight="1">
      <c r="A7" s="7"/>
      <c r="B7" s="11" t="s">
        <v>42</v>
      </c>
      <c r="C7" s="7"/>
      <c r="D7" s="7"/>
      <c r="E7" s="7"/>
      <c r="F7" s="7"/>
      <c r="G7" s="7"/>
      <c r="H7" s="7"/>
      <c r="I7" s="7"/>
      <c r="J7" s="7"/>
      <c r="K7" s="7"/>
      <c r="L7" s="7"/>
      <c r="M7" s="11">
        <v>25.0</v>
      </c>
      <c r="N7" s="7"/>
      <c r="O7" s="7"/>
      <c r="P7" s="31" t="s">
        <v>17</v>
      </c>
      <c r="R7" s="31" t="s">
        <v>16</v>
      </c>
    </row>
    <row r="8" ht="15.75" customHeight="1">
      <c r="A8" s="7"/>
      <c r="B8" s="11" t="s">
        <v>43</v>
      </c>
      <c r="C8" s="7"/>
      <c r="D8" s="7"/>
      <c r="E8" s="7"/>
      <c r="F8" s="7"/>
      <c r="G8" s="7"/>
      <c r="H8" s="7"/>
      <c r="I8" s="7"/>
      <c r="J8" s="7"/>
      <c r="K8" s="7"/>
      <c r="L8" s="7"/>
      <c r="M8" s="11">
        <v>50.0</v>
      </c>
      <c r="N8" s="7"/>
      <c r="O8" s="7"/>
      <c r="P8" s="31" t="s">
        <v>17</v>
      </c>
      <c r="R8" s="31" t="s">
        <v>16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44</v>
      </c>
      <c r="D3" s="9" t="s">
        <v>5</v>
      </c>
      <c r="E3" s="23" t="s">
        <v>45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7" t="str">
        <f>IFERROR(__xludf.DUMMYFUNCTION("""COMPUTED_VALUE"""),"ClosePositionFromPM")</f>
        <v>ClosePositionFromPM</v>
      </c>
      <c r="Q4" s="27" t="str">
        <f>IFERROR(__xludf.DUMMYFUNCTION("""COMPUTED_VALUE"""),"ShowSummaryToolFromPM")</f>
        <v>ShowSummaryToolFromPM</v>
      </c>
      <c r="R4" s="27" t="str">
        <f>IFERROR(__xludf.DUMMYFUNCTION("""COMPUTED_VALUE"""),"HideSummaryToolFromPM")</f>
        <v>HideSummaryToolFromPM</v>
      </c>
      <c r="S4" s="27" t="str">
        <f>IFERROR(__xludf.DUMMYFUNCTION("""COMPUTED_VALUE"""),"CloseAccountPositionFromPM")</f>
        <v>CloseAccountPositionFromPM</v>
      </c>
      <c r="T4" s="27" t="str">
        <f>IFERROR(__xludf.DUMMYFUNCTION("""COMPUTED_VALUE"""),"CloseSelectedTaxlotsFromPM")</f>
        <v>CloseSelectedTaxlotsFromPM</v>
      </c>
      <c r="U4" s="27" t="str">
        <f>IFERROR(__xludf.DUMMYFUNCTION("""COMPUTED_VALUE"""),"ExpandCollapsePM")</f>
        <v>ExpandCollapsePM</v>
      </c>
      <c r="V4" s="27" t="str">
        <f>IFERROR(__xludf.DUMMYFUNCTION("""COMPUTED_VALUE"""),"AddCustomViewPM")</f>
        <v>AddCustomViewPM</v>
      </c>
      <c r="W4" s="27" t="str">
        <f>IFERROR(__xludf.DUMMYFUNCTION("""COMPUTED_VALUE"""),"AddCustomViewRightClickPM")</f>
        <v>AddCustomViewRightClickPM</v>
      </c>
      <c r="X4" s="27" t="str">
        <f>IFERROR(__xludf.DUMMYFUNCTION("""COMPUTED_VALUE"""),"RenameCustomViewPM")</f>
        <v>RenameCustomViewPM</v>
      </c>
      <c r="Y4" s="27" t="str">
        <f>IFERROR(__xludf.DUMMYFUNCTION("""COMPUTED_VALUE"""),"DeleteCustomViewPM")</f>
        <v>DeleteCustomViewPM</v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  <c r="EY4" s="27" t="str">
        <f>IFERROR(__xludf.DUMMYFUNCTION("""COMPUTED_VALUE"""),"")</f>
        <v/>
      </c>
      <c r="EZ4" s="27" t="str">
        <f>IFERROR(__xludf.DUMMYFUNCTION("""COMPUTED_VALUE"""),"")</f>
        <v/>
      </c>
      <c r="FA4" s="27" t="str">
        <f>IFERROR(__xludf.DUMMYFUNCTION("""COMPUTED_VALUE"""),"")</f>
        <v/>
      </c>
      <c r="FB4" s="27" t="str">
        <f>IFERROR(__xludf.DUMMYFUNCTION("""COMPUTED_VALUE"""),"")</f>
        <v/>
      </c>
      <c r="FC4" s="27" t="str">
        <f>IFERROR(__xludf.DUMMYFUNCTION("""COMPUTED_VALUE"""),"")</f>
        <v/>
      </c>
      <c r="FD4" s="27" t="str">
        <f>IFERROR(__xludf.DUMMYFUNCTION("""COMPUTED_VALUE"""),"")</f>
        <v/>
      </c>
      <c r="FE4" s="27" t="str">
        <f>IFERROR(__xludf.DUMMYFUNCTION("""COMPUTED_VALUE"""),"")</f>
        <v/>
      </c>
      <c r="FF4" s="27" t="str">
        <f>IFERROR(__xludf.DUMMYFUNCTION("""COMPUTED_VALUE"""),"")</f>
        <v/>
      </c>
      <c r="FG4" s="27" t="str">
        <f>IFERROR(__xludf.DUMMYFUNCTION("""COMPUTED_VALUE"""),"")</f>
        <v/>
      </c>
      <c r="FH4" s="27" t="str">
        <f>IFERROR(__xludf.DUMMYFUNCTION("""COMPUTED_VALUE"""),"")</f>
        <v/>
      </c>
      <c r="FI4" s="27" t="str">
        <f>IFERROR(__xludf.DUMMYFUNCTION("""COMPUTED_VALUE"""),"")</f>
        <v/>
      </c>
      <c r="FJ4" s="27" t="str">
        <f>IFERROR(__xludf.DUMMYFUNCTION("""COMPUTED_VALUE"""),"")</f>
        <v/>
      </c>
      <c r="FK4" s="27" t="str">
        <f>IFERROR(__xludf.DUMMYFUNCTION("""COMPUTED_VALUE"""),"")</f>
        <v/>
      </c>
      <c r="FL4" s="27" t="str">
        <f>IFERROR(__xludf.DUMMYFUNCTION("""COMPUTED_VALUE"""),"")</f>
        <v/>
      </c>
      <c r="FM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IFERROR(__xludf.DUMMYFUNCTION("""COMPUTED_VALUE"""),"")</f>
        <v/>
      </c>
      <c r="FB5" s="30" t="str">
        <f>IFERROR(__xludf.DUMMYFUNCTION("""COMPUTED_VALUE"""),"")</f>
        <v/>
      </c>
      <c r="FC5" s="30" t="str">
        <f>IFERROR(__xludf.DUMMYFUNCTION("""COMPUTED_VALUE"""),"")</f>
        <v/>
      </c>
      <c r="FD5" s="30" t="str">
        <f>IFERROR(__xludf.DUMMYFUNCTION("""COMPUTED_VALUE"""),"")</f>
        <v/>
      </c>
      <c r="FE5" s="30" t="str">
        <f>IFERROR(__xludf.DUMMYFUNCTION("""COMPUTED_VALUE"""),"")</f>
        <v/>
      </c>
      <c r="FF5" s="30" t="str">
        <f>IFERROR(__xludf.DUMMYFUNCTION("""COMPUTED_VALUE"""),"")</f>
        <v/>
      </c>
      <c r="FG5" s="30" t="str">
        <f>IFERROR(__xludf.DUMMYFUNCTION("""COMPUTED_VALUE"""),"")</f>
        <v/>
      </c>
      <c r="FH5" s="30" t="str">
        <f>IFERROR(__xludf.DUMMYFUNCTION("""COMPUTED_VALUE"""),"")</f>
        <v/>
      </c>
      <c r="FI5" s="30" t="str">
        <f>IFERROR(__xludf.DUMMYFUNCTION("""COMPUTED_VALUE"""),"")</f>
        <v/>
      </c>
      <c r="FJ5" s="30" t="str">
        <f>IFERROR(__xludf.DUMMYFUNCTION("""COMPUTED_VALUE"""),"")</f>
        <v/>
      </c>
      <c r="FK5" s="30" t="str">
        <f>IFERROR(__xludf.DUMMYFUNCTION("""COMPUTED_VALUE"""),"")</f>
        <v/>
      </c>
      <c r="FL5" s="30" t="str">
        <f>IFERROR(__xludf.DUMMYFUNCTION("""COMPUTED_VALUE"""),"")</f>
        <v/>
      </c>
      <c r="FM5" s="30" t="str">
        <f>IFERROR(__xludf.DUMMYFUNCTION("""COMPUTED_VALUE"""),"")</f>
        <v/>
      </c>
    </row>
    <row r="6" ht="15.75" customHeight="1">
      <c r="A6" s="11"/>
      <c r="B6" s="11"/>
      <c r="C6" s="31" t="s">
        <v>16</v>
      </c>
      <c r="D6" s="31">
        <v>100.0</v>
      </c>
      <c r="E6" s="11" t="s">
        <v>41</v>
      </c>
      <c r="F6" s="7"/>
      <c r="G6" s="7"/>
      <c r="H6" s="7"/>
      <c r="I6" s="7"/>
      <c r="J6" s="7"/>
      <c r="K6" s="7"/>
      <c r="L6" s="7"/>
      <c r="M6" s="7"/>
      <c r="N6" s="7"/>
      <c r="O6" s="7"/>
      <c r="AN6" s="31" t="s">
        <v>17</v>
      </c>
    </row>
    <row r="7" ht="15.75" customHeight="1">
      <c r="A7" s="11"/>
      <c r="B7" s="11"/>
      <c r="C7" s="31" t="s">
        <v>16</v>
      </c>
      <c r="D7" s="31">
        <v>100.0</v>
      </c>
      <c r="E7" s="11" t="s">
        <v>42</v>
      </c>
      <c r="F7" s="7"/>
      <c r="G7" s="7"/>
      <c r="H7" s="7"/>
      <c r="I7" s="7"/>
      <c r="J7" s="7"/>
      <c r="K7" s="7"/>
      <c r="L7" s="7"/>
      <c r="M7" s="7"/>
      <c r="N7" s="7"/>
      <c r="O7" s="7"/>
      <c r="AN7" s="31" t="s">
        <v>17</v>
      </c>
    </row>
    <row r="8" ht="15.75" customHeight="1">
      <c r="A8" s="11"/>
      <c r="B8" s="11"/>
      <c r="C8" s="31" t="s">
        <v>16</v>
      </c>
      <c r="D8" s="31">
        <v>200.0</v>
      </c>
      <c r="E8" s="11" t="s">
        <v>43</v>
      </c>
      <c r="F8" s="7"/>
      <c r="G8" s="7"/>
      <c r="H8" s="7"/>
      <c r="I8" s="7"/>
      <c r="J8" s="7"/>
      <c r="K8" s="7"/>
      <c r="L8" s="7"/>
      <c r="M8" s="7"/>
      <c r="N8" s="7"/>
      <c r="O8" s="7"/>
      <c r="AN8" s="31" t="s">
        <v>17</v>
      </c>
    </row>
    <row r="9" ht="15.75" customHeight="1">
      <c r="A9" s="7"/>
      <c r="B9" s="7"/>
      <c r="C9" s="11" t="s">
        <v>20</v>
      </c>
      <c r="D9" s="31">
        <v>100.0</v>
      </c>
      <c r="E9" s="11" t="s">
        <v>41</v>
      </c>
      <c r="F9" s="7"/>
      <c r="G9" s="7"/>
      <c r="H9" s="7"/>
      <c r="I9" s="7"/>
      <c r="J9" s="7"/>
      <c r="K9" s="7"/>
      <c r="L9" s="7"/>
      <c r="M9" s="7"/>
      <c r="N9" s="7"/>
      <c r="O9" s="7"/>
      <c r="AN9" s="31" t="s">
        <v>17</v>
      </c>
    </row>
    <row r="10" ht="15.75" customHeight="1">
      <c r="A10" s="7"/>
      <c r="B10" s="7"/>
      <c r="C10" s="11" t="s">
        <v>20</v>
      </c>
      <c r="D10" s="31">
        <v>300.0</v>
      </c>
      <c r="E10" s="11" t="s">
        <v>42</v>
      </c>
      <c r="F10" s="7"/>
      <c r="G10" s="7"/>
      <c r="H10" s="7"/>
      <c r="I10" s="7"/>
      <c r="J10" s="7"/>
      <c r="K10" s="7"/>
      <c r="L10" s="7"/>
      <c r="M10" s="7"/>
      <c r="N10" s="7"/>
      <c r="O10" s="7"/>
      <c r="AN10" s="31" t="s">
        <v>17</v>
      </c>
    </row>
    <row r="11" ht="15.75" customHeight="1">
      <c r="A11" s="7"/>
      <c r="B11" s="7"/>
      <c r="C11" s="11" t="s">
        <v>23</v>
      </c>
      <c r="D11" s="31">
        <v>400.0</v>
      </c>
      <c r="E11" s="11" t="s">
        <v>24</v>
      </c>
      <c r="F11" s="7"/>
      <c r="G11" s="7"/>
      <c r="H11" s="7"/>
      <c r="I11" s="7"/>
      <c r="J11" s="7"/>
      <c r="K11" s="7"/>
      <c r="L11" s="7"/>
      <c r="M11" s="7"/>
      <c r="N11" s="7"/>
      <c r="O11" s="7"/>
      <c r="AN11" s="31" t="s">
        <v>17</v>
      </c>
    </row>
    <row r="12" ht="15.75" customHeight="1">
      <c r="A12" s="7"/>
      <c r="B12" s="7"/>
      <c r="C12" s="11" t="s">
        <v>16</v>
      </c>
      <c r="D12" s="11">
        <v>25.0</v>
      </c>
      <c r="E12" s="11" t="s">
        <v>41</v>
      </c>
      <c r="F12" s="7"/>
      <c r="G12" s="7"/>
      <c r="H12" s="7"/>
      <c r="I12" s="7"/>
      <c r="J12" s="7"/>
      <c r="K12" s="7"/>
      <c r="L12" s="7"/>
      <c r="M12" s="7"/>
      <c r="N12" s="7"/>
      <c r="O12" s="7"/>
      <c r="AN12" s="11" t="s">
        <v>17</v>
      </c>
    </row>
    <row r="13" ht="15.75" customHeight="1">
      <c r="A13" s="7"/>
      <c r="B13" s="7"/>
      <c r="C13" s="11" t="s">
        <v>16</v>
      </c>
      <c r="D13" s="11">
        <v>25.0</v>
      </c>
      <c r="E13" s="11" t="s">
        <v>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AN13" s="31" t="s">
        <v>17</v>
      </c>
    </row>
    <row r="14" ht="15.75" customHeight="1">
      <c r="A14" s="7"/>
      <c r="B14" s="7"/>
      <c r="C14" s="11" t="s">
        <v>16</v>
      </c>
      <c r="D14" s="11">
        <v>50.0</v>
      </c>
      <c r="E14" s="11" t="s">
        <v>43</v>
      </c>
      <c r="F14" s="7"/>
      <c r="G14" s="7"/>
      <c r="H14" s="7"/>
      <c r="I14" s="7"/>
      <c r="J14" s="7"/>
      <c r="K14" s="7"/>
      <c r="L14" s="7"/>
      <c r="M14" s="7"/>
      <c r="N14" s="7"/>
      <c r="O14" s="7"/>
      <c r="AN14" s="31" t="s">
        <v>17</v>
      </c>
    </row>
    <row r="15" ht="15.75" customHeight="1">
      <c r="A15" s="7"/>
      <c r="B15" s="7"/>
      <c r="C15" s="11" t="s">
        <v>20</v>
      </c>
      <c r="D15" s="11">
        <v>-600.0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AN15" s="11" t="s">
        <v>26</v>
      </c>
    </row>
    <row r="16" ht="15.75" customHeight="1">
      <c r="A16" s="7"/>
      <c r="B16" s="7"/>
      <c r="C16" s="11" t="s">
        <v>23</v>
      </c>
      <c r="D16" s="11">
        <v>-400.0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AN16" s="11" t="s">
        <v>26</v>
      </c>
    </row>
    <row r="17" ht="15.75" customHeight="1">
      <c r="A17" s="7"/>
      <c r="B17" s="7"/>
      <c r="C17" s="11" t="s">
        <v>27</v>
      </c>
      <c r="D17" s="11">
        <v>-100.0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AN17" s="11" t="s">
        <v>28</v>
      </c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46</v>
      </c>
      <c r="D3" s="9" t="s">
        <v>5</v>
      </c>
      <c r="E3" s="23" t="s">
        <v>47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 t="str">
        <f>IFERROR(__xludf.DUMMYFUNCTION("""COMPUTED_VALUE"""),"Accounts")</f>
        <v>Accounts</v>
      </c>
      <c r="D5" s="29" t="str">
        <f>IFERROR(__xludf.DUMMYFUNCTION("""COMPUTED_VALUE"""),"From")</f>
        <v>From</v>
      </c>
      <c r="E5" s="29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29" t="str">
        <f>IFERROR(__xludf.DUMMYFUNCTION("""COMPUTED_VALUE"""),"TradeDate")</f>
        <v>TradeDate</v>
      </c>
      <c r="H5" s="29" t="str">
        <f>IFERROR(__xludf.DUMMYFUNCTION("""COMPUTED_VALUE"""),"All")</f>
        <v>All</v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1"/>
      <c r="B6" s="11" t="s">
        <v>48</v>
      </c>
      <c r="C6" s="11" t="s">
        <v>49</v>
      </c>
      <c r="D6" s="36">
        <f t="shared" ref="D6:E6" si="1">TODAY()</f>
        <v>43635</v>
      </c>
      <c r="E6" s="36">
        <f t="shared" si="1"/>
        <v>43635</v>
      </c>
      <c r="F6" s="11" t="s">
        <v>50</v>
      </c>
      <c r="G6" s="11" t="s">
        <v>51</v>
      </c>
      <c r="H6" s="11" t="s">
        <v>50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#N/A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46</v>
      </c>
      <c r="D3" s="9" t="s">
        <v>5</v>
      </c>
      <c r="E3" s="23" t="s">
        <v>52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1"/>
      <c r="B6" s="11" t="s">
        <v>41</v>
      </c>
      <c r="C6" s="7"/>
      <c r="D6" s="11" t="s">
        <v>53</v>
      </c>
      <c r="E6" s="35"/>
      <c r="F6" s="7"/>
      <c r="G6" s="7"/>
      <c r="H6" s="7"/>
      <c r="I6" s="7"/>
      <c r="J6" s="7"/>
      <c r="K6" s="11" t="s">
        <v>54</v>
      </c>
      <c r="L6" s="7"/>
      <c r="M6" s="7"/>
      <c r="N6" s="7"/>
      <c r="O6" s="7"/>
      <c r="V6" s="31">
        <v>100.0</v>
      </c>
      <c r="AB6" s="31" t="s">
        <v>16</v>
      </c>
    </row>
    <row r="7" ht="15.75" customHeight="1">
      <c r="A7" s="7"/>
      <c r="B7" s="11" t="s">
        <v>42</v>
      </c>
      <c r="C7" s="7"/>
      <c r="D7" s="11" t="s">
        <v>53</v>
      </c>
      <c r="E7" s="7"/>
      <c r="F7" s="7"/>
      <c r="G7" s="7"/>
      <c r="H7" s="7"/>
      <c r="I7" s="7"/>
      <c r="J7" s="7"/>
      <c r="K7" s="11" t="s">
        <v>54</v>
      </c>
      <c r="L7" s="7"/>
      <c r="M7" s="7"/>
      <c r="N7" s="7"/>
      <c r="O7" s="7"/>
      <c r="V7" s="31">
        <v>100.0</v>
      </c>
      <c r="AB7" s="31" t="s">
        <v>16</v>
      </c>
    </row>
    <row r="8" ht="15.75" customHeight="1">
      <c r="A8" s="7"/>
      <c r="B8" s="11" t="s">
        <v>43</v>
      </c>
      <c r="C8" s="7"/>
      <c r="D8" s="11" t="s">
        <v>53</v>
      </c>
      <c r="E8" s="7"/>
      <c r="F8" s="7"/>
      <c r="G8" s="7"/>
      <c r="H8" s="7"/>
      <c r="I8" s="7"/>
      <c r="J8" s="7"/>
      <c r="K8" s="11" t="s">
        <v>54</v>
      </c>
      <c r="L8" s="7"/>
      <c r="M8" s="7"/>
      <c r="N8" s="7"/>
      <c r="O8" s="7"/>
      <c r="V8" s="31">
        <v>200.0</v>
      </c>
      <c r="AB8" s="31" t="s">
        <v>16</v>
      </c>
    </row>
    <row r="9" ht="15.75" customHeight="1">
      <c r="A9" s="7"/>
      <c r="B9" s="11" t="s">
        <v>41</v>
      </c>
      <c r="C9" s="7"/>
      <c r="D9" s="11" t="s">
        <v>53</v>
      </c>
      <c r="E9" s="7"/>
      <c r="F9" s="7"/>
      <c r="G9" s="7"/>
      <c r="H9" s="7"/>
      <c r="I9" s="7"/>
      <c r="J9" s="7"/>
      <c r="K9" s="11" t="s">
        <v>54</v>
      </c>
      <c r="L9" s="7"/>
      <c r="M9" s="7"/>
      <c r="N9" s="7"/>
      <c r="O9" s="7"/>
      <c r="V9" s="31">
        <v>100.0</v>
      </c>
      <c r="AB9" s="31" t="s">
        <v>20</v>
      </c>
    </row>
    <row r="10" ht="15.75" customHeight="1">
      <c r="A10" s="7"/>
      <c r="B10" s="11" t="s">
        <v>42</v>
      </c>
      <c r="C10" s="7"/>
      <c r="D10" s="11" t="s">
        <v>53</v>
      </c>
      <c r="E10" s="7"/>
      <c r="F10" s="7"/>
      <c r="G10" s="7"/>
      <c r="H10" s="7"/>
      <c r="I10" s="7"/>
      <c r="J10" s="7"/>
      <c r="K10" s="11" t="s">
        <v>54</v>
      </c>
      <c r="L10" s="7"/>
      <c r="M10" s="7"/>
      <c r="N10" s="7"/>
      <c r="O10" s="7"/>
      <c r="V10" s="31">
        <v>300.0</v>
      </c>
      <c r="AB10" s="31" t="s">
        <v>20</v>
      </c>
    </row>
    <row r="11" ht="15.75" customHeight="1">
      <c r="A11" s="7"/>
      <c r="B11" s="11" t="s">
        <v>24</v>
      </c>
      <c r="C11" s="7"/>
      <c r="D11" s="11" t="s">
        <v>53</v>
      </c>
      <c r="E11" s="7"/>
      <c r="F11" s="7"/>
      <c r="G11" s="7"/>
      <c r="H11" s="7"/>
      <c r="I11" s="7"/>
      <c r="J11" s="7"/>
      <c r="K11" s="11" t="s">
        <v>54</v>
      </c>
      <c r="L11" s="7"/>
      <c r="M11" s="7"/>
      <c r="N11" s="7"/>
      <c r="O11" s="7"/>
      <c r="V11" s="31">
        <v>400.0</v>
      </c>
      <c r="AB11" s="31" t="s">
        <v>23</v>
      </c>
    </row>
    <row r="12" ht="15.75" customHeight="1">
      <c r="A12" s="7"/>
      <c r="B12" s="11" t="s">
        <v>41</v>
      </c>
      <c r="C12" s="7"/>
      <c r="D12" s="11" t="s">
        <v>53</v>
      </c>
      <c r="E12" s="7"/>
      <c r="F12" s="7"/>
      <c r="G12" s="7"/>
      <c r="H12" s="7"/>
      <c r="I12" s="7"/>
      <c r="J12" s="7"/>
      <c r="K12" s="11" t="s">
        <v>54</v>
      </c>
      <c r="L12" s="7"/>
      <c r="M12" s="7"/>
      <c r="N12" s="7"/>
      <c r="O12" s="7"/>
      <c r="V12" s="31">
        <v>25.0</v>
      </c>
      <c r="AB12" s="31" t="s">
        <v>16</v>
      </c>
    </row>
    <row r="13" ht="15.75" customHeight="1">
      <c r="A13" s="7"/>
      <c r="B13" s="11" t="s">
        <v>42</v>
      </c>
      <c r="C13" s="7"/>
      <c r="D13" s="11" t="s">
        <v>53</v>
      </c>
      <c r="E13" s="7"/>
      <c r="F13" s="7"/>
      <c r="G13" s="7"/>
      <c r="H13" s="7"/>
      <c r="I13" s="7"/>
      <c r="J13" s="7"/>
      <c r="K13" s="11" t="s">
        <v>54</v>
      </c>
      <c r="L13" s="7"/>
      <c r="M13" s="7"/>
      <c r="N13" s="7"/>
      <c r="O13" s="7"/>
      <c r="V13" s="31">
        <v>25.0</v>
      </c>
      <c r="AB13" s="31" t="s">
        <v>16</v>
      </c>
    </row>
    <row r="14" ht="15.75" customHeight="1">
      <c r="A14" s="7"/>
      <c r="B14" s="11" t="s">
        <v>43</v>
      </c>
      <c r="C14" s="7"/>
      <c r="D14" s="11" t="s">
        <v>53</v>
      </c>
      <c r="E14" s="7"/>
      <c r="F14" s="7"/>
      <c r="G14" s="7"/>
      <c r="H14" s="7"/>
      <c r="I14" s="7"/>
      <c r="J14" s="7"/>
      <c r="K14" s="11" t="s">
        <v>54</v>
      </c>
      <c r="L14" s="7"/>
      <c r="M14" s="7"/>
      <c r="N14" s="7"/>
      <c r="O14" s="7"/>
      <c r="V14" s="31">
        <v>50.0</v>
      </c>
      <c r="AB14" s="31" t="s">
        <v>16</v>
      </c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1" t="str">
        <f> VLOOKUP($E$3,'_MasterData'!B4:D1000,3,FALSE)</f>
        <v>1lI4loUxqzsE3IjuxIjsVY3cB4J_eTKFPPDuXngut4FE</v>
      </c>
      <c r="K2" s="21"/>
      <c r="L2" s="7"/>
      <c r="M2" s="7"/>
      <c r="N2" s="7"/>
      <c r="O2" s="7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55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4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1"/>
      <c r="B6" s="11" t="b">
        <v>1</v>
      </c>
      <c r="C6" s="7"/>
      <c r="D6" s="11"/>
      <c r="E6" s="3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