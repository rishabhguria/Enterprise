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ComplianceAlert" sheetId="5" r:id="rId7"/>
    <sheet state="visible" name="CreateLiveOrder" sheetId="6" r:id="rId8"/>
    <sheet state="visible" name="VerifyRowCalculationBaseWindow" sheetId="7" r:id="rId9"/>
    <sheet state="visible" name="SelectTrade" sheetId="8" r:id="rId10"/>
    <sheet state="visible" name="AcknowledgeTrade" sheetId="9" r:id="rId11"/>
    <sheet state="visible" name="AcknowledgeTrade1" sheetId="10" r:id="rId12"/>
    <sheet state="visible" name="SelectTrade1" sheetId="11" r:id="rId13"/>
    <sheet state="visible" name="VerifyRowCalculationBaseWindow1" sheetId="12" r:id="rId14"/>
    <sheet state="visible" name="ExecuteTrade" sheetId="13" r:id="rId15"/>
    <sheet state="visible" name="ExecuteTrade1" sheetId="14" r:id="rId16"/>
    <sheet state="visible" name="VerifyRowCalculationBaseWindow2" sheetId="15" r:id="rId17"/>
  </sheets>
  <definedNames/>
  <calcPr/>
</workbook>
</file>

<file path=xl/sharedStrings.xml><?xml version="1.0" encoding="utf-8"?>
<sst xmlns="http://schemas.openxmlformats.org/spreadsheetml/2006/main" count="196" uniqueCount="46">
  <si>
    <t>Modules Info</t>
  </si>
  <si>
    <t>Modules</t>
  </si>
  <si>
    <t>Settings</t>
  </si>
  <si>
    <t>Module Step Setting File</t>
  </si>
  <si>
    <t>1waO7sh8qDLC6Sk5WkFguGKhOjrw1jJpMZx5jNNwtQbY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</si>
  <si>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</si>
  <si>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</si>
  <si>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</si>
  <si>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</si>
  <si>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</si>
  <si>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</si>
  <si>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</si>
  <si>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</si>
  <si>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</si>
  <si>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</si>
  <si>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</si>
  <si>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</si>
  <si>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</si>
  <si>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</si>
  <si>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SetComplianceAlert</t>
  </si>
  <si>
    <t>TradingTicket</t>
  </si>
  <si>
    <t>CreateDoneAwayOrder</t>
  </si>
  <si>
    <t>AZN-LON</t>
  </si>
  <si>
    <t>Buy</t>
  </si>
  <si>
    <t>Allocation1,Allocation2</t>
  </si>
  <si>
    <t>50,50</t>
  </si>
  <si>
    <t>Yes</t>
  </si>
  <si>
    <t>Compliance</t>
  </si>
  <si>
    <t>VerifyRowCalculationBaseWindow</t>
  </si>
  <si>
    <t>InTradeStage</t>
  </si>
  <si>
    <t>NewMF</t>
  </si>
  <si>
    <t>Allocation1</t>
  </si>
  <si>
    <t xml:space="preserve">Equity </t>
  </si>
  <si>
    <t>NewMF1</t>
  </si>
  <si>
    <t>Allocation2</t>
  </si>
  <si>
    <t>Simulator</t>
  </si>
  <si>
    <t>SelectTrade</t>
  </si>
  <si>
    <t>AcknowledgeTrade</t>
  </si>
  <si>
    <t>InTradeMarket</t>
  </si>
  <si>
    <t>ExecuteTrade</t>
  </si>
  <si>
    <t>Post</t>
  </si>
  <si>
    <t>Equity</t>
  </si>
  <si>
    <t>EquityOption</t>
  </si>
  <si>
    <t>GBP</t>
  </si>
  <si>
    <t>NASDAQ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</si>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</sst>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3" numFmtId="0" xfId="0" applyAlignment="1" applyBorder="1" applyFill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IFERROR(__xludf.DUMMYFUNCTION("IF(C3="""","""",Transpose(IMPORTRANGE('_Settings'!$B$3,C3&amp;""!A4:A1000"")))"),"SetCompliancePermission")</f>
        <v>SetCompliancePermission</v>
      </c>
      <c r="C4" s="24" t="str">
        <f>IFERROR(__xludf.DUMMYFUNCTION("""COMPUTED_VALUE"""),"DeleteSymbolFromSM")</f>
        <v>DeleteSymbolFromSM</v>
      </c>
      <c r="D4" s="24" t="str">
        <f>IFERROR(__xludf.DUMMYFUNCTION("""COMPUTED_VALUE"""),"TradeAuditCleanUp")</f>
        <v>TradeAuditCleanUp</v>
      </c>
      <c r="E4" s="24" t="str">
        <f>IFERROR(__xludf.DUMMYFUNCTION("""COMPUTED_VALUE"""),"RestartSQL")</f>
        <v>RestartSQL</v>
      </c>
      <c r="F4" s="24" t="str">
        <f>IFERROR(__xludf.DUMMYFUNCTION("""COMPUTED_VALUE"""),"RevertingSMSharesOutValue")</f>
        <v>RevertingSMSharesOutValue</v>
      </c>
      <c r="G4" s="24" t="str">
        <f>IFERROR(__xludf.DUMMYFUNCTION("""COMPUTED_VALUE"""),"UpdateFee")</f>
        <v>UpdateFee</v>
      </c>
      <c r="H4" s="24" t="str">
        <f>IFERROR(__xludf.DUMMYFUNCTION("""COMPUTED_VALUE"""),"UpdateSecFee")</f>
        <v>UpdateSecFee</v>
      </c>
      <c r="I4" s="24" t="str">
        <f>IFERROR(__xludf.DUMMYFUNCTION("""COMPUTED_VALUE"""),"SetTTUIPreferences")</f>
        <v>SetTTUIPreferences</v>
      </c>
      <c r="J4" s="24" t="str">
        <f>IFERROR(__xludf.DUMMYFUNCTION("""COMPUTED_VALUE"""),"SetTTUIAdminPreferences")</f>
        <v>SetTTUIAdminPreferences</v>
      </c>
      <c r="K4" s="24" t="str">
        <f>IFERROR(__xludf.DUMMYFUNCTION("""COMPUTED_VALUE"""),"TTPermissionLevel")</f>
        <v>TTPermissionLevel</v>
      </c>
      <c r="L4" s="24" t="str">
        <f>IFERROR(__xludf.DUMMYFUNCTION("""COMPUTED_VALUE"""),"RenameMasterStrategy")</f>
        <v>RenameMasterStrategy</v>
      </c>
      <c r="M4" s="24" t="str">
        <f>IFERROR(__xludf.DUMMYFUNCTION("""COMPUTED_VALUE"""),"UpdateExpirationDate")</f>
        <v>UpdateExpirationDate</v>
      </c>
      <c r="N4" s="24" t="str">
        <f>IFERROR(__xludf.DUMMYFUNCTION("""COMPUTED_VALUE"""),"SetComplianceAlert")</f>
        <v>SetComplianceAlert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IFERROR(__xludf.DUMMYFUNCTION("""COMPUTED_VALUE"""),"IsImportOverrideOnShortLocate")</f>
        <v>IsImportOverrideOnShortLocate</v>
      </c>
      <c r="Q4" s="25" t="str">
        <f>IFERROR(__xludf.DUMMYFUNCTION("""COMPUTED_VALUE"""),"EnableDisableModule")</f>
        <v>EnableDisableModule</v>
      </c>
      <c r="R4" s="25" t="str">
        <f>IFERROR(__xludf.DUMMYFUNCTION("""COMPUTED_VALUE"""),"SetDollarAmountPermission")</f>
        <v>SetDollarAmountPermission</v>
      </c>
      <c r="S4" s="25" t="str">
        <f>IFERROR(__xludf.DUMMYFUNCTION("""COMPUTED_VALUE"""),"SetTTGeneralPreferences")</f>
        <v>SetTTGeneralPreferences</v>
      </c>
      <c r="T4" s="25" t="str">
        <f>IFERROR(__xludf.DUMMYFUNCTION("""COMPUTED_VALUE"""),"EnableBreakdownRealizedPNL")</f>
        <v>EnableBreakdownRealizedPNL</v>
      </c>
      <c r="U4" s="25" t="str">
        <f>IFERROR(__xludf.DUMMYFUNCTION("""COMPUTED_VALUE"""),"SetTradingComplianceRules")</f>
        <v>SetTradingComplianceRules</v>
      </c>
      <c r="V4" s="25" t="str">
        <f>IFERROR(__xludf.DUMMYFUNCTION("""COMPUTED_VALUE"""),"UpdateRoundLot")</f>
        <v>UpdateRoundLot</v>
      </c>
      <c r="W4" s="25" t="str">
        <f>IFERROR(__xludf.DUMMYFUNCTION("""COMPUTED_VALUE"""),"SetThirdPartyFormat")</f>
        <v>SetThirdPartyFormat</v>
      </c>
      <c r="X4" s="25" t="str">
        <f>IFERROR(__xludf.DUMMYFUNCTION("""COMPUTED_VALUE"""),"SetActive")</f>
        <v>SetActive</v>
      </c>
      <c r="Y4" s="25" t="str">
        <f>IFERROR(__xludf.DUMMYFUNCTION("""COMPUTED_VALUE"""),"SetRollover")</f>
        <v>SetRollover</v>
      </c>
      <c r="Z4" s="25" t="str">
        <f>IFERROR(__xludf.DUMMYFUNCTION("""COMPUTED_VALUE"""),"SetCheckSide")</f>
        <v>SetCheckSide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5" t="b">
        <v>1</v>
      </c>
      <c r="C7" s="32" t="s">
        <v>17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3"/>
      <c r="B8" s="35" t="b">
        <v>1</v>
      </c>
      <c r="C8" s="32" t="s">
        <v>18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IFERROR(__xludf.DUMMYFUNCTION("IF(C3="""","""",Transpose(IMPORTRANGE('_Settings'!$B$3,C3&amp;""!A4:A1000"")))"),"SetCompliancePermission")</f>
        <v>SetCompliancePermission</v>
      </c>
      <c r="C4" s="24" t="str">
        <f>IFERROR(__xludf.DUMMYFUNCTION("""COMPUTED_VALUE"""),"DeleteSymbolFromSM")</f>
        <v>DeleteSymbolFromSM</v>
      </c>
      <c r="D4" s="24" t="str">
        <f>IFERROR(__xludf.DUMMYFUNCTION("""COMPUTED_VALUE"""),"TradeAuditCleanUp")</f>
        <v>TradeAuditCleanUp</v>
      </c>
      <c r="E4" s="24" t="str">
        <f>IFERROR(__xludf.DUMMYFUNCTION("""COMPUTED_VALUE"""),"RestartSQL")</f>
        <v>RestartSQL</v>
      </c>
      <c r="F4" s="24" t="str">
        <f>IFERROR(__xludf.DUMMYFUNCTION("""COMPUTED_VALUE"""),"RevertingSMSharesOutValue")</f>
        <v>RevertingSMSharesOutValue</v>
      </c>
      <c r="G4" s="24" t="str">
        <f>IFERROR(__xludf.DUMMYFUNCTION("""COMPUTED_VALUE"""),"UpdateFee")</f>
        <v>UpdateFee</v>
      </c>
      <c r="H4" s="24" t="str">
        <f>IFERROR(__xludf.DUMMYFUNCTION("""COMPUTED_VALUE"""),"UpdateSecFee")</f>
        <v>UpdateSecFee</v>
      </c>
      <c r="I4" s="24" t="str">
        <f>IFERROR(__xludf.DUMMYFUNCTION("""COMPUTED_VALUE"""),"SetTTUIPreferences")</f>
        <v>SetTTUIPreferences</v>
      </c>
      <c r="J4" s="24" t="str">
        <f>IFERROR(__xludf.DUMMYFUNCTION("""COMPUTED_VALUE"""),"SetTTUIAdminPreferences")</f>
        <v>SetTTUIAdminPreferences</v>
      </c>
      <c r="K4" s="24" t="str">
        <f>IFERROR(__xludf.DUMMYFUNCTION("""COMPUTED_VALUE"""),"TTPermissionLevel")</f>
        <v>TTPermissionLevel</v>
      </c>
      <c r="L4" s="24" t="str">
        <f>IFERROR(__xludf.DUMMYFUNCTION("""COMPUTED_VALUE"""),"RenameMasterStrategy")</f>
        <v>RenameMasterStrategy</v>
      </c>
      <c r="M4" s="24" t="str">
        <f>IFERROR(__xludf.DUMMYFUNCTION("""COMPUTED_VALUE"""),"UpdateExpirationDate")</f>
        <v>UpdateExpirationDate</v>
      </c>
      <c r="N4" s="24" t="str">
        <f>IFERROR(__xludf.DUMMYFUNCTION("""COMPUTED_VALUE"""),"SetComplianceAlert")</f>
        <v>SetComplianceAlert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IFERROR(__xludf.DUMMYFUNCTION("""COMPUTED_VALUE"""),"IsImportOverrideOnShortLocate")</f>
        <v>IsImportOverrideOnShortLocate</v>
      </c>
      <c r="Q4" s="25" t="str">
        <f>IFERROR(__xludf.DUMMYFUNCTION("""COMPUTED_VALUE"""),"EnableDisableModule")</f>
        <v>EnableDisableModule</v>
      </c>
      <c r="R4" s="25" t="str">
        <f>IFERROR(__xludf.DUMMYFUNCTION("""COMPUTED_VALUE"""),"SetDollarAmountPermission")</f>
        <v>SetDollarAmountPermission</v>
      </c>
      <c r="S4" s="25" t="str">
        <f>IFERROR(__xludf.DUMMYFUNCTION("""COMPUTED_VALUE"""),"SetTTGeneralPreferences")</f>
        <v>SetTTGeneralPreferences</v>
      </c>
      <c r="T4" s="25" t="str">
        <f>IFERROR(__xludf.DUMMYFUNCTION("""COMPUTED_VALUE"""),"EnableBreakdownRealizedPNL")</f>
        <v>EnableBreakdownRealizedPNL</v>
      </c>
      <c r="U4" s="25" t="str">
        <f>IFERROR(__xludf.DUMMYFUNCTION("""COMPUTED_VALUE"""),"SetTradingComplianceRules")</f>
        <v>SetTradingComplianceRules</v>
      </c>
      <c r="V4" s="25" t="str">
        <f>IFERROR(__xludf.DUMMYFUNCTION("""COMPUTED_VALUE"""),"UpdateRoundLot")</f>
        <v>UpdateRoundLot</v>
      </c>
      <c r="W4" s="25" t="str">
        <f>IFERROR(__xludf.DUMMYFUNCTION("""COMPUTED_VALUE"""),"SetThirdPartyFormat")</f>
        <v>SetThirdPartyFormat</v>
      </c>
      <c r="X4" s="25" t="str">
        <f>IFERROR(__xludf.DUMMYFUNCTION("""COMPUTED_VALUE"""),"SetActive")</f>
        <v>SetActive</v>
      </c>
      <c r="Y4" s="25" t="str">
        <f>IFERROR(__xludf.DUMMYFUNCTION("""COMPUTED_VALUE"""),"SetRollover")</f>
        <v>SetRollover</v>
      </c>
      <c r="Z4" s="25" t="str">
        <f>IFERROR(__xludf.DUMMYFUNCTION("""COMPUTED_VALUE"""),"SetCheckSide")</f>
        <v>SetCheckSide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36" t="b">
        <v>1</v>
      </c>
      <c r="E6" s="31" t="b">
        <v>1</v>
      </c>
      <c r="F6" s="31" t="b">
        <v>1</v>
      </c>
      <c r="G6" s="31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8" t="s">
        <v>22</v>
      </c>
      <c r="C6" s="38" t="s">
        <v>23</v>
      </c>
      <c r="D6" s="39">
        <v>200.0</v>
      </c>
      <c r="E6" s="39">
        <v>200.0</v>
      </c>
      <c r="F6" s="33"/>
      <c r="G6" s="33"/>
      <c r="H6" s="33"/>
      <c r="I6" s="33"/>
      <c r="J6" s="39">
        <v>10.0</v>
      </c>
      <c r="K6" s="33"/>
      <c r="L6" s="33"/>
      <c r="M6" s="33"/>
      <c r="N6" s="40">
        <f t="shared" ref="N6:N7" si="1">today()</f>
        <v>45856</v>
      </c>
      <c r="O6" s="41">
        <v>1.2</v>
      </c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24</v>
      </c>
      <c r="AL6" s="34" t="s">
        <v>25</v>
      </c>
      <c r="AM6" s="34"/>
      <c r="AN6" s="34"/>
      <c r="AP6" s="34"/>
      <c r="AQ6" s="34" t="s">
        <v>26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22</v>
      </c>
      <c r="C7" s="38" t="s">
        <v>23</v>
      </c>
      <c r="D7" s="42">
        <v>100.0</v>
      </c>
      <c r="E7" s="42">
        <v>100.0</v>
      </c>
      <c r="F7" s="33"/>
      <c r="G7" s="34"/>
      <c r="H7" s="34"/>
      <c r="I7" s="34"/>
      <c r="J7" s="43">
        <v>20.0</v>
      </c>
      <c r="K7" s="34"/>
      <c r="L7" s="34"/>
      <c r="M7" s="34"/>
      <c r="N7" s="40">
        <f t="shared" si="1"/>
        <v>45856</v>
      </c>
      <c r="O7" s="44">
        <v>1.2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 t="s">
        <v>24</v>
      </c>
      <c r="AL7" s="34" t="s">
        <v>25</v>
      </c>
      <c r="AM7" s="34"/>
      <c r="AN7" s="34"/>
      <c r="AP7" s="34"/>
      <c r="AQ7" s="34" t="s">
        <v>26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11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IFERROR(__xludf.DUMMYFUNCTION("IF(C3="""","""",Transpose(IMPORTRANGE('_Settings'!$B$3,C3&amp;""!A4:A1000"")))"),"RestartReleasesAndServices")</f>
        <v>RestartReleasesAndServices</v>
      </c>
      <c r="C4" s="24" t="str">
        <f>IFERROR(__xludf.DUMMYFUNCTION("""COMPUTED_VALUE"""),"ReplaceInterceptorFile")</f>
        <v>ReplaceInterceptorFile</v>
      </c>
      <c r="D4" s="24" t="str">
        <f>IFERROR(__xludf.DUMMYFUNCTION("""COMPUTED_VALUE"""),"EditInterceptorFile")</f>
        <v>EditInterceptorFile</v>
      </c>
      <c r="E4" s="24" t="str">
        <f>IFERROR(__xludf.DUMMYFUNCTION("""COMPUTED_VALUE"""),"VerifyAlertHistory")</f>
        <v>VerifyAlertHistory</v>
      </c>
      <c r="F4" s="24" t="str">
        <f>IFERROR(__xludf.DUMMYFUNCTION("""COMPUTED_VALUE"""),"ApproveorRejectpendingapproval")</f>
        <v>ApproveorRejectpendingapproval</v>
      </c>
      <c r="G4" s="24" t="str">
        <f>IFERROR(__xludf.DUMMYFUNCTION("""COMPUTED_VALUE"""),"VerifyAggAccountSymbolWithNav")</f>
        <v>VerifyAggAccountSymbolWithNav</v>
      </c>
      <c r="H4" s="24" t="str">
        <f>IFERROR(__xludf.DUMMYFUNCTION("""COMPUTED_VALUE"""),"RestartRuleMediator")</f>
        <v>RestartRuleMediator</v>
      </c>
      <c r="I4" s="24" t="str">
        <f>IFERROR(__xludf.DUMMYFUNCTION("""COMPUTED_VALUE"""),"VerifyMasterFundSymbolDivisorWindow")</f>
        <v>VerifyMasterFundSymbolDivisorWindow</v>
      </c>
      <c r="J4" s="24" t="str">
        <f>IFERROR(__xludf.DUMMYFUNCTION("""COMPUTED_VALUE"""),"VerifyMasterFundDivisorWindow")</f>
        <v>VerifyMasterFundDivisorWindow</v>
      </c>
      <c r="K4" s="24" t="str">
        <f>IFERROR(__xludf.DUMMYFUNCTION("""COMPUTED_VALUE"""),"VerifyGlobalDivisorWindow")</f>
        <v>VerifyGlobalDivisorWindow</v>
      </c>
      <c r="L4" s="24" t="str">
        <f>IFERROR(__xludf.DUMMYFUNCTION("""COMPUTED_VALUE"""),"VerifyAccrualForAccountWindow")</f>
        <v>VerifyAccrualForAccountWindow</v>
      </c>
      <c r="M4" s="24" t="str">
        <f>IFERROR(__xludf.DUMMYFUNCTION("""COMPUTED_VALUE"""),"VerifyGlobalDivisorWindow")</f>
        <v>VerifyGlobalDivisorWindow</v>
      </c>
      <c r="N4" s="24" t="str">
        <f>IFERROR(__xludf.DUMMYFUNCTION("""COMPUTED_VALUE"""),"VerifyAggregationGlobalWithNav")</f>
        <v>VerifyAggregationGlobalWithNav</v>
      </c>
      <c r="O4" s="24" t="str">
        <f>IFERROR(__xludf.DUMMYFUNCTION("""COMPUTED_VALUE"""),"VerifyAggregationGlobalWithNav")</f>
        <v>VerifyAggregationGlobalWithNav</v>
      </c>
      <c r="P4" s="25" t="str">
        <f>IFERROR(__xludf.DUMMYFUNCTION("""COMPUTED_VALUE"""),"VerifyAggregationSubSectorWithNav")</f>
        <v>VerifyAggregationSubSectorWithNav</v>
      </c>
      <c r="Q4" s="25" t="str">
        <f>IFERROR(__xludf.DUMMYFUNCTION("""COMPUTED_VALUE"""),"VerifyAggregationSymbolWithNav")</f>
        <v>VerifyAggregationSymbolWithNav</v>
      </c>
      <c r="R4" s="25" t="str">
        <f>IFERROR(__xludf.DUMMYFUNCTION("""COMPUTED_VALUE"""),"VerifyAggregationAssetWithNav")</f>
        <v>VerifyAggregationAssetWithNav</v>
      </c>
      <c r="S4" s="25" t="str">
        <f>IFERROR(__xludf.DUMMYFUNCTION("""COMPUTED_VALUE"""),"VerifyAggregationAccountUnderlyingSymbolWithNav")</f>
        <v>VerifyAggregationAccountUnderlyingSymbolWithNav</v>
      </c>
      <c r="T4" s="25" t="str">
        <f>IFERROR(__xludf.DUMMYFUNCTION("""COMPUTED_VALUE"""),"VerifyAccountNavPreferenceWindow")</f>
        <v>VerifyAccountNavPreferenceWindow</v>
      </c>
      <c r="U4" s="25" t="str">
        <f>IFERROR(__xludf.DUMMYFUNCTION("""COMPUTED_VALUE"""),"RestartEsper")</f>
        <v>RestartEsper</v>
      </c>
      <c r="V4" s="25" t="str">
        <f>IFERROR(__xludf.DUMMYFUNCTION("""COMPUTED_VALUE"""),"VerifyTaxlotWindow")</f>
        <v>VerifyTaxlotWindow</v>
      </c>
      <c r="W4" s="25" t="str">
        <f>IFERROR(__xludf.DUMMYFUNCTION("""COMPUTED_VALUE"""),"VerifySymbolDivisorWindow")</f>
        <v>VerifySymbolDivisorWindow</v>
      </c>
      <c r="X4" s="25" t="str">
        <f>IFERROR(__xludf.DUMMYFUNCTION("""COMPUTED_VALUE"""),"VerifySymbolDataWindow")</f>
        <v>VerifySymbolDataWindow</v>
      </c>
      <c r="Y4" s="25" t="str">
        <f>IFERROR(__xludf.DUMMYFUNCTION("""COMPUTED_VALUE"""),"VerifySecurityWindow")</f>
        <v>VerifySecurityWindow</v>
      </c>
      <c r="Z4" s="25" t="str">
        <f>IFERROR(__xludf.DUMMYFUNCTION("""COMPUTED_VALUE"""),"VerifyRowCalculationBaseWindow")</f>
        <v>VerifyRowCalculationBaseWindow</v>
      </c>
      <c r="AA4" s="25" t="str">
        <f>IFERROR(__xludf.DUMMYFUNCTION("""COMPUTED_VALUE"""),"VerifyPmCalculationPreferenceWindow")</f>
        <v>VerifyPmCalculationPreferenceWindow</v>
      </c>
      <c r="AB4" s="25" t="str">
        <f>IFERROR(__xludf.DUMMYFUNCTION("""COMPUTED_VALUE"""),"VerifyGlobalDivisorWindow")</f>
        <v>VerifyGlobalDivisorWindow</v>
      </c>
      <c r="AC4" s="25" t="str">
        <f>IFERROR(__xludf.DUMMYFUNCTION("""COMPUTED_VALUE"""),"VerifyDbNavWindow")</f>
        <v>VerifyDbNavWindow</v>
      </c>
      <c r="AD4" s="25" t="str">
        <f>IFERROR(__xludf.DUMMYFUNCTION("""COMPUTED_VALUE"""),"VerifyDayEndCashAccountWindow")</f>
        <v>VerifyDayEndCashAccountWindow</v>
      </c>
      <c r="AE4" s="25" t="str">
        <f>IFERROR(__xludf.DUMMYFUNCTION("""COMPUTED_VALUE"""),"VerifyCustomSymbolDataWindow")</f>
        <v>VerifyCustomSymbolDataWindow</v>
      </c>
      <c r="AF4" s="25" t="str">
        <f>IFERROR(__xludf.DUMMYFUNCTION("""COMPUTED_VALUE"""),"VerifyBetaWindow")</f>
        <v>VerifyBetaWindow</v>
      </c>
      <c r="AG4" s="25" t="str">
        <f>IFERROR(__xludf.DUMMYFUNCTION("""COMPUTED_VALUE"""),"VerifyAuecWindow")</f>
        <v>VerifyAuecWindow</v>
      </c>
      <c r="AH4" s="25" t="str">
        <f>IFERROR(__xludf.DUMMYFUNCTION("""COMPUTED_VALUE"""),"VerifyAggregationUnderlyingSymbolWithNav")</f>
        <v>VerifyAggregationUnderlyingSymbolWithNav</v>
      </c>
      <c r="AI4" s="25" t="str">
        <f>IFERROR(__xludf.DUMMYFUNCTION("""COMPUTED_VALUE"""),"VerifyAggregationSectorWithNav")</f>
        <v>VerifyAggregationSectorWithNav</v>
      </c>
      <c r="AJ4" s="25" t="str">
        <f>IFERROR(__xludf.DUMMYFUNCTION("""COMPUTED_VALUE"""),"VerifyAggregationMasterFundWithNav")</f>
        <v>VerifyAggregationMasterFundWithNav</v>
      </c>
      <c r="AK4" s="25" t="str">
        <f>IFERROR(__xludf.DUMMYFUNCTION("""COMPUTED_VALUE"""),"VerifyAggregationMasterFundUnderlyingSymbolWithNav")</f>
        <v>VerifyAggregationMasterFundUnderlyingSymbolWithNav</v>
      </c>
      <c r="AL4" s="25" t="str">
        <f>IFERROR(__xludf.DUMMYFUNCTION("""COMPUTED_VALUE"""),"VerifyAggregationMasterFundSymbolWithNav")</f>
        <v>VerifyAggregationMasterFundSymbolWithNav</v>
      </c>
      <c r="AM4" s="25" t="str">
        <f>IFERROR(__xludf.DUMMYFUNCTION("""COMPUTED_VALUE"""),"VerifyAggregationAccountWithNav")</f>
        <v>VerifyAggregationAccountWithNav</v>
      </c>
      <c r="AN4" s="25" t="str">
        <f>IFERROR(__xludf.DUMMYFUNCTION("""COMPUTED_VALUE"""),"VerifyAggregationAccountSymbolWithNav")</f>
        <v>VerifyAggregationAccountSymbolWithNav</v>
      </c>
      <c r="AO4" s="25" t="str">
        <f>IFERROR(__xludf.DUMMYFUNCTION("""COMPUTED_VALUE"""),"VerifyAccountSymbolDivisorWindow")</f>
        <v>VerifyAccountSymbolDivisorWindow</v>
      </c>
      <c r="AP4" s="25" t="str">
        <f>IFERROR(__xludf.DUMMYFUNCTION("""COMPUTED_VALUE"""),"VerifyAccountDivisorWindow")</f>
        <v>VerifyAccountDivisorWindow</v>
      </c>
      <c r="AQ4" s="25" t="str">
        <f>IFERROR(__xludf.DUMMYFUNCTION("""COMPUTED_VALUE"""),"CheckCompliance")</f>
        <v>CheckCompliance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8" t="s">
        <v>22</v>
      </c>
      <c r="I6" s="42">
        <v>0.0</v>
      </c>
      <c r="J6" s="42">
        <v>50.0</v>
      </c>
      <c r="K6" s="42">
        <v>50.0</v>
      </c>
      <c r="L6" s="42">
        <v>50.0</v>
      </c>
      <c r="M6" s="33" t="s">
        <v>29</v>
      </c>
      <c r="N6" s="33"/>
      <c r="O6" s="33" t="s">
        <v>23</v>
      </c>
      <c r="P6" s="33"/>
      <c r="Q6" s="33"/>
      <c r="R6" s="33" t="s">
        <v>30</v>
      </c>
      <c r="S6" s="33"/>
      <c r="T6" s="34" t="s">
        <v>31</v>
      </c>
      <c r="U6" s="34" t="s">
        <v>31</v>
      </c>
      <c r="V6" s="34"/>
      <c r="W6" s="34"/>
      <c r="X6" s="34"/>
      <c r="Y6" s="34"/>
      <c r="Z6" s="34"/>
      <c r="AA6" s="34"/>
      <c r="AB6" s="45">
        <v>500.0</v>
      </c>
      <c r="AC6" s="34"/>
      <c r="AD6" s="45">
        <v>500.0</v>
      </c>
      <c r="AE6" s="46">
        <v>0.0</v>
      </c>
      <c r="AF6" s="33"/>
      <c r="AG6" s="42">
        <v>50.0</v>
      </c>
      <c r="AH6" s="45">
        <v>500.0</v>
      </c>
      <c r="AI6" s="34"/>
      <c r="AJ6" s="34" t="s">
        <v>32</v>
      </c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46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46"/>
      <c r="BR6" s="46"/>
      <c r="BS6" s="34"/>
      <c r="BT6" s="46"/>
      <c r="BU6" s="34"/>
      <c r="BV6" s="45">
        <v>10.0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46">
        <v>0.0</v>
      </c>
      <c r="DK6" s="46">
        <v>0.0</v>
      </c>
      <c r="DL6" s="34"/>
      <c r="DM6" s="34"/>
      <c r="DN6" s="46">
        <v>0.0</v>
      </c>
      <c r="DO6" s="46">
        <v>0.0</v>
      </c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/>
      <c r="C7" s="33"/>
      <c r="D7" s="33"/>
      <c r="E7" s="33"/>
      <c r="F7" s="33"/>
      <c r="G7" s="33"/>
      <c r="H7" s="38" t="s">
        <v>22</v>
      </c>
      <c r="I7" s="42">
        <v>0.0</v>
      </c>
      <c r="J7" s="42">
        <v>50.0</v>
      </c>
      <c r="K7" s="42">
        <v>50.0</v>
      </c>
      <c r="L7" s="42">
        <v>50.0</v>
      </c>
      <c r="M7" s="33" t="s">
        <v>29</v>
      </c>
      <c r="N7" s="33"/>
      <c r="O7" s="33" t="s">
        <v>23</v>
      </c>
      <c r="P7" s="33"/>
      <c r="Q7" s="33"/>
      <c r="R7" s="33" t="s">
        <v>33</v>
      </c>
      <c r="S7" s="33"/>
      <c r="T7" s="34" t="s">
        <v>34</v>
      </c>
      <c r="U7" s="34" t="s">
        <v>34</v>
      </c>
      <c r="V7" s="34"/>
      <c r="W7" s="34"/>
      <c r="X7" s="34"/>
      <c r="Y7" s="34"/>
      <c r="Z7" s="34"/>
      <c r="AA7" s="34"/>
      <c r="AB7" s="45">
        <v>500.0</v>
      </c>
      <c r="AC7" s="34"/>
      <c r="AD7" s="45">
        <v>500.0</v>
      </c>
      <c r="AE7" s="46">
        <v>0.0</v>
      </c>
      <c r="AF7" s="33"/>
      <c r="AG7" s="42">
        <v>50.0</v>
      </c>
      <c r="AH7" s="45">
        <v>500.0</v>
      </c>
      <c r="AI7" s="34"/>
      <c r="AJ7" s="34" t="s">
        <v>32</v>
      </c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46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46"/>
      <c r="BR7" s="46"/>
      <c r="BS7" s="34"/>
      <c r="BT7" s="46"/>
      <c r="BU7" s="34"/>
      <c r="BV7" s="45">
        <v>10.0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46">
        <v>0.0</v>
      </c>
      <c r="DK7" s="46">
        <v>0.0</v>
      </c>
      <c r="DL7" s="34"/>
      <c r="DM7" s="34"/>
      <c r="DN7" s="46">
        <v>0.0</v>
      </c>
      <c r="DO7" s="46">
        <v>0.0</v>
      </c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3"/>
      <c r="B8" s="33"/>
      <c r="C8" s="33"/>
      <c r="D8" s="33"/>
      <c r="E8" s="33"/>
      <c r="F8" s="33"/>
      <c r="G8" s="33"/>
      <c r="H8" s="38" t="s">
        <v>22</v>
      </c>
      <c r="I8" s="42">
        <v>0.0</v>
      </c>
      <c r="J8" s="42">
        <v>100.0</v>
      </c>
      <c r="K8" s="42">
        <v>100.0</v>
      </c>
      <c r="L8" s="42">
        <v>100.0</v>
      </c>
      <c r="M8" s="33" t="s">
        <v>29</v>
      </c>
      <c r="N8" s="33"/>
      <c r="O8" s="33" t="s">
        <v>23</v>
      </c>
      <c r="P8" s="33"/>
      <c r="Q8" s="33"/>
      <c r="R8" s="33" t="s">
        <v>30</v>
      </c>
      <c r="S8" s="33"/>
      <c r="T8" s="34" t="s">
        <v>31</v>
      </c>
      <c r="U8" s="34" t="s">
        <v>31</v>
      </c>
      <c r="V8" s="34"/>
      <c r="W8" s="34"/>
      <c r="X8" s="34"/>
      <c r="Y8" s="34"/>
      <c r="Z8" s="34"/>
      <c r="AA8" s="34"/>
      <c r="AB8" s="45">
        <v>1000.0</v>
      </c>
      <c r="AC8" s="34"/>
      <c r="AD8" s="45">
        <v>1000.0</v>
      </c>
      <c r="AE8" s="46">
        <v>0.0</v>
      </c>
      <c r="AF8" s="33"/>
      <c r="AG8" s="42">
        <v>100.0</v>
      </c>
      <c r="AH8" s="45">
        <v>1000.0</v>
      </c>
      <c r="AI8" s="34"/>
      <c r="AJ8" s="34" t="s">
        <v>32</v>
      </c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46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46"/>
      <c r="BR8" s="46"/>
      <c r="BS8" s="34"/>
      <c r="BT8" s="46"/>
      <c r="BU8" s="34"/>
      <c r="BV8" s="45">
        <v>10.0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46">
        <v>0.0</v>
      </c>
      <c r="DK8" s="46">
        <v>0.0</v>
      </c>
      <c r="DL8" s="34"/>
      <c r="DM8" s="34"/>
      <c r="DN8" s="46">
        <v>0.0</v>
      </c>
      <c r="DO8" s="46">
        <v>0.0</v>
      </c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4"/>
      <c r="E9" s="34"/>
      <c r="F9" s="34"/>
      <c r="G9" s="33"/>
      <c r="H9" s="38" t="s">
        <v>22</v>
      </c>
      <c r="I9" s="42">
        <v>0.0</v>
      </c>
      <c r="J9" s="42">
        <v>100.0</v>
      </c>
      <c r="K9" s="42">
        <v>100.0</v>
      </c>
      <c r="L9" s="42">
        <v>100.0</v>
      </c>
      <c r="M9" s="33" t="s">
        <v>29</v>
      </c>
      <c r="N9" s="33"/>
      <c r="O9" s="33" t="s">
        <v>23</v>
      </c>
      <c r="P9" s="33"/>
      <c r="Q9" s="33"/>
      <c r="R9" s="33" t="s">
        <v>33</v>
      </c>
      <c r="S9" s="33"/>
      <c r="T9" s="34" t="s">
        <v>34</v>
      </c>
      <c r="U9" s="34" t="s">
        <v>34</v>
      </c>
      <c r="V9" s="34"/>
      <c r="W9" s="34"/>
      <c r="X9" s="34"/>
      <c r="Y9" s="34"/>
      <c r="Z9" s="34"/>
      <c r="AA9" s="34"/>
      <c r="AB9" s="45">
        <v>1000.0</v>
      </c>
      <c r="AC9" s="34"/>
      <c r="AD9" s="45">
        <v>1000.0</v>
      </c>
      <c r="AE9" s="46">
        <v>0.0</v>
      </c>
      <c r="AF9" s="33"/>
      <c r="AG9" s="42">
        <v>100.0</v>
      </c>
      <c r="AH9" s="45">
        <v>1000.0</v>
      </c>
      <c r="AI9" s="34"/>
      <c r="AJ9" s="34" t="s">
        <v>32</v>
      </c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46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46"/>
      <c r="BR9" s="46"/>
      <c r="BS9" s="34"/>
      <c r="BT9" s="46"/>
      <c r="BU9" s="34"/>
      <c r="BV9" s="45">
        <v>10.0</v>
      </c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46">
        <v>0.0</v>
      </c>
      <c r="DK9" s="46">
        <v>0.0</v>
      </c>
      <c r="DL9" s="34"/>
      <c r="DM9" s="34"/>
      <c r="DN9" s="46">
        <v>0.0</v>
      </c>
      <c r="DO9" s="46">
        <v>0.0</v>
      </c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3"/>
      <c r="B11" s="33"/>
      <c r="C11" s="33"/>
      <c r="D11" s="33"/>
      <c r="E11" s="33"/>
      <c r="F11" s="33"/>
      <c r="G11" s="33"/>
      <c r="H11" s="33"/>
      <c r="I11" s="42"/>
      <c r="J11" s="42"/>
      <c r="K11" s="42"/>
      <c r="L11" s="42"/>
      <c r="M11" s="47"/>
      <c r="N11" s="33"/>
      <c r="O11" s="33"/>
      <c r="P11" s="33"/>
      <c r="Q11" s="33"/>
      <c r="R11" s="33"/>
      <c r="S11" s="33"/>
      <c r="T11" s="34"/>
      <c r="U11" s="34"/>
      <c r="V11" s="34"/>
      <c r="W11" s="34"/>
      <c r="X11" s="34"/>
      <c r="Y11" s="34"/>
      <c r="Z11" s="34"/>
      <c r="AA11" s="34"/>
      <c r="AB11" s="46"/>
      <c r="AC11" s="34"/>
      <c r="AD11" s="46"/>
      <c r="AE11" s="46"/>
      <c r="AF11" s="34"/>
      <c r="AG11" s="46"/>
      <c r="AH11" s="46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46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46"/>
      <c r="BR11" s="46"/>
      <c r="BS11" s="34"/>
      <c r="BT11" s="46"/>
      <c r="BU11" s="34"/>
      <c r="BV11" s="46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8" t="s">
        <v>22</v>
      </c>
      <c r="D6" s="30"/>
      <c r="E6" s="33"/>
      <c r="F6" s="33"/>
      <c r="G6" s="42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8" t="s">
        <v>22</v>
      </c>
      <c r="D6" s="30"/>
      <c r="E6" s="33"/>
      <c r="F6" s="33"/>
      <c r="G6" s="42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8" t="s">
        <v>22</v>
      </c>
      <c r="D6" s="30"/>
      <c r="E6" s="33"/>
      <c r="F6" s="33"/>
      <c r="G6" s="39">
        <v>200.0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8" t="s">
        <v>22</v>
      </c>
      <c r="D6" s="30"/>
      <c r="E6" s="33"/>
      <c r="F6" s="33"/>
      <c r="G6" s="39">
        <v>200.0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IFERROR(__xludf.DUMMYFUNCTION("IF(C3="""","""",Transpose(IMPORTRANGE('_Settings'!$B$3,C3&amp;""!A4:A1000"")))"),"RestartReleasesAndServices")</f>
        <v>RestartReleasesAndServices</v>
      </c>
      <c r="C4" s="24" t="str">
        <f>IFERROR(__xludf.DUMMYFUNCTION("""COMPUTED_VALUE"""),"ReplaceInterceptorFile")</f>
        <v>ReplaceInterceptorFile</v>
      </c>
      <c r="D4" s="24" t="str">
        <f>IFERROR(__xludf.DUMMYFUNCTION("""COMPUTED_VALUE"""),"EditInterceptorFile")</f>
        <v>EditInterceptorFile</v>
      </c>
      <c r="E4" s="24" t="str">
        <f>IFERROR(__xludf.DUMMYFUNCTION("""COMPUTED_VALUE"""),"VerifyAlertHistory")</f>
        <v>VerifyAlertHistory</v>
      </c>
      <c r="F4" s="24" t="str">
        <f>IFERROR(__xludf.DUMMYFUNCTION("""COMPUTED_VALUE"""),"ApproveorRejectpendingapproval")</f>
        <v>ApproveorRejectpendingapproval</v>
      </c>
      <c r="G4" s="24" t="str">
        <f>IFERROR(__xludf.DUMMYFUNCTION("""COMPUTED_VALUE"""),"VerifyAggAccountSymbolWithNav")</f>
        <v>VerifyAggAccountSymbolWithNav</v>
      </c>
      <c r="H4" s="24" t="str">
        <f>IFERROR(__xludf.DUMMYFUNCTION("""COMPUTED_VALUE"""),"RestartRuleMediator")</f>
        <v>RestartRuleMediator</v>
      </c>
      <c r="I4" s="24" t="str">
        <f>IFERROR(__xludf.DUMMYFUNCTION("""COMPUTED_VALUE"""),"VerifyMasterFundSymbolDivisorWindow")</f>
        <v>VerifyMasterFundSymbolDivisorWindow</v>
      </c>
      <c r="J4" s="24" t="str">
        <f>IFERROR(__xludf.DUMMYFUNCTION("""COMPUTED_VALUE"""),"VerifyMasterFundDivisorWindow")</f>
        <v>VerifyMasterFundDivisorWindow</v>
      </c>
      <c r="K4" s="24" t="str">
        <f>IFERROR(__xludf.DUMMYFUNCTION("""COMPUTED_VALUE"""),"VerifyGlobalDivisorWindow")</f>
        <v>VerifyGlobalDivisorWindow</v>
      </c>
      <c r="L4" s="24" t="str">
        <f>IFERROR(__xludf.DUMMYFUNCTION("""COMPUTED_VALUE"""),"VerifyAccrualForAccountWindow")</f>
        <v>VerifyAccrualForAccountWindow</v>
      </c>
      <c r="M4" s="24" t="str">
        <f>IFERROR(__xludf.DUMMYFUNCTION("""COMPUTED_VALUE"""),"VerifyGlobalDivisorWindow")</f>
        <v>VerifyGlobalDivisorWindow</v>
      </c>
      <c r="N4" s="24" t="str">
        <f>IFERROR(__xludf.DUMMYFUNCTION("""COMPUTED_VALUE"""),"VerifyAggregationGlobalWithNav")</f>
        <v>VerifyAggregationGlobalWithNav</v>
      </c>
      <c r="O4" s="24" t="str">
        <f>IFERROR(__xludf.DUMMYFUNCTION("""COMPUTED_VALUE"""),"VerifyAggregationGlobalWithNav")</f>
        <v>VerifyAggregationGlobalWithNav</v>
      </c>
      <c r="P4" s="25" t="str">
        <f>IFERROR(__xludf.DUMMYFUNCTION("""COMPUTED_VALUE"""),"VerifyAggregationSubSectorWithNav")</f>
        <v>VerifyAggregationSubSectorWithNav</v>
      </c>
      <c r="Q4" s="25" t="str">
        <f>IFERROR(__xludf.DUMMYFUNCTION("""COMPUTED_VALUE"""),"VerifyAggregationSymbolWithNav")</f>
        <v>VerifyAggregationSymbolWithNav</v>
      </c>
      <c r="R4" s="25" t="str">
        <f>IFERROR(__xludf.DUMMYFUNCTION("""COMPUTED_VALUE"""),"VerifyAggregationAssetWithNav")</f>
        <v>VerifyAggregationAssetWithNav</v>
      </c>
      <c r="S4" s="25" t="str">
        <f>IFERROR(__xludf.DUMMYFUNCTION("""COMPUTED_VALUE"""),"VerifyAggregationAccountUnderlyingSymbolWithNav")</f>
        <v>VerifyAggregationAccountUnderlyingSymbolWithNav</v>
      </c>
      <c r="T4" s="25" t="str">
        <f>IFERROR(__xludf.DUMMYFUNCTION("""COMPUTED_VALUE"""),"VerifyAccountNavPreferenceWindow")</f>
        <v>VerifyAccountNavPreferenceWindow</v>
      </c>
      <c r="U4" s="25" t="str">
        <f>IFERROR(__xludf.DUMMYFUNCTION("""COMPUTED_VALUE"""),"RestartEsper")</f>
        <v>RestartEsper</v>
      </c>
      <c r="V4" s="25" t="str">
        <f>IFERROR(__xludf.DUMMYFUNCTION("""COMPUTED_VALUE"""),"VerifyTaxlotWindow")</f>
        <v>VerifyTaxlotWindow</v>
      </c>
      <c r="W4" s="25" t="str">
        <f>IFERROR(__xludf.DUMMYFUNCTION("""COMPUTED_VALUE"""),"VerifySymbolDivisorWindow")</f>
        <v>VerifySymbolDivisorWindow</v>
      </c>
      <c r="X4" s="25" t="str">
        <f>IFERROR(__xludf.DUMMYFUNCTION("""COMPUTED_VALUE"""),"VerifySymbolDataWindow")</f>
        <v>VerifySymbolDataWindow</v>
      </c>
      <c r="Y4" s="25" t="str">
        <f>IFERROR(__xludf.DUMMYFUNCTION("""COMPUTED_VALUE"""),"VerifySecurityWindow")</f>
        <v>VerifySecurityWindow</v>
      </c>
      <c r="Z4" s="25" t="str">
        <f>IFERROR(__xludf.DUMMYFUNCTION("""COMPUTED_VALUE"""),"VerifyRowCalculationBaseWindow")</f>
        <v>VerifyRowCalculationBaseWindow</v>
      </c>
      <c r="AA4" s="25" t="str">
        <f>IFERROR(__xludf.DUMMYFUNCTION("""COMPUTED_VALUE"""),"VerifyPmCalculationPreferenceWindow")</f>
        <v>VerifyPmCalculationPreferenceWindow</v>
      </c>
      <c r="AB4" s="25" t="str">
        <f>IFERROR(__xludf.DUMMYFUNCTION("""COMPUTED_VALUE"""),"VerifyGlobalDivisorWindow")</f>
        <v>VerifyGlobalDivisorWindow</v>
      </c>
      <c r="AC4" s="25" t="str">
        <f>IFERROR(__xludf.DUMMYFUNCTION("""COMPUTED_VALUE"""),"VerifyDbNavWindow")</f>
        <v>VerifyDbNavWindow</v>
      </c>
      <c r="AD4" s="25" t="str">
        <f>IFERROR(__xludf.DUMMYFUNCTION("""COMPUTED_VALUE"""),"VerifyDayEndCashAccountWindow")</f>
        <v>VerifyDayEndCashAccountWindow</v>
      </c>
      <c r="AE4" s="25" t="str">
        <f>IFERROR(__xludf.DUMMYFUNCTION("""COMPUTED_VALUE"""),"VerifyCustomSymbolDataWindow")</f>
        <v>VerifyCustomSymbolDataWindow</v>
      </c>
      <c r="AF4" s="25" t="str">
        <f>IFERROR(__xludf.DUMMYFUNCTION("""COMPUTED_VALUE"""),"VerifyBetaWindow")</f>
        <v>VerifyBetaWindow</v>
      </c>
      <c r="AG4" s="25" t="str">
        <f>IFERROR(__xludf.DUMMYFUNCTION("""COMPUTED_VALUE"""),"VerifyAuecWindow")</f>
        <v>VerifyAuecWindow</v>
      </c>
      <c r="AH4" s="25" t="str">
        <f>IFERROR(__xludf.DUMMYFUNCTION("""COMPUTED_VALUE"""),"VerifyAggregationUnderlyingSymbolWithNav")</f>
        <v>VerifyAggregationUnderlyingSymbolWithNav</v>
      </c>
      <c r="AI4" s="25" t="str">
        <f>IFERROR(__xludf.DUMMYFUNCTION("""COMPUTED_VALUE"""),"VerifyAggregationSectorWithNav")</f>
        <v>VerifyAggregationSectorWithNav</v>
      </c>
      <c r="AJ4" s="25" t="str">
        <f>IFERROR(__xludf.DUMMYFUNCTION("""COMPUTED_VALUE"""),"VerifyAggregationMasterFundWithNav")</f>
        <v>VerifyAggregationMasterFundWithNav</v>
      </c>
      <c r="AK4" s="25" t="str">
        <f>IFERROR(__xludf.DUMMYFUNCTION("""COMPUTED_VALUE"""),"VerifyAggregationMasterFundUnderlyingSymbolWithNav")</f>
        <v>VerifyAggregationMasterFundUnderlyingSymbolWithNav</v>
      </c>
      <c r="AL4" s="25" t="str">
        <f>IFERROR(__xludf.DUMMYFUNCTION("""COMPUTED_VALUE"""),"VerifyAggregationMasterFundSymbolWithNav")</f>
        <v>VerifyAggregationMasterFundSymbolWithNav</v>
      </c>
      <c r="AM4" s="25" t="str">
        <f>IFERROR(__xludf.DUMMYFUNCTION("""COMPUTED_VALUE"""),"VerifyAggregationAccountWithNav")</f>
        <v>VerifyAggregationAccountWithNav</v>
      </c>
      <c r="AN4" s="25" t="str">
        <f>IFERROR(__xludf.DUMMYFUNCTION("""COMPUTED_VALUE"""),"VerifyAggregationAccountSymbolWithNav")</f>
        <v>VerifyAggregationAccountSymbolWithNav</v>
      </c>
      <c r="AO4" s="25" t="str">
        <f>IFERROR(__xludf.DUMMYFUNCTION("""COMPUTED_VALUE"""),"VerifyAccountSymbolDivisorWindow")</f>
        <v>VerifyAccountSymbolDivisorWindow</v>
      </c>
      <c r="AP4" s="25" t="str">
        <f>IFERROR(__xludf.DUMMYFUNCTION("""COMPUTED_VALUE"""),"VerifyAccountDivisorWindow")</f>
        <v>VerifyAccountDivisorWindow</v>
      </c>
      <c r="AQ4" s="25" t="str">
        <f>IFERROR(__xludf.DUMMYFUNCTION("""COMPUTED_VALUE"""),"CheckCompliance")</f>
        <v>CheckCompliance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8" t="s">
        <v>22</v>
      </c>
      <c r="I6" s="42">
        <v>0.0</v>
      </c>
      <c r="J6" s="42">
        <v>50.0</v>
      </c>
      <c r="K6" s="42">
        <v>50.0</v>
      </c>
      <c r="L6" s="42">
        <v>50.0</v>
      </c>
      <c r="M6" s="41" t="s">
        <v>38</v>
      </c>
      <c r="N6" s="33"/>
      <c r="O6" s="33" t="s">
        <v>23</v>
      </c>
      <c r="P6" s="33"/>
      <c r="Q6" s="33"/>
      <c r="R6" s="33" t="s">
        <v>30</v>
      </c>
      <c r="S6" s="33"/>
      <c r="T6" s="34" t="s">
        <v>31</v>
      </c>
      <c r="U6" s="34" t="s">
        <v>31</v>
      </c>
      <c r="V6" s="34"/>
      <c r="W6" s="34"/>
      <c r="X6" s="34"/>
      <c r="Y6" s="34"/>
      <c r="Z6" s="34"/>
      <c r="AA6" s="34"/>
      <c r="AB6" s="45">
        <v>500.0</v>
      </c>
      <c r="AC6" s="34"/>
      <c r="AD6" s="45">
        <v>500.0</v>
      </c>
      <c r="AE6" s="46">
        <v>0.0</v>
      </c>
      <c r="AF6" s="33"/>
      <c r="AG6" s="42">
        <v>50.0</v>
      </c>
      <c r="AH6" s="45">
        <v>500.0</v>
      </c>
      <c r="AI6" s="34"/>
      <c r="AJ6" s="34" t="s">
        <v>32</v>
      </c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46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46"/>
      <c r="BR6" s="46"/>
      <c r="BS6" s="34"/>
      <c r="BT6" s="46"/>
      <c r="BU6" s="34"/>
      <c r="BV6" s="45">
        <v>10.0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46">
        <v>0.0</v>
      </c>
      <c r="DK6" s="46">
        <v>0.0</v>
      </c>
      <c r="DL6" s="34"/>
      <c r="DM6" s="34"/>
      <c r="DN6" s="46">
        <v>0.0</v>
      </c>
      <c r="DO6" s="46">
        <v>0.0</v>
      </c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/>
      <c r="C7" s="33"/>
      <c r="D7" s="33"/>
      <c r="E7" s="33"/>
      <c r="F7" s="33"/>
      <c r="G7" s="33"/>
      <c r="H7" s="38" t="s">
        <v>22</v>
      </c>
      <c r="I7" s="42">
        <v>0.0</v>
      </c>
      <c r="J7" s="42">
        <v>50.0</v>
      </c>
      <c r="K7" s="42">
        <v>50.0</v>
      </c>
      <c r="L7" s="42">
        <v>50.0</v>
      </c>
      <c r="M7" s="41" t="s">
        <v>38</v>
      </c>
      <c r="N7" s="33"/>
      <c r="O7" s="33" t="s">
        <v>23</v>
      </c>
      <c r="P7" s="33"/>
      <c r="Q7" s="33"/>
      <c r="R7" s="33" t="s">
        <v>33</v>
      </c>
      <c r="S7" s="33"/>
      <c r="T7" s="34" t="s">
        <v>34</v>
      </c>
      <c r="U7" s="34" t="s">
        <v>34</v>
      </c>
      <c r="V7" s="34"/>
      <c r="W7" s="34"/>
      <c r="X7" s="34"/>
      <c r="Y7" s="34"/>
      <c r="Z7" s="34"/>
      <c r="AA7" s="34"/>
      <c r="AB7" s="45">
        <v>500.0</v>
      </c>
      <c r="AC7" s="34"/>
      <c r="AD7" s="45">
        <v>500.0</v>
      </c>
      <c r="AE7" s="46">
        <v>0.0</v>
      </c>
      <c r="AF7" s="33"/>
      <c r="AG7" s="42">
        <v>50.0</v>
      </c>
      <c r="AH7" s="45">
        <v>500.0</v>
      </c>
      <c r="AI7" s="34"/>
      <c r="AJ7" s="34" t="s">
        <v>32</v>
      </c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46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46"/>
      <c r="BR7" s="46"/>
      <c r="BS7" s="34"/>
      <c r="BT7" s="46"/>
      <c r="BU7" s="34"/>
      <c r="BV7" s="45">
        <v>10.0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46">
        <v>0.0</v>
      </c>
      <c r="DK7" s="46">
        <v>0.0</v>
      </c>
      <c r="DL7" s="34"/>
      <c r="DM7" s="34"/>
      <c r="DN7" s="46">
        <v>0.0</v>
      </c>
      <c r="DO7" s="46">
        <v>0.0</v>
      </c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3"/>
      <c r="B8" s="33"/>
      <c r="C8" s="33"/>
      <c r="D8" s="33"/>
      <c r="E8" s="33"/>
      <c r="F8" s="33"/>
      <c r="G8" s="33"/>
      <c r="H8" s="38" t="s">
        <v>22</v>
      </c>
      <c r="I8" s="42">
        <v>0.0</v>
      </c>
      <c r="J8" s="42">
        <v>100.0</v>
      </c>
      <c r="K8" s="42">
        <v>100.0</v>
      </c>
      <c r="L8" s="42">
        <v>100.0</v>
      </c>
      <c r="M8" s="41" t="s">
        <v>38</v>
      </c>
      <c r="N8" s="33"/>
      <c r="O8" s="33" t="s">
        <v>23</v>
      </c>
      <c r="P8" s="33"/>
      <c r="Q8" s="33"/>
      <c r="R8" s="33" t="s">
        <v>30</v>
      </c>
      <c r="S8" s="33"/>
      <c r="T8" s="34" t="s">
        <v>31</v>
      </c>
      <c r="U8" s="34" t="s">
        <v>31</v>
      </c>
      <c r="V8" s="34"/>
      <c r="W8" s="34"/>
      <c r="X8" s="34"/>
      <c r="Y8" s="34"/>
      <c r="Z8" s="34"/>
      <c r="AA8" s="34"/>
      <c r="AB8" s="45">
        <v>1000.0</v>
      </c>
      <c r="AC8" s="34"/>
      <c r="AD8" s="45">
        <v>1000.0</v>
      </c>
      <c r="AE8" s="46">
        <v>0.0</v>
      </c>
      <c r="AF8" s="33"/>
      <c r="AG8" s="42">
        <v>100.0</v>
      </c>
      <c r="AH8" s="45">
        <v>1000.0</v>
      </c>
      <c r="AI8" s="34"/>
      <c r="AJ8" s="34" t="s">
        <v>32</v>
      </c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46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46"/>
      <c r="BR8" s="46"/>
      <c r="BS8" s="34"/>
      <c r="BT8" s="46"/>
      <c r="BU8" s="34"/>
      <c r="BV8" s="45">
        <v>10.0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46">
        <v>0.0</v>
      </c>
      <c r="DK8" s="46">
        <v>0.0</v>
      </c>
      <c r="DL8" s="34"/>
      <c r="DM8" s="34"/>
      <c r="DN8" s="46">
        <v>0.0</v>
      </c>
      <c r="DO8" s="46">
        <v>0.0</v>
      </c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4"/>
      <c r="E9" s="34"/>
      <c r="F9" s="34"/>
      <c r="G9" s="33"/>
      <c r="H9" s="38" t="s">
        <v>22</v>
      </c>
      <c r="I9" s="42">
        <v>0.0</v>
      </c>
      <c r="J9" s="42">
        <v>100.0</v>
      </c>
      <c r="K9" s="42">
        <v>100.0</v>
      </c>
      <c r="L9" s="42">
        <v>100.0</v>
      </c>
      <c r="M9" s="41" t="s">
        <v>38</v>
      </c>
      <c r="N9" s="33"/>
      <c r="O9" s="33" t="s">
        <v>23</v>
      </c>
      <c r="P9" s="33"/>
      <c r="Q9" s="33"/>
      <c r="R9" s="33" t="s">
        <v>33</v>
      </c>
      <c r="S9" s="33"/>
      <c r="T9" s="34" t="s">
        <v>34</v>
      </c>
      <c r="U9" s="34" t="s">
        <v>34</v>
      </c>
      <c r="V9" s="34"/>
      <c r="W9" s="34"/>
      <c r="X9" s="34"/>
      <c r="Y9" s="34"/>
      <c r="Z9" s="34"/>
      <c r="AA9" s="34"/>
      <c r="AB9" s="45">
        <v>1000.0</v>
      </c>
      <c r="AC9" s="34"/>
      <c r="AD9" s="45">
        <v>1000.0</v>
      </c>
      <c r="AE9" s="46">
        <v>0.0</v>
      </c>
      <c r="AF9" s="33"/>
      <c r="AG9" s="42">
        <v>100.0</v>
      </c>
      <c r="AH9" s="45">
        <v>1000.0</v>
      </c>
      <c r="AI9" s="34"/>
      <c r="AJ9" s="34" t="s">
        <v>32</v>
      </c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46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46"/>
      <c r="BR9" s="46"/>
      <c r="BS9" s="34"/>
      <c r="BT9" s="46"/>
      <c r="BU9" s="34"/>
      <c r="BV9" s="45">
        <v>10.0</v>
      </c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46">
        <v>0.0</v>
      </c>
      <c r="DK9" s="46">
        <v>0.0</v>
      </c>
      <c r="DL9" s="34"/>
      <c r="DM9" s="34"/>
      <c r="DN9" s="46">
        <v>0.0</v>
      </c>
      <c r="DO9" s="46">
        <v>0.0</v>
      </c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200.0</v>
      </c>
      <c r="D6" s="11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IFERROR(__xludf.DUMMYFUNCTION("IF(C3="""","""",Transpose(IMPORTRANGE('_Settings'!$B$3,C3&amp;""!A4:A1000"")))"),"VerifyTrades")</f>
        <v>VerifyTrades</v>
      </c>
      <c r="C4" s="24" t="str">
        <f>IFERROR(__xludf.DUMMYFUNCTION("""COMPUTED_VALUE"""),"ClearUI")</f>
        <v>ClearUI</v>
      </c>
      <c r="D4" s="24" t="str">
        <f>IFERROR(__xludf.DUMMYFUNCTION("""COMPUTED_VALUE"""),"SetManualResponse")</f>
        <v>SetManualResponse</v>
      </c>
      <c r="E4" s="24" t="str">
        <f>IFERROR(__xludf.DUMMYFUNCTION("""COMPUTED_VALUE"""),"OpenLiveTT")</f>
        <v>OpenLiveTT</v>
      </c>
      <c r="F4" s="24" t="str">
        <f>IFERROR(__xludf.DUMMYFUNCTION("""COMPUTED_VALUE"""),"CancelTrade")</f>
        <v>CancelTrade</v>
      </c>
      <c r="G4" s="24" t="str">
        <f>IFERROR(__xludf.DUMMYFUNCTION("""COMPUTED_VALUE"""),"ExecuteTrade")</f>
        <v>ExecuteTrade</v>
      </c>
      <c r="H4" s="24" t="str">
        <f>IFERROR(__xludf.DUMMYFUNCTION("""COMPUTED_VALUE"""),"RejectTrade")</f>
        <v>RejectTrade</v>
      </c>
      <c r="I4" s="24" t="str">
        <f>IFERROR(__xludf.DUMMYFUNCTION("""COMPUTED_VALUE"""),"SelectTrade")</f>
        <v>SelectTrade</v>
      </c>
      <c r="J4" s="24" t="str">
        <f>IFERROR(__xludf.DUMMYFUNCTION("""COMPUTED_VALUE"""),"AcknowledgeTrade")</f>
        <v>AcknowledgeTrade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20.0</v>
      </c>
      <c r="C6" s="11">
        <v>100.0</v>
      </c>
      <c r="D6" s="11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IFERROR(__xludf.DUMMYFUNCTION("IF(C3="""","""",Transpose(IMPORTRANGE('_Settings'!$B$3,C3&amp;""!A4:A1000"")))"),"RestartReleasesAndServices")</f>
        <v>RestartReleasesAndServices</v>
      </c>
      <c r="C4" s="24" t="str">
        <f>IFERROR(__xludf.DUMMYFUNCTION("""COMPUTED_VALUE"""),"ReplaceInterceptorFile")</f>
        <v>ReplaceInterceptorFile</v>
      </c>
      <c r="D4" s="24" t="str">
        <f>IFERROR(__xludf.DUMMYFUNCTION("""COMPUTED_VALUE"""),"EditInterceptorFile")</f>
        <v>EditInterceptorFile</v>
      </c>
      <c r="E4" s="24" t="str">
        <f>IFERROR(__xludf.DUMMYFUNCTION("""COMPUTED_VALUE"""),"VerifyAlertHistory")</f>
        <v>VerifyAlertHistory</v>
      </c>
      <c r="F4" s="24" t="str">
        <f>IFERROR(__xludf.DUMMYFUNCTION("""COMPUTED_VALUE"""),"ApproveorRejectpendingapproval")</f>
        <v>ApproveorRejectpendingapproval</v>
      </c>
      <c r="G4" s="24" t="str">
        <f>IFERROR(__xludf.DUMMYFUNCTION("""COMPUTED_VALUE"""),"VerifyAggAccountSymbolWithNav")</f>
        <v>VerifyAggAccountSymbolWithNav</v>
      </c>
      <c r="H4" s="24" t="str">
        <f>IFERROR(__xludf.DUMMYFUNCTION("""COMPUTED_VALUE"""),"RestartRuleMediator")</f>
        <v>RestartRuleMediator</v>
      </c>
      <c r="I4" s="24" t="str">
        <f>IFERROR(__xludf.DUMMYFUNCTION("""COMPUTED_VALUE"""),"VerifyMasterFundSymbolDivisorWindow")</f>
        <v>VerifyMasterFundSymbolDivisorWindow</v>
      </c>
      <c r="J4" s="24" t="str">
        <f>IFERROR(__xludf.DUMMYFUNCTION("""COMPUTED_VALUE"""),"VerifyMasterFundDivisorWindow")</f>
        <v>VerifyMasterFundDivisorWindow</v>
      </c>
      <c r="K4" s="24" t="str">
        <f>IFERROR(__xludf.DUMMYFUNCTION("""COMPUTED_VALUE"""),"VerifyGlobalDivisorWindow")</f>
        <v>VerifyGlobalDivisorWindow</v>
      </c>
      <c r="L4" s="24" t="str">
        <f>IFERROR(__xludf.DUMMYFUNCTION("""COMPUTED_VALUE"""),"VerifyAccrualForAccountWindow")</f>
        <v>VerifyAccrualForAccountWindow</v>
      </c>
      <c r="M4" s="24" t="str">
        <f>IFERROR(__xludf.DUMMYFUNCTION("""COMPUTED_VALUE"""),"VerifyGlobalDivisorWindow")</f>
        <v>VerifyGlobalDivisorWindow</v>
      </c>
      <c r="N4" s="24" t="str">
        <f>IFERROR(__xludf.DUMMYFUNCTION("""COMPUTED_VALUE"""),"VerifyAggregationGlobalWithNav")</f>
        <v>VerifyAggregationGlobalWithNav</v>
      </c>
      <c r="O4" s="24" t="str">
        <f>IFERROR(__xludf.DUMMYFUNCTION("""COMPUTED_VALUE"""),"VerifyAggregationGlobalWithNav")</f>
        <v>VerifyAggregationGlobalWithNav</v>
      </c>
      <c r="P4" s="25" t="str">
        <f>IFERROR(__xludf.DUMMYFUNCTION("""COMPUTED_VALUE"""),"VerifyAggregationSubSectorWithNav")</f>
        <v>VerifyAggregationSubSectorWithNav</v>
      </c>
      <c r="Q4" s="25" t="str">
        <f>IFERROR(__xludf.DUMMYFUNCTION("""COMPUTED_VALUE"""),"VerifyAggregationSymbolWithNav")</f>
        <v>VerifyAggregationSymbolWithNav</v>
      </c>
      <c r="R4" s="25" t="str">
        <f>IFERROR(__xludf.DUMMYFUNCTION("""COMPUTED_VALUE"""),"VerifyAggregationAssetWithNav")</f>
        <v>VerifyAggregationAssetWithNav</v>
      </c>
      <c r="S4" s="25" t="str">
        <f>IFERROR(__xludf.DUMMYFUNCTION("""COMPUTED_VALUE"""),"VerifyAggregationAccountUnderlyingSymbolWithNav")</f>
        <v>VerifyAggregationAccountUnderlyingSymbolWithNav</v>
      </c>
      <c r="T4" s="25" t="str">
        <f>IFERROR(__xludf.DUMMYFUNCTION("""COMPUTED_VALUE"""),"VerifyAccountNavPreferenceWindow")</f>
        <v>VerifyAccountNavPreferenceWindow</v>
      </c>
      <c r="U4" s="25" t="str">
        <f>IFERROR(__xludf.DUMMYFUNCTION("""COMPUTED_VALUE"""),"RestartEsper")</f>
        <v>RestartEsper</v>
      </c>
      <c r="V4" s="25" t="str">
        <f>IFERROR(__xludf.DUMMYFUNCTION("""COMPUTED_VALUE"""),"VerifyTaxlotWindow")</f>
        <v>VerifyTaxlotWindow</v>
      </c>
      <c r="W4" s="25" t="str">
        <f>IFERROR(__xludf.DUMMYFUNCTION("""COMPUTED_VALUE"""),"VerifySymbolDivisorWindow")</f>
        <v>VerifySymbolDivisorWindow</v>
      </c>
      <c r="X4" s="25" t="str">
        <f>IFERROR(__xludf.DUMMYFUNCTION("""COMPUTED_VALUE"""),"VerifySymbolDataWindow")</f>
        <v>VerifySymbolDataWindow</v>
      </c>
      <c r="Y4" s="25" t="str">
        <f>IFERROR(__xludf.DUMMYFUNCTION("""COMPUTED_VALUE"""),"VerifySecurityWindow")</f>
        <v>VerifySecurityWindow</v>
      </c>
      <c r="Z4" s="25" t="str">
        <f>IFERROR(__xludf.DUMMYFUNCTION("""COMPUTED_VALUE"""),"VerifyRowCalculationBaseWindow")</f>
        <v>VerifyRowCalculationBaseWindow</v>
      </c>
      <c r="AA4" s="25" t="str">
        <f>IFERROR(__xludf.DUMMYFUNCTION("""COMPUTED_VALUE"""),"VerifyPmCalculationPreferenceWindow")</f>
        <v>VerifyPmCalculationPreferenceWindow</v>
      </c>
      <c r="AB4" s="25" t="str">
        <f>IFERROR(__xludf.DUMMYFUNCTION("""COMPUTED_VALUE"""),"VerifyGlobalDivisorWindow")</f>
        <v>VerifyGlobalDivisorWindow</v>
      </c>
      <c r="AC4" s="25" t="str">
        <f>IFERROR(__xludf.DUMMYFUNCTION("""COMPUTED_VALUE"""),"VerifyDbNavWindow")</f>
        <v>VerifyDbNavWindow</v>
      </c>
      <c r="AD4" s="25" t="str">
        <f>IFERROR(__xludf.DUMMYFUNCTION("""COMPUTED_VALUE"""),"VerifyDayEndCashAccountWindow")</f>
        <v>VerifyDayEndCashAccountWindow</v>
      </c>
      <c r="AE4" s="25" t="str">
        <f>IFERROR(__xludf.DUMMYFUNCTION("""COMPUTED_VALUE"""),"VerifyCustomSymbolDataWindow")</f>
        <v>VerifyCustomSymbolDataWindow</v>
      </c>
      <c r="AF4" s="25" t="str">
        <f>IFERROR(__xludf.DUMMYFUNCTION("""COMPUTED_VALUE"""),"VerifyBetaWindow")</f>
        <v>VerifyBetaWindow</v>
      </c>
      <c r="AG4" s="25" t="str">
        <f>IFERROR(__xludf.DUMMYFUNCTION("""COMPUTED_VALUE"""),"VerifyAuecWindow")</f>
        <v>VerifyAuecWindow</v>
      </c>
      <c r="AH4" s="25" t="str">
        <f>IFERROR(__xludf.DUMMYFUNCTION("""COMPUTED_VALUE"""),"VerifyAggregationUnderlyingSymbolWithNav")</f>
        <v>VerifyAggregationUnderlyingSymbolWithNav</v>
      </c>
      <c r="AI4" s="25" t="str">
        <f>IFERROR(__xludf.DUMMYFUNCTION("""COMPUTED_VALUE"""),"VerifyAggregationSectorWithNav")</f>
        <v>VerifyAggregationSectorWithNav</v>
      </c>
      <c r="AJ4" s="25" t="str">
        <f>IFERROR(__xludf.DUMMYFUNCTION("""COMPUTED_VALUE"""),"VerifyAggregationMasterFundWithNav")</f>
        <v>VerifyAggregationMasterFundWithNav</v>
      </c>
      <c r="AK4" s="25" t="str">
        <f>IFERROR(__xludf.DUMMYFUNCTION("""COMPUTED_VALUE"""),"VerifyAggregationMasterFundUnderlyingSymbolWithNav")</f>
        <v>VerifyAggregationMasterFundUnderlyingSymbolWithNav</v>
      </c>
      <c r="AL4" s="25" t="str">
        <f>IFERROR(__xludf.DUMMYFUNCTION("""COMPUTED_VALUE"""),"VerifyAggregationMasterFundSymbolWithNav")</f>
        <v>VerifyAggregationMasterFundSymbolWithNav</v>
      </c>
      <c r="AM4" s="25" t="str">
        <f>IFERROR(__xludf.DUMMYFUNCTION("""COMPUTED_VALUE"""),"VerifyAggregationAccountWithNav")</f>
        <v>VerifyAggregationAccountWithNav</v>
      </c>
      <c r="AN4" s="25" t="str">
        <f>IFERROR(__xludf.DUMMYFUNCTION("""COMPUTED_VALUE"""),"VerifyAggregationAccountSymbolWithNav")</f>
        <v>VerifyAggregationAccountSymbolWithNav</v>
      </c>
      <c r="AO4" s="25" t="str">
        <f>IFERROR(__xludf.DUMMYFUNCTION("""COMPUTED_VALUE"""),"VerifyAccountSymbolDivisorWindow")</f>
        <v>VerifyAccountSymbolDivisorWindow</v>
      </c>
      <c r="AP4" s="25" t="str">
        <f>IFERROR(__xludf.DUMMYFUNCTION("""COMPUTED_VALUE"""),"VerifyAccountDivisorWindow")</f>
        <v>VerifyAccountDivisorWindow</v>
      </c>
      <c r="AQ4" s="25" t="str">
        <f>IFERROR(__xludf.DUMMYFUNCTION("""COMPUTED_VALUE"""),"CheckCompliance")</f>
        <v>CheckCompliance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49" t="s">
        <v>22</v>
      </c>
      <c r="I6" s="49">
        <v>0.0</v>
      </c>
      <c r="J6" s="49">
        <v>150.0</v>
      </c>
      <c r="K6" s="49">
        <v>150.0</v>
      </c>
      <c r="L6" s="49">
        <v>150.0</v>
      </c>
      <c r="M6" s="49" t="s">
        <v>40</v>
      </c>
      <c r="N6" s="33"/>
      <c r="O6" s="49" t="s">
        <v>23</v>
      </c>
      <c r="P6" s="49"/>
      <c r="Q6" s="49" t="s">
        <v>22</v>
      </c>
      <c r="R6" s="49"/>
      <c r="S6" s="49">
        <v>1.0</v>
      </c>
      <c r="T6" s="49" t="s">
        <v>34</v>
      </c>
      <c r="U6" s="49" t="s">
        <v>34</v>
      </c>
      <c r="V6" s="34"/>
      <c r="W6" s="49"/>
      <c r="Y6" s="49"/>
      <c r="Z6" s="49"/>
      <c r="AA6" s="49"/>
      <c r="AB6" s="49">
        <v>2400.0</v>
      </c>
      <c r="AC6" s="49"/>
      <c r="AD6" s="49">
        <v>2400.0</v>
      </c>
      <c r="AE6" s="49"/>
      <c r="AF6" s="33"/>
      <c r="AG6" s="49">
        <v>150.0</v>
      </c>
      <c r="AH6" s="49">
        <v>2400.0</v>
      </c>
      <c r="AI6" s="34"/>
      <c r="AJ6" s="49" t="s">
        <v>41</v>
      </c>
      <c r="AK6" s="49" t="s">
        <v>42</v>
      </c>
      <c r="AL6" s="49"/>
      <c r="AM6" s="49"/>
      <c r="AN6" s="49"/>
      <c r="AO6" s="49"/>
      <c r="AP6" s="49"/>
      <c r="AQ6" s="49"/>
      <c r="AR6" s="49"/>
      <c r="AS6" s="49"/>
      <c r="AT6" s="49"/>
      <c r="AU6" s="49"/>
      <c r="AW6" s="49" t="s">
        <v>43</v>
      </c>
      <c r="AY6" s="49"/>
      <c r="AZ6" s="49" t="s">
        <v>44</v>
      </c>
      <c r="BA6" s="49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49">
        <v>1.0</v>
      </c>
      <c r="BR6" s="49"/>
      <c r="BS6" s="49" t="s">
        <v>45</v>
      </c>
      <c r="BT6" s="49">
        <v>1.2</v>
      </c>
      <c r="BU6" s="49" t="s">
        <v>45</v>
      </c>
      <c r="BV6" s="49">
        <v>13.3333333333333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49">
        <v>1500.0</v>
      </c>
      <c r="CR6" s="49">
        <v>0.0</v>
      </c>
      <c r="CS6" s="49">
        <v>1500.0</v>
      </c>
      <c r="CT6" s="49">
        <v>1500.0</v>
      </c>
      <c r="CU6" s="49">
        <v>0.0</v>
      </c>
      <c r="CV6" s="49">
        <v>1500.0</v>
      </c>
      <c r="CW6" s="49">
        <v>2000.0</v>
      </c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49"/>
      <c r="DK6" s="45"/>
      <c r="DL6" s="34"/>
      <c r="DM6" s="34"/>
      <c r="DN6" s="49"/>
      <c r="DO6" s="49"/>
      <c r="DP6" s="34"/>
      <c r="DQ6" s="49">
        <v>1500.0</v>
      </c>
      <c r="DR6" s="49">
        <v>1500.0</v>
      </c>
      <c r="DS6" s="34"/>
      <c r="DT6" s="49">
        <v>1500.0</v>
      </c>
      <c r="DU6" s="49">
        <v>1500.0</v>
      </c>
      <c r="DV6" s="49"/>
      <c r="DW6" s="49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/>
      <c r="C7" s="33"/>
      <c r="D7" s="33"/>
      <c r="E7" s="33"/>
      <c r="F7" s="33"/>
      <c r="G7" s="33"/>
      <c r="H7" s="50" t="s">
        <v>22</v>
      </c>
      <c r="I7" s="50">
        <v>0.0</v>
      </c>
      <c r="J7" s="50">
        <v>150.0</v>
      </c>
      <c r="K7" s="50">
        <v>150.0</v>
      </c>
      <c r="L7" s="50">
        <v>150.0</v>
      </c>
      <c r="M7" s="50" t="s">
        <v>40</v>
      </c>
      <c r="N7" s="33"/>
      <c r="O7" s="50" t="s">
        <v>23</v>
      </c>
      <c r="P7" s="50"/>
      <c r="Q7" s="50" t="s">
        <v>22</v>
      </c>
      <c r="R7" s="50"/>
      <c r="S7" s="50">
        <v>1.0</v>
      </c>
      <c r="T7" s="50" t="s">
        <v>31</v>
      </c>
      <c r="U7" s="50" t="s">
        <v>31</v>
      </c>
      <c r="V7" s="34"/>
      <c r="W7" s="50"/>
      <c r="Y7" s="50"/>
      <c r="Z7" s="50"/>
      <c r="AA7" s="50"/>
      <c r="AB7" s="50">
        <v>2400.0</v>
      </c>
      <c r="AC7" s="50"/>
      <c r="AD7" s="50">
        <v>2400.0</v>
      </c>
      <c r="AE7" s="50"/>
      <c r="AF7" s="33"/>
      <c r="AG7" s="50">
        <v>150.0</v>
      </c>
      <c r="AH7" s="50">
        <v>2400.0</v>
      </c>
      <c r="AI7" s="34"/>
      <c r="AJ7" s="50" t="s">
        <v>41</v>
      </c>
      <c r="AK7" s="50" t="s">
        <v>42</v>
      </c>
      <c r="AL7" s="50"/>
      <c r="AM7" s="50"/>
      <c r="AN7" s="50"/>
      <c r="AO7" s="50"/>
      <c r="AP7" s="50"/>
      <c r="AQ7" s="50"/>
      <c r="AR7" s="50"/>
      <c r="AS7" s="50"/>
      <c r="AT7" s="50"/>
      <c r="AU7" s="50"/>
      <c r="AW7" s="50" t="s">
        <v>43</v>
      </c>
      <c r="AY7" s="50"/>
      <c r="AZ7" s="50" t="s">
        <v>44</v>
      </c>
      <c r="BA7" s="50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50">
        <v>1.0</v>
      </c>
      <c r="BR7" s="50"/>
      <c r="BS7" s="50" t="s">
        <v>45</v>
      </c>
      <c r="BT7" s="50">
        <v>1.2</v>
      </c>
      <c r="BU7" s="50" t="s">
        <v>45</v>
      </c>
      <c r="BV7" s="50">
        <v>13.3333333333333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50">
        <v>1500.0</v>
      </c>
      <c r="CR7" s="50">
        <v>0.0</v>
      </c>
      <c r="CS7" s="50">
        <v>1500.0</v>
      </c>
      <c r="CT7" s="50">
        <v>1500.0</v>
      </c>
      <c r="CU7" s="50">
        <v>0.0</v>
      </c>
      <c r="CV7" s="50">
        <v>1500.0</v>
      </c>
      <c r="CW7" s="50">
        <v>2000.0</v>
      </c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50"/>
      <c r="DK7" s="45"/>
      <c r="DL7" s="34"/>
      <c r="DM7" s="34"/>
      <c r="DN7" s="50"/>
      <c r="DO7" s="50"/>
      <c r="DP7" s="34"/>
      <c r="DQ7" s="50">
        <v>1500.0</v>
      </c>
      <c r="DR7" s="50">
        <v>1500.0</v>
      </c>
      <c r="DS7" s="34"/>
      <c r="DT7" s="50">
        <v>1500.0</v>
      </c>
      <c r="DU7" s="50">
        <v>1500.0</v>
      </c>
      <c r="DV7" s="50"/>
      <c r="DW7" s="50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3"/>
      <c r="B8" s="33"/>
      <c r="C8" s="33"/>
      <c r="D8" s="33"/>
      <c r="E8" s="33"/>
      <c r="F8" s="33"/>
      <c r="G8" s="33"/>
      <c r="H8" s="38"/>
      <c r="I8" s="42"/>
      <c r="J8" s="42"/>
      <c r="K8" s="42"/>
      <c r="L8" s="42"/>
      <c r="M8" s="41"/>
      <c r="N8" s="33"/>
      <c r="O8" s="33"/>
      <c r="R8" s="33"/>
      <c r="S8" s="33"/>
      <c r="T8" s="34"/>
      <c r="U8" s="34"/>
      <c r="V8" s="34"/>
      <c r="W8" s="34"/>
      <c r="X8" s="34"/>
      <c r="Y8" s="34"/>
      <c r="Z8" s="34"/>
      <c r="AA8" s="34"/>
      <c r="AB8" s="45"/>
      <c r="AC8" s="34"/>
      <c r="AD8" s="45"/>
      <c r="AE8" s="46"/>
      <c r="AF8" s="33"/>
      <c r="AG8" s="42"/>
      <c r="AH8" s="45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46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46"/>
      <c r="BR8" s="46"/>
      <c r="BS8" s="34"/>
      <c r="BT8" s="46"/>
      <c r="BU8" s="34"/>
      <c r="BV8" s="45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45"/>
      <c r="DK8" s="45"/>
      <c r="DL8" s="34"/>
      <c r="DM8" s="34"/>
      <c r="DN8" s="45"/>
      <c r="DO8" s="45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4"/>
      <c r="E9" s="34"/>
      <c r="F9" s="34"/>
      <c r="G9" s="33"/>
      <c r="H9" s="38"/>
      <c r="I9" s="42"/>
      <c r="J9" s="42"/>
      <c r="K9" s="42"/>
      <c r="L9" s="42"/>
      <c r="M9" s="41"/>
      <c r="N9" s="33"/>
      <c r="O9" s="33"/>
      <c r="R9" s="33"/>
      <c r="S9" s="33"/>
      <c r="T9" s="34"/>
      <c r="U9" s="34"/>
      <c r="V9" s="34"/>
      <c r="W9" s="34"/>
      <c r="X9" s="34"/>
      <c r="Y9" s="34"/>
      <c r="Z9" s="34"/>
      <c r="AA9" s="34"/>
      <c r="AB9" s="45"/>
      <c r="AC9" s="34"/>
      <c r="AD9" s="45"/>
      <c r="AE9" s="46"/>
      <c r="AF9" s="33"/>
      <c r="AG9" s="42"/>
      <c r="AH9" s="45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46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46"/>
      <c r="BR9" s="46"/>
      <c r="BS9" s="34"/>
      <c r="BT9" s="46"/>
      <c r="BU9" s="34"/>
      <c r="BV9" s="45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45"/>
      <c r="DK9" s="45"/>
      <c r="DL9" s="34"/>
      <c r="DM9" s="34"/>
      <c r="DN9" s="45"/>
      <c r="DO9" s="45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