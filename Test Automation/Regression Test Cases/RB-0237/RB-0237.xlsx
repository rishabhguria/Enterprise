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MarkPriceData" sheetId="6" r:id="rId8"/>
    <sheet state="visible" name="UpdateMarkPrice" sheetId="7" r:id="rId9"/>
    <sheet state="visible" name="GetDailyCash" sheetId="8" r:id="rId10"/>
    <sheet state="visible" name="UpdateMultipleDailyCash" sheetId="9" r:id="rId11"/>
    <sheet state="visible" name="GetForexConversion" sheetId="10" r:id="rId12"/>
    <sheet state="visible" name="UpdateForexConversion" sheetId="11" r:id="rId13"/>
    <sheet state="visible" name="FetchAccountPositions" sheetId="12" r:id="rId14"/>
    <sheet state="visible" name="AddCash" sheetId="13" r:id="rId15"/>
    <sheet state="visible" name="RebalanceAcrossSecurities" sheetId="14" r:id="rId16"/>
    <sheet state="visible" name="RunRebalance" sheetId="15" r:id="rId17"/>
    <sheet state="visible" name="VerifyGridData" sheetId="16" r:id="rId18"/>
    <sheet state="visible" name="SendtoStaging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<sst xmlns="http://schemas.openxmlformats.org/spreadsheetml/2006/main" count="355" uniqueCount="73">
  <si>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</si>
  <si>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</si>
  <si>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</si>
  <si>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</si>
  <si>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</si>
  <si>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</si>
  <si>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</si>
  <si>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</si>
  <si>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</si>
  <si>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</si>
  <si>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</si>
  <si>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</si>
  <si>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</si>
  <si>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</si>
  <si>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</si>
  <si>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</si>
  <si>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</si>
  <si>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</si>
  <si>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</si>
  <si>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FRU-TC</t>
  </si>
  <si>
    <t>ES U2</t>
  </si>
  <si>
    <t>O:COP 14O62.50</t>
  </si>
  <si>
    <t>Buy to Open</t>
  </si>
  <si>
    <t>EF898000</t>
  </si>
  <si>
    <t>MSFT</t>
  </si>
  <si>
    <t>FB</t>
  </si>
  <si>
    <t>Sell</t>
  </si>
  <si>
    <t>AAL</t>
  </si>
  <si>
    <t>V</t>
  </si>
  <si>
    <t>PricingInput</t>
  </si>
  <si>
    <t>DailyValuation</t>
  </si>
  <si>
    <t>GetMarkPriceData</t>
  </si>
  <si>
    <t>UpdateMarkPrice</t>
  </si>
  <si>
    <t>GetDailyCash</t>
  </si>
  <si>
    <t>UpdateMultipleDailyCash</t>
  </si>
  <si>
    <t>USD</t>
  </si>
  <si>
    <t>Allocation3</t>
  </si>
  <si>
    <t>GetForexConversion</t>
  </si>
  <si>
    <t>UpdateForexConversion</t>
  </si>
  <si>
    <t>CAD</t>
  </si>
  <si>
    <t>Rebalancer</t>
  </si>
  <si>
    <t>FetchAccountPositions</t>
  </si>
  <si>
    <t>NewMF</t>
  </si>
  <si>
    <t>Real-Time Positions</t>
  </si>
  <si>
    <t>Account</t>
  </si>
  <si>
    <t>Positions</t>
  </si>
  <si>
    <t>AddCash</t>
  </si>
  <si>
    <t>No Impact</t>
  </si>
  <si>
    <t>None</t>
  </si>
  <si>
    <t>RebalanceAcrossSecurities</t>
  </si>
  <si>
    <t>Increase</t>
  </si>
  <si>
    <t>BPS</t>
  </si>
  <si>
    <t>RunRebalance</t>
  </si>
  <si>
    <t>Nearest Round Off</t>
  </si>
  <si>
    <t>VerifyGridData</t>
  </si>
  <si>
    <t>Equity</t>
  </si>
  <si>
    <t>Short</t>
  </si>
  <si>
    <t>Long</t>
  </si>
  <si>
    <t>FixedIncome</t>
  </si>
  <si>
    <t>SendtoStaging</t>
  </si>
  <si>
    <t>Blotter</t>
  </si>
  <si>
    <t>VerifyOrder</t>
  </si>
  <si>
    <t/>
  </si>
  <si>
    <t>AAPL US EQUITY</t>
  </si>
  <si>
    <t>NASDAQ</t>
  </si>
  <si>
    <t>jpearce</t>
  </si>
  <si>
    <t>US</t>
  </si>
  <si>
    <t>GCCAP1</t>
  </si>
  <si>
    <t>M</t>
  </si>
  <si>
    <t>New</t>
  </si>
  <si>
    <t>MS</t>
  </si>
  <si>
    <t>Market</t>
  </si>
  <si>
    <t>Manual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</si>
</sst>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1.0"/>
      <color rgb="FF202124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1155CC"/>
      <name val="Inconsolata"/>
    </font>
    <font>
      <sz val="9.0"/>
      <color rgb="FF1155CC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0" fillId="0" fontId="14" numFmtId="0" xfId="0" applyAlignment="1" applyFont="1">
      <alignment horizontal="right" vertical="bottom"/>
    </xf>
    <xf borderId="7" fillId="4" fontId="1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3" numFmtId="0" xfId="0" applyAlignment="1" applyBorder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9" fillId="0" fontId="3" numFmtId="3" xfId="0" applyAlignment="1" applyBorder="1" applyFont="1" applyNumberForma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4" fontId="16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6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/>
      <c r="F6" s="33" t="s">
        <v>18</v>
      </c>
      <c r="G6" s="35"/>
      <c r="H6" s="35"/>
      <c r="I6" s="35"/>
      <c r="J6" s="36">
        <v>2.0</v>
      </c>
      <c r="K6" s="35"/>
      <c r="L6" s="35"/>
      <c r="M6" s="35"/>
      <c r="N6" s="37">
        <f t="shared" ref="N6:N10" si="1">TODAY()-90</f>
        <v>45825</v>
      </c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9"/>
      <c r="B7" s="40" t="s">
        <v>19</v>
      </c>
      <c r="C7" s="33" t="s">
        <v>17</v>
      </c>
      <c r="D7" s="41">
        <v>100.0</v>
      </c>
      <c r="E7" s="40"/>
      <c r="F7" s="33" t="s">
        <v>18</v>
      </c>
      <c r="G7" s="40"/>
      <c r="H7" s="40"/>
      <c r="I7" s="40"/>
      <c r="J7" s="36">
        <v>2.0</v>
      </c>
      <c r="K7" s="40"/>
      <c r="L7" s="40"/>
      <c r="M7" s="40"/>
      <c r="N7" s="37">
        <f t="shared" si="1"/>
        <v>45825</v>
      </c>
      <c r="O7" s="40"/>
      <c r="P7" s="40"/>
      <c r="Q7" s="40"/>
      <c r="R7" s="40"/>
      <c r="S7" s="40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9"/>
      <c r="B8" s="40" t="s">
        <v>20</v>
      </c>
      <c r="C8" s="33" t="s">
        <v>17</v>
      </c>
      <c r="D8" s="41">
        <v>100.0</v>
      </c>
      <c r="E8" s="40"/>
      <c r="F8" s="33" t="s">
        <v>18</v>
      </c>
      <c r="G8" s="40"/>
      <c r="H8" s="40"/>
      <c r="I8" s="40"/>
      <c r="J8" s="36">
        <v>2.0</v>
      </c>
      <c r="K8" s="40"/>
      <c r="L8" s="40"/>
      <c r="M8" s="40"/>
      <c r="N8" s="37">
        <f t="shared" si="1"/>
        <v>45825</v>
      </c>
      <c r="O8" s="40"/>
      <c r="P8" s="40"/>
      <c r="Q8" s="40"/>
      <c r="R8" s="40"/>
      <c r="S8" s="40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9"/>
      <c r="B9" s="40" t="s">
        <v>21</v>
      </c>
      <c r="C9" s="33" t="s">
        <v>22</v>
      </c>
      <c r="D9" s="41">
        <v>100.0</v>
      </c>
      <c r="E9" s="40"/>
      <c r="F9" s="33" t="s">
        <v>18</v>
      </c>
      <c r="G9" s="40"/>
      <c r="H9" s="40"/>
      <c r="I9" s="40"/>
      <c r="J9" s="36">
        <v>2.0</v>
      </c>
      <c r="K9" s="40"/>
      <c r="L9" s="40"/>
      <c r="M9" s="40"/>
      <c r="N9" s="37">
        <f t="shared" si="1"/>
        <v>45825</v>
      </c>
      <c r="O9" s="40"/>
      <c r="P9" s="40"/>
      <c r="Q9" s="40"/>
      <c r="R9" s="40"/>
      <c r="S9" s="40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9"/>
      <c r="B10" s="42" t="s">
        <v>23</v>
      </c>
      <c r="C10" s="33" t="s">
        <v>17</v>
      </c>
      <c r="D10" s="41">
        <v>100.0</v>
      </c>
      <c r="E10" s="40"/>
      <c r="F10" s="33" t="s">
        <v>18</v>
      </c>
      <c r="G10" s="40"/>
      <c r="H10" s="40"/>
      <c r="I10" s="40"/>
      <c r="J10" s="36">
        <v>2.0</v>
      </c>
      <c r="K10" s="40"/>
      <c r="L10" s="40"/>
      <c r="M10" s="40"/>
      <c r="N10" s="37">
        <f t="shared" si="1"/>
        <v>45825</v>
      </c>
      <c r="O10" s="40"/>
      <c r="P10" s="40"/>
      <c r="Q10" s="40"/>
      <c r="R10" s="40"/>
      <c r="S10" s="40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9"/>
      <c r="B11" s="40" t="s">
        <v>24</v>
      </c>
      <c r="C11" s="33" t="s">
        <v>17</v>
      </c>
      <c r="D11" s="41">
        <v>100.0</v>
      </c>
      <c r="E11" s="40"/>
      <c r="F11" s="33" t="s">
        <v>18</v>
      </c>
      <c r="G11" s="40"/>
      <c r="H11" s="40"/>
      <c r="I11" s="40"/>
      <c r="J11" s="36">
        <v>2.0</v>
      </c>
      <c r="K11" s="40"/>
      <c r="L11" s="40"/>
      <c r="M11" s="40"/>
      <c r="N11" s="37">
        <f>TODAY()-89</f>
        <v>45826</v>
      </c>
      <c r="O11" s="40"/>
      <c r="P11" s="40"/>
      <c r="Q11" s="40"/>
      <c r="R11" s="40"/>
      <c r="S11" s="40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9"/>
      <c r="B12" s="40" t="s">
        <v>25</v>
      </c>
      <c r="C12" s="33" t="s">
        <v>17</v>
      </c>
      <c r="D12" s="41">
        <v>100.0</v>
      </c>
      <c r="E12" s="40"/>
      <c r="F12" s="33" t="s">
        <v>18</v>
      </c>
      <c r="G12" s="40"/>
      <c r="H12" s="40"/>
      <c r="I12" s="40"/>
      <c r="J12" s="36">
        <v>2.0</v>
      </c>
      <c r="K12" s="40"/>
      <c r="L12" s="40"/>
      <c r="M12" s="40"/>
      <c r="N12" s="37">
        <f>TODAY()-1</f>
        <v>45914</v>
      </c>
      <c r="O12" s="40"/>
      <c r="P12" s="40"/>
      <c r="Q12" s="40"/>
      <c r="R12" s="40"/>
      <c r="S12" s="40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9"/>
      <c r="B13" s="40" t="s">
        <v>25</v>
      </c>
      <c r="C13" s="33" t="s">
        <v>26</v>
      </c>
      <c r="D13" s="36">
        <v>50.0</v>
      </c>
      <c r="E13" s="40"/>
      <c r="F13" s="33" t="s">
        <v>18</v>
      </c>
      <c r="G13" s="40"/>
      <c r="H13" s="40"/>
      <c r="I13" s="40"/>
      <c r="J13" s="36">
        <v>2.0</v>
      </c>
      <c r="K13" s="40"/>
      <c r="L13" s="40"/>
      <c r="M13" s="40"/>
      <c r="N13" s="37">
        <f t="shared" ref="N13:N15" si="2">TODAY()-60</f>
        <v>45855</v>
      </c>
      <c r="O13" s="40"/>
      <c r="P13" s="40"/>
      <c r="Q13" s="40"/>
      <c r="R13" s="40"/>
      <c r="S13" s="40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38" t="s">
        <v>27</v>
      </c>
      <c r="C14" s="33" t="s">
        <v>26</v>
      </c>
      <c r="D14" s="43">
        <v>33333.0</v>
      </c>
      <c r="E14" s="44"/>
      <c r="F14" s="33" t="s">
        <v>18</v>
      </c>
      <c r="G14" s="40"/>
      <c r="H14" s="40"/>
      <c r="I14" s="40"/>
      <c r="J14" s="36">
        <v>0.0</v>
      </c>
      <c r="K14" s="40"/>
      <c r="L14" s="40"/>
      <c r="M14" s="40"/>
      <c r="N14" s="37">
        <f t="shared" si="2"/>
        <v>45855</v>
      </c>
      <c r="O14" s="40"/>
      <c r="P14" s="40"/>
      <c r="Q14" s="40"/>
      <c r="R14" s="40"/>
      <c r="S14" s="40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45"/>
      <c r="B15" s="45" t="s">
        <v>28</v>
      </c>
      <c r="C15" s="33" t="s">
        <v>26</v>
      </c>
      <c r="D15" s="43">
        <v>33333.0</v>
      </c>
      <c r="E15" s="44"/>
      <c r="F15" s="33" t="s">
        <v>18</v>
      </c>
      <c r="G15" s="40"/>
      <c r="H15" s="40"/>
      <c r="I15" s="40"/>
      <c r="J15" s="36">
        <v>0.0</v>
      </c>
      <c r="K15" s="40"/>
      <c r="L15" s="40"/>
      <c r="M15" s="40"/>
      <c r="N15" s="37">
        <f t="shared" si="2"/>
        <v>45855</v>
      </c>
      <c r="O15" s="40"/>
      <c r="P15" s="40"/>
      <c r="Q15" s="40"/>
      <c r="R15" s="40"/>
      <c r="S15" s="40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</row>
    <row r="16" ht="15.75" customHeight="1">
      <c r="A16" s="39"/>
      <c r="B16" s="40" t="s">
        <v>16</v>
      </c>
      <c r="C16" s="33" t="s">
        <v>17</v>
      </c>
      <c r="D16" s="36">
        <v>75.0</v>
      </c>
      <c r="E16" s="38"/>
      <c r="F16" s="33" t="s">
        <v>18</v>
      </c>
      <c r="G16" s="38"/>
      <c r="H16" s="38"/>
      <c r="I16" s="38"/>
      <c r="J16" s="36">
        <v>2.0</v>
      </c>
      <c r="K16" s="38"/>
      <c r="L16" s="38"/>
      <c r="M16" s="38"/>
      <c r="N16" s="37">
        <f t="shared" ref="N16:N17" si="3">TODAY()-6</f>
        <v>45909</v>
      </c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</row>
    <row r="17" ht="15.75" customHeight="1">
      <c r="A17" s="39"/>
      <c r="B17" s="40" t="s">
        <v>16</v>
      </c>
      <c r="C17" s="33" t="s">
        <v>17</v>
      </c>
      <c r="D17" s="36">
        <v>75.0</v>
      </c>
      <c r="E17" s="38"/>
      <c r="F17" s="33" t="s">
        <v>18</v>
      </c>
      <c r="G17" s="38"/>
      <c r="H17" s="38"/>
      <c r="I17" s="38"/>
      <c r="J17" s="36">
        <v>2.0</v>
      </c>
      <c r="K17" s="38"/>
      <c r="L17" s="38"/>
      <c r="M17" s="38"/>
      <c r="N17" s="37">
        <f t="shared" si="3"/>
        <v>45909</v>
      </c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2" t="s">
        <v>16</v>
      </c>
      <c r="C6" s="47">
        <v>20.0</v>
      </c>
      <c r="D6" s="46"/>
      <c r="E6" s="3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7">
        <v>20.0</v>
      </c>
      <c r="D7" s="38"/>
      <c r="E7" s="40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7">
        <v>20.0</v>
      </c>
      <c r="D8" s="38"/>
      <c r="E8" s="40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47">
        <v>20.0</v>
      </c>
      <c r="D9" s="38"/>
      <c r="E9" s="40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47">
        <v>20.0</v>
      </c>
      <c r="D10" s="38"/>
      <c r="E10" s="42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7">
        <v>20.0</v>
      </c>
      <c r="D11" s="38"/>
      <c r="E11" s="40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47">
        <v>232.0</v>
      </c>
      <c r="D12" s="38"/>
      <c r="E12" s="40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47">
        <v>0.0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5" t="s">
        <v>28</v>
      </c>
      <c r="C14" s="47">
        <v>0.0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8">
        <f t="shared" ref="B6:C6" si="1">TODAY()-1</f>
        <v>45914</v>
      </c>
      <c r="C6" s="49">
        <f t="shared" si="1"/>
        <v>45914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32" t="s">
        <v>16</v>
      </c>
      <c r="C6" s="47">
        <v>10.0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40" t="s">
        <v>19</v>
      </c>
      <c r="C7" s="47">
        <v>10.0</v>
      </c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40" t="s">
        <v>20</v>
      </c>
      <c r="C8" s="47">
        <v>19.5</v>
      </c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40" t="s">
        <v>21</v>
      </c>
      <c r="C9" s="47">
        <v>0.01</v>
      </c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42" t="s">
        <v>23</v>
      </c>
      <c r="C10" s="47">
        <v>10.0</v>
      </c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40" t="s">
        <v>24</v>
      </c>
      <c r="C11" s="47">
        <v>10.0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40" t="s">
        <v>25</v>
      </c>
      <c r="C12" s="47">
        <v>209.08</v>
      </c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38"/>
      <c r="B13" s="38" t="s">
        <v>27</v>
      </c>
      <c r="C13" s="47">
        <v>12.94</v>
      </c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</row>
    <row r="14" ht="15.75" customHeight="1">
      <c r="A14" s="38"/>
      <c r="B14" s="45" t="s">
        <v>28</v>
      </c>
      <c r="C14" s="47">
        <v>241.8</v>
      </c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8">
        <f t="shared" ref="B6:C6" si="1">TODAY()-1</f>
        <v>45914</v>
      </c>
      <c r="C6" s="49">
        <f t="shared" si="1"/>
        <v>45914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 t="s">
        <v>35</v>
      </c>
      <c r="D6" s="47">
        <v>100000.0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0" t="s">
        <v>36</v>
      </c>
      <c r="C7" s="33" t="s">
        <v>35</v>
      </c>
      <c r="D7" s="47">
        <v>100000.0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8">
        <f t="shared" ref="B6:C6" si="1">TODAY()-1</f>
        <v>45914</v>
      </c>
      <c r="C6" s="49">
        <f t="shared" si="1"/>
        <v>45914</v>
      </c>
      <c r="D6" s="46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1" t="s">
        <v>35</v>
      </c>
      <c r="C6" s="38" t="s">
        <v>39</v>
      </c>
      <c r="D6" s="46"/>
      <c r="E6" s="47">
        <v>1.340482574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42</v>
      </c>
      <c r="C6" s="35" t="s">
        <v>43</v>
      </c>
      <c r="D6" s="32" t="s">
        <v>44</v>
      </c>
      <c r="E6" s="35" t="s">
        <v>45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-10000.0</v>
      </c>
      <c r="C6" s="52" t="s">
        <v>47</v>
      </c>
      <c r="D6" s="32" t="s">
        <v>48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53" t="s">
        <v>16</v>
      </c>
      <c r="C6" s="53" t="s">
        <v>50</v>
      </c>
      <c r="D6" s="54">
        <v>2500.0</v>
      </c>
      <c r="E6" s="38" t="s">
        <v>18</v>
      </c>
      <c r="F6" s="38"/>
      <c r="G6" s="38"/>
      <c r="H6" s="38"/>
      <c r="I6" s="38"/>
      <c r="J6" s="55">
        <v>20.0</v>
      </c>
      <c r="K6" s="38"/>
      <c r="L6" s="38" t="s">
        <v>51</v>
      </c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53</v>
      </c>
      <c r="C6" s="8"/>
      <c r="D6" s="13"/>
      <c r="E6" s="5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57"/>
      <c r="B6" s="57"/>
      <c r="C6" s="58" t="s">
        <v>18</v>
      </c>
      <c r="D6" s="58" t="s">
        <v>27</v>
      </c>
      <c r="E6" s="58" t="s">
        <v>55</v>
      </c>
      <c r="F6" s="58" t="s">
        <v>56</v>
      </c>
      <c r="G6" s="59">
        <v>0.0</v>
      </c>
      <c r="H6" s="59">
        <v>0.0</v>
      </c>
      <c r="I6" s="59"/>
      <c r="J6" s="8"/>
      <c r="K6" s="59">
        <v>33333.0</v>
      </c>
      <c r="L6" s="59"/>
      <c r="M6" s="59"/>
      <c r="N6" s="8"/>
      <c r="O6" s="59"/>
      <c r="R6" s="59"/>
    </row>
    <row r="7" ht="15.75" customHeight="1">
      <c r="A7" s="8"/>
      <c r="B7" s="8"/>
      <c r="C7" s="58" t="s">
        <v>18</v>
      </c>
      <c r="D7" s="58" t="s">
        <v>16</v>
      </c>
      <c r="E7" s="58" t="s">
        <v>55</v>
      </c>
      <c r="F7" s="58" t="s">
        <v>57</v>
      </c>
      <c r="G7" s="59">
        <v>20.0</v>
      </c>
      <c r="H7" s="59">
        <v>20.0</v>
      </c>
      <c r="I7" s="59"/>
      <c r="J7" s="8"/>
      <c r="K7" s="59">
        <v>250.0</v>
      </c>
      <c r="L7" s="59"/>
      <c r="M7" s="59"/>
      <c r="N7" s="8"/>
      <c r="O7" s="59"/>
      <c r="R7" s="59"/>
    </row>
    <row r="8" ht="15.75" customHeight="1">
      <c r="A8" s="8"/>
      <c r="B8" s="8"/>
      <c r="C8" s="58" t="s">
        <v>18</v>
      </c>
      <c r="D8" s="58" t="s">
        <v>23</v>
      </c>
      <c r="E8" s="58" t="s">
        <v>58</v>
      </c>
      <c r="F8" s="58" t="s">
        <v>57</v>
      </c>
      <c r="G8" s="59">
        <v>20.0</v>
      </c>
      <c r="H8" s="59">
        <v>20.0</v>
      </c>
      <c r="I8" s="59"/>
      <c r="J8" s="8"/>
      <c r="K8" s="59">
        <v>100.0</v>
      </c>
      <c r="L8" s="59"/>
      <c r="M8" s="59"/>
      <c r="N8" s="8"/>
      <c r="O8" s="59"/>
      <c r="R8" s="59"/>
    </row>
    <row r="9" ht="15.75" customHeight="1">
      <c r="A9" s="8"/>
      <c r="B9" s="8"/>
      <c r="C9" s="58" t="s">
        <v>18</v>
      </c>
      <c r="D9" s="58" t="s">
        <v>25</v>
      </c>
      <c r="E9" s="58" t="s">
        <v>55</v>
      </c>
      <c r="F9" s="58" t="s">
        <v>57</v>
      </c>
      <c r="G9" s="59">
        <v>232.0</v>
      </c>
      <c r="H9" s="59">
        <v>232.0</v>
      </c>
      <c r="I9" s="59"/>
      <c r="J9" s="8"/>
      <c r="K9" s="59">
        <v>50.0</v>
      </c>
      <c r="L9" s="59"/>
      <c r="M9" s="59"/>
      <c r="N9" s="8"/>
      <c r="O9" s="59"/>
      <c r="R9" s="59"/>
    </row>
    <row r="10" ht="15.75" customHeight="1">
      <c r="A10" s="8"/>
      <c r="B10" s="8"/>
      <c r="C10" s="58" t="s">
        <v>18</v>
      </c>
      <c r="D10" s="58" t="s">
        <v>19</v>
      </c>
      <c r="E10" s="58" t="s">
        <v>55</v>
      </c>
      <c r="F10" s="58" t="s">
        <v>57</v>
      </c>
      <c r="G10" s="59">
        <v>20.0</v>
      </c>
      <c r="H10" s="59">
        <v>14.92</v>
      </c>
      <c r="I10" s="59"/>
      <c r="J10" s="8"/>
      <c r="K10" s="59">
        <v>100.0</v>
      </c>
      <c r="L10" s="59"/>
      <c r="M10" s="59"/>
      <c r="N10" s="8"/>
      <c r="O10" s="59"/>
      <c r="R10" s="59"/>
    </row>
    <row r="11" ht="15.75" customHeight="1">
      <c r="A11" s="8"/>
      <c r="B11" s="8"/>
      <c r="C11" s="58" t="s">
        <v>18</v>
      </c>
      <c r="D11" s="58" t="s">
        <v>24</v>
      </c>
      <c r="E11" s="58" t="s">
        <v>55</v>
      </c>
      <c r="F11" s="58" t="s">
        <v>57</v>
      </c>
      <c r="G11" s="59">
        <v>20.0</v>
      </c>
      <c r="H11" s="59">
        <v>20.0</v>
      </c>
      <c r="I11" s="59"/>
      <c r="J11" s="8"/>
      <c r="K11" s="59">
        <v>100.0</v>
      </c>
      <c r="L11" s="59"/>
      <c r="M11" s="59"/>
      <c r="N11" s="8"/>
      <c r="O11" s="59"/>
      <c r="R11" s="59"/>
    </row>
    <row r="12" ht="15.75" customHeight="1">
      <c r="A12" s="8"/>
      <c r="B12" s="8"/>
      <c r="C12" s="58" t="s">
        <v>18</v>
      </c>
      <c r="D12" s="58" t="s">
        <v>28</v>
      </c>
      <c r="E12" s="58" t="s">
        <v>55</v>
      </c>
      <c r="F12" s="58" t="s">
        <v>56</v>
      </c>
      <c r="G12" s="59">
        <v>0.0</v>
      </c>
      <c r="H12" s="59">
        <v>0.0</v>
      </c>
      <c r="I12" s="59"/>
      <c r="J12" s="8"/>
      <c r="K12" s="59">
        <v>33333.0</v>
      </c>
      <c r="L12" s="59"/>
      <c r="M12" s="59"/>
      <c r="N12" s="8"/>
      <c r="O12" s="59"/>
      <c r="R12" s="59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6"/>
      <c r="B6" s="46" t="s">
        <v>18</v>
      </c>
      <c r="C6" s="38" t="s">
        <v>17</v>
      </c>
      <c r="D6" s="46" t="s">
        <v>16</v>
      </c>
      <c r="E6">
        <v>125098.0</v>
      </c>
      <c r="F6" s="9">
        <v>20.0</v>
      </c>
      <c r="G6">
        <v>2501960.0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62</v>
      </c>
      <c r="B6" s="46"/>
      <c r="C6" s="38"/>
      <c r="D6" s="60">
        <v>20.0</v>
      </c>
      <c r="E6" s="38" t="s">
        <v>63</v>
      </c>
      <c r="F6" s="38"/>
      <c r="G6" s="38"/>
      <c r="H6" s="38" t="s">
        <v>64</v>
      </c>
      <c r="I6" s="38" t="s">
        <v>65</v>
      </c>
      <c r="J6" s="38" t="s">
        <v>16</v>
      </c>
      <c r="K6" s="38" t="s">
        <v>66</v>
      </c>
      <c r="L6" s="38" t="s">
        <v>67</v>
      </c>
      <c r="M6" s="38"/>
      <c r="N6" s="38"/>
      <c r="O6" s="38"/>
      <c r="P6" s="38"/>
      <c r="Q6" s="38"/>
      <c r="R6" s="38"/>
      <c r="S6" s="38"/>
      <c r="T6" s="38"/>
      <c r="U6" s="38" t="s">
        <v>35</v>
      </c>
      <c r="V6" s="38"/>
      <c r="W6" s="38"/>
      <c r="X6" s="38"/>
      <c r="Y6" s="38"/>
      <c r="Z6" s="38"/>
      <c r="AA6" s="38" t="s">
        <v>42</v>
      </c>
      <c r="AB6" s="38"/>
      <c r="AC6" s="38"/>
      <c r="AD6" s="61">
        <v>1.0</v>
      </c>
      <c r="AE6" s="38"/>
      <c r="AF6" s="38" t="s">
        <v>68</v>
      </c>
      <c r="AG6" s="38"/>
      <c r="AH6" s="38" t="s">
        <v>55</v>
      </c>
      <c r="AI6" s="38" t="s">
        <v>16</v>
      </c>
      <c r="AJ6" s="38" t="s">
        <v>17</v>
      </c>
      <c r="AK6" s="38" t="s">
        <v>69</v>
      </c>
      <c r="AL6">
        <v>125098.0</v>
      </c>
      <c r="AM6" s="38"/>
      <c r="AN6" s="38"/>
      <c r="AO6" s="38"/>
      <c r="AP6" s="38"/>
      <c r="AQ6" s="61">
        <v>20.0</v>
      </c>
      <c r="AR6" s="61">
        <v>20.0</v>
      </c>
      <c r="AS6" s="38" t="s">
        <v>70</v>
      </c>
      <c r="AT6" s="38" t="s">
        <v>18</v>
      </c>
      <c r="AU6" s="38" t="s">
        <v>71</v>
      </c>
      <c r="AV6" s="38"/>
      <c r="AW6" s="38"/>
      <c r="AX6" s="38" t="s">
        <v>72</v>
      </c>
      <c r="AY6" s="38"/>
      <c r="AZ6" s="38"/>
      <c r="BA6" s="38"/>
      <c r="BB6" s="38" t="s">
        <v>62</v>
      </c>
      <c r="BC6" s="38" t="s">
        <v>62</v>
      </c>
      <c r="BD6" s="38" t="s">
        <v>62</v>
      </c>
      <c r="BE6" s="38" t="s">
        <v>62</v>
      </c>
      <c r="BF6" s="38" t="s">
        <v>62</v>
      </c>
      <c r="BG6" s="38"/>
      <c r="BH6" s="38" t="s">
        <v>62</v>
      </c>
      <c r="BI6" s="38" t="s">
        <v>62</v>
      </c>
      <c r="BJ6" s="38" t="s">
        <v>62</v>
      </c>
      <c r="BK6" s="38" t="s">
        <v>62</v>
      </c>
      <c r="BL6" s="38" t="s">
        <v>62</v>
      </c>
      <c r="BM6" s="38" t="s">
        <v>62</v>
      </c>
      <c r="BN6" s="38" t="s">
        <v>62</v>
      </c>
      <c r="BO6" s="38" t="s">
        <v>62</v>
      </c>
      <c r="BP6" s="38" t="s">
        <v>62</v>
      </c>
      <c r="BQ6" s="38" t="s">
        <v>62</v>
      </c>
      <c r="BR6" s="38" t="s">
        <v>62</v>
      </c>
      <c r="BS6" s="38" t="s">
        <v>62</v>
      </c>
      <c r="BT6" s="38" t="s">
        <v>62</v>
      </c>
      <c r="BU6" s="38" t="s">
        <v>62</v>
      </c>
      <c r="BV6" s="38" t="s">
        <v>62</v>
      </c>
      <c r="BW6" s="38" t="s">
        <v>62</v>
      </c>
      <c r="BX6" s="38" t="s">
        <v>62</v>
      </c>
      <c r="BY6" s="38" t="s">
        <v>62</v>
      </c>
      <c r="BZ6" s="38" t="s">
        <v>62</v>
      </c>
      <c r="CA6" s="38" t="s">
        <v>62</v>
      </c>
      <c r="CB6" s="38" t="s">
        <v>62</v>
      </c>
      <c r="CC6" s="38" t="s">
        <v>62</v>
      </c>
      <c r="CD6" s="38" t="s">
        <v>62</v>
      </c>
      <c r="CE6" s="38" t="s">
        <v>62</v>
      </c>
      <c r="CF6" s="38" t="s">
        <v>62</v>
      </c>
      <c r="CG6" s="38" t="s">
        <v>62</v>
      </c>
      <c r="CH6" s="38" t="s">
        <v>62</v>
      </c>
      <c r="CI6" s="38" t="s">
        <v>62</v>
      </c>
      <c r="CJ6" s="38" t="s">
        <v>62</v>
      </c>
      <c r="CK6" s="38" t="s">
        <v>62</v>
      </c>
      <c r="CL6" s="38" t="s">
        <v>62</v>
      </c>
      <c r="CM6" s="38" t="s">
        <v>62</v>
      </c>
      <c r="CN6" s="38" t="s">
        <v>62</v>
      </c>
      <c r="CO6" s="38" t="s">
        <v>62</v>
      </c>
      <c r="CP6" s="38" t="s">
        <v>62</v>
      </c>
      <c r="CQ6" s="38" t="s">
        <v>62</v>
      </c>
      <c r="CR6" s="38" t="s">
        <v>62</v>
      </c>
      <c r="CS6" s="38" t="s">
        <v>62</v>
      </c>
      <c r="CT6" s="38" t="s">
        <v>62</v>
      </c>
      <c r="CU6" s="38" t="s">
        <v>62</v>
      </c>
      <c r="CV6" s="38" t="s">
        <v>62</v>
      </c>
      <c r="CW6" s="38" t="s">
        <v>62</v>
      </c>
      <c r="CX6" s="38" t="s">
        <v>62</v>
      </c>
      <c r="CY6" s="38" t="s">
        <v>62</v>
      </c>
      <c r="CZ6" s="38" t="s">
        <v>62</v>
      </c>
      <c r="DA6" s="38" t="s">
        <v>62</v>
      </c>
      <c r="DB6" s="38" t="s">
        <v>62</v>
      </c>
      <c r="DC6" s="38" t="s">
        <v>62</v>
      </c>
      <c r="DD6" s="38" t="s">
        <v>62</v>
      </c>
      <c r="DE6" s="38" t="s">
        <v>62</v>
      </c>
      <c r="DF6" s="38" t="s">
        <v>62</v>
      </c>
      <c r="DG6" s="38" t="s">
        <v>62</v>
      </c>
      <c r="DH6" s="38" t="s">
        <v>62</v>
      </c>
      <c r="DI6" s="38" t="s">
        <v>62</v>
      </c>
      <c r="DJ6" s="38" t="s">
        <v>62</v>
      </c>
      <c r="DK6" s="38" t="s">
        <v>62</v>
      </c>
      <c r="DL6" s="38" t="s">
        <v>62</v>
      </c>
      <c r="DM6" s="38" t="s">
        <v>62</v>
      </c>
      <c r="DN6" s="38" t="s">
        <v>62</v>
      </c>
      <c r="DO6" s="38" t="s">
        <v>62</v>
      </c>
      <c r="DP6" s="38" t="s">
        <v>62</v>
      </c>
      <c r="DQ6" s="38" t="s">
        <v>62</v>
      </c>
      <c r="DR6" s="38" t="s">
        <v>62</v>
      </c>
      <c r="DS6" s="38" t="s">
        <v>62</v>
      </c>
      <c r="DT6" s="38" t="s">
        <v>62</v>
      </c>
      <c r="DU6" s="38" t="s">
        <v>62</v>
      </c>
      <c r="DV6" s="38" t="s">
        <v>62</v>
      </c>
      <c r="DW6" s="38" t="s">
        <v>62</v>
      </c>
      <c r="DX6" s="38" t="s">
        <v>62</v>
      </c>
      <c r="DY6" s="38" t="s">
        <v>62</v>
      </c>
      <c r="DZ6" s="38" t="s">
        <v>62</v>
      </c>
      <c r="EA6" s="38" t="s">
        <v>62</v>
      </c>
      <c r="EB6" s="38" t="s">
        <v>62</v>
      </c>
      <c r="EC6" s="38" t="s">
        <v>62</v>
      </c>
      <c r="ED6" s="38" t="s">
        <v>62</v>
      </c>
      <c r="EE6" s="38" t="s">
        <v>62</v>
      </c>
      <c r="EF6" s="38" t="s">
        <v>62</v>
      </c>
      <c r="EG6" s="38" t="s">
        <v>62</v>
      </c>
      <c r="EH6" s="38" t="s">
        <v>62</v>
      </c>
      <c r="EI6" s="38" t="s">
        <v>62</v>
      </c>
      <c r="EJ6" s="38" t="s">
        <v>62</v>
      </c>
      <c r="EK6" s="38" t="s">
        <v>62</v>
      </c>
      <c r="EL6" s="38" t="s">
        <v>62</v>
      </c>
      <c r="EM6" s="38" t="s">
        <v>62</v>
      </c>
      <c r="EN6" s="38" t="s">
        <v>62</v>
      </c>
      <c r="EO6" s="38" t="s">
        <v>62</v>
      </c>
      <c r="EP6" s="38" t="s">
        <v>62</v>
      </c>
      <c r="EQ6" s="38" t="s">
        <v>62</v>
      </c>
      <c r="ER6" s="38" t="s">
        <v>62</v>
      </c>
      <c r="ES6" s="38" t="s">
        <v>62</v>
      </c>
      <c r="ET6" s="38" t="s">
        <v>62</v>
      </c>
      <c r="EU6" s="38" t="s">
        <v>62</v>
      </c>
      <c r="EV6" s="38" t="s">
        <v>62</v>
      </c>
      <c r="EW6" s="38" t="s">
        <v>62</v>
      </c>
      <c r="EX6" s="38" t="s">
        <v>62</v>
      </c>
      <c r="EY6" s="38" t="s">
        <v>62</v>
      </c>
      <c r="EZ6" s="38" t="s">
        <v>62</v>
      </c>
      <c r="FA6" s="38" t="s">
        <v>62</v>
      </c>
      <c r="FB6" s="38" t="s">
        <v>62</v>
      </c>
      <c r="FC6" s="38" t="s">
        <v>62</v>
      </c>
      <c r="FD6" s="38" t="s">
        <v>62</v>
      </c>
      <c r="FE6" s="38" t="s">
        <v>62</v>
      </c>
      <c r="FF6" s="38" t="s">
        <v>62</v>
      </c>
      <c r="FG6" s="38" t="s">
        <v>62</v>
      </c>
      <c r="FH6" s="38" t="s">
        <v>62</v>
      </c>
      <c r="FI6" s="38" t="s">
        <v>62</v>
      </c>
      <c r="FJ6" s="38" t="s">
        <v>62</v>
      </c>
      <c r="FK6" s="38" t="s">
        <v>62</v>
      </c>
      <c r="FL6" s="38" t="s">
        <v>62</v>
      </c>
      <c r="FM6" s="38" t="s">
        <v>62</v>
      </c>
      <c r="FN6" s="38" t="s">
        <v>62</v>
      </c>
      <c r="FO6" s="38" t="s">
        <v>62</v>
      </c>
      <c r="FP6" s="38" t="s">
        <v>62</v>
      </c>
      <c r="FQ6" s="38" t="s">
        <v>62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