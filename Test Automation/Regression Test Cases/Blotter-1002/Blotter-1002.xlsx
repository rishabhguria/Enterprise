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TradeNewSubOrder" sheetId="5" r:id="rId7"/>
    <sheet state="visible" name="CustomOrderTT1" sheetId="6" r:id="rId8"/>
    <sheet state="visible" name="VerifyOrder" sheetId="7" r:id="rId9"/>
    <sheet state="visible" name="SelectTradeOnOrderGrid" sheetId="8" r:id="rId10"/>
    <sheet state="visible" name="VerifySubOrder" sheetId="9" r:id="rId11"/>
    <sheet state="visible" name="VerifyWorkingSubs" sheetId="10" r:id="rId12"/>
  </sheets>
  <definedNames/>
  <calcPr/>
</workbook>
</file>

<file path=xl/sharedStrings.xml><?xml version="1.0" encoding="utf-8"?>
<sst xmlns="http://schemas.openxmlformats.org/spreadsheetml/2006/main" count="175" uniqueCount="106">
  <si>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</si>
  <si>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</si>
  <si>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</si>
  <si>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</si>
  <si>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</si>
  <si>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</si>
  <si>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</si>
  <si>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</si>
  <si>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</si>
  <si>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</si>
  <si>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</si>
  <si>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</si>
  <si>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</si>
  <si>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</si>
  <si>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</si>
  <si>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</si>
  <si>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</si>
  <si>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CreateOrder</t>
  </si>
  <si>
    <t>Buy</t>
  </si>
  <si>
    <t>S1</t>
  </si>
  <si>
    <t>Blotter</t>
  </si>
  <si>
    <t>TradeNewSubOrder</t>
  </si>
  <si>
    <t>DoneAway</t>
  </si>
  <si>
    <t>VerifyOrder</t>
  </si>
  <si>
    <t>Transaction Time</t>
  </si>
  <si>
    <t>Algo</t>
  </si>
  <si>
    <t>Avg Fill Price (Base)</t>
  </si>
  <si>
    <t>Bloomberg Symbol</t>
  </si>
  <si>
    <t>Limit Price</t>
  </si>
  <si>
    <t>Working Qty</t>
  </si>
  <si>
    <t>Venue</t>
  </si>
  <si>
    <t>Current 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</si>
  <si>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</si>
  <si>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</si>
  <si>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</si>
  <si>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</si>
  <si>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</si>
  <si>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</si>
  <si>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</si>
  <si>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</si>
  <si>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</si>
  <si>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</si>
  <si>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</si>
  <si>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</si>
  <si>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</si>
  <si>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</si>
  <si>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</si>
  <si>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</si>
  <si>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</si>
  <si>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</si>
  <si>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</si>
  <si>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</si>
  <si>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</si>
  <si>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</si>
  <si>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</si>
  <si>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</si>
  <si>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</si>
  <si>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Symbol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</si>
  <si>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</si>
  <si>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</si>
  <si>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</si>
  <si>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</si>
  <si>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</si>
  <si>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</si>
  <si>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</si>
  <si>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</si>
  <si>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</si>
  <si>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Broker</t>
  </si>
  <si>
    <t>Account</t>
  </si>
  <si>
    <t>Order Type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</si>
  <si>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</si>
  <si>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</si>
  <si>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</si>
  <si>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</si>
  <si>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</si>
  <si>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</si>
  <si>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</si>
  <si>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</si>
  <si>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</si>
  <si>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</si>
  <si>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</si>
  <si>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</si>
  <si>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TIF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</si>
  <si>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</si>
  <si>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</si>
  <si>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</si>
  <si>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</si>
  <si>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</si>
  <si>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</si>
  <si>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</si>
  <si>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Expiry Date</t>
  </si>
  <si>
    <t>Strategy</t>
  </si>
  <si>
    <t>AAPL US EQUITY</t>
  </si>
  <si>
    <t>Samsara</t>
  </si>
  <si>
    <t>GCCAP1</t>
  </si>
  <si>
    <t>Equity</t>
  </si>
  <si>
    <t>Filled</t>
  </si>
  <si>
    <t>Allocation1</t>
  </si>
  <si>
    <t>Market</t>
  </si>
  <si>
    <t>Manual</t>
  </si>
  <si>
    <t>Day</t>
  </si>
  <si>
    <t>SelectTradeOnOrderGrid</t>
  </si>
  <si>
    <t>VerifySubOrder</t>
  </si>
  <si>
    <t>NASDAQ</t>
  </si>
  <si>
    <t>MS</t>
  </si>
  <si>
    <t>VerifyWorkingSubs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</si>
</sst>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5" fontId="11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>
        <v>10.0</v>
      </c>
      <c r="E6" s="13" t="s">
        <v>17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  <c r="AY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13" t="s">
        <v>22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8" t="s">
        <v>24</v>
      </c>
      <c r="C5" s="28" t="s">
        <v>25</v>
      </c>
      <c r="D5" s="28" t="s">
        <v>26</v>
      </c>
      <c r="E5" s="28" t="s">
        <v>27</v>
      </c>
      <c r="F5" s="29" t="s">
        <v>28</v>
      </c>
      <c r="G5" s="28" t="s">
        <v>29</v>
      </c>
      <c r="H5" s="28" t="s">
        <v>30</v>
      </c>
      <c r="I5" s="28" t="s">
        <v>31</v>
      </c>
      <c r="J5" s="28" t="s">
        <v>32</v>
      </c>
      <c r="K5" s="28" t="s">
        <v>33</v>
      </c>
      <c r="L5" s="28" t="s">
        <v>34</v>
      </c>
      <c r="M5" s="28" t="s">
        <v>35</v>
      </c>
      <c r="N5" s="28" t="s">
        <v>36</v>
      </c>
      <c r="O5" s="28" t="s">
        <v>37</v>
      </c>
      <c r="P5" s="28" t="s">
        <v>38</v>
      </c>
      <c r="Q5" s="28" t="s">
        <v>39</v>
      </c>
      <c r="R5" s="28" t="s">
        <v>40</v>
      </c>
      <c r="S5" s="28" t="s">
        <v>41</v>
      </c>
      <c r="T5" s="30" t="s">
        <v>42</v>
      </c>
      <c r="U5" s="30" t="s">
        <v>43</v>
      </c>
      <c r="V5" s="30" t="s">
        <v>44</v>
      </c>
      <c r="W5" s="30" t="s">
        <v>45</v>
      </c>
      <c r="X5" s="30" t="s">
        <v>46</v>
      </c>
      <c r="Y5" s="30" t="s">
        <v>47</v>
      </c>
      <c r="Z5" s="30" t="s">
        <v>48</v>
      </c>
      <c r="AA5" s="30" t="s">
        <v>49</v>
      </c>
      <c r="AB5" s="30" t="s">
        <v>50</v>
      </c>
      <c r="AC5" s="30" t="s">
        <v>51</v>
      </c>
      <c r="AD5" s="30" t="s">
        <v>52</v>
      </c>
      <c r="AE5" s="30" t="s">
        <v>53</v>
      </c>
      <c r="AF5" s="30" t="s">
        <v>54</v>
      </c>
      <c r="AG5" s="30" t="s">
        <v>55</v>
      </c>
      <c r="AH5" s="30" t="s">
        <v>56</v>
      </c>
      <c r="AI5" s="30" t="s">
        <v>57</v>
      </c>
      <c r="AJ5" s="30" t="s">
        <v>58</v>
      </c>
      <c r="AK5" s="30" t="s">
        <v>59</v>
      </c>
      <c r="AL5" s="30" t="s">
        <v>60</v>
      </c>
      <c r="AM5" s="30" t="s">
        <v>61</v>
      </c>
      <c r="AN5" s="30" t="s">
        <v>62</v>
      </c>
      <c r="AO5" s="30" t="s">
        <v>63</v>
      </c>
      <c r="AP5" s="30" t="s">
        <v>64</v>
      </c>
      <c r="AQ5" s="30" t="s">
        <v>65</v>
      </c>
      <c r="AR5" s="30" t="s">
        <v>66</v>
      </c>
      <c r="AS5" s="30" t="s">
        <v>67</v>
      </c>
      <c r="AT5" s="30" t="s">
        <v>68</v>
      </c>
      <c r="AU5" s="30" t="s">
        <v>69</v>
      </c>
      <c r="AV5" s="30" t="s">
        <v>70</v>
      </c>
      <c r="AW5" s="30" t="s">
        <v>71</v>
      </c>
      <c r="AX5" s="30" t="s">
        <v>72</v>
      </c>
      <c r="AY5" s="30" t="s">
        <v>73</v>
      </c>
      <c r="AZ5" s="30" t="s">
        <v>74</v>
      </c>
      <c r="BA5" s="30" t="s">
        <v>75</v>
      </c>
      <c r="BB5" s="30" t="s">
        <v>76</v>
      </c>
      <c r="BC5" s="30" t="s">
        <v>77</v>
      </c>
      <c r="BD5" s="30" t="s">
        <v>78</v>
      </c>
      <c r="BE5" s="30" t="s">
        <v>79</v>
      </c>
      <c r="BF5" s="30" t="s">
        <v>80</v>
      </c>
      <c r="BG5" s="30" t="s">
        <v>81</v>
      </c>
      <c r="BH5" s="30" t="s">
        <v>82</v>
      </c>
      <c r="BI5" s="30" t="s">
        <v>83</v>
      </c>
      <c r="BJ5" s="30" t="s">
        <v>84</v>
      </c>
      <c r="BK5" s="30" t="s">
        <v>85</v>
      </c>
      <c r="BL5" s="30" t="s">
        <v>86</v>
      </c>
      <c r="BM5" s="30" t="s">
        <v>87</v>
      </c>
      <c r="BN5" s="30" t="s">
        <v>88</v>
      </c>
      <c r="BO5" s="30" t="s">
        <v>89</v>
      </c>
      <c r="BP5" s="30" t="s">
        <v>90</v>
      </c>
      <c r="BQ5" s="32" t="s">
        <v>91</v>
      </c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4"/>
      <c r="D6" s="35">
        <v>10.0</v>
      </c>
      <c r="E6" s="36" t="s">
        <v>92</v>
      </c>
      <c r="F6" s="34"/>
      <c r="G6" s="34"/>
      <c r="H6" s="36"/>
      <c r="I6" s="37" t="s">
        <v>93</v>
      </c>
      <c r="J6" s="34"/>
      <c r="K6" s="34"/>
      <c r="L6" s="36" t="s">
        <v>94</v>
      </c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8">
        <v>10.0</v>
      </c>
      <c r="AH6" s="34" t="s">
        <v>95</v>
      </c>
      <c r="AI6" s="34" t="s">
        <v>16</v>
      </c>
      <c r="AJ6" s="34" t="s">
        <v>18</v>
      </c>
      <c r="AK6" s="34" t="s">
        <v>96</v>
      </c>
      <c r="AL6" s="39">
        <v>100.0</v>
      </c>
      <c r="AM6" s="39">
        <v>100.0</v>
      </c>
      <c r="AN6" s="39">
        <v>100.0</v>
      </c>
      <c r="AO6" s="34"/>
      <c r="AP6" s="34"/>
      <c r="AS6" s="34"/>
      <c r="AT6" s="34" t="s">
        <v>97</v>
      </c>
      <c r="AU6" s="34" t="s">
        <v>98</v>
      </c>
      <c r="AV6" s="40">
        <v>1000.0</v>
      </c>
      <c r="AW6" s="40">
        <v>1000.0</v>
      </c>
      <c r="AX6" s="40" t="s">
        <v>99</v>
      </c>
      <c r="AY6" s="34"/>
      <c r="AZ6" s="34"/>
      <c r="BA6" s="40" t="s">
        <v>93</v>
      </c>
      <c r="BB6" s="34"/>
      <c r="BC6" s="34"/>
      <c r="BD6" s="34"/>
      <c r="BE6" s="34"/>
      <c r="BF6" s="34"/>
      <c r="BG6" s="34"/>
      <c r="BH6" s="40" t="s">
        <v>100</v>
      </c>
      <c r="BI6" s="34"/>
      <c r="BJ6" s="34"/>
      <c r="BK6" s="34"/>
      <c r="BL6" s="34"/>
      <c r="BM6" s="34"/>
      <c r="BN6" s="34"/>
      <c r="BO6" s="34"/>
      <c r="BP6" s="34"/>
      <c r="BQ6" s="40" t="s">
        <v>19</v>
      </c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101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102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4"/>
      <c r="D6" s="35">
        <v>10.0</v>
      </c>
      <c r="E6" s="36" t="s">
        <v>92</v>
      </c>
      <c r="F6" s="34"/>
      <c r="G6" s="34"/>
      <c r="H6" s="36" t="s">
        <v>103</v>
      </c>
      <c r="I6" s="37" t="s">
        <v>93</v>
      </c>
      <c r="J6" s="34"/>
      <c r="K6" s="34"/>
      <c r="L6" s="36" t="s">
        <v>94</v>
      </c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8">
        <v>10.0</v>
      </c>
      <c r="AH6" s="34" t="s">
        <v>95</v>
      </c>
      <c r="AI6" s="34" t="s">
        <v>16</v>
      </c>
      <c r="AJ6" s="34" t="s">
        <v>18</v>
      </c>
      <c r="AK6" s="34" t="s">
        <v>96</v>
      </c>
      <c r="AL6" s="39">
        <v>100.0</v>
      </c>
      <c r="AM6" s="39">
        <v>100.0</v>
      </c>
      <c r="AN6" s="39">
        <v>100.0</v>
      </c>
      <c r="AO6" s="34"/>
      <c r="AP6" s="34"/>
      <c r="AQ6" s="34" t="s">
        <v>104</v>
      </c>
      <c r="AR6" s="34" t="s">
        <v>97</v>
      </c>
      <c r="AS6" s="34" t="s">
        <v>98</v>
      </c>
      <c r="AT6" s="34"/>
      <c r="AU6" s="34"/>
      <c r="AV6" s="34"/>
      <c r="AW6" s="34" t="s">
        <v>96</v>
      </c>
      <c r="AX6" s="34"/>
      <c r="AY6" s="40" t="s">
        <v>19</v>
      </c>
      <c r="AZ6" s="40" t="s">
        <v>93</v>
      </c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20" width="12.63"/>
    <col customWidth="1" min="21" max="21" width="19.13"/>
    <col customWidth="1" min="2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105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IFERROR(__xludf.DUMMYFUNCTION("""COMPUTED_VALUE"""),"% Completed")</f>
        <v>% Completed</v>
      </c>
      <c r="BD5" s="30" t="str">
        <f>IFERROR(__xludf.DUMMYFUNCTION("""COMPUTED_VALUE"""),"isRowCountCheck")</f>
        <v>isRowCountCheck</v>
      </c>
      <c r="BE5" s="30" t="str">
        <f>IFERROR(__xludf.DUMMYFUNCTION("""COMPUTED_VALUE"""),"MandatoryColumn")</f>
        <v>MandatoryColumn</v>
      </c>
      <c r="BF5" s="30" t="str">
        <f>IFERROR(__xludf.DUMMYFUNCTION("""COMPUTED_VALUE"""),"Testing Type")</f>
        <v>Testing Type</v>
      </c>
      <c r="BG5" s="30" t="str">
        <f>IFERROR(__xludf.DUMMYFUNCTION("""COMPUTED_VALUE"""),"Testing Column")</f>
        <v>Testing Column</v>
      </c>
      <c r="BH5" s="30" t="str">
        <f>IFERROR(__xludf.DUMMYFUNCTION("""COMPUTED_VALUE"""),"Testing Col Value")</f>
        <v>Testing Col Value</v>
      </c>
      <c r="BI5" s="30" t="str">
        <f>IFERROR(__xludf.DUMMYFUNCTION("""COMPUTED_VALUE"""),"DuplicateRow")</f>
        <v>DuplicateRow</v>
      </c>
      <c r="BJ5" s="30" t="str">
        <f>IFERROR(__xludf.DUMMYFUNCTION("""COMPUTED_VALUE"""),"DuplicateCountOnUI")</f>
        <v>DuplicateCountOnUI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>
        <v>100.0</v>
      </c>
      <c r="E6" s="13">
        <v>100.0</v>
      </c>
      <c r="F6" s="8"/>
      <c r="G6" s="13" t="s">
        <v>96</v>
      </c>
      <c r="H6" s="8"/>
      <c r="I6" s="8"/>
      <c r="J6" s="8"/>
      <c r="K6" s="13"/>
      <c r="L6" s="13" t="s">
        <v>97</v>
      </c>
      <c r="M6" s="13" t="s">
        <v>98</v>
      </c>
      <c r="N6" s="8"/>
      <c r="O6" s="13">
        <v>10.0</v>
      </c>
      <c r="R6" s="9" t="s">
        <v>93</v>
      </c>
      <c r="S6" s="36" t="s">
        <v>92</v>
      </c>
      <c r="U6" s="9" t="s">
        <v>99</v>
      </c>
      <c r="W6" s="9" t="s">
        <v>95</v>
      </c>
      <c r="AJ6" s="9" t="s">
        <v>19</v>
      </c>
      <c r="AR6" s="36" t="s">
        <v>94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