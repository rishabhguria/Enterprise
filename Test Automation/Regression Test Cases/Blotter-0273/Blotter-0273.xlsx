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eAttributePreferenc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AllocatedGroups" sheetId="8" r:id="rId10"/>
    <sheet state="visible" name="GetDataAllocation1" sheetId="9" r:id="rId11"/>
    <sheet state="visible" name="SelectAllocatedGroup" sheetId="10" r:id="rId12"/>
    <sheet state="visible" name="TradeAttributeBulkChangeGroups" sheetId="11" r:id="rId13"/>
    <sheet state="visible" name="VerifyOrder1" sheetId="12" r:id="rId14"/>
    <sheet state="visible" name="VerifyWorkingSubs" sheetId="13" r:id="rId15"/>
    <sheet state="visible" name="CheckAllocatedGroups1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<sst xmlns="http://schemas.openxmlformats.org/spreadsheetml/2006/main" count="246" uniqueCount="67">
  <si>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</si>
  <si>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</si>
  <si>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</si>
  <si>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</si>
  <si>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</si>
  <si>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</si>
  <si>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</si>
  <si>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</si>
  <si>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</si>
  <si>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</si>
  <si>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</si>
  <si>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</si>
  <si>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</si>
  <si>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</si>
  <si>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</si>
  <si>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</si>
  <si>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</si>
  <si>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TA1,TA2</t>
  </si>
  <si>
    <t>TradingTicket</t>
  </si>
  <si>
    <t>CreateDoneAwayOrder</t>
  </si>
  <si>
    <t>MSFT</t>
  </si>
  <si>
    <t>Buy</t>
  </si>
  <si>
    <t>Allocation1</t>
  </si>
  <si>
    <t>MS</t>
  </si>
  <si>
    <t>TA1</t>
  </si>
  <si>
    <t>Blotter</t>
  </si>
  <si>
    <t>VerifyOrder</t>
  </si>
  <si>
    <t>NASDAQ</t>
  </si>
  <si>
    <t>NewMF</t>
  </si>
  <si>
    <t>M</t>
  </si>
  <si>
    <t>Equity</t>
  </si>
  <si>
    <t>Filled</t>
  </si>
  <si>
    <t>Market</t>
  </si>
  <si>
    <t>GetDataAllocation</t>
  </si>
  <si>
    <t>Current</t>
  </si>
  <si>
    <t>CheckAllocatedGroups</t>
  </si>
  <si>
    <t>Manual</t>
  </si>
  <si>
    <t>MSFT US EQUITY</t>
  </si>
  <si>
    <t>Open</t>
  </si>
  <si>
    <t>MICROSOFT INC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</si>
  <si>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</si>
  <si>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</si>
  <si>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</si>
  <si>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</si>
  <si>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</si>
  <si>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</si>
  <si>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</si>
  <si>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</si>
  <si>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</si>
  <si>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</si>
  <si>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SelectAllocatedGroup</t>
  </si>
  <si>
    <t>TradeAttributeBulkChangeGroups</t>
  </si>
  <si>
    <t>TA2</t>
  </si>
  <si>
    <t>VerifyWorkingSubs</t>
  </si>
  <si>
    <t>PortfolioManagement</t>
  </si>
  <si>
    <t>CheckPortfolioManagement</t>
  </si>
  <si>
    <t>Long</t>
  </si>
  <si>
    <t>Undefined</t>
  </si>
  <si>
    <t>FIMAT</t>
  </si>
  <si>
    <t>Equity General</t>
  </si>
  <si>
    <t>Information Technology</t>
  </si>
  <si>
    <t>Copper</t>
  </si>
  <si>
    <t>Default</t>
  </si>
  <si>
    <t>MSFT.O</t>
  </si>
  <si>
    <t>UNITED STATES</t>
  </si>
  <si>
    <t>MSFT UDA1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</si>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</sst>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IFERROR(__xludf.DUMMYFUNCTION("""COMPUTED_VALUE"""),"AttributeValue")</f>
        <v>AttributeValue</v>
      </c>
      <c r="C5" s="28" t="str">
        <f>IFERROR(__xludf.DUMMYFUNCTION("""COMPUTED_VALUE"""),"AttributeName")</f>
        <v>AttributeName</v>
      </c>
      <c r="D5" s="28" t="str">
        <f>IFERROR(__xludf.DUMMYFUNCTION("""COMPUTED_VALUE"""),"KeepRecord")</f>
        <v>KeepRecord</v>
      </c>
      <c r="E5" s="28" t="str">
        <f>IFERROR(__xludf.DUMMYFUNCTION("""COMPUTED_VALUE"""),"DefaultValues")</f>
        <v>DefaultValues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/>
      <c r="D6" s="33" t="b">
        <v>1</v>
      </c>
      <c r="E6" s="34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SetTradeAttributePreferences!$4:$4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1000.0</v>
      </c>
      <c r="E6" s="13">
        <v>1000.0</v>
      </c>
      <c r="F6" s="13" t="s">
        <v>22</v>
      </c>
      <c r="G6" s="13" t="s">
        <v>23</v>
      </c>
      <c r="H6" s="8"/>
      <c r="I6" s="8"/>
      <c r="J6" s="13">
        <v>1.0</v>
      </c>
      <c r="K6" s="8"/>
      <c r="L6" s="8"/>
      <c r="M6" s="8"/>
      <c r="N6" s="35">
        <f>Today()</f>
        <v>44973</v>
      </c>
      <c r="O6" s="8"/>
      <c r="V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6"/>
      <c r="F6" s="8"/>
      <c r="G6" s="8"/>
      <c r="H6" s="13" t="s">
        <v>27</v>
      </c>
      <c r="I6" s="8"/>
      <c r="J6" s="8"/>
      <c r="K6" s="8"/>
      <c r="L6" s="8"/>
      <c r="M6" s="8"/>
      <c r="N6" s="8"/>
      <c r="O6" s="8"/>
      <c r="Q6" s="9" t="s">
        <v>24</v>
      </c>
      <c r="AA6" s="9" t="s">
        <v>28</v>
      </c>
      <c r="AB6" s="9">
        <v>1000.0</v>
      </c>
      <c r="AD6" s="9">
        <v>1.0</v>
      </c>
      <c r="AF6" s="9" t="s">
        <v>29</v>
      </c>
      <c r="AG6" s="9">
        <v>1.0</v>
      </c>
      <c r="AH6" s="9" t="s">
        <v>30</v>
      </c>
      <c r="AI6" s="9" t="s">
        <v>20</v>
      </c>
      <c r="AJ6" s="9" t="s">
        <v>21</v>
      </c>
      <c r="AK6" s="9" t="s">
        <v>31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23</v>
      </c>
      <c r="AT6" s="9" t="s">
        <v>22</v>
      </c>
      <c r="AU6" s="9" t="s">
        <v>32</v>
      </c>
      <c r="AV6" s="9">
        <v>1000.0</v>
      </c>
      <c r="AW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22</v>
      </c>
      <c r="C6" s="37"/>
      <c r="D6" s="38">
        <v>0.0</v>
      </c>
      <c r="E6" s="39">
        <v>1000.0</v>
      </c>
      <c r="F6" s="37" t="s">
        <v>36</v>
      </c>
      <c r="G6" s="37" t="s">
        <v>30</v>
      </c>
      <c r="H6" s="38">
        <v>4.0</v>
      </c>
      <c r="I6" s="38">
        <v>5.0</v>
      </c>
      <c r="J6" s="38">
        <v>1.0</v>
      </c>
      <c r="K6" s="38">
        <v>1.0</v>
      </c>
      <c r="L6" s="38">
        <v>1.0</v>
      </c>
      <c r="M6" s="37" t="s">
        <v>37</v>
      </c>
      <c r="N6" s="37"/>
      <c r="O6" s="37" t="s">
        <v>23</v>
      </c>
      <c r="P6" s="40"/>
      <c r="Q6" s="38">
        <v>3.0</v>
      </c>
      <c r="R6" s="38">
        <v>0.0</v>
      </c>
      <c r="S6" s="37" t="s">
        <v>38</v>
      </c>
      <c r="T6" s="38">
        <v>0.0</v>
      </c>
      <c r="U6" s="38">
        <v>0.0</v>
      </c>
      <c r="V6" s="37" t="s">
        <v>39</v>
      </c>
      <c r="W6" s="38">
        <v>1.0</v>
      </c>
      <c r="X6" s="38"/>
      <c r="Y6" s="40"/>
      <c r="Z6" s="37" t="s">
        <v>40</v>
      </c>
      <c r="AA6" s="37"/>
      <c r="AB6" s="38">
        <v>1.0</v>
      </c>
      <c r="AC6" s="37" t="s">
        <v>41</v>
      </c>
      <c r="AD6" s="37" t="s">
        <v>27</v>
      </c>
      <c r="AE6" s="39">
        <v>1000.0</v>
      </c>
      <c r="AF6" s="41"/>
      <c r="AG6" s="41"/>
      <c r="AH6" s="37" t="s">
        <v>29</v>
      </c>
      <c r="AI6" s="38">
        <v>1.0</v>
      </c>
      <c r="AJ6" s="37" t="s">
        <v>42</v>
      </c>
      <c r="AK6" s="40"/>
      <c r="AL6" s="40"/>
      <c r="AM6" s="37" t="s">
        <v>43</v>
      </c>
      <c r="AN6" s="37" t="b">
        <v>0</v>
      </c>
      <c r="AO6" s="37"/>
      <c r="AP6" s="37" t="b">
        <v>1</v>
      </c>
      <c r="AQ6" s="37" t="b">
        <v>0</v>
      </c>
      <c r="AR6" s="37" t="b">
        <v>1</v>
      </c>
      <c r="AS6" s="38">
        <v>0.0</v>
      </c>
      <c r="AT6" s="39">
        <v>1014.0006</v>
      </c>
      <c r="AU6" s="39">
        <v>1014.0006</v>
      </c>
      <c r="AV6" s="42"/>
      <c r="AW6" s="38">
        <v>0.0</v>
      </c>
      <c r="AX6" s="38">
        <v>0.0</v>
      </c>
      <c r="AY6" s="37" t="s">
        <v>32</v>
      </c>
      <c r="AZ6" s="38">
        <v>0.0</v>
      </c>
      <c r="BA6" s="42"/>
      <c r="BB6" s="40"/>
      <c r="BC6" s="38">
        <v>0.0</v>
      </c>
      <c r="BD6" s="37" t="s">
        <v>44</v>
      </c>
      <c r="BE6" s="39">
        <v>1000.0</v>
      </c>
      <c r="BF6" s="39">
        <v>1000.0</v>
      </c>
      <c r="BG6" s="42"/>
      <c r="BH6" s="40"/>
      <c r="BI6" s="40"/>
      <c r="BJ6" s="39">
        <v>1000.0</v>
      </c>
      <c r="BK6" s="38">
        <v>0.0</v>
      </c>
      <c r="BL6" s="37"/>
      <c r="BM6" s="37" t="s">
        <v>40</v>
      </c>
      <c r="BN6" s="42"/>
      <c r="BO6" s="37" t="s">
        <v>21</v>
      </c>
      <c r="BP6" s="38">
        <v>0.0</v>
      </c>
      <c r="BQ6" s="38">
        <v>0.0</v>
      </c>
      <c r="BR6" s="38">
        <v>6.0E-4</v>
      </c>
      <c r="BS6" s="37" t="s">
        <v>45</v>
      </c>
      <c r="BT6" s="37" t="s">
        <v>20</v>
      </c>
      <c r="BU6" s="38">
        <v>3.0</v>
      </c>
      <c r="BV6" s="38">
        <v>0.0</v>
      </c>
      <c r="BW6" s="38">
        <v>14.0006</v>
      </c>
      <c r="BX6" s="38">
        <v>0.0</v>
      </c>
      <c r="BY6" s="37" t="s">
        <v>24</v>
      </c>
      <c r="BZ6" s="40"/>
      <c r="CA6" s="40"/>
      <c r="CB6" s="40"/>
      <c r="CC6" s="40"/>
      <c r="CD6" s="40"/>
      <c r="CE6" s="42"/>
      <c r="CF6" s="37" t="s">
        <v>46</v>
      </c>
      <c r="CG6" s="38">
        <v>2.0</v>
      </c>
      <c r="CH6" s="37" t="s">
        <v>18</v>
      </c>
      <c r="CI6" s="37" t="s">
        <v>21</v>
      </c>
      <c r="CJ6" s="38">
        <v>0.0</v>
      </c>
      <c r="CK6" s="37" t="s">
        <v>47</v>
      </c>
      <c r="CL6" s="38">
        <v>1.0</v>
      </c>
      <c r="CM6" s="37" t="s">
        <v>20</v>
      </c>
      <c r="CN6" s="37" t="s">
        <v>48</v>
      </c>
      <c r="CO6" s="37" t="s">
        <v>27</v>
      </c>
      <c r="CP6" s="37" t="s">
        <v>49</v>
      </c>
      <c r="CQ6" s="41"/>
      <c r="CR6" s="38"/>
      <c r="CS6" s="40"/>
      <c r="CT6" s="40"/>
      <c r="CU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1000.0</v>
      </c>
      <c r="D6" s="13"/>
      <c r="E6" s="13" t="s">
        <v>22</v>
      </c>
      <c r="F6" s="13" t="s">
        <v>21</v>
      </c>
      <c r="G6" s="8"/>
      <c r="H6" s="8"/>
      <c r="I6" s="8"/>
      <c r="J6" s="13" t="s">
        <v>24</v>
      </c>
      <c r="K6" s="13">
        <v>1.0</v>
      </c>
      <c r="L6" s="8"/>
      <c r="M6" s="8"/>
      <c r="N6" s="8"/>
      <c r="O6" s="8"/>
      <c r="P6" s="9" t="s">
        <v>23</v>
      </c>
      <c r="AJ6" s="9">
        <v>1.0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IFERROR(__xludf.DUMMYFUNCTION("""COMPUTED_VALUE"""),"TradeAttribute1")</f>
        <v>TradeAttribute1</v>
      </c>
      <c r="C5" s="28" t="str">
        <f>IFERROR(__xludf.DUMMYFUNCTION("""COMPUTED_VALUE"""),"TradeAttribute2")</f>
        <v>TradeAttribute2</v>
      </c>
      <c r="D5" s="28" t="str">
        <f>IFERROR(__xludf.DUMMYFUNCTION("""COMPUTED_VALUE"""),"TradeAttribute3")</f>
        <v>TradeAttribute3</v>
      </c>
      <c r="E5" s="28" t="str">
        <f>IFERROR(__xludf.DUMMYFUNCTION("""COMPUTED_VALUE"""),"TradeAttribute4")</f>
        <v>TradeAttribute4</v>
      </c>
      <c r="F5" s="29" t="str">
        <f>IFERROR(__xludf.DUMMYFUNCTION("""COMPUTED_VALUE"""),"TradeAttribute5")</f>
        <v>TradeAttribute5</v>
      </c>
      <c r="G5" s="28" t="str">
        <f>IFERROR(__xludf.DUMMYFUNCTION("""COMPUTED_VALUE"""),"TradeAttribute6")</f>
        <v>TradeAttribute6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TradeAttributeBulkChangeGroups!$4:$4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6"/>
      <c r="F6" s="8"/>
      <c r="G6" s="8"/>
      <c r="H6" s="13" t="s">
        <v>27</v>
      </c>
      <c r="I6" s="8"/>
      <c r="J6" s="8"/>
      <c r="K6" s="8"/>
      <c r="L6" s="8"/>
      <c r="M6" s="8"/>
      <c r="N6" s="8"/>
      <c r="O6" s="8"/>
      <c r="Q6" s="9" t="s">
        <v>24</v>
      </c>
      <c r="AA6" s="9" t="s">
        <v>28</v>
      </c>
      <c r="AB6" s="9">
        <v>1000.0</v>
      </c>
      <c r="AD6" s="9">
        <v>1.0</v>
      </c>
      <c r="AF6" s="9" t="s">
        <v>29</v>
      </c>
      <c r="AG6" s="9">
        <v>1.0</v>
      </c>
      <c r="AH6" s="9" t="s">
        <v>30</v>
      </c>
      <c r="AI6" s="9" t="s">
        <v>20</v>
      </c>
      <c r="AJ6" s="9" t="s">
        <v>21</v>
      </c>
      <c r="AK6" s="9" t="s">
        <v>31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23</v>
      </c>
      <c r="AT6" s="9" t="s">
        <v>22</v>
      </c>
      <c r="AU6" s="9" t="s">
        <v>32</v>
      </c>
      <c r="AV6" s="9">
        <v>1000.0</v>
      </c>
      <c r="AW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1000.0</v>
      </c>
      <c r="E6" s="13">
        <v>1000.0</v>
      </c>
      <c r="F6" s="8"/>
      <c r="G6" s="13" t="s">
        <v>31</v>
      </c>
      <c r="H6" s="8"/>
      <c r="I6" s="13">
        <v>1.0</v>
      </c>
      <c r="J6" s="13">
        <v>1.0</v>
      </c>
      <c r="K6" s="13" t="s">
        <v>23</v>
      </c>
      <c r="L6" s="13" t="s">
        <v>22</v>
      </c>
      <c r="M6" s="13" t="s">
        <v>32</v>
      </c>
      <c r="N6" s="8"/>
      <c r="O6" s="13">
        <v>1.0</v>
      </c>
      <c r="W6" s="9" t="s">
        <v>30</v>
      </c>
      <c r="X6" s="9" t="s">
        <v>29</v>
      </c>
      <c r="Y6" s="9">
        <v>1.0</v>
      </c>
      <c r="AC6" s="9">
        <v>1000.0</v>
      </c>
      <c r="AD6" s="9">
        <v>1000.0</v>
      </c>
      <c r="AL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22</v>
      </c>
      <c r="C6" s="37"/>
      <c r="D6" s="38">
        <v>0.0</v>
      </c>
      <c r="E6" s="39">
        <v>1000.0</v>
      </c>
      <c r="F6" s="37" t="s">
        <v>36</v>
      </c>
      <c r="G6" s="37" t="s">
        <v>30</v>
      </c>
      <c r="H6" s="38">
        <v>4.0</v>
      </c>
      <c r="I6" s="38">
        <v>5.0</v>
      </c>
      <c r="J6" s="38">
        <v>1.0</v>
      </c>
      <c r="K6" s="38">
        <v>1.0</v>
      </c>
      <c r="L6" s="38">
        <v>1.0</v>
      </c>
      <c r="M6" s="37" t="s">
        <v>37</v>
      </c>
      <c r="N6" s="37"/>
      <c r="O6" s="37" t="s">
        <v>23</v>
      </c>
      <c r="P6" s="40"/>
      <c r="Q6" s="38">
        <v>3.0</v>
      </c>
      <c r="R6" s="38">
        <v>0.0</v>
      </c>
      <c r="S6" s="37" t="s">
        <v>38</v>
      </c>
      <c r="T6" s="38">
        <v>0.0</v>
      </c>
      <c r="U6" s="38">
        <v>0.0</v>
      </c>
      <c r="V6" s="37" t="s">
        <v>39</v>
      </c>
      <c r="W6" s="38">
        <v>1.0</v>
      </c>
      <c r="X6" s="38"/>
      <c r="Y6" s="40"/>
      <c r="Z6" s="37" t="s">
        <v>40</v>
      </c>
      <c r="AA6" s="37"/>
      <c r="AB6" s="38">
        <v>1.0</v>
      </c>
      <c r="AC6" s="37" t="s">
        <v>41</v>
      </c>
      <c r="AD6" s="37" t="s">
        <v>27</v>
      </c>
      <c r="AE6" s="39">
        <v>1000.0</v>
      </c>
      <c r="AF6" s="41"/>
      <c r="AG6" s="41"/>
      <c r="AH6" s="37" t="s">
        <v>29</v>
      </c>
      <c r="AI6" s="38">
        <v>1.0</v>
      </c>
      <c r="AJ6" s="37" t="s">
        <v>42</v>
      </c>
      <c r="AK6" s="40"/>
      <c r="AL6" s="40"/>
      <c r="AM6" s="37" t="s">
        <v>43</v>
      </c>
      <c r="AN6" s="37" t="b">
        <v>0</v>
      </c>
      <c r="AO6" s="37"/>
      <c r="AP6" s="37" t="b">
        <v>1</v>
      </c>
      <c r="AQ6" s="37" t="b">
        <v>0</v>
      </c>
      <c r="AR6" s="37" t="b">
        <v>1</v>
      </c>
      <c r="AS6" s="38">
        <v>0.0</v>
      </c>
      <c r="AT6" s="39">
        <v>1014.0006</v>
      </c>
      <c r="AU6" s="39">
        <v>1014.0006</v>
      </c>
      <c r="AV6" s="42"/>
      <c r="AW6" s="38">
        <v>0.0</v>
      </c>
      <c r="AX6" s="38">
        <v>0.0</v>
      </c>
      <c r="AY6" s="37" t="s">
        <v>32</v>
      </c>
      <c r="AZ6" s="38">
        <v>0.0</v>
      </c>
      <c r="BA6" s="42"/>
      <c r="BB6" s="40"/>
      <c r="BC6" s="38">
        <v>0.0</v>
      </c>
      <c r="BD6" s="37" t="s">
        <v>44</v>
      </c>
      <c r="BE6" s="39">
        <v>1000.0</v>
      </c>
      <c r="BF6" s="39">
        <v>1000.0</v>
      </c>
      <c r="BG6" s="42"/>
      <c r="BH6" s="40"/>
      <c r="BI6" s="40"/>
      <c r="BJ6" s="39">
        <v>1000.0</v>
      </c>
      <c r="BK6" s="38">
        <v>0.0</v>
      </c>
      <c r="BL6" s="37"/>
      <c r="BM6" s="37" t="s">
        <v>40</v>
      </c>
      <c r="BN6" s="42"/>
      <c r="BO6" s="37" t="s">
        <v>21</v>
      </c>
      <c r="BP6" s="38">
        <v>0.0</v>
      </c>
      <c r="BQ6" s="38">
        <v>0.0</v>
      </c>
      <c r="BR6" s="38">
        <v>6.0E-4</v>
      </c>
      <c r="BS6" s="37" t="s">
        <v>45</v>
      </c>
      <c r="BT6" s="37" t="s">
        <v>20</v>
      </c>
      <c r="BU6" s="38">
        <v>3.0</v>
      </c>
      <c r="BV6" s="38">
        <v>0.0</v>
      </c>
      <c r="BW6" s="38">
        <v>14.0006</v>
      </c>
      <c r="BX6" s="38">
        <v>0.0</v>
      </c>
      <c r="BY6" s="37" t="s">
        <v>52</v>
      </c>
      <c r="BZ6" s="40"/>
      <c r="CA6" s="40"/>
      <c r="CB6" s="40"/>
      <c r="CC6" s="40"/>
      <c r="CD6" s="40"/>
      <c r="CE6" s="42"/>
      <c r="CF6" s="37" t="s">
        <v>46</v>
      </c>
      <c r="CG6" s="38">
        <v>2.0</v>
      </c>
      <c r="CH6" s="37" t="s">
        <v>18</v>
      </c>
      <c r="CI6" s="37" t="s">
        <v>21</v>
      </c>
      <c r="CJ6" s="38">
        <v>0.0</v>
      </c>
      <c r="CK6" s="37" t="s">
        <v>47</v>
      </c>
      <c r="CL6" s="38">
        <v>1.0</v>
      </c>
      <c r="CM6" s="37" t="s">
        <v>20</v>
      </c>
      <c r="CN6" s="37" t="s">
        <v>48</v>
      </c>
      <c r="CO6" s="37" t="s">
        <v>27</v>
      </c>
      <c r="CP6" s="37" t="s">
        <v>49</v>
      </c>
      <c r="CQ6" s="41"/>
      <c r="CR6" s="38"/>
      <c r="CS6" s="40"/>
      <c r="CT6" s="40"/>
      <c r="CU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2"/>
      <c r="C6" s="37" t="s">
        <v>20</v>
      </c>
      <c r="D6" s="43">
        <v>1000.0</v>
      </c>
      <c r="E6" s="37" t="s">
        <v>22</v>
      </c>
      <c r="F6" s="37" t="s">
        <v>28</v>
      </c>
      <c r="G6" s="38">
        <v>1.0</v>
      </c>
      <c r="H6" s="37" t="s">
        <v>56</v>
      </c>
      <c r="I6" s="38">
        <v>0.0</v>
      </c>
      <c r="J6" s="38">
        <v>0.0</v>
      </c>
      <c r="K6" s="38">
        <v>0.0</v>
      </c>
      <c r="L6" s="38">
        <v>0.0</v>
      </c>
      <c r="M6" s="38">
        <v>0.0</v>
      </c>
      <c r="N6" s="38">
        <v>-1000.0</v>
      </c>
      <c r="O6" s="37" t="s">
        <v>39</v>
      </c>
      <c r="P6" s="37" t="s">
        <v>57</v>
      </c>
      <c r="Q6" s="43">
        <v>-1000.0</v>
      </c>
      <c r="R6" s="37" t="s">
        <v>58</v>
      </c>
      <c r="S6" s="37" t="s">
        <v>45</v>
      </c>
      <c r="T6" s="37" t="s">
        <v>30</v>
      </c>
      <c r="U6" s="37" t="s">
        <v>47</v>
      </c>
      <c r="V6" s="37" t="s">
        <v>27</v>
      </c>
      <c r="W6" s="37" t="s">
        <v>40</v>
      </c>
      <c r="X6" s="38">
        <v>1.0</v>
      </c>
      <c r="Y6" s="38">
        <v>1.0</v>
      </c>
      <c r="Z6" s="40"/>
      <c r="AA6" s="40"/>
      <c r="AB6" s="38">
        <v>0.0</v>
      </c>
      <c r="AC6" s="38">
        <v>0.0</v>
      </c>
      <c r="AD6" s="38">
        <v>0.0</v>
      </c>
      <c r="AE6" s="38">
        <v>0.0</v>
      </c>
      <c r="AF6" s="43">
        <v>1000.0</v>
      </c>
      <c r="AG6" s="38">
        <v>0.0</v>
      </c>
      <c r="AH6" s="38">
        <v>0.0</v>
      </c>
      <c r="AI6" s="38">
        <v>0.0</v>
      </c>
      <c r="AJ6" s="38">
        <v>0.0</v>
      </c>
      <c r="AK6" s="38">
        <v>-1000.0</v>
      </c>
      <c r="AL6" s="38">
        <v>1.0</v>
      </c>
      <c r="AM6" s="38">
        <v>1.0</v>
      </c>
      <c r="AN6" s="37" t="s">
        <v>21</v>
      </c>
      <c r="AO6" s="40"/>
      <c r="AP6" s="37" t="s">
        <v>56</v>
      </c>
      <c r="AQ6" s="37" t="s">
        <v>20</v>
      </c>
      <c r="AR6" s="38">
        <v>0.0</v>
      </c>
      <c r="AS6" s="38">
        <v>1.0</v>
      </c>
      <c r="AT6" s="37" t="s">
        <v>41</v>
      </c>
      <c r="AU6" s="37" t="s">
        <v>43</v>
      </c>
      <c r="AV6" s="38">
        <v>1.0</v>
      </c>
      <c r="AW6" s="43">
        <v>-1000.0</v>
      </c>
      <c r="AX6" s="38">
        <v>0.0</v>
      </c>
      <c r="AY6" s="38">
        <v>0.0</v>
      </c>
      <c r="AZ6" s="38">
        <v>0.0</v>
      </c>
      <c r="BA6" s="38">
        <v>-100.0</v>
      </c>
      <c r="BB6" s="41"/>
      <c r="BC6" s="38">
        <v>1.0</v>
      </c>
      <c r="BD6" s="38">
        <v>-1000.0</v>
      </c>
      <c r="BE6" s="37" t="s">
        <v>30</v>
      </c>
      <c r="BF6" s="37" t="s">
        <v>59</v>
      </c>
      <c r="BG6" s="37" t="s">
        <v>60</v>
      </c>
      <c r="BH6" s="37" t="s">
        <v>61</v>
      </c>
      <c r="BI6" s="37" t="s">
        <v>57</v>
      </c>
      <c r="BJ6" s="38">
        <v>0.0</v>
      </c>
      <c r="BK6" s="38">
        <v>0.0</v>
      </c>
      <c r="BL6" s="38">
        <v>0.0</v>
      </c>
      <c r="BM6" s="38">
        <v>0.0</v>
      </c>
      <c r="BN6" s="41"/>
      <c r="BO6" s="38">
        <v>-1000.0</v>
      </c>
      <c r="BP6" s="38">
        <v>0.0</v>
      </c>
      <c r="BQ6" s="37" t="s">
        <v>48</v>
      </c>
      <c r="BR6" s="37" t="s">
        <v>23</v>
      </c>
      <c r="BS6" s="38">
        <v>0.0</v>
      </c>
      <c r="BT6" s="38">
        <v>0.0</v>
      </c>
      <c r="BU6" s="37" t="s">
        <v>30</v>
      </c>
      <c r="BV6" s="38"/>
      <c r="BW6" s="38">
        <v>0.0</v>
      </c>
      <c r="BX6" s="38">
        <v>0.0</v>
      </c>
      <c r="BY6" s="38">
        <v>0.0</v>
      </c>
      <c r="BZ6" s="38">
        <v>0.0</v>
      </c>
      <c r="CA6" s="38">
        <v>0.0</v>
      </c>
      <c r="CB6" s="42"/>
      <c r="CC6" s="38">
        <v>0.0</v>
      </c>
      <c r="CD6" s="38">
        <v>-1000.0</v>
      </c>
      <c r="CE6" s="38">
        <v>0.0</v>
      </c>
      <c r="CF6" s="38">
        <v>0.0</v>
      </c>
      <c r="CG6" s="43">
        <v>-1000.0</v>
      </c>
      <c r="CH6" s="38">
        <v>-100.0</v>
      </c>
      <c r="CI6" s="38">
        <v>0.0</v>
      </c>
      <c r="CJ6" s="38">
        <v>0.0</v>
      </c>
      <c r="CK6" s="37" t="b">
        <v>0</v>
      </c>
      <c r="CL6" s="40"/>
      <c r="CM6" s="40"/>
      <c r="CN6" s="38"/>
      <c r="CO6" s="38"/>
      <c r="CP6" s="37" t="s">
        <v>37</v>
      </c>
      <c r="CQ6" s="37"/>
      <c r="CR6" s="42"/>
      <c r="CS6" s="38">
        <v>1.0</v>
      </c>
      <c r="CT6" s="40"/>
      <c r="CU6" s="40"/>
      <c r="CV6" s="40"/>
      <c r="CW6" s="40"/>
      <c r="CX6" s="40"/>
      <c r="CY6" s="37" t="s">
        <v>42</v>
      </c>
      <c r="CZ6" s="37" t="s">
        <v>62</v>
      </c>
      <c r="DA6" s="38">
        <v>0.0</v>
      </c>
      <c r="DB6" s="38">
        <v>0.0</v>
      </c>
      <c r="DC6" s="41"/>
      <c r="DD6" s="43">
        <v>1000.0</v>
      </c>
      <c r="DE6" s="38">
        <v>0.0</v>
      </c>
      <c r="DF6" s="38">
        <v>0.0</v>
      </c>
      <c r="DG6" s="38">
        <v>0.0</v>
      </c>
      <c r="DH6" s="37" t="s">
        <v>57</v>
      </c>
      <c r="DI6" s="38">
        <v>0.0</v>
      </c>
      <c r="DJ6" s="37" t="s">
        <v>21</v>
      </c>
      <c r="DK6" s="38">
        <v>0.0</v>
      </c>
      <c r="DL6" s="38">
        <v>0.0</v>
      </c>
      <c r="DM6" s="38">
        <v>1.0</v>
      </c>
      <c r="DN6" s="38">
        <v>0.0</v>
      </c>
      <c r="DO6" s="37" t="s">
        <v>63</v>
      </c>
      <c r="DP6" s="37" t="s">
        <v>56</v>
      </c>
      <c r="DQ6" s="37" t="s">
        <v>57</v>
      </c>
      <c r="DR6" s="37" t="s">
        <v>64</v>
      </c>
      <c r="DS6" s="37" t="s">
        <v>65</v>
      </c>
      <c r="DT6" s="37" t="s">
        <v>57</v>
      </c>
      <c r="DU6" s="37" t="s">
        <v>57</v>
      </c>
      <c r="DV6" s="37" t="s">
        <v>57</v>
      </c>
      <c r="DW6" s="44"/>
      <c r="DX6" s="38"/>
      <c r="DY6" s="37" t="s">
        <v>57</v>
      </c>
      <c r="DZ6" s="37" t="s">
        <v>39</v>
      </c>
      <c r="EA6" s="37" t="s">
        <v>66</v>
      </c>
      <c r="EB6" s="37" t="s">
        <v>57</v>
      </c>
      <c r="EC6" s="37" t="s">
        <v>57</v>
      </c>
      <c r="ED6" s="37" t="s">
        <v>40</v>
      </c>
      <c r="EE6" s="37" t="s">
        <v>66</v>
      </c>
      <c r="EF6" s="38">
        <v>0.0</v>
      </c>
      <c r="EG6" s="38">
        <v>0.0</v>
      </c>
      <c r="EH6" s="38">
        <v>0.0</v>
      </c>
      <c r="EI6" s="38">
        <v>0.0</v>
      </c>
      <c r="EJ6" s="38">
        <v>0.0</v>
      </c>
      <c r="EK6" s="38">
        <v>0.0</v>
      </c>
      <c r="EL6" s="37" t="s">
        <v>56</v>
      </c>
      <c r="EM6" s="38">
        <v>0.0</v>
      </c>
      <c r="EN6" s="38">
        <v>0.0</v>
      </c>
      <c r="EO6" s="38">
        <v>0.0</v>
      </c>
      <c r="EP6" s="38">
        <v>0.0</v>
      </c>
      <c r="EQ6" s="38">
        <v>0.0</v>
      </c>
      <c r="ER6" s="38">
        <v>0.0</v>
      </c>
      <c r="ES6" s="38">
        <v>-1000.0</v>
      </c>
      <c r="ET6" s="38">
        <v>0.0</v>
      </c>
      <c r="EU6" s="38">
        <v>0.0</v>
      </c>
      <c r="EV6" s="37" t="s">
        <v>56</v>
      </c>
      <c r="EW6" s="38">
        <v>-1000.0</v>
      </c>
      <c r="EX6" s="37" t="b">
        <v>0</v>
      </c>
      <c r="EY6" s="37" t="s">
        <v>52</v>
      </c>
      <c r="EZ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