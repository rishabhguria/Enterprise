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SetMasterFundOnTT" sheetId="7" r:id="rId9"/>
    <sheet state="visible" name="CreateDoneAwayOrder1" sheetId="8" r:id="rId10"/>
    <sheet state="visible" name="GetDataAllocation1" sheetId="9" r:id="rId11"/>
    <sheet state="visible" name="CheckAllocatedGroups1" sheetId="10" r:id="rId12"/>
    <sheet state="visible" name="GetDataAllocation2" sheetId="11" r:id="rId13"/>
    <sheet state="visible" name="CheckUnallocatedGroups" sheetId="12" r:id="rId14"/>
    <sheet state="visible" name="SelectTradeOnOrderGrid" sheetId="13" r:id="rId15"/>
    <sheet state="visible" name="ReAllocateFromBlotterByAllocate" sheetId="14" r:id="rId16"/>
    <sheet state="visible" name="CheckAllocatedGroups2" sheetId="15" r:id="rId17"/>
  </sheets>
  <definedNames/>
  <calcPr/>
</workbook>
</file>

<file path=xl/sharedStrings.xml><?xml version="1.0" encoding="utf-8"?>
<sst xmlns="http://schemas.openxmlformats.org/spreadsheetml/2006/main" count="131" uniqueCount="39">
  <si>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</si>
  <si>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</si>
  <si>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</si>
  <si>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</si>
  <si>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</si>
  <si>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</si>
  <si>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</si>
  <si>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</si>
  <si>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</si>
  <si>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</si>
  <si>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</si>
  <si>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</si>
  <si>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</si>
  <si>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</si>
  <si>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</si>
  <si>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</si>
  <si>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</si>
  <si>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</si>
  <si>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</t>
  </si>
  <si>
    <t>Allocation1,Allocation2</t>
  </si>
  <si>
    <t>50,50</t>
  </si>
  <si>
    <t>Allocation</t>
  </si>
  <si>
    <t>GetDataAllocation</t>
  </si>
  <si>
    <t>Historical</t>
  </si>
  <si>
    <t>CheckAllocatedGroups</t>
  </si>
  <si>
    <t>Multiple</t>
  </si>
  <si>
    <t>NEGATIVE</t>
  </si>
  <si>
    <t>Trade Attribute 6</t>
  </si>
  <si>
    <t>NewMF</t>
  </si>
  <si>
    <t>Admin</t>
  </si>
  <si>
    <t>SetMasterFundOnTT</t>
  </si>
  <si>
    <t>MSFT</t>
  </si>
  <si>
    <t>Allocation1</t>
  </si>
  <si>
    <t>IBM</t>
  </si>
  <si>
    <t>Unallocated</t>
  </si>
  <si>
    <t>CheckUnallocatedGroups</t>
  </si>
  <si>
    <t>Blotter</t>
  </si>
  <si>
    <t>SelectTradeOnOrderGrid</t>
  </si>
  <si>
    <t>ReAllocateFromBlotterByAllocate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</si>
</sst>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12"/>
      <c r="G6" s="12" t="s">
        <v>18</v>
      </c>
      <c r="H6" s="8"/>
      <c r="I6" s="8"/>
      <c r="J6" s="12">
        <v>10.0</v>
      </c>
      <c r="K6" s="8"/>
      <c r="L6" s="8"/>
      <c r="M6" s="8"/>
      <c r="N6" s="31">
        <f>today()-4</f>
        <v>45841</v>
      </c>
      <c r="O6" s="8"/>
      <c r="AK6" s="9" t="s">
        <v>19</v>
      </c>
      <c r="AL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31">
        <f t="shared" ref="C6:D6" si="1">today()-4</f>
        <v>45841</v>
      </c>
      <c r="D6" s="31">
        <f t="shared" si="1"/>
        <v>45841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1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CZ7" s="9" t="s">
        <v>26</v>
      </c>
      <c r="DA7" s="32" t="s">
        <v>27</v>
      </c>
      <c r="DB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IFERROR(__xludf.DUMMYFUNCTION("""COMPUTED_VALUE"""),"IsShowMasterFundonTT")</f>
        <v>IsShowMasterFundonTT</v>
      </c>
      <c r="C5" s="27" t="str">
        <f>IFERROR(__xludf.DUMMYFUNCTION("""COMPUTED_VALUE"""),"IsShowmasterFundAsClient")</f>
        <v>IsShowmasterFundAsClient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17</v>
      </c>
      <c r="D6" s="12">
        <v>1000.0</v>
      </c>
      <c r="E6" s="30"/>
      <c r="F6" s="12" t="s">
        <v>32</v>
      </c>
      <c r="G6" s="8"/>
      <c r="H6" s="8"/>
      <c r="I6" s="8"/>
      <c r="J6" s="12">
        <v>10.0</v>
      </c>
      <c r="K6" s="8"/>
      <c r="L6" s="8"/>
      <c r="M6" s="8"/>
      <c r="N6" s="31">
        <f>today()-3</f>
        <v>45842</v>
      </c>
      <c r="O6" s="8"/>
      <c r="AY6" s="9" t="s">
        <v>28</v>
      </c>
    </row>
    <row r="7" ht="15.75" customHeight="1">
      <c r="A7" s="8"/>
      <c r="B7" s="12" t="s">
        <v>33</v>
      </c>
      <c r="C7" s="12" t="s">
        <v>17</v>
      </c>
      <c r="D7" s="12">
        <v>1000.0</v>
      </c>
      <c r="E7" s="8"/>
      <c r="F7" s="12" t="s">
        <v>34</v>
      </c>
      <c r="G7" s="8"/>
      <c r="H7" s="8"/>
      <c r="I7" s="8"/>
      <c r="J7" s="12">
        <v>10.0</v>
      </c>
      <c r="K7" s="8"/>
      <c r="L7" s="8"/>
      <c r="M7" s="8"/>
      <c r="N7" s="31">
        <f>today()</f>
        <v>45845</v>
      </c>
      <c r="O7" s="8"/>
      <c r="AY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31">
        <f t="shared" ref="C6:D6" si="1">today()-3</f>
        <v>45842</v>
      </c>
      <c r="D6" s="31">
        <f t="shared" si="1"/>
        <v>45842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1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17</v>
      </c>
      <c r="BT6" s="9" t="s">
        <v>31</v>
      </c>
      <c r="CD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31">
        <f t="shared" ref="C6:D6" si="1">today()</f>
        <v>45845</v>
      </c>
      <c r="D6" s="33">
        <f t="shared" si="1"/>
        <v>45845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BJ6" s="9">
        <v>1000.0</v>
      </c>
      <c r="BO6" s="9" t="s">
        <v>17</v>
      </c>
      <c r="BS6" s="9" t="s">
        <v>33</v>
      </c>
      <c r="CC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33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 Allocation Quantity")</f>
        <v>Target Allocation Quantity</v>
      </c>
      <c r="F5" s="28" t="str">
        <f>IFERROR(__xludf.DUMMYFUNCTION("""COMPUTED_VALUE"""),"LowerStripMessage")</f>
        <v>LowerStripMessage</v>
      </c>
      <c r="G5" s="27" t="str">
        <f>IFERROR(__xludf.DUMMYFUNCTION("""COMPUTED_VALUE"""),"AllocateButtonNotPresent")</f>
        <v>AllocateButtonNotPresent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32</v>
      </c>
      <c r="D6" s="12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1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17</v>
      </c>
      <c r="BT6" s="9" t="s">
        <v>33</v>
      </c>
      <c r="CD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