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<sst xmlns="http://schemas.openxmlformats.org/spreadsheetml/2006/main" count="78" uniqueCount="38">
  <si>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</si>
  <si>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</si>
  <si>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</si>
  <si>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</si>
  <si>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</si>
  <si>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</si>
  <si>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</si>
  <si>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</si>
  <si>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</si>
  <si>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</si>
  <si>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</si>
  <si>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</si>
  <si>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</si>
  <si>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</si>
  <si>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</si>
  <si>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</si>
  <si>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</si>
  <si>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</si>
  <si>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MSFT</t>
  </si>
  <si>
    <t>Sell</t>
  </si>
  <si>
    <t>Allocation1</t>
  </si>
  <si>
    <t>S1</t>
  </si>
  <si>
    <t>Sell short</t>
  </si>
  <si>
    <t>Allocation2</t>
  </si>
  <si>
    <t>GetDataAllocation</t>
  </si>
  <si>
    <t>Historical</t>
  </si>
  <si>
    <t>1/1/1800</t>
  </si>
  <si>
    <t>CheckAllocatedGroups</t>
  </si>
  <si>
    <t>Equity</t>
  </si>
  <si>
    <t>MS</t>
  </si>
  <si>
    <t>USD</t>
  </si>
  <si>
    <t>NASDAQ</t>
  </si>
  <si>
    <t>Market</t>
  </si>
  <si>
    <t>CheckUnallocatedGroups</t>
  </si>
  <si>
    <t>MSFT US EQUITY</t>
  </si>
  <si>
    <t>M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</si>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</sst>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164" xfId="0" applyAlignment="1" applyFill="1" applyFont="1" applyNumberFormat="1">
      <alignment horizontal="left"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13" t="s">
        <v>21</v>
      </c>
      <c r="N6" s="32">
        <v>42352.0</v>
      </c>
      <c r="O6" s="8"/>
    </row>
    <row r="7" ht="15.75" customHeight="1">
      <c r="A7" s="8"/>
      <c r="B7" s="13" t="s">
        <v>18</v>
      </c>
      <c r="C7" s="13" t="s">
        <v>22</v>
      </c>
      <c r="D7" s="13">
        <v>100.0</v>
      </c>
      <c r="E7" s="13">
        <v>100.0</v>
      </c>
      <c r="F7" s="13" t="s">
        <v>23</v>
      </c>
      <c r="G7" s="8"/>
      <c r="H7" s="8"/>
      <c r="I7" s="8"/>
      <c r="J7" s="13">
        <v>1.0</v>
      </c>
      <c r="K7" s="8"/>
      <c r="L7" s="8"/>
      <c r="M7" s="13" t="s">
        <v>21</v>
      </c>
      <c r="N7" s="32">
        <v>42352.0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25</v>
      </c>
      <c r="C6" s="35" t="s">
        <v>26</v>
      </c>
      <c r="D6" s="36">
        <f>today()</f>
        <v>45033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23</v>
      </c>
      <c r="C6" s="38"/>
      <c r="D6" s="39"/>
      <c r="E6" s="40">
        <v>100.0</v>
      </c>
      <c r="F6" s="38"/>
      <c r="G6" s="38" t="s">
        <v>28</v>
      </c>
      <c r="H6" s="38"/>
      <c r="I6" s="38"/>
      <c r="J6" s="38"/>
      <c r="K6" s="38"/>
      <c r="L6" s="38"/>
      <c r="M6" s="38"/>
      <c r="N6" s="38"/>
      <c r="O6" s="38" t="s">
        <v>29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 t="s">
        <v>30</v>
      </c>
      <c r="AA6" s="38"/>
      <c r="AB6" s="38"/>
      <c r="AC6" s="38"/>
      <c r="AD6" s="38" t="s">
        <v>31</v>
      </c>
      <c r="AE6" s="41">
        <v>100.0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 t="s">
        <v>32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1">
        <v>100.0</v>
      </c>
      <c r="BK6" s="38"/>
      <c r="BL6" s="38"/>
      <c r="BM6" s="38"/>
      <c r="BN6" s="38"/>
      <c r="BO6" s="38" t="s">
        <v>22</v>
      </c>
      <c r="BP6" s="38"/>
      <c r="BQ6" s="38"/>
      <c r="BR6" s="38"/>
      <c r="BS6" s="38"/>
      <c r="BT6" s="38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8"/>
      <c r="D6" s="42">
        <v>0.0</v>
      </c>
      <c r="E6" s="38"/>
      <c r="F6" s="38" t="s">
        <v>28</v>
      </c>
      <c r="G6" s="38"/>
      <c r="H6" s="38"/>
      <c r="I6" s="38"/>
      <c r="J6" s="38"/>
      <c r="K6" s="38"/>
      <c r="L6" s="38" t="s">
        <v>34</v>
      </c>
      <c r="M6" s="38"/>
      <c r="N6" s="38" t="s">
        <v>29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 t="s">
        <v>30</v>
      </c>
      <c r="AA6" s="38"/>
      <c r="AB6" s="38"/>
      <c r="AC6" s="38"/>
      <c r="AD6" s="38" t="s">
        <v>31</v>
      </c>
      <c r="AE6" s="41">
        <v>100.0</v>
      </c>
      <c r="AF6" s="38"/>
      <c r="AG6" s="38" t="s">
        <v>35</v>
      </c>
      <c r="AH6" s="41">
        <v>1.0</v>
      </c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 t="s">
        <v>32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1">
        <v>100.0</v>
      </c>
      <c r="BK6" s="38"/>
      <c r="BL6" s="38"/>
      <c r="BM6" s="38" t="s">
        <v>30</v>
      </c>
      <c r="BN6" s="38"/>
      <c r="BO6" s="38" t="s">
        <v>19</v>
      </c>
      <c r="BP6" s="38"/>
      <c r="BQ6" s="38"/>
      <c r="BR6" s="38"/>
      <c r="BS6" s="38" t="s">
        <v>18</v>
      </c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 t="s">
        <v>36</v>
      </c>
      <c r="CK6" s="38"/>
      <c r="CL6" s="38" t="s">
        <v>18</v>
      </c>
      <c r="CM6" s="38" t="s">
        <v>37</v>
      </c>
      <c r="CN6" s="38" t="s">
        <v>31</v>
      </c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