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<sst xmlns="http://schemas.openxmlformats.org/spreadsheetml/2006/main" count="739" uniqueCount="49">
  <si>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</si>
  <si>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</si>
  <si>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</si>
  <si>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</si>
  <si>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</si>
  <si>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</si>
  <si>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</si>
  <si>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</si>
  <si>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</si>
  <si>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</si>
  <si>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</si>
  <si>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</si>
  <si>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</si>
  <si>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</si>
  <si>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</si>
  <si>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</si>
  <si>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</si>
  <si>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</si>
  <si>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</si>
  <si>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</si>
  <si>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</si>
  <si>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</si>
  <si>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</si>
  <si>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</si>
  <si>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</si>
  <si>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</si>
  <si>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</si>
  <si>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</si>
  <si>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</si>
  <si>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</si>
  <si>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</si>
  <si>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</si>
  <si>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</si>
  <si>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</si>
  <si>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</si>
  <si>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</si>
  <si>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</si>
  <si>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</si>
  <si>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Cash-22</t>
  </si>
  <si>
    <t>RebalancePreference</t>
  </si>
  <si>
    <t>RunRebalance</t>
  </si>
  <si>
    <t xml:space="preserve">Nearest Round Off </t>
  </si>
  <si>
    <t>VerifyGridData</t>
  </si>
  <si>
    <t/>
  </si>
  <si>
    <t>Equity</t>
  </si>
  <si>
    <t>Long</t>
  </si>
  <si>
    <t>Industrials</t>
  </si>
  <si>
    <t>Refiners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</si>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</sst>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15.0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45060</v>
      </c>
      <c r="C6" s="36">
        <f>TODAY()</f>
        <v>45061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2000.0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28</v>
      </c>
      <c r="D6" s="37">
        <v>300.0</v>
      </c>
      <c r="E6" s="34"/>
      <c r="F6" s="34"/>
      <c r="G6" s="34"/>
      <c r="H6" s="34"/>
      <c r="I6" s="34"/>
      <c r="J6" s="33">
        <v>100.0</v>
      </c>
      <c r="K6" s="34"/>
      <c r="L6" s="34"/>
      <c r="M6" s="34"/>
      <c r="N6" s="36">
        <f t="shared" ref="N6:N10" si="1">today()-1</f>
        <v>45060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28</v>
      </c>
      <c r="D7" s="33">
        <v>250.0</v>
      </c>
      <c r="E7" s="34"/>
      <c r="F7" s="34"/>
      <c r="G7" s="34"/>
      <c r="H7" s="34"/>
      <c r="I7" s="34"/>
      <c r="J7" s="33">
        <v>100.0</v>
      </c>
      <c r="K7" s="34"/>
      <c r="L7" s="34"/>
      <c r="M7" s="34"/>
      <c r="N7" s="36">
        <f t="shared" si="1"/>
        <v>45060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28</v>
      </c>
      <c r="D8" s="33">
        <v>150.0</v>
      </c>
      <c r="E8" s="34"/>
      <c r="F8" s="34"/>
      <c r="G8" s="34"/>
      <c r="H8" s="34"/>
      <c r="I8" s="34"/>
      <c r="J8" s="33">
        <v>100.0</v>
      </c>
      <c r="K8" s="34"/>
      <c r="L8" s="34"/>
      <c r="M8" s="34"/>
      <c r="N8" s="36">
        <f t="shared" si="1"/>
        <v>45060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4" t="s">
        <v>28</v>
      </c>
      <c r="D9" s="33">
        <v>50.0</v>
      </c>
      <c r="E9" s="34"/>
      <c r="F9" s="34"/>
      <c r="G9" s="34"/>
      <c r="H9" s="34"/>
      <c r="I9" s="34"/>
      <c r="J9" s="33">
        <v>100.0</v>
      </c>
      <c r="K9" s="34"/>
      <c r="L9" s="34"/>
      <c r="M9" s="34"/>
      <c r="N9" s="36">
        <f t="shared" si="1"/>
        <v>45060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5" t="s">
        <v>28</v>
      </c>
      <c r="D10" s="33">
        <v>100.0</v>
      </c>
      <c r="E10" s="34"/>
      <c r="F10" s="35" t="s">
        <v>29</v>
      </c>
      <c r="G10" s="34"/>
      <c r="H10" s="34"/>
      <c r="I10" s="34"/>
      <c r="J10" s="33">
        <v>100.0</v>
      </c>
      <c r="K10" s="34"/>
      <c r="L10" s="34"/>
      <c r="M10" s="34"/>
      <c r="N10" s="36">
        <f t="shared" si="1"/>
        <v>45060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24</v>
      </c>
      <c r="C6" s="40" t="s">
        <v>33</v>
      </c>
      <c r="D6" s="39" t="s">
        <v>34</v>
      </c>
      <c r="E6" s="40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v>100000.0</v>
      </c>
      <c r="C6" s="40" t="s">
        <v>37</v>
      </c>
      <c r="D6" s="39" t="s">
        <v>38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41</v>
      </c>
      <c r="C6" s="34"/>
      <c r="D6" s="43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43</v>
      </c>
      <c r="B6" s="44" t="s">
        <v>43</v>
      </c>
      <c r="C6" s="8" t="s">
        <v>24</v>
      </c>
      <c r="D6" s="44" t="s">
        <v>16</v>
      </c>
      <c r="E6" s="8" t="s">
        <v>44</v>
      </c>
      <c r="F6" s="8" t="s">
        <v>45</v>
      </c>
      <c r="G6" s="8">
        <v>100.0</v>
      </c>
      <c r="H6" s="8">
        <v>100.0</v>
      </c>
      <c r="I6" s="8">
        <v>1.0</v>
      </c>
      <c r="J6" s="8"/>
      <c r="K6" s="8">
        <v>300.0</v>
      </c>
      <c r="L6" s="8">
        <v>30000.0</v>
      </c>
      <c r="M6" s="8">
        <v>30000.0</v>
      </c>
      <c r="N6" s="8"/>
      <c r="O6" s="8">
        <v>300.0</v>
      </c>
      <c r="P6">
        <v>30000.0</v>
      </c>
      <c r="Q6">
        <v>30000.0</v>
      </c>
      <c r="R6">
        <v>0.0</v>
      </c>
      <c r="S6">
        <v>0.0</v>
      </c>
      <c r="T6" t="s">
        <v>46</v>
      </c>
      <c r="W6">
        <v>25.0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 t="s">
        <v>43</v>
      </c>
      <c r="C7" s="8" t="s">
        <v>24</v>
      </c>
      <c r="D7" s="8" t="s">
        <v>17</v>
      </c>
      <c r="E7" s="8" t="s">
        <v>44</v>
      </c>
      <c r="F7" s="8" t="s">
        <v>45</v>
      </c>
      <c r="G7" s="8">
        <v>100.0</v>
      </c>
      <c r="H7" s="8">
        <v>100.0</v>
      </c>
      <c r="I7" s="8">
        <v>1.0</v>
      </c>
      <c r="J7" s="8"/>
      <c r="K7" s="8">
        <v>250.0</v>
      </c>
      <c r="L7" s="8">
        <v>25000.0</v>
      </c>
      <c r="M7" s="8">
        <v>25000.0</v>
      </c>
      <c r="N7" s="8"/>
      <c r="O7" s="8">
        <v>250.0</v>
      </c>
      <c r="P7">
        <v>25000.0</v>
      </c>
      <c r="Q7">
        <v>25000.0</v>
      </c>
      <c r="R7">
        <v>0.0</v>
      </c>
      <c r="S7">
        <v>0.0</v>
      </c>
      <c r="T7" t="s">
        <v>47</v>
      </c>
      <c r="W7">
        <v>10.0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 t="s">
        <v>43</v>
      </c>
      <c r="C8" s="8" t="s">
        <v>24</v>
      </c>
      <c r="D8" s="8" t="s">
        <v>18</v>
      </c>
      <c r="E8" s="8" t="s">
        <v>44</v>
      </c>
      <c r="F8" s="8" t="s">
        <v>45</v>
      </c>
      <c r="G8" s="8">
        <v>100.0</v>
      </c>
      <c r="H8" s="8">
        <v>100.0</v>
      </c>
      <c r="I8" s="8">
        <v>1.0</v>
      </c>
      <c r="J8" s="8"/>
      <c r="K8" s="8">
        <v>150.0</v>
      </c>
      <c r="L8" s="8">
        <v>15000.0</v>
      </c>
      <c r="M8" s="8">
        <v>15000.0</v>
      </c>
      <c r="N8" s="8"/>
      <c r="O8" s="8">
        <v>150.0</v>
      </c>
      <c r="P8">
        <v>15000.0</v>
      </c>
      <c r="Q8">
        <v>15000.0</v>
      </c>
      <c r="R8">
        <v>0.0</v>
      </c>
      <c r="S8">
        <v>0.0</v>
      </c>
      <c r="T8" t="s">
        <v>48</v>
      </c>
      <c r="W8">
        <v>10.0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43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 t="s">
        <v>43</v>
      </c>
      <c r="C9" s="8" t="s">
        <v>24</v>
      </c>
      <c r="D9" s="8" t="s">
        <v>20</v>
      </c>
      <c r="E9" s="8" t="s">
        <v>44</v>
      </c>
      <c r="F9" s="8" t="s">
        <v>45</v>
      </c>
      <c r="G9" s="8">
        <v>100.0</v>
      </c>
      <c r="H9" s="8">
        <v>100.0</v>
      </c>
      <c r="I9" s="8">
        <v>1.0</v>
      </c>
      <c r="J9" s="8"/>
      <c r="K9" s="8">
        <v>50.0</v>
      </c>
      <c r="L9" s="8">
        <v>5000.0</v>
      </c>
      <c r="M9" s="8">
        <v>5000.0</v>
      </c>
      <c r="N9" s="8"/>
      <c r="O9" s="8">
        <v>50.0</v>
      </c>
      <c r="P9">
        <v>5000.0</v>
      </c>
      <c r="Q9">
        <v>5000.0</v>
      </c>
      <c r="R9">
        <v>0.0</v>
      </c>
      <c r="S9">
        <v>0.0</v>
      </c>
      <c r="T9" t="s">
        <v>48</v>
      </c>
      <c r="W9">
        <v>15.0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43</v>
      </c>
      <c r="AP9" t="s">
        <v>43</v>
      </c>
      <c r="AQ9" t="s">
        <v>43</v>
      </c>
      <c r="AR9" t="s">
        <v>43</v>
      </c>
      <c r="AS9" t="s">
        <v>43</v>
      </c>
      <c r="AT9" t="s">
        <v>43</v>
      </c>
      <c r="AU9" t="s">
        <v>43</v>
      </c>
      <c r="AV9" t="s">
        <v>43</v>
      </c>
      <c r="AW9" t="s">
        <v>43</v>
      </c>
      <c r="AX9" t="s">
        <v>43</v>
      </c>
      <c r="AY9" t="s">
        <v>43</v>
      </c>
      <c r="AZ9" t="s">
        <v>43</v>
      </c>
      <c r="BA9" t="s">
        <v>43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43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B9" t="s">
        <v>43</v>
      </c>
      <c r="FC9" t="s">
        <v>43</v>
      </c>
      <c r="FD9" t="s">
        <v>43</v>
      </c>
      <c r="FE9" t="s">
        <v>43</v>
      </c>
      <c r="FF9" t="s">
        <v>43</v>
      </c>
      <c r="FG9" t="s">
        <v>43</v>
      </c>
      <c r="FH9" t="s">
        <v>43</v>
      </c>
      <c r="FI9" t="s">
        <v>43</v>
      </c>
      <c r="FJ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