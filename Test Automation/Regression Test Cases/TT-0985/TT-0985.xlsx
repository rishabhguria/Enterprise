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OrderTT" sheetId="1" r:id="rId3"/>
    <sheet state="visible" name="VerifyRowAllFixLogs" sheetId="2" r:id="rId4"/>
    <sheet state="visible" name="SelectTrade" sheetId="3" r:id="rId5"/>
    <sheet state="visible" name="AcknowledgeTrade" sheetId="4" r:id="rId6"/>
    <sheet state="visible" name="VerifyRowAllFixLogs1" sheetId="5" r:id="rId7"/>
    <sheet state="visible" name="ExecuteTrade" sheetId="6" r:id="rId8"/>
    <sheet state="visible" name="VerifyRowAllFixLogs2" sheetId="7" r:id="rId9"/>
  </sheets>
  <definedNames/>
  <calcPr/>
</workbook>
</file>

<file path=xl/sharedStrings.xml><?xml version="1.0" encoding="utf-8"?>
<sst xmlns="http://schemas.openxmlformats.org/spreadsheetml/2006/main" count="120" uniqueCount="67">
  <si>
    <t>Data</t>
  </si>
  <si>
    <t>Module</t>
  </si>
  <si>
    <t>TradingTicket</t>
  </si>
  <si>
    <t>Step</t>
  </si>
  <si>
    <t>CustomOrderTT</t>
  </si>
  <si>
    <t>Data Format</t>
  </si>
  <si>
    <t>Input Format</t>
  </si>
  <si>
    <t>Symbol</t>
  </si>
  <si>
    <t>Quantity</t>
  </si>
  <si>
    <t>Price</t>
  </si>
  <si>
    <t>Order type button</t>
  </si>
  <si>
    <t>SharesOutstandingPopUp</t>
  </si>
  <si>
    <t>TT_Open</t>
  </si>
  <si>
    <t>SharesOutstandingPopUpQty</t>
  </si>
  <si>
    <t>AllocationMethod</t>
  </si>
  <si>
    <t>Order Side</t>
  </si>
  <si>
    <t>DB_Check</t>
  </si>
  <si>
    <t>CommissionBasis</t>
  </si>
  <si>
    <t>CommissionRate</t>
  </si>
  <si>
    <t>SoftBasis</t>
  </si>
  <si>
    <t>SoftRate</t>
  </si>
  <si>
    <t>Account</t>
  </si>
  <si>
    <t>Account %</t>
  </si>
  <si>
    <t>VerifySuggestions</t>
  </si>
  <si>
    <t>SymbolToPickFromSuggesstions</t>
  </si>
  <si>
    <t>TypedSymbolAvailableOnSuggestion</t>
  </si>
  <si>
    <t>TIF</t>
  </si>
  <si>
    <t>Order Type</t>
  </si>
  <si>
    <t>Stop</t>
  </si>
  <si>
    <t>Limit</t>
  </si>
  <si>
    <t>Expiration Date</t>
  </si>
  <si>
    <t>Trade Date</t>
  </si>
  <si>
    <t>Broker</t>
  </si>
  <si>
    <t>Padlock Visiblity</t>
  </si>
  <si>
    <t>Padlock Unlock</t>
  </si>
  <si>
    <t>Venue</t>
  </si>
  <si>
    <t>Fx Rate</t>
  </si>
  <si>
    <t>Fx Operator</t>
  </si>
  <si>
    <t>PendingApprovalPopUp</t>
  </si>
  <si>
    <t>TradeBy</t>
  </si>
  <si>
    <t>BookAsSwap</t>
  </si>
  <si>
    <t>RoundLot</t>
  </si>
  <si>
    <t>Increment</t>
  </si>
  <si>
    <t>Decrement</t>
  </si>
  <si>
    <t>Trade Attribute 01</t>
  </si>
  <si>
    <t>Trade Attribute 02</t>
  </si>
  <si>
    <t>Trade Attribute 03</t>
  </si>
  <si>
    <t>Trade Attribute 04</t>
  </si>
  <si>
    <t>Trade Attribute 05</t>
  </si>
  <si>
    <t>Trade Attribute 06</t>
  </si>
  <si>
    <t>ES U5</t>
  </si>
  <si>
    <t>Send</t>
  </si>
  <si>
    <t>Buy</t>
  </si>
  <si>
    <t>Day</t>
  </si>
  <si>
    <t>Simulator</t>
  </si>
  <si>
    <t>VerifyRowAllFixLogs</t>
  </si>
  <si>
    <t>RowLog</t>
  </si>
  <si>
    <t>(8=FIX.4.2_x0001_9=233_x0001_35=D_x0001_49=SendToMS_x0001_56=MS_x0001_34=104_x0001_52=20250701-10:04:17_x0001_115=TITNTRFXSTNE_x0001_128=SNEX_x0001_116=Support_TEST_x0001_11=2025070103552715_x0001_18=1_x0001_55=ES U5_x0001_54=1_x0001_60=20250701-10:04:17_x0001_40=3_x0001_59=0_x0001_21=3_x0001_167=FUT_x0001_38=100_x0001_44=0_x0001_99=10_x0001_58=BrokerNotes_x0001_47=A_x0001_22=2_x0001_15=USD_x0001_100=O_x0001_10=178_x0001_)</t>
  </si>
  <si>
    <t>SelectTrade</t>
  </si>
  <si>
    <t>Side</t>
  </si>
  <si>
    <t>AvgPrice</t>
  </si>
  <si>
    <t>AcknowledgeTrade</t>
  </si>
  <si>
    <t>(8=FIX.4.2_x0001_9=192_x0001_35=8_x0001_49=MS_x0001_56=SendToMS_x0001_34=120_x0001_52=20250701-10:15:39_x0001_54=1_x0001_11=2025070103552715_x0001_40=3_x0001_38=100_x0001_39=0_x0001_55=ES U5_x0001_17=2025070103552715:0:Ack_x0001_20=0_x0001_37=2025070103552715_x0001_150=0_x0001_6=0_x0001_151=100_x0001_14=0_x0001_32=0_x0001_31=0_x0001_555=0_x0001_10=105_x0001_)</t>
  </si>
  <si>
    <t>ExecuteTrade</t>
  </si>
  <si>
    <t>Shares</t>
  </si>
  <si>
    <t>ClearAllPrice</t>
  </si>
  <si>
    <t>(8=FIX.4.2_x0001_9=197_x0001_35=8_x0001_49=MS_x0001_56=SendToMS_x0001_34=121_x0001_52=20250701-10:15:43_x0001_54=1_x0001_11=2025070103552715_x0001_40=3_x0001_38=100_x0001_39=2_x0001_55=ES U5_x0001_17=2025070103552715:1:Fill_x0001_20=0_x0001_37=2025070103552715_x0001_150=2_x0001_6=10_x0001_151=0_x0001_14=100_x0001_32=100_x0001_31=10_x0001_555=0_x0001_10=170_x0001_)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</si>
</sst>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4.0"/>
      <color rgb="FFFFFFFF"/>
      <name val="Calibri"/>
    </font>
    <font/>
    <font>
      <name val="Calibri"/>
    </font>
    <font>
      <color rgb="FFFFFFFF"/>
      <name val="Calibri"/>
    </font>
    <font>
      <b/>
      <color rgb="FFFFFFFF"/>
      <name val="Calibri"/>
    </font>
    <font>
      <color rgb="FFFFFFFF"/>
    </font>
    <font>
      <color rgb="FFD9D9D9"/>
      <name val="Calibri"/>
    </font>
    <font>
      <color rgb="FFD9D9D9"/>
    </font>
    <font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2" fontId="2" numFmtId="0" xfId="0" applyFont="1"/>
    <xf borderId="0" fillId="0" fontId="3" numFmtId="0" xfId="0" applyAlignment="1" applyFont="1">
      <alignment shrinkToFit="0" wrapText="0"/>
    </xf>
    <xf borderId="0" fillId="0" fontId="4" numFmtId="0" xfId="0" applyAlignment="1" applyFont="1">
      <alignment shrinkToFit="0" wrapText="0"/>
    </xf>
    <xf borderId="0" fillId="3" fontId="5" numFmtId="0" xfId="0" applyAlignment="1" applyFill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3" fontId="6" numFmtId="0" xfId="0" applyFont="1"/>
    <xf borderId="0" fillId="4" fontId="7" numFmtId="0" xfId="0" applyAlignment="1" applyFill="1" applyFont="1">
      <alignment shrinkToFit="0" wrapText="0"/>
    </xf>
    <xf borderId="0" fillId="4" fontId="8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6" numFmtId="0" xfId="0" applyAlignment="1" applyFont="1">
      <alignment readingOrder="0"/>
    </xf>
    <xf borderId="0" fillId="5" fontId="6" numFmtId="0" xfId="0" applyFont="1"/>
    <xf borderId="0" fillId="0" fontId="9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right" readingOrder="0" vertical="bottom"/>
    </xf>
    <xf borderId="0" fillId="0" fontId="9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0"/>
    </xf>
    <xf borderId="4" fillId="5" fontId="5" numFmtId="0" xfId="0" applyAlignment="1" applyBorder="1" applyFont="1">
      <alignment shrinkToFit="0" wrapText="0"/>
    </xf>
    <xf borderId="0" fillId="0" fontId="3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2</v>
      </c>
      <c r="D3" s="9" t="s">
        <v>3</v>
      </c>
      <c r="E3" s="10" t="s">
        <v>4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6" t="s">
        <v>18</v>
      </c>
      <c r="N5" s="16" t="s">
        <v>19</v>
      </c>
      <c r="O5" s="16" t="s">
        <v>20</v>
      </c>
      <c r="P5" s="16" t="s">
        <v>21</v>
      </c>
      <c r="Q5" s="16" t="s">
        <v>22</v>
      </c>
      <c r="R5" s="16" t="s">
        <v>23</v>
      </c>
      <c r="S5" s="16" t="s">
        <v>24</v>
      </c>
      <c r="T5" s="17" t="s">
        <v>25</v>
      </c>
      <c r="U5" s="17" t="s">
        <v>26</v>
      </c>
      <c r="V5" s="17" t="s">
        <v>27</v>
      </c>
      <c r="W5" s="17" t="s">
        <v>28</v>
      </c>
      <c r="X5" s="17" t="s">
        <v>29</v>
      </c>
      <c r="Y5" s="17" t="s">
        <v>30</v>
      </c>
      <c r="Z5" s="17" t="s">
        <v>31</v>
      </c>
      <c r="AA5" s="17" t="s">
        <v>32</v>
      </c>
      <c r="AB5" s="17" t="s">
        <v>33</v>
      </c>
      <c r="AC5" s="17" t="s">
        <v>34</v>
      </c>
      <c r="AD5" s="17" t="s">
        <v>35</v>
      </c>
      <c r="AE5" s="17" t="s">
        <v>36</v>
      </c>
      <c r="AF5" s="17" t="s">
        <v>37</v>
      </c>
      <c r="AG5" s="17" t="s">
        <v>38</v>
      </c>
      <c r="AH5" s="17" t="s">
        <v>39</v>
      </c>
      <c r="AI5" s="17" t="s">
        <v>40</v>
      </c>
      <c r="AJ5" s="17" t="s">
        <v>41</v>
      </c>
      <c r="AK5" s="17" t="s">
        <v>42</v>
      </c>
      <c r="AL5" s="17" t="s">
        <v>43</v>
      </c>
      <c r="AM5" s="17" t="s">
        <v>44</v>
      </c>
      <c r="AN5" s="17" t="s">
        <v>45</v>
      </c>
      <c r="AO5" s="17" t="s">
        <v>46</v>
      </c>
      <c r="AP5" s="17" t="s">
        <v>47</v>
      </c>
      <c r="AQ5" s="17" t="s">
        <v>48</v>
      </c>
      <c r="AR5" s="17" t="s">
        <v>49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19"/>
      <c r="B6" s="20" t="s">
        <v>50</v>
      </c>
      <c r="C6" s="21">
        <v>100.0</v>
      </c>
      <c r="D6" s="22"/>
      <c r="E6" s="23" t="s">
        <v>51</v>
      </c>
      <c r="F6" s="24"/>
      <c r="G6" s="24"/>
      <c r="H6" s="24"/>
      <c r="I6" s="24"/>
      <c r="J6" s="20" t="s">
        <v>52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19" t="s">
        <v>53</v>
      </c>
      <c r="V6" s="25" t="s">
        <v>28</v>
      </c>
      <c r="W6" s="26">
        <v>10.0</v>
      </c>
      <c r="X6" s="27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</row>
    <row r="7" ht="15.75" customHeight="1">
      <c r="A7" s="28"/>
      <c r="B7" s="28"/>
      <c r="C7" s="28"/>
      <c r="D7" s="28"/>
      <c r="E7" s="28"/>
      <c r="F7" s="6"/>
      <c r="G7" s="6"/>
      <c r="H7" s="6"/>
      <c r="I7" s="6"/>
      <c r="J7" s="28"/>
      <c r="K7" s="6"/>
      <c r="L7" s="6"/>
      <c r="M7" s="6"/>
      <c r="N7" s="6"/>
      <c r="O7" s="6"/>
    </row>
    <row r="8" ht="15.75" customHeight="1">
      <c r="A8" s="28"/>
      <c r="B8" s="28"/>
      <c r="C8" s="28"/>
      <c r="D8" s="28"/>
      <c r="E8" s="28"/>
      <c r="F8" s="6"/>
      <c r="G8" s="6"/>
      <c r="H8" s="6"/>
      <c r="I8" s="6"/>
      <c r="J8" s="28"/>
      <c r="K8" s="6"/>
      <c r="L8" s="6"/>
      <c r="M8" s="6"/>
      <c r="N8" s="6"/>
      <c r="O8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 t="s">
        <v>57</v>
      </c>
      <c r="C6" s="6"/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28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28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28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28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28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28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VerifyRowAllFixLogs!$4:$4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58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61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59</v>
      </c>
      <c r="C5" s="16" t="s">
        <v>7</v>
      </c>
      <c r="D5" s="16" t="s">
        <v>27</v>
      </c>
      <c r="E5" s="16" t="s">
        <v>9</v>
      </c>
      <c r="F5" s="16" t="s">
        <v>60</v>
      </c>
      <c r="G5" s="16" t="s">
        <v>8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/>
      <c r="C6" s="20" t="s">
        <v>50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 t="s">
        <v>62</v>
      </c>
      <c r="C6" s="6"/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28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63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9</v>
      </c>
      <c r="C5" s="16" t="s">
        <v>64</v>
      </c>
      <c r="D5" s="16" t="s">
        <v>65</v>
      </c>
      <c r="E5" s="16"/>
      <c r="F5" s="16"/>
      <c r="G5" s="1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28"/>
      <c r="B6" s="28">
        <v>10.0</v>
      </c>
      <c r="C6" s="28">
        <v>100.0</v>
      </c>
      <c r="D6" s="28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"/>
      <c r="B1" s="2" t="s">
        <v>0</v>
      </c>
      <c r="C1" s="3"/>
      <c r="D1" s="3"/>
      <c r="E1" s="3"/>
      <c r="F1" s="3"/>
      <c r="G1" s="3"/>
      <c r="H1" s="4"/>
      <c r="I1" s="1"/>
      <c r="J1" s="1"/>
      <c r="K1" s="1"/>
      <c r="L1" s="1"/>
      <c r="M1" s="1"/>
      <c r="N1" s="1"/>
      <c r="O1" s="1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7" t="str">
        <f> VLOOKUP($E$3,'_MasterData'!B4:D1000,3,FALSE)</f>
        <v>#REF!</v>
      </c>
      <c r="K2" s="7"/>
      <c r="L2" s="6"/>
      <c r="M2" s="6"/>
      <c r="N2" s="6"/>
      <c r="O2" s="6"/>
    </row>
    <row r="3" ht="15.75" customHeight="1">
      <c r="A3" s="8"/>
      <c r="B3" s="9" t="s">
        <v>1</v>
      </c>
      <c r="C3" s="10" t="s">
        <v>54</v>
      </c>
      <c r="D3" s="9" t="s">
        <v>3</v>
      </c>
      <c r="E3" s="10" t="s">
        <v>55</v>
      </c>
      <c r="F3" s="9" t="s">
        <v>5</v>
      </c>
      <c r="G3" s="11" t="s">
        <v>6</v>
      </c>
      <c r="H3" s="9"/>
      <c r="I3" s="8"/>
      <c r="J3" s="8"/>
      <c r="K3" s="8"/>
      <c r="L3" s="8"/>
      <c r="M3" s="8"/>
      <c r="N3" s="8"/>
      <c r="O3" s="8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  <c r="CF3" s="12"/>
      <c r="CG3" s="12"/>
      <c r="CH3" s="12"/>
      <c r="CI3" s="12"/>
      <c r="CJ3" s="12"/>
      <c r="CK3" s="12"/>
      <c r="CL3" s="12"/>
      <c r="CM3" s="12"/>
      <c r="CN3" s="12"/>
      <c r="CO3" s="12"/>
      <c r="CP3" s="12"/>
      <c r="CQ3" s="12"/>
      <c r="CR3" s="12"/>
      <c r="CS3" s="12"/>
      <c r="CT3" s="12"/>
      <c r="CU3" s="12"/>
      <c r="CV3" s="12"/>
      <c r="CW3" s="12"/>
      <c r="CX3" s="12"/>
      <c r="CY3" s="12"/>
      <c r="CZ3" s="12"/>
      <c r="DA3" s="12"/>
      <c r="DB3" s="12"/>
      <c r="DC3" s="12"/>
      <c r="DD3" s="12"/>
      <c r="DE3" s="12"/>
      <c r="DF3" s="12"/>
      <c r="DG3" s="12"/>
      <c r="DH3" s="12"/>
      <c r="DI3" s="12"/>
      <c r="DJ3" s="12"/>
      <c r="DK3" s="12"/>
      <c r="DL3" s="12"/>
      <c r="DM3" s="12"/>
      <c r="DN3" s="12"/>
      <c r="DO3" s="12"/>
      <c r="DP3" s="12"/>
      <c r="DQ3" s="12"/>
      <c r="DR3" s="12"/>
      <c r="DS3" s="12"/>
      <c r="DT3" s="12"/>
      <c r="DU3" s="12"/>
      <c r="DV3" s="12"/>
      <c r="DW3" s="12"/>
      <c r="DX3" s="12"/>
      <c r="DY3" s="12"/>
      <c r="DZ3" s="12"/>
      <c r="EA3" s="12"/>
      <c r="EB3" s="12"/>
      <c r="EC3" s="12"/>
      <c r="ED3" s="12"/>
      <c r="EE3" s="12"/>
      <c r="EF3" s="12"/>
      <c r="EG3" s="12"/>
      <c r="EH3" s="12"/>
      <c r="EI3" s="12"/>
      <c r="EJ3" s="12"/>
      <c r="EK3" s="12"/>
      <c r="EL3" s="12"/>
      <c r="EM3" s="12"/>
      <c r="EN3" s="12"/>
      <c r="EO3" s="12"/>
      <c r="EP3" s="12"/>
      <c r="EQ3" s="12"/>
      <c r="ER3" s="12"/>
      <c r="ES3" s="12"/>
      <c r="ET3" s="12"/>
      <c r="EU3" s="12"/>
      <c r="EV3" s="12"/>
      <c r="EW3" s="12"/>
      <c r="EX3" s="12"/>
    </row>
    <row r="4" ht="15.75" customHeight="1">
      <c r="A4" s="13"/>
      <c r="B4" s="13" t="str">
        <f>IFERROR(__xludf.DUMMYFUNCTION("IF(C3="""","""",Transpose(IMPORTRANGE('_Settings'!$B$3,C3&amp;""!A4:A1000"")))"),"#REF!")</f>
        <v>#REF!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ht="15.75" customHeight="1">
      <c r="A5" s="15"/>
      <c r="B5" s="16" t="s">
        <v>56</v>
      </c>
      <c r="C5" s="29"/>
      <c r="D5" s="29"/>
      <c r="E5" s="29"/>
      <c r="F5" s="16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</row>
    <row r="6" ht="15.75" customHeight="1">
      <c r="A6" s="6"/>
      <c r="B6" s="28" t="s">
        <v>66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