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DisableCheckside" sheetId="5" r:id="rId7"/>
    <sheet state="visible" name="CreateDoneAwayOrder" sheetId="6" r:id="rId8"/>
    <sheet state="visible" name="GetDataAllocation" sheetId="7" r:id="rId9"/>
    <sheet state="visible" name="SelectUnallocatedGroup" sheetId="8" r:id="rId10"/>
    <sheet state="visible" name="EnterAccountValuesToAllocate" sheetId="9" r:id="rId11"/>
    <sheet state="visible" name="CheckUnallocatedGroups" sheetId="10" r:id="rId12"/>
  </sheets>
  <definedNames/>
  <calcPr/>
</workbook>
</file>

<file path=xl/sharedStrings.xml><?xml version="1.0" encoding="utf-8"?>
<sst xmlns="http://schemas.openxmlformats.org/spreadsheetml/2006/main" count="119" uniqueCount="41">
  <si>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</si>
  <si>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</si>
  <si>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</si>
  <si>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</si>
  <si>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</si>
  <si>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</si>
  <si>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</si>
  <si>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</si>
  <si>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</si>
  <si>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</si>
  <si>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</si>
  <si>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</si>
  <si>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</si>
  <si>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</si>
  <si>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</si>
  <si>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</si>
  <si>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DisableCheckside</t>
  </si>
  <si>
    <t>Allocation2</t>
  </si>
  <si>
    <t>TradingTicket</t>
  </si>
  <si>
    <t>CreateDoneAwayOrder</t>
  </si>
  <si>
    <t>MSFT</t>
  </si>
  <si>
    <t>Buy</t>
  </si>
  <si>
    <t>Unallocated</t>
  </si>
  <si>
    <t>S1</t>
  </si>
  <si>
    <t>Sell</t>
  </si>
  <si>
    <t>GetDataAllocation</t>
  </si>
  <si>
    <t>Historical</t>
  </si>
  <si>
    <t>1/1/1800</t>
  </si>
  <si>
    <t>SelectUnallocatedGroup</t>
  </si>
  <si>
    <t>EnterAccountValuesToAllocate</t>
  </si>
  <si>
    <t>Allocation1</t>
  </si>
  <si>
    <t>CheckUnallocatedGroups</t>
  </si>
  <si>
    <t>Equity</t>
  </si>
  <si>
    <t>MSFT US EQUITY</t>
  </si>
  <si>
    <t>MS</t>
  </si>
  <si>
    <t>USD</t>
  </si>
  <si>
    <t>NASDAQ</t>
  </si>
  <si>
    <t>M</t>
  </si>
  <si>
    <t>Market</t>
  </si>
  <si>
    <t>US</t>
  </si>
  <si>
    <t>JPEARCE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</si>
</sst>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4" fontId="14" numFmtId="164" xfId="0" applyAlignment="1" applyFont="1" applyNumberFormat="1">
      <alignment horizontal="left" readingOrder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16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IFERROR(__xludf.DUMMYFUNCTION("""COMPUTED_VALUE"""),"1XzjmPmpB7IMcyzPSsbgmFfzjE_zIKdjrk0mUoMFhNZc")</f>
        <v>1XzjmPmpB7IMcyzPSsbgmFfzjE_zIKdjrk0mUoMFhNZc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IFERROR(__xludf.DUMMYFUNCTION("""COMPUTED_VALUE"""),"ChangeThemeOnModule")</f>
        <v>ChangeThemeOnModule</v>
      </c>
      <c r="C760" t="str">
        <f>IFERROR(__xludf.DUMMYFUNCTION("""COMPUTED_VALUE"""),"1KKiVG313VPgZZadw3-GZ4Cbt7wTwEPpmyGsp3MHFp9Q")</f>
        <v>1KKiVG313VPgZZadw3-GZ4Cbt7wTwEPpmyGsp3MHFp9Q</v>
      </c>
    </row>
    <row r="761" ht="15.75" customHeight="1">
      <c r="A761" t="str">
        <f>IFERROR(__xludf.DUMMYFUNCTION("""COMPUTED_VALUE"""),"PranaClient")</f>
        <v>PranaClient</v>
      </c>
      <c r="B761" t="str">
        <f>IFERROR(__xludf.DUMMYFUNCTION("""COMPUTED_VALUE"""),"MoveFile")</f>
        <v>MoveFile</v>
      </c>
      <c r="C761" t="str">
        <f>IFERROR(__xludf.DUMMYFUNCTION("""COMPUTED_VALUE"""),"1BBCKN3cBzJgvZqLoHeAi1YmxeNaesC7YrayWsYVuQeU")</f>
        <v>1BBCKN3cBzJgvZqLoHeAi1YmxeNaesC7YrayWsYVuQeU</v>
      </c>
    </row>
    <row r="762" ht="15.75" customHeight="1">
      <c r="A762" t="str">
        <f>IFERROR(__xludf.DUMMYFUNCTION("""COMPUTED_VALUE"""),"OpenFin")</f>
        <v>OpenFin</v>
      </c>
      <c r="B762" t="str">
        <f>IFERROR(__xludf.DUMMYFUNCTION("""COMPUTED_VALUE"""),"CloseService")</f>
        <v>CloseService</v>
      </c>
      <c r="C762" t="str">
        <f>IFERROR(__xludf.DUMMYFUNCTION("""COMPUTED_VALUE"""),"1YXPx62dgEZ9yV5qKkFLgWipyvziAW1SJVEqhiNHEONM")</f>
        <v>1YXPx62dgEZ9yV5qKkFLgWipyvziAW1SJVEqhiNHEONM</v>
      </c>
    </row>
    <row r="763" ht="15.75" customHeight="1">
      <c r="A763" t="str">
        <f>IFERROR(__xludf.DUMMYFUNCTION("""COMPUTED_VALUE"""),"OpenFin")</f>
        <v>OpenFin</v>
      </c>
      <c r="B763" t="str">
        <f>IFERROR(__xludf.DUMMYFUNCTION("""COMPUTED_VALUE"""),"LogOutSamsara")</f>
        <v>LogOutSamsara</v>
      </c>
      <c r="C763" t="str">
        <f>IFERROR(__xludf.DUMMYFUNCTION("""COMPUTED_VALUE"""),"1AHqtQRX4cdwOByK5Ip_T2FJlZFaU23rmiDk0afFhfaY")</f>
        <v>1AHqtQRX4cdwOByK5Ip_T2FJlZFaU23rmiDk0afFhfaY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IFERROR(__xludf.DUMMYFUNCTION("""COMPUTED_VALUE"""),"TradeQTT")</f>
        <v>TradeQTT</v>
      </c>
      <c r="C764" t="str">
        <f>IFERROR(__xludf.DUMMYFUNCTION("""COMPUTED_VALUE"""),"1-5lKqkX57JBaCsmy3TeMGKEVsjNdXnqCttYvBHsfJ14")</f>
        <v>1-5lKqkX57JBaCsmy3TeMGKEVsjNdXnqCttYvBHsfJ14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IFERROR(__xludf.DUMMYFUNCTION("""COMPUTED_VALUE"""),"VerifyCustomAllocationSecondUI")</f>
        <v>VerifyCustomAllocationSecondUI</v>
      </c>
      <c r="C765" t="str">
        <f>IFERROR(__xludf.DUMMYFUNCTION("""COMPUTED_VALUE"""),"1AL5eBNcstEo3uS52PLH2Duzff-16gDD2eEJx_augMtM")</f>
        <v>1AL5eBNcstEo3uS52PLH2Duzff-16gDD2eEJx_augMtM</v>
      </c>
    </row>
    <row r="766" ht="15.75" customHeight="1">
      <c r="A766" t="str">
        <f>IFERROR(__xludf.DUMMYFUNCTION("""COMPUTED_VALUE"""),"Blotter")</f>
        <v>Blotter</v>
      </c>
      <c r="B766" t="str">
        <f>IFERROR(__xludf.DUMMYFUNCTION("""COMPUTED_VALUE"""),"VerifyViewAllocationOrder")</f>
        <v>VerifyViewAllocationOrder</v>
      </c>
      <c r="C766" t="str">
        <f>IFERROR(__xludf.DUMMYFUNCTION("""COMPUTED_VALUE"""),"1I3aVj-PRyRug4M5EDTw8espL6CeDhXPCYr5qa2gbwZk")</f>
        <v>1I3aVj-PRyRug4M5EDTw8espL6CeDhXPCYr5qa2gbwZk</v>
      </c>
    </row>
    <row r="767" ht="15.75" customHeight="1">
      <c r="A767" t="str">
        <f>IFERROR(__xludf.DUMMYFUNCTION("""COMPUTED_VALUE"""),"QTT")</f>
        <v>QTT</v>
      </c>
      <c r="B767" t="str">
        <f>IFERROR(__xludf.DUMMYFUNCTION("""COMPUTED_VALUE"""),"UseOrVerifyHotKeys")</f>
        <v>UseOrVerifyHotKeys</v>
      </c>
      <c r="C767" t="str">
        <f>IFERROR(__xludf.DUMMYFUNCTION("""COMPUTED_VALUE"""),"1ajjcbjqpEui4y62RzfJ-6ARI0W8GAhrdUmWCOsG_ovE")</f>
        <v>1ajjcbjqpEui4y62RzfJ-6ARI0W8GAhrdUmWCOsG_ovE</v>
      </c>
    </row>
    <row r="768" ht="15.75" customHeight="1">
      <c r="A768" t="str">
        <f>IFERROR(__xludf.DUMMYFUNCTION("""COMPUTED_VALUE"""),"QTT")</f>
        <v>QTT</v>
      </c>
      <c r="B768" t="str">
        <f>IFERROR(__xludf.DUMMYFUNCTION("""COMPUTED_VALUE"""),"BookmarkOrVerifyHotKeyinHamberg")</f>
        <v>BookmarkOrVerifyHotKeyinHamberg</v>
      </c>
      <c r="C768" t="str">
        <f>IFERROR(__xludf.DUMMYFUNCTION("""COMPUTED_VALUE"""),"1fqeJETrWs5bkb8u-VXsfp35T-5kIzPjT669RuSWt6gg")</f>
        <v>1fqeJETrWs5bkb8u-VXsfp35T-5kIzPjT669RuSWt6gg</v>
      </c>
    </row>
    <row r="769" ht="15.75" customHeight="1">
      <c r="A769" t="str">
        <f>IFERROR(__xludf.DUMMYFUNCTION("""COMPUTED_VALUE"""),"TradingTicket")</f>
        <v>TradingTicket</v>
      </c>
      <c r="B769" t="str">
        <f>IFERROR(__xludf.DUMMYFUNCTION("""COMPUTED_VALUE"""),"ShortLocateFromTT")</f>
        <v>ShortLocateFromTT</v>
      </c>
      <c r="C769" t="str">
        <f>IFERROR(__xludf.DUMMYFUNCTION("""COMPUTED_VALUE"""),"1saPgjE09_MBiqASRTSQboRMwRdUlFv6nzTocBZeFm-I")</f>
        <v>1saPgjE09_MBiqASRTSQboRMwRdUlFv6nzTocBZeFm-I</v>
      </c>
    </row>
    <row r="770" ht="15.75" customHeight="1">
      <c r="A770" t="str">
        <f>IFERROR(__xludf.DUMMYFUNCTION("""COMPUTED_VALUE"""),"TradingTicket")</f>
        <v>TradingTicket</v>
      </c>
      <c r="B770" t="str">
        <f>IFERROR(__xludf.DUMMYFUNCTION("""COMPUTED_VALUE"""),"VerifyShortLocateWindowOnTT")</f>
        <v>VerifyShortLocateWindowOnTT</v>
      </c>
      <c r="C770" t="str">
        <f>IFERROR(__xludf.DUMMYFUNCTION("""COMPUTED_VALUE"""),"1ljyVPm21FKmOvEmG0-JvPMTBuyG89a_7EGFToCoHgI4")</f>
        <v>1ljyVPm21FKmOvEmG0-JvPMTBuyG89a_7EGFToCoHgI4</v>
      </c>
    </row>
    <row r="771" ht="15.75" customHeight="1">
      <c r="A771" t="str">
        <f>IFERROR(__xludf.DUMMYFUNCTION("""COMPUTED_VALUE"""),"TradingTicket")</f>
        <v>TradingTicket</v>
      </c>
      <c r="B771" t="str">
        <f>IFERROR(__xludf.DUMMYFUNCTION("""COMPUTED_VALUE"""),"AlgoUIOperations")</f>
        <v>AlgoUIOperations</v>
      </c>
      <c r="C771" t="str">
        <f>IFERROR(__xludf.DUMMYFUNCTION("""COMPUTED_VALUE"""),"1uln1YXeeB893lpbmhI194peJcUUj4ODFhdM1AYcTVJo")</f>
        <v>1uln1YXeeB893lpbmhI194peJcUUj4ODFhdM1AYcTVJo</v>
      </c>
    </row>
    <row r="772" ht="15.75" customHeight="1">
      <c r="A772" t="str">
        <f>IFERROR(__xludf.DUMMYFUNCTION("""COMPUTED_VALUE"""),"TradingTicket")</f>
        <v>TradingTicket</v>
      </c>
      <c r="B772" t="str">
        <f>IFERROR(__xludf.DUMMYFUNCTION("""COMPUTED_VALUE"""),"UpdateShortLocateFromTT")</f>
        <v>UpdateShortLocateFromTT</v>
      </c>
      <c r="C772" t="str">
        <f>IFERROR(__xludf.DUMMYFUNCTION("""COMPUTED_VALUE"""),"13hfddjE8Z-71LhiEXSLwqUDRw6EbnSTKZU2vgV_dwUA")</f>
        <v>13hfddjE8Z-71LhiEXSLwqUDRw6EbnSTKZU2vgV_dwUA</v>
      </c>
    </row>
    <row r="773" ht="15.75" customHeight="1">
      <c r="A773" t="str">
        <f>IFERROR(__xludf.DUMMYFUNCTION("""COMPUTED_VALUE"""),"RTPNL")</f>
        <v>RTPNL</v>
      </c>
      <c r="B773" t="str">
        <f>IFERROR(__xludf.DUMMYFUNCTION("""COMPUTED_VALUE"""),"RenameTabs")</f>
        <v>RenameTabs</v>
      </c>
      <c r="C773" t="str">
        <f>IFERROR(__xludf.DUMMYFUNCTION("""COMPUTED_VALUE"""),"1K7LcioEl1sTwLRhqHc9go_7jNmUIRZNy9zBQLMgtBw8")</f>
        <v>1K7LcioEl1sTwLRhqHc9go_7jNmUIRZNy9zBQLMgtBw8</v>
      </c>
    </row>
    <row r="774" ht="15.75" customHeight="1">
      <c r="A774" t="str">
        <f>IFERROR(__xludf.DUMMYFUNCTION("""COMPUTED_VALUE"""),"RTPNL")</f>
        <v>RTPNL</v>
      </c>
      <c r="B774" t="str">
        <f>IFERROR(__xludf.DUMMYFUNCTION("""COMPUTED_VALUE"""),"ResizeEnsure")</f>
        <v>ResizeEnsure</v>
      </c>
      <c r="C774" t="str">
        <f>IFERROR(__xludf.DUMMYFUNCTION("""COMPUTED_VALUE"""),"1-peVyQ_nIwd8owwmtDtNW-yx12KQx2nHeYee6duB46M")</f>
        <v>1-peVyQ_nIwd8owwmtDtNW-yx12KQx2nHeYee6duB46M</v>
      </c>
    </row>
    <row r="775" ht="15.75" customHeight="1">
      <c r="A775" t="str">
        <f>IFERROR(__xludf.DUMMYFUNCTION("""COMPUTED_VALUE"""),"Admin")</f>
        <v>Admin</v>
      </c>
      <c r="B775" t="str">
        <f>IFERROR(__xludf.DUMMYFUNCTION("""COMPUTED_VALUE"""),"ClearRTPNLtabs")</f>
        <v>ClearRTPNLtabs</v>
      </c>
      <c r="C775" t="str">
        <f>IFERROR(__xludf.DUMMYFUNCTION("""COMPUTED_VALUE"""),"Undefined")</f>
        <v>Undefined</v>
      </c>
    </row>
    <row r="776" ht="15.75" customHeight="1">
      <c r="A776" t="str">
        <f>IFERROR(__xludf.DUMMYFUNCTION("""COMPUTED_VALUE"""),"RTPNL")</f>
        <v>RTPNL</v>
      </c>
      <c r="B776" t="str">
        <f>IFERROR(__xludf.DUMMYFUNCTION("""COMPUTED_VALUE"""),"AddTabRTPNL")</f>
        <v>AddTabRTPNL</v>
      </c>
      <c r="C776" t="str">
        <f>IFERROR(__xludf.DUMMYFUNCTION("""COMPUTED_VALUE"""),"18kG7vS-CfSLW8Q-ho416lyPlP36XJPPHA0cRbCk3vjU")</f>
        <v>18kG7vS-CfSLW8Q-ho416lyPlP36XJPPHA0cRbCk3vjU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IFERROR(__xludf.DUMMYFUNCTION("""COMPUTED_VALUE"""),"ResizeEnsureBlotter")</f>
        <v>ResizeEnsureBlotter</v>
      </c>
      <c r="C777" t="str">
        <f>IFERROR(__xludf.DUMMYFUNCTION("""COMPUTED_VALUE"""),"1Vu6zEtojqPkTWiW-oX7BwwpFj9Oi3-B6-sRrEsjiW0Y")</f>
        <v>1Vu6zEtojqPkTWiW-oX7BwwpFj9Oi3-B6-sRrEsjiW0Y</v>
      </c>
    </row>
    <row r="778" ht="15.75" customHeight="1">
      <c r="A778" t="str">
        <f>IFERROR(__xludf.DUMMYFUNCTION("""COMPUTED_VALUE"""),"Admin")</f>
        <v>Admin</v>
      </c>
      <c r="B778" t="str">
        <f>IFERROR(__xludf.DUMMYFUNCTION("""COMPUTED_VALUE"""),"ConfigUpdater")</f>
        <v>ConfigUpdater</v>
      </c>
      <c r="C778" t="str">
        <f>IFERROR(__xludf.DUMMYFUNCTION("""COMPUTED_VALUE"""),"19IDTIIOkGl6qufGANtXkELRoXFIlWB3icM0G4IJ5mg4")</f>
        <v>19IDTIIOkGl6qufGANtXkELRoXFIlWB3icM0G4IJ5mg4</v>
      </c>
    </row>
    <row r="779" ht="15.75" customHeight="1">
      <c r="A779" t="str">
        <f>IFERROR(__xludf.DUMMYFUNCTION("""COMPUTED_VALUE"""),"PortfolioManagement")</f>
        <v>PortfolioManagement</v>
      </c>
      <c r="B779" t="str">
        <f>IFERROR(__xludf.DUMMYFUNCTION("""COMPUTED_VALUE"""),"SelectTradeOnPM")</f>
        <v>SelectTradeOnPM</v>
      </c>
      <c r="C779" t="str">
        <f>IFERROR(__xludf.DUMMYFUNCTION("""COMPUTED_VALUE"""),"1_tBJjps2mULQyHra_AnC6BBvPbOko3FAY-kc11l7eTg")</f>
        <v>1_tBJjps2mULQyHra_AnC6BBvPbOko3FAY-kc11l7eTg</v>
      </c>
    </row>
    <row r="780" ht="15.75" customHeight="1">
      <c r="A780" t="str">
        <f>IFERROR(__xludf.DUMMYFUNCTION("""COMPUTED_VALUE"""),"TradingTicket")</f>
        <v>TradingTicket</v>
      </c>
      <c r="B780" t="str">
        <f>IFERROR(__xludf.DUMMYFUNCTION("""COMPUTED_VALUE"""),"ResetTT")</f>
        <v>ResetTT</v>
      </c>
      <c r="C780" t="str">
        <f>IFERROR(__xludf.DUMMYFUNCTION("""COMPUTED_VALUE"""),"Undefined")</f>
        <v>Undefined</v>
      </c>
    </row>
    <row r="781" ht="15.75" customHeight="1">
      <c r="A781" t="str">
        <f>IFERROR(__xludf.DUMMYFUNCTION("""COMPUTED_VALUE"""),"Unknown")</f>
        <v>Unknown</v>
      </c>
      <c r="B781" t="str">
        <f>IFERROR(__xludf.DUMMYFUNCTION("""COMPUTED_VALUE"""),"RightClickOperations")</f>
        <v>RightClickOperations</v>
      </c>
      <c r="C781" t="str">
        <f>IFERROR(__xludf.DUMMYFUNCTION("""COMPUTED_VALUE"""),"17jhCujI-0V0U3n5lzlkc-azSuwCa7rf-4KwcSInm9ts")</f>
        <v>17jhCujI-0V0U3n5lzlkc-azSuwCa7rf-4KwcSInm9ts</v>
      </c>
    </row>
    <row r="782" ht="15.75" customHeight="1">
      <c r="A782" t="str">
        <f>IFERROR(__xludf.DUMMYFUNCTION("""COMPUTED_VALUE"""),"Unknown")</f>
        <v>Unknown</v>
      </c>
      <c r="B782" t="str">
        <f>IFERROR(__xludf.DUMMYFUNCTION("""COMPUTED_VALUE"""),"RightClickAndClickOperations")</f>
        <v>RightClickAndClickOperations</v>
      </c>
      <c r="C782" t="str">
        <f>IFERROR(__xludf.DUMMYFUNCTION("""COMPUTED_VALUE"""),"1e9jtl9r57SkbYm3S4wbHtvkeG2KExZEiFSIkkRSaq-8")</f>
        <v>1e9jtl9r57SkbYm3S4wbHtvkeG2KExZEiFSIkkRSaq-8</v>
      </c>
    </row>
    <row r="783" ht="15.75" customHeight="1">
      <c r="A783" t="str">
        <f>IFERROR(__xludf.DUMMYFUNCTION("""COMPUTED_VALUE"""),"Compliance")</f>
        <v>Compliance</v>
      </c>
      <c r="B783" t="str">
        <f>IFERROR(__xludf.DUMMYFUNCTION("""COMPUTED_VALUE"""),"EnableDisableRule")</f>
        <v>EnableDisableRule</v>
      </c>
      <c r="C783" t="str">
        <f>IFERROR(__xludf.DUMMYFUNCTION("""COMPUTED_VALUE"""),"1ldCRZpDrvOW-37YQP92bnj-oqRl2rwy9OIebmA5GKXE")</f>
        <v>1ldCRZpDrvOW-37YQP92bnj-oqRl2rwy9OIebmA5GKXE</v>
      </c>
    </row>
    <row r="784" ht="15.75" customHeight="1">
      <c r="A784" t="str">
        <f>IFERROR(__xludf.DUMMYFUNCTION("""COMPUTED_VALUE"""),"Blotter")</f>
        <v>Blotter</v>
      </c>
      <c r="B784" t="str">
        <f>IFERROR(__xludf.DUMMYFUNCTION("""COMPUTED_VALUE"""),"BlotterToolBarAction")</f>
        <v>BlotterToolBarAction</v>
      </c>
      <c r="C784" t="str">
        <f>IFERROR(__xludf.DUMMYFUNCTION("""COMPUTED_VALUE"""),"1bI1kIBxH6qy8zi5tx46rN3vNgbmxbdwtAo1inrXDALs")</f>
        <v>1bI1kIBxH6qy8zi5tx46rN3vNgbmxbdwtAo1inrXDALs</v>
      </c>
    </row>
    <row r="785" ht="15.75" customHeight="1">
      <c r="A785" t="str">
        <f>IFERROR(__xludf.DUMMYFUNCTION("""COMPUTED_VALUE"""),"RTPNL")</f>
        <v>RTPNL</v>
      </c>
      <c r="B785" t="str">
        <f>IFERROR(__xludf.DUMMYFUNCTION("""COMPUTED_VALUE"""),"MergeWindows")</f>
        <v>MergeWindows</v>
      </c>
      <c r="C785" t="str">
        <f>IFERROR(__xludf.DUMMYFUNCTION("""COMPUTED_VALUE"""),"1pZKbazcV0BrTnrwUJDzFvhO3FsCsMSK7fYRZIKRCECk")</f>
        <v>1pZKbazcV0BrTnrwUJDzFvhO3FsCsMSK7fYRZIKRCECk</v>
      </c>
    </row>
    <row r="786" ht="15.75" customHeight="1">
      <c r="A786" t="str">
        <f>IFERROR(__xludf.DUMMYFUNCTION("""COMPUTED_VALUE"""),"PortfolioManagement")</f>
        <v>PortfolioManagement</v>
      </c>
      <c r="B786" t="str">
        <f>IFERROR(__xludf.DUMMYFUNCTION("""COMPUTED_VALUE"""),"OperationsonPM")</f>
        <v>OperationsonPM</v>
      </c>
      <c r="C786" t="str">
        <f>IFERROR(__xludf.DUMMYFUNCTION("""COMPUTED_VALUE"""),"13hKVogBv66c752V1EGUyqXp4dGESQOZLmMqIB56fbAs")</f>
        <v>13hKVogBv66c752V1EGUyqXp4dGESQOZLmMqIB56fbAs</v>
      </c>
    </row>
    <row r="787" ht="15.75" customHeight="1">
      <c r="A787" t="str">
        <f>IFERROR(__xludf.DUMMYFUNCTION("""COMPUTED_VALUE"""),"TradingTicket")</f>
        <v>TradingTicket</v>
      </c>
      <c r="B787" t="str">
        <f>IFERROR(__xludf.DUMMYFUNCTION("""COMPUTED_VALUE"""),"ResizeEnsureTT")</f>
        <v>ResizeEnsureTT</v>
      </c>
      <c r="C787" t="str">
        <f>IFERROR(__xludf.DUMMYFUNCTION("""COMPUTED_VALUE"""),"1X1m60ND44-Chxr6N4sH6Fqbh_pqzIH8Cfy3c89u2_lQ")</f>
        <v>1X1m60ND44-Chxr6N4sH6Fqbh_pqzIH8Cfy3c89u2_lQ</v>
      </c>
    </row>
    <row r="788" ht="15.75" customHeight="1">
      <c r="A788" t="str">
        <f>IFERROR(__xludf.DUMMYFUNCTION("""COMPUTED_VALUE"""),"Admin")</f>
        <v>Admin</v>
      </c>
      <c r="B788" t="str">
        <f>IFERROR(__xludf.DUMMYFUNCTION("""COMPUTED_VALUE"""),"AccountPermission")</f>
        <v>AccountPermission</v>
      </c>
      <c r="C788" t="str">
        <f>IFERROR(__xludf.DUMMYFUNCTION("""COMPUTED_VALUE"""),"1UuUydT-ajZCwnqdhLBG28JhRRgR6skh7CgWMlr5JFEw")</f>
        <v>1UuUydT-ajZCwnqdhLBG28JhRRgR6skh7CgWMlr5JFEw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IFERROR(__xludf.DUMMYFUNCTION("""COMPUTED_VALUE"""),"CreateOrViewModelPortfolio")</f>
        <v>CreateOrViewModelPortfolio</v>
      </c>
      <c r="C789" t="str">
        <f>IFERROR(__xludf.DUMMYFUNCTION("""COMPUTED_VALUE"""),"1vejknW_QiO0r5pMzMjOGCCsgwLVes4a3Ubx1l-0Mg1k")</f>
        <v>1vejknW_QiO0r5pMzMjOGCCsgwLVes4a3Ubx1l-0Mg1k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IFERROR(__xludf.DUMMYFUNCTION("""COMPUTED_VALUE"""),"VerifyModelPortfolio")</f>
        <v>VerifyModelPortfolio</v>
      </c>
      <c r="C790" t="str">
        <f>IFERROR(__xludf.DUMMYFUNCTION("""COMPUTED_VALUE"""),"1Tza5cx7NJ2J8vr_f6DC-KPhnXCzf7l1m0EERc6z_T-U")</f>
        <v>1Tza5cx7NJ2J8vr_f6DC-KPhnXCzf7l1m0EERc6z_T-U</v>
      </c>
    </row>
    <row r="791" ht="15.75" customHeight="1">
      <c r="A791" t="str">
        <f>IFERROR(__xludf.DUMMYFUNCTION("""COMPUTED_VALUE"""),"Allocation")</f>
        <v>Allocation</v>
      </c>
      <c r="B791" t="str">
        <f>IFERROR(__xludf.DUMMYFUNCTION("""COMPUTED_VALUE"""),"ReviewExistingPositions")</f>
        <v>ReviewExistingPositions</v>
      </c>
      <c r="C791" t="str">
        <f>IFERROR(__xludf.DUMMYFUNCTION("""COMPUTED_VALUE"""),"1KwYoTdpeW6LDhzloVKHp5buZqc8IjXEShjwnUx45Ql8")</f>
        <v>1KwYoTdpeW6LDhzloVKHp5buZqc8IjXEShjwnUx45Ql8</v>
      </c>
    </row>
    <row r="792" ht="15.75" customHeight="1">
      <c r="A792" t="str">
        <f>IFERROR(__xludf.DUMMYFUNCTION("""COMPUTED_VALUE"""),"PTT")</f>
        <v>PTT</v>
      </c>
      <c r="B792" t="str">
        <f>IFERROR(__xludf.DUMMYFUNCTION("""COMPUTED_VALUE"""),"OperationsonPTT")</f>
        <v>OperationsonPTT</v>
      </c>
      <c r="C792" t="str">
        <f>IFERROR(__xludf.DUMMYFUNCTION("""COMPUTED_VALUE"""),"1J40rCXEDilLEF_x0Wkeeg1lwGfejucV1VSY9UcyeSlw")</f>
        <v>1J40rCXEDilLEF_x0Wkeeg1lwGfejucV1VSY9UcyeSlw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IFERROR(__xludf.DUMMYFUNCTION("""COMPUTED_VALUE"""),"ImportOnRB")</f>
        <v>ImportOnRB</v>
      </c>
      <c r="C793" t="str">
        <f>IFERROR(__xludf.DUMMYFUNCTION("""COMPUTED_VALUE"""),"1EntkiGIsU6aSZPpMKhixdhGFyyVCmlI1jMgvbCFq3oM")</f>
        <v>1EntkiGIsU6aSZPpMKhixdhGFyyVCmlI1jMgvbCFq3oM</v>
      </c>
    </row>
    <row r="794" ht="15.75" customHeight="1">
      <c r="A794" t="str">
        <f>IFERROR(__xludf.DUMMYFUNCTION("""COMPUTED_VALUE"""),"Rebalancer")</f>
        <v>Rebalancer</v>
      </c>
      <c r="B794" t="str">
        <f>IFERROR(__xludf.DUMMYFUNCTION("""COMPUTED_VALUE"""),"VerifyImportGridRBForInvalidSec")</f>
        <v>VerifyImportGridRBForInvalidSec</v>
      </c>
      <c r="C794" t="str">
        <f>IFERROR(__xludf.DUMMYFUNCTION("""COMPUTED_VALUE"""),"13tlfzcOYlxn2sOASC-JNdqZmR9A1Cesa2Ah5348pLN8")</f>
        <v>13tlfzcOYlxn2sOASC-JNdqZmR9A1Cesa2Ah5348pLN8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IFERROR(__xludf.DUMMYFUNCTION("""COMPUTED_VALUE"""),"VerifyImportGridRBForValidSec")</f>
        <v>VerifyImportGridRBForValidSec</v>
      </c>
      <c r="C795" t="str">
        <f>IFERROR(__xludf.DUMMYFUNCTION("""COMPUTED_VALUE"""),"1KiLapuRaYEZfokVV1TZf8gTWNe8d9PblbpJsN983CaI")</f>
        <v>1KiLapuRaYEZfokVV1TZf8gTWNe8d9PblbpJsN983CaI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IFERROR(__xludf.DUMMYFUNCTION("""COMPUTED_VALUE"""),"Import")</f>
        <v>Import</v>
      </c>
      <c r="B797" t="str">
        <f>IFERROR(__xludf.DUMMYFUNCTION("""COMPUTED_VALUE"""),"ActionOnImport")</f>
        <v>ActionOnImport</v>
      </c>
      <c r="C797" t="str">
        <f>IFERROR(__xludf.DUMMYFUNCTION("""COMPUTED_VALUE"""),"1YM2boQt7BrzysPpsUbIqt27cfA6-btDPEZntG5NhBUc")</f>
        <v>1YM2boQt7BrzysPpsUbIqt27cfA6-btDPEZntG5NhBUc</v>
      </c>
    </row>
    <row r="798" ht="15.75" customHeight="1">
      <c r="A798" t="str">
        <f>IFERROR(__xludf.DUMMYFUNCTION("""COMPUTED_VALUE"""),"Import")</f>
        <v>Import</v>
      </c>
      <c r="B798" t="str">
        <f>IFERROR(__xludf.DUMMYFUNCTION("""COMPUTED_VALUE"""),"ValidateImportPositions")</f>
        <v>ValidateImportPositions</v>
      </c>
      <c r="C798" t="str">
        <f>IFERROR(__xludf.DUMMYFUNCTION("""COMPUTED_VALUE"""),"1ApMxUfr4smtwBJX_cppynzY1M99QXnDpTRjevjraQtA")</f>
        <v>1ApMxUfr4smtwBJX_cppynzY1M99QXnDpTRjevjraQtA</v>
      </c>
    </row>
    <row r="799" ht="15.75" customHeight="1">
      <c r="A799" t="str">
        <f>IFERROR(__xludf.DUMMYFUNCTION("""COMPUTED_VALUE"""),"DailyValuation")</f>
        <v>DailyValuation</v>
      </c>
      <c r="B799" t="str">
        <f>IFERROR(__xludf.DUMMYFUNCTION("""COMPUTED_VALUE"""),"UpdateMPAndFC")</f>
        <v>UpdateMPAndFC</v>
      </c>
      <c r="C799" t="str">
        <f>IFERROR(__xludf.DUMMYFUNCTION("""COMPUTED_VALUE"""),"1UCNfZng94LprScqCmSKImRjCwiKlLQU_e1kY1tum91I")</f>
        <v>1UCNfZng94LprScqCmSKImRjCwiKlLQU_e1kY1tum91I</v>
      </c>
    </row>
    <row r="800" ht="15.75" customHeight="1">
      <c r="A800" t="str">
        <f>IFERROR(__xludf.DUMMYFUNCTION("""COMPUTED_VALUE"""),"Rebalancer")</f>
        <v>Rebalancer</v>
      </c>
      <c r="B800" t="str">
        <f>IFERROR(__xludf.DUMMYFUNCTION("""COMPUTED_VALUE"""),"ActionOnTradeBuySellListView")</f>
        <v>ActionOnTradeBuySellListView</v>
      </c>
      <c r="C800" t="str">
        <f>IFERROR(__xludf.DUMMYFUNCTION("""COMPUTED_VALUE"""),"1xeJEpkdxtbik3vPUTkxALkXsnL-Vl5dF07PBUoheM3k")</f>
        <v>1xeJEpkdxtbik3vPUTkxALkXsnL-Vl5dF07PBUoheM3k</v>
      </c>
    </row>
    <row r="801" ht="15.75" customHeight="1">
      <c r="A801" t="str">
        <f>IFERROR(__xludf.DUMMYFUNCTION("""COMPUTED_VALUE"""),"Watchlist")</f>
        <v>Watchlist</v>
      </c>
      <c r="B801" t="str">
        <f>IFERROR(__xludf.DUMMYFUNCTION("""COMPUTED_VALUE"""),"SelectTradeWatchlist")</f>
        <v>SelectTradeWatchlist</v>
      </c>
      <c r="C801" t="str">
        <f>IFERROR(__xludf.DUMMYFUNCTION("""COMPUTED_VALUE"""),"1Wa9Q7PE7i3bZr_mTOkYG22qcEixSMbydeuL2lnyNfB0")</f>
        <v>1Wa9Q7PE7i3bZr_mTOkYG22qcEixSMbydeuL2lnyNfB0</v>
      </c>
    </row>
    <row r="802" ht="15.75" customHeight="1">
      <c r="A802" t="str">
        <f>IFERROR(__xludf.DUMMYFUNCTION("""COMPUTED_VALUE"""),"Watchlist")</f>
        <v>Watchlist</v>
      </c>
      <c r="B802" t="str">
        <f>IFERROR(__xludf.DUMMYFUNCTION("""COMPUTED_VALUE"""),"ActionOnWatchlist")</f>
        <v>ActionOnWatchlist</v>
      </c>
      <c r="C802" t="str">
        <f>IFERROR(__xludf.DUMMYFUNCTION("""COMPUTED_VALUE"""),"1Ex0VPpmT3E0nbSBahi-24Pfuba4HTTVDqcm5UWIEUUw")</f>
        <v>1Ex0VPpmT3E0nbSBahi-24Pfuba4HTTVDqcm5UWIEUUw</v>
      </c>
    </row>
    <row r="803" ht="15.75" customHeight="1">
      <c r="A803" t="str">
        <f>IFERROR(__xludf.DUMMYFUNCTION("""COMPUTED_VALUE"""),"Allocation")</f>
        <v>Allocation</v>
      </c>
      <c r="B803" t="str">
        <f>IFERROR(__xludf.DUMMYFUNCTION("""COMPUTED_VALUE"""),"OperationsonAllocation")</f>
        <v>OperationsonAllocation</v>
      </c>
      <c r="C803" t="str">
        <f>IFERROR(__xludf.DUMMYFUNCTION("""COMPUTED_VALUE"""),"1Ef_CfqtvCC0SoupZq61OQuLBg_r-ocFfZ5dScRXCuD4")</f>
        <v>1Ef_CfqtvCC0SoupZq61OQuLBg_r-ocFfZ5dScRXCuD4</v>
      </c>
    </row>
    <row r="804" ht="15.75" customHeight="1">
      <c r="A804" t="str">
        <f>IFERROR(__xludf.DUMMYFUNCTION("""COMPUTED_VALUE"""),"Blotter")</f>
        <v>Blotter</v>
      </c>
      <c r="B804" t="str">
        <f>IFERROR(__xludf.DUMMYFUNCTION("""COMPUTED_VALUE"""),"AddTabToFav")</f>
        <v>AddTabToFav</v>
      </c>
      <c r="C804" t="str">
        <f>IFERROR(__xludf.DUMMYFUNCTION("""COMPUTED_VALUE"""),"1Hrblc1gk4JIYboQ1lGHgl7HatAXp5amAl9mS58vzT-0")</f>
        <v>1Hrblc1gk4JIYboQ1lGHgl7HatAXp5amAl9mS58vzT-0</v>
      </c>
    </row>
    <row r="805" ht="15.75" customHeight="1">
      <c r="A805" t="str">
        <f>IFERROR(__xludf.DUMMYFUNCTION("""COMPUTED_VALUE"""),"Unknown")</f>
        <v>Unknown</v>
      </c>
      <c r="B805" t="str">
        <f>IFERROR(__xludf.DUMMYFUNCTION("""COMPUTED_VALUE"""),"CheckModStatus")</f>
        <v>CheckModStatus</v>
      </c>
      <c r="C805" t="str">
        <f>IFERROR(__xludf.DUMMYFUNCTION("""COMPUTED_VALUE"""),"1S0obfxcw-fBa8_NHZx6E2ddpXBy262moOyglnQyX8XA")</f>
        <v>1S0obfxcw-fBa8_NHZx6E2ddpXBy262moOyglnQyX8XA</v>
      </c>
    </row>
    <row r="806" ht="15.75" customHeight="1">
      <c r="A806" t="str">
        <f>IFERROR(__xludf.DUMMYFUNCTION("""COMPUTED_VALUE"""),"TradingTicket")</f>
        <v>TradingTicket</v>
      </c>
      <c r="B806" t="str">
        <f>IFERROR(__xludf.DUMMYFUNCTION("""COMPUTED_VALUE"""),"VerifyExecutionType")</f>
        <v>VerifyExecutionType</v>
      </c>
      <c r="C806" t="str">
        <f>IFERROR(__xludf.DUMMYFUNCTION("""COMPUTED_VALUE"""),"1GeLKG0YL6nDFQYX8NohWSG0yonppxuSHWgOuwLzEWwI")</f>
        <v>1GeLKG0YL6nDFQYX8NohWSG0yonppxuSHWgOuwLzEWwI</v>
      </c>
    </row>
    <row r="807" ht="15.75" customHeight="1">
      <c r="A807" t="str">
        <f>IFERROR(__xludf.DUMMYFUNCTION("""COMPUTED_VALUE"""),"OpenFin")</f>
        <v>OpenFin</v>
      </c>
      <c r="B807" t="str">
        <f>IFERROR(__xludf.DUMMYFUNCTION("""COMPUTED_VALUE"""),"VerifyNotification")</f>
        <v>VerifyNotification</v>
      </c>
      <c r="C807" t="str">
        <f>IFERROR(__xludf.DUMMYFUNCTION("""COMPUTED_VALUE"""),"1rm7dGZ4-j6MPtyiMlJDHnZgIjnFk8Hv19VRPaPCgUMY")</f>
        <v>1rm7dGZ4-j6MPtyiMlJDHnZgIjnFk8Hv19VRPaPCgUMY</v>
      </c>
    </row>
    <row r="808" ht="15.75" customHeight="1">
      <c r="A808" t="str">
        <f>IFERROR(__xludf.DUMMYFUNCTION("""COMPUTED_VALUE"""),"TradingTicket")</f>
        <v>TradingTicket</v>
      </c>
      <c r="B808" t="str">
        <f>IFERROR(__xludf.DUMMYFUNCTION("""COMPUTED_VALUE"""),"VerifyPopupAlignment")</f>
        <v>VerifyPopupAlignment</v>
      </c>
      <c r="C808" t="str">
        <f>IFERROR(__xludf.DUMMYFUNCTION("""COMPUTED_VALUE"""),"1PAyxzLHPOj64pXbS5W7uBsuT035g_GlIT1xXUjFNRUk")</f>
        <v>1PAyxzLHPOj64pXbS5W7uBsuT035g_GlIT1xXUjFNRUk</v>
      </c>
    </row>
    <row r="809" ht="15.75" customHeight="1">
      <c r="A809" t="str">
        <f>IFERROR(__xludf.DUMMYFUNCTION("""COMPUTED_VALUE"""),"TradingTicket")</f>
        <v>TradingTicket</v>
      </c>
      <c r="B809" t="str">
        <f>IFERROR(__xludf.DUMMYFUNCTION("""COMPUTED_VALUE"""),"SelectET")</f>
        <v>SelectET</v>
      </c>
      <c r="C809" t="str">
        <f>IFERROR(__xludf.DUMMYFUNCTION("""COMPUTED_VALUE"""),"1Tpuk-xqnvfBtaWXtAffyW0Chu9RCysO1V7PE2wbI7Xk")</f>
        <v>1Tpuk-xqnvfBtaWXtAffyW0Chu9RCysO1V7PE2wbI7Xk</v>
      </c>
    </row>
    <row r="810" ht="15.75" customHeight="1">
      <c r="A810" t="str">
        <f>IFERROR(__xludf.DUMMYFUNCTION("""COMPUTED_VALUE"""),"RTPNL")</f>
        <v>RTPNL</v>
      </c>
      <c r="B810" t="str">
        <f>IFERROR(__xludf.DUMMYFUNCTION("""COMPUTED_VALUE"""),"Grouping")</f>
        <v>Grouping</v>
      </c>
      <c r="C810" t="str">
        <f>IFERROR(__xludf.DUMMYFUNCTION("""COMPUTED_VALUE"""),"1FNoxwXRCCjvm8HYhDo2XZGdWYdZNzY2Jh0ibkuVHNWo")</f>
        <v>1FNoxwXRCCjvm8HYhDo2XZGdWYdZNzY2Jh0ibkuVHNWo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IFERROR(__xludf.DUMMYFUNCTION("""COMPUTED_VALUE"""),"RollOverContextMenu")</f>
        <v>RollOverContextMenu</v>
      </c>
      <c r="C811" t="str">
        <f>IFERROR(__xludf.DUMMYFUNCTION("""COMPUTED_VALUE"""),"1d45ieJRLC6DQ7t19pclAZz5EI6hBsZ5_VdNJYb3VsNc")</f>
        <v>1d45ieJRLC6DQ7t19pclAZz5EI6hBsZ5_VdNJYb3VsNc</v>
      </c>
    </row>
    <row r="812" ht="15.75" customHeight="1">
      <c r="A812" t="str">
        <f>IFERROR(__xludf.DUMMYFUNCTION("""COMPUTED_VALUE"""),"PTT")</f>
        <v>PTT</v>
      </c>
      <c r="B812" t="str">
        <f>IFERROR(__xludf.DUMMYFUNCTION("""COMPUTED_VALUE"""),"RefreshCalculation")</f>
        <v>RefreshCalculation</v>
      </c>
    </row>
    <row r="813" ht="15.75" customHeight="1">
      <c r="A813" t="str">
        <f>IFERROR(__xludf.DUMMYFUNCTION("""COMPUTED_VALUE"""),"Blotter")</f>
        <v>Blotter</v>
      </c>
      <c r="B813" t="str">
        <f>IFERROR(__xludf.DUMMYFUNCTION("""COMPUTED_VALUE"""),"BookAsSwap")</f>
        <v>BookAsSwap</v>
      </c>
      <c r="C813" t="str">
        <f>IFERROR(__xludf.DUMMYFUNCTION("""COMPUTED_VALUE"""),"1tnkP5eD3WH53SXu2O-MWk6774J7b5ihwlD7r9dGtpiY")</f>
        <v>1tnkP5eD3WH53SXu2O-MWk6774J7b5ihwlD7r9dGtpiY</v>
      </c>
    </row>
    <row r="814" ht="15.75" customHeight="1">
      <c r="A814" t="str">
        <f>IFERROR(__xludf.DUMMYFUNCTION("""COMPUTED_VALUE"""),"QTT")</f>
        <v>QTT</v>
      </c>
      <c r="B814" t="str">
        <f>IFERROR(__xludf.DUMMYFUNCTION("""COMPUTED_VALUE"""),"VerifyQTT")</f>
        <v>VerifyQTT</v>
      </c>
      <c r="C814" t="str">
        <f>IFERROR(__xludf.DUMMYFUNCTION("""COMPUTED_VALUE"""),"1bs3VigXRg4VZR5W48lKm11EcEjEpmUCnBNDHffPRbIQ")</f>
        <v>1bs3VigXRg4VZR5W48lKm11EcEjEpmUCnBNDHffPRbIQ</v>
      </c>
    </row>
    <row r="815" ht="15.75" customHeight="1">
      <c r="A815" t="str">
        <f>IFERROR(__xludf.DUMMYFUNCTION("""COMPUTED_VALUE"""),"Blotter")</f>
        <v>Blotter</v>
      </c>
      <c r="B815" t="str">
        <f>IFERROR(__xludf.DUMMYFUNCTION("""COMPUTED_VALUE"""),"ActionOnFloatingWindow")</f>
        <v>ActionOnFloatingWindow</v>
      </c>
      <c r="C815" t="str">
        <f>IFERROR(__xludf.DUMMYFUNCTION("""COMPUTED_VALUE"""),"1tFNUPT3PXgCKRnnehGwo6OF7EhLu13UJ8Elfq83HArE")</f>
        <v>1tFNUPT3PXgCKRnnehGwo6OF7EhLu13UJ8Elfq83HArE</v>
      </c>
    </row>
    <row r="816" ht="15.75" customHeight="1">
      <c r="A816" t="str">
        <f>IFERROR(__xludf.DUMMYFUNCTION("""COMPUTED_VALUE"""),"OpenFin")</f>
        <v>OpenFin</v>
      </c>
      <c r="B816" t="str">
        <f>IFERROR(__xludf.DUMMYFUNCTION("""COMPUTED_VALUE"""),"LockUnlockModule")</f>
        <v>LockUnlockModule</v>
      </c>
      <c r="C816" t="str">
        <f>IFERROR(__xludf.DUMMYFUNCTION("""COMPUTED_VALUE"""),"179D0kPRO8f_KLxd7hs6seM9XGxpL-u1rhIhNgFVePsQ")</f>
        <v>179D0kPRO8f_KLxd7hs6seM9XGxpL-u1rhIhNgFVePsQ</v>
      </c>
    </row>
    <row r="817" ht="15.75" customHeight="1">
      <c r="A817" t="str">
        <f>IFERROR(__xludf.DUMMYFUNCTION("""COMPUTED_VALUE"""),"OpenFin")</f>
        <v>OpenFin</v>
      </c>
      <c r="B817" t="str">
        <f>IFERROR(__xludf.DUMMYFUNCTION("""COMPUTED_VALUE"""),"OpenModule")</f>
        <v>OpenModule</v>
      </c>
      <c r="C817" t="str">
        <f>IFERROR(__xludf.DUMMYFUNCTION("""COMPUTED_VALUE"""),"1IdmD7l42pWNjFNVt_7UwbOO7y5tDxaXr7tE60c9ETLw")</f>
        <v>1IdmD7l42pWNjFNVt_7UwbOO7y5tDxaXr7tE60c9ETLw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IFERROR(__xludf.DUMMYFUNCTION("""COMPUTED_VALUE"""),"EnableOrVerifyHotButton")</f>
        <v>EnableOrVerifyHotButton</v>
      </c>
      <c r="C818" t="str">
        <f>IFERROR(__xludf.DUMMYFUNCTION("""COMPUTED_VALUE"""),"1wa8x9d9kPOHEp49mT2DEW0cyjjOClvAgixk1H2w-Tos")</f>
        <v>1wa8x9d9kPOHEp49mT2DEW0cyjjOClvAgixk1H2w-Tos</v>
      </c>
    </row>
    <row r="819" ht="15.75" customHeight="1">
      <c r="A819" t="str">
        <f>IFERROR(__xludf.DUMMYFUNCTION("""COMPUTED_VALUE"""),"TradeServer")</f>
        <v>TradeServer</v>
      </c>
      <c r="B819" t="str">
        <f>IFERROR(__xludf.DUMMYFUNCTION("""COMPUTED_VALUE"""),"RestartServerOnly")</f>
        <v>RestartServerOnly</v>
      </c>
      <c r="C819" t="str">
        <f>IFERROR(__xludf.DUMMYFUNCTION("""COMPUTED_VALUE"""),"Undefined")</f>
        <v>Undefined</v>
      </c>
    </row>
    <row r="820" ht="15.75" customHeight="1">
      <c r="A820" t="str">
        <f>IFERROR(__xludf.DUMMYFUNCTION("""COMPUTED_VALUE"""),"Blotter")</f>
        <v>Blotter</v>
      </c>
      <c r="B820" t="str">
        <f>IFERROR(__xludf.DUMMYFUNCTION("""COMPUTED_VALUE"""),"VerifyFilterUiRC")</f>
        <v>VerifyFilterUiRC</v>
      </c>
      <c r="C820" t="str">
        <f>IFERROR(__xludf.DUMMYFUNCTION("""COMPUTED_VALUE"""),"1QQZEZqPXfPnxfNID2a3__xw8RnEAn77igg5Q32S3Sm0")</f>
        <v>1QQZEZqPXfPnxfNID2a3__xw8RnEAn77igg5Q32S3Sm0</v>
      </c>
    </row>
    <row r="821" ht="15.75" customHeight="1">
      <c r="A821" t="str">
        <f>IFERROR(__xludf.DUMMYFUNCTION("""COMPUTED_VALUE"""),"TradingTicket")</f>
        <v>TradingTicket</v>
      </c>
      <c r="B821" t="str">
        <f>IFERROR(__xludf.DUMMYFUNCTION("""COMPUTED_VALUE"""),"SymbolSuggestionVerify")</f>
        <v>SymbolSuggestionVerify</v>
      </c>
      <c r="C821" t="str">
        <f>IFERROR(__xludf.DUMMYFUNCTION("""COMPUTED_VALUE"""),"14aTeLjmUbS-nhaQwjtZAMGxdQ5DS6UsBjE5OTWN-LQU")</f>
        <v>14aTeLjmUbS-nhaQwjtZAMGxdQ5DS6UsBjE5OTWN-LQU</v>
      </c>
    </row>
    <row r="822" ht="15.75" customHeight="1">
      <c r="A822" t="str">
        <f>IFERROR(__xludf.DUMMYFUNCTION("""COMPUTED_VALUE"""),"Blotter")</f>
        <v>Blotter</v>
      </c>
      <c r="B822" t="str">
        <f>IFERROR(__xludf.DUMMYFUNCTION("""COMPUTED_VALUE"""),"CreateHotButtonOnBlotter")</f>
        <v>CreateHotButtonOnBlotter</v>
      </c>
      <c r="C822" t="str">
        <f>IFERROR(__xludf.DUMMYFUNCTION("""COMPUTED_VALUE"""),"1Yu7Fb6AjhUP8b-KuRJvgAwq8TykNK6BDh9F0Xpf12Ek")</f>
        <v>1Yu7Fb6AjhUP8b-KuRJvgAwq8TykNK6BDh9F0Xpf12Ek</v>
      </c>
    </row>
    <row r="823" ht="15.75" customHeight="1">
      <c r="A823" t="str">
        <f>IFERROR(__xludf.DUMMYFUNCTION("""COMPUTED_VALUE"""),"Blotter")</f>
        <v>Blotter</v>
      </c>
      <c r="B823" t="str">
        <f>IFERROR(__xludf.DUMMYFUNCTION("""COMPUTED_VALUE"""),"FillHBdetailsOnBlotter")</f>
        <v>FillHBdetailsOnBlotter</v>
      </c>
      <c r="C823" t="str">
        <f>IFERROR(__xludf.DUMMYFUNCTION("""COMPUTED_VALUE"""),"13Isj5c5k8kObxI-GBT6Ir9VBOz_46lzhwVxXXVP8jQU")</f>
        <v>13Isj5c5k8kObxI-GBT6Ir9VBOz_46lzhwVxXXVP8jQU</v>
      </c>
    </row>
    <row r="824" ht="15.75" customHeight="1">
      <c r="A824" t="str">
        <f>IFERROR(__xludf.DUMMYFUNCTION("""COMPUTED_VALUE"""),"TradingTicket")</f>
        <v>TradingTicket</v>
      </c>
      <c r="B824" t="str">
        <f>IFERROR(__xludf.DUMMYFUNCTION("""COMPUTED_VALUE"""),"EditAuecWindow")</f>
        <v>EditAuecWindow</v>
      </c>
      <c r="C824" t="str">
        <f>IFERROR(__xludf.DUMMYFUNCTION("""COMPUTED_VALUE"""),"1ottlNphVbp0AC-UFd-HlDpCLwOA2yWO1pN6eR3ML7vA")</f>
        <v>1ottlNphVbp0AC-UFd-HlDpCLwOA2yWO1pN6eR3ML7vA</v>
      </c>
    </row>
    <row r="825" ht="15.75" customHeight="1">
      <c r="A825" t="str">
        <f>IFERROR(__xludf.DUMMYFUNCTION("""COMPUTED_VALUE"""),"TradingTicket")</f>
        <v>TradingTicket</v>
      </c>
      <c r="B825" t="str">
        <f>IFERROR(__xludf.DUMMYFUNCTION("""COMPUTED_VALUE"""),"VerifyBrokerSummary")</f>
        <v>VerifyBrokerSummary</v>
      </c>
      <c r="C825" t="str">
        <f>IFERROR(__xludf.DUMMYFUNCTION("""COMPUTED_VALUE"""),"11hMxlfIQYwM8vPN2h--IGp7O02EDFbvJ4CSvjSfGsMY")</f>
        <v>11hMxlfIQYwM8vPN2h--IGp7O02EDFbvJ4CSvjSfGsMY</v>
      </c>
    </row>
    <row r="826" ht="15.75" customHeight="1">
      <c r="A826" t="str">
        <f>IFERROR(__xludf.DUMMYFUNCTION("""COMPUTED_VALUE"""),"QTT")</f>
        <v>QTT</v>
      </c>
      <c r="B826" t="str">
        <f>IFERROR(__xludf.DUMMYFUNCTION("""COMPUTED_VALUE"""),"EditAuecWindowQTT")</f>
        <v>EditAuecWindowQTT</v>
      </c>
      <c r="C826" t="str">
        <f>IFERROR(__xludf.DUMMYFUNCTION("""COMPUTED_VALUE"""),"1oI_WY3xKQgSjp5JN67BMHtm3zazX5ZiMATISa2ssGB0")</f>
        <v>1oI_WY3xKQgSjp5JN67BMHtm3zazX5ZiMATISa2ssGB0</v>
      </c>
    </row>
    <row r="827" ht="15.75" customHeight="1">
      <c r="A827" t="str">
        <f>IFERROR(__xludf.DUMMYFUNCTION("""COMPUTED_VALUE"""),"QTT")</f>
        <v>QTT</v>
      </c>
      <c r="B827" t="str">
        <f>IFERROR(__xludf.DUMMYFUNCTION("""COMPUTED_VALUE"""),"VerifyBrokerSummaryQTT")</f>
        <v>VerifyBrokerSummaryQTT</v>
      </c>
      <c r="C827" t="str">
        <f>IFERROR(__xludf.DUMMYFUNCTION("""COMPUTED_VALUE"""),"1O6-eqYsZqtvYR6DOH7UM2_Jwpq9pB9uyZvgh5vEhVAI")</f>
        <v>1O6-eqYsZqtvYR6DOH7UM2_Jwpq9pB9uyZvgh5vEhVAI</v>
      </c>
    </row>
    <row r="828" ht="15.75" customHeight="1">
      <c r="A828" t="str">
        <f>IFERROR(__xludf.DUMMYFUNCTION("""COMPUTED_VALUE"""),"QTT")</f>
        <v>QTT</v>
      </c>
      <c r="B828" t="str">
        <f>IFERROR(__xludf.DUMMYFUNCTION("""COMPUTED_VALUE"""),"SaveQTThotKey")</f>
        <v>SaveQTThotKey</v>
      </c>
      <c r="C828" t="str">
        <f>IFERROR(__xludf.DUMMYFUNCTION("""COMPUTED_VALUE"""),"Undefined")</f>
        <v>Undefined</v>
      </c>
    </row>
    <row r="829" ht="15.75" customHeight="1">
      <c r="A829" t="str">
        <f>IFERROR(__xludf.DUMMYFUNCTION("""COMPUTED_VALUE"""),"Blotter")</f>
        <v>Blotter</v>
      </c>
      <c r="B829" t="str">
        <f>IFERROR(__xludf.DUMMYFUNCTION("""COMPUTED_VALUE"""),"BlotterColumnChooser")</f>
        <v>BlotterColumnChooser</v>
      </c>
      <c r="C829" t="str">
        <f>IFERROR(__xludf.DUMMYFUNCTION("""COMPUTED_VALUE"""),"12428TbyucuJDD3KuN7QG-GyRYI3gcoyDNKTQ2UpgGMQ")</f>
        <v>12428TbyucuJDD3KuN7QG-GyRYI3gcoyDNKTQ2UpgGMQ</v>
      </c>
    </row>
    <row r="830" ht="15.75" customHeight="1">
      <c r="A830" t="str">
        <f>IFERROR(__xludf.DUMMYFUNCTION("""COMPUTED_VALUE"""),"RTPNL")</f>
        <v>RTPNL</v>
      </c>
      <c r="B830" t="str">
        <f>IFERROR(__xludf.DUMMYFUNCTION("""COMPUTED_VALUE"""),"CreateGroupingWidget")</f>
        <v>CreateGroupingWidget</v>
      </c>
      <c r="C830" t="str">
        <f>IFERROR(__xludf.DUMMYFUNCTION("""COMPUTED_VALUE"""),"1ctXhgvJgrqqe8ees0907Up0TKq9pCEhinMlZnRGqKdY")</f>
        <v>1ctXhgvJgrqqe8ees0907Up0TKq9pCEhinMlZnRGqKdY</v>
      </c>
    </row>
    <row r="831" ht="15.75" customHeight="1">
      <c r="A831" t="str">
        <f>IFERROR(__xludf.DUMMYFUNCTION("""COMPUTED_VALUE"""),"RTPNL")</f>
        <v>RTPNL</v>
      </c>
      <c r="B831" t="str">
        <f>IFERROR(__xludf.DUMMYFUNCTION("""COMPUTED_VALUE"""),"CheckGroupingWidget")</f>
        <v>CheckGroupingWidget</v>
      </c>
      <c r="C831" t="str">
        <f>IFERROR(__xludf.DUMMYFUNCTION("""COMPUTED_VALUE"""),"16mimyUFzQ0Ojogh0t4Evjy-tjzAJ67xgIrWeTNmBdw0")</f>
        <v>16mimyUFzQ0Ojogh0t4Evjy-tjzAJ67xgIrWeTNmBdw0</v>
      </c>
    </row>
    <row r="832" ht="15.75" customHeight="1">
      <c r="A832" t="str">
        <f>IFERROR(__xludf.DUMMYFUNCTION("""COMPUTED_VALUE"""),"TradingTicket")</f>
        <v>TradingTicket</v>
      </c>
      <c r="B832" t="str">
        <f>IFERROR(__xludf.DUMMYFUNCTION("""COMPUTED_VALUE"""),"QTTHamburg")</f>
        <v>QTTHamburg</v>
      </c>
      <c r="C832" t="str">
        <f>IFERROR(__xludf.DUMMYFUNCTION("""COMPUTED_VALUE"""),"1pdXDcLRWAl2b2L88lHCntj01OLBjVHaNAdGG8OHa4hA")</f>
        <v>1pdXDcLRWAl2b2L88lHCntj01OLBjVHaNAdGG8OHa4hA</v>
      </c>
    </row>
    <row r="833" ht="15.75" customHeight="1">
      <c r="A833" t="str">
        <f>IFERROR(__xludf.DUMMYFUNCTION("""COMPUTED_VALUE"""),"RTPNL")</f>
        <v>RTPNL</v>
      </c>
      <c r="B833" t="str">
        <f>IFERROR(__xludf.DUMMYFUNCTION("""COMPUTED_VALUE"""),"VerifyL1L2PanelRTPNL")</f>
        <v>VerifyL1L2PanelRTPNL</v>
      </c>
      <c r="C833" t="str">
        <f>IFERROR(__xludf.DUMMYFUNCTION("""COMPUTED_VALUE"""),"1cQo_rX9O9XHFILj0ICV1GAU_RdtTKYlclT20jg9G7hg")</f>
        <v>1cQo_rX9O9XHFILj0ICV1GAU_RdtTKYlclT20jg9G7hg</v>
      </c>
    </row>
    <row r="834" ht="15.75" customHeight="1">
      <c r="A834" t="str">
        <f>IFERROR(__xludf.DUMMYFUNCTION("""COMPUTED_VALUE"""),"Blotter")</f>
        <v>Blotter</v>
      </c>
      <c r="B834" t="str">
        <f>IFERROR(__xludf.DUMMYFUNCTION("""COMPUTED_VALUE"""),"CaptureHotButtonDetails")</f>
        <v>CaptureHotButtonDetails</v>
      </c>
      <c r="C834" t="str">
        <f>IFERROR(__xludf.DUMMYFUNCTION("""COMPUTED_VALUE"""),"16Dail-EoPWyIhwRzxyvr-EY1IE8jJTUQDarvGnXioxI")</f>
        <v>16Dail-EoPWyIhwRzxyvr-EY1IE8jJTUQDarvGnXioxI</v>
      </c>
    </row>
    <row r="835" ht="15.75" customHeight="1">
      <c r="A835" t="str">
        <f>IFERROR(__xludf.DUMMYFUNCTION("""COMPUTED_VALUE"""),"QTT")</f>
        <v>QTT</v>
      </c>
      <c r="B835" t="str">
        <f>IFERROR(__xludf.DUMMYFUNCTION("""COMPUTED_VALUE"""),"EditQuickPreference")</f>
        <v>EditQuickPreference</v>
      </c>
      <c r="C835" t="str">
        <f>IFERROR(__xludf.DUMMYFUNCTION("""COMPUTED_VALUE"""),"133vNW3loXmIKhcuaiCwGIGXOULCttZuJZtPfA4s37vw")</f>
        <v>133vNW3loXmIKhcuaiCwGIGXOULCttZuJZtPfA4s37vw</v>
      </c>
    </row>
    <row r="836" ht="15.75" customHeight="1">
      <c r="A836" t="str">
        <f>IFERROR(__xludf.DUMMYFUNCTION("""COMPUTED_VALUE"""),"Blotter")</f>
        <v>Blotter</v>
      </c>
      <c r="B836" t="str">
        <f>IFERROR(__xludf.DUMMYFUNCTION("""COMPUTED_VALUE"""),"RightClickActionVerification")</f>
        <v>RightClickActionVerification</v>
      </c>
      <c r="C836" t="str">
        <f>IFERROR(__xludf.DUMMYFUNCTION("""COMPUTED_VALUE"""),"11EX1Ln-BQAtx9NTd9zfcaia52FGNdZENDW2kwMCJ8HQ")</f>
        <v>11EX1Ln-BQAtx9NTd9zfcaia52FGNdZENDW2kwMCJ8HQ</v>
      </c>
    </row>
    <row r="837" ht="15.75" customHeight="1">
      <c r="A837" t="str">
        <f>IFERROR(__xludf.DUMMYFUNCTION("""COMPUTED_VALUE"""),"Admin")</f>
        <v>Admin</v>
      </c>
      <c r="B837" t="str">
        <f>IFERROR(__xludf.DUMMYFUNCTION("""COMPUTED_VALUE"""),"ChangeDate")</f>
        <v>ChangeDate</v>
      </c>
      <c r="C837" t="str">
        <f>IFERROR(__xludf.DUMMYFUNCTION("""COMPUTED_VALUE"""),"1P5fd0ftHTs8WR6XF70cltzN5BPur7V01OcYEMpPEMVE")</f>
        <v>1P5fd0ftHTs8WR6XF70cltzN5BPur7V01OcYEMpPEMVE</v>
      </c>
    </row>
    <row r="838" ht="15.75" customHeight="1">
      <c r="A838" t="str">
        <f>IFERROR(__xludf.DUMMYFUNCTION("""COMPUTED_VALUE"""),"Simulator")</f>
        <v>Simulator</v>
      </c>
      <c r="B838" t="str">
        <f>IFERROR(__xludf.DUMMYFUNCTION("""COMPUTED_VALUE"""),"NewAcknowledgeTrade")</f>
        <v>NewAcknowledgeTrade</v>
      </c>
      <c r="C838" t="str">
        <f>IFERROR(__xludf.DUMMYFUNCTION("""COMPUTED_VALUE"""),"1H8R-FdslnMhiBZjAanQN5V9z26E47VjoaeJWQdGZ2pU")</f>
        <v>1H8R-FdslnMhiBZjAanQN5V9z26E47VjoaeJWQdGZ2pU</v>
      </c>
    </row>
    <row r="839" ht="15.75" customHeight="1">
      <c r="A839" t="str">
        <f>IFERROR(__xludf.DUMMYFUNCTION("""COMPUTED_VALUE"""),"Expnl")</f>
        <v>Expnl</v>
      </c>
      <c r="B839" t="str">
        <f>IFERROR(__xludf.DUMMYFUNCTION("""COMPUTED_VALUE"""),"RefreshExpnlUi")</f>
        <v>RefreshExpnlUi</v>
      </c>
      <c r="C839" t="str">
        <f>IFERROR(__xludf.DUMMYFUNCTION("""COMPUTED_VALUE"""),"Undefined")</f>
        <v>Undefined</v>
      </c>
    </row>
    <row r="840" ht="15.75" customHeight="1">
      <c r="A840" t="str">
        <f>IFERROR(__xludf.DUMMYFUNCTION("""COMPUTED_VALUE"""),"Login")</f>
        <v>Login</v>
      </c>
      <c r="B840" t="str">
        <f>IFERROR(__xludf.DUMMYFUNCTION("""COMPUTED_VALUE"""),"Login")</f>
        <v>Login</v>
      </c>
      <c r="C840" t="str">
        <f>IFERROR(__xludf.DUMMYFUNCTION("""COMPUTED_VALUE"""),"1h2sRUHjYrqBoat9XZmeAKHMMSq2oOw6WueOx5S6xZsQ")</f>
        <v>1h2sRUHjYrqBoat9XZmeAKHMMSq2oOw6WueOx5S6xZsQ</v>
      </c>
    </row>
    <row r="841" ht="15.75" customHeight="1">
      <c r="A841" t="str">
        <f>IFERROR(__xludf.DUMMYFUNCTION("""COMPUTED_VALUE"""),"PranaClient")</f>
        <v>PranaClient</v>
      </c>
      <c r="B841" t="str">
        <f>IFERROR(__xludf.DUMMYFUNCTION("""COMPUTED_VALUE"""),"LoginClient")</f>
        <v>LoginClient</v>
      </c>
      <c r="C841" t="str">
        <f>IFERROR(__xludf.DUMMYFUNCTION("""COMPUTED_VALUE"""),"1zfvz-aZrAcrVcCZFJj3FAv1GqBrnIiDpgU-TteWVAOw")</f>
        <v>1zfvz-aZrAcrVcCZFJj3FAv1GqBrnIiDpgU-TteWVAOw</v>
      </c>
    </row>
    <row r="842" ht="15.75" customHeight="1">
      <c r="A842" t="str">
        <f>IFERROR(__xludf.DUMMYFUNCTION("""COMPUTED_VALUE"""),"PranaClient")</f>
        <v>PranaClient</v>
      </c>
      <c r="B842" t="str">
        <f>IFERROR(__xludf.DUMMYFUNCTION("""COMPUTED_VALUE"""),"Action")</f>
        <v>Action</v>
      </c>
      <c r="C842" t="str">
        <f>IFERROR(__xludf.DUMMYFUNCTION("""COMPUTED_VALUE"""),"16YwhwfE3ekYXCEMATeZ129RipXXg6a0WjcUVWOBSLF4")</f>
        <v>16YwhwfE3ekYXCEMATeZ129RipXXg6a0WjcUVWOBSLF4</v>
      </c>
    </row>
    <row r="843" ht="15.75" customHeight="1">
      <c r="A843" t="str">
        <f>IFERROR(__xludf.DUMMYFUNCTION("""COMPUTED_VALUE"""),"Blotter")</f>
        <v>Blotter</v>
      </c>
      <c r="B843" t="str">
        <f>IFERROR(__xludf.DUMMYFUNCTION("""COMPUTED_VALUE"""),"ManageHotButton")</f>
        <v>ManageHotButton</v>
      </c>
      <c r="C843" t="str">
        <f>IFERROR(__xludf.DUMMYFUNCTION("""COMPUTED_VALUE"""),"1kQpkPRi_1u4R3VazjhiilbOI8OkiiHRY2wfgByau1YY")</f>
        <v>1kQpkPRi_1u4R3VazjhiilbOI8OkiiHRY2wfgByau1YY</v>
      </c>
    </row>
    <row r="844" ht="15.75" customHeight="1">
      <c r="A844" t="str">
        <f>IFERROR(__xludf.DUMMYFUNCTION("""COMPUTED_VALUE"""),"RTPNL")</f>
        <v>RTPNL</v>
      </c>
      <c r="B844" t="str">
        <f>IFERROR(__xludf.DUMMYFUNCTION("""COMPUTED_VALUE"""),"UpdateLiveExcelSheetForRTPNL")</f>
        <v>UpdateLiveExcelSheetForRTPNL</v>
      </c>
      <c r="C844" t="str">
        <f>IFERROR(__xludf.DUMMYFUNCTION("""COMPUTED_VALUE"""),"1OudrUjxjY2n0zzZ-I7rurAZeLoeWMTEA6EOQyCYB7zs")</f>
        <v>1OudrUjxjY2n0zzZ-I7rurAZeLoeWMTEA6EOQyCYB7zs</v>
      </c>
    </row>
    <row r="845" ht="15.75" customHeight="1">
      <c r="A845" t="str">
        <f>IFERROR(__xludf.DUMMYFUNCTION("""COMPUTED_VALUE"""),"OpenFin")</f>
        <v>OpenFin</v>
      </c>
      <c r="B845" t="str">
        <f>IFERROR(__xludf.DUMMYFUNCTION("""COMPUTED_VALUE"""),"SavePageRTPNL")</f>
        <v>SavePageRTPNL</v>
      </c>
      <c r="C845" t="str">
        <f>IFERROR(__xludf.DUMMYFUNCTION("""COMPUTED_VALUE"""),"1YqhSG4yXo70SfhUq3fYD9CKf-eg44IFJ37IZh4WLI84")</f>
        <v>1YqhSG4yXo70SfhUq3fYD9CKf-eg44IFJ37IZh4WLI84</v>
      </c>
    </row>
    <row r="846" ht="15.75" customHeight="1">
      <c r="A846" t="str">
        <f>IFERROR(__xludf.DUMMYFUNCTION("""COMPUTED_VALUE"""),"RTPNL")</f>
        <v>RTPNL</v>
      </c>
      <c r="B846" t="str">
        <f>IFERROR(__xludf.DUMMYFUNCTION("""COMPUTED_VALUE"""),"VerifyGridThroughLiveExcel")</f>
        <v>VerifyGridThroughLiveExcel</v>
      </c>
      <c r="C846" t="str">
        <f>IFERROR(__xludf.DUMMYFUNCTION("""COMPUTED_VALUE"""),"1cCUw9lchUCKgHeNcwCDXybCOZXIeN4O0zRhkTZCVDUg")</f>
        <v>1cCUw9lchUCKgHeNcwCDXybCOZXIeN4O0zRhkTZCVDUg</v>
      </c>
    </row>
    <row r="847" ht="15.75" customHeight="1">
      <c r="A847" t="str">
        <f>IFERROR(__xludf.DUMMYFUNCTION("""COMPUTED_VALUE"""),"OpenFin")</f>
        <v>OpenFin</v>
      </c>
      <c r="B847" t="str">
        <f>IFERROR(__xludf.DUMMYFUNCTION("""COMPUTED_VALUE"""),"VerifyToastMessage")</f>
        <v>VerifyToastMessage</v>
      </c>
      <c r="C847" t="str">
        <f>IFERROR(__xludf.DUMMYFUNCTION("""COMPUTED_VALUE"""),"1DYn70fZ-UJ9bocMMWUWIW2IVfXlF5TRVuLedi7Y_LNk")</f>
        <v>1DYn70fZ-UJ9bocMMWUWIW2IVfXlF5TRVuLedi7Y_LNk</v>
      </c>
    </row>
    <row r="848" ht="15.75" customHeight="1">
      <c r="A848" t="str">
        <f>IFERROR(__xludf.DUMMYFUNCTION("""COMPUTED_VALUE"""),"RTPNL")</f>
        <v>RTPNL</v>
      </c>
      <c r="B848" t="str">
        <f>IFERROR(__xludf.DUMMYFUNCTION("""COMPUTED_VALUE"""),"ApplyColumnFilter")</f>
        <v>ApplyColumnFilter</v>
      </c>
      <c r="C848" t="str">
        <f>IFERROR(__xludf.DUMMYFUNCTION("""COMPUTED_VALUE"""),"1N9Nn6t5kuoUpj5sQRZwukYuXz8skh2F7E53j1Um1W1A")</f>
        <v>1N9Nn6t5kuoUpj5sQRZwukYuXz8skh2F7E53j1Um1W1A</v>
      </c>
    </row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Q6" s="9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IFERROR(__xludf.DUMMYFUNCTION("""COMPUTED_VALUE"""),"Asset")</f>
        <v>Asset</v>
      </c>
      <c r="C5" s="28" t="str">
        <f>IFERROR(__xludf.DUMMYFUNCTION("""COMPUTED_VALUE"""),"Account Name")</f>
        <v>Account Name</v>
      </c>
      <c r="D5" s="28" t="str">
        <f>IFERROR(__xludf.DUMMYFUNCTION("""COMPUTED_VALUE"""),"Broker")</f>
        <v>Broker</v>
      </c>
      <c r="E5" s="28" t="str">
        <f>IFERROR(__xludf.DUMMYFUNCTION("""COMPUTED_VALUE"""),"ValidateCheckSide")</f>
        <v>ValidateCheckSide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17</v>
      </c>
      <c r="D6" s="13"/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DisableCheckside!$4:$4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13">
        <v>100.0</v>
      </c>
      <c r="E6" s="13">
        <v>100.0</v>
      </c>
      <c r="F6" s="13" t="s">
        <v>22</v>
      </c>
      <c r="G6" s="8"/>
      <c r="H6" s="8"/>
      <c r="I6" s="8"/>
      <c r="J6" s="13">
        <v>1.0</v>
      </c>
      <c r="K6" s="8"/>
      <c r="L6" s="8"/>
      <c r="M6" s="13" t="s">
        <v>23</v>
      </c>
      <c r="N6" s="32">
        <v>42352.0</v>
      </c>
      <c r="O6" s="8"/>
    </row>
    <row r="7" ht="15.75" customHeight="1">
      <c r="A7" s="8"/>
      <c r="B7" s="13" t="s">
        <v>20</v>
      </c>
      <c r="C7" s="13" t="s">
        <v>24</v>
      </c>
      <c r="D7" s="13">
        <v>100.0</v>
      </c>
      <c r="E7" s="13">
        <v>100.0</v>
      </c>
      <c r="F7" s="13" t="s">
        <v>22</v>
      </c>
      <c r="G7" s="8"/>
      <c r="H7" s="8"/>
      <c r="I7" s="8"/>
      <c r="J7" s="13">
        <v>1.0</v>
      </c>
      <c r="K7" s="8"/>
      <c r="L7" s="8"/>
      <c r="M7" s="13" t="s">
        <v>23</v>
      </c>
      <c r="N7" s="32">
        <v>42352.0</v>
      </c>
      <c r="O7" s="8"/>
    </row>
    <row r="8" ht="15.75" customHeight="1">
      <c r="A8" s="8"/>
      <c r="B8" s="13" t="s">
        <v>20</v>
      </c>
      <c r="C8" s="13" t="s">
        <v>24</v>
      </c>
      <c r="D8" s="13">
        <v>100.0</v>
      </c>
      <c r="E8" s="13">
        <v>100.0</v>
      </c>
      <c r="F8" s="13" t="s">
        <v>22</v>
      </c>
      <c r="G8" s="8"/>
      <c r="H8" s="8"/>
      <c r="I8" s="8"/>
      <c r="J8" s="13">
        <v>1.0</v>
      </c>
      <c r="K8" s="8"/>
      <c r="L8" s="8"/>
      <c r="M8" s="13" t="s">
        <v>23</v>
      </c>
      <c r="N8" s="32">
        <v>42352.0</v>
      </c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26</v>
      </c>
      <c r="C6" s="35" t="s">
        <v>27</v>
      </c>
      <c r="D6" s="36">
        <f>today()</f>
        <v>45855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/>
      <c r="D6" s="13"/>
      <c r="E6" s="1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13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13"/>
      <c r="B8" s="13"/>
      <c r="C8" s="13"/>
      <c r="D8" s="13"/>
      <c r="E8" s="13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 t="str">
        <f>IFERROR(__xludf.DUMMYFUNCTION("""COMPUTED_VALUE"""),"MandatoryColumn")</f>
        <v>MandatoryColumn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9"/>
      <c r="C6" s="38"/>
      <c r="D6" s="40">
        <v>0.0</v>
      </c>
      <c r="E6" s="38"/>
      <c r="F6" s="38" t="s">
        <v>32</v>
      </c>
      <c r="G6" s="38"/>
      <c r="H6" s="38"/>
      <c r="I6" s="38"/>
      <c r="J6" s="38"/>
      <c r="K6" s="38"/>
      <c r="L6" s="38" t="s">
        <v>33</v>
      </c>
      <c r="M6" s="38"/>
      <c r="N6" s="38" t="s">
        <v>34</v>
      </c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 t="s">
        <v>35</v>
      </c>
      <c r="AA6" s="38"/>
      <c r="AB6" s="38"/>
      <c r="AC6" s="38"/>
      <c r="AD6" s="38" t="s">
        <v>36</v>
      </c>
      <c r="AE6" s="41">
        <v>100.0</v>
      </c>
      <c r="AF6" s="38"/>
      <c r="AG6" s="38" t="s">
        <v>37</v>
      </c>
      <c r="AH6" s="41">
        <v>1.0</v>
      </c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 t="s">
        <v>38</v>
      </c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41">
        <v>100.0</v>
      </c>
      <c r="BK6" s="38"/>
      <c r="BL6" s="38"/>
      <c r="BM6" s="38" t="s">
        <v>35</v>
      </c>
      <c r="BN6" s="38"/>
      <c r="BO6" s="42" t="s">
        <v>21</v>
      </c>
      <c r="BP6" s="38"/>
      <c r="BQ6" s="38"/>
      <c r="BR6" s="38"/>
      <c r="BS6" s="38" t="s">
        <v>20</v>
      </c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 t="s">
        <v>39</v>
      </c>
      <c r="CK6" s="38"/>
      <c r="CL6" s="38" t="s">
        <v>20</v>
      </c>
      <c r="CM6" s="38" t="s">
        <v>40</v>
      </c>
      <c r="CN6" s="38" t="s">
        <v>36</v>
      </c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/>
      <c r="C7" s="38"/>
      <c r="D7" s="43">
        <v>0.0</v>
      </c>
      <c r="E7" s="38"/>
      <c r="F7" s="38" t="s">
        <v>32</v>
      </c>
      <c r="G7" s="38"/>
      <c r="H7" s="38"/>
      <c r="I7" s="38"/>
      <c r="J7" s="38"/>
      <c r="K7" s="38"/>
      <c r="L7" s="38" t="s">
        <v>33</v>
      </c>
      <c r="M7" s="38"/>
      <c r="N7" s="38" t="s">
        <v>34</v>
      </c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 t="s">
        <v>35</v>
      </c>
      <c r="AA7" s="38"/>
      <c r="AB7" s="38"/>
      <c r="AC7" s="38"/>
      <c r="AD7" s="38" t="s">
        <v>36</v>
      </c>
      <c r="AE7" s="41">
        <v>100.0</v>
      </c>
      <c r="AF7" s="38"/>
      <c r="AG7" s="38" t="s">
        <v>37</v>
      </c>
      <c r="AH7" s="41">
        <v>1.0</v>
      </c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 t="s">
        <v>38</v>
      </c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41">
        <v>100.0</v>
      </c>
      <c r="BK7" s="38"/>
      <c r="BL7" s="38"/>
      <c r="BM7" s="38" t="s">
        <v>35</v>
      </c>
      <c r="BN7" s="38"/>
      <c r="BO7" s="38" t="s">
        <v>24</v>
      </c>
      <c r="BP7" s="38"/>
      <c r="BQ7" s="38"/>
      <c r="BR7" s="38"/>
      <c r="BS7" s="38" t="s">
        <v>20</v>
      </c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 t="s">
        <v>39</v>
      </c>
      <c r="CK7" s="38"/>
      <c r="CL7" s="38" t="s">
        <v>20</v>
      </c>
      <c r="CM7" s="38" t="s">
        <v>40</v>
      </c>
      <c r="CN7" s="38" t="s">
        <v>36</v>
      </c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8"/>
      <c r="C8" s="38"/>
      <c r="D8" s="43">
        <v>0.0</v>
      </c>
      <c r="E8" s="38"/>
      <c r="F8" s="38" t="s">
        <v>32</v>
      </c>
      <c r="G8" s="38"/>
      <c r="H8" s="38"/>
      <c r="I8" s="38"/>
      <c r="J8" s="38"/>
      <c r="K8" s="38"/>
      <c r="L8" s="38" t="s">
        <v>33</v>
      </c>
      <c r="M8" s="38"/>
      <c r="N8" s="38" t="s">
        <v>34</v>
      </c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 t="s">
        <v>35</v>
      </c>
      <c r="AA8" s="38"/>
      <c r="AB8" s="38"/>
      <c r="AC8" s="38"/>
      <c r="AD8" s="38" t="s">
        <v>36</v>
      </c>
      <c r="AE8" s="41">
        <v>100.0</v>
      </c>
      <c r="AF8" s="38"/>
      <c r="AG8" s="38" t="s">
        <v>37</v>
      </c>
      <c r="AH8" s="41">
        <v>1.0</v>
      </c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 t="s">
        <v>38</v>
      </c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41">
        <v>100.0</v>
      </c>
      <c r="BK8" s="38"/>
      <c r="BL8" s="38"/>
      <c r="BM8" s="38" t="s">
        <v>35</v>
      </c>
      <c r="BN8" s="38"/>
      <c r="BO8" s="38" t="s">
        <v>24</v>
      </c>
      <c r="BP8" s="38"/>
      <c r="BQ8" s="38"/>
      <c r="BR8" s="38"/>
      <c r="BS8" s="38" t="s">
        <v>20</v>
      </c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 t="s">
        <v>39</v>
      </c>
      <c r="CK8" s="38"/>
      <c r="CL8" s="38" t="s">
        <v>20</v>
      </c>
      <c r="CM8" s="38" t="s">
        <v>40</v>
      </c>
      <c r="CN8" s="38" t="s">
        <v>36</v>
      </c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