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0" activeTab="14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CreateDoneAwayOrder" sheetId="5" r:id="rId5"/>
    <sheet name="CreateLiveOrder" sheetId="6" r:id="rId6"/>
    <sheet name="SelectTrade" sheetId="7" r:id="rId7"/>
    <sheet name="AcknowledgeTrade" sheetId="8" r:id="rId8"/>
    <sheet name="ExecuteTrade" sheetId="9" r:id="rId9"/>
    <sheet name="GetDataAllocation" sheetId="10" r:id="rId10"/>
    <sheet name="CheckUnallocatedGroups" sheetId="11" r:id="rId11"/>
    <sheet name="VerifyOrder" sheetId="12" r:id="rId12"/>
    <sheet name="VerifySubOrder" sheetId="13" r:id="rId13"/>
    <sheet name="UploadDropcopyFile" sheetId="14" r:id="rId14"/>
    <sheet name="UploadDropcopyFile1" sheetId="15" r:id="rId15"/>
    <sheet name="GetDataAllocation1" sheetId="16" r:id="rId16"/>
    <sheet name="CheckUnallocatedGroups1" sheetId="17" r:id="rId17"/>
    <sheet name="CheckPortfolioManagement" sheetId="18" r:id="rId18"/>
    <sheet name="SetAutoGroupingAccount" sheetId="19" r:id="rId19"/>
  </sheets>
  <calcPr calcId="145621"/>
</workbook>
</file>

<file path=xl/calcChain.xml><?xml version="1.0" encoding="utf-8"?>
<calcChain xmlns="http://schemas.openxmlformats.org/spreadsheetml/2006/main">
  <c r="D6" i="16" l="1"/>
  <c r="N6" i="6"/>
  <c r="N6" i="5"/>
  <c r="B5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CN5" i="18"/>
  <c r="CF5" i="18"/>
  <c r="BX5" i="18"/>
  <c r="BP5" i="18"/>
  <c r="BH5" i="18"/>
  <c r="AZ5" i="18"/>
  <c r="AR5" i="18"/>
  <c r="AJ5" i="18"/>
  <c r="AB5" i="18"/>
  <c r="T5" i="18"/>
  <c r="L5" i="18"/>
  <c r="D5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CN5" i="17"/>
  <c r="CF5" i="17"/>
  <c r="BX5" i="17"/>
  <c r="BP5" i="17"/>
  <c r="BH5" i="17"/>
  <c r="AZ5" i="17"/>
  <c r="AR5" i="17"/>
  <c r="AJ5" i="17"/>
  <c r="AB5" i="17"/>
  <c r="T5" i="17"/>
  <c r="L5" i="17"/>
  <c r="D5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A5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CM5" i="18"/>
  <c r="CE5" i="18"/>
  <c r="BW5" i="18"/>
  <c r="BO5" i="18"/>
  <c r="BG5" i="18"/>
  <c r="AY5" i="18"/>
  <c r="AQ5" i="18"/>
  <c r="AI5" i="18"/>
  <c r="AA5" i="18"/>
  <c r="S5" i="18"/>
  <c r="K5" i="18"/>
  <c r="C5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CM5" i="17"/>
  <c r="CE5" i="17"/>
  <c r="BW5" i="17"/>
  <c r="BO5" i="17"/>
  <c r="BG5" i="17"/>
  <c r="AY5" i="17"/>
  <c r="AQ5" i="17"/>
  <c r="AI5" i="17"/>
  <c r="AA5" i="17"/>
  <c r="S5" i="17"/>
  <c r="K5" i="17"/>
  <c r="C5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C5" i="15"/>
  <c r="B4" i="14"/>
  <c r="AT5" i="13"/>
  <c r="AL5" i="13"/>
  <c r="AD5" i="13"/>
  <c r="V5" i="13"/>
  <c r="N5" i="13"/>
  <c r="F5" i="13"/>
  <c r="AX4" i="13"/>
  <c r="AP4" i="13"/>
  <c r="AH4" i="13"/>
  <c r="Z4" i="13"/>
  <c r="R4" i="13"/>
  <c r="J4" i="13"/>
  <c r="B4" i="13"/>
  <c r="AU5" i="12"/>
  <c r="AM5" i="12"/>
  <c r="AE5" i="12"/>
  <c r="W5" i="12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CL5" i="18"/>
  <c r="CD5" i="18"/>
  <c r="BV5" i="18"/>
  <c r="BN5" i="18"/>
  <c r="BF5" i="18"/>
  <c r="AX5" i="18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CK5" i="17"/>
  <c r="CC5" i="17"/>
  <c r="BU5" i="17"/>
  <c r="BM5" i="17"/>
  <c r="BE5" i="17"/>
  <c r="AW5" i="17"/>
  <c r="AO5" i="17"/>
  <c r="AG5" i="17"/>
  <c r="Y5" i="17"/>
  <c r="Q5" i="17"/>
  <c r="I5" i="17"/>
  <c r="A5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A5" i="15"/>
  <c r="AZ5" i="13"/>
  <c r="AR5" i="13"/>
  <c r="AJ5" i="13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CR5" i="18"/>
  <c r="CJ5" i="18"/>
  <c r="CB5" i="18"/>
  <c r="BT5" i="18"/>
  <c r="BL5" i="18"/>
  <c r="BD5" i="18"/>
  <c r="AV5" i="18"/>
  <c r="AN5" i="18"/>
  <c r="AF5" i="18"/>
  <c r="X5" i="18"/>
  <c r="P5" i="18"/>
  <c r="H5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CQ5" i="18"/>
  <c r="CI5" i="18"/>
  <c r="CA5" i="18"/>
  <c r="BS5" i="18"/>
  <c r="BK5" i="18"/>
  <c r="BC5" i="18"/>
  <c r="AU5" i="18"/>
  <c r="AM5" i="18"/>
  <c r="AE5" i="18"/>
  <c r="W5" i="18"/>
  <c r="O5" i="18"/>
  <c r="G5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CQ5" i="17"/>
  <c r="CI5" i="17"/>
  <c r="CA5" i="17"/>
  <c r="BS5" i="17"/>
  <c r="BK5" i="17"/>
  <c r="BC5" i="17"/>
  <c r="AU5" i="17"/>
  <c r="AM5" i="17"/>
  <c r="AE5" i="17"/>
  <c r="W5" i="17"/>
  <c r="O5" i="17"/>
  <c r="G5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CP5" i="18"/>
  <c r="CH5" i="18"/>
  <c r="BZ5" i="18"/>
  <c r="BR5" i="18"/>
  <c r="BJ5" i="18"/>
  <c r="BB5" i="18"/>
  <c r="AT5" i="18"/>
  <c r="AL5" i="18"/>
  <c r="AD5" i="18"/>
  <c r="V5" i="18"/>
  <c r="N5" i="18"/>
  <c r="F5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CP5" i="17"/>
  <c r="CH5" i="17"/>
  <c r="BZ5" i="17"/>
  <c r="BR5" i="17"/>
  <c r="BJ5" i="17"/>
  <c r="BB5" i="17"/>
  <c r="AT5" i="17"/>
  <c r="AL5" i="17"/>
  <c r="AD5" i="17"/>
  <c r="V5" i="17"/>
  <c r="N5" i="17"/>
  <c r="F5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C5" i="14"/>
  <c r="AW5" i="13"/>
  <c r="AO5" i="13"/>
  <c r="AG5" i="13"/>
  <c r="Y5" i="13"/>
  <c r="Q5" i="13"/>
  <c r="I5" i="13"/>
  <c r="A5" i="13"/>
  <c r="AS4" i="13"/>
  <c r="AK4" i="13"/>
  <c r="AC4" i="13"/>
  <c r="U4" i="13"/>
  <c r="M4" i="13"/>
  <c r="E4" i="13"/>
  <c r="AX5" i="12"/>
  <c r="AP5" i="12"/>
  <c r="AH5" i="12"/>
  <c r="Z5" i="12"/>
  <c r="R5" i="12"/>
  <c r="J5" i="12"/>
  <c r="B5" i="12"/>
  <c r="AT4" i="12"/>
  <c r="AL4" i="12"/>
  <c r="AD4" i="12"/>
  <c r="V4" i="12"/>
  <c r="N4" i="12"/>
  <c r="F4" i="12"/>
  <c r="CO5" i="11"/>
  <c r="CG5" i="11"/>
  <c r="BY5" i="11"/>
  <c r="BQ5" i="11"/>
  <c r="BI5" i="11"/>
  <c r="BA5" i="11"/>
  <c r="AS5" i="11"/>
  <c r="AK5" i="11"/>
  <c r="AC5" i="11"/>
  <c r="U5" i="11"/>
  <c r="M5" i="11"/>
  <c r="E5" i="11"/>
  <c r="DN4" i="11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CO5" i="18"/>
  <c r="CG5" i="18"/>
  <c r="BY5" i="18"/>
  <c r="BQ5" i="18"/>
  <c r="BI5" i="18"/>
  <c r="BA5" i="18"/>
  <c r="AS5" i="18"/>
  <c r="AK5" i="18"/>
  <c r="AC5" i="18"/>
  <c r="U5" i="18"/>
  <c r="M5" i="18"/>
  <c r="E5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CO5" i="17"/>
  <c r="CG5" i="17"/>
  <c r="BY5" i="17"/>
  <c r="BQ5" i="17"/>
  <c r="BI5" i="17"/>
  <c r="BA5" i="17"/>
  <c r="AS5" i="17"/>
  <c r="AK5" i="17"/>
  <c r="AC5" i="17"/>
  <c r="U5" i="17"/>
  <c r="M5" i="17"/>
  <c r="E5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AP5" i="18"/>
  <c r="CU4" i="18"/>
  <c r="AI4" i="18"/>
  <c r="CB5" i="17"/>
  <c r="AV5" i="17"/>
  <c r="P5" i="17"/>
  <c r="DA4" i="17"/>
  <c r="BU4" i="17"/>
  <c r="AO4" i="17"/>
  <c r="K4" i="17"/>
  <c r="L5" i="16"/>
  <c r="DM4" i="16"/>
  <c r="CW4" i="16"/>
  <c r="CG4" i="16"/>
  <c r="BQ4" i="16"/>
  <c r="BA4" i="16"/>
  <c r="AK4" i="16"/>
  <c r="U4" i="16"/>
  <c r="E4" i="16"/>
  <c r="AN5" i="13"/>
  <c r="AB5" i="13"/>
  <c r="R5" i="13"/>
  <c r="G5" i="13"/>
  <c r="AV4" i="13"/>
  <c r="AL4" i="13"/>
  <c r="AA4" i="13"/>
  <c r="P4" i="13"/>
  <c r="F4" i="13"/>
  <c r="AV5" i="12"/>
  <c r="AK5" i="12"/>
  <c r="AA5" i="12"/>
  <c r="P5" i="12"/>
  <c r="G5" i="12"/>
  <c r="AX4" i="12"/>
  <c r="AO4" i="12"/>
  <c r="AF4" i="12"/>
  <c r="W4" i="12"/>
  <c r="M4" i="12"/>
  <c r="D4" i="12"/>
  <c r="CL5" i="11"/>
  <c r="CC5" i="11"/>
  <c r="BT5" i="11"/>
  <c r="BK5" i="11"/>
  <c r="BB5" i="11"/>
  <c r="AR5" i="11"/>
  <c r="AI5" i="11"/>
  <c r="Z5" i="11"/>
  <c r="Q5" i="11"/>
  <c r="H5" i="11"/>
  <c r="DP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Q5" i="10"/>
  <c r="I5" i="10"/>
  <c r="A5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G4" i="9"/>
  <c r="F5" i="8"/>
  <c r="H4" i="8"/>
  <c r="G5" i="7"/>
  <c r="I4" i="7"/>
  <c r="AH5" i="6"/>
  <c r="Z5" i="6"/>
  <c r="R5" i="6"/>
  <c r="J5" i="6"/>
  <c r="B5" i="6"/>
  <c r="U4" i="6"/>
  <c r="M4" i="6"/>
  <c r="E4" i="6"/>
  <c r="AN5" i="5"/>
  <c r="AF5" i="5"/>
  <c r="X5" i="5"/>
  <c r="P5" i="5"/>
  <c r="H5" i="5"/>
  <c r="AA4" i="5"/>
  <c r="S4" i="5"/>
  <c r="K4" i="5"/>
  <c r="C4" i="5"/>
  <c r="H5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A19" i="3"/>
  <c r="A17" i="3"/>
  <c r="A15" i="3"/>
  <c r="AH5" i="18"/>
  <c r="CM4" i="18"/>
  <c r="AA4" i="18"/>
  <c r="BV5" i="17"/>
  <c r="AP5" i="17"/>
  <c r="J5" i="17"/>
  <c r="CU4" i="17"/>
  <c r="BO4" i="17"/>
  <c r="AI4" i="17"/>
  <c r="I4" i="17"/>
  <c r="K5" i="16"/>
  <c r="DL4" i="16"/>
  <c r="CV4" i="16"/>
  <c r="CF4" i="16"/>
  <c r="BP4" i="16"/>
  <c r="AZ4" i="16"/>
  <c r="AJ4" i="16"/>
  <c r="T4" i="16"/>
  <c r="D4" i="16"/>
  <c r="AY5" i="13"/>
  <c r="AM5" i="13"/>
  <c r="AA5" i="13"/>
  <c r="P5" i="13"/>
  <c r="E5" i="13"/>
  <c r="AU4" i="13"/>
  <c r="AJ4" i="13"/>
  <c r="Y4" i="13"/>
  <c r="O4" i="13"/>
  <c r="D4" i="13"/>
  <c r="AT5" i="12"/>
  <c r="AJ5" i="12"/>
  <c r="Y5" i="12"/>
  <c r="O5" i="12"/>
  <c r="F5" i="12"/>
  <c r="AW4" i="12"/>
  <c r="AN4" i="12"/>
  <c r="AE4" i="12"/>
  <c r="U4" i="12"/>
  <c r="L4" i="12"/>
  <c r="C4" i="12"/>
  <c r="CK5" i="11"/>
  <c r="CB5" i="11"/>
  <c r="BS5" i="11"/>
  <c r="BJ5" i="11"/>
  <c r="AZ5" i="11"/>
  <c r="AQ5" i="11"/>
  <c r="AH5" i="11"/>
  <c r="Y5" i="11"/>
  <c r="P5" i="11"/>
  <c r="G5" i="11"/>
  <c r="DO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P5" i="10"/>
  <c r="H5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F4" i="9"/>
  <c r="E5" i="8"/>
  <c r="G4" i="8"/>
  <c r="F5" i="7"/>
  <c r="H4" i="7"/>
  <c r="AG5" i="6"/>
  <c r="Y5" i="6"/>
  <c r="Q5" i="6"/>
  <c r="I5" i="6"/>
  <c r="A5" i="6"/>
  <c r="T4" i="6"/>
  <c r="L4" i="6"/>
  <c r="D4" i="6"/>
  <c r="AM5" i="5"/>
  <c r="AE5" i="5"/>
  <c r="W5" i="5"/>
  <c r="O5" i="5"/>
  <c r="G5" i="5"/>
  <c r="Z4" i="5"/>
  <c r="R4" i="5"/>
  <c r="J4" i="5"/>
  <c r="Z5" i="18"/>
  <c r="CE4" i="18"/>
  <c r="S4" i="18"/>
  <c r="BT5" i="17"/>
  <c r="AN5" i="17"/>
  <c r="H5" i="17"/>
  <c r="CS4" i="17"/>
  <c r="BM4" i="17"/>
  <c r="AG4" i="17"/>
  <c r="F4" i="17"/>
  <c r="I5" i="16"/>
  <c r="DJ4" i="16"/>
  <c r="CT4" i="16"/>
  <c r="CD4" i="16"/>
  <c r="BN4" i="16"/>
  <c r="AX4" i="16"/>
  <c r="AH4" i="16"/>
  <c r="R4" i="16"/>
  <c r="B4" i="16"/>
  <c r="AX5" i="13"/>
  <c r="AK5" i="13"/>
  <c r="Z5" i="13"/>
  <c r="O5" i="13"/>
  <c r="D5" i="13"/>
  <c r="AT4" i="13"/>
  <c r="AI4" i="13"/>
  <c r="X4" i="13"/>
  <c r="N4" i="13"/>
  <c r="C4" i="13"/>
  <c r="AS5" i="12"/>
  <c r="AI5" i="12"/>
  <c r="X5" i="12"/>
  <c r="N5" i="12"/>
  <c r="E5" i="12"/>
  <c r="AV4" i="12"/>
  <c r="AM4" i="12"/>
  <c r="AC4" i="12"/>
  <c r="T4" i="12"/>
  <c r="K4" i="12"/>
  <c r="B4" i="12"/>
  <c r="CJ5" i="11"/>
  <c r="CA5" i="11"/>
  <c r="BR5" i="11"/>
  <c r="BH5" i="11"/>
  <c r="AY5" i="11"/>
  <c r="AP5" i="11"/>
  <c r="AG5" i="11"/>
  <c r="X5" i="11"/>
  <c r="O5" i="11"/>
  <c r="F5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O5" i="10"/>
  <c r="G5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C5" i="9"/>
  <c r="E4" i="9"/>
  <c r="D5" i="8"/>
  <c r="F4" i="8"/>
  <c r="E5" i="7"/>
  <c r="G4" i="7"/>
  <c r="AN5" i="6"/>
  <c r="AF5" i="6"/>
  <c r="X5" i="6"/>
  <c r="P5" i="6"/>
  <c r="H5" i="6"/>
  <c r="AA4" i="6"/>
  <c r="S4" i="6"/>
  <c r="K4" i="6"/>
  <c r="C4" i="6"/>
  <c r="AL5" i="5"/>
  <c r="AD5" i="5"/>
  <c r="V5" i="5"/>
  <c r="N5" i="5"/>
  <c r="F5" i="5"/>
  <c r="Y4" i="5"/>
  <c r="Q4" i="5"/>
  <c r="I4" i="5"/>
  <c r="F5" i="4"/>
  <c r="DO4" i="4"/>
  <c r="DG4" i="4"/>
  <c r="CY4" i="4"/>
  <c r="CQ4" i="4"/>
  <c r="CI4" i="4"/>
  <c r="CA4" i="4"/>
  <c r="BS4" i="4"/>
  <c r="BK4" i="4"/>
  <c r="BC4" i="4"/>
  <c r="AU4" i="4"/>
  <c r="AM4" i="4"/>
  <c r="AE4" i="4"/>
  <c r="W4" i="4"/>
  <c r="O4" i="4"/>
  <c r="G4" i="4"/>
  <c r="C20" i="3"/>
  <c r="C18" i="3"/>
  <c r="C16" i="3"/>
  <c r="C14" i="3"/>
  <c r="R5" i="18"/>
  <c r="BW4" i="18"/>
  <c r="K4" i="18"/>
  <c r="BN5" i="17"/>
  <c r="AH5" i="17"/>
  <c r="B5" i="17"/>
  <c r="CM4" i="17"/>
  <c r="BG4" i="17"/>
  <c r="AA4" i="17"/>
  <c r="C4" i="17"/>
  <c r="F5" i="16"/>
  <c r="DG4" i="16"/>
  <c r="CQ4" i="16"/>
  <c r="CA4" i="16"/>
  <c r="BK4" i="16"/>
  <c r="AU4" i="16"/>
  <c r="AE4" i="16"/>
  <c r="O4" i="16"/>
  <c r="B5" i="15"/>
  <c r="AV5" i="13"/>
  <c r="AI5" i="13"/>
  <c r="X5" i="13"/>
  <c r="M5" i="13"/>
  <c r="C5" i="13"/>
  <c r="AR4" i="13"/>
  <c r="AG4" i="13"/>
  <c r="W4" i="13"/>
  <c r="L4" i="13"/>
  <c r="AR5" i="12"/>
  <c r="AG5" i="12"/>
  <c r="V5" i="12"/>
  <c r="M5" i="12"/>
  <c r="D5" i="12"/>
  <c r="AU4" i="12"/>
  <c r="AK4" i="12"/>
  <c r="AB4" i="12"/>
  <c r="S4" i="12"/>
  <c r="J4" i="12"/>
  <c r="CI5" i="11"/>
  <c r="BZ5" i="11"/>
  <c r="BP5" i="11"/>
  <c r="BG5" i="11"/>
  <c r="AX5" i="11"/>
  <c r="AO5" i="11"/>
  <c r="AF5" i="11"/>
  <c r="W5" i="11"/>
  <c r="N5" i="11"/>
  <c r="D5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N5" i="10"/>
  <c r="F5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B5" i="9"/>
  <c r="D4" i="9"/>
  <c r="C5" i="8"/>
  <c r="E4" i="8"/>
  <c r="D5" i="7"/>
  <c r="F4" i="7"/>
  <c r="AM5" i="6"/>
  <c r="AE5" i="6"/>
  <c r="W5" i="6"/>
  <c r="O5" i="6"/>
  <c r="G5" i="6"/>
  <c r="Z4" i="6"/>
  <c r="R4" i="6"/>
  <c r="J4" i="6"/>
  <c r="B4" i="6"/>
  <c r="AK5" i="5"/>
  <c r="AC5" i="5"/>
  <c r="U5" i="5"/>
  <c r="M5" i="5"/>
  <c r="E5" i="5"/>
  <c r="X4" i="5"/>
  <c r="P4" i="5"/>
  <c r="H4" i="5"/>
  <c r="M5" i="4"/>
  <c r="E5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B20" i="3"/>
  <c r="B18" i="3"/>
  <c r="B16" i="3"/>
  <c r="B14" i="3"/>
  <c r="J5" i="18"/>
  <c r="BO4" i="18"/>
  <c r="C4" i="18"/>
  <c r="BL5" i="17"/>
  <c r="AF5" i="17"/>
  <c r="DQ4" i="17"/>
  <c r="CK4" i="17"/>
  <c r="BE4" i="17"/>
  <c r="Y4" i="17"/>
  <c r="D5" i="16"/>
  <c r="DE4" i="16"/>
  <c r="CO4" i="16"/>
  <c r="BY4" i="16"/>
  <c r="BI4" i="16"/>
  <c r="AS4" i="16"/>
  <c r="AC4" i="16"/>
  <c r="M4" i="16"/>
  <c r="B4" i="15"/>
  <c r="AU5" i="13"/>
  <c r="AH5" i="13"/>
  <c r="W5" i="13"/>
  <c r="L5" i="13"/>
  <c r="B5" i="13"/>
  <c r="AQ4" i="13"/>
  <c r="AF4" i="13"/>
  <c r="V4" i="13"/>
  <c r="K4" i="13"/>
  <c r="BA5" i="12"/>
  <c r="AQ5" i="12"/>
  <c r="AF5" i="12"/>
  <c r="U5" i="12"/>
  <c r="L5" i="12"/>
  <c r="C5" i="12"/>
  <c r="AS4" i="12"/>
  <c r="AJ4" i="12"/>
  <c r="AA4" i="12"/>
  <c r="R4" i="12"/>
  <c r="I4" i="12"/>
  <c r="CQ5" i="11"/>
  <c r="CH5" i="11"/>
  <c r="BX5" i="11"/>
  <c r="BO5" i="11"/>
  <c r="BF5" i="11"/>
  <c r="AW5" i="11"/>
  <c r="AN5" i="11"/>
  <c r="AE5" i="11"/>
  <c r="V5" i="11"/>
  <c r="L5" i="11"/>
  <c r="C5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M5" i="10"/>
  <c r="E5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A5" i="9"/>
  <c r="C4" i="9"/>
  <c r="B5" i="8"/>
  <c r="D4" i="8"/>
  <c r="C5" i="7"/>
  <c r="E4" i="7"/>
  <c r="AL5" i="6"/>
  <c r="AD5" i="6"/>
  <c r="V5" i="6"/>
  <c r="N5" i="6"/>
  <c r="F5" i="6"/>
  <c r="Y4" i="6"/>
  <c r="Q4" i="6"/>
  <c r="I4" i="6"/>
  <c r="AJ5" i="5"/>
  <c r="AB5" i="5"/>
  <c r="T5" i="5"/>
  <c r="L5" i="5"/>
  <c r="D5" i="5"/>
  <c r="W4" i="5"/>
  <c r="O4" i="5"/>
  <c r="G4" i="5"/>
  <c r="L5" i="4"/>
  <c r="D5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A20" i="3"/>
  <c r="A18" i="3"/>
  <c r="A16" i="3"/>
  <c r="A14" i="3"/>
  <c r="B5" i="18"/>
  <c r="BG4" i="18"/>
  <c r="CL5" i="17"/>
  <c r="BF5" i="17"/>
  <c r="Z5" i="17"/>
  <c r="DK4" i="17"/>
  <c r="CE4" i="17"/>
  <c r="AY4" i="17"/>
  <c r="S4" i="17"/>
  <c r="C5" i="16"/>
  <c r="DD4" i="16"/>
  <c r="CN4" i="16"/>
  <c r="BX4" i="16"/>
  <c r="BH4" i="16"/>
  <c r="AR4" i="16"/>
  <c r="AB4" i="16"/>
  <c r="L4" i="16"/>
  <c r="AS5" i="13"/>
  <c r="AF5" i="13"/>
  <c r="U5" i="13"/>
  <c r="K5" i="13"/>
  <c r="AZ4" i="13"/>
  <c r="AO4" i="13"/>
  <c r="AE4" i="13"/>
  <c r="T4" i="13"/>
  <c r="I4" i="13"/>
  <c r="AZ5" i="12"/>
  <c r="AO5" i="12"/>
  <c r="AD5" i="12"/>
  <c r="T5" i="12"/>
  <c r="K5" i="12"/>
  <c r="A5" i="12"/>
  <c r="AR4" i="12"/>
  <c r="AI4" i="12"/>
  <c r="Z4" i="12"/>
  <c r="Q4" i="12"/>
  <c r="H4" i="12"/>
  <c r="CP5" i="11"/>
  <c r="CF5" i="11"/>
  <c r="BW5" i="11"/>
  <c r="BN5" i="11"/>
  <c r="BE5" i="11"/>
  <c r="AV5" i="11"/>
  <c r="AM5" i="11"/>
  <c r="AD5" i="11"/>
  <c r="T5" i="11"/>
  <c r="K5" i="11"/>
  <c r="B5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L5" i="10"/>
  <c r="D5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J4" i="9"/>
  <c r="B4" i="9"/>
  <c r="A5" i="8"/>
  <c r="C4" i="8"/>
  <c r="B5" i="7"/>
  <c r="D4" i="7"/>
  <c r="AK5" i="6"/>
  <c r="AC5" i="6"/>
  <c r="U5" i="6"/>
  <c r="M5" i="6"/>
  <c r="E5" i="6"/>
  <c r="X4" i="6"/>
  <c r="P4" i="6"/>
  <c r="H4" i="6"/>
  <c r="AI5" i="5"/>
  <c r="AA5" i="5"/>
  <c r="S5" i="5"/>
  <c r="K5" i="5"/>
  <c r="C5" i="5"/>
  <c r="V4" i="5"/>
  <c r="N4" i="5"/>
  <c r="F4" i="5"/>
  <c r="K5" i="4"/>
  <c r="C5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D19" i="3"/>
  <c r="DK4" i="18"/>
  <c r="AY4" i="18"/>
  <c r="CJ5" i="17"/>
  <c r="BD5" i="17"/>
  <c r="X5" i="17"/>
  <c r="DI4" i="17"/>
  <c r="CC4" i="17"/>
  <c r="AW4" i="17"/>
  <c r="Q4" i="17"/>
  <c r="Q5" i="16"/>
  <c r="A5" i="16"/>
  <c r="DB4" i="16"/>
  <c r="CL4" i="16"/>
  <c r="BV4" i="16"/>
  <c r="BF4" i="16"/>
  <c r="AP4" i="16"/>
  <c r="Z4" i="16"/>
  <c r="J4" i="16"/>
  <c r="B5" i="14"/>
  <c r="AQ5" i="13"/>
  <c r="AE5" i="13"/>
  <c r="T5" i="13"/>
  <c r="J5" i="13"/>
  <c r="AY4" i="13"/>
  <c r="AN4" i="13"/>
  <c r="AD4" i="13"/>
  <c r="S4" i="13"/>
  <c r="H4" i="13"/>
  <c r="AY5" i="12"/>
  <c r="AN5" i="12"/>
  <c r="AC5" i="12"/>
  <c r="S5" i="12"/>
  <c r="I5" i="12"/>
  <c r="AZ4" i="12"/>
  <c r="AQ4" i="12"/>
  <c r="AH4" i="12"/>
  <c r="Y4" i="12"/>
  <c r="P4" i="12"/>
  <c r="G4" i="12"/>
  <c r="CN5" i="11"/>
  <c r="CE5" i="11"/>
  <c r="BV5" i="11"/>
  <c r="BM5" i="11"/>
  <c r="BD5" i="11"/>
  <c r="AU5" i="11"/>
  <c r="AL5" i="11"/>
  <c r="AB5" i="11"/>
  <c r="S5" i="11"/>
  <c r="J5" i="11"/>
  <c r="A5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K5" i="10"/>
  <c r="C5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I4" i="9"/>
  <c r="J4" i="8"/>
  <c r="B4" i="8"/>
  <c r="A5" i="7"/>
  <c r="C4" i="7"/>
  <c r="AJ5" i="6"/>
  <c r="AB5" i="6"/>
  <c r="T5" i="6"/>
  <c r="L5" i="6"/>
  <c r="D5" i="6"/>
  <c r="W4" i="6"/>
  <c r="O4" i="6"/>
  <c r="G4" i="6"/>
  <c r="AP5" i="5"/>
  <c r="AH5" i="5"/>
  <c r="Z5" i="5"/>
  <c r="R5" i="5"/>
  <c r="J5" i="5"/>
  <c r="B5" i="5"/>
  <c r="U4" i="5"/>
  <c r="M4" i="5"/>
  <c r="E4" i="5"/>
  <c r="J5" i="4"/>
  <c r="B5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DC4" i="18"/>
  <c r="AQ4" i="18"/>
  <c r="CD5" i="17"/>
  <c r="AX5" i="17"/>
  <c r="R5" i="17"/>
  <c r="DC4" i="17"/>
  <c r="BW4" i="17"/>
  <c r="AQ4" i="17"/>
  <c r="N4" i="17"/>
  <c r="N5" i="16"/>
  <c r="DO4" i="16"/>
  <c r="CY4" i="16"/>
  <c r="CI4" i="16"/>
  <c r="BS4" i="16"/>
  <c r="BC4" i="16"/>
  <c r="AM4" i="16"/>
  <c r="W4" i="16"/>
  <c r="G4" i="16"/>
  <c r="A5" i="14"/>
  <c r="AP5" i="13"/>
  <c r="AC5" i="13"/>
  <c r="S5" i="13"/>
  <c r="H5" i="13"/>
  <c r="AW4" i="13"/>
  <c r="AM4" i="13"/>
  <c r="AB4" i="13"/>
  <c r="Q4" i="13"/>
  <c r="G4" i="13"/>
  <c r="AW5" i="12"/>
  <c r="AL5" i="12"/>
  <c r="AB5" i="12"/>
  <c r="Q5" i="12"/>
  <c r="H5" i="12"/>
  <c r="AY4" i="12"/>
  <c r="AP4" i="12"/>
  <c r="AG4" i="12"/>
  <c r="X4" i="12"/>
  <c r="O4" i="12"/>
  <c r="E4" i="12"/>
  <c r="CM5" i="11"/>
  <c r="CD5" i="11"/>
  <c r="BU5" i="11"/>
  <c r="BL5" i="11"/>
  <c r="BC5" i="11"/>
  <c r="AT5" i="11"/>
  <c r="AJ5" i="11"/>
  <c r="AA5" i="11"/>
  <c r="R5" i="11"/>
  <c r="I5" i="11"/>
  <c r="DQ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R5" i="10"/>
  <c r="J5" i="10"/>
  <c r="B5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H4" i="9"/>
  <c r="G5" i="8"/>
  <c r="I4" i="8"/>
  <c r="J4" i="7"/>
  <c r="B4" i="7"/>
  <c r="AI5" i="6"/>
  <c r="AA5" i="6"/>
  <c r="S5" i="6"/>
  <c r="K5" i="6"/>
  <c r="C5" i="6"/>
  <c r="V4" i="6"/>
  <c r="N4" i="6"/>
  <c r="F4" i="6"/>
  <c r="AO5" i="5"/>
  <c r="AG5" i="5"/>
  <c r="Y5" i="5"/>
  <c r="Q5" i="5"/>
  <c r="I5" i="5"/>
  <c r="A5" i="5"/>
  <c r="T4" i="5"/>
  <c r="L4" i="5"/>
  <c r="D4" i="5"/>
  <c r="I5" i="4"/>
  <c r="A5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CR4" i="4"/>
  <c r="AF4" i="4"/>
  <c r="D17" i="3"/>
  <c r="D13" i="3"/>
  <c r="D11" i="3"/>
  <c r="D9" i="3"/>
  <c r="D7" i="3"/>
  <c r="D5" i="3"/>
  <c r="C503" i="1"/>
  <c r="A501" i="1"/>
  <c r="B498" i="1"/>
  <c r="C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CJ4" i="4"/>
  <c r="X4" i="4"/>
  <c r="C17" i="3"/>
  <c r="C13" i="3"/>
  <c r="C11" i="3"/>
  <c r="C9" i="3"/>
  <c r="C7" i="3"/>
  <c r="C5" i="3"/>
  <c r="B503" i="1"/>
  <c r="C500" i="1"/>
  <c r="A498" i="1"/>
  <c r="B495" i="1"/>
  <c r="B492" i="1"/>
  <c r="C489" i="1"/>
  <c r="A487" i="1"/>
  <c r="B484" i="1"/>
  <c r="C481" i="1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B4" i="4"/>
  <c r="P4" i="4"/>
  <c r="B17" i="3"/>
  <c r="B13" i="3"/>
  <c r="B11" i="3"/>
  <c r="B9" i="3"/>
  <c r="B7" i="3"/>
  <c r="B5" i="3"/>
  <c r="A503" i="1"/>
  <c r="B500" i="1"/>
  <c r="C497" i="1"/>
  <c r="A495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4" i="5"/>
  <c r="BT4" i="4"/>
  <c r="H4" i="4"/>
  <c r="D16" i="3"/>
  <c r="A13" i="3"/>
  <c r="A11" i="3"/>
  <c r="A9" i="3"/>
  <c r="A7" i="3"/>
  <c r="A5" i="3"/>
  <c r="C502" i="1"/>
  <c r="A500" i="1"/>
  <c r="B497" i="1"/>
  <c r="C494" i="1"/>
  <c r="C491" i="1"/>
  <c r="A489" i="1"/>
  <c r="B486" i="1"/>
  <c r="C483" i="1"/>
  <c r="A481" i="1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G5" i="4"/>
  <c r="BL4" i="4"/>
  <c r="D20" i="3"/>
  <c r="D15" i="3"/>
  <c r="D12" i="3"/>
  <c r="D10" i="3"/>
  <c r="D8" i="3"/>
  <c r="D6" i="3"/>
  <c r="D4" i="3"/>
  <c r="B502" i="1"/>
  <c r="C499" i="1"/>
  <c r="A497" i="1"/>
  <c r="B494" i="1"/>
  <c r="B491" i="1"/>
  <c r="C488" i="1"/>
  <c r="A486" i="1"/>
  <c r="B483" i="1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DP4" i="4"/>
  <c r="BD4" i="4"/>
  <c r="C19" i="3"/>
  <c r="C15" i="3"/>
  <c r="C12" i="3"/>
  <c r="C10" i="3"/>
  <c r="C8" i="3"/>
  <c r="C6" i="3"/>
  <c r="C4" i="3"/>
  <c r="A502" i="1"/>
  <c r="B499" i="1"/>
  <c r="C496" i="1"/>
  <c r="A494" i="1"/>
  <c r="A491" i="1"/>
  <c r="B488" i="1"/>
  <c r="C485" i="1"/>
  <c r="A483" i="1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DH4" i="4"/>
  <c r="AV4" i="4"/>
  <c r="B19" i="3"/>
  <c r="B15" i="3"/>
  <c r="B12" i="3"/>
  <c r="B10" i="3"/>
  <c r="B8" i="3"/>
  <c r="B6" i="3"/>
  <c r="B4" i="3"/>
  <c r="C501" i="1"/>
  <c r="A499" i="1"/>
  <c r="B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Z4" i="4"/>
  <c r="AN4" i="4"/>
  <c r="D18" i="3"/>
  <c r="D14" i="3"/>
  <c r="A12" i="3"/>
  <c r="A10" i="3"/>
  <c r="A8" i="3"/>
  <c r="A6" i="3"/>
  <c r="A4" i="3"/>
  <c r="B501" i="1"/>
  <c r="C498" i="1"/>
  <c r="A496" i="1"/>
  <c r="A493" i="1"/>
  <c r="B490" i="1"/>
  <c r="C487" i="1"/>
  <c r="A485" i="1"/>
  <c r="B482" i="1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J2" i="16" l="1"/>
  <c r="J2" i="19"/>
  <c r="J2" i="18"/>
  <c r="J2" i="14"/>
  <c r="J2" i="7"/>
  <c r="J2" i="4"/>
  <c r="J2" i="10"/>
  <c r="J2" i="5"/>
  <c r="J2" i="13"/>
  <c r="J2" i="12"/>
  <c r="J2" i="17"/>
  <c r="J2" i="6"/>
  <c r="J2" i="15"/>
  <c r="J2" i="11"/>
  <c r="J2" i="9"/>
  <c r="J2" i="8"/>
</calcChain>
</file>

<file path=xl/sharedStrings.xml><?xml version="1.0" encoding="utf-8"?>
<sst xmlns="http://schemas.openxmlformats.org/spreadsheetml/2006/main" count="200" uniqueCount="55">
  <si>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</si>
  <si>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</si>
  <si>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</si>
  <si>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</si>
  <si>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</si>
  <si>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</si>
  <si>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</si>
  <si>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</si>
  <si>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</si>
  <si>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</si>
  <si>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</si>
  <si>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</si>
  <si>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</si>
  <si>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</si>
  <si>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</si>
  <si>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</si>
  <si>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</si>
  <si>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</si>
  <si>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</si>
  <si>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</si>
  <si>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</si>
  <si>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CreateLiveOrder</t>
  </si>
  <si>
    <t>MS</t>
  </si>
  <si>
    <t>Simulator</t>
  </si>
  <si>
    <t>SelectTrade</t>
  </si>
  <si>
    <t>AcknowledgeTrade</t>
  </si>
  <si>
    <t>ExecuteTrade</t>
  </si>
  <si>
    <t>GetDataAllocation</t>
  </si>
  <si>
    <t>Current</t>
  </si>
  <si>
    <t>CheckUnallocatedGroups</t>
  </si>
  <si>
    <t>Equity</t>
  </si>
  <si>
    <t>AAPL US EQUITY</t>
  </si>
  <si>
    <t>USD</t>
  </si>
  <si>
    <t>NASDAQ</t>
  </si>
  <si>
    <t>M</t>
  </si>
  <si>
    <t>Market</t>
  </si>
  <si>
    <t>GCCAP1</t>
  </si>
  <si>
    <t>US</t>
  </si>
  <si>
    <t>jpearce</t>
  </si>
  <si>
    <t>Blotter</t>
  </si>
  <si>
    <t>VerifyOrder</t>
  </si>
  <si>
    <t>Filled</t>
  </si>
  <si>
    <t>VerifySubOrder</t>
  </si>
  <si>
    <t>Dropcopy</t>
  </si>
  <si>
    <t>UploadDropcopyFile</t>
  </si>
  <si>
    <t>Historical</t>
  </si>
  <si>
    <t>1/1/1800</t>
  </si>
  <si>
    <t>GS</t>
  </si>
  <si>
    <t>NYSE</t>
  </si>
  <si>
    <t>Limit</t>
  </si>
  <si>
    <t>SAP</t>
  </si>
  <si>
    <t>Auto</t>
  </si>
  <si>
    <t>CheckAllocatedGroups</t>
  </si>
  <si>
    <t>SetAutoGroupingAccount</t>
  </si>
  <si>
    <t>\\192.168.2.108\DistributedAutomation_Master\Import Cases\Perfectt file.xls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</si>
</sst>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63238"/>
      <name val="Roboto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  <font>
      <u/>
      <sz val="1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0" borderId="0" xfId="0" applyFont="1" applyAlignment="1">
      <alignment horizontal="left"/>
    </xf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4" borderId="0" xfId="0" applyFont="1" applyFill="1" applyAlignment="1"/>
    <xf numFmtId="0" fontId="13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1" fillId="5" borderId="0" xfId="0" applyFont="1" applyFill="1"/>
    <xf numFmtId="0" fontId="5" fillId="0" borderId="5" xfId="0" applyFont="1" applyBorder="1" applyAlignment="1">
      <alignment horizontal="center"/>
    </xf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14" fontId="14" fillId="6" borderId="5" xfId="0" applyNumberFormat="1" applyFont="1" applyFill="1" applyBorder="1" applyAlignment="1">
      <alignment horizontal="right"/>
    </xf>
    <xf numFmtId="0" fontId="3" fillId="0" borderId="5" xfId="0" applyFont="1" applyBorder="1" applyAlignment="1"/>
    <xf numFmtId="0" fontId="5" fillId="0" borderId="0" xfId="0" applyFont="1" applyAlignment="1"/>
    <xf numFmtId="0" fontId="3" fillId="0" borderId="5" xfId="0" applyFont="1" applyBorder="1" applyAlignment="1"/>
    <xf numFmtId="0" fontId="5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5" fillId="0" borderId="5" xfId="0" applyFont="1" applyBorder="1" applyAlignment="1">
      <alignment horizontal="right"/>
    </xf>
    <xf numFmtId="14" fontId="5" fillId="0" borderId="0" xfId="0" applyNumberFormat="1" applyFont="1" applyAlignme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5" fillId="0" borderId="5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file:///\\192.168.2.108\DistributedAutomation_Master\Import%20Cases\Perfectt%20file.xls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file:///\\192.168.2.108\DistributedAutomation_Master\Import%20Cases\Perfectt%20file.xls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0" t="s">
        <v>0</v>
      </c>
      <c r="B1" s="51"/>
      <c r="C1" s="51"/>
      <c r="D1" s="51"/>
      <c r="E1" s="51"/>
      <c r="F1" s="52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IFERROR(__xludf.DUMMYFUNCTION("""COMPUTED_VALUE"""),"Blotter")</f>
        <v>Blotter</v>
      </c>
      <c r="B495" t="str">
        <f ca="1">IFERROR(__xludf.DUMMYFUNCTION("""COMPUTED_VALUE"""),"GetExecutionReportOrders")</f>
        <v>GetExecutionReportOrders</v>
      </c>
      <c r="C495" t="str">
        <f ca="1">IFERROR(__xludf.DUMMYFUNCTION("""COMPUTED_VALUE"""),"1hQPEUlOvv9Vi1KsbHsN6z0TIt4-v9Ckko9Z170M5bto")</f>
        <v>1hQPEUlOvv9Vi1KsbHsN6z0TIt4-v9Ckko9Z170M5bto</v>
      </c>
    </row>
    <row r="496" spans="1:3" ht="15.75" customHeight="1">
      <c r="A496" t="str">
        <f ca="1">IFERROR(__xludf.DUMMYFUNCTION("""COMPUTED_VALUE"""),"Blotter")</f>
        <v>Blotter</v>
      </c>
      <c r="B496" t="str">
        <f ca="1">IFERROR(__xludf.DUMMYFUNCTION("""COMPUTED_VALUE"""),"VerifyExecutionReport")</f>
        <v>VerifyExecutionReport</v>
      </c>
      <c r="C496" t="str">
        <f ca="1">IFERROR(__xludf.DUMMYFUNCTION("""COMPUTED_VALUE"""),"15sKQ6yRs5rA6j70FvZOyg9HBsLCsZF-psuPGXdEFJSg")</f>
        <v>15sKQ6yRs5rA6j70FvZOyg9HBsLCsZF-psuPGXdEFJSg</v>
      </c>
    </row>
    <row r="497" spans="1:3" ht="15.75" customHeight="1">
      <c r="A497" t="str">
        <f ca="1">IFERROR(__xludf.DUMMYFUNCTION("""COMPUTED_VALUE"""),"Admin")</f>
        <v>Admin</v>
      </c>
      <c r="B497" t="str">
        <f ca="1">IFERROR(__xludf.DUMMYFUNCTION("""COMPUTED_VALUE"""),"EnableDisableModule")</f>
        <v>EnableDisableModule</v>
      </c>
      <c r="C497" t="str">
        <f ca="1">IFERROR(__xludf.DUMMYFUNCTION("""COMPUTED_VALUE"""),"15tD_fIpFjzJbtr_OxvY-KeLg88908v4fXmpVzi9shPk")</f>
        <v>15tD_fIpFjzJbtr_OxvY-KeLg88908v4fXmpVzi9shPk</v>
      </c>
    </row>
    <row r="498" spans="1:3" ht="15.75" customHeight="1">
      <c r="A498" t="str">
        <f ca="1">IFERROR(__xludf.DUMMYFUNCTION("""COMPUTED_VALUE"""),"Compliance")</f>
        <v>Compliance</v>
      </c>
      <c r="B498" t="str">
        <f ca="1">IFERROR(__xludf.DUMMYFUNCTION("""COMPUTED_VALUE"""),"VerifyRowCalculationBaseWindow")</f>
        <v>VerifyRowCalculationBaseWindow</v>
      </c>
      <c r="C498" t="str">
        <f ca="1">IFERROR(__xludf.DUMMYFUNCTION("""COMPUTED_VALUE"""),"16bZAwMHOfN8bD2TadtVor3HvDM0dtF51XYU1iRUEXpQ")</f>
        <v>16bZAwMHOfN8bD2TadtVor3HvDM0dtF51XYU1iRUEXpQ</v>
      </c>
    </row>
    <row r="499" spans="1:3" ht="15.75" customHeight="1">
      <c r="A499" t="str">
        <f ca="1">IFERROR(__xludf.DUMMYFUNCTION("""COMPUTED_VALUE"""),"Admin")</f>
        <v>Admin</v>
      </c>
      <c r="B499" t="str">
        <f ca="1">IFERROR(__xludf.DUMMYFUNCTION("""COMPUTED_VALUE"""),"IsImportOverrideOnShortLocate")</f>
        <v>IsImportOverrideOnShortLocate</v>
      </c>
      <c r="C499" t="str">
        <f ca="1">IFERROR(__xludf.DUMMYFUNCTION("""COMPUTED_VALUE"""),"1HBroiXC_lXdWfzSFEUhcmVdGFqF-7ioRbfzMIhd-D84")</f>
        <v>1HBroiXC_lXdWfzSFEUhcmVdGFqF-7ioRbfzMIhd-D84</v>
      </c>
    </row>
    <row r="500" spans="1:3" ht="15.75" customHeight="1">
      <c r="A500" t="str">
        <f ca="1">IFERROR(__xludf.DUMMYFUNCTION("""COMPUTED_VALUE"""),"Admin")</f>
        <v>Admin</v>
      </c>
      <c r="B500" t="str">
        <f ca="1">IFERROR(__xludf.DUMMYFUNCTION("""COMPUTED_VALUE"""),"SetShortLocateStructures")</f>
        <v>SetShortLocateStructures</v>
      </c>
      <c r="C500" t="str">
        <f ca="1">IFERROR(__xludf.DUMMYFUNCTION("""COMPUTED_VALUE"""),"1GBfDhS1Qx5z0a-XwiuVZHmjNQQNldS_oLDTK5hBKigQ")</f>
        <v>1GBfDhS1Qx5z0a-XwiuVZHmjNQQNldS_oLDTK5hBKigQ</v>
      </c>
    </row>
    <row r="501" spans="1:3" ht="15.75" customHeight="1">
      <c r="A501" t="str">
        <f ca="1">IFERROR(__xludf.DUMMYFUNCTION("""COMPUTED_VALUE"""),"ShortLocate")</f>
        <v>ShortLocate</v>
      </c>
      <c r="B501" t="str">
        <f ca="1">IFERROR(__xludf.DUMMYFUNCTION("""COMPUTED_VALUE"""),"DownloadFile")</f>
        <v>DownloadFile</v>
      </c>
      <c r="C501" t="str">
        <f ca="1">IFERROR(__xludf.DUMMYFUNCTION("""COMPUTED_VALUE"""),"1C33h6u9nbxbc0Ij8SAALe10U-bitzt_AQkClLAmfans")</f>
        <v>1C33h6u9nbxbc0Ij8SAALe10U-bitzt_AQkClLAmfans</v>
      </c>
    </row>
    <row r="502" spans="1:3" ht="15.75" customHeight="1">
      <c r="A502" t="str">
        <f ca="1">IFERROR(__xludf.DUMMYFUNCTION("""COMPUTED_VALUE"""),"ShortLocate")</f>
        <v>ShortLocate</v>
      </c>
      <c r="B502" t="str">
        <f ca="1">IFERROR(__xludf.DUMMYFUNCTION("""COMPUTED_VALUE"""),"SearchShortLocateUI")</f>
        <v>SearchShortLocateUI</v>
      </c>
      <c r="C502" t="str">
        <f ca="1">IFERROR(__xludf.DUMMYFUNCTION("""COMPUTED_VALUE"""),"1LYgsVcCeDjfFd0czp2BHUCNhrmdgLKWUrkF_leE2jjo")</f>
        <v>1LYgsVcCeDjfFd0czp2BHUCNhrmdgLKWUrkF_leE2jjo</v>
      </c>
    </row>
    <row r="503" spans="1:3" ht="15.75" customHeight="1">
      <c r="A503" t="str">
        <f ca="1">IFERROR(__xludf.DUMMYFUNCTION("""COMPUTED_VALUE"""),"ShortLocate")</f>
        <v>ShortLocate</v>
      </c>
      <c r="B503" t="str">
        <f ca="1">IFERROR(__xludf.DUMMYFUNCTION("""COMPUTED_VALUE"""),"SetShortLocatePreferences")</f>
        <v>SetShortLocatePreferences</v>
      </c>
      <c r="C503" t="str">
        <f ca="1">IFERROR(__xludf.DUMMYFUNCTION("""COMPUTED_VALUE"""),"1Bb8XumY_W8vYN4wPCQjnCEQbJs1H7qhZYGScbFljlsE")</f>
        <v>1Bb8XumY_W8vYN4wPCQjnCEQbJs1H7qhZYGScbFljlsE</v>
      </c>
    </row>
    <row r="504" spans="1:3" ht="15.75" customHeight="1"/>
    <row r="505" spans="1:3" ht="15.75" customHeight="1"/>
    <row r="506" spans="1:3" ht="15.75" customHeight="1"/>
    <row r="507" spans="1:3" ht="15.75" customHeight="1"/>
    <row r="508" spans="1:3" ht="15.75" customHeight="1"/>
    <row r="509" spans="1:3" ht="15.75" customHeight="1"/>
    <row r="510" spans="1:3" ht="15.75" customHeight="1"/>
    <row r="511" spans="1:3" ht="15.75" customHeight="1"/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3" t="s">
        <v>2</v>
      </c>
      <c r="B1" s="51"/>
      <c r="C1" s="52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0" t="s">
        <v>7</v>
      </c>
      <c r="B1" s="51"/>
      <c r="C1" s="51"/>
      <c r="D1" s="51"/>
      <c r="E1" s="51"/>
      <c r="F1" s="52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IFERROR(__xludf.DUMMYFUNCTION("""COMPUTED_VALUE"""),"AutoGroup")</f>
        <v>AutoGroup</v>
      </c>
      <c r="C5" s="23" t="str">
        <f ca="1">IFERROR(__xludf.DUMMYFUNCTION("""COMPUTED_VALUE"""),"TradeAttribute1")</f>
        <v>TradeAttribute1</v>
      </c>
      <c r="D5" s="23" t="str">
        <f ca="1">IFERROR(__xludf.DUMMYFUNCTION("""COMPUTED_VALUE"""),"TradeAttribute2")</f>
        <v>TradeAttribute2</v>
      </c>
      <c r="E5" s="23" t="str">
        <f ca="1">IFERROR(__xludf.DUMMYFUNCTION("""COMPUTED_VALUE"""),"TradeAttribute3")</f>
        <v>TradeAttribute3</v>
      </c>
      <c r="F5" s="24" t="str">
        <f ca="1">IFERROR(__xludf.DUMMYFUNCTION("""COMPUTED_VALUE"""),"TradeAttribute4")</f>
        <v>TradeAttribute4</v>
      </c>
      <c r="G5" s="23" t="str">
        <f ca="1">IFERROR(__xludf.DUMMYFUNCTION("""COMPUTED_VALUE"""),"TradeAttribute5")</f>
        <v>TradeAttribute5</v>
      </c>
      <c r="H5" s="23" t="str">
        <f ca="1">IFERROR(__xludf.DUMMYFUNCTION("""COMPUTED_VALUE"""),"TradeAttribute6")</f>
        <v>TradeAttribute6</v>
      </c>
      <c r="I5" s="23" t="str">
        <f ca="1">IFERROR(__xludf.DUMMYFUNCTION("""COMPUTED_VALUE"""),"Broker")</f>
        <v>Broker</v>
      </c>
      <c r="J5" s="23" t="str">
        <f ca="1">IFERROR(__xludf.DUMMYFUNCTION("""COMPUTED_VALUE"""),"Venue")</f>
        <v>Venue</v>
      </c>
      <c r="K5" s="23" t="str">
        <f ca="1">IFERROR(__xludf.DUMMYFUNCTION("""COMPUTED_VALUE"""),"TradingAC")</f>
        <v>TradingAC</v>
      </c>
      <c r="L5" s="23" t="str">
        <f ca="1">IFERROR(__xludf.DUMMYFUNCTION("""COMPUTED_VALUE"""),"TradeDate")</f>
        <v>TradeDate</v>
      </c>
      <c r="M5" s="23" t="str">
        <f ca="1">IFERROR(__xludf.DUMMYFUNCTION("""COMPUTED_VALUE"""),"ProcessDate")</f>
        <v>ProcessDate</v>
      </c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6" t="b">
        <v>1</v>
      </c>
      <c r="C6" s="27"/>
      <c r="D6" s="28"/>
      <c r="E6" s="27"/>
      <c r="F6" s="27"/>
      <c r="G6" s="27"/>
      <c r="H6" s="27"/>
      <c r="I6" s="27"/>
      <c r="J6" s="27"/>
      <c r="K6" s="29" t="b">
        <v>1</v>
      </c>
      <c r="L6" s="29" t="b">
        <v>1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0" t="s">
        <v>18</v>
      </c>
      <c r="C6" s="31" t="s">
        <v>19</v>
      </c>
      <c r="D6" s="32">
        <v>1000</v>
      </c>
      <c r="E6" s="33">
        <v>1000</v>
      </c>
      <c r="F6" s="31" t="s">
        <v>20</v>
      </c>
      <c r="G6" s="27"/>
      <c r="H6" s="27"/>
      <c r="I6" s="27"/>
      <c r="J6" s="33">
        <v>12</v>
      </c>
      <c r="K6" s="27"/>
      <c r="L6" s="27"/>
      <c r="M6" s="27"/>
      <c r="N6" s="34">
        <f ca="1">TODAY()</f>
        <v>44460</v>
      </c>
      <c r="O6" s="27"/>
      <c r="P6" s="27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21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IFERROR(__xludf.DUMMYFUNCTION("""COMPUTED_VALUE"""),"EditOrder")</f>
        <v>EditOrder</v>
      </c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0" t="s">
        <v>18</v>
      </c>
      <c r="C6" s="31" t="s">
        <v>19</v>
      </c>
      <c r="D6" s="32">
        <v>1000</v>
      </c>
      <c r="E6" s="33">
        <v>1000</v>
      </c>
      <c r="F6" s="31" t="s">
        <v>20</v>
      </c>
      <c r="G6" s="35" t="s">
        <v>22</v>
      </c>
      <c r="H6" s="27"/>
      <c r="I6" s="27"/>
      <c r="J6" s="33">
        <v>12</v>
      </c>
      <c r="K6" s="27"/>
      <c r="L6" s="27"/>
      <c r="M6" s="27"/>
      <c r="N6" s="34">
        <f ca="1">TODAY()</f>
        <v>44460</v>
      </c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23</v>
      </c>
      <c r="D3" s="2" t="s">
        <v>9</v>
      </c>
      <c r="E3" s="18" t="s">
        <v>24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19</v>
      </c>
      <c r="C6" s="9" t="s">
        <v>18</v>
      </c>
      <c r="D6" s="9"/>
      <c r="E6" s="36"/>
      <c r="F6" s="5"/>
      <c r="G6" s="9">
        <v>1000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23</v>
      </c>
      <c r="D3" s="2" t="s">
        <v>9</v>
      </c>
      <c r="E3" s="18" t="s">
        <v>25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IFERROR(__xludf.DUMMYFUNCTION("""COMPUTED_VALUE"""),"Side")</f>
        <v>Side</v>
      </c>
      <c r="C5" s="23" t="str">
        <f ca="1">IFERROR(__xludf.DUMMYFUNCTION("""COMPUTED_VALUE"""),"Symbol")</f>
        <v>Symbol</v>
      </c>
      <c r="D5" s="23" t="str">
        <f ca="1">IFERROR(__xludf.DUMMYFUNCTION("""COMPUTED_VALUE"""),"Order Type")</f>
        <v>Order Type</v>
      </c>
      <c r="E5" s="23" t="str">
        <f ca="1">IFERROR(__xludf.DUMMYFUNCTION("""COMPUTED_VALUE"""),"Price")</f>
        <v>Price</v>
      </c>
      <c r="F5" s="24" t="str">
        <f ca="1">IFERROR(__xludf.DUMMYFUNCTION("""COMPUTED_VALUE"""),"AvgPrice")</f>
        <v>AvgPrice</v>
      </c>
      <c r="G5" s="23" t="str">
        <f ca="1">IFERROR(__xludf.DUMMYFUNCTION("""COMPUTED_VALUE"""),"Quantity")</f>
        <v>Quantity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19</v>
      </c>
      <c r="C6" s="9" t="s">
        <v>18</v>
      </c>
      <c r="D6" s="9"/>
      <c r="E6" s="36"/>
      <c r="F6" s="5"/>
      <c r="G6" s="9">
        <v>1000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23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IFERROR(__xludf.DUMMYFUNCTION("IF(C3="""","""",Transpose(IMPORTRANGE('_Settings'!$B$3,C3&amp;""!A4:A1000"")))"),"SelectTrade")</f>
        <v>SelectTrade</v>
      </c>
      <c r="C4" s="20" t="str">
        <f ca="1">IFERROR(__xludf.DUMMYFUNCTION("""COMPUTED_VALUE"""),"AcknowledgeTrade")</f>
        <v>AcknowledgeTrade</v>
      </c>
      <c r="D4" s="20" t="str">
        <f ca="1">IFERROR(__xludf.DUMMYFUNCTION("""COMPUTED_VALUE"""),"RejectTrade")</f>
        <v>RejectTrade</v>
      </c>
      <c r="E4" s="20" t="str">
        <f ca="1">IFERROR(__xludf.DUMMYFUNCTION("""COMPUTED_VALUE"""),"ExecuteTrade")</f>
        <v>ExecuteTrade</v>
      </c>
      <c r="F4" s="20" t="str">
        <f ca="1">IFERROR(__xludf.DUMMYFUNCTION("""COMPUTED_VALUE"""),"CancelTrade")</f>
        <v>CancelTrade</v>
      </c>
      <c r="G4" s="20" t="str">
        <f ca="1">IFERROR(__xludf.DUMMYFUNCTION("""COMPUTED_VALUE"""),"OpenLiveTT")</f>
        <v>OpenLiveTT</v>
      </c>
      <c r="H4" s="20" t="str">
        <f ca="1">IFERROR(__xludf.DUMMYFUNCTION("""COMPUTED_VALUE"""),"SetManualResponse")</f>
        <v>SetManualResponse</v>
      </c>
      <c r="I4" s="20" t="str">
        <f ca="1">IFERROR(__xludf.DUMMYFUNCTION("""COMPUTED_VALUE"""),"ClearUI")</f>
        <v>ClearUI</v>
      </c>
      <c r="J4" s="20" t="str">
        <f ca="1">IFERROR(__xludf.DUMMYFUNCTION("""COMPUTED_VALUE"""),"CloseSimulator")</f>
        <v>CloseSimulator</v>
      </c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IFERROR(__xludf.DUMMYFUNCTION("""COMPUTED_VALUE"""),"Price")</f>
        <v>Price</v>
      </c>
      <c r="C5" s="23" t="str">
        <f ca="1">IFERROR(__xludf.DUMMYFUNCTION("""COMPUTED_VALUE"""),"Shares")</f>
        <v>Shares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>
        <v>12</v>
      </c>
      <c r="C6" s="9">
        <v>1000</v>
      </c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28</v>
      </c>
      <c r="C6" s="5"/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1c7aP-E18Fb8lEVGiXac03BLoNVdUNRzodD2Xjn-9pzU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IFERROR(__xludf.DUMMYFUNCTION("""COMPUTED_VALUE"""),"Accrual Basis")</f>
        <v>Accrual Basis</v>
      </c>
      <c r="C5" s="23" t="str">
        <f ca="1">IFERROR(__xludf.DUMMYFUNCTION("""COMPUTED_VALUE"""),"Accrued Interest")</f>
        <v>Accrued Interest</v>
      </c>
      <c r="D5" s="23" t="str">
        <f ca="1">IFERROR(__xludf.DUMMYFUNCTION("""COMPUTED_VALUE"""),"Allocated Qty")</f>
        <v>Allocated Qty</v>
      </c>
      <c r="E5" s="23" t="str">
        <f ca="1">IFERROR(__xludf.DUMMYFUNCTION("""COMPUTED_VALUE"""),"Allocation Scheme Name")</f>
        <v>Allocation Scheme Name</v>
      </c>
      <c r="F5" s="24" t="str">
        <f ca="1">IFERROR(__xludf.DUMMYFUNCTION("""COMPUTED_VALUE"""),"Asset Category")</f>
        <v>Asset Category</v>
      </c>
      <c r="G5" s="23" t="str">
        <f ca="1">IFERROR(__xludf.DUMMYFUNCTION("""COMPUTED_VALUE"""),"AUEC Fee1")</f>
        <v>AUEC Fee1</v>
      </c>
      <c r="H5" s="23" t="str">
        <f ca="1">IFERROR(__xludf.DUMMYFUNCTION("""COMPUTED_VALUE"""),"AUEC Fee2")</f>
        <v>AUEC Fee2</v>
      </c>
      <c r="I5" s="23" t="str">
        <f ca="1">IFERROR(__xludf.DUMMYFUNCTION("""COMPUTED_VALUE"""),"AUECID")</f>
        <v>AUECID</v>
      </c>
      <c r="J5" s="23" t="str">
        <f ca="1">IFERROR(__xludf.DUMMYFUNCTION("""COMPUTED_VALUE"""),"Avg Price(Base)")</f>
        <v>Avg Price(Base)</v>
      </c>
      <c r="K5" s="23" t="str">
        <f ca="1">IFERROR(__xludf.DUMMYFUNCTION("""COMPUTED_VALUE"""),"Avg Price(Local)")</f>
        <v>Avg Price(Local)</v>
      </c>
      <c r="L5" s="23" t="str">
        <f ca="1">IFERROR(__xludf.DUMMYFUNCTION("""COMPUTED_VALUE"""),"Bloomberg")</f>
        <v>Bloomberg</v>
      </c>
      <c r="M5" s="23" t="str">
        <f ca="1">IFERROR(__xludf.DUMMYFUNCTION("""COMPUTED_VALUE"""),"Bond Type")</f>
        <v>Bond Type</v>
      </c>
      <c r="N5" s="23" t="str">
        <f ca="1">IFERROR(__xludf.DUMMYFUNCTION("""COMPUTED_VALUE"""),"Broker")</f>
        <v>Broker</v>
      </c>
      <c r="O5" s="23" t="str">
        <f ca="1">IFERROR(__xludf.DUMMYFUNCTION("""COMPUTED_VALUE"""),"Change Comment")</f>
        <v>Change Comment</v>
      </c>
      <c r="P5" s="23" t="str">
        <f ca="1">IFERROR(__xludf.DUMMYFUNCTION("""COMPUTED_VALUE"""),"Change Type")</f>
        <v>Change Type</v>
      </c>
      <c r="Q5" s="23" t="str">
        <f ca="1">IFERROR(__xludf.DUMMYFUNCTION("""COMPUTED_VALUE"""),"Clearing Broker Fee")</f>
        <v>Clearing Broker Fee</v>
      </c>
      <c r="R5" s="23" t="str">
        <f ca="1">IFERROR(__xludf.DUMMYFUNCTION("""COMPUTED_VALUE"""),"Closing Method")</f>
        <v>Closing Method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IFERROR(__xludf.DUMMYFUNCTION("""COMPUTED_VALUE"""),"Execution Time")</f>
        <v>Execution Time</v>
      </c>
      <c r="AG5" s="25" t="str">
        <f ca="1">IFERROR(__xludf.DUMMYFUNCTION("""COMPUTED_VALUE"""),"FX Conversion Operator")</f>
        <v>FX Conversion Operator</v>
      </c>
      <c r="AH5" s="25" t="str">
        <f ca="1">IFERROR(__xludf.DUMMYFUNCTION("""COMPUTED_VALUE"""),"FX Rate")</f>
        <v>FX Rate</v>
      </c>
      <c r="AI5" s="25" t="str">
        <f ca="1">IFERROR(__xludf.DUMMYFUNCTION("""COMPUTED_VALUE"""),"Group Status")</f>
        <v>Group Status</v>
      </c>
      <c r="AJ5" s="25" t="str">
        <f ca="1">IFERROR(__xludf.DUMMYFUNCTION("""COMPUTED_VALUE"""),"GroupID")</f>
        <v>GroupID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IFERROR(__xludf.DUMMYFUNCTION("""COMPUTED_VALUE"""),"Symbol")</f>
        <v>Symbol</v>
      </c>
      <c r="BT5" s="25" t="str">
        <f ca="1">IFERROR(__xludf.DUMMYFUNCTION("""COMPUTED_VALUE"""),"Tax On Commissions")</f>
        <v>Tax On Commissions</v>
      </c>
      <c r="BU5" s="25" t="str">
        <f ca="1">IFERROR(__xludf.DUMMYFUNCTION("""COMPUTED_VALUE"""),"Total Commission")</f>
        <v>Total Commission</v>
      </c>
      <c r="BV5" s="25" t="str">
        <f ca="1">IFERROR(__xludf.DUMMYFUNCTION("""COMPUTED_VALUE"""),"Total Commission And Fee")</f>
        <v>Total Commission And Fee</v>
      </c>
      <c r="BW5" s="25" t="str">
        <f ca="1">IFERROR(__xludf.DUMMYFUNCTION("""COMPUTED_VALUE"""),"Total Commission Per Share")</f>
        <v>Total Commission Per Share</v>
      </c>
      <c r="BX5" s="25" t="str">
        <f ca="1">IFERROR(__xludf.DUMMYFUNCTION("""COMPUTED_VALUE"""),"Trade Attribute 1")</f>
        <v>Trade Attribute 1</v>
      </c>
      <c r="BY5" s="25" t="str">
        <f ca="1">IFERROR(__xludf.DUMMYFUNCTION("""COMPUTED_VALUE"""),"Trade Attribute 2")</f>
        <v>Trade Attribute 2</v>
      </c>
      <c r="BZ5" s="25" t="str">
        <f ca="1">IFERROR(__xludf.DUMMYFUNCTION("""COMPUTED_VALUE"""),"Trade Attribute 3")</f>
        <v>Trade Attribute 3</v>
      </c>
      <c r="CA5" s="25" t="str">
        <f ca="1">IFERROR(__xludf.DUMMYFUNCTION("""COMPUTED_VALUE"""),"Trade Attribute 4")</f>
        <v>Trade Attribute 4</v>
      </c>
      <c r="CB5" s="25" t="str">
        <f ca="1">IFERROR(__xludf.DUMMYFUNCTION("""COMPUTED_VALUE"""),"Trade Attribute 5")</f>
        <v>Trade Attribute 5</v>
      </c>
      <c r="CC5" s="25" t="str">
        <f ca="1">IFERROR(__xludf.DUMMYFUNCTION("""COMPUTED_VALUE"""),"Trade Attribute 6")</f>
        <v>Trade Attribute 6</v>
      </c>
      <c r="CD5" s="25" t="str">
        <f ca="1">IFERROR(__xludf.DUMMYFUNCTION("""COMPUTED_VALUE"""),"Trade Date")</f>
        <v>Trade Date</v>
      </c>
      <c r="CE5" s="25" t="str">
        <f ca="1">IFERROR(__xludf.DUMMYFUNCTION("""COMPUTED_VALUE"""),"Trading Account")</f>
        <v>Trading Account</v>
      </c>
      <c r="CF5" s="25" t="str">
        <f ca="1">IFERROR(__xludf.DUMMYFUNCTION("""COMPUTED_VALUE"""),"Transaction Levy")</f>
        <v>Transaction Levy</v>
      </c>
      <c r="CG5" s="25" t="str">
        <f ca="1">IFERROR(__xludf.DUMMYFUNCTION("""COMPUTED_VALUE"""),"Transaction Source")</f>
        <v>Transaction Source</v>
      </c>
      <c r="CH5" s="25" t="str">
        <f ca="1">IFERROR(__xludf.DUMMYFUNCTION("""COMPUTED_VALUE"""),"Transaction Type")</f>
        <v>Transaction Type</v>
      </c>
      <c r="CI5" s="25" t="str">
        <f ca="1">IFERROR(__xludf.DUMMYFUNCTION("""COMPUTED_VALUE"""),"UnAllocatedQty")</f>
        <v>UnAllocatedQty</v>
      </c>
      <c r="CJ5" s="25" t="str">
        <f ca="1">IFERROR(__xludf.DUMMYFUNCTION("""COMPUTED_VALUE"""),"Underlying")</f>
        <v>Underlying</v>
      </c>
      <c r="CK5" s="25" t="str">
        <f ca="1">IFERROR(__xludf.DUMMYFUNCTION("""COMPUTED_VALUE"""),"Underlying Delta")</f>
        <v>Underlying Delta</v>
      </c>
      <c r="CL5" s="25" t="str">
        <f ca="1">IFERROR(__xludf.DUMMYFUNCTION("""COMPUTED_VALUE"""),"Underlying Symbol")</f>
        <v>Underlying Symbol</v>
      </c>
      <c r="CM5" s="25" t="str">
        <f ca="1">IFERROR(__xludf.DUMMYFUNCTION("""COMPUTED_VALUE"""),"User")</f>
        <v>User</v>
      </c>
      <c r="CN5" s="25" t="str">
        <f ca="1">IFERROR(__xludf.DUMMYFUNCTION("""COMPUTED_VALUE"""),"Venue")</f>
        <v>Venue</v>
      </c>
      <c r="CO5" s="25" t="str">
        <f ca="1">IFERROR(__xludf.DUMMYFUNCTION("""COMPUTED_VALUE"""),"Closing Date")</f>
        <v>Closing Date</v>
      </c>
      <c r="CP5" s="25" t="str">
        <f ca="1">IFERROR(__xludf.DUMMYFUNCTION("""COMPUTED_VALUE"""),"Expiration Date")</f>
        <v>Expiration Date</v>
      </c>
      <c r="CQ5" s="25" t="str">
        <f ca="1">IFERROR(__xludf.DUMMYFUNCTION("""COMPUTED_VALUE"""),"Master Fund")</f>
        <v>Master Fund</v>
      </c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32">
        <v>0</v>
      </c>
      <c r="E6" s="27"/>
      <c r="F6" s="31" t="s">
        <v>30</v>
      </c>
      <c r="G6" s="33">
        <v>4</v>
      </c>
      <c r="H6" s="33">
        <v>5</v>
      </c>
      <c r="I6" s="33">
        <v>1</v>
      </c>
      <c r="J6" s="33">
        <v>12</v>
      </c>
      <c r="K6" s="33">
        <v>12</v>
      </c>
      <c r="L6" s="37" t="s">
        <v>31</v>
      </c>
      <c r="M6" s="27"/>
      <c r="N6" s="38" t="s">
        <v>22</v>
      </c>
      <c r="O6" s="27"/>
      <c r="P6" s="27"/>
      <c r="Q6" s="39">
        <v>0</v>
      </c>
      <c r="R6" s="27"/>
      <c r="S6" s="27"/>
      <c r="T6" s="40">
        <v>0</v>
      </c>
      <c r="U6" s="40">
        <v>0</v>
      </c>
      <c r="V6" s="41"/>
      <c r="W6" s="40">
        <v>1</v>
      </c>
      <c r="X6" s="41"/>
      <c r="Y6" s="41"/>
      <c r="Z6" s="41" t="s">
        <v>32</v>
      </c>
      <c r="AA6" s="41"/>
      <c r="AB6" s="40">
        <v>1</v>
      </c>
      <c r="AC6" s="41"/>
      <c r="AD6" s="41" t="s">
        <v>33</v>
      </c>
      <c r="AE6" s="40">
        <v>1000</v>
      </c>
      <c r="AF6" s="41"/>
      <c r="AG6" s="41" t="s">
        <v>34</v>
      </c>
      <c r="AH6" s="40">
        <v>1</v>
      </c>
      <c r="AI6" s="41"/>
      <c r="AJ6" s="41"/>
      <c r="AK6" s="41"/>
      <c r="AL6" s="41"/>
      <c r="AM6" s="41"/>
      <c r="AN6" s="42" t="b">
        <v>0</v>
      </c>
      <c r="AO6" s="41"/>
      <c r="AP6" s="41"/>
      <c r="AQ6" s="42" t="b">
        <v>0</v>
      </c>
      <c r="AR6" s="42" t="b">
        <v>0</v>
      </c>
      <c r="AS6" s="41"/>
      <c r="AT6" s="40">
        <v>12014.0067</v>
      </c>
      <c r="AU6" s="40">
        <v>12014.0067</v>
      </c>
      <c r="AV6" s="41"/>
      <c r="AW6" s="40">
        <v>0</v>
      </c>
      <c r="AX6" s="40">
        <v>0</v>
      </c>
      <c r="AY6" s="41" t="s">
        <v>35</v>
      </c>
      <c r="AZ6" s="40">
        <v>0</v>
      </c>
      <c r="BA6" s="41"/>
      <c r="BB6" s="41"/>
      <c r="BC6" s="40">
        <v>0</v>
      </c>
      <c r="BD6" s="41"/>
      <c r="BE6" s="40">
        <v>12000</v>
      </c>
      <c r="BF6" s="40">
        <v>12000</v>
      </c>
      <c r="BG6" s="41"/>
      <c r="BH6" s="41"/>
      <c r="BI6" s="41"/>
      <c r="BJ6" s="40">
        <v>1000</v>
      </c>
      <c r="BK6" s="40">
        <v>0</v>
      </c>
      <c r="BL6" s="41"/>
      <c r="BM6" s="41" t="s">
        <v>32</v>
      </c>
      <c r="BN6" s="41"/>
      <c r="BO6" s="41" t="s">
        <v>19</v>
      </c>
      <c r="BP6" s="40">
        <v>0</v>
      </c>
      <c r="BQ6" s="40">
        <v>0</v>
      </c>
      <c r="BR6" s="40">
        <v>6.7000000000000002E-3</v>
      </c>
      <c r="BS6" s="41" t="s">
        <v>18</v>
      </c>
      <c r="BT6" s="40">
        <v>3</v>
      </c>
      <c r="BU6" s="40">
        <v>0</v>
      </c>
      <c r="BV6" s="40">
        <v>14.0067</v>
      </c>
      <c r="BW6" s="40">
        <v>0</v>
      </c>
      <c r="BX6" s="41"/>
      <c r="BY6" s="41"/>
      <c r="BZ6" s="41"/>
      <c r="CA6" s="41"/>
      <c r="CB6" s="41"/>
      <c r="CC6" s="41"/>
      <c r="CD6" s="41"/>
      <c r="CE6" s="41" t="s">
        <v>36</v>
      </c>
      <c r="CF6" s="40">
        <v>2</v>
      </c>
      <c r="CG6" s="41"/>
      <c r="CH6" s="41" t="s">
        <v>19</v>
      </c>
      <c r="CI6" s="40">
        <v>1000</v>
      </c>
      <c r="CJ6" s="41" t="s">
        <v>37</v>
      </c>
      <c r="CK6" s="41"/>
      <c r="CL6" s="41" t="s">
        <v>18</v>
      </c>
      <c r="CM6" s="41" t="s">
        <v>38</v>
      </c>
      <c r="CN6" s="41" t="s">
        <v>33</v>
      </c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39</v>
      </c>
      <c r="D3" s="2" t="s">
        <v>9</v>
      </c>
      <c r="E3" s="18" t="s">
        <v>40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IFERROR(__xludf.DUMMYFUNCTION("""COMPUTED_VALUE"""),"VerifyExecutionReport")</f>
        <v>VerifyExecutionReport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32">
        <v>12</v>
      </c>
      <c r="E6" s="27" t="s">
        <v>31</v>
      </c>
      <c r="F6" s="33">
        <v>0</v>
      </c>
      <c r="G6" s="27"/>
      <c r="H6" s="27" t="s">
        <v>33</v>
      </c>
      <c r="I6" s="27" t="s">
        <v>38</v>
      </c>
      <c r="J6" s="31" t="s">
        <v>18</v>
      </c>
      <c r="K6" s="31" t="s">
        <v>37</v>
      </c>
      <c r="L6" s="27" t="s">
        <v>36</v>
      </c>
      <c r="M6" s="27"/>
      <c r="N6" s="27"/>
      <c r="O6" s="27"/>
      <c r="P6" s="27"/>
      <c r="Q6" s="27"/>
      <c r="R6" s="27"/>
      <c r="S6" s="39">
        <v>0</v>
      </c>
      <c r="T6" s="40">
        <v>0</v>
      </c>
      <c r="U6" s="41" t="s">
        <v>32</v>
      </c>
      <c r="V6" s="41"/>
      <c r="W6" s="41"/>
      <c r="X6" s="41"/>
      <c r="Y6" s="41"/>
      <c r="Z6" s="41"/>
      <c r="AA6" s="41"/>
      <c r="AB6" s="40">
        <v>1000</v>
      </c>
      <c r="AC6" s="41"/>
      <c r="AD6" s="40">
        <v>1</v>
      </c>
      <c r="AE6" s="41"/>
      <c r="AF6" s="41" t="s">
        <v>34</v>
      </c>
      <c r="AG6" s="40">
        <v>12</v>
      </c>
      <c r="AH6" s="41" t="s">
        <v>30</v>
      </c>
      <c r="AI6" s="41" t="s">
        <v>18</v>
      </c>
      <c r="AJ6" s="41" t="s">
        <v>19</v>
      </c>
      <c r="AK6" s="41" t="s">
        <v>41</v>
      </c>
      <c r="AL6" s="40">
        <v>1000</v>
      </c>
      <c r="AM6" s="40">
        <v>1000</v>
      </c>
      <c r="AN6" s="40">
        <v>100</v>
      </c>
      <c r="AO6" s="40">
        <v>1000</v>
      </c>
      <c r="AP6" s="41"/>
      <c r="AQ6" s="40">
        <v>12</v>
      </c>
      <c r="AR6" s="40">
        <v>12</v>
      </c>
      <c r="AS6" s="41" t="s">
        <v>22</v>
      </c>
      <c r="AT6" s="41"/>
      <c r="AU6" s="41" t="s">
        <v>35</v>
      </c>
      <c r="AV6" s="40">
        <v>12000</v>
      </c>
      <c r="AW6" s="40">
        <v>12000</v>
      </c>
      <c r="AX6" s="41"/>
      <c r="AY6" s="41"/>
      <c r="AZ6" s="41"/>
      <c r="BA6" s="41" t="s">
        <v>38</v>
      </c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39</v>
      </c>
      <c r="D3" s="2" t="s">
        <v>9</v>
      </c>
      <c r="E3" s="18" t="s">
        <v>42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IFERROR(__xludf.DUMMYFUNCTION("""COMPUTED_VALUE"""),"VerifyExecutionReport")</f>
        <v>VerifyExecutionReport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2")</f>
        <v>Trade Attribute 2</v>
      </c>
      <c r="R5" s="23" t="str">
        <f ca="1">IFERROR(__xludf.DUMMYFUNCTION("""COMPUTED_VALUE"""),"Trade Attribute 1")</f>
        <v>Trade Attribute 1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IFERROR(__xludf.DUMMYFUNCTION("""COMPUTED_VALUE"""),"Quantity")</f>
        <v>Quantity</v>
      </c>
      <c r="AM5" s="25" t="str">
        <f ca="1">IFERROR(__xludf.DUMMYFUNCTION("""COMPUTED_VALUE"""),"Executed Qty")</f>
        <v>Executed Qty</v>
      </c>
      <c r="AN5" s="25" t="str">
        <f ca="1">IFERROR(__xludf.DUMMYFUNCTION("""COMPUTED_VALUE"""),"Day Executed Qty")</f>
        <v>Day Executed Qty</v>
      </c>
      <c r="AO5" s="25" t="str">
        <f ca="1">IFERROR(__xludf.DUMMYFUNCTION("""COMPUTED_VALUE"""),"Last Fill Price (Local)")</f>
        <v>Last Fill Price (Local)</v>
      </c>
      <c r="AP5" s="25" t="str">
        <f ca="1">IFERROR(__xludf.DUMMYFUNCTION("""COMPUTED_VALUE"""),"Avg Fill Price (Local)")</f>
        <v>Avg Fill Price (Local)</v>
      </c>
      <c r="AQ5" s="25" t="str">
        <f ca="1">IFERROR(__xludf.DUMMYFUNCTION("""COMPUTED_VALUE"""),"Broker")</f>
        <v>Broker</v>
      </c>
      <c r="AR5" s="25" t="str">
        <f ca="1">IFERROR(__xludf.DUMMYFUNCTION("""COMPUTED_VALUE"""),"Account")</f>
        <v>Account</v>
      </c>
      <c r="AS5" s="25" t="str">
        <f ca="1">IFERROR(__xludf.DUMMYFUNCTION("""COMPUTED_VALUE"""),"Order Type")</f>
        <v>Order Type</v>
      </c>
      <c r="AT5" s="25" t="str">
        <f ca="1">IFERROR(__xludf.DUMMYFUNCTION("""COMPUTED_VALUE"""),"Principal Amount (Local)")</f>
        <v>Principal Amount (Local)</v>
      </c>
      <c r="AU5" s="25" t="str">
        <f ca="1">IFERROR(__xludf.DUMMYFUNCTION("""COMPUTED_VALUE"""),"Principal Amount (Base)")</f>
        <v>Principal Amount (Base)</v>
      </c>
      <c r="AV5" s="25" t="str">
        <f ca="1">IFERROR(__xludf.DUMMYFUNCTION("""COMPUTED_VALUE"""),"Allocation Scheme Name")</f>
        <v>Allocation Scheme Name</v>
      </c>
      <c r="AW5" s="25" t="str">
        <f ca="1">IFERROR(__xludf.DUMMYFUNCTION("""COMPUTED_VALUE"""),"Status (With Rollover)")</f>
        <v>Status (With Rollover)</v>
      </c>
      <c r="AX5" s="25" t="str">
        <f ca="1">IFERROR(__xludf.DUMMYFUNCTION("""COMPUTED_VALUE"""),"Unexecuted Qty")</f>
        <v>Unexecuted Qty</v>
      </c>
      <c r="AY5" s="25" t="str">
        <f ca="1">IFERROR(__xludf.DUMMYFUNCTION("""COMPUTED_VALUE"""),"Strategy")</f>
        <v>Strategy</v>
      </c>
      <c r="AZ5" s="25" t="str">
        <f ca="1">IFERROR(__xludf.DUMMYFUNCTION("""COMPUTED_VALUE"""),"Actual User")</f>
        <v>Actual User</v>
      </c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32">
        <v>12</v>
      </c>
      <c r="E6" s="27" t="s">
        <v>31</v>
      </c>
      <c r="F6" s="33">
        <v>0</v>
      </c>
      <c r="G6" s="27"/>
      <c r="H6" s="27" t="s">
        <v>33</v>
      </c>
      <c r="I6" s="27" t="s">
        <v>38</v>
      </c>
      <c r="J6" s="31" t="s">
        <v>18</v>
      </c>
      <c r="K6" s="31" t="s">
        <v>37</v>
      </c>
      <c r="L6" s="27" t="s">
        <v>36</v>
      </c>
      <c r="M6" s="27"/>
      <c r="N6" s="27"/>
      <c r="O6" s="27"/>
      <c r="P6" s="27"/>
      <c r="Q6" s="27"/>
      <c r="R6" s="27"/>
      <c r="S6" s="39">
        <v>0</v>
      </c>
      <c r="T6" s="40">
        <v>0</v>
      </c>
      <c r="U6" s="41" t="s">
        <v>32</v>
      </c>
      <c r="V6" s="41"/>
      <c r="W6" s="41"/>
      <c r="X6" s="41"/>
      <c r="Y6" s="41"/>
      <c r="Z6" s="41"/>
      <c r="AA6" s="41"/>
      <c r="AB6" s="40">
        <v>1000</v>
      </c>
      <c r="AC6" s="41"/>
      <c r="AD6" s="40">
        <v>1</v>
      </c>
      <c r="AE6" s="41"/>
      <c r="AF6" s="41" t="s">
        <v>34</v>
      </c>
      <c r="AG6" s="41"/>
      <c r="AH6" s="41" t="s">
        <v>30</v>
      </c>
      <c r="AI6" s="41" t="s">
        <v>18</v>
      </c>
      <c r="AJ6" s="41" t="s">
        <v>19</v>
      </c>
      <c r="AK6" s="41" t="s">
        <v>41</v>
      </c>
      <c r="AL6" s="40">
        <v>1000</v>
      </c>
      <c r="AM6" s="40">
        <v>1000</v>
      </c>
      <c r="AN6" s="41"/>
      <c r="AO6" s="40">
        <v>12</v>
      </c>
      <c r="AP6" s="40">
        <v>12</v>
      </c>
      <c r="AQ6" s="41" t="s">
        <v>22</v>
      </c>
      <c r="AR6" s="41"/>
      <c r="AS6" s="41" t="s">
        <v>35</v>
      </c>
      <c r="AT6" s="40">
        <v>12000</v>
      </c>
      <c r="AU6" s="40">
        <v>12000</v>
      </c>
      <c r="AV6" s="41"/>
      <c r="AW6" s="41" t="s">
        <v>41</v>
      </c>
      <c r="AX6" s="40">
        <v>0</v>
      </c>
      <c r="AY6" s="41"/>
      <c r="AZ6" s="41" t="s">
        <v>38</v>
      </c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F11" sqref="F1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43</v>
      </c>
      <c r="D3" s="2" t="s">
        <v>9</v>
      </c>
      <c r="E3" s="18" t="s">
        <v>44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IFERROR(__xludf.DUMMYFUNCTION("IF(C3="""","""",Transpose(IMPORTRANGE('_Settings'!$B$3,C3&amp;""!A4:A1000"")))"),"UploadDropcopyFile")</f>
        <v>UploadDropcopyFile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IFERROR(__xludf.DUMMYFUNCTION("""COMPUTED_VALUE"""),"AppendToOrderId")</f>
        <v>AppendToOrderId</v>
      </c>
      <c r="C5" s="23" t="str">
        <f ca="1">IFERROR(__xludf.DUMMYFUNCTION("""COMPUTED_VALUE"""),"UploadFile")</f>
        <v>UploadFile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43">
        <v>3</v>
      </c>
      <c r="C6" s="54" t="s">
        <v>54</v>
      </c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C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E12" sqref="E1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43</v>
      </c>
      <c r="D3" s="2" t="s">
        <v>9</v>
      </c>
      <c r="E3" s="18" t="s">
        <v>44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IFERROR(__xludf.DUMMYFUNCTION("IF(C3="""","""",Transpose(IMPORTRANGE('_Settings'!$B$3,C3&amp;""!A4:A1000"")))"),"UploadDropcopyFile")</f>
        <v>UploadDropcopyFile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IFERROR(__xludf.DUMMYFUNCTION("""COMPUTED_VALUE"""),"AppendToOrderId")</f>
        <v>AppendToOrderId</v>
      </c>
      <c r="C5" s="23" t="str">
        <f ca="1">IFERROR(__xludf.DUMMYFUNCTION("""COMPUTED_VALUE"""),"UploadFile")</f>
        <v>UploadFile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43">
        <v>4</v>
      </c>
      <c r="C6" s="54" t="s">
        <v>54</v>
      </c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ef="C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27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45</v>
      </c>
      <c r="C6" s="44" t="s">
        <v>46</v>
      </c>
      <c r="D6" s="34">
        <f ca="1">TODAY()</f>
        <v>44460</v>
      </c>
      <c r="E6" s="3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7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1c7aP-E18Fb8lEVGiXac03BLoNVdUNRzodD2Xjn-9pzU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IFERROR(__xludf.DUMMYFUNCTION("""COMPUTED_VALUE"""),"Accrual Basis")</f>
        <v>Accrual Basis</v>
      </c>
      <c r="C5" s="23" t="str">
        <f ca="1">IFERROR(__xludf.DUMMYFUNCTION("""COMPUTED_VALUE"""),"Accrued Interest")</f>
        <v>Accrued Interest</v>
      </c>
      <c r="D5" s="23" t="str">
        <f ca="1">IFERROR(__xludf.DUMMYFUNCTION("""COMPUTED_VALUE"""),"Allocated Qty")</f>
        <v>Allocated Qty</v>
      </c>
      <c r="E5" s="23" t="str">
        <f ca="1">IFERROR(__xludf.DUMMYFUNCTION("""COMPUTED_VALUE"""),"Allocation Scheme Name")</f>
        <v>Allocation Scheme Name</v>
      </c>
      <c r="F5" s="24" t="str">
        <f ca="1">IFERROR(__xludf.DUMMYFUNCTION("""COMPUTED_VALUE"""),"Asset Category")</f>
        <v>Asset Category</v>
      </c>
      <c r="G5" s="23" t="str">
        <f ca="1">IFERROR(__xludf.DUMMYFUNCTION("""COMPUTED_VALUE"""),"AUEC Fee1")</f>
        <v>AUEC Fee1</v>
      </c>
      <c r="H5" s="23" t="str">
        <f ca="1">IFERROR(__xludf.DUMMYFUNCTION("""COMPUTED_VALUE"""),"AUEC Fee2")</f>
        <v>AUEC Fee2</v>
      </c>
      <c r="I5" s="23" t="str">
        <f ca="1">IFERROR(__xludf.DUMMYFUNCTION("""COMPUTED_VALUE"""),"AUECID")</f>
        <v>AUECID</v>
      </c>
      <c r="J5" s="23" t="str">
        <f ca="1">IFERROR(__xludf.DUMMYFUNCTION("""COMPUTED_VALUE"""),"Avg Price(Base)")</f>
        <v>Avg Price(Base)</v>
      </c>
      <c r="K5" s="23" t="str">
        <f ca="1">IFERROR(__xludf.DUMMYFUNCTION("""COMPUTED_VALUE"""),"Avg Price(Local)")</f>
        <v>Avg Price(Local)</v>
      </c>
      <c r="L5" s="23" t="str">
        <f ca="1">IFERROR(__xludf.DUMMYFUNCTION("""COMPUTED_VALUE"""),"Bloomberg")</f>
        <v>Bloomberg</v>
      </c>
      <c r="M5" s="23" t="str">
        <f ca="1">IFERROR(__xludf.DUMMYFUNCTION("""COMPUTED_VALUE"""),"Bond Type")</f>
        <v>Bond Type</v>
      </c>
      <c r="N5" s="23" t="str">
        <f ca="1">IFERROR(__xludf.DUMMYFUNCTION("""COMPUTED_VALUE"""),"Broker")</f>
        <v>Broker</v>
      </c>
      <c r="O5" s="23" t="str">
        <f ca="1">IFERROR(__xludf.DUMMYFUNCTION("""COMPUTED_VALUE"""),"Change Comment")</f>
        <v>Change Comment</v>
      </c>
      <c r="P5" s="23" t="str">
        <f ca="1">IFERROR(__xludf.DUMMYFUNCTION("""COMPUTED_VALUE"""),"Change Type")</f>
        <v>Change Type</v>
      </c>
      <c r="Q5" s="23" t="str">
        <f ca="1">IFERROR(__xludf.DUMMYFUNCTION("""COMPUTED_VALUE"""),"Clearing Broker Fee")</f>
        <v>Clearing Broker Fee</v>
      </c>
      <c r="R5" s="23" t="str">
        <f ca="1">IFERROR(__xludf.DUMMYFUNCTION("""COMPUTED_VALUE"""),"Closing Method")</f>
        <v>Closing Method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IFERROR(__xludf.DUMMYFUNCTION("""COMPUTED_VALUE"""),"Execution Time")</f>
        <v>Execution Time</v>
      </c>
      <c r="AG5" s="25" t="str">
        <f ca="1">IFERROR(__xludf.DUMMYFUNCTION("""COMPUTED_VALUE"""),"FX Conversion Operator")</f>
        <v>FX Conversion Operator</v>
      </c>
      <c r="AH5" s="25" t="str">
        <f ca="1">IFERROR(__xludf.DUMMYFUNCTION("""COMPUTED_VALUE"""),"FX Rate")</f>
        <v>FX Rate</v>
      </c>
      <c r="AI5" s="25" t="str">
        <f ca="1">IFERROR(__xludf.DUMMYFUNCTION("""COMPUTED_VALUE"""),"Group Status")</f>
        <v>Group Status</v>
      </c>
      <c r="AJ5" s="25" t="str">
        <f ca="1">IFERROR(__xludf.DUMMYFUNCTION("""COMPUTED_VALUE"""),"GroupID")</f>
        <v>GroupID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IFERROR(__xludf.DUMMYFUNCTION("""COMPUTED_VALUE"""),"Symbol")</f>
        <v>Symbol</v>
      </c>
      <c r="BT5" s="25" t="str">
        <f ca="1">IFERROR(__xludf.DUMMYFUNCTION("""COMPUTED_VALUE"""),"Tax On Commissions")</f>
        <v>Tax On Commissions</v>
      </c>
      <c r="BU5" s="25" t="str">
        <f ca="1">IFERROR(__xludf.DUMMYFUNCTION("""COMPUTED_VALUE"""),"Total Commission")</f>
        <v>Total Commission</v>
      </c>
      <c r="BV5" s="25" t="str">
        <f ca="1">IFERROR(__xludf.DUMMYFUNCTION("""COMPUTED_VALUE"""),"Total Commission And Fee")</f>
        <v>Total Commission And Fee</v>
      </c>
      <c r="BW5" s="25" t="str">
        <f ca="1">IFERROR(__xludf.DUMMYFUNCTION("""COMPUTED_VALUE"""),"Total Commission Per Share")</f>
        <v>Total Commission Per Share</v>
      </c>
      <c r="BX5" s="25" t="str">
        <f ca="1">IFERROR(__xludf.DUMMYFUNCTION("""COMPUTED_VALUE"""),"Trade Attribute 1")</f>
        <v>Trade Attribute 1</v>
      </c>
      <c r="BY5" s="25" t="str">
        <f ca="1">IFERROR(__xludf.DUMMYFUNCTION("""COMPUTED_VALUE"""),"Trade Attribute 2")</f>
        <v>Trade Attribute 2</v>
      </c>
      <c r="BZ5" s="25" t="str">
        <f ca="1">IFERROR(__xludf.DUMMYFUNCTION("""COMPUTED_VALUE"""),"Trade Attribute 3")</f>
        <v>Trade Attribute 3</v>
      </c>
      <c r="CA5" s="25" t="str">
        <f ca="1">IFERROR(__xludf.DUMMYFUNCTION("""COMPUTED_VALUE"""),"Trade Attribute 4")</f>
        <v>Trade Attribute 4</v>
      </c>
      <c r="CB5" s="25" t="str">
        <f ca="1">IFERROR(__xludf.DUMMYFUNCTION("""COMPUTED_VALUE"""),"Trade Attribute 5")</f>
        <v>Trade Attribute 5</v>
      </c>
      <c r="CC5" s="25" t="str">
        <f ca="1">IFERROR(__xludf.DUMMYFUNCTION("""COMPUTED_VALUE"""),"Trade Attribute 6")</f>
        <v>Trade Attribute 6</v>
      </c>
      <c r="CD5" s="25" t="str">
        <f ca="1">IFERROR(__xludf.DUMMYFUNCTION("""COMPUTED_VALUE"""),"Trade Date")</f>
        <v>Trade Date</v>
      </c>
      <c r="CE5" s="25" t="str">
        <f ca="1">IFERROR(__xludf.DUMMYFUNCTION("""COMPUTED_VALUE"""),"Trading Account")</f>
        <v>Trading Account</v>
      </c>
      <c r="CF5" s="25" t="str">
        <f ca="1">IFERROR(__xludf.DUMMYFUNCTION("""COMPUTED_VALUE"""),"Transaction Levy")</f>
        <v>Transaction Levy</v>
      </c>
      <c r="CG5" s="25" t="str">
        <f ca="1">IFERROR(__xludf.DUMMYFUNCTION("""COMPUTED_VALUE"""),"Transaction Source")</f>
        <v>Transaction Source</v>
      </c>
      <c r="CH5" s="25" t="str">
        <f ca="1">IFERROR(__xludf.DUMMYFUNCTION("""COMPUTED_VALUE"""),"Transaction Type")</f>
        <v>Transaction Type</v>
      </c>
      <c r="CI5" s="25" t="str">
        <f ca="1">IFERROR(__xludf.DUMMYFUNCTION("""COMPUTED_VALUE"""),"UnAllocatedQty")</f>
        <v>UnAllocatedQty</v>
      </c>
      <c r="CJ5" s="25" t="str">
        <f ca="1">IFERROR(__xludf.DUMMYFUNCTION("""COMPUTED_VALUE"""),"Underlying")</f>
        <v>Underlying</v>
      </c>
      <c r="CK5" s="25" t="str">
        <f ca="1">IFERROR(__xludf.DUMMYFUNCTION("""COMPUTED_VALUE"""),"Underlying Delta")</f>
        <v>Underlying Delta</v>
      </c>
      <c r="CL5" s="25" t="str">
        <f ca="1">IFERROR(__xludf.DUMMYFUNCTION("""COMPUTED_VALUE"""),"Underlying Symbol")</f>
        <v>Underlying Symbol</v>
      </c>
      <c r="CM5" s="25" t="str">
        <f ca="1">IFERROR(__xludf.DUMMYFUNCTION("""COMPUTED_VALUE"""),"User")</f>
        <v>User</v>
      </c>
      <c r="CN5" s="25" t="str">
        <f ca="1">IFERROR(__xludf.DUMMYFUNCTION("""COMPUTED_VALUE"""),"Venue")</f>
        <v>Venue</v>
      </c>
      <c r="CO5" s="25" t="str">
        <f ca="1">IFERROR(__xludf.DUMMYFUNCTION("""COMPUTED_VALUE"""),"Closing Date")</f>
        <v>Closing Date</v>
      </c>
      <c r="CP5" s="25" t="str">
        <f ca="1">IFERROR(__xludf.DUMMYFUNCTION("""COMPUTED_VALUE"""),"Expiration Date")</f>
        <v>Expiration Date</v>
      </c>
      <c r="CQ5" s="25" t="str">
        <f ca="1">IFERROR(__xludf.DUMMYFUNCTION("""COMPUTED_VALUE"""),"Master Fund")</f>
        <v>Master Fund</v>
      </c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5"/>
      <c r="B6" s="5"/>
      <c r="C6" s="45"/>
      <c r="D6" s="45">
        <v>0</v>
      </c>
      <c r="E6" s="41"/>
      <c r="F6" s="41" t="s">
        <v>30</v>
      </c>
      <c r="G6" s="46">
        <v>59</v>
      </c>
      <c r="H6" s="45">
        <v>0</v>
      </c>
      <c r="I6" s="40">
        <v>15</v>
      </c>
      <c r="J6" s="40">
        <v>10.16</v>
      </c>
      <c r="K6" s="40">
        <v>10.16</v>
      </c>
      <c r="L6" s="41"/>
      <c r="M6" s="41"/>
      <c r="N6" s="47" t="s">
        <v>47</v>
      </c>
      <c r="O6" s="41"/>
      <c r="P6" s="41"/>
      <c r="Q6" s="40">
        <v>0</v>
      </c>
      <c r="R6" s="41"/>
      <c r="S6" s="41"/>
      <c r="T6" s="40">
        <v>0</v>
      </c>
      <c r="U6" s="48">
        <v>0</v>
      </c>
      <c r="V6" s="41"/>
      <c r="W6" s="48">
        <v>1</v>
      </c>
      <c r="X6" s="41"/>
      <c r="Y6" s="41"/>
      <c r="Z6" s="41" t="s">
        <v>32</v>
      </c>
      <c r="AA6" s="41"/>
      <c r="AB6" s="40">
        <v>1</v>
      </c>
      <c r="AC6" s="41"/>
      <c r="AD6" s="41" t="s">
        <v>48</v>
      </c>
      <c r="AE6" s="49">
        <v>640</v>
      </c>
      <c r="AF6" s="41"/>
      <c r="AG6" s="41" t="s">
        <v>34</v>
      </c>
      <c r="AH6" s="40">
        <v>1</v>
      </c>
      <c r="AI6" s="41"/>
      <c r="AJ6" s="41"/>
      <c r="AK6" s="41"/>
      <c r="AL6" s="41"/>
      <c r="AM6" s="41"/>
      <c r="AN6" s="42" t="b">
        <v>0</v>
      </c>
      <c r="AO6" s="41"/>
      <c r="AP6" s="41"/>
      <c r="AQ6" s="42" t="b">
        <v>0</v>
      </c>
      <c r="AR6" s="42" t="b">
        <v>0</v>
      </c>
      <c r="AS6" s="41"/>
      <c r="AT6" s="6">
        <v>6563.5379199999998</v>
      </c>
      <c r="AU6" s="6">
        <v>6563.5379199999998</v>
      </c>
      <c r="AV6" s="41"/>
      <c r="AW6" s="40">
        <v>0</v>
      </c>
      <c r="AX6" s="40">
        <v>0</v>
      </c>
      <c r="AY6" s="41" t="s">
        <v>49</v>
      </c>
      <c r="AZ6" s="40">
        <v>0</v>
      </c>
      <c r="BA6" s="41"/>
      <c r="BB6" s="41"/>
      <c r="BC6" s="40">
        <v>0</v>
      </c>
      <c r="BD6" s="41"/>
      <c r="BE6" s="49">
        <v>6502.4</v>
      </c>
      <c r="BF6" s="49">
        <v>6502.4</v>
      </c>
      <c r="BG6" s="41"/>
      <c r="BH6" s="41"/>
      <c r="BI6" s="41"/>
      <c r="BJ6" s="48">
        <v>2000</v>
      </c>
      <c r="BK6" s="40">
        <v>0</v>
      </c>
      <c r="BL6" s="41"/>
      <c r="BM6" s="41" t="s">
        <v>32</v>
      </c>
      <c r="BN6" s="41"/>
      <c r="BO6" s="41" t="s">
        <v>19</v>
      </c>
      <c r="BP6" s="40">
        <v>0</v>
      </c>
      <c r="BQ6" s="40">
        <v>0</v>
      </c>
      <c r="BR6" s="6">
        <v>1.13792</v>
      </c>
      <c r="BS6" s="41" t="s">
        <v>50</v>
      </c>
      <c r="BT6" s="40">
        <v>1</v>
      </c>
      <c r="BU6" s="48">
        <v>0</v>
      </c>
      <c r="BV6" s="6">
        <v>61.137920000000001</v>
      </c>
      <c r="BW6" s="48">
        <v>0</v>
      </c>
      <c r="BX6" s="41"/>
      <c r="BY6" s="41"/>
      <c r="BZ6" s="41"/>
      <c r="CA6" s="41"/>
      <c r="CB6" s="41"/>
      <c r="CC6" s="41"/>
      <c r="CD6" s="41"/>
      <c r="CE6" s="41" t="s">
        <v>36</v>
      </c>
      <c r="CF6" s="40">
        <v>0</v>
      </c>
      <c r="CG6" s="41"/>
      <c r="CH6" s="41" t="s">
        <v>19</v>
      </c>
      <c r="CI6" s="49">
        <v>640</v>
      </c>
      <c r="CJ6" s="41" t="s">
        <v>37</v>
      </c>
      <c r="CK6" s="41"/>
      <c r="CL6" s="41"/>
      <c r="CM6" s="41"/>
      <c r="CN6" s="41" t="s">
        <v>51</v>
      </c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52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4"/>
      <c r="B1" s="50" t="s">
        <v>11</v>
      </c>
      <c r="C1" s="51"/>
      <c r="D1" s="51"/>
      <c r="E1" s="51"/>
      <c r="F1" s="51"/>
      <c r="G1" s="51"/>
      <c r="H1" s="5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53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IFERROR(__xludf.DUMMYFUNCTION("""COMPUTED_VALUE"""),"FundName")</f>
        <v>FundName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20</v>
      </c>
      <c r="C6" s="5"/>
      <c r="D6" s="9"/>
      <c r="E6" s="3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_Modules</vt:lpstr>
      <vt:lpstr>_Settings</vt:lpstr>
      <vt:lpstr>_MasterData</vt:lpstr>
      <vt:lpstr>SetAutoGroupingPreferences</vt:lpstr>
      <vt:lpstr>CreateDoneAwayOrder</vt:lpstr>
      <vt:lpstr>CreateLiveOrder</vt:lpstr>
      <vt:lpstr>SelectTrade</vt:lpstr>
      <vt:lpstr>AcknowledgeTrade</vt:lpstr>
      <vt:lpstr>ExecuteTrade</vt:lpstr>
      <vt:lpstr>GetDataAllocation</vt:lpstr>
      <vt:lpstr>CheckUnallocatedGroups</vt:lpstr>
      <vt:lpstr>VerifyOrder</vt:lpstr>
      <vt:lpstr>VerifySubOrder</vt:lpstr>
      <vt:lpstr>UploadDropcopyFile</vt:lpstr>
      <vt:lpstr>UploadDropcopyFile1</vt:lpstr>
      <vt:lpstr>GetDataAllocation1</vt:lpstr>
      <vt:lpstr>CheckUnallocatedGroups1</vt:lpstr>
      <vt:lpstr>CheckPortfolioManagement</vt:lpstr>
      <vt:lpstr>SetAutoGroupingAccount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2021-09-21T13:19:47Z</dcterms:modified>
</cp:coreProperties>
</file>