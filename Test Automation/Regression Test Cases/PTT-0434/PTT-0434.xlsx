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onfigUpdater" sheetId="4" r:id="rId6"/>
    <sheet state="visible" name="EnableDisableModule" sheetId="5" r:id="rId7"/>
    <sheet state="visible" name="CreateDoneAwayOrder" sheetId="6" r:id="rId8"/>
    <sheet state="visible" name="GetDailyCash" sheetId="7" r:id="rId9"/>
    <sheet state="visible" name="UpdateMultipleDailyCash" sheetId="8" r:id="rId10"/>
    <sheet state="visible" name="PricingInput" sheetId="9" r:id="rId11"/>
    <sheet state="visible" name="OpenRTPNL" sheetId="10" r:id="rId12"/>
    <sheet state="visible" name="IncreaseOrUnwindPositionRTPNL" sheetId="11" r:id="rId13"/>
    <sheet state="visible" name="CalculatePTT" sheetId="12" r:id="rId14"/>
    <sheet state="visible" name="ShortLocateFromTT" sheetId="13" r:id="rId15"/>
    <sheet state="visible" name="ConfigUpdater1" sheetId="14" r:id="rId16"/>
    <sheet state="visible" name="OpenRTPNL1" sheetId="15" r:id="rId17"/>
    <sheet state="visible" name="IncreaseOrUnwindPositionRTPNL1" sheetId="16" r:id="rId18"/>
    <sheet state="visible" name="CalculatePTT1" sheetId="17" r:id="rId19"/>
    <sheet state="visible" name="ShortLocateFromTT1" sheetId="18" r:id="rId20"/>
    <sheet state="visible" name="VerifyOrder" sheetId="19" r:id="rId21"/>
    <sheet state="visible" name="LoginClient" sheetId="20" r:id="rId22"/>
    <sheet state="visible" name="SetDollarAmountPermission" sheetId="21" r:id="rId23"/>
  </sheets>
  <definedNames/>
  <calcPr/>
</workbook>
</file>

<file path=xl/sharedStrings.xml><?xml version="1.0" encoding="utf-8"?>
<sst xmlns="http://schemas.openxmlformats.org/spreadsheetml/2006/main" count="261" uniqueCount="63">
  <si>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</si>
  <si>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</si>
  <si>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</si>
  <si>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</si>
  <si>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</si>
  <si>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</si>
  <si>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</si>
  <si>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</si>
  <si>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</si>
  <si>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</si>
  <si>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</si>
  <si>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</si>
  <si>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</si>
  <si>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ConfigUpdater</t>
  </si>
  <si>
    <t>Data Format</t>
  </si>
  <si>
    <t>Input Format</t>
  </si>
  <si>
    <t>Always_PopUp_Short_Locate</t>
  </si>
  <si>
    <t>EnableDisableModule</t>
  </si>
  <si>
    <t>Short Locate</t>
  </si>
  <si>
    <t>TradingTicket</t>
  </si>
  <si>
    <t>CreateDoneAwayOrder</t>
  </si>
  <si>
    <t>AAPL</t>
  </si>
  <si>
    <t>Buy</t>
  </si>
  <si>
    <t>Allocation1</t>
  </si>
  <si>
    <t>Sell short</t>
  </si>
  <si>
    <t>Allocation2</t>
  </si>
  <si>
    <t>Allocation3</t>
  </si>
  <si>
    <t>Allocation4</t>
  </si>
  <si>
    <t>MSFT</t>
  </si>
  <si>
    <t>Allocation5</t>
  </si>
  <si>
    <t>Allocation6</t>
  </si>
  <si>
    <t>Allocation7</t>
  </si>
  <si>
    <t>Allocation8</t>
  </si>
  <si>
    <t>DailyValuation</t>
  </si>
  <si>
    <t>GetDailyCash</t>
  </si>
  <si>
    <t>UpdateMultipleDailyCash</t>
  </si>
  <si>
    <t>USD</t>
  </si>
  <si>
    <t>PricingInput</t>
  </si>
  <si>
    <t>RTPNL</t>
  </si>
  <si>
    <t>OpenRTPNL</t>
  </si>
  <si>
    <t>Nirvana,PM</t>
  </si>
  <si>
    <t>SummaryDashboard</t>
  </si>
  <si>
    <t>IncreaseOrUnwindPositionRTPNL</t>
  </si>
  <si>
    <t>adjust,increase</t>
  </si>
  <si>
    <t>PTT</t>
  </si>
  <si>
    <t>CalculatePTT</t>
  </si>
  <si>
    <t>Increase</t>
  </si>
  <si>
    <t>Percentage</t>
  </si>
  <si>
    <t>Yes</t>
  </si>
  <si>
    <t>Account</t>
  </si>
  <si>
    <t>ShortLocateFromTT</t>
  </si>
  <si>
    <t>MS</t>
  </si>
  <si>
    <t>ABC123</t>
  </si>
  <si>
    <t>AMT</t>
  </si>
  <si>
    <t>No</t>
  </si>
  <si>
    <t>Blotter</t>
  </si>
  <si>
    <t>VerifyOrder</t>
  </si>
  <si>
    <t>PranaClient</t>
  </si>
  <si>
    <t>LoginClient</t>
  </si>
  <si>
    <t>Support6</t>
  </si>
  <si>
    <t>Nirvana@1</t>
  </si>
  <si>
    <t>Sell Short</t>
  </si>
  <si>
    <t>SetDollarAmountPermission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</si>
</sst>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ConfigUpdater!$4:$4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b">
        <v>1</v>
      </c>
      <c r="C6" s="34" t="s">
        <v>18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2000.0</v>
      </c>
      <c r="E6" s="32"/>
      <c r="F6" s="12" t="s">
        <v>23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21</v>
      </c>
      <c r="C7" s="9" t="s">
        <v>24</v>
      </c>
      <c r="D7" s="12">
        <v>500.0</v>
      </c>
      <c r="E7" s="8"/>
      <c r="F7" s="12" t="s">
        <v>25</v>
      </c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12" t="s">
        <v>21</v>
      </c>
      <c r="C8" s="12" t="s">
        <v>22</v>
      </c>
      <c r="D8" s="12">
        <v>1000.0</v>
      </c>
      <c r="E8" s="8"/>
      <c r="F8" s="12" t="s">
        <v>26</v>
      </c>
      <c r="G8" s="8"/>
      <c r="H8" s="8"/>
      <c r="I8" s="8"/>
      <c r="J8" s="12">
        <v>10.0</v>
      </c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 t="s">
        <v>22</v>
      </c>
      <c r="D9" s="12">
        <v>1000.0</v>
      </c>
      <c r="E9" s="12">
        <v>0.0</v>
      </c>
      <c r="F9" s="12" t="s">
        <v>27</v>
      </c>
      <c r="G9" s="8"/>
      <c r="H9" s="8"/>
      <c r="I9" s="8"/>
      <c r="J9" s="12">
        <v>10.0</v>
      </c>
      <c r="K9" s="8"/>
      <c r="L9" s="8"/>
      <c r="M9" s="8"/>
      <c r="N9" s="8"/>
      <c r="O9" s="8"/>
    </row>
    <row r="10" ht="15.75" customHeight="1">
      <c r="A10" s="12"/>
      <c r="B10" s="12" t="s">
        <v>28</v>
      </c>
      <c r="C10" s="12" t="s">
        <v>22</v>
      </c>
      <c r="D10" s="12">
        <v>2000.0</v>
      </c>
      <c r="E10" s="32"/>
      <c r="F10" s="12" t="s">
        <v>29</v>
      </c>
      <c r="G10" s="8"/>
      <c r="H10" s="8"/>
      <c r="I10" s="8"/>
      <c r="J10" s="12">
        <v>10.0</v>
      </c>
      <c r="K10" s="8"/>
      <c r="L10" s="8"/>
      <c r="M10" s="8"/>
      <c r="N10" s="8"/>
      <c r="O10" s="8"/>
    </row>
    <row r="11" ht="15.75" customHeight="1">
      <c r="A11" s="8"/>
      <c r="B11" s="12" t="s">
        <v>28</v>
      </c>
      <c r="C11" s="9" t="s">
        <v>24</v>
      </c>
      <c r="D11" s="12">
        <v>500.0</v>
      </c>
      <c r="E11" s="8"/>
      <c r="F11" s="12" t="s">
        <v>30</v>
      </c>
      <c r="G11" s="8"/>
      <c r="H11" s="8"/>
      <c r="I11" s="8"/>
      <c r="J11" s="12">
        <v>10.0</v>
      </c>
      <c r="K11" s="8"/>
      <c r="L11" s="8"/>
      <c r="M11" s="8"/>
      <c r="N11" s="8"/>
      <c r="O11" s="8"/>
    </row>
    <row r="12" ht="15.75" customHeight="1">
      <c r="A12" s="8"/>
      <c r="B12" s="12" t="s">
        <v>28</v>
      </c>
      <c r="C12" s="12" t="s">
        <v>22</v>
      </c>
      <c r="D12" s="12">
        <v>1000.0</v>
      </c>
      <c r="E12" s="8"/>
      <c r="F12" s="12" t="s">
        <v>31</v>
      </c>
      <c r="G12" s="8"/>
      <c r="H12" s="8"/>
      <c r="I12" s="8"/>
      <c r="J12" s="12">
        <v>10.0</v>
      </c>
      <c r="K12" s="8"/>
      <c r="L12" s="8"/>
      <c r="M12" s="8"/>
      <c r="N12" s="8"/>
      <c r="O12" s="8"/>
    </row>
    <row r="13" ht="15.75" customHeight="1">
      <c r="A13" s="8"/>
      <c r="B13" s="12" t="s">
        <v>28</v>
      </c>
      <c r="C13" s="12" t="s">
        <v>22</v>
      </c>
      <c r="D13" s="12">
        <v>1000.0</v>
      </c>
      <c r="E13" s="12">
        <v>0.0</v>
      </c>
      <c r="F13" s="12" t="s">
        <v>32</v>
      </c>
      <c r="G13" s="8"/>
      <c r="H13" s="8"/>
      <c r="I13" s="8"/>
      <c r="J13" s="12">
        <v>10.0</v>
      </c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f>TODAY()-1</f>
        <v>45917</v>
      </c>
      <c r="C6" s="36">
        <f>TODAY()</f>
        <v>45918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36</v>
      </c>
      <c r="D6" s="12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25</v>
      </c>
      <c r="C7" s="12" t="s">
        <v>36</v>
      </c>
      <c r="D7" s="12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26</v>
      </c>
      <c r="C8" s="12" t="s">
        <v>36</v>
      </c>
      <c r="D8" s="12">
        <v>10000.0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27</v>
      </c>
      <c r="C9" s="12" t="s">
        <v>36</v>
      </c>
      <c r="D9" s="12">
        <v>10000.0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29</v>
      </c>
      <c r="C10" s="12" t="s">
        <v>36</v>
      </c>
      <c r="D10" s="12">
        <v>10000.0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30</v>
      </c>
      <c r="C11" s="12" t="s">
        <v>36</v>
      </c>
      <c r="D11" s="12">
        <v>10000.0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31</v>
      </c>
      <c r="C12" s="12" t="s">
        <v>36</v>
      </c>
      <c r="D12" s="12">
        <v>10000.0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32</v>
      </c>
      <c r="C13" s="12" t="s">
        <v>36</v>
      </c>
      <c r="D13" s="12">
        <v>10000.0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>
        <v>10.0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28</v>
      </c>
      <c r="C7" s="1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40</v>
      </c>
      <c r="C6" s="34" t="s">
        <v>41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12" t="s">
        <v>23</v>
      </c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43</v>
      </c>
    </row>
    <row r="7" ht="15.75" customHeight="1">
      <c r="A7" s="8"/>
      <c r="B7" s="12" t="s">
        <v>21</v>
      </c>
      <c r="C7" s="8"/>
      <c r="D7" s="8"/>
      <c r="E7" s="12" t="s">
        <v>25</v>
      </c>
      <c r="F7" s="8"/>
      <c r="G7" s="8"/>
      <c r="H7" s="8"/>
      <c r="I7" s="8"/>
      <c r="J7" s="8"/>
      <c r="K7" s="8"/>
      <c r="L7" s="8"/>
      <c r="M7" s="8"/>
      <c r="N7" s="8"/>
      <c r="O7" s="8"/>
      <c r="T7" s="9" t="s">
        <v>43</v>
      </c>
    </row>
    <row r="8" ht="15.75" customHeight="1">
      <c r="A8" s="8"/>
      <c r="B8" s="12"/>
      <c r="C8" s="8"/>
      <c r="D8" s="8"/>
      <c r="E8" s="12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8"/>
      <c r="D9" s="8"/>
      <c r="E9" s="12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IncreaseOrUnwindPositionRTPNL!$4:$4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46</v>
      </c>
      <c r="D6" s="30" t="s">
        <v>47</v>
      </c>
      <c r="E6" s="37">
        <v>10.0</v>
      </c>
      <c r="F6" s="37">
        <v>10.0</v>
      </c>
      <c r="G6" s="38" t="s">
        <v>48</v>
      </c>
      <c r="H6" s="38" t="s">
        <v>49</v>
      </c>
      <c r="I6" s="38"/>
      <c r="J6" s="8"/>
      <c r="K6" s="12" t="s">
        <v>48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51</v>
      </c>
      <c r="C6" s="12">
        <v>5000.0</v>
      </c>
      <c r="D6" s="12">
        <v>200.0</v>
      </c>
      <c r="E6" s="12">
        <v>2.0</v>
      </c>
      <c r="F6" s="12" t="s">
        <v>52</v>
      </c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ShortLocateFromTT!$4:$4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b">
        <v>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ConfigUpdater1!$4:$4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40</v>
      </c>
      <c r="C6" s="34" t="s">
        <v>41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12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43</v>
      </c>
    </row>
    <row r="7" ht="15.75" customHeight="1">
      <c r="A7" s="8"/>
      <c r="B7" s="12" t="s">
        <v>28</v>
      </c>
      <c r="C7" s="8"/>
      <c r="D7" s="8"/>
      <c r="E7" s="12" t="s">
        <v>30</v>
      </c>
      <c r="F7" s="8"/>
      <c r="G7" s="8"/>
      <c r="H7" s="8"/>
      <c r="I7" s="8"/>
      <c r="J7" s="8"/>
      <c r="K7" s="8"/>
      <c r="L7" s="8"/>
      <c r="M7" s="8"/>
      <c r="N7" s="8"/>
      <c r="O7" s="8"/>
      <c r="T7" s="9" t="s">
        <v>43</v>
      </c>
    </row>
    <row r="8" ht="15.75" customHeight="1">
      <c r="A8" s="8"/>
      <c r="B8" s="12"/>
      <c r="C8" s="8"/>
      <c r="D8" s="8"/>
      <c r="E8" s="12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8"/>
      <c r="D9" s="8"/>
      <c r="E9" s="12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46</v>
      </c>
      <c r="D6" s="12" t="s">
        <v>53</v>
      </c>
      <c r="E6" s="12">
        <v>1000.0</v>
      </c>
      <c r="F6" s="12">
        <v>10.0</v>
      </c>
      <c r="G6" s="12" t="s">
        <v>54</v>
      </c>
      <c r="H6" s="12" t="s">
        <v>49</v>
      </c>
      <c r="I6" s="8"/>
      <c r="J6" s="8"/>
      <c r="K6" s="12" t="s">
        <v>48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51</v>
      </c>
      <c r="C6" s="12">
        <v>5000.0</v>
      </c>
      <c r="D6" s="12">
        <v>500.0</v>
      </c>
      <c r="E6" s="12">
        <v>2.0</v>
      </c>
      <c r="F6" s="12" t="s">
        <v>52</v>
      </c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ShortLocateFromTT1!$4:$4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12" t="s">
        <v>22</v>
      </c>
      <c r="AT6" s="12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21</v>
      </c>
      <c r="AJ7" s="9" t="s">
        <v>24</v>
      </c>
      <c r="AT7" s="12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21</v>
      </c>
      <c r="AJ8" s="12" t="s">
        <v>22</v>
      </c>
      <c r="AT8" s="12" t="s">
        <v>26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21</v>
      </c>
      <c r="AJ9" s="12" t="s">
        <v>22</v>
      </c>
      <c r="AT9" s="12" t="s">
        <v>27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9" t="s">
        <v>28</v>
      </c>
      <c r="AJ10" s="12" t="s">
        <v>22</v>
      </c>
      <c r="AT10" s="12" t="s">
        <v>29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9" t="s">
        <v>28</v>
      </c>
      <c r="AJ11" s="9" t="s">
        <v>24</v>
      </c>
      <c r="AT11" s="12" t="s">
        <v>30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9" t="s">
        <v>28</v>
      </c>
      <c r="AJ12" s="12" t="s">
        <v>22</v>
      </c>
      <c r="AT12" s="12" t="s">
        <v>31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9" t="s">
        <v>28</v>
      </c>
      <c r="AJ13" s="12" t="s">
        <v>22</v>
      </c>
      <c r="AT13" s="12" t="s">
        <v>32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59</v>
      </c>
      <c r="C6" s="12" t="s">
        <v>60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12"/>
      <c r="AT6" s="1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21</v>
      </c>
      <c r="AJ7" s="12" t="s">
        <v>61</v>
      </c>
      <c r="AT7" s="12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21</v>
      </c>
      <c r="AJ8" s="12" t="s">
        <v>22</v>
      </c>
      <c r="AT8" s="12" t="s">
        <v>26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21</v>
      </c>
      <c r="AJ9" s="12" t="s">
        <v>22</v>
      </c>
      <c r="AT9" s="12" t="s">
        <v>27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9" t="s">
        <v>28</v>
      </c>
      <c r="AJ10" s="12" t="s">
        <v>22</v>
      </c>
      <c r="AT10" s="12" t="s">
        <v>29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9" t="s">
        <v>28</v>
      </c>
      <c r="AJ11" s="12" t="s">
        <v>61</v>
      </c>
      <c r="AT11" s="12" t="s">
        <v>30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9" t="s">
        <v>28</v>
      </c>
      <c r="AJ12" s="12" t="s">
        <v>22</v>
      </c>
      <c r="AT12" s="12" t="s">
        <v>31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9" t="s">
        <v>28</v>
      </c>
      <c r="AJ13" s="12" t="s">
        <v>22</v>
      </c>
      <c r="AT13" s="12" t="s">
        <v>32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