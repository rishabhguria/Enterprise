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ImportOnShortLocate" sheetId="5" r:id="rId7"/>
    <sheet state="visible" name="VerifyShortLocateGrid" sheetId="6" r:id="rId8"/>
    <sheet state="visible" name="CreateDoneAwayOrder" sheetId="7" r:id="rId9"/>
    <sheet state="visible" name="VerifyShortLocateGrid1" sheetId="8" r:id="rId10"/>
    <sheet state="visible" name="SelectTradeOnOrderGrid" sheetId="9" r:id="rId11"/>
    <sheet state="visible" name="ReplaceSubOrder" sheetId="10" r:id="rId12"/>
    <sheet state="visible" name="CreateReplaceOrder" sheetId="11" r:id="rId13"/>
    <sheet state="visible" name="VerifyShortLocateGrid2" sheetId="12" r:id="rId14"/>
  </sheets>
  <definedNames/>
  <calcPr/>
</workbook>
</file>

<file path=xl/sharedStrings.xml><?xml version="1.0" encoding="utf-8"?>
<sst xmlns="http://schemas.openxmlformats.org/spreadsheetml/2006/main" count="102" uniqueCount="35">
  <si>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</si>
  <si>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</si>
  <si>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</si>
  <si>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</si>
  <si>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</si>
  <si>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</si>
  <si>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</si>
  <si>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</si>
  <si>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</si>
  <si>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</si>
  <si>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</si>
  <si>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</si>
  <si>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</si>
  <si>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</si>
  <si>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</si>
  <si>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</si>
  <si>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</si>
  <si>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ShortLocate</t>
  </si>
  <si>
    <t>ImportOnShortLocate</t>
  </si>
  <si>
    <t>MS</t>
  </si>
  <si>
    <t>\\192.168.2.108\DistributedAutomation_Master\Import Cases\ShortLocate-009.csv</t>
  </si>
  <si>
    <t>VerifyShortLocateGrid</t>
  </si>
  <si>
    <t>MSFT</t>
  </si>
  <si>
    <t>GS4566232</t>
  </si>
  <si>
    <t>API</t>
  </si>
  <si>
    <t>TradingTicket</t>
  </si>
  <si>
    <t>CreateDoneAwayOrder</t>
  </si>
  <si>
    <t>Sell short</t>
  </si>
  <si>
    <t>Allocation1</t>
  </si>
  <si>
    <t>Blotter</t>
  </si>
  <si>
    <t>SelectTradeOnOrderGrid</t>
  </si>
  <si>
    <t>New</t>
  </si>
  <si>
    <t>ReplaceSubOrder</t>
  </si>
  <si>
    <t>CreateReplaceOrder</t>
  </si>
  <si>
    <t>Limit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</si>
</sst>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shrinkToFit="0" vertical="bottom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 t="str">
        <f>IFERROR(__xludf.DUMMYFUNCTION("""COMPUTED_VALUE"""),"Output")</f>
        <v>Output</v>
      </c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 t="str">
        <f>IFERROR(__xludf.DUMMYFUNCTION("""COMPUTED_VALUE"""),"Output")</f>
        <v>Output</v>
      </c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 t="str">
        <f>IFERROR(__xludf.DUMMYFUNCTION("""COMPUTED_VALUE"""),"Output")</f>
        <v>Output</v>
      </c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 t="str">
        <f>IFERROR(__xludf.DUMMYFUNCTION("""COMPUTED_VALUE"""),"Input")</f>
        <v>Input</v>
      </c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  <c r="D127">
        <f>IFERROR(__xludf.DUMMYFUNCTION("""COMPUTED_VALUE"""),2.0)</f>
        <v>2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  <c r="D129">
        <f>IFERROR(__xludf.DUMMYFUNCTION("""COMPUTED_VALUE"""),1.0)</f>
        <v>1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  <c r="D138">
        <f>IFERROR(__xludf.DUMMYFUNCTION("""COMPUTED_VALUE"""),2.0)</f>
        <v>2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  <c r="D512" t="str">
        <f>IFERROR(__xludf.DUMMYFUNCTION("""COMPUTED_VALUE"""),"yes")</f>
        <v>yes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  <c r="D521" t="str">
        <f>IFERROR(__xludf.DUMMYFUNCTION("""COMPUTED_VALUE"""),"Input")</f>
        <v>Input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IFERROR(__xludf.DUMMYFUNCTION("""COMPUTED_VALUE"""),"1quv-mE6eJ-fIc80A1uTeO8ix7AN-iGUbKPfjMut6XGw")</f>
        <v>1quv-mE6eJ-fIc80A1uTeO8ix7AN-iGUbKPfjMut6XGw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 t="str">
        <f>IFERROR(__xludf.DUMMYFUNCTION("""COMPUTED_VALUE"""),"SetAllocationPreferences")</f>
        <v>SetAllocationPreferences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s">
        <v>16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IFERROR(__xludf.DUMMYFUNCTION("""COMPUTED_VALUE"""),"Upload ThirdParty")</f>
        <v>Upload ThirdParty</v>
      </c>
      <c r="C5" s="28" t="str">
        <f>IFERROR(__xludf.DUMMYFUNCTION("""COMPUTED_VALUE"""),"Select File")</f>
        <v>Select File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4" t="s">
        <v>20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ImportOnShortLocate!$4:$4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22</v>
      </c>
      <c r="C6" s="36" t="s">
        <v>19</v>
      </c>
      <c r="D6" s="37">
        <v>0.0</v>
      </c>
      <c r="E6" s="38">
        <v>0.0</v>
      </c>
      <c r="F6" s="38">
        <v>5000.0</v>
      </c>
      <c r="G6" s="38">
        <v>2.0</v>
      </c>
      <c r="H6" s="38">
        <v>0.0</v>
      </c>
      <c r="I6" s="36" t="s">
        <v>23</v>
      </c>
      <c r="J6" s="38">
        <v>0.0</v>
      </c>
      <c r="K6" s="38">
        <v>0.0</v>
      </c>
      <c r="L6" s="38">
        <v>0.0</v>
      </c>
      <c r="M6" s="38">
        <v>5000.0</v>
      </c>
      <c r="N6" s="38">
        <v>2.0</v>
      </c>
      <c r="O6" s="36" t="s">
        <v>24</v>
      </c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VerifyShortLocateGrid!$4:$4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3" t="s">
        <v>27</v>
      </c>
      <c r="D6" s="37">
        <v>6000.0</v>
      </c>
      <c r="E6" s="39">
        <v>0.0</v>
      </c>
      <c r="F6" s="33" t="s">
        <v>28</v>
      </c>
      <c r="G6" s="33"/>
      <c r="H6" s="33"/>
      <c r="I6" s="33"/>
      <c r="J6" s="38">
        <v>5.0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8">
        <v>6000.0</v>
      </c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22</v>
      </c>
      <c r="C6" s="36" t="s">
        <v>19</v>
      </c>
      <c r="D6" s="40">
        <v>0.0</v>
      </c>
      <c r="E6" s="38">
        <v>0.0</v>
      </c>
      <c r="F6" s="39">
        <v>0.0</v>
      </c>
      <c r="G6" s="38">
        <v>2.0</v>
      </c>
      <c r="H6" s="38">
        <v>0.0</v>
      </c>
      <c r="I6" s="36" t="s">
        <v>23</v>
      </c>
      <c r="J6" s="38">
        <v>6000.0</v>
      </c>
      <c r="K6" s="38">
        <v>2.0</v>
      </c>
      <c r="L6" s="38">
        <v>0.0</v>
      </c>
      <c r="M6" s="39">
        <v>5000.0</v>
      </c>
      <c r="N6" s="38">
        <v>2.0</v>
      </c>
      <c r="O6" s="36" t="s">
        <v>24</v>
      </c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VerifyShortLocateGrid1!$4:$4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22</v>
      </c>
      <c r="E6" s="41"/>
      <c r="F6" s="13" t="s">
        <v>27</v>
      </c>
      <c r="G6" s="13" t="s">
        <v>31</v>
      </c>
      <c r="H6" s="13">
        <v>6000.0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22</v>
      </c>
      <c r="AK6" s="9" t="s">
        <v>27</v>
      </c>
      <c r="AL6" s="9" t="s">
        <v>31</v>
      </c>
      <c r="AM6" s="9">
        <v>6000.0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27</v>
      </c>
      <c r="D6" s="13">
        <v>10000.0</v>
      </c>
      <c r="E6" s="41"/>
      <c r="F6" s="13" t="s">
        <v>28</v>
      </c>
      <c r="G6" s="8"/>
      <c r="H6" s="8"/>
      <c r="I6" s="13" t="s">
        <v>34</v>
      </c>
      <c r="J6" s="8"/>
      <c r="K6" s="8"/>
      <c r="L6" s="13">
        <v>5.0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22</v>
      </c>
      <c r="C6" s="36" t="s">
        <v>19</v>
      </c>
      <c r="D6" s="40">
        <v>0.0</v>
      </c>
      <c r="E6" s="38">
        <v>0.0</v>
      </c>
      <c r="F6" s="39">
        <v>0.0</v>
      </c>
      <c r="G6" s="38">
        <v>2.0</v>
      </c>
      <c r="H6" s="38">
        <v>0.0</v>
      </c>
      <c r="I6" s="36" t="s">
        <v>23</v>
      </c>
      <c r="J6" s="39">
        <v>10000.0</v>
      </c>
      <c r="K6" s="39">
        <v>0.0</v>
      </c>
      <c r="L6" s="38">
        <v>0.0</v>
      </c>
      <c r="M6" s="39">
        <v>5000.0</v>
      </c>
      <c r="N6" s="38">
        <v>2.0</v>
      </c>
      <c r="O6" s="36" t="s">
        <v>24</v>
      </c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VerifyShortLocateGrid2!$4:$4</formula1>
    </dataValidation>
  </dataValidations>
  <drawing r:id="rId1"/>
</worksheet>
</file>