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RestartReleasesAndServices" sheetId="5" r:id="rId7"/>
    <sheet state="visible" name="CreateDoneAwayOrder" sheetId="6" r:id="rId8"/>
    <sheet state="visible" name="PricingInput" sheetId="7" r:id="rId9"/>
    <sheet state="visible" name="GetForexConversion" sheetId="8" r:id="rId10"/>
    <sheet state="visible" name="UpdateForexConversion" sheetId="9" r:id="rId11"/>
    <sheet state="visible" name="GetDailyCash" sheetId="10" r:id="rId12"/>
    <sheet state="visible" name="UpdateMultipleDailyCash" sheetId="11" r:id="rId13"/>
    <sheet state="visible" name="FetchAccountPositions" sheetId="12" r:id="rId14"/>
    <sheet state="visible" name="AddCash" sheetId="13" r:id="rId15"/>
    <sheet state="visible" name="RunRebalance" sheetId="14" r:id="rId16"/>
    <sheet state="visible" name="CheckBasketCompliance" sheetId="15" r:id="rId17"/>
    <sheet state="visible" name="SendToStagingExport" sheetId="16" r:id="rId18"/>
    <sheet state="visible" name="SelectTradeOnOrderGrid" sheetId="17" r:id="rId19"/>
    <sheet state="visible" name="EditOrder" sheetId="18" r:id="rId20"/>
    <sheet state="visible" name="CreateComplianceOrder" sheetId="19" r:id="rId21"/>
    <sheet state="visible" name="VerifyComplianceOrder" sheetId="20" r:id="rId22"/>
  </sheets>
  <definedNames/>
  <calcPr/>
</workbook>
</file>

<file path=xl/sharedStrings.xml><?xml version="1.0" encoding="utf-8"?>
<sst xmlns="http://schemas.openxmlformats.org/spreadsheetml/2006/main" count="242" uniqueCount="67">
  <si>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</si>
  <si>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</si>
  <si>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</si>
  <si>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</si>
  <si>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</si>
  <si>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</si>
  <si>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</si>
  <si>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</si>
  <si>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</si>
  <si>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</si>
  <si>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</si>
  <si>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</si>
  <si>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</si>
  <si>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</si>
  <si>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</si>
  <si>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</si>
  <si>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Compliance</t>
  </si>
  <si>
    <t>RestartReleasesAndServices</t>
  </si>
  <si>
    <t>YES</t>
  </si>
  <si>
    <t>TradingTicket</t>
  </si>
  <si>
    <t>CreateDoneAwayOrder</t>
  </si>
  <si>
    <t>IBM</t>
  </si>
  <si>
    <t>Buy</t>
  </si>
  <si>
    <t>Allocation1</t>
  </si>
  <si>
    <t>Yes</t>
  </si>
  <si>
    <t>O:COP 14O62.50</t>
  </si>
  <si>
    <t>Buy to Open</t>
  </si>
  <si>
    <t>ES U2</t>
  </si>
  <si>
    <t>FRU-TC</t>
  </si>
  <si>
    <t>DBLSX</t>
  </si>
  <si>
    <t>Allocation2</t>
  </si>
  <si>
    <t>PricingInput</t>
  </si>
  <si>
    <t>COP</t>
  </si>
  <si>
    <t>DailyValuation</t>
  </si>
  <si>
    <t>GetForexConversion</t>
  </si>
  <si>
    <t>UpdateForexConversion</t>
  </si>
  <si>
    <t>USD</t>
  </si>
  <si>
    <t>CAD</t>
  </si>
  <si>
    <t>CAD AO-FX</t>
  </si>
  <si>
    <t>GetDailyCash</t>
  </si>
  <si>
    <t>UpdateMultipleDailyCash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</si>
  <si>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</si>
  <si>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</si>
  <si>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</si>
  <si>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</si>
  <si>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</si>
  <si>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</si>
  <si>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</si>
  <si>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None</t>
  </si>
  <si>
    <t>RunRebalance</t>
  </si>
  <si>
    <t>Nearest Round Off</t>
  </si>
  <si>
    <t>CheckBasketCompliance</t>
  </si>
  <si>
    <t>Soft</t>
  </si>
  <si>
    <t>Global_NEG</t>
  </si>
  <si>
    <t>Enter Summary</t>
  </si>
  <si>
    <t>Global</t>
  </si>
  <si>
    <t>percentNetExposureGlobal: 0.0229</t>
  </si>
  <si>
    <t>SendToStagingExport</t>
  </si>
  <si>
    <t>Blotter</t>
  </si>
  <si>
    <t>SelectTradeOnOrderGrid</t>
  </si>
  <si>
    <t>New</t>
  </si>
  <si>
    <t>MS</t>
  </si>
  <si>
    <t>EditOrder</t>
  </si>
  <si>
    <t>CreateComplianceOrder</t>
  </si>
  <si>
    <t>Replace</t>
  </si>
  <si>
    <t>VerifyComplianceOrder</t>
  </si>
  <si>
    <t>percentNetExposureGlobal: 0.0309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</si>
</sst>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9.0"/>
      <color rgb="FFFFFFFF"/>
      <name val="&quot;Segoe UI&quot;"/>
    </font>
    <font>
      <sz val="9.0"/>
      <color rgb="FF000000"/>
      <name val="&quot;Segoe UI&quot;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535353"/>
      </right>
    </border>
    <border>
      <right style="thin">
        <color rgb="FF535353"/>
      </right>
      <top style="thin">
        <color rgb="FF535353"/>
      </top>
      <bottom style="thin">
        <color rgb="FF535353"/>
      </bottom>
    </border>
    <border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6" fillId="0" fontId="5" numFmtId="14" xfId="0" applyAlignment="1" applyBorder="1" applyFont="1" applyNumberFormat="1">
      <alignment horizontal="right" vertical="bottom"/>
    </xf>
    <xf borderId="0" fillId="6" fontId="14" numFmtId="0" xfId="0" applyAlignment="1" applyFill="1" applyFont="1">
      <alignment horizontal="right"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7" fillId="0" fontId="5" numFmtId="0" xfId="0" applyAlignment="1" applyBorder="1" applyFont="1">
      <alignment shrinkToFit="0" vertical="bottom" wrapText="0"/>
    </xf>
    <xf borderId="8" fillId="0" fontId="3" numFmtId="0" xfId="0" applyAlignment="1" applyBorder="1" applyFont="1">
      <alignment vertical="bottom"/>
    </xf>
    <xf borderId="9" fillId="7" fontId="15" numFmtId="0" xfId="0" applyAlignment="1" applyBorder="1" applyFill="1" applyFont="1">
      <alignment vertical="top"/>
    </xf>
    <xf borderId="9" fillId="8" fontId="16" numFmtId="0" xfId="0" applyAlignment="1" applyBorder="1" applyFill="1" applyFont="1">
      <alignment vertical="top"/>
    </xf>
    <xf borderId="9" fillId="8" fontId="16" numFmtId="0" xfId="0" applyAlignment="1" applyBorder="1" applyFont="1">
      <alignment vertical="top"/>
    </xf>
    <xf borderId="10" fillId="8" fontId="16" numFmtId="0" xfId="0" applyAlignment="1" applyBorder="1" applyFont="1">
      <alignment shrinkToFit="0" vertical="top" wrapText="0"/>
    </xf>
    <xf borderId="9" fillId="8" fontId="3" numFmtId="0" xfId="0" applyAlignment="1" applyBorder="1" applyFont="1">
      <alignment vertical="top"/>
    </xf>
    <xf borderId="0" fillId="0" fontId="17" numFmtId="0" xfId="0" applyAlignment="1" applyFont="1">
      <alignment vertical="bottom"/>
    </xf>
    <xf borderId="0" fillId="0" fontId="17" numFmtId="0" xfId="0" applyAlignment="1" applyFont="1">
      <alignment vertical="bottom"/>
    </xf>
    <xf borderId="0" fillId="0" fontId="17" numFmtId="0" xfId="0" applyAlignment="1" applyFont="1">
      <alignment horizontal="right" vertical="bottom"/>
    </xf>
    <xf borderId="0" fillId="0" fontId="17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IFERROR(__xludf.DUMMYFUNCTION("""COMPUTED_VALUE"""),"1abQG9opjIiMJB8svr0o-Eb_RJr16g0niK_nuaKS7qpc")</f>
        <v>1abQG9opjIiMJB8svr0o-Eb_RJr16g0niK_nuaKS7qpc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IFERROR(__xludf.DUMMYFUNCTION("""COMPUTED_VALUE"""),"ImportExportPath")</f>
        <v>ImportExportPath</v>
      </c>
      <c r="C5" s="28" t="str">
        <f>IFERROR(__xludf.DUMMYFUNCTION("""COMPUTED_VALUE"""),"PrePostCrossImport")</f>
        <v>PrePostCrossImport</v>
      </c>
      <c r="D5" s="28" t="str">
        <f>IFERROR(__xludf.DUMMYFUNCTION("""COMPUTED_VALUE"""),"InMarket")</f>
        <v>InMarket</v>
      </c>
      <c r="E5" s="28" t="str">
        <f>IFERROR(__xludf.DUMMYFUNCTION("""COMPUTED_VALUE"""),"InStage")</f>
        <v>InStage</v>
      </c>
      <c r="F5" s="29" t="str">
        <f>IFERROR(__xludf.DUMMYFUNCTION("""COMPUTED_VALUE"""),"PostInMarket")</f>
        <v>PostInMarket</v>
      </c>
      <c r="G5" s="28" t="str">
        <f>IFERROR(__xludf.DUMMYFUNCTION("""COMPUTED_VALUE"""),"PostInStage")</f>
        <v>PostInStage</v>
      </c>
      <c r="H5" s="28" t="str">
        <f>IFERROR(__xludf.DUMMYFUNCTION("""COMPUTED_VALUE"""),"BlockTradeOnComplianceFaliure")</f>
        <v>BlockTradeOnComplianceFaliure</v>
      </c>
      <c r="I5" s="28" t="str">
        <f>IFERROR(__xludf.DUMMYFUNCTION("""COMPUTED_VALUE"""),"StageValueFromField")</f>
        <v>StageValueFromField</v>
      </c>
      <c r="J5" s="28" t="str">
        <f>IFERROR(__xludf.DUMMYFUNCTION("""COMPUTED_VALUE"""),"StageValueFromFieldString")</f>
        <v>StageValueFromFieldString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 t="b">
        <v>1</v>
      </c>
      <c r="E6" s="34" t="b">
        <v>0</v>
      </c>
      <c r="F6" s="34" t="b">
        <v>0</v>
      </c>
      <c r="G6" s="34" t="b">
        <v>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SetComplianceAlert!$4:$4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IFERROR(__xludf.DUMMYFUNCTION("IF(C3="""","""",Transpose(IMPORTRANGE('_Settings'!$B$3,C3&amp;""!A4:A1000"")))"),"RestartReleasesAndServices")</f>
        <v>RestartReleasesAndServices</v>
      </c>
      <c r="C4" s="25" t="str">
        <f>IFERROR(__xludf.DUMMYFUNCTION("""COMPUTED_VALUE"""),"ReplaceInterceptorFile")</f>
        <v>ReplaceInterceptorFile</v>
      </c>
      <c r="D4" s="25" t="str">
        <f>IFERROR(__xludf.DUMMYFUNCTION("""COMPUTED_VALUE"""),"EditInterceptorFile")</f>
        <v>EditInterceptorFile</v>
      </c>
      <c r="E4" s="25" t="str">
        <f>IFERROR(__xludf.DUMMYFUNCTION("""COMPUTED_VALUE"""),"VerifyAlertHistory")</f>
        <v>VerifyAlertHistory</v>
      </c>
      <c r="F4" s="25" t="str">
        <f>IFERROR(__xludf.DUMMYFUNCTION("""COMPUTED_VALUE"""),"ApproveorRejectpendingapproval")</f>
        <v>ApproveorRejectpendingapproval</v>
      </c>
      <c r="G4" s="25" t="str">
        <f>IFERROR(__xludf.DUMMYFUNCTION("""COMPUTED_VALUE"""),"VerifyAggAccountSymbolWithNav")</f>
        <v>VerifyAggAccountSymbolWithNav</v>
      </c>
      <c r="H4" s="25" t="str">
        <f>IFERROR(__xludf.DUMMYFUNCTION("""COMPUTED_VALUE"""),"RestartRuleMediator")</f>
        <v>RestartRuleMediator</v>
      </c>
      <c r="I4" s="25" t="str">
        <f>IFERROR(__xludf.DUMMYFUNCTION("""COMPUTED_VALUE"""),"VerifyMasterFundSymbolDivisorWindow")</f>
        <v>VerifyMasterFundSymbolDivisorWindow</v>
      </c>
      <c r="J4" s="25" t="str">
        <f>IFERROR(__xludf.DUMMYFUNCTION("""COMPUTED_VALUE"""),"VerifyMasterFundDivisorWindow")</f>
        <v>VerifyMasterFundDivisorWindow</v>
      </c>
      <c r="K4" s="25" t="str">
        <f>IFERROR(__xludf.DUMMYFUNCTION("""COMPUTED_VALUE"""),"VerifyGlobalDivisorWindow")</f>
        <v>VerifyGlobalDivisorWindow</v>
      </c>
      <c r="L4" s="25" t="str">
        <f>IFERROR(__xludf.DUMMYFUNCTION("""COMPUTED_VALUE"""),"VerifyAccrualForAccountWindow")</f>
        <v>VerifyAccrualForAccountWindow</v>
      </c>
      <c r="M4" s="25" t="str">
        <f>IFERROR(__xludf.DUMMYFUNCTION("""COMPUTED_VALUE"""),"VerifyGlobalDivisorWindow")</f>
        <v>VerifyGlobalDivisorWindow</v>
      </c>
      <c r="N4" s="25" t="str">
        <f>IFERROR(__xludf.DUMMYFUNCTION("""COMPUTED_VALUE"""),"VerifyAggregationGlobalWithNav")</f>
        <v>VerifyAggregationGlobalWithNav</v>
      </c>
      <c r="O4" s="25" t="str">
        <f>IFERROR(__xludf.DUMMYFUNCTION("""COMPUTED_VALUE"""),"VerifyAggregationGlobalWithNav")</f>
        <v>VerifyAggregationGlobalWithNav</v>
      </c>
      <c r="P4" s="26" t="str">
        <f>IFERROR(__xludf.DUMMYFUNCTION("""COMPUTED_VALUE"""),"VerifyAggregationSubSectorWithNav")</f>
        <v>VerifyAggregationSubSectorWithNav</v>
      </c>
      <c r="Q4" s="26" t="str">
        <f>IFERROR(__xludf.DUMMYFUNCTION("""COMPUTED_VALUE"""),"VerifyAggregationSymbolWithNav")</f>
        <v>VerifyAggregationSymbolWithNav</v>
      </c>
      <c r="R4" s="26" t="str">
        <f>IFERROR(__xludf.DUMMYFUNCTION("""COMPUTED_VALUE"""),"VerifyAggregationAssetWithNav")</f>
        <v>VerifyAggregationAssetWithNav</v>
      </c>
      <c r="S4" s="26" t="str">
        <f>IFERROR(__xludf.DUMMYFUNCTION("""COMPUTED_VALUE"""),"VerifyAggregationAccountUnderlyingSymbolWithNav")</f>
        <v>VerifyAggregationAccountUnderlyingSymbolWithNav</v>
      </c>
      <c r="T4" s="26" t="str">
        <f>IFERROR(__xludf.DUMMYFUNCTION("""COMPUTED_VALUE"""),"VerifyAccountNavPreferenceWindow")</f>
        <v>VerifyAccountNavPreferenceWindow</v>
      </c>
      <c r="U4" s="26" t="str">
        <f>IFERROR(__xludf.DUMMYFUNCTION("""COMPUTED_VALUE"""),"RestartEsper")</f>
        <v>RestartEsper</v>
      </c>
      <c r="V4" s="26" t="str">
        <f>IFERROR(__xludf.DUMMYFUNCTION("""COMPUTED_VALUE"""),"VerifyTaxlotWindow")</f>
        <v>VerifyTaxlotWindow</v>
      </c>
      <c r="W4" s="26" t="str">
        <f>IFERROR(__xludf.DUMMYFUNCTION("""COMPUTED_VALUE"""),"VerifySymbolDivisorWindow")</f>
        <v>VerifySymbolDivisorWindow</v>
      </c>
      <c r="X4" s="26" t="str">
        <f>IFERROR(__xludf.DUMMYFUNCTION("""COMPUTED_VALUE"""),"VerifySymbolDataWindow")</f>
        <v>VerifySymbolDataWindow</v>
      </c>
      <c r="Y4" s="26" t="str">
        <f>IFERROR(__xludf.DUMMYFUNCTION("""COMPUTED_VALUE"""),"VerifySecurityWindow")</f>
        <v>VerifySecurityWindow</v>
      </c>
      <c r="Z4" s="26" t="str">
        <f>IFERROR(__xludf.DUMMYFUNCTION("""COMPUTED_VALUE"""),"VerifyRowCalculationBaseWindow")</f>
        <v>VerifyRowCalculationBaseWindow</v>
      </c>
      <c r="AA4" s="26" t="str">
        <f>IFERROR(__xludf.DUMMYFUNCTION("""COMPUTED_VALUE"""),"VerifyPmCalculationPreferenceWindow")</f>
        <v>VerifyPmCalculationPreferenceWindow</v>
      </c>
      <c r="AB4" s="26" t="str">
        <f>IFERROR(__xludf.DUMMYFUNCTION("""COMPUTED_VALUE"""),"VerifyGlobalDivisorWindow")</f>
        <v>VerifyGlobalDivisorWindow</v>
      </c>
      <c r="AC4" s="26" t="str">
        <f>IFERROR(__xludf.DUMMYFUNCTION("""COMPUTED_VALUE"""),"VerifyDbNavWindow")</f>
        <v>VerifyDbNavWindow</v>
      </c>
      <c r="AD4" s="26" t="str">
        <f>IFERROR(__xludf.DUMMYFUNCTION("""COMPUTED_VALUE"""),"VerifyDayEndCashAccountWindow")</f>
        <v>VerifyDayEndCashAccountWindow</v>
      </c>
      <c r="AE4" s="26" t="str">
        <f>IFERROR(__xludf.DUMMYFUNCTION("""COMPUTED_VALUE"""),"VerifyCustomSymbolDataWindow")</f>
        <v>VerifyCustomSymbolDataWindow</v>
      </c>
      <c r="AF4" s="26" t="str">
        <f>IFERROR(__xludf.DUMMYFUNCTION("""COMPUTED_VALUE"""),"VerifyBetaWindow")</f>
        <v>VerifyBetaWindow</v>
      </c>
      <c r="AG4" s="26" t="str">
        <f>IFERROR(__xludf.DUMMYFUNCTION("""COMPUTED_VALUE"""),"VerifyAuecWindow")</f>
        <v>VerifyAuecWindow</v>
      </c>
      <c r="AH4" s="26" t="str">
        <f>IFERROR(__xludf.DUMMYFUNCTION("""COMPUTED_VALUE"""),"VerifyAggregationUnderlyingSymbolWithNav")</f>
        <v>VerifyAggregationUnderlyingSymbolWithNav</v>
      </c>
      <c r="AI4" s="26" t="str">
        <f>IFERROR(__xludf.DUMMYFUNCTION("""COMPUTED_VALUE"""),"VerifyAggregationSectorWithNav")</f>
        <v>VerifyAggregationSectorWithNav</v>
      </c>
      <c r="AJ4" s="26" t="str">
        <f>IFERROR(__xludf.DUMMYFUNCTION("""COMPUTED_VALUE"""),"VerifyAggregationMasterFundWithNav")</f>
        <v>VerifyAggregationMasterFundWithNav</v>
      </c>
      <c r="AK4" s="26" t="str">
        <f>IFERROR(__xludf.DUMMYFUNCTION("""COMPUTED_VALUE"""),"VerifyAggregationMasterFundUnderlyingSymbolWithNav")</f>
        <v>VerifyAggregationMasterFundUnderlyingSymbolWithNav</v>
      </c>
      <c r="AL4" s="26" t="str">
        <f>IFERROR(__xludf.DUMMYFUNCTION("""COMPUTED_VALUE"""),"VerifyAggregationMasterFundSymbolWithNav")</f>
        <v>VerifyAggregationMasterFundSymbolWithNav</v>
      </c>
      <c r="AM4" s="26" t="str">
        <f>IFERROR(__xludf.DUMMYFUNCTION("""COMPUTED_VALUE"""),"VerifyAggregationAccountWithNav")</f>
        <v>VerifyAggregationAccountWithNav</v>
      </c>
      <c r="AN4" s="26" t="str">
        <f>IFERROR(__xludf.DUMMYFUNCTION("""COMPUTED_VALUE"""),"VerifyAggregationAccountSymbolWithNav")</f>
        <v>VerifyAggregationAccountSymbolWithNav</v>
      </c>
      <c r="AO4" s="26" t="str">
        <f>IFERROR(__xludf.DUMMYFUNCTION("""COMPUTED_VALUE"""),"VerifyAccountSymbolDivisorWindow")</f>
        <v>VerifyAccountSymbolDivisorWindow</v>
      </c>
      <c r="AP4" s="26" t="str">
        <f>IFERROR(__xludf.DUMMYFUNCTION("""COMPUTED_VALUE"""),"VerifyAccountDivisorWindow")</f>
        <v>VerifyAccountDivisorWindow</v>
      </c>
      <c r="AQ4" s="26" t="str">
        <f>IFERROR(__xludf.DUMMYFUNCTION("""COMPUTED_VALUE"""),"CheckCompliance")</f>
        <v>CheckCompliance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IFERROR(__xludf.DUMMYFUNCTION("""COMPUTED_VALUE"""),"Restart Basket")</f>
        <v>Restart Basket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RestartReleasesAndServices!$4:$4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2" t="s">
        <v>22</v>
      </c>
      <c r="D6" s="35">
        <v>100.0</v>
      </c>
      <c r="E6" s="36">
        <v>0.0</v>
      </c>
      <c r="F6" s="32" t="s">
        <v>23</v>
      </c>
      <c r="G6" s="32"/>
      <c r="H6" s="32"/>
      <c r="I6" s="32"/>
      <c r="J6" s="37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 t="s">
        <v>24</v>
      </c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21</v>
      </c>
      <c r="C7" s="32" t="s">
        <v>22</v>
      </c>
      <c r="D7" s="37">
        <v>100.0</v>
      </c>
      <c r="E7" s="32"/>
      <c r="F7" s="32" t="s">
        <v>23</v>
      </c>
      <c r="G7" s="32"/>
      <c r="H7" s="32"/>
      <c r="I7" s="32"/>
      <c r="J7" s="37">
        <v>10.0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 t="s">
        <v>24</v>
      </c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25</v>
      </c>
      <c r="C8" s="32" t="s">
        <v>26</v>
      </c>
      <c r="D8" s="37">
        <v>100.0</v>
      </c>
      <c r="E8" s="32"/>
      <c r="F8" s="32" t="s">
        <v>23</v>
      </c>
      <c r="G8" s="32"/>
      <c r="H8" s="32"/>
      <c r="I8" s="32"/>
      <c r="J8" s="37">
        <v>10.0</v>
      </c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 t="s">
        <v>24</v>
      </c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 t="s">
        <v>27</v>
      </c>
      <c r="C9" s="32" t="s">
        <v>22</v>
      </c>
      <c r="D9" s="37">
        <v>100.0</v>
      </c>
      <c r="E9" s="32"/>
      <c r="F9" s="32" t="s">
        <v>23</v>
      </c>
      <c r="G9" s="32"/>
      <c r="H9" s="32"/>
      <c r="I9" s="32"/>
      <c r="J9" s="37">
        <v>10.0</v>
      </c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 t="s">
        <v>24</v>
      </c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36">
        <v>1.23456789E8</v>
      </c>
      <c r="C10" s="32" t="s">
        <v>22</v>
      </c>
      <c r="D10" s="37">
        <v>100.0</v>
      </c>
      <c r="E10" s="32"/>
      <c r="F10" s="32" t="s">
        <v>23</v>
      </c>
      <c r="G10" s="32"/>
      <c r="H10" s="32"/>
      <c r="I10" s="32"/>
      <c r="J10" s="37">
        <v>10.0</v>
      </c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 t="s">
        <v>24</v>
      </c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32"/>
      <c r="B11" s="32" t="s">
        <v>28</v>
      </c>
      <c r="C11" s="32" t="s">
        <v>22</v>
      </c>
      <c r="D11" s="37">
        <v>100.0</v>
      </c>
      <c r="E11" s="32"/>
      <c r="F11" s="32" t="s">
        <v>23</v>
      </c>
      <c r="G11" s="32"/>
      <c r="H11" s="32"/>
      <c r="I11" s="32"/>
      <c r="J11" s="37">
        <v>10.0</v>
      </c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 t="s">
        <v>24</v>
      </c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</row>
    <row r="12" ht="15.75" customHeight="1">
      <c r="A12" s="32"/>
      <c r="B12" s="32" t="s">
        <v>29</v>
      </c>
      <c r="C12" s="32" t="s">
        <v>22</v>
      </c>
      <c r="D12" s="37">
        <v>100.0</v>
      </c>
      <c r="E12" s="32"/>
      <c r="F12" s="32" t="s">
        <v>23</v>
      </c>
      <c r="G12" s="32"/>
      <c r="H12" s="32"/>
      <c r="I12" s="32"/>
      <c r="J12" s="37">
        <v>10.0</v>
      </c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 t="s">
        <v>24</v>
      </c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  <c r="EW12" s="32"/>
      <c r="EX12" s="32"/>
    </row>
    <row r="13" ht="15.75" customHeight="1">
      <c r="A13" s="32"/>
      <c r="B13" s="32" t="s">
        <v>21</v>
      </c>
      <c r="C13" s="32" t="s">
        <v>22</v>
      </c>
      <c r="D13" s="37">
        <v>100.0</v>
      </c>
      <c r="E13" s="36">
        <v>0.0</v>
      </c>
      <c r="F13" s="32" t="s">
        <v>30</v>
      </c>
      <c r="G13" s="32"/>
      <c r="H13" s="32"/>
      <c r="I13" s="32"/>
      <c r="J13" s="37">
        <v>10.0</v>
      </c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 t="s">
        <v>24</v>
      </c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  <c r="EW13" s="32"/>
      <c r="EX13" s="32"/>
    </row>
    <row r="14" ht="15.75" customHeight="1">
      <c r="A14" s="32"/>
      <c r="B14" s="32" t="s">
        <v>21</v>
      </c>
      <c r="C14" s="32" t="s">
        <v>22</v>
      </c>
      <c r="D14" s="37">
        <v>100.0</v>
      </c>
      <c r="E14" s="32"/>
      <c r="F14" s="32" t="s">
        <v>30</v>
      </c>
      <c r="G14" s="32"/>
      <c r="H14" s="32"/>
      <c r="I14" s="32"/>
      <c r="J14" s="37">
        <v>10.0</v>
      </c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 t="s">
        <v>24</v>
      </c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32"/>
      <c r="DK14" s="32"/>
      <c r="DL14" s="32"/>
      <c r="DM14" s="32"/>
      <c r="DN14" s="32"/>
      <c r="DO14" s="32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32"/>
      <c r="ED14" s="32"/>
      <c r="EE14" s="32"/>
      <c r="EF14" s="32"/>
      <c r="EG14" s="32"/>
      <c r="EH14" s="32"/>
      <c r="EI14" s="32"/>
      <c r="EJ14" s="32"/>
      <c r="EK14" s="32"/>
      <c r="EL14" s="32"/>
      <c r="EM14" s="32"/>
      <c r="EN14" s="32"/>
      <c r="EO14" s="32"/>
      <c r="EP14" s="32"/>
      <c r="EQ14" s="32"/>
      <c r="ER14" s="32"/>
      <c r="ES14" s="32"/>
      <c r="ET14" s="32"/>
      <c r="EU14" s="32"/>
      <c r="EV14" s="32"/>
      <c r="EW14" s="32"/>
      <c r="EX14" s="32"/>
    </row>
    <row r="15" ht="15.75" customHeight="1">
      <c r="A15" s="32"/>
      <c r="B15" s="32" t="s">
        <v>25</v>
      </c>
      <c r="C15" s="32" t="s">
        <v>26</v>
      </c>
      <c r="D15" s="37">
        <v>100.0</v>
      </c>
      <c r="E15" s="32"/>
      <c r="F15" s="32" t="s">
        <v>30</v>
      </c>
      <c r="G15" s="32"/>
      <c r="H15" s="32"/>
      <c r="I15" s="32"/>
      <c r="J15" s="37">
        <v>10.0</v>
      </c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 t="s">
        <v>24</v>
      </c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  <c r="CM15" s="32"/>
      <c r="CN15" s="32"/>
      <c r="CO15" s="32"/>
      <c r="CP15" s="32"/>
      <c r="CQ15" s="32"/>
      <c r="CR15" s="32"/>
      <c r="CS15" s="32"/>
      <c r="CT15" s="32"/>
      <c r="CU15" s="32"/>
      <c r="CV15" s="32"/>
      <c r="CW15" s="32"/>
      <c r="CX15" s="32"/>
      <c r="CY15" s="32"/>
      <c r="CZ15" s="32"/>
      <c r="DA15" s="32"/>
      <c r="DB15" s="32"/>
      <c r="DC15" s="32"/>
      <c r="DD15" s="32"/>
      <c r="DE15" s="32"/>
      <c r="DF15" s="32"/>
      <c r="DG15" s="32"/>
      <c r="DH15" s="32"/>
      <c r="DI15" s="32"/>
      <c r="DJ15" s="32"/>
      <c r="DK15" s="32"/>
      <c r="DL15" s="32"/>
      <c r="DM15" s="32"/>
      <c r="DN15" s="32"/>
      <c r="DO15" s="32"/>
      <c r="DP15" s="32"/>
      <c r="DQ15" s="32"/>
      <c r="DR15" s="32"/>
      <c r="DS15" s="32"/>
      <c r="DT15" s="32"/>
      <c r="DU15" s="32"/>
      <c r="DV15" s="32"/>
      <c r="DW15" s="32"/>
      <c r="DX15" s="32"/>
      <c r="DY15" s="32"/>
      <c r="DZ15" s="32"/>
      <c r="EA15" s="32"/>
      <c r="EB15" s="32"/>
      <c r="EC15" s="32"/>
      <c r="ED15" s="32"/>
      <c r="EE15" s="32"/>
      <c r="EF15" s="32"/>
      <c r="EG15" s="32"/>
      <c r="EH15" s="32"/>
      <c r="EI15" s="32"/>
      <c r="EJ15" s="32"/>
      <c r="EK15" s="32"/>
      <c r="EL15" s="32"/>
      <c r="EM15" s="32"/>
      <c r="EN15" s="32"/>
      <c r="EO15" s="32"/>
      <c r="EP15" s="32"/>
      <c r="EQ15" s="32"/>
      <c r="ER15" s="32"/>
      <c r="ES15" s="32"/>
      <c r="ET15" s="32"/>
      <c r="EU15" s="32"/>
      <c r="EV15" s="32"/>
      <c r="EW15" s="32"/>
      <c r="EX15" s="32"/>
    </row>
    <row r="16" ht="15.75" customHeight="1">
      <c r="A16" s="32"/>
      <c r="B16" s="32" t="s">
        <v>27</v>
      </c>
      <c r="C16" s="32" t="s">
        <v>22</v>
      </c>
      <c r="D16" s="37">
        <v>100.0</v>
      </c>
      <c r="E16" s="32"/>
      <c r="F16" s="32" t="s">
        <v>30</v>
      </c>
      <c r="G16" s="32"/>
      <c r="H16" s="32"/>
      <c r="I16" s="32"/>
      <c r="J16" s="37">
        <v>10.0</v>
      </c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 t="s">
        <v>24</v>
      </c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32"/>
      <c r="DK16" s="32"/>
      <c r="DL16" s="32"/>
      <c r="DM16" s="32"/>
      <c r="DN16" s="32"/>
      <c r="DO16" s="32"/>
      <c r="DP16" s="32"/>
      <c r="DQ16" s="32"/>
      <c r="DR16" s="32"/>
      <c r="DS16" s="32"/>
      <c r="DT16" s="32"/>
      <c r="DU16" s="32"/>
      <c r="DV16" s="32"/>
      <c r="DW16" s="32"/>
      <c r="DX16" s="32"/>
      <c r="DY16" s="32"/>
      <c r="DZ16" s="32"/>
      <c r="EA16" s="32"/>
      <c r="EB16" s="32"/>
      <c r="EC16" s="32"/>
      <c r="ED16" s="32"/>
      <c r="EE16" s="32"/>
      <c r="EF16" s="32"/>
      <c r="EG16" s="32"/>
      <c r="EH16" s="32"/>
      <c r="EI16" s="32"/>
      <c r="EJ16" s="32"/>
      <c r="EK16" s="32"/>
      <c r="EL16" s="32"/>
      <c r="EM16" s="32"/>
      <c r="EN16" s="32"/>
      <c r="EO16" s="32"/>
      <c r="EP16" s="32"/>
      <c r="EQ16" s="32"/>
      <c r="ER16" s="32"/>
      <c r="ES16" s="32"/>
      <c r="ET16" s="32"/>
      <c r="EU16" s="32"/>
      <c r="EV16" s="32"/>
      <c r="EW16" s="32"/>
      <c r="EX16" s="32"/>
    </row>
    <row r="17" ht="15.75" customHeight="1">
      <c r="A17" s="32"/>
      <c r="B17" s="36">
        <v>1.23456789E8</v>
      </c>
      <c r="C17" s="32" t="s">
        <v>22</v>
      </c>
      <c r="D17" s="37">
        <v>100.0</v>
      </c>
      <c r="E17" s="32"/>
      <c r="F17" s="32" t="s">
        <v>30</v>
      </c>
      <c r="G17" s="32"/>
      <c r="H17" s="32"/>
      <c r="I17" s="32"/>
      <c r="J17" s="37">
        <v>10.0</v>
      </c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 t="s">
        <v>24</v>
      </c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  <c r="CD17" s="32"/>
      <c r="CE17" s="32"/>
      <c r="CF17" s="32"/>
      <c r="CG17" s="32"/>
      <c r="CH17" s="32"/>
      <c r="CI17" s="32"/>
      <c r="CJ17" s="32"/>
      <c r="CK17" s="32"/>
      <c r="CL17" s="32"/>
      <c r="CM17" s="32"/>
      <c r="CN17" s="32"/>
      <c r="CO17" s="32"/>
      <c r="CP17" s="32"/>
      <c r="CQ17" s="32"/>
      <c r="CR17" s="32"/>
      <c r="CS17" s="32"/>
      <c r="CT17" s="32"/>
      <c r="CU17" s="32"/>
      <c r="CV17" s="32"/>
      <c r="CW17" s="32"/>
      <c r="CX17" s="32"/>
      <c r="CY17" s="32"/>
      <c r="CZ17" s="32"/>
      <c r="DA17" s="32"/>
      <c r="DB17" s="32"/>
      <c r="DC17" s="32"/>
      <c r="DD17" s="32"/>
      <c r="DE17" s="32"/>
      <c r="DF17" s="32"/>
      <c r="DG17" s="32"/>
      <c r="DH17" s="32"/>
      <c r="DI17" s="32"/>
      <c r="DJ17" s="32"/>
      <c r="DK17" s="32"/>
      <c r="DL17" s="32"/>
      <c r="DM17" s="32"/>
      <c r="DN17" s="32"/>
      <c r="DO17" s="32"/>
      <c r="DP17" s="32"/>
      <c r="DQ17" s="32"/>
      <c r="DR17" s="32"/>
      <c r="DS17" s="32"/>
      <c r="DT17" s="32"/>
      <c r="DU17" s="32"/>
      <c r="DV17" s="32"/>
      <c r="DW17" s="32"/>
      <c r="DX17" s="32"/>
      <c r="DY17" s="32"/>
      <c r="DZ17" s="32"/>
      <c r="EA17" s="32"/>
      <c r="EB17" s="32"/>
      <c r="EC17" s="32"/>
      <c r="ED17" s="32"/>
      <c r="EE17" s="32"/>
      <c r="EF17" s="32"/>
      <c r="EG17" s="32"/>
      <c r="EH17" s="32"/>
      <c r="EI17" s="32"/>
      <c r="EJ17" s="32"/>
      <c r="EK17" s="32"/>
      <c r="EL17" s="32"/>
      <c r="EM17" s="32"/>
      <c r="EN17" s="32"/>
      <c r="EO17" s="32"/>
      <c r="EP17" s="32"/>
      <c r="EQ17" s="32"/>
      <c r="ER17" s="32"/>
      <c r="ES17" s="32"/>
      <c r="ET17" s="32"/>
      <c r="EU17" s="32"/>
      <c r="EV17" s="32"/>
      <c r="EW17" s="32"/>
      <c r="EX17" s="32"/>
    </row>
    <row r="18" ht="15.75" customHeight="1">
      <c r="A18" s="32"/>
      <c r="B18" s="32" t="s">
        <v>28</v>
      </c>
      <c r="C18" s="32" t="s">
        <v>22</v>
      </c>
      <c r="D18" s="37">
        <v>100.0</v>
      </c>
      <c r="E18" s="32"/>
      <c r="F18" s="32" t="s">
        <v>30</v>
      </c>
      <c r="G18" s="32"/>
      <c r="H18" s="32"/>
      <c r="I18" s="32"/>
      <c r="J18" s="37">
        <v>10.0</v>
      </c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 t="s">
        <v>24</v>
      </c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2"/>
      <c r="BV18" s="32"/>
      <c r="BW18" s="32"/>
      <c r="BX18" s="32"/>
      <c r="BY18" s="32"/>
      <c r="BZ18" s="32"/>
      <c r="CA18" s="32"/>
      <c r="CB18" s="32"/>
      <c r="CC18" s="32"/>
      <c r="CD18" s="32"/>
      <c r="CE18" s="32"/>
      <c r="CF18" s="32"/>
      <c r="CG18" s="32"/>
      <c r="CH18" s="32"/>
      <c r="CI18" s="32"/>
      <c r="CJ18" s="32"/>
      <c r="CK18" s="32"/>
      <c r="CL18" s="32"/>
      <c r="CM18" s="32"/>
      <c r="CN18" s="32"/>
      <c r="CO18" s="32"/>
      <c r="CP18" s="32"/>
      <c r="CQ18" s="32"/>
      <c r="CR18" s="32"/>
      <c r="CS18" s="32"/>
      <c r="CT18" s="32"/>
      <c r="CU18" s="32"/>
      <c r="CV18" s="32"/>
      <c r="CW18" s="32"/>
      <c r="CX18" s="32"/>
      <c r="CY18" s="32"/>
      <c r="CZ18" s="32"/>
      <c r="DA18" s="32"/>
      <c r="DB18" s="32"/>
      <c r="DC18" s="32"/>
      <c r="DD18" s="32"/>
      <c r="DE18" s="32"/>
      <c r="DF18" s="32"/>
      <c r="DG18" s="32"/>
      <c r="DH18" s="32"/>
      <c r="DI18" s="32"/>
      <c r="DJ18" s="32"/>
      <c r="DK18" s="32"/>
      <c r="DL18" s="32"/>
      <c r="DM18" s="32"/>
      <c r="DN18" s="32"/>
      <c r="DO18" s="32"/>
      <c r="DP18" s="32"/>
      <c r="DQ18" s="32"/>
      <c r="DR18" s="32"/>
      <c r="DS18" s="32"/>
      <c r="DT18" s="32"/>
      <c r="DU18" s="32"/>
      <c r="DV18" s="32"/>
      <c r="DW18" s="32"/>
      <c r="DX18" s="32"/>
      <c r="DY18" s="32"/>
      <c r="DZ18" s="32"/>
      <c r="EA18" s="32"/>
      <c r="EB18" s="32"/>
      <c r="EC18" s="32"/>
      <c r="ED18" s="32"/>
      <c r="EE18" s="32"/>
      <c r="EF18" s="32"/>
      <c r="EG18" s="32"/>
      <c r="EH18" s="32"/>
      <c r="EI18" s="32"/>
      <c r="EJ18" s="32"/>
      <c r="EK18" s="32"/>
      <c r="EL18" s="32"/>
      <c r="EM18" s="32"/>
      <c r="EN18" s="32"/>
      <c r="EO18" s="32"/>
      <c r="EP18" s="32"/>
      <c r="EQ18" s="32"/>
      <c r="ER18" s="32"/>
      <c r="ES18" s="32"/>
      <c r="ET18" s="32"/>
      <c r="EU18" s="32"/>
      <c r="EV18" s="32"/>
      <c r="EW18" s="32"/>
      <c r="EX18" s="32"/>
    </row>
    <row r="19" ht="15.75" customHeight="1">
      <c r="A19" s="32"/>
      <c r="B19" s="32" t="s">
        <v>29</v>
      </c>
      <c r="C19" s="32" t="s">
        <v>22</v>
      </c>
      <c r="D19" s="37">
        <v>100.0</v>
      </c>
      <c r="E19" s="32"/>
      <c r="F19" s="32" t="s">
        <v>30</v>
      </c>
      <c r="G19" s="32"/>
      <c r="H19" s="32"/>
      <c r="I19" s="32"/>
      <c r="J19" s="37">
        <v>10.0</v>
      </c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 t="s">
        <v>24</v>
      </c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  <c r="BV19" s="32"/>
      <c r="BW19" s="32"/>
      <c r="BX19" s="32"/>
      <c r="BY19" s="32"/>
      <c r="BZ19" s="32"/>
      <c r="CA19" s="32"/>
      <c r="CB19" s="32"/>
      <c r="CC19" s="32"/>
      <c r="CD19" s="32"/>
      <c r="CE19" s="32"/>
      <c r="CF19" s="32"/>
      <c r="CG19" s="32"/>
      <c r="CH19" s="32"/>
      <c r="CI19" s="32"/>
      <c r="CJ19" s="32"/>
      <c r="CK19" s="32"/>
      <c r="CL19" s="32"/>
      <c r="CM19" s="32"/>
      <c r="CN19" s="32"/>
      <c r="CO19" s="32"/>
      <c r="CP19" s="32"/>
      <c r="CQ19" s="32"/>
      <c r="CR19" s="32"/>
      <c r="CS19" s="32"/>
      <c r="CT19" s="32"/>
      <c r="CU19" s="32"/>
      <c r="CV19" s="32"/>
      <c r="CW19" s="32"/>
      <c r="CX19" s="32"/>
      <c r="CY19" s="32"/>
      <c r="CZ19" s="32"/>
      <c r="DA19" s="32"/>
      <c r="DB19" s="32"/>
      <c r="DC19" s="32"/>
      <c r="DD19" s="32"/>
      <c r="DE19" s="32"/>
      <c r="DF19" s="32"/>
      <c r="DG19" s="32"/>
      <c r="DH19" s="32"/>
      <c r="DI19" s="32"/>
      <c r="DJ19" s="32"/>
      <c r="DK19" s="32"/>
      <c r="DL19" s="32"/>
      <c r="DM19" s="32"/>
      <c r="DN19" s="32"/>
      <c r="DO19" s="32"/>
      <c r="DP19" s="32"/>
      <c r="DQ19" s="32"/>
      <c r="DR19" s="32"/>
      <c r="DS19" s="32"/>
      <c r="DT19" s="32"/>
      <c r="DU19" s="32"/>
      <c r="DV19" s="32"/>
      <c r="DW19" s="32"/>
      <c r="DX19" s="32"/>
      <c r="DY19" s="32"/>
      <c r="DZ19" s="32"/>
      <c r="EA19" s="32"/>
      <c r="EB19" s="32"/>
      <c r="EC19" s="32"/>
      <c r="ED19" s="32"/>
      <c r="EE19" s="32"/>
      <c r="EF19" s="32"/>
      <c r="EG19" s="32"/>
      <c r="EH19" s="32"/>
      <c r="EI19" s="32"/>
      <c r="EJ19" s="32"/>
      <c r="EK19" s="32"/>
      <c r="EL19" s="32"/>
      <c r="EM19" s="32"/>
      <c r="EN19" s="32"/>
      <c r="EO19" s="32"/>
      <c r="EP19" s="32"/>
      <c r="EQ19" s="32"/>
      <c r="ER19" s="32"/>
      <c r="ES19" s="32"/>
      <c r="ET19" s="32"/>
      <c r="EU19" s="32"/>
      <c r="EV19" s="32"/>
      <c r="EW19" s="32"/>
      <c r="EX19" s="32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7">
        <v>20.0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25</v>
      </c>
      <c r="C7" s="37">
        <v>20.0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27</v>
      </c>
      <c r="C8" s="37">
        <v>20.0</v>
      </c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6">
        <v>1.23456789E8</v>
      </c>
      <c r="C9" s="37">
        <v>20.0</v>
      </c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32" t="s">
        <v>28</v>
      </c>
      <c r="C10" s="37">
        <v>20.0</v>
      </c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32"/>
      <c r="B11" s="32" t="s">
        <v>29</v>
      </c>
      <c r="C11" s="37">
        <v>20.0</v>
      </c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</row>
    <row r="12" ht="15.75" customHeight="1">
      <c r="A12" s="32"/>
      <c r="B12" s="38" t="s">
        <v>32</v>
      </c>
      <c r="C12" s="37">
        <v>20.0</v>
      </c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  <c r="EW12" s="32"/>
      <c r="EX12" s="32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>
        <f t="shared" ref="B6:C6" si="1">today()-1</f>
        <v>45104</v>
      </c>
      <c r="C6" s="39">
        <f t="shared" si="1"/>
        <v>45104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36</v>
      </c>
      <c r="C6" s="38" t="s">
        <v>37</v>
      </c>
      <c r="D6" s="31" t="s">
        <v>38</v>
      </c>
      <c r="E6" s="37">
        <v>1.2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>
        <f t="shared" ref="B6:C6" si="1">today()-1</f>
        <v>45104</v>
      </c>
      <c r="C6" s="42">
        <f t="shared" si="1"/>
        <v>45104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23</v>
      </c>
      <c r="C6" s="38" t="s">
        <v>36</v>
      </c>
      <c r="D6" s="43">
        <v>1.9694313E7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4" t="s">
        <v>23</v>
      </c>
      <c r="C6" s="45" t="s">
        <v>43</v>
      </c>
      <c r="D6" s="44" t="s">
        <v>44</v>
      </c>
      <c r="E6" s="45" t="s">
        <v>45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6"/>
      <c r="B6" s="47">
        <v>100000.0</v>
      </c>
      <c r="C6" s="45" t="s">
        <v>47</v>
      </c>
      <c r="D6" s="44" t="s">
        <v>48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8" t="s">
        <v>50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9"/>
      <c r="B6" s="50" t="s">
        <v>52</v>
      </c>
      <c r="C6" s="51" t="s">
        <v>53</v>
      </c>
      <c r="D6" s="52" t="s">
        <v>54</v>
      </c>
      <c r="E6" s="51" t="s">
        <v>55</v>
      </c>
      <c r="F6" s="51">
        <v>-10.0</v>
      </c>
      <c r="G6" s="51">
        <v>0.02</v>
      </c>
      <c r="H6" s="53" t="s">
        <v>56</v>
      </c>
      <c r="I6" s="54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CheckBasketCompliance!$4:$4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 t="str">
        <f>IFERROR(__xludf.DUMMYFUNCTION("""COMPUTED_VALUE"""),"AllowTrade")</f>
        <v>AllowTrade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5" t="s">
        <v>23</v>
      </c>
      <c r="C6" s="56" t="s">
        <v>22</v>
      </c>
      <c r="D6" s="57">
        <v>1.23456789E8</v>
      </c>
      <c r="E6" s="58">
        <v>1.0</v>
      </c>
      <c r="F6" s="58">
        <v>20.0</v>
      </c>
      <c r="G6" s="58">
        <v>0.0</v>
      </c>
      <c r="H6" s="32"/>
      <c r="I6" s="38" t="s">
        <v>24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56" t="s">
        <v>23</v>
      </c>
      <c r="C7" s="56" t="s">
        <v>22</v>
      </c>
      <c r="D7" s="56" t="s">
        <v>29</v>
      </c>
      <c r="E7" s="58">
        <v>1.0</v>
      </c>
      <c r="F7" s="58">
        <v>20.0</v>
      </c>
      <c r="G7" s="58">
        <v>20.0</v>
      </c>
      <c r="H7" s="32"/>
      <c r="I7" s="38" t="s">
        <v>24</v>
      </c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56" t="s">
        <v>23</v>
      </c>
      <c r="C8" s="56" t="s">
        <v>22</v>
      </c>
      <c r="D8" s="56" t="s">
        <v>28</v>
      </c>
      <c r="E8" s="58">
        <v>1.0</v>
      </c>
      <c r="F8" s="58">
        <v>20.0</v>
      </c>
      <c r="G8" s="58">
        <v>17.0</v>
      </c>
      <c r="H8" s="32"/>
      <c r="I8" s="38" t="s">
        <v>24</v>
      </c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56" t="s">
        <v>23</v>
      </c>
      <c r="C9" s="56" t="s">
        <v>22</v>
      </c>
      <c r="D9" s="56" t="s">
        <v>21</v>
      </c>
      <c r="E9" s="58">
        <v>1.0</v>
      </c>
      <c r="F9" s="58">
        <v>20.0</v>
      </c>
      <c r="G9" s="58">
        <v>20.0</v>
      </c>
      <c r="H9" s="32"/>
      <c r="I9" s="38" t="s">
        <v>24</v>
      </c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SendToStagingExport!$4:$4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59" t="s">
        <v>28</v>
      </c>
      <c r="E6" s="32"/>
      <c r="F6" s="32" t="s">
        <v>22</v>
      </c>
      <c r="G6" s="32" t="s">
        <v>60</v>
      </c>
      <c r="H6" s="37">
        <v>1.0</v>
      </c>
      <c r="I6" s="32"/>
      <c r="J6" s="32"/>
      <c r="K6" s="32"/>
      <c r="L6" s="32"/>
      <c r="M6" s="32"/>
      <c r="N6" s="32"/>
      <c r="O6" s="32"/>
      <c r="P6" s="32"/>
      <c r="Q6" s="32" t="s">
        <v>61</v>
      </c>
      <c r="R6" s="32" t="s">
        <v>23</v>
      </c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59" t="s">
        <v>28</v>
      </c>
      <c r="AJ6" s="32" t="s">
        <v>22</v>
      </c>
      <c r="AK6" s="32" t="s">
        <v>60</v>
      </c>
      <c r="AL6" s="36">
        <v>1.0</v>
      </c>
      <c r="AM6" s="32"/>
      <c r="AN6" s="32"/>
      <c r="AO6" s="32"/>
      <c r="AP6" s="32"/>
      <c r="AQ6" s="32"/>
      <c r="AR6" s="32"/>
      <c r="AS6" s="32" t="s">
        <v>61</v>
      </c>
      <c r="AT6" s="32" t="s">
        <v>23</v>
      </c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5">
        <v>100.0</v>
      </c>
      <c r="E6" s="32"/>
      <c r="F6" s="32"/>
      <c r="G6" s="32"/>
      <c r="H6" s="32"/>
      <c r="I6" s="32"/>
      <c r="J6" s="37">
        <v>20.0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 t="s">
        <v>24</v>
      </c>
      <c r="AR6" s="32"/>
      <c r="AS6" s="32"/>
      <c r="AT6" s="32"/>
      <c r="AU6" s="32"/>
      <c r="AV6" s="32"/>
      <c r="AW6" s="32"/>
      <c r="AX6" s="32" t="s">
        <v>64</v>
      </c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65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9"/>
      <c r="B6" s="50" t="s">
        <v>52</v>
      </c>
      <c r="C6" s="51" t="s">
        <v>53</v>
      </c>
      <c r="D6" s="52" t="s">
        <v>54</v>
      </c>
      <c r="E6" s="51" t="s">
        <v>55</v>
      </c>
      <c r="F6" s="51">
        <v>-10.0</v>
      </c>
      <c r="G6" s="51">
        <v>0.03</v>
      </c>
      <c r="H6" s="53" t="s">
        <v>66</v>
      </c>
      <c r="I6" s="54"/>
      <c r="J6" s="32"/>
      <c r="K6" s="32" t="s">
        <v>24</v>
      </c>
      <c r="L6" s="32"/>
      <c r="M6" s="32" t="s">
        <v>64</v>
      </c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