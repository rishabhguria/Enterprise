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loseOrder" sheetId="6" r:id="rId8"/>
    <sheet state="visible" name="ManualCloseOrder" sheetId="7" r:id="rId9"/>
    <sheet state="visible" name="EditMultipleCloseQuantity" sheetId="8" r:id="rId10"/>
    <sheet state="visible" name="VerifyCloseOrder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<sst xmlns="http://schemas.openxmlformats.org/spreadsheetml/2006/main" count="121" uniqueCount="36">
  <si>
    <t>Modules Info</t>
  </si>
  <si>
    <t>Modules</t>
  </si>
  <si>
    <t>Settings</t>
  </si>
  <si>
    <t>Module Step Setting File</t>
  </si>
  <si>
    <t>1A_wgxBZ-gb8MQ4EutEiVLMRaA3L9tP9GEqdFWSH_8hc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</si>
  <si>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</si>
  <si>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</si>
  <si>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</si>
  <si>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</si>
  <si>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</si>
  <si>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</si>
  <si>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</si>
  <si>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</si>
  <si>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</si>
  <si>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</si>
  <si>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</si>
  <si>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</si>
  <si>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</si>
  <si>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</si>
  <si>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</si>
  <si>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Allocation</t>
  </si>
  <si>
    <t>GetDataAllocation</t>
  </si>
  <si>
    <t>Histrorical</t>
  </si>
  <si>
    <t>Closing</t>
  </si>
  <si>
    <t>CloseOrder</t>
  </si>
  <si>
    <t>ManualCloseOrder</t>
  </si>
  <si>
    <t>Strategy Unallocated</t>
  </si>
  <si>
    <t>FIFO</t>
  </si>
  <si>
    <t>Default</t>
  </si>
  <si>
    <t>EditMultipleCloseQuantity</t>
  </si>
  <si>
    <t>StrategyUnallocated</t>
  </si>
  <si>
    <t>VerifyCloseOrder</t>
  </si>
  <si>
    <t>Equity</t>
  </si>
  <si>
    <t>Long</t>
  </si>
  <si>
    <t>CheckAllocatedGroups</t>
  </si>
  <si>
    <t>PartiallyClosed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</si>
</sst>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165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6" fontId="3" numFmtId="166" xfId="0" applyAlignment="1" applyBorder="1" applyFill="1" applyFont="1" applyNumberForma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5000.0</v>
      </c>
      <c r="E6" s="32"/>
      <c r="F6" s="32" t="s">
        <v>18</v>
      </c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36">
        <v>10000.0</v>
      </c>
      <c r="E7" s="35"/>
      <c r="F7" s="35" t="s">
        <v>18</v>
      </c>
      <c r="G7" s="35"/>
      <c r="H7" s="35"/>
      <c r="I7" s="35"/>
      <c r="J7" s="36">
        <v>14.0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16</v>
      </c>
      <c r="C8" s="35" t="s">
        <v>17</v>
      </c>
      <c r="D8" s="36">
        <v>4000.0</v>
      </c>
      <c r="E8" s="35"/>
      <c r="F8" s="35" t="s">
        <v>18</v>
      </c>
      <c r="G8" s="35"/>
      <c r="H8" s="35"/>
      <c r="I8" s="35"/>
      <c r="J8" s="36">
        <v>19.0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19</v>
      </c>
      <c r="D9" s="36">
        <v>2000.0</v>
      </c>
      <c r="E9" s="35"/>
      <c r="F9" s="35" t="s">
        <v>18</v>
      </c>
      <c r="G9" s="35"/>
      <c r="H9" s="35"/>
      <c r="I9" s="35"/>
      <c r="J9" s="36">
        <v>12.0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37">
        <v>42767.0</v>
      </c>
      <c r="D6" s="38">
        <f>TODAY()</f>
        <v>45870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IFERROR(__xludf.DUMMYFUNCTION("""COMPUTED_VALUE"""),"Strategy")</f>
        <v>Strategy</v>
      </c>
      <c r="D5" s="27" t="str">
        <f>IFERROR(__xludf.DUMMYFUNCTION("""COMPUTED_VALUE"""),"Closing Methodology")</f>
        <v>Closing Methodology</v>
      </c>
      <c r="E5" s="27" t="str">
        <f>IFERROR(__xludf.DUMMYFUNCTION("""COMPUTED_VALUE"""),"Closing Field")</f>
        <v>Closing Field</v>
      </c>
      <c r="F5" s="28" t="str">
        <f>IFERROR(__xludf.DUMMYFUNCTION("""COMPUTED_VALUE"""),"AutoCloseStrategy")</f>
        <v>AutoCloseStrategy</v>
      </c>
      <c r="G5" s="27" t="str">
        <f>IFERROR(__xludf.DUMMYFUNCTION("""COMPUTED_VALUE"""),"ClosingQuantity")</f>
        <v>ClosingQuantity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>
        <v>2000.0</v>
      </c>
      <c r="D6" s="31"/>
      <c r="E6" s="32" t="s">
        <v>18</v>
      </c>
      <c r="F6" s="32" t="s">
        <v>19</v>
      </c>
      <c r="G6" s="32"/>
      <c r="H6" s="32"/>
      <c r="I6" s="32"/>
      <c r="J6" s="32"/>
      <c r="K6" s="34">
        <v>12.0</v>
      </c>
      <c r="L6" s="32"/>
      <c r="M6" s="32"/>
      <c r="N6" s="32"/>
      <c r="O6" s="32"/>
      <c r="P6" s="32"/>
      <c r="Q6" s="32" t="s">
        <v>19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9">
        <v>2000.0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IFERROR(__xludf.DUMMYFUNCTION("""COMPUTED_VALUE"""),"Strategy")</f>
        <v>Strategy</v>
      </c>
      <c r="D5" s="27" t="str">
        <f>IFERROR(__xludf.DUMMYFUNCTION("""COMPUTED_VALUE"""),"Closing Methodology")</f>
        <v>Closing Methodology</v>
      </c>
      <c r="E5" s="27" t="str">
        <f>IFERROR(__xludf.DUMMYFUNCTION("""COMPUTED_VALUE"""),"Closing Field")</f>
        <v>Closing Field</v>
      </c>
      <c r="F5" s="28" t="str">
        <f>IFERROR(__xludf.DUMMYFUNCTION("""COMPUTED_VALUE"""),"AutoCloseStrategy")</f>
        <v>AutoCloseStrategy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18</v>
      </c>
      <c r="C6" s="32" t="s">
        <v>26</v>
      </c>
      <c r="D6" s="31" t="s">
        <v>27</v>
      </c>
      <c r="E6" s="32" t="s">
        <v>28</v>
      </c>
      <c r="F6" s="40" t="b">
        <v>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IFERROR(__xludf.DUMMYFUNCTION("""COMPUTED_VALUE"""),"Trade Date")</f>
        <v>Trade Date</v>
      </c>
      <c r="D5" s="27" t="str">
        <f>IFERROR(__xludf.DUMMYFUNCTION("""COMPUTED_VALUE"""),"Original Purchase Date")</f>
        <v>Original Purchase Date</v>
      </c>
      <c r="E5" s="27" t="str">
        <f>IFERROR(__xludf.DUMMYFUNCTION("""COMPUTED_VALUE"""),"Quantity")</f>
        <v>Quantity</v>
      </c>
      <c r="F5" s="28" t="str">
        <f>IFERROR(__xludf.DUMMYFUNCTION("""COMPUTED_VALUE"""),"Unit Cost")</f>
        <v>Unit Cost</v>
      </c>
      <c r="G5" s="27" t="str">
        <f>IFERROR(__xludf.DUMMYFUNCTION("""COMPUTED_VALUE"""),"Strategy")</f>
        <v>Strategy</v>
      </c>
      <c r="H5" s="27" t="str">
        <f>IFERROR(__xludf.DUMMYFUNCTION("""COMPUTED_VALUE"""),"Side")</f>
        <v>Side</v>
      </c>
      <c r="I5" s="27" t="str">
        <f>IFERROR(__xludf.DUMMYFUNCTION("""COMPUTED_VALUE"""),"Close Quantity")</f>
        <v>Close Quantity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41">
        <v>44418.0</v>
      </c>
      <c r="D6" s="41">
        <v>44418.0</v>
      </c>
      <c r="E6" s="34">
        <v>5000.0</v>
      </c>
      <c r="F6" s="34">
        <v>12.0</v>
      </c>
      <c r="G6" s="32" t="s">
        <v>30</v>
      </c>
      <c r="H6" s="32" t="s">
        <v>17</v>
      </c>
      <c r="I6" s="42">
        <v>500.0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43">
        <v>44418.0</v>
      </c>
      <c r="D7" s="43">
        <v>44418.0</v>
      </c>
      <c r="E7" s="36">
        <v>10000.0</v>
      </c>
      <c r="F7" s="36">
        <v>14.0</v>
      </c>
      <c r="G7" s="35" t="s">
        <v>30</v>
      </c>
      <c r="H7" s="35" t="s">
        <v>17</v>
      </c>
      <c r="I7" s="44">
        <v>600.0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18</v>
      </c>
      <c r="C8" s="43">
        <v>44418.0</v>
      </c>
      <c r="D8" s="43">
        <v>44418.0</v>
      </c>
      <c r="E8" s="36">
        <v>4000.0</v>
      </c>
      <c r="F8" s="36">
        <v>19.0</v>
      </c>
      <c r="G8" s="35" t="s">
        <v>30</v>
      </c>
      <c r="H8" s="35" t="s">
        <v>17</v>
      </c>
      <c r="I8" s="44">
        <v>700.0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EditMultipleCloseQuantity!$4:$4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IFERROR(__xludf.DUMMYFUNCTION("""COMPUTED_VALUE"""),"Closing Date")</f>
        <v>Closing Date</v>
      </c>
      <c r="E5" s="27" t="str">
        <f>IFERROR(__xludf.DUMMYFUNCTION("""COMPUTED_VALUE"""),"Closing Method")</f>
        <v>Closing Method</v>
      </c>
      <c r="F5" s="28" t="str">
        <f>IFERROR(__xludf.DUMMYFUNCTION("""COMPUTED_VALUE"""),"Closing Mode")</f>
        <v>Closing Mode</v>
      </c>
      <c r="G5" s="27" t="str">
        <f>IFERROR(__xludf.DUMMYFUNCTION("""COMPUTED_VALUE"""),"Closing Position Type")</f>
        <v>Closing Position Type</v>
      </c>
      <c r="H5" s="27" t="str">
        <f>IFERROR(__xludf.DUMMYFUNCTION("""COMPUTED_VALUE"""),"Closing Price")</f>
        <v>Closing Price</v>
      </c>
      <c r="I5" s="27" t="str">
        <f>IFERROR(__xludf.DUMMYFUNCTION("""COMPUTED_VALUE"""),"Closing Side")</f>
        <v>Closing Side</v>
      </c>
      <c r="J5" s="27" t="str">
        <f>IFERROR(__xludf.DUMMYFUNCTION("""COMPUTED_VALUE"""),"ClosingID")</f>
        <v>ClosingID</v>
      </c>
      <c r="K5" s="27" t="str">
        <f>IFERROR(__xludf.DUMMYFUNCTION("""COMPUTED_VALUE"""),"ClosingTotalCommissionFee")</f>
        <v>ClosingTotalCommissionFee</v>
      </c>
      <c r="L5" s="27" t="str">
        <f>IFERROR(__xludf.DUMMYFUNCTION("""COMPUTED_VALUE"""),"Currency")</f>
        <v>Currency</v>
      </c>
      <c r="M5" s="27" t="str">
        <f>IFERROR(__xludf.DUMMYFUNCTION("""COMPUTED_VALUE"""),"Exchange")</f>
        <v>Exchange</v>
      </c>
      <c r="N5" s="27" t="str">
        <f>IFERROR(__xludf.DUMMYFUNCTION("""COMPUTED_VALUE"""),"Opening Fee &amp; Commission")</f>
        <v>Opening Fee &amp; Commission</v>
      </c>
      <c r="O5" s="27" t="str">
        <f>IFERROR(__xludf.DUMMYFUNCTION("""COMPUTED_VALUE"""),"Opening Price")</f>
        <v>Opening Price</v>
      </c>
      <c r="P5" s="27" t="str">
        <f>IFERROR(__xludf.DUMMYFUNCTION("""COMPUTED_VALUE"""),"Opening Side")</f>
        <v>Opening Side</v>
      </c>
      <c r="Q5" s="27" t="str">
        <f>IFERROR(__xludf.DUMMYFUNCTION("""COMPUTED_VALUE"""),"Original Purchase Date")</f>
        <v>Original Purchase Date</v>
      </c>
      <c r="R5" s="27" t="str">
        <f>IFERROR(__xludf.DUMMYFUNCTION("""COMPUTED_VALUE"""),"Position Type")</f>
        <v>Position Type</v>
      </c>
      <c r="S5" s="27" t="str">
        <f>IFERROR(__xludf.DUMMYFUNCTION("""COMPUTED_VALUE"""),"Qty Closed")</f>
        <v>Qty Closed</v>
      </c>
      <c r="T5" s="29" t="str">
        <f>IFERROR(__xludf.DUMMYFUNCTION("""COMPUTED_VALUE"""),"Realized PNL(C.B.)")</f>
        <v>Realized PNL(C.B.)</v>
      </c>
      <c r="U5" s="29" t="str">
        <f>IFERROR(__xludf.DUMMYFUNCTION("""COMPUTED_VALUE"""),"Side")</f>
        <v>Side</v>
      </c>
      <c r="V5" s="29" t="str">
        <f>IFERROR(__xludf.DUMMYFUNCTION("""COMPUTED_VALUE"""),"Strategy")</f>
        <v>Strategy</v>
      </c>
      <c r="W5" s="29" t="str">
        <f>IFERROR(__xludf.DUMMYFUNCTION("""COMPUTED_VALUE"""),"Symbol")</f>
        <v>Symbol</v>
      </c>
      <c r="X5" s="29" t="str">
        <f>IFERROR(__xludf.DUMMYFUNCTION("""COMPUTED_VALUE"""),"Taxlot ID")</f>
        <v>Taxlot ID</v>
      </c>
      <c r="Y5" s="29" t="str">
        <f>IFERROR(__xludf.DUMMYFUNCTION("""COMPUTED_VALUE"""),"Underlying")</f>
        <v>Underlying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 t="s">
        <v>32</v>
      </c>
      <c r="D6" s="45"/>
      <c r="E6" s="32"/>
      <c r="F6" s="32"/>
      <c r="G6" s="32"/>
      <c r="H6" s="34">
        <v>12.0</v>
      </c>
      <c r="I6" s="32"/>
      <c r="J6" s="32"/>
      <c r="K6" s="32"/>
      <c r="L6" s="32"/>
      <c r="M6" s="32"/>
      <c r="N6" s="32"/>
      <c r="O6" s="34">
        <v>12.0</v>
      </c>
      <c r="P6" s="32"/>
      <c r="Q6" s="32"/>
      <c r="R6" s="32" t="s">
        <v>33</v>
      </c>
      <c r="S6" s="46">
        <v>500.0</v>
      </c>
      <c r="T6" s="35"/>
      <c r="U6" s="35" t="s">
        <v>17</v>
      </c>
      <c r="V6" s="35"/>
      <c r="W6" s="35" t="s">
        <v>16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2"/>
      <c r="B7" s="32" t="s">
        <v>18</v>
      </c>
      <c r="C7" s="32" t="s">
        <v>32</v>
      </c>
      <c r="D7" s="45"/>
      <c r="E7" s="32"/>
      <c r="F7" s="32"/>
      <c r="G7" s="32"/>
      <c r="H7" s="34">
        <v>12.0</v>
      </c>
      <c r="I7" s="32"/>
      <c r="J7" s="32"/>
      <c r="K7" s="32"/>
      <c r="L7" s="32"/>
      <c r="M7" s="35"/>
      <c r="N7" s="35"/>
      <c r="O7" s="36">
        <v>14.0</v>
      </c>
      <c r="P7" s="32"/>
      <c r="Q7" s="32"/>
      <c r="R7" s="32" t="s">
        <v>33</v>
      </c>
      <c r="S7" s="47">
        <v>600.0</v>
      </c>
      <c r="T7" s="35"/>
      <c r="U7" s="35" t="s">
        <v>17</v>
      </c>
      <c r="V7" s="35"/>
      <c r="W7" s="35" t="s">
        <v>16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2"/>
      <c r="B8" s="32" t="s">
        <v>18</v>
      </c>
      <c r="C8" s="32" t="s">
        <v>32</v>
      </c>
      <c r="D8" s="45"/>
      <c r="E8" s="32"/>
      <c r="F8" s="32"/>
      <c r="G8" s="32"/>
      <c r="H8" s="34">
        <v>12.0</v>
      </c>
      <c r="I8" s="32"/>
      <c r="J8" s="32"/>
      <c r="K8" s="32"/>
      <c r="L8" s="32"/>
      <c r="M8" s="35"/>
      <c r="N8" s="35"/>
      <c r="O8" s="36">
        <v>19.0</v>
      </c>
      <c r="P8" s="32"/>
      <c r="Q8" s="32"/>
      <c r="R8" s="32" t="s">
        <v>33</v>
      </c>
      <c r="S8" s="47">
        <v>700.0</v>
      </c>
      <c r="T8" s="35"/>
      <c r="U8" s="35" t="s">
        <v>17</v>
      </c>
      <c r="V8" s="35"/>
      <c r="W8" s="35" t="s">
        <v>16</v>
      </c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</row>
    <row r="6" ht="15.75" customHeight="1">
      <c r="A6" s="30"/>
      <c r="B6" s="31" t="s">
        <v>18</v>
      </c>
      <c r="C6" s="32"/>
      <c r="D6" s="31"/>
      <c r="E6" s="34">
        <v>5000.0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 t="s">
        <v>35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5000.0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9">
        <v>5000.0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</row>
    <row r="7" ht="15.75" customHeight="1">
      <c r="A7" s="35"/>
      <c r="B7" s="35" t="s">
        <v>18</v>
      </c>
      <c r="C7" s="35"/>
      <c r="D7" s="35"/>
      <c r="E7" s="36">
        <v>10000.0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 t="s">
        <v>35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9">
        <v>10000.0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9">
        <v>10000.0</v>
      </c>
      <c r="BK7" s="35"/>
      <c r="BL7" s="35"/>
      <c r="BM7" s="35"/>
      <c r="BN7" s="35"/>
      <c r="BO7" s="35" t="s">
        <v>17</v>
      </c>
      <c r="BP7" s="35"/>
      <c r="BQ7" s="35"/>
      <c r="BR7" s="35"/>
      <c r="BS7" s="35"/>
      <c r="BT7" s="35" t="s">
        <v>16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</row>
    <row r="8" ht="15.75" customHeight="1">
      <c r="A8" s="35"/>
      <c r="B8" s="35" t="s">
        <v>18</v>
      </c>
      <c r="C8" s="35"/>
      <c r="D8" s="35"/>
      <c r="E8" s="36">
        <v>4000.0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 t="s">
        <v>35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9">
        <v>4000.0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9">
        <v>4000.0</v>
      </c>
      <c r="BK8" s="35"/>
      <c r="BL8" s="35"/>
      <c r="BM8" s="35"/>
      <c r="BN8" s="35"/>
      <c r="BO8" s="35" t="s">
        <v>17</v>
      </c>
      <c r="BP8" s="35"/>
      <c r="BQ8" s="35"/>
      <c r="BR8" s="35"/>
      <c r="BS8" s="35"/>
      <c r="BT8" s="35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</row>
    <row r="9" ht="15.75" customHeight="1">
      <c r="A9" s="35"/>
      <c r="B9" s="35" t="s">
        <v>18</v>
      </c>
      <c r="C9" s="35"/>
      <c r="D9" s="35"/>
      <c r="E9" s="36">
        <v>2000.0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 t="s">
        <v>35</v>
      </c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9">
        <v>2000.0</v>
      </c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9">
        <v>2000.0</v>
      </c>
      <c r="BK9" s="35"/>
      <c r="BL9" s="35"/>
      <c r="BM9" s="35"/>
      <c r="BN9" s="35"/>
      <c r="BO9" s="35" t="s">
        <v>19</v>
      </c>
      <c r="BP9" s="35"/>
      <c r="BQ9" s="35"/>
      <c r="BR9" s="35"/>
      <c r="BS9" s="35"/>
      <c r="BT9" s="35" t="s">
        <v>16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