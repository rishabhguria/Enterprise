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IncreaseOrUnwindPositionRTPNL1" sheetId="7" r:id="rId9"/>
    <sheet state="visible" name="CreateComplianceOrder" sheetId="8" r:id="rId10"/>
    <sheet state="visible" name="CreateComplianceOrder1" sheetId="9" r:id="rId11"/>
    <sheet state="visible" name="OpenModuleFromDock" sheetId="10" r:id="rId12"/>
    <sheet state="visible" name="CheckOpenFinWindowName" sheetId="11" r:id="rId13"/>
  </sheets>
  <definedNames/>
  <calcPr/>
</workbook>
</file>

<file path=xl/sharedStrings.xml><?xml version="1.0" encoding="utf-8"?>
<sst xmlns="http://schemas.openxmlformats.org/spreadsheetml/2006/main" count="118" uniqueCount="69">
  <si>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</si>
  <si>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</si>
  <si>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</si>
  <si>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</si>
  <si>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</si>
  <si>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</si>
  <si>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</si>
  <si>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</si>
  <si>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</si>
  <si>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</si>
  <si>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</si>
  <si>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</si>
  <si>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</si>
  <si>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</si>
  <si>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</si>
  <si>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</si>
  <si>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</si>
  <si>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</si>
  <si>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</si>
  <si>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</si>
  <si>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</si>
  <si>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</si>
  <si>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</si>
  <si>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</si>
  <si>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</si>
  <si>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</si>
  <si>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</si>
  <si>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</si>
  <si>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</si>
  <si>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</si>
  <si>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</si>
  <si>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</si>
  <si>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</si>
  <si>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</si>
  <si>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</si>
  <si>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</si>
  <si>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</si>
  <si>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</si>
  <si>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</si>
  <si>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</si>
  <si>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</si>
  <si>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</si>
  <si>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</si>
  <si>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</si>
  <si>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</si>
  <si>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</si>
  <si>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</si>
  <si>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</si>
  <si>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</si>
  <si>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</si>
  <si>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</si>
  <si>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</si>
  <si>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</si>
  <si>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AAPL</t>
  </si>
  <si>
    <t>DoneAway</t>
  </si>
  <si>
    <t>RTPNL</t>
  </si>
  <si>
    <t>OpenRTPNL</t>
  </si>
  <si>
    <t>Nirvana,PM</t>
  </si>
  <si>
    <t>IncreaseOrUnwindPositionRTPNL</t>
  </si>
  <si>
    <t>Increase</t>
  </si>
  <si>
    <t>Unwind</t>
  </si>
  <si>
    <t>CreateComplianceOrder</t>
  </si>
  <si>
    <t>Buy</t>
  </si>
  <si>
    <t>Sell</t>
  </si>
  <si>
    <t>OpenFin</t>
  </si>
  <si>
    <t>OpenModuleFromDock</t>
  </si>
  <si>
    <t>Trading Ticket</t>
  </si>
  <si>
    <t>CheckOpenFinWindowName</t>
  </si>
  <si>
    <t>Pre-Trade Compliance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</si>
</sst>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9.0"/>
      <color rgb="FF202124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0"/>
      <c r="B6" s="31" t="s">
        <v>53</v>
      </c>
      <c r="C6" s="32">
        <v>100.0</v>
      </c>
      <c r="D6" s="33">
        <v>20.0</v>
      </c>
      <c r="E6" s="34" t="s">
        <v>54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/>
      <c r="C7" s="12"/>
      <c r="D7" s="12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IFERROR(__xludf.DUMMYFUNCTION("""COMPUTED_VALUE"""),"OpenWindow")</f>
        <v>OpenWindow</v>
      </c>
      <c r="C5" s="37" t="str">
        <f>IFERROR(__xludf.DUMMYFUNCTION("""COMPUTED_VALUE"""),"TabName")</f>
        <v>TabName</v>
      </c>
      <c r="D5" s="37" t="str">
        <f>IFERROR(__xludf.DUMMYFUNCTION("""COMPUTED_VALUE"""),"Description")</f>
        <v>Description</v>
      </c>
      <c r="E5" s="37" t="str">
        <f>IFERROR(__xludf.DUMMYFUNCTION("""COMPUTED_VALUE"""),"Save?")</f>
        <v>Save?</v>
      </c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57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IFERROR(__xludf.DUMMYFUNCTION("""COMPUTED_VALUE"""),"Security Name")</f>
        <v>Security Name</v>
      </c>
      <c r="D5" s="37" t="str">
        <f>IFERROR(__xludf.DUMMYFUNCTION("""COMPUTED_VALUE"""),"Fund")</f>
        <v>Fund</v>
      </c>
      <c r="E5" s="37" t="str">
        <f>IFERROR(__xludf.DUMMYFUNCTION("""COMPUTED_VALUE"""),"Account")</f>
        <v>Account</v>
      </c>
      <c r="F5" s="38" t="str">
        <f>IFERROR(__xludf.DUMMYFUNCTION("""COMPUTED_VALUE"""),"Asset Class")</f>
        <v>Asset Class</v>
      </c>
      <c r="G5" s="37" t="str">
        <f>IFERROR(__xludf.DUMMYFUNCTION("""COMPUTED_VALUE"""),"Position")</f>
        <v>Position</v>
      </c>
      <c r="H5" s="37" t="str">
        <f>IFERROR(__xludf.DUMMYFUNCTION("""COMPUTED_VALUE"""),"Position Side")</f>
        <v>Position Side</v>
      </c>
      <c r="I5" s="37" t="str">
        <f>IFERROR(__xludf.DUMMYFUNCTION("""COMPUTED_VALUE"""),"Px Selected Feed (Local)")</f>
        <v>Px Selected Feed (Local)</v>
      </c>
      <c r="J5" s="37" t="str">
        <f>IFERROR(__xludf.DUMMYFUNCTION("""COMPUTED_VALUE"""),"Px Selected Feed (Base)")</f>
        <v>Px Selected Feed (Base)</v>
      </c>
      <c r="K5" s="37" t="str">
        <f>IFERROR(__xludf.DUMMYFUNCTION("""COMPUTED_VALUE"""),"Market Value (Base)")</f>
        <v>Market Value (Base)</v>
      </c>
      <c r="L5" s="37" t="str">
        <f>IFERROR(__xludf.DUMMYFUNCTION("""COMPUTED_VALUE"""),"% Net Market Value (Base)")</f>
        <v>% Net Market Value (Base)</v>
      </c>
      <c r="M5" s="37" t="str">
        <f>IFERROR(__xludf.DUMMYFUNCTION("""COMPUTED_VALUE"""),"Cost Basis P&amp;L (Base)")</f>
        <v>Cost Basis P&amp;L (Base)</v>
      </c>
      <c r="N5" s="37" t="str">
        <f>IFERROR(__xludf.DUMMYFUNCTION("""COMPUTED_VALUE"""),"% Gain/Loss Cost")</f>
        <v>% Gain/Loss Cost</v>
      </c>
      <c r="O5" s="37" t="str">
        <f>IFERROR(__xludf.DUMMYFUNCTION("""COMPUTED_VALUE"""),"Day P&amp;L (Base)")</f>
        <v>Day P&amp;L (Base)</v>
      </c>
      <c r="P5" s="37" t="str">
        <f>IFERROR(__xludf.DUMMYFUNCTION("""COMPUTED_VALUE"""),"% Gain/Loss Day")</f>
        <v>% Gain/Loss Day</v>
      </c>
      <c r="Q5" s="37" t="str">
        <f>IFERROR(__xludf.DUMMYFUNCTION("""COMPUTED_VALUE"""),"Exposure (Base)")</f>
        <v>Exposure (Base)</v>
      </c>
      <c r="R5" s="37" t="str">
        <f>IFERROR(__xludf.DUMMYFUNCTION("""COMPUTED_VALUE"""),"% Exposure (Base)")</f>
        <v>% Exposure (Base)</v>
      </c>
      <c r="S5" s="37" t="str">
        <f>IFERROR(__xludf.DUMMYFUNCTION("""COMPUTED_VALUE"""),"Live Feed Provider Ticker")</f>
        <v>Live Feed Provider Ticker</v>
      </c>
      <c r="T5" s="39" t="str">
        <f>IFERROR(__xludf.DUMMYFUNCTION("""COMPUTED_VALUE"""),"PositionAction")</f>
        <v>PositionAction</v>
      </c>
      <c r="U5" s="39" t="str">
        <f>IFERROR(__xludf.DUMMYFUNCTION("""COMPUTED_VALUE"""),"VerifyOptionsList")</f>
        <v>VerifyOptionsList</v>
      </c>
      <c r="V5" s="39" t="str">
        <f>IFERROR(__xludf.DUMMYFUNCTION("""COMPUTED_VALUE"""),"Disable/Grey buttons")</f>
        <v>Disable/Grey buttons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30"/>
      <c r="B6" s="31" t="s">
        <v>53</v>
      </c>
      <c r="C6" s="35"/>
      <c r="D6" s="30"/>
      <c r="E6" s="35"/>
      <c r="F6" s="35"/>
      <c r="G6" s="32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 t="s">
        <v>59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IFERROR(__xludf.DUMMYFUNCTION("""COMPUTED_VALUE"""),"Security Name")</f>
        <v>Security Name</v>
      </c>
      <c r="D5" s="37" t="str">
        <f>IFERROR(__xludf.DUMMYFUNCTION("""COMPUTED_VALUE"""),"Fund")</f>
        <v>Fund</v>
      </c>
      <c r="E5" s="37" t="str">
        <f>IFERROR(__xludf.DUMMYFUNCTION("""COMPUTED_VALUE"""),"Account")</f>
        <v>Account</v>
      </c>
      <c r="F5" s="38" t="str">
        <f>IFERROR(__xludf.DUMMYFUNCTION("""COMPUTED_VALUE"""),"Asset Class")</f>
        <v>Asset Class</v>
      </c>
      <c r="G5" s="37" t="str">
        <f>IFERROR(__xludf.DUMMYFUNCTION("""COMPUTED_VALUE"""),"Position")</f>
        <v>Position</v>
      </c>
      <c r="H5" s="37" t="str">
        <f>IFERROR(__xludf.DUMMYFUNCTION("""COMPUTED_VALUE"""),"Position Side")</f>
        <v>Position Side</v>
      </c>
      <c r="I5" s="37" t="str">
        <f>IFERROR(__xludf.DUMMYFUNCTION("""COMPUTED_VALUE"""),"Px Selected Feed (Local)")</f>
        <v>Px Selected Feed (Local)</v>
      </c>
      <c r="J5" s="37" t="str">
        <f>IFERROR(__xludf.DUMMYFUNCTION("""COMPUTED_VALUE"""),"Px Selected Feed (Base)")</f>
        <v>Px Selected Feed (Base)</v>
      </c>
      <c r="K5" s="37" t="str">
        <f>IFERROR(__xludf.DUMMYFUNCTION("""COMPUTED_VALUE"""),"Market Value (Base)")</f>
        <v>Market Value (Base)</v>
      </c>
      <c r="L5" s="37" t="str">
        <f>IFERROR(__xludf.DUMMYFUNCTION("""COMPUTED_VALUE"""),"% Net Market Value (Base)")</f>
        <v>% Net Market Value (Base)</v>
      </c>
      <c r="M5" s="37" t="str">
        <f>IFERROR(__xludf.DUMMYFUNCTION("""COMPUTED_VALUE"""),"Cost Basis P&amp;L (Base)")</f>
        <v>Cost Basis P&amp;L (Base)</v>
      </c>
      <c r="N5" s="37" t="str">
        <f>IFERROR(__xludf.DUMMYFUNCTION("""COMPUTED_VALUE"""),"% Gain/Loss Cost")</f>
        <v>% Gain/Loss Cost</v>
      </c>
      <c r="O5" s="37" t="str">
        <f>IFERROR(__xludf.DUMMYFUNCTION("""COMPUTED_VALUE"""),"Day P&amp;L (Base)")</f>
        <v>Day P&amp;L (Base)</v>
      </c>
      <c r="P5" s="37" t="str">
        <f>IFERROR(__xludf.DUMMYFUNCTION("""COMPUTED_VALUE"""),"% Gain/Loss Day")</f>
        <v>% Gain/Loss Day</v>
      </c>
      <c r="Q5" s="37" t="str">
        <f>IFERROR(__xludf.DUMMYFUNCTION("""COMPUTED_VALUE"""),"Exposure (Base)")</f>
        <v>Exposure (Base)</v>
      </c>
      <c r="R5" s="37" t="str">
        <f>IFERROR(__xludf.DUMMYFUNCTION("""COMPUTED_VALUE"""),"% Exposure (Base)")</f>
        <v>% Exposure (Base)</v>
      </c>
      <c r="S5" s="37" t="str">
        <f>IFERROR(__xludf.DUMMYFUNCTION("""COMPUTED_VALUE"""),"Live Feed Provider Ticker")</f>
        <v>Live Feed Provider Ticker</v>
      </c>
      <c r="T5" s="39" t="str">
        <f>IFERROR(__xludf.DUMMYFUNCTION("""COMPUTED_VALUE"""),"PositionAction")</f>
        <v>PositionAction</v>
      </c>
      <c r="U5" s="39" t="str">
        <f>IFERROR(__xludf.DUMMYFUNCTION("""COMPUTED_VALUE"""),"VerifyOptionsList")</f>
        <v>VerifyOptionsList</v>
      </c>
      <c r="V5" s="39" t="str">
        <f>IFERROR(__xludf.DUMMYFUNCTION("""COMPUTED_VALUE"""),"Disable/Grey buttons")</f>
        <v>Disable/Grey buttons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30"/>
      <c r="B6" s="31" t="s">
        <v>53</v>
      </c>
      <c r="C6" s="35"/>
      <c r="D6" s="30"/>
      <c r="E6" s="35"/>
      <c r="F6" s="35"/>
      <c r="G6" s="32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 t="s">
        <v>60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IFERROR(__xludf.DUMMYFUNCTION("""COMPUTED_VALUE"""),"Order Side")</f>
        <v>Order Side</v>
      </c>
      <c r="D5" s="37" t="str">
        <f>IFERROR(__xludf.DUMMYFUNCTION("""COMPUTED_VALUE"""),"Quantity")</f>
        <v>Quantity</v>
      </c>
      <c r="E5" s="37" t="str">
        <f>IFERROR(__xludf.DUMMYFUNCTION("""COMPUTED_VALUE"""),"TargetQuantityIn")</f>
        <v>TargetQuantityIn</v>
      </c>
      <c r="F5" s="38" t="str">
        <f>IFERROR(__xludf.DUMMYFUNCTION("""COMPUTED_VALUE"""),"AllocationMethod")</f>
        <v>AllocationMethod</v>
      </c>
      <c r="G5" s="37" t="str">
        <f>IFERROR(__xludf.DUMMYFUNCTION("""COMPUTED_VALUE"""),"Broker")</f>
        <v>Broker</v>
      </c>
      <c r="H5" s="37" t="str">
        <f>IFERROR(__xludf.DUMMYFUNCTION("""COMPUTED_VALUE"""),"TIF")</f>
        <v>TIF</v>
      </c>
      <c r="I5" s="37" t="str">
        <f>IFERROR(__xludf.DUMMYFUNCTION("""COMPUTED_VALUE"""),"Order Type")</f>
        <v>Order Type</v>
      </c>
      <c r="J5" s="37" t="str">
        <f>IFERROR(__xludf.DUMMYFUNCTION("""COMPUTED_VALUE"""),"Price")</f>
        <v>Price</v>
      </c>
      <c r="K5" s="37" t="str">
        <f>IFERROR(__xludf.DUMMYFUNCTION("""COMPUTED_VALUE"""),"Stop")</f>
        <v>Stop</v>
      </c>
      <c r="L5" s="37" t="str">
        <f>IFERROR(__xludf.DUMMYFUNCTION("""COMPUTED_VALUE"""),"Limit")</f>
        <v>Limit</v>
      </c>
      <c r="M5" s="37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37" t="str">
        <f>IFERROR(__xludf.DUMMYFUNCTION("""COMPUTED_VALUE"""),"FxRate")</f>
        <v>FxRate</v>
      </c>
      <c r="P5" s="37" t="str">
        <f>IFERROR(__xludf.DUMMYFUNCTION("""COMPUTED_VALUE"""),"Notes")</f>
        <v>Notes</v>
      </c>
      <c r="Q5" s="37" t="str">
        <f>IFERROR(__xludf.DUMMYFUNCTION("""COMPUTED_VALUE"""),"Broker Notes")</f>
        <v>Broker Notes</v>
      </c>
      <c r="R5" s="37" t="str">
        <f>IFERROR(__xludf.DUMMYFUNCTION("""COMPUTED_VALUE"""),"CommissionBasis")</f>
        <v>CommissionBasis</v>
      </c>
      <c r="S5" s="37" t="str">
        <f>IFERROR(__xludf.DUMMYFUNCTION("""COMPUTED_VALUE"""),"CommissionRate")</f>
        <v>CommissionRate</v>
      </c>
      <c r="T5" s="39" t="str">
        <f>IFERROR(__xludf.DUMMYFUNCTION("""COMPUTED_VALUE"""),"SoftBasis")</f>
        <v>SoftBasis</v>
      </c>
      <c r="U5" s="39" t="str">
        <f>IFERROR(__xludf.DUMMYFUNCTION("""COMPUTED_VALUE"""),"SoftRate")</f>
        <v>SoftRate</v>
      </c>
      <c r="V5" s="39" t="str">
        <f>IFERROR(__xludf.DUMMYFUNCTION("""COMPUTED_VALUE"""),"TradeAttribute1")</f>
        <v>TradeAttribute1</v>
      </c>
      <c r="W5" s="39" t="str">
        <f>IFERROR(__xludf.DUMMYFUNCTION("""COMPUTED_VALUE"""),"TradeAttribute2")</f>
        <v>TradeAttribute2</v>
      </c>
      <c r="X5" s="39" t="str">
        <f>IFERROR(__xludf.DUMMYFUNCTION("""COMPUTED_VALUE"""),"TradeAttribute3")</f>
        <v>TradeAttribute3</v>
      </c>
      <c r="Y5" s="39" t="str">
        <f>IFERROR(__xludf.DUMMYFUNCTION("""COMPUTED_VALUE"""),"TradeAttribute4")</f>
        <v>TradeAttribute4</v>
      </c>
      <c r="Z5" s="39" t="str">
        <f>IFERROR(__xludf.DUMMYFUNCTION("""COMPUTED_VALUE"""),"TradeAttribute5")</f>
        <v>TradeAttribute5</v>
      </c>
      <c r="AA5" s="39" t="str">
        <f>IFERROR(__xludf.DUMMYFUNCTION("""COMPUTED_VALUE"""),"TradeAttribute6")</f>
        <v>TradeAttribute6</v>
      </c>
      <c r="AB5" s="39" t="str">
        <f>IFERROR(__xludf.DUMMYFUNCTION("""COMPUTED_VALUE"""),"Venue")</f>
        <v>Venue</v>
      </c>
      <c r="AC5" s="39" t="str">
        <f>IFERROR(__xludf.DUMMYFUNCTION("""COMPUTED_VALUE"""),"ExecutionInstructions")</f>
        <v>ExecutionInstructions</v>
      </c>
      <c r="AD5" s="39" t="str">
        <f>IFERROR(__xludf.DUMMYFUNCTION("""COMPUTED_VALUE"""),"HandlingInstructions")</f>
        <v>HandlingInstructions</v>
      </c>
      <c r="AE5" s="39" t="str">
        <f>IFERROR(__xludf.DUMMYFUNCTION("""COMPUTED_VALUE"""),"Trader")</f>
        <v>Trader</v>
      </c>
      <c r="AF5" s="39" t="str">
        <f>IFERROR(__xludf.DUMMYFUNCTION("""COMPUTED_VALUE"""),"SettlementCurrency")</f>
        <v>SettlementCurrency</v>
      </c>
      <c r="AG5" s="39" t="str">
        <f>IFERROR(__xludf.DUMMYFUNCTION("""COMPUTED_VALUE"""),"SettlementFXRate")</f>
        <v>SettlementFXRate</v>
      </c>
      <c r="AH5" s="39" t="str">
        <f>IFERROR(__xludf.DUMMYFUNCTION("""COMPUTED_VALUE"""),"SettlementAmount")</f>
        <v>SettlementAmount</v>
      </c>
      <c r="AI5" s="39" t="str">
        <f>IFERROR(__xludf.DUMMYFUNCTION("""COMPUTED_VALUE"""),"SettlementFXOperator")</f>
        <v>SettlementFXOperator</v>
      </c>
      <c r="AJ5" s="39" t="str">
        <f>IFERROR(__xludf.DUMMYFUNCTION("""COMPUTED_VALUE"""),"SettleByBroker")</f>
        <v>SettleByBroker</v>
      </c>
      <c r="AK5" s="39" t="str">
        <f>IFERROR(__xludf.DUMMYFUNCTION("""COMPUTED_VALUE"""),"Account")</f>
        <v>Account</v>
      </c>
      <c r="AL5" s="39" t="str">
        <f>IFERROR(__xludf.DUMMYFUNCTION("""COMPUTED_VALUE"""),"Account %")</f>
        <v>Account %</v>
      </c>
      <c r="AM5" s="39" t="str">
        <f>IFERROR(__xludf.DUMMYFUNCTION("""COMPUTED_VALUE"""),"Deal In")</f>
        <v>Deal In</v>
      </c>
      <c r="AN5" s="39" t="str">
        <f>IFERROR(__xludf.DUMMYFUNCTION("""COMPUTED_VALUE"""),"ChkBoxBookAsSwap")</f>
        <v>ChkBoxBookAsSwap</v>
      </c>
      <c r="AO5" s="39" t="str">
        <f>IFERROR(__xludf.DUMMYFUNCTION("""COMPUTED_VALUE"""),"PopUpQuantity")</f>
        <v>PopUpQuantity</v>
      </c>
      <c r="AP5" s="39" t="str">
        <f>IFERROR(__xludf.DUMMYFUNCTION("""COMPUTED_VALUE"""),"ShortLocate")</f>
        <v>ShortLocate</v>
      </c>
      <c r="AQ5" s="39" t="str">
        <f>IFERROR(__xludf.DUMMYFUNCTION("""COMPUTED_VALUE"""),"AllowTrade")</f>
        <v>AllowTrade</v>
      </c>
      <c r="AR5" s="39" t="str">
        <f>IFERROR(__xludf.DUMMYFUNCTION("""COMPUTED_VALUE"""),"SharesOutstandingPopUpQty")</f>
        <v>SharesOutstandingPopUpQty</v>
      </c>
      <c r="AS5" s="39" t="str">
        <f>IFERROR(__xludf.DUMMYFUNCTION("""COMPUTED_VALUE"""),"SharesOutstandingPopUp")</f>
        <v>SharesOutstandingPopUp</v>
      </c>
      <c r="AT5" s="39" t="str">
        <f>IFERROR(__xludf.DUMMYFUNCTION("""COMPUTED_VALUE"""),"ResAllowedListPopUp")</f>
        <v>ResAllowedListPopUp</v>
      </c>
      <c r="AU5" s="39" t="str">
        <f>IFERROR(__xludf.DUMMYFUNCTION("""COMPUTED_VALUE"""),"Rate(%)")</f>
        <v>Rate(%)</v>
      </c>
      <c r="AV5" s="39" t="str">
        <f>IFERROR(__xludf.DUMMYFUNCTION("""COMPUTED_VALUE"""),"Interest Rate")</f>
        <v>Interest Rate</v>
      </c>
      <c r="AW5" s="39" t="str">
        <f>IFERROR(__xludf.DUMMYFUNCTION("""COMPUTED_VALUE"""),"SelectAlgoStrategy")</f>
        <v>SelectAlgoStrategy</v>
      </c>
      <c r="AX5" s="39" t="str">
        <f>IFERROR(__xludf.DUMMYFUNCTION("""COMPUTED_VALUE"""),"Button")</f>
        <v>Button</v>
      </c>
      <c r="AY5" s="39" t="str">
        <f>IFERROR(__xludf.DUMMYFUNCTION("""COMPUTED_VALUE"""),"EditOrder")</f>
        <v>EditOrder</v>
      </c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53</v>
      </c>
      <c r="C6" s="12" t="s">
        <v>62</v>
      </c>
      <c r="D6" s="12">
        <v>100.0</v>
      </c>
      <c r="E6" s="4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IFERROR(__xludf.DUMMYFUNCTION("""COMPUTED_VALUE"""),"Symbol")</f>
        <v>Symbol</v>
      </c>
      <c r="C5" s="37" t="str">
        <f>IFERROR(__xludf.DUMMYFUNCTION("""COMPUTED_VALUE"""),"Order Side")</f>
        <v>Order Side</v>
      </c>
      <c r="D5" s="37" t="str">
        <f>IFERROR(__xludf.DUMMYFUNCTION("""COMPUTED_VALUE"""),"Quantity")</f>
        <v>Quantity</v>
      </c>
      <c r="E5" s="37" t="str">
        <f>IFERROR(__xludf.DUMMYFUNCTION("""COMPUTED_VALUE"""),"TargetQuantityIn")</f>
        <v>TargetQuantityIn</v>
      </c>
      <c r="F5" s="38" t="str">
        <f>IFERROR(__xludf.DUMMYFUNCTION("""COMPUTED_VALUE"""),"AllocationMethod")</f>
        <v>AllocationMethod</v>
      </c>
      <c r="G5" s="37" t="str">
        <f>IFERROR(__xludf.DUMMYFUNCTION("""COMPUTED_VALUE"""),"Broker")</f>
        <v>Broker</v>
      </c>
      <c r="H5" s="37" t="str">
        <f>IFERROR(__xludf.DUMMYFUNCTION("""COMPUTED_VALUE"""),"TIF")</f>
        <v>TIF</v>
      </c>
      <c r="I5" s="37" t="str">
        <f>IFERROR(__xludf.DUMMYFUNCTION("""COMPUTED_VALUE"""),"Order Type")</f>
        <v>Order Type</v>
      </c>
      <c r="J5" s="37" t="str">
        <f>IFERROR(__xludf.DUMMYFUNCTION("""COMPUTED_VALUE"""),"Price")</f>
        <v>Price</v>
      </c>
      <c r="K5" s="37" t="str">
        <f>IFERROR(__xludf.DUMMYFUNCTION("""COMPUTED_VALUE"""),"Stop")</f>
        <v>Stop</v>
      </c>
      <c r="L5" s="37" t="str">
        <f>IFERROR(__xludf.DUMMYFUNCTION("""COMPUTED_VALUE"""),"Limit")</f>
        <v>Limit</v>
      </c>
      <c r="M5" s="37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37" t="str">
        <f>IFERROR(__xludf.DUMMYFUNCTION("""COMPUTED_VALUE"""),"FxRate")</f>
        <v>FxRate</v>
      </c>
      <c r="P5" s="37" t="str">
        <f>IFERROR(__xludf.DUMMYFUNCTION("""COMPUTED_VALUE"""),"Notes")</f>
        <v>Notes</v>
      </c>
      <c r="Q5" s="37" t="str">
        <f>IFERROR(__xludf.DUMMYFUNCTION("""COMPUTED_VALUE"""),"Broker Notes")</f>
        <v>Broker Notes</v>
      </c>
      <c r="R5" s="37" t="str">
        <f>IFERROR(__xludf.DUMMYFUNCTION("""COMPUTED_VALUE"""),"CommissionBasis")</f>
        <v>CommissionBasis</v>
      </c>
      <c r="S5" s="37" t="str">
        <f>IFERROR(__xludf.DUMMYFUNCTION("""COMPUTED_VALUE"""),"CommissionRate")</f>
        <v>CommissionRate</v>
      </c>
      <c r="T5" s="39" t="str">
        <f>IFERROR(__xludf.DUMMYFUNCTION("""COMPUTED_VALUE"""),"SoftBasis")</f>
        <v>SoftBasis</v>
      </c>
      <c r="U5" s="39" t="str">
        <f>IFERROR(__xludf.DUMMYFUNCTION("""COMPUTED_VALUE"""),"SoftRate")</f>
        <v>SoftRate</v>
      </c>
      <c r="V5" s="39" t="str">
        <f>IFERROR(__xludf.DUMMYFUNCTION("""COMPUTED_VALUE"""),"TradeAttribute1")</f>
        <v>TradeAttribute1</v>
      </c>
      <c r="W5" s="39" t="str">
        <f>IFERROR(__xludf.DUMMYFUNCTION("""COMPUTED_VALUE"""),"TradeAttribute2")</f>
        <v>TradeAttribute2</v>
      </c>
      <c r="X5" s="39" t="str">
        <f>IFERROR(__xludf.DUMMYFUNCTION("""COMPUTED_VALUE"""),"TradeAttribute3")</f>
        <v>TradeAttribute3</v>
      </c>
      <c r="Y5" s="39" t="str">
        <f>IFERROR(__xludf.DUMMYFUNCTION("""COMPUTED_VALUE"""),"TradeAttribute4")</f>
        <v>TradeAttribute4</v>
      </c>
      <c r="Z5" s="39" t="str">
        <f>IFERROR(__xludf.DUMMYFUNCTION("""COMPUTED_VALUE"""),"TradeAttribute5")</f>
        <v>TradeAttribute5</v>
      </c>
      <c r="AA5" s="39" t="str">
        <f>IFERROR(__xludf.DUMMYFUNCTION("""COMPUTED_VALUE"""),"TradeAttribute6")</f>
        <v>TradeAttribute6</v>
      </c>
      <c r="AB5" s="39" t="str">
        <f>IFERROR(__xludf.DUMMYFUNCTION("""COMPUTED_VALUE"""),"Venue")</f>
        <v>Venue</v>
      </c>
      <c r="AC5" s="39" t="str">
        <f>IFERROR(__xludf.DUMMYFUNCTION("""COMPUTED_VALUE"""),"ExecutionInstructions")</f>
        <v>ExecutionInstructions</v>
      </c>
      <c r="AD5" s="39" t="str">
        <f>IFERROR(__xludf.DUMMYFUNCTION("""COMPUTED_VALUE"""),"HandlingInstructions")</f>
        <v>HandlingInstructions</v>
      </c>
      <c r="AE5" s="39" t="str">
        <f>IFERROR(__xludf.DUMMYFUNCTION("""COMPUTED_VALUE"""),"Trader")</f>
        <v>Trader</v>
      </c>
      <c r="AF5" s="39" t="str">
        <f>IFERROR(__xludf.DUMMYFUNCTION("""COMPUTED_VALUE"""),"SettlementCurrency")</f>
        <v>SettlementCurrency</v>
      </c>
      <c r="AG5" s="39" t="str">
        <f>IFERROR(__xludf.DUMMYFUNCTION("""COMPUTED_VALUE"""),"SettlementFXRate")</f>
        <v>SettlementFXRate</v>
      </c>
      <c r="AH5" s="39" t="str">
        <f>IFERROR(__xludf.DUMMYFUNCTION("""COMPUTED_VALUE"""),"SettlementAmount")</f>
        <v>SettlementAmount</v>
      </c>
      <c r="AI5" s="39" t="str">
        <f>IFERROR(__xludf.DUMMYFUNCTION("""COMPUTED_VALUE"""),"SettlementFXOperator")</f>
        <v>SettlementFXOperator</v>
      </c>
      <c r="AJ5" s="39" t="str">
        <f>IFERROR(__xludf.DUMMYFUNCTION("""COMPUTED_VALUE"""),"SettleByBroker")</f>
        <v>SettleByBroker</v>
      </c>
      <c r="AK5" s="39" t="str">
        <f>IFERROR(__xludf.DUMMYFUNCTION("""COMPUTED_VALUE"""),"Account")</f>
        <v>Account</v>
      </c>
      <c r="AL5" s="39" t="str">
        <f>IFERROR(__xludf.DUMMYFUNCTION("""COMPUTED_VALUE"""),"Account %")</f>
        <v>Account %</v>
      </c>
      <c r="AM5" s="39" t="str">
        <f>IFERROR(__xludf.DUMMYFUNCTION("""COMPUTED_VALUE"""),"Deal In")</f>
        <v>Deal In</v>
      </c>
      <c r="AN5" s="39" t="str">
        <f>IFERROR(__xludf.DUMMYFUNCTION("""COMPUTED_VALUE"""),"ChkBoxBookAsSwap")</f>
        <v>ChkBoxBookAsSwap</v>
      </c>
      <c r="AO5" s="39" t="str">
        <f>IFERROR(__xludf.DUMMYFUNCTION("""COMPUTED_VALUE"""),"PopUpQuantity")</f>
        <v>PopUpQuantity</v>
      </c>
      <c r="AP5" s="39" t="str">
        <f>IFERROR(__xludf.DUMMYFUNCTION("""COMPUTED_VALUE"""),"ShortLocate")</f>
        <v>ShortLocate</v>
      </c>
      <c r="AQ5" s="39" t="str">
        <f>IFERROR(__xludf.DUMMYFUNCTION("""COMPUTED_VALUE"""),"AllowTrade")</f>
        <v>AllowTrade</v>
      </c>
      <c r="AR5" s="39" t="str">
        <f>IFERROR(__xludf.DUMMYFUNCTION("""COMPUTED_VALUE"""),"SharesOutstandingPopUpQty")</f>
        <v>SharesOutstandingPopUpQty</v>
      </c>
      <c r="AS5" s="39" t="str">
        <f>IFERROR(__xludf.DUMMYFUNCTION("""COMPUTED_VALUE"""),"SharesOutstandingPopUp")</f>
        <v>SharesOutstandingPopUp</v>
      </c>
      <c r="AT5" s="39" t="str">
        <f>IFERROR(__xludf.DUMMYFUNCTION("""COMPUTED_VALUE"""),"ResAllowedListPopUp")</f>
        <v>ResAllowedListPopUp</v>
      </c>
      <c r="AU5" s="39" t="str">
        <f>IFERROR(__xludf.DUMMYFUNCTION("""COMPUTED_VALUE"""),"Rate(%)")</f>
        <v>Rate(%)</v>
      </c>
      <c r="AV5" s="39" t="str">
        <f>IFERROR(__xludf.DUMMYFUNCTION("""COMPUTED_VALUE"""),"Interest Rate")</f>
        <v>Interest Rate</v>
      </c>
      <c r="AW5" s="39" t="str">
        <f>IFERROR(__xludf.DUMMYFUNCTION("""COMPUTED_VALUE"""),"SelectAlgoStrategy")</f>
        <v>SelectAlgoStrategy</v>
      </c>
      <c r="AX5" s="39" t="str">
        <f>IFERROR(__xludf.DUMMYFUNCTION("""COMPUTED_VALUE"""),"Button")</f>
        <v>Button</v>
      </c>
      <c r="AY5" s="39" t="str">
        <f>IFERROR(__xludf.DUMMYFUNCTION("""COMPUTED_VALUE"""),"EditOrder")</f>
        <v>EditOrder</v>
      </c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53</v>
      </c>
      <c r="C6" s="12" t="s">
        <v>63</v>
      </c>
      <c r="D6" s="12">
        <v>100.0</v>
      </c>
      <c r="E6" s="4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IFERROR(__xludf.DUMMYFUNCTION("""COMPUTED_VALUE"""),"OpenWindow")</f>
        <v>OpenWindow</v>
      </c>
      <c r="C5" s="37"/>
      <c r="D5" s="37"/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12" t="s">
        <v>66</v>
      </c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OpenModuleFromDock!$4:$4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6" t="str">
        <f>IFERROR(__xludf.DUMMYFUNCTION("TRANSPOSE(IMPORTRANGE(VLOOKUP($E$3,IMPORTRANGE('_Settings'!$B$3,$C$3&amp;""!A4:B1000""),2,FALSE),$G$3&amp;""!A4:A1000""))"),"")</f>
        <v/>
      </c>
      <c r="B5" s="37" t="str">
        <f>IFERROR(__xludf.DUMMYFUNCTION("""COMPUTED_VALUE"""),"WindowName")</f>
        <v>WindowName</v>
      </c>
      <c r="C5" s="37" t="str">
        <f>IFERROR(__xludf.DUMMYFUNCTION("""COMPUTED_VALUE"""),"WindowPresentOrNot")</f>
        <v>WindowPresentOrNot</v>
      </c>
      <c r="D5" s="37"/>
      <c r="E5" s="37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</row>
    <row r="6" ht="15.75" customHeight="1">
      <c r="A6" s="12"/>
      <c r="B6" s="42" t="s">
        <v>68</v>
      </c>
      <c r="C6" s="43" t="b">
        <v>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66</v>
      </c>
      <c r="C7" s="4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