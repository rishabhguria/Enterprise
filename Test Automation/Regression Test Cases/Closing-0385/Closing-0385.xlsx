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<sst xmlns="http://schemas.openxmlformats.org/spreadsheetml/2006/main" count="2485" uniqueCount="57">
  <si>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</si>
  <si>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</si>
  <si>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</si>
  <si>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</si>
  <si>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</si>
  <si>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</si>
  <si>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</si>
  <si>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</si>
  <si>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</si>
  <si>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</si>
  <si>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</si>
  <si>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</si>
  <si>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</si>
  <si>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</si>
  <si>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</si>
  <si>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</si>
  <si>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</si>
  <si>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</si>
  <si>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</si>
  <si>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</si>
  <si>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</si>
  <si>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</si>
  <si>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</si>
  <si>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</si>
  <si>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</si>
  <si>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</si>
  <si>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</si>
  <si>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</si>
  <si>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</si>
  <si>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</si>
  <si>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</si>
  <si>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</si>
  <si>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</si>
  <si>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</si>
  <si>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</si>
  <si>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</si>
  <si>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</si>
  <si>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</si>
  <si>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</si>
  <si>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</si>
  <si>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</si>
  <si>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</si>
  <si>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</si>
  <si>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</si>
  <si>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EquityOption</t>
  </si>
  <si>
    <t>Buy to Close</t>
  </si>
  <si>
    <t>Sell</t>
  </si>
  <si>
    <t>Sell short</t>
  </si>
  <si>
    <t>CheckAllocatedTaxlots</t>
  </si>
  <si>
    <t>PortfolioManagement</t>
  </si>
  <si>
    <t>CheckPortfolioManagement</t>
  </si>
  <si>
    <t>NewMF</t>
  </si>
  <si>
    <t>US</t>
  </si>
  <si>
    <t>NASDAQ</t>
  </si>
  <si>
    <t>jpearce</t>
  </si>
  <si>
    <t>Long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</si>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</sst>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Docs-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45074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TODAY()+21</f>
        <v>45075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TODAY()+22</f>
        <v>45076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5">
        <v>1100.0</v>
      </c>
      <c r="E6" s="33"/>
      <c r="F6" s="33"/>
      <c r="G6" s="33"/>
      <c r="H6" s="33"/>
      <c r="I6" s="33"/>
      <c r="J6" s="36">
        <v>1.0</v>
      </c>
      <c r="K6" s="33"/>
      <c r="L6" s="33"/>
      <c r="M6" s="33"/>
      <c r="N6" s="32">
        <f t="shared" ref="N6:N7" si="1">TODAY()-8</f>
        <v>45046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7" t="s">
        <v>24</v>
      </c>
      <c r="D7" s="36">
        <v>10.0</v>
      </c>
      <c r="E7" s="33"/>
      <c r="F7" s="33"/>
      <c r="G7" s="33"/>
      <c r="H7" s="33"/>
      <c r="I7" s="33"/>
      <c r="J7" s="36">
        <v>10.0</v>
      </c>
      <c r="K7" s="33"/>
      <c r="L7" s="33"/>
      <c r="M7" s="33"/>
      <c r="N7" s="32">
        <f t="shared" si="1"/>
        <v>45046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7" t="s">
        <v>24</v>
      </c>
      <c r="D8" s="36">
        <v>10.0</v>
      </c>
      <c r="E8" s="33"/>
      <c r="F8" s="33"/>
      <c r="G8" s="33" t="s">
        <v>25</v>
      </c>
      <c r="H8" s="33"/>
      <c r="I8" s="33"/>
      <c r="J8" s="36">
        <v>10.0</v>
      </c>
      <c r="K8" s="33"/>
      <c r="L8" s="33"/>
      <c r="M8" s="33"/>
      <c r="N8" s="32">
        <f>TODAY()-7</f>
        <v>45047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7" t="s">
        <v>24</v>
      </c>
      <c r="D9" s="36">
        <v>10.0</v>
      </c>
      <c r="E9" s="33"/>
      <c r="F9" s="33"/>
      <c r="G9" s="33"/>
      <c r="H9" s="33"/>
      <c r="I9" s="33"/>
      <c r="J9" s="36">
        <v>10.0</v>
      </c>
      <c r="K9" s="33"/>
      <c r="L9" s="33"/>
      <c r="M9" s="37" t="s">
        <v>26</v>
      </c>
      <c r="N9" s="32">
        <f>TODAY()-6</f>
        <v>45048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>TODAY()-1</f>
        <v>45053</v>
      </c>
      <c r="C6" s="39">
        <f>TODAY()</f>
        <v>45054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22</v>
      </c>
      <c r="C6" s="41">
        <v>120.0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31</v>
      </c>
      <c r="C6" s="42" t="s">
        <v>32</v>
      </c>
      <c r="D6" s="42">
        <f>TODAY()</f>
        <v>45054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7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5" t="s">
        <v>32</v>
      </c>
      <c r="D6" s="45">
        <f>TODAY()</f>
        <v>45054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 t="s">
        <v>34</v>
      </c>
      <c r="C6" s="8" t="s">
        <v>39</v>
      </c>
      <c r="D6" s="46"/>
      <c r="E6" s="8">
        <v>1100.0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 t="s">
        <v>42</v>
      </c>
      <c r="Z6" t="s">
        <v>43</v>
      </c>
      <c r="BM6" t="s">
        <v>43</v>
      </c>
      <c r="BO6" t="s">
        <v>23</v>
      </c>
      <c r="BT6" t="s">
        <v>22</v>
      </c>
      <c r="CM6" t="s">
        <v>22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44</v>
      </c>
      <c r="H7" s="8"/>
      <c r="I7" s="8"/>
      <c r="J7" s="8"/>
      <c r="K7" s="8"/>
      <c r="L7" s="8"/>
      <c r="M7" s="8"/>
      <c r="N7" s="8"/>
      <c r="O7" s="8" t="s">
        <v>42</v>
      </c>
      <c r="Z7" t="s">
        <v>43</v>
      </c>
      <c r="BM7" t="s">
        <v>43</v>
      </c>
      <c r="BO7" t="s">
        <v>24</v>
      </c>
      <c r="BT7" t="s">
        <v>16</v>
      </c>
      <c r="CM7" t="s">
        <v>22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44</v>
      </c>
      <c r="H8" s="8"/>
      <c r="I8" s="8"/>
      <c r="J8" s="8"/>
      <c r="K8" s="8"/>
      <c r="L8" s="8"/>
      <c r="M8" s="8"/>
      <c r="N8" s="8"/>
      <c r="O8" s="8" t="s">
        <v>25</v>
      </c>
      <c r="Z8" t="s">
        <v>43</v>
      </c>
      <c r="BM8" t="s">
        <v>43</v>
      </c>
      <c r="BO8" t="s">
        <v>24</v>
      </c>
      <c r="BT8" t="s">
        <v>16</v>
      </c>
      <c r="CM8" t="s">
        <v>22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44</v>
      </c>
      <c r="H9" s="8"/>
      <c r="I9" s="8"/>
      <c r="J9" s="8"/>
      <c r="K9" s="8"/>
      <c r="L9" s="8"/>
      <c r="M9" s="8"/>
      <c r="N9" s="8"/>
      <c r="O9" s="8" t="s">
        <v>42</v>
      </c>
      <c r="Z9" t="s">
        <v>43</v>
      </c>
      <c r="BM9" t="s">
        <v>43</v>
      </c>
      <c r="BO9" t="s">
        <v>24</v>
      </c>
      <c r="BT9" t="s">
        <v>16</v>
      </c>
      <c r="CM9" t="s">
        <v>22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44</v>
      </c>
      <c r="H10" s="8"/>
      <c r="I10" s="8"/>
      <c r="J10" s="8"/>
      <c r="K10" s="8"/>
      <c r="L10" s="8"/>
      <c r="M10" s="8"/>
      <c r="N10" s="8"/>
      <c r="O10" s="8" t="s">
        <v>25</v>
      </c>
      <c r="Z10" t="s">
        <v>43</v>
      </c>
      <c r="BM10" t="s">
        <v>43</v>
      </c>
      <c r="BO10" t="s">
        <v>45</v>
      </c>
      <c r="BT10" t="s">
        <v>16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44</v>
      </c>
      <c r="H11" s="8"/>
      <c r="I11" s="8"/>
      <c r="J11" s="8"/>
      <c r="K11" s="8"/>
      <c r="L11" s="8"/>
      <c r="M11" s="8"/>
      <c r="N11" s="8"/>
      <c r="O11" s="8" t="s">
        <v>42</v>
      </c>
      <c r="Z11" t="s">
        <v>43</v>
      </c>
      <c r="BM11" t="s">
        <v>43</v>
      </c>
      <c r="BO11" t="s">
        <v>45</v>
      </c>
      <c r="BT11" t="s">
        <v>16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44</v>
      </c>
      <c r="H12" s="8"/>
      <c r="I12" s="8"/>
      <c r="J12" s="8"/>
      <c r="K12" s="8"/>
      <c r="L12" s="8"/>
      <c r="M12" s="8"/>
      <c r="N12" s="8"/>
      <c r="O12" s="8" t="s">
        <v>42</v>
      </c>
      <c r="Z12" t="s">
        <v>43</v>
      </c>
      <c r="BM12" t="s">
        <v>43</v>
      </c>
      <c r="BO12" t="s">
        <v>45</v>
      </c>
      <c r="BT12" t="s">
        <v>16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100.0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 t="s">
        <v>25</v>
      </c>
      <c r="Z13" t="s">
        <v>43</v>
      </c>
      <c r="BM13" t="s">
        <v>43</v>
      </c>
      <c r="BO13" t="s">
        <v>46</v>
      </c>
      <c r="BT13" t="s">
        <v>22</v>
      </c>
      <c r="CM13" t="s">
        <v>22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/>
      <c r="O14" s="8" t="s">
        <v>42</v>
      </c>
      <c r="Z14" t="s">
        <v>43</v>
      </c>
      <c r="BM14" t="s">
        <v>43</v>
      </c>
      <c r="BO14" t="s">
        <v>47</v>
      </c>
      <c r="BT14" t="s">
        <v>22</v>
      </c>
      <c r="CM14" t="s">
        <v>22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900.0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 t="s">
        <v>25</v>
      </c>
      <c r="Z15" t="s">
        <v>43</v>
      </c>
      <c r="BM15" t="s">
        <v>43</v>
      </c>
      <c r="BO15" t="s">
        <v>47</v>
      </c>
      <c r="BT15" t="s">
        <v>22</v>
      </c>
      <c r="CM15" t="s">
        <v>22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>
        <v>1000.0</v>
      </c>
      <c r="F16" s="8" t="s">
        <v>40</v>
      </c>
      <c r="G16" s="8" t="s">
        <v>41</v>
      </c>
      <c r="H16" s="8"/>
      <c r="I16" s="8"/>
      <c r="J16" s="8"/>
      <c r="K16" s="8"/>
      <c r="L16" s="8"/>
      <c r="M16" s="8"/>
      <c r="N16" s="8"/>
      <c r="O16" s="8" t="s">
        <v>42</v>
      </c>
      <c r="Z16" t="s">
        <v>43</v>
      </c>
      <c r="BM16" t="s">
        <v>43</v>
      </c>
      <c r="BO16" t="s">
        <v>46</v>
      </c>
      <c r="BT16" t="s">
        <v>22</v>
      </c>
      <c r="CM16" t="s">
        <v>22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FA16" t="s">
        <v>39</v>
      </c>
      <c r="FB16" t="s">
        <v>39</v>
      </c>
      <c r="FI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>
        <v>1114.0006</v>
      </c>
      <c r="C6" s="8">
        <v>1114.0006</v>
      </c>
      <c r="D6" s="46">
        <v>1100.0</v>
      </c>
      <c r="E6" s="8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AU6" t="s">
        <v>39</v>
      </c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>
        <v>10000.0</v>
      </c>
      <c r="C7" s="8">
        <v>10000.0</v>
      </c>
      <c r="D7" s="8">
        <v>10000.0</v>
      </c>
      <c r="E7" s="8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AU7" t="s">
        <v>39</v>
      </c>
      <c r="AV7" t="s">
        <v>39</v>
      </c>
      <c r="AW7" t="s">
        <v>39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H7" t="s">
        <v>39</v>
      </c>
      <c r="FI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>
        <v>10000.0</v>
      </c>
      <c r="C8" s="8">
        <v>10000.0</v>
      </c>
      <c r="D8" s="8">
        <v>10000.0</v>
      </c>
      <c r="E8" s="8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AU8" t="s">
        <v>39</v>
      </c>
      <c r="AV8" t="s">
        <v>39</v>
      </c>
      <c r="AW8" t="s">
        <v>39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H8" t="s">
        <v>39</v>
      </c>
      <c r="FI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>
        <v>10000.0</v>
      </c>
      <c r="C9" s="8">
        <v>10000.0</v>
      </c>
      <c r="D9" s="8">
        <v>10000.0</v>
      </c>
      <c r="E9" s="8">
        <v>10000.0</v>
      </c>
      <c r="F9" s="8"/>
      <c r="G9" s="8"/>
      <c r="H9" s="8"/>
      <c r="I9" s="8"/>
      <c r="J9" s="8"/>
      <c r="K9" s="8"/>
      <c r="L9" s="8"/>
      <c r="M9" s="8"/>
      <c r="N9" s="8"/>
      <c r="O9" s="8"/>
      <c r="AU9" t="s">
        <v>39</v>
      </c>
      <c r="AV9" t="s">
        <v>39</v>
      </c>
      <c r="AW9" t="s">
        <v>39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39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H9" t="s">
        <v>39</v>
      </c>
      <c r="FI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U10" t="s">
        <v>39</v>
      </c>
      <c r="AV10" t="s">
        <v>39</v>
      </c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39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H10" t="s">
        <v>39</v>
      </c>
      <c r="FI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>
        <v>0.0</v>
      </c>
      <c r="C11" s="8">
        <v>0.0</v>
      </c>
      <c r="D11" s="8">
        <v>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U11" t="s">
        <v>39</v>
      </c>
      <c r="AV11" t="s">
        <v>39</v>
      </c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39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H11" t="s">
        <v>39</v>
      </c>
      <c r="FI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>
        <v>0.0</v>
      </c>
      <c r="C12" s="8">
        <v>0.0</v>
      </c>
      <c r="D12" s="8">
        <v>0.0</v>
      </c>
      <c r="E12" s="8">
        <v>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U12" t="s">
        <v>39</v>
      </c>
      <c r="AV12" t="s">
        <v>39</v>
      </c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39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H12" t="s">
        <v>39</v>
      </c>
      <c r="FI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>
        <v>6000.0</v>
      </c>
      <c r="C13" s="8">
        <v>6000.0</v>
      </c>
      <c r="D13" s="8">
        <v>6000.0</v>
      </c>
      <c r="E13" s="8">
        <v>6000.0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U13" t="s">
        <v>39</v>
      </c>
      <c r="AV13" t="s">
        <v>39</v>
      </c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39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39</v>
      </c>
      <c r="BQ13" t="s">
        <v>39</v>
      </c>
      <c r="BR13" t="s">
        <v>39</v>
      </c>
      <c r="BS13" t="s">
        <v>39</v>
      </c>
      <c r="BT13" t="s">
        <v>39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39</v>
      </c>
      <c r="CC13" t="s">
        <v>39</v>
      </c>
      <c r="CD13" t="s">
        <v>39</v>
      </c>
      <c r="CE13" t="s">
        <v>39</v>
      </c>
      <c r="CF13" t="s">
        <v>39</v>
      </c>
      <c r="CG13" t="s">
        <v>39</v>
      </c>
      <c r="CH13" t="s">
        <v>39</v>
      </c>
      <c r="CI13" t="s">
        <v>39</v>
      </c>
      <c r="CJ13" t="s">
        <v>39</v>
      </c>
      <c r="CK13" t="s">
        <v>39</v>
      </c>
      <c r="CL13" t="s">
        <v>39</v>
      </c>
      <c r="CM13" t="s">
        <v>39</v>
      </c>
      <c r="CN13" t="s">
        <v>39</v>
      </c>
      <c r="CO13" t="s">
        <v>39</v>
      </c>
      <c r="CP13" t="s">
        <v>39</v>
      </c>
      <c r="CQ13" t="s">
        <v>39</v>
      </c>
      <c r="CR13" t="s">
        <v>39</v>
      </c>
      <c r="CS13" t="s">
        <v>39</v>
      </c>
      <c r="CT13" t="s">
        <v>39</v>
      </c>
      <c r="CU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H13" t="s">
        <v>39</v>
      </c>
      <c r="FI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>
        <v>60000.0</v>
      </c>
      <c r="C14" s="8">
        <v>60000.0</v>
      </c>
      <c r="D14" s="8">
        <v>60000.0</v>
      </c>
      <c r="E14" s="8">
        <v>60000.0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U14" t="s">
        <v>39</v>
      </c>
      <c r="AV14" t="s">
        <v>39</v>
      </c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39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39</v>
      </c>
      <c r="BQ14" t="s">
        <v>39</v>
      </c>
      <c r="BR14" t="s">
        <v>39</v>
      </c>
      <c r="BS14" t="s">
        <v>39</v>
      </c>
      <c r="BT14" t="s">
        <v>39</v>
      </c>
      <c r="BU14" t="s">
        <v>39</v>
      </c>
      <c r="BV14" t="s">
        <v>39</v>
      </c>
      <c r="BW14" t="s">
        <v>39</v>
      </c>
      <c r="BX14" t="s">
        <v>39</v>
      </c>
      <c r="BY14" t="s">
        <v>39</v>
      </c>
      <c r="BZ14" t="s">
        <v>39</v>
      </c>
      <c r="CA14" t="s">
        <v>39</v>
      </c>
      <c r="CB14" t="s">
        <v>39</v>
      </c>
      <c r="CC14" t="s">
        <v>39</v>
      </c>
      <c r="CD14" t="s">
        <v>39</v>
      </c>
      <c r="CE14" t="s">
        <v>39</v>
      </c>
      <c r="CF14" t="s">
        <v>39</v>
      </c>
      <c r="CG14" t="s">
        <v>39</v>
      </c>
      <c r="CH14" t="s">
        <v>39</v>
      </c>
      <c r="CI14" t="s">
        <v>39</v>
      </c>
      <c r="CJ14" t="s">
        <v>39</v>
      </c>
      <c r="CK14" t="s">
        <v>39</v>
      </c>
      <c r="CL14" t="s">
        <v>39</v>
      </c>
      <c r="CM14" t="s">
        <v>39</v>
      </c>
      <c r="CN14" t="s">
        <v>39</v>
      </c>
      <c r="CO14" t="s">
        <v>39</v>
      </c>
      <c r="CP14" t="s">
        <v>39</v>
      </c>
      <c r="CQ14" t="s">
        <v>39</v>
      </c>
      <c r="CR14" t="s">
        <v>39</v>
      </c>
      <c r="CS14" t="s">
        <v>39</v>
      </c>
      <c r="CT14" t="s">
        <v>39</v>
      </c>
      <c r="CU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H14" t="s">
        <v>39</v>
      </c>
      <c r="FI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>
        <v>54000.0</v>
      </c>
      <c r="C15" s="8">
        <v>54000.0</v>
      </c>
      <c r="D15" s="8">
        <v>54000.0</v>
      </c>
      <c r="E15" s="8">
        <v>54000.0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U15" t="s">
        <v>39</v>
      </c>
      <c r="AV15" t="s">
        <v>39</v>
      </c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39</v>
      </c>
      <c r="BS15" t="s">
        <v>39</v>
      </c>
      <c r="BT15" t="s">
        <v>39</v>
      </c>
      <c r="BU15" t="s">
        <v>39</v>
      </c>
      <c r="BV15" t="s">
        <v>39</v>
      </c>
      <c r="BW15" t="s">
        <v>39</v>
      </c>
      <c r="BX15" t="s">
        <v>39</v>
      </c>
      <c r="BY15" t="s">
        <v>39</v>
      </c>
      <c r="BZ15" t="s">
        <v>39</v>
      </c>
      <c r="CA15" t="s">
        <v>39</v>
      </c>
      <c r="CB15" t="s">
        <v>39</v>
      </c>
      <c r="CC15" t="s">
        <v>39</v>
      </c>
      <c r="CD15" t="s">
        <v>39</v>
      </c>
      <c r="CE15" t="s">
        <v>39</v>
      </c>
      <c r="CF15" t="s">
        <v>39</v>
      </c>
      <c r="CG15" t="s">
        <v>39</v>
      </c>
      <c r="CH15" t="s">
        <v>39</v>
      </c>
      <c r="CI15" t="s">
        <v>39</v>
      </c>
      <c r="CJ15" t="s">
        <v>39</v>
      </c>
      <c r="CK15" t="s">
        <v>39</v>
      </c>
      <c r="CL15" t="s">
        <v>39</v>
      </c>
      <c r="CM15" t="s">
        <v>39</v>
      </c>
      <c r="CN15" t="s">
        <v>39</v>
      </c>
      <c r="CO15" t="s">
        <v>39</v>
      </c>
      <c r="CP15" t="s">
        <v>39</v>
      </c>
      <c r="CQ15" t="s">
        <v>39</v>
      </c>
      <c r="CR15" t="s">
        <v>39</v>
      </c>
      <c r="CS15" t="s">
        <v>39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H15" t="s">
        <v>39</v>
      </c>
      <c r="FI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>
        <v>60000.0</v>
      </c>
      <c r="C16" s="8">
        <v>60000.0</v>
      </c>
      <c r="D16" s="8">
        <v>60000.0</v>
      </c>
      <c r="E16" s="8">
        <v>60000.0</v>
      </c>
      <c r="F16" s="8"/>
      <c r="G16" s="8"/>
      <c r="H16" s="8"/>
      <c r="I16" s="8"/>
      <c r="J16" s="8"/>
      <c r="K16" s="8"/>
      <c r="L16" s="8"/>
      <c r="M16" s="8"/>
      <c r="N16" s="8"/>
      <c r="O16" s="8"/>
      <c r="AU16" t="s">
        <v>39</v>
      </c>
      <c r="AV16" t="s">
        <v>39</v>
      </c>
      <c r="AW16" t="s">
        <v>39</v>
      </c>
      <c r="AX16" t="s">
        <v>39</v>
      </c>
      <c r="AY16" t="s">
        <v>39</v>
      </c>
      <c r="AZ16" t="s">
        <v>39</v>
      </c>
      <c r="BA16" t="s">
        <v>39</v>
      </c>
      <c r="BB16" t="s">
        <v>39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39</v>
      </c>
      <c r="BI16" t="s">
        <v>39</v>
      </c>
      <c r="BJ16" t="s">
        <v>39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39</v>
      </c>
      <c r="BQ16" t="s">
        <v>39</v>
      </c>
      <c r="BR16" t="s">
        <v>39</v>
      </c>
      <c r="BS16" t="s">
        <v>39</v>
      </c>
      <c r="BT16" t="s">
        <v>39</v>
      </c>
      <c r="BU16" t="s">
        <v>39</v>
      </c>
      <c r="BV16" t="s">
        <v>39</v>
      </c>
      <c r="BW16" t="s">
        <v>39</v>
      </c>
      <c r="BX16" t="s">
        <v>39</v>
      </c>
      <c r="BY16" t="s">
        <v>39</v>
      </c>
      <c r="BZ16" t="s">
        <v>39</v>
      </c>
      <c r="CA16" t="s">
        <v>39</v>
      </c>
      <c r="CB16" t="s">
        <v>39</v>
      </c>
      <c r="CC16" t="s">
        <v>39</v>
      </c>
      <c r="CD16" t="s">
        <v>39</v>
      </c>
      <c r="CE16" t="s">
        <v>39</v>
      </c>
      <c r="CF16" t="s">
        <v>39</v>
      </c>
      <c r="CG16" t="s">
        <v>39</v>
      </c>
      <c r="CH16" t="s">
        <v>39</v>
      </c>
      <c r="CI16" t="s">
        <v>39</v>
      </c>
      <c r="CJ16" t="s">
        <v>39</v>
      </c>
      <c r="CK16" t="s">
        <v>39</v>
      </c>
      <c r="CL16" t="s">
        <v>39</v>
      </c>
      <c r="CM16" t="s">
        <v>39</v>
      </c>
      <c r="CN16" t="s">
        <v>39</v>
      </c>
      <c r="CO16" t="s">
        <v>39</v>
      </c>
      <c r="CP16" t="s">
        <v>39</v>
      </c>
      <c r="CQ16" t="s">
        <v>39</v>
      </c>
      <c r="CR16" t="s">
        <v>39</v>
      </c>
      <c r="CS16" t="s">
        <v>39</v>
      </c>
      <c r="CT16" t="s">
        <v>39</v>
      </c>
      <c r="CU16" t="s">
        <v>39</v>
      </c>
      <c r="CV16" t="s">
        <v>39</v>
      </c>
      <c r="CW16" t="s">
        <v>39</v>
      </c>
      <c r="CX16" t="s">
        <v>39</v>
      </c>
      <c r="CY16" t="s">
        <v>39</v>
      </c>
      <c r="CZ16" t="s">
        <v>39</v>
      </c>
      <c r="DA16" t="s">
        <v>39</v>
      </c>
      <c r="DB16" t="s">
        <v>39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39</v>
      </c>
      <c r="DI16" t="s">
        <v>39</v>
      </c>
      <c r="DJ16" t="s">
        <v>39</v>
      </c>
      <c r="DK16" t="s">
        <v>39</v>
      </c>
      <c r="DL16" t="s">
        <v>39</v>
      </c>
      <c r="DM16" t="s">
        <v>39</v>
      </c>
      <c r="DN16" t="s">
        <v>39</v>
      </c>
      <c r="DO16" t="s">
        <v>39</v>
      </c>
      <c r="DP16" t="s">
        <v>39</v>
      </c>
      <c r="DQ16" t="s">
        <v>39</v>
      </c>
      <c r="DR16" t="s">
        <v>39</v>
      </c>
      <c r="DS16" t="s">
        <v>39</v>
      </c>
      <c r="DT16" t="s">
        <v>39</v>
      </c>
      <c r="DU16" t="s">
        <v>39</v>
      </c>
      <c r="DV16" t="s">
        <v>39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39</v>
      </c>
      <c r="EC16" t="s">
        <v>39</v>
      </c>
      <c r="ED16" t="s">
        <v>39</v>
      </c>
      <c r="EE16" t="s">
        <v>39</v>
      </c>
      <c r="EF16" t="s">
        <v>39</v>
      </c>
      <c r="EG16" t="s">
        <v>39</v>
      </c>
      <c r="EH16" t="s">
        <v>39</v>
      </c>
      <c r="EI16" t="s">
        <v>39</v>
      </c>
      <c r="EJ16" t="s">
        <v>39</v>
      </c>
      <c r="EK16" t="s">
        <v>39</v>
      </c>
      <c r="EL16" t="s">
        <v>39</v>
      </c>
      <c r="EM16" t="s">
        <v>39</v>
      </c>
      <c r="EN16" t="s">
        <v>39</v>
      </c>
      <c r="EO16" t="s">
        <v>39</v>
      </c>
      <c r="EP16" t="s">
        <v>39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39</v>
      </c>
      <c r="EW16" t="s">
        <v>39</v>
      </c>
      <c r="EX16" t="s">
        <v>39</v>
      </c>
      <c r="FA16" t="s">
        <v>39</v>
      </c>
      <c r="FB16" t="s">
        <v>39</v>
      </c>
      <c r="FC16" t="s">
        <v>39</v>
      </c>
      <c r="FH16" t="s">
        <v>39</v>
      </c>
      <c r="FI16" t="s">
        <v>39</v>
      </c>
      <c r="FJ16" t="s">
        <v>39</v>
      </c>
      <c r="FK16" t="s">
        <v>39</v>
      </c>
      <c r="FL16" t="s">
        <v>39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/>
      <c r="C6" s="8" t="s">
        <v>22</v>
      </c>
      <c r="D6" s="46"/>
      <c r="E6" s="8" t="s">
        <v>34</v>
      </c>
      <c r="F6" s="8" t="s">
        <v>51</v>
      </c>
      <c r="G6" s="8"/>
      <c r="H6" s="8" t="s">
        <v>26</v>
      </c>
      <c r="I6" s="8"/>
      <c r="J6" s="8"/>
      <c r="K6" s="8"/>
      <c r="L6" s="8"/>
      <c r="M6" s="8"/>
      <c r="N6" s="8"/>
      <c r="O6" s="8"/>
      <c r="U6" t="s">
        <v>52</v>
      </c>
      <c r="V6" t="s">
        <v>53</v>
      </c>
      <c r="AN6" t="s">
        <v>23</v>
      </c>
      <c r="AQ6" t="s">
        <v>22</v>
      </c>
      <c r="BQ6" t="s">
        <v>54</v>
      </c>
      <c r="BR6" t="s">
        <v>42</v>
      </c>
      <c r="EL6" t="s">
        <v>55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51</v>
      </c>
      <c r="G7" s="8"/>
      <c r="H7" s="8" t="s">
        <v>26</v>
      </c>
      <c r="I7" s="8"/>
      <c r="J7" s="8"/>
      <c r="K7" s="8"/>
      <c r="L7" s="8"/>
      <c r="M7" s="8"/>
      <c r="N7" s="8"/>
      <c r="O7" s="8"/>
      <c r="U7" t="s">
        <v>52</v>
      </c>
      <c r="V7" t="s">
        <v>56</v>
      </c>
      <c r="AN7" t="s">
        <v>24</v>
      </c>
      <c r="AQ7" t="s">
        <v>22</v>
      </c>
      <c r="BQ7" t="s">
        <v>54</v>
      </c>
      <c r="BR7" t="s">
        <v>42</v>
      </c>
      <c r="EL7" t="s">
        <v>55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51</v>
      </c>
      <c r="G8" s="8"/>
      <c r="H8" s="8" t="s">
        <v>26</v>
      </c>
      <c r="I8" s="8"/>
      <c r="J8" s="8"/>
      <c r="K8" s="8"/>
      <c r="L8" s="8"/>
      <c r="M8" s="8"/>
      <c r="N8" s="8"/>
      <c r="O8" s="8"/>
      <c r="U8" t="s">
        <v>52</v>
      </c>
      <c r="V8" t="s">
        <v>56</v>
      </c>
      <c r="AN8" t="s">
        <v>24</v>
      </c>
      <c r="AQ8" t="s">
        <v>22</v>
      </c>
      <c r="BQ8" t="s">
        <v>54</v>
      </c>
      <c r="BR8" t="s">
        <v>25</v>
      </c>
      <c r="EL8" t="s">
        <v>55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51</v>
      </c>
      <c r="G9" s="8"/>
      <c r="H9" s="8" t="s">
        <v>26</v>
      </c>
      <c r="I9" s="8"/>
      <c r="J9" s="8"/>
      <c r="K9" s="8"/>
      <c r="L9" s="8"/>
      <c r="M9" s="8"/>
      <c r="N9" s="8"/>
      <c r="O9" s="8"/>
      <c r="U9" t="s">
        <v>52</v>
      </c>
      <c r="V9" t="s">
        <v>56</v>
      </c>
      <c r="AN9" t="s">
        <v>24</v>
      </c>
      <c r="AQ9" t="s">
        <v>22</v>
      </c>
      <c r="BQ9" t="s">
        <v>54</v>
      </c>
      <c r="BR9" t="s">
        <v>42</v>
      </c>
      <c r="EL9" t="s">
        <v>55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51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U10" t="s">
        <v>52</v>
      </c>
      <c r="V10" t="s">
        <v>56</v>
      </c>
      <c r="AN10" t="s">
        <v>45</v>
      </c>
      <c r="AQ10" t="s">
        <v>22</v>
      </c>
      <c r="BQ10" t="s">
        <v>54</v>
      </c>
      <c r="BR10" t="s">
        <v>42</v>
      </c>
      <c r="EL10" t="s">
        <v>55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51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U11" t="s">
        <v>52</v>
      </c>
      <c r="V11" t="s">
        <v>56</v>
      </c>
      <c r="AN11" t="s">
        <v>45</v>
      </c>
      <c r="AQ11" t="s">
        <v>22</v>
      </c>
      <c r="BQ11" t="s">
        <v>54</v>
      </c>
      <c r="BR11" t="s">
        <v>25</v>
      </c>
      <c r="EL11" t="s">
        <v>55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51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U12" t="s">
        <v>52</v>
      </c>
      <c r="V12" t="s">
        <v>56</v>
      </c>
      <c r="AN12" t="s">
        <v>45</v>
      </c>
      <c r="AQ12" t="s">
        <v>22</v>
      </c>
      <c r="BQ12" t="s">
        <v>54</v>
      </c>
      <c r="BR12" t="s">
        <v>42</v>
      </c>
      <c r="EL12" t="s">
        <v>55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51</v>
      </c>
      <c r="G13" s="8"/>
      <c r="H13" s="8" t="s">
        <v>26</v>
      </c>
      <c r="I13" s="8"/>
      <c r="J13" s="8"/>
      <c r="K13" s="8"/>
      <c r="L13" s="8"/>
      <c r="M13" s="8"/>
      <c r="N13" s="8"/>
      <c r="O13" s="8"/>
      <c r="U13" t="s">
        <v>52</v>
      </c>
      <c r="V13" t="s">
        <v>53</v>
      </c>
      <c r="AN13" t="s">
        <v>47</v>
      </c>
      <c r="AQ13" t="s">
        <v>22</v>
      </c>
      <c r="BQ13" t="s">
        <v>54</v>
      </c>
      <c r="BR13" t="s">
        <v>42</v>
      </c>
      <c r="EL13" t="s">
        <v>55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51</v>
      </c>
      <c r="G14" s="8"/>
      <c r="H14" s="8" t="s">
        <v>26</v>
      </c>
      <c r="I14" s="8"/>
      <c r="J14" s="8"/>
      <c r="K14" s="8"/>
      <c r="L14" s="8"/>
      <c r="M14" s="8"/>
      <c r="N14" s="8"/>
      <c r="O14" s="8"/>
      <c r="U14" t="s">
        <v>52</v>
      </c>
      <c r="V14" t="s">
        <v>53</v>
      </c>
      <c r="AN14" t="s">
        <v>46</v>
      </c>
      <c r="AQ14" t="s">
        <v>22</v>
      </c>
      <c r="BQ14" t="s">
        <v>54</v>
      </c>
      <c r="BR14" t="s">
        <v>25</v>
      </c>
      <c r="EL14" t="s">
        <v>55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51</v>
      </c>
      <c r="G15" s="8"/>
      <c r="H15" s="8" t="s">
        <v>26</v>
      </c>
      <c r="I15" s="8"/>
      <c r="J15" s="8"/>
      <c r="K15" s="8"/>
      <c r="L15" s="8"/>
      <c r="M15" s="8"/>
      <c r="N15" s="8"/>
      <c r="O15" s="8"/>
      <c r="U15" t="s">
        <v>52</v>
      </c>
      <c r="V15" t="s">
        <v>53</v>
      </c>
      <c r="AN15" t="s">
        <v>47</v>
      </c>
      <c r="AQ15" t="s">
        <v>22</v>
      </c>
      <c r="BQ15" t="s">
        <v>54</v>
      </c>
      <c r="BR15" t="s">
        <v>25</v>
      </c>
      <c r="EL15" t="s">
        <v>55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 t="s">
        <v>39</v>
      </c>
      <c r="B16" s="8"/>
      <c r="C16" s="8" t="s">
        <v>22</v>
      </c>
      <c r="D16" s="8"/>
      <c r="E16" s="8" t="s">
        <v>34</v>
      </c>
      <c r="F16" s="8" t="s">
        <v>51</v>
      </c>
      <c r="G16" s="8"/>
      <c r="H16" s="8" t="s">
        <v>26</v>
      </c>
      <c r="I16" s="8"/>
      <c r="J16" s="8"/>
      <c r="K16" s="8"/>
      <c r="L16" s="8"/>
      <c r="M16" s="8"/>
      <c r="N16" s="8"/>
      <c r="O16" s="8"/>
      <c r="U16" t="s">
        <v>52</v>
      </c>
      <c r="V16" t="s">
        <v>53</v>
      </c>
      <c r="AN16" t="s">
        <v>46</v>
      </c>
      <c r="AQ16" t="s">
        <v>22</v>
      </c>
      <c r="BQ16" t="s">
        <v>54</v>
      </c>
      <c r="BR16" t="s">
        <v>42</v>
      </c>
      <c r="EL16" t="s">
        <v>55</v>
      </c>
      <c r="FM16" t="s">
        <v>39</v>
      </c>
      <c r="FN16" t="s">
        <v>39</v>
      </c>
      <c r="FO16" t="s">
        <v>39</v>
      </c>
      <c r="FP16" t="s">
        <v>39</v>
      </c>
      <c r="FQ16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